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VN18499\Desktop\"/>
    </mc:Choice>
  </mc:AlternateContent>
  <xr:revisionPtr revIDLastSave="0" documentId="13_ncr:1_{B3596FE3-2A33-4E46-9302-0D782368952F}" xr6:coauthVersionLast="36" xr6:coauthVersionMax="47" xr10:uidLastSave="{00000000-0000-0000-0000-000000000000}"/>
  <bookViews>
    <workbookView xWindow="28680" yWindow="-120" windowWidth="29040" windowHeight="15720" xr2:uid="{00000000-000D-0000-FFFF-FFFF00000000}"/>
  </bookViews>
  <sheets>
    <sheet name="Difficult" sheetId="19" r:id="rId1"/>
    <sheet name="Plan" sheetId="18" r:id="rId2"/>
    <sheet name="Total" sheetId="12" r:id="rId3"/>
  </sheets>
  <definedNames>
    <definedName name="_xlnm._FilterDatabase" localSheetId="2" hidden="1">Total!$A$1:$L$525</definedName>
    <definedName name="Display_Week" localSheetId="1">Plan!$E$4</definedName>
    <definedName name="Display_Week">#REF!</definedName>
    <definedName name="_xlnm.Print_Titles" localSheetId="1">Plan!$4:$6</definedName>
    <definedName name="Project_Start" localSheetId="1">Plan!$E$3</definedName>
    <definedName name="Project_Start">#REF!</definedName>
    <definedName name="task_end" localSheetId="1">Plan!$G1</definedName>
    <definedName name="task_progress" localSheetId="1">Plan!$D1</definedName>
    <definedName name="task_schedule" localSheetId="1">Plan!$F1</definedName>
    <definedName name="task_start" localSheetId="1">Plan!$E1</definedName>
    <definedName name="today" localSheetId="1">TODAY()</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18" l="1"/>
  <c r="H16" i="18"/>
  <c r="H15" i="18"/>
  <c r="H14" i="18"/>
  <c r="H13" i="18"/>
  <c r="H12" i="18"/>
  <c r="H11" i="18"/>
  <c r="H10" i="18"/>
  <c r="H9" i="18"/>
  <c r="D16" i="18"/>
  <c r="D15" i="18"/>
  <c r="D14" i="18"/>
  <c r="D13" i="18"/>
  <c r="D12" i="18"/>
  <c r="D11" i="18"/>
  <c r="D9" i="18"/>
  <c r="D10" i="18"/>
  <c r="I7" i="18" l="1"/>
  <c r="J5" i="18"/>
  <c r="K5" i="18" s="1"/>
  <c r="L5" i="18" l="1"/>
  <c r="K6" i="18"/>
  <c r="J6" i="18"/>
  <c r="M5" i="18" l="1"/>
  <c r="L6" i="18"/>
  <c r="M6" i="18" l="1"/>
  <c r="N5" i="18"/>
  <c r="N6" i="18" l="1"/>
  <c r="O5" i="18"/>
  <c r="O6" i="18" l="1"/>
  <c r="P5" i="18"/>
  <c r="P6" i="18" l="1"/>
  <c r="Q5" i="18"/>
  <c r="R5" i="18" l="1"/>
  <c r="Q6" i="18"/>
  <c r="S5" i="18" l="1"/>
  <c r="R6" i="18"/>
  <c r="T5" i="18" l="1"/>
  <c r="J4" i="18"/>
  <c r="S6" i="18"/>
  <c r="T6" i="18" l="1"/>
  <c r="U5" i="18"/>
  <c r="U6" i="18" l="1"/>
  <c r="V5" i="18"/>
  <c r="W5" i="18" l="1"/>
  <c r="V6" i="18"/>
  <c r="X5" i="18" l="1"/>
  <c r="W6" i="18"/>
  <c r="X6" i="18" l="1"/>
  <c r="Y5" i="18"/>
  <c r="Z5" i="18" l="1"/>
  <c r="Y6" i="18"/>
  <c r="AA5" i="18" l="1"/>
  <c r="Z6" i="18"/>
  <c r="AB5" i="18" l="1"/>
  <c r="AA6" i="18"/>
  <c r="AC5" i="18" l="1"/>
  <c r="AB6" i="18"/>
  <c r="AC6" i="18" l="1"/>
  <c r="AD5" i="18"/>
  <c r="AD6" i="18" l="1"/>
  <c r="AE5" i="18"/>
  <c r="AE6" i="18" l="1"/>
  <c r="AF5" i="18"/>
  <c r="AF6" i="18" l="1"/>
  <c r="AG5" i="18"/>
  <c r="AH5" i="18" l="1"/>
  <c r="AG6" i="18"/>
  <c r="AI5" i="18" l="1"/>
  <c r="AH6" i="18"/>
  <c r="AJ5" i="18" l="1"/>
  <c r="AI6" i="18"/>
  <c r="AJ6" i="18" l="1"/>
  <c r="AK5" i="18"/>
  <c r="AK6" i="18" s="1"/>
</calcChain>
</file>

<file path=xl/sharedStrings.xml><?xml version="1.0" encoding="utf-8"?>
<sst xmlns="http://schemas.openxmlformats.org/spreadsheetml/2006/main" count="3731" uniqueCount="1410">
  <si>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</si>
  <si>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</si>
  <si>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</si>
  <si>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DAYS</t>
  </si>
  <si>
    <t>MIS</t>
  </si>
  <si>
    <t>PC-NAME</t>
  </si>
  <si>
    <t>IP</t>
  </si>
  <si>
    <t>USER</t>
  </si>
  <si>
    <t>DHCP</t>
  </si>
  <si>
    <t>DL57</t>
  </si>
  <si>
    <t>#15060</t>
  </si>
  <si>
    <t>#17655</t>
  </si>
  <si>
    <t>DL89</t>
  </si>
  <si>
    <t>#20021</t>
  </si>
  <si>
    <t>DL92</t>
  </si>
  <si>
    <t>DL76</t>
  </si>
  <si>
    <t>DL131</t>
  </si>
  <si>
    <t>DL77</t>
  </si>
  <si>
    <t>DL05</t>
  </si>
  <si>
    <t>QA</t>
  </si>
  <si>
    <t>VPX101</t>
  </si>
  <si>
    <t>192.168.31.1</t>
  </si>
  <si>
    <t>#10437</t>
  </si>
  <si>
    <t>VPX102</t>
  </si>
  <si>
    <t>192.168.31.2</t>
  </si>
  <si>
    <t>#00328</t>
  </si>
  <si>
    <t>VPX103</t>
  </si>
  <si>
    <t>192.168.31.3</t>
  </si>
  <si>
    <t>#00854</t>
  </si>
  <si>
    <t>VPX104</t>
  </si>
  <si>
    <t>192.168.31.4</t>
  </si>
  <si>
    <t>#04202</t>
  </si>
  <si>
    <t>VPX105</t>
  </si>
  <si>
    <t>192.168.31.5</t>
  </si>
  <si>
    <t>#07789</t>
  </si>
  <si>
    <t>VPX106</t>
  </si>
  <si>
    <t>192.168.31.6</t>
  </si>
  <si>
    <t>#13582</t>
  </si>
  <si>
    <t>VPX107</t>
  </si>
  <si>
    <t>192.168.31.7</t>
  </si>
  <si>
    <t>#08550</t>
  </si>
  <si>
    <t>VPX108</t>
  </si>
  <si>
    <t>192.168.31.8</t>
  </si>
  <si>
    <t>#07290</t>
  </si>
  <si>
    <t>VPX109</t>
  </si>
  <si>
    <t>192.168.31.9</t>
  </si>
  <si>
    <t>#08759</t>
  </si>
  <si>
    <t>VPX110</t>
  </si>
  <si>
    <t>192.168.31.10</t>
  </si>
  <si>
    <t>#02245</t>
  </si>
  <si>
    <t>VPX111</t>
  </si>
  <si>
    <t>192.168.31.11</t>
  </si>
  <si>
    <t>#15884</t>
  </si>
  <si>
    <t>VPX113</t>
  </si>
  <si>
    <t>192.168.31.13</t>
  </si>
  <si>
    <t>#00665</t>
  </si>
  <si>
    <t>VPX114</t>
  </si>
  <si>
    <t>192.168.31.14</t>
  </si>
  <si>
    <t>#06748</t>
  </si>
  <si>
    <t>VPX115</t>
  </si>
  <si>
    <t>192.168.31.15</t>
  </si>
  <si>
    <t>#15725</t>
  </si>
  <si>
    <t>VPX116</t>
  </si>
  <si>
    <t>192.168.31.16</t>
  </si>
  <si>
    <t>#00186</t>
  </si>
  <si>
    <t>VPX117</t>
  </si>
  <si>
    <t>192.168.31.17</t>
  </si>
  <si>
    <t>#04427+#01534</t>
  </si>
  <si>
    <t>VPX118</t>
  </si>
  <si>
    <t>192.168.31.18</t>
  </si>
  <si>
    <t>#15726</t>
  </si>
  <si>
    <t>VPX119</t>
  </si>
  <si>
    <t>192.168.31.19</t>
  </si>
  <si>
    <t>#09145</t>
  </si>
  <si>
    <t>VPX120</t>
  </si>
  <si>
    <t>192.168.31.20</t>
  </si>
  <si>
    <t>#24335</t>
  </si>
  <si>
    <t>VPX121</t>
  </si>
  <si>
    <t>192.168.31.21</t>
  </si>
  <si>
    <t>#03747</t>
  </si>
  <si>
    <t>VPX122</t>
  </si>
  <si>
    <t>192.168.31.22</t>
  </si>
  <si>
    <t>#04428</t>
  </si>
  <si>
    <t>VPX123</t>
  </si>
  <si>
    <t>192.168.31.23</t>
  </si>
  <si>
    <t>#20328</t>
  </si>
  <si>
    <t>VPX124</t>
  </si>
  <si>
    <t>192.168.31.24</t>
  </si>
  <si>
    <t>#03613</t>
  </si>
  <si>
    <t>VPX125</t>
  </si>
  <si>
    <t>192.168.31.25</t>
  </si>
  <si>
    <t>#06908</t>
  </si>
  <si>
    <t>VPX126</t>
  </si>
  <si>
    <t>192.168.31.26</t>
  </si>
  <si>
    <t>#19767</t>
  </si>
  <si>
    <t>VPX127</t>
  </si>
  <si>
    <t>192.168.31.27</t>
  </si>
  <si>
    <t>#12694</t>
  </si>
  <si>
    <t>VPX128</t>
  </si>
  <si>
    <t>192.168.31.28</t>
  </si>
  <si>
    <t>#01232</t>
  </si>
  <si>
    <t>VPX129</t>
  </si>
  <si>
    <t>192.168.31.29</t>
  </si>
  <si>
    <t>#23862</t>
  </si>
  <si>
    <t>VPX130</t>
  </si>
  <si>
    <t>192.168.31.30</t>
  </si>
  <si>
    <t>VPX131</t>
  </si>
  <si>
    <t>192.168.31.71</t>
  </si>
  <si>
    <t>#00767</t>
  </si>
  <si>
    <t>VPX132</t>
  </si>
  <si>
    <t>192.168.31.72</t>
  </si>
  <si>
    <t>#11937</t>
  </si>
  <si>
    <t>VPX133</t>
  </si>
  <si>
    <t>192.168.31.74</t>
  </si>
  <si>
    <t>#24016</t>
  </si>
  <si>
    <t>VPX134</t>
  </si>
  <si>
    <t>192.168.31.75</t>
  </si>
  <si>
    <t>#24009</t>
  </si>
  <si>
    <t>VPX140</t>
  </si>
  <si>
    <t>192.168.31.40</t>
  </si>
  <si>
    <t>#19909</t>
  </si>
  <si>
    <t>BOTQLSX</t>
  </si>
  <si>
    <t>192.168.31.60</t>
  </si>
  <si>
    <t>#08886</t>
  </si>
  <si>
    <t>QLSX-VN00072</t>
  </si>
  <si>
    <t>#00072</t>
  </si>
  <si>
    <t>QLSX-MEET</t>
  </si>
  <si>
    <t>192.168.31.98</t>
  </si>
  <si>
    <t>#00990</t>
  </si>
  <si>
    <t>192.168.31.35</t>
  </si>
  <si>
    <t>#00683</t>
  </si>
  <si>
    <t>NL101</t>
  </si>
  <si>
    <t>192.168.31.51</t>
  </si>
  <si>
    <t>#07039</t>
  </si>
  <si>
    <t>NL102</t>
  </si>
  <si>
    <t>192.168.31.52</t>
  </si>
  <si>
    <t>#21343</t>
  </si>
  <si>
    <t>NL103</t>
  </si>
  <si>
    <t>192.168.31.53</t>
  </si>
  <si>
    <t>#00400</t>
  </si>
  <si>
    <t>NL104</t>
  </si>
  <si>
    <t>192.168.31.54</t>
  </si>
  <si>
    <t>#02419</t>
  </si>
  <si>
    <t>NL106</t>
  </si>
  <si>
    <t>192.168.31.56</t>
  </si>
  <si>
    <t>NL108</t>
  </si>
  <si>
    <t>192.168.31.58</t>
  </si>
  <si>
    <t>#02183</t>
  </si>
  <si>
    <t>#19617</t>
  </si>
  <si>
    <t>KD01</t>
  </si>
  <si>
    <t>192.168.30.1</t>
  </si>
  <si>
    <t>#08954</t>
  </si>
  <si>
    <t>KD02</t>
  </si>
  <si>
    <t>192.168.30.4</t>
  </si>
  <si>
    <t>#00766</t>
  </si>
  <si>
    <t>KD-VN07119</t>
  </si>
  <si>
    <t>192.168.30.26</t>
  </si>
  <si>
    <t>#07119</t>
  </si>
  <si>
    <t>KD-HOAI</t>
  </si>
  <si>
    <t>#24870</t>
  </si>
  <si>
    <t>KD-PHUONG</t>
  </si>
  <si>
    <t>#14517</t>
  </si>
  <si>
    <t>#16629</t>
  </si>
  <si>
    <t>SALES-HIEP</t>
  </si>
  <si>
    <t>#04844</t>
  </si>
  <si>
    <t>KD-DUYANH</t>
  </si>
  <si>
    <t>#11287</t>
  </si>
  <si>
    <t>KD-TRACYTRANG</t>
  </si>
  <si>
    <t>#14516</t>
  </si>
  <si>
    <t>KD-HOANGYEN</t>
  </si>
  <si>
    <t>#24409</t>
  </si>
  <si>
    <t>KD-NHAT</t>
  </si>
  <si>
    <t>#14377</t>
  </si>
  <si>
    <t>KD-TESSHAU</t>
  </si>
  <si>
    <t>#14150</t>
  </si>
  <si>
    <t>KD-THUYCELINA</t>
  </si>
  <si>
    <t>#15628</t>
  </si>
  <si>
    <t>KD-IVYHUE</t>
  </si>
  <si>
    <t>#03550</t>
  </si>
  <si>
    <t>KD-VN24570</t>
  </si>
  <si>
    <t>#24570</t>
  </si>
  <si>
    <t>KD-DUYEN</t>
  </si>
  <si>
    <t>#23987</t>
  </si>
  <si>
    <t>KD-TRUONG9441</t>
  </si>
  <si>
    <t>#09441</t>
  </si>
  <si>
    <t>#13855</t>
  </si>
  <si>
    <t>KD-NGAN</t>
  </si>
  <si>
    <t>#11458</t>
  </si>
  <si>
    <t>KD-HANH1777</t>
  </si>
  <si>
    <t>KD-HUYEN</t>
  </si>
  <si>
    <t>#01204</t>
  </si>
  <si>
    <t>KD-KHUYEN</t>
  </si>
  <si>
    <t>#14394</t>
  </si>
  <si>
    <t>KD-ROSENGA</t>
  </si>
  <si>
    <t>#10369</t>
  </si>
  <si>
    <t>KD-PHUONG7918</t>
  </si>
  <si>
    <t>#07918</t>
  </si>
  <si>
    <t>KD-LINH19818</t>
  </si>
  <si>
    <t>#19818</t>
  </si>
  <si>
    <t>KD-NGUYEN20230</t>
  </si>
  <si>
    <t>#18500</t>
  </si>
  <si>
    <t>192.168.90.251</t>
  </si>
  <si>
    <t>M1-MEETING</t>
  </si>
  <si>
    <t>192.168.90.252</t>
  </si>
  <si>
    <t>M2-MEETING</t>
  </si>
  <si>
    <t>GDO-LINH</t>
  </si>
  <si>
    <t>#25149</t>
  </si>
  <si>
    <t>GDO02</t>
  </si>
  <si>
    <t>192.168.30.13</t>
  </si>
  <si>
    <t>#17577</t>
  </si>
  <si>
    <t>GDO03</t>
  </si>
  <si>
    <t>192.168.30.30</t>
  </si>
  <si>
    <t>#09245</t>
  </si>
  <si>
    <t>Peter-Ngo</t>
  </si>
  <si>
    <t>192.168.30.33</t>
  </si>
  <si>
    <t>#00661</t>
  </si>
  <si>
    <t>KTSX01</t>
  </si>
  <si>
    <t>192.168.30.72</t>
  </si>
  <si>
    <t>KTSX02</t>
  </si>
  <si>
    <t>#24900</t>
  </si>
  <si>
    <t>KTSX03</t>
  </si>
  <si>
    <t>192.168.30.73</t>
  </si>
  <si>
    <t>#23793</t>
  </si>
  <si>
    <t>KTSX04</t>
  </si>
  <si>
    <t>192.168.30.74</t>
  </si>
  <si>
    <t>#16143</t>
  </si>
  <si>
    <t>KTSX05</t>
  </si>
  <si>
    <t>192.168.30.75</t>
  </si>
  <si>
    <t>#23792</t>
  </si>
  <si>
    <t>172.16.31.89</t>
  </si>
  <si>
    <t>KTSX07</t>
  </si>
  <si>
    <t>192.168.30.16</t>
  </si>
  <si>
    <t>#00127</t>
  </si>
  <si>
    <t>KTSX09</t>
  </si>
  <si>
    <t>192.168.30.79</t>
  </si>
  <si>
    <t>TM01</t>
  </si>
  <si>
    <t>192.168.34.51</t>
  </si>
  <si>
    <t>#24337</t>
  </si>
  <si>
    <t>TM02</t>
  </si>
  <si>
    <t>192.168.34.52</t>
  </si>
  <si>
    <t>#10949</t>
  </si>
  <si>
    <t>TM03</t>
  </si>
  <si>
    <t>192.168.34.53</t>
  </si>
  <si>
    <t>TM04</t>
  </si>
  <si>
    <t>192.168.34.54</t>
  </si>
  <si>
    <t>#17952</t>
  </si>
  <si>
    <t>TM05</t>
  </si>
  <si>
    <t>192.168.34.55</t>
  </si>
  <si>
    <t>#16743</t>
  </si>
  <si>
    <t>TM06</t>
  </si>
  <si>
    <t>192.168.34.56</t>
  </si>
  <si>
    <t>#18155</t>
  </si>
  <si>
    <t>TM07</t>
  </si>
  <si>
    <t>192.168.34.57</t>
  </si>
  <si>
    <t>#19343</t>
  </si>
  <si>
    <t>TM08</t>
  </si>
  <si>
    <t>192.168.34.58</t>
  </si>
  <si>
    <t>#01574</t>
  </si>
  <si>
    <t>TM09</t>
  </si>
  <si>
    <t>192.168.34.59</t>
  </si>
  <si>
    <t>#22259</t>
  </si>
  <si>
    <t>TM10</t>
  </si>
  <si>
    <t>192.168.34.60</t>
  </si>
  <si>
    <t>#24569</t>
  </si>
  <si>
    <t>TM11</t>
  </si>
  <si>
    <t>192.168.34.61</t>
  </si>
  <si>
    <t>#24568</t>
  </si>
  <si>
    <t>TM12</t>
  </si>
  <si>
    <t>192.168.34.62</t>
  </si>
  <si>
    <t>#08898</t>
  </si>
  <si>
    <t>TM13</t>
  </si>
  <si>
    <t>192.168.34.63</t>
  </si>
  <si>
    <t>#08755</t>
  </si>
  <si>
    <t>TM14</t>
  </si>
  <si>
    <t>192.168.34.64</t>
  </si>
  <si>
    <t>#19766</t>
  </si>
  <si>
    <t>TM15</t>
  </si>
  <si>
    <t>192.168.34.65</t>
  </si>
  <si>
    <t>#13167</t>
  </si>
  <si>
    <t>TM16</t>
  </si>
  <si>
    <t>192.168.34.66</t>
  </si>
  <si>
    <t>#08894</t>
  </si>
  <si>
    <t>TM17</t>
  </si>
  <si>
    <t>192.168.34.67</t>
  </si>
  <si>
    <t>#16669</t>
  </si>
  <si>
    <t>TM18</t>
  </si>
  <si>
    <t>192.168.34.68</t>
  </si>
  <si>
    <t>#14595</t>
  </si>
  <si>
    <t>TM19</t>
  </si>
  <si>
    <t>192.168.34.69</t>
  </si>
  <si>
    <t>#22756</t>
  </si>
  <si>
    <t>TM21</t>
  </si>
  <si>
    <t>192.168.34.71</t>
  </si>
  <si>
    <t>#17578</t>
  </si>
  <si>
    <t>TM22</t>
  </si>
  <si>
    <t>192.168.34.72</t>
  </si>
  <si>
    <t>TM23</t>
  </si>
  <si>
    <t>192.168.34.73</t>
  </si>
  <si>
    <t>#14376</t>
  </si>
  <si>
    <t>TM24</t>
  </si>
  <si>
    <t>192.168.34.74</t>
  </si>
  <si>
    <t xml:space="preserve">#17646 </t>
  </si>
  <si>
    <t>TM25</t>
  </si>
  <si>
    <t>192.168.34.75</t>
  </si>
  <si>
    <t>#13750</t>
  </si>
  <si>
    <t>TM26</t>
  </si>
  <si>
    <t>192.168.34.76</t>
  </si>
  <si>
    <t>#21835</t>
  </si>
  <si>
    <t>TM-NGHIA</t>
  </si>
  <si>
    <t>#08756</t>
  </si>
  <si>
    <t>TM-TOAN</t>
  </si>
  <si>
    <t>#09590</t>
  </si>
  <si>
    <t>#09244</t>
  </si>
  <si>
    <t>#01737</t>
  </si>
  <si>
    <t>NS01</t>
  </si>
  <si>
    <t>192.168.34.31</t>
  </si>
  <si>
    <t>#02824</t>
  </si>
  <si>
    <t>NS02</t>
  </si>
  <si>
    <t>192.168.34.32</t>
  </si>
  <si>
    <t>#18258</t>
  </si>
  <si>
    <t>NS03</t>
  </si>
  <si>
    <t>192.168.34.33</t>
  </si>
  <si>
    <t>#00740</t>
  </si>
  <si>
    <t>NS04</t>
  </si>
  <si>
    <t>192.168.34.34</t>
  </si>
  <si>
    <t>#00336</t>
  </si>
  <si>
    <t>NS05</t>
  </si>
  <si>
    <t>192.168.34.35</t>
  </si>
  <si>
    <t>#03489</t>
  </si>
  <si>
    <t>NS06</t>
  </si>
  <si>
    <t>192.168.34.36</t>
  </si>
  <si>
    <t>#01188</t>
  </si>
  <si>
    <t>NS07</t>
  </si>
  <si>
    <t>192.168.34.37</t>
  </si>
  <si>
    <t>#00369</t>
  </si>
  <si>
    <t>NS08</t>
  </si>
  <si>
    <t>192.168.34.38</t>
  </si>
  <si>
    <t>#01162</t>
  </si>
  <si>
    <t>NS09</t>
  </si>
  <si>
    <t>192.168.34.39</t>
  </si>
  <si>
    <t>#03499</t>
  </si>
  <si>
    <t>NS10</t>
  </si>
  <si>
    <t>#17645</t>
  </si>
  <si>
    <t>NS12</t>
  </si>
  <si>
    <t>192.168.34.45</t>
  </si>
  <si>
    <t>#09870</t>
  </si>
  <si>
    <t>NS13</t>
  </si>
  <si>
    <t>192.168.34.48</t>
  </si>
  <si>
    <t>#20019</t>
  </si>
  <si>
    <t>NS14</t>
  </si>
  <si>
    <t>192.168.34.49</t>
  </si>
  <si>
    <t>#20907</t>
  </si>
  <si>
    <t>NS-DAOTAO</t>
  </si>
  <si>
    <t>192.168.34.88</t>
  </si>
  <si>
    <t>#18499</t>
  </si>
  <si>
    <t>NS601</t>
  </si>
  <si>
    <t>172.16.31.42</t>
  </si>
  <si>
    <t>#25575</t>
  </si>
  <si>
    <t>192.168.34.41</t>
  </si>
  <si>
    <t>#01443</t>
  </si>
  <si>
    <t>ATMT02</t>
  </si>
  <si>
    <t>192.168.34.42</t>
  </si>
  <si>
    <t>#03502</t>
  </si>
  <si>
    <t>ATMT03</t>
  </si>
  <si>
    <t>192.168.34.43</t>
  </si>
  <si>
    <t>#15950</t>
  </si>
  <si>
    <t>ATMT04</t>
  </si>
  <si>
    <t>192.168.34.44</t>
  </si>
  <si>
    <t>#03618</t>
  </si>
  <si>
    <t>ATMT05</t>
  </si>
  <si>
    <t>192.168.34.46</t>
  </si>
  <si>
    <t>ATMT07</t>
  </si>
  <si>
    <t>192.168.34.47</t>
  </si>
  <si>
    <t>ATMT602</t>
  </si>
  <si>
    <t>172.16.31.2</t>
  </si>
  <si>
    <t>XNK01</t>
  </si>
  <si>
    <t>192.168.30.40</t>
  </si>
  <si>
    <t>#00610</t>
  </si>
  <si>
    <t>XNK02</t>
  </si>
  <si>
    <t>192.168.30.41</t>
  </si>
  <si>
    <t>#04036</t>
  </si>
  <si>
    <t>XNK03</t>
  </si>
  <si>
    <t>192.168.30.42</t>
  </si>
  <si>
    <t>#09527</t>
  </si>
  <si>
    <t>XNK04</t>
  </si>
  <si>
    <t>192.168.30.43</t>
  </si>
  <si>
    <t>#08941</t>
  </si>
  <si>
    <t>XNK05</t>
  </si>
  <si>
    <t>192.168.30.45</t>
  </si>
  <si>
    <t>#10480</t>
  </si>
  <si>
    <t>XNK06</t>
  </si>
  <si>
    <t>192.168.30.48</t>
  </si>
  <si>
    <t>#22147</t>
  </si>
  <si>
    <t>XNK07</t>
  </si>
  <si>
    <t>192.168.30.46</t>
  </si>
  <si>
    <t>#13986</t>
  </si>
  <si>
    <t>XNK08</t>
  </si>
  <si>
    <t>192.168.30.47</t>
  </si>
  <si>
    <t>#09878</t>
  </si>
  <si>
    <t>BOTXNK</t>
  </si>
  <si>
    <t>192.168.30.44</t>
  </si>
  <si>
    <t>XNK-PHI</t>
  </si>
  <si>
    <t>KSNB01</t>
  </si>
  <si>
    <t>192.168.30.27</t>
  </si>
  <si>
    <t>#24294</t>
  </si>
  <si>
    <t>KSNB02</t>
  </si>
  <si>
    <t>192.168.30.28</t>
  </si>
  <si>
    <t>PHUNGTUANHUNG</t>
  </si>
  <si>
    <t>#00720</t>
  </si>
  <si>
    <t>KSNB-CUONG</t>
  </si>
  <si>
    <t>#24901</t>
  </si>
  <si>
    <t>DL124</t>
  </si>
  <si>
    <t>KF02</t>
  </si>
  <si>
    <t>192.168.33.2</t>
  </si>
  <si>
    <t>#15626</t>
  </si>
  <si>
    <t>KF03</t>
  </si>
  <si>
    <t>192.168.33.3</t>
  </si>
  <si>
    <t>#12760</t>
  </si>
  <si>
    <t>KF04</t>
  </si>
  <si>
    <t>192.168.33.4</t>
  </si>
  <si>
    <t>#11725</t>
  </si>
  <si>
    <t>KF05</t>
  </si>
  <si>
    <t>#11132</t>
  </si>
  <si>
    <t>KF06</t>
  </si>
  <si>
    <t>192.168.33.6</t>
  </si>
  <si>
    <t>#13852</t>
  </si>
  <si>
    <t>KF07</t>
  </si>
  <si>
    <t>192.168.33.7</t>
  </si>
  <si>
    <t>#11723</t>
  </si>
  <si>
    <t>KF08</t>
  </si>
  <si>
    <t>192.168.33.8</t>
  </si>
  <si>
    <t>#00285</t>
  </si>
  <si>
    <t>KF09</t>
  </si>
  <si>
    <t>192.168.33.9</t>
  </si>
  <si>
    <t>#03798</t>
  </si>
  <si>
    <t>KF10</t>
  </si>
  <si>
    <t>192.168.33.10</t>
  </si>
  <si>
    <t>#01955</t>
  </si>
  <si>
    <t>KF11</t>
  </si>
  <si>
    <t>192.168.33.11</t>
  </si>
  <si>
    <t>#18143</t>
  </si>
  <si>
    <t>#03487</t>
  </si>
  <si>
    <t>KF13</t>
  </si>
  <si>
    <t>192.168.33.13</t>
  </si>
  <si>
    <t>#17912</t>
  </si>
  <si>
    <t>KF14</t>
  </si>
  <si>
    <t>192.168.33.14</t>
  </si>
  <si>
    <t xml:space="preserve"> #10953</t>
  </si>
  <si>
    <t>KF15</t>
  </si>
  <si>
    <t>192.168.33.15</t>
  </si>
  <si>
    <t>#04751</t>
  </si>
  <si>
    <t>KF16</t>
  </si>
  <si>
    <t>192.168.33.16</t>
  </si>
  <si>
    <t>#09587</t>
  </si>
  <si>
    <t>KF17</t>
  </si>
  <si>
    <t>192.168.33.17</t>
  </si>
  <si>
    <t>#12582</t>
  </si>
  <si>
    <t>KF18</t>
  </si>
  <si>
    <t>192.168.33.18</t>
  </si>
  <si>
    <t>#07179</t>
  </si>
  <si>
    <t>KF19</t>
  </si>
  <si>
    <t>192.168.33.19</t>
  </si>
  <si>
    <t>#05224</t>
  </si>
  <si>
    <t>KF20</t>
  </si>
  <si>
    <t>192.168.33.20</t>
  </si>
  <si>
    <t>#17794</t>
  </si>
  <si>
    <t>KF21</t>
  </si>
  <si>
    <t>192.168.33.21</t>
  </si>
  <si>
    <t>#10864</t>
  </si>
  <si>
    <t>KF22</t>
  </si>
  <si>
    <t>192.168.33.22</t>
  </si>
  <si>
    <t>#08232</t>
  </si>
  <si>
    <t>KF23</t>
  </si>
  <si>
    <t>192.168.33.23</t>
  </si>
  <si>
    <t>#17589</t>
  </si>
  <si>
    <t>KF24</t>
  </si>
  <si>
    <t>192.168.33.24</t>
  </si>
  <si>
    <t>#15625</t>
  </si>
  <si>
    <t>KF25</t>
  </si>
  <si>
    <t>192.168.33.25</t>
  </si>
  <si>
    <t>#13165</t>
  </si>
  <si>
    <t>KF26</t>
  </si>
  <si>
    <t>192.168.33.88</t>
  </si>
  <si>
    <t>#09586</t>
  </si>
  <si>
    <t>KF27</t>
  </si>
  <si>
    <t>192.168.33.27</t>
  </si>
  <si>
    <t>#17573</t>
  </si>
  <si>
    <t>KF28</t>
  </si>
  <si>
    <t>192.168.33.28</t>
  </si>
  <si>
    <t>#16002</t>
  </si>
  <si>
    <t>KF31</t>
  </si>
  <si>
    <t>192.168.33.31</t>
  </si>
  <si>
    <t>#17356</t>
  </si>
  <si>
    <t>#12584</t>
  </si>
  <si>
    <t>KF33</t>
  </si>
  <si>
    <t>192.168.33.33</t>
  </si>
  <si>
    <t>#17886</t>
  </si>
  <si>
    <t>KF34</t>
  </si>
  <si>
    <t>192.168.33.34</t>
  </si>
  <si>
    <t>#12580</t>
  </si>
  <si>
    <t>KF35</t>
  </si>
  <si>
    <t>192.168.33.35</t>
  </si>
  <si>
    <t>#10879</t>
  </si>
  <si>
    <t>KF36</t>
  </si>
  <si>
    <t>192.168.33.36</t>
  </si>
  <si>
    <t>#16290</t>
  </si>
  <si>
    <t>KF37</t>
  </si>
  <si>
    <t>192.168.33.37</t>
  </si>
  <si>
    <t>#15629</t>
  </si>
  <si>
    <t>KF38</t>
  </si>
  <si>
    <t>192.168.33.38</t>
  </si>
  <si>
    <t>#17474</t>
  </si>
  <si>
    <t>KF39</t>
  </si>
  <si>
    <t>192.168.33.39</t>
  </si>
  <si>
    <t>#13668</t>
  </si>
  <si>
    <t>KF40</t>
  </si>
  <si>
    <t>192.168.33.40</t>
  </si>
  <si>
    <t>#21398</t>
  </si>
  <si>
    <t>KF41</t>
  </si>
  <si>
    <t>192.168.33.41</t>
  </si>
  <si>
    <t>KF42</t>
  </si>
  <si>
    <t>192.168.33.42</t>
  </si>
  <si>
    <t>#04750</t>
  </si>
  <si>
    <t>KF43</t>
  </si>
  <si>
    <t>192.168.33.43</t>
  </si>
  <si>
    <t>#12761</t>
  </si>
  <si>
    <t>KF44</t>
  </si>
  <si>
    <t>192.168.33.44</t>
  </si>
  <si>
    <t>KF45</t>
  </si>
  <si>
    <t>192.168.33.45</t>
  </si>
  <si>
    <t>#17795</t>
  </si>
  <si>
    <t>KF46</t>
  </si>
  <si>
    <t>192.168.33.46</t>
  </si>
  <si>
    <t>#12403</t>
  </si>
  <si>
    <t>KF47</t>
  </si>
  <si>
    <t>192.168.33.47</t>
  </si>
  <si>
    <t>#16003</t>
  </si>
  <si>
    <t>KF48</t>
  </si>
  <si>
    <t>192.168.33.48</t>
  </si>
  <si>
    <t>#10955</t>
  </si>
  <si>
    <t>KF49</t>
  </si>
  <si>
    <t>192.168.33.49</t>
  </si>
  <si>
    <t>#13090</t>
  </si>
  <si>
    <t>KF50</t>
  </si>
  <si>
    <t>192.168.33.50</t>
  </si>
  <si>
    <t>#25150</t>
  </si>
  <si>
    <t>KF51</t>
  </si>
  <si>
    <t>192.168.33.51</t>
  </si>
  <si>
    <t>#13672</t>
  </si>
  <si>
    <t>KF53</t>
  </si>
  <si>
    <t>192.168.33.53</t>
  </si>
  <si>
    <t>#10954</t>
  </si>
  <si>
    <t>KF54</t>
  </si>
  <si>
    <t>192.168.33.54</t>
  </si>
  <si>
    <t>#00490</t>
  </si>
  <si>
    <t>KF55</t>
  </si>
  <si>
    <t>192.168.33.55</t>
  </si>
  <si>
    <t>#10945</t>
  </si>
  <si>
    <t>KF56</t>
  </si>
  <si>
    <t>192.168.33.56</t>
  </si>
  <si>
    <t>#09589</t>
  </si>
  <si>
    <t>KF57</t>
  </si>
  <si>
    <t>192.168.33.57</t>
  </si>
  <si>
    <t>#19129</t>
  </si>
  <si>
    <t>KF58</t>
  </si>
  <si>
    <t>192.168.33.58</t>
  </si>
  <si>
    <t>#08128</t>
  </si>
  <si>
    <t>KF60</t>
  </si>
  <si>
    <t>192.168.33.60</t>
  </si>
  <si>
    <t>#25725</t>
  </si>
  <si>
    <t>KF61</t>
  </si>
  <si>
    <t>192.168.33.94</t>
  </si>
  <si>
    <t>192.168.33.62</t>
  </si>
  <si>
    <t>#17582</t>
  </si>
  <si>
    <t>KF63</t>
  </si>
  <si>
    <t>192.168.33.63</t>
  </si>
  <si>
    <t>#15627</t>
  </si>
  <si>
    <t>KF64</t>
  </si>
  <si>
    <t>192.168.33.64</t>
  </si>
  <si>
    <t>#12038</t>
  </si>
  <si>
    <t>KF65</t>
  </si>
  <si>
    <t>192.168.33.65</t>
  </si>
  <si>
    <t>#12808</t>
  </si>
  <si>
    <t>KF66</t>
  </si>
  <si>
    <t>192.168.33.66</t>
  </si>
  <si>
    <t>#10784</t>
  </si>
  <si>
    <t>#03889</t>
  </si>
  <si>
    <t>KF-MEETING2</t>
  </si>
  <si>
    <t>192.168.33.68</t>
  </si>
  <si>
    <t>KF-MEET2</t>
  </si>
  <si>
    <t>KF69</t>
  </si>
  <si>
    <t>192.168.33.69</t>
  </si>
  <si>
    <t>#10863</t>
  </si>
  <si>
    <t>KF71</t>
  </si>
  <si>
    <t>192.168.33.71</t>
  </si>
  <si>
    <t>#16289</t>
  </si>
  <si>
    <t>KF72</t>
  </si>
  <si>
    <t>192.168.33.72</t>
  </si>
  <si>
    <t>#17911</t>
  </si>
  <si>
    <t>KF73</t>
  </si>
  <si>
    <t>192.168.33.73</t>
  </si>
  <si>
    <t>#10610</t>
  </si>
  <si>
    <t>KF74</t>
  </si>
  <si>
    <t>192.168.33.74</t>
  </si>
  <si>
    <t>#12806</t>
  </si>
  <si>
    <t>KF75</t>
  </si>
  <si>
    <t>192.168.33.75</t>
  </si>
  <si>
    <t>#11131</t>
  </si>
  <si>
    <t>KF76</t>
  </si>
  <si>
    <t>192.168.33.76</t>
  </si>
  <si>
    <t>#17731</t>
  </si>
  <si>
    <t>KF77</t>
  </si>
  <si>
    <t>192.168.33.77</t>
  </si>
  <si>
    <t>#10878</t>
  </si>
  <si>
    <t>KF78</t>
  </si>
  <si>
    <t>192.168.33.78</t>
  </si>
  <si>
    <t>#12405</t>
  </si>
  <si>
    <t>KF79</t>
  </si>
  <si>
    <t>192.168.33.79</t>
  </si>
  <si>
    <t>#11724</t>
  </si>
  <si>
    <t>KF80</t>
  </si>
  <si>
    <t>192.168.33.80</t>
  </si>
  <si>
    <t>#01057</t>
  </si>
  <si>
    <t>KF81</t>
  </si>
  <si>
    <t>192.168.33.81</t>
  </si>
  <si>
    <t>#08552</t>
  </si>
  <si>
    <t>KF82</t>
  </si>
  <si>
    <t>192.168.33.82</t>
  </si>
  <si>
    <t>#12583</t>
  </si>
  <si>
    <t>KF62</t>
  </si>
  <si>
    <t>192.168.33.84</t>
  </si>
  <si>
    <t>KF85</t>
  </si>
  <si>
    <t>192.168.33.85</t>
  </si>
  <si>
    <t>#18062</t>
  </si>
  <si>
    <t>KF86</t>
  </si>
  <si>
    <t>192.168.33.86</t>
  </si>
  <si>
    <t>#17581</t>
  </si>
  <si>
    <t>KF87</t>
  </si>
  <si>
    <t>192.168.33.87</t>
  </si>
  <si>
    <t>#13321</t>
  </si>
  <si>
    <t>KF88</t>
  </si>
  <si>
    <t>192.168.33.98</t>
  </si>
  <si>
    <t>#16851</t>
  </si>
  <si>
    <t>KF89</t>
  </si>
  <si>
    <t>192.168.33.89</t>
  </si>
  <si>
    <t>#17913</t>
  </si>
  <si>
    <t>KF91</t>
  </si>
  <si>
    <t>192.168.33.91</t>
  </si>
  <si>
    <t>#25724</t>
  </si>
  <si>
    <t>KF92</t>
  </si>
  <si>
    <t>192.168.33.92</t>
  </si>
  <si>
    <t>#10611</t>
  </si>
  <si>
    <t>KF93</t>
  </si>
  <si>
    <t>192.168.33.93</t>
  </si>
  <si>
    <t>KF95</t>
  </si>
  <si>
    <t>192.168.33.95</t>
  </si>
  <si>
    <t>#19545</t>
  </si>
  <si>
    <t>KF96</t>
  </si>
  <si>
    <t>192.168.33.96</t>
  </si>
  <si>
    <t>#13669</t>
  </si>
  <si>
    <t>KF97</t>
  </si>
  <si>
    <t>192.168.33.97</t>
  </si>
  <si>
    <t>KF99</t>
  </si>
  <si>
    <t>192.168.33.99</t>
  </si>
  <si>
    <t>#11658</t>
  </si>
  <si>
    <t>KF100</t>
  </si>
  <si>
    <t>192.168.33.26</t>
  </si>
  <si>
    <t>#11632</t>
  </si>
  <si>
    <t>KF98</t>
  </si>
  <si>
    <t>192.168.33.61</t>
  </si>
  <si>
    <t>#20149</t>
  </si>
  <si>
    <t>KF70</t>
  </si>
  <si>
    <t>192.168.33.70</t>
  </si>
  <si>
    <t>KF-VN03798</t>
  </si>
  <si>
    <t>KF-VN10783</t>
  </si>
  <si>
    <t>#10783</t>
  </si>
  <si>
    <t>KF-VN02543</t>
  </si>
  <si>
    <t>#02543</t>
  </si>
  <si>
    <t>KF-VN01955</t>
  </si>
  <si>
    <t>KF-VN10955</t>
  </si>
  <si>
    <t>KF-VN21265</t>
  </si>
  <si>
    <t>#21265</t>
  </si>
  <si>
    <t>KF-VN20024</t>
  </si>
  <si>
    <t>#20024</t>
  </si>
  <si>
    <t>KF-VN18082</t>
  </si>
  <si>
    <t>#18082</t>
  </si>
  <si>
    <t>KF-VN10861</t>
  </si>
  <si>
    <t>#10861</t>
  </si>
  <si>
    <t>KF-VN17885</t>
  </si>
  <si>
    <t>#17885</t>
  </si>
  <si>
    <t>QA01</t>
  </si>
  <si>
    <t>192.168.32.90</t>
  </si>
  <si>
    <t>#00259</t>
  </si>
  <si>
    <t>QA02</t>
  </si>
  <si>
    <t>192.168.33.102</t>
  </si>
  <si>
    <t>#00913</t>
  </si>
  <si>
    <t>QA03</t>
  </si>
  <si>
    <t>192.168.33.103</t>
  </si>
  <si>
    <t>#11714</t>
  </si>
  <si>
    <t>QA04</t>
  </si>
  <si>
    <t>192.168.33.104</t>
  </si>
  <si>
    <t>#19425</t>
  </si>
  <si>
    <t>QA05</t>
  </si>
  <si>
    <t>192.168.33.105</t>
  </si>
  <si>
    <t>#24125</t>
  </si>
  <si>
    <t>QA06</t>
  </si>
  <si>
    <t>192.168.33.106</t>
  </si>
  <si>
    <t>#03408</t>
  </si>
  <si>
    <t>QA08</t>
  </si>
  <si>
    <t>192.168.33.108</t>
  </si>
  <si>
    <t>#00079</t>
  </si>
  <si>
    <t>QA09</t>
  </si>
  <si>
    <t>192.168.33.109</t>
  </si>
  <si>
    <t>#04104</t>
  </si>
  <si>
    <t>QA10</t>
  </si>
  <si>
    <t>192.168.33.110</t>
  </si>
  <si>
    <t>#24525</t>
  </si>
  <si>
    <t>QA11</t>
  </si>
  <si>
    <t>QA12</t>
  </si>
  <si>
    <t>192.168.33.112</t>
  </si>
  <si>
    <t>#10693</t>
  </si>
  <si>
    <t>QA15</t>
  </si>
  <si>
    <t>192.168.33.115</t>
  </si>
  <si>
    <t>#24081</t>
  </si>
  <si>
    <t>QA17</t>
  </si>
  <si>
    <t>192.168.33.117</t>
  </si>
  <si>
    <t>QA18</t>
  </si>
  <si>
    <t>192.168.33.118</t>
  </si>
  <si>
    <t>#11402</t>
  </si>
  <si>
    <t>QA19</t>
  </si>
  <si>
    <t>192.168.33.119</t>
  </si>
  <si>
    <t>#06237</t>
  </si>
  <si>
    <t>QA20</t>
  </si>
  <si>
    <t>192.168.33.120</t>
  </si>
  <si>
    <t>#03480</t>
  </si>
  <si>
    <t>QA22</t>
  </si>
  <si>
    <t>192.168.33.135</t>
  </si>
  <si>
    <t>#17025</t>
  </si>
  <si>
    <t>QA37</t>
  </si>
  <si>
    <t>192.168.33.137</t>
  </si>
  <si>
    <t>#24084</t>
  </si>
  <si>
    <t>QA-HA913</t>
  </si>
  <si>
    <t>QA-HAI3408</t>
  </si>
  <si>
    <t>QA-VN19777</t>
  </si>
  <si>
    <t>#19777</t>
  </si>
  <si>
    <t>QA-THANH</t>
  </si>
  <si>
    <t>#13847</t>
  </si>
  <si>
    <t>QA-PC</t>
  </si>
  <si>
    <t>#02196</t>
  </si>
  <si>
    <t>#00379</t>
  </si>
  <si>
    <t>DUC01</t>
  </si>
  <si>
    <t>192.168.23.21</t>
  </si>
  <si>
    <t>#01436</t>
  </si>
  <si>
    <t>DUC02</t>
  </si>
  <si>
    <t>192.168.23.62</t>
  </si>
  <si>
    <t>#00776</t>
  </si>
  <si>
    <t>DUC03</t>
  </si>
  <si>
    <t>192.168.23.23</t>
  </si>
  <si>
    <t>#02611</t>
  </si>
  <si>
    <t>DUC04</t>
  </si>
  <si>
    <t>192.168.23.24</t>
  </si>
  <si>
    <t>DUC05</t>
  </si>
  <si>
    <t>192.168.23.25</t>
  </si>
  <si>
    <t>#00917</t>
  </si>
  <si>
    <t>DUC06</t>
  </si>
  <si>
    <t>192.168.23.26</t>
  </si>
  <si>
    <t>#01198</t>
  </si>
  <si>
    <t>DUC07</t>
  </si>
  <si>
    <t>192.168.23.27</t>
  </si>
  <si>
    <t>#04914</t>
  </si>
  <si>
    <t>DUC08</t>
  </si>
  <si>
    <t>192.168.23.69</t>
  </si>
  <si>
    <t>#16878</t>
  </si>
  <si>
    <t>DUC10</t>
  </si>
  <si>
    <t>192.168.23.30</t>
  </si>
  <si>
    <t>#09194</t>
  </si>
  <si>
    <t>DUC11</t>
  </si>
  <si>
    <t>192.168.23.64</t>
  </si>
  <si>
    <t>#19005</t>
  </si>
  <si>
    <t>DUC12</t>
  </si>
  <si>
    <t>192.168.23.65</t>
  </si>
  <si>
    <t>#09155</t>
  </si>
  <si>
    <t>DUC13</t>
  </si>
  <si>
    <t>192.168.23.68</t>
  </si>
  <si>
    <t>#00167</t>
  </si>
  <si>
    <t>DUC14</t>
  </si>
  <si>
    <t>192.168.23.34</t>
  </si>
  <si>
    <t>DUC16</t>
  </si>
  <si>
    <t>192.168.23.36</t>
  </si>
  <si>
    <t>#6000</t>
  </si>
  <si>
    <t>DUC17</t>
  </si>
  <si>
    <t>192.168.23.57</t>
  </si>
  <si>
    <t>GC01</t>
  </si>
  <si>
    <t>192.168.23.41</t>
  </si>
  <si>
    <t>#01906</t>
  </si>
  <si>
    <t>GC02</t>
  </si>
  <si>
    <t>192.168.23.39</t>
  </si>
  <si>
    <t>#01376</t>
  </si>
  <si>
    <t>GC03</t>
  </si>
  <si>
    <t>192.168.23.43</t>
  </si>
  <si>
    <t>#01911</t>
  </si>
  <si>
    <t>GC04</t>
  </si>
  <si>
    <t>192.168.23.44</t>
  </si>
  <si>
    <t># 01134</t>
  </si>
  <si>
    <t>GC05</t>
  </si>
  <si>
    <t>192.168.23.45</t>
  </si>
  <si>
    <t>#18616</t>
  </si>
  <si>
    <t>GC06</t>
  </si>
  <si>
    <t>192.168.23.46</t>
  </si>
  <si>
    <t>#01167</t>
  </si>
  <si>
    <t>GC07</t>
  </si>
  <si>
    <t>192.168.23.47</t>
  </si>
  <si>
    <t>#11988</t>
  </si>
  <si>
    <t>GC08</t>
  </si>
  <si>
    <t>192.168.23.48</t>
  </si>
  <si>
    <t>GC09</t>
  </si>
  <si>
    <t>192.168.23.49</t>
  </si>
  <si>
    <t>#09784</t>
  </si>
  <si>
    <t>GC10</t>
  </si>
  <si>
    <t>192.168.23.50</t>
  </si>
  <si>
    <t>#19427</t>
  </si>
  <si>
    <t>GC11</t>
  </si>
  <si>
    <t>192.168.23.51</t>
  </si>
  <si>
    <t>#14019</t>
  </si>
  <si>
    <t>GC12</t>
  </si>
  <si>
    <t>192.168.23.52</t>
  </si>
  <si>
    <t>#00234</t>
  </si>
  <si>
    <t>GC13</t>
  </si>
  <si>
    <t>192.168.23.53</t>
  </si>
  <si>
    <t>#10140</t>
  </si>
  <si>
    <t>GC14</t>
  </si>
  <si>
    <t>192.168.23.54</t>
  </si>
  <si>
    <t>GC15</t>
  </si>
  <si>
    <t>192.168.23.56</t>
  </si>
  <si>
    <t>#01309</t>
  </si>
  <si>
    <t>GC18</t>
  </si>
  <si>
    <t>192.168.23.58</t>
  </si>
  <si>
    <t>#16577</t>
  </si>
  <si>
    <t>GC19</t>
  </si>
  <si>
    <t>192.168.23.59</t>
  </si>
  <si>
    <t>#16917</t>
  </si>
  <si>
    <t>GC20</t>
  </si>
  <si>
    <t>192.168.23.60</t>
  </si>
  <si>
    <t>#02131</t>
  </si>
  <si>
    <t>GC21</t>
  </si>
  <si>
    <t>192.168.23.29</t>
  </si>
  <si>
    <t>#24332</t>
  </si>
  <si>
    <t>GC22</t>
  </si>
  <si>
    <t>192.168.23.22</t>
  </si>
  <si>
    <t>#16439</t>
  </si>
  <si>
    <t>GC23</t>
  </si>
  <si>
    <t>192.168.23.28</t>
  </si>
  <si>
    <t>#20363</t>
  </si>
  <si>
    <t>GC24</t>
  </si>
  <si>
    <t>192.168.23.35</t>
  </si>
  <si>
    <t>#00930</t>
  </si>
  <si>
    <t>GC25</t>
  </si>
  <si>
    <t>192.168.23.32</t>
  </si>
  <si>
    <t>#24203</t>
  </si>
  <si>
    <t>GC26</t>
  </si>
  <si>
    <t>192.168.23.31</t>
  </si>
  <si>
    <t>#01434</t>
  </si>
  <si>
    <t>GC27</t>
  </si>
  <si>
    <t>192.168.23.37</t>
  </si>
  <si>
    <t>#18327</t>
  </si>
  <si>
    <t>GC28</t>
  </si>
  <si>
    <t>192.168.23.38</t>
  </si>
  <si>
    <t>#02985</t>
  </si>
  <si>
    <t>GC29</t>
  </si>
  <si>
    <t>192.168.23.40</t>
  </si>
  <si>
    <t>GC30</t>
  </si>
  <si>
    <t>192.168.23.42</t>
  </si>
  <si>
    <t>KTKP01</t>
  </si>
  <si>
    <t>192.168.23.75</t>
  </si>
  <si>
    <t>#17213</t>
  </si>
  <si>
    <t>KTKP02</t>
  </si>
  <si>
    <t>192.168.23.76</t>
  </si>
  <si>
    <t>#22881</t>
  </si>
  <si>
    <t>KTKP03</t>
  </si>
  <si>
    <t>192.168.23.77</t>
  </si>
  <si>
    <t>#23748</t>
  </si>
  <si>
    <t>KTKP04</t>
  </si>
  <si>
    <t>192.168.23.78</t>
  </si>
  <si>
    <t>#23101</t>
  </si>
  <si>
    <t>KTKP05</t>
  </si>
  <si>
    <t>192.168.23.79</t>
  </si>
  <si>
    <t>KTKP06</t>
  </si>
  <si>
    <t>192.168.23.80</t>
  </si>
  <si>
    <t>KTKP07</t>
  </si>
  <si>
    <t>192.168.23.83</t>
  </si>
  <si>
    <t>#24325</t>
  </si>
  <si>
    <t>KTKP08</t>
  </si>
  <si>
    <t>192.168.23.67</t>
  </si>
  <si>
    <t>KTKP09</t>
  </si>
  <si>
    <t>192.168.23.70</t>
  </si>
  <si>
    <t>#24327</t>
  </si>
  <si>
    <t>KTKP10</t>
  </si>
  <si>
    <t>192.168.23.97</t>
  </si>
  <si>
    <t>#15378</t>
  </si>
  <si>
    <t>KTKP11</t>
  </si>
  <si>
    <t>192.168.23.33</t>
  </si>
  <si>
    <t>KTKP12</t>
  </si>
  <si>
    <t>192.168.23.55</t>
  </si>
  <si>
    <t>#21794</t>
  </si>
  <si>
    <t>KTKP13</t>
  </si>
  <si>
    <t>192.168.23.66</t>
  </si>
  <si>
    <t>#24326</t>
  </si>
  <si>
    <t>GC-MEETING</t>
  </si>
  <si>
    <t>192.168.23.203</t>
  </si>
  <si>
    <t>KTKP-VN17950</t>
  </si>
  <si>
    <t>#17950</t>
  </si>
  <si>
    <t>GC-VN10140</t>
  </si>
  <si>
    <t>KTKP-VN11314</t>
  </si>
  <si>
    <t>#11314</t>
  </si>
  <si>
    <t>DUC-BOSS</t>
  </si>
  <si>
    <t>KTKP-VN09655</t>
  </si>
  <si>
    <t>#09655</t>
  </si>
  <si>
    <t>GC-VN01434</t>
  </si>
  <si>
    <t>QC2</t>
  </si>
  <si>
    <t>QCX203</t>
  </si>
  <si>
    <t>192.168.23.73</t>
  </si>
  <si>
    <t>#02261</t>
  </si>
  <si>
    <t>QCX205</t>
  </si>
  <si>
    <t>192.168.23.85</t>
  </si>
  <si>
    <t>#11366</t>
  </si>
  <si>
    <t>#01932</t>
  </si>
  <si>
    <t>SON201</t>
  </si>
  <si>
    <t>192.168.23.81</t>
  </si>
  <si>
    <t>#14121</t>
  </si>
  <si>
    <t>SON202</t>
  </si>
  <si>
    <t>192.168.23.82</t>
  </si>
  <si>
    <t>#00806</t>
  </si>
  <si>
    <t>SON203</t>
  </si>
  <si>
    <t>#09253</t>
  </si>
  <si>
    <t>SON204</t>
  </si>
  <si>
    <t>192.168.23.84</t>
  </si>
  <si>
    <t>SON205</t>
  </si>
  <si>
    <t>192.168.23.61</t>
  </si>
  <si>
    <t>#01614</t>
  </si>
  <si>
    <t>VPX201</t>
  </si>
  <si>
    <t>192.168.23.91</t>
  </si>
  <si>
    <t>#01233</t>
  </si>
  <si>
    <t>VPX202</t>
  </si>
  <si>
    <t>192.168.23.92</t>
  </si>
  <si>
    <t>#02421</t>
  </si>
  <si>
    <t>VPX203</t>
  </si>
  <si>
    <t>192.168.23.93</t>
  </si>
  <si>
    <t>#04267</t>
  </si>
  <si>
    <t>VPX204</t>
  </si>
  <si>
    <t>192.168.23.94</t>
  </si>
  <si>
    <t>#21090</t>
  </si>
  <si>
    <t>VPX205</t>
  </si>
  <si>
    <t>192.168.23.95</t>
  </si>
  <si>
    <t>#04268</t>
  </si>
  <si>
    <t>VPX206</t>
  </si>
  <si>
    <t>192.168.23.96</t>
  </si>
  <si>
    <t>#06492</t>
  </si>
  <si>
    <t>QLSX2-TOAN</t>
  </si>
  <si>
    <t>#01273</t>
  </si>
  <si>
    <t>VPX209</t>
  </si>
  <si>
    <t>192.168.23.99</t>
  </si>
  <si>
    <t>#22094</t>
  </si>
  <si>
    <t>CANONG01</t>
  </si>
  <si>
    <t>192.168.22.47</t>
  </si>
  <si>
    <t>#15013</t>
  </si>
  <si>
    <t>CANONG02</t>
  </si>
  <si>
    <t>192.168.22.48</t>
  </si>
  <si>
    <t>#03562</t>
  </si>
  <si>
    <t>QLK501</t>
  </si>
  <si>
    <t>192.168.22.1</t>
  </si>
  <si>
    <t>QLK502</t>
  </si>
  <si>
    <t>192.168.22.2</t>
  </si>
  <si>
    <t>QLK503</t>
  </si>
  <si>
    <t>192.168.22.5</t>
  </si>
  <si>
    <t>#09077</t>
  </si>
  <si>
    <t>QLK504</t>
  </si>
  <si>
    <t>192.168.22.4</t>
  </si>
  <si>
    <t>#07966</t>
  </si>
  <si>
    <t>QLK505</t>
  </si>
  <si>
    <t>192.168.22.3</t>
  </si>
  <si>
    <t>QLK506</t>
  </si>
  <si>
    <t>192.168.22.6</t>
  </si>
  <si>
    <t>#00900</t>
  </si>
  <si>
    <t>QLK507</t>
  </si>
  <si>
    <t>192.168.22.7</t>
  </si>
  <si>
    <t>#04029</t>
  </si>
  <si>
    <t>QLK508</t>
  </si>
  <si>
    <t>192.168.22.45</t>
  </si>
  <si>
    <t>QC5</t>
  </si>
  <si>
    <t>QC501</t>
  </si>
  <si>
    <t>192.168.22.21</t>
  </si>
  <si>
    <t>#09759</t>
  </si>
  <si>
    <t>QC503</t>
  </si>
  <si>
    <t>192.168.22.23</t>
  </si>
  <si>
    <t>#07279</t>
  </si>
  <si>
    <t>HAN401</t>
  </si>
  <si>
    <t>192.168.22.31</t>
  </si>
  <si>
    <t>#03790</t>
  </si>
  <si>
    <t>HAN402</t>
  </si>
  <si>
    <t>192.168.22.32</t>
  </si>
  <si>
    <t>HAN403</t>
  </si>
  <si>
    <t>192.168.22.33</t>
  </si>
  <si>
    <t>#01235</t>
  </si>
  <si>
    <t>HAN404</t>
  </si>
  <si>
    <t>192.168.22.34</t>
  </si>
  <si>
    <t>#06404</t>
  </si>
  <si>
    <t>HAN405</t>
  </si>
  <si>
    <t>192.168.22.35</t>
  </si>
  <si>
    <t>#03168</t>
  </si>
  <si>
    <t>HAN406</t>
  </si>
  <si>
    <t>192.168.22.36</t>
  </si>
  <si>
    <t>#10070</t>
  </si>
  <si>
    <t>HAN407</t>
  </si>
  <si>
    <t>192.168.22.37</t>
  </si>
  <si>
    <t>#00269</t>
  </si>
  <si>
    <t>HAN408</t>
  </si>
  <si>
    <t>192.168.22.15</t>
  </si>
  <si>
    <t>#00256</t>
  </si>
  <si>
    <t>DAP501</t>
  </si>
  <si>
    <t>192.168.22.11</t>
  </si>
  <si>
    <t>#14798</t>
  </si>
  <si>
    <t>DAP503</t>
  </si>
  <si>
    <t>192.168.22.13</t>
  </si>
  <si>
    <t>DAP504</t>
  </si>
  <si>
    <t>192.168.22.14</t>
  </si>
  <si>
    <t>#11364</t>
  </si>
  <si>
    <t>DAP506</t>
  </si>
  <si>
    <t>192.168.22.16</t>
  </si>
  <si>
    <t>#07195</t>
  </si>
  <si>
    <t>DAP507</t>
  </si>
  <si>
    <t>192.168.22.17</t>
  </si>
  <si>
    <t>#02696</t>
  </si>
  <si>
    <t>DAP508</t>
  </si>
  <si>
    <t>192.168.22.18</t>
  </si>
  <si>
    <t>#02413</t>
  </si>
  <si>
    <t>DAP509</t>
  </si>
  <si>
    <t>192.168.22.19</t>
  </si>
  <si>
    <t>#15388</t>
  </si>
  <si>
    <t>DAP510</t>
  </si>
  <si>
    <t>192.168.22.20</t>
  </si>
  <si>
    <t>#01874</t>
  </si>
  <si>
    <t>192.168.22.50</t>
  </si>
  <si>
    <t>DAP5-MEETING</t>
  </si>
  <si>
    <t>DAP511</t>
  </si>
  <si>
    <t>192.168.22.51</t>
  </si>
  <si>
    <t>#10828</t>
  </si>
  <si>
    <t>DAP512</t>
  </si>
  <si>
    <t>192.168.22.24</t>
  </si>
  <si>
    <t>#08561</t>
  </si>
  <si>
    <t>DAP513</t>
  </si>
  <si>
    <t>192.168.22.27</t>
  </si>
  <si>
    <t>#00279</t>
  </si>
  <si>
    <t>HAN501</t>
  </si>
  <si>
    <t>192.168.22.41</t>
  </si>
  <si>
    <t>HAN502</t>
  </si>
  <si>
    <t>192.168.22.42</t>
  </si>
  <si>
    <t>#13456</t>
  </si>
  <si>
    <t>HAN503</t>
  </si>
  <si>
    <t>192.168.22.43</t>
  </si>
  <si>
    <t>#11580</t>
  </si>
  <si>
    <t>HAN504</t>
  </si>
  <si>
    <t>192.168.22.44</t>
  </si>
  <si>
    <t>#16268</t>
  </si>
  <si>
    <t>DUNG00462</t>
  </si>
  <si>
    <t>#00462</t>
  </si>
  <si>
    <t>MIS01</t>
  </si>
  <si>
    <t>192.168.40.21</t>
  </si>
  <si>
    <t>#24210</t>
  </si>
  <si>
    <t>MIS02</t>
  </si>
  <si>
    <t>192.168.40.22</t>
  </si>
  <si>
    <t>#22028</t>
  </si>
  <si>
    <t>MIS03</t>
  </si>
  <si>
    <t>192.168.40.23</t>
  </si>
  <si>
    <t>#16138</t>
  </si>
  <si>
    <t>MIS05</t>
  </si>
  <si>
    <t>192.168.40.25</t>
  </si>
  <si>
    <t>MIS06</t>
  </si>
  <si>
    <t>192.168.40.26</t>
  </si>
  <si>
    <t>MIS08</t>
  </si>
  <si>
    <t>192.168.40.28</t>
  </si>
  <si>
    <t>MIS09</t>
  </si>
  <si>
    <t>192.168.40.29</t>
  </si>
  <si>
    <t>#24085</t>
  </si>
  <si>
    <t>MIS12</t>
  </si>
  <si>
    <t>192.168.40.32</t>
  </si>
  <si>
    <t>#24320</t>
  </si>
  <si>
    <t>MIS13</t>
  </si>
  <si>
    <t>192.168.40.33</t>
  </si>
  <si>
    <t>MIS14</t>
  </si>
  <si>
    <t>192.168.40.34</t>
  </si>
  <si>
    <t>#01959</t>
  </si>
  <si>
    <t>ATTT02</t>
  </si>
  <si>
    <t>192.168.40.35</t>
  </si>
  <si>
    <t>#24918</t>
  </si>
  <si>
    <t>ATTT03</t>
  </si>
  <si>
    <t>192.168.40.30</t>
  </si>
  <si>
    <t>#24112</t>
  </si>
  <si>
    <t>ATMT-VN01443</t>
  </si>
  <si>
    <t>ATTT01</t>
  </si>
  <si>
    <t>BINH-TM</t>
  </si>
  <si>
    <t>DAP514</t>
  </si>
  <si>
    <t>DOAN_2196</t>
  </si>
  <si>
    <t>DUC09</t>
  </si>
  <si>
    <t>GC31</t>
  </si>
  <si>
    <t>GDO-VN25814</t>
  </si>
  <si>
    <t>GDO01</t>
  </si>
  <si>
    <t>GDO04</t>
  </si>
  <si>
    <t>HAN410</t>
  </si>
  <si>
    <t>HAN411</t>
  </si>
  <si>
    <t>IQCX5</t>
  </si>
  <si>
    <t>KD-DIEP</t>
  </si>
  <si>
    <t>KD-DUNG10839</t>
  </si>
  <si>
    <t>KD-HANG</t>
  </si>
  <si>
    <t>KD-HAU8787</t>
  </si>
  <si>
    <t>KD-HOANG13855</t>
  </si>
  <si>
    <t>KD-HUONG</t>
  </si>
  <si>
    <t>KD-HUYEN24329</t>
  </si>
  <si>
    <t>KD-LUCYNGUYET</t>
  </si>
  <si>
    <t>KD-MAICARLA</t>
  </si>
  <si>
    <t>KD-NHUNGHANNY</t>
  </si>
  <si>
    <t>KD-RICHARD</t>
  </si>
  <si>
    <t>KD-SELINATHAO</t>
  </si>
  <si>
    <t>KD-THANHADA</t>
  </si>
  <si>
    <t>KD-THUYBETTY</t>
  </si>
  <si>
    <t>KD-TRUONG</t>
  </si>
  <si>
    <t>KD-VAN</t>
  </si>
  <si>
    <t>KD-VN22391</t>
  </si>
  <si>
    <t>KD-VN26344</t>
  </si>
  <si>
    <t>KD_ANNE</t>
  </si>
  <si>
    <t>KF-VN00799</t>
  </si>
  <si>
    <t>KF-VN03889</t>
  </si>
  <si>
    <t>KF-VN06382</t>
  </si>
  <si>
    <t>KF01</t>
  </si>
  <si>
    <t>KF29</t>
  </si>
  <si>
    <t>KF84</t>
  </si>
  <si>
    <t>KTKP-VN23101</t>
  </si>
  <si>
    <t>KTKP-VN26368</t>
  </si>
  <si>
    <t>KTKP14</t>
  </si>
  <si>
    <t>KTKP15</t>
  </si>
  <si>
    <t>KTKP16</t>
  </si>
  <si>
    <t>KTKP17</t>
  </si>
  <si>
    <t>KTKP18</t>
  </si>
  <si>
    <t>KTKP19</t>
  </si>
  <si>
    <t>KTKP20</t>
  </si>
  <si>
    <t>KTKP21</t>
  </si>
  <si>
    <t>MEETING-M1</t>
  </si>
  <si>
    <t>MEETING-M2</t>
  </si>
  <si>
    <t>MIS04</t>
  </si>
  <si>
    <t>MIS07</t>
  </si>
  <si>
    <t>MIS15</t>
  </si>
  <si>
    <t>NS15</t>
  </si>
  <si>
    <t>NS16</t>
  </si>
  <si>
    <t>PETER-NGO-LT</t>
  </si>
  <si>
    <t>QA-VN00990</t>
  </si>
  <si>
    <t>QA-VN13073</t>
  </si>
  <si>
    <t>QC-DONG0931</t>
  </si>
  <si>
    <t>QC-VN24125</t>
  </si>
  <si>
    <t>QLSX-MEETING</t>
  </si>
  <si>
    <t>QLSX-VN00637</t>
  </si>
  <si>
    <t>QLSX-VN02547</t>
  </si>
  <si>
    <t>QLSX-VN08886</t>
  </si>
  <si>
    <t>QLSX-VN25783</t>
  </si>
  <si>
    <t>TM-DONG</t>
  </si>
  <si>
    <t>TM-HAIYEN</t>
  </si>
  <si>
    <t>TM-HUNG</t>
  </si>
  <si>
    <t>TM-THANH</t>
  </si>
  <si>
    <t>TM-VN17952</t>
  </si>
  <si>
    <t>TM-XUANTHE</t>
  </si>
  <si>
    <t>TM20</t>
  </si>
  <si>
    <t>TM27</t>
  </si>
  <si>
    <t>TOAN-4021</t>
  </si>
  <si>
    <t>XNK09</t>
  </si>
  <si>
    <t>#00637</t>
  </si>
  <si>
    <t>#02547</t>
  </si>
  <si>
    <t>#25783</t>
  </si>
  <si>
    <t>#10029</t>
  </si>
  <si>
    <t>VPX141</t>
  </si>
  <si>
    <t>#26309</t>
  </si>
  <si>
    <t>KEONEN</t>
  </si>
  <si>
    <t>KD-16363</t>
  </si>
  <si>
    <t>#16363</t>
  </si>
  <si>
    <t>#01014</t>
  </si>
  <si>
    <t>#10839</t>
  </si>
  <si>
    <t>KD-EmmaDung</t>
  </si>
  <si>
    <t>#11581</t>
  </si>
  <si>
    <t>#11288</t>
  </si>
  <si>
    <t>#1777</t>
  </si>
  <si>
    <t>#08787</t>
  </si>
  <si>
    <t>#03423</t>
  </si>
  <si>
    <t>#24329</t>
  </si>
  <si>
    <t>#10704</t>
  </si>
  <si>
    <t>#24338</t>
  </si>
  <si>
    <t>#24323</t>
  </si>
  <si>
    <t>KD-OANH</t>
  </si>
  <si>
    <t>#11799</t>
  </si>
  <si>
    <t>#25842</t>
  </si>
  <si>
    <t>#19423</t>
  </si>
  <si>
    <t>#10951</t>
  </si>
  <si>
    <t>#11593</t>
  </si>
  <si>
    <t>#22391</t>
  </si>
  <si>
    <t>#26344</t>
  </si>
  <si>
    <t>192.168.90.29</t>
  </si>
  <si>
    <t>#26157</t>
  </si>
  <si>
    <t>192.168.30.31</t>
  </si>
  <si>
    <t>#26345</t>
  </si>
  <si>
    <t>#25814</t>
  </si>
  <si>
    <t>#17064</t>
  </si>
  <si>
    <t>#26156</t>
  </si>
  <si>
    <t>192.168.34.77</t>
  </si>
  <si>
    <t>#24642</t>
  </si>
  <si>
    <t>#25757</t>
  </si>
  <si>
    <t>192.168.34.80</t>
  </si>
  <si>
    <t>#10788</t>
  </si>
  <si>
    <t>#01914</t>
  </si>
  <si>
    <t>#00658</t>
  </si>
  <si>
    <t>#01656</t>
  </si>
  <si>
    <t>TM-LINH</t>
  </si>
  <si>
    <t>#24509</t>
  </si>
  <si>
    <t>TM-VN17578</t>
  </si>
  <si>
    <t>#08889</t>
  </si>
  <si>
    <t>192.168.90.28</t>
  </si>
  <si>
    <t>#25319</t>
  </si>
  <si>
    <t>192.168.34.30</t>
  </si>
  <si>
    <t>#26363</t>
  </si>
  <si>
    <t>#25148</t>
  </si>
  <si>
    <t>#25678</t>
  </si>
  <si>
    <t>#25127</t>
  </si>
  <si>
    <t>#25354</t>
  </si>
  <si>
    <t>192.168.30.49</t>
  </si>
  <si>
    <t>#26027</t>
  </si>
  <si>
    <t>#26277</t>
  </si>
  <si>
    <t>192.168.33.1</t>
  </si>
  <si>
    <t>#26038</t>
  </si>
  <si>
    <t>192.168.33.5</t>
  </si>
  <si>
    <t>#25956</t>
  </si>
  <si>
    <t>192.168.33.29</t>
  </si>
  <si>
    <t>#26307</t>
  </si>
  <si>
    <t>#26306</t>
  </si>
  <si>
    <t>#17730</t>
  </si>
  <si>
    <t>#25639</t>
  </si>
  <si>
    <t>#17724</t>
  </si>
  <si>
    <t>#25658</t>
  </si>
  <si>
    <t>KF-MEETING</t>
  </si>
  <si>
    <t>192.168.33.253</t>
  </si>
  <si>
    <t>KF.MEETING</t>
  </si>
  <si>
    <t>KF-PAMSTAMP</t>
  </si>
  <si>
    <t>192.168.33.206</t>
  </si>
  <si>
    <t>#00799</t>
  </si>
  <si>
    <t>KF-VN02642</t>
  </si>
  <si>
    <t>#02642</t>
  </si>
  <si>
    <t>#06382</t>
  </si>
  <si>
    <t>KF-VN10785</t>
  </si>
  <si>
    <t>#10785</t>
  </si>
  <si>
    <t>KF-VN24410</t>
  </si>
  <si>
    <t>#24410</t>
  </si>
  <si>
    <t>KF-VN26040</t>
  </si>
  <si>
    <t>#26040</t>
  </si>
  <si>
    <t>QA-VN00993</t>
  </si>
  <si>
    <t>#00993</t>
  </si>
  <si>
    <t>#13073</t>
  </si>
  <si>
    <t>#05479</t>
  </si>
  <si>
    <t>192.168.23.63</t>
  </si>
  <si>
    <t>#01021</t>
  </si>
  <si>
    <t>#02065</t>
  </si>
  <si>
    <t>DUC15</t>
  </si>
  <si>
    <t>#01876</t>
  </si>
  <si>
    <t>192.168.23.18</t>
  </si>
  <si>
    <t/>
  </si>
  <si>
    <t>#24124</t>
  </si>
  <si>
    <t>#24914</t>
  </si>
  <si>
    <t>192.168.23.71</t>
  </si>
  <si>
    <t>#25843</t>
  </si>
  <si>
    <t>192.168.23.74</t>
  </si>
  <si>
    <t>#25860</t>
  </si>
  <si>
    <t>192.168.23.103</t>
  </si>
  <si>
    <t>#01795</t>
  </si>
  <si>
    <t>192.168.23.100</t>
  </si>
  <si>
    <t>#25844</t>
  </si>
  <si>
    <t>192.168.23.101</t>
  </si>
  <si>
    <t>192.168.23.102</t>
  </si>
  <si>
    <t>#25830</t>
  </si>
  <si>
    <t>#26368</t>
  </si>
  <si>
    <t>KTKP 
開發工程課</t>
  </si>
  <si>
    <t>#00931</t>
  </si>
  <si>
    <t>QCX202</t>
  </si>
  <si>
    <t>192.168.23.72</t>
  </si>
  <si>
    <t>#06831</t>
  </si>
  <si>
    <t>#20718</t>
  </si>
  <si>
    <t>#03671</t>
  </si>
  <si>
    <t>#05574</t>
  </si>
  <si>
    <t>192.168.22.9</t>
  </si>
  <si>
    <t>#04021</t>
  </si>
  <si>
    <t>192.168.22.25</t>
  </si>
  <si>
    <t>#19426</t>
  </si>
  <si>
    <t>FARO X5</t>
  </si>
  <si>
    <t>192.168.22.26</t>
  </si>
  <si>
    <t>SOI X5</t>
  </si>
  <si>
    <t>192.168.22.28</t>
  </si>
  <si>
    <t>#16762</t>
  </si>
  <si>
    <t>192.168.22.8</t>
  </si>
  <si>
    <t>192.168.22.12</t>
  </si>
  <si>
    <t>#07045</t>
  </si>
  <si>
    <t>#26041</t>
  </si>
  <si>
    <t>#14920</t>
  </si>
  <si>
    <t>192.168.22.10</t>
  </si>
  <si>
    <t>#10034</t>
  </si>
  <si>
    <t>DAP5-VN00256</t>
  </si>
  <si>
    <t>DAP5-VN00279</t>
  </si>
  <si>
    <t>#25606</t>
  </si>
  <si>
    <t>HAIVP</t>
  </si>
  <si>
    <t>192.168.40.31</t>
  </si>
  <si>
    <t>#24322</t>
  </si>
  <si>
    <t>192.168.40.24</t>
  </si>
  <si>
    <t>#26350</t>
  </si>
  <si>
    <t>192.168.40.27</t>
  </si>
  <si>
    <t>#26223</t>
  </si>
  <si>
    <t>#25758</t>
  </si>
  <si>
    <t>#26315</t>
  </si>
  <si>
    <r>
      <t xml:space="preserve">QLSX X1
</t>
    </r>
    <r>
      <rPr>
        <sz val="12"/>
        <color rgb="FF0000FF"/>
        <rFont val="Times New Roman"/>
        <family val="1"/>
      </rPr>
      <t>一廠生管</t>
    </r>
  </si>
  <si>
    <r>
      <t xml:space="preserve">KHO NL1
</t>
    </r>
    <r>
      <rPr>
        <sz val="12"/>
        <color rgb="FF0000FF"/>
        <rFont val="Times New Roman"/>
        <family val="1"/>
      </rPr>
      <t>一廠原料倉庫</t>
    </r>
  </si>
  <si>
    <r>
      <t xml:space="preserve">KINHDOANH
</t>
    </r>
    <r>
      <rPr>
        <sz val="12"/>
        <color rgb="FF0000FF"/>
        <rFont val="Times New Roman"/>
        <family val="1"/>
      </rPr>
      <t>業務</t>
    </r>
  </si>
  <si>
    <r>
      <t xml:space="preserve">GDO
</t>
    </r>
    <r>
      <rPr>
        <sz val="12"/>
        <color rgb="FF0000FF"/>
        <rFont val="Times New Roman"/>
        <family val="1"/>
      </rPr>
      <t>總經理室</t>
    </r>
  </si>
  <si>
    <r>
      <t xml:space="preserve">KTSX
</t>
    </r>
    <r>
      <rPr>
        <sz val="12"/>
        <color rgb="FF0000FF"/>
        <rFont val="Times New Roman"/>
        <family val="1"/>
      </rPr>
      <t>生技</t>
    </r>
  </si>
  <si>
    <r>
      <t xml:space="preserve">THUMUA
</t>
    </r>
    <r>
      <rPr>
        <sz val="12"/>
        <color rgb="FF0000FF"/>
        <rFont val="Times New Roman"/>
        <family val="1"/>
      </rPr>
      <t>採購</t>
    </r>
  </si>
  <si>
    <r>
      <t xml:space="preserve">NHANSU
</t>
    </r>
    <r>
      <rPr>
        <sz val="12"/>
        <color rgb="FF0000FF"/>
        <rFont val="Times New Roman"/>
        <family val="1"/>
      </rPr>
      <t>人事</t>
    </r>
  </si>
  <si>
    <r>
      <t xml:space="preserve">ATMT
</t>
    </r>
    <r>
      <rPr>
        <sz val="12"/>
        <color rgb="FF0000FF"/>
        <rFont val="Times New Roman"/>
        <family val="1"/>
      </rPr>
      <t>安環市</t>
    </r>
  </si>
  <si>
    <r>
      <t xml:space="preserve">XNK
</t>
    </r>
    <r>
      <rPr>
        <sz val="12"/>
        <color rgb="FF0000FF"/>
        <rFont val="Times New Roman"/>
        <family val="1"/>
      </rPr>
      <t>進出口</t>
    </r>
  </si>
  <si>
    <r>
      <t xml:space="preserve">KSNB
</t>
    </r>
    <r>
      <rPr>
        <sz val="12"/>
        <color rgb="FF0000FF"/>
        <rFont val="Times New Roman"/>
        <family val="1"/>
      </rPr>
      <t>稽核室</t>
    </r>
  </si>
  <si>
    <r>
      <t xml:space="preserve">DUC
</t>
    </r>
    <r>
      <rPr>
        <sz val="12"/>
        <color rgb="FF0000FF"/>
        <rFont val="Times New Roman"/>
        <family val="1"/>
      </rPr>
      <t>壓鑄</t>
    </r>
  </si>
  <si>
    <r>
      <t xml:space="preserve">GIACONG
</t>
    </r>
    <r>
      <rPr>
        <sz val="12"/>
        <color rgb="FF0000FF"/>
        <rFont val="Times New Roman"/>
        <family val="1"/>
      </rPr>
      <t>加工</t>
    </r>
  </si>
  <si>
    <r>
      <t xml:space="preserve">SON2
</t>
    </r>
    <r>
      <rPr>
        <sz val="12"/>
        <color rgb="FF0000FF"/>
        <rFont val="Times New Roman"/>
        <family val="1"/>
      </rPr>
      <t>二廠塗裝</t>
    </r>
  </si>
  <si>
    <r>
      <t xml:space="preserve">QLSX2
</t>
    </r>
    <r>
      <rPr>
        <sz val="12"/>
        <color rgb="FF0000FF"/>
        <rFont val="Times New Roman"/>
        <family val="1"/>
      </rPr>
      <t>二廠生管</t>
    </r>
  </si>
  <si>
    <r>
      <t xml:space="preserve">CAN ONG
</t>
    </r>
    <r>
      <rPr>
        <sz val="12"/>
        <color rgb="FF0000FF"/>
        <rFont val="Times New Roman"/>
        <family val="1"/>
      </rPr>
      <t>製管</t>
    </r>
  </si>
  <si>
    <r>
      <t xml:space="preserve">HAN5A
</t>
    </r>
    <r>
      <rPr>
        <sz val="12"/>
        <color rgb="FF0000FF"/>
        <rFont val="Times New Roman"/>
        <family val="1"/>
      </rPr>
      <t>五廠 A 焊接</t>
    </r>
  </si>
  <si>
    <r>
      <t xml:space="preserve">DAP5
</t>
    </r>
    <r>
      <rPr>
        <sz val="12"/>
        <color rgb="FF0000FF"/>
        <rFont val="Times New Roman"/>
        <family val="1"/>
      </rPr>
      <t>五廠沖壓</t>
    </r>
  </si>
  <si>
    <r>
      <t xml:space="preserve">HAN5
</t>
    </r>
    <r>
      <rPr>
        <sz val="12"/>
        <color rgb="FF0000FF"/>
        <rFont val="Times New Roman"/>
        <family val="1"/>
      </rPr>
      <t>五廠焊接</t>
    </r>
  </si>
  <si>
    <r>
      <t xml:space="preserve">ATTT
</t>
    </r>
    <r>
      <rPr>
        <sz val="12"/>
        <color rgb="FF0000FF"/>
        <rFont val="Times New Roman"/>
        <family val="1"/>
      </rPr>
      <t>資安室</t>
    </r>
  </si>
  <si>
    <t>ANDY</t>
  </si>
  <si>
    <t>ROBERT-PC</t>
  </si>
  <si>
    <t>MING</t>
  </si>
  <si>
    <t>MR.ArthurWang</t>
  </si>
  <si>
    <t>GLEN</t>
  </si>
  <si>
    <t>Poyuchen</t>
  </si>
  <si>
    <t>Jeremychen</t>
  </si>
  <si>
    <t>Mr-Peng</t>
  </si>
  <si>
    <t>MR-TONYLIN</t>
  </si>
  <si>
    <t>ASUS-NB (laptop Mr.TungLin KSNB)</t>
  </si>
  <si>
    <t>FS-Charlin</t>
  </si>
  <si>
    <t>Marty Lin</t>
  </si>
  <si>
    <t>DL70</t>
  </si>
  <si>
    <t>TQ53</t>
  </si>
  <si>
    <t>DL122</t>
  </si>
  <si>
    <t>DL19</t>
    <phoneticPr fontId="12" type="noConversion"/>
  </si>
  <si>
    <t>DL134</t>
    <phoneticPr fontId="12" type="noConversion"/>
  </si>
  <si>
    <r>
      <t xml:space="preserve">NHANSU
</t>
    </r>
    <r>
      <rPr>
        <sz val="12"/>
        <color rgb="FF0000FF"/>
        <rFont val="Microsoft JhengHei UI"/>
        <family val="2"/>
        <charset val="136"/>
      </rPr>
      <t>人事</t>
    </r>
  </si>
  <si>
    <t>MR-POWERTY</t>
  </si>
  <si>
    <r>
      <t xml:space="preserve">STT
</t>
    </r>
    <r>
      <rPr>
        <b/>
        <sz val="12"/>
        <color rgb="FF0000FF"/>
        <rFont val="Microsoft JhengHei"/>
        <family val="2"/>
        <charset val="134"/>
      </rPr>
      <t>序號</t>
    </r>
  </si>
  <si>
    <r>
      <t xml:space="preserve">Bộ phận
</t>
    </r>
    <r>
      <rPr>
        <b/>
        <sz val="11"/>
        <color rgb="FF0000FF"/>
        <rFont val="Microsoft JhengHei"/>
        <family val="2"/>
        <charset val="134"/>
      </rPr>
      <t>部門</t>
    </r>
  </si>
  <si>
    <r>
      <t xml:space="preserve">Ngày thực hiện
</t>
    </r>
    <r>
      <rPr>
        <b/>
        <sz val="12"/>
        <color rgb="FF0000FF"/>
        <rFont val="Microsoft JhengHei"/>
        <family val="2"/>
        <charset val="134"/>
      </rPr>
      <t>執行日期</t>
    </r>
    <phoneticPr fontId="17" type="noConversion"/>
  </si>
  <si>
    <r>
      <t xml:space="preserve">Ghi chú
</t>
    </r>
    <r>
      <rPr>
        <b/>
        <sz val="12"/>
        <color rgb="FF0000FF"/>
        <rFont val="Microsoft JhengHei"/>
        <family val="2"/>
        <charset val="134"/>
      </rPr>
      <t>備註</t>
    </r>
  </si>
  <si>
    <r>
      <t xml:space="preserve">ATMT
</t>
    </r>
    <r>
      <rPr>
        <sz val="12"/>
        <color rgb="FF0000FF"/>
        <rFont val="Microsoft JhengHei"/>
        <family val="2"/>
        <charset val="134"/>
      </rPr>
      <t>安環市</t>
    </r>
  </si>
  <si>
    <r>
      <t xml:space="preserve">Người thực hiện
</t>
    </r>
    <r>
      <rPr>
        <b/>
        <sz val="12"/>
        <color rgb="FF0000FF"/>
        <rFont val="Microsoft JhengHei"/>
        <family val="2"/>
        <charset val="134"/>
      </rPr>
      <t>執行者</t>
    </r>
  </si>
  <si>
    <r>
      <t>Số lượng PC dự ki</t>
    </r>
    <r>
      <rPr>
        <b/>
        <sz val="11"/>
        <rFont val="Microsoft JhengHei"/>
        <family val="2"/>
        <charset val="134"/>
      </rPr>
      <t>ế</t>
    </r>
    <r>
      <rPr>
        <b/>
        <sz val="11"/>
        <rFont val="Times New Roman"/>
        <family val="1"/>
      </rPr>
      <t xml:space="preserve">n
</t>
    </r>
    <r>
      <rPr>
        <b/>
        <sz val="11"/>
        <color rgb="FF0000FF"/>
        <rFont val="Microsoft JhengHei"/>
        <family val="2"/>
        <charset val="134"/>
      </rPr>
      <t>預計的</t>
    </r>
    <r>
      <rPr>
        <b/>
        <sz val="11"/>
        <color rgb="FF0000FF"/>
        <rFont val="Times New Roman"/>
        <family val="1"/>
      </rPr>
      <t xml:space="preserve"> PC </t>
    </r>
    <r>
      <rPr>
        <b/>
        <sz val="11"/>
        <color rgb="FF0000FF"/>
        <rFont val="Microsoft JhengHei"/>
        <family val="2"/>
        <charset val="134"/>
      </rPr>
      <t>數量</t>
    </r>
  </si>
  <si>
    <r>
      <t xml:space="preserve">KTKP 
</t>
    </r>
    <r>
      <rPr>
        <sz val="12"/>
        <color rgb="FF0000FF"/>
        <rFont val="Times New Roman"/>
        <family val="1"/>
      </rPr>
      <t>開發工程課</t>
    </r>
  </si>
  <si>
    <r>
      <t xml:space="preserve">DOLUONG5
</t>
    </r>
    <r>
      <rPr>
        <sz val="12"/>
        <color rgb="FF0000FF"/>
        <rFont val="Times New Roman"/>
        <family val="1"/>
      </rPr>
      <t>五廠測量</t>
    </r>
  </si>
  <si>
    <r>
      <t xml:space="preserve">QLK5
</t>
    </r>
    <r>
      <rPr>
        <sz val="12"/>
        <color rgb="FF0000FF"/>
        <rFont val="Times New Roman"/>
        <family val="1"/>
      </rPr>
      <t>五廠倉庫</t>
    </r>
  </si>
  <si>
    <r>
      <t xml:space="preserve">VPTGD </t>
    </r>
    <r>
      <rPr>
        <sz val="12"/>
        <color rgb="FF0000FF"/>
        <rFont val="Times New Roman"/>
        <family val="1"/>
      </rPr>
      <t xml:space="preserve">總經理室 </t>
    </r>
  </si>
  <si>
    <r>
      <t xml:space="preserve">QLSX </t>
    </r>
    <r>
      <rPr>
        <sz val="12"/>
        <color rgb="FF0000FF"/>
        <rFont val="Times New Roman"/>
        <family val="1"/>
      </rPr>
      <t>生管</t>
    </r>
  </si>
  <si>
    <r>
      <t>VPTGD</t>
    </r>
    <r>
      <rPr>
        <sz val="12"/>
        <color rgb="FF0000FF"/>
        <rFont val="Times New Roman"/>
        <family val="1"/>
      </rPr>
      <t xml:space="preserve"> 總經理室 </t>
    </r>
  </si>
  <si>
    <t>Xây dựng kế hoạch</t>
  </si>
  <si>
    <r>
      <t xml:space="preserve">Ngày nghỉ
</t>
    </r>
    <r>
      <rPr>
        <sz val="9"/>
        <color rgb="FF0000FF"/>
        <rFont val="Microsoft JhengHei"/>
        <family val="2"/>
      </rPr>
      <t>休假日</t>
    </r>
  </si>
  <si>
    <t>Cài đặt trên các máy tính sử dụng máy photocopy tại phòng QLSX</t>
  </si>
  <si>
    <t>Tài khoản</t>
  </si>
  <si>
    <t>Đã cài đặt</t>
  </si>
  <si>
    <t>Vị trí đặt máy</t>
  </si>
  <si>
    <t>ASUS-NB</t>
  </si>
  <si>
    <r>
      <t xml:space="preserve">KAIFA
</t>
    </r>
    <r>
      <rPr>
        <sz val="12"/>
        <color rgb="FF0000FF"/>
        <rFont val="Times New Roman"/>
        <family val="1"/>
      </rPr>
      <t>開發</t>
    </r>
  </si>
  <si>
    <t>Đã tạo tài khoản</t>
  </si>
  <si>
    <t>Ngày bắt đầu</t>
  </si>
  <si>
    <t>Tuần</t>
  </si>
  <si>
    <r>
      <t xml:space="preserve">Nội dung công việc
</t>
    </r>
    <r>
      <rPr>
        <b/>
        <sz val="12"/>
        <color rgb="FF0000FF"/>
        <rFont val="Microsoft JhengHei"/>
        <family val="2"/>
        <charset val="134"/>
      </rPr>
      <t>工作內容</t>
    </r>
  </si>
  <si>
    <r>
      <t xml:space="preserve">Trách nhiệm
</t>
    </r>
    <r>
      <rPr>
        <b/>
        <sz val="12"/>
        <color rgb="FF0000FF"/>
        <rFont val="Microsoft JhengHei"/>
        <family val="2"/>
        <charset val="134"/>
      </rPr>
      <t>擔當</t>
    </r>
  </si>
  <si>
    <r>
      <t>Ti</t>
    </r>
    <r>
      <rPr>
        <b/>
        <sz val="12"/>
        <rFont val="Microsoft JhengHei"/>
        <family val="2"/>
        <charset val="134"/>
      </rPr>
      <t>ế</t>
    </r>
    <r>
      <rPr>
        <b/>
        <sz val="12"/>
        <rFont val="Times New Roman"/>
        <family val="1"/>
      </rPr>
      <t xml:space="preserve">n độ
hoàn thành
</t>
    </r>
    <r>
      <rPr>
        <b/>
        <sz val="12"/>
        <color rgb="FF0000FF"/>
        <rFont val="Microsoft JhengHei"/>
        <family val="2"/>
        <charset val="134"/>
      </rPr>
      <t>完成進度</t>
    </r>
  </si>
  <si>
    <r>
      <t>Ngày dự
ki</t>
    </r>
    <r>
      <rPr>
        <b/>
        <sz val="12"/>
        <rFont val="Microsoft JhengHei"/>
        <family val="2"/>
        <charset val="134"/>
      </rPr>
      <t>ế</t>
    </r>
    <r>
      <rPr>
        <b/>
        <sz val="12"/>
        <rFont val="Times New Roman"/>
        <family val="1"/>
      </rPr>
      <t xml:space="preserve">n bắt đầu 
</t>
    </r>
    <r>
      <rPr>
        <b/>
        <sz val="12"/>
        <color rgb="FF0000FF"/>
        <rFont val="Microsoft JhengHei"/>
        <family val="2"/>
        <charset val="134"/>
      </rPr>
      <t>預計開始時間</t>
    </r>
  </si>
  <si>
    <r>
      <t>Ngày dự ki</t>
    </r>
    <r>
      <rPr>
        <b/>
        <sz val="12"/>
        <rFont val="Microsoft JhengHei"/>
        <family val="2"/>
        <charset val="134"/>
      </rPr>
      <t>ế</t>
    </r>
    <r>
      <rPr>
        <b/>
        <sz val="12"/>
        <rFont val="Times New Roman"/>
        <family val="1"/>
      </rPr>
      <t xml:space="preserve">n hoàn thành
</t>
    </r>
    <r>
      <rPr>
        <b/>
        <sz val="12"/>
        <color rgb="FF0000FF"/>
        <rFont val="Microsoft JhengHei"/>
        <family val="2"/>
        <charset val="134"/>
      </rPr>
      <t>預計完成時間</t>
    </r>
  </si>
  <si>
    <r>
      <t>Ngày hoàn thành thực t</t>
    </r>
    <r>
      <rPr>
        <b/>
        <sz val="12"/>
        <rFont val="Microsoft JhengHei"/>
        <family val="2"/>
        <charset val="134"/>
      </rPr>
      <t xml:space="preserve">ế
</t>
    </r>
    <r>
      <rPr>
        <b/>
        <sz val="12"/>
        <color rgb="FF0000FF"/>
        <rFont val="Microsoft JhengHei"/>
        <family val="2"/>
        <charset val="134"/>
      </rPr>
      <t>實際完成時間</t>
    </r>
  </si>
  <si>
    <r>
      <t xml:space="preserve">Kế hoạch dự kiến
</t>
    </r>
    <r>
      <rPr>
        <sz val="9"/>
        <color rgb="FF0000FF"/>
        <rFont val="Microsoft JhengHei"/>
        <family val="2"/>
      </rPr>
      <t>預計計劃</t>
    </r>
  </si>
  <si>
    <r>
      <t xml:space="preserve">Tiến độ thực tế
</t>
    </r>
    <r>
      <rPr>
        <sz val="9"/>
        <color rgb="FF0000FF"/>
        <rFont val="Microsoft JhengHei"/>
        <family val="2"/>
      </rPr>
      <t>實際進度</t>
    </r>
  </si>
  <si>
    <t>KẾ HOẠCH THIẾT LẬP, CÀI ĐẶT TÀI KHOẢN SỬ DỤNG MÁY PHOTOCOPY XEROX ALTALINK C8155</t>
  </si>
  <si>
    <t>Cài đặt trên các máy tính sử dụng máy photocopy tại phòng Gia công</t>
  </si>
  <si>
    <t>Cài đặt trên các máy tính sử dụng máy photocopy tại phòng Kinh doanh</t>
  </si>
  <si>
    <t>Cài đặt trên các máy tính sử dụng máy photocopy tại phòng Thu mua</t>
  </si>
  <si>
    <t>Cài đặt trên các máy tính sử dụng máy photocopy tại phòng VPX3</t>
  </si>
  <si>
    <t>Cài đặt trên các máy tính sử dụng máy photocopy tại phòng QA</t>
  </si>
  <si>
    <t>Cài đặt trên các máy tính sử dụng máy photocopy tại phòng Kaifa</t>
  </si>
  <si>
    <t>Cài đặt trên các máy tính sử dụng máy photocopy tại phòng Dập 5</t>
  </si>
  <si>
    <t>Tổng hợp danh sách và thiết lập tài khoản sử dụng trên các máy photocopy (8 máy)</t>
  </si>
  <si>
    <r>
      <t xml:space="preserve">Văn phòng QLSX xưởng 1 </t>
    </r>
    <r>
      <rPr>
        <b/>
        <sz val="14"/>
        <color rgb="FF0000FF"/>
        <rFont val="Times New Roman"/>
        <family val="1"/>
      </rPr>
      <t>加工部辦公室</t>
    </r>
  </si>
  <si>
    <r>
      <t xml:space="preserve">Văn phòng Kinh Doanh </t>
    </r>
    <r>
      <rPr>
        <b/>
        <sz val="14"/>
        <color rgb="FF0000FF"/>
        <rFont val="Times New Roman"/>
        <family val="1"/>
      </rPr>
      <t>業務部辦公室</t>
    </r>
  </si>
  <si>
    <r>
      <t xml:space="preserve">Thu mua 
</t>
    </r>
    <r>
      <rPr>
        <b/>
        <sz val="14"/>
        <color rgb="FF0000FF"/>
        <rFont val="Times New Roman"/>
        <family val="1"/>
      </rPr>
      <t>採購</t>
    </r>
  </si>
  <si>
    <r>
      <t xml:space="preserve">Văn phòng Gia Công </t>
    </r>
    <r>
      <rPr>
        <b/>
        <sz val="14"/>
        <color rgb="FF0000FF"/>
        <rFont val="Times New Roman"/>
        <family val="1"/>
      </rPr>
      <t>加工部辦公室</t>
    </r>
  </si>
  <si>
    <r>
      <t xml:space="preserve">Văn phòng xưởng 3 </t>
    </r>
    <r>
      <rPr>
        <b/>
        <sz val="14"/>
        <color rgb="FF0000FF"/>
        <rFont val="Times New Roman"/>
        <family val="1"/>
      </rPr>
      <t xml:space="preserve">三廠辦公室 </t>
    </r>
  </si>
  <si>
    <r>
      <t xml:space="preserve">Văn phòng Kaifa </t>
    </r>
    <r>
      <rPr>
        <b/>
        <sz val="14"/>
        <color rgb="FF0000FF"/>
        <rFont val="Times New Roman"/>
        <family val="1"/>
      </rPr>
      <t>開發辦公室</t>
    </r>
  </si>
  <si>
    <r>
      <t xml:space="preserve">Văn phòng QA </t>
    </r>
    <r>
      <rPr>
        <b/>
        <sz val="14"/>
        <color rgb="FF0000FF"/>
        <rFont val="Times New Roman"/>
        <family val="1"/>
      </rPr>
      <t>品保辦公室</t>
    </r>
  </si>
  <si>
    <r>
      <t xml:space="preserve">Văn phòng dập 5 </t>
    </r>
    <r>
      <rPr>
        <b/>
        <sz val="14"/>
        <color rgb="FF0000FF"/>
        <rFont val="Times New Roman"/>
        <family val="1"/>
      </rPr>
      <t>五廠沖壓辦公室</t>
    </r>
  </si>
  <si>
    <t>Khó khăn: Log theo dõi sử dụng máy photocopy không có đầy đủ thông tin phục vụ tổng hợp theo dõi sử dụng máy hàng tháng</t>
  </si>
  <si>
    <t>Phương án: Thiết lập tài khoản sử dụng trên máy photocopy theo tên máy tính sử dụng. Cài đặt tài khoản đã thiết lập trên máy tính sử dụng</t>
  </si>
  <si>
    <t>LOG DỮ LIỆU XUẤT RA</t>
  </si>
  <si>
    <t>P</t>
  </si>
  <si>
    <t>CÀI ĐẶT TRÊN MÁY TÍNH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</si>
</sst>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d/yy;@"/>
    <numFmt numFmtId="165" formatCode="ddd\,\ m/d/yyyy"/>
    <numFmt numFmtId="166" formatCode="dd/mm/yyyy;@"/>
    <numFmt numFmtId="167" formatCode="0_);\(0\)"/>
    <numFmt numFmtId="168" formatCode="mmm"/>
    <numFmt numFmtId="169" formatCode="d"/>
    <numFmt numFmtId="170" formatCode="[$-409]d\-mmm\-yyyy;@"/>
  </numFmts>
  <fonts count="5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2"/>
      <color theme="1"/>
      <name val="Times New Roman"/>
      <family val="1"/>
    </font>
    <font>
      <sz val="12"/>
      <color theme="1"/>
      <name val="Times New Roman"/>
      <family val="1"/>
    </font>
    <font>
      <sz val="12"/>
      <name val="Times New Roman"/>
      <family val="1"/>
    </font>
    <font>
      <sz val="11"/>
      <name val="Times New Roman"/>
      <family val="1"/>
    </font>
    <font>
      <sz val="11"/>
      <color theme="0"/>
      <name val="Calibri"/>
      <family val="2"/>
      <scheme val="minor"/>
    </font>
    <font>
      <i/>
      <sz val="9"/>
      <color theme="1"/>
      <name val="Segoe UI"/>
      <family val="2"/>
    </font>
    <font>
      <sz val="9"/>
      <color theme="1"/>
      <name val="Times New Roman"/>
      <family val="1"/>
    </font>
    <font>
      <sz val="11"/>
      <color theme="1"/>
      <name val="Calibri"/>
      <family val="2"/>
      <scheme val="minor"/>
    </font>
    <font>
      <u/>
      <sz val="11"/>
      <color indexed="12"/>
      <name val="Arial"/>
      <family val="2"/>
    </font>
    <font>
      <sz val="14"/>
      <color theme="1"/>
      <name val="Calibri"/>
      <family val="2"/>
      <scheme val="minor"/>
    </font>
    <font>
      <sz val="8"/>
      <name val="Calibri"/>
      <family val="2"/>
      <scheme val="minor"/>
    </font>
    <font>
      <sz val="12"/>
      <color rgb="FF0000FF"/>
      <name val="Times New Roman"/>
      <family val="1"/>
    </font>
    <font>
      <sz val="12"/>
      <color rgb="FF000000"/>
      <name val="Times New Roman"/>
      <family val="1"/>
    </font>
    <font>
      <sz val="12"/>
      <color rgb="FF0000FF"/>
      <name val="Microsoft JhengHei UI"/>
      <family val="2"/>
      <charset val="136"/>
    </font>
    <font>
      <sz val="12"/>
      <name val="Wingdings 2"/>
      <family val="1"/>
      <charset val="2"/>
    </font>
    <font>
      <sz val="11"/>
      <color theme="0"/>
      <name val="Times New Roman"/>
      <family val="1"/>
    </font>
    <font>
      <b/>
      <sz val="12"/>
      <color rgb="FF0000FF"/>
      <name val="Microsoft JhengHei"/>
      <family val="2"/>
      <charset val="134"/>
    </font>
    <font>
      <b/>
      <sz val="11"/>
      <color rgb="FF0000FF"/>
      <name val="Microsoft JhengHei"/>
      <family val="2"/>
      <charset val="134"/>
    </font>
    <font>
      <sz val="12"/>
      <color rgb="FF0000FF"/>
      <name val="Microsoft JhengHei"/>
      <family val="2"/>
      <charset val="134"/>
    </font>
    <font>
      <b/>
      <sz val="11"/>
      <color theme="1"/>
      <name val="Times New Roman"/>
      <family val="1"/>
    </font>
    <font>
      <b/>
      <sz val="12"/>
      <name val="Times New Roman"/>
      <family val="1"/>
    </font>
    <font>
      <b/>
      <sz val="11"/>
      <name val="Microsoft JhengHei"/>
      <family val="2"/>
      <charset val="134"/>
    </font>
    <font>
      <sz val="10"/>
      <name val="Times New Roman"/>
      <family val="1"/>
    </font>
    <font>
      <b/>
      <sz val="11"/>
      <color theme="1" tint="0.499984740745262"/>
      <name val="Times New Roman"/>
      <family val="1"/>
    </font>
    <font>
      <sz val="10"/>
      <color theme="1" tint="0.499984740745262"/>
      <name val="Times New Roman"/>
      <family val="1"/>
    </font>
    <font>
      <sz val="10"/>
      <color theme="1"/>
      <name val="Times New Roman"/>
      <family val="1"/>
    </font>
    <font>
      <sz val="9"/>
      <name val="Times New Roman"/>
      <family val="1"/>
    </font>
    <font>
      <b/>
      <sz val="11"/>
      <name val="Times New Roman"/>
      <family val="1"/>
    </font>
    <font>
      <b/>
      <sz val="11"/>
      <color rgb="FF0000FF"/>
      <name val="Times New Roman"/>
      <family val="1"/>
    </font>
    <font>
      <b/>
      <sz val="9"/>
      <color theme="0"/>
      <name val="Times New Roman"/>
      <family val="1"/>
    </font>
    <font>
      <b/>
      <sz val="8"/>
      <name val="Times New Roman"/>
      <family val="1"/>
    </font>
    <font>
      <b/>
      <sz val="8"/>
      <color rgb="FFFF0000"/>
      <name val="Times New Roman"/>
      <family val="1"/>
    </font>
    <font>
      <i/>
      <sz val="10"/>
      <color theme="1"/>
      <name val="Times New Roman"/>
      <family val="1"/>
    </font>
    <font>
      <i/>
      <sz val="9"/>
      <color theme="1"/>
      <name val="Times New Roman"/>
      <family val="1"/>
    </font>
    <font>
      <sz val="12"/>
      <color theme="1"/>
      <name val="Calibri"/>
      <family val="2"/>
      <scheme val="minor"/>
    </font>
    <font>
      <u/>
      <sz val="11"/>
      <color theme="10"/>
      <name val="Calibri"/>
      <family val="2"/>
      <scheme val="minor"/>
    </font>
    <font>
      <sz val="10"/>
      <name val=".VnArial"/>
      <family val="2"/>
    </font>
    <font>
      <sz val="12"/>
      <name val="宋体"/>
      <charset val="136"/>
    </font>
    <font>
      <sz val="9"/>
      <color rgb="FF0000FF"/>
      <name val="Microsoft JhengHei"/>
      <family val="2"/>
    </font>
    <font>
      <b/>
      <sz val="14"/>
      <color theme="1"/>
      <name val="Times New Roman"/>
      <family val="1"/>
    </font>
    <font>
      <b/>
      <sz val="18"/>
      <name val="Times New Roman"/>
      <family val="1"/>
    </font>
    <font>
      <sz val="9"/>
      <color rgb="FFFF0000"/>
      <name val="Times New Roman"/>
      <family val="1"/>
    </font>
    <font>
      <b/>
      <sz val="12"/>
      <name val="Microsoft JhengHei"/>
      <family val="2"/>
      <charset val="134"/>
    </font>
    <font>
      <b/>
      <sz val="14"/>
      <color rgb="FF0000FF"/>
      <name val="Times New Roman"/>
      <family val="1"/>
    </font>
    <font>
      <sz val="14"/>
      <color theme="1"/>
      <name val="Times New Roman"/>
      <family val="1"/>
    </font>
    <font>
      <sz val="12"/>
      <color theme="1"/>
      <name val="Wingdings 2"/>
      <family val="1"/>
      <charset val="2"/>
    </font>
  </fonts>
  <fills count="13">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3" tint="0.79995117038483843"/>
        <bgColor indexed="64"/>
      </patternFill>
    </fill>
    <fill>
      <patternFill patternType="solid">
        <fgColor theme="0" tint="-4.9989318521683403E-2"/>
        <bgColor indexed="64"/>
      </patternFill>
    </fill>
    <fill>
      <patternFill patternType="solid">
        <fgColor theme="1" tint="0.34998626667073579"/>
        <bgColor theme="4"/>
      </patternFill>
    </fill>
    <fill>
      <patternFill patternType="lightDown"/>
    </fill>
    <fill>
      <patternFill patternType="solid">
        <fgColor rgb="FFD8B0F6"/>
        <bgColor indexed="64"/>
      </patternFill>
    </fill>
    <fill>
      <patternFill patternType="solid">
        <fgColor rgb="FF53D2FF"/>
        <bgColor indexed="64"/>
      </patternFill>
    </fill>
    <fill>
      <patternFill patternType="solid">
        <fgColor theme="3" tint="0.79992065187536243"/>
        <bgColor indexed="64"/>
      </patternFill>
    </fill>
    <fill>
      <patternFill patternType="solid">
        <fgColor theme="0" tint="-0.14993743705557422"/>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auto="1"/>
      </left>
      <right/>
      <top style="thin">
        <color auto="1"/>
      </top>
      <bottom style="thin">
        <color auto="1"/>
      </bottom>
      <diagonal/>
    </border>
    <border>
      <left/>
      <right/>
      <top style="medium">
        <color theme="0" tint="-0.14993743705557422"/>
      </top>
      <bottom style="medium">
        <color theme="0" tint="-0.14993743705557422"/>
      </bottom>
      <diagonal/>
    </border>
    <border>
      <left/>
      <right/>
      <top style="thin">
        <color theme="0" tint="-0.34998626667073579"/>
      </top>
      <bottom/>
      <diagonal/>
    </border>
    <border>
      <left style="thin">
        <color theme="0" tint="-0.34998626667073579"/>
      </left>
      <right style="thin">
        <color theme="0" tint="-0.34998626667073579"/>
      </right>
      <top/>
      <bottom style="thin">
        <color auto="1"/>
      </bottom>
      <diagonal/>
    </border>
    <border>
      <left/>
      <right/>
      <top style="medium">
        <color theme="0" tint="-0.14990691854609822"/>
      </top>
      <bottom style="medium">
        <color theme="0" tint="-0.14990691854609822"/>
      </bottom>
      <diagonal/>
    </border>
    <border>
      <left/>
      <right/>
      <top style="thin">
        <color auto="1"/>
      </top>
      <bottom style="thin">
        <color auto="1"/>
      </bottom>
      <diagonal/>
    </border>
    <border>
      <left style="thin">
        <color auto="1"/>
      </left>
      <right style="thin">
        <color theme="0" tint="-0.34998626667073579"/>
      </right>
      <top/>
      <bottom style="medium">
        <color theme="0" tint="-0.14990691854609822"/>
      </bottom>
      <diagonal/>
    </border>
    <border>
      <left style="thin">
        <color theme="0" tint="-0.34998626667073579"/>
      </left>
      <right style="thin">
        <color theme="0" tint="-0.34998626667073579"/>
      </right>
      <top/>
      <bottom style="medium">
        <color theme="0" tint="-0.14990691854609822"/>
      </bottom>
      <diagonal/>
    </border>
    <border>
      <left style="thin">
        <color theme="0" tint="-0.1498764000366222"/>
      </left>
      <right style="thin">
        <color theme="0" tint="-0.1498764000366222"/>
      </right>
      <top style="medium">
        <color theme="0" tint="-0.14990691854609822"/>
      </top>
      <bottom style="medium">
        <color theme="0" tint="-0.14990691854609822"/>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thin">
        <color auto="1"/>
      </right>
      <top/>
      <bottom style="thin">
        <color auto="1"/>
      </bottom>
      <diagonal/>
    </border>
  </borders>
  <cellStyleXfs count="55">
    <xf numFmtId="0" fontId="0" fillId="0" borderId="0"/>
    <xf numFmtId="164" fontId="14" fillId="0" borderId="8" applyFill="0">
      <alignment horizontal="center" vertical="center"/>
    </xf>
    <xf numFmtId="0" fontId="14" fillId="0" borderId="8" applyFill="0">
      <alignment horizontal="center" vertical="center"/>
    </xf>
    <xf numFmtId="165" fontId="14" fillId="0" borderId="5">
      <alignment horizontal="center" vertical="center"/>
    </xf>
    <xf numFmtId="0" fontId="14" fillId="0" borderId="8" applyFill="0">
      <alignment horizontal="left" vertical="center" indent="2"/>
    </xf>
    <xf numFmtId="0" fontId="11" fillId="0" borderId="0"/>
    <xf numFmtId="9" fontId="5" fillId="0" borderId="0" applyFont="0" applyFill="0" applyBorder="0" applyAlignment="0" applyProtection="0"/>
    <xf numFmtId="0" fontId="5" fillId="0" borderId="0" applyNumberFormat="0" applyFill="0" applyProtection="0">
      <alignment horizontal="right" indent="1"/>
    </xf>
    <xf numFmtId="164" fontId="5" fillId="0" borderId="8" applyFill="0">
      <alignment horizontal="center" vertical="center"/>
    </xf>
    <xf numFmtId="0" fontId="5" fillId="0" borderId="8" applyFill="0">
      <alignment horizontal="center" vertical="center"/>
    </xf>
    <xf numFmtId="165" fontId="5" fillId="0" borderId="5">
      <alignment horizontal="center" vertical="center"/>
    </xf>
    <xf numFmtId="0" fontId="5" fillId="0" borderId="8" applyFill="0">
      <alignment horizontal="left" vertical="center" indent="2"/>
    </xf>
    <xf numFmtId="170" fontId="4" fillId="0" borderId="0"/>
    <xf numFmtId="0" fontId="4" fillId="0" borderId="0"/>
    <xf numFmtId="0" fontId="3" fillId="0" borderId="0"/>
    <xf numFmtId="9" fontId="3" fillId="0" borderId="0" applyFont="0" applyFill="0" applyBorder="0" applyAlignment="0" applyProtection="0"/>
    <xf numFmtId="0" fontId="3" fillId="0" borderId="0" applyNumberFormat="0" applyFill="0" applyProtection="0">
      <alignment horizontal="right" indent="1"/>
    </xf>
    <xf numFmtId="164" fontId="3" fillId="0" borderId="8" applyFill="0">
      <alignment horizontal="center" vertical="center"/>
    </xf>
    <xf numFmtId="0" fontId="3" fillId="0" borderId="8" applyFill="0">
      <alignment horizontal="center" vertical="center"/>
    </xf>
    <xf numFmtId="165" fontId="3" fillId="0" borderId="5">
      <alignment horizontal="center" vertical="center"/>
    </xf>
    <xf numFmtId="0" fontId="3" fillId="0" borderId="8" applyFill="0">
      <alignment horizontal="left" vertical="center" indent="2"/>
    </xf>
    <xf numFmtId="9" fontId="3" fillId="0" borderId="0" applyFont="0" applyFill="0" applyBorder="0" applyAlignment="0" applyProtection="0"/>
    <xf numFmtId="0" fontId="3" fillId="0" borderId="0" applyNumberFormat="0" applyFill="0" applyProtection="0">
      <alignment horizontal="right" indent="1"/>
    </xf>
    <xf numFmtId="164" fontId="3" fillId="0" borderId="8" applyFill="0">
      <alignment horizontal="center" vertical="center"/>
    </xf>
    <xf numFmtId="0" fontId="3" fillId="0" borderId="8" applyFill="0">
      <alignment horizontal="center" vertical="center"/>
    </xf>
    <xf numFmtId="165" fontId="3" fillId="0" borderId="5">
      <alignment horizontal="center" vertical="center"/>
    </xf>
    <xf numFmtId="0" fontId="3" fillId="0" borderId="8" applyFill="0">
      <alignment horizontal="left" vertical="center" indent="2"/>
    </xf>
    <xf numFmtId="170" fontId="3" fillId="0" borderId="0"/>
    <xf numFmtId="0" fontId="3" fillId="0" borderId="0"/>
    <xf numFmtId="0" fontId="42" fillId="0" borderId="0" applyNumberFormat="0" applyFill="0" applyBorder="0" applyAlignment="0" applyProtection="0"/>
    <xf numFmtId="0" fontId="42" fillId="0" borderId="0" applyNumberFormat="0" applyFill="0" applyBorder="0" applyAlignment="0" applyProtection="0"/>
    <xf numFmtId="0" fontId="43" fillId="0" borderId="0"/>
    <xf numFmtId="0" fontId="41" fillId="0" borderId="0">
      <alignment vertical="center"/>
    </xf>
    <xf numFmtId="9" fontId="41" fillId="0" borderId="0" applyFont="0" applyFill="0" applyBorder="0" applyAlignment="0" applyProtection="0">
      <alignment vertical="center"/>
    </xf>
    <xf numFmtId="0" fontId="44" fillId="0" borderId="0"/>
    <xf numFmtId="0" fontId="15" fillId="0" borderId="0" applyNumberFormat="0" applyFill="0" applyBorder="0" applyAlignment="0" applyProtection="0">
      <alignment vertical="top"/>
      <protection locked="0"/>
    </xf>
    <xf numFmtId="0" fontId="16" fillId="0" borderId="0" applyNumberFormat="0" applyFill="0" applyProtection="0">
      <alignment vertical="top"/>
    </xf>
    <xf numFmtId="0" fontId="2" fillId="0" borderId="0" applyNumberFormat="0" applyFill="0" applyProtection="0">
      <alignment horizontal="right" indent="1"/>
    </xf>
    <xf numFmtId="165" fontId="2" fillId="0" borderId="5">
      <alignment horizontal="center" vertical="center"/>
    </xf>
    <xf numFmtId="0" fontId="2" fillId="0" borderId="11" applyFill="0">
      <alignment horizontal="left" vertical="center" indent="2"/>
    </xf>
    <xf numFmtId="0" fontId="2" fillId="0" borderId="11" applyFill="0">
      <alignment horizontal="center" vertical="center"/>
    </xf>
    <xf numFmtId="9" fontId="2" fillId="0" borderId="0" applyFont="0" applyFill="0" applyBorder="0" applyAlignment="0" applyProtection="0"/>
    <xf numFmtId="164" fontId="2" fillId="0" borderId="11" applyFill="0">
      <alignment horizontal="center" vertical="center"/>
    </xf>
    <xf numFmtId="0" fontId="2" fillId="0" borderId="0" applyNumberFormat="0" applyFill="0" applyProtection="0">
      <alignment horizontal="right" indent="1"/>
    </xf>
    <xf numFmtId="165" fontId="2" fillId="0" borderId="5">
      <alignment horizontal="center" vertical="center"/>
    </xf>
    <xf numFmtId="0" fontId="2" fillId="0" borderId="11" applyFill="0">
      <alignment horizontal="left" vertical="center" indent="2"/>
    </xf>
    <xf numFmtId="0" fontId="2" fillId="0" borderId="11" applyFill="0">
      <alignment horizontal="center" vertical="center"/>
    </xf>
    <xf numFmtId="9" fontId="2" fillId="0" borderId="0" applyFont="0" applyFill="0" applyBorder="0" applyAlignment="0" applyProtection="0"/>
    <xf numFmtId="164" fontId="2" fillId="0" borderId="11" applyFill="0">
      <alignment horizontal="center" vertical="center"/>
    </xf>
    <xf numFmtId="0" fontId="1" fillId="0" borderId="0" applyNumberFormat="0" applyFill="0" applyProtection="0">
      <alignment horizontal="right" indent="1"/>
    </xf>
    <xf numFmtId="165" fontId="1" fillId="0" borderId="5">
      <alignment horizontal="center" vertical="center"/>
    </xf>
    <xf numFmtId="0" fontId="1" fillId="0" borderId="11" applyFill="0">
      <alignment horizontal="left" vertical="center" indent="2"/>
    </xf>
    <xf numFmtId="0" fontId="1" fillId="0" borderId="11" applyFill="0">
      <alignment horizontal="center" vertical="center"/>
    </xf>
    <xf numFmtId="9" fontId="1" fillId="0" borderId="0" applyFont="0" applyFill="0" applyBorder="0" applyAlignment="0" applyProtection="0"/>
    <xf numFmtId="164" fontId="1" fillId="0" borderId="11" applyFill="0">
      <alignment horizontal="center" vertical="center"/>
    </xf>
  </cellStyleXfs>
  <cellXfs count="124">
    <xf numFmtId="0" fontId="0" fillId="0" borderId="0" xfId="0"/>
    <xf numFmtId="0" fontId="6" fillId="0" borderId="0" xfId="0" applyFont="1" applyAlignment="1">
      <alignment horizontal="center"/>
    </xf>
    <xf numFmtId="0" fontId="6" fillId="0" borderId="0" xfId="0" applyFont="1"/>
    <xf numFmtId="166" fontId="6" fillId="0" borderId="0" xfId="0" applyNumberFormat="1" applyFont="1" applyAlignment="1">
      <alignment horizontal="center" vertical="center"/>
    </xf>
    <xf numFmtId="0" fontId="7" fillId="2" borderId="1" xfId="0" applyFont="1" applyFill="1" applyBorder="1" applyAlignment="1">
      <alignment horizontal="center" vertical="center" wrapText="1"/>
    </xf>
    <xf numFmtId="0" fontId="8" fillId="0" borderId="1" xfId="0" applyFont="1" applyBorder="1" applyAlignment="1">
      <alignment horizontal="center"/>
    </xf>
    <xf numFmtId="0" fontId="6" fillId="0" borderId="1" xfId="0" applyFont="1" applyBorder="1" applyAlignment="1">
      <alignment horizontal="center" vertical="center"/>
    </xf>
    <xf numFmtId="14" fontId="8" fillId="0" borderId="1" xfId="0" applyNumberFormat="1" applyFont="1" applyBorder="1" applyAlignment="1">
      <alignment horizontal="center" vertical="center"/>
    </xf>
    <xf numFmtId="166" fontId="9" fillId="0" borderId="1" xfId="0" applyNumberFormat="1" applyFont="1" applyBorder="1" applyAlignment="1">
      <alignment horizontal="center" vertical="center"/>
    </xf>
    <xf numFmtId="0" fontId="13" fillId="8" borderId="0" xfId="0" applyFont="1" applyFill="1"/>
    <xf numFmtId="166" fontId="10" fillId="0" borderId="0" xfId="0" applyNumberFormat="1" applyFont="1" applyAlignment="1">
      <alignment horizontal="center" vertical="center"/>
    </xf>
    <xf numFmtId="0" fontId="8" fillId="0" borderId="1" xfId="0" applyFont="1" applyBorder="1" applyAlignment="1">
      <alignment horizontal="center" vertical="center"/>
    </xf>
    <xf numFmtId="166" fontId="10" fillId="0" borderId="1" xfId="0" applyNumberFormat="1" applyFont="1" applyBorder="1" applyAlignment="1">
      <alignment horizontal="center" vertical="center"/>
    </xf>
    <xf numFmtId="166" fontId="9" fillId="0"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3" borderId="1" xfId="0" applyFont="1" applyFill="1" applyBorder="1" applyAlignment="1">
      <alignment horizontal="center" vertical="center"/>
    </xf>
    <xf numFmtId="0" fontId="9" fillId="0" borderId="1" xfId="0" applyFont="1" applyBorder="1" applyAlignment="1">
      <alignment horizontal="center" vertical="center"/>
    </xf>
    <xf numFmtId="0" fontId="9" fillId="3" borderId="1" xfId="0" applyFont="1" applyFill="1" applyBorder="1" applyAlignment="1">
      <alignment horizontal="center" vertical="center" wrapText="1"/>
    </xf>
    <xf numFmtId="170" fontId="8" fillId="3" borderId="1" xfId="12" applyFont="1" applyFill="1" applyBorder="1" applyAlignment="1">
      <alignment horizontal="center" vertical="center"/>
    </xf>
    <xf numFmtId="170" fontId="8" fillId="3" borderId="1" xfId="12" applyFont="1" applyFill="1" applyBorder="1" applyAlignment="1">
      <alignment horizontal="center" vertical="center" wrapText="1"/>
    </xf>
    <xf numFmtId="170" fontId="8" fillId="3" borderId="2" xfId="12" applyFont="1" applyFill="1" applyBorder="1" applyAlignment="1">
      <alignment horizontal="center" vertical="center"/>
    </xf>
    <xf numFmtId="49" fontId="8" fillId="3" borderId="1" xfId="12" applyNumberFormat="1" applyFont="1" applyFill="1" applyBorder="1" applyAlignment="1">
      <alignment horizontal="center" vertical="center" wrapText="1"/>
    </xf>
    <xf numFmtId="49" fontId="9" fillId="3" borderId="1" xfId="12" applyNumberFormat="1" applyFont="1" applyFill="1" applyBorder="1" applyAlignment="1">
      <alignment horizontal="center" vertical="center" wrapText="1"/>
    </xf>
    <xf numFmtId="49" fontId="19" fillId="3" borderId="1" xfId="12" applyNumberFormat="1" applyFont="1" applyFill="1" applyBorder="1" applyAlignment="1">
      <alignment horizontal="center" vertical="center" wrapText="1"/>
    </xf>
    <xf numFmtId="49" fontId="9" fillId="3" borderId="2" xfId="12" applyNumberFormat="1" applyFont="1" applyFill="1" applyBorder="1" applyAlignment="1">
      <alignment horizontal="center" vertical="center" wrapText="1"/>
    </xf>
    <xf numFmtId="49" fontId="8" fillId="3" borderId="1" xfId="12" applyNumberFormat="1" applyFont="1" applyFill="1" applyBorder="1" applyAlignment="1">
      <alignment horizontal="center" vertical="center"/>
    </xf>
    <xf numFmtId="0" fontId="8" fillId="0" borderId="1" xfId="0" quotePrefix="1" applyFont="1" applyBorder="1" applyAlignment="1">
      <alignment horizontal="center" vertical="center"/>
    </xf>
    <xf numFmtId="170" fontId="8" fillId="0" borderId="1" xfId="12" applyFont="1" applyFill="1" applyBorder="1" applyAlignment="1">
      <alignment horizontal="center" vertical="center"/>
    </xf>
    <xf numFmtId="49" fontId="8" fillId="0" borderId="1" xfId="0" applyNumberFormat="1" applyFont="1" applyFill="1" applyBorder="1" applyAlignment="1">
      <alignment horizontal="center" vertical="center"/>
    </xf>
    <xf numFmtId="49" fontId="8" fillId="0" borderId="1" xfId="13" applyNumberFormat="1" applyFont="1" applyFill="1" applyBorder="1" applyAlignment="1">
      <alignment horizontal="center" vertical="center"/>
    </xf>
    <xf numFmtId="170" fontId="8" fillId="0" borderId="1" xfId="12" applyFont="1" applyBorder="1" applyAlignment="1">
      <alignment horizontal="center" vertical="center"/>
    </xf>
    <xf numFmtId="0" fontId="8" fillId="0" borderId="0" xfId="0" quotePrefix="1" applyFont="1" applyBorder="1" applyAlignment="1">
      <alignment horizontal="center" vertical="center"/>
    </xf>
    <xf numFmtId="166" fontId="21" fillId="0" borderId="1" xfId="0" applyNumberFormat="1" applyFont="1" applyBorder="1" applyAlignment="1">
      <alignment horizontal="center" vertical="center"/>
    </xf>
    <xf numFmtId="166" fontId="21" fillId="0" borderId="1" xfId="0" quotePrefix="1" applyNumberFormat="1" applyFont="1" applyBorder="1" applyAlignment="1">
      <alignment horizontal="center" vertical="center"/>
    </xf>
    <xf numFmtId="0" fontId="22" fillId="0" borderId="0" xfId="5" applyFont="1" applyAlignment="1">
      <alignment wrapText="1"/>
    </xf>
    <xf numFmtId="0" fontId="26" fillId="2" borderId="1" xfId="0" applyFont="1" applyFill="1" applyBorder="1" applyAlignment="1">
      <alignment horizontal="center" vertical="center" wrapText="1"/>
    </xf>
    <xf numFmtId="0" fontId="26" fillId="2" borderId="1" xfId="0" applyFont="1" applyFill="1" applyBorder="1" applyAlignment="1">
      <alignment horizontal="center" vertical="center"/>
    </xf>
    <xf numFmtId="166" fontId="7" fillId="2" borderId="1" xfId="0" applyNumberFormat="1" applyFont="1" applyFill="1" applyBorder="1" applyAlignment="1">
      <alignment horizontal="center" vertical="center" wrapText="1"/>
    </xf>
    <xf numFmtId="166" fontId="27" fillId="2" borderId="1" xfId="0" applyNumberFormat="1" applyFont="1" applyFill="1" applyBorder="1" applyAlignment="1">
      <alignment horizontal="center" vertical="center" wrapText="1"/>
    </xf>
    <xf numFmtId="14" fontId="8" fillId="0" borderId="1" xfId="0" applyNumberFormat="1" applyFont="1" applyBorder="1" applyAlignment="1">
      <alignment horizontal="center" vertical="center" wrapText="1"/>
    </xf>
    <xf numFmtId="0" fontId="29" fillId="0" borderId="0" xfId="0" applyFont="1"/>
    <xf numFmtId="0" fontId="30" fillId="0" borderId="0" xfId="0" applyFont="1"/>
    <xf numFmtId="0" fontId="22" fillId="0" borderId="0" xfId="5" applyFont="1"/>
    <xf numFmtId="0" fontId="32" fillId="0" borderId="0" xfId="0" applyFont="1"/>
    <xf numFmtId="0" fontId="6" fillId="0" borderId="6" xfId="0" applyFont="1" applyBorder="1"/>
    <xf numFmtId="169" fontId="33" fillId="0" borderId="1" xfId="0" applyNumberFormat="1" applyFont="1" applyBorder="1" applyAlignment="1">
      <alignment horizontal="center" vertical="center"/>
    </xf>
    <xf numFmtId="0" fontId="34" fillId="4" borderId="1" xfId="0" applyFont="1" applyFill="1" applyBorder="1" applyAlignment="1">
      <alignment horizontal="center" vertical="center" wrapText="1"/>
    </xf>
    <xf numFmtId="0" fontId="36" fillId="6" borderId="9" xfId="0" applyFont="1" applyFill="1" applyBorder="1" applyAlignment="1">
      <alignment horizontal="center" vertical="center" wrapText="1"/>
    </xf>
    <xf numFmtId="0" fontId="37" fillId="0" borderId="10" xfId="0" applyFont="1" applyBorder="1" applyAlignment="1">
      <alignment horizontal="center" vertical="center" shrinkToFit="1"/>
    </xf>
    <xf numFmtId="0" fontId="9" fillId="0" borderId="1" xfId="5" applyFont="1" applyBorder="1" applyAlignment="1">
      <alignment horizontal="center" vertical="center" wrapText="1"/>
    </xf>
    <xf numFmtId="0" fontId="8" fillId="0" borderId="1" xfId="4" applyFont="1" applyFill="1" applyBorder="1" applyAlignment="1">
      <alignment horizontal="left" vertical="center" wrapText="1"/>
    </xf>
    <xf numFmtId="166" fontId="8" fillId="0" borderId="1" xfId="8" applyNumberFormat="1" applyFont="1" applyFill="1" applyBorder="1">
      <alignment horizontal="center" vertical="center"/>
    </xf>
    <xf numFmtId="49" fontId="8" fillId="0" borderId="2" xfId="0" applyNumberFormat="1" applyFont="1" applyFill="1" applyBorder="1" applyAlignment="1">
      <alignment horizontal="center" vertical="center"/>
    </xf>
    <xf numFmtId="0" fontId="6" fillId="7" borderId="0" xfId="0" applyFont="1" applyFill="1"/>
    <xf numFmtId="0" fontId="31" fillId="0" borderId="0" xfId="35" applyFont="1" applyProtection="1">
      <alignment vertical="top"/>
    </xf>
    <xf numFmtId="0" fontId="32" fillId="0" borderId="0" xfId="36" applyFont="1">
      <alignment vertical="top"/>
    </xf>
    <xf numFmtId="0" fontId="8" fillId="0" borderId="0" xfId="49" applyFont="1">
      <alignment horizontal="right" indent="1"/>
    </xf>
    <xf numFmtId="0" fontId="8" fillId="0" borderId="4" xfId="49" applyFont="1" applyBorder="1">
      <alignment horizontal="right" indent="1"/>
    </xf>
    <xf numFmtId="166" fontId="8" fillId="0" borderId="5" xfId="50" applyNumberFormat="1" applyFont="1">
      <alignment horizontal="center" vertical="center"/>
    </xf>
    <xf numFmtId="166" fontId="6" fillId="0" borderId="0" xfId="50" applyNumberFormat="1" applyFont="1" applyBorder="1">
      <alignment horizontal="center" vertical="center"/>
    </xf>
    <xf numFmtId="0" fontId="8" fillId="0" borderId="5" xfId="0" applyFont="1" applyBorder="1" applyAlignment="1">
      <alignment horizontal="center" vertical="center"/>
    </xf>
    <xf numFmtId="169" fontId="48" fillId="11" borderId="1" xfId="0" applyNumberFormat="1" applyFont="1" applyFill="1" applyBorder="1" applyAlignment="1">
      <alignment horizontal="center" vertical="center"/>
    </xf>
    <xf numFmtId="0" fontId="27" fillId="10" borderId="1" xfId="5"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7" fillId="10" borderId="7" xfId="0" applyFont="1" applyFill="1" applyBorder="1" applyAlignment="1">
      <alignment horizontal="center" vertical="center" wrapText="1"/>
    </xf>
    <xf numFmtId="0" fontId="37" fillId="0" borderId="13" xfId="0" applyFont="1" applyBorder="1" applyAlignment="1">
      <alignment horizontal="center" vertical="center" shrinkToFit="1"/>
    </xf>
    <xf numFmtId="0" fontId="37" fillId="0" borderId="14" xfId="0" applyFont="1" applyBorder="1" applyAlignment="1">
      <alignment horizontal="center" vertical="center" shrinkToFit="1"/>
    </xf>
    <xf numFmtId="0" fontId="38" fillId="11" borderId="10" xfId="0" applyFont="1" applyFill="1" applyBorder="1" applyAlignment="1">
      <alignment horizontal="center" vertical="center" shrinkToFit="1"/>
    </xf>
    <xf numFmtId="0" fontId="8" fillId="0" borderId="1" xfId="52" applyFont="1" applyFill="1" applyBorder="1">
      <alignment horizontal="center" vertical="center"/>
    </xf>
    <xf numFmtId="9" fontId="9" fillId="0" borderId="1" xfId="53" applyFont="1" applyFill="1" applyBorder="1" applyAlignment="1">
      <alignment horizontal="center" vertical="center"/>
    </xf>
    <xf numFmtId="166" fontId="8" fillId="0" borderId="1" xfId="54" applyNumberFormat="1" applyFont="1" applyFill="1" applyBorder="1">
      <alignment horizontal="center" vertical="center"/>
    </xf>
    <xf numFmtId="0" fontId="10" fillId="0" borderId="11" xfId="0" applyFont="1" applyBorder="1" applyAlignment="1">
      <alignment horizontal="center" vertical="center"/>
    </xf>
    <xf numFmtId="0" fontId="6" fillId="0" borderId="15" xfId="0" applyFont="1" applyBorder="1" applyAlignment="1">
      <alignment vertical="center"/>
    </xf>
    <xf numFmtId="0" fontId="6" fillId="7" borderId="15" xfId="0" applyFont="1" applyFill="1" applyBorder="1" applyAlignment="1">
      <alignment vertical="center"/>
    </xf>
    <xf numFmtId="0" fontId="6" fillId="0" borderId="0" xfId="0" applyFont="1" applyAlignment="1">
      <alignment vertical="center"/>
    </xf>
    <xf numFmtId="0" fontId="39" fillId="5" borderId="0" xfId="0" applyFont="1" applyFill="1" applyAlignment="1">
      <alignment horizontal="left" vertical="center" indent="1"/>
    </xf>
    <xf numFmtId="0" fontId="40" fillId="5" borderId="0" xfId="0" applyFont="1" applyFill="1" applyAlignment="1">
      <alignment horizontal="center" vertical="center"/>
    </xf>
    <xf numFmtId="9" fontId="10" fillId="5" borderId="0" xfId="53" applyFont="1" applyFill="1" applyBorder="1" applyAlignment="1">
      <alignment horizontal="center" vertical="center"/>
    </xf>
    <xf numFmtId="164" fontId="31" fillId="5" borderId="0" xfId="0" applyNumberFormat="1" applyFont="1" applyFill="1" applyAlignment="1">
      <alignment horizontal="left" vertical="center"/>
    </xf>
    <xf numFmtId="0" fontId="10" fillId="5" borderId="0" xfId="0" applyFont="1" applyFill="1" applyAlignment="1">
      <alignment horizontal="center" vertical="center"/>
    </xf>
    <xf numFmtId="164" fontId="10" fillId="5" borderId="0" xfId="0" applyNumberFormat="1" applyFont="1" applyFill="1" applyAlignment="1">
      <alignment horizontal="center" vertical="center"/>
    </xf>
    <xf numFmtId="0" fontId="6" fillId="5" borderId="0" xfId="0" applyFont="1" applyFill="1" applyAlignment="1">
      <alignment vertical="center"/>
    </xf>
    <xf numFmtId="0" fontId="22" fillId="0" borderId="0" xfId="0" applyFont="1" applyAlignment="1">
      <alignment horizontal="center"/>
    </xf>
    <xf numFmtId="0" fontId="6" fillId="9" borderId="0" xfId="0" applyFont="1" applyFill="1"/>
    <xf numFmtId="0" fontId="31" fillId="0" borderId="0" xfId="35" applyFont="1" applyAlignment="1" applyProtection="1"/>
    <xf numFmtId="0" fontId="32" fillId="0" borderId="0" xfId="0" applyFont="1" applyAlignment="1">
      <alignment wrapText="1"/>
    </xf>
    <xf numFmtId="0" fontId="8" fillId="0" borderId="16" xfId="0" applyFont="1" applyBorder="1" applyAlignment="1">
      <alignment horizontal="center" vertical="center" wrapText="1"/>
    </xf>
    <xf numFmtId="0" fontId="8" fillId="0" borderId="16" xfId="0" applyFont="1" applyBorder="1" applyAlignment="1">
      <alignment horizontal="center" vertical="center"/>
    </xf>
    <xf numFmtId="49" fontId="8" fillId="3" borderId="16" xfId="12" applyNumberFormat="1" applyFont="1" applyFill="1" applyBorder="1" applyAlignment="1">
      <alignment horizontal="center" vertical="center"/>
    </xf>
    <xf numFmtId="166" fontId="21" fillId="0" borderId="16" xfId="0" applyNumberFormat="1" applyFont="1" applyBorder="1" applyAlignment="1">
      <alignment horizontal="center" vertical="center"/>
    </xf>
    <xf numFmtId="166" fontId="9" fillId="0" borderId="16" xfId="0" applyNumberFormat="1" applyFont="1" applyBorder="1" applyAlignment="1">
      <alignment horizontal="center" vertical="center"/>
    </xf>
    <xf numFmtId="14" fontId="8" fillId="0" borderId="16" xfId="0" applyNumberFormat="1" applyFont="1" applyBorder="1" applyAlignment="1">
      <alignment horizontal="center" vertical="center" wrapText="1"/>
    </xf>
    <xf numFmtId="0" fontId="8" fillId="0" borderId="19" xfId="0" applyFont="1" applyBorder="1" applyAlignment="1">
      <alignment horizontal="center" vertical="center" wrapText="1"/>
    </xf>
    <xf numFmtId="170" fontId="8" fillId="3" borderId="19" xfId="12" applyFont="1" applyFill="1" applyBorder="1" applyAlignment="1">
      <alignment horizontal="center" vertical="center"/>
    </xf>
    <xf numFmtId="0" fontId="6" fillId="0" borderId="19" xfId="0" applyFont="1" applyBorder="1" applyAlignment="1">
      <alignment horizontal="center" vertical="center"/>
    </xf>
    <xf numFmtId="170" fontId="8" fillId="0" borderId="19" xfId="12" applyFont="1" applyFill="1" applyBorder="1" applyAlignment="1">
      <alignment horizontal="center" vertical="center"/>
    </xf>
    <xf numFmtId="49" fontId="8" fillId="3" borderId="19" xfId="12" applyNumberFormat="1" applyFont="1" applyFill="1" applyBorder="1" applyAlignment="1">
      <alignment horizontal="center" vertical="center"/>
    </xf>
    <xf numFmtId="166" fontId="21" fillId="0" borderId="19" xfId="0" applyNumberFormat="1" applyFont="1" applyBorder="1" applyAlignment="1">
      <alignment horizontal="center" vertical="center"/>
    </xf>
    <xf numFmtId="166" fontId="9" fillId="0" borderId="19" xfId="0" applyNumberFormat="1" applyFont="1" applyBorder="1" applyAlignment="1">
      <alignment horizontal="center" vertical="center"/>
    </xf>
    <xf numFmtId="14" fontId="8" fillId="0" borderId="19" xfId="0" applyNumberFormat="1" applyFont="1" applyBorder="1" applyAlignment="1">
      <alignment horizontal="center" vertical="center"/>
    </xf>
    <xf numFmtId="14" fontId="8" fillId="0" borderId="19" xfId="0" applyNumberFormat="1" applyFont="1" applyBorder="1" applyAlignment="1">
      <alignment horizontal="center" vertical="center" wrapText="1"/>
    </xf>
    <xf numFmtId="0" fontId="8" fillId="0" borderId="19" xfId="0" applyFont="1" applyBorder="1" applyAlignment="1">
      <alignment horizontal="center" vertical="center"/>
    </xf>
    <xf numFmtId="0" fontId="8" fillId="0" borderId="16" xfId="0" quotePrefix="1" applyFont="1" applyBorder="1" applyAlignment="1">
      <alignment horizontal="center" vertical="center"/>
    </xf>
    <xf numFmtId="0" fontId="8" fillId="0" borderId="16" xfId="0" applyFont="1" applyBorder="1" applyAlignment="1">
      <alignment horizontal="center"/>
    </xf>
    <xf numFmtId="0" fontId="8" fillId="12" borderId="1" xfId="0" applyFont="1" applyFill="1" applyBorder="1" applyAlignment="1">
      <alignment horizontal="center"/>
    </xf>
    <xf numFmtId="0" fontId="8" fillId="0" borderId="1" xfId="8" applyNumberFormat="1" applyFont="1" applyFill="1" applyBorder="1">
      <alignment horizontal="center" vertical="center"/>
    </xf>
    <xf numFmtId="0" fontId="8" fillId="0" borderId="1" xfId="54" applyNumberFormat="1" applyFont="1" applyFill="1" applyBorder="1">
      <alignment horizontal="center" vertical="center"/>
    </xf>
    <xf numFmtId="0" fontId="51" fillId="0" borderId="0" xfId="0" applyFont="1" applyAlignment="1">
      <alignment vertical="top"/>
    </xf>
    <xf numFmtId="0" fontId="46" fillId="0" borderId="0" xfId="0" applyFont="1" applyAlignment="1">
      <alignment horizontal="left" vertical="center" wrapText="1"/>
    </xf>
    <xf numFmtId="49" fontId="52" fillId="3" borderId="1" xfId="12" applyNumberFormat="1" applyFont="1" applyFill="1" applyBorder="1" applyAlignment="1">
      <alignment horizontal="center" vertical="center"/>
    </xf>
    <xf numFmtId="49" fontId="52" fillId="3" borderId="16" xfId="12" applyNumberFormat="1" applyFont="1" applyFill="1" applyBorder="1" applyAlignment="1">
      <alignment horizontal="center" vertical="center"/>
    </xf>
    <xf numFmtId="49" fontId="52" fillId="3" borderId="19" xfId="12" applyNumberFormat="1" applyFont="1" applyFill="1" applyBorder="1" applyAlignment="1">
      <alignment horizontal="center" vertical="center"/>
    </xf>
    <xf numFmtId="49" fontId="52" fillId="3" borderId="20" xfId="12" applyNumberFormat="1" applyFont="1" applyFill="1" applyBorder="1" applyAlignment="1">
      <alignment horizontal="center" vertical="center"/>
    </xf>
    <xf numFmtId="0" fontId="47" fillId="0" borderId="0" xfId="5" applyFont="1" applyAlignment="1">
      <alignment horizontal="center" vertical="center" wrapText="1"/>
    </xf>
    <xf numFmtId="168" fontId="26" fillId="10" borderId="7" xfId="0" applyNumberFormat="1" applyFont="1" applyFill="1" applyBorder="1" applyAlignment="1">
      <alignment horizontal="center" vertical="center" wrapText="1"/>
    </xf>
    <xf numFmtId="168" fontId="26" fillId="10" borderId="12" xfId="0" applyNumberFormat="1" applyFont="1" applyFill="1" applyBorder="1" applyAlignment="1">
      <alignment horizontal="center" vertical="center" wrapText="1"/>
    </xf>
    <xf numFmtId="0" fontId="13" fillId="0" borderId="0" xfId="0" applyFont="1" applyAlignment="1">
      <alignment horizontal="left" wrapText="1"/>
    </xf>
    <xf numFmtId="0" fontId="46" fillId="0" borderId="18" xfId="0" applyFont="1" applyBorder="1" applyAlignment="1">
      <alignment horizontal="center" vertical="top" wrapText="1"/>
    </xf>
    <xf numFmtId="0" fontId="46" fillId="0" borderId="3" xfId="0" applyFont="1" applyBorder="1" applyAlignment="1">
      <alignment horizontal="center" vertical="top" wrapText="1"/>
    </xf>
    <xf numFmtId="0" fontId="46" fillId="0" borderId="17" xfId="0" applyFont="1" applyBorder="1" applyAlignment="1">
      <alignment horizontal="center" vertical="top" wrapText="1"/>
    </xf>
    <xf numFmtId="167" fontId="46" fillId="3" borderId="18" xfId="0" applyNumberFormat="1" applyFont="1" applyFill="1" applyBorder="1" applyAlignment="1">
      <alignment horizontal="center" vertical="top" wrapText="1"/>
    </xf>
    <xf numFmtId="167" fontId="46" fillId="3" borderId="3" xfId="0" applyNumberFormat="1" applyFont="1" applyFill="1" applyBorder="1" applyAlignment="1">
      <alignment horizontal="center" vertical="top" wrapText="1"/>
    </xf>
    <xf numFmtId="167" fontId="46" fillId="3" borderId="17" xfId="0" applyNumberFormat="1" applyFont="1" applyFill="1" applyBorder="1" applyAlignment="1">
      <alignment horizontal="center" vertical="top" wrapText="1"/>
    </xf>
    <xf numFmtId="167" fontId="46" fillId="3" borderId="2" xfId="0" applyNumberFormat="1" applyFont="1" applyFill="1" applyBorder="1" applyAlignment="1">
      <alignment horizontal="center" vertical="top" wrapText="1"/>
    </xf>
  </cellXfs>
  <cellStyles count="55">
    <cellStyle name="Date" xfId="1" xr:uid="{00000000-0005-0000-0000-000000000000}"/>
    <cellStyle name="Date 2" xfId="8" xr:uid="{4C4B5117-6D08-4172-AF7E-B7941A4A7B80}"/>
    <cellStyle name="Date 2 2" xfId="23" xr:uid="{216A4276-BBC8-4B82-A5CB-B7C51B92BC0A}"/>
    <cellStyle name="Date 2 3" xfId="48" xr:uid="{00000000-0005-0000-0000-000001000000}"/>
    <cellStyle name="Date 2 4" xfId="54" xr:uid="{981BE820-2700-4577-BDD4-492241A48714}"/>
    <cellStyle name="Date 3" xfId="17" xr:uid="{8D3D4078-3993-4126-83D3-A13760B9A029}"/>
    <cellStyle name="Date 4" xfId="42" xr:uid="{00000000-0005-0000-0000-000000000000}"/>
    <cellStyle name="Heading 2 2" xfId="36" xr:uid="{00000000-0005-0000-0000-000002000000}"/>
    <cellStyle name="Heading 3 2" xfId="7" xr:uid="{3CB9F5DF-CF48-491A-A2CA-F68E2074AD15}"/>
    <cellStyle name="Heading 3 2 2" xfId="22" xr:uid="{A111E2C7-10ED-458F-906B-E6A24C4945A0}"/>
    <cellStyle name="Heading 3 2 3" xfId="37" xr:uid="{00000000-0005-0000-0000-000003000000}"/>
    <cellStyle name="Heading 3 3" xfId="16" xr:uid="{741FBA76-E088-4CAA-8A2D-1273B054B6FF}"/>
    <cellStyle name="Heading 3 3 2" xfId="43" xr:uid="{00000000-0005-0000-0000-000004000000}"/>
    <cellStyle name="Heading 3 3 3" xfId="49" xr:uid="{1A9C4189-29C5-4273-A72C-37DAB254A974}"/>
    <cellStyle name="Hyperlink 2" xfId="30" xr:uid="{00000000-0005-0000-0000-000006000000}"/>
    <cellStyle name="Hyperlink 3" xfId="35" xr:uid="{00000000-0005-0000-0000-000007000000}"/>
    <cellStyle name="Hyperlink 4" xfId="29" xr:uid="{00000000-0005-0000-0000-000051000000}"/>
    <cellStyle name="Name" xfId="2" xr:uid="{00000000-0005-0000-0000-000004000000}"/>
    <cellStyle name="Name 2" xfId="9" xr:uid="{B9F54841-B1D8-42F3-810F-89F5FC6CA107}"/>
    <cellStyle name="Name 2 2" xfId="24" xr:uid="{10494C3C-FBF6-4828-B19F-E0DD46F3337B}"/>
    <cellStyle name="Name 2 3" xfId="46" xr:uid="{00000000-0005-0000-0000-000009000000}"/>
    <cellStyle name="Name 2 4" xfId="52" xr:uid="{A9C985D5-FECF-4E82-832F-DFE0D31ABD3B}"/>
    <cellStyle name="Name 3" xfId="18" xr:uid="{C35CD59F-AC96-4D5D-BDC5-759F97FCA98F}"/>
    <cellStyle name="Name 4" xfId="40" xr:uid="{00000000-0005-0000-0000-000008000000}"/>
    <cellStyle name="Normal" xfId="0" builtinId="0"/>
    <cellStyle name="Normal 2" xfId="12" xr:uid="{78F428D6-4C41-467A-B4C1-895D3CE9ED2D}"/>
    <cellStyle name="Normal 2 2" xfId="27" xr:uid="{7F85B705-0C65-42ED-8C7D-CA4715CA5775}"/>
    <cellStyle name="Normal 2 3" xfId="31" xr:uid="{00000000-0005-0000-0000-00000B000000}"/>
    <cellStyle name="Normal 3" xfId="13" xr:uid="{E7986646-C55D-434C-8034-6838A9540DBB}"/>
    <cellStyle name="Normal 3 2" xfId="28" xr:uid="{6323FDC8-1634-40DC-A3BD-BBC957FC6AAA}"/>
    <cellStyle name="Normal 3 3" xfId="32" xr:uid="{00000000-0005-0000-0000-00000C000000}"/>
    <cellStyle name="Normal 4" xfId="14" xr:uid="{4838FE69-7A2B-4303-8AEF-61BB0C2765C4}"/>
    <cellStyle name="Percent 2" xfId="6" xr:uid="{354B929D-89AC-45EF-8DDF-901535CB7C1E}"/>
    <cellStyle name="Percent 2 2" xfId="21" xr:uid="{33498FC7-7CBF-4E18-A0F6-ED2E036AFFFB}"/>
    <cellStyle name="Percent 2 3" xfId="33" xr:uid="{00000000-0005-0000-0000-00000D000000}"/>
    <cellStyle name="Percent 3" xfId="15" xr:uid="{9996FF3A-C375-40FE-B395-05A853D09369}"/>
    <cellStyle name="Percent 3 2" xfId="41" xr:uid="{00000000-0005-0000-0000-00000E000000}"/>
    <cellStyle name="Percent 4" xfId="47" xr:uid="{00000000-0005-0000-0000-00000F000000}"/>
    <cellStyle name="Percent 4 2" xfId="53" xr:uid="{0AF90DC4-7106-457F-BED9-15DC6047DE44}"/>
    <cellStyle name="Project Start" xfId="3" xr:uid="{00000000-0005-0000-0000-000007000000}"/>
    <cellStyle name="Project Start 2" xfId="10" xr:uid="{7DF5FEC6-BE71-4405-A30C-17DC56BBFFCF}"/>
    <cellStyle name="Project Start 2 2" xfId="25" xr:uid="{9947FA7E-B3F7-4EC9-BF54-233005099C5B}"/>
    <cellStyle name="Project Start 2 3" xfId="44" xr:uid="{00000000-0005-0000-0000-000011000000}"/>
    <cellStyle name="Project Start 2 4" xfId="50" xr:uid="{14AD3321-0A5F-4BE8-B2E0-911A2B2DF24B}"/>
    <cellStyle name="Project Start 3" xfId="19" xr:uid="{AA5F1F17-96CC-4A9A-98A9-19EC66D44C94}"/>
    <cellStyle name="Project Start 4" xfId="38" xr:uid="{00000000-0005-0000-0000-000010000000}"/>
    <cellStyle name="Task" xfId="4" xr:uid="{00000000-0005-0000-0000-000008000000}"/>
    <cellStyle name="Task 2" xfId="11" xr:uid="{086B2567-5E78-4CB0-B607-65F7A63F5507}"/>
    <cellStyle name="Task 2 2" xfId="26" xr:uid="{33B316C0-164E-4502-843B-4384BBB055F9}"/>
    <cellStyle name="Task 2 3" xfId="45" xr:uid="{00000000-0005-0000-0000-000013000000}"/>
    <cellStyle name="Task 2 4" xfId="51" xr:uid="{3302548E-861C-4DA9-BF2D-04067C61ECD4}"/>
    <cellStyle name="Task 3" xfId="20" xr:uid="{85EE003C-EA90-48A4-B7DA-BC39D5F44A46}"/>
    <cellStyle name="Task 4" xfId="39" xr:uid="{00000000-0005-0000-0000-000012000000}"/>
    <cellStyle name="zHiddenText" xfId="5" xr:uid="{00000000-0005-0000-0000-00000A000000}"/>
    <cellStyle name="一般_Q-P-01 NEW" xfId="34" xr:uid="{00000000-0005-0000-0000-000015000000}"/>
  </cellStyles>
  <dxfs count="18">
    <dxf>
      <font>
        <color rgb="FF9C0006"/>
      </font>
      <fill>
        <patternFill patternType="solid">
          <bgColor rgb="FFFFC7CE"/>
        </patternFill>
      </fill>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71DAFF"/>
        </patternFill>
      </fill>
    </dxf>
    <dxf>
      <fill>
        <patternFill patternType="solid">
          <bgColor rgb="FFD8B0F6"/>
        </patternFill>
      </fill>
      <border>
        <left/>
        <right/>
      </border>
    </dxf>
    <dxf>
      <border>
        <left style="thin">
          <color rgb="FF0000FF"/>
        </left>
        <right style="thin">
          <color rgb="FF0000FF"/>
        </right>
      </border>
    </dxf>
    <dxf>
      <border>
        <left style="thin">
          <color theme="0" tint="-0.24994659260841701"/>
        </left>
      </border>
    </dxf>
    <dxf>
      <border>
        <left style="thin">
          <color theme="0" tint="-0.24994659260841701"/>
        </left>
      </border>
    </dxf>
    <dxf>
      <border>
        <top style="thin">
          <color theme="4" tint="0.39991454817346722"/>
        </top>
      </border>
    </dxf>
    <dxf>
      <fill>
        <patternFill patternType="solid">
          <bgColor theme="0" tint="-4.9989318521683403E-2"/>
        </patternFill>
      </fill>
      <border>
        <top style="thin">
          <color theme="4" tint="0.399914548173467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FF"/>
      <color rgb="FFD8B0F6"/>
      <color rgb="FF53D2FF"/>
      <color rgb="FF71DAFF"/>
      <color rgb="FF57D2EF"/>
      <color rgb="FFA5E5F9"/>
      <color rgb="FF215881"/>
      <color rgb="FF42648A"/>
      <color rgb="FF969696"/>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67235</xdr:colOff>
      <xdr:row>2</xdr:row>
      <xdr:rowOff>89647</xdr:rowOff>
    </xdr:from>
    <xdr:to>
      <xdr:col>0</xdr:col>
      <xdr:colOff>8519208</xdr:colOff>
      <xdr:row>26</xdr:row>
      <xdr:rowOff>37435</xdr:rowOff>
    </xdr:to>
    <xdr:pic>
      <xdr:nvPicPr>
        <xdr:cNvPr id="2" name="Picture 1">
          <a:extLst>
            <a:ext uri="{FF2B5EF4-FFF2-40B4-BE49-F238E27FC236}">
              <a16:creationId xmlns:a16="http://schemas.microsoft.com/office/drawing/2014/main" id="{8BE7315E-4768-4E49-A718-4AABEAC5C07D}"/>
            </a:ext>
          </a:extLst>
        </xdr:cNvPr>
        <xdr:cNvPicPr>
          <a:picLocks noChangeAspect="1"/>
        </xdr:cNvPicPr>
      </xdr:nvPicPr>
      <xdr:blipFill>
        <a:blip xmlns:r="http://schemas.openxmlformats.org/officeDocument/2006/relationships" r:embed="rId1"/>
        <a:stretch>
          <a:fillRect/>
        </a:stretch>
      </xdr:blipFill>
      <xdr:spPr>
        <a:xfrm>
          <a:off x="67235" y="526676"/>
          <a:ext cx="8451973" cy="4564612"/>
        </a:xfrm>
        <a:prstGeom prst="rect">
          <a:avLst/>
        </a:prstGeom>
      </xdr:spPr>
    </xdr:pic>
    <xdr:clientData/>
  </xdr:twoCellAnchor>
  <xdr:twoCellAnchor editAs="oneCell">
    <xdr:from>
      <xdr:col>0</xdr:col>
      <xdr:colOff>44824</xdr:colOff>
      <xdr:row>27</xdr:row>
      <xdr:rowOff>85031</xdr:rowOff>
    </xdr:from>
    <xdr:to>
      <xdr:col>0</xdr:col>
      <xdr:colOff>8471648</xdr:colOff>
      <xdr:row>49</xdr:row>
      <xdr:rowOff>115312</xdr:rowOff>
    </xdr:to>
    <xdr:pic>
      <xdr:nvPicPr>
        <xdr:cNvPr id="3" name="Picture 2">
          <a:extLst>
            <a:ext uri="{FF2B5EF4-FFF2-40B4-BE49-F238E27FC236}">
              <a16:creationId xmlns:a16="http://schemas.microsoft.com/office/drawing/2014/main" id="{C28A8F2A-185D-48FC-91DB-8160DA6B7E6D}"/>
            </a:ext>
          </a:extLst>
        </xdr:cNvPr>
        <xdr:cNvPicPr>
          <a:picLocks noChangeAspect="1"/>
        </xdr:cNvPicPr>
      </xdr:nvPicPr>
      <xdr:blipFill>
        <a:blip xmlns:r="http://schemas.openxmlformats.org/officeDocument/2006/relationships" r:embed="rId2"/>
        <a:stretch>
          <a:fillRect/>
        </a:stretch>
      </xdr:blipFill>
      <xdr:spPr>
        <a:xfrm>
          <a:off x="44824" y="5329384"/>
          <a:ext cx="8426824" cy="4568663"/>
        </a:xfrm>
        <a:prstGeom prst="rect">
          <a:avLst/>
        </a:prstGeom>
      </xdr:spPr>
    </xdr:pic>
    <xdr:clientData/>
  </xdr:twoCellAnchor>
  <xdr:twoCellAnchor editAs="oneCell">
    <xdr:from>
      <xdr:col>2</xdr:col>
      <xdr:colOff>0</xdr:colOff>
      <xdr:row>2</xdr:row>
      <xdr:rowOff>-1</xdr:rowOff>
    </xdr:from>
    <xdr:to>
      <xdr:col>15</xdr:col>
      <xdr:colOff>389614</xdr:colOff>
      <xdr:row>26</xdr:row>
      <xdr:rowOff>179292</xdr:rowOff>
    </xdr:to>
    <xdr:pic>
      <xdr:nvPicPr>
        <xdr:cNvPr id="6" name="Picture 5">
          <a:extLst>
            <a:ext uri="{FF2B5EF4-FFF2-40B4-BE49-F238E27FC236}">
              <a16:creationId xmlns:a16="http://schemas.microsoft.com/office/drawing/2014/main" id="{CBD1B0BE-01DD-41DF-9503-15424D0E4EE6}"/>
            </a:ext>
          </a:extLst>
        </xdr:cNvPr>
        <xdr:cNvPicPr>
          <a:picLocks noChangeAspect="1"/>
        </xdr:cNvPicPr>
      </xdr:nvPicPr>
      <xdr:blipFill>
        <a:blip xmlns:r="http://schemas.openxmlformats.org/officeDocument/2006/relationships" r:embed="rId3"/>
        <a:stretch>
          <a:fillRect/>
        </a:stretch>
      </xdr:blipFill>
      <xdr:spPr>
        <a:xfrm>
          <a:off x="9155206" y="515470"/>
          <a:ext cx="16257143" cy="4796117"/>
        </a:xfrm>
        <a:prstGeom prst="rect">
          <a:avLst/>
        </a:prstGeom>
      </xdr:spPr>
    </xdr:pic>
    <xdr:clientData/>
  </xdr:twoCellAnchor>
  <xdr:twoCellAnchor editAs="oneCell">
    <xdr:from>
      <xdr:col>2</xdr:col>
      <xdr:colOff>22411</xdr:colOff>
      <xdr:row>28</xdr:row>
      <xdr:rowOff>11206</xdr:rowOff>
    </xdr:from>
    <xdr:to>
      <xdr:col>17</xdr:col>
      <xdr:colOff>477979</xdr:colOff>
      <xdr:row>56</xdr:row>
      <xdr:rowOff>143873</xdr:rowOff>
    </xdr:to>
    <xdr:pic>
      <xdr:nvPicPr>
        <xdr:cNvPr id="11" name="Picture 10">
          <a:extLst>
            <a:ext uri="{FF2B5EF4-FFF2-40B4-BE49-F238E27FC236}">
              <a16:creationId xmlns:a16="http://schemas.microsoft.com/office/drawing/2014/main" id="{5843FF27-1774-4878-8F25-1443890606A2}"/>
            </a:ext>
          </a:extLst>
        </xdr:cNvPr>
        <xdr:cNvPicPr>
          <a:picLocks noChangeAspect="1"/>
        </xdr:cNvPicPr>
      </xdr:nvPicPr>
      <xdr:blipFill>
        <a:blip xmlns:r="http://schemas.openxmlformats.org/officeDocument/2006/relationships" r:embed="rId4"/>
        <a:stretch>
          <a:fillRect/>
        </a:stretch>
      </xdr:blipFill>
      <xdr:spPr>
        <a:xfrm>
          <a:off x="9177617" y="6387353"/>
          <a:ext cx="17533333" cy="5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0</xdr:colOff>
      <xdr:row>10</xdr:row>
      <xdr:rowOff>0</xdr:rowOff>
    </xdr:from>
    <xdr:ext cx="0" cy="172227"/>
    <xdr:sp macro="" textlink="">
      <xdr:nvSpPr>
        <xdr:cNvPr id="1150" name="TextBox 1149">
          <a:extLst>
            <a:ext uri="{FF2B5EF4-FFF2-40B4-BE49-F238E27FC236}">
              <a16:creationId xmlns:a16="http://schemas.microsoft.com/office/drawing/2014/main" id="{00000000-0008-0000-0100-00007E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1" name="TextBox 1150">
          <a:extLst>
            <a:ext uri="{FF2B5EF4-FFF2-40B4-BE49-F238E27FC236}">
              <a16:creationId xmlns:a16="http://schemas.microsoft.com/office/drawing/2014/main" id="{00000000-0008-0000-0100-00007F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2" name="TextBox 1151">
          <a:extLst>
            <a:ext uri="{FF2B5EF4-FFF2-40B4-BE49-F238E27FC236}">
              <a16:creationId xmlns:a16="http://schemas.microsoft.com/office/drawing/2014/main" id="{00000000-0008-0000-0100-000080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3" name="TextBox 1152">
          <a:extLst>
            <a:ext uri="{FF2B5EF4-FFF2-40B4-BE49-F238E27FC236}">
              <a16:creationId xmlns:a16="http://schemas.microsoft.com/office/drawing/2014/main" id="{00000000-0008-0000-0100-000081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4" name="TextBox 1153">
          <a:extLst>
            <a:ext uri="{FF2B5EF4-FFF2-40B4-BE49-F238E27FC236}">
              <a16:creationId xmlns:a16="http://schemas.microsoft.com/office/drawing/2014/main" id="{00000000-0008-0000-0100-000082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5" name="TextBox 1154">
          <a:extLst>
            <a:ext uri="{FF2B5EF4-FFF2-40B4-BE49-F238E27FC236}">
              <a16:creationId xmlns:a16="http://schemas.microsoft.com/office/drawing/2014/main" id="{00000000-0008-0000-0100-000083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6" name="TextBox 1155">
          <a:extLst>
            <a:ext uri="{FF2B5EF4-FFF2-40B4-BE49-F238E27FC236}">
              <a16:creationId xmlns:a16="http://schemas.microsoft.com/office/drawing/2014/main" id="{00000000-0008-0000-0100-000084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10</xdr:row>
      <xdr:rowOff>0</xdr:rowOff>
    </xdr:from>
    <xdr:ext cx="0" cy="172227"/>
    <xdr:sp macro="" textlink="">
      <xdr:nvSpPr>
        <xdr:cNvPr id="1157" name="TextBox 1156">
          <a:extLst>
            <a:ext uri="{FF2B5EF4-FFF2-40B4-BE49-F238E27FC236}">
              <a16:creationId xmlns:a16="http://schemas.microsoft.com/office/drawing/2014/main" id="{00000000-0008-0000-0100-000085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16</xdr:row>
      <xdr:rowOff>0</xdr:rowOff>
    </xdr:from>
    <xdr:ext cx="0" cy="172227"/>
    <xdr:sp macro="" textlink="">
      <xdr:nvSpPr>
        <xdr:cNvPr id="1158" name="TextBox 1157">
          <a:extLst>
            <a:ext uri="{FF2B5EF4-FFF2-40B4-BE49-F238E27FC236}">
              <a16:creationId xmlns:a16="http://schemas.microsoft.com/office/drawing/2014/main" id="{00000000-0008-0000-0100-000086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16</xdr:row>
      <xdr:rowOff>0</xdr:rowOff>
    </xdr:from>
    <xdr:ext cx="0" cy="172227"/>
    <xdr:sp macro="" textlink="">
      <xdr:nvSpPr>
        <xdr:cNvPr id="1159" name="TextBox 1158">
          <a:extLst>
            <a:ext uri="{FF2B5EF4-FFF2-40B4-BE49-F238E27FC236}">
              <a16:creationId xmlns:a16="http://schemas.microsoft.com/office/drawing/2014/main" id="{00000000-0008-0000-0100-000087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16</xdr:row>
      <xdr:rowOff>0</xdr:rowOff>
    </xdr:from>
    <xdr:ext cx="0" cy="172227"/>
    <xdr:sp macro="" textlink="">
      <xdr:nvSpPr>
        <xdr:cNvPr id="1160" name="TextBox 1159">
          <a:extLst>
            <a:ext uri="{FF2B5EF4-FFF2-40B4-BE49-F238E27FC236}">
              <a16:creationId xmlns:a16="http://schemas.microsoft.com/office/drawing/2014/main" id="{00000000-0008-0000-0100-000088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16</xdr:row>
      <xdr:rowOff>0</xdr:rowOff>
    </xdr:from>
    <xdr:ext cx="0" cy="172227"/>
    <xdr:sp macro="" textlink="">
      <xdr:nvSpPr>
        <xdr:cNvPr id="1161" name="TextBox 1160">
          <a:extLst>
            <a:ext uri="{FF2B5EF4-FFF2-40B4-BE49-F238E27FC236}">
              <a16:creationId xmlns:a16="http://schemas.microsoft.com/office/drawing/2014/main" id="{00000000-0008-0000-0100-000089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64</xdr:row>
      <xdr:rowOff>0</xdr:rowOff>
    </xdr:from>
    <xdr:ext cx="0" cy="172227"/>
    <xdr:sp macro="" textlink="">
      <xdr:nvSpPr>
        <xdr:cNvPr id="1162" name="TextBox 1161">
          <a:extLst>
            <a:ext uri="{FF2B5EF4-FFF2-40B4-BE49-F238E27FC236}">
              <a16:creationId xmlns:a16="http://schemas.microsoft.com/office/drawing/2014/main" id="{00000000-0008-0000-0100-00008A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64</xdr:row>
      <xdr:rowOff>0</xdr:rowOff>
    </xdr:from>
    <xdr:ext cx="0" cy="172227"/>
    <xdr:sp macro="" textlink="">
      <xdr:nvSpPr>
        <xdr:cNvPr id="1163" name="TextBox 1162">
          <a:extLst>
            <a:ext uri="{FF2B5EF4-FFF2-40B4-BE49-F238E27FC236}">
              <a16:creationId xmlns:a16="http://schemas.microsoft.com/office/drawing/2014/main" id="{00000000-0008-0000-0100-00008B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64</xdr:row>
      <xdr:rowOff>0</xdr:rowOff>
    </xdr:from>
    <xdr:ext cx="0" cy="172227"/>
    <xdr:sp macro="" textlink="">
      <xdr:nvSpPr>
        <xdr:cNvPr id="1164" name="TextBox 1163">
          <a:extLst>
            <a:ext uri="{FF2B5EF4-FFF2-40B4-BE49-F238E27FC236}">
              <a16:creationId xmlns:a16="http://schemas.microsoft.com/office/drawing/2014/main" id="{00000000-0008-0000-0100-00008C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64</xdr:row>
      <xdr:rowOff>0</xdr:rowOff>
    </xdr:from>
    <xdr:ext cx="0" cy="172227"/>
    <xdr:sp macro="" textlink="">
      <xdr:nvSpPr>
        <xdr:cNvPr id="1165" name="TextBox 1164">
          <a:extLst>
            <a:ext uri="{FF2B5EF4-FFF2-40B4-BE49-F238E27FC236}">
              <a16:creationId xmlns:a16="http://schemas.microsoft.com/office/drawing/2014/main" id="{00000000-0008-0000-0100-00008D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62</xdr:row>
      <xdr:rowOff>0</xdr:rowOff>
    </xdr:from>
    <xdr:ext cx="0" cy="172227"/>
    <xdr:sp macro="" textlink="">
      <xdr:nvSpPr>
        <xdr:cNvPr id="1166" name="TextBox 1165">
          <a:extLst>
            <a:ext uri="{FF2B5EF4-FFF2-40B4-BE49-F238E27FC236}">
              <a16:creationId xmlns:a16="http://schemas.microsoft.com/office/drawing/2014/main" id="{00000000-0008-0000-0100-00008E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62</xdr:row>
      <xdr:rowOff>0</xdr:rowOff>
    </xdr:from>
    <xdr:ext cx="0" cy="172227"/>
    <xdr:sp macro="" textlink="">
      <xdr:nvSpPr>
        <xdr:cNvPr id="1167" name="TextBox 1166">
          <a:extLst>
            <a:ext uri="{FF2B5EF4-FFF2-40B4-BE49-F238E27FC236}">
              <a16:creationId xmlns:a16="http://schemas.microsoft.com/office/drawing/2014/main" id="{00000000-0008-0000-0100-00008F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62</xdr:row>
      <xdr:rowOff>0</xdr:rowOff>
    </xdr:from>
    <xdr:ext cx="0" cy="172227"/>
    <xdr:sp macro="" textlink="">
      <xdr:nvSpPr>
        <xdr:cNvPr id="1168" name="TextBox 1167">
          <a:extLst>
            <a:ext uri="{FF2B5EF4-FFF2-40B4-BE49-F238E27FC236}">
              <a16:creationId xmlns:a16="http://schemas.microsoft.com/office/drawing/2014/main" id="{00000000-0008-0000-0100-000090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62</xdr:row>
      <xdr:rowOff>0</xdr:rowOff>
    </xdr:from>
    <xdr:ext cx="0" cy="172227"/>
    <xdr:sp macro="" textlink="">
      <xdr:nvSpPr>
        <xdr:cNvPr id="1169" name="TextBox 1168">
          <a:extLst>
            <a:ext uri="{FF2B5EF4-FFF2-40B4-BE49-F238E27FC236}">
              <a16:creationId xmlns:a16="http://schemas.microsoft.com/office/drawing/2014/main" id="{00000000-0008-0000-0100-000091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0" name="TextBox 1169">
          <a:extLst>
            <a:ext uri="{FF2B5EF4-FFF2-40B4-BE49-F238E27FC236}">
              <a16:creationId xmlns:a16="http://schemas.microsoft.com/office/drawing/2014/main" id="{00000000-0008-0000-0100-000092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1" name="TextBox 1170">
          <a:extLst>
            <a:ext uri="{FF2B5EF4-FFF2-40B4-BE49-F238E27FC236}">
              <a16:creationId xmlns:a16="http://schemas.microsoft.com/office/drawing/2014/main" id="{00000000-0008-0000-0100-000093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2" name="TextBox 1171">
          <a:extLst>
            <a:ext uri="{FF2B5EF4-FFF2-40B4-BE49-F238E27FC236}">
              <a16:creationId xmlns:a16="http://schemas.microsoft.com/office/drawing/2014/main" id="{00000000-0008-0000-0100-000094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3" name="TextBox 1172">
          <a:extLst>
            <a:ext uri="{FF2B5EF4-FFF2-40B4-BE49-F238E27FC236}">
              <a16:creationId xmlns:a16="http://schemas.microsoft.com/office/drawing/2014/main" id="{00000000-0008-0000-0100-000095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4" name="TextBox 1173">
          <a:extLst>
            <a:ext uri="{FF2B5EF4-FFF2-40B4-BE49-F238E27FC236}">
              <a16:creationId xmlns:a16="http://schemas.microsoft.com/office/drawing/2014/main" id="{00000000-0008-0000-0100-000096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5" name="TextBox 1174">
          <a:extLst>
            <a:ext uri="{FF2B5EF4-FFF2-40B4-BE49-F238E27FC236}">
              <a16:creationId xmlns:a16="http://schemas.microsoft.com/office/drawing/2014/main" id="{00000000-0008-0000-0100-000097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6" name="TextBox 1175">
          <a:extLst>
            <a:ext uri="{FF2B5EF4-FFF2-40B4-BE49-F238E27FC236}">
              <a16:creationId xmlns:a16="http://schemas.microsoft.com/office/drawing/2014/main" id="{00000000-0008-0000-0100-000098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7" name="TextBox 1176">
          <a:extLst>
            <a:ext uri="{FF2B5EF4-FFF2-40B4-BE49-F238E27FC236}">
              <a16:creationId xmlns:a16="http://schemas.microsoft.com/office/drawing/2014/main" id="{00000000-0008-0000-0100-000099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8" name="TextBox 1177">
          <a:extLst>
            <a:ext uri="{FF2B5EF4-FFF2-40B4-BE49-F238E27FC236}">
              <a16:creationId xmlns:a16="http://schemas.microsoft.com/office/drawing/2014/main" id="{00000000-0008-0000-0100-00009A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79" name="TextBox 1178">
          <a:extLst>
            <a:ext uri="{FF2B5EF4-FFF2-40B4-BE49-F238E27FC236}">
              <a16:creationId xmlns:a16="http://schemas.microsoft.com/office/drawing/2014/main" id="{00000000-0008-0000-0100-00009B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0" name="TextBox 1179">
          <a:extLst>
            <a:ext uri="{FF2B5EF4-FFF2-40B4-BE49-F238E27FC236}">
              <a16:creationId xmlns:a16="http://schemas.microsoft.com/office/drawing/2014/main" id="{00000000-0008-0000-0100-00009C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1" name="TextBox 1180">
          <a:extLst>
            <a:ext uri="{FF2B5EF4-FFF2-40B4-BE49-F238E27FC236}">
              <a16:creationId xmlns:a16="http://schemas.microsoft.com/office/drawing/2014/main" id="{00000000-0008-0000-0100-00009D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2" name="TextBox 1181">
          <a:extLst>
            <a:ext uri="{FF2B5EF4-FFF2-40B4-BE49-F238E27FC236}">
              <a16:creationId xmlns:a16="http://schemas.microsoft.com/office/drawing/2014/main" id="{00000000-0008-0000-0100-00009E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3" name="TextBox 1182">
          <a:extLst>
            <a:ext uri="{FF2B5EF4-FFF2-40B4-BE49-F238E27FC236}">
              <a16:creationId xmlns:a16="http://schemas.microsoft.com/office/drawing/2014/main" id="{00000000-0008-0000-0100-00009F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4" name="TextBox 1183">
          <a:extLst>
            <a:ext uri="{FF2B5EF4-FFF2-40B4-BE49-F238E27FC236}">
              <a16:creationId xmlns:a16="http://schemas.microsoft.com/office/drawing/2014/main" id="{00000000-0008-0000-0100-0000A0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5" name="TextBox 1184">
          <a:extLst>
            <a:ext uri="{FF2B5EF4-FFF2-40B4-BE49-F238E27FC236}">
              <a16:creationId xmlns:a16="http://schemas.microsoft.com/office/drawing/2014/main" id="{00000000-0008-0000-0100-0000A1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6" name="TextBox 1185">
          <a:extLst>
            <a:ext uri="{FF2B5EF4-FFF2-40B4-BE49-F238E27FC236}">
              <a16:creationId xmlns:a16="http://schemas.microsoft.com/office/drawing/2014/main" id="{00000000-0008-0000-0100-0000A2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7" name="TextBox 1186">
          <a:extLst>
            <a:ext uri="{FF2B5EF4-FFF2-40B4-BE49-F238E27FC236}">
              <a16:creationId xmlns:a16="http://schemas.microsoft.com/office/drawing/2014/main" id="{00000000-0008-0000-0100-0000A3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8" name="TextBox 1187">
          <a:extLst>
            <a:ext uri="{FF2B5EF4-FFF2-40B4-BE49-F238E27FC236}">
              <a16:creationId xmlns:a16="http://schemas.microsoft.com/office/drawing/2014/main" id="{00000000-0008-0000-0100-0000A4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89" name="TextBox 1188">
          <a:extLst>
            <a:ext uri="{FF2B5EF4-FFF2-40B4-BE49-F238E27FC236}">
              <a16:creationId xmlns:a16="http://schemas.microsoft.com/office/drawing/2014/main" id="{00000000-0008-0000-0100-0000A5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0" name="TextBox 1189">
          <a:extLst>
            <a:ext uri="{FF2B5EF4-FFF2-40B4-BE49-F238E27FC236}">
              <a16:creationId xmlns:a16="http://schemas.microsoft.com/office/drawing/2014/main" id="{00000000-0008-0000-0100-0000A6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1" name="TextBox 1190">
          <a:extLst>
            <a:ext uri="{FF2B5EF4-FFF2-40B4-BE49-F238E27FC236}">
              <a16:creationId xmlns:a16="http://schemas.microsoft.com/office/drawing/2014/main" id="{00000000-0008-0000-0100-0000A7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2" name="TextBox 1191">
          <a:extLst>
            <a:ext uri="{FF2B5EF4-FFF2-40B4-BE49-F238E27FC236}">
              <a16:creationId xmlns:a16="http://schemas.microsoft.com/office/drawing/2014/main" id="{00000000-0008-0000-0100-0000A8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3" name="TextBox 1192">
          <a:extLst>
            <a:ext uri="{FF2B5EF4-FFF2-40B4-BE49-F238E27FC236}">
              <a16:creationId xmlns:a16="http://schemas.microsoft.com/office/drawing/2014/main" id="{00000000-0008-0000-0100-0000A9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4" name="TextBox 1193">
          <a:extLst>
            <a:ext uri="{FF2B5EF4-FFF2-40B4-BE49-F238E27FC236}">
              <a16:creationId xmlns:a16="http://schemas.microsoft.com/office/drawing/2014/main" id="{00000000-0008-0000-0100-0000AA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5" name="TextBox 1194">
          <a:extLst>
            <a:ext uri="{FF2B5EF4-FFF2-40B4-BE49-F238E27FC236}">
              <a16:creationId xmlns:a16="http://schemas.microsoft.com/office/drawing/2014/main" id="{00000000-0008-0000-0100-0000AB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6" name="TextBox 1195">
          <a:extLst>
            <a:ext uri="{FF2B5EF4-FFF2-40B4-BE49-F238E27FC236}">
              <a16:creationId xmlns:a16="http://schemas.microsoft.com/office/drawing/2014/main" id="{00000000-0008-0000-0100-0000AC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7" name="TextBox 1196">
          <a:extLst>
            <a:ext uri="{FF2B5EF4-FFF2-40B4-BE49-F238E27FC236}">
              <a16:creationId xmlns:a16="http://schemas.microsoft.com/office/drawing/2014/main" id="{00000000-0008-0000-0100-0000AD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8" name="TextBox 1197">
          <a:extLst>
            <a:ext uri="{FF2B5EF4-FFF2-40B4-BE49-F238E27FC236}">
              <a16:creationId xmlns:a16="http://schemas.microsoft.com/office/drawing/2014/main" id="{00000000-0008-0000-0100-0000AE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199" name="TextBox 1198">
          <a:extLst>
            <a:ext uri="{FF2B5EF4-FFF2-40B4-BE49-F238E27FC236}">
              <a16:creationId xmlns:a16="http://schemas.microsoft.com/office/drawing/2014/main" id="{00000000-0008-0000-0100-0000AF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0" name="TextBox 1199">
          <a:extLst>
            <a:ext uri="{FF2B5EF4-FFF2-40B4-BE49-F238E27FC236}">
              <a16:creationId xmlns:a16="http://schemas.microsoft.com/office/drawing/2014/main" id="{00000000-0008-0000-0100-0000B0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1" name="TextBox 1200">
          <a:extLst>
            <a:ext uri="{FF2B5EF4-FFF2-40B4-BE49-F238E27FC236}">
              <a16:creationId xmlns:a16="http://schemas.microsoft.com/office/drawing/2014/main" id="{00000000-0008-0000-0100-0000B1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2" name="TextBox 1201">
          <a:extLst>
            <a:ext uri="{FF2B5EF4-FFF2-40B4-BE49-F238E27FC236}">
              <a16:creationId xmlns:a16="http://schemas.microsoft.com/office/drawing/2014/main" id="{00000000-0008-0000-0100-0000B2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3" name="TextBox 1202">
          <a:extLst>
            <a:ext uri="{FF2B5EF4-FFF2-40B4-BE49-F238E27FC236}">
              <a16:creationId xmlns:a16="http://schemas.microsoft.com/office/drawing/2014/main" id="{00000000-0008-0000-0100-0000B3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4" name="TextBox 1203">
          <a:extLst>
            <a:ext uri="{FF2B5EF4-FFF2-40B4-BE49-F238E27FC236}">
              <a16:creationId xmlns:a16="http://schemas.microsoft.com/office/drawing/2014/main" id="{00000000-0008-0000-0100-0000B4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5" name="TextBox 1204">
          <a:extLst>
            <a:ext uri="{FF2B5EF4-FFF2-40B4-BE49-F238E27FC236}">
              <a16:creationId xmlns:a16="http://schemas.microsoft.com/office/drawing/2014/main" id="{00000000-0008-0000-0100-0000B5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6" name="TextBox 1205">
          <a:extLst>
            <a:ext uri="{FF2B5EF4-FFF2-40B4-BE49-F238E27FC236}">
              <a16:creationId xmlns:a16="http://schemas.microsoft.com/office/drawing/2014/main" id="{00000000-0008-0000-0100-0000B6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7" name="TextBox 1206">
          <a:extLst>
            <a:ext uri="{FF2B5EF4-FFF2-40B4-BE49-F238E27FC236}">
              <a16:creationId xmlns:a16="http://schemas.microsoft.com/office/drawing/2014/main" id="{00000000-0008-0000-0100-0000B7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8" name="TextBox 1207">
          <a:extLst>
            <a:ext uri="{FF2B5EF4-FFF2-40B4-BE49-F238E27FC236}">
              <a16:creationId xmlns:a16="http://schemas.microsoft.com/office/drawing/2014/main" id="{00000000-0008-0000-0100-0000B8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09" name="TextBox 1208">
          <a:extLst>
            <a:ext uri="{FF2B5EF4-FFF2-40B4-BE49-F238E27FC236}">
              <a16:creationId xmlns:a16="http://schemas.microsoft.com/office/drawing/2014/main" id="{00000000-0008-0000-0100-0000B9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0" name="TextBox 1209">
          <a:extLst>
            <a:ext uri="{FF2B5EF4-FFF2-40B4-BE49-F238E27FC236}">
              <a16:creationId xmlns:a16="http://schemas.microsoft.com/office/drawing/2014/main" id="{00000000-0008-0000-0100-0000BA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1" name="TextBox 1210">
          <a:extLst>
            <a:ext uri="{FF2B5EF4-FFF2-40B4-BE49-F238E27FC236}">
              <a16:creationId xmlns:a16="http://schemas.microsoft.com/office/drawing/2014/main" id="{00000000-0008-0000-0100-0000BB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2" name="TextBox 1211">
          <a:extLst>
            <a:ext uri="{FF2B5EF4-FFF2-40B4-BE49-F238E27FC236}">
              <a16:creationId xmlns:a16="http://schemas.microsoft.com/office/drawing/2014/main" id="{00000000-0008-0000-0100-0000BC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3" name="TextBox 1212">
          <a:extLst>
            <a:ext uri="{FF2B5EF4-FFF2-40B4-BE49-F238E27FC236}">
              <a16:creationId xmlns:a16="http://schemas.microsoft.com/office/drawing/2014/main" id="{00000000-0008-0000-0100-0000BD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4" name="TextBox 1213">
          <a:extLst>
            <a:ext uri="{FF2B5EF4-FFF2-40B4-BE49-F238E27FC236}">
              <a16:creationId xmlns:a16="http://schemas.microsoft.com/office/drawing/2014/main" id="{00000000-0008-0000-0100-0000BE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5" name="TextBox 1214">
          <a:extLst>
            <a:ext uri="{FF2B5EF4-FFF2-40B4-BE49-F238E27FC236}">
              <a16:creationId xmlns:a16="http://schemas.microsoft.com/office/drawing/2014/main" id="{00000000-0008-0000-0100-0000BF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6" name="TextBox 1215">
          <a:extLst>
            <a:ext uri="{FF2B5EF4-FFF2-40B4-BE49-F238E27FC236}">
              <a16:creationId xmlns:a16="http://schemas.microsoft.com/office/drawing/2014/main" id="{00000000-0008-0000-0100-0000C0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1217" name="TextBox 1216">
          <a:extLst>
            <a:ext uri="{FF2B5EF4-FFF2-40B4-BE49-F238E27FC236}">
              <a16:creationId xmlns:a16="http://schemas.microsoft.com/office/drawing/2014/main" id="{00000000-0008-0000-0100-0000C1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18" name="TextBox 1217">
          <a:extLst>
            <a:ext uri="{FF2B5EF4-FFF2-40B4-BE49-F238E27FC236}">
              <a16:creationId xmlns:a16="http://schemas.microsoft.com/office/drawing/2014/main" id="{00000000-0008-0000-0100-0000C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19" name="TextBox 1218">
          <a:extLst>
            <a:ext uri="{FF2B5EF4-FFF2-40B4-BE49-F238E27FC236}">
              <a16:creationId xmlns:a16="http://schemas.microsoft.com/office/drawing/2014/main" id="{00000000-0008-0000-0100-0000C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0" name="TextBox 1219">
          <a:extLst>
            <a:ext uri="{FF2B5EF4-FFF2-40B4-BE49-F238E27FC236}">
              <a16:creationId xmlns:a16="http://schemas.microsoft.com/office/drawing/2014/main" id="{00000000-0008-0000-0100-0000C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1" name="TextBox 1220">
          <a:extLst>
            <a:ext uri="{FF2B5EF4-FFF2-40B4-BE49-F238E27FC236}">
              <a16:creationId xmlns:a16="http://schemas.microsoft.com/office/drawing/2014/main" id="{00000000-0008-0000-0100-0000C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2" name="TextBox 1221">
          <a:extLst>
            <a:ext uri="{FF2B5EF4-FFF2-40B4-BE49-F238E27FC236}">
              <a16:creationId xmlns:a16="http://schemas.microsoft.com/office/drawing/2014/main" id="{00000000-0008-0000-0100-0000C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3" name="TextBox 1222">
          <a:extLst>
            <a:ext uri="{FF2B5EF4-FFF2-40B4-BE49-F238E27FC236}">
              <a16:creationId xmlns:a16="http://schemas.microsoft.com/office/drawing/2014/main" id="{00000000-0008-0000-0100-0000C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4" name="TextBox 1223">
          <a:extLst>
            <a:ext uri="{FF2B5EF4-FFF2-40B4-BE49-F238E27FC236}">
              <a16:creationId xmlns:a16="http://schemas.microsoft.com/office/drawing/2014/main" id="{00000000-0008-0000-0100-0000C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5" name="TextBox 1224">
          <a:extLst>
            <a:ext uri="{FF2B5EF4-FFF2-40B4-BE49-F238E27FC236}">
              <a16:creationId xmlns:a16="http://schemas.microsoft.com/office/drawing/2014/main" id="{00000000-0008-0000-0100-0000C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6" name="TextBox 1225">
          <a:extLst>
            <a:ext uri="{FF2B5EF4-FFF2-40B4-BE49-F238E27FC236}">
              <a16:creationId xmlns:a16="http://schemas.microsoft.com/office/drawing/2014/main" id="{00000000-0008-0000-0100-0000C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7" name="TextBox 1226">
          <a:extLst>
            <a:ext uri="{FF2B5EF4-FFF2-40B4-BE49-F238E27FC236}">
              <a16:creationId xmlns:a16="http://schemas.microsoft.com/office/drawing/2014/main" id="{00000000-0008-0000-0100-0000C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8" name="TextBox 1227">
          <a:extLst>
            <a:ext uri="{FF2B5EF4-FFF2-40B4-BE49-F238E27FC236}">
              <a16:creationId xmlns:a16="http://schemas.microsoft.com/office/drawing/2014/main" id="{00000000-0008-0000-0100-0000C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29" name="TextBox 1228">
          <a:extLst>
            <a:ext uri="{FF2B5EF4-FFF2-40B4-BE49-F238E27FC236}">
              <a16:creationId xmlns:a16="http://schemas.microsoft.com/office/drawing/2014/main" id="{00000000-0008-0000-0100-0000C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0" name="TextBox 1229">
          <a:extLst>
            <a:ext uri="{FF2B5EF4-FFF2-40B4-BE49-F238E27FC236}">
              <a16:creationId xmlns:a16="http://schemas.microsoft.com/office/drawing/2014/main" id="{00000000-0008-0000-0100-0000C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1" name="TextBox 1230">
          <a:extLst>
            <a:ext uri="{FF2B5EF4-FFF2-40B4-BE49-F238E27FC236}">
              <a16:creationId xmlns:a16="http://schemas.microsoft.com/office/drawing/2014/main" id="{00000000-0008-0000-0100-0000C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2" name="TextBox 1231">
          <a:extLst>
            <a:ext uri="{FF2B5EF4-FFF2-40B4-BE49-F238E27FC236}">
              <a16:creationId xmlns:a16="http://schemas.microsoft.com/office/drawing/2014/main" id="{00000000-0008-0000-0100-0000D0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3" name="TextBox 1232">
          <a:extLst>
            <a:ext uri="{FF2B5EF4-FFF2-40B4-BE49-F238E27FC236}">
              <a16:creationId xmlns:a16="http://schemas.microsoft.com/office/drawing/2014/main" id="{00000000-0008-0000-0100-0000D1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4" name="TextBox 1233">
          <a:extLst>
            <a:ext uri="{FF2B5EF4-FFF2-40B4-BE49-F238E27FC236}">
              <a16:creationId xmlns:a16="http://schemas.microsoft.com/office/drawing/2014/main" id="{00000000-0008-0000-0100-0000D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5" name="TextBox 1234">
          <a:extLst>
            <a:ext uri="{FF2B5EF4-FFF2-40B4-BE49-F238E27FC236}">
              <a16:creationId xmlns:a16="http://schemas.microsoft.com/office/drawing/2014/main" id="{00000000-0008-0000-0100-0000D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6" name="TextBox 1235">
          <a:extLst>
            <a:ext uri="{FF2B5EF4-FFF2-40B4-BE49-F238E27FC236}">
              <a16:creationId xmlns:a16="http://schemas.microsoft.com/office/drawing/2014/main" id="{00000000-0008-0000-0100-0000D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7" name="TextBox 1236">
          <a:extLst>
            <a:ext uri="{FF2B5EF4-FFF2-40B4-BE49-F238E27FC236}">
              <a16:creationId xmlns:a16="http://schemas.microsoft.com/office/drawing/2014/main" id="{00000000-0008-0000-0100-0000D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8" name="TextBox 1237">
          <a:extLst>
            <a:ext uri="{FF2B5EF4-FFF2-40B4-BE49-F238E27FC236}">
              <a16:creationId xmlns:a16="http://schemas.microsoft.com/office/drawing/2014/main" id="{00000000-0008-0000-0100-0000D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39" name="TextBox 1238">
          <a:extLst>
            <a:ext uri="{FF2B5EF4-FFF2-40B4-BE49-F238E27FC236}">
              <a16:creationId xmlns:a16="http://schemas.microsoft.com/office/drawing/2014/main" id="{00000000-0008-0000-0100-0000D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0" name="TextBox 1239">
          <a:extLst>
            <a:ext uri="{FF2B5EF4-FFF2-40B4-BE49-F238E27FC236}">
              <a16:creationId xmlns:a16="http://schemas.microsoft.com/office/drawing/2014/main" id="{00000000-0008-0000-0100-0000D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1" name="TextBox 1240">
          <a:extLst>
            <a:ext uri="{FF2B5EF4-FFF2-40B4-BE49-F238E27FC236}">
              <a16:creationId xmlns:a16="http://schemas.microsoft.com/office/drawing/2014/main" id="{00000000-0008-0000-0100-0000D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2" name="TextBox 1241">
          <a:extLst>
            <a:ext uri="{FF2B5EF4-FFF2-40B4-BE49-F238E27FC236}">
              <a16:creationId xmlns:a16="http://schemas.microsoft.com/office/drawing/2014/main" id="{00000000-0008-0000-0100-0000D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3" name="TextBox 1242">
          <a:extLst>
            <a:ext uri="{FF2B5EF4-FFF2-40B4-BE49-F238E27FC236}">
              <a16:creationId xmlns:a16="http://schemas.microsoft.com/office/drawing/2014/main" id="{00000000-0008-0000-0100-0000D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4" name="TextBox 1243">
          <a:extLst>
            <a:ext uri="{FF2B5EF4-FFF2-40B4-BE49-F238E27FC236}">
              <a16:creationId xmlns:a16="http://schemas.microsoft.com/office/drawing/2014/main" id="{00000000-0008-0000-0100-0000D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5" name="TextBox 1244">
          <a:extLst>
            <a:ext uri="{FF2B5EF4-FFF2-40B4-BE49-F238E27FC236}">
              <a16:creationId xmlns:a16="http://schemas.microsoft.com/office/drawing/2014/main" id="{00000000-0008-0000-0100-0000D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6" name="TextBox 1245">
          <a:extLst>
            <a:ext uri="{FF2B5EF4-FFF2-40B4-BE49-F238E27FC236}">
              <a16:creationId xmlns:a16="http://schemas.microsoft.com/office/drawing/2014/main" id="{00000000-0008-0000-0100-0000D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7" name="TextBox 1246">
          <a:extLst>
            <a:ext uri="{FF2B5EF4-FFF2-40B4-BE49-F238E27FC236}">
              <a16:creationId xmlns:a16="http://schemas.microsoft.com/office/drawing/2014/main" id="{00000000-0008-0000-0100-0000D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8" name="TextBox 1247">
          <a:extLst>
            <a:ext uri="{FF2B5EF4-FFF2-40B4-BE49-F238E27FC236}">
              <a16:creationId xmlns:a16="http://schemas.microsoft.com/office/drawing/2014/main" id="{00000000-0008-0000-0100-0000E0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49" name="TextBox 1248">
          <a:extLst>
            <a:ext uri="{FF2B5EF4-FFF2-40B4-BE49-F238E27FC236}">
              <a16:creationId xmlns:a16="http://schemas.microsoft.com/office/drawing/2014/main" id="{00000000-0008-0000-0100-0000E1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0" name="TextBox 1249">
          <a:extLst>
            <a:ext uri="{FF2B5EF4-FFF2-40B4-BE49-F238E27FC236}">
              <a16:creationId xmlns:a16="http://schemas.microsoft.com/office/drawing/2014/main" id="{00000000-0008-0000-0100-0000E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1" name="TextBox 1250">
          <a:extLst>
            <a:ext uri="{FF2B5EF4-FFF2-40B4-BE49-F238E27FC236}">
              <a16:creationId xmlns:a16="http://schemas.microsoft.com/office/drawing/2014/main" id="{00000000-0008-0000-0100-0000E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2" name="TextBox 1251">
          <a:extLst>
            <a:ext uri="{FF2B5EF4-FFF2-40B4-BE49-F238E27FC236}">
              <a16:creationId xmlns:a16="http://schemas.microsoft.com/office/drawing/2014/main" id="{00000000-0008-0000-0100-0000E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3" name="TextBox 1252">
          <a:extLst>
            <a:ext uri="{FF2B5EF4-FFF2-40B4-BE49-F238E27FC236}">
              <a16:creationId xmlns:a16="http://schemas.microsoft.com/office/drawing/2014/main" id="{00000000-0008-0000-0100-0000E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4" name="TextBox 1253">
          <a:extLst>
            <a:ext uri="{FF2B5EF4-FFF2-40B4-BE49-F238E27FC236}">
              <a16:creationId xmlns:a16="http://schemas.microsoft.com/office/drawing/2014/main" id="{00000000-0008-0000-0100-0000E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5" name="TextBox 1254">
          <a:extLst>
            <a:ext uri="{FF2B5EF4-FFF2-40B4-BE49-F238E27FC236}">
              <a16:creationId xmlns:a16="http://schemas.microsoft.com/office/drawing/2014/main" id="{00000000-0008-0000-0100-0000E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6" name="TextBox 1255">
          <a:extLst>
            <a:ext uri="{FF2B5EF4-FFF2-40B4-BE49-F238E27FC236}">
              <a16:creationId xmlns:a16="http://schemas.microsoft.com/office/drawing/2014/main" id="{00000000-0008-0000-0100-0000E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7" name="TextBox 1256">
          <a:extLst>
            <a:ext uri="{FF2B5EF4-FFF2-40B4-BE49-F238E27FC236}">
              <a16:creationId xmlns:a16="http://schemas.microsoft.com/office/drawing/2014/main" id="{00000000-0008-0000-0100-0000E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8" name="TextBox 1257">
          <a:extLst>
            <a:ext uri="{FF2B5EF4-FFF2-40B4-BE49-F238E27FC236}">
              <a16:creationId xmlns:a16="http://schemas.microsoft.com/office/drawing/2014/main" id="{00000000-0008-0000-0100-0000E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59" name="TextBox 1258">
          <a:extLst>
            <a:ext uri="{FF2B5EF4-FFF2-40B4-BE49-F238E27FC236}">
              <a16:creationId xmlns:a16="http://schemas.microsoft.com/office/drawing/2014/main" id="{00000000-0008-0000-0100-0000E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0" name="TextBox 1259">
          <a:extLst>
            <a:ext uri="{FF2B5EF4-FFF2-40B4-BE49-F238E27FC236}">
              <a16:creationId xmlns:a16="http://schemas.microsoft.com/office/drawing/2014/main" id="{00000000-0008-0000-0100-0000E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1" name="TextBox 1260">
          <a:extLst>
            <a:ext uri="{FF2B5EF4-FFF2-40B4-BE49-F238E27FC236}">
              <a16:creationId xmlns:a16="http://schemas.microsoft.com/office/drawing/2014/main" id="{00000000-0008-0000-0100-0000E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2" name="TextBox 1261">
          <a:extLst>
            <a:ext uri="{FF2B5EF4-FFF2-40B4-BE49-F238E27FC236}">
              <a16:creationId xmlns:a16="http://schemas.microsoft.com/office/drawing/2014/main" id="{00000000-0008-0000-0100-0000E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3" name="TextBox 1262">
          <a:extLst>
            <a:ext uri="{FF2B5EF4-FFF2-40B4-BE49-F238E27FC236}">
              <a16:creationId xmlns:a16="http://schemas.microsoft.com/office/drawing/2014/main" id="{00000000-0008-0000-0100-0000E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4" name="TextBox 1263">
          <a:extLst>
            <a:ext uri="{FF2B5EF4-FFF2-40B4-BE49-F238E27FC236}">
              <a16:creationId xmlns:a16="http://schemas.microsoft.com/office/drawing/2014/main" id="{00000000-0008-0000-0100-0000F0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5" name="TextBox 1264">
          <a:extLst>
            <a:ext uri="{FF2B5EF4-FFF2-40B4-BE49-F238E27FC236}">
              <a16:creationId xmlns:a16="http://schemas.microsoft.com/office/drawing/2014/main" id="{00000000-0008-0000-0100-0000F1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6" name="TextBox 1265">
          <a:extLst>
            <a:ext uri="{FF2B5EF4-FFF2-40B4-BE49-F238E27FC236}">
              <a16:creationId xmlns:a16="http://schemas.microsoft.com/office/drawing/2014/main" id="{00000000-0008-0000-0100-0000F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7" name="TextBox 1266">
          <a:extLst>
            <a:ext uri="{FF2B5EF4-FFF2-40B4-BE49-F238E27FC236}">
              <a16:creationId xmlns:a16="http://schemas.microsoft.com/office/drawing/2014/main" id="{00000000-0008-0000-0100-0000F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8" name="TextBox 1267">
          <a:extLst>
            <a:ext uri="{FF2B5EF4-FFF2-40B4-BE49-F238E27FC236}">
              <a16:creationId xmlns:a16="http://schemas.microsoft.com/office/drawing/2014/main" id="{00000000-0008-0000-0100-0000F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69" name="TextBox 1268">
          <a:extLst>
            <a:ext uri="{FF2B5EF4-FFF2-40B4-BE49-F238E27FC236}">
              <a16:creationId xmlns:a16="http://schemas.microsoft.com/office/drawing/2014/main" id="{00000000-0008-0000-0100-0000F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0" name="TextBox 1269">
          <a:extLst>
            <a:ext uri="{FF2B5EF4-FFF2-40B4-BE49-F238E27FC236}">
              <a16:creationId xmlns:a16="http://schemas.microsoft.com/office/drawing/2014/main" id="{00000000-0008-0000-0100-0000F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1" name="TextBox 1270">
          <a:extLst>
            <a:ext uri="{FF2B5EF4-FFF2-40B4-BE49-F238E27FC236}">
              <a16:creationId xmlns:a16="http://schemas.microsoft.com/office/drawing/2014/main" id="{00000000-0008-0000-0100-0000F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2" name="TextBox 1271">
          <a:extLst>
            <a:ext uri="{FF2B5EF4-FFF2-40B4-BE49-F238E27FC236}">
              <a16:creationId xmlns:a16="http://schemas.microsoft.com/office/drawing/2014/main" id="{00000000-0008-0000-0100-0000F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3" name="TextBox 1272">
          <a:extLst>
            <a:ext uri="{FF2B5EF4-FFF2-40B4-BE49-F238E27FC236}">
              <a16:creationId xmlns:a16="http://schemas.microsoft.com/office/drawing/2014/main" id="{00000000-0008-0000-0100-0000F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4" name="TextBox 1273">
          <a:extLst>
            <a:ext uri="{FF2B5EF4-FFF2-40B4-BE49-F238E27FC236}">
              <a16:creationId xmlns:a16="http://schemas.microsoft.com/office/drawing/2014/main" id="{00000000-0008-0000-0100-0000F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5" name="TextBox 1274">
          <a:extLst>
            <a:ext uri="{FF2B5EF4-FFF2-40B4-BE49-F238E27FC236}">
              <a16:creationId xmlns:a16="http://schemas.microsoft.com/office/drawing/2014/main" id="{00000000-0008-0000-0100-0000F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6" name="TextBox 1275">
          <a:extLst>
            <a:ext uri="{FF2B5EF4-FFF2-40B4-BE49-F238E27FC236}">
              <a16:creationId xmlns:a16="http://schemas.microsoft.com/office/drawing/2014/main" id="{00000000-0008-0000-0100-0000F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7" name="TextBox 1276">
          <a:extLst>
            <a:ext uri="{FF2B5EF4-FFF2-40B4-BE49-F238E27FC236}">
              <a16:creationId xmlns:a16="http://schemas.microsoft.com/office/drawing/2014/main" id="{00000000-0008-0000-0100-0000F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8" name="TextBox 1277">
          <a:extLst>
            <a:ext uri="{FF2B5EF4-FFF2-40B4-BE49-F238E27FC236}">
              <a16:creationId xmlns:a16="http://schemas.microsoft.com/office/drawing/2014/main" id="{00000000-0008-0000-0100-0000F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79" name="TextBox 1278">
          <a:extLst>
            <a:ext uri="{FF2B5EF4-FFF2-40B4-BE49-F238E27FC236}">
              <a16:creationId xmlns:a16="http://schemas.microsoft.com/office/drawing/2014/main" id="{00000000-0008-0000-0100-0000F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0" name="TextBox 1279">
          <a:extLst>
            <a:ext uri="{FF2B5EF4-FFF2-40B4-BE49-F238E27FC236}">
              <a16:creationId xmlns:a16="http://schemas.microsoft.com/office/drawing/2014/main" id="{00000000-0008-0000-0100-00000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1" name="TextBox 1280">
          <a:extLst>
            <a:ext uri="{FF2B5EF4-FFF2-40B4-BE49-F238E27FC236}">
              <a16:creationId xmlns:a16="http://schemas.microsoft.com/office/drawing/2014/main" id="{00000000-0008-0000-0100-00000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2" name="TextBox 1281">
          <a:extLst>
            <a:ext uri="{FF2B5EF4-FFF2-40B4-BE49-F238E27FC236}">
              <a16:creationId xmlns:a16="http://schemas.microsoft.com/office/drawing/2014/main" id="{00000000-0008-0000-0100-00000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3" name="TextBox 1282">
          <a:extLst>
            <a:ext uri="{FF2B5EF4-FFF2-40B4-BE49-F238E27FC236}">
              <a16:creationId xmlns:a16="http://schemas.microsoft.com/office/drawing/2014/main" id="{00000000-0008-0000-0100-00000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4" name="TextBox 1283">
          <a:extLst>
            <a:ext uri="{FF2B5EF4-FFF2-40B4-BE49-F238E27FC236}">
              <a16:creationId xmlns:a16="http://schemas.microsoft.com/office/drawing/2014/main" id="{00000000-0008-0000-0100-00000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5" name="TextBox 1284">
          <a:extLst>
            <a:ext uri="{FF2B5EF4-FFF2-40B4-BE49-F238E27FC236}">
              <a16:creationId xmlns:a16="http://schemas.microsoft.com/office/drawing/2014/main" id="{00000000-0008-0000-0100-00000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6" name="TextBox 1285">
          <a:extLst>
            <a:ext uri="{FF2B5EF4-FFF2-40B4-BE49-F238E27FC236}">
              <a16:creationId xmlns:a16="http://schemas.microsoft.com/office/drawing/2014/main" id="{00000000-0008-0000-0100-00000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7" name="TextBox 1286">
          <a:extLst>
            <a:ext uri="{FF2B5EF4-FFF2-40B4-BE49-F238E27FC236}">
              <a16:creationId xmlns:a16="http://schemas.microsoft.com/office/drawing/2014/main" id="{00000000-0008-0000-0100-00000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8" name="TextBox 1287">
          <a:extLst>
            <a:ext uri="{FF2B5EF4-FFF2-40B4-BE49-F238E27FC236}">
              <a16:creationId xmlns:a16="http://schemas.microsoft.com/office/drawing/2014/main" id="{00000000-0008-0000-0100-00000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89" name="TextBox 1288">
          <a:extLst>
            <a:ext uri="{FF2B5EF4-FFF2-40B4-BE49-F238E27FC236}">
              <a16:creationId xmlns:a16="http://schemas.microsoft.com/office/drawing/2014/main" id="{00000000-0008-0000-0100-00000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0" name="TextBox 1289">
          <a:extLst>
            <a:ext uri="{FF2B5EF4-FFF2-40B4-BE49-F238E27FC236}">
              <a16:creationId xmlns:a16="http://schemas.microsoft.com/office/drawing/2014/main" id="{00000000-0008-0000-0100-00000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1" name="TextBox 1290">
          <a:extLst>
            <a:ext uri="{FF2B5EF4-FFF2-40B4-BE49-F238E27FC236}">
              <a16:creationId xmlns:a16="http://schemas.microsoft.com/office/drawing/2014/main" id="{00000000-0008-0000-0100-00000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2" name="TextBox 1291">
          <a:extLst>
            <a:ext uri="{FF2B5EF4-FFF2-40B4-BE49-F238E27FC236}">
              <a16:creationId xmlns:a16="http://schemas.microsoft.com/office/drawing/2014/main" id="{00000000-0008-0000-0100-00000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3" name="TextBox 1292">
          <a:extLst>
            <a:ext uri="{FF2B5EF4-FFF2-40B4-BE49-F238E27FC236}">
              <a16:creationId xmlns:a16="http://schemas.microsoft.com/office/drawing/2014/main" id="{00000000-0008-0000-0100-00000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4" name="TextBox 1293">
          <a:extLst>
            <a:ext uri="{FF2B5EF4-FFF2-40B4-BE49-F238E27FC236}">
              <a16:creationId xmlns:a16="http://schemas.microsoft.com/office/drawing/2014/main" id="{00000000-0008-0000-0100-00000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5" name="TextBox 1294">
          <a:extLst>
            <a:ext uri="{FF2B5EF4-FFF2-40B4-BE49-F238E27FC236}">
              <a16:creationId xmlns:a16="http://schemas.microsoft.com/office/drawing/2014/main" id="{00000000-0008-0000-0100-00000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6" name="TextBox 1295">
          <a:extLst>
            <a:ext uri="{FF2B5EF4-FFF2-40B4-BE49-F238E27FC236}">
              <a16:creationId xmlns:a16="http://schemas.microsoft.com/office/drawing/2014/main" id="{00000000-0008-0000-0100-00001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7" name="TextBox 1296">
          <a:extLst>
            <a:ext uri="{FF2B5EF4-FFF2-40B4-BE49-F238E27FC236}">
              <a16:creationId xmlns:a16="http://schemas.microsoft.com/office/drawing/2014/main" id="{00000000-0008-0000-0100-00001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8" name="TextBox 1297">
          <a:extLst>
            <a:ext uri="{FF2B5EF4-FFF2-40B4-BE49-F238E27FC236}">
              <a16:creationId xmlns:a16="http://schemas.microsoft.com/office/drawing/2014/main" id="{00000000-0008-0000-0100-00001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299" name="TextBox 1298">
          <a:extLst>
            <a:ext uri="{FF2B5EF4-FFF2-40B4-BE49-F238E27FC236}">
              <a16:creationId xmlns:a16="http://schemas.microsoft.com/office/drawing/2014/main" id="{00000000-0008-0000-0100-00001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0" name="TextBox 1299">
          <a:extLst>
            <a:ext uri="{FF2B5EF4-FFF2-40B4-BE49-F238E27FC236}">
              <a16:creationId xmlns:a16="http://schemas.microsoft.com/office/drawing/2014/main" id="{00000000-0008-0000-0100-00001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1" name="TextBox 1300">
          <a:extLst>
            <a:ext uri="{FF2B5EF4-FFF2-40B4-BE49-F238E27FC236}">
              <a16:creationId xmlns:a16="http://schemas.microsoft.com/office/drawing/2014/main" id="{00000000-0008-0000-0100-00001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2" name="TextBox 1301">
          <a:extLst>
            <a:ext uri="{FF2B5EF4-FFF2-40B4-BE49-F238E27FC236}">
              <a16:creationId xmlns:a16="http://schemas.microsoft.com/office/drawing/2014/main" id="{00000000-0008-0000-0100-00001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3" name="TextBox 1302">
          <a:extLst>
            <a:ext uri="{FF2B5EF4-FFF2-40B4-BE49-F238E27FC236}">
              <a16:creationId xmlns:a16="http://schemas.microsoft.com/office/drawing/2014/main" id="{00000000-0008-0000-0100-00001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4" name="TextBox 1303">
          <a:extLst>
            <a:ext uri="{FF2B5EF4-FFF2-40B4-BE49-F238E27FC236}">
              <a16:creationId xmlns:a16="http://schemas.microsoft.com/office/drawing/2014/main" id="{00000000-0008-0000-0100-00001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5" name="TextBox 1304">
          <a:extLst>
            <a:ext uri="{FF2B5EF4-FFF2-40B4-BE49-F238E27FC236}">
              <a16:creationId xmlns:a16="http://schemas.microsoft.com/office/drawing/2014/main" id="{00000000-0008-0000-0100-00001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6" name="TextBox 1305">
          <a:extLst>
            <a:ext uri="{FF2B5EF4-FFF2-40B4-BE49-F238E27FC236}">
              <a16:creationId xmlns:a16="http://schemas.microsoft.com/office/drawing/2014/main" id="{00000000-0008-0000-0100-00001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7" name="TextBox 1306">
          <a:extLst>
            <a:ext uri="{FF2B5EF4-FFF2-40B4-BE49-F238E27FC236}">
              <a16:creationId xmlns:a16="http://schemas.microsoft.com/office/drawing/2014/main" id="{00000000-0008-0000-0100-00001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8" name="TextBox 1307">
          <a:extLst>
            <a:ext uri="{FF2B5EF4-FFF2-40B4-BE49-F238E27FC236}">
              <a16:creationId xmlns:a16="http://schemas.microsoft.com/office/drawing/2014/main" id="{00000000-0008-0000-0100-00001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09" name="TextBox 1308">
          <a:extLst>
            <a:ext uri="{FF2B5EF4-FFF2-40B4-BE49-F238E27FC236}">
              <a16:creationId xmlns:a16="http://schemas.microsoft.com/office/drawing/2014/main" id="{00000000-0008-0000-0100-00001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0" name="TextBox 1309">
          <a:extLst>
            <a:ext uri="{FF2B5EF4-FFF2-40B4-BE49-F238E27FC236}">
              <a16:creationId xmlns:a16="http://schemas.microsoft.com/office/drawing/2014/main" id="{00000000-0008-0000-0100-00001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1" name="TextBox 1310">
          <a:extLst>
            <a:ext uri="{FF2B5EF4-FFF2-40B4-BE49-F238E27FC236}">
              <a16:creationId xmlns:a16="http://schemas.microsoft.com/office/drawing/2014/main" id="{00000000-0008-0000-0100-00001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2" name="TextBox 1311">
          <a:extLst>
            <a:ext uri="{FF2B5EF4-FFF2-40B4-BE49-F238E27FC236}">
              <a16:creationId xmlns:a16="http://schemas.microsoft.com/office/drawing/2014/main" id="{00000000-0008-0000-0100-00002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3" name="TextBox 1312">
          <a:extLst>
            <a:ext uri="{FF2B5EF4-FFF2-40B4-BE49-F238E27FC236}">
              <a16:creationId xmlns:a16="http://schemas.microsoft.com/office/drawing/2014/main" id="{00000000-0008-0000-0100-00002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4" name="TextBox 1313">
          <a:extLst>
            <a:ext uri="{FF2B5EF4-FFF2-40B4-BE49-F238E27FC236}">
              <a16:creationId xmlns:a16="http://schemas.microsoft.com/office/drawing/2014/main" id="{00000000-0008-0000-0100-00002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5" name="TextBox 1314">
          <a:extLst>
            <a:ext uri="{FF2B5EF4-FFF2-40B4-BE49-F238E27FC236}">
              <a16:creationId xmlns:a16="http://schemas.microsoft.com/office/drawing/2014/main" id="{00000000-0008-0000-0100-00002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6" name="TextBox 1315">
          <a:extLst>
            <a:ext uri="{FF2B5EF4-FFF2-40B4-BE49-F238E27FC236}">
              <a16:creationId xmlns:a16="http://schemas.microsoft.com/office/drawing/2014/main" id="{00000000-0008-0000-0100-00002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7" name="TextBox 1316">
          <a:extLst>
            <a:ext uri="{FF2B5EF4-FFF2-40B4-BE49-F238E27FC236}">
              <a16:creationId xmlns:a16="http://schemas.microsoft.com/office/drawing/2014/main" id="{00000000-0008-0000-0100-00002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8" name="TextBox 1317">
          <a:extLst>
            <a:ext uri="{FF2B5EF4-FFF2-40B4-BE49-F238E27FC236}">
              <a16:creationId xmlns:a16="http://schemas.microsoft.com/office/drawing/2014/main" id="{00000000-0008-0000-0100-00002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19" name="TextBox 1318">
          <a:extLst>
            <a:ext uri="{FF2B5EF4-FFF2-40B4-BE49-F238E27FC236}">
              <a16:creationId xmlns:a16="http://schemas.microsoft.com/office/drawing/2014/main" id="{00000000-0008-0000-0100-00002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0" name="TextBox 1319">
          <a:extLst>
            <a:ext uri="{FF2B5EF4-FFF2-40B4-BE49-F238E27FC236}">
              <a16:creationId xmlns:a16="http://schemas.microsoft.com/office/drawing/2014/main" id="{00000000-0008-0000-0100-00002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1" name="TextBox 1320">
          <a:extLst>
            <a:ext uri="{FF2B5EF4-FFF2-40B4-BE49-F238E27FC236}">
              <a16:creationId xmlns:a16="http://schemas.microsoft.com/office/drawing/2014/main" id="{00000000-0008-0000-0100-00002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2" name="TextBox 1321">
          <a:extLst>
            <a:ext uri="{FF2B5EF4-FFF2-40B4-BE49-F238E27FC236}">
              <a16:creationId xmlns:a16="http://schemas.microsoft.com/office/drawing/2014/main" id="{00000000-0008-0000-0100-00002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3" name="TextBox 1322">
          <a:extLst>
            <a:ext uri="{FF2B5EF4-FFF2-40B4-BE49-F238E27FC236}">
              <a16:creationId xmlns:a16="http://schemas.microsoft.com/office/drawing/2014/main" id="{00000000-0008-0000-0100-00002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4" name="TextBox 1323">
          <a:extLst>
            <a:ext uri="{FF2B5EF4-FFF2-40B4-BE49-F238E27FC236}">
              <a16:creationId xmlns:a16="http://schemas.microsoft.com/office/drawing/2014/main" id="{00000000-0008-0000-0100-00002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5" name="TextBox 1324">
          <a:extLst>
            <a:ext uri="{FF2B5EF4-FFF2-40B4-BE49-F238E27FC236}">
              <a16:creationId xmlns:a16="http://schemas.microsoft.com/office/drawing/2014/main" id="{00000000-0008-0000-0100-00002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6" name="TextBox 1325">
          <a:extLst>
            <a:ext uri="{FF2B5EF4-FFF2-40B4-BE49-F238E27FC236}">
              <a16:creationId xmlns:a16="http://schemas.microsoft.com/office/drawing/2014/main" id="{00000000-0008-0000-0100-00002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7" name="TextBox 1326">
          <a:extLst>
            <a:ext uri="{FF2B5EF4-FFF2-40B4-BE49-F238E27FC236}">
              <a16:creationId xmlns:a16="http://schemas.microsoft.com/office/drawing/2014/main" id="{00000000-0008-0000-0100-00002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8" name="TextBox 1327">
          <a:extLst>
            <a:ext uri="{FF2B5EF4-FFF2-40B4-BE49-F238E27FC236}">
              <a16:creationId xmlns:a16="http://schemas.microsoft.com/office/drawing/2014/main" id="{00000000-0008-0000-0100-00003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29" name="TextBox 1328">
          <a:extLst>
            <a:ext uri="{FF2B5EF4-FFF2-40B4-BE49-F238E27FC236}">
              <a16:creationId xmlns:a16="http://schemas.microsoft.com/office/drawing/2014/main" id="{00000000-0008-0000-0100-00003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0" name="TextBox 1329">
          <a:extLst>
            <a:ext uri="{FF2B5EF4-FFF2-40B4-BE49-F238E27FC236}">
              <a16:creationId xmlns:a16="http://schemas.microsoft.com/office/drawing/2014/main" id="{00000000-0008-0000-0100-00003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1" name="TextBox 1330">
          <a:extLst>
            <a:ext uri="{FF2B5EF4-FFF2-40B4-BE49-F238E27FC236}">
              <a16:creationId xmlns:a16="http://schemas.microsoft.com/office/drawing/2014/main" id="{00000000-0008-0000-0100-00003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2" name="TextBox 1331">
          <a:extLst>
            <a:ext uri="{FF2B5EF4-FFF2-40B4-BE49-F238E27FC236}">
              <a16:creationId xmlns:a16="http://schemas.microsoft.com/office/drawing/2014/main" id="{00000000-0008-0000-0100-00003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3" name="TextBox 1332">
          <a:extLst>
            <a:ext uri="{FF2B5EF4-FFF2-40B4-BE49-F238E27FC236}">
              <a16:creationId xmlns:a16="http://schemas.microsoft.com/office/drawing/2014/main" id="{00000000-0008-0000-0100-00003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4" name="TextBox 1333">
          <a:extLst>
            <a:ext uri="{FF2B5EF4-FFF2-40B4-BE49-F238E27FC236}">
              <a16:creationId xmlns:a16="http://schemas.microsoft.com/office/drawing/2014/main" id="{00000000-0008-0000-0100-00003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5" name="TextBox 1334">
          <a:extLst>
            <a:ext uri="{FF2B5EF4-FFF2-40B4-BE49-F238E27FC236}">
              <a16:creationId xmlns:a16="http://schemas.microsoft.com/office/drawing/2014/main" id="{00000000-0008-0000-0100-00003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6" name="TextBox 1335">
          <a:extLst>
            <a:ext uri="{FF2B5EF4-FFF2-40B4-BE49-F238E27FC236}">
              <a16:creationId xmlns:a16="http://schemas.microsoft.com/office/drawing/2014/main" id="{00000000-0008-0000-0100-00003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7" name="TextBox 1336">
          <a:extLst>
            <a:ext uri="{FF2B5EF4-FFF2-40B4-BE49-F238E27FC236}">
              <a16:creationId xmlns:a16="http://schemas.microsoft.com/office/drawing/2014/main" id="{00000000-0008-0000-0100-00003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8" name="TextBox 1337">
          <a:extLst>
            <a:ext uri="{FF2B5EF4-FFF2-40B4-BE49-F238E27FC236}">
              <a16:creationId xmlns:a16="http://schemas.microsoft.com/office/drawing/2014/main" id="{00000000-0008-0000-0100-00003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39" name="TextBox 1338">
          <a:extLst>
            <a:ext uri="{FF2B5EF4-FFF2-40B4-BE49-F238E27FC236}">
              <a16:creationId xmlns:a16="http://schemas.microsoft.com/office/drawing/2014/main" id="{00000000-0008-0000-0100-00003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0" name="TextBox 1339">
          <a:extLst>
            <a:ext uri="{FF2B5EF4-FFF2-40B4-BE49-F238E27FC236}">
              <a16:creationId xmlns:a16="http://schemas.microsoft.com/office/drawing/2014/main" id="{00000000-0008-0000-0100-00003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1" name="TextBox 1340">
          <a:extLst>
            <a:ext uri="{FF2B5EF4-FFF2-40B4-BE49-F238E27FC236}">
              <a16:creationId xmlns:a16="http://schemas.microsoft.com/office/drawing/2014/main" id="{00000000-0008-0000-0100-00003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2" name="TextBox 1341">
          <a:extLst>
            <a:ext uri="{FF2B5EF4-FFF2-40B4-BE49-F238E27FC236}">
              <a16:creationId xmlns:a16="http://schemas.microsoft.com/office/drawing/2014/main" id="{00000000-0008-0000-0100-00003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3" name="TextBox 1342">
          <a:extLst>
            <a:ext uri="{FF2B5EF4-FFF2-40B4-BE49-F238E27FC236}">
              <a16:creationId xmlns:a16="http://schemas.microsoft.com/office/drawing/2014/main" id="{00000000-0008-0000-0100-00003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4" name="TextBox 1343">
          <a:extLst>
            <a:ext uri="{FF2B5EF4-FFF2-40B4-BE49-F238E27FC236}">
              <a16:creationId xmlns:a16="http://schemas.microsoft.com/office/drawing/2014/main" id="{00000000-0008-0000-0100-00004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5" name="TextBox 1344">
          <a:extLst>
            <a:ext uri="{FF2B5EF4-FFF2-40B4-BE49-F238E27FC236}">
              <a16:creationId xmlns:a16="http://schemas.microsoft.com/office/drawing/2014/main" id="{00000000-0008-0000-0100-00004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6" name="TextBox 1345">
          <a:extLst>
            <a:ext uri="{FF2B5EF4-FFF2-40B4-BE49-F238E27FC236}">
              <a16:creationId xmlns:a16="http://schemas.microsoft.com/office/drawing/2014/main" id="{00000000-0008-0000-0100-00004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7" name="TextBox 1346">
          <a:extLst>
            <a:ext uri="{FF2B5EF4-FFF2-40B4-BE49-F238E27FC236}">
              <a16:creationId xmlns:a16="http://schemas.microsoft.com/office/drawing/2014/main" id="{00000000-0008-0000-0100-00004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8" name="TextBox 1347">
          <a:extLst>
            <a:ext uri="{FF2B5EF4-FFF2-40B4-BE49-F238E27FC236}">
              <a16:creationId xmlns:a16="http://schemas.microsoft.com/office/drawing/2014/main" id="{00000000-0008-0000-0100-00004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49" name="TextBox 1348">
          <a:extLst>
            <a:ext uri="{FF2B5EF4-FFF2-40B4-BE49-F238E27FC236}">
              <a16:creationId xmlns:a16="http://schemas.microsoft.com/office/drawing/2014/main" id="{00000000-0008-0000-0100-00004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0" name="TextBox 1349">
          <a:extLst>
            <a:ext uri="{FF2B5EF4-FFF2-40B4-BE49-F238E27FC236}">
              <a16:creationId xmlns:a16="http://schemas.microsoft.com/office/drawing/2014/main" id="{00000000-0008-0000-0100-00004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1" name="TextBox 1350">
          <a:extLst>
            <a:ext uri="{FF2B5EF4-FFF2-40B4-BE49-F238E27FC236}">
              <a16:creationId xmlns:a16="http://schemas.microsoft.com/office/drawing/2014/main" id="{00000000-0008-0000-0100-00004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2" name="TextBox 1351">
          <a:extLst>
            <a:ext uri="{FF2B5EF4-FFF2-40B4-BE49-F238E27FC236}">
              <a16:creationId xmlns:a16="http://schemas.microsoft.com/office/drawing/2014/main" id="{00000000-0008-0000-0100-00004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3" name="TextBox 1352">
          <a:extLst>
            <a:ext uri="{FF2B5EF4-FFF2-40B4-BE49-F238E27FC236}">
              <a16:creationId xmlns:a16="http://schemas.microsoft.com/office/drawing/2014/main" id="{00000000-0008-0000-0100-00004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4" name="TextBox 1353">
          <a:extLst>
            <a:ext uri="{FF2B5EF4-FFF2-40B4-BE49-F238E27FC236}">
              <a16:creationId xmlns:a16="http://schemas.microsoft.com/office/drawing/2014/main" id="{00000000-0008-0000-0100-00004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5" name="TextBox 1354">
          <a:extLst>
            <a:ext uri="{FF2B5EF4-FFF2-40B4-BE49-F238E27FC236}">
              <a16:creationId xmlns:a16="http://schemas.microsoft.com/office/drawing/2014/main" id="{00000000-0008-0000-0100-00004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6" name="TextBox 1355">
          <a:extLst>
            <a:ext uri="{FF2B5EF4-FFF2-40B4-BE49-F238E27FC236}">
              <a16:creationId xmlns:a16="http://schemas.microsoft.com/office/drawing/2014/main" id="{00000000-0008-0000-0100-00004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7" name="TextBox 1356">
          <a:extLst>
            <a:ext uri="{FF2B5EF4-FFF2-40B4-BE49-F238E27FC236}">
              <a16:creationId xmlns:a16="http://schemas.microsoft.com/office/drawing/2014/main" id="{00000000-0008-0000-0100-00004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8" name="TextBox 1357">
          <a:extLst>
            <a:ext uri="{FF2B5EF4-FFF2-40B4-BE49-F238E27FC236}">
              <a16:creationId xmlns:a16="http://schemas.microsoft.com/office/drawing/2014/main" id="{00000000-0008-0000-0100-00004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59" name="TextBox 1358">
          <a:extLst>
            <a:ext uri="{FF2B5EF4-FFF2-40B4-BE49-F238E27FC236}">
              <a16:creationId xmlns:a16="http://schemas.microsoft.com/office/drawing/2014/main" id="{00000000-0008-0000-0100-00004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0" name="TextBox 1359">
          <a:extLst>
            <a:ext uri="{FF2B5EF4-FFF2-40B4-BE49-F238E27FC236}">
              <a16:creationId xmlns:a16="http://schemas.microsoft.com/office/drawing/2014/main" id="{00000000-0008-0000-0100-00005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1" name="TextBox 1360">
          <a:extLst>
            <a:ext uri="{FF2B5EF4-FFF2-40B4-BE49-F238E27FC236}">
              <a16:creationId xmlns:a16="http://schemas.microsoft.com/office/drawing/2014/main" id="{00000000-0008-0000-0100-00005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2" name="TextBox 1361">
          <a:extLst>
            <a:ext uri="{FF2B5EF4-FFF2-40B4-BE49-F238E27FC236}">
              <a16:creationId xmlns:a16="http://schemas.microsoft.com/office/drawing/2014/main" id="{00000000-0008-0000-0100-00005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3" name="TextBox 1362">
          <a:extLst>
            <a:ext uri="{FF2B5EF4-FFF2-40B4-BE49-F238E27FC236}">
              <a16:creationId xmlns:a16="http://schemas.microsoft.com/office/drawing/2014/main" id="{00000000-0008-0000-0100-00005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4" name="TextBox 1363">
          <a:extLst>
            <a:ext uri="{FF2B5EF4-FFF2-40B4-BE49-F238E27FC236}">
              <a16:creationId xmlns:a16="http://schemas.microsoft.com/office/drawing/2014/main" id="{00000000-0008-0000-0100-00005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5" name="TextBox 1364">
          <a:extLst>
            <a:ext uri="{FF2B5EF4-FFF2-40B4-BE49-F238E27FC236}">
              <a16:creationId xmlns:a16="http://schemas.microsoft.com/office/drawing/2014/main" id="{00000000-0008-0000-0100-00005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6" name="TextBox 1365">
          <a:extLst>
            <a:ext uri="{FF2B5EF4-FFF2-40B4-BE49-F238E27FC236}">
              <a16:creationId xmlns:a16="http://schemas.microsoft.com/office/drawing/2014/main" id="{00000000-0008-0000-0100-00005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7" name="TextBox 1366">
          <a:extLst>
            <a:ext uri="{FF2B5EF4-FFF2-40B4-BE49-F238E27FC236}">
              <a16:creationId xmlns:a16="http://schemas.microsoft.com/office/drawing/2014/main" id="{00000000-0008-0000-0100-00005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8" name="TextBox 1367">
          <a:extLst>
            <a:ext uri="{FF2B5EF4-FFF2-40B4-BE49-F238E27FC236}">
              <a16:creationId xmlns:a16="http://schemas.microsoft.com/office/drawing/2014/main" id="{00000000-0008-0000-0100-00005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69" name="TextBox 1368">
          <a:extLst>
            <a:ext uri="{FF2B5EF4-FFF2-40B4-BE49-F238E27FC236}">
              <a16:creationId xmlns:a16="http://schemas.microsoft.com/office/drawing/2014/main" id="{00000000-0008-0000-0100-00005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0" name="TextBox 1369">
          <a:extLst>
            <a:ext uri="{FF2B5EF4-FFF2-40B4-BE49-F238E27FC236}">
              <a16:creationId xmlns:a16="http://schemas.microsoft.com/office/drawing/2014/main" id="{00000000-0008-0000-0100-00005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1" name="TextBox 1370">
          <a:extLst>
            <a:ext uri="{FF2B5EF4-FFF2-40B4-BE49-F238E27FC236}">
              <a16:creationId xmlns:a16="http://schemas.microsoft.com/office/drawing/2014/main" id="{00000000-0008-0000-0100-00005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2" name="TextBox 1371">
          <a:extLst>
            <a:ext uri="{FF2B5EF4-FFF2-40B4-BE49-F238E27FC236}">
              <a16:creationId xmlns:a16="http://schemas.microsoft.com/office/drawing/2014/main" id="{00000000-0008-0000-0100-00005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3" name="TextBox 1372">
          <a:extLst>
            <a:ext uri="{FF2B5EF4-FFF2-40B4-BE49-F238E27FC236}">
              <a16:creationId xmlns:a16="http://schemas.microsoft.com/office/drawing/2014/main" id="{00000000-0008-0000-0100-00005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4" name="TextBox 1373">
          <a:extLst>
            <a:ext uri="{FF2B5EF4-FFF2-40B4-BE49-F238E27FC236}">
              <a16:creationId xmlns:a16="http://schemas.microsoft.com/office/drawing/2014/main" id="{00000000-0008-0000-0100-00005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5" name="TextBox 1374">
          <a:extLst>
            <a:ext uri="{FF2B5EF4-FFF2-40B4-BE49-F238E27FC236}">
              <a16:creationId xmlns:a16="http://schemas.microsoft.com/office/drawing/2014/main" id="{00000000-0008-0000-0100-00005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6" name="TextBox 1375">
          <a:extLst>
            <a:ext uri="{FF2B5EF4-FFF2-40B4-BE49-F238E27FC236}">
              <a16:creationId xmlns:a16="http://schemas.microsoft.com/office/drawing/2014/main" id="{00000000-0008-0000-0100-00006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7" name="TextBox 1376">
          <a:extLst>
            <a:ext uri="{FF2B5EF4-FFF2-40B4-BE49-F238E27FC236}">
              <a16:creationId xmlns:a16="http://schemas.microsoft.com/office/drawing/2014/main" id="{00000000-0008-0000-0100-00006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8" name="TextBox 1377">
          <a:extLst>
            <a:ext uri="{FF2B5EF4-FFF2-40B4-BE49-F238E27FC236}">
              <a16:creationId xmlns:a16="http://schemas.microsoft.com/office/drawing/2014/main" id="{00000000-0008-0000-0100-00006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79" name="TextBox 1378">
          <a:extLst>
            <a:ext uri="{FF2B5EF4-FFF2-40B4-BE49-F238E27FC236}">
              <a16:creationId xmlns:a16="http://schemas.microsoft.com/office/drawing/2014/main" id="{00000000-0008-0000-0100-00006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0" name="TextBox 1379">
          <a:extLst>
            <a:ext uri="{FF2B5EF4-FFF2-40B4-BE49-F238E27FC236}">
              <a16:creationId xmlns:a16="http://schemas.microsoft.com/office/drawing/2014/main" id="{00000000-0008-0000-0100-00006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1" name="TextBox 1380">
          <a:extLst>
            <a:ext uri="{FF2B5EF4-FFF2-40B4-BE49-F238E27FC236}">
              <a16:creationId xmlns:a16="http://schemas.microsoft.com/office/drawing/2014/main" id="{00000000-0008-0000-0100-00006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2" name="TextBox 1381">
          <a:extLst>
            <a:ext uri="{FF2B5EF4-FFF2-40B4-BE49-F238E27FC236}">
              <a16:creationId xmlns:a16="http://schemas.microsoft.com/office/drawing/2014/main" id="{00000000-0008-0000-0100-00006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3" name="TextBox 1382">
          <a:extLst>
            <a:ext uri="{FF2B5EF4-FFF2-40B4-BE49-F238E27FC236}">
              <a16:creationId xmlns:a16="http://schemas.microsoft.com/office/drawing/2014/main" id="{00000000-0008-0000-0100-00006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4" name="TextBox 1383">
          <a:extLst>
            <a:ext uri="{FF2B5EF4-FFF2-40B4-BE49-F238E27FC236}">
              <a16:creationId xmlns:a16="http://schemas.microsoft.com/office/drawing/2014/main" id="{00000000-0008-0000-0100-00006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5" name="TextBox 1384">
          <a:extLst>
            <a:ext uri="{FF2B5EF4-FFF2-40B4-BE49-F238E27FC236}">
              <a16:creationId xmlns:a16="http://schemas.microsoft.com/office/drawing/2014/main" id="{00000000-0008-0000-0100-00006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6" name="TextBox 1385">
          <a:extLst>
            <a:ext uri="{FF2B5EF4-FFF2-40B4-BE49-F238E27FC236}">
              <a16:creationId xmlns:a16="http://schemas.microsoft.com/office/drawing/2014/main" id="{00000000-0008-0000-0100-00006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7" name="TextBox 1386">
          <a:extLst>
            <a:ext uri="{FF2B5EF4-FFF2-40B4-BE49-F238E27FC236}">
              <a16:creationId xmlns:a16="http://schemas.microsoft.com/office/drawing/2014/main" id="{00000000-0008-0000-0100-00006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8" name="TextBox 1387">
          <a:extLst>
            <a:ext uri="{FF2B5EF4-FFF2-40B4-BE49-F238E27FC236}">
              <a16:creationId xmlns:a16="http://schemas.microsoft.com/office/drawing/2014/main" id="{00000000-0008-0000-0100-00006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89" name="TextBox 1388">
          <a:extLst>
            <a:ext uri="{FF2B5EF4-FFF2-40B4-BE49-F238E27FC236}">
              <a16:creationId xmlns:a16="http://schemas.microsoft.com/office/drawing/2014/main" id="{00000000-0008-0000-0100-00006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0" name="TextBox 1389">
          <a:extLst>
            <a:ext uri="{FF2B5EF4-FFF2-40B4-BE49-F238E27FC236}">
              <a16:creationId xmlns:a16="http://schemas.microsoft.com/office/drawing/2014/main" id="{00000000-0008-0000-0100-00006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1" name="TextBox 1390">
          <a:extLst>
            <a:ext uri="{FF2B5EF4-FFF2-40B4-BE49-F238E27FC236}">
              <a16:creationId xmlns:a16="http://schemas.microsoft.com/office/drawing/2014/main" id="{00000000-0008-0000-0100-00006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2" name="TextBox 1391">
          <a:extLst>
            <a:ext uri="{FF2B5EF4-FFF2-40B4-BE49-F238E27FC236}">
              <a16:creationId xmlns:a16="http://schemas.microsoft.com/office/drawing/2014/main" id="{00000000-0008-0000-0100-00007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3" name="TextBox 1392">
          <a:extLst>
            <a:ext uri="{FF2B5EF4-FFF2-40B4-BE49-F238E27FC236}">
              <a16:creationId xmlns:a16="http://schemas.microsoft.com/office/drawing/2014/main" id="{00000000-0008-0000-0100-00007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4" name="TextBox 1393">
          <a:extLst>
            <a:ext uri="{FF2B5EF4-FFF2-40B4-BE49-F238E27FC236}">
              <a16:creationId xmlns:a16="http://schemas.microsoft.com/office/drawing/2014/main" id="{00000000-0008-0000-0100-00007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5" name="TextBox 1394">
          <a:extLst>
            <a:ext uri="{FF2B5EF4-FFF2-40B4-BE49-F238E27FC236}">
              <a16:creationId xmlns:a16="http://schemas.microsoft.com/office/drawing/2014/main" id="{00000000-0008-0000-0100-00007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6" name="TextBox 1395">
          <a:extLst>
            <a:ext uri="{FF2B5EF4-FFF2-40B4-BE49-F238E27FC236}">
              <a16:creationId xmlns:a16="http://schemas.microsoft.com/office/drawing/2014/main" id="{00000000-0008-0000-0100-00007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7" name="TextBox 1396">
          <a:extLst>
            <a:ext uri="{FF2B5EF4-FFF2-40B4-BE49-F238E27FC236}">
              <a16:creationId xmlns:a16="http://schemas.microsoft.com/office/drawing/2014/main" id="{00000000-0008-0000-0100-00007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8" name="TextBox 1397">
          <a:extLst>
            <a:ext uri="{FF2B5EF4-FFF2-40B4-BE49-F238E27FC236}">
              <a16:creationId xmlns:a16="http://schemas.microsoft.com/office/drawing/2014/main" id="{00000000-0008-0000-0100-00007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399" name="TextBox 1398">
          <a:extLst>
            <a:ext uri="{FF2B5EF4-FFF2-40B4-BE49-F238E27FC236}">
              <a16:creationId xmlns:a16="http://schemas.microsoft.com/office/drawing/2014/main" id="{00000000-0008-0000-0100-00007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0" name="TextBox 1399">
          <a:extLst>
            <a:ext uri="{FF2B5EF4-FFF2-40B4-BE49-F238E27FC236}">
              <a16:creationId xmlns:a16="http://schemas.microsoft.com/office/drawing/2014/main" id="{00000000-0008-0000-0100-00007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1" name="TextBox 1400">
          <a:extLst>
            <a:ext uri="{FF2B5EF4-FFF2-40B4-BE49-F238E27FC236}">
              <a16:creationId xmlns:a16="http://schemas.microsoft.com/office/drawing/2014/main" id="{00000000-0008-0000-0100-00007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2" name="TextBox 1401">
          <a:extLst>
            <a:ext uri="{FF2B5EF4-FFF2-40B4-BE49-F238E27FC236}">
              <a16:creationId xmlns:a16="http://schemas.microsoft.com/office/drawing/2014/main" id="{00000000-0008-0000-0100-00007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3" name="TextBox 1402">
          <a:extLst>
            <a:ext uri="{FF2B5EF4-FFF2-40B4-BE49-F238E27FC236}">
              <a16:creationId xmlns:a16="http://schemas.microsoft.com/office/drawing/2014/main" id="{00000000-0008-0000-0100-00007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4" name="TextBox 1403">
          <a:extLst>
            <a:ext uri="{FF2B5EF4-FFF2-40B4-BE49-F238E27FC236}">
              <a16:creationId xmlns:a16="http://schemas.microsoft.com/office/drawing/2014/main" id="{00000000-0008-0000-0100-00007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5" name="TextBox 1404">
          <a:extLst>
            <a:ext uri="{FF2B5EF4-FFF2-40B4-BE49-F238E27FC236}">
              <a16:creationId xmlns:a16="http://schemas.microsoft.com/office/drawing/2014/main" id="{00000000-0008-0000-0100-00007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6" name="TextBox 1405">
          <a:extLst>
            <a:ext uri="{FF2B5EF4-FFF2-40B4-BE49-F238E27FC236}">
              <a16:creationId xmlns:a16="http://schemas.microsoft.com/office/drawing/2014/main" id="{00000000-0008-0000-0100-00007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7" name="TextBox 1406">
          <a:extLst>
            <a:ext uri="{FF2B5EF4-FFF2-40B4-BE49-F238E27FC236}">
              <a16:creationId xmlns:a16="http://schemas.microsoft.com/office/drawing/2014/main" id="{00000000-0008-0000-0100-00007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8" name="TextBox 1407">
          <a:extLst>
            <a:ext uri="{FF2B5EF4-FFF2-40B4-BE49-F238E27FC236}">
              <a16:creationId xmlns:a16="http://schemas.microsoft.com/office/drawing/2014/main" id="{00000000-0008-0000-0100-00008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09" name="TextBox 1408">
          <a:extLst>
            <a:ext uri="{FF2B5EF4-FFF2-40B4-BE49-F238E27FC236}">
              <a16:creationId xmlns:a16="http://schemas.microsoft.com/office/drawing/2014/main" id="{00000000-0008-0000-0100-00008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0" name="TextBox 1409">
          <a:extLst>
            <a:ext uri="{FF2B5EF4-FFF2-40B4-BE49-F238E27FC236}">
              <a16:creationId xmlns:a16="http://schemas.microsoft.com/office/drawing/2014/main" id="{00000000-0008-0000-0100-00008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1" name="TextBox 1410">
          <a:extLst>
            <a:ext uri="{FF2B5EF4-FFF2-40B4-BE49-F238E27FC236}">
              <a16:creationId xmlns:a16="http://schemas.microsoft.com/office/drawing/2014/main" id="{00000000-0008-0000-0100-00008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2" name="TextBox 1411">
          <a:extLst>
            <a:ext uri="{FF2B5EF4-FFF2-40B4-BE49-F238E27FC236}">
              <a16:creationId xmlns:a16="http://schemas.microsoft.com/office/drawing/2014/main" id="{00000000-0008-0000-0100-00008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3" name="TextBox 1412">
          <a:extLst>
            <a:ext uri="{FF2B5EF4-FFF2-40B4-BE49-F238E27FC236}">
              <a16:creationId xmlns:a16="http://schemas.microsoft.com/office/drawing/2014/main" id="{00000000-0008-0000-0100-00008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4" name="TextBox 1413">
          <a:extLst>
            <a:ext uri="{FF2B5EF4-FFF2-40B4-BE49-F238E27FC236}">
              <a16:creationId xmlns:a16="http://schemas.microsoft.com/office/drawing/2014/main" id="{00000000-0008-0000-0100-00008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5" name="TextBox 1414">
          <a:extLst>
            <a:ext uri="{FF2B5EF4-FFF2-40B4-BE49-F238E27FC236}">
              <a16:creationId xmlns:a16="http://schemas.microsoft.com/office/drawing/2014/main" id="{00000000-0008-0000-0100-00008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6" name="TextBox 1415">
          <a:extLst>
            <a:ext uri="{FF2B5EF4-FFF2-40B4-BE49-F238E27FC236}">
              <a16:creationId xmlns:a16="http://schemas.microsoft.com/office/drawing/2014/main" id="{00000000-0008-0000-0100-00008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7" name="TextBox 1416">
          <a:extLst>
            <a:ext uri="{FF2B5EF4-FFF2-40B4-BE49-F238E27FC236}">
              <a16:creationId xmlns:a16="http://schemas.microsoft.com/office/drawing/2014/main" id="{00000000-0008-0000-0100-00008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8" name="TextBox 1417">
          <a:extLst>
            <a:ext uri="{FF2B5EF4-FFF2-40B4-BE49-F238E27FC236}">
              <a16:creationId xmlns:a16="http://schemas.microsoft.com/office/drawing/2014/main" id="{00000000-0008-0000-0100-00008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19" name="TextBox 1418">
          <a:extLst>
            <a:ext uri="{FF2B5EF4-FFF2-40B4-BE49-F238E27FC236}">
              <a16:creationId xmlns:a16="http://schemas.microsoft.com/office/drawing/2014/main" id="{00000000-0008-0000-0100-00008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0" name="TextBox 1419">
          <a:extLst>
            <a:ext uri="{FF2B5EF4-FFF2-40B4-BE49-F238E27FC236}">
              <a16:creationId xmlns:a16="http://schemas.microsoft.com/office/drawing/2014/main" id="{00000000-0008-0000-0100-00008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1" name="TextBox 1420">
          <a:extLst>
            <a:ext uri="{FF2B5EF4-FFF2-40B4-BE49-F238E27FC236}">
              <a16:creationId xmlns:a16="http://schemas.microsoft.com/office/drawing/2014/main" id="{00000000-0008-0000-0100-00008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2" name="TextBox 1421">
          <a:extLst>
            <a:ext uri="{FF2B5EF4-FFF2-40B4-BE49-F238E27FC236}">
              <a16:creationId xmlns:a16="http://schemas.microsoft.com/office/drawing/2014/main" id="{00000000-0008-0000-0100-00008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3" name="TextBox 1422">
          <a:extLst>
            <a:ext uri="{FF2B5EF4-FFF2-40B4-BE49-F238E27FC236}">
              <a16:creationId xmlns:a16="http://schemas.microsoft.com/office/drawing/2014/main" id="{00000000-0008-0000-0100-00008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4" name="TextBox 1423">
          <a:extLst>
            <a:ext uri="{FF2B5EF4-FFF2-40B4-BE49-F238E27FC236}">
              <a16:creationId xmlns:a16="http://schemas.microsoft.com/office/drawing/2014/main" id="{00000000-0008-0000-0100-00009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5" name="TextBox 1424">
          <a:extLst>
            <a:ext uri="{FF2B5EF4-FFF2-40B4-BE49-F238E27FC236}">
              <a16:creationId xmlns:a16="http://schemas.microsoft.com/office/drawing/2014/main" id="{00000000-0008-0000-0100-00009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6" name="TextBox 1425">
          <a:extLst>
            <a:ext uri="{FF2B5EF4-FFF2-40B4-BE49-F238E27FC236}">
              <a16:creationId xmlns:a16="http://schemas.microsoft.com/office/drawing/2014/main" id="{00000000-0008-0000-0100-00009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7" name="TextBox 1426">
          <a:extLst>
            <a:ext uri="{FF2B5EF4-FFF2-40B4-BE49-F238E27FC236}">
              <a16:creationId xmlns:a16="http://schemas.microsoft.com/office/drawing/2014/main" id="{00000000-0008-0000-0100-00009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8" name="TextBox 1427">
          <a:extLst>
            <a:ext uri="{FF2B5EF4-FFF2-40B4-BE49-F238E27FC236}">
              <a16:creationId xmlns:a16="http://schemas.microsoft.com/office/drawing/2014/main" id="{00000000-0008-0000-0100-00009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29" name="TextBox 1428">
          <a:extLst>
            <a:ext uri="{FF2B5EF4-FFF2-40B4-BE49-F238E27FC236}">
              <a16:creationId xmlns:a16="http://schemas.microsoft.com/office/drawing/2014/main" id="{00000000-0008-0000-0100-00009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0" name="TextBox 1429">
          <a:extLst>
            <a:ext uri="{FF2B5EF4-FFF2-40B4-BE49-F238E27FC236}">
              <a16:creationId xmlns:a16="http://schemas.microsoft.com/office/drawing/2014/main" id="{00000000-0008-0000-0100-00009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1" name="TextBox 1430">
          <a:extLst>
            <a:ext uri="{FF2B5EF4-FFF2-40B4-BE49-F238E27FC236}">
              <a16:creationId xmlns:a16="http://schemas.microsoft.com/office/drawing/2014/main" id="{00000000-0008-0000-0100-00009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2" name="TextBox 1431">
          <a:extLst>
            <a:ext uri="{FF2B5EF4-FFF2-40B4-BE49-F238E27FC236}">
              <a16:creationId xmlns:a16="http://schemas.microsoft.com/office/drawing/2014/main" id="{00000000-0008-0000-0100-00009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3" name="TextBox 1432">
          <a:extLst>
            <a:ext uri="{FF2B5EF4-FFF2-40B4-BE49-F238E27FC236}">
              <a16:creationId xmlns:a16="http://schemas.microsoft.com/office/drawing/2014/main" id="{00000000-0008-0000-0100-00009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4" name="TextBox 1433">
          <a:extLst>
            <a:ext uri="{FF2B5EF4-FFF2-40B4-BE49-F238E27FC236}">
              <a16:creationId xmlns:a16="http://schemas.microsoft.com/office/drawing/2014/main" id="{00000000-0008-0000-0100-00009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5" name="TextBox 1434">
          <a:extLst>
            <a:ext uri="{FF2B5EF4-FFF2-40B4-BE49-F238E27FC236}">
              <a16:creationId xmlns:a16="http://schemas.microsoft.com/office/drawing/2014/main" id="{00000000-0008-0000-0100-00009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6" name="TextBox 1435">
          <a:extLst>
            <a:ext uri="{FF2B5EF4-FFF2-40B4-BE49-F238E27FC236}">
              <a16:creationId xmlns:a16="http://schemas.microsoft.com/office/drawing/2014/main" id="{00000000-0008-0000-0100-00009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7" name="TextBox 1436">
          <a:extLst>
            <a:ext uri="{FF2B5EF4-FFF2-40B4-BE49-F238E27FC236}">
              <a16:creationId xmlns:a16="http://schemas.microsoft.com/office/drawing/2014/main" id="{00000000-0008-0000-0100-00009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8" name="TextBox 1437">
          <a:extLst>
            <a:ext uri="{FF2B5EF4-FFF2-40B4-BE49-F238E27FC236}">
              <a16:creationId xmlns:a16="http://schemas.microsoft.com/office/drawing/2014/main" id="{00000000-0008-0000-0100-00009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39" name="TextBox 1438">
          <a:extLst>
            <a:ext uri="{FF2B5EF4-FFF2-40B4-BE49-F238E27FC236}">
              <a16:creationId xmlns:a16="http://schemas.microsoft.com/office/drawing/2014/main" id="{00000000-0008-0000-0100-00009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0" name="TextBox 1439">
          <a:extLst>
            <a:ext uri="{FF2B5EF4-FFF2-40B4-BE49-F238E27FC236}">
              <a16:creationId xmlns:a16="http://schemas.microsoft.com/office/drawing/2014/main" id="{00000000-0008-0000-0100-0000A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1" name="TextBox 1440">
          <a:extLst>
            <a:ext uri="{FF2B5EF4-FFF2-40B4-BE49-F238E27FC236}">
              <a16:creationId xmlns:a16="http://schemas.microsoft.com/office/drawing/2014/main" id="{00000000-0008-0000-0100-0000A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2" name="TextBox 1441">
          <a:extLst>
            <a:ext uri="{FF2B5EF4-FFF2-40B4-BE49-F238E27FC236}">
              <a16:creationId xmlns:a16="http://schemas.microsoft.com/office/drawing/2014/main" id="{00000000-0008-0000-0100-0000A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3" name="TextBox 1442">
          <a:extLst>
            <a:ext uri="{FF2B5EF4-FFF2-40B4-BE49-F238E27FC236}">
              <a16:creationId xmlns:a16="http://schemas.microsoft.com/office/drawing/2014/main" id="{00000000-0008-0000-0100-0000A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4" name="TextBox 1443">
          <a:extLst>
            <a:ext uri="{FF2B5EF4-FFF2-40B4-BE49-F238E27FC236}">
              <a16:creationId xmlns:a16="http://schemas.microsoft.com/office/drawing/2014/main" id="{00000000-0008-0000-0100-0000A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5" name="TextBox 1444">
          <a:extLst>
            <a:ext uri="{FF2B5EF4-FFF2-40B4-BE49-F238E27FC236}">
              <a16:creationId xmlns:a16="http://schemas.microsoft.com/office/drawing/2014/main" id="{00000000-0008-0000-0100-0000A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6" name="TextBox 1445">
          <a:extLst>
            <a:ext uri="{FF2B5EF4-FFF2-40B4-BE49-F238E27FC236}">
              <a16:creationId xmlns:a16="http://schemas.microsoft.com/office/drawing/2014/main" id="{00000000-0008-0000-0100-0000A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7" name="TextBox 1446">
          <a:extLst>
            <a:ext uri="{FF2B5EF4-FFF2-40B4-BE49-F238E27FC236}">
              <a16:creationId xmlns:a16="http://schemas.microsoft.com/office/drawing/2014/main" id="{00000000-0008-0000-0100-0000A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8" name="TextBox 1447">
          <a:extLst>
            <a:ext uri="{FF2B5EF4-FFF2-40B4-BE49-F238E27FC236}">
              <a16:creationId xmlns:a16="http://schemas.microsoft.com/office/drawing/2014/main" id="{00000000-0008-0000-0100-0000A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49" name="TextBox 1448">
          <a:extLst>
            <a:ext uri="{FF2B5EF4-FFF2-40B4-BE49-F238E27FC236}">
              <a16:creationId xmlns:a16="http://schemas.microsoft.com/office/drawing/2014/main" id="{00000000-0008-0000-0100-0000A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0" name="TextBox 1449">
          <a:extLst>
            <a:ext uri="{FF2B5EF4-FFF2-40B4-BE49-F238E27FC236}">
              <a16:creationId xmlns:a16="http://schemas.microsoft.com/office/drawing/2014/main" id="{00000000-0008-0000-0100-0000A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1" name="TextBox 1450">
          <a:extLst>
            <a:ext uri="{FF2B5EF4-FFF2-40B4-BE49-F238E27FC236}">
              <a16:creationId xmlns:a16="http://schemas.microsoft.com/office/drawing/2014/main" id="{00000000-0008-0000-0100-0000A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2" name="TextBox 1451">
          <a:extLst>
            <a:ext uri="{FF2B5EF4-FFF2-40B4-BE49-F238E27FC236}">
              <a16:creationId xmlns:a16="http://schemas.microsoft.com/office/drawing/2014/main" id="{00000000-0008-0000-0100-0000A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3" name="TextBox 1452">
          <a:extLst>
            <a:ext uri="{FF2B5EF4-FFF2-40B4-BE49-F238E27FC236}">
              <a16:creationId xmlns:a16="http://schemas.microsoft.com/office/drawing/2014/main" id="{00000000-0008-0000-0100-0000A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4" name="TextBox 1453">
          <a:extLst>
            <a:ext uri="{FF2B5EF4-FFF2-40B4-BE49-F238E27FC236}">
              <a16:creationId xmlns:a16="http://schemas.microsoft.com/office/drawing/2014/main" id="{00000000-0008-0000-0100-0000A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5" name="TextBox 1454">
          <a:extLst>
            <a:ext uri="{FF2B5EF4-FFF2-40B4-BE49-F238E27FC236}">
              <a16:creationId xmlns:a16="http://schemas.microsoft.com/office/drawing/2014/main" id="{00000000-0008-0000-0100-0000A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6" name="TextBox 1455">
          <a:extLst>
            <a:ext uri="{FF2B5EF4-FFF2-40B4-BE49-F238E27FC236}">
              <a16:creationId xmlns:a16="http://schemas.microsoft.com/office/drawing/2014/main" id="{00000000-0008-0000-0100-0000B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7" name="TextBox 1456">
          <a:extLst>
            <a:ext uri="{FF2B5EF4-FFF2-40B4-BE49-F238E27FC236}">
              <a16:creationId xmlns:a16="http://schemas.microsoft.com/office/drawing/2014/main" id="{00000000-0008-0000-0100-0000B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8" name="TextBox 1457">
          <a:extLst>
            <a:ext uri="{FF2B5EF4-FFF2-40B4-BE49-F238E27FC236}">
              <a16:creationId xmlns:a16="http://schemas.microsoft.com/office/drawing/2014/main" id="{00000000-0008-0000-0100-0000B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59" name="TextBox 1458">
          <a:extLst>
            <a:ext uri="{FF2B5EF4-FFF2-40B4-BE49-F238E27FC236}">
              <a16:creationId xmlns:a16="http://schemas.microsoft.com/office/drawing/2014/main" id="{00000000-0008-0000-0100-0000B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0" name="TextBox 1459">
          <a:extLst>
            <a:ext uri="{FF2B5EF4-FFF2-40B4-BE49-F238E27FC236}">
              <a16:creationId xmlns:a16="http://schemas.microsoft.com/office/drawing/2014/main" id="{00000000-0008-0000-0100-0000B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1" name="TextBox 1460">
          <a:extLst>
            <a:ext uri="{FF2B5EF4-FFF2-40B4-BE49-F238E27FC236}">
              <a16:creationId xmlns:a16="http://schemas.microsoft.com/office/drawing/2014/main" id="{00000000-0008-0000-0100-0000B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2" name="TextBox 1461">
          <a:extLst>
            <a:ext uri="{FF2B5EF4-FFF2-40B4-BE49-F238E27FC236}">
              <a16:creationId xmlns:a16="http://schemas.microsoft.com/office/drawing/2014/main" id="{00000000-0008-0000-0100-0000B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3" name="TextBox 1462">
          <a:extLst>
            <a:ext uri="{FF2B5EF4-FFF2-40B4-BE49-F238E27FC236}">
              <a16:creationId xmlns:a16="http://schemas.microsoft.com/office/drawing/2014/main" id="{00000000-0008-0000-0100-0000B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4" name="TextBox 1463">
          <a:extLst>
            <a:ext uri="{FF2B5EF4-FFF2-40B4-BE49-F238E27FC236}">
              <a16:creationId xmlns:a16="http://schemas.microsoft.com/office/drawing/2014/main" id="{00000000-0008-0000-0100-0000B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5" name="TextBox 1464">
          <a:extLst>
            <a:ext uri="{FF2B5EF4-FFF2-40B4-BE49-F238E27FC236}">
              <a16:creationId xmlns:a16="http://schemas.microsoft.com/office/drawing/2014/main" id="{00000000-0008-0000-0100-0000B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6" name="TextBox 1465">
          <a:extLst>
            <a:ext uri="{FF2B5EF4-FFF2-40B4-BE49-F238E27FC236}">
              <a16:creationId xmlns:a16="http://schemas.microsoft.com/office/drawing/2014/main" id="{00000000-0008-0000-0100-0000B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7" name="TextBox 1466">
          <a:extLst>
            <a:ext uri="{FF2B5EF4-FFF2-40B4-BE49-F238E27FC236}">
              <a16:creationId xmlns:a16="http://schemas.microsoft.com/office/drawing/2014/main" id="{00000000-0008-0000-0100-0000B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8" name="TextBox 1467">
          <a:extLst>
            <a:ext uri="{FF2B5EF4-FFF2-40B4-BE49-F238E27FC236}">
              <a16:creationId xmlns:a16="http://schemas.microsoft.com/office/drawing/2014/main" id="{00000000-0008-0000-0100-0000B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69" name="TextBox 1468">
          <a:extLst>
            <a:ext uri="{FF2B5EF4-FFF2-40B4-BE49-F238E27FC236}">
              <a16:creationId xmlns:a16="http://schemas.microsoft.com/office/drawing/2014/main" id="{00000000-0008-0000-0100-0000B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0" name="TextBox 1469">
          <a:extLst>
            <a:ext uri="{FF2B5EF4-FFF2-40B4-BE49-F238E27FC236}">
              <a16:creationId xmlns:a16="http://schemas.microsoft.com/office/drawing/2014/main" id="{00000000-0008-0000-0100-0000B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1" name="TextBox 1470">
          <a:extLst>
            <a:ext uri="{FF2B5EF4-FFF2-40B4-BE49-F238E27FC236}">
              <a16:creationId xmlns:a16="http://schemas.microsoft.com/office/drawing/2014/main" id="{00000000-0008-0000-0100-0000B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2" name="TextBox 1471">
          <a:extLst>
            <a:ext uri="{FF2B5EF4-FFF2-40B4-BE49-F238E27FC236}">
              <a16:creationId xmlns:a16="http://schemas.microsoft.com/office/drawing/2014/main" id="{00000000-0008-0000-0100-0000C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3" name="TextBox 1472">
          <a:extLst>
            <a:ext uri="{FF2B5EF4-FFF2-40B4-BE49-F238E27FC236}">
              <a16:creationId xmlns:a16="http://schemas.microsoft.com/office/drawing/2014/main" id="{00000000-0008-0000-0100-0000C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4" name="TextBox 1473">
          <a:extLst>
            <a:ext uri="{FF2B5EF4-FFF2-40B4-BE49-F238E27FC236}">
              <a16:creationId xmlns:a16="http://schemas.microsoft.com/office/drawing/2014/main" id="{00000000-0008-0000-0100-0000C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5" name="TextBox 1474">
          <a:extLst>
            <a:ext uri="{FF2B5EF4-FFF2-40B4-BE49-F238E27FC236}">
              <a16:creationId xmlns:a16="http://schemas.microsoft.com/office/drawing/2014/main" id="{00000000-0008-0000-0100-0000C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6" name="TextBox 1475">
          <a:extLst>
            <a:ext uri="{FF2B5EF4-FFF2-40B4-BE49-F238E27FC236}">
              <a16:creationId xmlns:a16="http://schemas.microsoft.com/office/drawing/2014/main" id="{00000000-0008-0000-0100-0000C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7" name="TextBox 1476">
          <a:extLst>
            <a:ext uri="{FF2B5EF4-FFF2-40B4-BE49-F238E27FC236}">
              <a16:creationId xmlns:a16="http://schemas.microsoft.com/office/drawing/2014/main" id="{00000000-0008-0000-0100-0000C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8" name="TextBox 1477">
          <a:extLst>
            <a:ext uri="{FF2B5EF4-FFF2-40B4-BE49-F238E27FC236}">
              <a16:creationId xmlns:a16="http://schemas.microsoft.com/office/drawing/2014/main" id="{00000000-0008-0000-0100-0000C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79" name="TextBox 1478">
          <a:extLst>
            <a:ext uri="{FF2B5EF4-FFF2-40B4-BE49-F238E27FC236}">
              <a16:creationId xmlns:a16="http://schemas.microsoft.com/office/drawing/2014/main" id="{00000000-0008-0000-0100-0000C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0" name="TextBox 1479">
          <a:extLst>
            <a:ext uri="{FF2B5EF4-FFF2-40B4-BE49-F238E27FC236}">
              <a16:creationId xmlns:a16="http://schemas.microsoft.com/office/drawing/2014/main" id="{00000000-0008-0000-0100-0000C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1" name="TextBox 1480">
          <a:extLst>
            <a:ext uri="{FF2B5EF4-FFF2-40B4-BE49-F238E27FC236}">
              <a16:creationId xmlns:a16="http://schemas.microsoft.com/office/drawing/2014/main" id="{00000000-0008-0000-0100-0000C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2" name="TextBox 1481">
          <a:extLst>
            <a:ext uri="{FF2B5EF4-FFF2-40B4-BE49-F238E27FC236}">
              <a16:creationId xmlns:a16="http://schemas.microsoft.com/office/drawing/2014/main" id="{00000000-0008-0000-0100-0000C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3" name="TextBox 1482">
          <a:extLst>
            <a:ext uri="{FF2B5EF4-FFF2-40B4-BE49-F238E27FC236}">
              <a16:creationId xmlns:a16="http://schemas.microsoft.com/office/drawing/2014/main" id="{00000000-0008-0000-0100-0000C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4" name="TextBox 1483">
          <a:extLst>
            <a:ext uri="{FF2B5EF4-FFF2-40B4-BE49-F238E27FC236}">
              <a16:creationId xmlns:a16="http://schemas.microsoft.com/office/drawing/2014/main" id="{00000000-0008-0000-0100-0000C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5" name="TextBox 1484">
          <a:extLst>
            <a:ext uri="{FF2B5EF4-FFF2-40B4-BE49-F238E27FC236}">
              <a16:creationId xmlns:a16="http://schemas.microsoft.com/office/drawing/2014/main" id="{00000000-0008-0000-0100-0000C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6" name="TextBox 1485">
          <a:extLst>
            <a:ext uri="{FF2B5EF4-FFF2-40B4-BE49-F238E27FC236}">
              <a16:creationId xmlns:a16="http://schemas.microsoft.com/office/drawing/2014/main" id="{00000000-0008-0000-0100-0000C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7" name="TextBox 1486">
          <a:extLst>
            <a:ext uri="{FF2B5EF4-FFF2-40B4-BE49-F238E27FC236}">
              <a16:creationId xmlns:a16="http://schemas.microsoft.com/office/drawing/2014/main" id="{00000000-0008-0000-0100-0000C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8" name="TextBox 1487">
          <a:extLst>
            <a:ext uri="{FF2B5EF4-FFF2-40B4-BE49-F238E27FC236}">
              <a16:creationId xmlns:a16="http://schemas.microsoft.com/office/drawing/2014/main" id="{00000000-0008-0000-0100-0000D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89" name="TextBox 1488">
          <a:extLst>
            <a:ext uri="{FF2B5EF4-FFF2-40B4-BE49-F238E27FC236}">
              <a16:creationId xmlns:a16="http://schemas.microsoft.com/office/drawing/2014/main" id="{00000000-0008-0000-0100-0000D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0" name="TextBox 1489">
          <a:extLst>
            <a:ext uri="{FF2B5EF4-FFF2-40B4-BE49-F238E27FC236}">
              <a16:creationId xmlns:a16="http://schemas.microsoft.com/office/drawing/2014/main" id="{00000000-0008-0000-0100-0000D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1" name="TextBox 1490">
          <a:extLst>
            <a:ext uri="{FF2B5EF4-FFF2-40B4-BE49-F238E27FC236}">
              <a16:creationId xmlns:a16="http://schemas.microsoft.com/office/drawing/2014/main" id="{00000000-0008-0000-0100-0000D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2" name="TextBox 1491">
          <a:extLst>
            <a:ext uri="{FF2B5EF4-FFF2-40B4-BE49-F238E27FC236}">
              <a16:creationId xmlns:a16="http://schemas.microsoft.com/office/drawing/2014/main" id="{00000000-0008-0000-0100-0000D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3" name="TextBox 1492">
          <a:extLst>
            <a:ext uri="{FF2B5EF4-FFF2-40B4-BE49-F238E27FC236}">
              <a16:creationId xmlns:a16="http://schemas.microsoft.com/office/drawing/2014/main" id="{00000000-0008-0000-0100-0000D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4" name="TextBox 1493">
          <a:extLst>
            <a:ext uri="{FF2B5EF4-FFF2-40B4-BE49-F238E27FC236}">
              <a16:creationId xmlns:a16="http://schemas.microsoft.com/office/drawing/2014/main" id="{00000000-0008-0000-0100-0000D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5" name="TextBox 1494">
          <a:extLst>
            <a:ext uri="{FF2B5EF4-FFF2-40B4-BE49-F238E27FC236}">
              <a16:creationId xmlns:a16="http://schemas.microsoft.com/office/drawing/2014/main" id="{00000000-0008-0000-0100-0000D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6" name="TextBox 1495">
          <a:extLst>
            <a:ext uri="{FF2B5EF4-FFF2-40B4-BE49-F238E27FC236}">
              <a16:creationId xmlns:a16="http://schemas.microsoft.com/office/drawing/2014/main" id="{00000000-0008-0000-0100-0000D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7" name="TextBox 1496">
          <a:extLst>
            <a:ext uri="{FF2B5EF4-FFF2-40B4-BE49-F238E27FC236}">
              <a16:creationId xmlns:a16="http://schemas.microsoft.com/office/drawing/2014/main" id="{00000000-0008-0000-0100-0000D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8" name="TextBox 1497">
          <a:extLst>
            <a:ext uri="{FF2B5EF4-FFF2-40B4-BE49-F238E27FC236}">
              <a16:creationId xmlns:a16="http://schemas.microsoft.com/office/drawing/2014/main" id="{00000000-0008-0000-0100-0000D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499" name="TextBox 1498">
          <a:extLst>
            <a:ext uri="{FF2B5EF4-FFF2-40B4-BE49-F238E27FC236}">
              <a16:creationId xmlns:a16="http://schemas.microsoft.com/office/drawing/2014/main" id="{00000000-0008-0000-0100-0000D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0" name="TextBox 1499">
          <a:extLst>
            <a:ext uri="{FF2B5EF4-FFF2-40B4-BE49-F238E27FC236}">
              <a16:creationId xmlns:a16="http://schemas.microsoft.com/office/drawing/2014/main" id="{00000000-0008-0000-0100-0000D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1" name="TextBox 1500">
          <a:extLst>
            <a:ext uri="{FF2B5EF4-FFF2-40B4-BE49-F238E27FC236}">
              <a16:creationId xmlns:a16="http://schemas.microsoft.com/office/drawing/2014/main" id="{00000000-0008-0000-0100-0000D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2" name="TextBox 1501">
          <a:extLst>
            <a:ext uri="{FF2B5EF4-FFF2-40B4-BE49-F238E27FC236}">
              <a16:creationId xmlns:a16="http://schemas.microsoft.com/office/drawing/2014/main" id="{00000000-0008-0000-0100-0000D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3" name="TextBox 1502">
          <a:extLst>
            <a:ext uri="{FF2B5EF4-FFF2-40B4-BE49-F238E27FC236}">
              <a16:creationId xmlns:a16="http://schemas.microsoft.com/office/drawing/2014/main" id="{00000000-0008-0000-0100-0000D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4" name="TextBox 1503">
          <a:extLst>
            <a:ext uri="{FF2B5EF4-FFF2-40B4-BE49-F238E27FC236}">
              <a16:creationId xmlns:a16="http://schemas.microsoft.com/office/drawing/2014/main" id="{00000000-0008-0000-0100-0000E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5" name="TextBox 1504">
          <a:extLst>
            <a:ext uri="{FF2B5EF4-FFF2-40B4-BE49-F238E27FC236}">
              <a16:creationId xmlns:a16="http://schemas.microsoft.com/office/drawing/2014/main" id="{00000000-0008-0000-0100-0000E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6" name="TextBox 1505">
          <a:extLst>
            <a:ext uri="{FF2B5EF4-FFF2-40B4-BE49-F238E27FC236}">
              <a16:creationId xmlns:a16="http://schemas.microsoft.com/office/drawing/2014/main" id="{00000000-0008-0000-0100-0000E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7" name="TextBox 1506">
          <a:extLst>
            <a:ext uri="{FF2B5EF4-FFF2-40B4-BE49-F238E27FC236}">
              <a16:creationId xmlns:a16="http://schemas.microsoft.com/office/drawing/2014/main" id="{00000000-0008-0000-0100-0000E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8" name="TextBox 1507">
          <a:extLst>
            <a:ext uri="{FF2B5EF4-FFF2-40B4-BE49-F238E27FC236}">
              <a16:creationId xmlns:a16="http://schemas.microsoft.com/office/drawing/2014/main" id="{00000000-0008-0000-0100-0000E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09" name="TextBox 1508">
          <a:extLst>
            <a:ext uri="{FF2B5EF4-FFF2-40B4-BE49-F238E27FC236}">
              <a16:creationId xmlns:a16="http://schemas.microsoft.com/office/drawing/2014/main" id="{00000000-0008-0000-0100-0000E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0" name="TextBox 1509">
          <a:extLst>
            <a:ext uri="{FF2B5EF4-FFF2-40B4-BE49-F238E27FC236}">
              <a16:creationId xmlns:a16="http://schemas.microsoft.com/office/drawing/2014/main" id="{00000000-0008-0000-0100-0000E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1" name="TextBox 1510">
          <a:extLst>
            <a:ext uri="{FF2B5EF4-FFF2-40B4-BE49-F238E27FC236}">
              <a16:creationId xmlns:a16="http://schemas.microsoft.com/office/drawing/2014/main" id="{00000000-0008-0000-0100-0000E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2" name="TextBox 1511">
          <a:extLst>
            <a:ext uri="{FF2B5EF4-FFF2-40B4-BE49-F238E27FC236}">
              <a16:creationId xmlns:a16="http://schemas.microsoft.com/office/drawing/2014/main" id="{00000000-0008-0000-0100-0000E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3" name="TextBox 1512">
          <a:extLst>
            <a:ext uri="{FF2B5EF4-FFF2-40B4-BE49-F238E27FC236}">
              <a16:creationId xmlns:a16="http://schemas.microsoft.com/office/drawing/2014/main" id="{00000000-0008-0000-0100-0000E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4" name="TextBox 1513">
          <a:extLst>
            <a:ext uri="{FF2B5EF4-FFF2-40B4-BE49-F238E27FC236}">
              <a16:creationId xmlns:a16="http://schemas.microsoft.com/office/drawing/2014/main" id="{00000000-0008-0000-0100-0000E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5" name="TextBox 1514">
          <a:extLst>
            <a:ext uri="{FF2B5EF4-FFF2-40B4-BE49-F238E27FC236}">
              <a16:creationId xmlns:a16="http://schemas.microsoft.com/office/drawing/2014/main" id="{00000000-0008-0000-0100-0000E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6" name="TextBox 1515">
          <a:extLst>
            <a:ext uri="{FF2B5EF4-FFF2-40B4-BE49-F238E27FC236}">
              <a16:creationId xmlns:a16="http://schemas.microsoft.com/office/drawing/2014/main" id="{00000000-0008-0000-0100-0000E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7" name="TextBox 1516">
          <a:extLst>
            <a:ext uri="{FF2B5EF4-FFF2-40B4-BE49-F238E27FC236}">
              <a16:creationId xmlns:a16="http://schemas.microsoft.com/office/drawing/2014/main" id="{00000000-0008-0000-0100-0000E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8" name="TextBox 1517">
          <a:extLst>
            <a:ext uri="{FF2B5EF4-FFF2-40B4-BE49-F238E27FC236}">
              <a16:creationId xmlns:a16="http://schemas.microsoft.com/office/drawing/2014/main" id="{00000000-0008-0000-0100-0000E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19" name="TextBox 1518">
          <a:extLst>
            <a:ext uri="{FF2B5EF4-FFF2-40B4-BE49-F238E27FC236}">
              <a16:creationId xmlns:a16="http://schemas.microsoft.com/office/drawing/2014/main" id="{00000000-0008-0000-0100-0000E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0" name="TextBox 1519">
          <a:extLst>
            <a:ext uri="{FF2B5EF4-FFF2-40B4-BE49-F238E27FC236}">
              <a16:creationId xmlns:a16="http://schemas.microsoft.com/office/drawing/2014/main" id="{00000000-0008-0000-0100-0000F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1" name="TextBox 1520">
          <a:extLst>
            <a:ext uri="{FF2B5EF4-FFF2-40B4-BE49-F238E27FC236}">
              <a16:creationId xmlns:a16="http://schemas.microsoft.com/office/drawing/2014/main" id="{00000000-0008-0000-0100-0000F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2" name="TextBox 1521">
          <a:extLst>
            <a:ext uri="{FF2B5EF4-FFF2-40B4-BE49-F238E27FC236}">
              <a16:creationId xmlns:a16="http://schemas.microsoft.com/office/drawing/2014/main" id="{00000000-0008-0000-0100-0000F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3" name="TextBox 1522">
          <a:extLst>
            <a:ext uri="{FF2B5EF4-FFF2-40B4-BE49-F238E27FC236}">
              <a16:creationId xmlns:a16="http://schemas.microsoft.com/office/drawing/2014/main" id="{00000000-0008-0000-0100-0000F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4" name="TextBox 1523">
          <a:extLst>
            <a:ext uri="{FF2B5EF4-FFF2-40B4-BE49-F238E27FC236}">
              <a16:creationId xmlns:a16="http://schemas.microsoft.com/office/drawing/2014/main" id="{00000000-0008-0000-0100-0000F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5" name="TextBox 1524">
          <a:extLst>
            <a:ext uri="{FF2B5EF4-FFF2-40B4-BE49-F238E27FC236}">
              <a16:creationId xmlns:a16="http://schemas.microsoft.com/office/drawing/2014/main" id="{00000000-0008-0000-0100-0000F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6" name="TextBox 1525">
          <a:extLst>
            <a:ext uri="{FF2B5EF4-FFF2-40B4-BE49-F238E27FC236}">
              <a16:creationId xmlns:a16="http://schemas.microsoft.com/office/drawing/2014/main" id="{00000000-0008-0000-0100-0000F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7" name="TextBox 1526">
          <a:extLst>
            <a:ext uri="{FF2B5EF4-FFF2-40B4-BE49-F238E27FC236}">
              <a16:creationId xmlns:a16="http://schemas.microsoft.com/office/drawing/2014/main" id="{00000000-0008-0000-0100-0000F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8" name="TextBox 1527">
          <a:extLst>
            <a:ext uri="{FF2B5EF4-FFF2-40B4-BE49-F238E27FC236}">
              <a16:creationId xmlns:a16="http://schemas.microsoft.com/office/drawing/2014/main" id="{00000000-0008-0000-0100-0000F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29" name="TextBox 1528">
          <a:extLst>
            <a:ext uri="{FF2B5EF4-FFF2-40B4-BE49-F238E27FC236}">
              <a16:creationId xmlns:a16="http://schemas.microsoft.com/office/drawing/2014/main" id="{00000000-0008-0000-0100-0000F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0" name="TextBox 1529">
          <a:extLst>
            <a:ext uri="{FF2B5EF4-FFF2-40B4-BE49-F238E27FC236}">
              <a16:creationId xmlns:a16="http://schemas.microsoft.com/office/drawing/2014/main" id="{00000000-0008-0000-0100-0000F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1" name="TextBox 1530">
          <a:extLst>
            <a:ext uri="{FF2B5EF4-FFF2-40B4-BE49-F238E27FC236}">
              <a16:creationId xmlns:a16="http://schemas.microsoft.com/office/drawing/2014/main" id="{00000000-0008-0000-0100-0000F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2" name="TextBox 1531">
          <a:extLst>
            <a:ext uri="{FF2B5EF4-FFF2-40B4-BE49-F238E27FC236}">
              <a16:creationId xmlns:a16="http://schemas.microsoft.com/office/drawing/2014/main" id="{00000000-0008-0000-0100-0000F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3" name="TextBox 1532">
          <a:extLst>
            <a:ext uri="{FF2B5EF4-FFF2-40B4-BE49-F238E27FC236}">
              <a16:creationId xmlns:a16="http://schemas.microsoft.com/office/drawing/2014/main" id="{00000000-0008-0000-0100-0000F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4" name="TextBox 1533">
          <a:extLst>
            <a:ext uri="{FF2B5EF4-FFF2-40B4-BE49-F238E27FC236}">
              <a16:creationId xmlns:a16="http://schemas.microsoft.com/office/drawing/2014/main" id="{00000000-0008-0000-0100-0000F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5" name="TextBox 1534">
          <a:extLst>
            <a:ext uri="{FF2B5EF4-FFF2-40B4-BE49-F238E27FC236}">
              <a16:creationId xmlns:a16="http://schemas.microsoft.com/office/drawing/2014/main" id="{00000000-0008-0000-0100-0000F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6" name="TextBox 1535">
          <a:extLst>
            <a:ext uri="{FF2B5EF4-FFF2-40B4-BE49-F238E27FC236}">
              <a16:creationId xmlns:a16="http://schemas.microsoft.com/office/drawing/2014/main" id="{00000000-0008-0000-0100-00000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7" name="TextBox 1536">
          <a:extLst>
            <a:ext uri="{FF2B5EF4-FFF2-40B4-BE49-F238E27FC236}">
              <a16:creationId xmlns:a16="http://schemas.microsoft.com/office/drawing/2014/main" id="{00000000-0008-0000-0100-00000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8" name="TextBox 1537">
          <a:extLst>
            <a:ext uri="{FF2B5EF4-FFF2-40B4-BE49-F238E27FC236}">
              <a16:creationId xmlns:a16="http://schemas.microsoft.com/office/drawing/2014/main" id="{00000000-0008-0000-0100-00000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39" name="TextBox 1538">
          <a:extLst>
            <a:ext uri="{FF2B5EF4-FFF2-40B4-BE49-F238E27FC236}">
              <a16:creationId xmlns:a16="http://schemas.microsoft.com/office/drawing/2014/main" id="{00000000-0008-0000-0100-00000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0" name="TextBox 1539">
          <a:extLst>
            <a:ext uri="{FF2B5EF4-FFF2-40B4-BE49-F238E27FC236}">
              <a16:creationId xmlns:a16="http://schemas.microsoft.com/office/drawing/2014/main" id="{00000000-0008-0000-0100-00000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1" name="TextBox 1540">
          <a:extLst>
            <a:ext uri="{FF2B5EF4-FFF2-40B4-BE49-F238E27FC236}">
              <a16:creationId xmlns:a16="http://schemas.microsoft.com/office/drawing/2014/main" id="{00000000-0008-0000-0100-00000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2" name="TextBox 1541">
          <a:extLst>
            <a:ext uri="{FF2B5EF4-FFF2-40B4-BE49-F238E27FC236}">
              <a16:creationId xmlns:a16="http://schemas.microsoft.com/office/drawing/2014/main" id="{00000000-0008-0000-0100-00000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3" name="TextBox 1542">
          <a:extLst>
            <a:ext uri="{FF2B5EF4-FFF2-40B4-BE49-F238E27FC236}">
              <a16:creationId xmlns:a16="http://schemas.microsoft.com/office/drawing/2014/main" id="{00000000-0008-0000-0100-00000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4" name="TextBox 1543">
          <a:extLst>
            <a:ext uri="{FF2B5EF4-FFF2-40B4-BE49-F238E27FC236}">
              <a16:creationId xmlns:a16="http://schemas.microsoft.com/office/drawing/2014/main" id="{00000000-0008-0000-0100-00000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5" name="TextBox 1544">
          <a:extLst>
            <a:ext uri="{FF2B5EF4-FFF2-40B4-BE49-F238E27FC236}">
              <a16:creationId xmlns:a16="http://schemas.microsoft.com/office/drawing/2014/main" id="{00000000-0008-0000-0100-00000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6" name="TextBox 1545">
          <a:extLst>
            <a:ext uri="{FF2B5EF4-FFF2-40B4-BE49-F238E27FC236}">
              <a16:creationId xmlns:a16="http://schemas.microsoft.com/office/drawing/2014/main" id="{00000000-0008-0000-0100-00000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7" name="TextBox 1546">
          <a:extLst>
            <a:ext uri="{FF2B5EF4-FFF2-40B4-BE49-F238E27FC236}">
              <a16:creationId xmlns:a16="http://schemas.microsoft.com/office/drawing/2014/main" id="{00000000-0008-0000-0100-00000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8" name="TextBox 1547">
          <a:extLst>
            <a:ext uri="{FF2B5EF4-FFF2-40B4-BE49-F238E27FC236}">
              <a16:creationId xmlns:a16="http://schemas.microsoft.com/office/drawing/2014/main" id="{00000000-0008-0000-0100-00000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49" name="TextBox 1548">
          <a:extLst>
            <a:ext uri="{FF2B5EF4-FFF2-40B4-BE49-F238E27FC236}">
              <a16:creationId xmlns:a16="http://schemas.microsoft.com/office/drawing/2014/main" id="{00000000-0008-0000-0100-00000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0" name="TextBox 1549">
          <a:extLst>
            <a:ext uri="{FF2B5EF4-FFF2-40B4-BE49-F238E27FC236}">
              <a16:creationId xmlns:a16="http://schemas.microsoft.com/office/drawing/2014/main" id="{00000000-0008-0000-0100-00000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1" name="TextBox 1550">
          <a:extLst>
            <a:ext uri="{FF2B5EF4-FFF2-40B4-BE49-F238E27FC236}">
              <a16:creationId xmlns:a16="http://schemas.microsoft.com/office/drawing/2014/main" id="{00000000-0008-0000-0100-00000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2" name="TextBox 1551">
          <a:extLst>
            <a:ext uri="{FF2B5EF4-FFF2-40B4-BE49-F238E27FC236}">
              <a16:creationId xmlns:a16="http://schemas.microsoft.com/office/drawing/2014/main" id="{00000000-0008-0000-0100-00001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3" name="TextBox 1552">
          <a:extLst>
            <a:ext uri="{FF2B5EF4-FFF2-40B4-BE49-F238E27FC236}">
              <a16:creationId xmlns:a16="http://schemas.microsoft.com/office/drawing/2014/main" id="{00000000-0008-0000-0100-00001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4" name="TextBox 1553">
          <a:extLst>
            <a:ext uri="{FF2B5EF4-FFF2-40B4-BE49-F238E27FC236}">
              <a16:creationId xmlns:a16="http://schemas.microsoft.com/office/drawing/2014/main" id="{00000000-0008-0000-0100-00001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5" name="TextBox 1554">
          <a:extLst>
            <a:ext uri="{FF2B5EF4-FFF2-40B4-BE49-F238E27FC236}">
              <a16:creationId xmlns:a16="http://schemas.microsoft.com/office/drawing/2014/main" id="{00000000-0008-0000-0100-00001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6" name="TextBox 1555">
          <a:extLst>
            <a:ext uri="{FF2B5EF4-FFF2-40B4-BE49-F238E27FC236}">
              <a16:creationId xmlns:a16="http://schemas.microsoft.com/office/drawing/2014/main" id="{00000000-0008-0000-0100-00001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7" name="TextBox 1556">
          <a:extLst>
            <a:ext uri="{FF2B5EF4-FFF2-40B4-BE49-F238E27FC236}">
              <a16:creationId xmlns:a16="http://schemas.microsoft.com/office/drawing/2014/main" id="{00000000-0008-0000-0100-00001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8" name="TextBox 1557">
          <a:extLst>
            <a:ext uri="{FF2B5EF4-FFF2-40B4-BE49-F238E27FC236}">
              <a16:creationId xmlns:a16="http://schemas.microsoft.com/office/drawing/2014/main" id="{00000000-0008-0000-0100-00001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59" name="TextBox 1558">
          <a:extLst>
            <a:ext uri="{FF2B5EF4-FFF2-40B4-BE49-F238E27FC236}">
              <a16:creationId xmlns:a16="http://schemas.microsoft.com/office/drawing/2014/main" id="{00000000-0008-0000-0100-00001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0" name="TextBox 1559">
          <a:extLst>
            <a:ext uri="{FF2B5EF4-FFF2-40B4-BE49-F238E27FC236}">
              <a16:creationId xmlns:a16="http://schemas.microsoft.com/office/drawing/2014/main" id="{00000000-0008-0000-0100-00001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1" name="TextBox 1560">
          <a:extLst>
            <a:ext uri="{FF2B5EF4-FFF2-40B4-BE49-F238E27FC236}">
              <a16:creationId xmlns:a16="http://schemas.microsoft.com/office/drawing/2014/main" id="{00000000-0008-0000-0100-00001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2" name="TextBox 1561">
          <a:extLst>
            <a:ext uri="{FF2B5EF4-FFF2-40B4-BE49-F238E27FC236}">
              <a16:creationId xmlns:a16="http://schemas.microsoft.com/office/drawing/2014/main" id="{00000000-0008-0000-0100-00001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3" name="TextBox 1562">
          <a:extLst>
            <a:ext uri="{FF2B5EF4-FFF2-40B4-BE49-F238E27FC236}">
              <a16:creationId xmlns:a16="http://schemas.microsoft.com/office/drawing/2014/main" id="{00000000-0008-0000-0100-00001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4" name="TextBox 1563">
          <a:extLst>
            <a:ext uri="{FF2B5EF4-FFF2-40B4-BE49-F238E27FC236}">
              <a16:creationId xmlns:a16="http://schemas.microsoft.com/office/drawing/2014/main" id="{00000000-0008-0000-0100-00001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5" name="TextBox 1564">
          <a:extLst>
            <a:ext uri="{FF2B5EF4-FFF2-40B4-BE49-F238E27FC236}">
              <a16:creationId xmlns:a16="http://schemas.microsoft.com/office/drawing/2014/main" id="{00000000-0008-0000-0100-00001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6" name="TextBox 1565">
          <a:extLst>
            <a:ext uri="{FF2B5EF4-FFF2-40B4-BE49-F238E27FC236}">
              <a16:creationId xmlns:a16="http://schemas.microsoft.com/office/drawing/2014/main" id="{00000000-0008-0000-0100-00001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7" name="TextBox 1566">
          <a:extLst>
            <a:ext uri="{FF2B5EF4-FFF2-40B4-BE49-F238E27FC236}">
              <a16:creationId xmlns:a16="http://schemas.microsoft.com/office/drawing/2014/main" id="{00000000-0008-0000-0100-00001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8" name="TextBox 1567">
          <a:extLst>
            <a:ext uri="{FF2B5EF4-FFF2-40B4-BE49-F238E27FC236}">
              <a16:creationId xmlns:a16="http://schemas.microsoft.com/office/drawing/2014/main" id="{00000000-0008-0000-0100-00002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69" name="TextBox 1568">
          <a:extLst>
            <a:ext uri="{FF2B5EF4-FFF2-40B4-BE49-F238E27FC236}">
              <a16:creationId xmlns:a16="http://schemas.microsoft.com/office/drawing/2014/main" id="{00000000-0008-0000-0100-00002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0" name="TextBox 1569">
          <a:extLst>
            <a:ext uri="{FF2B5EF4-FFF2-40B4-BE49-F238E27FC236}">
              <a16:creationId xmlns:a16="http://schemas.microsoft.com/office/drawing/2014/main" id="{00000000-0008-0000-0100-00002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1" name="TextBox 1570">
          <a:extLst>
            <a:ext uri="{FF2B5EF4-FFF2-40B4-BE49-F238E27FC236}">
              <a16:creationId xmlns:a16="http://schemas.microsoft.com/office/drawing/2014/main" id="{00000000-0008-0000-0100-00002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2" name="TextBox 1571">
          <a:extLst>
            <a:ext uri="{FF2B5EF4-FFF2-40B4-BE49-F238E27FC236}">
              <a16:creationId xmlns:a16="http://schemas.microsoft.com/office/drawing/2014/main" id="{00000000-0008-0000-0100-00002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3" name="TextBox 1572">
          <a:extLst>
            <a:ext uri="{FF2B5EF4-FFF2-40B4-BE49-F238E27FC236}">
              <a16:creationId xmlns:a16="http://schemas.microsoft.com/office/drawing/2014/main" id="{00000000-0008-0000-0100-00002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4" name="TextBox 1573">
          <a:extLst>
            <a:ext uri="{FF2B5EF4-FFF2-40B4-BE49-F238E27FC236}">
              <a16:creationId xmlns:a16="http://schemas.microsoft.com/office/drawing/2014/main" id="{00000000-0008-0000-0100-00002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5" name="TextBox 1574">
          <a:extLst>
            <a:ext uri="{FF2B5EF4-FFF2-40B4-BE49-F238E27FC236}">
              <a16:creationId xmlns:a16="http://schemas.microsoft.com/office/drawing/2014/main" id="{00000000-0008-0000-0100-00002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6" name="TextBox 1575">
          <a:extLst>
            <a:ext uri="{FF2B5EF4-FFF2-40B4-BE49-F238E27FC236}">
              <a16:creationId xmlns:a16="http://schemas.microsoft.com/office/drawing/2014/main" id="{00000000-0008-0000-0100-00002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7" name="TextBox 1576">
          <a:extLst>
            <a:ext uri="{FF2B5EF4-FFF2-40B4-BE49-F238E27FC236}">
              <a16:creationId xmlns:a16="http://schemas.microsoft.com/office/drawing/2014/main" id="{00000000-0008-0000-0100-00002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8" name="TextBox 1577">
          <a:extLst>
            <a:ext uri="{FF2B5EF4-FFF2-40B4-BE49-F238E27FC236}">
              <a16:creationId xmlns:a16="http://schemas.microsoft.com/office/drawing/2014/main" id="{00000000-0008-0000-0100-00002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79" name="TextBox 1578">
          <a:extLst>
            <a:ext uri="{FF2B5EF4-FFF2-40B4-BE49-F238E27FC236}">
              <a16:creationId xmlns:a16="http://schemas.microsoft.com/office/drawing/2014/main" id="{00000000-0008-0000-0100-00002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0" name="TextBox 1579">
          <a:extLst>
            <a:ext uri="{FF2B5EF4-FFF2-40B4-BE49-F238E27FC236}">
              <a16:creationId xmlns:a16="http://schemas.microsoft.com/office/drawing/2014/main" id="{00000000-0008-0000-0100-00002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1" name="TextBox 1580">
          <a:extLst>
            <a:ext uri="{FF2B5EF4-FFF2-40B4-BE49-F238E27FC236}">
              <a16:creationId xmlns:a16="http://schemas.microsoft.com/office/drawing/2014/main" id="{00000000-0008-0000-0100-00002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2" name="TextBox 1581">
          <a:extLst>
            <a:ext uri="{FF2B5EF4-FFF2-40B4-BE49-F238E27FC236}">
              <a16:creationId xmlns:a16="http://schemas.microsoft.com/office/drawing/2014/main" id="{00000000-0008-0000-0100-00002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3" name="TextBox 1582">
          <a:extLst>
            <a:ext uri="{FF2B5EF4-FFF2-40B4-BE49-F238E27FC236}">
              <a16:creationId xmlns:a16="http://schemas.microsoft.com/office/drawing/2014/main" id="{00000000-0008-0000-0100-00002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4" name="TextBox 1583">
          <a:extLst>
            <a:ext uri="{FF2B5EF4-FFF2-40B4-BE49-F238E27FC236}">
              <a16:creationId xmlns:a16="http://schemas.microsoft.com/office/drawing/2014/main" id="{00000000-0008-0000-0100-00003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5" name="TextBox 1584">
          <a:extLst>
            <a:ext uri="{FF2B5EF4-FFF2-40B4-BE49-F238E27FC236}">
              <a16:creationId xmlns:a16="http://schemas.microsoft.com/office/drawing/2014/main" id="{00000000-0008-0000-0100-00003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6" name="TextBox 1585">
          <a:extLst>
            <a:ext uri="{FF2B5EF4-FFF2-40B4-BE49-F238E27FC236}">
              <a16:creationId xmlns:a16="http://schemas.microsoft.com/office/drawing/2014/main" id="{00000000-0008-0000-0100-00003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7" name="TextBox 1586">
          <a:extLst>
            <a:ext uri="{FF2B5EF4-FFF2-40B4-BE49-F238E27FC236}">
              <a16:creationId xmlns:a16="http://schemas.microsoft.com/office/drawing/2014/main" id="{00000000-0008-0000-0100-00003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8" name="TextBox 1587">
          <a:extLst>
            <a:ext uri="{FF2B5EF4-FFF2-40B4-BE49-F238E27FC236}">
              <a16:creationId xmlns:a16="http://schemas.microsoft.com/office/drawing/2014/main" id="{00000000-0008-0000-0100-00003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89" name="TextBox 1588">
          <a:extLst>
            <a:ext uri="{FF2B5EF4-FFF2-40B4-BE49-F238E27FC236}">
              <a16:creationId xmlns:a16="http://schemas.microsoft.com/office/drawing/2014/main" id="{00000000-0008-0000-0100-00003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0" name="TextBox 1589">
          <a:extLst>
            <a:ext uri="{FF2B5EF4-FFF2-40B4-BE49-F238E27FC236}">
              <a16:creationId xmlns:a16="http://schemas.microsoft.com/office/drawing/2014/main" id="{00000000-0008-0000-0100-00003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1" name="TextBox 1590">
          <a:extLst>
            <a:ext uri="{FF2B5EF4-FFF2-40B4-BE49-F238E27FC236}">
              <a16:creationId xmlns:a16="http://schemas.microsoft.com/office/drawing/2014/main" id="{00000000-0008-0000-0100-00003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2" name="TextBox 1591">
          <a:extLst>
            <a:ext uri="{FF2B5EF4-FFF2-40B4-BE49-F238E27FC236}">
              <a16:creationId xmlns:a16="http://schemas.microsoft.com/office/drawing/2014/main" id="{00000000-0008-0000-0100-00003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3" name="TextBox 1592">
          <a:extLst>
            <a:ext uri="{FF2B5EF4-FFF2-40B4-BE49-F238E27FC236}">
              <a16:creationId xmlns:a16="http://schemas.microsoft.com/office/drawing/2014/main" id="{00000000-0008-0000-0100-00003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4" name="TextBox 1593">
          <a:extLst>
            <a:ext uri="{FF2B5EF4-FFF2-40B4-BE49-F238E27FC236}">
              <a16:creationId xmlns:a16="http://schemas.microsoft.com/office/drawing/2014/main" id="{00000000-0008-0000-0100-00003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5" name="TextBox 1594">
          <a:extLst>
            <a:ext uri="{FF2B5EF4-FFF2-40B4-BE49-F238E27FC236}">
              <a16:creationId xmlns:a16="http://schemas.microsoft.com/office/drawing/2014/main" id="{00000000-0008-0000-0100-00003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6" name="TextBox 1595">
          <a:extLst>
            <a:ext uri="{FF2B5EF4-FFF2-40B4-BE49-F238E27FC236}">
              <a16:creationId xmlns:a16="http://schemas.microsoft.com/office/drawing/2014/main" id="{00000000-0008-0000-0100-00003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7" name="TextBox 1596">
          <a:extLst>
            <a:ext uri="{FF2B5EF4-FFF2-40B4-BE49-F238E27FC236}">
              <a16:creationId xmlns:a16="http://schemas.microsoft.com/office/drawing/2014/main" id="{00000000-0008-0000-0100-00003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8" name="TextBox 1597">
          <a:extLst>
            <a:ext uri="{FF2B5EF4-FFF2-40B4-BE49-F238E27FC236}">
              <a16:creationId xmlns:a16="http://schemas.microsoft.com/office/drawing/2014/main" id="{00000000-0008-0000-0100-00003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599" name="TextBox 1598">
          <a:extLst>
            <a:ext uri="{FF2B5EF4-FFF2-40B4-BE49-F238E27FC236}">
              <a16:creationId xmlns:a16="http://schemas.microsoft.com/office/drawing/2014/main" id="{00000000-0008-0000-0100-00003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0" name="TextBox 1599">
          <a:extLst>
            <a:ext uri="{FF2B5EF4-FFF2-40B4-BE49-F238E27FC236}">
              <a16:creationId xmlns:a16="http://schemas.microsoft.com/office/drawing/2014/main" id="{00000000-0008-0000-0100-00004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1" name="TextBox 1600">
          <a:extLst>
            <a:ext uri="{FF2B5EF4-FFF2-40B4-BE49-F238E27FC236}">
              <a16:creationId xmlns:a16="http://schemas.microsoft.com/office/drawing/2014/main" id="{00000000-0008-0000-0100-00004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2" name="TextBox 1601">
          <a:extLst>
            <a:ext uri="{FF2B5EF4-FFF2-40B4-BE49-F238E27FC236}">
              <a16:creationId xmlns:a16="http://schemas.microsoft.com/office/drawing/2014/main" id="{00000000-0008-0000-0100-00004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3" name="TextBox 1602">
          <a:extLst>
            <a:ext uri="{FF2B5EF4-FFF2-40B4-BE49-F238E27FC236}">
              <a16:creationId xmlns:a16="http://schemas.microsoft.com/office/drawing/2014/main" id="{00000000-0008-0000-0100-00004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4" name="TextBox 1603">
          <a:extLst>
            <a:ext uri="{FF2B5EF4-FFF2-40B4-BE49-F238E27FC236}">
              <a16:creationId xmlns:a16="http://schemas.microsoft.com/office/drawing/2014/main" id="{00000000-0008-0000-0100-00004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5" name="TextBox 1604">
          <a:extLst>
            <a:ext uri="{FF2B5EF4-FFF2-40B4-BE49-F238E27FC236}">
              <a16:creationId xmlns:a16="http://schemas.microsoft.com/office/drawing/2014/main" id="{00000000-0008-0000-0100-00004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6" name="TextBox 1605">
          <a:extLst>
            <a:ext uri="{FF2B5EF4-FFF2-40B4-BE49-F238E27FC236}">
              <a16:creationId xmlns:a16="http://schemas.microsoft.com/office/drawing/2014/main" id="{00000000-0008-0000-0100-00004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7" name="TextBox 1606">
          <a:extLst>
            <a:ext uri="{FF2B5EF4-FFF2-40B4-BE49-F238E27FC236}">
              <a16:creationId xmlns:a16="http://schemas.microsoft.com/office/drawing/2014/main" id="{00000000-0008-0000-0100-00004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8" name="TextBox 1607">
          <a:extLst>
            <a:ext uri="{FF2B5EF4-FFF2-40B4-BE49-F238E27FC236}">
              <a16:creationId xmlns:a16="http://schemas.microsoft.com/office/drawing/2014/main" id="{00000000-0008-0000-0100-00004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09" name="TextBox 1608">
          <a:extLst>
            <a:ext uri="{FF2B5EF4-FFF2-40B4-BE49-F238E27FC236}">
              <a16:creationId xmlns:a16="http://schemas.microsoft.com/office/drawing/2014/main" id="{00000000-0008-0000-0100-00004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0" name="TextBox 1609">
          <a:extLst>
            <a:ext uri="{FF2B5EF4-FFF2-40B4-BE49-F238E27FC236}">
              <a16:creationId xmlns:a16="http://schemas.microsoft.com/office/drawing/2014/main" id="{00000000-0008-0000-0100-00004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1" name="TextBox 1610">
          <a:extLst>
            <a:ext uri="{FF2B5EF4-FFF2-40B4-BE49-F238E27FC236}">
              <a16:creationId xmlns:a16="http://schemas.microsoft.com/office/drawing/2014/main" id="{00000000-0008-0000-0100-00004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2" name="TextBox 1611">
          <a:extLst>
            <a:ext uri="{FF2B5EF4-FFF2-40B4-BE49-F238E27FC236}">
              <a16:creationId xmlns:a16="http://schemas.microsoft.com/office/drawing/2014/main" id="{00000000-0008-0000-0100-00004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3" name="TextBox 1612">
          <a:extLst>
            <a:ext uri="{FF2B5EF4-FFF2-40B4-BE49-F238E27FC236}">
              <a16:creationId xmlns:a16="http://schemas.microsoft.com/office/drawing/2014/main" id="{00000000-0008-0000-0100-00004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4" name="TextBox 1613">
          <a:extLst>
            <a:ext uri="{FF2B5EF4-FFF2-40B4-BE49-F238E27FC236}">
              <a16:creationId xmlns:a16="http://schemas.microsoft.com/office/drawing/2014/main" id="{00000000-0008-0000-0100-00004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5" name="TextBox 1614">
          <a:extLst>
            <a:ext uri="{FF2B5EF4-FFF2-40B4-BE49-F238E27FC236}">
              <a16:creationId xmlns:a16="http://schemas.microsoft.com/office/drawing/2014/main" id="{00000000-0008-0000-0100-00004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6" name="TextBox 1615">
          <a:extLst>
            <a:ext uri="{FF2B5EF4-FFF2-40B4-BE49-F238E27FC236}">
              <a16:creationId xmlns:a16="http://schemas.microsoft.com/office/drawing/2014/main" id="{00000000-0008-0000-0100-00005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7" name="TextBox 1616">
          <a:extLst>
            <a:ext uri="{FF2B5EF4-FFF2-40B4-BE49-F238E27FC236}">
              <a16:creationId xmlns:a16="http://schemas.microsoft.com/office/drawing/2014/main" id="{00000000-0008-0000-0100-00005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8" name="TextBox 1617">
          <a:extLst>
            <a:ext uri="{FF2B5EF4-FFF2-40B4-BE49-F238E27FC236}">
              <a16:creationId xmlns:a16="http://schemas.microsoft.com/office/drawing/2014/main" id="{00000000-0008-0000-0100-00005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19" name="TextBox 1618">
          <a:extLst>
            <a:ext uri="{FF2B5EF4-FFF2-40B4-BE49-F238E27FC236}">
              <a16:creationId xmlns:a16="http://schemas.microsoft.com/office/drawing/2014/main" id="{00000000-0008-0000-0100-00005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0" name="TextBox 1619">
          <a:extLst>
            <a:ext uri="{FF2B5EF4-FFF2-40B4-BE49-F238E27FC236}">
              <a16:creationId xmlns:a16="http://schemas.microsoft.com/office/drawing/2014/main" id="{00000000-0008-0000-0100-00005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1" name="TextBox 1620">
          <a:extLst>
            <a:ext uri="{FF2B5EF4-FFF2-40B4-BE49-F238E27FC236}">
              <a16:creationId xmlns:a16="http://schemas.microsoft.com/office/drawing/2014/main" id="{00000000-0008-0000-0100-00005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2" name="TextBox 1621">
          <a:extLst>
            <a:ext uri="{FF2B5EF4-FFF2-40B4-BE49-F238E27FC236}">
              <a16:creationId xmlns:a16="http://schemas.microsoft.com/office/drawing/2014/main" id="{00000000-0008-0000-0100-00005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3" name="TextBox 1622">
          <a:extLst>
            <a:ext uri="{FF2B5EF4-FFF2-40B4-BE49-F238E27FC236}">
              <a16:creationId xmlns:a16="http://schemas.microsoft.com/office/drawing/2014/main" id="{00000000-0008-0000-0100-00005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4" name="TextBox 1623">
          <a:extLst>
            <a:ext uri="{FF2B5EF4-FFF2-40B4-BE49-F238E27FC236}">
              <a16:creationId xmlns:a16="http://schemas.microsoft.com/office/drawing/2014/main" id="{00000000-0008-0000-0100-00005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5" name="TextBox 1624">
          <a:extLst>
            <a:ext uri="{FF2B5EF4-FFF2-40B4-BE49-F238E27FC236}">
              <a16:creationId xmlns:a16="http://schemas.microsoft.com/office/drawing/2014/main" id="{00000000-0008-0000-0100-00005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6" name="TextBox 1625">
          <a:extLst>
            <a:ext uri="{FF2B5EF4-FFF2-40B4-BE49-F238E27FC236}">
              <a16:creationId xmlns:a16="http://schemas.microsoft.com/office/drawing/2014/main" id="{00000000-0008-0000-0100-00005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7" name="TextBox 1626">
          <a:extLst>
            <a:ext uri="{FF2B5EF4-FFF2-40B4-BE49-F238E27FC236}">
              <a16:creationId xmlns:a16="http://schemas.microsoft.com/office/drawing/2014/main" id="{00000000-0008-0000-0100-00005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8" name="TextBox 1627">
          <a:extLst>
            <a:ext uri="{FF2B5EF4-FFF2-40B4-BE49-F238E27FC236}">
              <a16:creationId xmlns:a16="http://schemas.microsoft.com/office/drawing/2014/main" id="{00000000-0008-0000-0100-00005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29" name="TextBox 1628">
          <a:extLst>
            <a:ext uri="{FF2B5EF4-FFF2-40B4-BE49-F238E27FC236}">
              <a16:creationId xmlns:a16="http://schemas.microsoft.com/office/drawing/2014/main" id="{00000000-0008-0000-0100-00005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0" name="TextBox 1629">
          <a:extLst>
            <a:ext uri="{FF2B5EF4-FFF2-40B4-BE49-F238E27FC236}">
              <a16:creationId xmlns:a16="http://schemas.microsoft.com/office/drawing/2014/main" id="{00000000-0008-0000-0100-00005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1" name="TextBox 1630">
          <a:extLst>
            <a:ext uri="{FF2B5EF4-FFF2-40B4-BE49-F238E27FC236}">
              <a16:creationId xmlns:a16="http://schemas.microsoft.com/office/drawing/2014/main" id="{00000000-0008-0000-0100-00005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2" name="TextBox 1631">
          <a:extLst>
            <a:ext uri="{FF2B5EF4-FFF2-40B4-BE49-F238E27FC236}">
              <a16:creationId xmlns:a16="http://schemas.microsoft.com/office/drawing/2014/main" id="{00000000-0008-0000-0100-00006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3" name="TextBox 1632">
          <a:extLst>
            <a:ext uri="{FF2B5EF4-FFF2-40B4-BE49-F238E27FC236}">
              <a16:creationId xmlns:a16="http://schemas.microsoft.com/office/drawing/2014/main" id="{00000000-0008-0000-0100-00006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4" name="TextBox 1633">
          <a:extLst>
            <a:ext uri="{FF2B5EF4-FFF2-40B4-BE49-F238E27FC236}">
              <a16:creationId xmlns:a16="http://schemas.microsoft.com/office/drawing/2014/main" id="{00000000-0008-0000-0100-00006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5" name="TextBox 1634">
          <a:extLst>
            <a:ext uri="{FF2B5EF4-FFF2-40B4-BE49-F238E27FC236}">
              <a16:creationId xmlns:a16="http://schemas.microsoft.com/office/drawing/2014/main" id="{00000000-0008-0000-0100-00006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6" name="TextBox 1635">
          <a:extLst>
            <a:ext uri="{FF2B5EF4-FFF2-40B4-BE49-F238E27FC236}">
              <a16:creationId xmlns:a16="http://schemas.microsoft.com/office/drawing/2014/main" id="{00000000-0008-0000-0100-00006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7" name="TextBox 1636">
          <a:extLst>
            <a:ext uri="{FF2B5EF4-FFF2-40B4-BE49-F238E27FC236}">
              <a16:creationId xmlns:a16="http://schemas.microsoft.com/office/drawing/2014/main" id="{00000000-0008-0000-0100-00006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8" name="TextBox 1637">
          <a:extLst>
            <a:ext uri="{FF2B5EF4-FFF2-40B4-BE49-F238E27FC236}">
              <a16:creationId xmlns:a16="http://schemas.microsoft.com/office/drawing/2014/main" id="{00000000-0008-0000-0100-00006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39" name="TextBox 1638">
          <a:extLst>
            <a:ext uri="{FF2B5EF4-FFF2-40B4-BE49-F238E27FC236}">
              <a16:creationId xmlns:a16="http://schemas.microsoft.com/office/drawing/2014/main" id="{00000000-0008-0000-0100-00006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0" name="TextBox 1639">
          <a:extLst>
            <a:ext uri="{FF2B5EF4-FFF2-40B4-BE49-F238E27FC236}">
              <a16:creationId xmlns:a16="http://schemas.microsoft.com/office/drawing/2014/main" id="{00000000-0008-0000-0100-00006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1" name="TextBox 1640">
          <a:extLst>
            <a:ext uri="{FF2B5EF4-FFF2-40B4-BE49-F238E27FC236}">
              <a16:creationId xmlns:a16="http://schemas.microsoft.com/office/drawing/2014/main" id="{00000000-0008-0000-0100-00006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2" name="TextBox 1641">
          <a:extLst>
            <a:ext uri="{FF2B5EF4-FFF2-40B4-BE49-F238E27FC236}">
              <a16:creationId xmlns:a16="http://schemas.microsoft.com/office/drawing/2014/main" id="{00000000-0008-0000-0100-00006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3" name="TextBox 1642">
          <a:extLst>
            <a:ext uri="{FF2B5EF4-FFF2-40B4-BE49-F238E27FC236}">
              <a16:creationId xmlns:a16="http://schemas.microsoft.com/office/drawing/2014/main" id="{00000000-0008-0000-0100-00006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4" name="TextBox 1643">
          <a:extLst>
            <a:ext uri="{FF2B5EF4-FFF2-40B4-BE49-F238E27FC236}">
              <a16:creationId xmlns:a16="http://schemas.microsoft.com/office/drawing/2014/main" id="{00000000-0008-0000-0100-00006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5" name="TextBox 1644">
          <a:extLst>
            <a:ext uri="{FF2B5EF4-FFF2-40B4-BE49-F238E27FC236}">
              <a16:creationId xmlns:a16="http://schemas.microsoft.com/office/drawing/2014/main" id="{00000000-0008-0000-0100-00006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6" name="TextBox 1645">
          <a:extLst>
            <a:ext uri="{FF2B5EF4-FFF2-40B4-BE49-F238E27FC236}">
              <a16:creationId xmlns:a16="http://schemas.microsoft.com/office/drawing/2014/main" id="{00000000-0008-0000-0100-00006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7" name="TextBox 1646">
          <a:extLst>
            <a:ext uri="{FF2B5EF4-FFF2-40B4-BE49-F238E27FC236}">
              <a16:creationId xmlns:a16="http://schemas.microsoft.com/office/drawing/2014/main" id="{00000000-0008-0000-0100-00006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8" name="TextBox 1647">
          <a:extLst>
            <a:ext uri="{FF2B5EF4-FFF2-40B4-BE49-F238E27FC236}">
              <a16:creationId xmlns:a16="http://schemas.microsoft.com/office/drawing/2014/main" id="{00000000-0008-0000-0100-00007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49" name="TextBox 1648">
          <a:extLst>
            <a:ext uri="{FF2B5EF4-FFF2-40B4-BE49-F238E27FC236}">
              <a16:creationId xmlns:a16="http://schemas.microsoft.com/office/drawing/2014/main" id="{00000000-0008-0000-0100-00007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0" name="TextBox 1649">
          <a:extLst>
            <a:ext uri="{FF2B5EF4-FFF2-40B4-BE49-F238E27FC236}">
              <a16:creationId xmlns:a16="http://schemas.microsoft.com/office/drawing/2014/main" id="{00000000-0008-0000-0100-00007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1" name="TextBox 1650">
          <a:extLst>
            <a:ext uri="{FF2B5EF4-FFF2-40B4-BE49-F238E27FC236}">
              <a16:creationId xmlns:a16="http://schemas.microsoft.com/office/drawing/2014/main" id="{00000000-0008-0000-0100-00007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2" name="TextBox 1651">
          <a:extLst>
            <a:ext uri="{FF2B5EF4-FFF2-40B4-BE49-F238E27FC236}">
              <a16:creationId xmlns:a16="http://schemas.microsoft.com/office/drawing/2014/main" id="{00000000-0008-0000-0100-00007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3" name="TextBox 1652">
          <a:extLst>
            <a:ext uri="{FF2B5EF4-FFF2-40B4-BE49-F238E27FC236}">
              <a16:creationId xmlns:a16="http://schemas.microsoft.com/office/drawing/2014/main" id="{00000000-0008-0000-0100-00007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4" name="TextBox 1653">
          <a:extLst>
            <a:ext uri="{FF2B5EF4-FFF2-40B4-BE49-F238E27FC236}">
              <a16:creationId xmlns:a16="http://schemas.microsoft.com/office/drawing/2014/main" id="{00000000-0008-0000-0100-00007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5" name="TextBox 1654">
          <a:extLst>
            <a:ext uri="{FF2B5EF4-FFF2-40B4-BE49-F238E27FC236}">
              <a16:creationId xmlns:a16="http://schemas.microsoft.com/office/drawing/2014/main" id="{00000000-0008-0000-0100-00007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6" name="TextBox 1655">
          <a:extLst>
            <a:ext uri="{FF2B5EF4-FFF2-40B4-BE49-F238E27FC236}">
              <a16:creationId xmlns:a16="http://schemas.microsoft.com/office/drawing/2014/main" id="{00000000-0008-0000-0100-00007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7" name="TextBox 1656">
          <a:extLst>
            <a:ext uri="{FF2B5EF4-FFF2-40B4-BE49-F238E27FC236}">
              <a16:creationId xmlns:a16="http://schemas.microsoft.com/office/drawing/2014/main" id="{00000000-0008-0000-0100-00007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8" name="TextBox 1657">
          <a:extLst>
            <a:ext uri="{FF2B5EF4-FFF2-40B4-BE49-F238E27FC236}">
              <a16:creationId xmlns:a16="http://schemas.microsoft.com/office/drawing/2014/main" id="{00000000-0008-0000-0100-00007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59" name="TextBox 1658">
          <a:extLst>
            <a:ext uri="{FF2B5EF4-FFF2-40B4-BE49-F238E27FC236}">
              <a16:creationId xmlns:a16="http://schemas.microsoft.com/office/drawing/2014/main" id="{00000000-0008-0000-0100-00007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0" name="TextBox 1659">
          <a:extLst>
            <a:ext uri="{FF2B5EF4-FFF2-40B4-BE49-F238E27FC236}">
              <a16:creationId xmlns:a16="http://schemas.microsoft.com/office/drawing/2014/main" id="{00000000-0008-0000-0100-00007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1" name="TextBox 1660">
          <a:extLst>
            <a:ext uri="{FF2B5EF4-FFF2-40B4-BE49-F238E27FC236}">
              <a16:creationId xmlns:a16="http://schemas.microsoft.com/office/drawing/2014/main" id="{00000000-0008-0000-0100-00007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2" name="TextBox 1661">
          <a:extLst>
            <a:ext uri="{FF2B5EF4-FFF2-40B4-BE49-F238E27FC236}">
              <a16:creationId xmlns:a16="http://schemas.microsoft.com/office/drawing/2014/main" id="{00000000-0008-0000-0100-00007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3" name="TextBox 1662">
          <a:extLst>
            <a:ext uri="{FF2B5EF4-FFF2-40B4-BE49-F238E27FC236}">
              <a16:creationId xmlns:a16="http://schemas.microsoft.com/office/drawing/2014/main" id="{00000000-0008-0000-0100-00007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4" name="TextBox 1663">
          <a:extLst>
            <a:ext uri="{FF2B5EF4-FFF2-40B4-BE49-F238E27FC236}">
              <a16:creationId xmlns:a16="http://schemas.microsoft.com/office/drawing/2014/main" id="{00000000-0008-0000-0100-00008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5" name="TextBox 1664">
          <a:extLst>
            <a:ext uri="{FF2B5EF4-FFF2-40B4-BE49-F238E27FC236}">
              <a16:creationId xmlns:a16="http://schemas.microsoft.com/office/drawing/2014/main" id="{00000000-0008-0000-0100-00008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6" name="TextBox 1665">
          <a:extLst>
            <a:ext uri="{FF2B5EF4-FFF2-40B4-BE49-F238E27FC236}">
              <a16:creationId xmlns:a16="http://schemas.microsoft.com/office/drawing/2014/main" id="{00000000-0008-0000-0100-00008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7" name="TextBox 1666">
          <a:extLst>
            <a:ext uri="{FF2B5EF4-FFF2-40B4-BE49-F238E27FC236}">
              <a16:creationId xmlns:a16="http://schemas.microsoft.com/office/drawing/2014/main" id="{00000000-0008-0000-0100-00008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8" name="TextBox 1667">
          <a:extLst>
            <a:ext uri="{FF2B5EF4-FFF2-40B4-BE49-F238E27FC236}">
              <a16:creationId xmlns:a16="http://schemas.microsoft.com/office/drawing/2014/main" id="{00000000-0008-0000-0100-00008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69" name="TextBox 1668">
          <a:extLst>
            <a:ext uri="{FF2B5EF4-FFF2-40B4-BE49-F238E27FC236}">
              <a16:creationId xmlns:a16="http://schemas.microsoft.com/office/drawing/2014/main" id="{00000000-0008-0000-0100-00008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0" name="TextBox 1669">
          <a:extLst>
            <a:ext uri="{FF2B5EF4-FFF2-40B4-BE49-F238E27FC236}">
              <a16:creationId xmlns:a16="http://schemas.microsoft.com/office/drawing/2014/main" id="{00000000-0008-0000-0100-00008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1" name="TextBox 1670">
          <a:extLst>
            <a:ext uri="{FF2B5EF4-FFF2-40B4-BE49-F238E27FC236}">
              <a16:creationId xmlns:a16="http://schemas.microsoft.com/office/drawing/2014/main" id="{00000000-0008-0000-0100-00008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2" name="TextBox 1671">
          <a:extLst>
            <a:ext uri="{FF2B5EF4-FFF2-40B4-BE49-F238E27FC236}">
              <a16:creationId xmlns:a16="http://schemas.microsoft.com/office/drawing/2014/main" id="{00000000-0008-0000-0100-00008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3" name="TextBox 1672">
          <a:extLst>
            <a:ext uri="{FF2B5EF4-FFF2-40B4-BE49-F238E27FC236}">
              <a16:creationId xmlns:a16="http://schemas.microsoft.com/office/drawing/2014/main" id="{00000000-0008-0000-0100-00008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4" name="TextBox 1673">
          <a:extLst>
            <a:ext uri="{FF2B5EF4-FFF2-40B4-BE49-F238E27FC236}">
              <a16:creationId xmlns:a16="http://schemas.microsoft.com/office/drawing/2014/main" id="{00000000-0008-0000-0100-00008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5" name="TextBox 1674">
          <a:extLst>
            <a:ext uri="{FF2B5EF4-FFF2-40B4-BE49-F238E27FC236}">
              <a16:creationId xmlns:a16="http://schemas.microsoft.com/office/drawing/2014/main" id="{00000000-0008-0000-0100-00008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6" name="TextBox 1675">
          <a:extLst>
            <a:ext uri="{FF2B5EF4-FFF2-40B4-BE49-F238E27FC236}">
              <a16:creationId xmlns:a16="http://schemas.microsoft.com/office/drawing/2014/main" id="{00000000-0008-0000-0100-00008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7" name="TextBox 1676">
          <a:extLst>
            <a:ext uri="{FF2B5EF4-FFF2-40B4-BE49-F238E27FC236}">
              <a16:creationId xmlns:a16="http://schemas.microsoft.com/office/drawing/2014/main" id="{00000000-0008-0000-0100-00008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8" name="TextBox 1677">
          <a:extLst>
            <a:ext uri="{FF2B5EF4-FFF2-40B4-BE49-F238E27FC236}">
              <a16:creationId xmlns:a16="http://schemas.microsoft.com/office/drawing/2014/main" id="{00000000-0008-0000-0100-00008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79" name="TextBox 1678">
          <a:extLst>
            <a:ext uri="{FF2B5EF4-FFF2-40B4-BE49-F238E27FC236}">
              <a16:creationId xmlns:a16="http://schemas.microsoft.com/office/drawing/2014/main" id="{00000000-0008-0000-0100-00008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0" name="TextBox 1679">
          <a:extLst>
            <a:ext uri="{FF2B5EF4-FFF2-40B4-BE49-F238E27FC236}">
              <a16:creationId xmlns:a16="http://schemas.microsoft.com/office/drawing/2014/main" id="{00000000-0008-0000-0100-00009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1" name="TextBox 1680">
          <a:extLst>
            <a:ext uri="{FF2B5EF4-FFF2-40B4-BE49-F238E27FC236}">
              <a16:creationId xmlns:a16="http://schemas.microsoft.com/office/drawing/2014/main" id="{00000000-0008-0000-0100-00009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2" name="TextBox 1681">
          <a:extLst>
            <a:ext uri="{FF2B5EF4-FFF2-40B4-BE49-F238E27FC236}">
              <a16:creationId xmlns:a16="http://schemas.microsoft.com/office/drawing/2014/main" id="{00000000-0008-0000-0100-00009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3" name="TextBox 1682">
          <a:extLst>
            <a:ext uri="{FF2B5EF4-FFF2-40B4-BE49-F238E27FC236}">
              <a16:creationId xmlns:a16="http://schemas.microsoft.com/office/drawing/2014/main" id="{00000000-0008-0000-0100-00009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4" name="TextBox 1683">
          <a:extLst>
            <a:ext uri="{FF2B5EF4-FFF2-40B4-BE49-F238E27FC236}">
              <a16:creationId xmlns:a16="http://schemas.microsoft.com/office/drawing/2014/main" id="{00000000-0008-0000-0100-00009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5" name="TextBox 1684">
          <a:extLst>
            <a:ext uri="{FF2B5EF4-FFF2-40B4-BE49-F238E27FC236}">
              <a16:creationId xmlns:a16="http://schemas.microsoft.com/office/drawing/2014/main" id="{00000000-0008-0000-0100-00009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6" name="TextBox 1685">
          <a:extLst>
            <a:ext uri="{FF2B5EF4-FFF2-40B4-BE49-F238E27FC236}">
              <a16:creationId xmlns:a16="http://schemas.microsoft.com/office/drawing/2014/main" id="{00000000-0008-0000-0100-00009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7" name="TextBox 1686">
          <a:extLst>
            <a:ext uri="{FF2B5EF4-FFF2-40B4-BE49-F238E27FC236}">
              <a16:creationId xmlns:a16="http://schemas.microsoft.com/office/drawing/2014/main" id="{00000000-0008-0000-0100-00009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8" name="TextBox 1687">
          <a:extLst>
            <a:ext uri="{FF2B5EF4-FFF2-40B4-BE49-F238E27FC236}">
              <a16:creationId xmlns:a16="http://schemas.microsoft.com/office/drawing/2014/main" id="{00000000-0008-0000-0100-00009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89" name="TextBox 1688">
          <a:extLst>
            <a:ext uri="{FF2B5EF4-FFF2-40B4-BE49-F238E27FC236}">
              <a16:creationId xmlns:a16="http://schemas.microsoft.com/office/drawing/2014/main" id="{00000000-0008-0000-0100-00009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0" name="TextBox 1689">
          <a:extLst>
            <a:ext uri="{FF2B5EF4-FFF2-40B4-BE49-F238E27FC236}">
              <a16:creationId xmlns:a16="http://schemas.microsoft.com/office/drawing/2014/main" id="{00000000-0008-0000-0100-00009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1" name="TextBox 1690">
          <a:extLst>
            <a:ext uri="{FF2B5EF4-FFF2-40B4-BE49-F238E27FC236}">
              <a16:creationId xmlns:a16="http://schemas.microsoft.com/office/drawing/2014/main" id="{00000000-0008-0000-0100-00009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2" name="TextBox 1691">
          <a:extLst>
            <a:ext uri="{FF2B5EF4-FFF2-40B4-BE49-F238E27FC236}">
              <a16:creationId xmlns:a16="http://schemas.microsoft.com/office/drawing/2014/main" id="{00000000-0008-0000-0100-00009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3" name="TextBox 1692">
          <a:extLst>
            <a:ext uri="{FF2B5EF4-FFF2-40B4-BE49-F238E27FC236}">
              <a16:creationId xmlns:a16="http://schemas.microsoft.com/office/drawing/2014/main" id="{00000000-0008-0000-0100-00009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4" name="TextBox 1693">
          <a:extLst>
            <a:ext uri="{FF2B5EF4-FFF2-40B4-BE49-F238E27FC236}">
              <a16:creationId xmlns:a16="http://schemas.microsoft.com/office/drawing/2014/main" id="{00000000-0008-0000-0100-00009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5" name="TextBox 1694">
          <a:extLst>
            <a:ext uri="{FF2B5EF4-FFF2-40B4-BE49-F238E27FC236}">
              <a16:creationId xmlns:a16="http://schemas.microsoft.com/office/drawing/2014/main" id="{00000000-0008-0000-0100-00009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6" name="TextBox 1695">
          <a:extLst>
            <a:ext uri="{FF2B5EF4-FFF2-40B4-BE49-F238E27FC236}">
              <a16:creationId xmlns:a16="http://schemas.microsoft.com/office/drawing/2014/main" id="{00000000-0008-0000-0100-0000A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7" name="TextBox 1696">
          <a:extLst>
            <a:ext uri="{FF2B5EF4-FFF2-40B4-BE49-F238E27FC236}">
              <a16:creationId xmlns:a16="http://schemas.microsoft.com/office/drawing/2014/main" id="{00000000-0008-0000-0100-0000A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8" name="TextBox 1697">
          <a:extLst>
            <a:ext uri="{FF2B5EF4-FFF2-40B4-BE49-F238E27FC236}">
              <a16:creationId xmlns:a16="http://schemas.microsoft.com/office/drawing/2014/main" id="{00000000-0008-0000-0100-0000A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699" name="TextBox 1698">
          <a:extLst>
            <a:ext uri="{FF2B5EF4-FFF2-40B4-BE49-F238E27FC236}">
              <a16:creationId xmlns:a16="http://schemas.microsoft.com/office/drawing/2014/main" id="{00000000-0008-0000-0100-0000A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0" name="TextBox 1699">
          <a:extLst>
            <a:ext uri="{FF2B5EF4-FFF2-40B4-BE49-F238E27FC236}">
              <a16:creationId xmlns:a16="http://schemas.microsoft.com/office/drawing/2014/main" id="{00000000-0008-0000-0100-0000A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1" name="TextBox 1700">
          <a:extLst>
            <a:ext uri="{FF2B5EF4-FFF2-40B4-BE49-F238E27FC236}">
              <a16:creationId xmlns:a16="http://schemas.microsoft.com/office/drawing/2014/main" id="{00000000-0008-0000-0100-0000A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2" name="TextBox 1701">
          <a:extLst>
            <a:ext uri="{FF2B5EF4-FFF2-40B4-BE49-F238E27FC236}">
              <a16:creationId xmlns:a16="http://schemas.microsoft.com/office/drawing/2014/main" id="{00000000-0008-0000-0100-0000A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3" name="TextBox 1702">
          <a:extLst>
            <a:ext uri="{FF2B5EF4-FFF2-40B4-BE49-F238E27FC236}">
              <a16:creationId xmlns:a16="http://schemas.microsoft.com/office/drawing/2014/main" id="{00000000-0008-0000-0100-0000A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4" name="TextBox 1703">
          <a:extLst>
            <a:ext uri="{FF2B5EF4-FFF2-40B4-BE49-F238E27FC236}">
              <a16:creationId xmlns:a16="http://schemas.microsoft.com/office/drawing/2014/main" id="{00000000-0008-0000-0100-0000A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5" name="TextBox 1704">
          <a:extLst>
            <a:ext uri="{FF2B5EF4-FFF2-40B4-BE49-F238E27FC236}">
              <a16:creationId xmlns:a16="http://schemas.microsoft.com/office/drawing/2014/main" id="{00000000-0008-0000-0100-0000A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6" name="TextBox 1705">
          <a:extLst>
            <a:ext uri="{FF2B5EF4-FFF2-40B4-BE49-F238E27FC236}">
              <a16:creationId xmlns:a16="http://schemas.microsoft.com/office/drawing/2014/main" id="{00000000-0008-0000-0100-0000A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7" name="TextBox 1706">
          <a:extLst>
            <a:ext uri="{FF2B5EF4-FFF2-40B4-BE49-F238E27FC236}">
              <a16:creationId xmlns:a16="http://schemas.microsoft.com/office/drawing/2014/main" id="{00000000-0008-0000-0100-0000A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8" name="TextBox 1707">
          <a:extLst>
            <a:ext uri="{FF2B5EF4-FFF2-40B4-BE49-F238E27FC236}">
              <a16:creationId xmlns:a16="http://schemas.microsoft.com/office/drawing/2014/main" id="{00000000-0008-0000-0100-0000A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09" name="TextBox 1708">
          <a:extLst>
            <a:ext uri="{FF2B5EF4-FFF2-40B4-BE49-F238E27FC236}">
              <a16:creationId xmlns:a16="http://schemas.microsoft.com/office/drawing/2014/main" id="{00000000-0008-0000-0100-0000A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0" name="TextBox 1709">
          <a:extLst>
            <a:ext uri="{FF2B5EF4-FFF2-40B4-BE49-F238E27FC236}">
              <a16:creationId xmlns:a16="http://schemas.microsoft.com/office/drawing/2014/main" id="{00000000-0008-0000-0100-0000A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1" name="TextBox 1710">
          <a:extLst>
            <a:ext uri="{FF2B5EF4-FFF2-40B4-BE49-F238E27FC236}">
              <a16:creationId xmlns:a16="http://schemas.microsoft.com/office/drawing/2014/main" id="{00000000-0008-0000-0100-0000A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2" name="TextBox 1711">
          <a:extLst>
            <a:ext uri="{FF2B5EF4-FFF2-40B4-BE49-F238E27FC236}">
              <a16:creationId xmlns:a16="http://schemas.microsoft.com/office/drawing/2014/main" id="{00000000-0008-0000-0100-0000B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3" name="TextBox 1712">
          <a:extLst>
            <a:ext uri="{FF2B5EF4-FFF2-40B4-BE49-F238E27FC236}">
              <a16:creationId xmlns:a16="http://schemas.microsoft.com/office/drawing/2014/main" id="{00000000-0008-0000-0100-0000B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4" name="TextBox 1713">
          <a:extLst>
            <a:ext uri="{FF2B5EF4-FFF2-40B4-BE49-F238E27FC236}">
              <a16:creationId xmlns:a16="http://schemas.microsoft.com/office/drawing/2014/main" id="{00000000-0008-0000-0100-0000B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5" name="TextBox 1714">
          <a:extLst>
            <a:ext uri="{FF2B5EF4-FFF2-40B4-BE49-F238E27FC236}">
              <a16:creationId xmlns:a16="http://schemas.microsoft.com/office/drawing/2014/main" id="{00000000-0008-0000-0100-0000B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6" name="TextBox 1715">
          <a:extLst>
            <a:ext uri="{FF2B5EF4-FFF2-40B4-BE49-F238E27FC236}">
              <a16:creationId xmlns:a16="http://schemas.microsoft.com/office/drawing/2014/main" id="{00000000-0008-0000-0100-0000B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7" name="TextBox 1716">
          <a:extLst>
            <a:ext uri="{FF2B5EF4-FFF2-40B4-BE49-F238E27FC236}">
              <a16:creationId xmlns:a16="http://schemas.microsoft.com/office/drawing/2014/main" id="{00000000-0008-0000-0100-0000B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8" name="TextBox 1717">
          <a:extLst>
            <a:ext uri="{FF2B5EF4-FFF2-40B4-BE49-F238E27FC236}">
              <a16:creationId xmlns:a16="http://schemas.microsoft.com/office/drawing/2014/main" id="{00000000-0008-0000-0100-0000B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19" name="TextBox 1718">
          <a:extLst>
            <a:ext uri="{FF2B5EF4-FFF2-40B4-BE49-F238E27FC236}">
              <a16:creationId xmlns:a16="http://schemas.microsoft.com/office/drawing/2014/main" id="{00000000-0008-0000-0100-0000B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0" name="TextBox 1719">
          <a:extLst>
            <a:ext uri="{FF2B5EF4-FFF2-40B4-BE49-F238E27FC236}">
              <a16:creationId xmlns:a16="http://schemas.microsoft.com/office/drawing/2014/main" id="{00000000-0008-0000-0100-0000B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1" name="TextBox 1720">
          <a:extLst>
            <a:ext uri="{FF2B5EF4-FFF2-40B4-BE49-F238E27FC236}">
              <a16:creationId xmlns:a16="http://schemas.microsoft.com/office/drawing/2014/main" id="{00000000-0008-0000-0100-0000B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2" name="TextBox 1721">
          <a:extLst>
            <a:ext uri="{FF2B5EF4-FFF2-40B4-BE49-F238E27FC236}">
              <a16:creationId xmlns:a16="http://schemas.microsoft.com/office/drawing/2014/main" id="{00000000-0008-0000-0100-0000B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3" name="TextBox 1722">
          <a:extLst>
            <a:ext uri="{FF2B5EF4-FFF2-40B4-BE49-F238E27FC236}">
              <a16:creationId xmlns:a16="http://schemas.microsoft.com/office/drawing/2014/main" id="{00000000-0008-0000-0100-0000B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4" name="TextBox 1723">
          <a:extLst>
            <a:ext uri="{FF2B5EF4-FFF2-40B4-BE49-F238E27FC236}">
              <a16:creationId xmlns:a16="http://schemas.microsoft.com/office/drawing/2014/main" id="{00000000-0008-0000-0100-0000B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5" name="TextBox 1724">
          <a:extLst>
            <a:ext uri="{FF2B5EF4-FFF2-40B4-BE49-F238E27FC236}">
              <a16:creationId xmlns:a16="http://schemas.microsoft.com/office/drawing/2014/main" id="{00000000-0008-0000-0100-0000B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6" name="TextBox 1725">
          <a:extLst>
            <a:ext uri="{FF2B5EF4-FFF2-40B4-BE49-F238E27FC236}">
              <a16:creationId xmlns:a16="http://schemas.microsoft.com/office/drawing/2014/main" id="{00000000-0008-0000-0100-0000B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7" name="TextBox 1726">
          <a:extLst>
            <a:ext uri="{FF2B5EF4-FFF2-40B4-BE49-F238E27FC236}">
              <a16:creationId xmlns:a16="http://schemas.microsoft.com/office/drawing/2014/main" id="{00000000-0008-0000-0100-0000B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8" name="TextBox 1727">
          <a:extLst>
            <a:ext uri="{FF2B5EF4-FFF2-40B4-BE49-F238E27FC236}">
              <a16:creationId xmlns:a16="http://schemas.microsoft.com/office/drawing/2014/main" id="{00000000-0008-0000-0100-0000C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29" name="TextBox 1728">
          <a:extLst>
            <a:ext uri="{FF2B5EF4-FFF2-40B4-BE49-F238E27FC236}">
              <a16:creationId xmlns:a16="http://schemas.microsoft.com/office/drawing/2014/main" id="{00000000-0008-0000-0100-0000C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0" name="TextBox 1729">
          <a:extLst>
            <a:ext uri="{FF2B5EF4-FFF2-40B4-BE49-F238E27FC236}">
              <a16:creationId xmlns:a16="http://schemas.microsoft.com/office/drawing/2014/main" id="{00000000-0008-0000-0100-0000C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1" name="TextBox 1730">
          <a:extLst>
            <a:ext uri="{FF2B5EF4-FFF2-40B4-BE49-F238E27FC236}">
              <a16:creationId xmlns:a16="http://schemas.microsoft.com/office/drawing/2014/main" id="{00000000-0008-0000-0100-0000C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2" name="TextBox 1731">
          <a:extLst>
            <a:ext uri="{FF2B5EF4-FFF2-40B4-BE49-F238E27FC236}">
              <a16:creationId xmlns:a16="http://schemas.microsoft.com/office/drawing/2014/main" id="{00000000-0008-0000-0100-0000C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3" name="TextBox 1732">
          <a:extLst>
            <a:ext uri="{FF2B5EF4-FFF2-40B4-BE49-F238E27FC236}">
              <a16:creationId xmlns:a16="http://schemas.microsoft.com/office/drawing/2014/main" id="{00000000-0008-0000-0100-0000C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4" name="TextBox 1733">
          <a:extLst>
            <a:ext uri="{FF2B5EF4-FFF2-40B4-BE49-F238E27FC236}">
              <a16:creationId xmlns:a16="http://schemas.microsoft.com/office/drawing/2014/main" id="{00000000-0008-0000-0100-0000C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5" name="TextBox 1734">
          <a:extLst>
            <a:ext uri="{FF2B5EF4-FFF2-40B4-BE49-F238E27FC236}">
              <a16:creationId xmlns:a16="http://schemas.microsoft.com/office/drawing/2014/main" id="{00000000-0008-0000-0100-0000C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6" name="TextBox 1735">
          <a:extLst>
            <a:ext uri="{FF2B5EF4-FFF2-40B4-BE49-F238E27FC236}">
              <a16:creationId xmlns:a16="http://schemas.microsoft.com/office/drawing/2014/main" id="{00000000-0008-0000-0100-0000C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7" name="TextBox 1736">
          <a:extLst>
            <a:ext uri="{FF2B5EF4-FFF2-40B4-BE49-F238E27FC236}">
              <a16:creationId xmlns:a16="http://schemas.microsoft.com/office/drawing/2014/main" id="{00000000-0008-0000-0100-0000C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8" name="TextBox 1737">
          <a:extLst>
            <a:ext uri="{FF2B5EF4-FFF2-40B4-BE49-F238E27FC236}">
              <a16:creationId xmlns:a16="http://schemas.microsoft.com/office/drawing/2014/main" id="{00000000-0008-0000-0100-0000C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39" name="TextBox 1738">
          <a:extLst>
            <a:ext uri="{FF2B5EF4-FFF2-40B4-BE49-F238E27FC236}">
              <a16:creationId xmlns:a16="http://schemas.microsoft.com/office/drawing/2014/main" id="{00000000-0008-0000-0100-0000C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0" name="TextBox 1739">
          <a:extLst>
            <a:ext uri="{FF2B5EF4-FFF2-40B4-BE49-F238E27FC236}">
              <a16:creationId xmlns:a16="http://schemas.microsoft.com/office/drawing/2014/main" id="{00000000-0008-0000-0100-0000C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1" name="TextBox 1740">
          <a:extLst>
            <a:ext uri="{FF2B5EF4-FFF2-40B4-BE49-F238E27FC236}">
              <a16:creationId xmlns:a16="http://schemas.microsoft.com/office/drawing/2014/main" id="{00000000-0008-0000-0100-0000C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2" name="TextBox 1741">
          <a:extLst>
            <a:ext uri="{FF2B5EF4-FFF2-40B4-BE49-F238E27FC236}">
              <a16:creationId xmlns:a16="http://schemas.microsoft.com/office/drawing/2014/main" id="{00000000-0008-0000-0100-0000C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3" name="TextBox 1742">
          <a:extLst>
            <a:ext uri="{FF2B5EF4-FFF2-40B4-BE49-F238E27FC236}">
              <a16:creationId xmlns:a16="http://schemas.microsoft.com/office/drawing/2014/main" id="{00000000-0008-0000-0100-0000C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4" name="TextBox 1743">
          <a:extLst>
            <a:ext uri="{FF2B5EF4-FFF2-40B4-BE49-F238E27FC236}">
              <a16:creationId xmlns:a16="http://schemas.microsoft.com/office/drawing/2014/main" id="{00000000-0008-0000-0100-0000D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5" name="TextBox 1744">
          <a:extLst>
            <a:ext uri="{FF2B5EF4-FFF2-40B4-BE49-F238E27FC236}">
              <a16:creationId xmlns:a16="http://schemas.microsoft.com/office/drawing/2014/main" id="{00000000-0008-0000-0100-0000D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6" name="TextBox 1745">
          <a:extLst>
            <a:ext uri="{FF2B5EF4-FFF2-40B4-BE49-F238E27FC236}">
              <a16:creationId xmlns:a16="http://schemas.microsoft.com/office/drawing/2014/main" id="{00000000-0008-0000-0100-0000D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7" name="TextBox 1746">
          <a:extLst>
            <a:ext uri="{FF2B5EF4-FFF2-40B4-BE49-F238E27FC236}">
              <a16:creationId xmlns:a16="http://schemas.microsoft.com/office/drawing/2014/main" id="{00000000-0008-0000-0100-0000D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8" name="TextBox 1747">
          <a:extLst>
            <a:ext uri="{FF2B5EF4-FFF2-40B4-BE49-F238E27FC236}">
              <a16:creationId xmlns:a16="http://schemas.microsoft.com/office/drawing/2014/main" id="{00000000-0008-0000-0100-0000D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49" name="TextBox 1748">
          <a:extLst>
            <a:ext uri="{FF2B5EF4-FFF2-40B4-BE49-F238E27FC236}">
              <a16:creationId xmlns:a16="http://schemas.microsoft.com/office/drawing/2014/main" id="{00000000-0008-0000-0100-0000D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0" name="TextBox 1749">
          <a:extLst>
            <a:ext uri="{FF2B5EF4-FFF2-40B4-BE49-F238E27FC236}">
              <a16:creationId xmlns:a16="http://schemas.microsoft.com/office/drawing/2014/main" id="{00000000-0008-0000-0100-0000D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1" name="TextBox 1750">
          <a:extLst>
            <a:ext uri="{FF2B5EF4-FFF2-40B4-BE49-F238E27FC236}">
              <a16:creationId xmlns:a16="http://schemas.microsoft.com/office/drawing/2014/main" id="{00000000-0008-0000-0100-0000D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2" name="TextBox 1751">
          <a:extLst>
            <a:ext uri="{FF2B5EF4-FFF2-40B4-BE49-F238E27FC236}">
              <a16:creationId xmlns:a16="http://schemas.microsoft.com/office/drawing/2014/main" id="{00000000-0008-0000-0100-0000D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3" name="TextBox 1752">
          <a:extLst>
            <a:ext uri="{FF2B5EF4-FFF2-40B4-BE49-F238E27FC236}">
              <a16:creationId xmlns:a16="http://schemas.microsoft.com/office/drawing/2014/main" id="{00000000-0008-0000-0100-0000D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4" name="TextBox 1753">
          <a:extLst>
            <a:ext uri="{FF2B5EF4-FFF2-40B4-BE49-F238E27FC236}">
              <a16:creationId xmlns:a16="http://schemas.microsoft.com/office/drawing/2014/main" id="{00000000-0008-0000-0100-0000D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5" name="TextBox 1754">
          <a:extLst>
            <a:ext uri="{FF2B5EF4-FFF2-40B4-BE49-F238E27FC236}">
              <a16:creationId xmlns:a16="http://schemas.microsoft.com/office/drawing/2014/main" id="{00000000-0008-0000-0100-0000D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6" name="TextBox 1755">
          <a:extLst>
            <a:ext uri="{FF2B5EF4-FFF2-40B4-BE49-F238E27FC236}">
              <a16:creationId xmlns:a16="http://schemas.microsoft.com/office/drawing/2014/main" id="{00000000-0008-0000-0100-0000D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7" name="TextBox 1756">
          <a:extLst>
            <a:ext uri="{FF2B5EF4-FFF2-40B4-BE49-F238E27FC236}">
              <a16:creationId xmlns:a16="http://schemas.microsoft.com/office/drawing/2014/main" id="{00000000-0008-0000-0100-0000D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8" name="TextBox 1757">
          <a:extLst>
            <a:ext uri="{FF2B5EF4-FFF2-40B4-BE49-F238E27FC236}">
              <a16:creationId xmlns:a16="http://schemas.microsoft.com/office/drawing/2014/main" id="{00000000-0008-0000-0100-0000D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59" name="TextBox 1758">
          <a:extLst>
            <a:ext uri="{FF2B5EF4-FFF2-40B4-BE49-F238E27FC236}">
              <a16:creationId xmlns:a16="http://schemas.microsoft.com/office/drawing/2014/main" id="{00000000-0008-0000-0100-0000D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0" name="TextBox 1759">
          <a:extLst>
            <a:ext uri="{FF2B5EF4-FFF2-40B4-BE49-F238E27FC236}">
              <a16:creationId xmlns:a16="http://schemas.microsoft.com/office/drawing/2014/main" id="{00000000-0008-0000-0100-0000E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1" name="TextBox 1760">
          <a:extLst>
            <a:ext uri="{FF2B5EF4-FFF2-40B4-BE49-F238E27FC236}">
              <a16:creationId xmlns:a16="http://schemas.microsoft.com/office/drawing/2014/main" id="{00000000-0008-0000-0100-0000E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2" name="TextBox 1761">
          <a:extLst>
            <a:ext uri="{FF2B5EF4-FFF2-40B4-BE49-F238E27FC236}">
              <a16:creationId xmlns:a16="http://schemas.microsoft.com/office/drawing/2014/main" id="{00000000-0008-0000-0100-0000E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3" name="TextBox 1762">
          <a:extLst>
            <a:ext uri="{FF2B5EF4-FFF2-40B4-BE49-F238E27FC236}">
              <a16:creationId xmlns:a16="http://schemas.microsoft.com/office/drawing/2014/main" id="{00000000-0008-0000-0100-0000E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4" name="TextBox 1763">
          <a:extLst>
            <a:ext uri="{FF2B5EF4-FFF2-40B4-BE49-F238E27FC236}">
              <a16:creationId xmlns:a16="http://schemas.microsoft.com/office/drawing/2014/main" id="{00000000-0008-0000-0100-0000E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5" name="TextBox 1764">
          <a:extLst>
            <a:ext uri="{FF2B5EF4-FFF2-40B4-BE49-F238E27FC236}">
              <a16:creationId xmlns:a16="http://schemas.microsoft.com/office/drawing/2014/main" id="{00000000-0008-0000-0100-0000E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6" name="TextBox 1765">
          <a:extLst>
            <a:ext uri="{FF2B5EF4-FFF2-40B4-BE49-F238E27FC236}">
              <a16:creationId xmlns:a16="http://schemas.microsoft.com/office/drawing/2014/main" id="{00000000-0008-0000-0100-0000E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7" name="TextBox 1766">
          <a:extLst>
            <a:ext uri="{FF2B5EF4-FFF2-40B4-BE49-F238E27FC236}">
              <a16:creationId xmlns:a16="http://schemas.microsoft.com/office/drawing/2014/main" id="{00000000-0008-0000-0100-0000E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8" name="TextBox 1767">
          <a:extLst>
            <a:ext uri="{FF2B5EF4-FFF2-40B4-BE49-F238E27FC236}">
              <a16:creationId xmlns:a16="http://schemas.microsoft.com/office/drawing/2014/main" id="{00000000-0008-0000-0100-0000E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69" name="TextBox 1768">
          <a:extLst>
            <a:ext uri="{FF2B5EF4-FFF2-40B4-BE49-F238E27FC236}">
              <a16:creationId xmlns:a16="http://schemas.microsoft.com/office/drawing/2014/main" id="{00000000-0008-0000-0100-0000E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0" name="TextBox 1769">
          <a:extLst>
            <a:ext uri="{FF2B5EF4-FFF2-40B4-BE49-F238E27FC236}">
              <a16:creationId xmlns:a16="http://schemas.microsoft.com/office/drawing/2014/main" id="{00000000-0008-0000-0100-0000E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1" name="TextBox 1770">
          <a:extLst>
            <a:ext uri="{FF2B5EF4-FFF2-40B4-BE49-F238E27FC236}">
              <a16:creationId xmlns:a16="http://schemas.microsoft.com/office/drawing/2014/main" id="{00000000-0008-0000-0100-0000E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2" name="TextBox 1771">
          <a:extLst>
            <a:ext uri="{FF2B5EF4-FFF2-40B4-BE49-F238E27FC236}">
              <a16:creationId xmlns:a16="http://schemas.microsoft.com/office/drawing/2014/main" id="{00000000-0008-0000-0100-0000E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3" name="TextBox 1772">
          <a:extLst>
            <a:ext uri="{FF2B5EF4-FFF2-40B4-BE49-F238E27FC236}">
              <a16:creationId xmlns:a16="http://schemas.microsoft.com/office/drawing/2014/main" id="{00000000-0008-0000-0100-0000E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4" name="TextBox 1773">
          <a:extLst>
            <a:ext uri="{FF2B5EF4-FFF2-40B4-BE49-F238E27FC236}">
              <a16:creationId xmlns:a16="http://schemas.microsoft.com/office/drawing/2014/main" id="{00000000-0008-0000-0100-0000E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5" name="TextBox 1774">
          <a:extLst>
            <a:ext uri="{FF2B5EF4-FFF2-40B4-BE49-F238E27FC236}">
              <a16:creationId xmlns:a16="http://schemas.microsoft.com/office/drawing/2014/main" id="{00000000-0008-0000-0100-0000E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6" name="TextBox 1775">
          <a:extLst>
            <a:ext uri="{FF2B5EF4-FFF2-40B4-BE49-F238E27FC236}">
              <a16:creationId xmlns:a16="http://schemas.microsoft.com/office/drawing/2014/main" id="{00000000-0008-0000-0100-0000F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7" name="TextBox 1776">
          <a:extLst>
            <a:ext uri="{FF2B5EF4-FFF2-40B4-BE49-F238E27FC236}">
              <a16:creationId xmlns:a16="http://schemas.microsoft.com/office/drawing/2014/main" id="{00000000-0008-0000-0100-0000F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8" name="TextBox 1777">
          <a:extLst>
            <a:ext uri="{FF2B5EF4-FFF2-40B4-BE49-F238E27FC236}">
              <a16:creationId xmlns:a16="http://schemas.microsoft.com/office/drawing/2014/main" id="{00000000-0008-0000-0100-0000F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79" name="TextBox 1778">
          <a:extLst>
            <a:ext uri="{FF2B5EF4-FFF2-40B4-BE49-F238E27FC236}">
              <a16:creationId xmlns:a16="http://schemas.microsoft.com/office/drawing/2014/main" id="{00000000-0008-0000-0100-0000F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0" name="TextBox 1779">
          <a:extLst>
            <a:ext uri="{FF2B5EF4-FFF2-40B4-BE49-F238E27FC236}">
              <a16:creationId xmlns:a16="http://schemas.microsoft.com/office/drawing/2014/main" id="{00000000-0008-0000-0100-0000F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1" name="TextBox 1780">
          <a:extLst>
            <a:ext uri="{FF2B5EF4-FFF2-40B4-BE49-F238E27FC236}">
              <a16:creationId xmlns:a16="http://schemas.microsoft.com/office/drawing/2014/main" id="{00000000-0008-0000-0100-0000F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2" name="TextBox 1781">
          <a:extLst>
            <a:ext uri="{FF2B5EF4-FFF2-40B4-BE49-F238E27FC236}">
              <a16:creationId xmlns:a16="http://schemas.microsoft.com/office/drawing/2014/main" id="{00000000-0008-0000-0100-0000F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3" name="TextBox 1782">
          <a:extLst>
            <a:ext uri="{FF2B5EF4-FFF2-40B4-BE49-F238E27FC236}">
              <a16:creationId xmlns:a16="http://schemas.microsoft.com/office/drawing/2014/main" id="{00000000-0008-0000-0100-0000F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4" name="TextBox 1783">
          <a:extLst>
            <a:ext uri="{FF2B5EF4-FFF2-40B4-BE49-F238E27FC236}">
              <a16:creationId xmlns:a16="http://schemas.microsoft.com/office/drawing/2014/main" id="{00000000-0008-0000-0100-0000F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5" name="TextBox 1784">
          <a:extLst>
            <a:ext uri="{FF2B5EF4-FFF2-40B4-BE49-F238E27FC236}">
              <a16:creationId xmlns:a16="http://schemas.microsoft.com/office/drawing/2014/main" id="{00000000-0008-0000-0100-0000F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6" name="TextBox 1785">
          <a:extLst>
            <a:ext uri="{FF2B5EF4-FFF2-40B4-BE49-F238E27FC236}">
              <a16:creationId xmlns:a16="http://schemas.microsoft.com/office/drawing/2014/main" id="{00000000-0008-0000-0100-0000F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7" name="TextBox 1786">
          <a:extLst>
            <a:ext uri="{FF2B5EF4-FFF2-40B4-BE49-F238E27FC236}">
              <a16:creationId xmlns:a16="http://schemas.microsoft.com/office/drawing/2014/main" id="{00000000-0008-0000-0100-0000F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8" name="TextBox 1787">
          <a:extLst>
            <a:ext uri="{FF2B5EF4-FFF2-40B4-BE49-F238E27FC236}">
              <a16:creationId xmlns:a16="http://schemas.microsoft.com/office/drawing/2014/main" id="{00000000-0008-0000-0100-0000F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89" name="TextBox 1788">
          <a:extLst>
            <a:ext uri="{FF2B5EF4-FFF2-40B4-BE49-F238E27FC236}">
              <a16:creationId xmlns:a16="http://schemas.microsoft.com/office/drawing/2014/main" id="{00000000-0008-0000-0100-0000F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0" name="TextBox 1789">
          <a:extLst>
            <a:ext uri="{FF2B5EF4-FFF2-40B4-BE49-F238E27FC236}">
              <a16:creationId xmlns:a16="http://schemas.microsoft.com/office/drawing/2014/main" id="{00000000-0008-0000-0100-0000F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1" name="TextBox 1790">
          <a:extLst>
            <a:ext uri="{FF2B5EF4-FFF2-40B4-BE49-F238E27FC236}">
              <a16:creationId xmlns:a16="http://schemas.microsoft.com/office/drawing/2014/main" id="{00000000-0008-0000-0100-0000F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2" name="TextBox 1791">
          <a:extLst>
            <a:ext uri="{FF2B5EF4-FFF2-40B4-BE49-F238E27FC236}">
              <a16:creationId xmlns:a16="http://schemas.microsoft.com/office/drawing/2014/main" id="{00000000-0008-0000-0100-00000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3" name="TextBox 1792">
          <a:extLst>
            <a:ext uri="{FF2B5EF4-FFF2-40B4-BE49-F238E27FC236}">
              <a16:creationId xmlns:a16="http://schemas.microsoft.com/office/drawing/2014/main" id="{00000000-0008-0000-0100-00000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4" name="TextBox 1793">
          <a:extLst>
            <a:ext uri="{FF2B5EF4-FFF2-40B4-BE49-F238E27FC236}">
              <a16:creationId xmlns:a16="http://schemas.microsoft.com/office/drawing/2014/main" id="{00000000-0008-0000-0100-00000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5" name="TextBox 1794">
          <a:extLst>
            <a:ext uri="{FF2B5EF4-FFF2-40B4-BE49-F238E27FC236}">
              <a16:creationId xmlns:a16="http://schemas.microsoft.com/office/drawing/2014/main" id="{00000000-0008-0000-0100-00000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6" name="TextBox 1795">
          <a:extLst>
            <a:ext uri="{FF2B5EF4-FFF2-40B4-BE49-F238E27FC236}">
              <a16:creationId xmlns:a16="http://schemas.microsoft.com/office/drawing/2014/main" id="{00000000-0008-0000-0100-00000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7" name="TextBox 1796">
          <a:extLst>
            <a:ext uri="{FF2B5EF4-FFF2-40B4-BE49-F238E27FC236}">
              <a16:creationId xmlns:a16="http://schemas.microsoft.com/office/drawing/2014/main" id="{00000000-0008-0000-0100-00000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8" name="TextBox 1797">
          <a:extLst>
            <a:ext uri="{FF2B5EF4-FFF2-40B4-BE49-F238E27FC236}">
              <a16:creationId xmlns:a16="http://schemas.microsoft.com/office/drawing/2014/main" id="{00000000-0008-0000-0100-00000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799" name="TextBox 1798">
          <a:extLst>
            <a:ext uri="{FF2B5EF4-FFF2-40B4-BE49-F238E27FC236}">
              <a16:creationId xmlns:a16="http://schemas.microsoft.com/office/drawing/2014/main" id="{00000000-0008-0000-0100-00000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0" name="TextBox 1799">
          <a:extLst>
            <a:ext uri="{FF2B5EF4-FFF2-40B4-BE49-F238E27FC236}">
              <a16:creationId xmlns:a16="http://schemas.microsoft.com/office/drawing/2014/main" id="{00000000-0008-0000-0100-00000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1" name="TextBox 1800">
          <a:extLst>
            <a:ext uri="{FF2B5EF4-FFF2-40B4-BE49-F238E27FC236}">
              <a16:creationId xmlns:a16="http://schemas.microsoft.com/office/drawing/2014/main" id="{00000000-0008-0000-0100-00000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2" name="TextBox 1801">
          <a:extLst>
            <a:ext uri="{FF2B5EF4-FFF2-40B4-BE49-F238E27FC236}">
              <a16:creationId xmlns:a16="http://schemas.microsoft.com/office/drawing/2014/main" id="{00000000-0008-0000-0100-00000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3" name="TextBox 1802">
          <a:extLst>
            <a:ext uri="{FF2B5EF4-FFF2-40B4-BE49-F238E27FC236}">
              <a16:creationId xmlns:a16="http://schemas.microsoft.com/office/drawing/2014/main" id="{00000000-0008-0000-0100-00000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4" name="TextBox 1803">
          <a:extLst>
            <a:ext uri="{FF2B5EF4-FFF2-40B4-BE49-F238E27FC236}">
              <a16:creationId xmlns:a16="http://schemas.microsoft.com/office/drawing/2014/main" id="{00000000-0008-0000-0100-00000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5" name="TextBox 1804">
          <a:extLst>
            <a:ext uri="{FF2B5EF4-FFF2-40B4-BE49-F238E27FC236}">
              <a16:creationId xmlns:a16="http://schemas.microsoft.com/office/drawing/2014/main" id="{00000000-0008-0000-0100-00000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6" name="TextBox 1805">
          <a:extLst>
            <a:ext uri="{FF2B5EF4-FFF2-40B4-BE49-F238E27FC236}">
              <a16:creationId xmlns:a16="http://schemas.microsoft.com/office/drawing/2014/main" id="{00000000-0008-0000-0100-00000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7" name="TextBox 1806">
          <a:extLst>
            <a:ext uri="{FF2B5EF4-FFF2-40B4-BE49-F238E27FC236}">
              <a16:creationId xmlns:a16="http://schemas.microsoft.com/office/drawing/2014/main" id="{00000000-0008-0000-0100-00000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8" name="TextBox 1807">
          <a:extLst>
            <a:ext uri="{FF2B5EF4-FFF2-40B4-BE49-F238E27FC236}">
              <a16:creationId xmlns:a16="http://schemas.microsoft.com/office/drawing/2014/main" id="{00000000-0008-0000-0100-00001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09" name="TextBox 1808">
          <a:extLst>
            <a:ext uri="{FF2B5EF4-FFF2-40B4-BE49-F238E27FC236}">
              <a16:creationId xmlns:a16="http://schemas.microsoft.com/office/drawing/2014/main" id="{00000000-0008-0000-0100-00001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0" name="TextBox 1809">
          <a:extLst>
            <a:ext uri="{FF2B5EF4-FFF2-40B4-BE49-F238E27FC236}">
              <a16:creationId xmlns:a16="http://schemas.microsoft.com/office/drawing/2014/main" id="{00000000-0008-0000-0100-00001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1" name="TextBox 1810">
          <a:extLst>
            <a:ext uri="{FF2B5EF4-FFF2-40B4-BE49-F238E27FC236}">
              <a16:creationId xmlns:a16="http://schemas.microsoft.com/office/drawing/2014/main" id="{00000000-0008-0000-0100-00001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2" name="TextBox 1811">
          <a:extLst>
            <a:ext uri="{FF2B5EF4-FFF2-40B4-BE49-F238E27FC236}">
              <a16:creationId xmlns:a16="http://schemas.microsoft.com/office/drawing/2014/main" id="{00000000-0008-0000-0100-00001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3" name="TextBox 1812">
          <a:extLst>
            <a:ext uri="{FF2B5EF4-FFF2-40B4-BE49-F238E27FC236}">
              <a16:creationId xmlns:a16="http://schemas.microsoft.com/office/drawing/2014/main" id="{00000000-0008-0000-0100-00001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4" name="TextBox 1813">
          <a:extLst>
            <a:ext uri="{FF2B5EF4-FFF2-40B4-BE49-F238E27FC236}">
              <a16:creationId xmlns:a16="http://schemas.microsoft.com/office/drawing/2014/main" id="{00000000-0008-0000-0100-00001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5" name="TextBox 1814">
          <a:extLst>
            <a:ext uri="{FF2B5EF4-FFF2-40B4-BE49-F238E27FC236}">
              <a16:creationId xmlns:a16="http://schemas.microsoft.com/office/drawing/2014/main" id="{00000000-0008-0000-0100-00001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6" name="TextBox 1815">
          <a:extLst>
            <a:ext uri="{FF2B5EF4-FFF2-40B4-BE49-F238E27FC236}">
              <a16:creationId xmlns:a16="http://schemas.microsoft.com/office/drawing/2014/main" id="{00000000-0008-0000-0100-00001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7" name="TextBox 1816">
          <a:extLst>
            <a:ext uri="{FF2B5EF4-FFF2-40B4-BE49-F238E27FC236}">
              <a16:creationId xmlns:a16="http://schemas.microsoft.com/office/drawing/2014/main" id="{00000000-0008-0000-0100-00001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8" name="TextBox 1817">
          <a:extLst>
            <a:ext uri="{FF2B5EF4-FFF2-40B4-BE49-F238E27FC236}">
              <a16:creationId xmlns:a16="http://schemas.microsoft.com/office/drawing/2014/main" id="{00000000-0008-0000-0100-00001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19" name="TextBox 1818">
          <a:extLst>
            <a:ext uri="{FF2B5EF4-FFF2-40B4-BE49-F238E27FC236}">
              <a16:creationId xmlns:a16="http://schemas.microsoft.com/office/drawing/2014/main" id="{00000000-0008-0000-0100-00001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0" name="TextBox 1819">
          <a:extLst>
            <a:ext uri="{FF2B5EF4-FFF2-40B4-BE49-F238E27FC236}">
              <a16:creationId xmlns:a16="http://schemas.microsoft.com/office/drawing/2014/main" id="{00000000-0008-0000-0100-00001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1" name="TextBox 1820">
          <a:extLst>
            <a:ext uri="{FF2B5EF4-FFF2-40B4-BE49-F238E27FC236}">
              <a16:creationId xmlns:a16="http://schemas.microsoft.com/office/drawing/2014/main" id="{00000000-0008-0000-0100-00001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2" name="TextBox 1821">
          <a:extLst>
            <a:ext uri="{FF2B5EF4-FFF2-40B4-BE49-F238E27FC236}">
              <a16:creationId xmlns:a16="http://schemas.microsoft.com/office/drawing/2014/main" id="{00000000-0008-0000-0100-00001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3" name="TextBox 1822">
          <a:extLst>
            <a:ext uri="{FF2B5EF4-FFF2-40B4-BE49-F238E27FC236}">
              <a16:creationId xmlns:a16="http://schemas.microsoft.com/office/drawing/2014/main" id="{00000000-0008-0000-0100-00001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4" name="TextBox 1823">
          <a:extLst>
            <a:ext uri="{FF2B5EF4-FFF2-40B4-BE49-F238E27FC236}">
              <a16:creationId xmlns:a16="http://schemas.microsoft.com/office/drawing/2014/main" id="{00000000-0008-0000-0100-00002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5" name="TextBox 1824">
          <a:extLst>
            <a:ext uri="{FF2B5EF4-FFF2-40B4-BE49-F238E27FC236}">
              <a16:creationId xmlns:a16="http://schemas.microsoft.com/office/drawing/2014/main" id="{00000000-0008-0000-0100-00002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6" name="TextBox 1825">
          <a:extLst>
            <a:ext uri="{FF2B5EF4-FFF2-40B4-BE49-F238E27FC236}">
              <a16:creationId xmlns:a16="http://schemas.microsoft.com/office/drawing/2014/main" id="{00000000-0008-0000-0100-00002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7" name="TextBox 1826">
          <a:extLst>
            <a:ext uri="{FF2B5EF4-FFF2-40B4-BE49-F238E27FC236}">
              <a16:creationId xmlns:a16="http://schemas.microsoft.com/office/drawing/2014/main" id="{00000000-0008-0000-0100-00002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8" name="TextBox 1827">
          <a:extLst>
            <a:ext uri="{FF2B5EF4-FFF2-40B4-BE49-F238E27FC236}">
              <a16:creationId xmlns:a16="http://schemas.microsoft.com/office/drawing/2014/main" id="{00000000-0008-0000-0100-00002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29" name="TextBox 1828">
          <a:extLst>
            <a:ext uri="{FF2B5EF4-FFF2-40B4-BE49-F238E27FC236}">
              <a16:creationId xmlns:a16="http://schemas.microsoft.com/office/drawing/2014/main" id="{00000000-0008-0000-0100-00002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0" name="TextBox 1829">
          <a:extLst>
            <a:ext uri="{FF2B5EF4-FFF2-40B4-BE49-F238E27FC236}">
              <a16:creationId xmlns:a16="http://schemas.microsoft.com/office/drawing/2014/main" id="{00000000-0008-0000-0100-00002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1" name="TextBox 1830">
          <a:extLst>
            <a:ext uri="{FF2B5EF4-FFF2-40B4-BE49-F238E27FC236}">
              <a16:creationId xmlns:a16="http://schemas.microsoft.com/office/drawing/2014/main" id="{00000000-0008-0000-0100-00002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2" name="TextBox 1831">
          <a:extLst>
            <a:ext uri="{FF2B5EF4-FFF2-40B4-BE49-F238E27FC236}">
              <a16:creationId xmlns:a16="http://schemas.microsoft.com/office/drawing/2014/main" id="{00000000-0008-0000-0100-00002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3" name="TextBox 1832">
          <a:extLst>
            <a:ext uri="{FF2B5EF4-FFF2-40B4-BE49-F238E27FC236}">
              <a16:creationId xmlns:a16="http://schemas.microsoft.com/office/drawing/2014/main" id="{00000000-0008-0000-0100-00002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4" name="TextBox 1833">
          <a:extLst>
            <a:ext uri="{FF2B5EF4-FFF2-40B4-BE49-F238E27FC236}">
              <a16:creationId xmlns:a16="http://schemas.microsoft.com/office/drawing/2014/main" id="{00000000-0008-0000-0100-00002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5" name="TextBox 1834">
          <a:extLst>
            <a:ext uri="{FF2B5EF4-FFF2-40B4-BE49-F238E27FC236}">
              <a16:creationId xmlns:a16="http://schemas.microsoft.com/office/drawing/2014/main" id="{00000000-0008-0000-0100-00002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6" name="TextBox 1835">
          <a:extLst>
            <a:ext uri="{FF2B5EF4-FFF2-40B4-BE49-F238E27FC236}">
              <a16:creationId xmlns:a16="http://schemas.microsoft.com/office/drawing/2014/main" id="{00000000-0008-0000-0100-00002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7" name="TextBox 1836">
          <a:extLst>
            <a:ext uri="{FF2B5EF4-FFF2-40B4-BE49-F238E27FC236}">
              <a16:creationId xmlns:a16="http://schemas.microsoft.com/office/drawing/2014/main" id="{00000000-0008-0000-0100-00002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8" name="TextBox 1837">
          <a:extLst>
            <a:ext uri="{FF2B5EF4-FFF2-40B4-BE49-F238E27FC236}">
              <a16:creationId xmlns:a16="http://schemas.microsoft.com/office/drawing/2014/main" id="{00000000-0008-0000-0100-00002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39" name="TextBox 1838">
          <a:extLst>
            <a:ext uri="{FF2B5EF4-FFF2-40B4-BE49-F238E27FC236}">
              <a16:creationId xmlns:a16="http://schemas.microsoft.com/office/drawing/2014/main" id="{00000000-0008-0000-0100-00002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0" name="TextBox 1839">
          <a:extLst>
            <a:ext uri="{FF2B5EF4-FFF2-40B4-BE49-F238E27FC236}">
              <a16:creationId xmlns:a16="http://schemas.microsoft.com/office/drawing/2014/main" id="{00000000-0008-0000-0100-00003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1" name="TextBox 1840">
          <a:extLst>
            <a:ext uri="{FF2B5EF4-FFF2-40B4-BE49-F238E27FC236}">
              <a16:creationId xmlns:a16="http://schemas.microsoft.com/office/drawing/2014/main" id="{00000000-0008-0000-0100-00003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2" name="TextBox 1841">
          <a:extLst>
            <a:ext uri="{FF2B5EF4-FFF2-40B4-BE49-F238E27FC236}">
              <a16:creationId xmlns:a16="http://schemas.microsoft.com/office/drawing/2014/main" id="{00000000-0008-0000-0100-00003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3" name="TextBox 1842">
          <a:extLst>
            <a:ext uri="{FF2B5EF4-FFF2-40B4-BE49-F238E27FC236}">
              <a16:creationId xmlns:a16="http://schemas.microsoft.com/office/drawing/2014/main" id="{00000000-0008-0000-0100-00003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4" name="TextBox 1843">
          <a:extLst>
            <a:ext uri="{FF2B5EF4-FFF2-40B4-BE49-F238E27FC236}">
              <a16:creationId xmlns:a16="http://schemas.microsoft.com/office/drawing/2014/main" id="{00000000-0008-0000-0100-00003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5" name="TextBox 1844">
          <a:extLst>
            <a:ext uri="{FF2B5EF4-FFF2-40B4-BE49-F238E27FC236}">
              <a16:creationId xmlns:a16="http://schemas.microsoft.com/office/drawing/2014/main" id="{00000000-0008-0000-0100-00003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6" name="TextBox 1845">
          <a:extLst>
            <a:ext uri="{FF2B5EF4-FFF2-40B4-BE49-F238E27FC236}">
              <a16:creationId xmlns:a16="http://schemas.microsoft.com/office/drawing/2014/main" id="{00000000-0008-0000-0100-00003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7" name="TextBox 1846">
          <a:extLst>
            <a:ext uri="{FF2B5EF4-FFF2-40B4-BE49-F238E27FC236}">
              <a16:creationId xmlns:a16="http://schemas.microsoft.com/office/drawing/2014/main" id="{00000000-0008-0000-0100-00003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8" name="TextBox 1847">
          <a:extLst>
            <a:ext uri="{FF2B5EF4-FFF2-40B4-BE49-F238E27FC236}">
              <a16:creationId xmlns:a16="http://schemas.microsoft.com/office/drawing/2014/main" id="{00000000-0008-0000-0100-00003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49" name="TextBox 1848">
          <a:extLst>
            <a:ext uri="{FF2B5EF4-FFF2-40B4-BE49-F238E27FC236}">
              <a16:creationId xmlns:a16="http://schemas.microsoft.com/office/drawing/2014/main" id="{00000000-0008-0000-0100-00003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0" name="TextBox 1849">
          <a:extLst>
            <a:ext uri="{FF2B5EF4-FFF2-40B4-BE49-F238E27FC236}">
              <a16:creationId xmlns:a16="http://schemas.microsoft.com/office/drawing/2014/main" id="{00000000-0008-0000-0100-00003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1" name="TextBox 1850">
          <a:extLst>
            <a:ext uri="{FF2B5EF4-FFF2-40B4-BE49-F238E27FC236}">
              <a16:creationId xmlns:a16="http://schemas.microsoft.com/office/drawing/2014/main" id="{00000000-0008-0000-0100-00003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2" name="TextBox 1851">
          <a:extLst>
            <a:ext uri="{FF2B5EF4-FFF2-40B4-BE49-F238E27FC236}">
              <a16:creationId xmlns:a16="http://schemas.microsoft.com/office/drawing/2014/main" id="{00000000-0008-0000-0100-00003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3" name="TextBox 1852">
          <a:extLst>
            <a:ext uri="{FF2B5EF4-FFF2-40B4-BE49-F238E27FC236}">
              <a16:creationId xmlns:a16="http://schemas.microsoft.com/office/drawing/2014/main" id="{00000000-0008-0000-0100-00003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4" name="TextBox 1853">
          <a:extLst>
            <a:ext uri="{FF2B5EF4-FFF2-40B4-BE49-F238E27FC236}">
              <a16:creationId xmlns:a16="http://schemas.microsoft.com/office/drawing/2014/main" id="{00000000-0008-0000-0100-00003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5" name="TextBox 1854">
          <a:extLst>
            <a:ext uri="{FF2B5EF4-FFF2-40B4-BE49-F238E27FC236}">
              <a16:creationId xmlns:a16="http://schemas.microsoft.com/office/drawing/2014/main" id="{00000000-0008-0000-0100-00003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6" name="TextBox 1855">
          <a:extLst>
            <a:ext uri="{FF2B5EF4-FFF2-40B4-BE49-F238E27FC236}">
              <a16:creationId xmlns:a16="http://schemas.microsoft.com/office/drawing/2014/main" id="{00000000-0008-0000-0100-00004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7" name="TextBox 1856">
          <a:extLst>
            <a:ext uri="{FF2B5EF4-FFF2-40B4-BE49-F238E27FC236}">
              <a16:creationId xmlns:a16="http://schemas.microsoft.com/office/drawing/2014/main" id="{00000000-0008-0000-0100-00004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8" name="TextBox 1857">
          <a:extLst>
            <a:ext uri="{FF2B5EF4-FFF2-40B4-BE49-F238E27FC236}">
              <a16:creationId xmlns:a16="http://schemas.microsoft.com/office/drawing/2014/main" id="{00000000-0008-0000-0100-00004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59" name="TextBox 1858">
          <a:extLst>
            <a:ext uri="{FF2B5EF4-FFF2-40B4-BE49-F238E27FC236}">
              <a16:creationId xmlns:a16="http://schemas.microsoft.com/office/drawing/2014/main" id="{00000000-0008-0000-0100-00004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0" name="TextBox 1859">
          <a:extLst>
            <a:ext uri="{FF2B5EF4-FFF2-40B4-BE49-F238E27FC236}">
              <a16:creationId xmlns:a16="http://schemas.microsoft.com/office/drawing/2014/main" id="{00000000-0008-0000-0100-00004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1" name="TextBox 1860">
          <a:extLst>
            <a:ext uri="{FF2B5EF4-FFF2-40B4-BE49-F238E27FC236}">
              <a16:creationId xmlns:a16="http://schemas.microsoft.com/office/drawing/2014/main" id="{00000000-0008-0000-0100-00004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2" name="TextBox 1861">
          <a:extLst>
            <a:ext uri="{FF2B5EF4-FFF2-40B4-BE49-F238E27FC236}">
              <a16:creationId xmlns:a16="http://schemas.microsoft.com/office/drawing/2014/main" id="{00000000-0008-0000-0100-00004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3" name="TextBox 1862">
          <a:extLst>
            <a:ext uri="{FF2B5EF4-FFF2-40B4-BE49-F238E27FC236}">
              <a16:creationId xmlns:a16="http://schemas.microsoft.com/office/drawing/2014/main" id="{00000000-0008-0000-0100-00004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4" name="TextBox 1863">
          <a:extLst>
            <a:ext uri="{FF2B5EF4-FFF2-40B4-BE49-F238E27FC236}">
              <a16:creationId xmlns:a16="http://schemas.microsoft.com/office/drawing/2014/main" id="{00000000-0008-0000-0100-00004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5" name="TextBox 1864">
          <a:extLst>
            <a:ext uri="{FF2B5EF4-FFF2-40B4-BE49-F238E27FC236}">
              <a16:creationId xmlns:a16="http://schemas.microsoft.com/office/drawing/2014/main" id="{00000000-0008-0000-0100-00004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6" name="TextBox 1865">
          <a:extLst>
            <a:ext uri="{FF2B5EF4-FFF2-40B4-BE49-F238E27FC236}">
              <a16:creationId xmlns:a16="http://schemas.microsoft.com/office/drawing/2014/main" id="{00000000-0008-0000-0100-00004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7" name="TextBox 1866">
          <a:extLst>
            <a:ext uri="{FF2B5EF4-FFF2-40B4-BE49-F238E27FC236}">
              <a16:creationId xmlns:a16="http://schemas.microsoft.com/office/drawing/2014/main" id="{00000000-0008-0000-0100-00004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8" name="TextBox 1867">
          <a:extLst>
            <a:ext uri="{FF2B5EF4-FFF2-40B4-BE49-F238E27FC236}">
              <a16:creationId xmlns:a16="http://schemas.microsoft.com/office/drawing/2014/main" id="{00000000-0008-0000-0100-00004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69" name="TextBox 1868">
          <a:extLst>
            <a:ext uri="{FF2B5EF4-FFF2-40B4-BE49-F238E27FC236}">
              <a16:creationId xmlns:a16="http://schemas.microsoft.com/office/drawing/2014/main" id="{00000000-0008-0000-0100-00004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0" name="TextBox 1869">
          <a:extLst>
            <a:ext uri="{FF2B5EF4-FFF2-40B4-BE49-F238E27FC236}">
              <a16:creationId xmlns:a16="http://schemas.microsoft.com/office/drawing/2014/main" id="{00000000-0008-0000-0100-00004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1" name="TextBox 1870">
          <a:extLst>
            <a:ext uri="{FF2B5EF4-FFF2-40B4-BE49-F238E27FC236}">
              <a16:creationId xmlns:a16="http://schemas.microsoft.com/office/drawing/2014/main" id="{00000000-0008-0000-0100-00004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2" name="TextBox 1871">
          <a:extLst>
            <a:ext uri="{FF2B5EF4-FFF2-40B4-BE49-F238E27FC236}">
              <a16:creationId xmlns:a16="http://schemas.microsoft.com/office/drawing/2014/main" id="{00000000-0008-0000-0100-00005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3" name="TextBox 1872">
          <a:extLst>
            <a:ext uri="{FF2B5EF4-FFF2-40B4-BE49-F238E27FC236}">
              <a16:creationId xmlns:a16="http://schemas.microsoft.com/office/drawing/2014/main" id="{00000000-0008-0000-0100-00005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4" name="TextBox 1873">
          <a:extLst>
            <a:ext uri="{FF2B5EF4-FFF2-40B4-BE49-F238E27FC236}">
              <a16:creationId xmlns:a16="http://schemas.microsoft.com/office/drawing/2014/main" id="{00000000-0008-0000-0100-00005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5" name="TextBox 1874">
          <a:extLst>
            <a:ext uri="{FF2B5EF4-FFF2-40B4-BE49-F238E27FC236}">
              <a16:creationId xmlns:a16="http://schemas.microsoft.com/office/drawing/2014/main" id="{00000000-0008-0000-0100-00005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6" name="TextBox 1875">
          <a:extLst>
            <a:ext uri="{FF2B5EF4-FFF2-40B4-BE49-F238E27FC236}">
              <a16:creationId xmlns:a16="http://schemas.microsoft.com/office/drawing/2014/main" id="{00000000-0008-0000-0100-00005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7" name="TextBox 1876">
          <a:extLst>
            <a:ext uri="{FF2B5EF4-FFF2-40B4-BE49-F238E27FC236}">
              <a16:creationId xmlns:a16="http://schemas.microsoft.com/office/drawing/2014/main" id="{00000000-0008-0000-0100-00005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8" name="TextBox 1877">
          <a:extLst>
            <a:ext uri="{FF2B5EF4-FFF2-40B4-BE49-F238E27FC236}">
              <a16:creationId xmlns:a16="http://schemas.microsoft.com/office/drawing/2014/main" id="{00000000-0008-0000-0100-00005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79" name="TextBox 1878">
          <a:extLst>
            <a:ext uri="{FF2B5EF4-FFF2-40B4-BE49-F238E27FC236}">
              <a16:creationId xmlns:a16="http://schemas.microsoft.com/office/drawing/2014/main" id="{00000000-0008-0000-0100-00005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0" name="TextBox 1879">
          <a:extLst>
            <a:ext uri="{FF2B5EF4-FFF2-40B4-BE49-F238E27FC236}">
              <a16:creationId xmlns:a16="http://schemas.microsoft.com/office/drawing/2014/main" id="{00000000-0008-0000-0100-00005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1" name="TextBox 1880">
          <a:extLst>
            <a:ext uri="{FF2B5EF4-FFF2-40B4-BE49-F238E27FC236}">
              <a16:creationId xmlns:a16="http://schemas.microsoft.com/office/drawing/2014/main" id="{00000000-0008-0000-0100-00005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2" name="TextBox 1881">
          <a:extLst>
            <a:ext uri="{FF2B5EF4-FFF2-40B4-BE49-F238E27FC236}">
              <a16:creationId xmlns:a16="http://schemas.microsoft.com/office/drawing/2014/main" id="{00000000-0008-0000-0100-00005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3" name="TextBox 1882">
          <a:extLst>
            <a:ext uri="{FF2B5EF4-FFF2-40B4-BE49-F238E27FC236}">
              <a16:creationId xmlns:a16="http://schemas.microsoft.com/office/drawing/2014/main" id="{00000000-0008-0000-0100-00005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4" name="TextBox 1883">
          <a:extLst>
            <a:ext uri="{FF2B5EF4-FFF2-40B4-BE49-F238E27FC236}">
              <a16:creationId xmlns:a16="http://schemas.microsoft.com/office/drawing/2014/main" id="{00000000-0008-0000-0100-00005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5" name="TextBox 1884">
          <a:extLst>
            <a:ext uri="{FF2B5EF4-FFF2-40B4-BE49-F238E27FC236}">
              <a16:creationId xmlns:a16="http://schemas.microsoft.com/office/drawing/2014/main" id="{00000000-0008-0000-0100-00005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6" name="TextBox 1885">
          <a:extLst>
            <a:ext uri="{FF2B5EF4-FFF2-40B4-BE49-F238E27FC236}">
              <a16:creationId xmlns:a16="http://schemas.microsoft.com/office/drawing/2014/main" id="{00000000-0008-0000-0100-00005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7" name="TextBox 1886">
          <a:extLst>
            <a:ext uri="{FF2B5EF4-FFF2-40B4-BE49-F238E27FC236}">
              <a16:creationId xmlns:a16="http://schemas.microsoft.com/office/drawing/2014/main" id="{00000000-0008-0000-0100-00005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8" name="TextBox 1887">
          <a:extLst>
            <a:ext uri="{FF2B5EF4-FFF2-40B4-BE49-F238E27FC236}">
              <a16:creationId xmlns:a16="http://schemas.microsoft.com/office/drawing/2014/main" id="{00000000-0008-0000-0100-00006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89" name="TextBox 1888">
          <a:extLst>
            <a:ext uri="{FF2B5EF4-FFF2-40B4-BE49-F238E27FC236}">
              <a16:creationId xmlns:a16="http://schemas.microsoft.com/office/drawing/2014/main" id="{00000000-0008-0000-0100-00006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0" name="TextBox 1889">
          <a:extLst>
            <a:ext uri="{FF2B5EF4-FFF2-40B4-BE49-F238E27FC236}">
              <a16:creationId xmlns:a16="http://schemas.microsoft.com/office/drawing/2014/main" id="{00000000-0008-0000-0100-00006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1" name="TextBox 1890">
          <a:extLst>
            <a:ext uri="{FF2B5EF4-FFF2-40B4-BE49-F238E27FC236}">
              <a16:creationId xmlns:a16="http://schemas.microsoft.com/office/drawing/2014/main" id="{00000000-0008-0000-0100-00006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2" name="TextBox 1891">
          <a:extLst>
            <a:ext uri="{FF2B5EF4-FFF2-40B4-BE49-F238E27FC236}">
              <a16:creationId xmlns:a16="http://schemas.microsoft.com/office/drawing/2014/main" id="{00000000-0008-0000-0100-00006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3" name="TextBox 1892">
          <a:extLst>
            <a:ext uri="{FF2B5EF4-FFF2-40B4-BE49-F238E27FC236}">
              <a16:creationId xmlns:a16="http://schemas.microsoft.com/office/drawing/2014/main" id="{00000000-0008-0000-0100-00006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4" name="TextBox 1893">
          <a:extLst>
            <a:ext uri="{FF2B5EF4-FFF2-40B4-BE49-F238E27FC236}">
              <a16:creationId xmlns:a16="http://schemas.microsoft.com/office/drawing/2014/main" id="{00000000-0008-0000-0100-00006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5" name="TextBox 1894">
          <a:extLst>
            <a:ext uri="{FF2B5EF4-FFF2-40B4-BE49-F238E27FC236}">
              <a16:creationId xmlns:a16="http://schemas.microsoft.com/office/drawing/2014/main" id="{00000000-0008-0000-0100-00006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6" name="TextBox 1895">
          <a:extLst>
            <a:ext uri="{FF2B5EF4-FFF2-40B4-BE49-F238E27FC236}">
              <a16:creationId xmlns:a16="http://schemas.microsoft.com/office/drawing/2014/main" id="{00000000-0008-0000-0100-00006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7" name="TextBox 1896">
          <a:extLst>
            <a:ext uri="{FF2B5EF4-FFF2-40B4-BE49-F238E27FC236}">
              <a16:creationId xmlns:a16="http://schemas.microsoft.com/office/drawing/2014/main" id="{00000000-0008-0000-0100-00006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8" name="TextBox 1897">
          <a:extLst>
            <a:ext uri="{FF2B5EF4-FFF2-40B4-BE49-F238E27FC236}">
              <a16:creationId xmlns:a16="http://schemas.microsoft.com/office/drawing/2014/main" id="{00000000-0008-0000-0100-00006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899" name="TextBox 1898">
          <a:extLst>
            <a:ext uri="{FF2B5EF4-FFF2-40B4-BE49-F238E27FC236}">
              <a16:creationId xmlns:a16="http://schemas.microsoft.com/office/drawing/2014/main" id="{00000000-0008-0000-0100-00006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0" name="TextBox 1899">
          <a:extLst>
            <a:ext uri="{FF2B5EF4-FFF2-40B4-BE49-F238E27FC236}">
              <a16:creationId xmlns:a16="http://schemas.microsoft.com/office/drawing/2014/main" id="{00000000-0008-0000-0100-00006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1" name="TextBox 1900">
          <a:extLst>
            <a:ext uri="{FF2B5EF4-FFF2-40B4-BE49-F238E27FC236}">
              <a16:creationId xmlns:a16="http://schemas.microsoft.com/office/drawing/2014/main" id="{00000000-0008-0000-0100-00006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2" name="TextBox 1901">
          <a:extLst>
            <a:ext uri="{FF2B5EF4-FFF2-40B4-BE49-F238E27FC236}">
              <a16:creationId xmlns:a16="http://schemas.microsoft.com/office/drawing/2014/main" id="{00000000-0008-0000-0100-00006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3" name="TextBox 1902">
          <a:extLst>
            <a:ext uri="{FF2B5EF4-FFF2-40B4-BE49-F238E27FC236}">
              <a16:creationId xmlns:a16="http://schemas.microsoft.com/office/drawing/2014/main" id="{00000000-0008-0000-0100-00006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4" name="TextBox 1903">
          <a:extLst>
            <a:ext uri="{FF2B5EF4-FFF2-40B4-BE49-F238E27FC236}">
              <a16:creationId xmlns:a16="http://schemas.microsoft.com/office/drawing/2014/main" id="{00000000-0008-0000-0100-00007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5" name="TextBox 1904">
          <a:extLst>
            <a:ext uri="{FF2B5EF4-FFF2-40B4-BE49-F238E27FC236}">
              <a16:creationId xmlns:a16="http://schemas.microsoft.com/office/drawing/2014/main" id="{00000000-0008-0000-0100-00007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6" name="TextBox 1905">
          <a:extLst>
            <a:ext uri="{FF2B5EF4-FFF2-40B4-BE49-F238E27FC236}">
              <a16:creationId xmlns:a16="http://schemas.microsoft.com/office/drawing/2014/main" id="{00000000-0008-0000-0100-00007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7" name="TextBox 1906">
          <a:extLst>
            <a:ext uri="{FF2B5EF4-FFF2-40B4-BE49-F238E27FC236}">
              <a16:creationId xmlns:a16="http://schemas.microsoft.com/office/drawing/2014/main" id="{00000000-0008-0000-0100-00007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8" name="TextBox 1907">
          <a:extLst>
            <a:ext uri="{FF2B5EF4-FFF2-40B4-BE49-F238E27FC236}">
              <a16:creationId xmlns:a16="http://schemas.microsoft.com/office/drawing/2014/main" id="{00000000-0008-0000-0100-00007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09" name="TextBox 1908">
          <a:extLst>
            <a:ext uri="{FF2B5EF4-FFF2-40B4-BE49-F238E27FC236}">
              <a16:creationId xmlns:a16="http://schemas.microsoft.com/office/drawing/2014/main" id="{00000000-0008-0000-0100-00007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0" name="TextBox 1909">
          <a:extLst>
            <a:ext uri="{FF2B5EF4-FFF2-40B4-BE49-F238E27FC236}">
              <a16:creationId xmlns:a16="http://schemas.microsoft.com/office/drawing/2014/main" id="{00000000-0008-0000-0100-00007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1" name="TextBox 1910">
          <a:extLst>
            <a:ext uri="{FF2B5EF4-FFF2-40B4-BE49-F238E27FC236}">
              <a16:creationId xmlns:a16="http://schemas.microsoft.com/office/drawing/2014/main" id="{00000000-0008-0000-0100-00007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2" name="TextBox 1911">
          <a:extLst>
            <a:ext uri="{FF2B5EF4-FFF2-40B4-BE49-F238E27FC236}">
              <a16:creationId xmlns:a16="http://schemas.microsoft.com/office/drawing/2014/main" id="{00000000-0008-0000-0100-00007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3" name="TextBox 1912">
          <a:extLst>
            <a:ext uri="{FF2B5EF4-FFF2-40B4-BE49-F238E27FC236}">
              <a16:creationId xmlns:a16="http://schemas.microsoft.com/office/drawing/2014/main" id="{00000000-0008-0000-0100-00007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4" name="TextBox 1913">
          <a:extLst>
            <a:ext uri="{FF2B5EF4-FFF2-40B4-BE49-F238E27FC236}">
              <a16:creationId xmlns:a16="http://schemas.microsoft.com/office/drawing/2014/main" id="{00000000-0008-0000-0100-00007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5" name="TextBox 1914">
          <a:extLst>
            <a:ext uri="{FF2B5EF4-FFF2-40B4-BE49-F238E27FC236}">
              <a16:creationId xmlns:a16="http://schemas.microsoft.com/office/drawing/2014/main" id="{00000000-0008-0000-0100-00007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6" name="TextBox 1915">
          <a:extLst>
            <a:ext uri="{FF2B5EF4-FFF2-40B4-BE49-F238E27FC236}">
              <a16:creationId xmlns:a16="http://schemas.microsoft.com/office/drawing/2014/main" id="{00000000-0008-0000-0100-00007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7" name="TextBox 1916">
          <a:extLst>
            <a:ext uri="{FF2B5EF4-FFF2-40B4-BE49-F238E27FC236}">
              <a16:creationId xmlns:a16="http://schemas.microsoft.com/office/drawing/2014/main" id="{00000000-0008-0000-0100-00007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8" name="TextBox 1917">
          <a:extLst>
            <a:ext uri="{FF2B5EF4-FFF2-40B4-BE49-F238E27FC236}">
              <a16:creationId xmlns:a16="http://schemas.microsoft.com/office/drawing/2014/main" id="{00000000-0008-0000-0100-00007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19" name="TextBox 1918">
          <a:extLst>
            <a:ext uri="{FF2B5EF4-FFF2-40B4-BE49-F238E27FC236}">
              <a16:creationId xmlns:a16="http://schemas.microsoft.com/office/drawing/2014/main" id="{00000000-0008-0000-0100-00007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0" name="TextBox 1919">
          <a:extLst>
            <a:ext uri="{FF2B5EF4-FFF2-40B4-BE49-F238E27FC236}">
              <a16:creationId xmlns:a16="http://schemas.microsoft.com/office/drawing/2014/main" id="{00000000-0008-0000-0100-00008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1" name="TextBox 1920">
          <a:extLst>
            <a:ext uri="{FF2B5EF4-FFF2-40B4-BE49-F238E27FC236}">
              <a16:creationId xmlns:a16="http://schemas.microsoft.com/office/drawing/2014/main" id="{00000000-0008-0000-0100-00008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2" name="TextBox 1921">
          <a:extLst>
            <a:ext uri="{FF2B5EF4-FFF2-40B4-BE49-F238E27FC236}">
              <a16:creationId xmlns:a16="http://schemas.microsoft.com/office/drawing/2014/main" id="{00000000-0008-0000-0100-00008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3" name="TextBox 1922">
          <a:extLst>
            <a:ext uri="{FF2B5EF4-FFF2-40B4-BE49-F238E27FC236}">
              <a16:creationId xmlns:a16="http://schemas.microsoft.com/office/drawing/2014/main" id="{00000000-0008-0000-0100-00008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4" name="TextBox 1923">
          <a:extLst>
            <a:ext uri="{FF2B5EF4-FFF2-40B4-BE49-F238E27FC236}">
              <a16:creationId xmlns:a16="http://schemas.microsoft.com/office/drawing/2014/main" id="{00000000-0008-0000-0100-00008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5" name="TextBox 1924">
          <a:extLst>
            <a:ext uri="{FF2B5EF4-FFF2-40B4-BE49-F238E27FC236}">
              <a16:creationId xmlns:a16="http://schemas.microsoft.com/office/drawing/2014/main" id="{00000000-0008-0000-0100-00008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6" name="TextBox 1925">
          <a:extLst>
            <a:ext uri="{FF2B5EF4-FFF2-40B4-BE49-F238E27FC236}">
              <a16:creationId xmlns:a16="http://schemas.microsoft.com/office/drawing/2014/main" id="{00000000-0008-0000-0100-00008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7" name="TextBox 1926">
          <a:extLst>
            <a:ext uri="{FF2B5EF4-FFF2-40B4-BE49-F238E27FC236}">
              <a16:creationId xmlns:a16="http://schemas.microsoft.com/office/drawing/2014/main" id="{00000000-0008-0000-0100-00008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8" name="TextBox 1927">
          <a:extLst>
            <a:ext uri="{FF2B5EF4-FFF2-40B4-BE49-F238E27FC236}">
              <a16:creationId xmlns:a16="http://schemas.microsoft.com/office/drawing/2014/main" id="{00000000-0008-0000-0100-00008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29" name="TextBox 1928">
          <a:extLst>
            <a:ext uri="{FF2B5EF4-FFF2-40B4-BE49-F238E27FC236}">
              <a16:creationId xmlns:a16="http://schemas.microsoft.com/office/drawing/2014/main" id="{00000000-0008-0000-0100-00008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0" name="TextBox 1929">
          <a:extLst>
            <a:ext uri="{FF2B5EF4-FFF2-40B4-BE49-F238E27FC236}">
              <a16:creationId xmlns:a16="http://schemas.microsoft.com/office/drawing/2014/main" id="{00000000-0008-0000-0100-00008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1" name="TextBox 1930">
          <a:extLst>
            <a:ext uri="{FF2B5EF4-FFF2-40B4-BE49-F238E27FC236}">
              <a16:creationId xmlns:a16="http://schemas.microsoft.com/office/drawing/2014/main" id="{00000000-0008-0000-0100-00008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2" name="TextBox 1931">
          <a:extLst>
            <a:ext uri="{FF2B5EF4-FFF2-40B4-BE49-F238E27FC236}">
              <a16:creationId xmlns:a16="http://schemas.microsoft.com/office/drawing/2014/main" id="{00000000-0008-0000-0100-00008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3" name="TextBox 1932">
          <a:extLst>
            <a:ext uri="{FF2B5EF4-FFF2-40B4-BE49-F238E27FC236}">
              <a16:creationId xmlns:a16="http://schemas.microsoft.com/office/drawing/2014/main" id="{00000000-0008-0000-0100-00008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4" name="TextBox 1933">
          <a:extLst>
            <a:ext uri="{FF2B5EF4-FFF2-40B4-BE49-F238E27FC236}">
              <a16:creationId xmlns:a16="http://schemas.microsoft.com/office/drawing/2014/main" id="{00000000-0008-0000-0100-00008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5" name="TextBox 1934">
          <a:extLst>
            <a:ext uri="{FF2B5EF4-FFF2-40B4-BE49-F238E27FC236}">
              <a16:creationId xmlns:a16="http://schemas.microsoft.com/office/drawing/2014/main" id="{00000000-0008-0000-0100-00008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6" name="TextBox 1935">
          <a:extLst>
            <a:ext uri="{FF2B5EF4-FFF2-40B4-BE49-F238E27FC236}">
              <a16:creationId xmlns:a16="http://schemas.microsoft.com/office/drawing/2014/main" id="{00000000-0008-0000-0100-00009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7" name="TextBox 1936">
          <a:extLst>
            <a:ext uri="{FF2B5EF4-FFF2-40B4-BE49-F238E27FC236}">
              <a16:creationId xmlns:a16="http://schemas.microsoft.com/office/drawing/2014/main" id="{00000000-0008-0000-0100-00009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8" name="TextBox 1937">
          <a:extLst>
            <a:ext uri="{FF2B5EF4-FFF2-40B4-BE49-F238E27FC236}">
              <a16:creationId xmlns:a16="http://schemas.microsoft.com/office/drawing/2014/main" id="{00000000-0008-0000-0100-00009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39" name="TextBox 1938">
          <a:extLst>
            <a:ext uri="{FF2B5EF4-FFF2-40B4-BE49-F238E27FC236}">
              <a16:creationId xmlns:a16="http://schemas.microsoft.com/office/drawing/2014/main" id="{00000000-0008-0000-0100-00009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0" name="TextBox 1939">
          <a:extLst>
            <a:ext uri="{FF2B5EF4-FFF2-40B4-BE49-F238E27FC236}">
              <a16:creationId xmlns:a16="http://schemas.microsoft.com/office/drawing/2014/main" id="{00000000-0008-0000-0100-00009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1" name="TextBox 1940">
          <a:extLst>
            <a:ext uri="{FF2B5EF4-FFF2-40B4-BE49-F238E27FC236}">
              <a16:creationId xmlns:a16="http://schemas.microsoft.com/office/drawing/2014/main" id="{00000000-0008-0000-0100-00009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2" name="TextBox 1941">
          <a:extLst>
            <a:ext uri="{FF2B5EF4-FFF2-40B4-BE49-F238E27FC236}">
              <a16:creationId xmlns:a16="http://schemas.microsoft.com/office/drawing/2014/main" id="{00000000-0008-0000-0100-00009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3" name="TextBox 1942">
          <a:extLst>
            <a:ext uri="{FF2B5EF4-FFF2-40B4-BE49-F238E27FC236}">
              <a16:creationId xmlns:a16="http://schemas.microsoft.com/office/drawing/2014/main" id="{00000000-0008-0000-0100-00009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4" name="TextBox 1943">
          <a:extLst>
            <a:ext uri="{FF2B5EF4-FFF2-40B4-BE49-F238E27FC236}">
              <a16:creationId xmlns:a16="http://schemas.microsoft.com/office/drawing/2014/main" id="{00000000-0008-0000-0100-00009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5" name="TextBox 1944">
          <a:extLst>
            <a:ext uri="{FF2B5EF4-FFF2-40B4-BE49-F238E27FC236}">
              <a16:creationId xmlns:a16="http://schemas.microsoft.com/office/drawing/2014/main" id="{00000000-0008-0000-0100-00009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6" name="TextBox 1945">
          <a:extLst>
            <a:ext uri="{FF2B5EF4-FFF2-40B4-BE49-F238E27FC236}">
              <a16:creationId xmlns:a16="http://schemas.microsoft.com/office/drawing/2014/main" id="{00000000-0008-0000-0100-00009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7" name="TextBox 1946">
          <a:extLst>
            <a:ext uri="{FF2B5EF4-FFF2-40B4-BE49-F238E27FC236}">
              <a16:creationId xmlns:a16="http://schemas.microsoft.com/office/drawing/2014/main" id="{00000000-0008-0000-0100-00009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8" name="TextBox 1947">
          <a:extLst>
            <a:ext uri="{FF2B5EF4-FFF2-40B4-BE49-F238E27FC236}">
              <a16:creationId xmlns:a16="http://schemas.microsoft.com/office/drawing/2014/main" id="{00000000-0008-0000-0100-00009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49" name="TextBox 1948">
          <a:extLst>
            <a:ext uri="{FF2B5EF4-FFF2-40B4-BE49-F238E27FC236}">
              <a16:creationId xmlns:a16="http://schemas.microsoft.com/office/drawing/2014/main" id="{00000000-0008-0000-0100-00009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0" name="TextBox 1949">
          <a:extLst>
            <a:ext uri="{FF2B5EF4-FFF2-40B4-BE49-F238E27FC236}">
              <a16:creationId xmlns:a16="http://schemas.microsoft.com/office/drawing/2014/main" id="{00000000-0008-0000-0100-00009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1" name="TextBox 1950">
          <a:extLst>
            <a:ext uri="{FF2B5EF4-FFF2-40B4-BE49-F238E27FC236}">
              <a16:creationId xmlns:a16="http://schemas.microsoft.com/office/drawing/2014/main" id="{00000000-0008-0000-0100-00009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2" name="TextBox 1951">
          <a:extLst>
            <a:ext uri="{FF2B5EF4-FFF2-40B4-BE49-F238E27FC236}">
              <a16:creationId xmlns:a16="http://schemas.microsoft.com/office/drawing/2014/main" id="{00000000-0008-0000-0100-0000A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3" name="TextBox 1952">
          <a:extLst>
            <a:ext uri="{FF2B5EF4-FFF2-40B4-BE49-F238E27FC236}">
              <a16:creationId xmlns:a16="http://schemas.microsoft.com/office/drawing/2014/main" id="{00000000-0008-0000-0100-0000A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4" name="TextBox 1953">
          <a:extLst>
            <a:ext uri="{FF2B5EF4-FFF2-40B4-BE49-F238E27FC236}">
              <a16:creationId xmlns:a16="http://schemas.microsoft.com/office/drawing/2014/main" id="{00000000-0008-0000-0100-0000A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5" name="TextBox 1954">
          <a:extLst>
            <a:ext uri="{FF2B5EF4-FFF2-40B4-BE49-F238E27FC236}">
              <a16:creationId xmlns:a16="http://schemas.microsoft.com/office/drawing/2014/main" id="{00000000-0008-0000-0100-0000A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6" name="TextBox 1955">
          <a:extLst>
            <a:ext uri="{FF2B5EF4-FFF2-40B4-BE49-F238E27FC236}">
              <a16:creationId xmlns:a16="http://schemas.microsoft.com/office/drawing/2014/main" id="{00000000-0008-0000-0100-0000A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7" name="TextBox 1956">
          <a:extLst>
            <a:ext uri="{FF2B5EF4-FFF2-40B4-BE49-F238E27FC236}">
              <a16:creationId xmlns:a16="http://schemas.microsoft.com/office/drawing/2014/main" id="{00000000-0008-0000-0100-0000A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8" name="TextBox 1957">
          <a:extLst>
            <a:ext uri="{FF2B5EF4-FFF2-40B4-BE49-F238E27FC236}">
              <a16:creationId xmlns:a16="http://schemas.microsoft.com/office/drawing/2014/main" id="{00000000-0008-0000-0100-0000A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59" name="TextBox 1958">
          <a:extLst>
            <a:ext uri="{FF2B5EF4-FFF2-40B4-BE49-F238E27FC236}">
              <a16:creationId xmlns:a16="http://schemas.microsoft.com/office/drawing/2014/main" id="{00000000-0008-0000-0100-0000A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0" name="TextBox 1959">
          <a:extLst>
            <a:ext uri="{FF2B5EF4-FFF2-40B4-BE49-F238E27FC236}">
              <a16:creationId xmlns:a16="http://schemas.microsoft.com/office/drawing/2014/main" id="{00000000-0008-0000-0100-0000A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1" name="TextBox 1960">
          <a:extLst>
            <a:ext uri="{FF2B5EF4-FFF2-40B4-BE49-F238E27FC236}">
              <a16:creationId xmlns:a16="http://schemas.microsoft.com/office/drawing/2014/main" id="{00000000-0008-0000-0100-0000A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2" name="TextBox 1961">
          <a:extLst>
            <a:ext uri="{FF2B5EF4-FFF2-40B4-BE49-F238E27FC236}">
              <a16:creationId xmlns:a16="http://schemas.microsoft.com/office/drawing/2014/main" id="{00000000-0008-0000-0100-0000A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3" name="TextBox 1962">
          <a:extLst>
            <a:ext uri="{FF2B5EF4-FFF2-40B4-BE49-F238E27FC236}">
              <a16:creationId xmlns:a16="http://schemas.microsoft.com/office/drawing/2014/main" id="{00000000-0008-0000-0100-0000A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4" name="TextBox 1963">
          <a:extLst>
            <a:ext uri="{FF2B5EF4-FFF2-40B4-BE49-F238E27FC236}">
              <a16:creationId xmlns:a16="http://schemas.microsoft.com/office/drawing/2014/main" id="{00000000-0008-0000-0100-0000A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5" name="TextBox 1964">
          <a:extLst>
            <a:ext uri="{FF2B5EF4-FFF2-40B4-BE49-F238E27FC236}">
              <a16:creationId xmlns:a16="http://schemas.microsoft.com/office/drawing/2014/main" id="{00000000-0008-0000-0100-0000A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6" name="TextBox 1965">
          <a:extLst>
            <a:ext uri="{FF2B5EF4-FFF2-40B4-BE49-F238E27FC236}">
              <a16:creationId xmlns:a16="http://schemas.microsoft.com/office/drawing/2014/main" id="{00000000-0008-0000-0100-0000A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7" name="TextBox 1966">
          <a:extLst>
            <a:ext uri="{FF2B5EF4-FFF2-40B4-BE49-F238E27FC236}">
              <a16:creationId xmlns:a16="http://schemas.microsoft.com/office/drawing/2014/main" id="{00000000-0008-0000-0100-0000A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8" name="TextBox 1967">
          <a:extLst>
            <a:ext uri="{FF2B5EF4-FFF2-40B4-BE49-F238E27FC236}">
              <a16:creationId xmlns:a16="http://schemas.microsoft.com/office/drawing/2014/main" id="{00000000-0008-0000-0100-0000B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69" name="TextBox 1968">
          <a:extLst>
            <a:ext uri="{FF2B5EF4-FFF2-40B4-BE49-F238E27FC236}">
              <a16:creationId xmlns:a16="http://schemas.microsoft.com/office/drawing/2014/main" id="{00000000-0008-0000-0100-0000B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0" name="TextBox 1969">
          <a:extLst>
            <a:ext uri="{FF2B5EF4-FFF2-40B4-BE49-F238E27FC236}">
              <a16:creationId xmlns:a16="http://schemas.microsoft.com/office/drawing/2014/main" id="{00000000-0008-0000-0100-0000B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1" name="TextBox 1970">
          <a:extLst>
            <a:ext uri="{FF2B5EF4-FFF2-40B4-BE49-F238E27FC236}">
              <a16:creationId xmlns:a16="http://schemas.microsoft.com/office/drawing/2014/main" id="{00000000-0008-0000-0100-0000B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2" name="TextBox 1971">
          <a:extLst>
            <a:ext uri="{FF2B5EF4-FFF2-40B4-BE49-F238E27FC236}">
              <a16:creationId xmlns:a16="http://schemas.microsoft.com/office/drawing/2014/main" id="{00000000-0008-0000-0100-0000B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3" name="TextBox 1972">
          <a:extLst>
            <a:ext uri="{FF2B5EF4-FFF2-40B4-BE49-F238E27FC236}">
              <a16:creationId xmlns:a16="http://schemas.microsoft.com/office/drawing/2014/main" id="{00000000-0008-0000-0100-0000B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4" name="TextBox 1973">
          <a:extLst>
            <a:ext uri="{FF2B5EF4-FFF2-40B4-BE49-F238E27FC236}">
              <a16:creationId xmlns:a16="http://schemas.microsoft.com/office/drawing/2014/main" id="{00000000-0008-0000-0100-0000B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5" name="TextBox 1974">
          <a:extLst>
            <a:ext uri="{FF2B5EF4-FFF2-40B4-BE49-F238E27FC236}">
              <a16:creationId xmlns:a16="http://schemas.microsoft.com/office/drawing/2014/main" id="{00000000-0008-0000-0100-0000B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6" name="TextBox 1975">
          <a:extLst>
            <a:ext uri="{FF2B5EF4-FFF2-40B4-BE49-F238E27FC236}">
              <a16:creationId xmlns:a16="http://schemas.microsoft.com/office/drawing/2014/main" id="{00000000-0008-0000-0100-0000B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7" name="TextBox 1976">
          <a:extLst>
            <a:ext uri="{FF2B5EF4-FFF2-40B4-BE49-F238E27FC236}">
              <a16:creationId xmlns:a16="http://schemas.microsoft.com/office/drawing/2014/main" id="{00000000-0008-0000-0100-0000B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8" name="TextBox 1977">
          <a:extLst>
            <a:ext uri="{FF2B5EF4-FFF2-40B4-BE49-F238E27FC236}">
              <a16:creationId xmlns:a16="http://schemas.microsoft.com/office/drawing/2014/main" id="{00000000-0008-0000-0100-0000B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79" name="TextBox 1978">
          <a:extLst>
            <a:ext uri="{FF2B5EF4-FFF2-40B4-BE49-F238E27FC236}">
              <a16:creationId xmlns:a16="http://schemas.microsoft.com/office/drawing/2014/main" id="{00000000-0008-0000-0100-0000B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0" name="TextBox 1979">
          <a:extLst>
            <a:ext uri="{FF2B5EF4-FFF2-40B4-BE49-F238E27FC236}">
              <a16:creationId xmlns:a16="http://schemas.microsoft.com/office/drawing/2014/main" id="{00000000-0008-0000-0100-0000B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1" name="TextBox 1980">
          <a:extLst>
            <a:ext uri="{FF2B5EF4-FFF2-40B4-BE49-F238E27FC236}">
              <a16:creationId xmlns:a16="http://schemas.microsoft.com/office/drawing/2014/main" id="{00000000-0008-0000-0100-0000B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2" name="TextBox 1981">
          <a:extLst>
            <a:ext uri="{FF2B5EF4-FFF2-40B4-BE49-F238E27FC236}">
              <a16:creationId xmlns:a16="http://schemas.microsoft.com/office/drawing/2014/main" id="{00000000-0008-0000-0100-0000B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3" name="TextBox 1982">
          <a:extLst>
            <a:ext uri="{FF2B5EF4-FFF2-40B4-BE49-F238E27FC236}">
              <a16:creationId xmlns:a16="http://schemas.microsoft.com/office/drawing/2014/main" id="{00000000-0008-0000-0100-0000B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4" name="TextBox 1983">
          <a:extLst>
            <a:ext uri="{FF2B5EF4-FFF2-40B4-BE49-F238E27FC236}">
              <a16:creationId xmlns:a16="http://schemas.microsoft.com/office/drawing/2014/main" id="{00000000-0008-0000-0100-0000C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5" name="TextBox 1984">
          <a:extLst>
            <a:ext uri="{FF2B5EF4-FFF2-40B4-BE49-F238E27FC236}">
              <a16:creationId xmlns:a16="http://schemas.microsoft.com/office/drawing/2014/main" id="{00000000-0008-0000-0100-0000C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6" name="TextBox 1985">
          <a:extLst>
            <a:ext uri="{FF2B5EF4-FFF2-40B4-BE49-F238E27FC236}">
              <a16:creationId xmlns:a16="http://schemas.microsoft.com/office/drawing/2014/main" id="{00000000-0008-0000-0100-0000C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7" name="TextBox 1986">
          <a:extLst>
            <a:ext uri="{FF2B5EF4-FFF2-40B4-BE49-F238E27FC236}">
              <a16:creationId xmlns:a16="http://schemas.microsoft.com/office/drawing/2014/main" id="{00000000-0008-0000-0100-0000C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8" name="TextBox 1987">
          <a:extLst>
            <a:ext uri="{FF2B5EF4-FFF2-40B4-BE49-F238E27FC236}">
              <a16:creationId xmlns:a16="http://schemas.microsoft.com/office/drawing/2014/main" id="{00000000-0008-0000-0100-0000C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89" name="TextBox 1988">
          <a:extLst>
            <a:ext uri="{FF2B5EF4-FFF2-40B4-BE49-F238E27FC236}">
              <a16:creationId xmlns:a16="http://schemas.microsoft.com/office/drawing/2014/main" id="{00000000-0008-0000-0100-0000C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0" name="TextBox 1989">
          <a:extLst>
            <a:ext uri="{FF2B5EF4-FFF2-40B4-BE49-F238E27FC236}">
              <a16:creationId xmlns:a16="http://schemas.microsoft.com/office/drawing/2014/main" id="{00000000-0008-0000-0100-0000C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1" name="TextBox 1990">
          <a:extLst>
            <a:ext uri="{FF2B5EF4-FFF2-40B4-BE49-F238E27FC236}">
              <a16:creationId xmlns:a16="http://schemas.microsoft.com/office/drawing/2014/main" id="{00000000-0008-0000-0100-0000C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2" name="TextBox 1991">
          <a:extLst>
            <a:ext uri="{FF2B5EF4-FFF2-40B4-BE49-F238E27FC236}">
              <a16:creationId xmlns:a16="http://schemas.microsoft.com/office/drawing/2014/main" id="{00000000-0008-0000-0100-0000C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3" name="TextBox 1992">
          <a:extLst>
            <a:ext uri="{FF2B5EF4-FFF2-40B4-BE49-F238E27FC236}">
              <a16:creationId xmlns:a16="http://schemas.microsoft.com/office/drawing/2014/main" id="{00000000-0008-0000-0100-0000C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4" name="TextBox 1993">
          <a:extLst>
            <a:ext uri="{FF2B5EF4-FFF2-40B4-BE49-F238E27FC236}">
              <a16:creationId xmlns:a16="http://schemas.microsoft.com/office/drawing/2014/main" id="{00000000-0008-0000-0100-0000C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5" name="TextBox 1994">
          <a:extLst>
            <a:ext uri="{FF2B5EF4-FFF2-40B4-BE49-F238E27FC236}">
              <a16:creationId xmlns:a16="http://schemas.microsoft.com/office/drawing/2014/main" id="{00000000-0008-0000-0100-0000C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6" name="TextBox 1995">
          <a:extLst>
            <a:ext uri="{FF2B5EF4-FFF2-40B4-BE49-F238E27FC236}">
              <a16:creationId xmlns:a16="http://schemas.microsoft.com/office/drawing/2014/main" id="{00000000-0008-0000-0100-0000C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7" name="TextBox 1996">
          <a:extLst>
            <a:ext uri="{FF2B5EF4-FFF2-40B4-BE49-F238E27FC236}">
              <a16:creationId xmlns:a16="http://schemas.microsoft.com/office/drawing/2014/main" id="{00000000-0008-0000-0100-0000C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8" name="TextBox 1997">
          <a:extLst>
            <a:ext uri="{FF2B5EF4-FFF2-40B4-BE49-F238E27FC236}">
              <a16:creationId xmlns:a16="http://schemas.microsoft.com/office/drawing/2014/main" id="{00000000-0008-0000-0100-0000C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1999" name="TextBox 1998">
          <a:extLst>
            <a:ext uri="{FF2B5EF4-FFF2-40B4-BE49-F238E27FC236}">
              <a16:creationId xmlns:a16="http://schemas.microsoft.com/office/drawing/2014/main" id="{00000000-0008-0000-0100-0000C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0" name="TextBox 1999">
          <a:extLst>
            <a:ext uri="{FF2B5EF4-FFF2-40B4-BE49-F238E27FC236}">
              <a16:creationId xmlns:a16="http://schemas.microsoft.com/office/drawing/2014/main" id="{00000000-0008-0000-0100-0000D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1" name="TextBox 2000">
          <a:extLst>
            <a:ext uri="{FF2B5EF4-FFF2-40B4-BE49-F238E27FC236}">
              <a16:creationId xmlns:a16="http://schemas.microsoft.com/office/drawing/2014/main" id="{00000000-0008-0000-0100-0000D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2" name="TextBox 2001">
          <a:extLst>
            <a:ext uri="{FF2B5EF4-FFF2-40B4-BE49-F238E27FC236}">
              <a16:creationId xmlns:a16="http://schemas.microsoft.com/office/drawing/2014/main" id="{00000000-0008-0000-0100-0000D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3" name="TextBox 2002">
          <a:extLst>
            <a:ext uri="{FF2B5EF4-FFF2-40B4-BE49-F238E27FC236}">
              <a16:creationId xmlns:a16="http://schemas.microsoft.com/office/drawing/2014/main" id="{00000000-0008-0000-0100-0000D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4" name="TextBox 2003">
          <a:extLst>
            <a:ext uri="{FF2B5EF4-FFF2-40B4-BE49-F238E27FC236}">
              <a16:creationId xmlns:a16="http://schemas.microsoft.com/office/drawing/2014/main" id="{00000000-0008-0000-0100-0000D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5" name="TextBox 2004">
          <a:extLst>
            <a:ext uri="{FF2B5EF4-FFF2-40B4-BE49-F238E27FC236}">
              <a16:creationId xmlns:a16="http://schemas.microsoft.com/office/drawing/2014/main" id="{00000000-0008-0000-0100-0000D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6" name="TextBox 2005">
          <a:extLst>
            <a:ext uri="{FF2B5EF4-FFF2-40B4-BE49-F238E27FC236}">
              <a16:creationId xmlns:a16="http://schemas.microsoft.com/office/drawing/2014/main" id="{00000000-0008-0000-0100-0000D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7" name="TextBox 2006">
          <a:extLst>
            <a:ext uri="{FF2B5EF4-FFF2-40B4-BE49-F238E27FC236}">
              <a16:creationId xmlns:a16="http://schemas.microsoft.com/office/drawing/2014/main" id="{00000000-0008-0000-0100-0000D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8" name="TextBox 2007">
          <a:extLst>
            <a:ext uri="{FF2B5EF4-FFF2-40B4-BE49-F238E27FC236}">
              <a16:creationId xmlns:a16="http://schemas.microsoft.com/office/drawing/2014/main" id="{00000000-0008-0000-0100-0000D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09" name="TextBox 2008">
          <a:extLst>
            <a:ext uri="{FF2B5EF4-FFF2-40B4-BE49-F238E27FC236}">
              <a16:creationId xmlns:a16="http://schemas.microsoft.com/office/drawing/2014/main" id="{00000000-0008-0000-0100-0000D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0" name="TextBox 2009">
          <a:extLst>
            <a:ext uri="{FF2B5EF4-FFF2-40B4-BE49-F238E27FC236}">
              <a16:creationId xmlns:a16="http://schemas.microsoft.com/office/drawing/2014/main" id="{00000000-0008-0000-0100-0000D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1" name="TextBox 2010">
          <a:extLst>
            <a:ext uri="{FF2B5EF4-FFF2-40B4-BE49-F238E27FC236}">
              <a16:creationId xmlns:a16="http://schemas.microsoft.com/office/drawing/2014/main" id="{00000000-0008-0000-0100-0000D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2" name="TextBox 2011">
          <a:extLst>
            <a:ext uri="{FF2B5EF4-FFF2-40B4-BE49-F238E27FC236}">
              <a16:creationId xmlns:a16="http://schemas.microsoft.com/office/drawing/2014/main" id="{00000000-0008-0000-0100-0000D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3" name="TextBox 2012">
          <a:extLst>
            <a:ext uri="{FF2B5EF4-FFF2-40B4-BE49-F238E27FC236}">
              <a16:creationId xmlns:a16="http://schemas.microsoft.com/office/drawing/2014/main" id="{00000000-0008-0000-0100-0000D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4" name="TextBox 2013">
          <a:extLst>
            <a:ext uri="{FF2B5EF4-FFF2-40B4-BE49-F238E27FC236}">
              <a16:creationId xmlns:a16="http://schemas.microsoft.com/office/drawing/2014/main" id="{00000000-0008-0000-0100-0000D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5" name="TextBox 2014">
          <a:extLst>
            <a:ext uri="{FF2B5EF4-FFF2-40B4-BE49-F238E27FC236}">
              <a16:creationId xmlns:a16="http://schemas.microsoft.com/office/drawing/2014/main" id="{00000000-0008-0000-0100-0000D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6" name="TextBox 2015">
          <a:extLst>
            <a:ext uri="{FF2B5EF4-FFF2-40B4-BE49-F238E27FC236}">
              <a16:creationId xmlns:a16="http://schemas.microsoft.com/office/drawing/2014/main" id="{00000000-0008-0000-0100-0000E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7" name="TextBox 2016">
          <a:extLst>
            <a:ext uri="{FF2B5EF4-FFF2-40B4-BE49-F238E27FC236}">
              <a16:creationId xmlns:a16="http://schemas.microsoft.com/office/drawing/2014/main" id="{00000000-0008-0000-0100-0000E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8" name="TextBox 2017">
          <a:extLst>
            <a:ext uri="{FF2B5EF4-FFF2-40B4-BE49-F238E27FC236}">
              <a16:creationId xmlns:a16="http://schemas.microsoft.com/office/drawing/2014/main" id="{00000000-0008-0000-0100-0000E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19" name="TextBox 2018">
          <a:extLst>
            <a:ext uri="{FF2B5EF4-FFF2-40B4-BE49-F238E27FC236}">
              <a16:creationId xmlns:a16="http://schemas.microsoft.com/office/drawing/2014/main" id="{00000000-0008-0000-0100-0000E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0" name="TextBox 2019">
          <a:extLst>
            <a:ext uri="{FF2B5EF4-FFF2-40B4-BE49-F238E27FC236}">
              <a16:creationId xmlns:a16="http://schemas.microsoft.com/office/drawing/2014/main" id="{00000000-0008-0000-0100-0000E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1" name="TextBox 2020">
          <a:extLst>
            <a:ext uri="{FF2B5EF4-FFF2-40B4-BE49-F238E27FC236}">
              <a16:creationId xmlns:a16="http://schemas.microsoft.com/office/drawing/2014/main" id="{00000000-0008-0000-0100-0000E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2" name="TextBox 2021">
          <a:extLst>
            <a:ext uri="{FF2B5EF4-FFF2-40B4-BE49-F238E27FC236}">
              <a16:creationId xmlns:a16="http://schemas.microsoft.com/office/drawing/2014/main" id="{00000000-0008-0000-0100-0000E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3" name="TextBox 2022">
          <a:extLst>
            <a:ext uri="{FF2B5EF4-FFF2-40B4-BE49-F238E27FC236}">
              <a16:creationId xmlns:a16="http://schemas.microsoft.com/office/drawing/2014/main" id="{00000000-0008-0000-0100-0000E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4" name="TextBox 2023">
          <a:extLst>
            <a:ext uri="{FF2B5EF4-FFF2-40B4-BE49-F238E27FC236}">
              <a16:creationId xmlns:a16="http://schemas.microsoft.com/office/drawing/2014/main" id="{00000000-0008-0000-0100-0000E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5" name="TextBox 2024">
          <a:extLst>
            <a:ext uri="{FF2B5EF4-FFF2-40B4-BE49-F238E27FC236}">
              <a16:creationId xmlns:a16="http://schemas.microsoft.com/office/drawing/2014/main" id="{00000000-0008-0000-0100-0000E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6" name="TextBox 2025">
          <a:extLst>
            <a:ext uri="{FF2B5EF4-FFF2-40B4-BE49-F238E27FC236}">
              <a16:creationId xmlns:a16="http://schemas.microsoft.com/office/drawing/2014/main" id="{00000000-0008-0000-0100-0000E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7" name="TextBox 2026">
          <a:extLst>
            <a:ext uri="{FF2B5EF4-FFF2-40B4-BE49-F238E27FC236}">
              <a16:creationId xmlns:a16="http://schemas.microsoft.com/office/drawing/2014/main" id="{00000000-0008-0000-0100-0000E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8" name="TextBox 2027">
          <a:extLst>
            <a:ext uri="{FF2B5EF4-FFF2-40B4-BE49-F238E27FC236}">
              <a16:creationId xmlns:a16="http://schemas.microsoft.com/office/drawing/2014/main" id="{00000000-0008-0000-0100-0000E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29" name="TextBox 2028">
          <a:extLst>
            <a:ext uri="{FF2B5EF4-FFF2-40B4-BE49-F238E27FC236}">
              <a16:creationId xmlns:a16="http://schemas.microsoft.com/office/drawing/2014/main" id="{00000000-0008-0000-0100-0000E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0" name="TextBox 2029">
          <a:extLst>
            <a:ext uri="{FF2B5EF4-FFF2-40B4-BE49-F238E27FC236}">
              <a16:creationId xmlns:a16="http://schemas.microsoft.com/office/drawing/2014/main" id="{00000000-0008-0000-0100-0000E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1" name="TextBox 2030">
          <a:extLst>
            <a:ext uri="{FF2B5EF4-FFF2-40B4-BE49-F238E27FC236}">
              <a16:creationId xmlns:a16="http://schemas.microsoft.com/office/drawing/2014/main" id="{00000000-0008-0000-0100-0000E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2" name="TextBox 2031">
          <a:extLst>
            <a:ext uri="{FF2B5EF4-FFF2-40B4-BE49-F238E27FC236}">
              <a16:creationId xmlns:a16="http://schemas.microsoft.com/office/drawing/2014/main" id="{00000000-0008-0000-0100-0000F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3" name="TextBox 2032">
          <a:extLst>
            <a:ext uri="{FF2B5EF4-FFF2-40B4-BE49-F238E27FC236}">
              <a16:creationId xmlns:a16="http://schemas.microsoft.com/office/drawing/2014/main" id="{00000000-0008-0000-0100-0000F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4" name="TextBox 2033">
          <a:extLst>
            <a:ext uri="{FF2B5EF4-FFF2-40B4-BE49-F238E27FC236}">
              <a16:creationId xmlns:a16="http://schemas.microsoft.com/office/drawing/2014/main" id="{00000000-0008-0000-0100-0000F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5" name="TextBox 2034">
          <a:extLst>
            <a:ext uri="{FF2B5EF4-FFF2-40B4-BE49-F238E27FC236}">
              <a16:creationId xmlns:a16="http://schemas.microsoft.com/office/drawing/2014/main" id="{00000000-0008-0000-0100-0000F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6" name="TextBox 2035">
          <a:extLst>
            <a:ext uri="{FF2B5EF4-FFF2-40B4-BE49-F238E27FC236}">
              <a16:creationId xmlns:a16="http://schemas.microsoft.com/office/drawing/2014/main" id="{00000000-0008-0000-0100-0000F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7" name="TextBox 2036">
          <a:extLst>
            <a:ext uri="{FF2B5EF4-FFF2-40B4-BE49-F238E27FC236}">
              <a16:creationId xmlns:a16="http://schemas.microsoft.com/office/drawing/2014/main" id="{00000000-0008-0000-0100-0000F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8" name="TextBox 2037">
          <a:extLst>
            <a:ext uri="{FF2B5EF4-FFF2-40B4-BE49-F238E27FC236}">
              <a16:creationId xmlns:a16="http://schemas.microsoft.com/office/drawing/2014/main" id="{00000000-0008-0000-0100-0000F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39" name="TextBox 2038">
          <a:extLst>
            <a:ext uri="{FF2B5EF4-FFF2-40B4-BE49-F238E27FC236}">
              <a16:creationId xmlns:a16="http://schemas.microsoft.com/office/drawing/2014/main" id="{00000000-0008-0000-0100-0000F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0" name="TextBox 2039">
          <a:extLst>
            <a:ext uri="{FF2B5EF4-FFF2-40B4-BE49-F238E27FC236}">
              <a16:creationId xmlns:a16="http://schemas.microsoft.com/office/drawing/2014/main" id="{00000000-0008-0000-0100-0000F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1" name="TextBox 2040">
          <a:extLst>
            <a:ext uri="{FF2B5EF4-FFF2-40B4-BE49-F238E27FC236}">
              <a16:creationId xmlns:a16="http://schemas.microsoft.com/office/drawing/2014/main" id="{00000000-0008-0000-0100-0000F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2" name="TextBox 2041">
          <a:extLst>
            <a:ext uri="{FF2B5EF4-FFF2-40B4-BE49-F238E27FC236}">
              <a16:creationId xmlns:a16="http://schemas.microsoft.com/office/drawing/2014/main" id="{00000000-0008-0000-0100-0000F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3" name="TextBox 2042">
          <a:extLst>
            <a:ext uri="{FF2B5EF4-FFF2-40B4-BE49-F238E27FC236}">
              <a16:creationId xmlns:a16="http://schemas.microsoft.com/office/drawing/2014/main" id="{00000000-0008-0000-0100-0000F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4" name="TextBox 2043">
          <a:extLst>
            <a:ext uri="{FF2B5EF4-FFF2-40B4-BE49-F238E27FC236}">
              <a16:creationId xmlns:a16="http://schemas.microsoft.com/office/drawing/2014/main" id="{00000000-0008-0000-0100-0000F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5" name="TextBox 2044">
          <a:extLst>
            <a:ext uri="{FF2B5EF4-FFF2-40B4-BE49-F238E27FC236}">
              <a16:creationId xmlns:a16="http://schemas.microsoft.com/office/drawing/2014/main" id="{00000000-0008-0000-0100-0000F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6" name="TextBox 2045">
          <a:extLst>
            <a:ext uri="{FF2B5EF4-FFF2-40B4-BE49-F238E27FC236}">
              <a16:creationId xmlns:a16="http://schemas.microsoft.com/office/drawing/2014/main" id="{00000000-0008-0000-0100-0000F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7" name="TextBox 2046">
          <a:extLst>
            <a:ext uri="{FF2B5EF4-FFF2-40B4-BE49-F238E27FC236}">
              <a16:creationId xmlns:a16="http://schemas.microsoft.com/office/drawing/2014/main" id="{00000000-0008-0000-0100-0000F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8" name="TextBox 2047">
          <a:extLst>
            <a:ext uri="{FF2B5EF4-FFF2-40B4-BE49-F238E27FC236}">
              <a16:creationId xmlns:a16="http://schemas.microsoft.com/office/drawing/2014/main" id="{00000000-0008-0000-0100-00000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49" name="TextBox 2048">
          <a:extLst>
            <a:ext uri="{FF2B5EF4-FFF2-40B4-BE49-F238E27FC236}">
              <a16:creationId xmlns:a16="http://schemas.microsoft.com/office/drawing/2014/main" id="{00000000-0008-0000-0100-00000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0" name="TextBox 2049">
          <a:extLst>
            <a:ext uri="{FF2B5EF4-FFF2-40B4-BE49-F238E27FC236}">
              <a16:creationId xmlns:a16="http://schemas.microsoft.com/office/drawing/2014/main" id="{00000000-0008-0000-0100-00000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1" name="TextBox 2050">
          <a:extLst>
            <a:ext uri="{FF2B5EF4-FFF2-40B4-BE49-F238E27FC236}">
              <a16:creationId xmlns:a16="http://schemas.microsoft.com/office/drawing/2014/main" id="{00000000-0008-0000-0100-00000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2" name="TextBox 2051">
          <a:extLst>
            <a:ext uri="{FF2B5EF4-FFF2-40B4-BE49-F238E27FC236}">
              <a16:creationId xmlns:a16="http://schemas.microsoft.com/office/drawing/2014/main" id="{00000000-0008-0000-0100-00000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3" name="TextBox 2052">
          <a:extLst>
            <a:ext uri="{FF2B5EF4-FFF2-40B4-BE49-F238E27FC236}">
              <a16:creationId xmlns:a16="http://schemas.microsoft.com/office/drawing/2014/main" id="{00000000-0008-0000-0100-00000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4" name="TextBox 2053">
          <a:extLst>
            <a:ext uri="{FF2B5EF4-FFF2-40B4-BE49-F238E27FC236}">
              <a16:creationId xmlns:a16="http://schemas.microsoft.com/office/drawing/2014/main" id="{00000000-0008-0000-0100-00000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5" name="TextBox 2054">
          <a:extLst>
            <a:ext uri="{FF2B5EF4-FFF2-40B4-BE49-F238E27FC236}">
              <a16:creationId xmlns:a16="http://schemas.microsoft.com/office/drawing/2014/main" id="{00000000-0008-0000-0100-00000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6" name="TextBox 2055">
          <a:extLst>
            <a:ext uri="{FF2B5EF4-FFF2-40B4-BE49-F238E27FC236}">
              <a16:creationId xmlns:a16="http://schemas.microsoft.com/office/drawing/2014/main" id="{00000000-0008-0000-0100-00000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7" name="TextBox 2056">
          <a:extLst>
            <a:ext uri="{FF2B5EF4-FFF2-40B4-BE49-F238E27FC236}">
              <a16:creationId xmlns:a16="http://schemas.microsoft.com/office/drawing/2014/main" id="{00000000-0008-0000-0100-00000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8" name="TextBox 2057">
          <a:extLst>
            <a:ext uri="{FF2B5EF4-FFF2-40B4-BE49-F238E27FC236}">
              <a16:creationId xmlns:a16="http://schemas.microsoft.com/office/drawing/2014/main" id="{00000000-0008-0000-0100-00000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59" name="TextBox 2058">
          <a:extLst>
            <a:ext uri="{FF2B5EF4-FFF2-40B4-BE49-F238E27FC236}">
              <a16:creationId xmlns:a16="http://schemas.microsoft.com/office/drawing/2014/main" id="{00000000-0008-0000-0100-00000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0" name="TextBox 2059">
          <a:extLst>
            <a:ext uri="{FF2B5EF4-FFF2-40B4-BE49-F238E27FC236}">
              <a16:creationId xmlns:a16="http://schemas.microsoft.com/office/drawing/2014/main" id="{00000000-0008-0000-0100-00000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1" name="TextBox 2060">
          <a:extLst>
            <a:ext uri="{FF2B5EF4-FFF2-40B4-BE49-F238E27FC236}">
              <a16:creationId xmlns:a16="http://schemas.microsoft.com/office/drawing/2014/main" id="{00000000-0008-0000-0100-00000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2" name="TextBox 2061">
          <a:extLst>
            <a:ext uri="{FF2B5EF4-FFF2-40B4-BE49-F238E27FC236}">
              <a16:creationId xmlns:a16="http://schemas.microsoft.com/office/drawing/2014/main" id="{00000000-0008-0000-0100-00000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3" name="TextBox 2062">
          <a:extLst>
            <a:ext uri="{FF2B5EF4-FFF2-40B4-BE49-F238E27FC236}">
              <a16:creationId xmlns:a16="http://schemas.microsoft.com/office/drawing/2014/main" id="{00000000-0008-0000-0100-00000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4" name="TextBox 2063">
          <a:extLst>
            <a:ext uri="{FF2B5EF4-FFF2-40B4-BE49-F238E27FC236}">
              <a16:creationId xmlns:a16="http://schemas.microsoft.com/office/drawing/2014/main" id="{00000000-0008-0000-0100-00001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5" name="TextBox 2064">
          <a:extLst>
            <a:ext uri="{FF2B5EF4-FFF2-40B4-BE49-F238E27FC236}">
              <a16:creationId xmlns:a16="http://schemas.microsoft.com/office/drawing/2014/main" id="{00000000-0008-0000-0100-00001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6" name="TextBox 2065">
          <a:extLst>
            <a:ext uri="{FF2B5EF4-FFF2-40B4-BE49-F238E27FC236}">
              <a16:creationId xmlns:a16="http://schemas.microsoft.com/office/drawing/2014/main" id="{00000000-0008-0000-0100-00001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7" name="TextBox 2066">
          <a:extLst>
            <a:ext uri="{FF2B5EF4-FFF2-40B4-BE49-F238E27FC236}">
              <a16:creationId xmlns:a16="http://schemas.microsoft.com/office/drawing/2014/main" id="{00000000-0008-0000-0100-00001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8" name="TextBox 2067">
          <a:extLst>
            <a:ext uri="{FF2B5EF4-FFF2-40B4-BE49-F238E27FC236}">
              <a16:creationId xmlns:a16="http://schemas.microsoft.com/office/drawing/2014/main" id="{00000000-0008-0000-0100-00001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69" name="TextBox 2068">
          <a:extLst>
            <a:ext uri="{FF2B5EF4-FFF2-40B4-BE49-F238E27FC236}">
              <a16:creationId xmlns:a16="http://schemas.microsoft.com/office/drawing/2014/main" id="{00000000-0008-0000-0100-00001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0" name="TextBox 2069">
          <a:extLst>
            <a:ext uri="{FF2B5EF4-FFF2-40B4-BE49-F238E27FC236}">
              <a16:creationId xmlns:a16="http://schemas.microsoft.com/office/drawing/2014/main" id="{00000000-0008-0000-0100-00001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1" name="TextBox 2070">
          <a:extLst>
            <a:ext uri="{FF2B5EF4-FFF2-40B4-BE49-F238E27FC236}">
              <a16:creationId xmlns:a16="http://schemas.microsoft.com/office/drawing/2014/main" id="{00000000-0008-0000-0100-00001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2" name="TextBox 2071">
          <a:extLst>
            <a:ext uri="{FF2B5EF4-FFF2-40B4-BE49-F238E27FC236}">
              <a16:creationId xmlns:a16="http://schemas.microsoft.com/office/drawing/2014/main" id="{00000000-0008-0000-0100-00001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3" name="TextBox 2072">
          <a:extLst>
            <a:ext uri="{FF2B5EF4-FFF2-40B4-BE49-F238E27FC236}">
              <a16:creationId xmlns:a16="http://schemas.microsoft.com/office/drawing/2014/main" id="{00000000-0008-0000-0100-00001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4" name="TextBox 2073">
          <a:extLst>
            <a:ext uri="{FF2B5EF4-FFF2-40B4-BE49-F238E27FC236}">
              <a16:creationId xmlns:a16="http://schemas.microsoft.com/office/drawing/2014/main" id="{00000000-0008-0000-0100-00001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5" name="TextBox 2074">
          <a:extLst>
            <a:ext uri="{FF2B5EF4-FFF2-40B4-BE49-F238E27FC236}">
              <a16:creationId xmlns:a16="http://schemas.microsoft.com/office/drawing/2014/main" id="{00000000-0008-0000-0100-00001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6" name="TextBox 2075">
          <a:extLst>
            <a:ext uri="{FF2B5EF4-FFF2-40B4-BE49-F238E27FC236}">
              <a16:creationId xmlns:a16="http://schemas.microsoft.com/office/drawing/2014/main" id="{00000000-0008-0000-0100-00001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7" name="TextBox 2076">
          <a:extLst>
            <a:ext uri="{FF2B5EF4-FFF2-40B4-BE49-F238E27FC236}">
              <a16:creationId xmlns:a16="http://schemas.microsoft.com/office/drawing/2014/main" id="{00000000-0008-0000-0100-00001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8" name="TextBox 2077">
          <a:extLst>
            <a:ext uri="{FF2B5EF4-FFF2-40B4-BE49-F238E27FC236}">
              <a16:creationId xmlns:a16="http://schemas.microsoft.com/office/drawing/2014/main" id="{00000000-0008-0000-0100-00001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79" name="TextBox 2078">
          <a:extLst>
            <a:ext uri="{FF2B5EF4-FFF2-40B4-BE49-F238E27FC236}">
              <a16:creationId xmlns:a16="http://schemas.microsoft.com/office/drawing/2014/main" id="{00000000-0008-0000-0100-00001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0" name="TextBox 2079">
          <a:extLst>
            <a:ext uri="{FF2B5EF4-FFF2-40B4-BE49-F238E27FC236}">
              <a16:creationId xmlns:a16="http://schemas.microsoft.com/office/drawing/2014/main" id="{00000000-0008-0000-0100-00002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1" name="TextBox 2080">
          <a:extLst>
            <a:ext uri="{FF2B5EF4-FFF2-40B4-BE49-F238E27FC236}">
              <a16:creationId xmlns:a16="http://schemas.microsoft.com/office/drawing/2014/main" id="{00000000-0008-0000-0100-00002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2" name="TextBox 2081">
          <a:extLst>
            <a:ext uri="{FF2B5EF4-FFF2-40B4-BE49-F238E27FC236}">
              <a16:creationId xmlns:a16="http://schemas.microsoft.com/office/drawing/2014/main" id="{00000000-0008-0000-0100-00002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3" name="TextBox 2082">
          <a:extLst>
            <a:ext uri="{FF2B5EF4-FFF2-40B4-BE49-F238E27FC236}">
              <a16:creationId xmlns:a16="http://schemas.microsoft.com/office/drawing/2014/main" id="{00000000-0008-0000-0100-00002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4" name="TextBox 2083">
          <a:extLst>
            <a:ext uri="{FF2B5EF4-FFF2-40B4-BE49-F238E27FC236}">
              <a16:creationId xmlns:a16="http://schemas.microsoft.com/office/drawing/2014/main" id="{00000000-0008-0000-0100-00002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5" name="TextBox 2084">
          <a:extLst>
            <a:ext uri="{FF2B5EF4-FFF2-40B4-BE49-F238E27FC236}">
              <a16:creationId xmlns:a16="http://schemas.microsoft.com/office/drawing/2014/main" id="{00000000-0008-0000-0100-00002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6" name="TextBox 2085">
          <a:extLst>
            <a:ext uri="{FF2B5EF4-FFF2-40B4-BE49-F238E27FC236}">
              <a16:creationId xmlns:a16="http://schemas.microsoft.com/office/drawing/2014/main" id="{00000000-0008-0000-0100-00002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7" name="TextBox 2086">
          <a:extLst>
            <a:ext uri="{FF2B5EF4-FFF2-40B4-BE49-F238E27FC236}">
              <a16:creationId xmlns:a16="http://schemas.microsoft.com/office/drawing/2014/main" id="{00000000-0008-0000-0100-00002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8" name="TextBox 2087">
          <a:extLst>
            <a:ext uri="{FF2B5EF4-FFF2-40B4-BE49-F238E27FC236}">
              <a16:creationId xmlns:a16="http://schemas.microsoft.com/office/drawing/2014/main" id="{00000000-0008-0000-0100-00002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89" name="TextBox 2088">
          <a:extLst>
            <a:ext uri="{FF2B5EF4-FFF2-40B4-BE49-F238E27FC236}">
              <a16:creationId xmlns:a16="http://schemas.microsoft.com/office/drawing/2014/main" id="{00000000-0008-0000-0100-00002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0" name="TextBox 2089">
          <a:extLst>
            <a:ext uri="{FF2B5EF4-FFF2-40B4-BE49-F238E27FC236}">
              <a16:creationId xmlns:a16="http://schemas.microsoft.com/office/drawing/2014/main" id="{00000000-0008-0000-0100-00002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1" name="TextBox 2090">
          <a:extLst>
            <a:ext uri="{FF2B5EF4-FFF2-40B4-BE49-F238E27FC236}">
              <a16:creationId xmlns:a16="http://schemas.microsoft.com/office/drawing/2014/main" id="{00000000-0008-0000-0100-00002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2" name="TextBox 2091">
          <a:extLst>
            <a:ext uri="{FF2B5EF4-FFF2-40B4-BE49-F238E27FC236}">
              <a16:creationId xmlns:a16="http://schemas.microsoft.com/office/drawing/2014/main" id="{00000000-0008-0000-0100-00002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3" name="TextBox 2092">
          <a:extLst>
            <a:ext uri="{FF2B5EF4-FFF2-40B4-BE49-F238E27FC236}">
              <a16:creationId xmlns:a16="http://schemas.microsoft.com/office/drawing/2014/main" id="{00000000-0008-0000-0100-00002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4" name="TextBox 2093">
          <a:extLst>
            <a:ext uri="{FF2B5EF4-FFF2-40B4-BE49-F238E27FC236}">
              <a16:creationId xmlns:a16="http://schemas.microsoft.com/office/drawing/2014/main" id="{00000000-0008-0000-0100-00002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5" name="TextBox 2094">
          <a:extLst>
            <a:ext uri="{FF2B5EF4-FFF2-40B4-BE49-F238E27FC236}">
              <a16:creationId xmlns:a16="http://schemas.microsoft.com/office/drawing/2014/main" id="{00000000-0008-0000-0100-00002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6" name="TextBox 2095">
          <a:extLst>
            <a:ext uri="{FF2B5EF4-FFF2-40B4-BE49-F238E27FC236}">
              <a16:creationId xmlns:a16="http://schemas.microsoft.com/office/drawing/2014/main" id="{00000000-0008-0000-0100-00003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7" name="TextBox 2096">
          <a:extLst>
            <a:ext uri="{FF2B5EF4-FFF2-40B4-BE49-F238E27FC236}">
              <a16:creationId xmlns:a16="http://schemas.microsoft.com/office/drawing/2014/main" id="{00000000-0008-0000-0100-00003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8" name="TextBox 2097">
          <a:extLst>
            <a:ext uri="{FF2B5EF4-FFF2-40B4-BE49-F238E27FC236}">
              <a16:creationId xmlns:a16="http://schemas.microsoft.com/office/drawing/2014/main" id="{00000000-0008-0000-0100-00003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099" name="TextBox 2098">
          <a:extLst>
            <a:ext uri="{FF2B5EF4-FFF2-40B4-BE49-F238E27FC236}">
              <a16:creationId xmlns:a16="http://schemas.microsoft.com/office/drawing/2014/main" id="{00000000-0008-0000-0100-00003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0" name="TextBox 2099">
          <a:extLst>
            <a:ext uri="{FF2B5EF4-FFF2-40B4-BE49-F238E27FC236}">
              <a16:creationId xmlns:a16="http://schemas.microsoft.com/office/drawing/2014/main" id="{00000000-0008-0000-0100-00003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1" name="TextBox 2100">
          <a:extLst>
            <a:ext uri="{FF2B5EF4-FFF2-40B4-BE49-F238E27FC236}">
              <a16:creationId xmlns:a16="http://schemas.microsoft.com/office/drawing/2014/main" id="{00000000-0008-0000-0100-00003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2" name="TextBox 2101">
          <a:extLst>
            <a:ext uri="{FF2B5EF4-FFF2-40B4-BE49-F238E27FC236}">
              <a16:creationId xmlns:a16="http://schemas.microsoft.com/office/drawing/2014/main" id="{00000000-0008-0000-0100-00003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3" name="TextBox 2102">
          <a:extLst>
            <a:ext uri="{FF2B5EF4-FFF2-40B4-BE49-F238E27FC236}">
              <a16:creationId xmlns:a16="http://schemas.microsoft.com/office/drawing/2014/main" id="{00000000-0008-0000-0100-00003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4" name="TextBox 2103">
          <a:extLst>
            <a:ext uri="{FF2B5EF4-FFF2-40B4-BE49-F238E27FC236}">
              <a16:creationId xmlns:a16="http://schemas.microsoft.com/office/drawing/2014/main" id="{00000000-0008-0000-0100-00003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5" name="TextBox 2104">
          <a:extLst>
            <a:ext uri="{FF2B5EF4-FFF2-40B4-BE49-F238E27FC236}">
              <a16:creationId xmlns:a16="http://schemas.microsoft.com/office/drawing/2014/main" id="{00000000-0008-0000-0100-00003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6" name="TextBox 2105">
          <a:extLst>
            <a:ext uri="{FF2B5EF4-FFF2-40B4-BE49-F238E27FC236}">
              <a16:creationId xmlns:a16="http://schemas.microsoft.com/office/drawing/2014/main" id="{00000000-0008-0000-0100-00003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7" name="TextBox 2106">
          <a:extLst>
            <a:ext uri="{FF2B5EF4-FFF2-40B4-BE49-F238E27FC236}">
              <a16:creationId xmlns:a16="http://schemas.microsoft.com/office/drawing/2014/main" id="{00000000-0008-0000-0100-00003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8" name="TextBox 2107">
          <a:extLst>
            <a:ext uri="{FF2B5EF4-FFF2-40B4-BE49-F238E27FC236}">
              <a16:creationId xmlns:a16="http://schemas.microsoft.com/office/drawing/2014/main" id="{00000000-0008-0000-0100-00003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09" name="TextBox 2108">
          <a:extLst>
            <a:ext uri="{FF2B5EF4-FFF2-40B4-BE49-F238E27FC236}">
              <a16:creationId xmlns:a16="http://schemas.microsoft.com/office/drawing/2014/main" id="{00000000-0008-0000-0100-00003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0" name="TextBox 2109">
          <a:extLst>
            <a:ext uri="{FF2B5EF4-FFF2-40B4-BE49-F238E27FC236}">
              <a16:creationId xmlns:a16="http://schemas.microsoft.com/office/drawing/2014/main" id="{00000000-0008-0000-0100-00003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1" name="TextBox 2110">
          <a:extLst>
            <a:ext uri="{FF2B5EF4-FFF2-40B4-BE49-F238E27FC236}">
              <a16:creationId xmlns:a16="http://schemas.microsoft.com/office/drawing/2014/main" id="{00000000-0008-0000-0100-00003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2" name="TextBox 2111">
          <a:extLst>
            <a:ext uri="{FF2B5EF4-FFF2-40B4-BE49-F238E27FC236}">
              <a16:creationId xmlns:a16="http://schemas.microsoft.com/office/drawing/2014/main" id="{00000000-0008-0000-0100-00004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3" name="TextBox 2112">
          <a:extLst>
            <a:ext uri="{FF2B5EF4-FFF2-40B4-BE49-F238E27FC236}">
              <a16:creationId xmlns:a16="http://schemas.microsoft.com/office/drawing/2014/main" id="{00000000-0008-0000-0100-00004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4" name="TextBox 2113">
          <a:extLst>
            <a:ext uri="{FF2B5EF4-FFF2-40B4-BE49-F238E27FC236}">
              <a16:creationId xmlns:a16="http://schemas.microsoft.com/office/drawing/2014/main" id="{00000000-0008-0000-0100-00004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5" name="TextBox 2114">
          <a:extLst>
            <a:ext uri="{FF2B5EF4-FFF2-40B4-BE49-F238E27FC236}">
              <a16:creationId xmlns:a16="http://schemas.microsoft.com/office/drawing/2014/main" id="{00000000-0008-0000-0100-00004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6" name="TextBox 2115">
          <a:extLst>
            <a:ext uri="{FF2B5EF4-FFF2-40B4-BE49-F238E27FC236}">
              <a16:creationId xmlns:a16="http://schemas.microsoft.com/office/drawing/2014/main" id="{00000000-0008-0000-0100-00004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7" name="TextBox 2116">
          <a:extLst>
            <a:ext uri="{FF2B5EF4-FFF2-40B4-BE49-F238E27FC236}">
              <a16:creationId xmlns:a16="http://schemas.microsoft.com/office/drawing/2014/main" id="{00000000-0008-0000-0100-00004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8" name="TextBox 2117">
          <a:extLst>
            <a:ext uri="{FF2B5EF4-FFF2-40B4-BE49-F238E27FC236}">
              <a16:creationId xmlns:a16="http://schemas.microsoft.com/office/drawing/2014/main" id="{00000000-0008-0000-0100-00004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19" name="TextBox 2118">
          <a:extLst>
            <a:ext uri="{FF2B5EF4-FFF2-40B4-BE49-F238E27FC236}">
              <a16:creationId xmlns:a16="http://schemas.microsoft.com/office/drawing/2014/main" id="{00000000-0008-0000-0100-00004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0" name="TextBox 2119">
          <a:extLst>
            <a:ext uri="{FF2B5EF4-FFF2-40B4-BE49-F238E27FC236}">
              <a16:creationId xmlns:a16="http://schemas.microsoft.com/office/drawing/2014/main" id="{00000000-0008-0000-0100-00004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1" name="TextBox 2120">
          <a:extLst>
            <a:ext uri="{FF2B5EF4-FFF2-40B4-BE49-F238E27FC236}">
              <a16:creationId xmlns:a16="http://schemas.microsoft.com/office/drawing/2014/main" id="{00000000-0008-0000-0100-00004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2" name="TextBox 2121">
          <a:extLst>
            <a:ext uri="{FF2B5EF4-FFF2-40B4-BE49-F238E27FC236}">
              <a16:creationId xmlns:a16="http://schemas.microsoft.com/office/drawing/2014/main" id="{00000000-0008-0000-0100-00004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3" name="TextBox 2122">
          <a:extLst>
            <a:ext uri="{FF2B5EF4-FFF2-40B4-BE49-F238E27FC236}">
              <a16:creationId xmlns:a16="http://schemas.microsoft.com/office/drawing/2014/main" id="{00000000-0008-0000-0100-00004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4" name="TextBox 2123">
          <a:extLst>
            <a:ext uri="{FF2B5EF4-FFF2-40B4-BE49-F238E27FC236}">
              <a16:creationId xmlns:a16="http://schemas.microsoft.com/office/drawing/2014/main" id="{00000000-0008-0000-0100-00004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5" name="TextBox 2124">
          <a:extLst>
            <a:ext uri="{FF2B5EF4-FFF2-40B4-BE49-F238E27FC236}">
              <a16:creationId xmlns:a16="http://schemas.microsoft.com/office/drawing/2014/main" id="{00000000-0008-0000-0100-00004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6" name="TextBox 2125">
          <a:extLst>
            <a:ext uri="{FF2B5EF4-FFF2-40B4-BE49-F238E27FC236}">
              <a16:creationId xmlns:a16="http://schemas.microsoft.com/office/drawing/2014/main" id="{00000000-0008-0000-0100-00004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7" name="TextBox 2126">
          <a:extLst>
            <a:ext uri="{FF2B5EF4-FFF2-40B4-BE49-F238E27FC236}">
              <a16:creationId xmlns:a16="http://schemas.microsoft.com/office/drawing/2014/main" id="{00000000-0008-0000-0100-00004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8" name="TextBox 2127">
          <a:extLst>
            <a:ext uri="{FF2B5EF4-FFF2-40B4-BE49-F238E27FC236}">
              <a16:creationId xmlns:a16="http://schemas.microsoft.com/office/drawing/2014/main" id="{00000000-0008-0000-0100-00005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29" name="TextBox 2128">
          <a:extLst>
            <a:ext uri="{FF2B5EF4-FFF2-40B4-BE49-F238E27FC236}">
              <a16:creationId xmlns:a16="http://schemas.microsoft.com/office/drawing/2014/main" id="{00000000-0008-0000-0100-00005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0" name="TextBox 2129">
          <a:extLst>
            <a:ext uri="{FF2B5EF4-FFF2-40B4-BE49-F238E27FC236}">
              <a16:creationId xmlns:a16="http://schemas.microsoft.com/office/drawing/2014/main" id="{00000000-0008-0000-0100-00005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1" name="TextBox 2130">
          <a:extLst>
            <a:ext uri="{FF2B5EF4-FFF2-40B4-BE49-F238E27FC236}">
              <a16:creationId xmlns:a16="http://schemas.microsoft.com/office/drawing/2014/main" id="{00000000-0008-0000-0100-00005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2" name="TextBox 2131">
          <a:extLst>
            <a:ext uri="{FF2B5EF4-FFF2-40B4-BE49-F238E27FC236}">
              <a16:creationId xmlns:a16="http://schemas.microsoft.com/office/drawing/2014/main" id="{00000000-0008-0000-0100-00005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3" name="TextBox 2132">
          <a:extLst>
            <a:ext uri="{FF2B5EF4-FFF2-40B4-BE49-F238E27FC236}">
              <a16:creationId xmlns:a16="http://schemas.microsoft.com/office/drawing/2014/main" id="{00000000-0008-0000-0100-00005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4" name="TextBox 2133">
          <a:extLst>
            <a:ext uri="{FF2B5EF4-FFF2-40B4-BE49-F238E27FC236}">
              <a16:creationId xmlns:a16="http://schemas.microsoft.com/office/drawing/2014/main" id="{00000000-0008-0000-0100-00005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5" name="TextBox 2134">
          <a:extLst>
            <a:ext uri="{FF2B5EF4-FFF2-40B4-BE49-F238E27FC236}">
              <a16:creationId xmlns:a16="http://schemas.microsoft.com/office/drawing/2014/main" id="{00000000-0008-0000-0100-00005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6" name="TextBox 2135">
          <a:extLst>
            <a:ext uri="{FF2B5EF4-FFF2-40B4-BE49-F238E27FC236}">
              <a16:creationId xmlns:a16="http://schemas.microsoft.com/office/drawing/2014/main" id="{00000000-0008-0000-0100-00005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7" name="TextBox 2136">
          <a:extLst>
            <a:ext uri="{FF2B5EF4-FFF2-40B4-BE49-F238E27FC236}">
              <a16:creationId xmlns:a16="http://schemas.microsoft.com/office/drawing/2014/main" id="{00000000-0008-0000-0100-00005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8" name="TextBox 2137">
          <a:extLst>
            <a:ext uri="{FF2B5EF4-FFF2-40B4-BE49-F238E27FC236}">
              <a16:creationId xmlns:a16="http://schemas.microsoft.com/office/drawing/2014/main" id="{00000000-0008-0000-0100-00005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39" name="TextBox 2138">
          <a:extLst>
            <a:ext uri="{FF2B5EF4-FFF2-40B4-BE49-F238E27FC236}">
              <a16:creationId xmlns:a16="http://schemas.microsoft.com/office/drawing/2014/main" id="{00000000-0008-0000-0100-00005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0" name="TextBox 2139">
          <a:extLst>
            <a:ext uri="{FF2B5EF4-FFF2-40B4-BE49-F238E27FC236}">
              <a16:creationId xmlns:a16="http://schemas.microsoft.com/office/drawing/2014/main" id="{00000000-0008-0000-0100-00005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1" name="TextBox 2140">
          <a:extLst>
            <a:ext uri="{FF2B5EF4-FFF2-40B4-BE49-F238E27FC236}">
              <a16:creationId xmlns:a16="http://schemas.microsoft.com/office/drawing/2014/main" id="{00000000-0008-0000-0100-00005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2" name="TextBox 2141">
          <a:extLst>
            <a:ext uri="{FF2B5EF4-FFF2-40B4-BE49-F238E27FC236}">
              <a16:creationId xmlns:a16="http://schemas.microsoft.com/office/drawing/2014/main" id="{00000000-0008-0000-0100-00005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3" name="TextBox 2142">
          <a:extLst>
            <a:ext uri="{FF2B5EF4-FFF2-40B4-BE49-F238E27FC236}">
              <a16:creationId xmlns:a16="http://schemas.microsoft.com/office/drawing/2014/main" id="{00000000-0008-0000-0100-00005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4" name="TextBox 2143">
          <a:extLst>
            <a:ext uri="{FF2B5EF4-FFF2-40B4-BE49-F238E27FC236}">
              <a16:creationId xmlns:a16="http://schemas.microsoft.com/office/drawing/2014/main" id="{00000000-0008-0000-0100-00006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5" name="TextBox 2144">
          <a:extLst>
            <a:ext uri="{FF2B5EF4-FFF2-40B4-BE49-F238E27FC236}">
              <a16:creationId xmlns:a16="http://schemas.microsoft.com/office/drawing/2014/main" id="{00000000-0008-0000-0100-00006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6" name="TextBox 2145">
          <a:extLst>
            <a:ext uri="{FF2B5EF4-FFF2-40B4-BE49-F238E27FC236}">
              <a16:creationId xmlns:a16="http://schemas.microsoft.com/office/drawing/2014/main" id="{00000000-0008-0000-0100-00006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7" name="TextBox 2146">
          <a:extLst>
            <a:ext uri="{FF2B5EF4-FFF2-40B4-BE49-F238E27FC236}">
              <a16:creationId xmlns:a16="http://schemas.microsoft.com/office/drawing/2014/main" id="{00000000-0008-0000-0100-00006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8" name="TextBox 2147">
          <a:extLst>
            <a:ext uri="{FF2B5EF4-FFF2-40B4-BE49-F238E27FC236}">
              <a16:creationId xmlns:a16="http://schemas.microsoft.com/office/drawing/2014/main" id="{00000000-0008-0000-0100-00006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49" name="TextBox 2148">
          <a:extLst>
            <a:ext uri="{FF2B5EF4-FFF2-40B4-BE49-F238E27FC236}">
              <a16:creationId xmlns:a16="http://schemas.microsoft.com/office/drawing/2014/main" id="{00000000-0008-0000-0100-00006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0" name="TextBox 2149">
          <a:extLst>
            <a:ext uri="{FF2B5EF4-FFF2-40B4-BE49-F238E27FC236}">
              <a16:creationId xmlns:a16="http://schemas.microsoft.com/office/drawing/2014/main" id="{00000000-0008-0000-0100-00006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1" name="TextBox 2150">
          <a:extLst>
            <a:ext uri="{FF2B5EF4-FFF2-40B4-BE49-F238E27FC236}">
              <a16:creationId xmlns:a16="http://schemas.microsoft.com/office/drawing/2014/main" id="{00000000-0008-0000-0100-00006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2" name="TextBox 2151">
          <a:extLst>
            <a:ext uri="{FF2B5EF4-FFF2-40B4-BE49-F238E27FC236}">
              <a16:creationId xmlns:a16="http://schemas.microsoft.com/office/drawing/2014/main" id="{00000000-0008-0000-0100-00006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3" name="TextBox 2152">
          <a:extLst>
            <a:ext uri="{FF2B5EF4-FFF2-40B4-BE49-F238E27FC236}">
              <a16:creationId xmlns:a16="http://schemas.microsoft.com/office/drawing/2014/main" id="{00000000-0008-0000-0100-00006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4" name="TextBox 2153">
          <a:extLst>
            <a:ext uri="{FF2B5EF4-FFF2-40B4-BE49-F238E27FC236}">
              <a16:creationId xmlns:a16="http://schemas.microsoft.com/office/drawing/2014/main" id="{00000000-0008-0000-0100-00006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5" name="TextBox 2154">
          <a:extLst>
            <a:ext uri="{FF2B5EF4-FFF2-40B4-BE49-F238E27FC236}">
              <a16:creationId xmlns:a16="http://schemas.microsoft.com/office/drawing/2014/main" id="{00000000-0008-0000-0100-00006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6" name="TextBox 2155">
          <a:extLst>
            <a:ext uri="{FF2B5EF4-FFF2-40B4-BE49-F238E27FC236}">
              <a16:creationId xmlns:a16="http://schemas.microsoft.com/office/drawing/2014/main" id="{00000000-0008-0000-0100-00006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7" name="TextBox 2156">
          <a:extLst>
            <a:ext uri="{FF2B5EF4-FFF2-40B4-BE49-F238E27FC236}">
              <a16:creationId xmlns:a16="http://schemas.microsoft.com/office/drawing/2014/main" id="{00000000-0008-0000-0100-00006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8" name="TextBox 2157">
          <a:extLst>
            <a:ext uri="{FF2B5EF4-FFF2-40B4-BE49-F238E27FC236}">
              <a16:creationId xmlns:a16="http://schemas.microsoft.com/office/drawing/2014/main" id="{00000000-0008-0000-0100-00006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59" name="TextBox 2158">
          <a:extLst>
            <a:ext uri="{FF2B5EF4-FFF2-40B4-BE49-F238E27FC236}">
              <a16:creationId xmlns:a16="http://schemas.microsoft.com/office/drawing/2014/main" id="{00000000-0008-0000-0100-00006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0" name="TextBox 2159">
          <a:extLst>
            <a:ext uri="{FF2B5EF4-FFF2-40B4-BE49-F238E27FC236}">
              <a16:creationId xmlns:a16="http://schemas.microsoft.com/office/drawing/2014/main" id="{00000000-0008-0000-0100-00007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1" name="TextBox 2160">
          <a:extLst>
            <a:ext uri="{FF2B5EF4-FFF2-40B4-BE49-F238E27FC236}">
              <a16:creationId xmlns:a16="http://schemas.microsoft.com/office/drawing/2014/main" id="{00000000-0008-0000-0100-00007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2" name="TextBox 2161">
          <a:extLst>
            <a:ext uri="{FF2B5EF4-FFF2-40B4-BE49-F238E27FC236}">
              <a16:creationId xmlns:a16="http://schemas.microsoft.com/office/drawing/2014/main" id="{00000000-0008-0000-0100-00007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3" name="TextBox 2162">
          <a:extLst>
            <a:ext uri="{FF2B5EF4-FFF2-40B4-BE49-F238E27FC236}">
              <a16:creationId xmlns:a16="http://schemas.microsoft.com/office/drawing/2014/main" id="{00000000-0008-0000-0100-00007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4" name="TextBox 2163">
          <a:extLst>
            <a:ext uri="{FF2B5EF4-FFF2-40B4-BE49-F238E27FC236}">
              <a16:creationId xmlns:a16="http://schemas.microsoft.com/office/drawing/2014/main" id="{00000000-0008-0000-0100-00007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5" name="TextBox 2164">
          <a:extLst>
            <a:ext uri="{FF2B5EF4-FFF2-40B4-BE49-F238E27FC236}">
              <a16:creationId xmlns:a16="http://schemas.microsoft.com/office/drawing/2014/main" id="{00000000-0008-0000-0100-00007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6" name="TextBox 2165">
          <a:extLst>
            <a:ext uri="{FF2B5EF4-FFF2-40B4-BE49-F238E27FC236}">
              <a16:creationId xmlns:a16="http://schemas.microsoft.com/office/drawing/2014/main" id="{00000000-0008-0000-0100-00007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7" name="TextBox 2166">
          <a:extLst>
            <a:ext uri="{FF2B5EF4-FFF2-40B4-BE49-F238E27FC236}">
              <a16:creationId xmlns:a16="http://schemas.microsoft.com/office/drawing/2014/main" id="{00000000-0008-0000-0100-00007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8" name="TextBox 2167">
          <a:extLst>
            <a:ext uri="{FF2B5EF4-FFF2-40B4-BE49-F238E27FC236}">
              <a16:creationId xmlns:a16="http://schemas.microsoft.com/office/drawing/2014/main" id="{00000000-0008-0000-0100-00007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69" name="TextBox 2168">
          <a:extLst>
            <a:ext uri="{FF2B5EF4-FFF2-40B4-BE49-F238E27FC236}">
              <a16:creationId xmlns:a16="http://schemas.microsoft.com/office/drawing/2014/main" id="{00000000-0008-0000-0100-00007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0" name="TextBox 2169">
          <a:extLst>
            <a:ext uri="{FF2B5EF4-FFF2-40B4-BE49-F238E27FC236}">
              <a16:creationId xmlns:a16="http://schemas.microsoft.com/office/drawing/2014/main" id="{00000000-0008-0000-0100-00007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1" name="TextBox 2170">
          <a:extLst>
            <a:ext uri="{FF2B5EF4-FFF2-40B4-BE49-F238E27FC236}">
              <a16:creationId xmlns:a16="http://schemas.microsoft.com/office/drawing/2014/main" id="{00000000-0008-0000-0100-00007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2" name="TextBox 2171">
          <a:extLst>
            <a:ext uri="{FF2B5EF4-FFF2-40B4-BE49-F238E27FC236}">
              <a16:creationId xmlns:a16="http://schemas.microsoft.com/office/drawing/2014/main" id="{00000000-0008-0000-0100-00007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3" name="TextBox 2172">
          <a:extLst>
            <a:ext uri="{FF2B5EF4-FFF2-40B4-BE49-F238E27FC236}">
              <a16:creationId xmlns:a16="http://schemas.microsoft.com/office/drawing/2014/main" id="{00000000-0008-0000-0100-00007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4" name="TextBox 2173">
          <a:extLst>
            <a:ext uri="{FF2B5EF4-FFF2-40B4-BE49-F238E27FC236}">
              <a16:creationId xmlns:a16="http://schemas.microsoft.com/office/drawing/2014/main" id="{00000000-0008-0000-0100-00007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5" name="TextBox 2174">
          <a:extLst>
            <a:ext uri="{FF2B5EF4-FFF2-40B4-BE49-F238E27FC236}">
              <a16:creationId xmlns:a16="http://schemas.microsoft.com/office/drawing/2014/main" id="{00000000-0008-0000-0100-00007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6" name="TextBox 2175">
          <a:extLst>
            <a:ext uri="{FF2B5EF4-FFF2-40B4-BE49-F238E27FC236}">
              <a16:creationId xmlns:a16="http://schemas.microsoft.com/office/drawing/2014/main" id="{00000000-0008-0000-0100-00008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7" name="TextBox 2176">
          <a:extLst>
            <a:ext uri="{FF2B5EF4-FFF2-40B4-BE49-F238E27FC236}">
              <a16:creationId xmlns:a16="http://schemas.microsoft.com/office/drawing/2014/main" id="{00000000-0008-0000-0100-00008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8" name="TextBox 2177">
          <a:extLst>
            <a:ext uri="{FF2B5EF4-FFF2-40B4-BE49-F238E27FC236}">
              <a16:creationId xmlns:a16="http://schemas.microsoft.com/office/drawing/2014/main" id="{00000000-0008-0000-0100-00008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79" name="TextBox 2178">
          <a:extLst>
            <a:ext uri="{FF2B5EF4-FFF2-40B4-BE49-F238E27FC236}">
              <a16:creationId xmlns:a16="http://schemas.microsoft.com/office/drawing/2014/main" id="{00000000-0008-0000-0100-00008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0" name="TextBox 2179">
          <a:extLst>
            <a:ext uri="{FF2B5EF4-FFF2-40B4-BE49-F238E27FC236}">
              <a16:creationId xmlns:a16="http://schemas.microsoft.com/office/drawing/2014/main" id="{00000000-0008-0000-0100-00008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1" name="TextBox 2180">
          <a:extLst>
            <a:ext uri="{FF2B5EF4-FFF2-40B4-BE49-F238E27FC236}">
              <a16:creationId xmlns:a16="http://schemas.microsoft.com/office/drawing/2014/main" id="{00000000-0008-0000-0100-00008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2" name="TextBox 2181">
          <a:extLst>
            <a:ext uri="{FF2B5EF4-FFF2-40B4-BE49-F238E27FC236}">
              <a16:creationId xmlns:a16="http://schemas.microsoft.com/office/drawing/2014/main" id="{00000000-0008-0000-0100-00008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3" name="TextBox 2182">
          <a:extLst>
            <a:ext uri="{FF2B5EF4-FFF2-40B4-BE49-F238E27FC236}">
              <a16:creationId xmlns:a16="http://schemas.microsoft.com/office/drawing/2014/main" id="{00000000-0008-0000-0100-00008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4" name="TextBox 2183">
          <a:extLst>
            <a:ext uri="{FF2B5EF4-FFF2-40B4-BE49-F238E27FC236}">
              <a16:creationId xmlns:a16="http://schemas.microsoft.com/office/drawing/2014/main" id="{00000000-0008-0000-0100-00008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5" name="TextBox 2184">
          <a:extLst>
            <a:ext uri="{FF2B5EF4-FFF2-40B4-BE49-F238E27FC236}">
              <a16:creationId xmlns:a16="http://schemas.microsoft.com/office/drawing/2014/main" id="{00000000-0008-0000-0100-00008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6" name="TextBox 2185">
          <a:extLst>
            <a:ext uri="{FF2B5EF4-FFF2-40B4-BE49-F238E27FC236}">
              <a16:creationId xmlns:a16="http://schemas.microsoft.com/office/drawing/2014/main" id="{00000000-0008-0000-0100-00008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7" name="TextBox 2186">
          <a:extLst>
            <a:ext uri="{FF2B5EF4-FFF2-40B4-BE49-F238E27FC236}">
              <a16:creationId xmlns:a16="http://schemas.microsoft.com/office/drawing/2014/main" id="{00000000-0008-0000-0100-00008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8" name="TextBox 2187">
          <a:extLst>
            <a:ext uri="{FF2B5EF4-FFF2-40B4-BE49-F238E27FC236}">
              <a16:creationId xmlns:a16="http://schemas.microsoft.com/office/drawing/2014/main" id="{00000000-0008-0000-0100-00008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89" name="TextBox 2188">
          <a:extLst>
            <a:ext uri="{FF2B5EF4-FFF2-40B4-BE49-F238E27FC236}">
              <a16:creationId xmlns:a16="http://schemas.microsoft.com/office/drawing/2014/main" id="{00000000-0008-0000-0100-00008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0" name="TextBox 2189">
          <a:extLst>
            <a:ext uri="{FF2B5EF4-FFF2-40B4-BE49-F238E27FC236}">
              <a16:creationId xmlns:a16="http://schemas.microsoft.com/office/drawing/2014/main" id="{00000000-0008-0000-0100-00008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1" name="TextBox 2190">
          <a:extLst>
            <a:ext uri="{FF2B5EF4-FFF2-40B4-BE49-F238E27FC236}">
              <a16:creationId xmlns:a16="http://schemas.microsoft.com/office/drawing/2014/main" id="{00000000-0008-0000-0100-00008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2" name="TextBox 2191">
          <a:extLst>
            <a:ext uri="{FF2B5EF4-FFF2-40B4-BE49-F238E27FC236}">
              <a16:creationId xmlns:a16="http://schemas.microsoft.com/office/drawing/2014/main" id="{00000000-0008-0000-0100-00009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3" name="TextBox 2192">
          <a:extLst>
            <a:ext uri="{FF2B5EF4-FFF2-40B4-BE49-F238E27FC236}">
              <a16:creationId xmlns:a16="http://schemas.microsoft.com/office/drawing/2014/main" id="{00000000-0008-0000-0100-00009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4" name="TextBox 2193">
          <a:extLst>
            <a:ext uri="{FF2B5EF4-FFF2-40B4-BE49-F238E27FC236}">
              <a16:creationId xmlns:a16="http://schemas.microsoft.com/office/drawing/2014/main" id="{00000000-0008-0000-0100-00009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5" name="TextBox 2194">
          <a:extLst>
            <a:ext uri="{FF2B5EF4-FFF2-40B4-BE49-F238E27FC236}">
              <a16:creationId xmlns:a16="http://schemas.microsoft.com/office/drawing/2014/main" id="{00000000-0008-0000-0100-00009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6" name="TextBox 2195">
          <a:extLst>
            <a:ext uri="{FF2B5EF4-FFF2-40B4-BE49-F238E27FC236}">
              <a16:creationId xmlns:a16="http://schemas.microsoft.com/office/drawing/2014/main" id="{00000000-0008-0000-0100-00009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7" name="TextBox 2196">
          <a:extLst>
            <a:ext uri="{FF2B5EF4-FFF2-40B4-BE49-F238E27FC236}">
              <a16:creationId xmlns:a16="http://schemas.microsoft.com/office/drawing/2014/main" id="{00000000-0008-0000-0100-00009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8" name="TextBox 2197">
          <a:extLst>
            <a:ext uri="{FF2B5EF4-FFF2-40B4-BE49-F238E27FC236}">
              <a16:creationId xmlns:a16="http://schemas.microsoft.com/office/drawing/2014/main" id="{00000000-0008-0000-0100-00009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199" name="TextBox 2198">
          <a:extLst>
            <a:ext uri="{FF2B5EF4-FFF2-40B4-BE49-F238E27FC236}">
              <a16:creationId xmlns:a16="http://schemas.microsoft.com/office/drawing/2014/main" id="{00000000-0008-0000-0100-00009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0" name="TextBox 2199">
          <a:extLst>
            <a:ext uri="{FF2B5EF4-FFF2-40B4-BE49-F238E27FC236}">
              <a16:creationId xmlns:a16="http://schemas.microsoft.com/office/drawing/2014/main" id="{00000000-0008-0000-0100-00009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1" name="TextBox 2200">
          <a:extLst>
            <a:ext uri="{FF2B5EF4-FFF2-40B4-BE49-F238E27FC236}">
              <a16:creationId xmlns:a16="http://schemas.microsoft.com/office/drawing/2014/main" id="{00000000-0008-0000-0100-00009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2" name="TextBox 2201">
          <a:extLst>
            <a:ext uri="{FF2B5EF4-FFF2-40B4-BE49-F238E27FC236}">
              <a16:creationId xmlns:a16="http://schemas.microsoft.com/office/drawing/2014/main" id="{00000000-0008-0000-0100-00009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3" name="TextBox 2202">
          <a:extLst>
            <a:ext uri="{FF2B5EF4-FFF2-40B4-BE49-F238E27FC236}">
              <a16:creationId xmlns:a16="http://schemas.microsoft.com/office/drawing/2014/main" id="{00000000-0008-0000-0100-00009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4" name="TextBox 2203">
          <a:extLst>
            <a:ext uri="{FF2B5EF4-FFF2-40B4-BE49-F238E27FC236}">
              <a16:creationId xmlns:a16="http://schemas.microsoft.com/office/drawing/2014/main" id="{00000000-0008-0000-0100-00009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5" name="TextBox 2204">
          <a:extLst>
            <a:ext uri="{FF2B5EF4-FFF2-40B4-BE49-F238E27FC236}">
              <a16:creationId xmlns:a16="http://schemas.microsoft.com/office/drawing/2014/main" id="{00000000-0008-0000-0100-00009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6" name="TextBox 2205">
          <a:extLst>
            <a:ext uri="{FF2B5EF4-FFF2-40B4-BE49-F238E27FC236}">
              <a16:creationId xmlns:a16="http://schemas.microsoft.com/office/drawing/2014/main" id="{00000000-0008-0000-0100-00009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7" name="TextBox 2206">
          <a:extLst>
            <a:ext uri="{FF2B5EF4-FFF2-40B4-BE49-F238E27FC236}">
              <a16:creationId xmlns:a16="http://schemas.microsoft.com/office/drawing/2014/main" id="{00000000-0008-0000-0100-00009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8" name="TextBox 2207">
          <a:extLst>
            <a:ext uri="{FF2B5EF4-FFF2-40B4-BE49-F238E27FC236}">
              <a16:creationId xmlns:a16="http://schemas.microsoft.com/office/drawing/2014/main" id="{00000000-0008-0000-0100-0000A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09" name="TextBox 2208">
          <a:extLst>
            <a:ext uri="{FF2B5EF4-FFF2-40B4-BE49-F238E27FC236}">
              <a16:creationId xmlns:a16="http://schemas.microsoft.com/office/drawing/2014/main" id="{00000000-0008-0000-0100-0000A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0" name="TextBox 2209">
          <a:extLst>
            <a:ext uri="{FF2B5EF4-FFF2-40B4-BE49-F238E27FC236}">
              <a16:creationId xmlns:a16="http://schemas.microsoft.com/office/drawing/2014/main" id="{00000000-0008-0000-0100-0000A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1" name="TextBox 2210">
          <a:extLst>
            <a:ext uri="{FF2B5EF4-FFF2-40B4-BE49-F238E27FC236}">
              <a16:creationId xmlns:a16="http://schemas.microsoft.com/office/drawing/2014/main" id="{00000000-0008-0000-0100-0000A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2" name="TextBox 2211">
          <a:extLst>
            <a:ext uri="{FF2B5EF4-FFF2-40B4-BE49-F238E27FC236}">
              <a16:creationId xmlns:a16="http://schemas.microsoft.com/office/drawing/2014/main" id="{00000000-0008-0000-0100-0000A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3" name="TextBox 2212">
          <a:extLst>
            <a:ext uri="{FF2B5EF4-FFF2-40B4-BE49-F238E27FC236}">
              <a16:creationId xmlns:a16="http://schemas.microsoft.com/office/drawing/2014/main" id="{00000000-0008-0000-0100-0000A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4" name="TextBox 2213">
          <a:extLst>
            <a:ext uri="{FF2B5EF4-FFF2-40B4-BE49-F238E27FC236}">
              <a16:creationId xmlns:a16="http://schemas.microsoft.com/office/drawing/2014/main" id="{00000000-0008-0000-0100-0000A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5" name="TextBox 2214">
          <a:extLst>
            <a:ext uri="{FF2B5EF4-FFF2-40B4-BE49-F238E27FC236}">
              <a16:creationId xmlns:a16="http://schemas.microsoft.com/office/drawing/2014/main" id="{00000000-0008-0000-0100-0000A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6" name="TextBox 2215">
          <a:extLst>
            <a:ext uri="{FF2B5EF4-FFF2-40B4-BE49-F238E27FC236}">
              <a16:creationId xmlns:a16="http://schemas.microsoft.com/office/drawing/2014/main" id="{00000000-0008-0000-0100-0000A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7" name="TextBox 2216">
          <a:extLst>
            <a:ext uri="{FF2B5EF4-FFF2-40B4-BE49-F238E27FC236}">
              <a16:creationId xmlns:a16="http://schemas.microsoft.com/office/drawing/2014/main" id="{00000000-0008-0000-0100-0000A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8" name="TextBox 2217">
          <a:extLst>
            <a:ext uri="{FF2B5EF4-FFF2-40B4-BE49-F238E27FC236}">
              <a16:creationId xmlns:a16="http://schemas.microsoft.com/office/drawing/2014/main" id="{00000000-0008-0000-0100-0000A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19" name="TextBox 2218">
          <a:extLst>
            <a:ext uri="{FF2B5EF4-FFF2-40B4-BE49-F238E27FC236}">
              <a16:creationId xmlns:a16="http://schemas.microsoft.com/office/drawing/2014/main" id="{00000000-0008-0000-0100-0000A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0" name="TextBox 2219">
          <a:extLst>
            <a:ext uri="{FF2B5EF4-FFF2-40B4-BE49-F238E27FC236}">
              <a16:creationId xmlns:a16="http://schemas.microsoft.com/office/drawing/2014/main" id="{00000000-0008-0000-0100-0000A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1" name="TextBox 2220">
          <a:extLst>
            <a:ext uri="{FF2B5EF4-FFF2-40B4-BE49-F238E27FC236}">
              <a16:creationId xmlns:a16="http://schemas.microsoft.com/office/drawing/2014/main" id="{00000000-0008-0000-0100-0000A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2" name="TextBox 2221">
          <a:extLst>
            <a:ext uri="{FF2B5EF4-FFF2-40B4-BE49-F238E27FC236}">
              <a16:creationId xmlns:a16="http://schemas.microsoft.com/office/drawing/2014/main" id="{00000000-0008-0000-0100-0000A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3" name="TextBox 2222">
          <a:extLst>
            <a:ext uri="{FF2B5EF4-FFF2-40B4-BE49-F238E27FC236}">
              <a16:creationId xmlns:a16="http://schemas.microsoft.com/office/drawing/2014/main" id="{00000000-0008-0000-0100-0000A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4" name="TextBox 2223">
          <a:extLst>
            <a:ext uri="{FF2B5EF4-FFF2-40B4-BE49-F238E27FC236}">
              <a16:creationId xmlns:a16="http://schemas.microsoft.com/office/drawing/2014/main" id="{00000000-0008-0000-0100-0000B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5" name="TextBox 2224">
          <a:extLst>
            <a:ext uri="{FF2B5EF4-FFF2-40B4-BE49-F238E27FC236}">
              <a16:creationId xmlns:a16="http://schemas.microsoft.com/office/drawing/2014/main" id="{00000000-0008-0000-0100-0000B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6" name="TextBox 2225">
          <a:extLst>
            <a:ext uri="{FF2B5EF4-FFF2-40B4-BE49-F238E27FC236}">
              <a16:creationId xmlns:a16="http://schemas.microsoft.com/office/drawing/2014/main" id="{00000000-0008-0000-0100-0000B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7" name="TextBox 2226">
          <a:extLst>
            <a:ext uri="{FF2B5EF4-FFF2-40B4-BE49-F238E27FC236}">
              <a16:creationId xmlns:a16="http://schemas.microsoft.com/office/drawing/2014/main" id="{00000000-0008-0000-0100-0000B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8" name="TextBox 2227">
          <a:extLst>
            <a:ext uri="{FF2B5EF4-FFF2-40B4-BE49-F238E27FC236}">
              <a16:creationId xmlns:a16="http://schemas.microsoft.com/office/drawing/2014/main" id="{00000000-0008-0000-0100-0000B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0</xdr:row>
      <xdr:rowOff>221456</xdr:rowOff>
    </xdr:from>
    <xdr:ext cx="0" cy="172227"/>
    <xdr:sp macro="" textlink="">
      <xdr:nvSpPr>
        <xdr:cNvPr id="2229" name="TextBox 2228">
          <a:extLst>
            <a:ext uri="{FF2B5EF4-FFF2-40B4-BE49-F238E27FC236}">
              <a16:creationId xmlns:a16="http://schemas.microsoft.com/office/drawing/2014/main" id="{00000000-0008-0000-0100-0000B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0" name="TextBox 2229">
          <a:extLst>
            <a:ext uri="{FF2B5EF4-FFF2-40B4-BE49-F238E27FC236}">
              <a16:creationId xmlns:a16="http://schemas.microsoft.com/office/drawing/2014/main" id="{00000000-0008-0000-0100-0000B6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1" name="TextBox 2230">
          <a:extLst>
            <a:ext uri="{FF2B5EF4-FFF2-40B4-BE49-F238E27FC236}">
              <a16:creationId xmlns:a16="http://schemas.microsoft.com/office/drawing/2014/main" id="{00000000-0008-0000-0100-0000B7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2" name="TextBox 2231">
          <a:extLst>
            <a:ext uri="{FF2B5EF4-FFF2-40B4-BE49-F238E27FC236}">
              <a16:creationId xmlns:a16="http://schemas.microsoft.com/office/drawing/2014/main" id="{00000000-0008-0000-0100-0000B8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3" name="TextBox 2232">
          <a:extLst>
            <a:ext uri="{FF2B5EF4-FFF2-40B4-BE49-F238E27FC236}">
              <a16:creationId xmlns:a16="http://schemas.microsoft.com/office/drawing/2014/main" id="{00000000-0008-0000-0100-0000B9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4" name="TextBox 2233">
          <a:extLst>
            <a:ext uri="{FF2B5EF4-FFF2-40B4-BE49-F238E27FC236}">
              <a16:creationId xmlns:a16="http://schemas.microsoft.com/office/drawing/2014/main" id="{00000000-0008-0000-0100-0000BA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5" name="TextBox 2234">
          <a:extLst>
            <a:ext uri="{FF2B5EF4-FFF2-40B4-BE49-F238E27FC236}">
              <a16:creationId xmlns:a16="http://schemas.microsoft.com/office/drawing/2014/main" id="{00000000-0008-0000-0100-0000BB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6" name="TextBox 2235">
          <a:extLst>
            <a:ext uri="{FF2B5EF4-FFF2-40B4-BE49-F238E27FC236}">
              <a16:creationId xmlns:a16="http://schemas.microsoft.com/office/drawing/2014/main" id="{00000000-0008-0000-0100-0000BC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11</xdr:row>
      <xdr:rowOff>0</xdr:rowOff>
    </xdr:from>
    <xdr:ext cx="0" cy="172227"/>
    <xdr:sp macro="" textlink="">
      <xdr:nvSpPr>
        <xdr:cNvPr id="2237" name="TextBox 2236">
          <a:extLst>
            <a:ext uri="{FF2B5EF4-FFF2-40B4-BE49-F238E27FC236}">
              <a16:creationId xmlns:a16="http://schemas.microsoft.com/office/drawing/2014/main" id="{00000000-0008-0000-0100-0000BD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17</xdr:row>
      <xdr:rowOff>0</xdr:rowOff>
    </xdr:from>
    <xdr:ext cx="0" cy="172227"/>
    <xdr:sp macro="" textlink="">
      <xdr:nvSpPr>
        <xdr:cNvPr id="2238" name="TextBox 2237">
          <a:extLst>
            <a:ext uri="{FF2B5EF4-FFF2-40B4-BE49-F238E27FC236}">
              <a16:creationId xmlns:a16="http://schemas.microsoft.com/office/drawing/2014/main" id="{00000000-0008-0000-0100-0000BE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17</xdr:row>
      <xdr:rowOff>0</xdr:rowOff>
    </xdr:from>
    <xdr:ext cx="0" cy="172227"/>
    <xdr:sp macro="" textlink="">
      <xdr:nvSpPr>
        <xdr:cNvPr id="2239" name="TextBox 2238">
          <a:extLst>
            <a:ext uri="{FF2B5EF4-FFF2-40B4-BE49-F238E27FC236}">
              <a16:creationId xmlns:a16="http://schemas.microsoft.com/office/drawing/2014/main" id="{00000000-0008-0000-0100-0000BF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17</xdr:row>
      <xdr:rowOff>0</xdr:rowOff>
    </xdr:from>
    <xdr:ext cx="0" cy="172227"/>
    <xdr:sp macro="" textlink="">
      <xdr:nvSpPr>
        <xdr:cNvPr id="2240" name="TextBox 2239">
          <a:extLst>
            <a:ext uri="{FF2B5EF4-FFF2-40B4-BE49-F238E27FC236}">
              <a16:creationId xmlns:a16="http://schemas.microsoft.com/office/drawing/2014/main" id="{00000000-0008-0000-0100-0000C0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17</xdr:row>
      <xdr:rowOff>0</xdr:rowOff>
    </xdr:from>
    <xdr:ext cx="0" cy="172227"/>
    <xdr:sp macro="" textlink="">
      <xdr:nvSpPr>
        <xdr:cNvPr id="2241" name="TextBox 2240">
          <a:extLst>
            <a:ext uri="{FF2B5EF4-FFF2-40B4-BE49-F238E27FC236}">
              <a16:creationId xmlns:a16="http://schemas.microsoft.com/office/drawing/2014/main" id="{00000000-0008-0000-0100-0000C1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65</xdr:row>
      <xdr:rowOff>0</xdr:rowOff>
    </xdr:from>
    <xdr:ext cx="0" cy="172227"/>
    <xdr:sp macro="" textlink="">
      <xdr:nvSpPr>
        <xdr:cNvPr id="2242" name="TextBox 2241">
          <a:extLst>
            <a:ext uri="{FF2B5EF4-FFF2-40B4-BE49-F238E27FC236}">
              <a16:creationId xmlns:a16="http://schemas.microsoft.com/office/drawing/2014/main" id="{00000000-0008-0000-0100-0000C2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65</xdr:row>
      <xdr:rowOff>0</xdr:rowOff>
    </xdr:from>
    <xdr:ext cx="0" cy="172227"/>
    <xdr:sp macro="" textlink="">
      <xdr:nvSpPr>
        <xdr:cNvPr id="2243" name="TextBox 2242">
          <a:extLst>
            <a:ext uri="{FF2B5EF4-FFF2-40B4-BE49-F238E27FC236}">
              <a16:creationId xmlns:a16="http://schemas.microsoft.com/office/drawing/2014/main" id="{00000000-0008-0000-0100-0000C3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65</xdr:row>
      <xdr:rowOff>0</xdr:rowOff>
    </xdr:from>
    <xdr:ext cx="0" cy="172227"/>
    <xdr:sp macro="" textlink="">
      <xdr:nvSpPr>
        <xdr:cNvPr id="2244" name="TextBox 2243">
          <a:extLst>
            <a:ext uri="{FF2B5EF4-FFF2-40B4-BE49-F238E27FC236}">
              <a16:creationId xmlns:a16="http://schemas.microsoft.com/office/drawing/2014/main" id="{00000000-0008-0000-0100-0000C4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65</xdr:row>
      <xdr:rowOff>0</xdr:rowOff>
    </xdr:from>
    <xdr:ext cx="0" cy="172227"/>
    <xdr:sp macro="" textlink="">
      <xdr:nvSpPr>
        <xdr:cNvPr id="2245" name="TextBox 2244">
          <a:extLst>
            <a:ext uri="{FF2B5EF4-FFF2-40B4-BE49-F238E27FC236}">
              <a16:creationId xmlns:a16="http://schemas.microsoft.com/office/drawing/2014/main" id="{00000000-0008-0000-0100-0000C5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63</xdr:row>
      <xdr:rowOff>0</xdr:rowOff>
    </xdr:from>
    <xdr:ext cx="0" cy="172227"/>
    <xdr:sp macro="" textlink="">
      <xdr:nvSpPr>
        <xdr:cNvPr id="2246" name="TextBox 2245">
          <a:extLst>
            <a:ext uri="{FF2B5EF4-FFF2-40B4-BE49-F238E27FC236}">
              <a16:creationId xmlns:a16="http://schemas.microsoft.com/office/drawing/2014/main" id="{00000000-0008-0000-0100-0000C6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63</xdr:row>
      <xdr:rowOff>0</xdr:rowOff>
    </xdr:from>
    <xdr:ext cx="0" cy="172227"/>
    <xdr:sp macro="" textlink="">
      <xdr:nvSpPr>
        <xdr:cNvPr id="2247" name="TextBox 2246">
          <a:extLst>
            <a:ext uri="{FF2B5EF4-FFF2-40B4-BE49-F238E27FC236}">
              <a16:creationId xmlns:a16="http://schemas.microsoft.com/office/drawing/2014/main" id="{00000000-0008-0000-0100-0000C7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63</xdr:row>
      <xdr:rowOff>0</xdr:rowOff>
    </xdr:from>
    <xdr:ext cx="0" cy="172227"/>
    <xdr:sp macro="" textlink="">
      <xdr:nvSpPr>
        <xdr:cNvPr id="2248" name="TextBox 2247">
          <a:extLst>
            <a:ext uri="{FF2B5EF4-FFF2-40B4-BE49-F238E27FC236}">
              <a16:creationId xmlns:a16="http://schemas.microsoft.com/office/drawing/2014/main" id="{00000000-0008-0000-0100-0000C8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63</xdr:row>
      <xdr:rowOff>0</xdr:rowOff>
    </xdr:from>
    <xdr:ext cx="0" cy="172227"/>
    <xdr:sp macro="" textlink="">
      <xdr:nvSpPr>
        <xdr:cNvPr id="2249" name="TextBox 2248">
          <a:extLst>
            <a:ext uri="{FF2B5EF4-FFF2-40B4-BE49-F238E27FC236}">
              <a16:creationId xmlns:a16="http://schemas.microsoft.com/office/drawing/2014/main" id="{00000000-0008-0000-0100-0000C9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0" name="TextBox 2249">
          <a:extLst>
            <a:ext uri="{FF2B5EF4-FFF2-40B4-BE49-F238E27FC236}">
              <a16:creationId xmlns:a16="http://schemas.microsoft.com/office/drawing/2014/main" id="{00000000-0008-0000-0100-0000CA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1" name="TextBox 2250">
          <a:extLst>
            <a:ext uri="{FF2B5EF4-FFF2-40B4-BE49-F238E27FC236}">
              <a16:creationId xmlns:a16="http://schemas.microsoft.com/office/drawing/2014/main" id="{00000000-0008-0000-0100-0000CB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2" name="TextBox 2251">
          <a:extLst>
            <a:ext uri="{FF2B5EF4-FFF2-40B4-BE49-F238E27FC236}">
              <a16:creationId xmlns:a16="http://schemas.microsoft.com/office/drawing/2014/main" id="{00000000-0008-0000-0100-0000CC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3" name="TextBox 2252">
          <a:extLst>
            <a:ext uri="{FF2B5EF4-FFF2-40B4-BE49-F238E27FC236}">
              <a16:creationId xmlns:a16="http://schemas.microsoft.com/office/drawing/2014/main" id="{00000000-0008-0000-0100-0000CD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4" name="TextBox 2253">
          <a:extLst>
            <a:ext uri="{FF2B5EF4-FFF2-40B4-BE49-F238E27FC236}">
              <a16:creationId xmlns:a16="http://schemas.microsoft.com/office/drawing/2014/main" id="{00000000-0008-0000-0100-0000CE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5" name="TextBox 2254">
          <a:extLst>
            <a:ext uri="{FF2B5EF4-FFF2-40B4-BE49-F238E27FC236}">
              <a16:creationId xmlns:a16="http://schemas.microsoft.com/office/drawing/2014/main" id="{00000000-0008-0000-0100-0000CF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6" name="TextBox 2255">
          <a:extLst>
            <a:ext uri="{FF2B5EF4-FFF2-40B4-BE49-F238E27FC236}">
              <a16:creationId xmlns:a16="http://schemas.microsoft.com/office/drawing/2014/main" id="{00000000-0008-0000-0100-0000D0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7" name="TextBox 2256">
          <a:extLst>
            <a:ext uri="{FF2B5EF4-FFF2-40B4-BE49-F238E27FC236}">
              <a16:creationId xmlns:a16="http://schemas.microsoft.com/office/drawing/2014/main" id="{00000000-0008-0000-0100-0000D1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8" name="TextBox 2257">
          <a:extLst>
            <a:ext uri="{FF2B5EF4-FFF2-40B4-BE49-F238E27FC236}">
              <a16:creationId xmlns:a16="http://schemas.microsoft.com/office/drawing/2014/main" id="{00000000-0008-0000-0100-0000D2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59" name="TextBox 2258">
          <a:extLst>
            <a:ext uri="{FF2B5EF4-FFF2-40B4-BE49-F238E27FC236}">
              <a16:creationId xmlns:a16="http://schemas.microsoft.com/office/drawing/2014/main" id="{00000000-0008-0000-0100-0000D3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0" name="TextBox 2259">
          <a:extLst>
            <a:ext uri="{FF2B5EF4-FFF2-40B4-BE49-F238E27FC236}">
              <a16:creationId xmlns:a16="http://schemas.microsoft.com/office/drawing/2014/main" id="{00000000-0008-0000-0100-0000D4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1" name="TextBox 2260">
          <a:extLst>
            <a:ext uri="{FF2B5EF4-FFF2-40B4-BE49-F238E27FC236}">
              <a16:creationId xmlns:a16="http://schemas.microsoft.com/office/drawing/2014/main" id="{00000000-0008-0000-0100-0000D5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2" name="TextBox 2261">
          <a:extLst>
            <a:ext uri="{FF2B5EF4-FFF2-40B4-BE49-F238E27FC236}">
              <a16:creationId xmlns:a16="http://schemas.microsoft.com/office/drawing/2014/main" id="{00000000-0008-0000-0100-0000D6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3" name="TextBox 2262">
          <a:extLst>
            <a:ext uri="{FF2B5EF4-FFF2-40B4-BE49-F238E27FC236}">
              <a16:creationId xmlns:a16="http://schemas.microsoft.com/office/drawing/2014/main" id="{00000000-0008-0000-0100-0000D7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4" name="TextBox 2263">
          <a:extLst>
            <a:ext uri="{FF2B5EF4-FFF2-40B4-BE49-F238E27FC236}">
              <a16:creationId xmlns:a16="http://schemas.microsoft.com/office/drawing/2014/main" id="{00000000-0008-0000-0100-0000D8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5" name="TextBox 2264">
          <a:extLst>
            <a:ext uri="{FF2B5EF4-FFF2-40B4-BE49-F238E27FC236}">
              <a16:creationId xmlns:a16="http://schemas.microsoft.com/office/drawing/2014/main" id="{00000000-0008-0000-0100-0000D9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6" name="TextBox 2265">
          <a:extLst>
            <a:ext uri="{FF2B5EF4-FFF2-40B4-BE49-F238E27FC236}">
              <a16:creationId xmlns:a16="http://schemas.microsoft.com/office/drawing/2014/main" id="{00000000-0008-0000-0100-0000DA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7" name="TextBox 2266">
          <a:extLst>
            <a:ext uri="{FF2B5EF4-FFF2-40B4-BE49-F238E27FC236}">
              <a16:creationId xmlns:a16="http://schemas.microsoft.com/office/drawing/2014/main" id="{00000000-0008-0000-0100-0000DB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8" name="TextBox 2267">
          <a:extLst>
            <a:ext uri="{FF2B5EF4-FFF2-40B4-BE49-F238E27FC236}">
              <a16:creationId xmlns:a16="http://schemas.microsoft.com/office/drawing/2014/main" id="{00000000-0008-0000-0100-0000DC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69" name="TextBox 2268">
          <a:extLst>
            <a:ext uri="{FF2B5EF4-FFF2-40B4-BE49-F238E27FC236}">
              <a16:creationId xmlns:a16="http://schemas.microsoft.com/office/drawing/2014/main" id="{00000000-0008-0000-0100-0000DD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0" name="TextBox 2269">
          <a:extLst>
            <a:ext uri="{FF2B5EF4-FFF2-40B4-BE49-F238E27FC236}">
              <a16:creationId xmlns:a16="http://schemas.microsoft.com/office/drawing/2014/main" id="{00000000-0008-0000-0100-0000DE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1" name="TextBox 2270">
          <a:extLst>
            <a:ext uri="{FF2B5EF4-FFF2-40B4-BE49-F238E27FC236}">
              <a16:creationId xmlns:a16="http://schemas.microsoft.com/office/drawing/2014/main" id="{00000000-0008-0000-0100-0000DF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2" name="TextBox 2271">
          <a:extLst>
            <a:ext uri="{FF2B5EF4-FFF2-40B4-BE49-F238E27FC236}">
              <a16:creationId xmlns:a16="http://schemas.microsoft.com/office/drawing/2014/main" id="{00000000-0008-0000-0100-0000E0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3" name="TextBox 2272">
          <a:extLst>
            <a:ext uri="{FF2B5EF4-FFF2-40B4-BE49-F238E27FC236}">
              <a16:creationId xmlns:a16="http://schemas.microsoft.com/office/drawing/2014/main" id="{00000000-0008-0000-0100-0000E1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4" name="TextBox 2273">
          <a:extLst>
            <a:ext uri="{FF2B5EF4-FFF2-40B4-BE49-F238E27FC236}">
              <a16:creationId xmlns:a16="http://schemas.microsoft.com/office/drawing/2014/main" id="{00000000-0008-0000-0100-0000E2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5" name="TextBox 2274">
          <a:extLst>
            <a:ext uri="{FF2B5EF4-FFF2-40B4-BE49-F238E27FC236}">
              <a16:creationId xmlns:a16="http://schemas.microsoft.com/office/drawing/2014/main" id="{00000000-0008-0000-0100-0000E3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6" name="TextBox 2275">
          <a:extLst>
            <a:ext uri="{FF2B5EF4-FFF2-40B4-BE49-F238E27FC236}">
              <a16:creationId xmlns:a16="http://schemas.microsoft.com/office/drawing/2014/main" id="{00000000-0008-0000-0100-0000E4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7" name="TextBox 2276">
          <a:extLst>
            <a:ext uri="{FF2B5EF4-FFF2-40B4-BE49-F238E27FC236}">
              <a16:creationId xmlns:a16="http://schemas.microsoft.com/office/drawing/2014/main" id="{00000000-0008-0000-0100-0000E5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8" name="TextBox 2277">
          <a:extLst>
            <a:ext uri="{FF2B5EF4-FFF2-40B4-BE49-F238E27FC236}">
              <a16:creationId xmlns:a16="http://schemas.microsoft.com/office/drawing/2014/main" id="{00000000-0008-0000-0100-0000E6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79" name="TextBox 2278">
          <a:extLst>
            <a:ext uri="{FF2B5EF4-FFF2-40B4-BE49-F238E27FC236}">
              <a16:creationId xmlns:a16="http://schemas.microsoft.com/office/drawing/2014/main" id="{00000000-0008-0000-0100-0000E7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0" name="TextBox 2279">
          <a:extLst>
            <a:ext uri="{FF2B5EF4-FFF2-40B4-BE49-F238E27FC236}">
              <a16:creationId xmlns:a16="http://schemas.microsoft.com/office/drawing/2014/main" id="{00000000-0008-0000-0100-0000E8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1" name="TextBox 2280">
          <a:extLst>
            <a:ext uri="{FF2B5EF4-FFF2-40B4-BE49-F238E27FC236}">
              <a16:creationId xmlns:a16="http://schemas.microsoft.com/office/drawing/2014/main" id="{00000000-0008-0000-0100-0000E9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2" name="TextBox 2281">
          <a:extLst>
            <a:ext uri="{FF2B5EF4-FFF2-40B4-BE49-F238E27FC236}">
              <a16:creationId xmlns:a16="http://schemas.microsoft.com/office/drawing/2014/main" id="{00000000-0008-0000-0100-0000EA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3" name="TextBox 2282">
          <a:extLst>
            <a:ext uri="{FF2B5EF4-FFF2-40B4-BE49-F238E27FC236}">
              <a16:creationId xmlns:a16="http://schemas.microsoft.com/office/drawing/2014/main" id="{00000000-0008-0000-0100-0000EB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4" name="TextBox 2283">
          <a:extLst>
            <a:ext uri="{FF2B5EF4-FFF2-40B4-BE49-F238E27FC236}">
              <a16:creationId xmlns:a16="http://schemas.microsoft.com/office/drawing/2014/main" id="{00000000-0008-0000-0100-0000EC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5" name="TextBox 2284">
          <a:extLst>
            <a:ext uri="{FF2B5EF4-FFF2-40B4-BE49-F238E27FC236}">
              <a16:creationId xmlns:a16="http://schemas.microsoft.com/office/drawing/2014/main" id="{00000000-0008-0000-0100-0000ED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6" name="TextBox 2285">
          <a:extLst>
            <a:ext uri="{FF2B5EF4-FFF2-40B4-BE49-F238E27FC236}">
              <a16:creationId xmlns:a16="http://schemas.microsoft.com/office/drawing/2014/main" id="{00000000-0008-0000-0100-0000EE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7" name="TextBox 2286">
          <a:extLst>
            <a:ext uri="{FF2B5EF4-FFF2-40B4-BE49-F238E27FC236}">
              <a16:creationId xmlns:a16="http://schemas.microsoft.com/office/drawing/2014/main" id="{00000000-0008-0000-0100-0000EF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8" name="TextBox 2287">
          <a:extLst>
            <a:ext uri="{FF2B5EF4-FFF2-40B4-BE49-F238E27FC236}">
              <a16:creationId xmlns:a16="http://schemas.microsoft.com/office/drawing/2014/main" id="{00000000-0008-0000-0100-0000F0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89" name="TextBox 2288">
          <a:extLst>
            <a:ext uri="{FF2B5EF4-FFF2-40B4-BE49-F238E27FC236}">
              <a16:creationId xmlns:a16="http://schemas.microsoft.com/office/drawing/2014/main" id="{00000000-0008-0000-0100-0000F1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0" name="TextBox 2289">
          <a:extLst>
            <a:ext uri="{FF2B5EF4-FFF2-40B4-BE49-F238E27FC236}">
              <a16:creationId xmlns:a16="http://schemas.microsoft.com/office/drawing/2014/main" id="{00000000-0008-0000-0100-0000F2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1" name="TextBox 2290">
          <a:extLst>
            <a:ext uri="{FF2B5EF4-FFF2-40B4-BE49-F238E27FC236}">
              <a16:creationId xmlns:a16="http://schemas.microsoft.com/office/drawing/2014/main" id="{00000000-0008-0000-0100-0000F3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2" name="TextBox 2291">
          <a:extLst>
            <a:ext uri="{FF2B5EF4-FFF2-40B4-BE49-F238E27FC236}">
              <a16:creationId xmlns:a16="http://schemas.microsoft.com/office/drawing/2014/main" id="{00000000-0008-0000-0100-0000F4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3" name="TextBox 2292">
          <a:extLst>
            <a:ext uri="{FF2B5EF4-FFF2-40B4-BE49-F238E27FC236}">
              <a16:creationId xmlns:a16="http://schemas.microsoft.com/office/drawing/2014/main" id="{00000000-0008-0000-0100-0000F5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4" name="TextBox 2293">
          <a:extLst>
            <a:ext uri="{FF2B5EF4-FFF2-40B4-BE49-F238E27FC236}">
              <a16:creationId xmlns:a16="http://schemas.microsoft.com/office/drawing/2014/main" id="{00000000-0008-0000-0100-0000F6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5" name="TextBox 2294">
          <a:extLst>
            <a:ext uri="{FF2B5EF4-FFF2-40B4-BE49-F238E27FC236}">
              <a16:creationId xmlns:a16="http://schemas.microsoft.com/office/drawing/2014/main" id="{00000000-0008-0000-0100-0000F7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525</xdr:row>
      <xdr:rowOff>0</xdr:rowOff>
    </xdr:from>
    <xdr:ext cx="0" cy="172227"/>
    <xdr:sp macro="" textlink="">
      <xdr:nvSpPr>
        <xdr:cNvPr id="2296" name="TextBox 2295">
          <a:extLst>
            <a:ext uri="{FF2B5EF4-FFF2-40B4-BE49-F238E27FC236}">
              <a16:creationId xmlns:a16="http://schemas.microsoft.com/office/drawing/2014/main" id="{00000000-0008-0000-0100-0000F8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1149" name="TextBox 1148">
          <a:extLst>
            <a:ext uri="{FF2B5EF4-FFF2-40B4-BE49-F238E27FC236}">
              <a16:creationId xmlns:a16="http://schemas.microsoft.com/office/drawing/2014/main" id="{99CD41AE-6435-4E7A-8C9A-4B23E6C63567}"/>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297" name="TextBox 2296">
          <a:extLst>
            <a:ext uri="{FF2B5EF4-FFF2-40B4-BE49-F238E27FC236}">
              <a16:creationId xmlns:a16="http://schemas.microsoft.com/office/drawing/2014/main" id="{926A2FAE-04A5-41F1-B9DE-CD02BDE4ED4B}"/>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298" name="TextBox 2297">
          <a:extLst>
            <a:ext uri="{FF2B5EF4-FFF2-40B4-BE49-F238E27FC236}">
              <a16:creationId xmlns:a16="http://schemas.microsoft.com/office/drawing/2014/main" id="{A5B35683-2E7D-4C3B-8A3C-F59E6A10F819}"/>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299" name="TextBox 2298">
          <a:extLst>
            <a:ext uri="{FF2B5EF4-FFF2-40B4-BE49-F238E27FC236}">
              <a16:creationId xmlns:a16="http://schemas.microsoft.com/office/drawing/2014/main" id="{58F7A645-CFA1-4021-8738-1BC877BEA1AB}"/>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0" name="TextBox 2299">
          <a:extLst>
            <a:ext uri="{FF2B5EF4-FFF2-40B4-BE49-F238E27FC236}">
              <a16:creationId xmlns:a16="http://schemas.microsoft.com/office/drawing/2014/main" id="{93065F56-70ED-4551-9B4A-4CAD667F54C2}"/>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1" name="TextBox 2300">
          <a:extLst>
            <a:ext uri="{FF2B5EF4-FFF2-40B4-BE49-F238E27FC236}">
              <a16:creationId xmlns:a16="http://schemas.microsoft.com/office/drawing/2014/main" id="{303C642B-31BE-411C-B7B4-29B087C3BCD7}"/>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2" name="TextBox 2301">
          <a:extLst>
            <a:ext uri="{FF2B5EF4-FFF2-40B4-BE49-F238E27FC236}">
              <a16:creationId xmlns:a16="http://schemas.microsoft.com/office/drawing/2014/main" id="{BFFD542F-6014-4E88-9286-4DA45C692799}"/>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3" name="TextBox 2302">
          <a:extLst>
            <a:ext uri="{FF2B5EF4-FFF2-40B4-BE49-F238E27FC236}">
              <a16:creationId xmlns:a16="http://schemas.microsoft.com/office/drawing/2014/main" id="{2ED29B9D-50D6-47CC-9A9B-6614805E8A98}"/>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4" name="TextBox 2303">
          <a:extLst>
            <a:ext uri="{FF2B5EF4-FFF2-40B4-BE49-F238E27FC236}">
              <a16:creationId xmlns:a16="http://schemas.microsoft.com/office/drawing/2014/main" id="{E0407888-A43C-4DE8-ADA7-FC3EB740F73C}"/>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5" name="TextBox 2304">
          <a:extLst>
            <a:ext uri="{FF2B5EF4-FFF2-40B4-BE49-F238E27FC236}">
              <a16:creationId xmlns:a16="http://schemas.microsoft.com/office/drawing/2014/main" id="{95591B4C-E998-4457-8C3E-160EB0202FF1}"/>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6" name="TextBox 2305">
          <a:extLst>
            <a:ext uri="{FF2B5EF4-FFF2-40B4-BE49-F238E27FC236}">
              <a16:creationId xmlns:a16="http://schemas.microsoft.com/office/drawing/2014/main" id="{EB1C50B1-B5B8-4570-BFAD-EF4FA8D5FAFF}"/>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7" name="TextBox 2306">
          <a:extLst>
            <a:ext uri="{FF2B5EF4-FFF2-40B4-BE49-F238E27FC236}">
              <a16:creationId xmlns:a16="http://schemas.microsoft.com/office/drawing/2014/main" id="{C8BD1509-D282-4A70-AE59-6E63F3EB5C32}"/>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8" name="TextBox 2307">
          <a:extLst>
            <a:ext uri="{FF2B5EF4-FFF2-40B4-BE49-F238E27FC236}">
              <a16:creationId xmlns:a16="http://schemas.microsoft.com/office/drawing/2014/main" id="{DF655EAE-A0A3-4A28-91C4-7EDB18549387}"/>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09" name="TextBox 2308">
          <a:extLst>
            <a:ext uri="{FF2B5EF4-FFF2-40B4-BE49-F238E27FC236}">
              <a16:creationId xmlns:a16="http://schemas.microsoft.com/office/drawing/2014/main" id="{781220E3-948D-41FC-B6EB-F1C4181A8D4D}"/>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0" name="TextBox 2309">
          <a:extLst>
            <a:ext uri="{FF2B5EF4-FFF2-40B4-BE49-F238E27FC236}">
              <a16:creationId xmlns:a16="http://schemas.microsoft.com/office/drawing/2014/main" id="{3AFED3AD-354A-4CB2-90C2-B6B022ED1C1F}"/>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1" name="TextBox 2310">
          <a:extLst>
            <a:ext uri="{FF2B5EF4-FFF2-40B4-BE49-F238E27FC236}">
              <a16:creationId xmlns:a16="http://schemas.microsoft.com/office/drawing/2014/main" id="{40C1BA90-132D-4090-948E-EBAD5EA59FAF}"/>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2" name="TextBox 2311">
          <a:extLst>
            <a:ext uri="{FF2B5EF4-FFF2-40B4-BE49-F238E27FC236}">
              <a16:creationId xmlns:a16="http://schemas.microsoft.com/office/drawing/2014/main" id="{EDAE81CD-2DE3-4E73-94CA-0252024FC762}"/>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3" name="TextBox 2312">
          <a:extLst>
            <a:ext uri="{FF2B5EF4-FFF2-40B4-BE49-F238E27FC236}">
              <a16:creationId xmlns:a16="http://schemas.microsoft.com/office/drawing/2014/main" id="{05D840DF-C766-49E1-B3BC-BF7A4EB7AF45}"/>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4" name="TextBox 2313">
          <a:extLst>
            <a:ext uri="{FF2B5EF4-FFF2-40B4-BE49-F238E27FC236}">
              <a16:creationId xmlns:a16="http://schemas.microsoft.com/office/drawing/2014/main" id="{4046B2FB-B050-49BD-B5E7-BF5EA6ACDB0C}"/>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5" name="TextBox 2314">
          <a:extLst>
            <a:ext uri="{FF2B5EF4-FFF2-40B4-BE49-F238E27FC236}">
              <a16:creationId xmlns:a16="http://schemas.microsoft.com/office/drawing/2014/main" id="{55C0DAC9-FBD9-4977-B0AB-EC78C203C7BF}"/>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6" name="TextBox 2315">
          <a:extLst>
            <a:ext uri="{FF2B5EF4-FFF2-40B4-BE49-F238E27FC236}">
              <a16:creationId xmlns:a16="http://schemas.microsoft.com/office/drawing/2014/main" id="{52969434-453F-46D6-AA52-849F21C1106D}"/>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7" name="TextBox 2316">
          <a:extLst>
            <a:ext uri="{FF2B5EF4-FFF2-40B4-BE49-F238E27FC236}">
              <a16:creationId xmlns:a16="http://schemas.microsoft.com/office/drawing/2014/main" id="{4EACA16B-3936-418D-A0B9-1719047AFE58}"/>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8" name="TextBox 2317">
          <a:extLst>
            <a:ext uri="{FF2B5EF4-FFF2-40B4-BE49-F238E27FC236}">
              <a16:creationId xmlns:a16="http://schemas.microsoft.com/office/drawing/2014/main" id="{A923531A-0860-4AD2-9587-56D4455B203E}"/>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19" name="TextBox 2318">
          <a:extLst>
            <a:ext uri="{FF2B5EF4-FFF2-40B4-BE49-F238E27FC236}">
              <a16:creationId xmlns:a16="http://schemas.microsoft.com/office/drawing/2014/main" id="{A42972CA-2B8D-4758-BADF-F0CF9A5812CD}"/>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0" name="TextBox 2319">
          <a:extLst>
            <a:ext uri="{FF2B5EF4-FFF2-40B4-BE49-F238E27FC236}">
              <a16:creationId xmlns:a16="http://schemas.microsoft.com/office/drawing/2014/main" id="{3B8CF2D7-4852-4A7E-9386-87BE2180A560}"/>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1" name="TextBox 2320">
          <a:extLst>
            <a:ext uri="{FF2B5EF4-FFF2-40B4-BE49-F238E27FC236}">
              <a16:creationId xmlns:a16="http://schemas.microsoft.com/office/drawing/2014/main" id="{54077EF9-F91E-4820-95AC-7344F9446201}"/>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2" name="TextBox 2321">
          <a:extLst>
            <a:ext uri="{FF2B5EF4-FFF2-40B4-BE49-F238E27FC236}">
              <a16:creationId xmlns:a16="http://schemas.microsoft.com/office/drawing/2014/main" id="{9E834238-F358-49C2-AF61-A1A6A957716F}"/>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3" name="TextBox 2322">
          <a:extLst>
            <a:ext uri="{FF2B5EF4-FFF2-40B4-BE49-F238E27FC236}">
              <a16:creationId xmlns:a16="http://schemas.microsoft.com/office/drawing/2014/main" id="{F6CDB937-A166-4658-9853-DDCD46AD0161}"/>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4" name="TextBox 2323">
          <a:extLst>
            <a:ext uri="{FF2B5EF4-FFF2-40B4-BE49-F238E27FC236}">
              <a16:creationId xmlns:a16="http://schemas.microsoft.com/office/drawing/2014/main" id="{5DB8270A-7050-40DA-A24C-96DA59D8E19C}"/>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5" name="TextBox 2324">
          <a:extLst>
            <a:ext uri="{FF2B5EF4-FFF2-40B4-BE49-F238E27FC236}">
              <a16:creationId xmlns:a16="http://schemas.microsoft.com/office/drawing/2014/main" id="{3EF789BD-D0D9-41AD-81FE-93936978991A}"/>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6" name="TextBox 2325">
          <a:extLst>
            <a:ext uri="{FF2B5EF4-FFF2-40B4-BE49-F238E27FC236}">
              <a16:creationId xmlns:a16="http://schemas.microsoft.com/office/drawing/2014/main" id="{3B0E7599-6184-401C-A08F-12B12F6BA134}"/>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7" name="TextBox 2326">
          <a:extLst>
            <a:ext uri="{FF2B5EF4-FFF2-40B4-BE49-F238E27FC236}">
              <a16:creationId xmlns:a16="http://schemas.microsoft.com/office/drawing/2014/main" id="{6963C8EA-A7BA-483E-A7E1-8315137A997B}"/>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8" name="TextBox 2327">
          <a:extLst>
            <a:ext uri="{FF2B5EF4-FFF2-40B4-BE49-F238E27FC236}">
              <a16:creationId xmlns:a16="http://schemas.microsoft.com/office/drawing/2014/main" id="{C8809A3B-72E7-4441-8AC1-F971CDF31F6A}"/>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29" name="TextBox 2328">
          <a:extLst>
            <a:ext uri="{FF2B5EF4-FFF2-40B4-BE49-F238E27FC236}">
              <a16:creationId xmlns:a16="http://schemas.microsoft.com/office/drawing/2014/main" id="{050D49A3-12B2-4D12-A1E2-3102595DE111}"/>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0" name="TextBox 2329">
          <a:extLst>
            <a:ext uri="{FF2B5EF4-FFF2-40B4-BE49-F238E27FC236}">
              <a16:creationId xmlns:a16="http://schemas.microsoft.com/office/drawing/2014/main" id="{9BFFB387-5EB7-4D62-A735-2845B4EE230C}"/>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1" name="TextBox 2330">
          <a:extLst>
            <a:ext uri="{FF2B5EF4-FFF2-40B4-BE49-F238E27FC236}">
              <a16:creationId xmlns:a16="http://schemas.microsoft.com/office/drawing/2014/main" id="{83B7C717-8105-4326-AF6D-F5FFB1994C8C}"/>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2" name="TextBox 2331">
          <a:extLst>
            <a:ext uri="{FF2B5EF4-FFF2-40B4-BE49-F238E27FC236}">
              <a16:creationId xmlns:a16="http://schemas.microsoft.com/office/drawing/2014/main" id="{607EEA63-E42F-4369-94CD-21727B3D98B3}"/>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3" name="TextBox 2332">
          <a:extLst>
            <a:ext uri="{FF2B5EF4-FFF2-40B4-BE49-F238E27FC236}">
              <a16:creationId xmlns:a16="http://schemas.microsoft.com/office/drawing/2014/main" id="{4D2CDD31-3942-40E5-BB1C-BFC232079E31}"/>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4" name="TextBox 2333">
          <a:extLst>
            <a:ext uri="{FF2B5EF4-FFF2-40B4-BE49-F238E27FC236}">
              <a16:creationId xmlns:a16="http://schemas.microsoft.com/office/drawing/2014/main" id="{DC19432F-DC3E-429B-B2FE-0335755D65E1}"/>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5" name="TextBox 2334">
          <a:extLst>
            <a:ext uri="{FF2B5EF4-FFF2-40B4-BE49-F238E27FC236}">
              <a16:creationId xmlns:a16="http://schemas.microsoft.com/office/drawing/2014/main" id="{71F01488-335B-48B8-89C5-07AF3FF2320A}"/>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6" name="TextBox 2335">
          <a:extLst>
            <a:ext uri="{FF2B5EF4-FFF2-40B4-BE49-F238E27FC236}">
              <a16:creationId xmlns:a16="http://schemas.microsoft.com/office/drawing/2014/main" id="{E6CC17AF-5DB8-4BF2-8E82-65AF0F543D44}"/>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7" name="TextBox 2336">
          <a:extLst>
            <a:ext uri="{FF2B5EF4-FFF2-40B4-BE49-F238E27FC236}">
              <a16:creationId xmlns:a16="http://schemas.microsoft.com/office/drawing/2014/main" id="{C54B6B89-A4DA-4429-9B27-28A48FCE518B}"/>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8" name="TextBox 2337">
          <a:extLst>
            <a:ext uri="{FF2B5EF4-FFF2-40B4-BE49-F238E27FC236}">
              <a16:creationId xmlns:a16="http://schemas.microsoft.com/office/drawing/2014/main" id="{CBD739CF-39DE-4D12-8F4B-65F14B2DD955}"/>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39" name="TextBox 2338">
          <a:extLst>
            <a:ext uri="{FF2B5EF4-FFF2-40B4-BE49-F238E27FC236}">
              <a16:creationId xmlns:a16="http://schemas.microsoft.com/office/drawing/2014/main" id="{5A1BB4F6-547C-4AEA-A507-3CC3D4963C37}"/>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40" name="TextBox 2339">
          <a:extLst>
            <a:ext uri="{FF2B5EF4-FFF2-40B4-BE49-F238E27FC236}">
              <a16:creationId xmlns:a16="http://schemas.microsoft.com/office/drawing/2014/main" id="{D219FB59-6B9F-45B8-8959-6C96B4B53625}"/>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41" name="TextBox 2340">
          <a:extLst>
            <a:ext uri="{FF2B5EF4-FFF2-40B4-BE49-F238E27FC236}">
              <a16:creationId xmlns:a16="http://schemas.microsoft.com/office/drawing/2014/main" id="{157321F9-979A-4F35-BC38-E1D6AE88A976}"/>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42" name="TextBox 2341">
          <a:extLst>
            <a:ext uri="{FF2B5EF4-FFF2-40B4-BE49-F238E27FC236}">
              <a16:creationId xmlns:a16="http://schemas.microsoft.com/office/drawing/2014/main" id="{DFDBA5C7-188F-436A-B06A-5B7B0723CAE2}"/>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473</xdr:row>
      <xdr:rowOff>0</xdr:rowOff>
    </xdr:from>
    <xdr:ext cx="0" cy="172227"/>
    <xdr:sp macro="" textlink="">
      <xdr:nvSpPr>
        <xdr:cNvPr id="2343" name="TextBox 2342">
          <a:extLst>
            <a:ext uri="{FF2B5EF4-FFF2-40B4-BE49-F238E27FC236}">
              <a16:creationId xmlns:a16="http://schemas.microsoft.com/office/drawing/2014/main" id="{75F8BFE7-FF84-4823-A3DC-7C728E4ECF69}"/>
            </a:ext>
          </a:extLst>
        </xdr:cNvPr>
        <xdr:cNvSpPr txBox="1"/>
      </xdr:nvSpPr>
      <xdr:spPr>
        <a:xfrm>
          <a:off x="8391525" y="328964925"/>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44" name="TextBox 2343">
          <a:extLst>
            <a:ext uri="{FF2B5EF4-FFF2-40B4-BE49-F238E27FC236}">
              <a16:creationId xmlns:a16="http://schemas.microsoft.com/office/drawing/2014/main" id="{D95FF495-21BC-4C22-A1DB-EFB1232CE5E3}"/>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45" name="TextBox 2344">
          <a:extLst>
            <a:ext uri="{FF2B5EF4-FFF2-40B4-BE49-F238E27FC236}">
              <a16:creationId xmlns:a16="http://schemas.microsoft.com/office/drawing/2014/main" id="{53EDB14C-BE31-40F4-A9B5-5371914EE3BA}"/>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46" name="TextBox 2345">
          <a:extLst>
            <a:ext uri="{FF2B5EF4-FFF2-40B4-BE49-F238E27FC236}">
              <a16:creationId xmlns:a16="http://schemas.microsoft.com/office/drawing/2014/main" id="{AFDC9C04-655C-4CC7-9B44-948D1B4F3F99}"/>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47" name="TextBox 2346">
          <a:extLst>
            <a:ext uri="{FF2B5EF4-FFF2-40B4-BE49-F238E27FC236}">
              <a16:creationId xmlns:a16="http://schemas.microsoft.com/office/drawing/2014/main" id="{C7C3DF85-CE0E-431E-BC27-C0DAD0167A96}"/>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48" name="TextBox 2347">
          <a:extLst>
            <a:ext uri="{FF2B5EF4-FFF2-40B4-BE49-F238E27FC236}">
              <a16:creationId xmlns:a16="http://schemas.microsoft.com/office/drawing/2014/main" id="{256C1424-2C68-4AAE-997D-5BAFFEB29C69}"/>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49" name="TextBox 2348">
          <a:extLst>
            <a:ext uri="{FF2B5EF4-FFF2-40B4-BE49-F238E27FC236}">
              <a16:creationId xmlns:a16="http://schemas.microsoft.com/office/drawing/2014/main" id="{0D5ABDA9-36D3-48AE-B243-9A4DF84CD1B1}"/>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0" name="TextBox 2349">
          <a:extLst>
            <a:ext uri="{FF2B5EF4-FFF2-40B4-BE49-F238E27FC236}">
              <a16:creationId xmlns:a16="http://schemas.microsoft.com/office/drawing/2014/main" id="{22BB561F-7774-45C3-8DF7-08F65866C212}"/>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1" name="TextBox 2350">
          <a:extLst>
            <a:ext uri="{FF2B5EF4-FFF2-40B4-BE49-F238E27FC236}">
              <a16:creationId xmlns:a16="http://schemas.microsoft.com/office/drawing/2014/main" id="{60421335-F689-45D2-B11E-64A66AC7D0CF}"/>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2" name="TextBox 2351">
          <a:extLst>
            <a:ext uri="{FF2B5EF4-FFF2-40B4-BE49-F238E27FC236}">
              <a16:creationId xmlns:a16="http://schemas.microsoft.com/office/drawing/2014/main" id="{D7C13860-F901-4657-82F9-445B072D789A}"/>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3" name="TextBox 2352">
          <a:extLst>
            <a:ext uri="{FF2B5EF4-FFF2-40B4-BE49-F238E27FC236}">
              <a16:creationId xmlns:a16="http://schemas.microsoft.com/office/drawing/2014/main" id="{CAB5FD92-93DD-4518-9C7D-8D18F056A477}"/>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4" name="TextBox 2353">
          <a:extLst>
            <a:ext uri="{FF2B5EF4-FFF2-40B4-BE49-F238E27FC236}">
              <a16:creationId xmlns:a16="http://schemas.microsoft.com/office/drawing/2014/main" id="{95ABE6C4-9F24-4289-B35E-7950E357DA91}"/>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5" name="TextBox 2354">
          <a:extLst>
            <a:ext uri="{FF2B5EF4-FFF2-40B4-BE49-F238E27FC236}">
              <a16:creationId xmlns:a16="http://schemas.microsoft.com/office/drawing/2014/main" id="{79DBBD40-2E4E-4DA1-ADE6-6F3C90C60E44}"/>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6" name="TextBox 2355">
          <a:extLst>
            <a:ext uri="{FF2B5EF4-FFF2-40B4-BE49-F238E27FC236}">
              <a16:creationId xmlns:a16="http://schemas.microsoft.com/office/drawing/2014/main" id="{D0563435-9ACC-4D6D-925D-A0CD022A931A}"/>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7" name="TextBox 2356">
          <a:extLst>
            <a:ext uri="{FF2B5EF4-FFF2-40B4-BE49-F238E27FC236}">
              <a16:creationId xmlns:a16="http://schemas.microsoft.com/office/drawing/2014/main" id="{7FE38199-32C6-4C4A-9B96-229EF0F4B67E}"/>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8" name="TextBox 2357">
          <a:extLst>
            <a:ext uri="{FF2B5EF4-FFF2-40B4-BE49-F238E27FC236}">
              <a16:creationId xmlns:a16="http://schemas.microsoft.com/office/drawing/2014/main" id="{E773C7B4-60CF-49E6-801D-E95637C02783}"/>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59" name="TextBox 2358">
          <a:extLst>
            <a:ext uri="{FF2B5EF4-FFF2-40B4-BE49-F238E27FC236}">
              <a16:creationId xmlns:a16="http://schemas.microsoft.com/office/drawing/2014/main" id="{17A04073-2FFB-4647-86AC-9BBE9E51B53A}"/>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0" name="TextBox 2359">
          <a:extLst>
            <a:ext uri="{FF2B5EF4-FFF2-40B4-BE49-F238E27FC236}">
              <a16:creationId xmlns:a16="http://schemas.microsoft.com/office/drawing/2014/main" id="{4634BAE3-10B5-4C53-84E3-E7D489A431DD}"/>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1" name="TextBox 2360">
          <a:extLst>
            <a:ext uri="{FF2B5EF4-FFF2-40B4-BE49-F238E27FC236}">
              <a16:creationId xmlns:a16="http://schemas.microsoft.com/office/drawing/2014/main" id="{DE179ABD-A6D5-42A7-8E04-EB968B9048CF}"/>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2" name="TextBox 2361">
          <a:extLst>
            <a:ext uri="{FF2B5EF4-FFF2-40B4-BE49-F238E27FC236}">
              <a16:creationId xmlns:a16="http://schemas.microsoft.com/office/drawing/2014/main" id="{24EB7892-A000-4B59-A40B-3FA46CA5D1AD}"/>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3" name="TextBox 2362">
          <a:extLst>
            <a:ext uri="{FF2B5EF4-FFF2-40B4-BE49-F238E27FC236}">
              <a16:creationId xmlns:a16="http://schemas.microsoft.com/office/drawing/2014/main" id="{6811FE72-F915-4CED-8D7E-6AE58393DDA1}"/>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4" name="TextBox 2363">
          <a:extLst>
            <a:ext uri="{FF2B5EF4-FFF2-40B4-BE49-F238E27FC236}">
              <a16:creationId xmlns:a16="http://schemas.microsoft.com/office/drawing/2014/main" id="{B2C8C63A-6CF9-4245-AC20-AEA7AEA5AEBB}"/>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5" name="TextBox 2364">
          <a:extLst>
            <a:ext uri="{FF2B5EF4-FFF2-40B4-BE49-F238E27FC236}">
              <a16:creationId xmlns:a16="http://schemas.microsoft.com/office/drawing/2014/main" id="{37BD610E-F09C-4569-849E-D078FF6E77E9}"/>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6" name="TextBox 2365">
          <a:extLst>
            <a:ext uri="{FF2B5EF4-FFF2-40B4-BE49-F238E27FC236}">
              <a16:creationId xmlns:a16="http://schemas.microsoft.com/office/drawing/2014/main" id="{45DF2CD3-169C-462D-933D-AE1F0A5DE943}"/>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7" name="TextBox 2366">
          <a:extLst>
            <a:ext uri="{FF2B5EF4-FFF2-40B4-BE49-F238E27FC236}">
              <a16:creationId xmlns:a16="http://schemas.microsoft.com/office/drawing/2014/main" id="{234475E3-43E5-48B5-91BB-8940522EBC6B}"/>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8" name="TextBox 2367">
          <a:extLst>
            <a:ext uri="{FF2B5EF4-FFF2-40B4-BE49-F238E27FC236}">
              <a16:creationId xmlns:a16="http://schemas.microsoft.com/office/drawing/2014/main" id="{67F4426E-408C-4630-B466-43E3EFBEDE51}"/>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69" name="TextBox 2368">
          <a:extLst>
            <a:ext uri="{FF2B5EF4-FFF2-40B4-BE49-F238E27FC236}">
              <a16:creationId xmlns:a16="http://schemas.microsoft.com/office/drawing/2014/main" id="{1CD526CF-2B7D-43E5-86B8-BD93305E6D31}"/>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0" name="TextBox 2369">
          <a:extLst>
            <a:ext uri="{FF2B5EF4-FFF2-40B4-BE49-F238E27FC236}">
              <a16:creationId xmlns:a16="http://schemas.microsoft.com/office/drawing/2014/main" id="{CD7ECCB3-48AE-48E4-B334-63517F6B4320}"/>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1" name="TextBox 2370">
          <a:extLst>
            <a:ext uri="{FF2B5EF4-FFF2-40B4-BE49-F238E27FC236}">
              <a16:creationId xmlns:a16="http://schemas.microsoft.com/office/drawing/2014/main" id="{0F46DCCE-4B6F-4FA0-97C0-C6CF7D0FB912}"/>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2" name="TextBox 2371">
          <a:extLst>
            <a:ext uri="{FF2B5EF4-FFF2-40B4-BE49-F238E27FC236}">
              <a16:creationId xmlns:a16="http://schemas.microsoft.com/office/drawing/2014/main" id="{6EB6723F-E442-4C07-82E9-F002EE086573}"/>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3" name="TextBox 2372">
          <a:extLst>
            <a:ext uri="{FF2B5EF4-FFF2-40B4-BE49-F238E27FC236}">
              <a16:creationId xmlns:a16="http://schemas.microsoft.com/office/drawing/2014/main" id="{F21A8B8D-A6A9-46AF-B7A3-4E00341FDE15}"/>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4" name="TextBox 2373">
          <a:extLst>
            <a:ext uri="{FF2B5EF4-FFF2-40B4-BE49-F238E27FC236}">
              <a16:creationId xmlns:a16="http://schemas.microsoft.com/office/drawing/2014/main" id="{10FDD9C2-E154-4CA5-A020-8509F246404A}"/>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5" name="TextBox 2374">
          <a:extLst>
            <a:ext uri="{FF2B5EF4-FFF2-40B4-BE49-F238E27FC236}">
              <a16:creationId xmlns:a16="http://schemas.microsoft.com/office/drawing/2014/main" id="{9A6A1BD1-8CFE-4E13-BD95-6FE0FBCE0239}"/>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6" name="TextBox 2375">
          <a:extLst>
            <a:ext uri="{FF2B5EF4-FFF2-40B4-BE49-F238E27FC236}">
              <a16:creationId xmlns:a16="http://schemas.microsoft.com/office/drawing/2014/main" id="{45BD07D9-E854-4021-9097-1AD0967403CB}"/>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7" name="TextBox 2376">
          <a:extLst>
            <a:ext uri="{FF2B5EF4-FFF2-40B4-BE49-F238E27FC236}">
              <a16:creationId xmlns:a16="http://schemas.microsoft.com/office/drawing/2014/main" id="{B55C9DAC-D276-4B36-AED6-20D631B4B186}"/>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8" name="TextBox 2377">
          <a:extLst>
            <a:ext uri="{FF2B5EF4-FFF2-40B4-BE49-F238E27FC236}">
              <a16:creationId xmlns:a16="http://schemas.microsoft.com/office/drawing/2014/main" id="{A21A431D-0A4D-4141-9AE8-357761779992}"/>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79" name="TextBox 2378">
          <a:extLst>
            <a:ext uri="{FF2B5EF4-FFF2-40B4-BE49-F238E27FC236}">
              <a16:creationId xmlns:a16="http://schemas.microsoft.com/office/drawing/2014/main" id="{3FD8B08E-DDD2-4DCD-A0D2-B27824A8DA8B}"/>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0" name="TextBox 2379">
          <a:extLst>
            <a:ext uri="{FF2B5EF4-FFF2-40B4-BE49-F238E27FC236}">
              <a16:creationId xmlns:a16="http://schemas.microsoft.com/office/drawing/2014/main" id="{8C113475-914A-4762-B09B-F63258F6D790}"/>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1" name="TextBox 2380">
          <a:extLst>
            <a:ext uri="{FF2B5EF4-FFF2-40B4-BE49-F238E27FC236}">
              <a16:creationId xmlns:a16="http://schemas.microsoft.com/office/drawing/2014/main" id="{AA4E95AB-D245-47CB-8CC5-916AA7884074}"/>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2" name="TextBox 2381">
          <a:extLst>
            <a:ext uri="{FF2B5EF4-FFF2-40B4-BE49-F238E27FC236}">
              <a16:creationId xmlns:a16="http://schemas.microsoft.com/office/drawing/2014/main" id="{DF0D1DC7-0414-48EB-8946-635BE9C7E1CE}"/>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3" name="TextBox 2382">
          <a:extLst>
            <a:ext uri="{FF2B5EF4-FFF2-40B4-BE49-F238E27FC236}">
              <a16:creationId xmlns:a16="http://schemas.microsoft.com/office/drawing/2014/main" id="{0AE620A8-CC3A-4E19-BE79-09E43CF35043}"/>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4" name="TextBox 2383">
          <a:extLst>
            <a:ext uri="{FF2B5EF4-FFF2-40B4-BE49-F238E27FC236}">
              <a16:creationId xmlns:a16="http://schemas.microsoft.com/office/drawing/2014/main" id="{29C63B81-8A33-4734-AF66-2BC13D6A617E}"/>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5" name="TextBox 2384">
          <a:extLst>
            <a:ext uri="{FF2B5EF4-FFF2-40B4-BE49-F238E27FC236}">
              <a16:creationId xmlns:a16="http://schemas.microsoft.com/office/drawing/2014/main" id="{3105A54D-E575-4821-BEB2-2ED6FA31C263}"/>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6" name="TextBox 2385">
          <a:extLst>
            <a:ext uri="{FF2B5EF4-FFF2-40B4-BE49-F238E27FC236}">
              <a16:creationId xmlns:a16="http://schemas.microsoft.com/office/drawing/2014/main" id="{636DE5B8-D003-460A-9AEE-8ABCD0B9659F}"/>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7" name="TextBox 2386">
          <a:extLst>
            <a:ext uri="{FF2B5EF4-FFF2-40B4-BE49-F238E27FC236}">
              <a16:creationId xmlns:a16="http://schemas.microsoft.com/office/drawing/2014/main" id="{3C4A092F-6274-4E6D-B6AF-031B4A77AD5B}"/>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8" name="TextBox 2387">
          <a:extLst>
            <a:ext uri="{FF2B5EF4-FFF2-40B4-BE49-F238E27FC236}">
              <a16:creationId xmlns:a16="http://schemas.microsoft.com/office/drawing/2014/main" id="{70E48C78-5307-41C4-8D64-585AC8A49BD1}"/>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89" name="TextBox 2388">
          <a:extLst>
            <a:ext uri="{FF2B5EF4-FFF2-40B4-BE49-F238E27FC236}">
              <a16:creationId xmlns:a16="http://schemas.microsoft.com/office/drawing/2014/main" id="{145B4595-40CE-4C65-89EB-10A66AD03C12}"/>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0</xdr:colOff>
      <xdr:row>474</xdr:row>
      <xdr:rowOff>0</xdr:rowOff>
    </xdr:from>
    <xdr:ext cx="0" cy="172227"/>
    <xdr:sp macro="" textlink="">
      <xdr:nvSpPr>
        <xdr:cNvPr id="2390" name="TextBox 2389">
          <a:extLst>
            <a:ext uri="{FF2B5EF4-FFF2-40B4-BE49-F238E27FC236}">
              <a16:creationId xmlns:a16="http://schemas.microsoft.com/office/drawing/2014/main" id="{627C275D-EA3F-41D9-8333-2F98A83AE4AC}"/>
            </a:ext>
          </a:extLst>
        </xdr:cNvPr>
        <xdr:cNvSpPr txBox="1"/>
      </xdr:nvSpPr>
      <xdr:spPr>
        <a:xfrm>
          <a:off x="8391525" y="329164950"/>
          <a:ext cx="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4DD0-40D9-4C96-9C30-9C961E10CEB7}">
  <dimension ref="A1:C28"/>
  <sheetViews>
    <sheetView tabSelected="1" zoomScale="85" zoomScaleNormal="85" workbookViewId="0">
      <selection activeCell="A53" sqref="A53"/>
    </sheetView>
  </sheetViews>
  <sheetFormatPr defaultRowHeight="15"/>
  <cols>
    <col min="1" max="1" width="129" customWidth="1"/>
    <col min="2" max="2" width="8.28515625" customWidth="1"/>
    <col min="3" max="3" width="129" customWidth="1"/>
  </cols>
  <sheetData>
    <row r="1" spans="1:3" ht="40.5" customHeight="1">
      <c r="A1" s="108" t="s">
        <v>1405</v>
      </c>
      <c r="B1" s="108"/>
      <c r="C1" s="108" t="s">
        <v>1406</v>
      </c>
    </row>
    <row r="2" spans="1:3" ht="40.5" customHeight="1">
      <c r="A2" s="108" t="s">
        <v>1407</v>
      </c>
      <c r="B2" s="108"/>
      <c r="C2" s="108" t="s">
        <v>1407</v>
      </c>
    </row>
    <row r="3" spans="1:3" ht="18.75">
      <c r="A3" s="107"/>
      <c r="B3" s="107"/>
    </row>
    <row r="28" spans="3:3" ht="42" customHeight="1">
      <c r="C28" s="108" t="s">
        <v>1409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1D9E-FE10-4E05-819E-4FD5DE2B2532}">
  <sheetPr>
    <pageSetUpPr fitToPage="1"/>
  </sheetPr>
  <dimension ref="A1:AK22"/>
  <sheetViews>
    <sheetView showGridLines="0" showRuler="0" zoomScale="90" zoomScaleNormal="90" zoomScalePageLayoutView="70" workbookViewId="0">
      <pane ySplit="6" topLeftCell="A7" activePane="bottomLeft" state="frozen"/>
      <selection pane="bottomLeft" activeCell="H9" sqref="H9"/>
    </sheetView>
  </sheetViews>
  <sheetFormatPr defaultColWidth="9" defaultRowHeight="30" customHeight="1"/>
  <cols>
    <col min="1" max="1" width="5.42578125" style="42" customWidth="1"/>
    <col min="2" max="2" width="67.85546875" style="43" customWidth="1"/>
    <col min="3" max="3" width="15.7109375" style="2" customWidth="1"/>
    <col min="4" max="4" width="13.28515625" style="2" customWidth="1"/>
    <col min="5" max="5" width="15.42578125" style="1" customWidth="1"/>
    <col min="6" max="6" width="14.42578125" style="2" customWidth="1"/>
    <col min="7" max="7" width="18.7109375" style="2" customWidth="1"/>
    <col min="8" max="8" width="14.42578125" style="2" customWidth="1"/>
    <col min="9" max="9" width="4.42578125" style="2" hidden="1" customWidth="1"/>
    <col min="10" max="10" width="5" style="2" bestFit="1" customWidth="1"/>
    <col min="11" max="11" width="4.7109375" style="2" bestFit="1" customWidth="1"/>
    <col min="12" max="12" width="5.28515625" style="2" bestFit="1" customWidth="1"/>
    <col min="13" max="13" width="4.7109375" style="2" bestFit="1" customWidth="1"/>
    <col min="14" max="14" width="3.5703125" style="2" bestFit="1" customWidth="1"/>
    <col min="15" max="15" width="4.42578125" style="2" bestFit="1" customWidth="1"/>
    <col min="16" max="16" width="4.85546875" style="2" bestFit="1" customWidth="1"/>
    <col min="17" max="17" width="5" style="2" bestFit="1" customWidth="1"/>
    <col min="18" max="18" width="4.7109375" style="2" bestFit="1" customWidth="1"/>
    <col min="19" max="19" width="5.28515625" style="2" bestFit="1" customWidth="1"/>
    <col min="20" max="20" width="4.7109375" style="2" bestFit="1" customWidth="1"/>
    <col min="21" max="21" width="3.5703125" style="2" bestFit="1" customWidth="1"/>
    <col min="22" max="22" width="4.42578125" style="2" bestFit="1" customWidth="1"/>
    <col min="23" max="23" width="4.85546875" style="2" bestFit="1" customWidth="1"/>
    <col min="24" max="24" width="5" style="2" bestFit="1" customWidth="1"/>
    <col min="25" max="25" width="4.7109375" style="2" bestFit="1" customWidth="1"/>
    <col min="26" max="26" width="5.28515625" style="2" bestFit="1" customWidth="1"/>
    <col min="27" max="27" width="4.7109375" style="2" bestFit="1" customWidth="1"/>
    <col min="28" max="28" width="3.5703125" style="2" bestFit="1" customWidth="1"/>
    <col min="29" max="29" width="4.42578125" style="2" bestFit="1" customWidth="1"/>
    <col min="30" max="30" width="4.85546875" style="2" bestFit="1" customWidth="1"/>
    <col min="31" max="31" width="5" style="2" bestFit="1" customWidth="1"/>
    <col min="32" max="32" width="4.7109375" style="2" bestFit="1" customWidth="1"/>
    <col min="33" max="33" width="5.28515625" style="2" bestFit="1" customWidth="1"/>
    <col min="34" max="34" width="4.7109375" style="2" bestFit="1" customWidth="1"/>
    <col min="35" max="35" width="3.5703125" style="2" bestFit="1" customWidth="1"/>
    <col min="36" max="36" width="4.42578125" style="2" bestFit="1" customWidth="1"/>
    <col min="37" max="37" width="4.85546875" style="2" bestFit="1" customWidth="1"/>
    <col min="38" max="16384" width="9" style="2"/>
  </cols>
  <sheetData>
    <row r="1" spans="1:37" ht="30" customHeight="1">
      <c r="A1" s="113" t="s">
        <v>1388</v>
      </c>
      <c r="B1" s="113"/>
      <c r="C1" s="113"/>
      <c r="D1" s="113"/>
      <c r="E1" s="113"/>
      <c r="F1" s="113"/>
      <c r="G1" s="113"/>
      <c r="H1" s="113"/>
      <c r="I1" s="40"/>
      <c r="J1" s="41"/>
    </row>
    <row r="2" spans="1:37" ht="33.6" customHeight="1">
      <c r="A2" s="113"/>
      <c r="B2" s="113"/>
      <c r="C2" s="113"/>
      <c r="D2" s="113"/>
      <c r="E2" s="113"/>
      <c r="F2" s="113"/>
      <c r="G2" s="113"/>
      <c r="H2" s="113"/>
      <c r="J2" s="54"/>
    </row>
    <row r="3" spans="1:37" ht="15" customHeight="1">
      <c r="A3" s="42" t="s">
        <v>0</v>
      </c>
      <c r="B3" s="55"/>
      <c r="C3" s="56" t="s">
        <v>1378</v>
      </c>
      <c r="D3" s="57"/>
      <c r="E3" s="58">
        <v>46023</v>
      </c>
      <c r="G3" s="59"/>
    </row>
    <row r="4" spans="1:37" ht="21.6" customHeight="1">
      <c r="A4" s="34" t="s">
        <v>1</v>
      </c>
      <c r="C4" s="56" t="s">
        <v>1379</v>
      </c>
      <c r="D4" s="57"/>
      <c r="E4" s="60">
        <v>1</v>
      </c>
      <c r="J4" s="114">
        <f>S5</f>
        <v>46029</v>
      </c>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row>
    <row r="5" spans="1:37" ht="13.15" customHeight="1">
      <c r="A5" s="34" t="s">
        <v>2</v>
      </c>
      <c r="B5" s="44"/>
      <c r="C5" s="44"/>
      <c r="D5" s="44"/>
      <c r="E5" s="44"/>
      <c r="F5" s="44"/>
      <c r="G5" s="44"/>
      <c r="H5" s="44"/>
      <c r="J5" s="45">
        <f>Project_Start-WEEKDAY(Project_Start,1)+2+7*(Display_Week-1)</f>
        <v>46020</v>
      </c>
      <c r="K5" s="45">
        <f>J5+1</f>
        <v>46021</v>
      </c>
      <c r="L5" s="61">
        <f>K5+1</f>
        <v>46022</v>
      </c>
      <c r="M5" s="61">
        <f t="shared" ref="M5:AK5" si="0">L5+1</f>
        <v>46023</v>
      </c>
      <c r="N5" s="45">
        <f t="shared" si="0"/>
        <v>46024</v>
      </c>
      <c r="O5" s="45">
        <f t="shared" si="0"/>
        <v>46025</v>
      </c>
      <c r="P5" s="61">
        <f t="shared" si="0"/>
        <v>46026</v>
      </c>
      <c r="Q5" s="45">
        <f t="shared" si="0"/>
        <v>46027</v>
      </c>
      <c r="R5" s="45">
        <f t="shared" si="0"/>
        <v>46028</v>
      </c>
      <c r="S5" s="45">
        <f t="shared" si="0"/>
        <v>46029</v>
      </c>
      <c r="T5" s="45">
        <f t="shared" si="0"/>
        <v>46030</v>
      </c>
      <c r="U5" s="45">
        <f t="shared" si="0"/>
        <v>46031</v>
      </c>
      <c r="V5" s="45">
        <f t="shared" si="0"/>
        <v>46032</v>
      </c>
      <c r="W5" s="61">
        <f t="shared" si="0"/>
        <v>46033</v>
      </c>
      <c r="X5" s="45">
        <f t="shared" si="0"/>
        <v>46034</v>
      </c>
      <c r="Y5" s="45">
        <f t="shared" si="0"/>
        <v>46035</v>
      </c>
      <c r="Z5" s="45">
        <f t="shared" si="0"/>
        <v>46036</v>
      </c>
      <c r="AA5" s="45">
        <f t="shared" si="0"/>
        <v>46037</v>
      </c>
      <c r="AB5" s="45">
        <f t="shared" si="0"/>
        <v>46038</v>
      </c>
      <c r="AC5" s="61">
        <f t="shared" si="0"/>
        <v>46039</v>
      </c>
      <c r="AD5" s="61">
        <f t="shared" si="0"/>
        <v>46040</v>
      </c>
      <c r="AE5" s="45">
        <f t="shared" si="0"/>
        <v>46041</v>
      </c>
      <c r="AF5" s="45">
        <f t="shared" si="0"/>
        <v>46042</v>
      </c>
      <c r="AG5" s="45">
        <f t="shared" si="0"/>
        <v>46043</v>
      </c>
      <c r="AH5" s="45">
        <f t="shared" si="0"/>
        <v>46044</v>
      </c>
      <c r="AI5" s="45">
        <f t="shared" si="0"/>
        <v>46045</v>
      </c>
      <c r="AJ5" s="45">
        <f t="shared" si="0"/>
        <v>46046</v>
      </c>
      <c r="AK5" s="61">
        <f t="shared" si="0"/>
        <v>46047</v>
      </c>
    </row>
    <row r="6" spans="1:37" ht="52.15" customHeight="1" thickBot="1">
      <c r="A6" s="62" t="s">
        <v>1356</v>
      </c>
      <c r="B6" s="63" t="s">
        <v>1380</v>
      </c>
      <c r="C6" s="63" t="s">
        <v>1381</v>
      </c>
      <c r="D6" s="63" t="s">
        <v>1382</v>
      </c>
      <c r="E6" s="63" t="s">
        <v>1383</v>
      </c>
      <c r="F6" s="63" t="s">
        <v>1384</v>
      </c>
      <c r="G6" s="64" t="s">
        <v>1385</v>
      </c>
      <c r="H6" s="46" t="s">
        <v>1362</v>
      </c>
      <c r="I6" s="47" t="s">
        <v>3</v>
      </c>
      <c r="J6" s="65" t="str">
        <f>LEFT(TEXT(J5,"ddd"),3)</f>
        <v>Mon</v>
      </c>
      <c r="K6" s="66" t="str">
        <f t="shared" ref="K6:AK6" si="1">LEFT(TEXT(K5,"ddd"),3)</f>
        <v>Tue</v>
      </c>
      <c r="L6" s="67" t="str">
        <f t="shared" si="1"/>
        <v>Wed</v>
      </c>
      <c r="M6" s="67" t="str">
        <f t="shared" si="1"/>
        <v>Thu</v>
      </c>
      <c r="N6" s="66" t="str">
        <f t="shared" si="1"/>
        <v>Fri</v>
      </c>
      <c r="O6" s="66" t="str">
        <f t="shared" si="1"/>
        <v>Sat</v>
      </c>
      <c r="P6" s="67" t="str">
        <f t="shared" si="1"/>
        <v>Sun</v>
      </c>
      <c r="Q6" s="66" t="str">
        <f t="shared" si="1"/>
        <v>Mon</v>
      </c>
      <c r="R6" s="66" t="str">
        <f t="shared" si="1"/>
        <v>Tue</v>
      </c>
      <c r="S6" s="66" t="str">
        <f t="shared" si="1"/>
        <v>Wed</v>
      </c>
      <c r="T6" s="66" t="str">
        <f t="shared" si="1"/>
        <v>Thu</v>
      </c>
      <c r="U6" s="48" t="str">
        <f t="shared" si="1"/>
        <v>Fri</v>
      </c>
      <c r="V6" s="48" t="str">
        <f t="shared" si="1"/>
        <v>Sat</v>
      </c>
      <c r="W6" s="67" t="str">
        <f t="shared" si="1"/>
        <v>Sun</v>
      </c>
      <c r="X6" s="48" t="str">
        <f t="shared" si="1"/>
        <v>Mon</v>
      </c>
      <c r="Y6" s="48" t="str">
        <f t="shared" si="1"/>
        <v>Tue</v>
      </c>
      <c r="Z6" s="48" t="str">
        <f t="shared" si="1"/>
        <v>Wed</v>
      </c>
      <c r="AA6" s="48" t="str">
        <f t="shared" si="1"/>
        <v>Thu</v>
      </c>
      <c r="AB6" s="48" t="str">
        <f t="shared" si="1"/>
        <v>Fri</v>
      </c>
      <c r="AC6" s="67" t="str">
        <f t="shared" si="1"/>
        <v>Sat</v>
      </c>
      <c r="AD6" s="67" t="str">
        <f t="shared" si="1"/>
        <v>Sun</v>
      </c>
      <c r="AE6" s="48" t="str">
        <f t="shared" si="1"/>
        <v>Mon</v>
      </c>
      <c r="AF6" s="48" t="str">
        <f t="shared" si="1"/>
        <v>Tue</v>
      </c>
      <c r="AG6" s="48" t="str">
        <f t="shared" si="1"/>
        <v>Wed</v>
      </c>
      <c r="AH6" s="48" t="str">
        <f t="shared" si="1"/>
        <v>Thu</v>
      </c>
      <c r="AI6" s="48" t="str">
        <f t="shared" si="1"/>
        <v>Fri</v>
      </c>
      <c r="AJ6" s="48" t="str">
        <f t="shared" si="1"/>
        <v>Sat</v>
      </c>
      <c r="AK6" s="67" t="str">
        <f t="shared" si="1"/>
        <v>Sun</v>
      </c>
    </row>
    <row r="7" spans="1:37" s="74" customFormat="1" ht="35.1" customHeight="1" thickBot="1">
      <c r="A7" s="49">
        <v>1</v>
      </c>
      <c r="B7" s="50" t="s">
        <v>1369</v>
      </c>
      <c r="C7" s="68" t="s">
        <v>354</v>
      </c>
      <c r="D7" s="69">
        <v>1</v>
      </c>
      <c r="E7" s="51">
        <v>46024</v>
      </c>
      <c r="F7" s="51">
        <v>46025</v>
      </c>
      <c r="G7" s="70">
        <v>46032</v>
      </c>
      <c r="H7" s="105"/>
      <c r="I7" s="71">
        <f t="shared" ref="I7" si="2">IF(OR(ISBLANK(task_start),ISBLANK(task_end)),"",task_end-task_start+1)</f>
        <v>9</v>
      </c>
      <c r="J7" s="72"/>
      <c r="K7" s="72"/>
      <c r="L7" s="73"/>
      <c r="M7" s="73"/>
      <c r="N7" s="72"/>
      <c r="O7" s="72"/>
      <c r="P7" s="73"/>
      <c r="Q7" s="72"/>
      <c r="R7" s="72"/>
      <c r="S7" s="72"/>
      <c r="T7" s="72"/>
      <c r="U7" s="72"/>
      <c r="V7" s="72"/>
      <c r="W7" s="73"/>
      <c r="X7" s="72"/>
      <c r="Y7" s="72"/>
      <c r="Z7" s="72"/>
      <c r="AA7" s="72"/>
      <c r="AB7" s="72"/>
      <c r="AC7" s="73"/>
      <c r="AD7" s="73"/>
      <c r="AE7" s="72"/>
      <c r="AF7" s="72"/>
      <c r="AG7" s="72"/>
      <c r="AH7" s="72"/>
      <c r="AI7" s="72"/>
      <c r="AJ7" s="72"/>
      <c r="AK7" s="73"/>
    </row>
    <row r="8" spans="1:37" s="74" customFormat="1" ht="35.1" customHeight="1" thickBot="1">
      <c r="A8" s="49">
        <v>2</v>
      </c>
      <c r="B8" s="50" t="s">
        <v>1396</v>
      </c>
      <c r="C8" s="68" t="s">
        <v>354</v>
      </c>
      <c r="D8" s="69">
        <f>COUNTA(Total!H2:H525)/524</f>
        <v>1</v>
      </c>
      <c r="E8" s="51">
        <v>46027</v>
      </c>
      <c r="F8" s="51">
        <v>46052</v>
      </c>
      <c r="G8" s="70"/>
      <c r="H8" s="105">
        <v>524</v>
      </c>
      <c r="I8" s="71"/>
      <c r="J8" s="72"/>
      <c r="K8" s="72"/>
      <c r="L8" s="73"/>
      <c r="M8" s="73"/>
      <c r="N8" s="72"/>
      <c r="O8" s="72"/>
      <c r="P8" s="73"/>
      <c r="Q8" s="72"/>
      <c r="R8" s="72"/>
      <c r="S8" s="72"/>
      <c r="T8" s="72"/>
      <c r="U8" s="72"/>
      <c r="V8" s="72"/>
      <c r="W8" s="73"/>
      <c r="X8" s="72"/>
      <c r="Y8" s="72"/>
      <c r="Z8" s="72"/>
      <c r="AA8" s="72"/>
      <c r="AB8" s="72"/>
      <c r="AC8" s="73"/>
      <c r="AD8" s="73"/>
      <c r="AE8" s="72"/>
      <c r="AF8" s="72"/>
      <c r="AG8" s="72"/>
      <c r="AH8" s="72"/>
      <c r="AI8" s="72"/>
      <c r="AJ8" s="72"/>
      <c r="AK8" s="73"/>
    </row>
    <row r="9" spans="1:37" s="74" customFormat="1" ht="35.1" customHeight="1" thickBot="1">
      <c r="A9" s="49">
        <v>3</v>
      </c>
      <c r="B9" s="50" t="s">
        <v>1371</v>
      </c>
      <c r="C9" s="68" t="s">
        <v>4</v>
      </c>
      <c r="D9" s="69">
        <f>COUNTA(Total!I2:I50)/50</f>
        <v>0</v>
      </c>
      <c r="E9" s="51">
        <v>46055</v>
      </c>
      <c r="F9" s="51">
        <v>46066</v>
      </c>
      <c r="G9" s="70"/>
      <c r="H9" s="105">
        <f>Total!A50</f>
        <v>49</v>
      </c>
      <c r="I9" s="71"/>
      <c r="J9" s="72"/>
      <c r="K9" s="72"/>
      <c r="L9" s="73"/>
      <c r="M9" s="73"/>
      <c r="N9" s="72"/>
      <c r="O9" s="72"/>
      <c r="P9" s="73"/>
      <c r="Q9" s="72"/>
      <c r="R9" s="72"/>
      <c r="S9" s="72"/>
      <c r="T9" s="72"/>
      <c r="U9" s="72"/>
      <c r="V9" s="72"/>
      <c r="W9" s="73"/>
      <c r="X9" s="72"/>
      <c r="Y9" s="72"/>
      <c r="Z9" s="72"/>
      <c r="AA9" s="72"/>
      <c r="AB9" s="72"/>
      <c r="AC9" s="73"/>
      <c r="AD9" s="73"/>
      <c r="AE9" s="72"/>
      <c r="AF9" s="72"/>
      <c r="AG9" s="72"/>
      <c r="AH9" s="72"/>
      <c r="AI9" s="72"/>
      <c r="AJ9" s="72"/>
      <c r="AK9" s="73"/>
    </row>
    <row r="10" spans="1:37" s="74" customFormat="1" ht="35.1" customHeight="1" thickBot="1">
      <c r="A10" s="49">
        <v>4</v>
      </c>
      <c r="B10" s="50" t="s">
        <v>1393</v>
      </c>
      <c r="C10" s="68" t="s">
        <v>4</v>
      </c>
      <c r="D10" s="69">
        <f>COUNTA(Total!I451:I476)/26</f>
        <v>0</v>
      </c>
      <c r="E10" s="51">
        <v>46055</v>
      </c>
      <c r="F10" s="51">
        <v>46066</v>
      </c>
      <c r="G10" s="70"/>
      <c r="H10" s="106">
        <f>Total!A476</f>
        <v>26</v>
      </c>
      <c r="I10" s="71"/>
      <c r="J10" s="72"/>
      <c r="K10" s="72"/>
      <c r="L10" s="73"/>
      <c r="M10" s="73"/>
      <c r="N10" s="72"/>
      <c r="O10" s="72"/>
      <c r="P10" s="73"/>
      <c r="Q10" s="72"/>
      <c r="R10" s="72"/>
      <c r="S10" s="72"/>
      <c r="T10" s="72"/>
      <c r="U10" s="72"/>
      <c r="V10" s="72"/>
      <c r="W10" s="73"/>
      <c r="X10" s="72"/>
      <c r="Y10" s="72"/>
      <c r="Z10" s="72"/>
      <c r="AA10" s="72"/>
      <c r="AB10" s="72"/>
      <c r="AC10" s="73"/>
      <c r="AD10" s="73"/>
      <c r="AE10" s="72"/>
      <c r="AF10" s="72"/>
      <c r="AG10" s="72"/>
      <c r="AH10" s="72"/>
      <c r="AI10" s="72"/>
      <c r="AJ10" s="72"/>
      <c r="AK10" s="73"/>
    </row>
    <row r="11" spans="1:37" s="74" customFormat="1" ht="35.1" customHeight="1" thickBot="1">
      <c r="A11" s="49">
        <v>5</v>
      </c>
      <c r="B11" s="50" t="s">
        <v>1390</v>
      </c>
      <c r="C11" s="68" t="s">
        <v>4</v>
      </c>
      <c r="D11" s="69">
        <f>COUNTA(Total!I51:I118)/68</f>
        <v>0</v>
      </c>
      <c r="E11" s="51">
        <v>46077</v>
      </c>
      <c r="F11" s="51">
        <v>46094</v>
      </c>
      <c r="G11" s="70"/>
      <c r="H11" s="106">
        <f>Total!A118</f>
        <v>68</v>
      </c>
      <c r="I11" s="71"/>
      <c r="J11" s="72"/>
      <c r="K11" s="72"/>
      <c r="L11" s="73"/>
      <c r="M11" s="73"/>
      <c r="N11" s="72"/>
      <c r="O11" s="72"/>
      <c r="P11" s="73"/>
      <c r="Q11" s="72"/>
      <c r="R11" s="72"/>
      <c r="S11" s="72"/>
      <c r="T11" s="72"/>
      <c r="U11" s="72"/>
      <c r="V11" s="72"/>
      <c r="W11" s="73"/>
      <c r="X11" s="72"/>
      <c r="Y11" s="72"/>
      <c r="Z11" s="72"/>
      <c r="AA11" s="72"/>
      <c r="AB11" s="72"/>
      <c r="AC11" s="73"/>
      <c r="AD11" s="73"/>
      <c r="AE11" s="72"/>
      <c r="AF11" s="72"/>
      <c r="AG11" s="72"/>
      <c r="AH11" s="72"/>
      <c r="AI11" s="72"/>
      <c r="AJ11" s="72"/>
      <c r="AK11" s="73"/>
    </row>
    <row r="12" spans="1:37" s="74" customFormat="1" ht="35.1" customHeight="1" thickBot="1">
      <c r="A12" s="49">
        <v>6</v>
      </c>
      <c r="B12" s="50" t="s">
        <v>1391</v>
      </c>
      <c r="C12" s="68" t="s">
        <v>4</v>
      </c>
      <c r="D12" s="69">
        <f>COUNTA(Total!I119:I183)/65</f>
        <v>0</v>
      </c>
      <c r="E12" s="51">
        <v>46077</v>
      </c>
      <c r="F12" s="51">
        <v>46094</v>
      </c>
      <c r="G12" s="70"/>
      <c r="H12" s="106">
        <f>Total!A183</f>
        <v>65</v>
      </c>
      <c r="I12" s="71"/>
      <c r="J12" s="72"/>
      <c r="K12" s="72"/>
      <c r="L12" s="73"/>
      <c r="M12" s="73"/>
      <c r="N12" s="72"/>
      <c r="O12" s="72"/>
      <c r="P12" s="73"/>
      <c r="Q12" s="72"/>
      <c r="R12" s="72"/>
      <c r="S12" s="72"/>
      <c r="T12" s="72"/>
      <c r="U12" s="72"/>
      <c r="V12" s="72"/>
      <c r="W12" s="73"/>
      <c r="X12" s="72"/>
      <c r="Y12" s="72"/>
      <c r="Z12" s="72"/>
      <c r="AA12" s="72"/>
      <c r="AB12" s="72"/>
      <c r="AC12" s="73"/>
      <c r="AD12" s="73"/>
      <c r="AE12" s="72"/>
      <c r="AF12" s="72"/>
      <c r="AG12" s="72"/>
      <c r="AH12" s="72"/>
      <c r="AI12" s="72"/>
      <c r="AJ12" s="72"/>
      <c r="AK12" s="73"/>
    </row>
    <row r="13" spans="1:37" s="74" customFormat="1" ht="35.1" customHeight="1" thickBot="1">
      <c r="A13" s="49">
        <v>7</v>
      </c>
      <c r="B13" s="50" t="s">
        <v>1392</v>
      </c>
      <c r="C13" s="68" t="s">
        <v>4</v>
      </c>
      <c r="D13" s="69">
        <f>COUNTA(Total!I279:I340)/62</f>
        <v>0</v>
      </c>
      <c r="E13" s="51">
        <v>46077</v>
      </c>
      <c r="F13" s="51">
        <v>46094</v>
      </c>
      <c r="G13" s="70"/>
      <c r="H13" s="106">
        <f>Total!A340</f>
        <v>62</v>
      </c>
      <c r="I13" s="71"/>
      <c r="J13" s="72"/>
      <c r="K13" s="72"/>
      <c r="L13" s="73"/>
      <c r="M13" s="73"/>
      <c r="N13" s="72"/>
      <c r="O13" s="72"/>
      <c r="P13" s="73"/>
      <c r="Q13" s="72"/>
      <c r="R13" s="72"/>
      <c r="S13" s="72"/>
      <c r="T13" s="72"/>
      <c r="U13" s="72"/>
      <c r="V13" s="72"/>
      <c r="W13" s="73"/>
      <c r="X13" s="72"/>
      <c r="Y13" s="72"/>
      <c r="Z13" s="72"/>
      <c r="AA13" s="72"/>
      <c r="AB13" s="72"/>
      <c r="AC13" s="73"/>
      <c r="AD13" s="73"/>
      <c r="AE13" s="72"/>
      <c r="AF13" s="72"/>
      <c r="AG13" s="72"/>
      <c r="AH13" s="72"/>
      <c r="AI13" s="72"/>
      <c r="AJ13" s="72"/>
      <c r="AK13" s="73"/>
    </row>
    <row r="14" spans="1:37" s="74" customFormat="1" ht="35.1" customHeight="1" thickBot="1">
      <c r="A14" s="49">
        <v>8</v>
      </c>
      <c r="B14" s="50" t="s">
        <v>1394</v>
      </c>
      <c r="C14" s="68" t="s">
        <v>4</v>
      </c>
      <c r="D14" s="69">
        <f>COUNTA(Total!I341:I450)/110</f>
        <v>0</v>
      </c>
      <c r="E14" s="51">
        <v>46097</v>
      </c>
      <c r="F14" s="51">
        <v>46116</v>
      </c>
      <c r="G14" s="70"/>
      <c r="H14" s="106">
        <f>Total!A450</f>
        <v>110</v>
      </c>
      <c r="I14" s="71"/>
      <c r="J14" s="72"/>
      <c r="K14" s="72"/>
      <c r="L14" s="73"/>
      <c r="M14" s="73"/>
      <c r="N14" s="72"/>
      <c r="O14" s="72"/>
      <c r="P14" s="73"/>
      <c r="Q14" s="72"/>
      <c r="R14" s="72"/>
      <c r="S14" s="72"/>
      <c r="T14" s="72"/>
      <c r="U14" s="72"/>
      <c r="V14" s="72"/>
      <c r="W14" s="73"/>
      <c r="X14" s="72"/>
      <c r="Y14" s="72"/>
      <c r="Z14" s="72"/>
      <c r="AA14" s="72"/>
      <c r="AB14" s="72"/>
      <c r="AC14" s="73"/>
      <c r="AD14" s="73"/>
      <c r="AE14" s="72"/>
      <c r="AF14" s="72"/>
      <c r="AG14" s="72"/>
      <c r="AH14" s="72"/>
      <c r="AI14" s="72"/>
      <c r="AJ14" s="72"/>
      <c r="AK14" s="73"/>
    </row>
    <row r="15" spans="1:37" s="74" customFormat="1" ht="35.1" customHeight="1" thickBot="1">
      <c r="A15" s="49">
        <v>9</v>
      </c>
      <c r="B15" s="50" t="s">
        <v>1389</v>
      </c>
      <c r="C15" s="68" t="s">
        <v>4</v>
      </c>
      <c r="D15" s="69">
        <f>COUNTA(Total!I184:I278)/95</f>
        <v>0</v>
      </c>
      <c r="E15" s="51">
        <v>46118</v>
      </c>
      <c r="F15" s="51">
        <v>46136</v>
      </c>
      <c r="G15" s="70"/>
      <c r="H15" s="106">
        <f>Total!A278</f>
        <v>95</v>
      </c>
      <c r="I15" s="71"/>
      <c r="J15" s="72"/>
      <c r="K15" s="72"/>
      <c r="L15" s="73"/>
      <c r="M15" s="73"/>
      <c r="N15" s="72"/>
      <c r="O15" s="72"/>
      <c r="P15" s="73"/>
      <c r="Q15" s="72"/>
      <c r="R15" s="72"/>
      <c r="S15" s="72"/>
      <c r="T15" s="72"/>
      <c r="U15" s="72"/>
      <c r="V15" s="72"/>
      <c r="W15" s="73"/>
      <c r="X15" s="72"/>
      <c r="Y15" s="72"/>
      <c r="Z15" s="72"/>
      <c r="AA15" s="72"/>
      <c r="AB15" s="72"/>
      <c r="AC15" s="73"/>
      <c r="AD15" s="73"/>
      <c r="AE15" s="72"/>
      <c r="AF15" s="72"/>
      <c r="AG15" s="72"/>
      <c r="AH15" s="72"/>
      <c r="AI15" s="72"/>
      <c r="AJ15" s="72"/>
      <c r="AK15" s="73"/>
    </row>
    <row r="16" spans="1:37" s="74" customFormat="1" ht="35.1" customHeight="1" thickBot="1">
      <c r="A16" s="49">
        <v>10</v>
      </c>
      <c r="B16" s="50" t="s">
        <v>1395</v>
      </c>
      <c r="C16" s="68" t="s">
        <v>4</v>
      </c>
      <c r="D16" s="69">
        <f>COUNTA(Total!I477:I525)/49</f>
        <v>0</v>
      </c>
      <c r="E16" s="51">
        <v>46118</v>
      </c>
      <c r="F16" s="51">
        <v>46136</v>
      </c>
      <c r="G16" s="70"/>
      <c r="H16" s="106">
        <f>Total!A525</f>
        <v>49</v>
      </c>
      <c r="I16" s="71"/>
      <c r="J16" s="72"/>
      <c r="K16" s="72"/>
      <c r="L16" s="73"/>
      <c r="M16" s="73"/>
      <c r="N16" s="72"/>
      <c r="O16" s="72"/>
      <c r="P16" s="73"/>
      <c r="Q16" s="72"/>
      <c r="R16" s="72"/>
      <c r="S16" s="72"/>
      <c r="T16" s="72"/>
      <c r="U16" s="72"/>
      <c r="V16" s="72"/>
      <c r="W16" s="73"/>
      <c r="X16" s="72"/>
      <c r="Y16" s="72"/>
      <c r="Z16" s="72"/>
      <c r="AA16" s="72"/>
      <c r="AB16" s="72"/>
      <c r="AC16" s="73"/>
      <c r="AD16" s="73"/>
      <c r="AE16" s="72"/>
      <c r="AF16" s="72"/>
      <c r="AG16" s="72"/>
      <c r="AH16" s="72"/>
      <c r="AI16" s="72"/>
      <c r="AJ16" s="72"/>
      <c r="AK16" s="73"/>
    </row>
    <row r="17" spans="1:37" s="74" customFormat="1" ht="9.75" customHeight="1">
      <c r="A17" s="34"/>
      <c r="B17" s="75"/>
      <c r="C17" s="76"/>
      <c r="D17" s="77"/>
      <c r="E17" s="78"/>
      <c r="F17" s="79"/>
      <c r="G17" s="80"/>
      <c r="H17" s="79"/>
      <c r="I17" s="79"/>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row>
    <row r="18" spans="1:37" ht="30" customHeight="1">
      <c r="C18" s="41"/>
      <c r="G18" s="82"/>
      <c r="M18" s="9"/>
      <c r="N18" s="116" t="s">
        <v>1386</v>
      </c>
      <c r="O18" s="116"/>
      <c r="P18" s="116"/>
      <c r="Q18" s="116"/>
      <c r="R18" s="116"/>
      <c r="S18" s="116"/>
      <c r="U18" s="83"/>
      <c r="V18" s="116" t="s">
        <v>1387</v>
      </c>
      <c r="W18" s="116"/>
      <c r="X18" s="116"/>
      <c r="Y18" s="116"/>
      <c r="Z18" s="116"/>
      <c r="AA18" s="116"/>
      <c r="AC18" s="53"/>
      <c r="AD18" s="116" t="s">
        <v>1370</v>
      </c>
      <c r="AE18" s="116"/>
      <c r="AF18" s="116"/>
      <c r="AG18" s="116"/>
      <c r="AH18" s="116"/>
      <c r="AI18" s="116"/>
      <c r="AJ18" s="116"/>
      <c r="AK18" s="116"/>
    </row>
    <row r="19" spans="1:37" ht="30" customHeight="1">
      <c r="C19" s="84"/>
    </row>
    <row r="22" spans="1:37" ht="30" customHeight="1">
      <c r="B22" s="85"/>
    </row>
  </sheetData>
  <mergeCells count="5">
    <mergeCell ref="A1:H2"/>
    <mergeCell ref="J4:AK4"/>
    <mergeCell ref="N18:S18"/>
    <mergeCell ref="V18:AA18"/>
    <mergeCell ref="AD18:AK18"/>
  </mergeCells>
  <conditionalFormatting sqref="J5:AB16 AE5:AJ16">
    <cfRule type="expression" dxfId="8" priority="3">
      <formula>AND(TODAY()&gt;=J$5,TODAY()&lt;K$5)</formula>
    </cfRule>
  </conditionalFormatting>
  <conditionalFormatting sqref="J7:AB16 AE7:AJ16">
    <cfRule type="expression" dxfId="7" priority="6" stopIfTrue="1">
      <formula>AND(task_schedule&gt;=J$5,task_start&lt;K$5)</formula>
    </cfRule>
  </conditionalFormatting>
  <conditionalFormatting sqref="J7:AK16">
    <cfRule type="expression" dxfId="6" priority="5">
      <formula>AND(task_start&lt;=J$5,ROUNDDOWN((task_end-task_start+1)*task_progress,0)+task_start-1&gt;=J$5)</formula>
    </cfRule>
  </conditionalFormatting>
  <conditionalFormatting sqref="AC5:AD16">
    <cfRule type="expression" dxfId="5" priority="9">
      <formula>AND(TODAY()&gt;=AC$5,TODAY()&lt;AJ$5)</formula>
    </cfRule>
  </conditionalFormatting>
  <conditionalFormatting sqref="AC7:AD16">
    <cfRule type="expression" dxfId="4" priority="8" stopIfTrue="1">
      <formula>AND(task_schedule&gt;=AC$5,task_start&lt;AJ$5)</formula>
    </cfRule>
  </conditionalFormatting>
  <conditionalFormatting sqref="AK5:AK16">
    <cfRule type="expression" dxfId="3" priority="13">
      <formula>AND(TODAY()&gt;=AK$5,TODAY()&lt;#REF!)</formula>
    </cfRule>
  </conditionalFormatting>
  <conditionalFormatting sqref="AK7:AK16">
    <cfRule type="expression" dxfId="2" priority="10" stopIfTrue="1">
      <formula>AND(task_schedule&gt;=AK$5,task_start&lt;#REF!)</formula>
    </cfRule>
    <cfRule type="expression" dxfId="1" priority="11">
      <formula>AND(TODAY()&gt;=AK$5,TODAY()&lt;#REF!)</formula>
    </cfRule>
  </conditionalFormatting>
  <conditionalFormatting sqref="D7:D16">
    <cfRule type="dataBar" priority="18">
      <dataBar>
        <cfvo type="min"/>
        <cfvo type="max"/>
        <color theme="6" tint="0.39991454817346722"/>
      </dataBar>
      <extLst>
        <ext xmlns:x14="http://schemas.microsoft.com/office/spreadsheetml/2009/9/main" uri="{B025F937-C7B1-47D3-B67F-A62EFF666E3E}">
          <x14:id>{C3BEAA78-82A0-4CD3-9DCF-16735C720B7C}</x14:id>
        </ext>
      </extLst>
    </cfRule>
  </conditionalFormatting>
  <dataValidations count="1">
    <dataValidation type="whole" operator="greaterThanOrEqual" allowBlank="1" showInputMessage="1" promptTitle="Display Week" prompt="Changing this number will scroll the Gantt Chart view." sqref="E4" xr:uid="{A9AF5290-1CDF-4C0A-9ADB-C2D5216E5107}">
      <formula1>1</formula1>
    </dataValidation>
  </dataValidations>
  <printOptions horizontalCentered="1"/>
  <pageMargins left="0.35" right="0.35" top="0.35" bottom="0.5" header="0.3" footer="0.3"/>
  <pageSetup scale="33" fitToHeight="0" orientation="landscape" r:id="rId1"/>
  <headerFooter differentFirst="1" scaleWithDoc="0">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C3BEAA78-82A0-4CD3-9DCF-16735C720B7C}">
            <x14:dataBar minLength="0" maxLength="100" gradient="0">
              <x14:cfvo type="autoMin"/>
              <x14:cfvo type="autoMax"/>
              <x14:negativeFillColor rgb="FFFF0000"/>
              <x14:axisColor rgb="FF000000"/>
            </x14:dataBar>
          </x14:cfRule>
          <xm:sqref>D7:D16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25"/>
  <sheetViews>
    <sheetView zoomScaleNormal="100" workbookViewId="0">
      <pane xSplit="4" ySplit="1" topLeftCell="E2" activePane="bottomRight" state="frozen"/>
      <selection pane="topRight"/>
      <selection pane="bottomLeft"/>
      <selection pane="bottomRight" activeCell="H521" sqref="H521"/>
    </sheetView>
  </sheetViews>
  <sheetFormatPr defaultColWidth="9" defaultRowHeight="15"/>
  <cols>
    <col min="1" max="1" width="5.7109375" style="1" customWidth="1"/>
    <col min="2" max="2" width="33.42578125" style="1" customWidth="1"/>
    <col min="3" max="3" width="18.28515625" style="2" customWidth="1"/>
    <col min="4" max="4" width="21.28515625" style="2" customWidth="1"/>
    <col min="5" max="5" width="24.5703125" style="2" customWidth="1"/>
    <col min="6" max="6" width="18.42578125" style="2" bestFit="1" customWidth="1"/>
    <col min="7" max="8" width="20.85546875" style="1" customWidth="1"/>
    <col min="9" max="9" width="19" style="3" customWidth="1"/>
    <col min="10" max="10" width="15.7109375" style="10" customWidth="1"/>
    <col min="11" max="11" width="17.42578125" style="1" customWidth="1"/>
    <col min="12" max="12" width="32.140625" style="1" customWidth="1"/>
    <col min="13" max="16384" width="9" style="2"/>
  </cols>
  <sheetData>
    <row r="1" spans="1:12" ht="58.15" customHeight="1">
      <c r="A1" s="4" t="s">
        <v>1356</v>
      </c>
      <c r="B1" s="4" t="s">
        <v>1374</v>
      </c>
      <c r="C1" s="35" t="s">
        <v>1357</v>
      </c>
      <c r="D1" s="36" t="s">
        <v>5</v>
      </c>
      <c r="E1" s="36" t="s">
        <v>6</v>
      </c>
      <c r="F1" s="36" t="s">
        <v>7</v>
      </c>
      <c r="G1" s="36" t="s">
        <v>1372</v>
      </c>
      <c r="H1" s="36" t="s">
        <v>1377</v>
      </c>
      <c r="I1" s="37" t="s">
        <v>1373</v>
      </c>
      <c r="J1" s="38" t="s">
        <v>1358</v>
      </c>
      <c r="K1" s="4" t="s">
        <v>1361</v>
      </c>
      <c r="L1" s="4" t="s">
        <v>1359</v>
      </c>
    </row>
    <row r="2" spans="1:12" ht="31.5" customHeight="1">
      <c r="A2" s="104">
        <v>1</v>
      </c>
      <c r="B2" s="123" t="s">
        <v>1397</v>
      </c>
      <c r="C2" s="23" t="s">
        <v>1367</v>
      </c>
      <c r="D2" s="18" t="s">
        <v>1345</v>
      </c>
      <c r="E2" s="6" t="s">
        <v>8</v>
      </c>
      <c r="F2" s="29" t="s">
        <v>1351</v>
      </c>
      <c r="G2" s="25" t="s">
        <v>1345</v>
      </c>
      <c r="H2" s="109" t="s">
        <v>1408</v>
      </c>
      <c r="I2" s="32"/>
      <c r="J2" s="8"/>
      <c r="K2" s="7" t="s">
        <v>10</v>
      </c>
      <c r="L2" s="39"/>
    </row>
    <row r="3" spans="1:12" ht="31.5" customHeight="1">
      <c r="A3" s="5">
        <v>2</v>
      </c>
      <c r="B3" s="121"/>
      <c r="C3" s="14" t="s">
        <v>1318</v>
      </c>
      <c r="D3" s="11" t="s">
        <v>121</v>
      </c>
      <c r="E3" s="11" t="s">
        <v>122</v>
      </c>
      <c r="F3" s="11" t="s">
        <v>123</v>
      </c>
      <c r="G3" s="25" t="s">
        <v>121</v>
      </c>
      <c r="H3" s="109" t="s">
        <v>1408</v>
      </c>
      <c r="I3" s="32"/>
      <c r="J3" s="8"/>
      <c r="K3" s="7" t="s">
        <v>10</v>
      </c>
      <c r="L3" s="39"/>
    </row>
    <row r="4" spans="1:12" ht="31.5" customHeight="1">
      <c r="A4" s="5">
        <v>3</v>
      </c>
      <c r="B4" s="121"/>
      <c r="C4" s="14" t="s">
        <v>1318</v>
      </c>
      <c r="D4" s="11" t="s">
        <v>1157</v>
      </c>
      <c r="E4" s="11" t="s">
        <v>127</v>
      </c>
      <c r="F4" s="11" t="s">
        <v>126</v>
      </c>
      <c r="G4" s="25" t="s">
        <v>1157</v>
      </c>
      <c r="H4" s="109" t="s">
        <v>1408</v>
      </c>
      <c r="I4" s="32"/>
      <c r="J4" s="8"/>
      <c r="K4" s="7" t="s">
        <v>10</v>
      </c>
      <c r="L4" s="39"/>
    </row>
    <row r="5" spans="1:12" ht="31.5" customHeight="1">
      <c r="A5" s="5">
        <v>4</v>
      </c>
      <c r="B5" s="121"/>
      <c r="C5" s="14" t="s">
        <v>1318</v>
      </c>
      <c r="D5" s="11" t="s">
        <v>124</v>
      </c>
      <c r="E5" s="11" t="s">
        <v>8</v>
      </c>
      <c r="F5" s="11" t="s">
        <v>125</v>
      </c>
      <c r="G5" s="25" t="s">
        <v>124</v>
      </c>
      <c r="H5" s="109" t="s">
        <v>1408</v>
      </c>
      <c r="I5" s="32"/>
      <c r="J5" s="8"/>
      <c r="K5" s="7" t="s">
        <v>10</v>
      </c>
      <c r="L5" s="39"/>
    </row>
    <row r="6" spans="1:12" ht="31.5" customHeight="1">
      <c r="A6" s="5">
        <v>5</v>
      </c>
      <c r="B6" s="121"/>
      <c r="C6" s="14" t="s">
        <v>1318</v>
      </c>
      <c r="D6" s="11" t="s">
        <v>1158</v>
      </c>
      <c r="E6" s="11" t="s">
        <v>8</v>
      </c>
      <c r="F6" s="11" t="s">
        <v>1172</v>
      </c>
      <c r="G6" s="25" t="s">
        <v>1158</v>
      </c>
      <c r="H6" s="109" t="s">
        <v>1408</v>
      </c>
      <c r="I6" s="32"/>
      <c r="J6" s="8"/>
      <c r="K6" s="7" t="s">
        <v>10</v>
      </c>
      <c r="L6" s="39"/>
    </row>
    <row r="7" spans="1:12" ht="31.5" customHeight="1">
      <c r="A7" s="5">
        <v>6</v>
      </c>
      <c r="B7" s="121"/>
      <c r="C7" s="14" t="s">
        <v>1318</v>
      </c>
      <c r="D7" s="11" t="s">
        <v>1159</v>
      </c>
      <c r="E7" s="11" t="s">
        <v>8</v>
      </c>
      <c r="F7" s="11" t="s">
        <v>1173</v>
      </c>
      <c r="G7" s="25" t="s">
        <v>1159</v>
      </c>
      <c r="H7" s="109" t="s">
        <v>1408</v>
      </c>
      <c r="I7" s="32"/>
      <c r="J7" s="8"/>
      <c r="K7" s="7" t="s">
        <v>10</v>
      </c>
      <c r="L7" s="39"/>
    </row>
    <row r="8" spans="1:12" ht="31.5" customHeight="1">
      <c r="A8" s="5">
        <v>7</v>
      </c>
      <c r="B8" s="121"/>
      <c r="C8" s="14" t="s">
        <v>1318</v>
      </c>
      <c r="D8" s="11" t="s">
        <v>1160</v>
      </c>
      <c r="E8" s="11" t="s">
        <v>8</v>
      </c>
      <c r="F8" s="11" t="s">
        <v>123</v>
      </c>
      <c r="G8" s="25" t="s">
        <v>1160</v>
      </c>
      <c r="H8" s="109" t="s">
        <v>1408</v>
      </c>
      <c r="I8" s="32"/>
      <c r="J8" s="8"/>
      <c r="K8" s="7" t="s">
        <v>10</v>
      </c>
      <c r="L8" s="39"/>
    </row>
    <row r="9" spans="1:12" ht="31.5" customHeight="1">
      <c r="A9" s="5">
        <v>8</v>
      </c>
      <c r="B9" s="121"/>
      <c r="C9" s="14" t="s">
        <v>1318</v>
      </c>
      <c r="D9" s="11" t="s">
        <v>1161</v>
      </c>
      <c r="E9" s="11" t="s">
        <v>8</v>
      </c>
      <c r="F9" s="11" t="s">
        <v>1174</v>
      </c>
      <c r="G9" s="25" t="s">
        <v>1161</v>
      </c>
      <c r="H9" s="109" t="s">
        <v>1408</v>
      </c>
      <c r="I9" s="32"/>
      <c r="J9" s="8"/>
      <c r="K9" s="7" t="s">
        <v>10</v>
      </c>
      <c r="L9" s="39"/>
    </row>
    <row r="10" spans="1:12" ht="31.5" customHeight="1">
      <c r="A10" s="5">
        <v>9</v>
      </c>
      <c r="B10" s="121"/>
      <c r="C10" s="14" t="s">
        <v>1318</v>
      </c>
      <c r="D10" s="11" t="s">
        <v>20</v>
      </c>
      <c r="E10" s="11" t="s">
        <v>21</v>
      </c>
      <c r="F10" s="11" t="s">
        <v>22</v>
      </c>
      <c r="G10" s="25" t="s">
        <v>20</v>
      </c>
      <c r="H10" s="109" t="s">
        <v>1408</v>
      </c>
      <c r="I10" s="32"/>
      <c r="J10" s="8"/>
      <c r="K10" s="7" t="s">
        <v>10</v>
      </c>
      <c r="L10" s="39"/>
    </row>
    <row r="11" spans="1:12" ht="31.5" customHeight="1">
      <c r="A11" s="5">
        <v>10</v>
      </c>
      <c r="B11" s="121"/>
      <c r="C11" s="14" t="s">
        <v>1318</v>
      </c>
      <c r="D11" s="11" t="s">
        <v>23</v>
      </c>
      <c r="E11" s="11" t="s">
        <v>24</v>
      </c>
      <c r="F11" s="11" t="s">
        <v>25</v>
      </c>
      <c r="G11" s="25" t="s">
        <v>23</v>
      </c>
      <c r="H11" s="109" t="s">
        <v>1408</v>
      </c>
      <c r="I11" s="32"/>
      <c r="J11" s="8"/>
      <c r="K11" s="7" t="s">
        <v>10</v>
      </c>
      <c r="L11" s="39"/>
    </row>
    <row r="12" spans="1:12" ht="31.5" customHeight="1">
      <c r="A12" s="5">
        <v>11</v>
      </c>
      <c r="B12" s="121"/>
      <c r="C12" s="14" t="s">
        <v>1318</v>
      </c>
      <c r="D12" s="11" t="s">
        <v>26</v>
      </c>
      <c r="E12" s="11" t="s">
        <v>27</v>
      </c>
      <c r="F12" s="11" t="s">
        <v>28</v>
      </c>
      <c r="G12" s="25" t="s">
        <v>26</v>
      </c>
      <c r="H12" s="109" t="s">
        <v>1408</v>
      </c>
      <c r="I12" s="32"/>
      <c r="J12" s="8"/>
      <c r="K12" s="7" t="s">
        <v>10</v>
      </c>
      <c r="L12" s="39"/>
    </row>
    <row r="13" spans="1:12" ht="31.5" customHeight="1">
      <c r="A13" s="5">
        <v>12</v>
      </c>
      <c r="B13" s="121"/>
      <c r="C13" s="14" t="s">
        <v>1318</v>
      </c>
      <c r="D13" s="11" t="s">
        <v>29</v>
      </c>
      <c r="E13" s="11" t="s">
        <v>30</v>
      </c>
      <c r="F13" s="11" t="s">
        <v>31</v>
      </c>
      <c r="G13" s="25" t="s">
        <v>29</v>
      </c>
      <c r="H13" s="109" t="s">
        <v>1408</v>
      </c>
      <c r="I13" s="32"/>
      <c r="J13" s="8"/>
      <c r="K13" s="7" t="s">
        <v>10</v>
      </c>
      <c r="L13" s="39"/>
    </row>
    <row r="14" spans="1:12" ht="31.5" customHeight="1">
      <c r="A14" s="5">
        <v>13</v>
      </c>
      <c r="B14" s="121"/>
      <c r="C14" s="14" t="s">
        <v>1318</v>
      </c>
      <c r="D14" s="11" t="s">
        <v>32</v>
      </c>
      <c r="E14" s="11" t="s">
        <v>33</v>
      </c>
      <c r="F14" s="11" t="s">
        <v>34</v>
      </c>
      <c r="G14" s="25" t="s">
        <v>32</v>
      </c>
      <c r="H14" s="109" t="s">
        <v>1408</v>
      </c>
      <c r="I14" s="32"/>
      <c r="J14" s="8"/>
      <c r="K14" s="7" t="s">
        <v>10</v>
      </c>
      <c r="L14" s="39"/>
    </row>
    <row r="15" spans="1:12" ht="31.5" customHeight="1">
      <c r="A15" s="5">
        <v>14</v>
      </c>
      <c r="B15" s="121"/>
      <c r="C15" s="14" t="s">
        <v>1318</v>
      </c>
      <c r="D15" s="11" t="s">
        <v>35</v>
      </c>
      <c r="E15" s="11" t="s">
        <v>36</v>
      </c>
      <c r="F15" s="11" t="s">
        <v>37</v>
      </c>
      <c r="G15" s="25" t="s">
        <v>35</v>
      </c>
      <c r="H15" s="109" t="s">
        <v>1408</v>
      </c>
      <c r="I15" s="32"/>
      <c r="J15" s="8"/>
      <c r="K15" s="7" t="s">
        <v>10</v>
      </c>
      <c r="L15" s="39"/>
    </row>
    <row r="16" spans="1:12" ht="31.5" customHeight="1">
      <c r="A16" s="5">
        <v>15</v>
      </c>
      <c r="B16" s="121"/>
      <c r="C16" s="14" t="s">
        <v>1318</v>
      </c>
      <c r="D16" s="11" t="s">
        <v>38</v>
      </c>
      <c r="E16" s="11" t="s">
        <v>39</v>
      </c>
      <c r="F16" s="11" t="s">
        <v>40</v>
      </c>
      <c r="G16" s="25" t="s">
        <v>38</v>
      </c>
      <c r="H16" s="109" t="s">
        <v>1408</v>
      </c>
      <c r="I16" s="32"/>
      <c r="J16" s="8"/>
      <c r="K16" s="7" t="s">
        <v>10</v>
      </c>
      <c r="L16" s="39"/>
    </row>
    <row r="17" spans="1:12" ht="31.5" customHeight="1">
      <c r="A17" s="5">
        <v>16</v>
      </c>
      <c r="B17" s="121"/>
      <c r="C17" s="14" t="s">
        <v>1318</v>
      </c>
      <c r="D17" s="11" t="s">
        <v>41</v>
      </c>
      <c r="E17" s="11" t="s">
        <v>42</v>
      </c>
      <c r="F17" s="11" t="s">
        <v>43</v>
      </c>
      <c r="G17" s="25" t="s">
        <v>41</v>
      </c>
      <c r="H17" s="109" t="s">
        <v>1408</v>
      </c>
      <c r="I17" s="32"/>
      <c r="J17" s="8"/>
      <c r="K17" s="7" t="s">
        <v>10</v>
      </c>
      <c r="L17" s="39"/>
    </row>
    <row r="18" spans="1:12" ht="31.5" customHeight="1">
      <c r="A18" s="5">
        <v>17</v>
      </c>
      <c r="B18" s="121"/>
      <c r="C18" s="14" t="s">
        <v>1318</v>
      </c>
      <c r="D18" s="11" t="s">
        <v>44</v>
      </c>
      <c r="E18" s="11" t="s">
        <v>45</v>
      </c>
      <c r="F18" s="11" t="s">
        <v>46</v>
      </c>
      <c r="G18" s="25" t="s">
        <v>44</v>
      </c>
      <c r="H18" s="109" t="s">
        <v>1408</v>
      </c>
      <c r="I18" s="32"/>
      <c r="J18" s="8"/>
      <c r="K18" s="7" t="s">
        <v>10</v>
      </c>
      <c r="L18" s="39"/>
    </row>
    <row r="19" spans="1:12" ht="31.5" customHeight="1">
      <c r="A19" s="5">
        <v>18</v>
      </c>
      <c r="B19" s="121"/>
      <c r="C19" s="14" t="s">
        <v>1318</v>
      </c>
      <c r="D19" s="11" t="s">
        <v>47</v>
      </c>
      <c r="E19" s="11" t="s">
        <v>48</v>
      </c>
      <c r="F19" s="11" t="s">
        <v>49</v>
      </c>
      <c r="G19" s="25" t="s">
        <v>47</v>
      </c>
      <c r="H19" s="109" t="s">
        <v>1408</v>
      </c>
      <c r="I19" s="32"/>
      <c r="J19" s="8"/>
      <c r="K19" s="7" t="s">
        <v>10</v>
      </c>
      <c r="L19" s="39"/>
    </row>
    <row r="20" spans="1:12" ht="31.5" customHeight="1">
      <c r="A20" s="5">
        <v>19</v>
      </c>
      <c r="B20" s="121"/>
      <c r="C20" s="14" t="s">
        <v>1318</v>
      </c>
      <c r="D20" s="11" t="s">
        <v>50</v>
      </c>
      <c r="E20" s="11" t="s">
        <v>51</v>
      </c>
      <c r="F20" s="11" t="s">
        <v>52</v>
      </c>
      <c r="G20" s="25" t="s">
        <v>50</v>
      </c>
      <c r="H20" s="109" t="s">
        <v>1408</v>
      </c>
      <c r="I20" s="32"/>
      <c r="J20" s="8"/>
      <c r="K20" s="7" t="s">
        <v>10</v>
      </c>
      <c r="L20" s="39"/>
    </row>
    <row r="21" spans="1:12" ht="31.5" customHeight="1">
      <c r="A21" s="5">
        <v>20</v>
      </c>
      <c r="B21" s="121"/>
      <c r="C21" s="14" t="s">
        <v>1318</v>
      </c>
      <c r="D21" s="11" t="s">
        <v>53</v>
      </c>
      <c r="E21" s="11" t="s">
        <v>54</v>
      </c>
      <c r="F21" s="11" t="s">
        <v>55</v>
      </c>
      <c r="G21" s="25" t="s">
        <v>53</v>
      </c>
      <c r="H21" s="109" t="s">
        <v>1408</v>
      </c>
      <c r="I21" s="32"/>
      <c r="J21" s="8"/>
      <c r="K21" s="7" t="s">
        <v>10</v>
      </c>
      <c r="L21" s="39"/>
    </row>
    <row r="22" spans="1:12" ht="31.5" customHeight="1">
      <c r="A22" s="5">
        <v>21</v>
      </c>
      <c r="B22" s="121"/>
      <c r="C22" s="14" t="s">
        <v>1318</v>
      </c>
      <c r="D22" s="11" t="s">
        <v>56</v>
      </c>
      <c r="E22" s="11" t="s">
        <v>57</v>
      </c>
      <c r="F22" s="11" t="s">
        <v>58</v>
      </c>
      <c r="G22" s="25" t="s">
        <v>56</v>
      </c>
      <c r="H22" s="109" t="s">
        <v>1408</v>
      </c>
      <c r="I22" s="32"/>
      <c r="J22" s="8"/>
      <c r="K22" s="7" t="s">
        <v>10</v>
      </c>
      <c r="L22" s="39"/>
    </row>
    <row r="23" spans="1:12" ht="31.5" customHeight="1">
      <c r="A23" s="5">
        <v>22</v>
      </c>
      <c r="B23" s="121"/>
      <c r="C23" s="14" t="s">
        <v>1318</v>
      </c>
      <c r="D23" s="11" t="s">
        <v>59</v>
      </c>
      <c r="E23" s="11" t="s">
        <v>60</v>
      </c>
      <c r="F23" s="11" t="s">
        <v>61</v>
      </c>
      <c r="G23" s="25" t="s">
        <v>59</v>
      </c>
      <c r="H23" s="109" t="s">
        <v>1408</v>
      </c>
      <c r="I23" s="32"/>
      <c r="J23" s="8"/>
      <c r="K23" s="7" t="s">
        <v>10</v>
      </c>
      <c r="L23" s="39"/>
    </row>
    <row r="24" spans="1:12" ht="31.5" customHeight="1">
      <c r="A24" s="5">
        <v>23</v>
      </c>
      <c r="B24" s="121"/>
      <c r="C24" s="14" t="s">
        <v>1318</v>
      </c>
      <c r="D24" s="11" t="s">
        <v>62</v>
      </c>
      <c r="E24" s="11" t="s">
        <v>63</v>
      </c>
      <c r="F24" s="11" t="s">
        <v>64</v>
      </c>
      <c r="G24" s="26" t="s">
        <v>62</v>
      </c>
      <c r="H24" s="109" t="s">
        <v>1408</v>
      </c>
      <c r="I24" s="32"/>
      <c r="J24" s="8"/>
      <c r="K24" s="7" t="s">
        <v>10</v>
      </c>
      <c r="L24" s="5"/>
    </row>
    <row r="25" spans="1:12" ht="31.5" customHeight="1">
      <c r="A25" s="5">
        <v>24</v>
      </c>
      <c r="B25" s="121"/>
      <c r="C25" s="14" t="s">
        <v>1318</v>
      </c>
      <c r="D25" s="11" t="s">
        <v>65</v>
      </c>
      <c r="E25" s="11" t="s">
        <v>66</v>
      </c>
      <c r="F25" s="11" t="s">
        <v>67</v>
      </c>
      <c r="G25" s="25" t="s">
        <v>65</v>
      </c>
      <c r="H25" s="109" t="s">
        <v>1408</v>
      </c>
      <c r="I25" s="32"/>
      <c r="J25" s="8"/>
      <c r="K25" s="7" t="s">
        <v>10</v>
      </c>
      <c r="L25" s="39"/>
    </row>
    <row r="26" spans="1:12" ht="31.5" customHeight="1">
      <c r="A26" s="5">
        <v>25</v>
      </c>
      <c r="B26" s="121"/>
      <c r="C26" s="14" t="s">
        <v>1318</v>
      </c>
      <c r="D26" s="11" t="s">
        <v>68</v>
      </c>
      <c r="E26" s="11" t="s">
        <v>69</v>
      </c>
      <c r="F26" s="11" t="s">
        <v>70</v>
      </c>
      <c r="G26" s="25" t="s">
        <v>68</v>
      </c>
      <c r="H26" s="109" t="s">
        <v>1408</v>
      </c>
      <c r="I26" s="32"/>
      <c r="J26" s="8"/>
      <c r="K26" s="7" t="s">
        <v>10</v>
      </c>
      <c r="L26" s="39"/>
    </row>
    <row r="27" spans="1:12" ht="31.5" customHeight="1">
      <c r="A27" s="5">
        <v>26</v>
      </c>
      <c r="B27" s="121"/>
      <c r="C27" s="14" t="s">
        <v>1318</v>
      </c>
      <c r="D27" s="11" t="s">
        <v>71</v>
      </c>
      <c r="E27" s="11" t="s">
        <v>72</v>
      </c>
      <c r="F27" s="11" t="s">
        <v>73</v>
      </c>
      <c r="G27" s="25" t="s">
        <v>71</v>
      </c>
      <c r="H27" s="109" t="s">
        <v>1408</v>
      </c>
      <c r="I27" s="32"/>
      <c r="J27" s="8"/>
      <c r="K27" s="7" t="s">
        <v>10</v>
      </c>
      <c r="L27" s="39"/>
    </row>
    <row r="28" spans="1:12" ht="31.5" customHeight="1">
      <c r="A28" s="5">
        <v>27</v>
      </c>
      <c r="B28" s="121"/>
      <c r="C28" s="14" t="s">
        <v>1318</v>
      </c>
      <c r="D28" s="11" t="s">
        <v>74</v>
      </c>
      <c r="E28" s="11" t="s">
        <v>75</v>
      </c>
      <c r="F28" s="11" t="s">
        <v>76</v>
      </c>
      <c r="G28" s="25" t="s">
        <v>74</v>
      </c>
      <c r="H28" s="109" t="s">
        <v>1408</v>
      </c>
      <c r="I28" s="32"/>
      <c r="J28" s="8"/>
      <c r="K28" s="7" t="s">
        <v>10</v>
      </c>
      <c r="L28" s="39"/>
    </row>
    <row r="29" spans="1:12" ht="31.5" customHeight="1">
      <c r="A29" s="5">
        <v>28</v>
      </c>
      <c r="B29" s="121"/>
      <c r="C29" s="14" t="s">
        <v>1318</v>
      </c>
      <c r="D29" s="11" t="s">
        <v>77</v>
      </c>
      <c r="E29" s="11" t="s">
        <v>78</v>
      </c>
      <c r="F29" s="11" t="s">
        <v>79</v>
      </c>
      <c r="G29" s="25" t="s">
        <v>77</v>
      </c>
      <c r="H29" s="109" t="s">
        <v>1408</v>
      </c>
      <c r="I29" s="32"/>
      <c r="J29" s="8"/>
      <c r="K29" s="7" t="s">
        <v>10</v>
      </c>
      <c r="L29" s="39"/>
    </row>
    <row r="30" spans="1:12" ht="31.5" customHeight="1">
      <c r="A30" s="5">
        <v>29</v>
      </c>
      <c r="B30" s="121"/>
      <c r="C30" s="14" t="s">
        <v>1318</v>
      </c>
      <c r="D30" s="11" t="s">
        <v>80</v>
      </c>
      <c r="E30" s="11" t="s">
        <v>81</v>
      </c>
      <c r="F30" s="11" t="s">
        <v>82</v>
      </c>
      <c r="G30" s="25" t="s">
        <v>80</v>
      </c>
      <c r="H30" s="109" t="s">
        <v>1408</v>
      </c>
      <c r="I30" s="32"/>
      <c r="J30" s="8"/>
      <c r="K30" s="7" t="s">
        <v>10</v>
      </c>
      <c r="L30" s="39"/>
    </row>
    <row r="31" spans="1:12" ht="31.5" customHeight="1">
      <c r="A31" s="5">
        <v>30</v>
      </c>
      <c r="B31" s="121"/>
      <c r="C31" s="14" t="s">
        <v>1318</v>
      </c>
      <c r="D31" s="11" t="s">
        <v>83</v>
      </c>
      <c r="E31" s="11" t="s">
        <v>84</v>
      </c>
      <c r="F31" s="11" t="s">
        <v>85</v>
      </c>
      <c r="G31" s="25" t="s">
        <v>83</v>
      </c>
      <c r="H31" s="109" t="s">
        <v>1408</v>
      </c>
      <c r="I31" s="32"/>
      <c r="J31" s="8"/>
      <c r="K31" s="7" t="s">
        <v>10</v>
      </c>
      <c r="L31" s="39"/>
    </row>
    <row r="32" spans="1:12" ht="31.5" customHeight="1">
      <c r="A32" s="5">
        <v>31</v>
      </c>
      <c r="B32" s="121"/>
      <c r="C32" s="14" t="s">
        <v>1318</v>
      </c>
      <c r="D32" s="11" t="s">
        <v>86</v>
      </c>
      <c r="E32" s="11" t="s">
        <v>87</v>
      </c>
      <c r="F32" s="11" t="s">
        <v>88</v>
      </c>
      <c r="G32" s="25" t="s">
        <v>86</v>
      </c>
      <c r="H32" s="109" t="s">
        <v>1408</v>
      </c>
      <c r="I32" s="32"/>
      <c r="J32" s="8"/>
      <c r="K32" s="7" t="s">
        <v>10</v>
      </c>
      <c r="L32" s="39"/>
    </row>
    <row r="33" spans="1:12" ht="31.5" customHeight="1">
      <c r="A33" s="5">
        <v>32</v>
      </c>
      <c r="B33" s="121"/>
      <c r="C33" s="14" t="s">
        <v>1318</v>
      </c>
      <c r="D33" s="11" t="s">
        <v>89</v>
      </c>
      <c r="E33" s="11" t="s">
        <v>90</v>
      </c>
      <c r="F33" s="11" t="s">
        <v>91</v>
      </c>
      <c r="G33" s="25" t="s">
        <v>89</v>
      </c>
      <c r="H33" s="109" t="s">
        <v>1408</v>
      </c>
      <c r="I33" s="32"/>
      <c r="J33" s="8"/>
      <c r="K33" s="7" t="s">
        <v>10</v>
      </c>
      <c r="L33" s="39"/>
    </row>
    <row r="34" spans="1:12" ht="31.5" customHeight="1">
      <c r="A34" s="5">
        <v>33</v>
      </c>
      <c r="B34" s="121"/>
      <c r="C34" s="14" t="s">
        <v>1318</v>
      </c>
      <c r="D34" s="11" t="s">
        <v>92</v>
      </c>
      <c r="E34" s="11" t="s">
        <v>93</v>
      </c>
      <c r="F34" s="11" t="s">
        <v>94</v>
      </c>
      <c r="G34" s="25" t="s">
        <v>92</v>
      </c>
      <c r="H34" s="109" t="s">
        <v>1408</v>
      </c>
      <c r="I34" s="32"/>
      <c r="J34" s="8"/>
      <c r="K34" s="7" t="s">
        <v>10</v>
      </c>
      <c r="L34" s="39"/>
    </row>
    <row r="35" spans="1:12" ht="31.5" customHeight="1">
      <c r="A35" s="5">
        <v>34</v>
      </c>
      <c r="B35" s="121"/>
      <c r="C35" s="14" t="s">
        <v>1318</v>
      </c>
      <c r="D35" s="11" t="s">
        <v>95</v>
      </c>
      <c r="E35" s="11" t="s">
        <v>96</v>
      </c>
      <c r="F35" s="11" t="s">
        <v>97</v>
      </c>
      <c r="G35" s="25" t="s">
        <v>95</v>
      </c>
      <c r="H35" s="109" t="s">
        <v>1408</v>
      </c>
      <c r="I35" s="32"/>
      <c r="J35" s="8"/>
      <c r="K35" s="7" t="s">
        <v>10</v>
      </c>
      <c r="L35" s="39"/>
    </row>
    <row r="36" spans="1:12" ht="31.5" customHeight="1">
      <c r="A36" s="5">
        <v>35</v>
      </c>
      <c r="B36" s="121"/>
      <c r="C36" s="14" t="s">
        <v>1318</v>
      </c>
      <c r="D36" s="11" t="s">
        <v>98</v>
      </c>
      <c r="E36" s="11" t="s">
        <v>99</v>
      </c>
      <c r="F36" s="11" t="s">
        <v>100</v>
      </c>
      <c r="G36" s="25" t="s">
        <v>98</v>
      </c>
      <c r="H36" s="109" t="s">
        <v>1408</v>
      </c>
      <c r="I36" s="32"/>
      <c r="J36" s="8"/>
      <c r="K36" s="7" t="s">
        <v>10</v>
      </c>
      <c r="L36" s="39"/>
    </row>
    <row r="37" spans="1:12" ht="31.5" customHeight="1">
      <c r="A37" s="5">
        <v>36</v>
      </c>
      <c r="B37" s="121"/>
      <c r="C37" s="14" t="s">
        <v>1318</v>
      </c>
      <c r="D37" s="11" t="s">
        <v>101</v>
      </c>
      <c r="E37" s="11" t="s">
        <v>102</v>
      </c>
      <c r="F37" s="11" t="s">
        <v>103</v>
      </c>
      <c r="G37" s="25" t="s">
        <v>101</v>
      </c>
      <c r="H37" s="109" t="s">
        <v>1408</v>
      </c>
      <c r="I37" s="32"/>
      <c r="J37" s="8"/>
      <c r="K37" s="7" t="s">
        <v>10</v>
      </c>
      <c r="L37" s="39"/>
    </row>
    <row r="38" spans="1:12" ht="31.5" customHeight="1">
      <c r="A38" s="5">
        <v>37</v>
      </c>
      <c r="B38" s="121"/>
      <c r="C38" s="14" t="s">
        <v>1318</v>
      </c>
      <c r="D38" s="11" t="s">
        <v>104</v>
      </c>
      <c r="E38" s="11" t="s">
        <v>105</v>
      </c>
      <c r="F38" s="11" t="s">
        <v>1175</v>
      </c>
      <c r="G38" s="25" t="s">
        <v>104</v>
      </c>
      <c r="H38" s="109" t="s">
        <v>1408</v>
      </c>
      <c r="I38" s="32"/>
      <c r="J38" s="8"/>
      <c r="K38" s="7" t="s">
        <v>10</v>
      </c>
      <c r="L38" s="39"/>
    </row>
    <row r="39" spans="1:12" ht="31.5" customHeight="1">
      <c r="A39" s="5">
        <v>38</v>
      </c>
      <c r="B39" s="121"/>
      <c r="C39" s="14" t="s">
        <v>1318</v>
      </c>
      <c r="D39" s="11" t="s">
        <v>106</v>
      </c>
      <c r="E39" s="11" t="s">
        <v>107</v>
      </c>
      <c r="F39" s="11" t="s">
        <v>108</v>
      </c>
      <c r="G39" s="25" t="s">
        <v>106</v>
      </c>
      <c r="H39" s="109" t="s">
        <v>1408</v>
      </c>
      <c r="I39" s="32"/>
      <c r="J39" s="8"/>
      <c r="K39" s="7" t="s">
        <v>10</v>
      </c>
      <c r="L39" s="39"/>
    </row>
    <row r="40" spans="1:12" ht="31.5" customHeight="1">
      <c r="A40" s="5">
        <v>39</v>
      </c>
      <c r="B40" s="121"/>
      <c r="C40" s="14" t="s">
        <v>1318</v>
      </c>
      <c r="D40" s="11" t="s">
        <v>109</v>
      </c>
      <c r="E40" s="11" t="s">
        <v>110</v>
      </c>
      <c r="F40" s="11" t="s">
        <v>111</v>
      </c>
      <c r="G40" s="25" t="s">
        <v>109</v>
      </c>
      <c r="H40" s="109" t="s">
        <v>1408</v>
      </c>
      <c r="I40" s="32"/>
      <c r="J40" s="8"/>
      <c r="K40" s="7" t="s">
        <v>10</v>
      </c>
      <c r="L40" s="39"/>
    </row>
    <row r="41" spans="1:12" ht="31.5" customHeight="1">
      <c r="A41" s="5">
        <v>40</v>
      </c>
      <c r="B41" s="121"/>
      <c r="C41" s="14" t="s">
        <v>1318</v>
      </c>
      <c r="D41" s="11" t="s">
        <v>112</v>
      </c>
      <c r="E41" s="11" t="s">
        <v>113</v>
      </c>
      <c r="F41" s="11" t="s">
        <v>114</v>
      </c>
      <c r="G41" s="25" t="s">
        <v>112</v>
      </c>
      <c r="H41" s="109" t="s">
        <v>1408</v>
      </c>
      <c r="I41" s="32"/>
      <c r="J41" s="8"/>
      <c r="K41" s="7" t="s">
        <v>10</v>
      </c>
      <c r="L41" s="39"/>
    </row>
    <row r="42" spans="1:12" ht="31.5" customHeight="1">
      <c r="A42" s="5">
        <v>41</v>
      </c>
      <c r="B42" s="121"/>
      <c r="C42" s="14" t="s">
        <v>1318</v>
      </c>
      <c r="D42" s="11" t="s">
        <v>115</v>
      </c>
      <c r="E42" s="11" t="s">
        <v>116</v>
      </c>
      <c r="F42" s="11" t="s">
        <v>117</v>
      </c>
      <c r="G42" s="25" t="s">
        <v>115</v>
      </c>
      <c r="H42" s="109" t="s">
        <v>1408</v>
      </c>
      <c r="I42" s="32"/>
      <c r="J42" s="8"/>
      <c r="K42" s="7" t="s">
        <v>10</v>
      </c>
      <c r="L42" s="39"/>
    </row>
    <row r="43" spans="1:12" ht="31.5" customHeight="1">
      <c r="A43" s="5">
        <v>42</v>
      </c>
      <c r="B43" s="121"/>
      <c r="C43" s="14" t="s">
        <v>1318</v>
      </c>
      <c r="D43" s="11" t="s">
        <v>118</v>
      </c>
      <c r="E43" s="11" t="s">
        <v>119</v>
      </c>
      <c r="F43" s="11" t="s">
        <v>120</v>
      </c>
      <c r="G43" s="25" t="s">
        <v>118</v>
      </c>
      <c r="H43" s="109" t="s">
        <v>1408</v>
      </c>
      <c r="I43" s="32"/>
      <c r="J43" s="8"/>
      <c r="K43" s="7" t="s">
        <v>10</v>
      </c>
      <c r="L43" s="39"/>
    </row>
    <row r="44" spans="1:12" ht="31.5" customHeight="1">
      <c r="A44" s="5">
        <v>43</v>
      </c>
      <c r="B44" s="121"/>
      <c r="C44" s="14" t="s">
        <v>1318</v>
      </c>
      <c r="D44" s="11" t="s">
        <v>1176</v>
      </c>
      <c r="E44" s="11" t="s">
        <v>129</v>
      </c>
      <c r="F44" s="11" t="s">
        <v>1177</v>
      </c>
      <c r="G44" s="25" t="s">
        <v>1176</v>
      </c>
      <c r="H44" s="109" t="s">
        <v>1408</v>
      </c>
      <c r="I44" s="32"/>
      <c r="J44" s="8"/>
      <c r="K44" s="7" t="s">
        <v>10</v>
      </c>
      <c r="L44" s="39"/>
    </row>
    <row r="45" spans="1:12" ht="31.5" customHeight="1">
      <c r="A45" s="5">
        <v>44</v>
      </c>
      <c r="B45" s="121"/>
      <c r="C45" s="14" t="s">
        <v>1319</v>
      </c>
      <c r="D45" s="11" t="s">
        <v>131</v>
      </c>
      <c r="E45" s="11" t="s">
        <v>132</v>
      </c>
      <c r="F45" s="11" t="s">
        <v>133</v>
      </c>
      <c r="G45" s="25" t="s">
        <v>131</v>
      </c>
      <c r="H45" s="109" t="s">
        <v>1408</v>
      </c>
      <c r="I45" s="32"/>
      <c r="J45" s="8"/>
      <c r="K45" s="7" t="s">
        <v>10</v>
      </c>
      <c r="L45" s="39"/>
    </row>
    <row r="46" spans="1:12" ht="31.5" customHeight="1">
      <c r="A46" s="5">
        <v>45</v>
      </c>
      <c r="B46" s="121"/>
      <c r="C46" s="14" t="s">
        <v>1319</v>
      </c>
      <c r="D46" s="11" t="s">
        <v>134</v>
      </c>
      <c r="E46" s="11" t="s">
        <v>135</v>
      </c>
      <c r="F46" s="11" t="s">
        <v>136</v>
      </c>
      <c r="G46" s="25" t="s">
        <v>134</v>
      </c>
      <c r="H46" s="109" t="s">
        <v>1408</v>
      </c>
      <c r="I46" s="32"/>
      <c r="J46" s="8"/>
      <c r="K46" s="7" t="s">
        <v>10</v>
      </c>
      <c r="L46" s="39"/>
    </row>
    <row r="47" spans="1:12" ht="31.5" customHeight="1">
      <c r="A47" s="5">
        <v>46</v>
      </c>
      <c r="B47" s="121"/>
      <c r="C47" s="14" t="s">
        <v>1319</v>
      </c>
      <c r="D47" s="11" t="s">
        <v>137</v>
      </c>
      <c r="E47" s="11" t="s">
        <v>138</v>
      </c>
      <c r="F47" s="11" t="s">
        <v>139</v>
      </c>
      <c r="G47" s="25" t="s">
        <v>137</v>
      </c>
      <c r="H47" s="109" t="s">
        <v>1408</v>
      </c>
      <c r="I47" s="32"/>
      <c r="J47" s="8"/>
      <c r="K47" s="7" t="s">
        <v>10</v>
      </c>
      <c r="L47" s="39"/>
    </row>
    <row r="48" spans="1:12" ht="31.5" customHeight="1">
      <c r="A48" s="5">
        <v>47</v>
      </c>
      <c r="B48" s="121"/>
      <c r="C48" s="14" t="s">
        <v>1319</v>
      </c>
      <c r="D48" s="11" t="s">
        <v>140</v>
      </c>
      <c r="E48" s="11" t="s">
        <v>141</v>
      </c>
      <c r="F48" s="11" t="s">
        <v>142</v>
      </c>
      <c r="G48" s="25" t="s">
        <v>140</v>
      </c>
      <c r="H48" s="109" t="s">
        <v>1408</v>
      </c>
      <c r="I48" s="32"/>
      <c r="J48" s="8"/>
      <c r="K48" s="7" t="s">
        <v>10</v>
      </c>
      <c r="L48" s="39"/>
    </row>
    <row r="49" spans="1:12" ht="31.5" customHeight="1">
      <c r="A49" s="5">
        <v>48</v>
      </c>
      <c r="B49" s="121"/>
      <c r="C49" s="14" t="s">
        <v>1319</v>
      </c>
      <c r="D49" s="11" t="s">
        <v>143</v>
      </c>
      <c r="E49" s="11" t="s">
        <v>144</v>
      </c>
      <c r="F49" s="11" t="s">
        <v>139</v>
      </c>
      <c r="G49" s="25" t="s">
        <v>143</v>
      </c>
      <c r="H49" s="109" t="s">
        <v>1408</v>
      </c>
      <c r="I49" s="32"/>
      <c r="J49" s="8"/>
      <c r="K49" s="7" t="s">
        <v>10</v>
      </c>
      <c r="L49" s="39"/>
    </row>
    <row r="50" spans="1:12" ht="31.5" customHeight="1" thickBot="1">
      <c r="A50" s="5">
        <v>49</v>
      </c>
      <c r="B50" s="122"/>
      <c r="C50" s="86" t="s">
        <v>1319</v>
      </c>
      <c r="D50" s="87" t="s">
        <v>145</v>
      </c>
      <c r="E50" s="87" t="s">
        <v>146</v>
      </c>
      <c r="F50" s="87" t="s">
        <v>147</v>
      </c>
      <c r="G50" s="88" t="s">
        <v>145</v>
      </c>
      <c r="H50" s="109" t="s">
        <v>1408</v>
      </c>
      <c r="I50" s="89"/>
      <c r="J50" s="90"/>
      <c r="K50" s="88" t="s">
        <v>10</v>
      </c>
      <c r="L50" s="91"/>
    </row>
    <row r="51" spans="1:12" ht="31.5" customHeight="1">
      <c r="A51" s="104">
        <v>1</v>
      </c>
      <c r="B51" s="120" t="s">
        <v>1398</v>
      </c>
      <c r="C51" s="92" t="s">
        <v>1320</v>
      </c>
      <c r="D51" s="93" t="s">
        <v>1341</v>
      </c>
      <c r="E51" s="94" t="s">
        <v>8</v>
      </c>
      <c r="F51" s="95" t="s">
        <v>17</v>
      </c>
      <c r="G51" s="96" t="s">
        <v>1341</v>
      </c>
      <c r="H51" s="111" t="s">
        <v>1408</v>
      </c>
      <c r="I51" s="97"/>
      <c r="J51" s="98"/>
      <c r="K51" s="7" t="s">
        <v>10</v>
      </c>
      <c r="L51" s="100"/>
    </row>
    <row r="52" spans="1:12" ht="31.5" customHeight="1">
      <c r="A52" s="5">
        <v>2</v>
      </c>
      <c r="B52" s="121"/>
      <c r="C52" s="14" t="s">
        <v>1320</v>
      </c>
      <c r="D52" s="11" t="s">
        <v>1128</v>
      </c>
      <c r="E52" s="11" t="s">
        <v>8</v>
      </c>
      <c r="F52" s="11" t="s">
        <v>162</v>
      </c>
      <c r="G52" s="25" t="s">
        <v>1128</v>
      </c>
      <c r="H52" s="109" t="s">
        <v>1408</v>
      </c>
      <c r="I52" s="32"/>
      <c r="J52" s="8"/>
      <c r="K52" s="7" t="s">
        <v>10</v>
      </c>
      <c r="L52" s="39"/>
    </row>
    <row r="53" spans="1:12" ht="31.5" customHeight="1">
      <c r="A53" s="5">
        <v>3</v>
      </c>
      <c r="B53" s="121"/>
      <c r="C53" s="14" t="s">
        <v>1320</v>
      </c>
      <c r="D53" s="11" t="s">
        <v>149</v>
      </c>
      <c r="E53" s="11" t="s">
        <v>150</v>
      </c>
      <c r="F53" s="11" t="s">
        <v>151</v>
      </c>
      <c r="G53" s="25" t="s">
        <v>149</v>
      </c>
      <c r="H53" s="109" t="s">
        <v>1408</v>
      </c>
      <c r="I53" s="32"/>
      <c r="J53" s="8"/>
      <c r="K53" s="7" t="s">
        <v>10</v>
      </c>
      <c r="L53" s="39"/>
    </row>
    <row r="54" spans="1:12" ht="31.5" customHeight="1">
      <c r="A54" s="5">
        <v>4</v>
      </c>
      <c r="B54" s="121"/>
      <c r="C54" s="14" t="s">
        <v>1320</v>
      </c>
      <c r="D54" s="11" t="s">
        <v>152</v>
      </c>
      <c r="E54" s="11" t="s">
        <v>153</v>
      </c>
      <c r="F54" s="11" t="s">
        <v>154</v>
      </c>
      <c r="G54" s="25" t="s">
        <v>152</v>
      </c>
      <c r="H54" s="109" t="s">
        <v>1408</v>
      </c>
      <c r="I54" s="32"/>
      <c r="J54" s="8"/>
      <c r="K54" s="7" t="s">
        <v>10</v>
      </c>
      <c r="L54" s="39"/>
    </row>
    <row r="55" spans="1:12" ht="31.5" customHeight="1">
      <c r="A55" s="5">
        <v>5</v>
      </c>
      <c r="B55" s="121"/>
      <c r="C55" s="14" t="s">
        <v>1320</v>
      </c>
      <c r="D55" s="11" t="s">
        <v>1179</v>
      </c>
      <c r="E55" s="11" t="s">
        <v>8</v>
      </c>
      <c r="F55" s="11" t="s">
        <v>1180</v>
      </c>
      <c r="G55" s="25" t="s">
        <v>1179</v>
      </c>
      <c r="H55" s="109" t="s">
        <v>1408</v>
      </c>
      <c r="I55" s="32"/>
      <c r="J55" s="8"/>
      <c r="K55" s="7" t="s">
        <v>10</v>
      </c>
      <c r="L55" s="39"/>
    </row>
    <row r="56" spans="1:12" ht="31.5" customHeight="1">
      <c r="A56" s="5">
        <v>6</v>
      </c>
      <c r="B56" s="121"/>
      <c r="C56" s="14" t="s">
        <v>1320</v>
      </c>
      <c r="D56" s="11" t="s">
        <v>1110</v>
      </c>
      <c r="E56" s="11" t="s">
        <v>8</v>
      </c>
      <c r="F56" s="11" t="s">
        <v>1181</v>
      </c>
      <c r="G56" s="26" t="s">
        <v>1110</v>
      </c>
      <c r="H56" s="109" t="s">
        <v>1408</v>
      </c>
      <c r="I56" s="32"/>
      <c r="J56" s="8"/>
      <c r="K56" s="7" t="s">
        <v>10</v>
      </c>
      <c r="L56" s="5"/>
    </row>
    <row r="57" spans="1:12" ht="31.5" customHeight="1">
      <c r="A57" s="5">
        <v>7</v>
      </c>
      <c r="B57" s="121"/>
      <c r="C57" s="14" t="s">
        <v>1320</v>
      </c>
      <c r="D57" s="11" t="s">
        <v>1111</v>
      </c>
      <c r="E57" s="11" t="s">
        <v>8</v>
      </c>
      <c r="F57" s="11" t="s">
        <v>1182</v>
      </c>
      <c r="G57" s="25" t="s">
        <v>1111</v>
      </c>
      <c r="H57" s="109" t="s">
        <v>1408</v>
      </c>
      <c r="I57" s="32"/>
      <c r="J57" s="8"/>
      <c r="K57" s="7" t="s">
        <v>10</v>
      </c>
      <c r="L57" s="39"/>
    </row>
    <row r="58" spans="1:12" ht="31.5" customHeight="1">
      <c r="A58" s="5">
        <v>8</v>
      </c>
      <c r="B58" s="121"/>
      <c r="C58" s="14" t="s">
        <v>1320</v>
      </c>
      <c r="D58" s="11" t="s">
        <v>165</v>
      </c>
      <c r="E58" s="11" t="s">
        <v>8</v>
      </c>
      <c r="F58" s="11" t="s">
        <v>166</v>
      </c>
      <c r="G58" s="25" t="s">
        <v>165</v>
      </c>
      <c r="H58" s="109" t="s">
        <v>1408</v>
      </c>
      <c r="I58" s="32"/>
      <c r="J58" s="8"/>
      <c r="K58" s="7" t="s">
        <v>10</v>
      </c>
      <c r="L58" s="39"/>
    </row>
    <row r="59" spans="1:12" ht="31.5" customHeight="1">
      <c r="A59" s="5">
        <v>9</v>
      </c>
      <c r="B59" s="121"/>
      <c r="C59" s="14" t="s">
        <v>1320</v>
      </c>
      <c r="D59" s="11" t="s">
        <v>181</v>
      </c>
      <c r="E59" s="11" t="s">
        <v>8</v>
      </c>
      <c r="F59" s="11" t="s">
        <v>182</v>
      </c>
      <c r="G59" s="25" t="s">
        <v>181</v>
      </c>
      <c r="H59" s="109" t="s">
        <v>1408</v>
      </c>
      <c r="I59" s="32"/>
      <c r="J59" s="8"/>
      <c r="K59" s="7" t="s">
        <v>10</v>
      </c>
      <c r="L59" s="39"/>
    </row>
    <row r="60" spans="1:12" ht="31.5" customHeight="1">
      <c r="A60" s="5">
        <v>10</v>
      </c>
      <c r="B60" s="121"/>
      <c r="C60" s="14" t="s">
        <v>1320</v>
      </c>
      <c r="D60" s="11" t="s">
        <v>1183</v>
      </c>
      <c r="E60" s="11" t="s">
        <v>8</v>
      </c>
      <c r="F60" s="11" t="s">
        <v>1184</v>
      </c>
      <c r="G60" s="25" t="s">
        <v>1183</v>
      </c>
      <c r="H60" s="109" t="s">
        <v>1408</v>
      </c>
      <c r="I60" s="32"/>
      <c r="J60" s="8"/>
      <c r="K60" s="7" t="s">
        <v>10</v>
      </c>
      <c r="L60" s="39"/>
    </row>
    <row r="61" spans="1:12" ht="31.5" customHeight="1">
      <c r="A61" s="5">
        <v>11</v>
      </c>
      <c r="B61" s="121"/>
      <c r="C61" s="14" t="s">
        <v>1320</v>
      </c>
      <c r="D61" s="11" t="s">
        <v>1112</v>
      </c>
      <c r="E61" s="11" t="s">
        <v>8</v>
      </c>
      <c r="F61" s="11" t="s">
        <v>1185</v>
      </c>
      <c r="G61" s="25" t="s">
        <v>1112</v>
      </c>
      <c r="H61" s="109" t="s">
        <v>1408</v>
      </c>
      <c r="I61" s="32"/>
      <c r="J61" s="8"/>
      <c r="K61" s="7" t="s">
        <v>10</v>
      </c>
      <c r="L61" s="39"/>
    </row>
    <row r="62" spans="1:12" ht="31.5" customHeight="1">
      <c r="A62" s="5">
        <v>12</v>
      </c>
      <c r="B62" s="121"/>
      <c r="C62" s="14" t="s">
        <v>1320</v>
      </c>
      <c r="D62" s="11" t="s">
        <v>1113</v>
      </c>
      <c r="E62" s="11" t="s">
        <v>8</v>
      </c>
      <c r="F62" s="11" t="s">
        <v>1187</v>
      </c>
      <c r="G62" s="25" t="s">
        <v>1113</v>
      </c>
      <c r="H62" s="109" t="s">
        <v>1408</v>
      </c>
      <c r="I62" s="32"/>
      <c r="J62" s="8"/>
      <c r="K62" s="7" t="s">
        <v>10</v>
      </c>
      <c r="L62" s="39"/>
    </row>
    <row r="63" spans="1:12" ht="31.5" customHeight="1">
      <c r="A63" s="5">
        <v>13</v>
      </c>
      <c r="B63" s="121"/>
      <c r="C63" s="14" t="s">
        <v>1320</v>
      </c>
      <c r="D63" s="11" t="s">
        <v>158</v>
      </c>
      <c r="E63" s="11" t="s">
        <v>8</v>
      </c>
      <c r="F63" s="11" t="s">
        <v>159</v>
      </c>
      <c r="G63" s="25" t="s">
        <v>158</v>
      </c>
      <c r="H63" s="109" t="s">
        <v>1408</v>
      </c>
      <c r="I63" s="32"/>
      <c r="J63" s="8"/>
      <c r="K63" s="7" t="s">
        <v>10</v>
      </c>
      <c r="L63" s="39"/>
    </row>
    <row r="64" spans="1:12" ht="31.5" customHeight="1">
      <c r="A64" s="5">
        <v>14</v>
      </c>
      <c r="B64" s="121"/>
      <c r="C64" s="14" t="s">
        <v>1320</v>
      </c>
      <c r="D64" s="11" t="s">
        <v>1114</v>
      </c>
      <c r="E64" s="11" t="s">
        <v>8</v>
      </c>
      <c r="F64" s="11" t="s">
        <v>185</v>
      </c>
      <c r="G64" s="25" t="s">
        <v>1114</v>
      </c>
      <c r="H64" s="109" t="s">
        <v>1408</v>
      </c>
      <c r="I64" s="32"/>
      <c r="J64" s="8"/>
      <c r="K64" s="7" t="s">
        <v>10</v>
      </c>
      <c r="L64" s="39"/>
    </row>
    <row r="65" spans="1:12" ht="31.5" customHeight="1">
      <c r="A65" s="5">
        <v>15</v>
      </c>
      <c r="B65" s="121"/>
      <c r="C65" s="14" t="s">
        <v>1320</v>
      </c>
      <c r="D65" s="11" t="s">
        <v>169</v>
      </c>
      <c r="E65" s="11" t="s">
        <v>8</v>
      </c>
      <c r="F65" s="11" t="s">
        <v>170</v>
      </c>
      <c r="G65" s="25" t="s">
        <v>169</v>
      </c>
      <c r="H65" s="109" t="s">
        <v>1408</v>
      </c>
      <c r="I65" s="32"/>
      <c r="J65" s="8"/>
      <c r="K65" s="7" t="s">
        <v>10</v>
      </c>
      <c r="L65" s="39"/>
    </row>
    <row r="66" spans="1:12" ht="31.5" customHeight="1">
      <c r="A66" s="5">
        <v>16</v>
      </c>
      <c r="B66" s="121"/>
      <c r="C66" s="14" t="s">
        <v>1320</v>
      </c>
      <c r="D66" s="11" t="s">
        <v>1115</v>
      </c>
      <c r="E66" s="11" t="s">
        <v>8</v>
      </c>
      <c r="F66" s="11" t="s">
        <v>1188</v>
      </c>
      <c r="G66" s="25" t="s">
        <v>1115</v>
      </c>
      <c r="H66" s="109" t="s">
        <v>1408</v>
      </c>
      <c r="I66" s="32"/>
      <c r="J66" s="8"/>
      <c r="K66" s="7" t="s">
        <v>10</v>
      </c>
      <c r="L66" s="39"/>
    </row>
    <row r="67" spans="1:12" ht="31.5" customHeight="1">
      <c r="A67" s="5">
        <v>17</v>
      </c>
      <c r="B67" s="121"/>
      <c r="C67" s="14" t="s">
        <v>1320</v>
      </c>
      <c r="D67" s="11" t="s">
        <v>189</v>
      </c>
      <c r="E67" s="11" t="s">
        <v>8</v>
      </c>
      <c r="F67" s="11" t="s">
        <v>190</v>
      </c>
      <c r="G67" s="25" t="s">
        <v>189</v>
      </c>
      <c r="H67" s="109" t="s">
        <v>1408</v>
      </c>
      <c r="I67" s="32"/>
      <c r="J67" s="8"/>
      <c r="K67" s="7" t="s">
        <v>10</v>
      </c>
      <c r="L67" s="39"/>
    </row>
    <row r="68" spans="1:12" ht="31.5" customHeight="1">
      <c r="A68" s="5">
        <v>18</v>
      </c>
      <c r="B68" s="121"/>
      <c r="C68" s="14" t="s">
        <v>1320</v>
      </c>
      <c r="D68" s="11" t="s">
        <v>1116</v>
      </c>
      <c r="E68" s="11" t="s">
        <v>8</v>
      </c>
      <c r="F68" s="11" t="s">
        <v>1189</v>
      </c>
      <c r="G68" s="25" t="s">
        <v>1116</v>
      </c>
      <c r="H68" s="109" t="s">
        <v>1408</v>
      </c>
      <c r="I68" s="32"/>
      <c r="J68" s="8"/>
      <c r="K68" s="7" t="s">
        <v>10</v>
      </c>
      <c r="L68" s="39"/>
    </row>
    <row r="69" spans="1:12" ht="31.5" customHeight="1">
      <c r="A69" s="5">
        <v>19</v>
      </c>
      <c r="B69" s="121"/>
      <c r="C69" s="14" t="s">
        <v>1320</v>
      </c>
      <c r="D69" s="11" t="s">
        <v>177</v>
      </c>
      <c r="E69" s="11" t="s">
        <v>8</v>
      </c>
      <c r="F69" s="11" t="s">
        <v>178</v>
      </c>
      <c r="G69" s="25" t="s">
        <v>177</v>
      </c>
      <c r="H69" s="109" t="s">
        <v>1408</v>
      </c>
      <c r="I69" s="32"/>
      <c r="J69" s="8"/>
      <c r="K69" s="7" t="s">
        <v>10</v>
      </c>
      <c r="L69" s="39"/>
    </row>
    <row r="70" spans="1:12" ht="31.5" customHeight="1">
      <c r="A70" s="5">
        <v>20</v>
      </c>
      <c r="B70" s="121"/>
      <c r="C70" s="14" t="s">
        <v>1320</v>
      </c>
      <c r="D70" s="11" t="s">
        <v>191</v>
      </c>
      <c r="E70" s="11" t="s">
        <v>8</v>
      </c>
      <c r="F70" s="11" t="s">
        <v>192</v>
      </c>
      <c r="G70" s="25" t="s">
        <v>191</v>
      </c>
      <c r="H70" s="109" t="s">
        <v>1408</v>
      </c>
      <c r="I70" s="32"/>
      <c r="J70" s="8"/>
      <c r="K70" s="7" t="s">
        <v>10</v>
      </c>
      <c r="L70" s="39"/>
    </row>
    <row r="71" spans="1:12" ht="31.5" customHeight="1">
      <c r="A71" s="5">
        <v>21</v>
      </c>
      <c r="B71" s="121"/>
      <c r="C71" s="14" t="s">
        <v>1320</v>
      </c>
      <c r="D71" s="11" t="s">
        <v>197</v>
      </c>
      <c r="E71" s="11" t="s">
        <v>8</v>
      </c>
      <c r="F71" s="11" t="s">
        <v>198</v>
      </c>
      <c r="G71" s="25" t="s">
        <v>197</v>
      </c>
      <c r="H71" s="109" t="s">
        <v>1408</v>
      </c>
      <c r="I71" s="32"/>
      <c r="J71" s="8"/>
      <c r="K71" s="7" t="s">
        <v>10</v>
      </c>
      <c r="L71" s="39"/>
    </row>
    <row r="72" spans="1:12" ht="31.5" customHeight="1">
      <c r="A72" s="5">
        <v>22</v>
      </c>
      <c r="B72" s="121"/>
      <c r="C72" s="14" t="s">
        <v>1320</v>
      </c>
      <c r="D72" s="11" t="s">
        <v>1117</v>
      </c>
      <c r="E72" s="11" t="s">
        <v>8</v>
      </c>
      <c r="F72" s="11" t="s">
        <v>1190</v>
      </c>
      <c r="G72" s="25" t="s">
        <v>1117</v>
      </c>
      <c r="H72" s="109" t="s">
        <v>1408</v>
      </c>
      <c r="I72" s="32"/>
      <c r="J72" s="8"/>
      <c r="K72" s="7" t="s">
        <v>10</v>
      </c>
      <c r="L72" s="39"/>
    </row>
    <row r="73" spans="1:12" ht="31.5" customHeight="1">
      <c r="A73" s="5">
        <v>23</v>
      </c>
      <c r="B73" s="121"/>
      <c r="C73" s="14" t="s">
        <v>1320</v>
      </c>
      <c r="D73" s="11" t="s">
        <v>1118</v>
      </c>
      <c r="E73" s="11" t="s">
        <v>8</v>
      </c>
      <c r="F73" s="11" t="s">
        <v>1191</v>
      </c>
      <c r="G73" s="25" t="s">
        <v>1118</v>
      </c>
      <c r="H73" s="109" t="s">
        <v>1408</v>
      </c>
      <c r="I73" s="32"/>
      <c r="J73" s="8"/>
      <c r="K73" s="7" t="s">
        <v>10</v>
      </c>
      <c r="L73" s="39"/>
    </row>
    <row r="74" spans="1:12" ht="31.5" customHeight="1">
      <c r="A74" s="5">
        <v>24</v>
      </c>
      <c r="B74" s="121"/>
      <c r="C74" s="14" t="s">
        <v>1320</v>
      </c>
      <c r="D74" s="11" t="s">
        <v>186</v>
      </c>
      <c r="E74" s="11" t="s">
        <v>8</v>
      </c>
      <c r="F74" s="11" t="s">
        <v>187</v>
      </c>
      <c r="G74" s="25" t="s">
        <v>186</v>
      </c>
      <c r="H74" s="109" t="s">
        <v>1408</v>
      </c>
      <c r="I74" s="32"/>
      <c r="J74" s="8"/>
      <c r="K74" s="7" t="s">
        <v>10</v>
      </c>
      <c r="L74" s="39"/>
    </row>
    <row r="75" spans="1:12" ht="31.5" customHeight="1">
      <c r="A75" s="5">
        <v>25</v>
      </c>
      <c r="B75" s="121"/>
      <c r="C75" s="14" t="s">
        <v>1320</v>
      </c>
      <c r="D75" s="11" t="s">
        <v>199</v>
      </c>
      <c r="E75" s="11" t="s">
        <v>8</v>
      </c>
      <c r="F75" s="11" t="s">
        <v>1188</v>
      </c>
      <c r="G75" s="25" t="s">
        <v>199</v>
      </c>
      <c r="H75" s="109" t="s">
        <v>1408</v>
      </c>
      <c r="I75" s="32"/>
      <c r="J75" s="8"/>
      <c r="K75" s="7" t="s">
        <v>10</v>
      </c>
      <c r="L75" s="39"/>
    </row>
    <row r="76" spans="1:12" ht="31.5" customHeight="1">
      <c r="A76" s="5">
        <v>26</v>
      </c>
      <c r="B76" s="121"/>
      <c r="C76" s="14" t="s">
        <v>1320</v>
      </c>
      <c r="D76" s="11" t="s">
        <v>171</v>
      </c>
      <c r="E76" s="11" t="s">
        <v>8</v>
      </c>
      <c r="F76" s="11" t="s">
        <v>172</v>
      </c>
      <c r="G76" s="25" t="s">
        <v>171</v>
      </c>
      <c r="H76" s="109" t="s">
        <v>1408</v>
      </c>
      <c r="I76" s="32"/>
      <c r="J76" s="8"/>
      <c r="K76" s="7" t="s">
        <v>10</v>
      </c>
      <c r="L76" s="39"/>
    </row>
    <row r="77" spans="1:12" ht="31.5" customHeight="1">
      <c r="A77" s="5">
        <v>27</v>
      </c>
      <c r="B77" s="121"/>
      <c r="C77" s="14" t="s">
        <v>1320</v>
      </c>
      <c r="D77" s="11" t="s">
        <v>1119</v>
      </c>
      <c r="E77" s="11" t="s">
        <v>8</v>
      </c>
      <c r="F77" s="11" t="s">
        <v>1192</v>
      </c>
      <c r="G77" s="25" t="s">
        <v>1119</v>
      </c>
      <c r="H77" s="109" t="s">
        <v>1408</v>
      </c>
      <c r="I77" s="32"/>
      <c r="J77" s="8"/>
      <c r="K77" s="7" t="s">
        <v>10</v>
      </c>
      <c r="L77" s="39"/>
    </row>
    <row r="78" spans="1:12" ht="31.5" customHeight="1">
      <c r="A78" s="5">
        <v>28</v>
      </c>
      <c r="B78" s="121"/>
      <c r="C78" s="14" t="s">
        <v>1320</v>
      </c>
      <c r="D78" s="11" t="s">
        <v>1193</v>
      </c>
      <c r="E78" s="11" t="s">
        <v>8</v>
      </c>
      <c r="F78" s="11" t="s">
        <v>1194</v>
      </c>
      <c r="G78" s="25" t="s">
        <v>1193</v>
      </c>
      <c r="H78" s="109" t="s">
        <v>1408</v>
      </c>
      <c r="I78" s="32"/>
      <c r="J78" s="8"/>
      <c r="K78" s="7" t="s">
        <v>10</v>
      </c>
      <c r="L78" s="39"/>
    </row>
    <row r="79" spans="1:12" ht="31.5" customHeight="1">
      <c r="A79" s="5">
        <v>29</v>
      </c>
      <c r="B79" s="121"/>
      <c r="C79" s="14" t="s">
        <v>1320</v>
      </c>
      <c r="D79" s="11" t="s">
        <v>160</v>
      </c>
      <c r="E79" s="11" t="s">
        <v>8</v>
      </c>
      <c r="F79" s="11" t="s">
        <v>161</v>
      </c>
      <c r="G79" s="25" t="s">
        <v>160</v>
      </c>
      <c r="H79" s="109" t="s">
        <v>1408</v>
      </c>
      <c r="I79" s="32"/>
      <c r="J79" s="8"/>
      <c r="K79" s="7" t="s">
        <v>10</v>
      </c>
      <c r="L79" s="39"/>
    </row>
    <row r="80" spans="1:12" ht="31.5" customHeight="1">
      <c r="A80" s="5">
        <v>30</v>
      </c>
      <c r="B80" s="121"/>
      <c r="C80" s="14" t="s">
        <v>1320</v>
      </c>
      <c r="D80" s="11" t="s">
        <v>195</v>
      </c>
      <c r="E80" s="11" t="s">
        <v>8</v>
      </c>
      <c r="F80" s="11" t="s">
        <v>196</v>
      </c>
      <c r="G80" s="25" t="s">
        <v>195</v>
      </c>
      <c r="H80" s="109" t="s">
        <v>1408</v>
      </c>
      <c r="I80" s="32"/>
      <c r="J80" s="8"/>
      <c r="K80" s="7" t="s">
        <v>10</v>
      </c>
      <c r="L80" s="39"/>
    </row>
    <row r="81" spans="1:12" ht="31.5" customHeight="1">
      <c r="A81" s="5">
        <v>31</v>
      </c>
      <c r="B81" s="121"/>
      <c r="C81" s="14" t="s">
        <v>1320</v>
      </c>
      <c r="D81" s="11" t="s">
        <v>1120</v>
      </c>
      <c r="E81" s="11" t="s">
        <v>8</v>
      </c>
      <c r="F81" s="11" t="s">
        <v>164</v>
      </c>
      <c r="G81" s="25" t="s">
        <v>1120</v>
      </c>
      <c r="H81" s="109" t="s">
        <v>1408</v>
      </c>
      <c r="I81" s="32"/>
      <c r="J81" s="8"/>
      <c r="K81" s="7" t="s">
        <v>10</v>
      </c>
      <c r="L81" s="39"/>
    </row>
    <row r="82" spans="1:12" ht="31.5" customHeight="1">
      <c r="A82" s="5">
        <v>32</v>
      </c>
      <c r="B82" s="121"/>
      <c r="C82" s="14" t="s">
        <v>1320</v>
      </c>
      <c r="D82" s="11" t="s">
        <v>193</v>
      </c>
      <c r="E82" s="11" t="s">
        <v>8</v>
      </c>
      <c r="F82" s="11" t="s">
        <v>194</v>
      </c>
      <c r="G82" s="25" t="s">
        <v>193</v>
      </c>
      <c r="H82" s="109" t="s">
        <v>1408</v>
      </c>
      <c r="I82" s="32"/>
      <c r="J82" s="8"/>
      <c r="K82" s="7" t="s">
        <v>10</v>
      </c>
      <c r="L82" s="39"/>
    </row>
    <row r="83" spans="1:12" ht="31.5" customHeight="1">
      <c r="A83" s="5">
        <v>33</v>
      </c>
      <c r="B83" s="121"/>
      <c r="C83" s="14" t="s">
        <v>1320</v>
      </c>
      <c r="D83" s="11" t="s">
        <v>1121</v>
      </c>
      <c r="E83" s="11" t="s">
        <v>8</v>
      </c>
      <c r="F83" s="11" t="s">
        <v>1195</v>
      </c>
      <c r="G83" s="25" t="s">
        <v>1121</v>
      </c>
      <c r="H83" s="109" t="s">
        <v>1408</v>
      </c>
      <c r="I83" s="32"/>
      <c r="J83" s="8"/>
      <c r="K83" s="7" t="s">
        <v>10</v>
      </c>
      <c r="L83" s="39"/>
    </row>
    <row r="84" spans="1:12" ht="31.5" customHeight="1">
      <c r="A84" s="5">
        <v>34</v>
      </c>
      <c r="B84" s="121"/>
      <c r="C84" s="14" t="s">
        <v>1320</v>
      </c>
      <c r="D84" s="11" t="s">
        <v>173</v>
      </c>
      <c r="E84" s="11" t="s">
        <v>8</v>
      </c>
      <c r="F84" s="11" t="s">
        <v>174</v>
      </c>
      <c r="G84" s="25" t="s">
        <v>173</v>
      </c>
      <c r="H84" s="109" t="s">
        <v>1408</v>
      </c>
      <c r="I84" s="32"/>
      <c r="J84" s="8"/>
      <c r="K84" s="7" t="s">
        <v>10</v>
      </c>
      <c r="L84" s="39"/>
    </row>
    <row r="85" spans="1:12" ht="31.5" customHeight="1">
      <c r="A85" s="5">
        <v>35</v>
      </c>
      <c r="B85" s="121"/>
      <c r="C85" s="14" t="s">
        <v>1320</v>
      </c>
      <c r="D85" s="11" t="s">
        <v>1122</v>
      </c>
      <c r="E85" s="11" t="s">
        <v>8</v>
      </c>
      <c r="F85" s="11" t="s">
        <v>1196</v>
      </c>
      <c r="G85" s="25" t="s">
        <v>1122</v>
      </c>
      <c r="H85" s="109" t="s">
        <v>1408</v>
      </c>
      <c r="I85" s="32"/>
      <c r="J85" s="8"/>
      <c r="K85" s="7" t="s">
        <v>10</v>
      </c>
      <c r="L85" s="39"/>
    </row>
    <row r="86" spans="1:12" ht="31.5" customHeight="1">
      <c r="A86" s="5">
        <v>36</v>
      </c>
      <c r="B86" s="121"/>
      <c r="C86" s="14" t="s">
        <v>1320</v>
      </c>
      <c r="D86" s="11" t="s">
        <v>1123</v>
      </c>
      <c r="E86" s="11" t="s">
        <v>8</v>
      </c>
      <c r="F86" s="11" t="s">
        <v>1197</v>
      </c>
      <c r="G86" s="25" t="s">
        <v>1123</v>
      </c>
      <c r="H86" s="109" t="s">
        <v>1408</v>
      </c>
      <c r="I86" s="32"/>
      <c r="J86" s="8"/>
      <c r="K86" s="7" t="s">
        <v>10</v>
      </c>
      <c r="L86" s="39"/>
    </row>
    <row r="87" spans="1:12" ht="31.5" customHeight="1">
      <c r="A87" s="5">
        <v>37</v>
      </c>
      <c r="B87" s="121"/>
      <c r="C87" s="14" t="s">
        <v>1320</v>
      </c>
      <c r="D87" s="11" t="s">
        <v>175</v>
      </c>
      <c r="E87" s="11" t="s">
        <v>8</v>
      </c>
      <c r="F87" s="11" t="s">
        <v>176</v>
      </c>
      <c r="G87" s="25" t="s">
        <v>175</v>
      </c>
      <c r="H87" s="109" t="s">
        <v>1408</v>
      </c>
      <c r="I87" s="32"/>
      <c r="J87" s="8"/>
      <c r="K87" s="7" t="s">
        <v>10</v>
      </c>
      <c r="L87" s="39"/>
    </row>
    <row r="88" spans="1:12" ht="31.5" customHeight="1">
      <c r="A88" s="5">
        <v>38</v>
      </c>
      <c r="B88" s="121"/>
      <c r="C88" s="14" t="s">
        <v>1320</v>
      </c>
      <c r="D88" s="11" t="s">
        <v>167</v>
      </c>
      <c r="E88" s="11" t="s">
        <v>8</v>
      </c>
      <c r="F88" s="11" t="s">
        <v>168</v>
      </c>
      <c r="G88" s="25" t="s">
        <v>167</v>
      </c>
      <c r="H88" s="109" t="s">
        <v>1408</v>
      </c>
      <c r="I88" s="32"/>
      <c r="J88" s="8"/>
      <c r="K88" s="7" t="s">
        <v>10</v>
      </c>
      <c r="L88" s="39"/>
    </row>
    <row r="89" spans="1:12" ht="31.5" customHeight="1">
      <c r="A89" s="5">
        <v>39</v>
      </c>
      <c r="B89" s="121"/>
      <c r="C89" s="14" t="s">
        <v>1320</v>
      </c>
      <c r="D89" s="11" t="s">
        <v>1124</v>
      </c>
      <c r="E89" s="11" t="s">
        <v>8</v>
      </c>
      <c r="F89" s="11" t="s">
        <v>1198</v>
      </c>
      <c r="G89" s="25" t="s">
        <v>1124</v>
      </c>
      <c r="H89" s="109" t="s">
        <v>1408</v>
      </c>
      <c r="I89" s="32"/>
      <c r="J89" s="8"/>
      <c r="K89" s="7" t="s">
        <v>10</v>
      </c>
      <c r="L89" s="39"/>
    </row>
    <row r="90" spans="1:12" ht="31.5" customHeight="1">
      <c r="A90" s="5">
        <v>40</v>
      </c>
      <c r="B90" s="121"/>
      <c r="C90" s="14" t="s">
        <v>1320</v>
      </c>
      <c r="D90" s="11" t="s">
        <v>183</v>
      </c>
      <c r="E90" s="11" t="s">
        <v>8</v>
      </c>
      <c r="F90" s="11" t="s">
        <v>184</v>
      </c>
      <c r="G90" s="25" t="s">
        <v>183</v>
      </c>
      <c r="H90" s="109" t="s">
        <v>1408</v>
      </c>
      <c r="I90" s="32"/>
      <c r="J90" s="8"/>
      <c r="K90" s="7" t="s">
        <v>10</v>
      </c>
      <c r="L90" s="39"/>
    </row>
    <row r="91" spans="1:12" ht="31.5" customHeight="1">
      <c r="A91" s="5">
        <v>41</v>
      </c>
      <c r="B91" s="121"/>
      <c r="C91" s="14" t="s">
        <v>1320</v>
      </c>
      <c r="D91" s="11" t="s">
        <v>1125</v>
      </c>
      <c r="E91" s="11" t="s">
        <v>8</v>
      </c>
      <c r="F91" s="11" t="s">
        <v>200</v>
      </c>
      <c r="G91" s="25" t="s">
        <v>1125</v>
      </c>
      <c r="H91" s="109" t="s">
        <v>1408</v>
      </c>
      <c r="I91" s="32"/>
      <c r="J91" s="8"/>
      <c r="K91" s="7" t="s">
        <v>10</v>
      </c>
      <c r="L91" s="39"/>
    </row>
    <row r="92" spans="1:12" ht="31.5" customHeight="1">
      <c r="A92" s="5">
        <v>42</v>
      </c>
      <c r="B92" s="121"/>
      <c r="C92" s="14" t="s">
        <v>1320</v>
      </c>
      <c r="D92" s="11" t="s">
        <v>155</v>
      </c>
      <c r="E92" s="11" t="s">
        <v>156</v>
      </c>
      <c r="F92" s="11" t="s">
        <v>157</v>
      </c>
      <c r="G92" s="25" t="s">
        <v>155</v>
      </c>
      <c r="H92" s="109" t="s">
        <v>1408</v>
      </c>
      <c r="I92" s="32"/>
      <c r="J92" s="8"/>
      <c r="K92" s="7" t="s">
        <v>10</v>
      </c>
      <c r="L92" s="39"/>
    </row>
    <row r="93" spans="1:12" ht="31.5" customHeight="1">
      <c r="A93" s="5">
        <v>43</v>
      </c>
      <c r="B93" s="121"/>
      <c r="C93" s="14" t="s">
        <v>1320</v>
      </c>
      <c r="D93" s="11" t="s">
        <v>1126</v>
      </c>
      <c r="E93" s="11" t="s">
        <v>8</v>
      </c>
      <c r="F93" s="11" t="s">
        <v>1199</v>
      </c>
      <c r="G93" s="25" t="s">
        <v>1126</v>
      </c>
      <c r="H93" s="109" t="s">
        <v>1408</v>
      </c>
      <c r="I93" s="32"/>
      <c r="J93" s="8"/>
      <c r="K93" s="7" t="s">
        <v>10</v>
      </c>
      <c r="L93" s="39"/>
    </row>
    <row r="94" spans="1:12" ht="31.5" customHeight="1">
      <c r="A94" s="5">
        <v>44</v>
      </c>
      <c r="B94" s="121"/>
      <c r="C94" s="14" t="s">
        <v>1320</v>
      </c>
      <c r="D94" s="11" t="s">
        <v>179</v>
      </c>
      <c r="E94" s="11" t="s">
        <v>8</v>
      </c>
      <c r="F94" s="11" t="s">
        <v>180</v>
      </c>
      <c r="G94" s="25" t="s">
        <v>179</v>
      </c>
      <c r="H94" s="109" t="s">
        <v>1408</v>
      </c>
      <c r="I94" s="32"/>
      <c r="J94" s="8"/>
      <c r="K94" s="7" t="s">
        <v>10</v>
      </c>
      <c r="L94" s="39"/>
    </row>
    <row r="95" spans="1:12" ht="31.5" customHeight="1">
      <c r="A95" s="5">
        <v>45</v>
      </c>
      <c r="B95" s="121"/>
      <c r="C95" s="14" t="s">
        <v>1320</v>
      </c>
      <c r="D95" s="11" t="s">
        <v>1127</v>
      </c>
      <c r="E95" s="11" t="s">
        <v>8</v>
      </c>
      <c r="F95" s="11" t="s">
        <v>1200</v>
      </c>
      <c r="G95" s="25" t="s">
        <v>1127</v>
      </c>
      <c r="H95" s="109" t="s">
        <v>1408</v>
      </c>
      <c r="I95" s="32"/>
      <c r="J95" s="8"/>
      <c r="K95" s="7" t="s">
        <v>10</v>
      </c>
      <c r="L95" s="39"/>
    </row>
    <row r="96" spans="1:12" ht="31.5" customHeight="1">
      <c r="A96" s="5">
        <v>46</v>
      </c>
      <c r="B96" s="121"/>
      <c r="C96" s="14" t="s">
        <v>1320</v>
      </c>
      <c r="D96" s="11" t="s">
        <v>1145</v>
      </c>
      <c r="E96" s="11" t="s">
        <v>201</v>
      </c>
      <c r="F96" s="11" t="s">
        <v>202</v>
      </c>
      <c r="G96" s="25" t="s">
        <v>1145</v>
      </c>
      <c r="H96" s="109" t="s">
        <v>1408</v>
      </c>
      <c r="I96" s="32"/>
      <c r="J96" s="8"/>
      <c r="K96" s="7" t="s">
        <v>10</v>
      </c>
      <c r="L96" s="39"/>
    </row>
    <row r="97" spans="1:12" ht="31.5" customHeight="1">
      <c r="A97" s="5">
        <v>47</v>
      </c>
      <c r="B97" s="121"/>
      <c r="C97" s="14" t="s">
        <v>1320</v>
      </c>
      <c r="D97" s="11" t="s">
        <v>1146</v>
      </c>
      <c r="E97" s="11" t="s">
        <v>203</v>
      </c>
      <c r="F97" s="11" t="s">
        <v>204</v>
      </c>
      <c r="G97" s="25" t="s">
        <v>1146</v>
      </c>
      <c r="H97" s="109" t="s">
        <v>1408</v>
      </c>
      <c r="I97" s="32"/>
      <c r="J97" s="8"/>
      <c r="K97" s="7" t="s">
        <v>10</v>
      </c>
      <c r="L97" s="39"/>
    </row>
    <row r="98" spans="1:12" ht="31.5" customHeight="1">
      <c r="A98" s="5">
        <v>48</v>
      </c>
      <c r="B98" s="121"/>
      <c r="C98" s="14" t="s">
        <v>1320</v>
      </c>
      <c r="D98" s="11" t="s">
        <v>163</v>
      </c>
      <c r="E98" s="11" t="s">
        <v>8</v>
      </c>
      <c r="F98" s="11" t="s">
        <v>164</v>
      </c>
      <c r="G98" s="25" t="s">
        <v>163</v>
      </c>
      <c r="H98" s="109" t="s">
        <v>1408</v>
      </c>
      <c r="I98" s="32"/>
      <c r="J98" s="8"/>
      <c r="K98" s="7" t="s">
        <v>10</v>
      </c>
      <c r="L98" s="39"/>
    </row>
    <row r="99" spans="1:12" ht="31.5" customHeight="1">
      <c r="A99" s="5">
        <v>49</v>
      </c>
      <c r="B99" s="121"/>
      <c r="C99" s="14" t="s">
        <v>1320</v>
      </c>
      <c r="D99" s="11" t="s">
        <v>188</v>
      </c>
      <c r="E99" s="11" t="s">
        <v>8</v>
      </c>
      <c r="F99" s="11" t="s">
        <v>1186</v>
      </c>
      <c r="G99" s="25" t="s">
        <v>188</v>
      </c>
      <c r="H99" s="109" t="s">
        <v>1408</v>
      </c>
      <c r="I99" s="32"/>
      <c r="J99" s="8"/>
      <c r="K99" s="7" t="s">
        <v>10</v>
      </c>
      <c r="L99" s="39"/>
    </row>
    <row r="100" spans="1:12" ht="31.5" customHeight="1">
      <c r="A100" s="5">
        <v>50</v>
      </c>
      <c r="B100" s="121"/>
      <c r="C100" s="22" t="s">
        <v>1366</v>
      </c>
      <c r="D100" s="18" t="s">
        <v>1337</v>
      </c>
      <c r="E100" s="6" t="s">
        <v>8</v>
      </c>
      <c r="F100" s="27" t="s">
        <v>1352</v>
      </c>
      <c r="G100" s="18" t="s">
        <v>1337</v>
      </c>
      <c r="H100" s="109" t="s">
        <v>1408</v>
      </c>
      <c r="I100" s="32"/>
      <c r="J100" s="8"/>
      <c r="K100" s="7" t="s">
        <v>10</v>
      </c>
      <c r="L100" s="39"/>
    </row>
    <row r="101" spans="1:12" ht="31.5" customHeight="1">
      <c r="A101" s="5">
        <v>51</v>
      </c>
      <c r="B101" s="121"/>
      <c r="C101" s="22" t="s">
        <v>1366</v>
      </c>
      <c r="D101" s="18" t="s">
        <v>1339</v>
      </c>
      <c r="E101" s="6" t="s">
        <v>8</v>
      </c>
      <c r="F101" s="27" t="s">
        <v>1349</v>
      </c>
      <c r="G101" s="18" t="s">
        <v>1339</v>
      </c>
      <c r="H101" s="109" t="s">
        <v>1408</v>
      </c>
      <c r="I101" s="32"/>
      <c r="J101" s="8"/>
      <c r="K101" s="7" t="s">
        <v>10</v>
      </c>
      <c r="L101" s="39"/>
    </row>
    <row r="102" spans="1:12" ht="31.5" customHeight="1">
      <c r="A102" s="5">
        <v>52</v>
      </c>
      <c r="B102" s="121"/>
      <c r="C102" s="22" t="s">
        <v>1366</v>
      </c>
      <c r="D102" s="18" t="s">
        <v>1340</v>
      </c>
      <c r="E102" s="6" t="s">
        <v>8</v>
      </c>
      <c r="F102" s="27" t="s">
        <v>15</v>
      </c>
      <c r="G102" s="18" t="s">
        <v>1340</v>
      </c>
      <c r="H102" s="109" t="s">
        <v>1408</v>
      </c>
      <c r="I102" s="32"/>
      <c r="J102" s="8"/>
      <c r="K102" s="7" t="s">
        <v>10</v>
      </c>
      <c r="L102" s="39"/>
    </row>
    <row r="103" spans="1:12" ht="31.5" customHeight="1">
      <c r="A103" s="5">
        <v>53</v>
      </c>
      <c r="B103" s="121"/>
      <c r="C103" s="24" t="s">
        <v>1368</v>
      </c>
      <c r="D103" s="20" t="s">
        <v>1347</v>
      </c>
      <c r="E103" s="6" t="s">
        <v>8</v>
      </c>
      <c r="F103" s="52" t="s">
        <v>16</v>
      </c>
      <c r="G103" s="20" t="s">
        <v>1347</v>
      </c>
      <c r="H103" s="109" t="s">
        <v>1408</v>
      </c>
      <c r="I103" s="32"/>
      <c r="J103" s="8"/>
      <c r="K103" s="7" t="s">
        <v>10</v>
      </c>
      <c r="L103" s="7"/>
    </row>
    <row r="104" spans="1:12" ht="31.5" customHeight="1">
      <c r="A104" s="5">
        <v>54</v>
      </c>
      <c r="B104" s="121"/>
      <c r="C104" s="22" t="s">
        <v>1366</v>
      </c>
      <c r="D104" s="18" t="s">
        <v>1348</v>
      </c>
      <c r="E104" s="6" t="s">
        <v>8</v>
      </c>
      <c r="F104" s="28" t="s">
        <v>1353</v>
      </c>
      <c r="G104" s="18" t="s">
        <v>1348</v>
      </c>
      <c r="H104" s="109" t="s">
        <v>1408</v>
      </c>
      <c r="I104" s="32"/>
      <c r="J104" s="8"/>
      <c r="K104" s="7" t="s">
        <v>10</v>
      </c>
      <c r="L104" s="39"/>
    </row>
    <row r="105" spans="1:12" ht="31.5" customHeight="1">
      <c r="A105" s="5">
        <v>55</v>
      </c>
      <c r="B105" s="121"/>
      <c r="C105" s="14" t="s">
        <v>1321</v>
      </c>
      <c r="D105" s="11" t="s">
        <v>1105</v>
      </c>
      <c r="E105" s="11" t="s">
        <v>1201</v>
      </c>
      <c r="F105" s="11" t="s">
        <v>1202</v>
      </c>
      <c r="G105" s="25" t="s">
        <v>1105</v>
      </c>
      <c r="H105" s="109" t="s">
        <v>1408</v>
      </c>
      <c r="I105" s="32"/>
      <c r="J105" s="8"/>
      <c r="K105" s="7" t="s">
        <v>10</v>
      </c>
      <c r="L105" s="39"/>
    </row>
    <row r="106" spans="1:12" ht="31.5" customHeight="1">
      <c r="A106" s="5">
        <v>56</v>
      </c>
      <c r="B106" s="121"/>
      <c r="C106" s="14" t="s">
        <v>1321</v>
      </c>
      <c r="D106" s="11" t="s">
        <v>207</v>
      </c>
      <c r="E106" s="11" t="s">
        <v>208</v>
      </c>
      <c r="F106" s="11" t="s">
        <v>209</v>
      </c>
      <c r="G106" s="25" t="s">
        <v>207</v>
      </c>
      <c r="H106" s="109" t="s">
        <v>1408</v>
      </c>
      <c r="I106" s="32"/>
      <c r="J106" s="8"/>
      <c r="K106" s="7" t="s">
        <v>10</v>
      </c>
      <c r="L106" s="39"/>
    </row>
    <row r="107" spans="1:12" ht="31.5" customHeight="1">
      <c r="A107" s="5">
        <v>57</v>
      </c>
      <c r="B107" s="121"/>
      <c r="C107" s="14" t="s">
        <v>1321</v>
      </c>
      <c r="D107" s="11" t="s">
        <v>210</v>
      </c>
      <c r="E107" s="11" t="s">
        <v>211</v>
      </c>
      <c r="F107" s="11" t="s">
        <v>212</v>
      </c>
      <c r="G107" s="25" t="s">
        <v>210</v>
      </c>
      <c r="H107" s="109" t="s">
        <v>1408</v>
      </c>
      <c r="I107" s="32"/>
      <c r="J107" s="8"/>
      <c r="K107" s="7" t="s">
        <v>10</v>
      </c>
      <c r="L107" s="39"/>
    </row>
    <row r="108" spans="1:12" ht="31.5" customHeight="1">
      <c r="A108" s="5">
        <v>58</v>
      </c>
      <c r="B108" s="121"/>
      <c r="C108" s="14" t="s">
        <v>1321</v>
      </c>
      <c r="D108" s="11" t="s">
        <v>1106</v>
      </c>
      <c r="E108" s="11" t="s">
        <v>1203</v>
      </c>
      <c r="F108" s="11" t="s">
        <v>1204</v>
      </c>
      <c r="G108" s="25" t="s">
        <v>1106</v>
      </c>
      <c r="H108" s="109" t="s">
        <v>1408</v>
      </c>
      <c r="I108" s="32"/>
      <c r="J108" s="8"/>
      <c r="K108" s="7" t="s">
        <v>10</v>
      </c>
      <c r="L108" s="39"/>
    </row>
    <row r="109" spans="1:12" ht="31.5" customHeight="1">
      <c r="A109" s="5">
        <v>59</v>
      </c>
      <c r="B109" s="121"/>
      <c r="C109" s="14" t="s">
        <v>1321</v>
      </c>
      <c r="D109" s="11" t="s">
        <v>205</v>
      </c>
      <c r="E109" s="11" t="s">
        <v>8</v>
      </c>
      <c r="F109" s="11" t="s">
        <v>206</v>
      </c>
      <c r="G109" s="25" t="s">
        <v>205</v>
      </c>
      <c r="H109" s="109" t="s">
        <v>1408</v>
      </c>
      <c r="I109" s="32"/>
      <c r="J109" s="8"/>
      <c r="K109" s="7" t="s">
        <v>10</v>
      </c>
      <c r="L109" s="39"/>
    </row>
    <row r="110" spans="1:12" ht="31.5" customHeight="1">
      <c r="A110" s="5">
        <v>60</v>
      </c>
      <c r="B110" s="121"/>
      <c r="C110" s="14" t="s">
        <v>1321</v>
      </c>
      <c r="D110" s="11" t="s">
        <v>1104</v>
      </c>
      <c r="E110" s="11" t="s">
        <v>8</v>
      </c>
      <c r="F110" s="11" t="s">
        <v>1205</v>
      </c>
      <c r="G110" s="25" t="s">
        <v>1104</v>
      </c>
      <c r="H110" s="109" t="s">
        <v>1408</v>
      </c>
      <c r="I110" s="32"/>
      <c r="J110" s="8"/>
      <c r="K110" s="7" t="s">
        <v>10</v>
      </c>
      <c r="L110" s="39"/>
    </row>
    <row r="111" spans="1:12" ht="31.5" customHeight="1">
      <c r="A111" s="5">
        <v>61</v>
      </c>
      <c r="B111" s="121"/>
      <c r="C111" s="14" t="s">
        <v>1321</v>
      </c>
      <c r="D111" s="11" t="s">
        <v>213</v>
      </c>
      <c r="E111" s="11" t="s">
        <v>214</v>
      </c>
      <c r="F111" s="11" t="s">
        <v>215</v>
      </c>
      <c r="G111" s="25" t="s">
        <v>213</v>
      </c>
      <c r="H111" s="109" t="s">
        <v>1408</v>
      </c>
      <c r="I111" s="32"/>
      <c r="J111" s="8"/>
      <c r="K111" s="7" t="s">
        <v>10</v>
      </c>
      <c r="L111" s="39"/>
    </row>
    <row r="112" spans="1:12" ht="31.5" customHeight="1">
      <c r="A112" s="5">
        <v>62</v>
      </c>
      <c r="B112" s="121"/>
      <c r="C112" s="14" t="s">
        <v>1321</v>
      </c>
      <c r="D112" s="11" t="s">
        <v>1152</v>
      </c>
      <c r="E112" s="11" t="s">
        <v>8</v>
      </c>
      <c r="F112" s="11" t="s">
        <v>215</v>
      </c>
      <c r="G112" s="25" t="s">
        <v>1152</v>
      </c>
      <c r="H112" s="109" t="s">
        <v>1408</v>
      </c>
      <c r="I112" s="32"/>
      <c r="J112" s="8"/>
      <c r="K112" s="7" t="s">
        <v>10</v>
      </c>
      <c r="L112" s="39"/>
    </row>
    <row r="113" spans="1:12" ht="31.5" customHeight="1">
      <c r="A113" s="5">
        <v>63</v>
      </c>
      <c r="B113" s="121"/>
      <c r="C113" s="14" t="s">
        <v>1327</v>
      </c>
      <c r="D113" s="19" t="s">
        <v>1346</v>
      </c>
      <c r="E113" s="6" t="s">
        <v>8</v>
      </c>
      <c r="F113" s="28" t="s">
        <v>411</v>
      </c>
      <c r="G113" s="19" t="s">
        <v>1375</v>
      </c>
      <c r="H113" s="109" t="s">
        <v>1408</v>
      </c>
      <c r="I113" s="32"/>
      <c r="J113" s="8"/>
      <c r="K113" s="7" t="s">
        <v>10</v>
      </c>
      <c r="L113" s="7"/>
    </row>
    <row r="114" spans="1:12" ht="31.5" customHeight="1">
      <c r="A114" s="5">
        <v>64</v>
      </c>
      <c r="B114" s="121"/>
      <c r="C114" s="14" t="s">
        <v>1327</v>
      </c>
      <c r="D114" s="11" t="s">
        <v>411</v>
      </c>
      <c r="E114" s="11" t="s">
        <v>8</v>
      </c>
      <c r="F114" s="11" t="s">
        <v>411</v>
      </c>
      <c r="G114" s="11" t="s">
        <v>411</v>
      </c>
      <c r="H114" s="109" t="s">
        <v>1408</v>
      </c>
      <c r="I114" s="32"/>
      <c r="J114" s="8"/>
      <c r="K114" s="7" t="s">
        <v>10</v>
      </c>
      <c r="L114" s="39"/>
    </row>
    <row r="115" spans="1:12" ht="31.5" customHeight="1">
      <c r="A115" s="5">
        <v>65</v>
      </c>
      <c r="B115" s="121"/>
      <c r="C115" s="14" t="s">
        <v>1327</v>
      </c>
      <c r="D115" s="11" t="s">
        <v>402</v>
      </c>
      <c r="E115" s="11" t="s">
        <v>403</v>
      </c>
      <c r="F115" s="11" t="s">
        <v>404</v>
      </c>
      <c r="G115" s="25" t="s">
        <v>402</v>
      </c>
      <c r="H115" s="109" t="s">
        <v>1408</v>
      </c>
      <c r="I115" s="32"/>
      <c r="J115" s="8"/>
      <c r="K115" s="7" t="s">
        <v>10</v>
      </c>
      <c r="L115" s="39"/>
    </row>
    <row r="116" spans="1:12" ht="31.5" customHeight="1">
      <c r="A116" s="5">
        <v>66</v>
      </c>
      <c r="B116" s="121"/>
      <c r="C116" s="14" t="s">
        <v>1327</v>
      </c>
      <c r="D116" s="11" t="s">
        <v>405</v>
      </c>
      <c r="E116" s="11" t="s">
        <v>406</v>
      </c>
      <c r="F116" s="11" t="s">
        <v>1230</v>
      </c>
      <c r="G116" s="11" t="s">
        <v>405</v>
      </c>
      <c r="H116" s="109" t="s">
        <v>1408</v>
      </c>
      <c r="I116" s="33"/>
      <c r="J116" s="8"/>
      <c r="K116" s="7" t="s">
        <v>10</v>
      </c>
      <c r="L116" s="5"/>
    </row>
    <row r="117" spans="1:12" ht="31.5" customHeight="1">
      <c r="A117" s="5">
        <v>67</v>
      </c>
      <c r="B117" s="121"/>
      <c r="C117" s="14" t="s">
        <v>1327</v>
      </c>
      <c r="D117" s="11" t="s">
        <v>409</v>
      </c>
      <c r="E117" s="11" t="s">
        <v>8</v>
      </c>
      <c r="F117" s="11" t="s">
        <v>410</v>
      </c>
      <c r="G117" s="25" t="s">
        <v>409</v>
      </c>
      <c r="H117" s="109" t="s">
        <v>1408</v>
      </c>
      <c r="I117" s="32"/>
      <c r="J117" s="8"/>
      <c r="K117" s="7" t="s">
        <v>10</v>
      </c>
      <c r="L117" s="39"/>
    </row>
    <row r="118" spans="1:12" ht="31.5" customHeight="1" thickBot="1">
      <c r="A118" s="5">
        <v>68</v>
      </c>
      <c r="B118" s="122"/>
      <c r="C118" s="86" t="s">
        <v>1327</v>
      </c>
      <c r="D118" s="87" t="s">
        <v>407</v>
      </c>
      <c r="E118" s="87" t="s">
        <v>8</v>
      </c>
      <c r="F118" s="87" t="s">
        <v>408</v>
      </c>
      <c r="G118" s="88" t="s">
        <v>407</v>
      </c>
      <c r="H118" s="109" t="s">
        <v>1408</v>
      </c>
      <c r="I118" s="89"/>
      <c r="J118" s="90"/>
      <c r="K118" s="7" t="s">
        <v>10</v>
      </c>
      <c r="L118" s="91"/>
    </row>
    <row r="119" spans="1:12" ht="31.5" customHeight="1">
      <c r="A119" s="104">
        <v>1</v>
      </c>
      <c r="B119" s="120" t="s">
        <v>1399</v>
      </c>
      <c r="C119" s="92" t="s">
        <v>1323</v>
      </c>
      <c r="D119" s="93" t="s">
        <v>1338</v>
      </c>
      <c r="E119" s="94" t="s">
        <v>8</v>
      </c>
      <c r="F119" s="95" t="s">
        <v>9</v>
      </c>
      <c r="G119" s="96" t="s">
        <v>1338</v>
      </c>
      <c r="H119" s="111" t="s">
        <v>1408</v>
      </c>
      <c r="I119" s="97"/>
      <c r="J119" s="98"/>
      <c r="K119" s="99" t="s">
        <v>11</v>
      </c>
      <c r="L119" s="99"/>
    </row>
    <row r="120" spans="1:12" ht="31.5" customHeight="1">
      <c r="A120" s="5">
        <v>2</v>
      </c>
      <c r="B120" s="121"/>
      <c r="C120" s="14" t="s">
        <v>1323</v>
      </c>
      <c r="D120" s="18" t="s">
        <v>1344</v>
      </c>
      <c r="E120" s="6" t="s">
        <v>8</v>
      </c>
      <c r="F120" s="27" t="s">
        <v>1350</v>
      </c>
      <c r="G120" s="25" t="s">
        <v>1344</v>
      </c>
      <c r="H120" s="109" t="s">
        <v>1408</v>
      </c>
      <c r="I120" s="32"/>
      <c r="J120" s="8"/>
      <c r="K120" s="11" t="s">
        <v>11</v>
      </c>
      <c r="L120" s="39"/>
    </row>
    <row r="121" spans="1:12" ht="31.5" customHeight="1">
      <c r="A121" s="5">
        <v>3</v>
      </c>
      <c r="B121" s="121"/>
      <c r="C121" s="14" t="s">
        <v>1323</v>
      </c>
      <c r="D121" s="11" t="s">
        <v>1099</v>
      </c>
      <c r="E121" s="11" t="s">
        <v>8</v>
      </c>
      <c r="F121" s="11" t="s">
        <v>313</v>
      </c>
      <c r="G121" s="25" t="s">
        <v>1099</v>
      </c>
      <c r="H121" s="109" t="s">
        <v>1408</v>
      </c>
      <c r="I121" s="32"/>
      <c r="J121" s="8"/>
      <c r="K121" s="11" t="s">
        <v>11</v>
      </c>
      <c r="L121" s="39"/>
    </row>
    <row r="122" spans="1:12" ht="31.5" customHeight="1">
      <c r="A122" s="5">
        <v>4</v>
      </c>
      <c r="B122" s="121"/>
      <c r="C122" s="14" t="s">
        <v>1323</v>
      </c>
      <c r="D122" s="11" t="s">
        <v>235</v>
      </c>
      <c r="E122" s="11" t="s">
        <v>236</v>
      </c>
      <c r="F122" s="11" t="s">
        <v>237</v>
      </c>
      <c r="G122" s="25" t="s">
        <v>235</v>
      </c>
      <c r="H122" s="109" t="s">
        <v>1408</v>
      </c>
      <c r="I122" s="32"/>
      <c r="J122" s="8"/>
      <c r="K122" s="11" t="s">
        <v>11</v>
      </c>
      <c r="L122" s="39"/>
    </row>
    <row r="123" spans="1:12" ht="31.5" customHeight="1">
      <c r="A123" s="5">
        <v>5</v>
      </c>
      <c r="B123" s="121"/>
      <c r="C123" s="14" t="s">
        <v>1323</v>
      </c>
      <c r="D123" s="11" t="s">
        <v>238</v>
      </c>
      <c r="E123" s="11" t="s">
        <v>239</v>
      </c>
      <c r="F123" s="11" t="s">
        <v>240</v>
      </c>
      <c r="G123" s="25" t="s">
        <v>238</v>
      </c>
      <c r="H123" s="109" t="s">
        <v>1408</v>
      </c>
      <c r="I123" s="32"/>
      <c r="J123" s="8"/>
      <c r="K123" s="11" t="s">
        <v>11</v>
      </c>
      <c r="L123" s="39"/>
    </row>
    <row r="124" spans="1:12" ht="31.5" customHeight="1">
      <c r="A124" s="5">
        <v>6</v>
      </c>
      <c r="B124" s="121"/>
      <c r="C124" s="14" t="s">
        <v>1323</v>
      </c>
      <c r="D124" s="11" t="s">
        <v>241</v>
      </c>
      <c r="E124" s="11" t="s">
        <v>242</v>
      </c>
      <c r="F124" s="11" t="s">
        <v>1206</v>
      </c>
      <c r="G124" s="25" t="s">
        <v>241</v>
      </c>
      <c r="H124" s="109" t="s">
        <v>1408</v>
      </c>
      <c r="I124" s="32"/>
      <c r="J124" s="8"/>
      <c r="K124" s="11" t="s">
        <v>11</v>
      </c>
      <c r="L124" s="39"/>
    </row>
    <row r="125" spans="1:12" ht="31.5" customHeight="1">
      <c r="A125" s="5">
        <v>7</v>
      </c>
      <c r="B125" s="121"/>
      <c r="C125" s="14" t="s">
        <v>1323</v>
      </c>
      <c r="D125" s="11" t="s">
        <v>243</v>
      </c>
      <c r="E125" s="11" t="s">
        <v>244</v>
      </c>
      <c r="F125" s="11" t="s">
        <v>1207</v>
      </c>
      <c r="G125" s="25" t="s">
        <v>243</v>
      </c>
      <c r="H125" s="109" t="s">
        <v>1408</v>
      </c>
      <c r="I125" s="32"/>
      <c r="J125" s="8"/>
      <c r="K125" s="11" t="s">
        <v>11</v>
      </c>
      <c r="L125" s="39"/>
    </row>
    <row r="126" spans="1:12" ht="31.5" customHeight="1">
      <c r="A126" s="5">
        <v>8</v>
      </c>
      <c r="B126" s="121"/>
      <c r="C126" s="14" t="s">
        <v>1323</v>
      </c>
      <c r="D126" s="11" t="s">
        <v>246</v>
      </c>
      <c r="E126" s="11" t="s">
        <v>247</v>
      </c>
      <c r="F126" s="11" t="s">
        <v>248</v>
      </c>
      <c r="G126" s="25" t="s">
        <v>246</v>
      </c>
      <c r="H126" s="109" t="s">
        <v>1408</v>
      </c>
      <c r="I126" s="32"/>
      <c r="J126" s="8"/>
      <c r="K126" s="11" t="s">
        <v>11</v>
      </c>
      <c r="L126" s="39"/>
    </row>
    <row r="127" spans="1:12" ht="31.5" customHeight="1">
      <c r="A127" s="5">
        <v>9</v>
      </c>
      <c r="B127" s="121"/>
      <c r="C127" s="14" t="s">
        <v>1323</v>
      </c>
      <c r="D127" s="11" t="s">
        <v>249</v>
      </c>
      <c r="E127" s="11" t="s">
        <v>250</v>
      </c>
      <c r="F127" s="11" t="s">
        <v>251</v>
      </c>
      <c r="G127" s="25" t="s">
        <v>249</v>
      </c>
      <c r="H127" s="109" t="s">
        <v>1408</v>
      </c>
      <c r="I127" s="32"/>
      <c r="J127" s="8"/>
      <c r="K127" s="11" t="s">
        <v>11</v>
      </c>
      <c r="L127" s="39"/>
    </row>
    <row r="128" spans="1:12" ht="31.5" customHeight="1">
      <c r="A128" s="5">
        <v>10</v>
      </c>
      <c r="B128" s="121"/>
      <c r="C128" s="14" t="s">
        <v>1323</v>
      </c>
      <c r="D128" s="11" t="s">
        <v>252</v>
      </c>
      <c r="E128" s="11" t="s">
        <v>253</v>
      </c>
      <c r="F128" s="11" t="s">
        <v>254</v>
      </c>
      <c r="G128" s="25" t="s">
        <v>252</v>
      </c>
      <c r="H128" s="109" t="s">
        <v>1408</v>
      </c>
      <c r="I128" s="32"/>
      <c r="J128" s="8"/>
      <c r="K128" s="11" t="s">
        <v>11</v>
      </c>
      <c r="L128" s="39"/>
    </row>
    <row r="129" spans="1:12" ht="31.5" customHeight="1">
      <c r="A129" s="5">
        <v>11</v>
      </c>
      <c r="B129" s="121"/>
      <c r="C129" s="14" t="s">
        <v>1323</v>
      </c>
      <c r="D129" s="11" t="s">
        <v>255</v>
      </c>
      <c r="E129" s="11" t="s">
        <v>256</v>
      </c>
      <c r="F129" s="11" t="s">
        <v>257</v>
      </c>
      <c r="G129" s="25" t="s">
        <v>255</v>
      </c>
      <c r="H129" s="109" t="s">
        <v>1408</v>
      </c>
      <c r="I129" s="32"/>
      <c r="J129" s="8"/>
      <c r="K129" s="11" t="s">
        <v>11</v>
      </c>
      <c r="L129" s="39"/>
    </row>
    <row r="130" spans="1:12" ht="31.5" customHeight="1">
      <c r="A130" s="5">
        <v>12</v>
      </c>
      <c r="B130" s="121"/>
      <c r="C130" s="14" t="s">
        <v>1323</v>
      </c>
      <c r="D130" s="11" t="s">
        <v>258</v>
      </c>
      <c r="E130" s="11" t="s">
        <v>259</v>
      </c>
      <c r="F130" s="11" t="s">
        <v>260</v>
      </c>
      <c r="G130" s="25" t="s">
        <v>258</v>
      </c>
      <c r="H130" s="109" t="s">
        <v>1408</v>
      </c>
      <c r="I130" s="32"/>
      <c r="J130" s="8"/>
      <c r="K130" s="11" t="s">
        <v>11</v>
      </c>
      <c r="L130" s="39"/>
    </row>
    <row r="131" spans="1:12" ht="31.5" customHeight="1">
      <c r="A131" s="5">
        <v>13</v>
      </c>
      <c r="B131" s="121"/>
      <c r="C131" s="14" t="s">
        <v>1323</v>
      </c>
      <c r="D131" s="11" t="s">
        <v>261</v>
      </c>
      <c r="E131" s="11" t="s">
        <v>262</v>
      </c>
      <c r="F131" s="11" t="s">
        <v>263</v>
      </c>
      <c r="G131" s="25" t="s">
        <v>261</v>
      </c>
      <c r="H131" s="109" t="s">
        <v>1408</v>
      </c>
      <c r="I131" s="32"/>
      <c r="J131" s="8"/>
      <c r="K131" s="11" t="s">
        <v>11</v>
      </c>
      <c r="L131" s="39"/>
    </row>
    <row r="132" spans="1:12" ht="31.5" customHeight="1">
      <c r="A132" s="5">
        <v>14</v>
      </c>
      <c r="B132" s="121"/>
      <c r="C132" s="14" t="s">
        <v>1323</v>
      </c>
      <c r="D132" s="11" t="s">
        <v>264</v>
      </c>
      <c r="E132" s="11" t="s">
        <v>265</v>
      </c>
      <c r="F132" s="11" t="s">
        <v>266</v>
      </c>
      <c r="G132" s="25" t="s">
        <v>264</v>
      </c>
      <c r="H132" s="109" t="s">
        <v>1408</v>
      </c>
      <c r="I132" s="32"/>
      <c r="J132" s="8"/>
      <c r="K132" s="11" t="s">
        <v>11</v>
      </c>
      <c r="L132" s="39"/>
    </row>
    <row r="133" spans="1:12" ht="31.5" customHeight="1">
      <c r="A133" s="5">
        <v>15</v>
      </c>
      <c r="B133" s="121"/>
      <c r="C133" s="14" t="s">
        <v>1323</v>
      </c>
      <c r="D133" s="11" t="s">
        <v>267</v>
      </c>
      <c r="E133" s="11" t="s">
        <v>268</v>
      </c>
      <c r="F133" s="11" t="s">
        <v>269</v>
      </c>
      <c r="G133" s="25" t="s">
        <v>267</v>
      </c>
      <c r="H133" s="109" t="s">
        <v>1408</v>
      </c>
      <c r="I133" s="32"/>
      <c r="J133" s="8"/>
      <c r="K133" s="11" t="s">
        <v>11</v>
      </c>
      <c r="L133" s="39"/>
    </row>
    <row r="134" spans="1:12" ht="31.5" customHeight="1">
      <c r="A134" s="5">
        <v>16</v>
      </c>
      <c r="B134" s="121"/>
      <c r="C134" s="14" t="s">
        <v>1323</v>
      </c>
      <c r="D134" s="11" t="s">
        <v>270</v>
      </c>
      <c r="E134" s="11" t="s">
        <v>271</v>
      </c>
      <c r="F134" s="11" t="s">
        <v>272</v>
      </c>
      <c r="G134" s="25" t="s">
        <v>270</v>
      </c>
      <c r="H134" s="109" t="s">
        <v>1408</v>
      </c>
      <c r="I134" s="32"/>
      <c r="J134" s="8"/>
      <c r="K134" s="11" t="s">
        <v>11</v>
      </c>
      <c r="L134" s="39"/>
    </row>
    <row r="135" spans="1:12" ht="31.5" customHeight="1">
      <c r="A135" s="5">
        <v>17</v>
      </c>
      <c r="B135" s="121"/>
      <c r="C135" s="14" t="s">
        <v>1323</v>
      </c>
      <c r="D135" s="11" t="s">
        <v>273</v>
      </c>
      <c r="E135" s="11" t="s">
        <v>274</v>
      </c>
      <c r="F135" s="11" t="s">
        <v>275</v>
      </c>
      <c r="G135" s="25" t="s">
        <v>273</v>
      </c>
      <c r="H135" s="109" t="s">
        <v>1408</v>
      </c>
      <c r="I135" s="32"/>
      <c r="J135" s="8"/>
      <c r="K135" s="11" t="s">
        <v>11</v>
      </c>
      <c r="L135" s="39"/>
    </row>
    <row r="136" spans="1:12" ht="31.5" customHeight="1">
      <c r="A136" s="5">
        <v>18</v>
      </c>
      <c r="B136" s="121"/>
      <c r="C136" s="14" t="s">
        <v>1323</v>
      </c>
      <c r="D136" s="11" t="s">
        <v>276</v>
      </c>
      <c r="E136" s="11" t="s">
        <v>277</v>
      </c>
      <c r="F136" s="11" t="s">
        <v>278</v>
      </c>
      <c r="G136" s="25" t="s">
        <v>276</v>
      </c>
      <c r="H136" s="109" t="s">
        <v>1408</v>
      </c>
      <c r="I136" s="32"/>
      <c r="J136" s="8"/>
      <c r="K136" s="11" t="s">
        <v>11</v>
      </c>
      <c r="L136" s="39"/>
    </row>
    <row r="137" spans="1:12" ht="31.5" customHeight="1">
      <c r="A137" s="5">
        <v>19</v>
      </c>
      <c r="B137" s="121"/>
      <c r="C137" s="14" t="s">
        <v>1323</v>
      </c>
      <c r="D137" s="11" t="s">
        <v>279</v>
      </c>
      <c r="E137" s="11" t="s">
        <v>280</v>
      </c>
      <c r="F137" s="11" t="s">
        <v>281</v>
      </c>
      <c r="G137" s="25" t="s">
        <v>279</v>
      </c>
      <c r="H137" s="109" t="s">
        <v>1408</v>
      </c>
      <c r="I137" s="32"/>
      <c r="J137" s="8"/>
      <c r="K137" s="11" t="s">
        <v>11</v>
      </c>
      <c r="L137" s="39"/>
    </row>
    <row r="138" spans="1:12" ht="31.5" customHeight="1">
      <c r="A138" s="5">
        <v>20</v>
      </c>
      <c r="B138" s="121"/>
      <c r="C138" s="14" t="s">
        <v>1323</v>
      </c>
      <c r="D138" s="11" t="s">
        <v>282</v>
      </c>
      <c r="E138" s="11" t="s">
        <v>283</v>
      </c>
      <c r="F138" s="11" t="s">
        <v>284</v>
      </c>
      <c r="G138" s="25" t="s">
        <v>282</v>
      </c>
      <c r="H138" s="109" t="s">
        <v>1408</v>
      </c>
      <c r="I138" s="32"/>
      <c r="J138" s="8"/>
      <c r="K138" s="11" t="s">
        <v>11</v>
      </c>
      <c r="L138" s="39"/>
    </row>
    <row r="139" spans="1:12" ht="31.5" customHeight="1">
      <c r="A139" s="5">
        <v>21</v>
      </c>
      <c r="B139" s="121"/>
      <c r="C139" s="14" t="s">
        <v>1323</v>
      </c>
      <c r="D139" s="11" t="s">
        <v>285</v>
      </c>
      <c r="E139" s="11" t="s">
        <v>286</v>
      </c>
      <c r="F139" s="11" t="s">
        <v>287</v>
      </c>
      <c r="G139" s="25" t="s">
        <v>285</v>
      </c>
      <c r="H139" s="109" t="s">
        <v>1408</v>
      </c>
      <c r="I139" s="32"/>
      <c r="J139" s="8"/>
      <c r="K139" s="11" t="s">
        <v>11</v>
      </c>
      <c r="L139" s="39"/>
    </row>
    <row r="140" spans="1:12" ht="31.5" customHeight="1">
      <c r="A140" s="5">
        <v>22</v>
      </c>
      <c r="B140" s="121"/>
      <c r="C140" s="14" t="s">
        <v>1323</v>
      </c>
      <c r="D140" s="11" t="s">
        <v>288</v>
      </c>
      <c r="E140" s="11" t="s">
        <v>289</v>
      </c>
      <c r="F140" s="11" t="s">
        <v>290</v>
      </c>
      <c r="G140" s="25" t="s">
        <v>288</v>
      </c>
      <c r="H140" s="109" t="s">
        <v>1408</v>
      </c>
      <c r="I140" s="32"/>
      <c r="J140" s="8"/>
      <c r="K140" s="11" t="s">
        <v>11</v>
      </c>
      <c r="L140" s="39"/>
    </row>
    <row r="141" spans="1:12" ht="31.5" customHeight="1">
      <c r="A141" s="5">
        <v>23</v>
      </c>
      <c r="B141" s="121"/>
      <c r="C141" s="14" t="s">
        <v>1323</v>
      </c>
      <c r="D141" s="11" t="s">
        <v>1168</v>
      </c>
      <c r="E141" s="11" t="s">
        <v>1208</v>
      </c>
      <c r="F141" s="11" t="s">
        <v>1209</v>
      </c>
      <c r="G141" s="25" t="s">
        <v>1168</v>
      </c>
      <c r="H141" s="109" t="s">
        <v>1408</v>
      </c>
      <c r="I141" s="32"/>
      <c r="J141" s="8"/>
      <c r="K141" s="11" t="s">
        <v>11</v>
      </c>
      <c r="L141" s="39"/>
    </row>
    <row r="142" spans="1:12" ht="31.5" customHeight="1">
      <c r="A142" s="5">
        <v>24</v>
      </c>
      <c r="B142" s="121"/>
      <c r="C142" s="14" t="s">
        <v>1323</v>
      </c>
      <c r="D142" s="11" t="s">
        <v>291</v>
      </c>
      <c r="E142" s="11" t="s">
        <v>292</v>
      </c>
      <c r="F142" s="11" t="s">
        <v>293</v>
      </c>
      <c r="G142" s="25" t="s">
        <v>291</v>
      </c>
      <c r="H142" s="109" t="s">
        <v>1408</v>
      </c>
      <c r="I142" s="32"/>
      <c r="J142" s="8"/>
      <c r="K142" s="11" t="s">
        <v>11</v>
      </c>
      <c r="L142" s="39"/>
    </row>
    <row r="143" spans="1:12" ht="31.5" customHeight="1">
      <c r="A143" s="5">
        <v>25</v>
      </c>
      <c r="B143" s="121"/>
      <c r="C143" s="14" t="s">
        <v>1323</v>
      </c>
      <c r="D143" s="11" t="s">
        <v>294</v>
      </c>
      <c r="E143" s="11" t="s">
        <v>295</v>
      </c>
      <c r="F143" s="11" t="s">
        <v>1210</v>
      </c>
      <c r="G143" s="25" t="s">
        <v>294</v>
      </c>
      <c r="H143" s="109" t="s">
        <v>1408</v>
      </c>
      <c r="I143" s="32"/>
      <c r="J143" s="8"/>
      <c r="K143" s="11" t="s">
        <v>11</v>
      </c>
      <c r="L143" s="39"/>
    </row>
    <row r="144" spans="1:12" ht="31.5" customHeight="1">
      <c r="A144" s="5">
        <v>26</v>
      </c>
      <c r="B144" s="121"/>
      <c r="C144" s="14" t="s">
        <v>1323</v>
      </c>
      <c r="D144" s="11" t="s">
        <v>296</v>
      </c>
      <c r="E144" s="11" t="s">
        <v>297</v>
      </c>
      <c r="F144" s="11" t="s">
        <v>298</v>
      </c>
      <c r="G144" s="25" t="s">
        <v>296</v>
      </c>
      <c r="H144" s="109" t="s">
        <v>1408</v>
      </c>
      <c r="I144" s="32"/>
      <c r="J144" s="8"/>
      <c r="K144" s="11" t="s">
        <v>11</v>
      </c>
      <c r="L144" s="39"/>
    </row>
    <row r="145" spans="1:12" ht="31.5" customHeight="1">
      <c r="A145" s="5">
        <v>27</v>
      </c>
      <c r="B145" s="121"/>
      <c r="C145" s="14" t="s">
        <v>1323</v>
      </c>
      <c r="D145" s="11" t="s">
        <v>299</v>
      </c>
      <c r="E145" s="11" t="s">
        <v>300</v>
      </c>
      <c r="F145" s="11" t="s">
        <v>301</v>
      </c>
      <c r="G145" s="25" t="s">
        <v>299</v>
      </c>
      <c r="H145" s="109" t="s">
        <v>1408</v>
      </c>
      <c r="I145" s="32"/>
      <c r="J145" s="8"/>
      <c r="K145" s="11" t="s">
        <v>11</v>
      </c>
      <c r="L145" s="39"/>
    </row>
    <row r="146" spans="1:12" ht="31.5" customHeight="1">
      <c r="A146" s="5">
        <v>28</v>
      </c>
      <c r="B146" s="121"/>
      <c r="C146" s="14" t="s">
        <v>1323</v>
      </c>
      <c r="D146" s="11" t="s">
        <v>302</v>
      </c>
      <c r="E146" s="11" t="s">
        <v>303</v>
      </c>
      <c r="F146" s="11" t="s">
        <v>304</v>
      </c>
      <c r="G146" s="25" t="s">
        <v>302</v>
      </c>
      <c r="H146" s="109" t="s">
        <v>1408</v>
      </c>
      <c r="I146" s="32"/>
      <c r="J146" s="8"/>
      <c r="K146" s="11" t="s">
        <v>11</v>
      </c>
      <c r="L146" s="39"/>
    </row>
    <row r="147" spans="1:12" ht="31.5" customHeight="1">
      <c r="A147" s="5">
        <v>29</v>
      </c>
      <c r="B147" s="121"/>
      <c r="C147" s="14" t="s">
        <v>1323</v>
      </c>
      <c r="D147" s="11" t="s">
        <v>305</v>
      </c>
      <c r="E147" s="11" t="s">
        <v>306</v>
      </c>
      <c r="F147" s="11" t="s">
        <v>307</v>
      </c>
      <c r="G147" s="25" t="s">
        <v>305</v>
      </c>
      <c r="H147" s="109" t="s">
        <v>1408</v>
      </c>
      <c r="I147" s="32"/>
      <c r="J147" s="8"/>
      <c r="K147" s="11" t="s">
        <v>11</v>
      </c>
      <c r="L147" s="39"/>
    </row>
    <row r="148" spans="1:12" ht="31.5" customHeight="1">
      <c r="A148" s="5">
        <v>30</v>
      </c>
      <c r="B148" s="121"/>
      <c r="C148" s="14" t="s">
        <v>1323</v>
      </c>
      <c r="D148" s="11" t="s">
        <v>1169</v>
      </c>
      <c r="E148" s="11" t="s">
        <v>1211</v>
      </c>
      <c r="F148" s="11" t="s">
        <v>1212</v>
      </c>
      <c r="G148" s="25" t="s">
        <v>1169</v>
      </c>
      <c r="H148" s="109" t="s">
        <v>1408</v>
      </c>
      <c r="I148" s="32"/>
      <c r="J148" s="8"/>
      <c r="K148" s="11" t="s">
        <v>11</v>
      </c>
      <c r="L148" s="39"/>
    </row>
    <row r="149" spans="1:12" ht="31.5" customHeight="1">
      <c r="A149" s="5">
        <v>31</v>
      </c>
      <c r="B149" s="121"/>
      <c r="C149" s="14" t="s">
        <v>1323</v>
      </c>
      <c r="D149" s="11" t="s">
        <v>1162</v>
      </c>
      <c r="E149" s="11" t="s">
        <v>8</v>
      </c>
      <c r="F149" s="11" t="s">
        <v>1213</v>
      </c>
      <c r="G149" s="25" t="s">
        <v>1162</v>
      </c>
      <c r="H149" s="109" t="s">
        <v>1408</v>
      </c>
      <c r="I149" s="32"/>
      <c r="J149" s="8"/>
      <c r="K149" s="11" t="s">
        <v>11</v>
      </c>
      <c r="L149" s="39"/>
    </row>
    <row r="150" spans="1:12" ht="31.5" customHeight="1">
      <c r="A150" s="5">
        <v>32</v>
      </c>
      <c r="B150" s="121"/>
      <c r="C150" s="14" t="s">
        <v>1323</v>
      </c>
      <c r="D150" s="11" t="s">
        <v>1163</v>
      </c>
      <c r="E150" s="11" t="s">
        <v>8</v>
      </c>
      <c r="F150" s="11" t="s">
        <v>1214</v>
      </c>
      <c r="G150" s="25" t="s">
        <v>1163</v>
      </c>
      <c r="H150" s="109" t="s">
        <v>1408</v>
      </c>
      <c r="I150" s="32"/>
      <c r="J150" s="8"/>
      <c r="K150" s="11" t="s">
        <v>11</v>
      </c>
      <c r="L150" s="39"/>
    </row>
    <row r="151" spans="1:12" ht="31.5" customHeight="1">
      <c r="A151" s="5">
        <v>33</v>
      </c>
      <c r="B151" s="121"/>
      <c r="C151" s="14" t="s">
        <v>1323</v>
      </c>
      <c r="D151" s="11" t="s">
        <v>1164</v>
      </c>
      <c r="E151" s="11" t="s">
        <v>8</v>
      </c>
      <c r="F151" s="11" t="s">
        <v>1215</v>
      </c>
      <c r="G151" s="25" t="s">
        <v>1164</v>
      </c>
      <c r="H151" s="109" t="s">
        <v>1408</v>
      </c>
      <c r="I151" s="32"/>
      <c r="J151" s="8"/>
      <c r="K151" s="11" t="s">
        <v>11</v>
      </c>
      <c r="L151" s="39"/>
    </row>
    <row r="152" spans="1:12" ht="31.5" customHeight="1">
      <c r="A152" s="5">
        <v>34</v>
      </c>
      <c r="B152" s="121"/>
      <c r="C152" s="14" t="s">
        <v>1323</v>
      </c>
      <c r="D152" s="11" t="s">
        <v>1216</v>
      </c>
      <c r="E152" s="11" t="s">
        <v>8</v>
      </c>
      <c r="F152" s="11" t="s">
        <v>1217</v>
      </c>
      <c r="G152" s="25" t="s">
        <v>1216</v>
      </c>
      <c r="H152" s="109" t="s">
        <v>1408</v>
      </c>
      <c r="I152" s="32"/>
      <c r="J152" s="8"/>
      <c r="K152" s="11" t="s">
        <v>11</v>
      </c>
      <c r="L152" s="39"/>
    </row>
    <row r="153" spans="1:12" ht="31.5" customHeight="1">
      <c r="A153" s="5">
        <v>35</v>
      </c>
      <c r="B153" s="121"/>
      <c r="C153" s="14" t="s">
        <v>1323</v>
      </c>
      <c r="D153" s="11" t="s">
        <v>308</v>
      </c>
      <c r="E153" s="11" t="s">
        <v>8</v>
      </c>
      <c r="F153" s="11" t="s">
        <v>309</v>
      </c>
      <c r="G153" s="25" t="s">
        <v>308</v>
      </c>
      <c r="H153" s="109" t="s">
        <v>1408</v>
      </c>
      <c r="I153" s="32"/>
      <c r="J153" s="8"/>
      <c r="K153" s="11" t="s">
        <v>11</v>
      </c>
      <c r="L153" s="39"/>
    </row>
    <row r="154" spans="1:12" ht="31.5" customHeight="1">
      <c r="A154" s="5">
        <v>36</v>
      </c>
      <c r="B154" s="121"/>
      <c r="C154" s="14" t="s">
        <v>1323</v>
      </c>
      <c r="D154" s="11" t="s">
        <v>1165</v>
      </c>
      <c r="E154" s="11" t="s">
        <v>8</v>
      </c>
      <c r="F154" s="11" t="s">
        <v>312</v>
      </c>
      <c r="G154" s="25" t="s">
        <v>1165</v>
      </c>
      <c r="H154" s="109" t="s">
        <v>1408</v>
      </c>
      <c r="I154" s="32"/>
      <c r="J154" s="8"/>
      <c r="K154" s="11" t="s">
        <v>11</v>
      </c>
      <c r="L154" s="39"/>
    </row>
    <row r="155" spans="1:12" ht="31.5" customHeight="1">
      <c r="A155" s="5">
        <v>37</v>
      </c>
      <c r="B155" s="121"/>
      <c r="C155" s="14" t="s">
        <v>1323</v>
      </c>
      <c r="D155" s="11" t="s">
        <v>310</v>
      </c>
      <c r="E155" s="11" t="s">
        <v>8</v>
      </c>
      <c r="F155" s="11" t="s">
        <v>311</v>
      </c>
      <c r="G155" s="25" t="s">
        <v>310</v>
      </c>
      <c r="H155" s="109" t="s">
        <v>1408</v>
      </c>
      <c r="I155" s="32"/>
      <c r="J155" s="8"/>
      <c r="K155" s="11" t="s">
        <v>11</v>
      </c>
      <c r="L155" s="39"/>
    </row>
    <row r="156" spans="1:12" ht="31.5" customHeight="1">
      <c r="A156" s="5">
        <v>38</v>
      </c>
      <c r="B156" s="121"/>
      <c r="C156" s="14" t="s">
        <v>1323</v>
      </c>
      <c r="D156" s="11" t="s">
        <v>1218</v>
      </c>
      <c r="E156" s="11" t="s">
        <v>8</v>
      </c>
      <c r="F156" s="11" t="s">
        <v>293</v>
      </c>
      <c r="G156" s="26" t="s">
        <v>1218</v>
      </c>
      <c r="H156" s="109" t="s">
        <v>1408</v>
      </c>
      <c r="I156" s="32"/>
      <c r="J156" s="8"/>
      <c r="K156" s="11" t="s">
        <v>11</v>
      </c>
      <c r="L156" s="5"/>
    </row>
    <row r="157" spans="1:12" ht="31.5" customHeight="1">
      <c r="A157" s="5">
        <v>39</v>
      </c>
      <c r="B157" s="121"/>
      <c r="C157" s="14" t="s">
        <v>1323</v>
      </c>
      <c r="D157" s="11" t="s">
        <v>1166</v>
      </c>
      <c r="E157" s="11" t="s">
        <v>8</v>
      </c>
      <c r="F157" s="11" t="s">
        <v>245</v>
      </c>
      <c r="G157" s="25" t="s">
        <v>1166</v>
      </c>
      <c r="H157" s="109" t="s">
        <v>1408</v>
      </c>
      <c r="I157" s="32"/>
      <c r="J157" s="8"/>
      <c r="K157" s="11" t="s">
        <v>11</v>
      </c>
      <c r="L157" s="39"/>
    </row>
    <row r="158" spans="1:12" ht="31.5" customHeight="1">
      <c r="A158" s="5">
        <v>40</v>
      </c>
      <c r="B158" s="121"/>
      <c r="C158" s="14" t="s">
        <v>1323</v>
      </c>
      <c r="D158" s="11" t="s">
        <v>1167</v>
      </c>
      <c r="E158" s="11" t="s">
        <v>8</v>
      </c>
      <c r="F158" s="11" t="s">
        <v>1219</v>
      </c>
      <c r="G158" s="25" t="s">
        <v>1167</v>
      </c>
      <c r="H158" s="109" t="s">
        <v>1408</v>
      </c>
      <c r="I158" s="32"/>
      <c r="J158" s="8"/>
      <c r="K158" s="11" t="s">
        <v>11</v>
      </c>
      <c r="L158" s="39"/>
    </row>
    <row r="159" spans="1:12" ht="31.5" customHeight="1">
      <c r="A159" s="5">
        <v>41</v>
      </c>
      <c r="B159" s="121"/>
      <c r="C159" s="14" t="s">
        <v>1354</v>
      </c>
      <c r="D159" s="30" t="s">
        <v>1355</v>
      </c>
      <c r="E159" s="6" t="s">
        <v>8</v>
      </c>
      <c r="F159" s="28" t="s">
        <v>18</v>
      </c>
      <c r="G159" s="25" t="s">
        <v>1355</v>
      </c>
      <c r="H159" s="109" t="s">
        <v>1408</v>
      </c>
      <c r="I159" s="32"/>
      <c r="J159" s="8"/>
      <c r="K159" s="11" t="s">
        <v>11</v>
      </c>
      <c r="L159" s="39"/>
    </row>
    <row r="160" spans="1:12" ht="31.5" customHeight="1">
      <c r="A160" s="5">
        <v>42</v>
      </c>
      <c r="B160" s="121"/>
      <c r="C160" s="14" t="s">
        <v>1324</v>
      </c>
      <c r="D160" s="11" t="s">
        <v>314</v>
      </c>
      <c r="E160" s="11" t="s">
        <v>315</v>
      </c>
      <c r="F160" s="11" t="s">
        <v>316</v>
      </c>
      <c r="G160" s="25" t="s">
        <v>314</v>
      </c>
      <c r="H160" s="109" t="s">
        <v>1408</v>
      </c>
      <c r="I160" s="32"/>
      <c r="J160" s="8"/>
      <c r="K160" s="11" t="s">
        <v>11</v>
      </c>
      <c r="L160" s="39"/>
    </row>
    <row r="161" spans="1:12" ht="31.5" customHeight="1">
      <c r="A161" s="5">
        <v>43</v>
      </c>
      <c r="B161" s="121"/>
      <c r="C161" s="14" t="s">
        <v>1324</v>
      </c>
      <c r="D161" s="11" t="s">
        <v>317</v>
      </c>
      <c r="E161" s="11" t="s">
        <v>318</v>
      </c>
      <c r="F161" s="11" t="s">
        <v>319</v>
      </c>
      <c r="G161" s="25" t="s">
        <v>317</v>
      </c>
      <c r="H161" s="109" t="s">
        <v>1408</v>
      </c>
      <c r="I161" s="32"/>
      <c r="J161" s="8"/>
      <c r="K161" s="11" t="s">
        <v>11</v>
      </c>
      <c r="L161" s="39"/>
    </row>
    <row r="162" spans="1:12" ht="31.5" customHeight="1">
      <c r="A162" s="5">
        <v>44</v>
      </c>
      <c r="B162" s="121"/>
      <c r="C162" s="14" t="s">
        <v>1324</v>
      </c>
      <c r="D162" s="11" t="s">
        <v>320</v>
      </c>
      <c r="E162" s="11" t="s">
        <v>321</v>
      </c>
      <c r="F162" s="11" t="s">
        <v>322</v>
      </c>
      <c r="G162" s="25" t="s">
        <v>320</v>
      </c>
      <c r="H162" s="109" t="s">
        <v>1408</v>
      </c>
      <c r="I162" s="32"/>
      <c r="J162" s="8"/>
      <c r="K162" s="11" t="s">
        <v>11</v>
      </c>
      <c r="L162" s="39"/>
    </row>
    <row r="163" spans="1:12" ht="31.5" customHeight="1">
      <c r="A163" s="5">
        <v>45</v>
      </c>
      <c r="B163" s="121"/>
      <c r="C163" s="14" t="s">
        <v>1324</v>
      </c>
      <c r="D163" s="11" t="s">
        <v>323</v>
      </c>
      <c r="E163" s="11" t="s">
        <v>324</v>
      </c>
      <c r="F163" s="11" t="s">
        <v>325</v>
      </c>
      <c r="G163" s="25" t="s">
        <v>323</v>
      </c>
      <c r="H163" s="109" t="s">
        <v>1408</v>
      </c>
      <c r="I163" s="32"/>
      <c r="J163" s="8"/>
      <c r="K163" s="11" t="s">
        <v>11</v>
      </c>
      <c r="L163" s="39"/>
    </row>
    <row r="164" spans="1:12" ht="31.5" customHeight="1">
      <c r="A164" s="5">
        <v>46</v>
      </c>
      <c r="B164" s="121"/>
      <c r="C164" s="14" t="s">
        <v>1324</v>
      </c>
      <c r="D164" s="11" t="s">
        <v>326</v>
      </c>
      <c r="E164" s="11" t="s">
        <v>327</v>
      </c>
      <c r="F164" s="11" t="s">
        <v>328</v>
      </c>
      <c r="G164" s="25" t="s">
        <v>326</v>
      </c>
      <c r="H164" s="109" t="s">
        <v>1408</v>
      </c>
      <c r="I164" s="32"/>
      <c r="J164" s="8"/>
      <c r="K164" s="11" t="s">
        <v>11</v>
      </c>
      <c r="L164" s="39"/>
    </row>
    <row r="165" spans="1:12" ht="31.5" customHeight="1">
      <c r="A165" s="5">
        <v>47</v>
      </c>
      <c r="B165" s="121"/>
      <c r="C165" s="14" t="s">
        <v>1324</v>
      </c>
      <c r="D165" s="11" t="s">
        <v>329</v>
      </c>
      <c r="E165" s="11" t="s">
        <v>330</v>
      </c>
      <c r="F165" s="11" t="s">
        <v>331</v>
      </c>
      <c r="G165" s="25" t="s">
        <v>329</v>
      </c>
      <c r="H165" s="109" t="s">
        <v>1408</v>
      </c>
      <c r="I165" s="32"/>
      <c r="J165" s="8"/>
      <c r="K165" s="11" t="s">
        <v>11</v>
      </c>
      <c r="L165" s="39"/>
    </row>
    <row r="166" spans="1:12" ht="31.5" customHeight="1">
      <c r="A166" s="5">
        <v>48</v>
      </c>
      <c r="B166" s="121"/>
      <c r="C166" s="14" t="s">
        <v>1324</v>
      </c>
      <c r="D166" s="11" t="s">
        <v>332</v>
      </c>
      <c r="E166" s="11" t="s">
        <v>333</v>
      </c>
      <c r="F166" s="11" t="s">
        <v>334</v>
      </c>
      <c r="G166" s="25" t="s">
        <v>332</v>
      </c>
      <c r="H166" s="109" t="s">
        <v>1408</v>
      </c>
      <c r="I166" s="32"/>
      <c r="J166" s="8"/>
      <c r="K166" s="11" t="s">
        <v>11</v>
      </c>
      <c r="L166" s="39"/>
    </row>
    <row r="167" spans="1:12" ht="31.5" customHeight="1">
      <c r="A167" s="5">
        <v>49</v>
      </c>
      <c r="B167" s="121"/>
      <c r="C167" s="14" t="s">
        <v>1324</v>
      </c>
      <c r="D167" s="11" t="s">
        <v>335</v>
      </c>
      <c r="E167" s="11" t="s">
        <v>336</v>
      </c>
      <c r="F167" s="11" t="s">
        <v>337</v>
      </c>
      <c r="G167" s="25" t="s">
        <v>335</v>
      </c>
      <c r="H167" s="109" t="s">
        <v>1408</v>
      </c>
      <c r="I167" s="32"/>
      <c r="J167" s="8"/>
      <c r="K167" s="11" t="s">
        <v>11</v>
      </c>
      <c r="L167" s="39"/>
    </row>
    <row r="168" spans="1:12" ht="31.5" customHeight="1">
      <c r="A168" s="5">
        <v>50</v>
      </c>
      <c r="B168" s="121"/>
      <c r="C168" s="14" t="s">
        <v>1324</v>
      </c>
      <c r="D168" s="11" t="s">
        <v>338</v>
      </c>
      <c r="E168" s="11" t="s">
        <v>339</v>
      </c>
      <c r="F168" s="11" t="s">
        <v>340</v>
      </c>
      <c r="G168" s="25" t="s">
        <v>338</v>
      </c>
      <c r="H168" s="109" t="s">
        <v>1408</v>
      </c>
      <c r="I168" s="32"/>
      <c r="J168" s="8"/>
      <c r="K168" s="11" t="s">
        <v>11</v>
      </c>
      <c r="L168" s="39"/>
    </row>
    <row r="169" spans="1:12" ht="31.5" customHeight="1">
      <c r="A169" s="5">
        <v>51</v>
      </c>
      <c r="B169" s="121"/>
      <c r="C169" s="14" t="s">
        <v>1324</v>
      </c>
      <c r="D169" s="11" t="s">
        <v>341</v>
      </c>
      <c r="E169" s="11" t="s">
        <v>1220</v>
      </c>
      <c r="F169" s="11" t="s">
        <v>342</v>
      </c>
      <c r="G169" s="26" t="s">
        <v>341</v>
      </c>
      <c r="H169" s="109" t="s">
        <v>1408</v>
      </c>
      <c r="I169" s="33"/>
      <c r="J169" s="8"/>
      <c r="K169" s="11" t="s">
        <v>11</v>
      </c>
      <c r="L169" s="5"/>
    </row>
    <row r="170" spans="1:12" ht="31.5" customHeight="1">
      <c r="A170" s="5">
        <v>52</v>
      </c>
      <c r="B170" s="121"/>
      <c r="C170" s="14" t="s">
        <v>1324</v>
      </c>
      <c r="D170" s="11" t="s">
        <v>343</v>
      </c>
      <c r="E170" s="11" t="s">
        <v>344</v>
      </c>
      <c r="F170" s="11" t="s">
        <v>345</v>
      </c>
      <c r="G170" s="25" t="s">
        <v>343</v>
      </c>
      <c r="H170" s="109" t="s">
        <v>1408</v>
      </c>
      <c r="I170" s="32"/>
      <c r="J170" s="8"/>
      <c r="K170" s="11" t="s">
        <v>11</v>
      </c>
      <c r="L170" s="39"/>
    </row>
    <row r="171" spans="1:12" ht="31.5" customHeight="1">
      <c r="A171" s="5">
        <v>53</v>
      </c>
      <c r="B171" s="121"/>
      <c r="C171" s="14" t="s">
        <v>1324</v>
      </c>
      <c r="D171" s="11" t="s">
        <v>346</v>
      </c>
      <c r="E171" s="11" t="s">
        <v>347</v>
      </c>
      <c r="F171" s="11" t="s">
        <v>348</v>
      </c>
      <c r="G171" s="25" t="s">
        <v>346</v>
      </c>
      <c r="H171" s="109" t="s">
        <v>1408</v>
      </c>
      <c r="I171" s="32"/>
      <c r="J171" s="8"/>
      <c r="K171" s="11" t="s">
        <v>11</v>
      </c>
      <c r="L171" s="39"/>
    </row>
    <row r="172" spans="1:12" ht="31.5" customHeight="1">
      <c r="A172" s="5">
        <v>54</v>
      </c>
      <c r="B172" s="121"/>
      <c r="C172" s="14" t="s">
        <v>1324</v>
      </c>
      <c r="D172" s="11" t="s">
        <v>349</v>
      </c>
      <c r="E172" s="11" t="s">
        <v>350</v>
      </c>
      <c r="F172" s="11" t="s">
        <v>351</v>
      </c>
      <c r="G172" s="25" t="s">
        <v>349</v>
      </c>
      <c r="H172" s="109" t="s">
        <v>1408</v>
      </c>
      <c r="I172" s="32"/>
      <c r="J172" s="8"/>
      <c r="K172" s="11" t="s">
        <v>11</v>
      </c>
      <c r="L172" s="39"/>
    </row>
    <row r="173" spans="1:12" ht="31.5" customHeight="1">
      <c r="A173" s="5">
        <v>55</v>
      </c>
      <c r="B173" s="121"/>
      <c r="C173" s="14" t="s">
        <v>1324</v>
      </c>
      <c r="D173" s="11" t="s">
        <v>1150</v>
      </c>
      <c r="E173" s="11" t="s">
        <v>358</v>
      </c>
      <c r="F173" s="11" t="s">
        <v>1221</v>
      </c>
      <c r="G173" s="25" t="s">
        <v>1150</v>
      </c>
      <c r="H173" s="109" t="s">
        <v>1408</v>
      </c>
      <c r="I173" s="32"/>
      <c r="J173" s="8"/>
      <c r="K173" s="11" t="s">
        <v>11</v>
      </c>
      <c r="L173" s="39"/>
    </row>
    <row r="174" spans="1:12" ht="31.5" customHeight="1">
      <c r="A174" s="5">
        <v>56</v>
      </c>
      <c r="B174" s="121"/>
      <c r="C174" s="14" t="s">
        <v>1324</v>
      </c>
      <c r="D174" s="11" t="s">
        <v>1151</v>
      </c>
      <c r="E174" s="11" t="s">
        <v>1222</v>
      </c>
      <c r="F174" s="11" t="s">
        <v>1223</v>
      </c>
      <c r="G174" s="25" t="s">
        <v>1151</v>
      </c>
      <c r="H174" s="109" t="s">
        <v>1408</v>
      </c>
      <c r="I174" s="32"/>
      <c r="J174" s="8"/>
      <c r="K174" s="11" t="s">
        <v>11</v>
      </c>
      <c r="L174" s="39"/>
    </row>
    <row r="175" spans="1:12" ht="31.5" customHeight="1">
      <c r="A175" s="5">
        <v>57</v>
      </c>
      <c r="B175" s="121"/>
      <c r="C175" s="14" t="s">
        <v>1324</v>
      </c>
      <c r="D175" s="11" t="s">
        <v>355</v>
      </c>
      <c r="E175" s="11" t="s">
        <v>356</v>
      </c>
      <c r="F175" s="11" t="s">
        <v>351</v>
      </c>
      <c r="G175" s="25" t="s">
        <v>355</v>
      </c>
      <c r="H175" s="109" t="s">
        <v>1408</v>
      </c>
      <c r="I175" s="32"/>
      <c r="J175" s="8"/>
      <c r="K175" s="11" t="s">
        <v>11</v>
      </c>
      <c r="L175" s="39"/>
    </row>
    <row r="176" spans="1:12" ht="31.5" customHeight="1">
      <c r="A176" s="5">
        <v>58</v>
      </c>
      <c r="B176" s="121"/>
      <c r="C176" s="14" t="s">
        <v>1324</v>
      </c>
      <c r="D176" s="11" t="s">
        <v>352</v>
      </c>
      <c r="E176" s="11" t="s">
        <v>353</v>
      </c>
      <c r="F176" s="11" t="s">
        <v>342</v>
      </c>
      <c r="G176" s="25" t="s">
        <v>352</v>
      </c>
      <c r="H176" s="109" t="s">
        <v>1408</v>
      </c>
      <c r="I176" s="32"/>
      <c r="J176" s="8"/>
      <c r="K176" s="11" t="s">
        <v>11</v>
      </c>
      <c r="L176" s="39"/>
    </row>
    <row r="177" spans="1:12" ht="31.5" customHeight="1">
      <c r="A177" s="5">
        <v>59</v>
      </c>
      <c r="B177" s="121"/>
      <c r="C177" s="14" t="s">
        <v>1325</v>
      </c>
      <c r="D177" s="11" t="s">
        <v>360</v>
      </c>
      <c r="E177" s="11" t="s">
        <v>361</v>
      </c>
      <c r="F177" s="11" t="s">
        <v>362</v>
      </c>
      <c r="G177" s="25" t="s">
        <v>360</v>
      </c>
      <c r="H177" s="109" t="s">
        <v>1408</v>
      </c>
      <c r="I177" s="32"/>
      <c r="J177" s="8"/>
      <c r="K177" s="11" t="s">
        <v>11</v>
      </c>
      <c r="L177" s="39"/>
    </row>
    <row r="178" spans="1:12" ht="31.5" customHeight="1">
      <c r="A178" s="5">
        <v>60</v>
      </c>
      <c r="B178" s="121"/>
      <c r="C178" s="14" t="s">
        <v>1325</v>
      </c>
      <c r="D178" s="11" t="s">
        <v>363</v>
      </c>
      <c r="E178" s="11" t="s">
        <v>364</v>
      </c>
      <c r="F178" s="11" t="s">
        <v>365</v>
      </c>
      <c r="G178" s="25" t="s">
        <v>363</v>
      </c>
      <c r="H178" s="109" t="s">
        <v>1408</v>
      </c>
      <c r="I178" s="32"/>
      <c r="J178" s="8"/>
      <c r="K178" s="11" t="s">
        <v>11</v>
      </c>
      <c r="L178" s="39"/>
    </row>
    <row r="179" spans="1:12" ht="31.5" customHeight="1">
      <c r="A179" s="5">
        <v>61</v>
      </c>
      <c r="B179" s="121"/>
      <c r="C179" s="14" t="s">
        <v>1325</v>
      </c>
      <c r="D179" s="11" t="s">
        <v>366</v>
      </c>
      <c r="E179" s="11" t="s">
        <v>367</v>
      </c>
      <c r="F179" s="11" t="s">
        <v>368</v>
      </c>
      <c r="G179" s="25" t="s">
        <v>366</v>
      </c>
      <c r="H179" s="109" t="s">
        <v>1408</v>
      </c>
      <c r="I179" s="32"/>
      <c r="J179" s="8"/>
      <c r="K179" s="11" t="s">
        <v>11</v>
      </c>
      <c r="L179" s="39"/>
    </row>
    <row r="180" spans="1:12" ht="31.5" customHeight="1">
      <c r="A180" s="5">
        <v>62</v>
      </c>
      <c r="B180" s="121"/>
      <c r="C180" s="14" t="s">
        <v>1325</v>
      </c>
      <c r="D180" s="11" t="s">
        <v>369</v>
      </c>
      <c r="E180" s="11" t="s">
        <v>370</v>
      </c>
      <c r="F180" s="11" t="s">
        <v>1224</v>
      </c>
      <c r="G180" s="25" t="s">
        <v>369</v>
      </c>
      <c r="H180" s="109" t="s">
        <v>1408</v>
      </c>
      <c r="I180" s="32"/>
      <c r="J180" s="8"/>
      <c r="K180" s="11" t="s">
        <v>11</v>
      </c>
      <c r="L180" s="39"/>
    </row>
    <row r="181" spans="1:12" ht="31.5" customHeight="1">
      <c r="A181" s="5">
        <v>63</v>
      </c>
      <c r="B181" s="121"/>
      <c r="C181" s="14" t="s">
        <v>1325</v>
      </c>
      <c r="D181" s="11" t="s">
        <v>371</v>
      </c>
      <c r="E181" s="11" t="s">
        <v>372</v>
      </c>
      <c r="F181" s="11" t="s">
        <v>1225</v>
      </c>
      <c r="G181" s="25" t="s">
        <v>371</v>
      </c>
      <c r="H181" s="109" t="s">
        <v>1408</v>
      </c>
      <c r="I181" s="32"/>
      <c r="J181" s="8"/>
      <c r="K181" s="11" t="s">
        <v>11</v>
      </c>
      <c r="L181" s="39"/>
    </row>
    <row r="182" spans="1:12" ht="31.5" customHeight="1">
      <c r="A182" s="5">
        <v>64</v>
      </c>
      <c r="B182" s="121"/>
      <c r="C182" s="14" t="s">
        <v>1360</v>
      </c>
      <c r="D182" s="11" t="s">
        <v>373</v>
      </c>
      <c r="E182" s="11" t="s">
        <v>374</v>
      </c>
      <c r="F182" s="11" t="s">
        <v>1226</v>
      </c>
      <c r="G182" s="25" t="s">
        <v>373</v>
      </c>
      <c r="H182" s="109" t="s">
        <v>1408</v>
      </c>
      <c r="I182" s="32"/>
      <c r="J182" s="8"/>
      <c r="K182" s="11" t="s">
        <v>11</v>
      </c>
      <c r="L182" s="39"/>
    </row>
    <row r="183" spans="1:12" ht="31.5" customHeight="1" thickBot="1">
      <c r="A183" s="5">
        <v>65</v>
      </c>
      <c r="B183" s="122"/>
      <c r="C183" s="86" t="s">
        <v>1325</v>
      </c>
      <c r="D183" s="87" t="s">
        <v>1097</v>
      </c>
      <c r="E183" s="87" t="s">
        <v>8</v>
      </c>
      <c r="F183" s="87" t="s">
        <v>359</v>
      </c>
      <c r="G183" s="88" t="s">
        <v>1097</v>
      </c>
      <c r="H183" s="110" t="s">
        <v>1408</v>
      </c>
      <c r="I183" s="89"/>
      <c r="J183" s="90"/>
      <c r="K183" s="88" t="s">
        <v>11</v>
      </c>
      <c r="L183" s="91"/>
    </row>
    <row r="184" spans="1:12" ht="31.5" customHeight="1">
      <c r="A184" s="104">
        <v>1</v>
      </c>
      <c r="B184" s="120" t="s">
        <v>1400</v>
      </c>
      <c r="C184" s="92" t="s">
        <v>1328</v>
      </c>
      <c r="D184" s="93" t="s">
        <v>1343</v>
      </c>
      <c r="E184" s="94" t="s">
        <v>8</v>
      </c>
      <c r="F184" s="95" t="s">
        <v>14</v>
      </c>
      <c r="G184" s="96" t="s">
        <v>1343</v>
      </c>
      <c r="H184" s="111" t="s">
        <v>1408</v>
      </c>
      <c r="I184" s="97"/>
      <c r="J184" s="98"/>
      <c r="K184" s="11" t="s">
        <v>11</v>
      </c>
      <c r="L184" s="100"/>
    </row>
    <row r="185" spans="1:12" ht="31.5" customHeight="1">
      <c r="A185" s="5">
        <v>2</v>
      </c>
      <c r="B185" s="121"/>
      <c r="C185" s="14" t="s">
        <v>1328</v>
      </c>
      <c r="D185" s="11" t="s">
        <v>750</v>
      </c>
      <c r="E185" s="11" t="s">
        <v>751</v>
      </c>
      <c r="F185" s="11" t="s">
        <v>752</v>
      </c>
      <c r="G185" s="25" t="s">
        <v>750</v>
      </c>
      <c r="H185" s="109" t="s">
        <v>1408</v>
      </c>
      <c r="I185" s="32"/>
      <c r="J185" s="8"/>
      <c r="K185" s="11" t="s">
        <v>11</v>
      </c>
      <c r="L185" s="39"/>
    </row>
    <row r="186" spans="1:12" ht="31.5" customHeight="1">
      <c r="A186" s="5">
        <v>3</v>
      </c>
      <c r="B186" s="121"/>
      <c r="C186" s="14" t="s">
        <v>1328</v>
      </c>
      <c r="D186" s="11" t="s">
        <v>753</v>
      </c>
      <c r="E186" s="11" t="s">
        <v>754</v>
      </c>
      <c r="F186" s="11" t="s">
        <v>1260</v>
      </c>
      <c r="G186" s="25" t="s">
        <v>753</v>
      </c>
      <c r="H186" s="109" t="s">
        <v>1408</v>
      </c>
      <c r="I186" s="32"/>
      <c r="J186" s="8"/>
      <c r="K186" s="11" t="s">
        <v>11</v>
      </c>
      <c r="L186" s="39"/>
    </row>
    <row r="187" spans="1:12" ht="31.5" customHeight="1">
      <c r="A187" s="5">
        <v>4</v>
      </c>
      <c r="B187" s="121"/>
      <c r="C187" s="14" t="s">
        <v>1328</v>
      </c>
      <c r="D187" s="11" t="s">
        <v>756</v>
      </c>
      <c r="E187" s="11" t="s">
        <v>757</v>
      </c>
      <c r="F187" s="11" t="s">
        <v>758</v>
      </c>
      <c r="G187" s="25" t="s">
        <v>756</v>
      </c>
      <c r="H187" s="109" t="s">
        <v>1408</v>
      </c>
      <c r="I187" s="32"/>
      <c r="J187" s="8"/>
      <c r="K187" s="11" t="s">
        <v>11</v>
      </c>
      <c r="L187" s="39"/>
    </row>
    <row r="188" spans="1:12" ht="31.5" customHeight="1">
      <c r="A188" s="5">
        <v>5</v>
      </c>
      <c r="B188" s="121"/>
      <c r="C188" s="14" t="s">
        <v>1328</v>
      </c>
      <c r="D188" s="11" t="s">
        <v>759</v>
      </c>
      <c r="E188" s="11" t="s">
        <v>760</v>
      </c>
      <c r="F188" s="11" t="s">
        <v>775</v>
      </c>
      <c r="G188" s="25" t="s">
        <v>759</v>
      </c>
      <c r="H188" s="109" t="s">
        <v>1408</v>
      </c>
      <c r="I188" s="32"/>
      <c r="J188" s="8"/>
      <c r="K188" s="11" t="s">
        <v>11</v>
      </c>
      <c r="L188" s="39"/>
    </row>
    <row r="189" spans="1:12" ht="31.5" customHeight="1">
      <c r="A189" s="5">
        <v>6</v>
      </c>
      <c r="B189" s="121"/>
      <c r="C189" s="14" t="s">
        <v>1328</v>
      </c>
      <c r="D189" s="11" t="s">
        <v>761</v>
      </c>
      <c r="E189" s="11" t="s">
        <v>762</v>
      </c>
      <c r="F189" s="11" t="s">
        <v>763</v>
      </c>
      <c r="G189" s="25" t="s">
        <v>761</v>
      </c>
      <c r="H189" s="109" t="s">
        <v>1408</v>
      </c>
      <c r="I189" s="32"/>
      <c r="J189" s="8"/>
      <c r="K189" s="11" t="s">
        <v>11</v>
      </c>
      <c r="L189" s="39"/>
    </row>
    <row r="190" spans="1:12" ht="31.5" customHeight="1">
      <c r="A190" s="5">
        <v>7</v>
      </c>
      <c r="B190" s="121"/>
      <c r="C190" s="14" t="s">
        <v>1328</v>
      </c>
      <c r="D190" s="11" t="s">
        <v>764</v>
      </c>
      <c r="E190" s="11" t="s">
        <v>765</v>
      </c>
      <c r="F190" s="11" t="s">
        <v>766</v>
      </c>
      <c r="G190" s="25" t="s">
        <v>764</v>
      </c>
      <c r="H190" s="109" t="s">
        <v>1408</v>
      </c>
      <c r="I190" s="32"/>
      <c r="J190" s="8"/>
      <c r="K190" s="11" t="s">
        <v>11</v>
      </c>
      <c r="L190" s="39"/>
    </row>
    <row r="191" spans="1:12" ht="31.5" customHeight="1">
      <c r="A191" s="5">
        <v>8</v>
      </c>
      <c r="B191" s="121"/>
      <c r="C191" s="14" t="s">
        <v>1328</v>
      </c>
      <c r="D191" s="11" t="s">
        <v>767</v>
      </c>
      <c r="E191" s="11" t="s">
        <v>768</v>
      </c>
      <c r="F191" s="11" t="s">
        <v>769</v>
      </c>
      <c r="G191" s="25" t="s">
        <v>767</v>
      </c>
      <c r="H191" s="109" t="s">
        <v>1408</v>
      </c>
      <c r="I191" s="32"/>
      <c r="J191" s="8"/>
      <c r="K191" s="11" t="s">
        <v>11</v>
      </c>
      <c r="L191" s="39"/>
    </row>
    <row r="192" spans="1:12" ht="31.5" customHeight="1">
      <c r="A192" s="5">
        <v>9</v>
      </c>
      <c r="B192" s="121"/>
      <c r="C192" s="14" t="s">
        <v>1328</v>
      </c>
      <c r="D192" s="11" t="s">
        <v>770</v>
      </c>
      <c r="E192" s="11" t="s">
        <v>771</v>
      </c>
      <c r="F192" s="11" t="s">
        <v>772</v>
      </c>
      <c r="G192" s="25" t="s">
        <v>770</v>
      </c>
      <c r="H192" s="109" t="s">
        <v>1408</v>
      </c>
      <c r="I192" s="32"/>
      <c r="J192" s="8"/>
      <c r="K192" s="11" t="s">
        <v>11</v>
      </c>
      <c r="L192" s="39"/>
    </row>
    <row r="193" spans="1:12" ht="31.5" customHeight="1">
      <c r="A193" s="5">
        <v>10</v>
      </c>
      <c r="B193" s="121"/>
      <c r="C193" s="14" t="s">
        <v>1328</v>
      </c>
      <c r="D193" s="11" t="s">
        <v>1102</v>
      </c>
      <c r="E193" s="11" t="s">
        <v>1261</v>
      </c>
      <c r="F193" s="11" t="s">
        <v>1262</v>
      </c>
      <c r="G193" s="25" t="s">
        <v>1102</v>
      </c>
      <c r="H193" s="109" t="s">
        <v>1408</v>
      </c>
      <c r="I193" s="32"/>
      <c r="J193" s="8"/>
      <c r="K193" s="11" t="s">
        <v>11</v>
      </c>
      <c r="L193" s="39"/>
    </row>
    <row r="194" spans="1:12" ht="31.5" customHeight="1">
      <c r="A194" s="5">
        <v>11</v>
      </c>
      <c r="B194" s="121"/>
      <c r="C194" s="14" t="s">
        <v>1328</v>
      </c>
      <c r="D194" s="11" t="s">
        <v>773</v>
      </c>
      <c r="E194" s="11" t="s">
        <v>774</v>
      </c>
      <c r="F194" s="11" t="s">
        <v>1263</v>
      </c>
      <c r="G194" s="25" t="s">
        <v>773</v>
      </c>
      <c r="H194" s="109" t="s">
        <v>1408</v>
      </c>
      <c r="I194" s="32"/>
      <c r="J194" s="8"/>
      <c r="K194" s="11" t="s">
        <v>11</v>
      </c>
      <c r="L194" s="39"/>
    </row>
    <row r="195" spans="1:12" ht="31.5" customHeight="1">
      <c r="A195" s="5">
        <v>12</v>
      </c>
      <c r="B195" s="121"/>
      <c r="C195" s="14" t="s">
        <v>1328</v>
      </c>
      <c r="D195" s="11" t="s">
        <v>776</v>
      </c>
      <c r="E195" s="11" t="s">
        <v>777</v>
      </c>
      <c r="F195" s="11" t="s">
        <v>778</v>
      </c>
      <c r="G195" s="25" t="s">
        <v>776</v>
      </c>
      <c r="H195" s="109" t="s">
        <v>1408</v>
      </c>
      <c r="I195" s="32"/>
      <c r="J195" s="8"/>
      <c r="K195" s="11" t="s">
        <v>11</v>
      </c>
      <c r="L195" s="39"/>
    </row>
    <row r="196" spans="1:12" ht="31.5" customHeight="1">
      <c r="A196" s="5">
        <v>13</v>
      </c>
      <c r="B196" s="121"/>
      <c r="C196" s="14" t="s">
        <v>1328</v>
      </c>
      <c r="D196" s="11" t="s">
        <v>779</v>
      </c>
      <c r="E196" s="11" t="s">
        <v>780</v>
      </c>
      <c r="F196" s="11" t="s">
        <v>781</v>
      </c>
      <c r="G196" s="25" t="s">
        <v>779</v>
      </c>
      <c r="H196" s="109" t="s">
        <v>1408</v>
      </c>
      <c r="I196" s="32"/>
      <c r="J196" s="8"/>
      <c r="K196" s="11" t="s">
        <v>11</v>
      </c>
      <c r="L196" s="39"/>
    </row>
    <row r="197" spans="1:12" ht="31.5" customHeight="1">
      <c r="A197" s="5">
        <v>14</v>
      </c>
      <c r="B197" s="121"/>
      <c r="C197" s="14" t="s">
        <v>1328</v>
      </c>
      <c r="D197" s="11" t="s">
        <v>782</v>
      </c>
      <c r="E197" s="11" t="s">
        <v>783</v>
      </c>
      <c r="F197" s="11" t="s">
        <v>784</v>
      </c>
      <c r="G197" s="25" t="s">
        <v>782</v>
      </c>
      <c r="H197" s="109" t="s">
        <v>1408</v>
      </c>
      <c r="I197" s="32"/>
      <c r="J197" s="8"/>
      <c r="K197" s="11" t="s">
        <v>11</v>
      </c>
      <c r="L197" s="39"/>
    </row>
    <row r="198" spans="1:12" ht="31.5" customHeight="1">
      <c r="A198" s="5">
        <v>15</v>
      </c>
      <c r="B198" s="121"/>
      <c r="C198" s="14" t="s">
        <v>1328</v>
      </c>
      <c r="D198" s="11" t="s">
        <v>785</v>
      </c>
      <c r="E198" s="11" t="s">
        <v>786</v>
      </c>
      <c r="F198" s="11" t="s">
        <v>755</v>
      </c>
      <c r="G198" s="25" t="s">
        <v>785</v>
      </c>
      <c r="H198" s="109" t="s">
        <v>1408</v>
      </c>
      <c r="I198" s="32"/>
      <c r="J198" s="8"/>
      <c r="K198" s="11" t="s">
        <v>11</v>
      </c>
      <c r="L198" s="39"/>
    </row>
    <row r="199" spans="1:12" ht="31.5" customHeight="1">
      <c r="A199" s="5">
        <v>16</v>
      </c>
      <c r="B199" s="121"/>
      <c r="C199" s="14" t="s">
        <v>1328</v>
      </c>
      <c r="D199" s="11" t="s">
        <v>1264</v>
      </c>
      <c r="E199" s="11" t="s">
        <v>8</v>
      </c>
      <c r="F199" s="11" t="s">
        <v>755</v>
      </c>
      <c r="G199" s="25" t="s">
        <v>1264</v>
      </c>
      <c r="H199" s="109" t="s">
        <v>1408</v>
      </c>
      <c r="I199" s="32"/>
      <c r="J199" s="8"/>
      <c r="K199" s="11" t="s">
        <v>11</v>
      </c>
      <c r="L199" s="39"/>
    </row>
    <row r="200" spans="1:12" ht="31.5" customHeight="1">
      <c r="A200" s="5">
        <v>17</v>
      </c>
      <c r="B200" s="121"/>
      <c r="C200" s="14" t="s">
        <v>1328</v>
      </c>
      <c r="D200" s="11" t="s">
        <v>787</v>
      </c>
      <c r="E200" s="11" t="s">
        <v>788</v>
      </c>
      <c r="F200" s="11" t="s">
        <v>789</v>
      </c>
      <c r="G200" s="25" t="s">
        <v>787</v>
      </c>
      <c r="H200" s="109" t="s">
        <v>1408</v>
      </c>
      <c r="I200" s="32"/>
      <c r="J200" s="8"/>
      <c r="K200" s="11" t="s">
        <v>11</v>
      </c>
      <c r="L200" s="39"/>
    </row>
    <row r="201" spans="1:12" ht="31.5" customHeight="1">
      <c r="A201" s="5">
        <v>18</v>
      </c>
      <c r="B201" s="121"/>
      <c r="C201" s="14" t="s">
        <v>1328</v>
      </c>
      <c r="D201" s="11" t="s">
        <v>790</v>
      </c>
      <c r="E201" s="11" t="s">
        <v>791</v>
      </c>
      <c r="F201" s="11" t="s">
        <v>829</v>
      </c>
      <c r="G201" s="25" t="s">
        <v>790</v>
      </c>
      <c r="H201" s="109" t="s">
        <v>1408</v>
      </c>
      <c r="I201" s="32"/>
      <c r="J201" s="8"/>
      <c r="K201" s="11" t="s">
        <v>11</v>
      </c>
      <c r="L201" s="39"/>
    </row>
    <row r="202" spans="1:12" ht="31.5" customHeight="1">
      <c r="A202" s="5">
        <v>19</v>
      </c>
      <c r="B202" s="121"/>
      <c r="C202" s="14" t="s">
        <v>1329</v>
      </c>
      <c r="D202" s="11" t="s">
        <v>914</v>
      </c>
      <c r="E202" s="11" t="s">
        <v>8</v>
      </c>
      <c r="F202" s="11" t="s">
        <v>14</v>
      </c>
      <c r="G202" s="25" t="s">
        <v>914</v>
      </c>
      <c r="H202" s="109" t="s">
        <v>1408</v>
      </c>
      <c r="I202" s="32"/>
      <c r="J202" s="8"/>
      <c r="K202" s="11" t="s">
        <v>11</v>
      </c>
      <c r="L202" s="39"/>
    </row>
    <row r="203" spans="1:12" ht="31.5" customHeight="1">
      <c r="A203" s="5">
        <v>20</v>
      </c>
      <c r="B203" s="121"/>
      <c r="C203" s="14" t="s">
        <v>1329</v>
      </c>
      <c r="D203" s="18" t="s">
        <v>1342</v>
      </c>
      <c r="E203" s="6" t="s">
        <v>8</v>
      </c>
      <c r="F203" s="27" t="s">
        <v>12</v>
      </c>
      <c r="G203" s="25" t="s">
        <v>1342</v>
      </c>
      <c r="H203" s="109" t="s">
        <v>1408</v>
      </c>
      <c r="I203" s="32"/>
      <c r="J203" s="8"/>
      <c r="K203" s="11" t="s">
        <v>11</v>
      </c>
      <c r="L203" s="39"/>
    </row>
    <row r="204" spans="1:12" ht="31.5" customHeight="1">
      <c r="A204" s="5">
        <v>21</v>
      </c>
      <c r="B204" s="121"/>
      <c r="C204" s="14" t="s">
        <v>1329</v>
      </c>
      <c r="D204" s="11" t="s">
        <v>792</v>
      </c>
      <c r="E204" s="11" t="s">
        <v>793</v>
      </c>
      <c r="F204" s="11" t="s">
        <v>794</v>
      </c>
      <c r="G204" s="25" t="s">
        <v>792</v>
      </c>
      <c r="H204" s="109" t="s">
        <v>1408</v>
      </c>
      <c r="I204" s="32"/>
      <c r="J204" s="8"/>
      <c r="K204" s="11" t="s">
        <v>11</v>
      </c>
      <c r="L204" s="39"/>
    </row>
    <row r="205" spans="1:12" ht="31.5" customHeight="1">
      <c r="A205" s="5">
        <v>22</v>
      </c>
      <c r="B205" s="121"/>
      <c r="C205" s="14" t="s">
        <v>1329</v>
      </c>
      <c r="D205" s="11" t="s">
        <v>795</v>
      </c>
      <c r="E205" s="11" t="s">
        <v>796</v>
      </c>
      <c r="F205" s="11" t="s">
        <v>797</v>
      </c>
      <c r="G205" s="25" t="s">
        <v>795</v>
      </c>
      <c r="H205" s="109" t="s">
        <v>1408</v>
      </c>
      <c r="I205" s="32"/>
      <c r="J205" s="8"/>
      <c r="K205" s="11" t="s">
        <v>11</v>
      </c>
      <c r="L205" s="39"/>
    </row>
    <row r="206" spans="1:12" ht="31.5" customHeight="1">
      <c r="A206" s="5">
        <v>23</v>
      </c>
      <c r="B206" s="121"/>
      <c r="C206" s="14" t="s">
        <v>1329</v>
      </c>
      <c r="D206" s="11" t="s">
        <v>798</v>
      </c>
      <c r="E206" s="11" t="s">
        <v>799</v>
      </c>
      <c r="F206" s="11" t="s">
        <v>800</v>
      </c>
      <c r="G206" s="25" t="s">
        <v>798</v>
      </c>
      <c r="H206" s="109" t="s">
        <v>1408</v>
      </c>
      <c r="I206" s="32"/>
      <c r="J206" s="8"/>
      <c r="K206" s="11" t="s">
        <v>11</v>
      </c>
      <c r="L206" s="39"/>
    </row>
    <row r="207" spans="1:12" ht="31.5" customHeight="1">
      <c r="A207" s="5">
        <v>24</v>
      </c>
      <c r="B207" s="121"/>
      <c r="C207" s="14" t="s">
        <v>1329</v>
      </c>
      <c r="D207" s="11" t="s">
        <v>801</v>
      </c>
      <c r="E207" s="11" t="s">
        <v>802</v>
      </c>
      <c r="F207" s="11" t="s">
        <v>803</v>
      </c>
      <c r="G207" s="25" t="s">
        <v>801</v>
      </c>
      <c r="H207" s="109" t="s">
        <v>1408</v>
      </c>
      <c r="I207" s="32"/>
      <c r="J207" s="8"/>
      <c r="K207" s="11" t="s">
        <v>11</v>
      </c>
      <c r="L207" s="39"/>
    </row>
    <row r="208" spans="1:12" ht="31.5" customHeight="1">
      <c r="A208" s="5">
        <v>25</v>
      </c>
      <c r="B208" s="121"/>
      <c r="C208" s="14" t="s">
        <v>1329</v>
      </c>
      <c r="D208" s="11" t="s">
        <v>804</v>
      </c>
      <c r="E208" s="11" t="s">
        <v>805</v>
      </c>
      <c r="F208" s="11" t="s">
        <v>806</v>
      </c>
      <c r="G208" s="25" t="s">
        <v>804</v>
      </c>
      <c r="H208" s="109" t="s">
        <v>1408</v>
      </c>
      <c r="I208" s="32"/>
      <c r="J208" s="8"/>
      <c r="K208" s="11" t="s">
        <v>11</v>
      </c>
      <c r="L208" s="39"/>
    </row>
    <row r="209" spans="1:12" ht="31.5" customHeight="1">
      <c r="A209" s="5">
        <v>26</v>
      </c>
      <c r="B209" s="121"/>
      <c r="C209" s="14" t="s">
        <v>1329</v>
      </c>
      <c r="D209" s="11" t="s">
        <v>807</v>
      </c>
      <c r="E209" s="11" t="s">
        <v>808</v>
      </c>
      <c r="F209" s="11" t="s">
        <v>809</v>
      </c>
      <c r="G209" s="25" t="s">
        <v>807</v>
      </c>
      <c r="H209" s="109" t="s">
        <v>1408</v>
      </c>
      <c r="I209" s="32"/>
      <c r="J209" s="8"/>
      <c r="K209" s="11" t="s">
        <v>11</v>
      </c>
      <c r="L209" s="39"/>
    </row>
    <row r="210" spans="1:12" ht="31.5" customHeight="1">
      <c r="A210" s="5">
        <v>27</v>
      </c>
      <c r="B210" s="121"/>
      <c r="C210" s="14" t="s">
        <v>1329</v>
      </c>
      <c r="D210" s="11" t="s">
        <v>810</v>
      </c>
      <c r="E210" s="11" t="s">
        <v>811</v>
      </c>
      <c r="F210" s="11" t="s">
        <v>812</v>
      </c>
      <c r="G210" s="25" t="s">
        <v>810</v>
      </c>
      <c r="H210" s="109" t="s">
        <v>1408</v>
      </c>
      <c r="I210" s="32"/>
      <c r="J210" s="8"/>
      <c r="K210" s="11" t="s">
        <v>11</v>
      </c>
      <c r="L210" s="39"/>
    </row>
    <row r="211" spans="1:12" ht="31.5" customHeight="1">
      <c r="A211" s="5">
        <v>28</v>
      </c>
      <c r="B211" s="121"/>
      <c r="C211" s="14" t="s">
        <v>1329</v>
      </c>
      <c r="D211" s="11" t="s">
        <v>813</v>
      </c>
      <c r="E211" s="11" t="s">
        <v>814</v>
      </c>
      <c r="F211" s="11" t="s">
        <v>913</v>
      </c>
      <c r="G211" s="25" t="s">
        <v>813</v>
      </c>
      <c r="H211" s="109" t="s">
        <v>1408</v>
      </c>
      <c r="I211" s="32"/>
      <c r="J211" s="8"/>
      <c r="K211" s="11" t="s">
        <v>11</v>
      </c>
      <c r="L211" s="39"/>
    </row>
    <row r="212" spans="1:12" ht="31.5" customHeight="1">
      <c r="A212" s="5">
        <v>29</v>
      </c>
      <c r="B212" s="121"/>
      <c r="C212" s="14" t="s">
        <v>1329</v>
      </c>
      <c r="D212" s="11" t="s">
        <v>815</v>
      </c>
      <c r="E212" s="11" t="s">
        <v>816</v>
      </c>
      <c r="F212" s="11" t="s">
        <v>846</v>
      </c>
      <c r="G212" s="25" t="s">
        <v>815</v>
      </c>
      <c r="H212" s="109" t="s">
        <v>1408</v>
      </c>
      <c r="I212" s="32"/>
      <c r="J212" s="8"/>
      <c r="K212" s="11" t="s">
        <v>11</v>
      </c>
      <c r="L212" s="39"/>
    </row>
    <row r="213" spans="1:12" ht="31.5" customHeight="1">
      <c r="A213" s="5">
        <v>30</v>
      </c>
      <c r="B213" s="121"/>
      <c r="C213" s="14" t="s">
        <v>1329</v>
      </c>
      <c r="D213" s="11" t="s">
        <v>818</v>
      </c>
      <c r="E213" s="11" t="s">
        <v>819</v>
      </c>
      <c r="F213" s="11" t="s">
        <v>820</v>
      </c>
      <c r="G213" s="26" t="s">
        <v>818</v>
      </c>
      <c r="H213" s="109" t="s">
        <v>1408</v>
      </c>
      <c r="I213" s="32"/>
      <c r="J213" s="8"/>
      <c r="K213" s="11" t="s">
        <v>11</v>
      </c>
      <c r="L213" s="5"/>
    </row>
    <row r="214" spans="1:12" ht="31.5" customHeight="1">
      <c r="A214" s="5">
        <v>31</v>
      </c>
      <c r="B214" s="121"/>
      <c r="C214" s="14" t="s">
        <v>1329</v>
      </c>
      <c r="D214" s="11" t="s">
        <v>821</v>
      </c>
      <c r="E214" s="11" t="s">
        <v>822</v>
      </c>
      <c r="F214" s="11" t="s">
        <v>823</v>
      </c>
      <c r="G214" s="25" t="s">
        <v>821</v>
      </c>
      <c r="H214" s="109" t="s">
        <v>1408</v>
      </c>
      <c r="I214" s="32"/>
      <c r="J214" s="8"/>
      <c r="K214" s="11" t="s">
        <v>11</v>
      </c>
      <c r="L214" s="39"/>
    </row>
    <row r="215" spans="1:12" ht="31.5" customHeight="1">
      <c r="A215" s="5">
        <v>32</v>
      </c>
      <c r="B215" s="121"/>
      <c r="C215" s="14" t="s">
        <v>1329</v>
      </c>
      <c r="D215" s="11" t="s">
        <v>824</v>
      </c>
      <c r="E215" s="11" t="s">
        <v>825</v>
      </c>
      <c r="F215" s="11" t="s">
        <v>826</v>
      </c>
      <c r="G215" s="25" t="s">
        <v>824</v>
      </c>
      <c r="H215" s="109" t="s">
        <v>1408</v>
      </c>
      <c r="I215" s="32"/>
      <c r="J215" s="8"/>
      <c r="K215" s="11" t="s">
        <v>11</v>
      </c>
      <c r="L215" s="39"/>
    </row>
    <row r="216" spans="1:12" ht="31.5" customHeight="1">
      <c r="A216" s="5">
        <v>33</v>
      </c>
      <c r="B216" s="121"/>
      <c r="C216" s="14" t="s">
        <v>1329</v>
      </c>
      <c r="D216" s="11" t="s">
        <v>827</v>
      </c>
      <c r="E216" s="11" t="s">
        <v>828</v>
      </c>
      <c r="F216" s="11" t="s">
        <v>829</v>
      </c>
      <c r="G216" s="25" t="s">
        <v>827</v>
      </c>
      <c r="H216" s="109" t="s">
        <v>1408</v>
      </c>
      <c r="I216" s="32"/>
      <c r="J216" s="8"/>
      <c r="K216" s="11" t="s">
        <v>11</v>
      </c>
      <c r="L216" s="39"/>
    </row>
    <row r="217" spans="1:12" ht="31.5" customHeight="1">
      <c r="A217" s="5">
        <v>34</v>
      </c>
      <c r="B217" s="121"/>
      <c r="C217" s="14" t="s">
        <v>1329</v>
      </c>
      <c r="D217" s="11" t="s">
        <v>830</v>
      </c>
      <c r="E217" s="11" t="s">
        <v>831</v>
      </c>
      <c r="F217" s="11" t="s">
        <v>1265</v>
      </c>
      <c r="G217" s="25" t="s">
        <v>830</v>
      </c>
      <c r="H217" s="109" t="s">
        <v>1408</v>
      </c>
      <c r="I217" s="32"/>
      <c r="J217" s="8"/>
      <c r="K217" s="11" t="s">
        <v>11</v>
      </c>
      <c r="L217" s="39"/>
    </row>
    <row r="218" spans="1:12" ht="31.5" customHeight="1">
      <c r="A218" s="5">
        <v>35</v>
      </c>
      <c r="B218" s="121"/>
      <c r="C218" s="14" t="s">
        <v>1329</v>
      </c>
      <c r="D218" s="11" t="s">
        <v>832</v>
      </c>
      <c r="E218" s="11" t="s">
        <v>833</v>
      </c>
      <c r="F218" s="11" t="s">
        <v>834</v>
      </c>
      <c r="G218" s="26" t="s">
        <v>832</v>
      </c>
      <c r="H218" s="109" t="s">
        <v>1408</v>
      </c>
      <c r="I218" s="32"/>
      <c r="J218" s="8"/>
      <c r="K218" s="11" t="s">
        <v>11</v>
      </c>
      <c r="L218" s="5"/>
    </row>
    <row r="219" spans="1:12" ht="31.5" customHeight="1">
      <c r="A219" s="5">
        <v>36</v>
      </c>
      <c r="B219" s="121"/>
      <c r="C219" s="14" t="s">
        <v>1329</v>
      </c>
      <c r="D219" s="11" t="s">
        <v>835</v>
      </c>
      <c r="E219" s="11" t="s">
        <v>836</v>
      </c>
      <c r="F219" s="11" t="s">
        <v>837</v>
      </c>
      <c r="G219" s="25" t="s">
        <v>835</v>
      </c>
      <c r="H219" s="109" t="s">
        <v>1408</v>
      </c>
      <c r="I219" s="32"/>
      <c r="J219" s="8"/>
      <c r="K219" s="11" t="s">
        <v>11</v>
      </c>
      <c r="L219" s="39"/>
    </row>
    <row r="220" spans="1:12" ht="31.5" customHeight="1">
      <c r="A220" s="5">
        <v>37</v>
      </c>
      <c r="B220" s="121"/>
      <c r="C220" s="14" t="s">
        <v>1329</v>
      </c>
      <c r="D220" s="11" t="s">
        <v>838</v>
      </c>
      <c r="E220" s="11" t="s">
        <v>839</v>
      </c>
      <c r="F220" s="11" t="s">
        <v>840</v>
      </c>
      <c r="G220" s="25" t="s">
        <v>838</v>
      </c>
      <c r="H220" s="109" t="s">
        <v>1408</v>
      </c>
      <c r="I220" s="32"/>
      <c r="J220" s="8"/>
      <c r="K220" s="11" t="s">
        <v>11</v>
      </c>
      <c r="L220" s="39"/>
    </row>
    <row r="221" spans="1:12" ht="31.5" customHeight="1">
      <c r="A221" s="5">
        <v>38</v>
      </c>
      <c r="B221" s="121"/>
      <c r="C221" s="14" t="s">
        <v>1329</v>
      </c>
      <c r="D221" s="11" t="s">
        <v>841</v>
      </c>
      <c r="E221" s="11" t="s">
        <v>842</v>
      </c>
      <c r="F221" s="11" t="s">
        <v>843</v>
      </c>
      <c r="G221" s="25" t="s">
        <v>841</v>
      </c>
      <c r="H221" s="109" t="s">
        <v>1408</v>
      </c>
      <c r="I221" s="32"/>
      <c r="J221" s="8"/>
      <c r="K221" s="11" t="s">
        <v>11</v>
      </c>
      <c r="L221" s="39"/>
    </row>
    <row r="222" spans="1:12" ht="31.5" customHeight="1">
      <c r="A222" s="5">
        <v>39</v>
      </c>
      <c r="B222" s="121"/>
      <c r="C222" s="14" t="s">
        <v>1329</v>
      </c>
      <c r="D222" s="11" t="s">
        <v>844</v>
      </c>
      <c r="E222" s="11" t="s">
        <v>845</v>
      </c>
      <c r="F222" s="11" t="s">
        <v>823</v>
      </c>
      <c r="G222" s="25" t="s">
        <v>844</v>
      </c>
      <c r="H222" s="109" t="s">
        <v>1408</v>
      </c>
      <c r="I222" s="32"/>
      <c r="J222" s="8"/>
      <c r="K222" s="11" t="s">
        <v>11</v>
      </c>
      <c r="L222" s="39"/>
    </row>
    <row r="223" spans="1:12" ht="31.5" customHeight="1">
      <c r="A223" s="5">
        <v>40</v>
      </c>
      <c r="B223" s="121"/>
      <c r="C223" s="14" t="s">
        <v>1329</v>
      </c>
      <c r="D223" s="11" t="s">
        <v>847</v>
      </c>
      <c r="E223" s="11" t="s">
        <v>848</v>
      </c>
      <c r="F223" s="11" t="s">
        <v>849</v>
      </c>
      <c r="G223" s="25" t="s">
        <v>847</v>
      </c>
      <c r="H223" s="109" t="s">
        <v>1408</v>
      </c>
      <c r="I223" s="32"/>
      <c r="J223" s="8"/>
      <c r="K223" s="11" t="s">
        <v>11</v>
      </c>
      <c r="L223" s="39"/>
    </row>
    <row r="224" spans="1:12" ht="31.5" customHeight="1">
      <c r="A224" s="5">
        <v>41</v>
      </c>
      <c r="B224" s="121"/>
      <c r="C224" s="14" t="s">
        <v>1329</v>
      </c>
      <c r="D224" s="11" t="s">
        <v>850</v>
      </c>
      <c r="E224" s="11" t="s">
        <v>851</v>
      </c>
      <c r="F224" s="11" t="s">
        <v>903</v>
      </c>
      <c r="G224" s="25" t="s">
        <v>850</v>
      </c>
      <c r="H224" s="109" t="s">
        <v>1408</v>
      </c>
      <c r="I224" s="32"/>
      <c r="J224" s="8"/>
      <c r="K224" s="11" t="s">
        <v>11</v>
      </c>
      <c r="L224" s="39"/>
    </row>
    <row r="225" spans="1:12" ht="31.5" customHeight="1">
      <c r="A225" s="5">
        <v>42</v>
      </c>
      <c r="B225" s="121"/>
      <c r="C225" s="14" t="s">
        <v>1329</v>
      </c>
      <c r="D225" s="11" t="s">
        <v>853</v>
      </c>
      <c r="E225" s="11" t="s">
        <v>854</v>
      </c>
      <c r="F225" s="11" t="s">
        <v>855</v>
      </c>
      <c r="G225" s="25" t="s">
        <v>853</v>
      </c>
      <c r="H225" s="109" t="s">
        <v>1408</v>
      </c>
      <c r="I225" s="32"/>
      <c r="J225" s="8"/>
      <c r="K225" s="11" t="s">
        <v>11</v>
      </c>
      <c r="L225" s="39"/>
    </row>
    <row r="226" spans="1:12" ht="31.5" customHeight="1">
      <c r="A226" s="5">
        <v>43</v>
      </c>
      <c r="B226" s="121"/>
      <c r="C226" s="14" t="s">
        <v>1329</v>
      </c>
      <c r="D226" s="11" t="s">
        <v>856</v>
      </c>
      <c r="E226" s="11" t="s">
        <v>857</v>
      </c>
      <c r="F226" s="11" t="s">
        <v>858</v>
      </c>
      <c r="G226" s="25" t="s">
        <v>856</v>
      </c>
      <c r="H226" s="109" t="s">
        <v>1408</v>
      </c>
      <c r="I226" s="32"/>
      <c r="J226" s="8"/>
      <c r="K226" s="11" t="s">
        <v>11</v>
      </c>
      <c r="L226" s="39"/>
    </row>
    <row r="227" spans="1:12" ht="31.5" customHeight="1">
      <c r="A227" s="5">
        <v>44</v>
      </c>
      <c r="B227" s="121"/>
      <c r="C227" s="14" t="s">
        <v>1329</v>
      </c>
      <c r="D227" s="11" t="s">
        <v>859</v>
      </c>
      <c r="E227" s="11" t="s">
        <v>860</v>
      </c>
      <c r="F227" s="11" t="s">
        <v>861</v>
      </c>
      <c r="G227" s="25" t="s">
        <v>859</v>
      </c>
      <c r="H227" s="109" t="s">
        <v>1408</v>
      </c>
      <c r="I227" s="32"/>
      <c r="J227" s="8"/>
      <c r="K227" s="11" t="s">
        <v>11</v>
      </c>
      <c r="L227" s="39"/>
    </row>
    <row r="228" spans="1:12" ht="31.5" customHeight="1">
      <c r="A228" s="5">
        <v>45</v>
      </c>
      <c r="B228" s="121"/>
      <c r="C228" s="14" t="s">
        <v>1329</v>
      </c>
      <c r="D228" s="11" t="s">
        <v>862</v>
      </c>
      <c r="E228" s="11" t="s">
        <v>863</v>
      </c>
      <c r="F228" s="11" t="s">
        <v>864</v>
      </c>
      <c r="G228" s="25" t="s">
        <v>862</v>
      </c>
      <c r="H228" s="109" t="s">
        <v>1408</v>
      </c>
      <c r="I228" s="32"/>
      <c r="J228" s="8"/>
      <c r="K228" s="11" t="s">
        <v>11</v>
      </c>
      <c r="L228" s="39"/>
    </row>
    <row r="229" spans="1:12" ht="31.5" customHeight="1">
      <c r="A229" s="5">
        <v>46</v>
      </c>
      <c r="B229" s="121"/>
      <c r="C229" s="14" t="s">
        <v>1329</v>
      </c>
      <c r="D229" s="11" t="s">
        <v>865</v>
      </c>
      <c r="E229" s="11" t="s">
        <v>866</v>
      </c>
      <c r="F229" s="11" t="s">
        <v>867</v>
      </c>
      <c r="G229" s="25" t="s">
        <v>865</v>
      </c>
      <c r="H229" s="109" t="s">
        <v>1408</v>
      </c>
      <c r="I229" s="32"/>
      <c r="J229" s="8"/>
      <c r="K229" s="11" t="s">
        <v>11</v>
      </c>
      <c r="L229" s="39"/>
    </row>
    <row r="230" spans="1:12" ht="31.5" customHeight="1">
      <c r="A230" s="5">
        <v>47</v>
      </c>
      <c r="B230" s="121"/>
      <c r="C230" s="14" t="s">
        <v>1329</v>
      </c>
      <c r="D230" s="11" t="s">
        <v>868</v>
      </c>
      <c r="E230" s="11" t="s">
        <v>869</v>
      </c>
      <c r="F230" s="11" t="s">
        <v>834</v>
      </c>
      <c r="G230" s="25" t="s">
        <v>868</v>
      </c>
      <c r="H230" s="109" t="s">
        <v>1408</v>
      </c>
      <c r="I230" s="32"/>
      <c r="J230" s="8"/>
      <c r="K230" s="11" t="s">
        <v>11</v>
      </c>
      <c r="L230" s="39"/>
    </row>
    <row r="231" spans="1:12" ht="31.5" customHeight="1">
      <c r="A231" s="5">
        <v>48</v>
      </c>
      <c r="B231" s="121"/>
      <c r="C231" s="14" t="s">
        <v>1329</v>
      </c>
      <c r="D231" s="11" t="s">
        <v>870</v>
      </c>
      <c r="E231" s="11" t="s">
        <v>871</v>
      </c>
      <c r="F231" s="11" t="s">
        <v>829</v>
      </c>
      <c r="G231" s="25" t="s">
        <v>870</v>
      </c>
      <c r="H231" s="109" t="s">
        <v>1408</v>
      </c>
      <c r="I231" s="32"/>
      <c r="J231" s="8"/>
      <c r="K231" s="11" t="s">
        <v>11</v>
      </c>
      <c r="L231" s="39"/>
    </row>
    <row r="232" spans="1:12" ht="31.5" customHeight="1">
      <c r="A232" s="5">
        <v>49</v>
      </c>
      <c r="B232" s="121"/>
      <c r="C232" s="14" t="s">
        <v>1329</v>
      </c>
      <c r="D232" s="11" t="s">
        <v>1103</v>
      </c>
      <c r="E232" s="11" t="s">
        <v>1266</v>
      </c>
      <c r="F232" s="11" t="s">
        <v>1267</v>
      </c>
      <c r="G232" s="25" t="s">
        <v>1103</v>
      </c>
      <c r="H232" s="109" t="s">
        <v>1408</v>
      </c>
      <c r="I232" s="32"/>
      <c r="J232" s="8"/>
      <c r="K232" s="11" t="s">
        <v>11</v>
      </c>
      <c r="L232" s="39"/>
    </row>
    <row r="233" spans="1:12" ht="31.5" customHeight="1">
      <c r="A233" s="5">
        <v>50</v>
      </c>
      <c r="B233" s="121"/>
      <c r="C233" s="14" t="s">
        <v>1329</v>
      </c>
      <c r="D233" s="11" t="s">
        <v>907</v>
      </c>
      <c r="E233" s="11" t="s">
        <v>908</v>
      </c>
      <c r="F233" s="11" t="s">
        <v>907</v>
      </c>
      <c r="G233" s="25" t="s">
        <v>907</v>
      </c>
      <c r="H233" s="109" t="s">
        <v>1408</v>
      </c>
      <c r="I233" s="32"/>
      <c r="J233" s="8"/>
      <c r="K233" s="11" t="s">
        <v>11</v>
      </c>
      <c r="L233" s="39"/>
    </row>
    <row r="234" spans="1:12" ht="31.5" customHeight="1">
      <c r="A234" s="5">
        <v>51</v>
      </c>
      <c r="B234" s="121"/>
      <c r="C234" s="14" t="s">
        <v>1329</v>
      </c>
      <c r="D234" s="11" t="s">
        <v>917</v>
      </c>
      <c r="E234" s="11" t="s">
        <v>8</v>
      </c>
      <c r="F234" s="11" t="s">
        <v>829</v>
      </c>
      <c r="G234" s="25" t="s">
        <v>917</v>
      </c>
      <c r="H234" s="109" t="s">
        <v>1408</v>
      </c>
      <c r="I234" s="32"/>
      <c r="J234" s="8"/>
      <c r="K234" s="11" t="s">
        <v>11</v>
      </c>
      <c r="L234" s="39"/>
    </row>
    <row r="235" spans="1:12" ht="31.5" customHeight="1">
      <c r="A235" s="5">
        <v>52</v>
      </c>
      <c r="B235" s="121"/>
      <c r="C235" s="14" t="s">
        <v>1329</v>
      </c>
      <c r="D235" s="11" t="s">
        <v>911</v>
      </c>
      <c r="E235" s="11" t="s">
        <v>8</v>
      </c>
      <c r="F235" s="11" t="s">
        <v>829</v>
      </c>
      <c r="G235" s="25" t="s">
        <v>911</v>
      </c>
      <c r="H235" s="109" t="s">
        <v>1408</v>
      </c>
      <c r="I235" s="32"/>
      <c r="J235" s="8"/>
      <c r="K235" s="11" t="s">
        <v>11</v>
      </c>
      <c r="L235" s="39"/>
    </row>
    <row r="236" spans="1:12" ht="31.5" customHeight="1">
      <c r="A236" s="5">
        <v>53</v>
      </c>
      <c r="B236" s="121"/>
      <c r="C236" s="14" t="s">
        <v>1363</v>
      </c>
      <c r="D236" s="11" t="s">
        <v>872</v>
      </c>
      <c r="E236" s="11" t="s">
        <v>873</v>
      </c>
      <c r="F236" s="11" t="s">
        <v>874</v>
      </c>
      <c r="G236" s="25" t="s">
        <v>872</v>
      </c>
      <c r="H236" s="109" t="s">
        <v>1408</v>
      </c>
      <c r="I236" s="32"/>
      <c r="J236" s="8"/>
      <c r="K236" s="11" t="s">
        <v>11</v>
      </c>
      <c r="L236" s="39"/>
    </row>
    <row r="237" spans="1:12" ht="31.5" customHeight="1">
      <c r="A237" s="5">
        <v>54</v>
      </c>
      <c r="B237" s="121"/>
      <c r="C237" s="14" t="s">
        <v>1363</v>
      </c>
      <c r="D237" s="11" t="s">
        <v>875</v>
      </c>
      <c r="E237" s="11" t="s">
        <v>876</v>
      </c>
      <c r="F237" s="11" t="s">
        <v>877</v>
      </c>
      <c r="G237" s="25" t="s">
        <v>875</v>
      </c>
      <c r="H237" s="109" t="s">
        <v>1408</v>
      </c>
      <c r="I237" s="32"/>
      <c r="J237" s="8"/>
      <c r="K237" s="11" t="s">
        <v>11</v>
      </c>
      <c r="L237" s="39"/>
    </row>
    <row r="238" spans="1:12" ht="31.5" customHeight="1">
      <c r="A238" s="5">
        <v>55</v>
      </c>
      <c r="B238" s="121"/>
      <c r="C238" s="14" t="s">
        <v>1363</v>
      </c>
      <c r="D238" s="11" t="s">
        <v>878</v>
      </c>
      <c r="E238" s="11" t="s">
        <v>879</v>
      </c>
      <c r="F238" s="11" t="s">
        <v>1268</v>
      </c>
      <c r="G238" s="25" t="s">
        <v>878</v>
      </c>
      <c r="H238" s="109" t="s">
        <v>1408</v>
      </c>
      <c r="I238" s="32"/>
      <c r="J238" s="8"/>
      <c r="K238" s="11" t="s">
        <v>11</v>
      </c>
      <c r="L238" s="39"/>
    </row>
    <row r="239" spans="1:12" ht="31.5" customHeight="1">
      <c r="A239" s="5">
        <v>56</v>
      </c>
      <c r="B239" s="121"/>
      <c r="C239" s="14" t="s">
        <v>1363</v>
      </c>
      <c r="D239" s="11" t="s">
        <v>881</v>
      </c>
      <c r="E239" s="11" t="s">
        <v>882</v>
      </c>
      <c r="F239" s="11" t="s">
        <v>883</v>
      </c>
      <c r="G239" s="25" t="s">
        <v>881</v>
      </c>
      <c r="H239" s="109" t="s">
        <v>1408</v>
      </c>
      <c r="I239" s="32"/>
      <c r="J239" s="8"/>
      <c r="K239" s="11" t="s">
        <v>11</v>
      </c>
      <c r="L239" s="39"/>
    </row>
    <row r="240" spans="1:12" ht="31.5" customHeight="1">
      <c r="A240" s="5">
        <v>57</v>
      </c>
      <c r="B240" s="121"/>
      <c r="C240" s="14" t="s">
        <v>1363</v>
      </c>
      <c r="D240" s="11" t="s">
        <v>884</v>
      </c>
      <c r="E240" s="11" t="s">
        <v>885</v>
      </c>
      <c r="F240" s="11" t="s">
        <v>852</v>
      </c>
      <c r="G240" s="25" t="s">
        <v>884</v>
      </c>
      <c r="H240" s="109" t="s">
        <v>1408</v>
      </c>
      <c r="I240" s="32"/>
      <c r="J240" s="8"/>
      <c r="K240" s="11" t="s">
        <v>11</v>
      </c>
      <c r="L240" s="39"/>
    </row>
    <row r="241" spans="1:12" ht="31.5" customHeight="1">
      <c r="A241" s="5">
        <v>58</v>
      </c>
      <c r="B241" s="121"/>
      <c r="C241" s="14" t="s">
        <v>1282</v>
      </c>
      <c r="D241" s="11" t="s">
        <v>886</v>
      </c>
      <c r="E241" s="11" t="s">
        <v>887</v>
      </c>
      <c r="F241" s="11" t="s">
        <v>877</v>
      </c>
      <c r="G241" s="26" t="s">
        <v>886</v>
      </c>
      <c r="H241" s="109" t="s">
        <v>1408</v>
      </c>
      <c r="I241" s="32"/>
      <c r="J241" s="8"/>
      <c r="K241" s="11" t="s">
        <v>11</v>
      </c>
      <c r="L241" s="5"/>
    </row>
    <row r="242" spans="1:12" ht="31.5" customHeight="1">
      <c r="A242" s="5">
        <v>59</v>
      </c>
      <c r="B242" s="121"/>
      <c r="C242" s="14" t="s">
        <v>1363</v>
      </c>
      <c r="D242" s="11" t="s">
        <v>888</v>
      </c>
      <c r="E242" s="11" t="s">
        <v>889</v>
      </c>
      <c r="F242" s="11" t="s">
        <v>890</v>
      </c>
      <c r="G242" s="25" t="s">
        <v>888</v>
      </c>
      <c r="H242" s="109" t="s">
        <v>1408</v>
      </c>
      <c r="I242" s="32"/>
      <c r="J242" s="8"/>
      <c r="K242" s="11" t="s">
        <v>11</v>
      </c>
      <c r="L242" s="39"/>
    </row>
    <row r="243" spans="1:12" ht="31.5" customHeight="1">
      <c r="A243" s="5">
        <v>60</v>
      </c>
      <c r="B243" s="121"/>
      <c r="C243" s="14" t="s">
        <v>1363</v>
      </c>
      <c r="D243" s="11" t="s">
        <v>891</v>
      </c>
      <c r="E243" s="11" t="s">
        <v>892</v>
      </c>
      <c r="F243" s="11" t="s">
        <v>880</v>
      </c>
      <c r="G243" s="25" t="s">
        <v>891</v>
      </c>
      <c r="H243" s="109" t="s">
        <v>1408</v>
      </c>
      <c r="I243" s="32"/>
      <c r="J243" s="8"/>
      <c r="K243" s="11" t="s">
        <v>11</v>
      </c>
      <c r="L243" s="39"/>
    </row>
    <row r="244" spans="1:12" ht="31.5" customHeight="1">
      <c r="A244" s="5">
        <v>61</v>
      </c>
      <c r="B244" s="121"/>
      <c r="C244" s="14" t="s">
        <v>1363</v>
      </c>
      <c r="D244" s="11" t="s">
        <v>893</v>
      </c>
      <c r="E244" s="11" t="s">
        <v>894</v>
      </c>
      <c r="F244" s="11" t="s">
        <v>895</v>
      </c>
      <c r="G244" s="25" t="s">
        <v>893</v>
      </c>
      <c r="H244" s="109" t="s">
        <v>1408</v>
      </c>
      <c r="I244" s="32"/>
      <c r="J244" s="8"/>
      <c r="K244" s="11" t="s">
        <v>11</v>
      </c>
      <c r="L244" s="39"/>
    </row>
    <row r="245" spans="1:12" ht="31.5" customHeight="1">
      <c r="A245" s="5">
        <v>62</v>
      </c>
      <c r="B245" s="121"/>
      <c r="C245" s="14" t="s">
        <v>1363</v>
      </c>
      <c r="D245" s="11" t="s">
        <v>896</v>
      </c>
      <c r="E245" s="11" t="s">
        <v>897</v>
      </c>
      <c r="F245" s="11" t="s">
        <v>898</v>
      </c>
      <c r="G245" s="25" t="s">
        <v>896</v>
      </c>
      <c r="H245" s="109" t="s">
        <v>1408</v>
      </c>
      <c r="I245" s="32"/>
      <c r="J245" s="8"/>
      <c r="K245" s="11" t="s">
        <v>11</v>
      </c>
      <c r="L245" s="39"/>
    </row>
    <row r="246" spans="1:12" ht="31.5" customHeight="1">
      <c r="A246" s="5">
        <v>63</v>
      </c>
      <c r="B246" s="121"/>
      <c r="C246" s="14" t="s">
        <v>1363</v>
      </c>
      <c r="D246" s="11" t="s">
        <v>899</v>
      </c>
      <c r="E246" s="11" t="s">
        <v>900</v>
      </c>
      <c r="F246" s="11" t="s">
        <v>1269</v>
      </c>
      <c r="G246" s="25" t="s">
        <v>899</v>
      </c>
      <c r="H246" s="109" t="s">
        <v>1408</v>
      </c>
      <c r="I246" s="32"/>
      <c r="J246" s="8"/>
      <c r="K246" s="11" t="s">
        <v>11</v>
      </c>
      <c r="L246" s="39"/>
    </row>
    <row r="247" spans="1:12" ht="31.5" customHeight="1">
      <c r="A247" s="5">
        <v>64</v>
      </c>
      <c r="B247" s="121"/>
      <c r="C247" s="14" t="s">
        <v>1363</v>
      </c>
      <c r="D247" s="11" t="s">
        <v>901</v>
      </c>
      <c r="E247" s="11" t="s">
        <v>902</v>
      </c>
      <c r="F247" s="11" t="s">
        <v>852</v>
      </c>
      <c r="G247" s="25" t="s">
        <v>901</v>
      </c>
      <c r="H247" s="109" t="s">
        <v>1408</v>
      </c>
      <c r="I247" s="32"/>
      <c r="J247" s="8"/>
      <c r="K247" s="11" t="s">
        <v>11</v>
      </c>
      <c r="L247" s="39"/>
    </row>
    <row r="248" spans="1:12" ht="31.5" customHeight="1">
      <c r="A248" s="5">
        <v>65</v>
      </c>
      <c r="B248" s="121"/>
      <c r="C248" s="14" t="s">
        <v>1363</v>
      </c>
      <c r="D248" s="11" t="s">
        <v>904</v>
      </c>
      <c r="E248" s="11" t="s">
        <v>905</v>
      </c>
      <c r="F248" s="11" t="s">
        <v>906</v>
      </c>
      <c r="G248" s="25" t="s">
        <v>904</v>
      </c>
      <c r="H248" s="109" t="s">
        <v>1408</v>
      </c>
      <c r="I248" s="32"/>
      <c r="J248" s="8"/>
      <c r="K248" s="11" t="s">
        <v>11</v>
      </c>
      <c r="L248" s="39"/>
    </row>
    <row r="249" spans="1:12" ht="31.5" customHeight="1">
      <c r="A249" s="5">
        <v>66</v>
      </c>
      <c r="B249" s="121"/>
      <c r="C249" s="14" t="s">
        <v>1363</v>
      </c>
      <c r="D249" s="11" t="s">
        <v>1137</v>
      </c>
      <c r="E249" s="11" t="s">
        <v>1270</v>
      </c>
      <c r="F249" s="11" t="s">
        <v>1271</v>
      </c>
      <c r="G249" s="25" t="s">
        <v>1137</v>
      </c>
      <c r="H249" s="109" t="s">
        <v>1408</v>
      </c>
      <c r="I249" s="32"/>
      <c r="J249" s="8"/>
      <c r="K249" s="11" t="s">
        <v>11</v>
      </c>
      <c r="L249" s="39"/>
    </row>
    <row r="250" spans="1:12" ht="31.5" customHeight="1">
      <c r="A250" s="5">
        <v>67</v>
      </c>
      <c r="B250" s="121"/>
      <c r="C250" s="14" t="s">
        <v>1363</v>
      </c>
      <c r="D250" s="11" t="s">
        <v>1138</v>
      </c>
      <c r="E250" s="11" t="s">
        <v>1272</v>
      </c>
      <c r="F250" s="11" t="s">
        <v>1273</v>
      </c>
      <c r="G250" s="25" t="s">
        <v>1138</v>
      </c>
      <c r="H250" s="109" t="s">
        <v>1408</v>
      </c>
      <c r="I250" s="32"/>
      <c r="J250" s="8"/>
      <c r="K250" s="11" t="s">
        <v>11</v>
      </c>
      <c r="L250" s="39"/>
    </row>
    <row r="251" spans="1:12" ht="31.5" customHeight="1">
      <c r="A251" s="5">
        <v>68</v>
      </c>
      <c r="B251" s="121"/>
      <c r="C251" s="14" t="s">
        <v>1363</v>
      </c>
      <c r="D251" s="11" t="s">
        <v>1139</v>
      </c>
      <c r="E251" s="11" t="s">
        <v>1274</v>
      </c>
      <c r="F251" s="11" t="s">
        <v>1275</v>
      </c>
      <c r="G251" s="25" t="s">
        <v>1139</v>
      </c>
      <c r="H251" s="109" t="s">
        <v>1408</v>
      </c>
      <c r="I251" s="32"/>
      <c r="J251" s="8"/>
      <c r="K251" s="11" t="s">
        <v>11</v>
      </c>
      <c r="L251" s="39"/>
    </row>
    <row r="252" spans="1:12" ht="31.5" customHeight="1">
      <c r="A252" s="5">
        <v>69</v>
      </c>
      <c r="B252" s="121"/>
      <c r="C252" s="14" t="s">
        <v>1363</v>
      </c>
      <c r="D252" s="11" t="s">
        <v>1140</v>
      </c>
      <c r="E252" s="11" t="s">
        <v>8</v>
      </c>
      <c r="F252" s="11" t="s">
        <v>829</v>
      </c>
      <c r="G252" s="25" t="s">
        <v>1140</v>
      </c>
      <c r="H252" s="109" t="s">
        <v>1408</v>
      </c>
      <c r="I252" s="32"/>
      <c r="J252" s="8"/>
      <c r="K252" s="11" t="s">
        <v>11</v>
      </c>
      <c r="L252" s="39"/>
    </row>
    <row r="253" spans="1:12" ht="31.5" customHeight="1">
      <c r="A253" s="5">
        <v>70</v>
      </c>
      <c r="B253" s="121"/>
      <c r="C253" s="14" t="s">
        <v>1363</v>
      </c>
      <c r="D253" s="11" t="s">
        <v>1141</v>
      </c>
      <c r="E253" s="11" t="s">
        <v>8</v>
      </c>
      <c r="F253" s="11" t="s">
        <v>829</v>
      </c>
      <c r="G253" s="25" t="s">
        <v>1141</v>
      </c>
      <c r="H253" s="109" t="s">
        <v>1408</v>
      </c>
      <c r="I253" s="32"/>
      <c r="J253" s="8"/>
      <c r="K253" s="11" t="s">
        <v>11</v>
      </c>
      <c r="L253" s="39"/>
    </row>
    <row r="254" spans="1:12" ht="31.5" customHeight="1">
      <c r="A254" s="5">
        <v>71</v>
      </c>
      <c r="B254" s="121"/>
      <c r="C254" s="14" t="s">
        <v>1363</v>
      </c>
      <c r="D254" s="11" t="s">
        <v>1142</v>
      </c>
      <c r="E254" s="11" t="s">
        <v>1276</v>
      </c>
      <c r="F254" s="11" t="s">
        <v>1277</v>
      </c>
      <c r="G254" s="25" t="s">
        <v>1142</v>
      </c>
      <c r="H254" s="109" t="s">
        <v>1408</v>
      </c>
      <c r="I254" s="32"/>
      <c r="J254" s="8"/>
      <c r="K254" s="11" t="s">
        <v>11</v>
      </c>
      <c r="L254" s="39"/>
    </row>
    <row r="255" spans="1:12" ht="31.5" customHeight="1">
      <c r="A255" s="5">
        <v>72</v>
      </c>
      <c r="B255" s="121"/>
      <c r="C255" s="14" t="s">
        <v>1363</v>
      </c>
      <c r="D255" s="11" t="s">
        <v>1143</v>
      </c>
      <c r="E255" s="11" t="s">
        <v>1278</v>
      </c>
      <c r="F255" s="11" t="s">
        <v>817</v>
      </c>
      <c r="G255" s="25" t="s">
        <v>1143</v>
      </c>
      <c r="H255" s="109" t="s">
        <v>1408</v>
      </c>
      <c r="I255" s="32"/>
      <c r="J255" s="8"/>
      <c r="K255" s="11" t="s">
        <v>11</v>
      </c>
      <c r="L255" s="39"/>
    </row>
    <row r="256" spans="1:12" ht="31.5" customHeight="1">
      <c r="A256" s="5">
        <v>73</v>
      </c>
      <c r="B256" s="121"/>
      <c r="C256" s="14" t="s">
        <v>1363</v>
      </c>
      <c r="D256" s="11" t="s">
        <v>1144</v>
      </c>
      <c r="E256" s="11" t="s">
        <v>1279</v>
      </c>
      <c r="F256" s="11" t="s">
        <v>1280</v>
      </c>
      <c r="G256" s="25" t="s">
        <v>1144</v>
      </c>
      <c r="H256" s="109" t="s">
        <v>1408</v>
      </c>
      <c r="I256" s="32"/>
      <c r="J256" s="8"/>
      <c r="K256" s="11" t="s">
        <v>11</v>
      </c>
      <c r="L256" s="39"/>
    </row>
    <row r="257" spans="1:12" ht="31.5" customHeight="1">
      <c r="A257" s="5">
        <v>74</v>
      </c>
      <c r="B257" s="121"/>
      <c r="C257" s="14" t="s">
        <v>1363</v>
      </c>
      <c r="D257" s="11" t="s">
        <v>915</v>
      </c>
      <c r="E257" s="11" t="s">
        <v>8</v>
      </c>
      <c r="F257" s="11" t="s">
        <v>916</v>
      </c>
      <c r="G257" s="25" t="s">
        <v>915</v>
      </c>
      <c r="H257" s="109" t="s">
        <v>1408</v>
      </c>
      <c r="I257" s="32"/>
      <c r="J257" s="8"/>
      <c r="K257" s="11" t="s">
        <v>11</v>
      </c>
      <c r="L257" s="39"/>
    </row>
    <row r="258" spans="1:12" ht="31.5" customHeight="1">
      <c r="A258" s="5">
        <v>75</v>
      </c>
      <c r="B258" s="121"/>
      <c r="C258" s="14" t="s">
        <v>1363</v>
      </c>
      <c r="D258" s="11" t="s">
        <v>912</v>
      </c>
      <c r="E258" s="11" t="s">
        <v>8</v>
      </c>
      <c r="F258" s="11" t="s">
        <v>913</v>
      </c>
      <c r="G258" s="25" t="s">
        <v>912</v>
      </c>
      <c r="H258" s="109" t="s">
        <v>1408</v>
      </c>
      <c r="I258" s="32"/>
      <c r="J258" s="8"/>
      <c r="K258" s="11" t="s">
        <v>11</v>
      </c>
      <c r="L258" s="39"/>
    </row>
    <row r="259" spans="1:12" ht="31.5" customHeight="1">
      <c r="A259" s="5">
        <v>76</v>
      </c>
      <c r="B259" s="121"/>
      <c r="C259" s="14" t="s">
        <v>1363</v>
      </c>
      <c r="D259" s="11" t="s">
        <v>909</v>
      </c>
      <c r="E259" s="11" t="s">
        <v>8</v>
      </c>
      <c r="F259" s="11" t="s">
        <v>910</v>
      </c>
      <c r="G259" s="25" t="s">
        <v>909</v>
      </c>
      <c r="H259" s="109" t="s">
        <v>1408</v>
      </c>
      <c r="I259" s="32"/>
      <c r="J259" s="8"/>
      <c r="K259" s="11" t="s">
        <v>11</v>
      </c>
      <c r="L259" s="39"/>
    </row>
    <row r="260" spans="1:12" ht="31.5" customHeight="1">
      <c r="A260" s="5">
        <v>77</v>
      </c>
      <c r="B260" s="121"/>
      <c r="C260" s="14" t="s">
        <v>1363</v>
      </c>
      <c r="D260" s="11" t="s">
        <v>1135</v>
      </c>
      <c r="E260" s="11" t="s">
        <v>8</v>
      </c>
      <c r="F260" s="11" t="s">
        <v>883</v>
      </c>
      <c r="G260" s="25" t="s">
        <v>1135</v>
      </c>
      <c r="H260" s="109" t="s">
        <v>1408</v>
      </c>
      <c r="I260" s="32"/>
      <c r="J260" s="8"/>
      <c r="K260" s="11" t="s">
        <v>11</v>
      </c>
      <c r="L260" s="39"/>
    </row>
    <row r="261" spans="1:12" ht="31.5" customHeight="1">
      <c r="A261" s="5">
        <v>78</v>
      </c>
      <c r="B261" s="121"/>
      <c r="C261" s="14" t="s">
        <v>1363</v>
      </c>
      <c r="D261" s="11" t="s">
        <v>1136</v>
      </c>
      <c r="E261" s="11" t="s">
        <v>8</v>
      </c>
      <c r="F261" s="11" t="s">
        <v>1281</v>
      </c>
      <c r="G261" s="25" t="s">
        <v>1136</v>
      </c>
      <c r="H261" s="109" t="s">
        <v>1408</v>
      </c>
      <c r="I261" s="32"/>
      <c r="J261" s="8"/>
      <c r="K261" s="11" t="s">
        <v>11</v>
      </c>
      <c r="L261" s="39"/>
    </row>
    <row r="262" spans="1:12" ht="31.5" customHeight="1">
      <c r="A262" s="5">
        <v>79</v>
      </c>
      <c r="B262" s="121"/>
      <c r="C262" s="11" t="s">
        <v>918</v>
      </c>
      <c r="D262" s="11" t="s">
        <v>1155</v>
      </c>
      <c r="E262" s="11" t="s">
        <v>8</v>
      </c>
      <c r="F262" s="11" t="s">
        <v>1283</v>
      </c>
      <c r="G262" s="25" t="s">
        <v>1155</v>
      </c>
      <c r="H262" s="109" t="s">
        <v>1408</v>
      </c>
      <c r="I262" s="32"/>
      <c r="J262" s="8"/>
      <c r="K262" s="11" t="s">
        <v>11</v>
      </c>
      <c r="L262" s="39"/>
    </row>
    <row r="263" spans="1:12" ht="31.5" customHeight="1">
      <c r="A263" s="5">
        <v>80</v>
      </c>
      <c r="B263" s="121"/>
      <c r="C263" s="11" t="s">
        <v>918</v>
      </c>
      <c r="D263" s="11" t="s">
        <v>1284</v>
      </c>
      <c r="E263" s="11" t="s">
        <v>1285</v>
      </c>
      <c r="F263" s="11" t="s">
        <v>1286</v>
      </c>
      <c r="G263" s="26" t="s">
        <v>1284</v>
      </c>
      <c r="H263" s="109" t="s">
        <v>1408</v>
      </c>
      <c r="I263" s="32"/>
      <c r="J263" s="8"/>
      <c r="K263" s="11" t="s">
        <v>11</v>
      </c>
      <c r="L263" s="5"/>
    </row>
    <row r="264" spans="1:12" ht="31.5" customHeight="1">
      <c r="A264" s="5">
        <v>81</v>
      </c>
      <c r="B264" s="121"/>
      <c r="C264" s="11" t="s">
        <v>918</v>
      </c>
      <c r="D264" s="11" t="s">
        <v>919</v>
      </c>
      <c r="E264" s="11" t="s">
        <v>920</v>
      </c>
      <c r="F264" s="11" t="s">
        <v>921</v>
      </c>
      <c r="G264" s="25" t="s">
        <v>919</v>
      </c>
      <c r="H264" s="109" t="s">
        <v>1408</v>
      </c>
      <c r="I264" s="32"/>
      <c r="J264" s="8"/>
      <c r="K264" s="11" t="s">
        <v>11</v>
      </c>
      <c r="L264" s="39"/>
    </row>
    <row r="265" spans="1:12" ht="31.5" customHeight="1">
      <c r="A265" s="5">
        <v>82</v>
      </c>
      <c r="B265" s="121"/>
      <c r="C265" s="11" t="s">
        <v>918</v>
      </c>
      <c r="D265" s="11" t="s">
        <v>922</v>
      </c>
      <c r="E265" s="11" t="s">
        <v>923</v>
      </c>
      <c r="F265" s="11" t="s">
        <v>924</v>
      </c>
      <c r="G265" s="25" t="s">
        <v>922</v>
      </c>
      <c r="H265" s="109" t="s">
        <v>1408</v>
      </c>
      <c r="I265" s="32"/>
      <c r="J265" s="8"/>
      <c r="K265" s="11" t="s">
        <v>11</v>
      </c>
      <c r="L265" s="39"/>
    </row>
    <row r="266" spans="1:12" ht="31.5" customHeight="1">
      <c r="A266" s="5">
        <v>83</v>
      </c>
      <c r="B266" s="121"/>
      <c r="C266" s="14" t="s">
        <v>1330</v>
      </c>
      <c r="D266" s="11" t="s">
        <v>926</v>
      </c>
      <c r="E266" s="11" t="s">
        <v>927</v>
      </c>
      <c r="F266" s="11" t="s">
        <v>928</v>
      </c>
      <c r="G266" s="25" t="s">
        <v>926</v>
      </c>
      <c r="H266" s="109" t="s">
        <v>1408</v>
      </c>
      <c r="I266" s="32"/>
      <c r="J266" s="8"/>
      <c r="K266" s="11" t="s">
        <v>11</v>
      </c>
      <c r="L266" s="39"/>
    </row>
    <row r="267" spans="1:12" ht="31.5" customHeight="1">
      <c r="A267" s="5">
        <v>84</v>
      </c>
      <c r="B267" s="121"/>
      <c r="C267" s="14" t="s">
        <v>1330</v>
      </c>
      <c r="D267" s="11" t="s">
        <v>929</v>
      </c>
      <c r="E267" s="11" t="s">
        <v>930</v>
      </c>
      <c r="F267" s="11" t="s">
        <v>931</v>
      </c>
      <c r="G267" s="25" t="s">
        <v>929</v>
      </c>
      <c r="H267" s="109" t="s">
        <v>1408</v>
      </c>
      <c r="I267" s="32"/>
      <c r="J267" s="8"/>
      <c r="K267" s="11" t="s">
        <v>11</v>
      </c>
      <c r="L267" s="39"/>
    </row>
    <row r="268" spans="1:12" ht="31.5" customHeight="1">
      <c r="A268" s="5">
        <v>85</v>
      </c>
      <c r="B268" s="121"/>
      <c r="C268" s="14" t="s">
        <v>1330</v>
      </c>
      <c r="D268" s="11" t="s">
        <v>932</v>
      </c>
      <c r="E268" s="11" t="s">
        <v>871</v>
      </c>
      <c r="F268" s="11" t="s">
        <v>933</v>
      </c>
      <c r="G268" s="25" t="s">
        <v>932</v>
      </c>
      <c r="H268" s="109" t="s">
        <v>1408</v>
      </c>
      <c r="I268" s="32"/>
      <c r="J268" s="8"/>
      <c r="K268" s="11" t="s">
        <v>11</v>
      </c>
      <c r="L268" s="39"/>
    </row>
    <row r="269" spans="1:12" ht="31.5" customHeight="1">
      <c r="A269" s="5">
        <v>86</v>
      </c>
      <c r="B269" s="121"/>
      <c r="C269" s="14" t="s">
        <v>1330</v>
      </c>
      <c r="D269" s="11" t="s">
        <v>934</v>
      </c>
      <c r="E269" s="11" t="s">
        <v>935</v>
      </c>
      <c r="F269" s="11" t="s">
        <v>1287</v>
      </c>
      <c r="G269" s="25" t="s">
        <v>934</v>
      </c>
      <c r="H269" s="109" t="s">
        <v>1408</v>
      </c>
      <c r="I269" s="32"/>
      <c r="J269" s="8"/>
      <c r="K269" s="11" t="s">
        <v>11</v>
      </c>
      <c r="L269" s="39"/>
    </row>
    <row r="270" spans="1:12" ht="31.5" customHeight="1">
      <c r="A270" s="5">
        <v>87</v>
      </c>
      <c r="B270" s="121"/>
      <c r="C270" s="14" t="s">
        <v>1330</v>
      </c>
      <c r="D270" s="11" t="s">
        <v>936</v>
      </c>
      <c r="E270" s="11" t="s">
        <v>937</v>
      </c>
      <c r="F270" s="11" t="s">
        <v>938</v>
      </c>
      <c r="G270" s="26" t="s">
        <v>936</v>
      </c>
      <c r="H270" s="109" t="s">
        <v>1408</v>
      </c>
      <c r="I270" s="32"/>
      <c r="J270" s="8"/>
      <c r="K270" s="11" t="s">
        <v>11</v>
      </c>
      <c r="L270" s="5"/>
    </row>
    <row r="271" spans="1:12" ht="31.5" customHeight="1">
      <c r="A271" s="5">
        <v>88</v>
      </c>
      <c r="B271" s="121"/>
      <c r="C271" s="14" t="s">
        <v>1331</v>
      </c>
      <c r="D271" s="11" t="s">
        <v>957</v>
      </c>
      <c r="E271" s="11" t="s">
        <v>8</v>
      </c>
      <c r="F271" s="11" t="s">
        <v>958</v>
      </c>
      <c r="G271" s="25" t="s">
        <v>957</v>
      </c>
      <c r="H271" s="109" t="s">
        <v>1408</v>
      </c>
      <c r="I271" s="32"/>
      <c r="J271" s="8"/>
      <c r="K271" s="11" t="s">
        <v>11</v>
      </c>
      <c r="L271" s="39"/>
    </row>
    <row r="272" spans="1:12" ht="31.5" customHeight="1">
      <c r="A272" s="5">
        <v>89</v>
      </c>
      <c r="B272" s="121"/>
      <c r="C272" s="14" t="s">
        <v>1331</v>
      </c>
      <c r="D272" s="11" t="s">
        <v>939</v>
      </c>
      <c r="E272" s="11" t="s">
        <v>940</v>
      </c>
      <c r="F272" s="11" t="s">
        <v>941</v>
      </c>
      <c r="G272" s="25" t="s">
        <v>939</v>
      </c>
      <c r="H272" s="109" t="s">
        <v>1408</v>
      </c>
      <c r="I272" s="32"/>
      <c r="J272" s="8"/>
      <c r="K272" s="11" t="s">
        <v>11</v>
      </c>
      <c r="L272" s="39"/>
    </row>
    <row r="273" spans="1:12" ht="31.5" customHeight="1">
      <c r="A273" s="5">
        <v>90</v>
      </c>
      <c r="B273" s="121"/>
      <c r="C273" s="14" t="s">
        <v>1331</v>
      </c>
      <c r="D273" s="11" t="s">
        <v>942</v>
      </c>
      <c r="E273" s="11" t="s">
        <v>943</v>
      </c>
      <c r="F273" s="11" t="s">
        <v>944</v>
      </c>
      <c r="G273" s="25" t="s">
        <v>942</v>
      </c>
      <c r="H273" s="109" t="s">
        <v>1408</v>
      </c>
      <c r="I273" s="32"/>
      <c r="J273" s="8"/>
      <c r="K273" s="11" t="s">
        <v>11</v>
      </c>
      <c r="L273" s="39"/>
    </row>
    <row r="274" spans="1:12" ht="31.5" customHeight="1">
      <c r="A274" s="5">
        <v>91</v>
      </c>
      <c r="B274" s="121"/>
      <c r="C274" s="14" t="s">
        <v>1331</v>
      </c>
      <c r="D274" s="11" t="s">
        <v>945</v>
      </c>
      <c r="E274" s="11" t="s">
        <v>946</v>
      </c>
      <c r="F274" s="11" t="s">
        <v>947</v>
      </c>
      <c r="G274" s="11" t="s">
        <v>945</v>
      </c>
      <c r="H274" s="109" t="s">
        <v>1408</v>
      </c>
      <c r="I274" s="33"/>
      <c r="J274" s="8"/>
      <c r="K274" s="11" t="s">
        <v>11</v>
      </c>
      <c r="L274" s="5"/>
    </row>
    <row r="275" spans="1:12" ht="31.5" customHeight="1">
      <c r="A275" s="5">
        <v>92</v>
      </c>
      <c r="B275" s="121"/>
      <c r="C275" s="14" t="s">
        <v>1331</v>
      </c>
      <c r="D275" s="11" t="s">
        <v>948</v>
      </c>
      <c r="E275" s="11" t="s">
        <v>949</v>
      </c>
      <c r="F275" s="11" t="s">
        <v>950</v>
      </c>
      <c r="G275" s="25" t="s">
        <v>948</v>
      </c>
      <c r="H275" s="109" t="s">
        <v>1408</v>
      </c>
      <c r="I275" s="32"/>
      <c r="J275" s="8"/>
      <c r="K275" s="11" t="s">
        <v>11</v>
      </c>
      <c r="L275" s="39"/>
    </row>
    <row r="276" spans="1:12" ht="31.5" customHeight="1">
      <c r="A276" s="5">
        <v>93</v>
      </c>
      <c r="B276" s="121"/>
      <c r="C276" s="14" t="s">
        <v>1331</v>
      </c>
      <c r="D276" s="11" t="s">
        <v>951</v>
      </c>
      <c r="E276" s="11" t="s">
        <v>952</v>
      </c>
      <c r="F276" s="11" t="s">
        <v>953</v>
      </c>
      <c r="G276" s="25" t="s">
        <v>951</v>
      </c>
      <c r="H276" s="109" t="s">
        <v>1408</v>
      </c>
      <c r="I276" s="32"/>
      <c r="J276" s="8"/>
      <c r="K276" s="11" t="s">
        <v>11</v>
      </c>
      <c r="L276" s="39"/>
    </row>
    <row r="277" spans="1:12" ht="31.5" customHeight="1">
      <c r="A277" s="5">
        <v>94</v>
      </c>
      <c r="B277" s="121"/>
      <c r="C277" s="14" t="s">
        <v>1331</v>
      </c>
      <c r="D277" s="11" t="s">
        <v>954</v>
      </c>
      <c r="E277" s="11" t="s">
        <v>955</v>
      </c>
      <c r="F277" s="11" t="s">
        <v>956</v>
      </c>
      <c r="G277" s="25" t="s">
        <v>954</v>
      </c>
      <c r="H277" s="109" t="s">
        <v>1408</v>
      </c>
      <c r="I277" s="32"/>
      <c r="J277" s="8"/>
      <c r="K277" s="11" t="s">
        <v>11</v>
      </c>
      <c r="L277" s="39"/>
    </row>
    <row r="278" spans="1:12" ht="31.5" customHeight="1" thickBot="1">
      <c r="A278" s="5">
        <v>95</v>
      </c>
      <c r="B278" s="122"/>
      <c r="C278" s="86" t="s">
        <v>1331</v>
      </c>
      <c r="D278" s="87" t="s">
        <v>959</v>
      </c>
      <c r="E278" s="87" t="s">
        <v>960</v>
      </c>
      <c r="F278" s="87" t="s">
        <v>961</v>
      </c>
      <c r="G278" s="88" t="s">
        <v>959</v>
      </c>
      <c r="H278" s="110" t="s">
        <v>1408</v>
      </c>
      <c r="I278" s="89"/>
      <c r="J278" s="90"/>
      <c r="K278" s="91" t="s">
        <v>11</v>
      </c>
      <c r="L278" s="91"/>
    </row>
    <row r="279" spans="1:12" ht="31.5" customHeight="1">
      <c r="A279" s="104">
        <v>1</v>
      </c>
      <c r="B279" s="120" t="s">
        <v>1401</v>
      </c>
      <c r="C279" s="92" t="s">
        <v>1336</v>
      </c>
      <c r="D279" s="101" t="s">
        <v>1098</v>
      </c>
      <c r="E279" s="101" t="s">
        <v>1066</v>
      </c>
      <c r="F279" s="101" t="s">
        <v>1067</v>
      </c>
      <c r="G279" s="96" t="s">
        <v>1098</v>
      </c>
      <c r="H279" s="111" t="s">
        <v>1408</v>
      </c>
      <c r="I279" s="97"/>
      <c r="J279" s="98"/>
      <c r="K279" s="7" t="s">
        <v>10</v>
      </c>
      <c r="L279" s="100"/>
    </row>
    <row r="280" spans="1:12" ht="31.5" customHeight="1">
      <c r="A280" s="5">
        <v>2</v>
      </c>
      <c r="B280" s="121"/>
      <c r="C280" s="14" t="s">
        <v>1336</v>
      </c>
      <c r="D280" s="11" t="s">
        <v>1091</v>
      </c>
      <c r="E280" s="11" t="s">
        <v>1092</v>
      </c>
      <c r="F280" s="11" t="s">
        <v>1093</v>
      </c>
      <c r="G280" s="25" t="s">
        <v>1091</v>
      </c>
      <c r="H280" s="109" t="s">
        <v>1408</v>
      </c>
      <c r="I280" s="32"/>
      <c r="J280" s="8"/>
      <c r="K280" s="7" t="s">
        <v>10</v>
      </c>
      <c r="L280" s="39"/>
    </row>
    <row r="281" spans="1:12" ht="31.5" customHeight="1">
      <c r="A281" s="5">
        <v>3</v>
      </c>
      <c r="B281" s="121"/>
      <c r="C281" s="14" t="s">
        <v>1336</v>
      </c>
      <c r="D281" s="11" t="s">
        <v>1094</v>
      </c>
      <c r="E281" s="11" t="s">
        <v>1095</v>
      </c>
      <c r="F281" s="11" t="s">
        <v>1096</v>
      </c>
      <c r="G281" s="25" t="s">
        <v>1094</v>
      </c>
      <c r="H281" s="109" t="s">
        <v>1408</v>
      </c>
      <c r="I281" s="32"/>
      <c r="J281" s="8"/>
      <c r="K281" s="7" t="s">
        <v>10</v>
      </c>
      <c r="L281" s="39"/>
    </row>
    <row r="282" spans="1:12" ht="31.5" customHeight="1">
      <c r="A282" s="5">
        <v>4</v>
      </c>
      <c r="B282" s="121"/>
      <c r="C282" s="14" t="s">
        <v>1321</v>
      </c>
      <c r="D282" s="11" t="s">
        <v>1105</v>
      </c>
      <c r="E282" s="11" t="s">
        <v>1201</v>
      </c>
      <c r="F282" s="11" t="s">
        <v>1202</v>
      </c>
      <c r="G282" s="25" t="s">
        <v>1105</v>
      </c>
      <c r="H282" s="109" t="s">
        <v>1408</v>
      </c>
      <c r="I282" s="32"/>
      <c r="J282" s="8"/>
      <c r="K282" s="7" t="s">
        <v>10</v>
      </c>
      <c r="L282" s="39"/>
    </row>
    <row r="283" spans="1:12" ht="31.5" customHeight="1">
      <c r="A283" s="5">
        <v>5</v>
      </c>
      <c r="B283" s="121"/>
      <c r="C283" s="14" t="s">
        <v>1321</v>
      </c>
      <c r="D283" s="11" t="s">
        <v>207</v>
      </c>
      <c r="E283" s="11" t="s">
        <v>208</v>
      </c>
      <c r="F283" s="11" t="s">
        <v>209</v>
      </c>
      <c r="G283" s="25" t="s">
        <v>207</v>
      </c>
      <c r="H283" s="109" t="s">
        <v>1408</v>
      </c>
      <c r="I283" s="32"/>
      <c r="J283" s="8"/>
      <c r="K283" s="7" t="s">
        <v>10</v>
      </c>
      <c r="L283" s="39"/>
    </row>
    <row r="284" spans="1:12" ht="31.5" customHeight="1">
      <c r="A284" s="5">
        <v>6</v>
      </c>
      <c r="B284" s="121"/>
      <c r="C284" s="14" t="s">
        <v>1321</v>
      </c>
      <c r="D284" s="11" t="s">
        <v>210</v>
      </c>
      <c r="E284" s="11" t="s">
        <v>211</v>
      </c>
      <c r="F284" s="11" t="s">
        <v>212</v>
      </c>
      <c r="G284" s="25" t="s">
        <v>210</v>
      </c>
      <c r="H284" s="109" t="s">
        <v>1408</v>
      </c>
      <c r="I284" s="32"/>
      <c r="J284" s="8"/>
      <c r="K284" s="7" t="s">
        <v>10</v>
      </c>
      <c r="L284" s="39"/>
    </row>
    <row r="285" spans="1:12" ht="31.5" customHeight="1">
      <c r="A285" s="5">
        <v>7</v>
      </c>
      <c r="B285" s="121"/>
      <c r="C285" s="14" t="s">
        <v>1321</v>
      </c>
      <c r="D285" s="11" t="s">
        <v>1106</v>
      </c>
      <c r="E285" s="11" t="s">
        <v>1203</v>
      </c>
      <c r="F285" s="11" t="s">
        <v>1204</v>
      </c>
      <c r="G285" s="25" t="s">
        <v>1106</v>
      </c>
      <c r="H285" s="109" t="s">
        <v>1408</v>
      </c>
      <c r="I285" s="32"/>
      <c r="J285" s="8"/>
      <c r="K285" s="7" t="s">
        <v>10</v>
      </c>
      <c r="L285" s="39"/>
    </row>
    <row r="286" spans="1:12" ht="31.5" customHeight="1">
      <c r="A286" s="5">
        <v>8</v>
      </c>
      <c r="B286" s="121"/>
      <c r="C286" s="14" t="s">
        <v>1321</v>
      </c>
      <c r="D286" s="11" t="s">
        <v>205</v>
      </c>
      <c r="E286" s="11" t="s">
        <v>8</v>
      </c>
      <c r="F286" s="11" t="s">
        <v>206</v>
      </c>
      <c r="G286" s="25" t="s">
        <v>205</v>
      </c>
      <c r="H286" s="109" t="s">
        <v>1408</v>
      </c>
      <c r="I286" s="32"/>
      <c r="J286" s="8"/>
      <c r="K286" s="7" t="s">
        <v>10</v>
      </c>
      <c r="L286" s="39"/>
    </row>
    <row r="287" spans="1:12" ht="31.5" customHeight="1">
      <c r="A287" s="5">
        <v>9</v>
      </c>
      <c r="B287" s="121"/>
      <c r="C287" s="14" t="s">
        <v>1321</v>
      </c>
      <c r="D287" s="11" t="s">
        <v>1104</v>
      </c>
      <c r="E287" s="11" t="s">
        <v>8</v>
      </c>
      <c r="F287" s="11" t="s">
        <v>1205</v>
      </c>
      <c r="G287" s="25" t="s">
        <v>1104</v>
      </c>
      <c r="H287" s="109" t="s">
        <v>1408</v>
      </c>
      <c r="I287" s="32"/>
      <c r="J287" s="8"/>
      <c r="K287" s="7" t="s">
        <v>10</v>
      </c>
      <c r="L287" s="39"/>
    </row>
    <row r="288" spans="1:12" ht="31.5" customHeight="1">
      <c r="A288" s="5">
        <v>10</v>
      </c>
      <c r="B288" s="121"/>
      <c r="C288" s="14" t="s">
        <v>1321</v>
      </c>
      <c r="D288" s="11" t="s">
        <v>213</v>
      </c>
      <c r="E288" s="11" t="s">
        <v>214</v>
      </c>
      <c r="F288" s="11" t="s">
        <v>215</v>
      </c>
      <c r="G288" s="25" t="s">
        <v>213</v>
      </c>
      <c r="H288" s="109" t="s">
        <v>1408</v>
      </c>
      <c r="I288" s="32"/>
      <c r="J288" s="8"/>
      <c r="K288" s="7" t="s">
        <v>10</v>
      </c>
      <c r="L288" s="39"/>
    </row>
    <row r="289" spans="1:12" ht="31.5" customHeight="1">
      <c r="A289" s="5">
        <v>11</v>
      </c>
      <c r="B289" s="121"/>
      <c r="C289" s="14" t="s">
        <v>1321</v>
      </c>
      <c r="D289" s="11" t="s">
        <v>1152</v>
      </c>
      <c r="E289" s="11" t="s">
        <v>8</v>
      </c>
      <c r="F289" s="11" t="s">
        <v>215</v>
      </c>
      <c r="G289" s="25" t="s">
        <v>1152</v>
      </c>
      <c r="H289" s="109" t="s">
        <v>1408</v>
      </c>
      <c r="I289" s="32"/>
      <c r="J289" s="8"/>
      <c r="K289" s="7" t="s">
        <v>10</v>
      </c>
      <c r="L289" s="39"/>
    </row>
    <row r="290" spans="1:12" ht="31.5" customHeight="1">
      <c r="A290" s="5">
        <v>12</v>
      </c>
      <c r="B290" s="121"/>
      <c r="C290" s="14" t="s">
        <v>1327</v>
      </c>
      <c r="D290" s="11" t="s">
        <v>411</v>
      </c>
      <c r="E290" s="11" t="s">
        <v>8</v>
      </c>
      <c r="F290" s="11" t="s">
        <v>411</v>
      </c>
      <c r="G290" s="25" t="s">
        <v>411</v>
      </c>
      <c r="H290" s="109" t="s">
        <v>1408</v>
      </c>
      <c r="I290" s="32"/>
      <c r="J290" s="8"/>
      <c r="K290" s="7" t="s">
        <v>10</v>
      </c>
      <c r="L290" s="39"/>
    </row>
    <row r="291" spans="1:12" ht="31.5" customHeight="1">
      <c r="A291" s="5">
        <v>13</v>
      </c>
      <c r="B291" s="121"/>
      <c r="C291" s="14" t="s">
        <v>1327</v>
      </c>
      <c r="D291" s="19" t="s">
        <v>1346</v>
      </c>
      <c r="E291" s="6" t="s">
        <v>8</v>
      </c>
      <c r="F291" s="28" t="s">
        <v>411</v>
      </c>
      <c r="G291" s="21" t="s">
        <v>1375</v>
      </c>
      <c r="H291" s="109" t="s">
        <v>1408</v>
      </c>
      <c r="I291" s="32"/>
      <c r="J291" s="8"/>
      <c r="K291" s="7" t="s">
        <v>10</v>
      </c>
      <c r="L291" s="7"/>
    </row>
    <row r="292" spans="1:12" ht="31.5" customHeight="1">
      <c r="A292" s="5">
        <v>14</v>
      </c>
      <c r="B292" s="121"/>
      <c r="C292" s="14" t="s">
        <v>1327</v>
      </c>
      <c r="D292" s="11" t="s">
        <v>402</v>
      </c>
      <c r="E292" s="11" t="s">
        <v>403</v>
      </c>
      <c r="F292" s="11" t="s">
        <v>404</v>
      </c>
      <c r="G292" s="25" t="s">
        <v>402</v>
      </c>
      <c r="H292" s="109" t="s">
        <v>1408</v>
      </c>
      <c r="I292" s="32"/>
      <c r="J292" s="8"/>
      <c r="K292" s="7" t="s">
        <v>10</v>
      </c>
      <c r="L292" s="39"/>
    </row>
    <row r="293" spans="1:12" ht="31.5" customHeight="1">
      <c r="A293" s="5">
        <v>15</v>
      </c>
      <c r="B293" s="121"/>
      <c r="C293" s="14" t="s">
        <v>1327</v>
      </c>
      <c r="D293" s="11" t="s">
        <v>405</v>
      </c>
      <c r="E293" s="11" t="s">
        <v>406</v>
      </c>
      <c r="F293" s="11" t="s">
        <v>1230</v>
      </c>
      <c r="G293" s="11" t="s">
        <v>405</v>
      </c>
      <c r="H293" s="109" t="s">
        <v>1408</v>
      </c>
      <c r="I293" s="33"/>
      <c r="J293" s="8"/>
      <c r="K293" s="7" t="s">
        <v>10</v>
      </c>
      <c r="L293" s="5"/>
    </row>
    <row r="294" spans="1:12" ht="31.5" customHeight="1">
      <c r="A294" s="5">
        <v>16</v>
      </c>
      <c r="B294" s="121"/>
      <c r="C294" s="14" t="s">
        <v>1327</v>
      </c>
      <c r="D294" s="11" t="s">
        <v>409</v>
      </c>
      <c r="E294" s="11" t="s">
        <v>8</v>
      </c>
      <c r="F294" s="11" t="s">
        <v>410</v>
      </c>
      <c r="G294" s="25" t="s">
        <v>409</v>
      </c>
      <c r="H294" s="109" t="s">
        <v>1408</v>
      </c>
      <c r="I294" s="32"/>
      <c r="J294" s="8"/>
      <c r="K294" s="7" t="s">
        <v>10</v>
      </c>
      <c r="L294" s="39"/>
    </row>
    <row r="295" spans="1:12" ht="31.5" customHeight="1">
      <c r="A295" s="5">
        <v>17</v>
      </c>
      <c r="B295" s="121"/>
      <c r="C295" s="14" t="s">
        <v>1327</v>
      </c>
      <c r="D295" s="11" t="s">
        <v>407</v>
      </c>
      <c r="E295" s="11" t="s">
        <v>8</v>
      </c>
      <c r="F295" s="11" t="s">
        <v>408</v>
      </c>
      <c r="G295" s="25" t="s">
        <v>407</v>
      </c>
      <c r="H295" s="109" t="s">
        <v>1408</v>
      </c>
      <c r="I295" s="32"/>
      <c r="J295" s="8"/>
      <c r="K295" s="7" t="s">
        <v>10</v>
      </c>
      <c r="L295" s="39"/>
    </row>
    <row r="296" spans="1:12" ht="31.5" customHeight="1">
      <c r="A296" s="5">
        <v>18</v>
      </c>
      <c r="B296" s="121"/>
      <c r="C296" s="14" t="s">
        <v>1322</v>
      </c>
      <c r="D296" s="11" t="s">
        <v>216</v>
      </c>
      <c r="E296" s="11" t="s">
        <v>217</v>
      </c>
      <c r="F296" s="11" t="s">
        <v>219</v>
      </c>
      <c r="G296" s="26" t="s">
        <v>216</v>
      </c>
      <c r="H296" s="109" t="s">
        <v>1408</v>
      </c>
      <c r="I296" s="32"/>
      <c r="J296" s="8"/>
      <c r="K296" s="7" t="s">
        <v>10</v>
      </c>
      <c r="L296" s="5"/>
    </row>
    <row r="297" spans="1:12" ht="31.5" customHeight="1">
      <c r="A297" s="5">
        <v>19</v>
      </c>
      <c r="B297" s="121"/>
      <c r="C297" s="14" t="s">
        <v>1322</v>
      </c>
      <c r="D297" s="11" t="s">
        <v>218</v>
      </c>
      <c r="E297" s="11" t="s">
        <v>229</v>
      </c>
      <c r="F297" s="11" t="s">
        <v>219</v>
      </c>
      <c r="G297" s="25" t="s">
        <v>218</v>
      </c>
      <c r="H297" s="109" t="s">
        <v>1408</v>
      </c>
      <c r="I297" s="32"/>
      <c r="J297" s="8"/>
      <c r="K297" s="7" t="s">
        <v>10</v>
      </c>
      <c r="L297" s="39"/>
    </row>
    <row r="298" spans="1:12" ht="31.5" customHeight="1">
      <c r="A298" s="5">
        <v>20</v>
      </c>
      <c r="B298" s="121"/>
      <c r="C298" s="14" t="s">
        <v>1322</v>
      </c>
      <c r="D298" s="11" t="s">
        <v>220</v>
      </c>
      <c r="E298" s="11" t="s">
        <v>221</v>
      </c>
      <c r="F298" s="11" t="s">
        <v>222</v>
      </c>
      <c r="G298" s="26" t="s">
        <v>220</v>
      </c>
      <c r="H298" s="109" t="s">
        <v>1408</v>
      </c>
      <c r="I298" s="32"/>
      <c r="J298" s="8"/>
      <c r="K298" s="7" t="s">
        <v>10</v>
      </c>
      <c r="L298" s="5"/>
    </row>
    <row r="299" spans="1:12" ht="31.5" customHeight="1">
      <c r="A299" s="5">
        <v>21</v>
      </c>
      <c r="B299" s="121"/>
      <c r="C299" s="14" t="s">
        <v>1322</v>
      </c>
      <c r="D299" s="11" t="s">
        <v>223</v>
      </c>
      <c r="E299" s="11" t="s">
        <v>224</v>
      </c>
      <c r="F299" s="11" t="s">
        <v>225</v>
      </c>
      <c r="G299" s="26" t="s">
        <v>223</v>
      </c>
      <c r="H299" s="109" t="s">
        <v>1408</v>
      </c>
      <c r="I299" s="32"/>
      <c r="J299" s="8"/>
      <c r="K299" s="7" t="s">
        <v>10</v>
      </c>
      <c r="L299" s="5"/>
    </row>
    <row r="300" spans="1:12" ht="31.5" customHeight="1">
      <c r="A300" s="5">
        <v>22</v>
      </c>
      <c r="B300" s="121"/>
      <c r="C300" s="14" t="s">
        <v>1322</v>
      </c>
      <c r="D300" s="11" t="s">
        <v>226</v>
      </c>
      <c r="E300" s="11" t="s">
        <v>227</v>
      </c>
      <c r="F300" s="11" t="s">
        <v>228</v>
      </c>
      <c r="G300" s="25" t="s">
        <v>226</v>
      </c>
      <c r="H300" s="109" t="s">
        <v>1408</v>
      </c>
      <c r="I300" s="32"/>
      <c r="J300" s="8"/>
      <c r="K300" s="7" t="s">
        <v>10</v>
      </c>
      <c r="L300" s="39"/>
    </row>
    <row r="301" spans="1:12" ht="31.5" customHeight="1">
      <c r="A301" s="5">
        <v>23</v>
      </c>
      <c r="B301" s="121"/>
      <c r="C301" s="14" t="s">
        <v>1322</v>
      </c>
      <c r="D301" s="11" t="s">
        <v>230</v>
      </c>
      <c r="E301" s="11" t="s">
        <v>231</v>
      </c>
      <c r="F301" s="11" t="s">
        <v>232</v>
      </c>
      <c r="G301" s="25" t="s">
        <v>230</v>
      </c>
      <c r="H301" s="109" t="s">
        <v>1408</v>
      </c>
      <c r="I301" s="32"/>
      <c r="J301" s="8"/>
      <c r="K301" s="7" t="s">
        <v>10</v>
      </c>
      <c r="L301" s="39"/>
    </row>
    <row r="302" spans="1:12" ht="31.5" customHeight="1">
      <c r="A302" s="5">
        <v>24</v>
      </c>
      <c r="B302" s="121"/>
      <c r="C302" s="14" t="s">
        <v>1322</v>
      </c>
      <c r="D302" s="11" t="s">
        <v>233</v>
      </c>
      <c r="E302" s="11" t="s">
        <v>234</v>
      </c>
      <c r="F302" s="11" t="s">
        <v>148</v>
      </c>
      <c r="G302" s="25" t="s">
        <v>233</v>
      </c>
      <c r="H302" s="109" t="s">
        <v>1408</v>
      </c>
      <c r="I302" s="32"/>
      <c r="J302" s="8"/>
      <c r="K302" s="7" t="s">
        <v>10</v>
      </c>
      <c r="L302" s="39"/>
    </row>
    <row r="303" spans="1:12" ht="31.5" customHeight="1">
      <c r="A303" s="5">
        <v>25</v>
      </c>
      <c r="B303" s="121"/>
      <c r="C303" s="11" t="s">
        <v>4</v>
      </c>
      <c r="D303" s="11" t="s">
        <v>1309</v>
      </c>
      <c r="E303" s="11" t="s">
        <v>8</v>
      </c>
      <c r="F303" s="11" t="s">
        <v>1090</v>
      </c>
      <c r="G303" s="25" t="s">
        <v>1309</v>
      </c>
      <c r="H303" s="109" t="s">
        <v>1408</v>
      </c>
      <c r="I303" s="32"/>
      <c r="J303" s="8"/>
      <c r="K303" s="7" t="s">
        <v>10</v>
      </c>
      <c r="L303" s="39"/>
    </row>
    <row r="304" spans="1:12" ht="31.5" customHeight="1">
      <c r="A304" s="5">
        <v>26</v>
      </c>
      <c r="B304" s="121"/>
      <c r="C304" s="11" t="s">
        <v>4</v>
      </c>
      <c r="D304" s="11" t="s">
        <v>1065</v>
      </c>
      <c r="E304" s="11" t="s">
        <v>1310</v>
      </c>
      <c r="F304" s="11" t="s">
        <v>1311</v>
      </c>
      <c r="G304" s="25" t="s">
        <v>1065</v>
      </c>
      <c r="H304" s="109" t="s">
        <v>1408</v>
      </c>
      <c r="I304" s="32"/>
      <c r="J304" s="8"/>
      <c r="K304" s="7" t="s">
        <v>10</v>
      </c>
      <c r="L304" s="39"/>
    </row>
    <row r="305" spans="1:12" ht="31.5" customHeight="1">
      <c r="A305" s="5">
        <v>27</v>
      </c>
      <c r="B305" s="121"/>
      <c r="C305" s="11" t="s">
        <v>4</v>
      </c>
      <c r="D305" s="11" t="s">
        <v>1068</v>
      </c>
      <c r="E305" s="11" t="s">
        <v>1069</v>
      </c>
      <c r="F305" s="11" t="s">
        <v>1070</v>
      </c>
      <c r="G305" s="25" t="s">
        <v>1068</v>
      </c>
      <c r="H305" s="109" t="s">
        <v>1408</v>
      </c>
      <c r="I305" s="32"/>
      <c r="J305" s="8"/>
      <c r="K305" s="7" t="s">
        <v>10</v>
      </c>
      <c r="L305" s="39"/>
    </row>
    <row r="306" spans="1:12" ht="31.5" customHeight="1">
      <c r="A306" s="5">
        <v>28</v>
      </c>
      <c r="B306" s="121"/>
      <c r="C306" s="11" t="s">
        <v>4</v>
      </c>
      <c r="D306" s="11" t="s">
        <v>1071</v>
      </c>
      <c r="E306" s="11" t="s">
        <v>1072</v>
      </c>
      <c r="F306" s="11" t="s">
        <v>1073</v>
      </c>
      <c r="G306" s="25" t="s">
        <v>1071</v>
      </c>
      <c r="H306" s="109" t="s">
        <v>1408</v>
      </c>
      <c r="I306" s="32"/>
      <c r="J306" s="8"/>
      <c r="K306" s="7" t="s">
        <v>10</v>
      </c>
      <c r="L306" s="39"/>
    </row>
    <row r="307" spans="1:12" ht="31.5" customHeight="1">
      <c r="A307" s="5">
        <v>29</v>
      </c>
      <c r="B307" s="121"/>
      <c r="C307" s="11" t="s">
        <v>4</v>
      </c>
      <c r="D307" s="11" t="s">
        <v>1147</v>
      </c>
      <c r="E307" s="11" t="s">
        <v>1312</v>
      </c>
      <c r="F307" s="11" t="s">
        <v>1313</v>
      </c>
      <c r="G307" s="25" t="s">
        <v>1147</v>
      </c>
      <c r="H307" s="109" t="s">
        <v>1408</v>
      </c>
      <c r="I307" s="32"/>
      <c r="J307" s="8"/>
      <c r="K307" s="7" t="s">
        <v>10</v>
      </c>
      <c r="L307" s="39"/>
    </row>
    <row r="308" spans="1:12" ht="31.5" customHeight="1">
      <c r="A308" s="5">
        <v>30</v>
      </c>
      <c r="B308" s="121"/>
      <c r="C308" s="11" t="s">
        <v>4</v>
      </c>
      <c r="D308" s="11" t="s">
        <v>1074</v>
      </c>
      <c r="E308" s="11" t="s">
        <v>1075</v>
      </c>
      <c r="F308" s="11" t="s">
        <v>13</v>
      </c>
      <c r="G308" s="25" t="s">
        <v>1074</v>
      </c>
      <c r="H308" s="109" t="s">
        <v>1408</v>
      </c>
      <c r="I308" s="32"/>
      <c r="J308" s="8"/>
      <c r="K308" s="7" t="s">
        <v>10</v>
      </c>
      <c r="L308" s="39"/>
    </row>
    <row r="309" spans="1:12" ht="31.5" customHeight="1">
      <c r="A309" s="5">
        <v>31</v>
      </c>
      <c r="B309" s="121"/>
      <c r="C309" s="11" t="s">
        <v>4</v>
      </c>
      <c r="D309" s="11" t="s">
        <v>1076</v>
      </c>
      <c r="E309" s="11" t="s">
        <v>1077</v>
      </c>
      <c r="F309" s="11" t="s">
        <v>11</v>
      </c>
      <c r="G309" s="25" t="s">
        <v>1076</v>
      </c>
      <c r="H309" s="109" t="s">
        <v>1408</v>
      </c>
      <c r="I309" s="32"/>
      <c r="J309" s="8"/>
      <c r="K309" s="7" t="s">
        <v>10</v>
      </c>
      <c r="L309" s="39"/>
    </row>
    <row r="310" spans="1:12" ht="31.5" customHeight="1">
      <c r="A310" s="5">
        <v>32</v>
      </c>
      <c r="B310" s="121"/>
      <c r="C310" s="11" t="s">
        <v>4</v>
      </c>
      <c r="D310" s="11" t="s">
        <v>1148</v>
      </c>
      <c r="E310" s="11" t="s">
        <v>1314</v>
      </c>
      <c r="F310" s="11" t="s">
        <v>1315</v>
      </c>
      <c r="G310" s="25" t="s">
        <v>1148</v>
      </c>
      <c r="H310" s="109" t="s">
        <v>1408</v>
      </c>
      <c r="I310" s="32"/>
      <c r="J310" s="8"/>
      <c r="K310" s="7" t="s">
        <v>10</v>
      </c>
      <c r="L310" s="39"/>
    </row>
    <row r="311" spans="1:12" ht="31.5" customHeight="1">
      <c r="A311" s="5">
        <v>33</v>
      </c>
      <c r="B311" s="121"/>
      <c r="C311" s="11" t="s">
        <v>4</v>
      </c>
      <c r="D311" s="11" t="s">
        <v>1078</v>
      </c>
      <c r="E311" s="11" t="s">
        <v>1079</v>
      </c>
      <c r="F311" s="11" t="s">
        <v>10</v>
      </c>
      <c r="G311" s="25" t="s">
        <v>1078</v>
      </c>
      <c r="H311" s="109" t="s">
        <v>1408</v>
      </c>
      <c r="I311" s="32"/>
      <c r="J311" s="8"/>
      <c r="K311" s="7" t="s">
        <v>10</v>
      </c>
      <c r="L311" s="39"/>
    </row>
    <row r="312" spans="1:12" ht="31.5" customHeight="1">
      <c r="A312" s="5">
        <v>34</v>
      </c>
      <c r="B312" s="121"/>
      <c r="C312" s="11" t="s">
        <v>4</v>
      </c>
      <c r="D312" s="11" t="s">
        <v>1080</v>
      </c>
      <c r="E312" s="11" t="s">
        <v>1081</v>
      </c>
      <c r="F312" s="11" t="s">
        <v>1082</v>
      </c>
      <c r="G312" s="25" t="s">
        <v>1080</v>
      </c>
      <c r="H312" s="109" t="s">
        <v>1408</v>
      </c>
      <c r="I312" s="32"/>
      <c r="J312" s="8"/>
      <c r="K312" s="7" t="s">
        <v>10</v>
      </c>
      <c r="L312" s="39"/>
    </row>
    <row r="313" spans="1:12" ht="31.5" customHeight="1">
      <c r="A313" s="5">
        <v>35</v>
      </c>
      <c r="B313" s="121"/>
      <c r="C313" s="11" t="s">
        <v>4</v>
      </c>
      <c r="D313" s="11" t="s">
        <v>1083</v>
      </c>
      <c r="E313" s="11" t="s">
        <v>1084</v>
      </c>
      <c r="F313" s="11" t="s">
        <v>1085</v>
      </c>
      <c r="G313" s="25" t="s">
        <v>1083</v>
      </c>
      <c r="H313" s="109" t="s">
        <v>1408</v>
      </c>
      <c r="I313" s="32"/>
      <c r="J313" s="8"/>
      <c r="K313" s="7" t="s">
        <v>10</v>
      </c>
      <c r="L313" s="39"/>
    </row>
    <row r="314" spans="1:12" ht="31.5" customHeight="1">
      <c r="A314" s="5">
        <v>36</v>
      </c>
      <c r="B314" s="121"/>
      <c r="C314" s="11" t="s">
        <v>4</v>
      </c>
      <c r="D314" s="11" t="s">
        <v>1086</v>
      </c>
      <c r="E314" s="11" t="s">
        <v>1087</v>
      </c>
      <c r="F314" s="11" t="s">
        <v>1316</v>
      </c>
      <c r="G314" s="25" t="s">
        <v>1086</v>
      </c>
      <c r="H314" s="109" t="s">
        <v>1408</v>
      </c>
      <c r="I314" s="32"/>
      <c r="J314" s="8"/>
      <c r="K314" s="7" t="s">
        <v>10</v>
      </c>
      <c r="L314" s="39"/>
    </row>
    <row r="315" spans="1:12" ht="31.5" customHeight="1">
      <c r="A315" s="5">
        <v>37</v>
      </c>
      <c r="B315" s="121"/>
      <c r="C315" s="11" t="s">
        <v>4</v>
      </c>
      <c r="D315" s="11" t="s">
        <v>1088</v>
      </c>
      <c r="E315" s="11" t="s">
        <v>1089</v>
      </c>
      <c r="F315" s="11" t="s">
        <v>357</v>
      </c>
      <c r="G315" s="25" t="s">
        <v>1088</v>
      </c>
      <c r="H315" s="109" t="s">
        <v>1408</v>
      </c>
      <c r="I315" s="32"/>
      <c r="J315" s="8"/>
      <c r="K315" s="7" t="s">
        <v>10</v>
      </c>
      <c r="L315" s="39"/>
    </row>
    <row r="316" spans="1:12" ht="31.5" customHeight="1">
      <c r="A316" s="5">
        <v>38</v>
      </c>
      <c r="B316" s="121"/>
      <c r="C316" s="11" t="s">
        <v>4</v>
      </c>
      <c r="D316" s="11" t="s">
        <v>1149</v>
      </c>
      <c r="E316" s="11" t="s">
        <v>1092</v>
      </c>
      <c r="F316" s="11" t="s">
        <v>1317</v>
      </c>
      <c r="G316" s="25" t="s">
        <v>1149</v>
      </c>
      <c r="H316" s="109" t="s">
        <v>1408</v>
      </c>
      <c r="I316" s="32"/>
      <c r="J316" s="8"/>
      <c r="K316" s="7" t="s">
        <v>10</v>
      </c>
      <c r="L316" s="39"/>
    </row>
    <row r="317" spans="1:12" ht="31.5" customHeight="1">
      <c r="A317" s="5">
        <v>39</v>
      </c>
      <c r="B317" s="121"/>
      <c r="C317" s="14" t="s">
        <v>1326</v>
      </c>
      <c r="D317" s="11" t="s">
        <v>399</v>
      </c>
      <c r="E317" s="11" t="s">
        <v>400</v>
      </c>
      <c r="F317" s="11" t="s">
        <v>383</v>
      </c>
      <c r="G317" s="25" t="s">
        <v>399</v>
      </c>
      <c r="H317" s="109" t="s">
        <v>1408</v>
      </c>
      <c r="I317" s="32"/>
      <c r="J317" s="8"/>
      <c r="K317" s="7" t="s">
        <v>10</v>
      </c>
      <c r="L317" s="39"/>
    </row>
    <row r="318" spans="1:12" ht="31.5" customHeight="1">
      <c r="A318" s="5">
        <v>40</v>
      </c>
      <c r="B318" s="121"/>
      <c r="C318" s="14" t="s">
        <v>1326</v>
      </c>
      <c r="D318" s="11" t="s">
        <v>375</v>
      </c>
      <c r="E318" s="11" t="s">
        <v>376</v>
      </c>
      <c r="F318" s="11" t="s">
        <v>377</v>
      </c>
      <c r="G318" s="25" t="s">
        <v>375</v>
      </c>
      <c r="H318" s="109" t="s">
        <v>1408</v>
      </c>
      <c r="I318" s="32"/>
      <c r="J318" s="8"/>
      <c r="K318" s="7" t="s">
        <v>10</v>
      </c>
      <c r="L318" s="39"/>
    </row>
    <row r="319" spans="1:12" ht="31.5" customHeight="1">
      <c r="A319" s="5">
        <v>41</v>
      </c>
      <c r="B319" s="121"/>
      <c r="C319" s="14" t="s">
        <v>1326</v>
      </c>
      <c r="D319" s="11" t="s">
        <v>378</v>
      </c>
      <c r="E319" s="11" t="s">
        <v>379</v>
      </c>
      <c r="F319" s="11" t="s">
        <v>380</v>
      </c>
      <c r="G319" s="25" t="s">
        <v>378</v>
      </c>
      <c r="H319" s="109" t="s">
        <v>1408</v>
      </c>
      <c r="I319" s="32"/>
      <c r="J319" s="8"/>
      <c r="K319" s="7" t="s">
        <v>10</v>
      </c>
      <c r="L319" s="39"/>
    </row>
    <row r="320" spans="1:12" ht="31.5" customHeight="1">
      <c r="A320" s="5">
        <v>42</v>
      </c>
      <c r="B320" s="121"/>
      <c r="C320" s="14" t="s">
        <v>1326</v>
      </c>
      <c r="D320" s="11" t="s">
        <v>381</v>
      </c>
      <c r="E320" s="11" t="s">
        <v>382</v>
      </c>
      <c r="F320" s="11" t="s">
        <v>1227</v>
      </c>
      <c r="G320" s="25" t="s">
        <v>381</v>
      </c>
      <c r="H320" s="109" t="s">
        <v>1408</v>
      </c>
      <c r="I320" s="32"/>
      <c r="J320" s="8"/>
      <c r="K320" s="7" t="s">
        <v>10</v>
      </c>
      <c r="L320" s="39"/>
    </row>
    <row r="321" spans="1:12" ht="31.5" customHeight="1">
      <c r="A321" s="5">
        <v>43</v>
      </c>
      <c r="B321" s="121"/>
      <c r="C321" s="14" t="s">
        <v>1326</v>
      </c>
      <c r="D321" s="11" t="s">
        <v>384</v>
      </c>
      <c r="E321" s="11" t="s">
        <v>385</v>
      </c>
      <c r="F321" s="11" t="s">
        <v>386</v>
      </c>
      <c r="G321" s="25" t="s">
        <v>384</v>
      </c>
      <c r="H321" s="109" t="s">
        <v>1408</v>
      </c>
      <c r="I321" s="32"/>
      <c r="J321" s="8"/>
      <c r="K321" s="7" t="s">
        <v>10</v>
      </c>
      <c r="L321" s="39"/>
    </row>
    <row r="322" spans="1:12" ht="31.5" customHeight="1">
      <c r="A322" s="5">
        <v>44</v>
      </c>
      <c r="B322" s="121"/>
      <c r="C322" s="14" t="s">
        <v>1326</v>
      </c>
      <c r="D322" s="11" t="s">
        <v>387</v>
      </c>
      <c r="E322" s="11" t="s">
        <v>388</v>
      </c>
      <c r="F322" s="11" t="s">
        <v>389</v>
      </c>
      <c r="G322" s="25" t="s">
        <v>387</v>
      </c>
      <c r="H322" s="109" t="s">
        <v>1408</v>
      </c>
      <c r="I322" s="32"/>
      <c r="J322" s="8"/>
      <c r="K322" s="7" t="s">
        <v>10</v>
      </c>
      <c r="L322" s="39"/>
    </row>
    <row r="323" spans="1:12" ht="31.5" customHeight="1">
      <c r="A323" s="5">
        <v>45</v>
      </c>
      <c r="B323" s="121"/>
      <c r="C323" s="14" t="s">
        <v>1326</v>
      </c>
      <c r="D323" s="11" t="s">
        <v>390</v>
      </c>
      <c r="E323" s="11" t="s">
        <v>391</v>
      </c>
      <c r="F323" s="11" t="s">
        <v>392</v>
      </c>
      <c r="G323" s="25" t="s">
        <v>390</v>
      </c>
      <c r="H323" s="109" t="s">
        <v>1408</v>
      </c>
      <c r="I323" s="32"/>
      <c r="J323" s="8"/>
      <c r="K323" s="7" t="s">
        <v>10</v>
      </c>
      <c r="L323" s="39"/>
    </row>
    <row r="324" spans="1:12" ht="31.5" customHeight="1">
      <c r="A324" s="5">
        <v>46</v>
      </c>
      <c r="B324" s="121"/>
      <c r="C324" s="14" t="s">
        <v>1326</v>
      </c>
      <c r="D324" s="11" t="s">
        <v>393</v>
      </c>
      <c r="E324" s="11" t="s">
        <v>394</v>
      </c>
      <c r="F324" s="11" t="s">
        <v>395</v>
      </c>
      <c r="G324" s="25" t="s">
        <v>393</v>
      </c>
      <c r="H324" s="109" t="s">
        <v>1408</v>
      </c>
      <c r="I324" s="32"/>
      <c r="J324" s="8"/>
      <c r="K324" s="7" t="s">
        <v>10</v>
      </c>
      <c r="L324" s="39"/>
    </row>
    <row r="325" spans="1:12" ht="31.5" customHeight="1">
      <c r="A325" s="5">
        <v>47</v>
      </c>
      <c r="B325" s="121"/>
      <c r="C325" s="14" t="s">
        <v>1326</v>
      </c>
      <c r="D325" s="11" t="s">
        <v>396</v>
      </c>
      <c r="E325" s="11" t="s">
        <v>397</v>
      </c>
      <c r="F325" s="11" t="s">
        <v>398</v>
      </c>
      <c r="G325" s="25" t="s">
        <v>396</v>
      </c>
      <c r="H325" s="109" t="s">
        <v>1408</v>
      </c>
      <c r="I325" s="32"/>
      <c r="J325" s="8"/>
      <c r="K325" s="7" t="s">
        <v>10</v>
      </c>
      <c r="L325" s="39"/>
    </row>
    <row r="326" spans="1:12" ht="31.5" customHeight="1">
      <c r="A326" s="5">
        <v>48</v>
      </c>
      <c r="B326" s="121"/>
      <c r="C326" s="14" t="s">
        <v>1326</v>
      </c>
      <c r="D326" s="11" t="s">
        <v>1171</v>
      </c>
      <c r="E326" s="11" t="s">
        <v>1228</v>
      </c>
      <c r="F326" s="11" t="s">
        <v>383</v>
      </c>
      <c r="G326" s="25" t="s">
        <v>1171</v>
      </c>
      <c r="H326" s="109" t="s">
        <v>1408</v>
      </c>
      <c r="I326" s="32"/>
      <c r="J326" s="8"/>
      <c r="K326" s="7" t="s">
        <v>10</v>
      </c>
      <c r="L326" s="39"/>
    </row>
    <row r="327" spans="1:12" ht="31.5" customHeight="1">
      <c r="A327" s="5">
        <v>49</v>
      </c>
      <c r="B327" s="121"/>
      <c r="C327" s="14" t="s">
        <v>1326</v>
      </c>
      <c r="D327" s="11" t="s">
        <v>401</v>
      </c>
      <c r="E327" s="11" t="s">
        <v>8</v>
      </c>
      <c r="F327" s="11" t="s">
        <v>1229</v>
      </c>
      <c r="G327" s="25" t="s">
        <v>401</v>
      </c>
      <c r="H327" s="109" t="s">
        <v>1408</v>
      </c>
      <c r="I327" s="32"/>
      <c r="J327" s="8"/>
      <c r="K327" s="7" t="s">
        <v>10</v>
      </c>
      <c r="L327" s="39"/>
    </row>
    <row r="328" spans="1:12" ht="31.5" customHeight="1">
      <c r="A328" s="5">
        <v>50</v>
      </c>
      <c r="B328" s="121"/>
      <c r="C328" s="14" t="s">
        <v>1320</v>
      </c>
      <c r="D328" s="11" t="s">
        <v>149</v>
      </c>
      <c r="E328" s="11" t="s">
        <v>150</v>
      </c>
      <c r="F328" s="11" t="s">
        <v>151</v>
      </c>
      <c r="G328" s="25" t="s">
        <v>149</v>
      </c>
      <c r="H328" s="109" t="s">
        <v>1408</v>
      </c>
      <c r="I328" s="32"/>
      <c r="J328" s="8"/>
      <c r="K328" s="7" t="s">
        <v>10</v>
      </c>
      <c r="L328" s="39"/>
    </row>
    <row r="329" spans="1:12" ht="31.5" customHeight="1">
      <c r="A329" s="5">
        <v>51</v>
      </c>
      <c r="B329" s="121"/>
      <c r="C329" s="14" t="s">
        <v>1320</v>
      </c>
      <c r="D329" s="11" t="s">
        <v>152</v>
      </c>
      <c r="E329" s="11" t="s">
        <v>153</v>
      </c>
      <c r="F329" s="11" t="s">
        <v>154</v>
      </c>
      <c r="G329" s="25" t="s">
        <v>152</v>
      </c>
      <c r="H329" s="109" t="s">
        <v>1408</v>
      </c>
      <c r="I329" s="32"/>
      <c r="J329" s="8"/>
      <c r="K329" s="7" t="s">
        <v>10</v>
      </c>
      <c r="L329" s="39"/>
    </row>
    <row r="330" spans="1:12" ht="31.5" customHeight="1">
      <c r="A330" s="5">
        <v>52</v>
      </c>
      <c r="B330" s="121"/>
      <c r="C330" s="14" t="s">
        <v>1320</v>
      </c>
      <c r="D330" s="11" t="s">
        <v>1179</v>
      </c>
      <c r="E330" s="11" t="s">
        <v>8</v>
      </c>
      <c r="F330" s="11" t="s">
        <v>1180</v>
      </c>
      <c r="G330" s="25" t="s">
        <v>1179</v>
      </c>
      <c r="H330" s="109" t="s">
        <v>1408</v>
      </c>
      <c r="I330" s="32"/>
      <c r="J330" s="8"/>
      <c r="K330" s="7" t="s">
        <v>10</v>
      </c>
      <c r="L330" s="39"/>
    </row>
    <row r="331" spans="1:12" ht="31.5" customHeight="1">
      <c r="A331" s="5">
        <v>53</v>
      </c>
      <c r="B331" s="121"/>
      <c r="C331" s="14" t="s">
        <v>1320</v>
      </c>
      <c r="D331" s="11" t="s">
        <v>1111</v>
      </c>
      <c r="E331" s="11" t="s">
        <v>8</v>
      </c>
      <c r="F331" s="11" t="s">
        <v>1182</v>
      </c>
      <c r="G331" s="25" t="s">
        <v>1111</v>
      </c>
      <c r="H331" s="109" t="s">
        <v>1408</v>
      </c>
      <c r="I331" s="32"/>
      <c r="J331" s="8"/>
      <c r="K331" s="7" t="s">
        <v>10</v>
      </c>
      <c r="L331" s="39"/>
    </row>
    <row r="332" spans="1:12" ht="31.5" customHeight="1">
      <c r="A332" s="5">
        <v>54</v>
      </c>
      <c r="B332" s="121"/>
      <c r="C332" s="14" t="s">
        <v>1320</v>
      </c>
      <c r="D332" s="11" t="s">
        <v>1115</v>
      </c>
      <c r="E332" s="11" t="s">
        <v>8</v>
      </c>
      <c r="F332" s="11" t="s">
        <v>1188</v>
      </c>
      <c r="G332" s="25" t="s">
        <v>1115</v>
      </c>
      <c r="H332" s="109" t="s">
        <v>1408</v>
      </c>
      <c r="I332" s="32"/>
      <c r="J332" s="8"/>
      <c r="K332" s="7" t="s">
        <v>10</v>
      </c>
      <c r="L332" s="39"/>
    </row>
    <row r="333" spans="1:12" ht="31.5" customHeight="1">
      <c r="A333" s="5">
        <v>55</v>
      </c>
      <c r="B333" s="121"/>
      <c r="C333" s="14" t="s">
        <v>1320</v>
      </c>
      <c r="D333" s="11" t="s">
        <v>1116</v>
      </c>
      <c r="E333" s="11" t="s">
        <v>8</v>
      </c>
      <c r="F333" s="11" t="s">
        <v>1189</v>
      </c>
      <c r="G333" s="25" t="s">
        <v>1116</v>
      </c>
      <c r="H333" s="109" t="s">
        <v>1408</v>
      </c>
      <c r="I333" s="32"/>
      <c r="J333" s="8"/>
      <c r="K333" s="7" t="s">
        <v>10</v>
      </c>
      <c r="L333" s="39"/>
    </row>
    <row r="334" spans="1:12" ht="31.5" customHeight="1">
      <c r="A334" s="5">
        <v>56</v>
      </c>
      <c r="B334" s="121"/>
      <c r="C334" s="14" t="s">
        <v>1320</v>
      </c>
      <c r="D334" s="11" t="s">
        <v>1119</v>
      </c>
      <c r="E334" s="11" t="s">
        <v>8</v>
      </c>
      <c r="F334" s="11" t="s">
        <v>1192</v>
      </c>
      <c r="G334" s="25" t="s">
        <v>1119</v>
      </c>
      <c r="H334" s="109" t="s">
        <v>1408</v>
      </c>
      <c r="I334" s="32"/>
      <c r="J334" s="8"/>
      <c r="K334" s="7" t="s">
        <v>10</v>
      </c>
      <c r="L334" s="39"/>
    </row>
    <row r="335" spans="1:12" ht="31.5" customHeight="1">
      <c r="A335" s="5">
        <v>57</v>
      </c>
      <c r="B335" s="121"/>
      <c r="C335" s="14" t="s">
        <v>1320</v>
      </c>
      <c r="D335" s="11" t="s">
        <v>195</v>
      </c>
      <c r="E335" s="11" t="s">
        <v>8</v>
      </c>
      <c r="F335" s="11" t="s">
        <v>196</v>
      </c>
      <c r="G335" s="25" t="s">
        <v>195</v>
      </c>
      <c r="H335" s="109" t="s">
        <v>1408</v>
      </c>
      <c r="I335" s="32"/>
      <c r="J335" s="8"/>
      <c r="K335" s="7" t="s">
        <v>10</v>
      </c>
      <c r="L335" s="39"/>
    </row>
    <row r="336" spans="1:12" ht="31.5" customHeight="1">
      <c r="A336" s="5">
        <v>58</v>
      </c>
      <c r="B336" s="121"/>
      <c r="C336" s="14" t="s">
        <v>1320</v>
      </c>
      <c r="D336" s="11" t="s">
        <v>1122</v>
      </c>
      <c r="E336" s="11" t="s">
        <v>8</v>
      </c>
      <c r="F336" s="11" t="s">
        <v>1196</v>
      </c>
      <c r="G336" s="25" t="s">
        <v>1122</v>
      </c>
      <c r="H336" s="109" t="s">
        <v>1408</v>
      </c>
      <c r="I336" s="32"/>
      <c r="J336" s="8"/>
      <c r="K336" s="7" t="s">
        <v>10</v>
      </c>
      <c r="L336" s="39"/>
    </row>
    <row r="337" spans="1:12" ht="31.5" customHeight="1">
      <c r="A337" s="5">
        <v>59</v>
      </c>
      <c r="B337" s="121"/>
      <c r="C337" s="14" t="s">
        <v>1320</v>
      </c>
      <c r="D337" s="11" t="s">
        <v>183</v>
      </c>
      <c r="E337" s="11" t="s">
        <v>8</v>
      </c>
      <c r="F337" s="11" t="s">
        <v>184</v>
      </c>
      <c r="G337" s="25" t="s">
        <v>183</v>
      </c>
      <c r="H337" s="109" t="s">
        <v>1408</v>
      </c>
      <c r="I337" s="32"/>
      <c r="J337" s="8"/>
      <c r="K337" s="7" t="s">
        <v>10</v>
      </c>
      <c r="L337" s="39"/>
    </row>
    <row r="338" spans="1:12" ht="31.5" customHeight="1">
      <c r="A338" s="5">
        <v>60</v>
      </c>
      <c r="B338" s="121"/>
      <c r="C338" s="14" t="s">
        <v>1320</v>
      </c>
      <c r="D338" s="11" t="s">
        <v>155</v>
      </c>
      <c r="E338" s="11" t="s">
        <v>8</v>
      </c>
      <c r="F338" s="11" t="s">
        <v>157</v>
      </c>
      <c r="G338" s="25" t="s">
        <v>155</v>
      </c>
      <c r="H338" s="109" t="s">
        <v>1408</v>
      </c>
      <c r="I338" s="32"/>
      <c r="J338" s="8"/>
      <c r="K338" s="7" t="s">
        <v>10</v>
      </c>
      <c r="L338" s="39"/>
    </row>
    <row r="339" spans="1:12" ht="31.5" customHeight="1">
      <c r="A339" s="5">
        <v>61</v>
      </c>
      <c r="B339" s="121"/>
      <c r="C339" s="14" t="s">
        <v>1320</v>
      </c>
      <c r="D339" s="11" t="s">
        <v>1126</v>
      </c>
      <c r="E339" s="11" t="s">
        <v>8</v>
      </c>
      <c r="F339" s="11" t="s">
        <v>1199</v>
      </c>
      <c r="G339" s="25" t="s">
        <v>1126</v>
      </c>
      <c r="H339" s="109" t="s">
        <v>1408</v>
      </c>
      <c r="I339" s="32"/>
      <c r="J339" s="8"/>
      <c r="K339" s="7" t="s">
        <v>10</v>
      </c>
      <c r="L339" s="39"/>
    </row>
    <row r="340" spans="1:12" ht="31.5" customHeight="1" thickBot="1">
      <c r="A340" s="5">
        <v>62</v>
      </c>
      <c r="B340" s="122"/>
      <c r="C340" s="86" t="s">
        <v>1320</v>
      </c>
      <c r="D340" s="87" t="s">
        <v>179</v>
      </c>
      <c r="E340" s="87" t="s">
        <v>8</v>
      </c>
      <c r="F340" s="87" t="s">
        <v>180</v>
      </c>
      <c r="G340" s="88" t="s">
        <v>179</v>
      </c>
      <c r="H340" s="109" t="s">
        <v>1408</v>
      </c>
      <c r="I340" s="89"/>
      <c r="J340" s="90"/>
      <c r="K340" s="88" t="s">
        <v>10</v>
      </c>
      <c r="L340" s="91"/>
    </row>
    <row r="341" spans="1:12" ht="31.5" customHeight="1">
      <c r="A341" s="104">
        <v>1</v>
      </c>
      <c r="B341" s="120" t="s">
        <v>1402</v>
      </c>
      <c r="C341" s="92" t="s">
        <v>1376</v>
      </c>
      <c r="D341" s="101" t="s">
        <v>1132</v>
      </c>
      <c r="E341" s="101" t="s">
        <v>1231</v>
      </c>
      <c r="F341" s="101" t="s">
        <v>1232</v>
      </c>
      <c r="G341" s="96" t="s">
        <v>1132</v>
      </c>
      <c r="H341" s="111" t="s">
        <v>1408</v>
      </c>
      <c r="I341" s="97"/>
      <c r="J341" s="98"/>
      <c r="K341" s="11" t="s">
        <v>13</v>
      </c>
      <c r="L341" s="100"/>
    </row>
    <row r="342" spans="1:12" ht="31.5" customHeight="1">
      <c r="A342" s="5">
        <v>2</v>
      </c>
      <c r="B342" s="121"/>
      <c r="C342" s="14" t="s">
        <v>1376</v>
      </c>
      <c r="D342" s="11" t="s">
        <v>412</v>
      </c>
      <c r="E342" s="11" t="s">
        <v>413</v>
      </c>
      <c r="F342" s="11" t="s">
        <v>414</v>
      </c>
      <c r="G342" s="25" t="s">
        <v>412</v>
      </c>
      <c r="H342" s="109" t="s">
        <v>1408</v>
      </c>
      <c r="I342" s="32"/>
      <c r="J342" s="8"/>
      <c r="K342" s="11" t="s">
        <v>13</v>
      </c>
      <c r="L342" s="39"/>
    </row>
    <row r="343" spans="1:12" ht="31.5" customHeight="1">
      <c r="A343" s="5">
        <v>3</v>
      </c>
      <c r="B343" s="121"/>
      <c r="C343" s="14" t="s">
        <v>1376</v>
      </c>
      <c r="D343" s="11" t="s">
        <v>415</v>
      </c>
      <c r="E343" s="11" t="s">
        <v>416</v>
      </c>
      <c r="F343" s="11" t="s">
        <v>417</v>
      </c>
      <c r="G343" s="26" t="s">
        <v>415</v>
      </c>
      <c r="H343" s="109" t="s">
        <v>1408</v>
      </c>
      <c r="I343" s="32"/>
      <c r="J343" s="8"/>
      <c r="K343" s="11" t="s">
        <v>13</v>
      </c>
      <c r="L343" s="5"/>
    </row>
    <row r="344" spans="1:12" ht="31.5" customHeight="1">
      <c r="A344" s="5">
        <v>4</v>
      </c>
      <c r="B344" s="121"/>
      <c r="C344" s="14" t="s">
        <v>1376</v>
      </c>
      <c r="D344" s="11" t="s">
        <v>418</v>
      </c>
      <c r="E344" s="11" t="s">
        <v>419</v>
      </c>
      <c r="F344" s="11" t="s">
        <v>420</v>
      </c>
      <c r="G344" s="26" t="s">
        <v>418</v>
      </c>
      <c r="H344" s="109" t="s">
        <v>1408</v>
      </c>
      <c r="I344" s="32"/>
      <c r="J344" s="8"/>
      <c r="K344" s="11" t="s">
        <v>13</v>
      </c>
      <c r="L344" s="5"/>
    </row>
    <row r="345" spans="1:12" ht="31.5" customHeight="1">
      <c r="A345" s="5">
        <v>5</v>
      </c>
      <c r="B345" s="121"/>
      <c r="C345" s="14" t="s">
        <v>1376</v>
      </c>
      <c r="D345" s="11" t="s">
        <v>421</v>
      </c>
      <c r="E345" s="11" t="s">
        <v>1233</v>
      </c>
      <c r="F345" s="11" t="s">
        <v>422</v>
      </c>
      <c r="G345" s="25" t="s">
        <v>421</v>
      </c>
      <c r="H345" s="109" t="s">
        <v>1408</v>
      </c>
      <c r="I345" s="32"/>
      <c r="J345" s="8"/>
      <c r="K345" s="11" t="s">
        <v>13</v>
      </c>
      <c r="L345" s="39"/>
    </row>
    <row r="346" spans="1:12" ht="31.5" customHeight="1">
      <c r="A346" s="5">
        <v>6</v>
      </c>
      <c r="B346" s="121"/>
      <c r="C346" s="14" t="s">
        <v>1376</v>
      </c>
      <c r="D346" s="11" t="s">
        <v>423</v>
      </c>
      <c r="E346" s="11" t="s">
        <v>424</v>
      </c>
      <c r="F346" s="11" t="s">
        <v>425</v>
      </c>
      <c r="G346" s="25" t="s">
        <v>423</v>
      </c>
      <c r="H346" s="109" t="s">
        <v>1408</v>
      </c>
      <c r="I346" s="32"/>
      <c r="J346" s="8"/>
      <c r="K346" s="11" t="s">
        <v>13</v>
      </c>
      <c r="L346" s="39"/>
    </row>
    <row r="347" spans="1:12" ht="31.5" customHeight="1">
      <c r="A347" s="5">
        <v>7</v>
      </c>
      <c r="B347" s="121"/>
      <c r="C347" s="14" t="s">
        <v>1376</v>
      </c>
      <c r="D347" s="11" t="s">
        <v>426</v>
      </c>
      <c r="E347" s="11" t="s">
        <v>427</v>
      </c>
      <c r="F347" s="11" t="s">
        <v>428</v>
      </c>
      <c r="G347" s="26" t="s">
        <v>426</v>
      </c>
      <c r="H347" s="109" t="s">
        <v>1408</v>
      </c>
      <c r="I347" s="32"/>
      <c r="J347" s="8"/>
      <c r="K347" s="11" t="s">
        <v>13</v>
      </c>
      <c r="L347" s="5"/>
    </row>
    <row r="348" spans="1:12" ht="31.5" customHeight="1">
      <c r="A348" s="5">
        <v>8</v>
      </c>
      <c r="B348" s="121"/>
      <c r="C348" s="14" t="s">
        <v>1376</v>
      </c>
      <c r="D348" s="11" t="s">
        <v>429</v>
      </c>
      <c r="E348" s="11" t="s">
        <v>430</v>
      </c>
      <c r="F348" s="11" t="s">
        <v>431</v>
      </c>
      <c r="G348" s="25" t="s">
        <v>429</v>
      </c>
      <c r="H348" s="109" t="s">
        <v>1408</v>
      </c>
      <c r="I348" s="32"/>
      <c r="J348" s="8"/>
      <c r="K348" s="11" t="s">
        <v>13</v>
      </c>
      <c r="L348" s="39"/>
    </row>
    <row r="349" spans="1:12" ht="31.5" customHeight="1">
      <c r="A349" s="5">
        <v>9</v>
      </c>
      <c r="B349" s="121"/>
      <c r="C349" s="14" t="s">
        <v>1376</v>
      </c>
      <c r="D349" s="11" t="s">
        <v>432</v>
      </c>
      <c r="E349" s="11" t="s">
        <v>433</v>
      </c>
      <c r="F349" s="11" t="s">
        <v>434</v>
      </c>
      <c r="G349" s="25" t="s">
        <v>432</v>
      </c>
      <c r="H349" s="109" t="s">
        <v>1408</v>
      </c>
      <c r="I349" s="32"/>
      <c r="J349" s="8"/>
      <c r="K349" s="11" t="s">
        <v>13</v>
      </c>
      <c r="L349" s="39"/>
    </row>
    <row r="350" spans="1:12" ht="31.5" customHeight="1">
      <c r="A350" s="5">
        <v>10</v>
      </c>
      <c r="B350" s="121"/>
      <c r="C350" s="14" t="s">
        <v>1376</v>
      </c>
      <c r="D350" s="11" t="s">
        <v>435</v>
      </c>
      <c r="E350" s="11" t="s">
        <v>436</v>
      </c>
      <c r="F350" s="11" t="s">
        <v>1234</v>
      </c>
      <c r="G350" s="25" t="s">
        <v>435</v>
      </c>
      <c r="H350" s="109" t="s">
        <v>1408</v>
      </c>
      <c r="I350" s="32"/>
      <c r="J350" s="8"/>
      <c r="K350" s="11" t="s">
        <v>13</v>
      </c>
      <c r="L350" s="39"/>
    </row>
    <row r="351" spans="1:12" ht="31.5" customHeight="1">
      <c r="A351" s="5">
        <v>11</v>
      </c>
      <c r="B351" s="121"/>
      <c r="C351" s="14" t="s">
        <v>1376</v>
      </c>
      <c r="D351" s="11" t="s">
        <v>665</v>
      </c>
      <c r="E351" s="11" t="s">
        <v>666</v>
      </c>
      <c r="F351" s="11" t="s">
        <v>667</v>
      </c>
      <c r="G351" s="25" t="s">
        <v>665</v>
      </c>
      <c r="H351" s="109" t="s">
        <v>1408</v>
      </c>
      <c r="I351" s="32"/>
      <c r="J351" s="8"/>
      <c r="K351" s="11" t="s">
        <v>13</v>
      </c>
      <c r="L351" s="39"/>
    </row>
    <row r="352" spans="1:12" ht="31.5" customHeight="1">
      <c r="A352" s="5">
        <v>12</v>
      </c>
      <c r="B352" s="121"/>
      <c r="C352" s="14" t="s">
        <v>1376</v>
      </c>
      <c r="D352" s="11" t="s">
        <v>438</v>
      </c>
      <c r="E352" s="11" t="s">
        <v>439</v>
      </c>
      <c r="F352" s="11" t="s">
        <v>440</v>
      </c>
      <c r="G352" s="25" t="s">
        <v>438</v>
      </c>
      <c r="H352" s="109" t="s">
        <v>1408</v>
      </c>
      <c r="I352" s="32"/>
      <c r="J352" s="8"/>
      <c r="K352" s="11" t="s">
        <v>13</v>
      </c>
      <c r="L352" s="39"/>
    </row>
    <row r="353" spans="1:12" ht="31.5" customHeight="1">
      <c r="A353" s="5">
        <v>13</v>
      </c>
      <c r="B353" s="121"/>
      <c r="C353" s="14" t="s">
        <v>1376</v>
      </c>
      <c r="D353" s="11" t="s">
        <v>442</v>
      </c>
      <c r="E353" s="11" t="s">
        <v>443</v>
      </c>
      <c r="F353" s="11" t="s">
        <v>444</v>
      </c>
      <c r="G353" s="25" t="s">
        <v>442</v>
      </c>
      <c r="H353" s="109" t="s">
        <v>1408</v>
      </c>
      <c r="I353" s="32"/>
      <c r="J353" s="8"/>
      <c r="K353" s="11" t="s">
        <v>13</v>
      </c>
      <c r="L353" s="39"/>
    </row>
    <row r="354" spans="1:12" ht="31.5" customHeight="1">
      <c r="A354" s="5">
        <v>14</v>
      </c>
      <c r="B354" s="121"/>
      <c r="C354" s="14" t="s">
        <v>1376</v>
      </c>
      <c r="D354" s="11" t="s">
        <v>445</v>
      </c>
      <c r="E354" s="11" t="s">
        <v>446</v>
      </c>
      <c r="F354" s="11" t="s">
        <v>447</v>
      </c>
      <c r="G354" s="26" t="s">
        <v>445</v>
      </c>
      <c r="H354" s="109" t="s">
        <v>1408</v>
      </c>
      <c r="I354" s="32"/>
      <c r="J354" s="8"/>
      <c r="K354" s="11" t="s">
        <v>13</v>
      </c>
      <c r="L354" s="5"/>
    </row>
    <row r="355" spans="1:12" ht="31.5" customHeight="1">
      <c r="A355" s="5">
        <v>15</v>
      </c>
      <c r="B355" s="121"/>
      <c r="C355" s="14" t="s">
        <v>1376</v>
      </c>
      <c r="D355" s="11" t="s">
        <v>448</v>
      </c>
      <c r="E355" s="11" t="s">
        <v>449</v>
      </c>
      <c r="F355" s="11" t="s">
        <v>450</v>
      </c>
      <c r="G355" s="26" t="s">
        <v>448</v>
      </c>
      <c r="H355" s="109" t="s">
        <v>1408</v>
      </c>
      <c r="I355" s="32"/>
      <c r="J355" s="8"/>
      <c r="K355" s="11" t="s">
        <v>13</v>
      </c>
      <c r="L355" s="5"/>
    </row>
    <row r="356" spans="1:12" ht="31.5" customHeight="1">
      <c r="A356" s="5">
        <v>16</v>
      </c>
      <c r="B356" s="121"/>
      <c r="C356" s="14" t="s">
        <v>1376</v>
      </c>
      <c r="D356" s="11" t="s">
        <v>451</v>
      </c>
      <c r="E356" s="11" t="s">
        <v>452</v>
      </c>
      <c r="F356" s="11" t="s">
        <v>453</v>
      </c>
      <c r="G356" s="25" t="s">
        <v>451</v>
      </c>
      <c r="H356" s="109" t="s">
        <v>1408</v>
      </c>
      <c r="I356" s="32"/>
      <c r="J356" s="8"/>
      <c r="K356" s="11" t="s">
        <v>13</v>
      </c>
      <c r="L356" s="39"/>
    </row>
    <row r="357" spans="1:12" ht="31.5" customHeight="1">
      <c r="A357" s="5">
        <v>17</v>
      </c>
      <c r="B357" s="121"/>
      <c r="C357" s="14" t="s">
        <v>1376</v>
      </c>
      <c r="D357" s="11" t="s">
        <v>454</v>
      </c>
      <c r="E357" s="11" t="s">
        <v>455</v>
      </c>
      <c r="F357" s="11" t="s">
        <v>456</v>
      </c>
      <c r="G357" s="25" t="s">
        <v>454</v>
      </c>
      <c r="H357" s="109" t="s">
        <v>1408</v>
      </c>
      <c r="I357" s="32"/>
      <c r="J357" s="8"/>
      <c r="K357" s="11" t="s">
        <v>13</v>
      </c>
      <c r="L357" s="39"/>
    </row>
    <row r="358" spans="1:12" ht="31.5" customHeight="1">
      <c r="A358" s="5">
        <v>18</v>
      </c>
      <c r="B358" s="121"/>
      <c r="C358" s="14" t="s">
        <v>1376</v>
      </c>
      <c r="D358" s="11" t="s">
        <v>457</v>
      </c>
      <c r="E358" s="11" t="s">
        <v>458</v>
      </c>
      <c r="F358" s="11" t="s">
        <v>459</v>
      </c>
      <c r="G358" s="25" t="s">
        <v>457</v>
      </c>
      <c r="H358" s="109" t="s">
        <v>1408</v>
      </c>
      <c r="I358" s="32"/>
      <c r="J358" s="8"/>
      <c r="K358" s="11" t="s">
        <v>13</v>
      </c>
      <c r="L358" s="39"/>
    </row>
    <row r="359" spans="1:12" ht="31.5" customHeight="1">
      <c r="A359" s="5">
        <v>19</v>
      </c>
      <c r="B359" s="121"/>
      <c r="C359" s="14" t="s">
        <v>1376</v>
      </c>
      <c r="D359" s="11" t="s">
        <v>460</v>
      </c>
      <c r="E359" s="11" t="s">
        <v>461</v>
      </c>
      <c r="F359" s="11" t="s">
        <v>462</v>
      </c>
      <c r="G359" s="26" t="s">
        <v>460</v>
      </c>
      <c r="H359" s="109" t="s">
        <v>1408</v>
      </c>
      <c r="I359" s="32"/>
      <c r="J359" s="13"/>
      <c r="K359" s="11" t="s">
        <v>13</v>
      </c>
      <c r="L359" s="5"/>
    </row>
    <row r="360" spans="1:12" ht="31.5" customHeight="1">
      <c r="A360" s="5">
        <v>20</v>
      </c>
      <c r="B360" s="121"/>
      <c r="C360" s="14" t="s">
        <v>1376</v>
      </c>
      <c r="D360" s="11" t="s">
        <v>463</v>
      </c>
      <c r="E360" s="11" t="s">
        <v>464</v>
      </c>
      <c r="F360" s="11" t="s">
        <v>465</v>
      </c>
      <c r="G360" s="25" t="s">
        <v>463</v>
      </c>
      <c r="H360" s="109" t="s">
        <v>1408</v>
      </c>
      <c r="I360" s="32"/>
      <c r="J360" s="8"/>
      <c r="K360" s="11" t="s">
        <v>13</v>
      </c>
      <c r="L360" s="39"/>
    </row>
    <row r="361" spans="1:12" ht="31.5" customHeight="1">
      <c r="A361" s="5">
        <v>21</v>
      </c>
      <c r="B361" s="121"/>
      <c r="C361" s="14" t="s">
        <v>1376</v>
      </c>
      <c r="D361" s="11" t="s">
        <v>466</v>
      </c>
      <c r="E361" s="11" t="s">
        <v>467</v>
      </c>
      <c r="F361" s="11" t="s">
        <v>468</v>
      </c>
      <c r="G361" s="25" t="s">
        <v>466</v>
      </c>
      <c r="H361" s="109" t="s">
        <v>1408</v>
      </c>
      <c r="I361" s="32"/>
      <c r="J361" s="8"/>
      <c r="K361" s="11" t="s">
        <v>13</v>
      </c>
      <c r="L361" s="39"/>
    </row>
    <row r="362" spans="1:12" ht="31.5" customHeight="1">
      <c r="A362" s="5">
        <v>22</v>
      </c>
      <c r="B362" s="121"/>
      <c r="C362" s="14" t="s">
        <v>1376</v>
      </c>
      <c r="D362" s="11" t="s">
        <v>469</v>
      </c>
      <c r="E362" s="11" t="s">
        <v>470</v>
      </c>
      <c r="F362" s="11" t="s">
        <v>471</v>
      </c>
      <c r="G362" s="25" t="s">
        <v>469</v>
      </c>
      <c r="H362" s="109" t="s">
        <v>1408</v>
      </c>
      <c r="I362" s="32"/>
      <c r="J362" s="8"/>
      <c r="K362" s="11" t="s">
        <v>13</v>
      </c>
      <c r="L362" s="39"/>
    </row>
    <row r="363" spans="1:12" ht="31.5" customHeight="1">
      <c r="A363" s="5">
        <v>23</v>
      </c>
      <c r="B363" s="121"/>
      <c r="C363" s="14" t="s">
        <v>1376</v>
      </c>
      <c r="D363" s="11" t="s">
        <v>472</v>
      </c>
      <c r="E363" s="11" t="s">
        <v>473</v>
      </c>
      <c r="F363" s="11" t="s">
        <v>474</v>
      </c>
      <c r="G363" s="25" t="s">
        <v>472</v>
      </c>
      <c r="H363" s="109" t="s">
        <v>1408</v>
      </c>
      <c r="I363" s="32"/>
      <c r="J363" s="8"/>
      <c r="K363" s="11" t="s">
        <v>13</v>
      </c>
      <c r="L363" s="39"/>
    </row>
    <row r="364" spans="1:12" ht="31.5" customHeight="1">
      <c r="A364" s="5">
        <v>24</v>
      </c>
      <c r="B364" s="121"/>
      <c r="C364" s="14" t="s">
        <v>1376</v>
      </c>
      <c r="D364" s="11" t="s">
        <v>475</v>
      </c>
      <c r="E364" s="11" t="s">
        <v>476</v>
      </c>
      <c r="F364" s="11" t="s">
        <v>477</v>
      </c>
      <c r="G364" s="25" t="s">
        <v>475</v>
      </c>
      <c r="H364" s="109" t="s">
        <v>1408</v>
      </c>
      <c r="I364" s="32"/>
      <c r="J364" s="8"/>
      <c r="K364" s="11" t="s">
        <v>13</v>
      </c>
      <c r="L364" s="39"/>
    </row>
    <row r="365" spans="1:12" ht="31.5" customHeight="1">
      <c r="A365" s="5">
        <v>25</v>
      </c>
      <c r="B365" s="121"/>
      <c r="C365" s="14" t="s">
        <v>1376</v>
      </c>
      <c r="D365" s="11" t="s">
        <v>478</v>
      </c>
      <c r="E365" s="11" t="s">
        <v>479</v>
      </c>
      <c r="F365" s="11" t="s">
        <v>480</v>
      </c>
      <c r="G365" s="25" t="s">
        <v>478</v>
      </c>
      <c r="H365" s="109" t="s">
        <v>1408</v>
      </c>
      <c r="I365" s="32"/>
      <c r="J365" s="8"/>
      <c r="K365" s="11" t="s">
        <v>13</v>
      </c>
      <c r="L365" s="39"/>
    </row>
    <row r="366" spans="1:12" ht="31.5" customHeight="1">
      <c r="A366" s="5">
        <v>26</v>
      </c>
      <c r="B366" s="121"/>
      <c r="C366" s="14" t="s">
        <v>1376</v>
      </c>
      <c r="D366" s="11" t="s">
        <v>481</v>
      </c>
      <c r="E366" s="11" t="s">
        <v>482</v>
      </c>
      <c r="F366" s="11" t="s">
        <v>483</v>
      </c>
      <c r="G366" s="25" t="s">
        <v>481</v>
      </c>
      <c r="H366" s="109" t="s">
        <v>1408</v>
      </c>
      <c r="I366" s="32"/>
      <c r="J366" s="8"/>
      <c r="K366" s="11" t="s">
        <v>13</v>
      </c>
      <c r="L366" s="39"/>
    </row>
    <row r="367" spans="1:12" ht="31.5" customHeight="1">
      <c r="A367" s="5">
        <v>27</v>
      </c>
      <c r="B367" s="121"/>
      <c r="C367" s="14" t="s">
        <v>1376</v>
      </c>
      <c r="D367" s="11" t="s">
        <v>484</v>
      </c>
      <c r="E367" s="11" t="s">
        <v>485</v>
      </c>
      <c r="F367" s="11" t="s">
        <v>486</v>
      </c>
      <c r="G367" s="25" t="s">
        <v>484</v>
      </c>
      <c r="H367" s="109" t="s">
        <v>1408</v>
      </c>
      <c r="I367" s="32"/>
      <c r="J367" s="8"/>
      <c r="K367" s="11" t="s">
        <v>13</v>
      </c>
      <c r="L367" s="39"/>
    </row>
    <row r="368" spans="1:12" ht="31.5" customHeight="1">
      <c r="A368" s="5">
        <v>28</v>
      </c>
      <c r="B368" s="121"/>
      <c r="C368" s="14" t="s">
        <v>1376</v>
      </c>
      <c r="D368" s="11" t="s">
        <v>487</v>
      </c>
      <c r="E368" s="11" t="s">
        <v>488</v>
      </c>
      <c r="F368" s="11" t="s">
        <v>489</v>
      </c>
      <c r="G368" s="25" t="s">
        <v>487</v>
      </c>
      <c r="H368" s="109" t="s">
        <v>1408</v>
      </c>
      <c r="I368" s="32"/>
      <c r="J368" s="8"/>
      <c r="K368" s="11" t="s">
        <v>13</v>
      </c>
      <c r="L368" s="39"/>
    </row>
    <row r="369" spans="1:12" ht="31.5" customHeight="1">
      <c r="A369" s="5">
        <v>29</v>
      </c>
      <c r="B369" s="121"/>
      <c r="C369" s="14" t="s">
        <v>1376</v>
      </c>
      <c r="D369" s="11" t="s">
        <v>1133</v>
      </c>
      <c r="E369" s="11" t="s">
        <v>1235</v>
      </c>
      <c r="F369" s="11" t="s">
        <v>1236</v>
      </c>
      <c r="G369" s="25" t="s">
        <v>1133</v>
      </c>
      <c r="H369" s="109" t="s">
        <v>1408</v>
      </c>
      <c r="I369" s="32"/>
      <c r="J369" s="8"/>
      <c r="K369" s="11" t="s">
        <v>13</v>
      </c>
      <c r="L369" s="39"/>
    </row>
    <row r="370" spans="1:12" ht="31.5" customHeight="1">
      <c r="A370" s="5">
        <v>30</v>
      </c>
      <c r="B370" s="121"/>
      <c r="C370" s="14" t="s">
        <v>1376</v>
      </c>
      <c r="D370" s="11" t="s">
        <v>490</v>
      </c>
      <c r="E370" s="11" t="s">
        <v>491</v>
      </c>
      <c r="F370" s="11" t="s">
        <v>492</v>
      </c>
      <c r="G370" s="25" t="s">
        <v>490</v>
      </c>
      <c r="H370" s="109" t="s">
        <v>1408</v>
      </c>
      <c r="I370" s="32"/>
      <c r="J370" s="8"/>
      <c r="K370" s="11" t="s">
        <v>13</v>
      </c>
      <c r="L370" s="39"/>
    </row>
    <row r="371" spans="1:12" ht="31.5" customHeight="1">
      <c r="A371" s="5">
        <v>31</v>
      </c>
      <c r="B371" s="121"/>
      <c r="C371" s="14" t="s">
        <v>1376</v>
      </c>
      <c r="D371" s="11" t="s">
        <v>494</v>
      </c>
      <c r="E371" s="11" t="s">
        <v>495</v>
      </c>
      <c r="F371" s="11" t="s">
        <v>496</v>
      </c>
      <c r="G371" s="25" t="s">
        <v>494</v>
      </c>
      <c r="H371" s="109" t="s">
        <v>1408</v>
      </c>
      <c r="I371" s="32"/>
      <c r="J371" s="8"/>
      <c r="K371" s="11" t="s">
        <v>13</v>
      </c>
      <c r="L371" s="39"/>
    </row>
    <row r="372" spans="1:12" ht="31.5" customHeight="1">
      <c r="A372" s="5">
        <v>32</v>
      </c>
      <c r="B372" s="121"/>
      <c r="C372" s="14" t="s">
        <v>1376</v>
      </c>
      <c r="D372" s="11" t="s">
        <v>497</v>
      </c>
      <c r="E372" s="11" t="s">
        <v>498</v>
      </c>
      <c r="F372" s="11" t="s">
        <v>499</v>
      </c>
      <c r="G372" s="25" t="s">
        <v>497</v>
      </c>
      <c r="H372" s="109" t="s">
        <v>1408</v>
      </c>
      <c r="I372" s="32"/>
      <c r="J372" s="8"/>
      <c r="K372" s="11" t="s">
        <v>13</v>
      </c>
      <c r="L372" s="39"/>
    </row>
    <row r="373" spans="1:12" ht="31.5" customHeight="1">
      <c r="A373" s="5">
        <v>33</v>
      </c>
      <c r="B373" s="121"/>
      <c r="C373" s="14" t="s">
        <v>1376</v>
      </c>
      <c r="D373" s="11" t="s">
        <v>500</v>
      </c>
      <c r="E373" s="11" t="s">
        <v>501</v>
      </c>
      <c r="F373" s="11" t="s">
        <v>502</v>
      </c>
      <c r="G373" s="26" t="s">
        <v>500</v>
      </c>
      <c r="H373" s="109" t="s">
        <v>1408</v>
      </c>
      <c r="I373" s="32"/>
      <c r="J373" s="8"/>
      <c r="K373" s="11" t="s">
        <v>13</v>
      </c>
      <c r="L373" s="5"/>
    </row>
    <row r="374" spans="1:12" ht="31.5" customHeight="1">
      <c r="A374" s="5">
        <v>34</v>
      </c>
      <c r="B374" s="121"/>
      <c r="C374" s="14" t="s">
        <v>1376</v>
      </c>
      <c r="D374" s="11" t="s">
        <v>503</v>
      </c>
      <c r="E374" s="11" t="s">
        <v>504</v>
      </c>
      <c r="F374" s="11" t="s">
        <v>505</v>
      </c>
      <c r="G374" s="25" t="s">
        <v>503</v>
      </c>
      <c r="H374" s="109" t="s">
        <v>1408</v>
      </c>
      <c r="I374" s="32"/>
      <c r="J374" s="8"/>
      <c r="K374" s="11" t="s">
        <v>13</v>
      </c>
      <c r="L374" s="39"/>
    </row>
    <row r="375" spans="1:12" ht="31.5" customHeight="1">
      <c r="A375" s="5">
        <v>35</v>
      </c>
      <c r="B375" s="121"/>
      <c r="C375" s="14" t="s">
        <v>1376</v>
      </c>
      <c r="D375" s="11" t="s">
        <v>506</v>
      </c>
      <c r="E375" s="11" t="s">
        <v>507</v>
      </c>
      <c r="F375" s="11" t="s">
        <v>508</v>
      </c>
      <c r="G375" s="25" t="s">
        <v>506</v>
      </c>
      <c r="H375" s="109" t="s">
        <v>1408</v>
      </c>
      <c r="I375" s="32"/>
      <c r="J375" s="8"/>
      <c r="K375" s="11" t="s">
        <v>13</v>
      </c>
      <c r="L375" s="39"/>
    </row>
    <row r="376" spans="1:12" ht="31.5" customHeight="1">
      <c r="A376" s="5">
        <v>36</v>
      </c>
      <c r="B376" s="121"/>
      <c r="C376" s="14" t="s">
        <v>1376</v>
      </c>
      <c r="D376" s="11" t="s">
        <v>509</v>
      </c>
      <c r="E376" s="11" t="s">
        <v>510</v>
      </c>
      <c r="F376" s="11" t="s">
        <v>511</v>
      </c>
      <c r="G376" s="25" t="s">
        <v>509</v>
      </c>
      <c r="H376" s="109" t="s">
        <v>1408</v>
      </c>
      <c r="I376" s="32"/>
      <c r="J376" s="8"/>
      <c r="K376" s="11" t="s">
        <v>13</v>
      </c>
      <c r="L376" s="39"/>
    </row>
    <row r="377" spans="1:12" ht="31.5" customHeight="1">
      <c r="A377" s="5">
        <v>37</v>
      </c>
      <c r="B377" s="121"/>
      <c r="C377" s="14" t="s">
        <v>1376</v>
      </c>
      <c r="D377" s="11" t="s">
        <v>512</v>
      </c>
      <c r="E377" s="11" t="s">
        <v>513</v>
      </c>
      <c r="F377" s="11" t="s">
        <v>514</v>
      </c>
      <c r="G377" s="25" t="s">
        <v>512</v>
      </c>
      <c r="H377" s="109" t="s">
        <v>1408</v>
      </c>
      <c r="I377" s="32"/>
      <c r="J377" s="8"/>
      <c r="K377" s="11" t="s">
        <v>13</v>
      </c>
      <c r="L377" s="39"/>
    </row>
    <row r="378" spans="1:12" ht="31.5" customHeight="1">
      <c r="A378" s="5">
        <v>38</v>
      </c>
      <c r="B378" s="121"/>
      <c r="C378" s="14" t="s">
        <v>1376</v>
      </c>
      <c r="D378" s="11" t="s">
        <v>515</v>
      </c>
      <c r="E378" s="11" t="s">
        <v>516</v>
      </c>
      <c r="F378" s="11" t="s">
        <v>517</v>
      </c>
      <c r="G378" s="25" t="s">
        <v>515</v>
      </c>
      <c r="H378" s="109" t="s">
        <v>1408</v>
      </c>
      <c r="I378" s="32"/>
      <c r="J378" s="8"/>
      <c r="K378" s="11" t="s">
        <v>13</v>
      </c>
      <c r="L378" s="39"/>
    </row>
    <row r="379" spans="1:12" ht="31.5" customHeight="1">
      <c r="A379" s="5">
        <v>39</v>
      </c>
      <c r="B379" s="121"/>
      <c r="C379" s="14" t="s">
        <v>1376</v>
      </c>
      <c r="D379" s="11" t="s">
        <v>518</v>
      </c>
      <c r="E379" s="11" t="s">
        <v>519</v>
      </c>
      <c r="F379" s="11" t="s">
        <v>1237</v>
      </c>
      <c r="G379" s="25" t="s">
        <v>518</v>
      </c>
      <c r="H379" s="109" t="s">
        <v>1408</v>
      </c>
      <c r="I379" s="32"/>
      <c r="J379" s="8"/>
      <c r="K379" s="11" t="s">
        <v>13</v>
      </c>
      <c r="L379" s="39"/>
    </row>
    <row r="380" spans="1:12" ht="31.5" customHeight="1">
      <c r="A380" s="5">
        <v>40</v>
      </c>
      <c r="B380" s="121"/>
      <c r="C380" s="14" t="s">
        <v>1376</v>
      </c>
      <c r="D380" s="11" t="s">
        <v>520</v>
      </c>
      <c r="E380" s="11" t="s">
        <v>521</v>
      </c>
      <c r="F380" s="11" t="s">
        <v>522</v>
      </c>
      <c r="G380" s="25" t="s">
        <v>520</v>
      </c>
      <c r="H380" s="109" t="s">
        <v>1408</v>
      </c>
      <c r="I380" s="32"/>
      <c r="J380" s="8"/>
      <c r="K380" s="11" t="s">
        <v>13</v>
      </c>
      <c r="L380" s="39"/>
    </row>
    <row r="381" spans="1:12" ht="31.5" customHeight="1">
      <c r="A381" s="5">
        <v>41</v>
      </c>
      <c r="B381" s="121"/>
      <c r="C381" s="14" t="s">
        <v>1376</v>
      </c>
      <c r="D381" s="11" t="s">
        <v>523</v>
      </c>
      <c r="E381" s="11" t="s">
        <v>524</v>
      </c>
      <c r="F381" s="11" t="s">
        <v>525</v>
      </c>
      <c r="G381" s="25" t="s">
        <v>523</v>
      </c>
      <c r="H381" s="109" t="s">
        <v>1408</v>
      </c>
      <c r="I381" s="32"/>
      <c r="J381" s="8"/>
      <c r="K381" s="11" t="s">
        <v>13</v>
      </c>
      <c r="L381" s="39"/>
    </row>
    <row r="382" spans="1:12" ht="31.5" customHeight="1">
      <c r="A382" s="5">
        <v>42</v>
      </c>
      <c r="B382" s="121"/>
      <c r="C382" s="14" t="s">
        <v>1376</v>
      </c>
      <c r="D382" s="11" t="s">
        <v>526</v>
      </c>
      <c r="E382" s="11" t="s">
        <v>527</v>
      </c>
      <c r="F382" s="11" t="s">
        <v>493</v>
      </c>
      <c r="G382" s="25" t="s">
        <v>526</v>
      </c>
      <c r="H382" s="109" t="s">
        <v>1408</v>
      </c>
      <c r="I382" s="32"/>
      <c r="J382" s="8"/>
      <c r="K382" s="11" t="s">
        <v>13</v>
      </c>
      <c r="L382" s="39"/>
    </row>
    <row r="383" spans="1:12" ht="31.5" customHeight="1">
      <c r="A383" s="5">
        <v>43</v>
      </c>
      <c r="B383" s="121"/>
      <c r="C383" s="14" t="s">
        <v>1376</v>
      </c>
      <c r="D383" s="11" t="s">
        <v>528</v>
      </c>
      <c r="E383" s="11" t="s">
        <v>529</v>
      </c>
      <c r="F383" s="11" t="s">
        <v>530</v>
      </c>
      <c r="G383" s="25" t="s">
        <v>528</v>
      </c>
      <c r="H383" s="109" t="s">
        <v>1408</v>
      </c>
      <c r="I383" s="32"/>
      <c r="J383" s="8"/>
      <c r="K383" s="11" t="s">
        <v>13</v>
      </c>
      <c r="L383" s="39"/>
    </row>
    <row r="384" spans="1:12" ht="31.5" customHeight="1">
      <c r="A384" s="5">
        <v>44</v>
      </c>
      <c r="B384" s="121"/>
      <c r="C384" s="14" t="s">
        <v>1376</v>
      </c>
      <c r="D384" s="11" t="s">
        <v>531</v>
      </c>
      <c r="E384" s="11" t="s">
        <v>532</v>
      </c>
      <c r="F384" s="11" t="s">
        <v>533</v>
      </c>
      <c r="G384" s="25" t="s">
        <v>531</v>
      </c>
      <c r="H384" s="109" t="s">
        <v>1408</v>
      </c>
      <c r="I384" s="32"/>
      <c r="J384" s="8"/>
      <c r="K384" s="11" t="s">
        <v>13</v>
      </c>
      <c r="L384" s="39"/>
    </row>
    <row r="385" spans="1:12" ht="31.5" customHeight="1">
      <c r="A385" s="5">
        <v>45</v>
      </c>
      <c r="B385" s="121"/>
      <c r="C385" s="14" t="s">
        <v>1376</v>
      </c>
      <c r="D385" s="11" t="s">
        <v>534</v>
      </c>
      <c r="E385" s="11" t="s">
        <v>535</v>
      </c>
      <c r="F385" s="11" t="s">
        <v>536</v>
      </c>
      <c r="G385" s="25" t="s">
        <v>534</v>
      </c>
      <c r="H385" s="109" t="s">
        <v>1408</v>
      </c>
      <c r="I385" s="32"/>
      <c r="J385" s="8"/>
      <c r="K385" s="11" t="s">
        <v>13</v>
      </c>
      <c r="L385" s="39"/>
    </row>
    <row r="386" spans="1:12" ht="31.5" customHeight="1">
      <c r="A386" s="5">
        <v>46</v>
      </c>
      <c r="B386" s="121"/>
      <c r="C386" s="14" t="s">
        <v>1376</v>
      </c>
      <c r="D386" s="11" t="s">
        <v>537</v>
      </c>
      <c r="E386" s="11" t="s">
        <v>538</v>
      </c>
      <c r="F386" s="11" t="s">
        <v>1238</v>
      </c>
      <c r="G386" s="26" t="s">
        <v>537</v>
      </c>
      <c r="H386" s="109" t="s">
        <v>1408</v>
      </c>
      <c r="I386" s="32"/>
      <c r="J386" s="8"/>
      <c r="K386" s="11" t="s">
        <v>13</v>
      </c>
      <c r="L386" s="5"/>
    </row>
    <row r="387" spans="1:12" ht="31.5" customHeight="1">
      <c r="A387" s="5">
        <v>47</v>
      </c>
      <c r="B387" s="121"/>
      <c r="C387" s="14" t="s">
        <v>1376</v>
      </c>
      <c r="D387" s="11" t="s">
        <v>540</v>
      </c>
      <c r="E387" s="11" t="s">
        <v>541</v>
      </c>
      <c r="F387" s="11" t="s">
        <v>542</v>
      </c>
      <c r="G387" s="25" t="s">
        <v>540</v>
      </c>
      <c r="H387" s="109" t="s">
        <v>1408</v>
      </c>
      <c r="I387" s="32"/>
      <c r="J387" s="8"/>
      <c r="K387" s="11" t="s">
        <v>13</v>
      </c>
      <c r="L387" s="39"/>
    </row>
    <row r="388" spans="1:12" ht="31.5" customHeight="1">
      <c r="A388" s="5">
        <v>48</v>
      </c>
      <c r="B388" s="121"/>
      <c r="C388" s="14" t="s">
        <v>1376</v>
      </c>
      <c r="D388" s="11" t="s">
        <v>543</v>
      </c>
      <c r="E388" s="11" t="s">
        <v>544</v>
      </c>
      <c r="F388" s="11" t="s">
        <v>545</v>
      </c>
      <c r="G388" s="25" t="s">
        <v>543</v>
      </c>
      <c r="H388" s="109" t="s">
        <v>1408</v>
      </c>
      <c r="I388" s="32"/>
      <c r="J388" s="8"/>
      <c r="K388" s="11" t="s">
        <v>13</v>
      </c>
      <c r="L388" s="39"/>
    </row>
    <row r="389" spans="1:12" ht="31.5" customHeight="1">
      <c r="A389" s="5">
        <v>49</v>
      </c>
      <c r="B389" s="121"/>
      <c r="C389" s="14" t="s">
        <v>1376</v>
      </c>
      <c r="D389" s="11" t="s">
        <v>546</v>
      </c>
      <c r="E389" s="11" t="s">
        <v>547</v>
      </c>
      <c r="F389" s="11" t="s">
        <v>548</v>
      </c>
      <c r="G389" s="25" t="s">
        <v>546</v>
      </c>
      <c r="H389" s="109" t="s">
        <v>1408</v>
      </c>
      <c r="I389" s="32"/>
      <c r="J389" s="8"/>
      <c r="K389" s="11" t="s">
        <v>13</v>
      </c>
      <c r="L389" s="39"/>
    </row>
    <row r="390" spans="1:12" ht="31.5" customHeight="1">
      <c r="A390" s="5">
        <v>50</v>
      </c>
      <c r="B390" s="121"/>
      <c r="C390" s="14" t="s">
        <v>1376</v>
      </c>
      <c r="D390" s="11" t="s">
        <v>549</v>
      </c>
      <c r="E390" s="11" t="s">
        <v>550</v>
      </c>
      <c r="F390" s="11" t="s">
        <v>551</v>
      </c>
      <c r="G390" s="25" t="s">
        <v>549</v>
      </c>
      <c r="H390" s="109" t="s">
        <v>1408</v>
      </c>
      <c r="I390" s="32"/>
      <c r="J390" s="8"/>
      <c r="K390" s="11" t="s">
        <v>13</v>
      </c>
      <c r="L390" s="39"/>
    </row>
    <row r="391" spans="1:12" ht="31.5" customHeight="1">
      <c r="A391" s="5">
        <v>51</v>
      </c>
      <c r="B391" s="121"/>
      <c r="C391" s="14" t="s">
        <v>1376</v>
      </c>
      <c r="D391" s="11" t="s">
        <v>552</v>
      </c>
      <c r="E391" s="11" t="s">
        <v>553</v>
      </c>
      <c r="F391" s="11" t="s">
        <v>441</v>
      </c>
      <c r="G391" s="25" t="s">
        <v>552</v>
      </c>
      <c r="H391" s="109" t="s">
        <v>1408</v>
      </c>
      <c r="I391" s="32"/>
      <c r="J391" s="8"/>
      <c r="K391" s="11" t="s">
        <v>13</v>
      </c>
      <c r="L391" s="39"/>
    </row>
    <row r="392" spans="1:12" ht="31.5" customHeight="1">
      <c r="A392" s="5">
        <v>52</v>
      </c>
      <c r="B392" s="121"/>
      <c r="C392" s="14" t="s">
        <v>1376</v>
      </c>
      <c r="D392" s="11" t="s">
        <v>555</v>
      </c>
      <c r="E392" s="11" t="s">
        <v>556</v>
      </c>
      <c r="F392" s="11" t="s">
        <v>557</v>
      </c>
      <c r="G392" s="25" t="s">
        <v>555</v>
      </c>
      <c r="H392" s="109" t="s">
        <v>1408</v>
      </c>
      <c r="I392" s="32"/>
      <c r="J392" s="8"/>
      <c r="K392" s="11" t="s">
        <v>13</v>
      </c>
      <c r="L392" s="39"/>
    </row>
    <row r="393" spans="1:12" ht="31.5" customHeight="1">
      <c r="A393" s="5">
        <v>53</v>
      </c>
      <c r="B393" s="121"/>
      <c r="C393" s="14" t="s">
        <v>1376</v>
      </c>
      <c r="D393" s="11" t="s">
        <v>558</v>
      </c>
      <c r="E393" s="11" t="s">
        <v>559</v>
      </c>
      <c r="F393" s="11" t="s">
        <v>560</v>
      </c>
      <c r="G393" s="25" t="s">
        <v>558</v>
      </c>
      <c r="H393" s="109" t="s">
        <v>1408</v>
      </c>
      <c r="I393" s="32"/>
      <c r="J393" s="8"/>
      <c r="K393" s="11" t="s">
        <v>13</v>
      </c>
      <c r="L393" s="39"/>
    </row>
    <row r="394" spans="1:12" ht="31.5" customHeight="1">
      <c r="A394" s="5">
        <v>54</v>
      </c>
      <c r="B394" s="121"/>
      <c r="C394" s="14" t="s">
        <v>1376</v>
      </c>
      <c r="D394" s="11" t="s">
        <v>561</v>
      </c>
      <c r="E394" s="11" t="s">
        <v>562</v>
      </c>
      <c r="F394" s="11" t="s">
        <v>563</v>
      </c>
      <c r="G394" s="26" t="s">
        <v>561</v>
      </c>
      <c r="H394" s="109" t="s">
        <v>1408</v>
      </c>
      <c r="I394" s="32"/>
      <c r="J394" s="13"/>
      <c r="K394" s="11" t="s">
        <v>13</v>
      </c>
      <c r="L394" s="5"/>
    </row>
    <row r="395" spans="1:12" ht="31.5" customHeight="1">
      <c r="A395" s="5">
        <v>55</v>
      </c>
      <c r="B395" s="121"/>
      <c r="C395" s="14" t="s">
        <v>1376</v>
      </c>
      <c r="D395" s="11" t="s">
        <v>564</v>
      </c>
      <c r="E395" s="11" t="s">
        <v>565</v>
      </c>
      <c r="F395" s="11" t="s">
        <v>566</v>
      </c>
      <c r="G395" s="25" t="s">
        <v>564</v>
      </c>
      <c r="H395" s="109" t="s">
        <v>1408</v>
      </c>
      <c r="I395" s="32"/>
      <c r="J395" s="8"/>
      <c r="K395" s="11" t="s">
        <v>13</v>
      </c>
      <c r="L395" s="39"/>
    </row>
    <row r="396" spans="1:12" ht="31.5" customHeight="1">
      <c r="A396" s="5">
        <v>56</v>
      </c>
      <c r="B396" s="121"/>
      <c r="C396" s="14" t="s">
        <v>1376</v>
      </c>
      <c r="D396" s="11" t="s">
        <v>567</v>
      </c>
      <c r="E396" s="11" t="s">
        <v>568</v>
      </c>
      <c r="F396" s="11" t="s">
        <v>569</v>
      </c>
      <c r="G396" s="26" t="s">
        <v>567</v>
      </c>
      <c r="H396" s="109" t="s">
        <v>1408</v>
      </c>
      <c r="I396" s="32"/>
      <c r="J396" s="13"/>
      <c r="K396" s="11" t="s">
        <v>13</v>
      </c>
      <c r="L396" s="5"/>
    </row>
    <row r="397" spans="1:12" ht="31.5" customHeight="1">
      <c r="A397" s="5">
        <v>57</v>
      </c>
      <c r="B397" s="121"/>
      <c r="C397" s="14" t="s">
        <v>1376</v>
      </c>
      <c r="D397" s="11" t="s">
        <v>570</v>
      </c>
      <c r="E397" s="11" t="s">
        <v>571</v>
      </c>
      <c r="F397" s="11" t="s">
        <v>554</v>
      </c>
      <c r="G397" s="26" t="s">
        <v>570</v>
      </c>
      <c r="H397" s="109" t="s">
        <v>1408</v>
      </c>
      <c r="I397" s="32"/>
      <c r="J397" s="13"/>
      <c r="K397" s="11" t="s">
        <v>13</v>
      </c>
      <c r="L397" s="5"/>
    </row>
    <row r="398" spans="1:12" ht="31.5" customHeight="1">
      <c r="A398" s="5">
        <v>58</v>
      </c>
      <c r="B398" s="121"/>
      <c r="C398" s="14" t="s">
        <v>1376</v>
      </c>
      <c r="D398" s="11" t="s">
        <v>629</v>
      </c>
      <c r="E398" s="11" t="s">
        <v>630</v>
      </c>
      <c r="F398" s="11" t="s">
        <v>566</v>
      </c>
      <c r="G398" s="25" t="s">
        <v>629</v>
      </c>
      <c r="H398" s="109" t="s">
        <v>1408</v>
      </c>
      <c r="I398" s="32"/>
      <c r="J398" s="8"/>
      <c r="K398" s="11" t="s">
        <v>13</v>
      </c>
      <c r="L398" s="39"/>
    </row>
    <row r="399" spans="1:12" ht="31.5" customHeight="1">
      <c r="A399" s="5">
        <v>59</v>
      </c>
      <c r="B399" s="121"/>
      <c r="C399" s="14" t="s">
        <v>1376</v>
      </c>
      <c r="D399" s="11" t="s">
        <v>574</v>
      </c>
      <c r="E399" s="11" t="s">
        <v>575</v>
      </c>
      <c r="F399" s="11" t="s">
        <v>576</v>
      </c>
      <c r="G399" s="25" t="s">
        <v>574</v>
      </c>
      <c r="H399" s="109" t="s">
        <v>1408</v>
      </c>
      <c r="I399" s="32"/>
      <c r="J399" s="8"/>
      <c r="K399" s="11" t="s">
        <v>13</v>
      </c>
      <c r="L399" s="39"/>
    </row>
    <row r="400" spans="1:12" ht="31.5" customHeight="1">
      <c r="A400" s="5">
        <v>60</v>
      </c>
      <c r="B400" s="121"/>
      <c r="C400" s="14" t="s">
        <v>1376</v>
      </c>
      <c r="D400" s="11" t="s">
        <v>577</v>
      </c>
      <c r="E400" s="11" t="s">
        <v>578</v>
      </c>
      <c r="F400" s="11" t="s">
        <v>579</v>
      </c>
      <c r="G400" s="25" t="s">
        <v>577</v>
      </c>
      <c r="H400" s="109" t="s">
        <v>1408</v>
      </c>
      <c r="I400" s="32"/>
      <c r="J400" s="8"/>
      <c r="K400" s="11" t="s">
        <v>13</v>
      </c>
      <c r="L400" s="39"/>
    </row>
    <row r="401" spans="1:12" ht="31.5" customHeight="1">
      <c r="A401" s="5">
        <v>61</v>
      </c>
      <c r="B401" s="121"/>
      <c r="C401" s="14" t="s">
        <v>1376</v>
      </c>
      <c r="D401" s="11" t="s">
        <v>580</v>
      </c>
      <c r="E401" s="11" t="s">
        <v>581</v>
      </c>
      <c r="F401" s="11" t="s">
        <v>582</v>
      </c>
      <c r="G401" s="25" t="s">
        <v>580</v>
      </c>
      <c r="H401" s="109" t="s">
        <v>1408</v>
      </c>
      <c r="I401" s="32"/>
      <c r="J401" s="8"/>
      <c r="K401" s="11" t="s">
        <v>13</v>
      </c>
      <c r="L401" s="39"/>
    </row>
    <row r="402" spans="1:12" ht="31.5" customHeight="1">
      <c r="A402" s="5">
        <v>62</v>
      </c>
      <c r="B402" s="121"/>
      <c r="C402" s="14" t="s">
        <v>1376</v>
      </c>
      <c r="D402" s="11" t="s">
        <v>583</v>
      </c>
      <c r="E402" s="11" t="s">
        <v>584</v>
      </c>
      <c r="F402" s="11" t="s">
        <v>585</v>
      </c>
      <c r="G402" s="25" t="s">
        <v>583</v>
      </c>
      <c r="H402" s="109" t="s">
        <v>1408</v>
      </c>
      <c r="I402" s="32"/>
      <c r="J402" s="8"/>
      <c r="K402" s="11" t="s">
        <v>13</v>
      </c>
      <c r="L402" s="39"/>
    </row>
    <row r="403" spans="1:12" ht="31.5" customHeight="1">
      <c r="A403" s="5">
        <v>63</v>
      </c>
      <c r="B403" s="121"/>
      <c r="C403" s="14" t="s">
        <v>1376</v>
      </c>
      <c r="D403" s="11" t="s">
        <v>590</v>
      </c>
      <c r="E403" s="11" t="s">
        <v>591</v>
      </c>
      <c r="F403" s="11" t="s">
        <v>592</v>
      </c>
      <c r="G403" s="25" t="s">
        <v>590</v>
      </c>
      <c r="H403" s="109" t="s">
        <v>1408</v>
      </c>
      <c r="I403" s="32"/>
      <c r="J403" s="8"/>
      <c r="K403" s="11" t="s">
        <v>13</v>
      </c>
      <c r="L403" s="39"/>
    </row>
    <row r="404" spans="1:12" ht="31.5" customHeight="1">
      <c r="A404" s="5">
        <v>64</v>
      </c>
      <c r="B404" s="121"/>
      <c r="C404" s="14" t="s">
        <v>1376</v>
      </c>
      <c r="D404" s="11" t="s">
        <v>671</v>
      </c>
      <c r="E404" s="11" t="s">
        <v>672</v>
      </c>
      <c r="F404" s="11" t="s">
        <v>1239</v>
      </c>
      <c r="G404" s="26" t="s">
        <v>671</v>
      </c>
      <c r="H404" s="109" t="s">
        <v>1408</v>
      </c>
      <c r="I404" s="32"/>
      <c r="J404" s="8"/>
      <c r="K404" s="11" t="s">
        <v>13</v>
      </c>
      <c r="L404" s="5"/>
    </row>
    <row r="405" spans="1:12" ht="31.5" customHeight="1">
      <c r="A405" s="5">
        <v>65</v>
      </c>
      <c r="B405" s="121"/>
      <c r="C405" s="14" t="s">
        <v>1376</v>
      </c>
      <c r="D405" s="11" t="s">
        <v>593</v>
      </c>
      <c r="E405" s="11" t="s">
        <v>594</v>
      </c>
      <c r="F405" s="11" t="s">
        <v>595</v>
      </c>
      <c r="G405" s="25" t="s">
        <v>593</v>
      </c>
      <c r="H405" s="109" t="s">
        <v>1408</v>
      </c>
      <c r="I405" s="32"/>
      <c r="J405" s="8"/>
      <c r="K405" s="11" t="s">
        <v>13</v>
      </c>
      <c r="L405" s="39"/>
    </row>
    <row r="406" spans="1:12" ht="31.5" customHeight="1">
      <c r="A406" s="5">
        <v>66</v>
      </c>
      <c r="B406" s="121"/>
      <c r="C406" s="14" t="s">
        <v>1376</v>
      </c>
      <c r="D406" s="11" t="s">
        <v>596</v>
      </c>
      <c r="E406" s="11" t="s">
        <v>597</v>
      </c>
      <c r="F406" s="11" t="s">
        <v>598</v>
      </c>
      <c r="G406" s="25" t="s">
        <v>596</v>
      </c>
      <c r="H406" s="109" t="s">
        <v>1408</v>
      </c>
      <c r="I406" s="32"/>
      <c r="J406" s="8"/>
      <c r="K406" s="11" t="s">
        <v>13</v>
      </c>
      <c r="L406" s="39"/>
    </row>
    <row r="407" spans="1:12" ht="31.5" customHeight="1">
      <c r="A407" s="5">
        <v>67</v>
      </c>
      <c r="B407" s="121"/>
      <c r="C407" s="14" t="s">
        <v>1376</v>
      </c>
      <c r="D407" s="11" t="s">
        <v>599</v>
      </c>
      <c r="E407" s="11" t="s">
        <v>600</v>
      </c>
      <c r="F407" s="11" t="s">
        <v>601</v>
      </c>
      <c r="G407" s="26" t="s">
        <v>599</v>
      </c>
      <c r="H407" s="109" t="s">
        <v>1408</v>
      </c>
      <c r="I407" s="32"/>
      <c r="J407" s="13"/>
      <c r="K407" s="11" t="s">
        <v>13</v>
      </c>
      <c r="L407" s="5"/>
    </row>
    <row r="408" spans="1:12" ht="31.5" customHeight="1">
      <c r="A408" s="5">
        <v>68</v>
      </c>
      <c r="B408" s="121"/>
      <c r="C408" s="14" t="s">
        <v>1376</v>
      </c>
      <c r="D408" s="11" t="s">
        <v>602</v>
      </c>
      <c r="E408" s="11" t="s">
        <v>603</v>
      </c>
      <c r="F408" s="11" t="s">
        <v>604</v>
      </c>
      <c r="G408" s="26" t="s">
        <v>602</v>
      </c>
      <c r="H408" s="109" t="s">
        <v>1408</v>
      </c>
      <c r="I408" s="32"/>
      <c r="J408" s="8"/>
      <c r="K408" s="11" t="s">
        <v>13</v>
      </c>
      <c r="L408" s="5"/>
    </row>
    <row r="409" spans="1:12" ht="31.5" customHeight="1">
      <c r="A409" s="5">
        <v>69</v>
      </c>
      <c r="B409" s="121"/>
      <c r="C409" s="14" t="s">
        <v>1376</v>
      </c>
      <c r="D409" s="11" t="s">
        <v>605</v>
      </c>
      <c r="E409" s="11" t="s">
        <v>606</v>
      </c>
      <c r="F409" s="11" t="s">
        <v>607</v>
      </c>
      <c r="G409" s="26" t="s">
        <v>605</v>
      </c>
      <c r="H409" s="109" t="s">
        <v>1408</v>
      </c>
      <c r="I409" s="32"/>
      <c r="J409" s="8"/>
      <c r="K409" s="11" t="s">
        <v>13</v>
      </c>
      <c r="L409" s="5"/>
    </row>
    <row r="410" spans="1:12" ht="31.5" customHeight="1">
      <c r="A410" s="5">
        <v>70</v>
      </c>
      <c r="B410" s="121"/>
      <c r="C410" s="14" t="s">
        <v>1376</v>
      </c>
      <c r="D410" s="11" t="s">
        <v>608</v>
      </c>
      <c r="E410" s="11" t="s">
        <v>609</v>
      </c>
      <c r="F410" s="11" t="s">
        <v>610</v>
      </c>
      <c r="G410" s="25" t="s">
        <v>608</v>
      </c>
      <c r="H410" s="109" t="s">
        <v>1408</v>
      </c>
      <c r="I410" s="32"/>
      <c r="J410" s="8"/>
      <c r="K410" s="11" t="s">
        <v>13</v>
      </c>
      <c r="L410" s="39"/>
    </row>
    <row r="411" spans="1:12" ht="31.5" customHeight="1">
      <c r="A411" s="5">
        <v>71</v>
      </c>
      <c r="B411" s="121"/>
      <c r="C411" s="14" t="s">
        <v>1376</v>
      </c>
      <c r="D411" s="11" t="s">
        <v>611</v>
      </c>
      <c r="E411" s="11" t="s">
        <v>612</v>
      </c>
      <c r="F411" s="11" t="s">
        <v>613</v>
      </c>
      <c r="G411" s="26" t="s">
        <v>611</v>
      </c>
      <c r="H411" s="109" t="s">
        <v>1408</v>
      </c>
      <c r="I411" s="32"/>
      <c r="J411" s="8"/>
      <c r="K411" s="11" t="s">
        <v>13</v>
      </c>
      <c r="L411" s="5"/>
    </row>
    <row r="412" spans="1:12" ht="31.5" customHeight="1">
      <c r="A412" s="5">
        <v>72</v>
      </c>
      <c r="B412" s="121"/>
      <c r="C412" s="14" t="s">
        <v>1376</v>
      </c>
      <c r="D412" s="11" t="s">
        <v>614</v>
      </c>
      <c r="E412" s="11" t="s">
        <v>615</v>
      </c>
      <c r="F412" s="11" t="s">
        <v>616</v>
      </c>
      <c r="G412" s="26" t="s">
        <v>614</v>
      </c>
      <c r="H412" s="109" t="s">
        <v>1408</v>
      </c>
      <c r="I412" s="32"/>
      <c r="J412" s="8"/>
      <c r="K412" s="11" t="s">
        <v>13</v>
      </c>
      <c r="L412" s="5"/>
    </row>
    <row r="413" spans="1:12" ht="31.5" customHeight="1">
      <c r="A413" s="5">
        <v>73</v>
      </c>
      <c r="B413" s="121"/>
      <c r="C413" s="14" t="s">
        <v>1376</v>
      </c>
      <c r="D413" s="11" t="s">
        <v>617</v>
      </c>
      <c r="E413" s="11" t="s">
        <v>618</v>
      </c>
      <c r="F413" s="11" t="s">
        <v>619</v>
      </c>
      <c r="G413" s="25" t="s">
        <v>617</v>
      </c>
      <c r="H413" s="109" t="s">
        <v>1408</v>
      </c>
      <c r="I413" s="32"/>
      <c r="J413" s="8"/>
      <c r="K413" s="11" t="s">
        <v>13</v>
      </c>
      <c r="L413" s="39"/>
    </row>
    <row r="414" spans="1:12" ht="31.5" customHeight="1">
      <c r="A414" s="5">
        <v>74</v>
      </c>
      <c r="B414" s="121"/>
      <c r="C414" s="14" t="s">
        <v>1376</v>
      </c>
      <c r="D414" s="11" t="s">
        <v>620</v>
      </c>
      <c r="E414" s="11" t="s">
        <v>621</v>
      </c>
      <c r="F414" s="11" t="s">
        <v>622</v>
      </c>
      <c r="G414" s="25" t="s">
        <v>620</v>
      </c>
      <c r="H414" s="109" t="s">
        <v>1408</v>
      </c>
      <c r="I414" s="32"/>
      <c r="J414" s="8"/>
      <c r="K414" s="11" t="s">
        <v>13</v>
      </c>
      <c r="L414" s="39"/>
    </row>
    <row r="415" spans="1:12" ht="31.5" customHeight="1">
      <c r="A415" s="5">
        <v>75</v>
      </c>
      <c r="B415" s="121"/>
      <c r="C415" s="14" t="s">
        <v>1376</v>
      </c>
      <c r="D415" s="11" t="s">
        <v>623</v>
      </c>
      <c r="E415" s="11" t="s">
        <v>624</v>
      </c>
      <c r="F415" s="11" t="s">
        <v>625</v>
      </c>
      <c r="G415" s="25" t="s">
        <v>623</v>
      </c>
      <c r="H415" s="109" t="s">
        <v>1408</v>
      </c>
      <c r="I415" s="32"/>
      <c r="J415" s="8"/>
      <c r="K415" s="11" t="s">
        <v>13</v>
      </c>
      <c r="L415" s="39"/>
    </row>
    <row r="416" spans="1:12" ht="31.5" customHeight="1">
      <c r="A416" s="5">
        <v>76</v>
      </c>
      <c r="B416" s="121"/>
      <c r="C416" s="14" t="s">
        <v>1376</v>
      </c>
      <c r="D416" s="11" t="s">
        <v>626</v>
      </c>
      <c r="E416" s="11" t="s">
        <v>627</v>
      </c>
      <c r="F416" s="11" t="s">
        <v>628</v>
      </c>
      <c r="G416" s="25" t="s">
        <v>626</v>
      </c>
      <c r="H416" s="109" t="s">
        <v>1408</v>
      </c>
      <c r="I416" s="32"/>
      <c r="J416" s="8"/>
      <c r="K416" s="11" t="s">
        <v>13</v>
      </c>
      <c r="L416" s="39"/>
    </row>
    <row r="417" spans="1:12" ht="31.5" customHeight="1">
      <c r="A417" s="5">
        <v>77</v>
      </c>
      <c r="B417" s="121"/>
      <c r="C417" s="14" t="s">
        <v>1376</v>
      </c>
      <c r="D417" s="11" t="s">
        <v>1134</v>
      </c>
      <c r="E417" s="11" t="s">
        <v>572</v>
      </c>
      <c r="F417" s="11" t="s">
        <v>573</v>
      </c>
      <c r="G417" s="25" t="s">
        <v>1134</v>
      </c>
      <c r="H417" s="109" t="s">
        <v>1408</v>
      </c>
      <c r="I417" s="32"/>
      <c r="J417" s="8"/>
      <c r="K417" s="11" t="s">
        <v>13</v>
      </c>
      <c r="L417" s="39"/>
    </row>
    <row r="418" spans="1:12" ht="31.5" customHeight="1">
      <c r="A418" s="5">
        <v>78</v>
      </c>
      <c r="B418" s="121"/>
      <c r="C418" s="14" t="s">
        <v>1376</v>
      </c>
      <c r="D418" s="11" t="s">
        <v>631</v>
      </c>
      <c r="E418" s="11" t="s">
        <v>632</v>
      </c>
      <c r="F418" s="11" t="s">
        <v>633</v>
      </c>
      <c r="G418" s="25" t="s">
        <v>631</v>
      </c>
      <c r="H418" s="109" t="s">
        <v>1408</v>
      </c>
      <c r="I418" s="32"/>
      <c r="J418" s="8"/>
      <c r="K418" s="11" t="s">
        <v>13</v>
      </c>
      <c r="L418" s="39"/>
    </row>
    <row r="419" spans="1:12" ht="31.5" customHeight="1">
      <c r="A419" s="5">
        <v>79</v>
      </c>
      <c r="B419" s="121"/>
      <c r="C419" s="14" t="s">
        <v>1376</v>
      </c>
      <c r="D419" s="11" t="s">
        <v>634</v>
      </c>
      <c r="E419" s="11" t="s">
        <v>635</v>
      </c>
      <c r="F419" s="11" t="s">
        <v>636</v>
      </c>
      <c r="G419" s="25" t="s">
        <v>634</v>
      </c>
      <c r="H419" s="109" t="s">
        <v>1408</v>
      </c>
      <c r="I419" s="32"/>
      <c r="J419" s="8"/>
      <c r="K419" s="11" t="s">
        <v>13</v>
      </c>
      <c r="L419" s="39"/>
    </row>
    <row r="420" spans="1:12" ht="31.5" customHeight="1">
      <c r="A420" s="5">
        <v>80</v>
      </c>
      <c r="B420" s="121"/>
      <c r="C420" s="14" t="s">
        <v>1376</v>
      </c>
      <c r="D420" s="11" t="s">
        <v>637</v>
      </c>
      <c r="E420" s="11" t="s">
        <v>638</v>
      </c>
      <c r="F420" s="11" t="s">
        <v>639</v>
      </c>
      <c r="G420" s="26" t="s">
        <v>637</v>
      </c>
      <c r="H420" s="109" t="s">
        <v>1408</v>
      </c>
      <c r="I420" s="32"/>
      <c r="J420" s="8"/>
      <c r="K420" s="11" t="s">
        <v>13</v>
      </c>
      <c r="L420" s="5"/>
    </row>
    <row r="421" spans="1:12" ht="31.5" customHeight="1">
      <c r="A421" s="5">
        <v>81</v>
      </c>
      <c r="B421" s="121"/>
      <c r="C421" s="14" t="s">
        <v>1376</v>
      </c>
      <c r="D421" s="11" t="s">
        <v>640</v>
      </c>
      <c r="E421" s="11" t="s">
        <v>641</v>
      </c>
      <c r="F421" s="11" t="s">
        <v>642</v>
      </c>
      <c r="G421" s="25" t="s">
        <v>640</v>
      </c>
      <c r="H421" s="109" t="s">
        <v>1408</v>
      </c>
      <c r="I421" s="32"/>
      <c r="J421" s="8"/>
      <c r="K421" s="11" t="s">
        <v>13</v>
      </c>
      <c r="L421" s="39"/>
    </row>
    <row r="422" spans="1:12" ht="31.5" customHeight="1">
      <c r="A422" s="5">
        <v>82</v>
      </c>
      <c r="B422" s="121"/>
      <c r="C422" s="14" t="s">
        <v>1376</v>
      </c>
      <c r="D422" s="11" t="s">
        <v>643</v>
      </c>
      <c r="E422" s="11" t="s">
        <v>644</v>
      </c>
      <c r="F422" s="11" t="s">
        <v>645</v>
      </c>
      <c r="G422" s="25" t="s">
        <v>643</v>
      </c>
      <c r="H422" s="109" t="s">
        <v>1408</v>
      </c>
      <c r="I422" s="32"/>
      <c r="J422" s="8"/>
      <c r="K422" s="11" t="s">
        <v>13</v>
      </c>
      <c r="L422" s="39"/>
    </row>
    <row r="423" spans="1:12" ht="31.5" customHeight="1">
      <c r="A423" s="5">
        <v>83</v>
      </c>
      <c r="B423" s="121"/>
      <c r="C423" s="14" t="s">
        <v>1376</v>
      </c>
      <c r="D423" s="11" t="s">
        <v>646</v>
      </c>
      <c r="E423" s="11" t="s">
        <v>647</v>
      </c>
      <c r="F423" s="11" t="s">
        <v>648</v>
      </c>
      <c r="G423" s="25" t="s">
        <v>646</v>
      </c>
      <c r="H423" s="109" t="s">
        <v>1408</v>
      </c>
      <c r="I423" s="32"/>
      <c r="J423" s="8"/>
      <c r="K423" s="11" t="s">
        <v>13</v>
      </c>
      <c r="L423" s="39"/>
    </row>
    <row r="424" spans="1:12" ht="31.5" customHeight="1">
      <c r="A424" s="5">
        <v>84</v>
      </c>
      <c r="B424" s="121"/>
      <c r="C424" s="14" t="s">
        <v>1376</v>
      </c>
      <c r="D424" s="11" t="s">
        <v>649</v>
      </c>
      <c r="E424" s="11" t="s">
        <v>650</v>
      </c>
      <c r="F424" s="11" t="s">
        <v>651</v>
      </c>
      <c r="G424" s="25" t="s">
        <v>649</v>
      </c>
      <c r="H424" s="109" t="s">
        <v>1408</v>
      </c>
      <c r="I424" s="32"/>
      <c r="J424" s="8"/>
      <c r="K424" s="11" t="s">
        <v>13</v>
      </c>
      <c r="L424" s="39"/>
    </row>
    <row r="425" spans="1:12" ht="31.5" customHeight="1">
      <c r="A425" s="5">
        <v>85</v>
      </c>
      <c r="B425" s="121"/>
      <c r="C425" s="14" t="s">
        <v>1376</v>
      </c>
      <c r="D425" s="11" t="s">
        <v>652</v>
      </c>
      <c r="E425" s="11" t="s">
        <v>653</v>
      </c>
      <c r="F425" s="11" t="s">
        <v>1240</v>
      </c>
      <c r="G425" s="25" t="s">
        <v>652</v>
      </c>
      <c r="H425" s="109" t="s">
        <v>1408</v>
      </c>
      <c r="I425" s="32"/>
      <c r="J425" s="8"/>
      <c r="K425" s="11" t="s">
        <v>13</v>
      </c>
      <c r="L425" s="39"/>
    </row>
    <row r="426" spans="1:12" ht="31.5" customHeight="1">
      <c r="A426" s="5">
        <v>86</v>
      </c>
      <c r="B426" s="121"/>
      <c r="C426" s="14" t="s">
        <v>1376</v>
      </c>
      <c r="D426" s="11" t="s">
        <v>654</v>
      </c>
      <c r="E426" s="11" t="s">
        <v>655</v>
      </c>
      <c r="F426" s="11" t="s">
        <v>656</v>
      </c>
      <c r="G426" s="25" t="s">
        <v>654</v>
      </c>
      <c r="H426" s="109" t="s">
        <v>1408</v>
      </c>
      <c r="I426" s="32"/>
      <c r="J426" s="8"/>
      <c r="K426" s="11" t="s">
        <v>13</v>
      </c>
      <c r="L426" s="39"/>
    </row>
    <row r="427" spans="1:12" ht="31.5" customHeight="1">
      <c r="A427" s="5">
        <v>87</v>
      </c>
      <c r="B427" s="121"/>
      <c r="C427" s="14" t="s">
        <v>1376</v>
      </c>
      <c r="D427" s="11" t="s">
        <v>657</v>
      </c>
      <c r="E427" s="11" t="s">
        <v>658</v>
      </c>
      <c r="F427" s="11" t="s">
        <v>659</v>
      </c>
      <c r="G427" s="25" t="s">
        <v>657</v>
      </c>
      <c r="H427" s="109" t="s">
        <v>1408</v>
      </c>
      <c r="I427" s="32"/>
      <c r="J427" s="8"/>
      <c r="K427" s="11" t="s">
        <v>13</v>
      </c>
      <c r="L427" s="39"/>
    </row>
    <row r="428" spans="1:12" ht="31.5" customHeight="1">
      <c r="A428" s="5">
        <v>88</v>
      </c>
      <c r="B428" s="121"/>
      <c r="C428" s="14" t="s">
        <v>1376</v>
      </c>
      <c r="D428" s="11" t="s">
        <v>660</v>
      </c>
      <c r="E428" s="11" t="s">
        <v>661</v>
      </c>
      <c r="F428" s="11" t="s">
        <v>1241</v>
      </c>
      <c r="G428" s="25" t="s">
        <v>660</v>
      </c>
      <c r="H428" s="109" t="s">
        <v>1408</v>
      </c>
      <c r="I428" s="32"/>
      <c r="J428" s="8"/>
      <c r="K428" s="11" t="s">
        <v>13</v>
      </c>
      <c r="L428" s="39"/>
    </row>
    <row r="429" spans="1:12" ht="31.5" customHeight="1">
      <c r="A429" s="5">
        <v>89</v>
      </c>
      <c r="B429" s="121"/>
      <c r="C429" s="14" t="s">
        <v>1376</v>
      </c>
      <c r="D429" s="11" t="s">
        <v>668</v>
      </c>
      <c r="E429" s="11" t="s">
        <v>669</v>
      </c>
      <c r="F429" s="11" t="s">
        <v>670</v>
      </c>
      <c r="G429" s="25" t="s">
        <v>668</v>
      </c>
      <c r="H429" s="109" t="s">
        <v>1408</v>
      </c>
      <c r="I429" s="32"/>
      <c r="J429" s="8"/>
      <c r="K429" s="11" t="s">
        <v>13</v>
      </c>
      <c r="L429" s="39"/>
    </row>
    <row r="430" spans="1:12" ht="31.5" customHeight="1">
      <c r="A430" s="5">
        <v>90</v>
      </c>
      <c r="B430" s="121"/>
      <c r="C430" s="14" t="s">
        <v>1376</v>
      </c>
      <c r="D430" s="11" t="s">
        <v>662</v>
      </c>
      <c r="E430" s="11" t="s">
        <v>663</v>
      </c>
      <c r="F430" s="11" t="s">
        <v>664</v>
      </c>
      <c r="G430" s="25" t="s">
        <v>662</v>
      </c>
      <c r="H430" s="109" t="s">
        <v>1408</v>
      </c>
      <c r="I430" s="32"/>
      <c r="J430" s="8"/>
      <c r="K430" s="11" t="s">
        <v>13</v>
      </c>
      <c r="L430" s="39"/>
    </row>
    <row r="431" spans="1:12" ht="31.5" customHeight="1">
      <c r="A431" s="5">
        <v>91</v>
      </c>
      <c r="B431" s="121"/>
      <c r="C431" s="14" t="s">
        <v>1376</v>
      </c>
      <c r="D431" s="11" t="s">
        <v>1242</v>
      </c>
      <c r="E431" s="11" t="s">
        <v>1243</v>
      </c>
      <c r="F431" s="11" t="s">
        <v>1244</v>
      </c>
      <c r="G431" s="26" t="s">
        <v>1242</v>
      </c>
      <c r="H431" s="109" t="s">
        <v>1408</v>
      </c>
      <c r="I431" s="32"/>
      <c r="J431" s="13"/>
      <c r="K431" s="11" t="s">
        <v>13</v>
      </c>
      <c r="L431" s="5"/>
    </row>
    <row r="432" spans="1:12" ht="31.5" customHeight="1">
      <c r="A432" s="5">
        <v>92</v>
      </c>
      <c r="B432" s="121"/>
      <c r="C432" s="14" t="s">
        <v>1376</v>
      </c>
      <c r="D432" s="11" t="s">
        <v>587</v>
      </c>
      <c r="E432" s="11" t="s">
        <v>588</v>
      </c>
      <c r="F432" s="11" t="s">
        <v>589</v>
      </c>
      <c r="G432" s="26" t="s">
        <v>587</v>
      </c>
      <c r="H432" s="109" t="s">
        <v>1408</v>
      </c>
      <c r="I432" s="32"/>
      <c r="J432" s="13"/>
      <c r="K432" s="11" t="s">
        <v>13</v>
      </c>
      <c r="L432" s="5"/>
    </row>
    <row r="433" spans="1:12" ht="31.5" customHeight="1">
      <c r="A433" s="5">
        <v>93</v>
      </c>
      <c r="B433" s="121"/>
      <c r="C433" s="14" t="s">
        <v>1376</v>
      </c>
      <c r="D433" s="11" t="s">
        <v>1245</v>
      </c>
      <c r="E433" s="11" t="s">
        <v>1246</v>
      </c>
      <c r="F433" s="11" t="s">
        <v>496</v>
      </c>
      <c r="G433" s="25" t="s">
        <v>1245</v>
      </c>
      <c r="H433" s="109" t="s">
        <v>1408</v>
      </c>
      <c r="I433" s="32"/>
      <c r="J433" s="8"/>
      <c r="K433" s="11" t="s">
        <v>13</v>
      </c>
      <c r="L433" s="39"/>
    </row>
    <row r="434" spans="1:12" ht="31.5" customHeight="1">
      <c r="A434" s="5">
        <v>94</v>
      </c>
      <c r="B434" s="121"/>
      <c r="C434" s="14" t="s">
        <v>1376</v>
      </c>
      <c r="D434" s="11" t="s">
        <v>1129</v>
      </c>
      <c r="E434" s="11" t="s">
        <v>8</v>
      </c>
      <c r="F434" s="11" t="s">
        <v>1247</v>
      </c>
      <c r="G434" s="25" t="s">
        <v>1129</v>
      </c>
      <c r="H434" s="109" t="s">
        <v>1408</v>
      </c>
      <c r="I434" s="32"/>
      <c r="J434" s="8"/>
      <c r="K434" s="11" t="s">
        <v>13</v>
      </c>
      <c r="L434" s="39"/>
    </row>
    <row r="435" spans="1:12" ht="31.5" customHeight="1">
      <c r="A435" s="5">
        <v>95</v>
      </c>
      <c r="B435" s="121"/>
      <c r="C435" s="14" t="s">
        <v>1376</v>
      </c>
      <c r="D435" s="11" t="s">
        <v>678</v>
      </c>
      <c r="E435" s="11" t="s">
        <v>8</v>
      </c>
      <c r="F435" s="11" t="s">
        <v>437</v>
      </c>
      <c r="G435" s="26" t="s">
        <v>678</v>
      </c>
      <c r="H435" s="109" t="s">
        <v>1408</v>
      </c>
      <c r="I435" s="32"/>
      <c r="J435" s="8"/>
      <c r="K435" s="11" t="s">
        <v>13</v>
      </c>
      <c r="L435" s="5"/>
    </row>
    <row r="436" spans="1:12" ht="31.5" customHeight="1">
      <c r="A436" s="5">
        <v>96</v>
      </c>
      <c r="B436" s="121"/>
      <c r="C436" s="14" t="s">
        <v>1376</v>
      </c>
      <c r="D436" s="11" t="s">
        <v>676</v>
      </c>
      <c r="E436" s="11" t="s">
        <v>8</v>
      </c>
      <c r="F436" s="11" t="s">
        <v>677</v>
      </c>
      <c r="G436" s="25" t="s">
        <v>676</v>
      </c>
      <c r="H436" s="109" t="s">
        <v>1408</v>
      </c>
      <c r="I436" s="32"/>
      <c r="J436" s="8"/>
      <c r="K436" s="11" t="s">
        <v>13</v>
      </c>
      <c r="L436" s="39"/>
    </row>
    <row r="437" spans="1:12" ht="31.5" customHeight="1">
      <c r="A437" s="5">
        <v>97</v>
      </c>
      <c r="B437" s="121"/>
      <c r="C437" s="14" t="s">
        <v>1376</v>
      </c>
      <c r="D437" s="11" t="s">
        <v>1248</v>
      </c>
      <c r="E437" s="11" t="s">
        <v>8</v>
      </c>
      <c r="F437" s="11" t="s">
        <v>1249</v>
      </c>
      <c r="G437" s="26" t="s">
        <v>1248</v>
      </c>
      <c r="H437" s="109" t="s">
        <v>1408</v>
      </c>
      <c r="I437" s="32"/>
      <c r="J437" s="8"/>
      <c r="K437" s="11" t="s">
        <v>13</v>
      </c>
      <c r="L437" s="5"/>
    </row>
    <row r="438" spans="1:12" ht="31.5" customHeight="1">
      <c r="A438" s="5">
        <v>98</v>
      </c>
      <c r="B438" s="121"/>
      <c r="C438" s="14" t="s">
        <v>1376</v>
      </c>
      <c r="D438" s="11" t="s">
        <v>673</v>
      </c>
      <c r="E438" s="11" t="s">
        <v>8</v>
      </c>
      <c r="F438" s="11" t="s">
        <v>434</v>
      </c>
      <c r="G438" s="25" t="s">
        <v>673</v>
      </c>
      <c r="H438" s="109" t="s">
        <v>1408</v>
      </c>
      <c r="I438" s="32"/>
      <c r="J438" s="8"/>
      <c r="K438" s="11" t="s">
        <v>13</v>
      </c>
      <c r="L438" s="39"/>
    </row>
    <row r="439" spans="1:12" ht="31.5" customHeight="1">
      <c r="A439" s="5">
        <v>99</v>
      </c>
      <c r="B439" s="121"/>
      <c r="C439" s="14" t="s">
        <v>1376</v>
      </c>
      <c r="D439" s="11" t="s">
        <v>1130</v>
      </c>
      <c r="E439" s="11" t="s">
        <v>8</v>
      </c>
      <c r="F439" s="11" t="s">
        <v>586</v>
      </c>
      <c r="G439" s="25" t="s">
        <v>1130</v>
      </c>
      <c r="H439" s="109" t="s">
        <v>1408</v>
      </c>
      <c r="I439" s="32"/>
      <c r="J439" s="8"/>
      <c r="K439" s="11" t="s">
        <v>13</v>
      </c>
      <c r="L439" s="39"/>
    </row>
    <row r="440" spans="1:12" ht="31.5" customHeight="1">
      <c r="A440" s="5">
        <v>100</v>
      </c>
      <c r="B440" s="121"/>
      <c r="C440" s="14" t="s">
        <v>1376</v>
      </c>
      <c r="D440" s="11" t="s">
        <v>1131</v>
      </c>
      <c r="E440" s="11" t="s">
        <v>8</v>
      </c>
      <c r="F440" s="11" t="s">
        <v>1250</v>
      </c>
      <c r="G440" s="25" t="s">
        <v>1131</v>
      </c>
      <c r="H440" s="109" t="s">
        <v>1408</v>
      </c>
      <c r="I440" s="32"/>
      <c r="J440" s="8"/>
      <c r="K440" s="11" t="s">
        <v>13</v>
      </c>
      <c r="L440" s="39"/>
    </row>
    <row r="441" spans="1:12" ht="31.5" customHeight="1">
      <c r="A441" s="5">
        <v>101</v>
      </c>
      <c r="B441" s="121"/>
      <c r="C441" s="14" t="s">
        <v>1376</v>
      </c>
      <c r="D441" s="11" t="s">
        <v>674</v>
      </c>
      <c r="E441" s="11" t="s">
        <v>8</v>
      </c>
      <c r="F441" s="11" t="s">
        <v>675</v>
      </c>
      <c r="G441" s="26" t="s">
        <v>674</v>
      </c>
      <c r="H441" s="109" t="s">
        <v>1408</v>
      </c>
      <c r="I441" s="32"/>
      <c r="J441" s="8"/>
      <c r="K441" s="11" t="s">
        <v>13</v>
      </c>
      <c r="L441" s="5"/>
    </row>
    <row r="442" spans="1:12" ht="31.5" customHeight="1">
      <c r="A442" s="5">
        <v>102</v>
      </c>
      <c r="B442" s="121"/>
      <c r="C442" s="14" t="s">
        <v>1376</v>
      </c>
      <c r="D442" s="11" t="s">
        <v>1251</v>
      </c>
      <c r="E442" s="11" t="s">
        <v>8</v>
      </c>
      <c r="F442" s="11" t="s">
        <v>1252</v>
      </c>
      <c r="G442" s="26" t="s">
        <v>1251</v>
      </c>
      <c r="H442" s="109" t="s">
        <v>1408</v>
      </c>
      <c r="I442" s="32"/>
      <c r="J442" s="8"/>
      <c r="K442" s="11" t="s">
        <v>13</v>
      </c>
      <c r="L442" s="5"/>
    </row>
    <row r="443" spans="1:12" ht="31.5" customHeight="1">
      <c r="A443" s="5">
        <v>103</v>
      </c>
      <c r="B443" s="121"/>
      <c r="C443" s="14" t="s">
        <v>1376</v>
      </c>
      <c r="D443" s="11" t="s">
        <v>686</v>
      </c>
      <c r="E443" s="11" t="s">
        <v>8</v>
      </c>
      <c r="F443" s="11" t="s">
        <v>687</v>
      </c>
      <c r="G443" s="25" t="s">
        <v>686</v>
      </c>
      <c r="H443" s="109" t="s">
        <v>1408</v>
      </c>
      <c r="I443" s="32"/>
      <c r="J443" s="8"/>
      <c r="K443" s="11" t="s">
        <v>13</v>
      </c>
      <c r="L443" s="39"/>
    </row>
    <row r="444" spans="1:12" ht="31.5" customHeight="1">
      <c r="A444" s="5">
        <v>104</v>
      </c>
      <c r="B444" s="121"/>
      <c r="C444" s="14" t="s">
        <v>1376</v>
      </c>
      <c r="D444" s="11" t="s">
        <v>679</v>
      </c>
      <c r="E444" s="11" t="s">
        <v>8</v>
      </c>
      <c r="F444" s="11" t="s">
        <v>539</v>
      </c>
      <c r="G444" s="26" t="s">
        <v>679</v>
      </c>
      <c r="H444" s="109" t="s">
        <v>1408</v>
      </c>
      <c r="I444" s="32"/>
      <c r="J444" s="8"/>
      <c r="K444" s="11" t="s">
        <v>13</v>
      </c>
      <c r="L444" s="5"/>
    </row>
    <row r="445" spans="1:12" ht="31.5" customHeight="1">
      <c r="A445" s="5">
        <v>105</v>
      </c>
      <c r="B445" s="121"/>
      <c r="C445" s="14" t="s">
        <v>1376</v>
      </c>
      <c r="D445" s="11" t="s">
        <v>688</v>
      </c>
      <c r="E445" s="11" t="s">
        <v>8</v>
      </c>
      <c r="F445" s="11" t="s">
        <v>689</v>
      </c>
      <c r="G445" s="25" t="s">
        <v>688</v>
      </c>
      <c r="H445" s="109" t="s">
        <v>1408</v>
      </c>
      <c r="I445" s="32"/>
      <c r="J445" s="8"/>
      <c r="K445" s="11" t="s">
        <v>13</v>
      </c>
      <c r="L445" s="39"/>
    </row>
    <row r="446" spans="1:12" ht="31.5" customHeight="1">
      <c r="A446" s="5">
        <v>106</v>
      </c>
      <c r="B446" s="121"/>
      <c r="C446" s="14" t="s">
        <v>1376</v>
      </c>
      <c r="D446" s="11" t="s">
        <v>684</v>
      </c>
      <c r="E446" s="11" t="s">
        <v>8</v>
      </c>
      <c r="F446" s="11" t="s">
        <v>685</v>
      </c>
      <c r="G446" s="25" t="s">
        <v>684</v>
      </c>
      <c r="H446" s="109" t="s">
        <v>1408</v>
      </c>
      <c r="I446" s="32"/>
      <c r="J446" s="8"/>
      <c r="K446" s="11" t="s">
        <v>13</v>
      </c>
      <c r="L446" s="39"/>
    </row>
    <row r="447" spans="1:12" ht="31.5" customHeight="1">
      <c r="A447" s="5">
        <v>107</v>
      </c>
      <c r="B447" s="121"/>
      <c r="C447" s="14" t="s">
        <v>1376</v>
      </c>
      <c r="D447" s="11" t="s">
        <v>682</v>
      </c>
      <c r="E447" s="11" t="s">
        <v>8</v>
      </c>
      <c r="F447" s="11" t="s">
        <v>683</v>
      </c>
      <c r="G447" s="26" t="s">
        <v>682</v>
      </c>
      <c r="H447" s="109" t="s">
        <v>1408</v>
      </c>
      <c r="I447" s="32"/>
      <c r="J447" s="8"/>
      <c r="K447" s="11" t="s">
        <v>13</v>
      </c>
      <c r="L447" s="5"/>
    </row>
    <row r="448" spans="1:12" ht="31.5" customHeight="1">
      <c r="A448" s="5">
        <v>108</v>
      </c>
      <c r="B448" s="121"/>
      <c r="C448" s="14" t="s">
        <v>1376</v>
      </c>
      <c r="D448" s="11" t="s">
        <v>680</v>
      </c>
      <c r="E448" s="11" t="s">
        <v>8</v>
      </c>
      <c r="F448" s="11" t="s">
        <v>681</v>
      </c>
      <c r="G448" s="25" t="s">
        <v>680</v>
      </c>
      <c r="H448" s="109" t="s">
        <v>1408</v>
      </c>
      <c r="I448" s="32"/>
      <c r="J448" s="8"/>
      <c r="K448" s="11" t="s">
        <v>13</v>
      </c>
      <c r="L448" s="39"/>
    </row>
    <row r="449" spans="1:12" ht="31.5" customHeight="1">
      <c r="A449" s="5">
        <v>109</v>
      </c>
      <c r="B449" s="121"/>
      <c r="C449" s="14" t="s">
        <v>1376</v>
      </c>
      <c r="D449" s="11" t="s">
        <v>1253</v>
      </c>
      <c r="E449" s="11" t="s">
        <v>8</v>
      </c>
      <c r="F449" s="11" t="s">
        <v>1254</v>
      </c>
      <c r="G449" s="26" t="s">
        <v>1253</v>
      </c>
      <c r="H449" s="109" t="s">
        <v>1408</v>
      </c>
      <c r="I449" s="32"/>
      <c r="J449" s="8"/>
      <c r="K449" s="11" t="s">
        <v>13</v>
      </c>
      <c r="L449" s="5"/>
    </row>
    <row r="450" spans="1:12" ht="31.5" customHeight="1" thickBot="1">
      <c r="A450" s="5">
        <v>110</v>
      </c>
      <c r="B450" s="122"/>
      <c r="C450" s="86" t="s">
        <v>1376</v>
      </c>
      <c r="D450" s="87" t="s">
        <v>1255</v>
      </c>
      <c r="E450" s="87" t="s">
        <v>8</v>
      </c>
      <c r="F450" s="87" t="s">
        <v>1256</v>
      </c>
      <c r="G450" s="102" t="s">
        <v>1255</v>
      </c>
      <c r="H450" s="110" t="s">
        <v>1408</v>
      </c>
      <c r="I450" s="89"/>
      <c r="J450" s="90"/>
      <c r="K450" s="87" t="s">
        <v>13</v>
      </c>
      <c r="L450" s="103"/>
    </row>
    <row r="451" spans="1:12" ht="31.5" customHeight="1">
      <c r="A451" s="104">
        <v>1</v>
      </c>
      <c r="B451" s="117" t="s">
        <v>1403</v>
      </c>
      <c r="C451" s="101" t="s">
        <v>19</v>
      </c>
      <c r="D451" s="101" t="s">
        <v>690</v>
      </c>
      <c r="E451" s="101" t="s">
        <v>691</v>
      </c>
      <c r="F451" s="101" t="s">
        <v>692</v>
      </c>
      <c r="G451" s="96" t="s">
        <v>690</v>
      </c>
      <c r="H451" s="112" t="s">
        <v>1408</v>
      </c>
      <c r="I451" s="97"/>
      <c r="J451" s="98"/>
      <c r="K451" s="11" t="s">
        <v>11</v>
      </c>
      <c r="L451" s="100"/>
    </row>
    <row r="452" spans="1:12" ht="31.5" customHeight="1">
      <c r="A452" s="5">
        <v>2</v>
      </c>
      <c r="B452" s="118"/>
      <c r="C452" s="11" t="s">
        <v>19</v>
      </c>
      <c r="D452" s="11" t="s">
        <v>693</v>
      </c>
      <c r="E452" s="11" t="s">
        <v>694</v>
      </c>
      <c r="F452" s="11" t="s">
        <v>695</v>
      </c>
      <c r="G452" s="25" t="s">
        <v>693</v>
      </c>
      <c r="H452" s="109" t="s">
        <v>1408</v>
      </c>
      <c r="I452" s="32"/>
      <c r="J452" s="8"/>
      <c r="K452" s="11" t="s">
        <v>11</v>
      </c>
      <c r="L452" s="39"/>
    </row>
    <row r="453" spans="1:12" ht="31.5" customHeight="1">
      <c r="A453" s="5">
        <v>3</v>
      </c>
      <c r="B453" s="118"/>
      <c r="C453" s="16" t="s">
        <v>19</v>
      </c>
      <c r="D453" s="11" t="s">
        <v>696</v>
      </c>
      <c r="E453" s="11" t="s">
        <v>697</v>
      </c>
      <c r="F453" s="11" t="s">
        <v>698</v>
      </c>
      <c r="G453" s="25" t="s">
        <v>696</v>
      </c>
      <c r="H453" s="109" t="s">
        <v>1408</v>
      </c>
      <c r="I453" s="32"/>
      <c r="J453" s="8"/>
      <c r="K453" s="11" t="s">
        <v>11</v>
      </c>
      <c r="L453" s="39"/>
    </row>
    <row r="454" spans="1:12" ht="31.5" customHeight="1">
      <c r="A454" s="5">
        <v>4</v>
      </c>
      <c r="B454" s="118"/>
      <c r="C454" s="11" t="s">
        <v>19</v>
      </c>
      <c r="D454" s="11" t="s">
        <v>699</v>
      </c>
      <c r="E454" s="11" t="s">
        <v>700</v>
      </c>
      <c r="F454" s="11" t="s">
        <v>701</v>
      </c>
      <c r="G454" s="25" t="s">
        <v>699</v>
      </c>
      <c r="H454" s="109" t="s">
        <v>1408</v>
      </c>
      <c r="I454" s="32"/>
      <c r="J454" s="8"/>
      <c r="K454" s="11" t="s">
        <v>11</v>
      </c>
      <c r="L454" s="39"/>
    </row>
    <row r="455" spans="1:12" ht="31.5" customHeight="1">
      <c r="A455" s="5">
        <v>5</v>
      </c>
      <c r="B455" s="118"/>
      <c r="C455" s="11" t="s">
        <v>19</v>
      </c>
      <c r="D455" s="11" t="s">
        <v>702</v>
      </c>
      <c r="E455" s="11" t="s">
        <v>703</v>
      </c>
      <c r="F455" s="11" t="s">
        <v>704</v>
      </c>
      <c r="G455" s="26" t="s">
        <v>702</v>
      </c>
      <c r="H455" s="109" t="s">
        <v>1408</v>
      </c>
      <c r="I455" s="32"/>
      <c r="J455" s="8"/>
      <c r="K455" s="11" t="s">
        <v>11</v>
      </c>
      <c r="L455" s="5"/>
    </row>
    <row r="456" spans="1:12" ht="31.5" customHeight="1">
      <c r="A456" s="5">
        <v>6</v>
      </c>
      <c r="B456" s="118"/>
      <c r="C456" s="11" t="s">
        <v>19</v>
      </c>
      <c r="D456" s="11" t="s">
        <v>705</v>
      </c>
      <c r="E456" s="11" t="s">
        <v>706</v>
      </c>
      <c r="F456" s="11" t="s">
        <v>707</v>
      </c>
      <c r="G456" s="25" t="s">
        <v>705</v>
      </c>
      <c r="H456" s="109" t="s">
        <v>1408</v>
      </c>
      <c r="I456" s="32"/>
      <c r="J456" s="8"/>
      <c r="K456" s="11" t="s">
        <v>11</v>
      </c>
      <c r="L456" s="39"/>
    </row>
    <row r="457" spans="1:12" ht="31.5" customHeight="1">
      <c r="A457" s="5">
        <v>7</v>
      </c>
      <c r="B457" s="118"/>
      <c r="C457" s="11" t="s">
        <v>19</v>
      </c>
      <c r="D457" s="11" t="s">
        <v>708</v>
      </c>
      <c r="E457" s="11" t="s">
        <v>709</v>
      </c>
      <c r="F457" s="11" t="s">
        <v>710</v>
      </c>
      <c r="G457" s="25" t="s">
        <v>708</v>
      </c>
      <c r="H457" s="109" t="s">
        <v>1408</v>
      </c>
      <c r="I457" s="32"/>
      <c r="J457" s="8"/>
      <c r="K457" s="11" t="s">
        <v>11</v>
      </c>
      <c r="L457" s="39"/>
    </row>
    <row r="458" spans="1:12" ht="31.5" customHeight="1">
      <c r="A458" s="5">
        <v>8</v>
      </c>
      <c r="B458" s="118"/>
      <c r="C458" s="11" t="s">
        <v>19</v>
      </c>
      <c r="D458" s="11" t="s">
        <v>711</v>
      </c>
      <c r="E458" s="11" t="s">
        <v>712</v>
      </c>
      <c r="F458" s="11" t="s">
        <v>713</v>
      </c>
      <c r="G458" s="25" t="s">
        <v>711</v>
      </c>
      <c r="H458" s="109" t="s">
        <v>1408</v>
      </c>
      <c r="I458" s="32"/>
      <c r="J458" s="8"/>
      <c r="K458" s="11" t="s">
        <v>11</v>
      </c>
      <c r="L458" s="39"/>
    </row>
    <row r="459" spans="1:12" ht="31.5" customHeight="1">
      <c r="A459" s="5">
        <v>9</v>
      </c>
      <c r="B459" s="118"/>
      <c r="C459" s="11" t="s">
        <v>19</v>
      </c>
      <c r="D459" s="11" t="s">
        <v>714</v>
      </c>
      <c r="E459" s="11" t="s">
        <v>715</v>
      </c>
      <c r="F459" s="11" t="s">
        <v>716</v>
      </c>
      <c r="G459" s="25" t="s">
        <v>714</v>
      </c>
      <c r="H459" s="109" t="s">
        <v>1408</v>
      </c>
      <c r="I459" s="32"/>
      <c r="J459" s="8"/>
      <c r="K459" s="11" t="s">
        <v>11</v>
      </c>
      <c r="L459" s="39"/>
    </row>
    <row r="460" spans="1:12" ht="31.5" customHeight="1">
      <c r="A460" s="5">
        <v>10</v>
      </c>
      <c r="B460" s="118"/>
      <c r="C460" s="11" t="s">
        <v>19</v>
      </c>
      <c r="D460" s="11" t="s">
        <v>717</v>
      </c>
      <c r="E460" s="11" t="s">
        <v>8</v>
      </c>
      <c r="F460" s="11" t="s">
        <v>707</v>
      </c>
      <c r="G460" s="25" t="s">
        <v>717</v>
      </c>
      <c r="H460" s="109" t="s">
        <v>1408</v>
      </c>
      <c r="I460" s="32"/>
      <c r="J460" s="8"/>
      <c r="K460" s="11" t="s">
        <v>11</v>
      </c>
      <c r="L460" s="39"/>
    </row>
    <row r="461" spans="1:12" ht="31.5" customHeight="1">
      <c r="A461" s="5">
        <v>11</v>
      </c>
      <c r="B461" s="118"/>
      <c r="C461" s="11" t="s">
        <v>19</v>
      </c>
      <c r="D461" s="11" t="s">
        <v>718</v>
      </c>
      <c r="E461" s="11" t="s">
        <v>719</v>
      </c>
      <c r="F461" s="11" t="s">
        <v>720</v>
      </c>
      <c r="G461" s="25" t="s">
        <v>718</v>
      </c>
      <c r="H461" s="109" t="s">
        <v>1408</v>
      </c>
      <c r="I461" s="32"/>
      <c r="J461" s="8"/>
      <c r="K461" s="11" t="s">
        <v>11</v>
      </c>
      <c r="L461" s="39"/>
    </row>
    <row r="462" spans="1:12" ht="31.5" customHeight="1">
      <c r="A462" s="5">
        <v>12</v>
      </c>
      <c r="B462" s="118"/>
      <c r="C462" s="11" t="s">
        <v>19</v>
      </c>
      <c r="D462" s="11" t="s">
        <v>721</v>
      </c>
      <c r="E462" s="11" t="s">
        <v>722</v>
      </c>
      <c r="F462" s="11" t="s">
        <v>723</v>
      </c>
      <c r="G462" s="25" t="s">
        <v>721</v>
      </c>
      <c r="H462" s="109" t="s">
        <v>1408</v>
      </c>
      <c r="I462" s="32"/>
      <c r="J462" s="8"/>
      <c r="K462" s="11" t="s">
        <v>11</v>
      </c>
      <c r="L462" s="39"/>
    </row>
    <row r="463" spans="1:12" ht="31.5" customHeight="1">
      <c r="A463" s="5">
        <v>13</v>
      </c>
      <c r="B463" s="118"/>
      <c r="C463" s="11" t="s">
        <v>19</v>
      </c>
      <c r="D463" s="11" t="s">
        <v>724</v>
      </c>
      <c r="E463" s="11" t="s">
        <v>725</v>
      </c>
      <c r="F463" s="11" t="s">
        <v>695</v>
      </c>
      <c r="G463" s="25" t="s">
        <v>724</v>
      </c>
      <c r="H463" s="109" t="s">
        <v>1408</v>
      </c>
      <c r="I463" s="32"/>
      <c r="J463" s="8"/>
      <c r="K463" s="11" t="s">
        <v>11</v>
      </c>
      <c r="L463" s="39"/>
    </row>
    <row r="464" spans="1:12" ht="31.5" customHeight="1">
      <c r="A464" s="5">
        <v>14</v>
      </c>
      <c r="B464" s="118"/>
      <c r="C464" s="11" t="s">
        <v>19</v>
      </c>
      <c r="D464" s="11" t="s">
        <v>726</v>
      </c>
      <c r="E464" s="11" t="s">
        <v>727</v>
      </c>
      <c r="F464" s="11" t="s">
        <v>728</v>
      </c>
      <c r="G464" s="25" t="s">
        <v>726</v>
      </c>
      <c r="H464" s="109" t="s">
        <v>1408</v>
      </c>
      <c r="I464" s="32"/>
      <c r="J464" s="8"/>
      <c r="K464" s="11" t="s">
        <v>11</v>
      </c>
      <c r="L464" s="39"/>
    </row>
    <row r="465" spans="1:12" ht="31.5" customHeight="1">
      <c r="A465" s="5">
        <v>15</v>
      </c>
      <c r="B465" s="118"/>
      <c r="C465" s="11" t="s">
        <v>19</v>
      </c>
      <c r="D465" s="11" t="s">
        <v>729</v>
      </c>
      <c r="E465" s="11" t="s">
        <v>730</v>
      </c>
      <c r="F465" s="11" t="s">
        <v>731</v>
      </c>
      <c r="G465" s="25" t="s">
        <v>729</v>
      </c>
      <c r="H465" s="109" t="s">
        <v>1408</v>
      </c>
      <c r="I465" s="32"/>
      <c r="J465" s="8"/>
      <c r="K465" s="11" t="s">
        <v>11</v>
      </c>
      <c r="L465" s="39"/>
    </row>
    <row r="466" spans="1:12" ht="31.5" customHeight="1">
      <c r="A466" s="5">
        <v>16</v>
      </c>
      <c r="B466" s="118"/>
      <c r="C466" s="11" t="s">
        <v>19</v>
      </c>
      <c r="D466" s="11" t="s">
        <v>732</v>
      </c>
      <c r="E466" s="11" t="s">
        <v>733</v>
      </c>
      <c r="F466" s="11" t="s">
        <v>734</v>
      </c>
      <c r="G466" s="25" t="s">
        <v>732</v>
      </c>
      <c r="H466" s="109" t="s">
        <v>1408</v>
      </c>
      <c r="I466" s="32"/>
      <c r="J466" s="8"/>
      <c r="K466" s="11" t="s">
        <v>11</v>
      </c>
      <c r="L466" s="39"/>
    </row>
    <row r="467" spans="1:12" ht="31.5" customHeight="1">
      <c r="A467" s="5">
        <v>17</v>
      </c>
      <c r="B467" s="118"/>
      <c r="C467" s="11" t="s">
        <v>19</v>
      </c>
      <c r="D467" s="11" t="s">
        <v>735</v>
      </c>
      <c r="E467" s="11" t="s">
        <v>736</v>
      </c>
      <c r="F467" s="11" t="s">
        <v>737</v>
      </c>
      <c r="G467" s="25" t="s">
        <v>735</v>
      </c>
      <c r="H467" s="109" t="s">
        <v>1408</v>
      </c>
      <c r="I467" s="32"/>
      <c r="J467" s="8"/>
      <c r="K467" s="11" t="s">
        <v>11</v>
      </c>
      <c r="L467" s="39"/>
    </row>
    <row r="468" spans="1:12" ht="31.5" customHeight="1">
      <c r="A468" s="5">
        <v>18</v>
      </c>
      <c r="B468" s="118"/>
      <c r="C468" s="11" t="s">
        <v>19</v>
      </c>
      <c r="D468" s="11" t="s">
        <v>738</v>
      </c>
      <c r="E468" s="11" t="s">
        <v>739</v>
      </c>
      <c r="F468" s="11" t="s">
        <v>740</v>
      </c>
      <c r="G468" s="25" t="s">
        <v>738</v>
      </c>
      <c r="H468" s="109" t="s">
        <v>1408</v>
      </c>
      <c r="I468" s="32"/>
      <c r="J468" s="8"/>
      <c r="K468" s="11" t="s">
        <v>11</v>
      </c>
      <c r="L468" s="39"/>
    </row>
    <row r="469" spans="1:12" ht="31.5" customHeight="1">
      <c r="A469" s="5">
        <v>19</v>
      </c>
      <c r="B469" s="118"/>
      <c r="C469" s="11" t="s">
        <v>19</v>
      </c>
      <c r="D469" s="11" t="s">
        <v>741</v>
      </c>
      <c r="E469" s="11" t="s">
        <v>8</v>
      </c>
      <c r="F469" s="11" t="s">
        <v>695</v>
      </c>
      <c r="G469" s="25" t="s">
        <v>741</v>
      </c>
      <c r="H469" s="109" t="s">
        <v>1408</v>
      </c>
      <c r="I469" s="32"/>
      <c r="J469" s="8"/>
      <c r="K469" s="11" t="s">
        <v>11</v>
      </c>
      <c r="L469" s="39"/>
    </row>
    <row r="470" spans="1:12" ht="31.5" customHeight="1">
      <c r="A470" s="5">
        <v>20</v>
      </c>
      <c r="B470" s="118"/>
      <c r="C470" s="11" t="s">
        <v>19</v>
      </c>
      <c r="D470" s="11" t="s">
        <v>742</v>
      </c>
      <c r="E470" s="11" t="s">
        <v>8</v>
      </c>
      <c r="F470" s="11" t="s">
        <v>707</v>
      </c>
      <c r="G470" s="25" t="s">
        <v>742</v>
      </c>
      <c r="H470" s="109" t="s">
        <v>1408</v>
      </c>
      <c r="I470" s="32"/>
      <c r="J470" s="8"/>
      <c r="K470" s="11" t="s">
        <v>11</v>
      </c>
      <c r="L470" s="39"/>
    </row>
    <row r="471" spans="1:12" ht="31.5" customHeight="1">
      <c r="A471" s="5">
        <v>21</v>
      </c>
      <c r="B471" s="118"/>
      <c r="C471" s="11" t="s">
        <v>19</v>
      </c>
      <c r="D471" s="11" t="s">
        <v>747</v>
      </c>
      <c r="E471" s="11" t="s">
        <v>8</v>
      </c>
      <c r="F471" s="11" t="s">
        <v>707</v>
      </c>
      <c r="G471" s="26" t="s">
        <v>747</v>
      </c>
      <c r="H471" s="109" t="s">
        <v>1408</v>
      </c>
      <c r="I471" s="32"/>
      <c r="J471" s="8"/>
      <c r="K471" s="11" t="s">
        <v>11</v>
      </c>
      <c r="L471" s="5"/>
    </row>
    <row r="472" spans="1:12" ht="31.5" customHeight="1">
      <c r="A472" s="5">
        <v>22</v>
      </c>
      <c r="B472" s="118"/>
      <c r="C472" s="11" t="s">
        <v>19</v>
      </c>
      <c r="D472" s="11" t="s">
        <v>745</v>
      </c>
      <c r="E472" s="11" t="s">
        <v>8</v>
      </c>
      <c r="F472" s="11" t="s">
        <v>746</v>
      </c>
      <c r="G472" s="25" t="s">
        <v>745</v>
      </c>
      <c r="H472" s="109" t="s">
        <v>1408</v>
      </c>
      <c r="I472" s="32"/>
      <c r="J472" s="8"/>
      <c r="K472" s="11" t="s">
        <v>11</v>
      </c>
      <c r="L472" s="39"/>
    </row>
    <row r="473" spans="1:12" ht="31.5" customHeight="1">
      <c r="A473" s="5">
        <v>23</v>
      </c>
      <c r="B473" s="118"/>
      <c r="C473" s="11" t="s">
        <v>19</v>
      </c>
      <c r="D473" s="11" t="s">
        <v>1153</v>
      </c>
      <c r="E473" s="11" t="s">
        <v>8</v>
      </c>
      <c r="F473" s="11" t="s">
        <v>128</v>
      </c>
      <c r="G473" s="25" t="s">
        <v>1153</v>
      </c>
      <c r="H473" s="109" t="s">
        <v>1408</v>
      </c>
      <c r="I473" s="32"/>
      <c r="J473" s="8"/>
      <c r="K473" s="11" t="s">
        <v>11</v>
      </c>
      <c r="L473" s="39"/>
    </row>
    <row r="474" spans="1:12" ht="31.5" customHeight="1">
      <c r="A474" s="5">
        <v>24</v>
      </c>
      <c r="B474" s="118"/>
      <c r="C474" s="11" t="s">
        <v>19</v>
      </c>
      <c r="D474" s="11" t="s">
        <v>1257</v>
      </c>
      <c r="E474" s="11" t="s">
        <v>8</v>
      </c>
      <c r="F474" s="11" t="s">
        <v>1258</v>
      </c>
      <c r="G474" s="26" t="s">
        <v>1257</v>
      </c>
      <c r="H474" s="109" t="s">
        <v>1408</v>
      </c>
      <c r="I474" s="32"/>
      <c r="J474" s="8"/>
      <c r="K474" s="11" t="s">
        <v>11</v>
      </c>
      <c r="L474" s="5"/>
    </row>
    <row r="475" spans="1:12" ht="31.5" customHeight="1">
      <c r="A475" s="5">
        <v>25</v>
      </c>
      <c r="B475" s="118"/>
      <c r="C475" s="11" t="s">
        <v>19</v>
      </c>
      <c r="D475" s="11" t="s">
        <v>1154</v>
      </c>
      <c r="E475" s="11" t="s">
        <v>8</v>
      </c>
      <c r="F475" s="11" t="s">
        <v>1259</v>
      </c>
      <c r="G475" s="25" t="s">
        <v>1154</v>
      </c>
      <c r="H475" s="109" t="s">
        <v>1408</v>
      </c>
      <c r="I475" s="32"/>
      <c r="J475" s="8"/>
      <c r="K475" s="11" t="s">
        <v>11</v>
      </c>
      <c r="L475" s="39"/>
    </row>
    <row r="476" spans="1:12" ht="31.5" customHeight="1" thickBot="1">
      <c r="A476" s="5">
        <v>26</v>
      </c>
      <c r="B476" s="119"/>
      <c r="C476" s="87" t="s">
        <v>19</v>
      </c>
      <c r="D476" s="87" t="s">
        <v>743</v>
      </c>
      <c r="E476" s="87" t="s">
        <v>8</v>
      </c>
      <c r="F476" s="87" t="s">
        <v>744</v>
      </c>
      <c r="G476" s="88" t="s">
        <v>743</v>
      </c>
      <c r="H476" s="109" t="s">
        <v>1408</v>
      </c>
      <c r="I476" s="89"/>
      <c r="J476" s="90"/>
      <c r="K476" s="88" t="s">
        <v>11</v>
      </c>
      <c r="L476" s="91"/>
    </row>
    <row r="477" spans="1:12" ht="31.5" customHeight="1">
      <c r="A477" s="104">
        <v>1</v>
      </c>
      <c r="B477" s="117" t="s">
        <v>1404</v>
      </c>
      <c r="C477" s="92" t="s">
        <v>1332</v>
      </c>
      <c r="D477" s="101" t="s">
        <v>962</v>
      </c>
      <c r="E477" s="101" t="s">
        <v>963</v>
      </c>
      <c r="F477" s="101" t="s">
        <v>964</v>
      </c>
      <c r="G477" s="96" t="s">
        <v>962</v>
      </c>
      <c r="H477" s="111" t="s">
        <v>1408</v>
      </c>
      <c r="I477" s="97"/>
      <c r="J477" s="98"/>
      <c r="K477" s="11" t="s">
        <v>13</v>
      </c>
      <c r="L477" s="100"/>
    </row>
    <row r="478" spans="1:12" ht="31.5" customHeight="1">
      <c r="A478" s="5">
        <v>2</v>
      </c>
      <c r="B478" s="118"/>
      <c r="C478" s="14" t="s">
        <v>1332</v>
      </c>
      <c r="D478" s="15" t="s">
        <v>965</v>
      </c>
      <c r="E478" s="15" t="s">
        <v>966</v>
      </c>
      <c r="F478" s="15" t="s">
        <v>967</v>
      </c>
      <c r="G478" s="25" t="s">
        <v>965</v>
      </c>
      <c r="H478" s="109" t="s">
        <v>1408</v>
      </c>
      <c r="I478" s="32"/>
      <c r="J478" s="8"/>
      <c r="K478" s="11" t="s">
        <v>13</v>
      </c>
      <c r="L478" s="39"/>
    </row>
    <row r="479" spans="1:12" ht="31.5" customHeight="1">
      <c r="A479" s="5">
        <v>3</v>
      </c>
      <c r="B479" s="118"/>
      <c r="C479" s="17" t="s">
        <v>1365</v>
      </c>
      <c r="D479" s="11" t="s">
        <v>1101</v>
      </c>
      <c r="E479" s="11" t="s">
        <v>8</v>
      </c>
      <c r="F479" s="11" t="s">
        <v>748</v>
      </c>
      <c r="G479" s="25" t="s">
        <v>1101</v>
      </c>
      <c r="H479" s="109" t="s">
        <v>1408</v>
      </c>
      <c r="I479" s="32"/>
      <c r="J479" s="8"/>
      <c r="K479" s="11" t="s">
        <v>13</v>
      </c>
      <c r="L479" s="39"/>
    </row>
    <row r="480" spans="1:12" ht="31.5" customHeight="1">
      <c r="A480" s="5">
        <v>4</v>
      </c>
      <c r="B480" s="118"/>
      <c r="C480" s="17" t="s">
        <v>1365</v>
      </c>
      <c r="D480" s="11" t="s">
        <v>968</v>
      </c>
      <c r="E480" s="11" t="s">
        <v>969</v>
      </c>
      <c r="F480" s="11" t="s">
        <v>1288</v>
      </c>
      <c r="G480" s="25" t="s">
        <v>968</v>
      </c>
      <c r="H480" s="109" t="s">
        <v>1408</v>
      </c>
      <c r="I480" s="32"/>
      <c r="J480" s="8"/>
      <c r="K480" s="11" t="s">
        <v>13</v>
      </c>
      <c r="L480" s="39"/>
    </row>
    <row r="481" spans="1:12" ht="31.5" customHeight="1">
      <c r="A481" s="5">
        <v>5</v>
      </c>
      <c r="B481" s="118"/>
      <c r="C481" s="17" t="s">
        <v>1365</v>
      </c>
      <c r="D481" s="11" t="s">
        <v>970</v>
      </c>
      <c r="E481" s="11" t="s">
        <v>971</v>
      </c>
      <c r="F481" s="11" t="s">
        <v>1289</v>
      </c>
      <c r="G481" s="25" t="s">
        <v>970</v>
      </c>
      <c r="H481" s="109" t="s">
        <v>1408</v>
      </c>
      <c r="I481" s="32"/>
      <c r="J481" s="8"/>
      <c r="K481" s="11" t="s">
        <v>13</v>
      </c>
      <c r="L481" s="39"/>
    </row>
    <row r="482" spans="1:12" ht="31.5" customHeight="1">
      <c r="A482" s="5">
        <v>6</v>
      </c>
      <c r="B482" s="118"/>
      <c r="C482" s="17" t="s">
        <v>1365</v>
      </c>
      <c r="D482" s="11" t="s">
        <v>972</v>
      </c>
      <c r="E482" s="11" t="s">
        <v>973</v>
      </c>
      <c r="F482" s="11" t="s">
        <v>974</v>
      </c>
      <c r="G482" s="25" t="s">
        <v>972</v>
      </c>
      <c r="H482" s="109" t="s">
        <v>1408</v>
      </c>
      <c r="I482" s="32"/>
      <c r="J482" s="8"/>
      <c r="K482" s="11" t="s">
        <v>13</v>
      </c>
      <c r="L482" s="39"/>
    </row>
    <row r="483" spans="1:12" ht="31.5" customHeight="1">
      <c r="A483" s="5">
        <v>7</v>
      </c>
      <c r="B483" s="118"/>
      <c r="C483" s="17" t="s">
        <v>1365</v>
      </c>
      <c r="D483" s="11" t="s">
        <v>975</v>
      </c>
      <c r="E483" s="11" t="s">
        <v>976</v>
      </c>
      <c r="F483" s="11" t="s">
        <v>977</v>
      </c>
      <c r="G483" s="25" t="s">
        <v>975</v>
      </c>
      <c r="H483" s="109" t="s">
        <v>1408</v>
      </c>
      <c r="I483" s="32"/>
      <c r="J483" s="8"/>
      <c r="K483" s="11" t="s">
        <v>13</v>
      </c>
      <c r="L483" s="39"/>
    </row>
    <row r="484" spans="1:12" ht="31.5" customHeight="1">
      <c r="A484" s="5">
        <v>8</v>
      </c>
      <c r="B484" s="118"/>
      <c r="C484" s="17" t="s">
        <v>1365</v>
      </c>
      <c r="D484" s="11" t="s">
        <v>978</v>
      </c>
      <c r="E484" s="11" t="s">
        <v>979</v>
      </c>
      <c r="F484" s="11" t="s">
        <v>749</v>
      </c>
      <c r="G484" s="25" t="s">
        <v>978</v>
      </c>
      <c r="H484" s="109" t="s">
        <v>1408</v>
      </c>
      <c r="I484" s="32"/>
      <c r="J484" s="8"/>
      <c r="K484" s="11" t="s">
        <v>13</v>
      </c>
      <c r="L484" s="39"/>
    </row>
    <row r="485" spans="1:12" ht="31.5" customHeight="1">
      <c r="A485" s="5">
        <v>9</v>
      </c>
      <c r="B485" s="118"/>
      <c r="C485" s="17" t="s">
        <v>1365</v>
      </c>
      <c r="D485" s="11" t="s">
        <v>980</v>
      </c>
      <c r="E485" s="11" t="s">
        <v>981</v>
      </c>
      <c r="F485" s="11" t="s">
        <v>982</v>
      </c>
      <c r="G485" s="25" t="s">
        <v>980</v>
      </c>
      <c r="H485" s="109" t="s">
        <v>1408</v>
      </c>
      <c r="I485" s="32"/>
      <c r="J485" s="8"/>
      <c r="K485" s="11" t="s">
        <v>13</v>
      </c>
      <c r="L485" s="39"/>
    </row>
    <row r="486" spans="1:12" ht="31.5" customHeight="1">
      <c r="A486" s="5">
        <v>10</v>
      </c>
      <c r="B486" s="118"/>
      <c r="C486" s="17" t="s">
        <v>1365</v>
      </c>
      <c r="D486" s="11" t="s">
        <v>983</v>
      </c>
      <c r="E486" s="11" t="s">
        <v>984</v>
      </c>
      <c r="F486" s="11" t="s">
        <v>985</v>
      </c>
      <c r="G486" s="25" t="s">
        <v>983</v>
      </c>
      <c r="H486" s="109" t="s">
        <v>1408</v>
      </c>
      <c r="I486" s="32"/>
      <c r="J486" s="8"/>
      <c r="K486" s="11" t="s">
        <v>13</v>
      </c>
      <c r="L486" s="39"/>
    </row>
    <row r="487" spans="1:12" ht="31.5" customHeight="1">
      <c r="A487" s="5">
        <v>11</v>
      </c>
      <c r="B487" s="118"/>
      <c r="C487" s="17" t="s">
        <v>1365</v>
      </c>
      <c r="D487" s="11" t="s">
        <v>986</v>
      </c>
      <c r="E487" s="11" t="s">
        <v>987</v>
      </c>
      <c r="F487" s="11" t="s">
        <v>925</v>
      </c>
      <c r="G487" s="25" t="s">
        <v>986</v>
      </c>
      <c r="H487" s="109" t="s">
        <v>1408</v>
      </c>
      <c r="I487" s="32"/>
      <c r="J487" s="8"/>
      <c r="K487" s="11" t="s">
        <v>13</v>
      </c>
      <c r="L487" s="39"/>
    </row>
    <row r="488" spans="1:12" ht="31.5" customHeight="1">
      <c r="A488" s="5">
        <v>12</v>
      </c>
      <c r="B488" s="118"/>
      <c r="C488" s="11" t="s">
        <v>988</v>
      </c>
      <c r="D488" s="11" t="s">
        <v>1109</v>
      </c>
      <c r="E488" s="11" t="s">
        <v>1290</v>
      </c>
      <c r="F488" s="11" t="s">
        <v>130</v>
      </c>
      <c r="G488" s="25" t="s">
        <v>1109</v>
      </c>
      <c r="H488" s="109" t="s">
        <v>1408</v>
      </c>
      <c r="I488" s="32"/>
      <c r="J488" s="8"/>
      <c r="K488" s="11" t="s">
        <v>13</v>
      </c>
      <c r="L488" s="39"/>
    </row>
    <row r="489" spans="1:12" ht="31.5" customHeight="1">
      <c r="A489" s="5">
        <v>13</v>
      </c>
      <c r="B489" s="118"/>
      <c r="C489" s="11" t="s">
        <v>988</v>
      </c>
      <c r="D489" s="11" t="s">
        <v>989</v>
      </c>
      <c r="E489" s="11" t="s">
        <v>990</v>
      </c>
      <c r="F489" s="11" t="s">
        <v>991</v>
      </c>
      <c r="G489" s="25" t="s">
        <v>989</v>
      </c>
      <c r="H489" s="109" t="s">
        <v>1408</v>
      </c>
      <c r="I489" s="32"/>
      <c r="J489" s="8"/>
      <c r="K489" s="11" t="s">
        <v>13</v>
      </c>
      <c r="L489" s="39"/>
    </row>
    <row r="490" spans="1:12" ht="31.5" customHeight="1">
      <c r="A490" s="5">
        <v>14</v>
      </c>
      <c r="B490" s="118"/>
      <c r="C490" s="11" t="s">
        <v>988</v>
      </c>
      <c r="D490" s="11" t="s">
        <v>992</v>
      </c>
      <c r="E490" s="11" t="s">
        <v>993</v>
      </c>
      <c r="F490" s="11" t="s">
        <v>994</v>
      </c>
      <c r="G490" s="25" t="s">
        <v>992</v>
      </c>
      <c r="H490" s="109" t="s">
        <v>1408</v>
      </c>
      <c r="I490" s="32"/>
      <c r="J490" s="8"/>
      <c r="K490" s="11" t="s">
        <v>13</v>
      </c>
      <c r="L490" s="39"/>
    </row>
    <row r="491" spans="1:12" ht="31.5" customHeight="1">
      <c r="A491" s="5">
        <v>15</v>
      </c>
      <c r="B491" s="118"/>
      <c r="C491" s="11" t="s">
        <v>988</v>
      </c>
      <c r="D491" s="11" t="s">
        <v>1156</v>
      </c>
      <c r="E491" s="11" t="s">
        <v>8</v>
      </c>
      <c r="F491" s="11" t="s">
        <v>704</v>
      </c>
      <c r="G491" s="25" t="s">
        <v>1156</v>
      </c>
      <c r="H491" s="109" t="s">
        <v>1408</v>
      </c>
      <c r="I491" s="32"/>
      <c r="J491" s="8"/>
      <c r="K491" s="11" t="s">
        <v>13</v>
      </c>
      <c r="L491" s="39"/>
    </row>
    <row r="492" spans="1:12" ht="31.5" customHeight="1">
      <c r="A492" s="5">
        <v>16</v>
      </c>
      <c r="B492" s="118"/>
      <c r="C492" s="11" t="s">
        <v>988</v>
      </c>
      <c r="D492" s="11" t="s">
        <v>1170</v>
      </c>
      <c r="E492" s="11" t="s">
        <v>8</v>
      </c>
      <c r="F492" s="11" t="s">
        <v>1291</v>
      </c>
      <c r="G492" s="25" t="s">
        <v>1170</v>
      </c>
      <c r="H492" s="109" t="s">
        <v>1408</v>
      </c>
      <c r="I492" s="32"/>
      <c r="J492" s="8"/>
      <c r="K492" s="11" t="s">
        <v>13</v>
      </c>
      <c r="L492" s="39"/>
    </row>
    <row r="493" spans="1:12" ht="31.5" customHeight="1">
      <c r="A493" s="5">
        <v>17</v>
      </c>
      <c r="B493" s="118"/>
      <c r="C493" s="14" t="s">
        <v>1364</v>
      </c>
      <c r="D493" s="11" t="s">
        <v>1178</v>
      </c>
      <c r="E493" s="11" t="s">
        <v>1292</v>
      </c>
      <c r="F493" s="11" t="s">
        <v>1293</v>
      </c>
      <c r="G493" s="25" t="s">
        <v>1178</v>
      </c>
      <c r="H493" s="109" t="s">
        <v>1408</v>
      </c>
      <c r="I493" s="32"/>
      <c r="J493" s="8"/>
      <c r="K493" s="11" t="s">
        <v>13</v>
      </c>
      <c r="L493" s="39"/>
    </row>
    <row r="494" spans="1:12" ht="31.5" customHeight="1">
      <c r="A494" s="5">
        <v>18</v>
      </c>
      <c r="B494" s="118"/>
      <c r="C494" s="14" t="s">
        <v>1364</v>
      </c>
      <c r="D494" s="11" t="s">
        <v>1294</v>
      </c>
      <c r="E494" s="11" t="s">
        <v>1295</v>
      </c>
      <c r="F494" s="11" t="s">
        <v>1293</v>
      </c>
      <c r="G494" s="25" t="s">
        <v>1294</v>
      </c>
      <c r="H494" s="109" t="s">
        <v>1408</v>
      </c>
      <c r="I494" s="32"/>
      <c r="J494" s="8"/>
      <c r="K494" s="11" t="s">
        <v>13</v>
      </c>
      <c r="L494" s="39"/>
    </row>
    <row r="495" spans="1:12" ht="31.5" customHeight="1">
      <c r="A495" s="5">
        <v>19</v>
      </c>
      <c r="B495" s="118"/>
      <c r="C495" s="14" t="s">
        <v>1364</v>
      </c>
      <c r="D495" s="11" t="s">
        <v>1296</v>
      </c>
      <c r="E495" s="11" t="s">
        <v>1297</v>
      </c>
      <c r="F495" s="11" t="s">
        <v>1293</v>
      </c>
      <c r="G495" s="25" t="s">
        <v>1296</v>
      </c>
      <c r="H495" s="109" t="s">
        <v>1408</v>
      </c>
      <c r="I495" s="32"/>
      <c r="J495" s="8"/>
      <c r="K495" s="11" t="s">
        <v>13</v>
      </c>
      <c r="L495" s="39"/>
    </row>
    <row r="496" spans="1:12" ht="31.5" customHeight="1">
      <c r="A496" s="5">
        <v>20</v>
      </c>
      <c r="B496" s="118"/>
      <c r="C496" s="14" t="s">
        <v>1333</v>
      </c>
      <c r="D496" s="11" t="s">
        <v>995</v>
      </c>
      <c r="E496" s="11" t="s">
        <v>996</v>
      </c>
      <c r="F496" s="11" t="s">
        <v>997</v>
      </c>
      <c r="G496" s="25" t="s">
        <v>995</v>
      </c>
      <c r="H496" s="109" t="s">
        <v>1408</v>
      </c>
      <c r="I496" s="32"/>
      <c r="J496" s="8"/>
      <c r="K496" s="11" t="s">
        <v>13</v>
      </c>
      <c r="L496" s="39"/>
    </row>
    <row r="497" spans="1:12" ht="31.5" customHeight="1">
      <c r="A497" s="5">
        <v>21</v>
      </c>
      <c r="B497" s="118"/>
      <c r="C497" s="14" t="s">
        <v>1333</v>
      </c>
      <c r="D497" s="11" t="s">
        <v>998</v>
      </c>
      <c r="E497" s="11" t="s">
        <v>999</v>
      </c>
      <c r="F497" s="11" t="s">
        <v>1298</v>
      </c>
      <c r="G497" s="25" t="s">
        <v>998</v>
      </c>
      <c r="H497" s="109" t="s">
        <v>1408</v>
      </c>
      <c r="I497" s="32"/>
      <c r="J497" s="8"/>
      <c r="K497" s="11" t="s">
        <v>13</v>
      </c>
      <c r="L497" s="39"/>
    </row>
    <row r="498" spans="1:12" ht="31.5" customHeight="1">
      <c r="A498" s="5">
        <v>22</v>
      </c>
      <c r="B498" s="118"/>
      <c r="C498" s="14" t="s">
        <v>1333</v>
      </c>
      <c r="D498" s="11" t="s">
        <v>1000</v>
      </c>
      <c r="E498" s="11" t="s">
        <v>1001</v>
      </c>
      <c r="F498" s="11" t="s">
        <v>1002</v>
      </c>
      <c r="G498" s="25" t="s">
        <v>1000</v>
      </c>
      <c r="H498" s="109" t="s">
        <v>1408</v>
      </c>
      <c r="I498" s="32"/>
      <c r="J498" s="8"/>
      <c r="K498" s="11" t="s">
        <v>13</v>
      </c>
      <c r="L498" s="39"/>
    </row>
    <row r="499" spans="1:12" ht="31.5" customHeight="1">
      <c r="A499" s="5">
        <v>23</v>
      </c>
      <c r="B499" s="118"/>
      <c r="C499" s="14" t="s">
        <v>1333</v>
      </c>
      <c r="D499" s="11" t="s">
        <v>1003</v>
      </c>
      <c r="E499" s="11" t="s">
        <v>1004</v>
      </c>
      <c r="F499" s="11" t="s">
        <v>1005</v>
      </c>
      <c r="G499" s="25" t="s">
        <v>1003</v>
      </c>
      <c r="H499" s="109" t="s">
        <v>1408</v>
      </c>
      <c r="I499" s="32"/>
      <c r="J499" s="8"/>
      <c r="K499" s="11" t="s">
        <v>13</v>
      </c>
      <c r="L499" s="39"/>
    </row>
    <row r="500" spans="1:12" ht="31.5" customHeight="1">
      <c r="A500" s="5">
        <v>24</v>
      </c>
      <c r="B500" s="118"/>
      <c r="C500" s="14" t="s">
        <v>1333</v>
      </c>
      <c r="D500" s="11" t="s">
        <v>1006</v>
      </c>
      <c r="E500" s="11" t="s">
        <v>1007</v>
      </c>
      <c r="F500" s="11" t="s">
        <v>1008</v>
      </c>
      <c r="G500" s="25" t="s">
        <v>1006</v>
      </c>
      <c r="H500" s="109" t="s">
        <v>1408</v>
      </c>
      <c r="I500" s="32"/>
      <c r="J500" s="8"/>
      <c r="K500" s="11" t="s">
        <v>13</v>
      </c>
      <c r="L500" s="39"/>
    </row>
    <row r="501" spans="1:12" ht="31.5" customHeight="1">
      <c r="A501" s="5">
        <v>25</v>
      </c>
      <c r="B501" s="118"/>
      <c r="C501" s="14" t="s">
        <v>1333</v>
      </c>
      <c r="D501" s="11" t="s">
        <v>1009</v>
      </c>
      <c r="E501" s="11" t="s">
        <v>1010</v>
      </c>
      <c r="F501" s="11" t="s">
        <v>1011</v>
      </c>
      <c r="G501" s="25" t="s">
        <v>1009</v>
      </c>
      <c r="H501" s="109" t="s">
        <v>1408</v>
      </c>
      <c r="I501" s="32"/>
      <c r="J501" s="8"/>
      <c r="K501" s="11" t="s">
        <v>13</v>
      </c>
      <c r="L501" s="39"/>
    </row>
    <row r="502" spans="1:12" ht="31.5" customHeight="1">
      <c r="A502" s="5">
        <v>26</v>
      </c>
      <c r="B502" s="118"/>
      <c r="C502" s="14" t="s">
        <v>1333</v>
      </c>
      <c r="D502" s="11" t="s">
        <v>1012</v>
      </c>
      <c r="E502" s="11" t="s">
        <v>1013</v>
      </c>
      <c r="F502" s="11" t="s">
        <v>1014</v>
      </c>
      <c r="G502" s="25" t="s">
        <v>1012</v>
      </c>
      <c r="H502" s="109" t="s">
        <v>1408</v>
      </c>
      <c r="I502" s="32"/>
      <c r="J502" s="8"/>
      <c r="K502" s="11" t="s">
        <v>13</v>
      </c>
      <c r="L502" s="39"/>
    </row>
    <row r="503" spans="1:12" ht="31.5" customHeight="1">
      <c r="A503" s="5">
        <v>27</v>
      </c>
      <c r="B503" s="118"/>
      <c r="C503" s="14" t="s">
        <v>1333</v>
      </c>
      <c r="D503" s="11" t="s">
        <v>1015</v>
      </c>
      <c r="E503" s="11" t="s">
        <v>1016</v>
      </c>
      <c r="F503" s="11" t="s">
        <v>1005</v>
      </c>
      <c r="G503" s="25" t="s">
        <v>1015</v>
      </c>
      <c r="H503" s="109" t="s">
        <v>1408</v>
      </c>
      <c r="I503" s="32"/>
      <c r="J503" s="8"/>
      <c r="K503" s="11" t="s">
        <v>13</v>
      </c>
      <c r="L503" s="39"/>
    </row>
    <row r="504" spans="1:12" ht="31.5" customHeight="1">
      <c r="A504" s="5">
        <v>28</v>
      </c>
      <c r="B504" s="118"/>
      <c r="C504" s="14" t="s">
        <v>1333</v>
      </c>
      <c r="D504" s="11" t="s">
        <v>1107</v>
      </c>
      <c r="E504" s="11" t="s">
        <v>1299</v>
      </c>
      <c r="F504" s="11" t="s">
        <v>1002</v>
      </c>
      <c r="G504" s="25" t="s">
        <v>1107</v>
      </c>
      <c r="H504" s="109" t="s">
        <v>1408</v>
      </c>
      <c r="I504" s="32"/>
      <c r="J504" s="8"/>
      <c r="K504" s="11" t="s">
        <v>13</v>
      </c>
      <c r="L504" s="39"/>
    </row>
    <row r="505" spans="1:12" ht="31.5" customHeight="1">
      <c r="A505" s="5">
        <v>29</v>
      </c>
      <c r="B505" s="118"/>
      <c r="C505" s="14" t="s">
        <v>1333</v>
      </c>
      <c r="D505" s="11" t="s">
        <v>1108</v>
      </c>
      <c r="E505" s="11" t="s">
        <v>1300</v>
      </c>
      <c r="F505" s="11" t="s">
        <v>1301</v>
      </c>
      <c r="G505" s="25" t="s">
        <v>1108</v>
      </c>
      <c r="H505" s="109" t="s">
        <v>1408</v>
      </c>
      <c r="I505" s="32"/>
      <c r="J505" s="8"/>
      <c r="K505" s="11" t="s">
        <v>13</v>
      </c>
      <c r="L505" s="39"/>
    </row>
    <row r="506" spans="1:12" ht="31.5" customHeight="1">
      <c r="A506" s="5">
        <v>30</v>
      </c>
      <c r="B506" s="118"/>
      <c r="C506" s="14" t="s">
        <v>1334</v>
      </c>
      <c r="D506" s="11" t="s">
        <v>1018</v>
      </c>
      <c r="E506" s="11" t="s">
        <v>1019</v>
      </c>
      <c r="F506" s="11" t="s">
        <v>1020</v>
      </c>
      <c r="G506" s="26" t="s">
        <v>1018</v>
      </c>
      <c r="H506" s="109" t="s">
        <v>1408</v>
      </c>
      <c r="I506" s="32"/>
      <c r="J506" s="12"/>
      <c r="K506" s="11" t="s">
        <v>13</v>
      </c>
      <c r="L506" s="5"/>
    </row>
    <row r="507" spans="1:12" ht="31.5" customHeight="1">
      <c r="A507" s="5">
        <v>31</v>
      </c>
      <c r="B507" s="118"/>
      <c r="C507" s="14" t="s">
        <v>1334</v>
      </c>
      <c r="D507" s="11" t="s">
        <v>1021</v>
      </c>
      <c r="E507" s="11" t="s">
        <v>1022</v>
      </c>
      <c r="F507" s="11" t="s">
        <v>1302</v>
      </c>
      <c r="G507" s="25" t="s">
        <v>1021</v>
      </c>
      <c r="H507" s="109" t="s">
        <v>1408</v>
      </c>
      <c r="I507" s="32"/>
      <c r="J507" s="8"/>
      <c r="K507" s="11" t="s">
        <v>13</v>
      </c>
      <c r="L507" s="39"/>
    </row>
    <row r="508" spans="1:12" ht="31.5" customHeight="1">
      <c r="A508" s="5">
        <v>32</v>
      </c>
      <c r="B508" s="118"/>
      <c r="C508" s="14" t="s">
        <v>1334</v>
      </c>
      <c r="D508" s="11" t="s">
        <v>1023</v>
      </c>
      <c r="E508" s="11" t="s">
        <v>1024</v>
      </c>
      <c r="F508" s="11" t="s">
        <v>1025</v>
      </c>
      <c r="G508" s="25" t="s">
        <v>1023</v>
      </c>
      <c r="H508" s="109" t="s">
        <v>1408</v>
      </c>
      <c r="I508" s="32"/>
      <c r="J508" s="8"/>
      <c r="K508" s="11" t="s">
        <v>13</v>
      </c>
      <c r="L508" s="39"/>
    </row>
    <row r="509" spans="1:12" ht="31.5" customHeight="1">
      <c r="A509" s="5">
        <v>33</v>
      </c>
      <c r="B509" s="118"/>
      <c r="C509" s="14" t="s">
        <v>1334</v>
      </c>
      <c r="D509" s="11" t="s">
        <v>1026</v>
      </c>
      <c r="E509" s="11" t="s">
        <v>1027</v>
      </c>
      <c r="F509" s="11" t="s">
        <v>1028</v>
      </c>
      <c r="G509" s="25" t="s">
        <v>1026</v>
      </c>
      <c r="H509" s="109" t="s">
        <v>1408</v>
      </c>
      <c r="I509" s="32"/>
      <c r="J509" s="8"/>
      <c r="K509" s="11" t="s">
        <v>13</v>
      </c>
      <c r="L509" s="39"/>
    </row>
    <row r="510" spans="1:12" ht="31.5" customHeight="1">
      <c r="A510" s="5">
        <v>34</v>
      </c>
      <c r="B510" s="118"/>
      <c r="C510" s="14" t="s">
        <v>1334</v>
      </c>
      <c r="D510" s="11" t="s">
        <v>1029</v>
      </c>
      <c r="E510" s="11" t="s">
        <v>1030</v>
      </c>
      <c r="F510" s="11" t="s">
        <v>1031</v>
      </c>
      <c r="G510" s="25" t="s">
        <v>1029</v>
      </c>
      <c r="H510" s="109" t="s">
        <v>1408</v>
      </c>
      <c r="I510" s="32"/>
      <c r="J510" s="8"/>
      <c r="K510" s="11" t="s">
        <v>13</v>
      </c>
      <c r="L510" s="39"/>
    </row>
    <row r="511" spans="1:12" ht="31.5" customHeight="1">
      <c r="A511" s="5">
        <v>35</v>
      </c>
      <c r="B511" s="118"/>
      <c r="C511" s="14" t="s">
        <v>1334</v>
      </c>
      <c r="D511" s="11" t="s">
        <v>1032</v>
      </c>
      <c r="E511" s="11" t="s">
        <v>1033</v>
      </c>
      <c r="F511" s="11" t="s">
        <v>1034</v>
      </c>
      <c r="G511" s="25" t="s">
        <v>1032</v>
      </c>
      <c r="H511" s="109" t="s">
        <v>1408</v>
      </c>
      <c r="I511" s="32"/>
      <c r="J511" s="8"/>
      <c r="K511" s="11" t="s">
        <v>13</v>
      </c>
      <c r="L511" s="39"/>
    </row>
    <row r="512" spans="1:12" ht="31.5" customHeight="1">
      <c r="A512" s="5">
        <v>36</v>
      </c>
      <c r="B512" s="118"/>
      <c r="C512" s="14" t="s">
        <v>1334</v>
      </c>
      <c r="D512" s="11" t="s">
        <v>1035</v>
      </c>
      <c r="E512" s="11" t="s">
        <v>1036</v>
      </c>
      <c r="F512" s="11" t="s">
        <v>1037</v>
      </c>
      <c r="G512" s="25" t="s">
        <v>1035</v>
      </c>
      <c r="H512" s="109" t="s">
        <v>1408</v>
      </c>
      <c r="I512" s="32"/>
      <c r="J512" s="8"/>
      <c r="K512" s="11" t="s">
        <v>13</v>
      </c>
      <c r="L512" s="39"/>
    </row>
    <row r="513" spans="1:12" ht="31.5" customHeight="1">
      <c r="A513" s="5">
        <v>37</v>
      </c>
      <c r="B513" s="118"/>
      <c r="C513" s="14" t="s">
        <v>1334</v>
      </c>
      <c r="D513" s="11" t="s">
        <v>1038</v>
      </c>
      <c r="E513" s="11" t="s">
        <v>1039</v>
      </c>
      <c r="F513" s="11" t="s">
        <v>1040</v>
      </c>
      <c r="G513" s="25" t="s">
        <v>1038</v>
      </c>
      <c r="H513" s="109" t="s">
        <v>1408</v>
      </c>
      <c r="I513" s="32"/>
      <c r="J513" s="8"/>
      <c r="K513" s="11" t="s">
        <v>13</v>
      </c>
      <c r="L513" s="39"/>
    </row>
    <row r="514" spans="1:12" ht="31.5" customHeight="1">
      <c r="A514" s="5">
        <v>38</v>
      </c>
      <c r="B514" s="118"/>
      <c r="C514" s="14" t="s">
        <v>1334</v>
      </c>
      <c r="D514" s="11" t="s">
        <v>1043</v>
      </c>
      <c r="E514" s="11" t="s">
        <v>1044</v>
      </c>
      <c r="F514" s="11" t="s">
        <v>1045</v>
      </c>
      <c r="G514" s="25" t="s">
        <v>1043</v>
      </c>
      <c r="H514" s="109" t="s">
        <v>1408</v>
      </c>
      <c r="I514" s="32"/>
      <c r="J514" s="8"/>
      <c r="K514" s="11" t="s">
        <v>13</v>
      </c>
      <c r="L514" s="39"/>
    </row>
    <row r="515" spans="1:12" ht="31.5" customHeight="1">
      <c r="A515" s="5">
        <v>39</v>
      </c>
      <c r="B515" s="118"/>
      <c r="C515" s="14" t="s">
        <v>1334</v>
      </c>
      <c r="D515" s="11" t="s">
        <v>1046</v>
      </c>
      <c r="E515" s="11" t="s">
        <v>1047</v>
      </c>
      <c r="F515" s="11" t="s">
        <v>1048</v>
      </c>
      <c r="G515" s="25" t="s">
        <v>1046</v>
      </c>
      <c r="H515" s="109" t="s">
        <v>1408</v>
      </c>
      <c r="I515" s="32"/>
      <c r="J515" s="8"/>
      <c r="K515" s="11" t="s">
        <v>13</v>
      </c>
      <c r="L515" s="39"/>
    </row>
    <row r="516" spans="1:12" ht="31.5" customHeight="1">
      <c r="A516" s="5">
        <v>40</v>
      </c>
      <c r="B516" s="118"/>
      <c r="C516" s="14" t="s">
        <v>1334</v>
      </c>
      <c r="D516" s="11" t="s">
        <v>1049</v>
      </c>
      <c r="E516" s="11" t="s">
        <v>1050</v>
      </c>
      <c r="F516" s="11" t="s">
        <v>1303</v>
      </c>
      <c r="G516" s="26" t="s">
        <v>1049</v>
      </c>
      <c r="H516" s="109" t="s">
        <v>1408</v>
      </c>
      <c r="I516" s="32"/>
      <c r="J516" s="12"/>
      <c r="K516" s="11" t="s">
        <v>13</v>
      </c>
      <c r="L516" s="5"/>
    </row>
    <row r="517" spans="1:12" ht="31.5" customHeight="1">
      <c r="A517" s="5">
        <v>41</v>
      </c>
      <c r="B517" s="118"/>
      <c r="C517" s="14" t="s">
        <v>1334</v>
      </c>
      <c r="D517" s="11" t="s">
        <v>1100</v>
      </c>
      <c r="E517" s="11" t="s">
        <v>1304</v>
      </c>
      <c r="F517" s="11" t="s">
        <v>1305</v>
      </c>
      <c r="G517" s="25" t="s">
        <v>1100</v>
      </c>
      <c r="H517" s="109" t="s">
        <v>1408</v>
      </c>
      <c r="I517" s="32"/>
      <c r="J517" s="8"/>
      <c r="K517" s="11" t="s">
        <v>13</v>
      </c>
      <c r="L517" s="39"/>
    </row>
    <row r="518" spans="1:12" ht="31.5" customHeight="1">
      <c r="A518" s="5">
        <v>42</v>
      </c>
      <c r="B518" s="118"/>
      <c r="C518" s="14" t="s">
        <v>1334</v>
      </c>
      <c r="D518" s="11" t="s">
        <v>1042</v>
      </c>
      <c r="E518" s="11" t="s">
        <v>1041</v>
      </c>
      <c r="F518" s="11" t="s">
        <v>1042</v>
      </c>
      <c r="G518" s="25" t="s">
        <v>1042</v>
      </c>
      <c r="H518" s="109" t="s">
        <v>1408</v>
      </c>
      <c r="I518" s="32"/>
      <c r="J518" s="8"/>
      <c r="K518" s="11" t="s">
        <v>13</v>
      </c>
      <c r="L518" s="39"/>
    </row>
    <row r="519" spans="1:12" ht="31.5" customHeight="1">
      <c r="A519" s="5">
        <v>43</v>
      </c>
      <c r="B519" s="118"/>
      <c r="C519" s="14" t="s">
        <v>1334</v>
      </c>
      <c r="D519" s="11" t="s">
        <v>1306</v>
      </c>
      <c r="E519" s="11" t="s">
        <v>8</v>
      </c>
      <c r="F519" s="11" t="s">
        <v>1017</v>
      </c>
      <c r="G519" s="31" t="s">
        <v>1306</v>
      </c>
      <c r="H519" s="109" t="s">
        <v>1408</v>
      </c>
      <c r="I519" s="32"/>
      <c r="J519" s="8"/>
      <c r="K519" s="11" t="s">
        <v>13</v>
      </c>
      <c r="L519" s="5"/>
    </row>
    <row r="520" spans="1:12" ht="31.5" customHeight="1">
      <c r="A520" s="5">
        <v>44</v>
      </c>
      <c r="B520" s="118"/>
      <c r="C520" s="14" t="s">
        <v>1334</v>
      </c>
      <c r="D520" s="11" t="s">
        <v>1307</v>
      </c>
      <c r="E520" s="11" t="s">
        <v>8</v>
      </c>
      <c r="F520" s="11" t="s">
        <v>1051</v>
      </c>
      <c r="G520" s="26" t="s">
        <v>1307</v>
      </c>
      <c r="H520" s="109" t="s">
        <v>1408</v>
      </c>
      <c r="I520" s="32"/>
      <c r="J520" s="12"/>
      <c r="K520" s="11" t="s">
        <v>13</v>
      </c>
      <c r="L520" s="5"/>
    </row>
    <row r="521" spans="1:12" ht="31.5" customHeight="1">
      <c r="A521" s="5">
        <v>45</v>
      </c>
      <c r="B521" s="118"/>
      <c r="C521" s="14" t="s">
        <v>1335</v>
      </c>
      <c r="D521" s="11" t="s">
        <v>1063</v>
      </c>
      <c r="E521" s="11" t="s">
        <v>8</v>
      </c>
      <c r="F521" s="11" t="s">
        <v>1064</v>
      </c>
      <c r="G521" s="25" t="s">
        <v>1063</v>
      </c>
      <c r="H521" s="109" t="s">
        <v>1408</v>
      </c>
      <c r="I521" s="32"/>
      <c r="J521" s="8"/>
      <c r="K521" s="11" t="s">
        <v>13</v>
      </c>
      <c r="L521" s="39"/>
    </row>
    <row r="522" spans="1:12" ht="31.5" customHeight="1">
      <c r="A522" s="5">
        <v>46</v>
      </c>
      <c r="B522" s="118"/>
      <c r="C522" s="14" t="s">
        <v>1335</v>
      </c>
      <c r="D522" s="11" t="s">
        <v>1052</v>
      </c>
      <c r="E522" s="11" t="s">
        <v>1053</v>
      </c>
      <c r="F522" s="11" t="s">
        <v>1308</v>
      </c>
      <c r="G522" s="25" t="s">
        <v>1052</v>
      </c>
      <c r="H522" s="109" t="s">
        <v>1408</v>
      </c>
      <c r="I522" s="32"/>
      <c r="J522" s="8"/>
      <c r="K522" s="11" t="s">
        <v>13</v>
      </c>
      <c r="L522" s="39"/>
    </row>
    <row r="523" spans="1:12" ht="31.5" customHeight="1">
      <c r="A523" s="5">
        <v>47</v>
      </c>
      <c r="B523" s="118"/>
      <c r="C523" s="14" t="s">
        <v>1335</v>
      </c>
      <c r="D523" s="11" t="s">
        <v>1054</v>
      </c>
      <c r="E523" s="11" t="s">
        <v>1055</v>
      </c>
      <c r="F523" s="11" t="s">
        <v>1056</v>
      </c>
      <c r="G523" s="25" t="s">
        <v>1054</v>
      </c>
      <c r="H523" s="109" t="s">
        <v>1408</v>
      </c>
      <c r="I523" s="32"/>
      <c r="J523" s="8"/>
      <c r="K523" s="11" t="s">
        <v>13</v>
      </c>
      <c r="L523" s="39"/>
    </row>
    <row r="524" spans="1:12" ht="31.5" customHeight="1">
      <c r="A524" s="5">
        <v>48</v>
      </c>
      <c r="B524" s="118"/>
      <c r="C524" s="14" t="s">
        <v>1335</v>
      </c>
      <c r="D524" s="11" t="s">
        <v>1057</v>
      </c>
      <c r="E524" s="11" t="s">
        <v>1058</v>
      </c>
      <c r="F524" s="11" t="s">
        <v>1059</v>
      </c>
      <c r="G524" s="25" t="s">
        <v>1057</v>
      </c>
      <c r="H524" s="109" t="s">
        <v>1408</v>
      </c>
      <c r="I524" s="32"/>
      <c r="J524" s="8"/>
      <c r="K524" s="11" t="s">
        <v>13</v>
      </c>
      <c r="L524" s="39"/>
    </row>
    <row r="525" spans="1:12" ht="31.5" customHeight="1" thickBot="1">
      <c r="A525" s="5">
        <v>49</v>
      </c>
      <c r="B525" s="119"/>
      <c r="C525" s="86" t="s">
        <v>1335</v>
      </c>
      <c r="D525" s="87" t="s">
        <v>1060</v>
      </c>
      <c r="E525" s="87" t="s">
        <v>1061</v>
      </c>
      <c r="F525" s="87" t="s">
        <v>1062</v>
      </c>
      <c r="G525" s="88" t="s">
        <v>1060</v>
      </c>
      <c r="H525" s="110" t="s">
        <v>1408</v>
      </c>
      <c r="I525" s="89"/>
      <c r="J525" s="90"/>
      <c r="K525" s="88" t="s">
        <v>13</v>
      </c>
      <c r="L525" s="91"/>
    </row>
  </sheetData>
  <autoFilter ref="A1:L525" xr:uid="{00000000-0001-0000-0100-000000000000}"/>
  <mergeCells count="8">
    <mergeCell ref="B477:B525"/>
    <mergeCell ref="B279:B340"/>
    <mergeCell ref="B341:B450"/>
    <mergeCell ref="B451:B476"/>
    <mergeCell ref="B2:B50"/>
    <mergeCell ref="B51:B118"/>
    <mergeCell ref="B119:B183"/>
    <mergeCell ref="B184:B278"/>
  </mergeCells>
  <phoneticPr fontId="17" type="noConversion"/>
  <conditionalFormatting sqref="C2">
    <cfRule type="duplicateValues" dxfId="0" priority="1"/>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d157257-a3bf-4ff5-a465-4e2defe95989">
      <Terms xmlns="http://schemas.microsoft.com/office/infopath/2007/PartnerControls"/>
    </lcf76f155ced4ddcb4097134ff3c332f>
    <TaxCatchAll xmlns="5fe9d9f8-cc4e-4bb2-9b11-9758b481ddc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BE9727992A24479AC7469DEEDEA94C" ma:contentTypeVersion="18" ma:contentTypeDescription="Create a new document." ma:contentTypeScope="" ma:versionID="61955638a51c6b5b28075ae19238329a">
  <xsd:schema xmlns:xsd="http://www.w3.org/2001/XMLSchema" xmlns:xs="http://www.w3.org/2001/XMLSchema" xmlns:p="http://schemas.microsoft.com/office/2006/metadata/properties" xmlns:ns2="9d157257-a3bf-4ff5-a465-4e2defe95989" xmlns:ns3="5fe9d9f8-cc4e-4bb2-9b11-9758b481ddc1" targetNamespace="http://schemas.microsoft.com/office/2006/metadata/properties" ma:root="true" ma:fieldsID="83e78d16efe5b900a8ad9ecb685341f9" ns2:_="" ns3:_="">
    <xsd:import namespace="9d157257-a3bf-4ff5-a465-4e2defe95989"/>
    <xsd:import namespace="5fe9d9f8-cc4e-4bb2-9b11-9758b481dd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157257-a3bf-4ff5-a465-4e2defe95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4cab4e9-b41f-4aee-96b1-c1b3b1261b9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e9d9f8-cc4e-4bb2-9b11-9758b481ddc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4bd9be1-660a-4bc7-baff-f2d1738c4dfe}" ma:internalName="TaxCatchAll" ma:showField="CatchAllData" ma:web="5fe9d9f8-cc4e-4bb2-9b11-9758b481dd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4E2092-6AAA-4A63-88C5-75E89E0A598C}">
  <ds:schemaRefs>
    <ds:schemaRef ds:uri="http://schemas.microsoft.com/sharepoint/v3/contenttype/forms"/>
  </ds:schemaRefs>
</ds:datastoreItem>
</file>

<file path=customXml/itemProps2.xml><?xml version="1.0" encoding="utf-8"?>
<ds:datastoreItem xmlns:ds="http://schemas.openxmlformats.org/officeDocument/2006/customXml" ds:itemID="{D7E7BA32-7B53-4678-AC20-406FE0630A5A}">
  <ds:schemaRefs>
    <ds:schemaRef ds:uri="http://schemas.microsoft.com/office/2006/metadata/properties"/>
    <ds:schemaRef ds:uri="http://schemas.microsoft.com/office/infopath/2007/PartnerControls"/>
    <ds:schemaRef ds:uri="9d157257-a3bf-4ff5-a465-4e2defe95989"/>
    <ds:schemaRef ds:uri="5fe9d9f8-cc4e-4bb2-9b11-9758b481ddc1"/>
  </ds:schemaRefs>
</ds:datastoreItem>
</file>

<file path=customXml/itemProps3.xml><?xml version="1.0" encoding="utf-8"?>
<ds:datastoreItem xmlns:ds="http://schemas.openxmlformats.org/officeDocument/2006/customXml" ds:itemID="{62BFC605-B17C-4173-80B9-FDB3A94A5E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157257-a3bf-4ff5-a465-4e2defe95989"/>
    <ds:schemaRef ds:uri="5fe9d9f8-cc4e-4bb2-9b11-9758b481dd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Difficult</vt:lpstr>
      <vt:lpstr>Plan</vt:lpstr>
      <vt:lpstr>Total</vt:lpstr>
      <vt:lpstr>Plan!Display_Week</vt:lpstr>
      <vt:lpstr>Plan!Print_Titles</vt:lpstr>
      <vt:lpstr>Plan!Project_Start</vt:lpstr>
      <vt:lpstr>Plan!task_end</vt:lpstr>
      <vt:lpstr>Plan!task_progress</vt:lpstr>
      <vt:lpstr>Plan!task_schedule</vt:lpstr>
      <vt:lpstr>Plan!task_start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VN18499</cp:lastModifiedBy>
  <cp:revision/>
  <dcterms:created xsi:type="dcterms:W3CDTF">2019-03-19T17:17:00Z</dcterms:created>
  <dcterms:modified xsi:type="dcterms:W3CDTF">2026-01-28T08:58:02Z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0x01010003BE9727992A24479AC7469DEEDEA94C</vt:lpwstr>
  </property>
  <property fmtid="{D5CDD505-2E9C-101B-9397-08002B2CF9AE}" pid="3" name="MediaServiceImageTags">
    <vt:lpwstr/>
  </property>
  <property fmtid="{D5CDD505-2E9C-101B-9397-08002B2CF9AE}" pid="4" name="ICV">
    <vt:lpwstr>0FB56A15C8FD442ABE9EF4E9E26A1B15_12</vt:lpwstr>
  </property>
  <property fmtid="{D5CDD505-2E9C-101B-9397-08002B2CF9AE}" pid="5" name="KSOProductBuildVer">
    <vt:lpwstr>1033-12.2.0.20795</vt:lpwstr>
  </property>
</Properties>
</file>