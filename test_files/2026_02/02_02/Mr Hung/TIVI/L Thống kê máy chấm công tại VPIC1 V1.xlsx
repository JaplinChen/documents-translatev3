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05_01\Mr Hung\TIVI\"/>
    </mc:Choice>
  </mc:AlternateContent>
  <xr:revisionPtr revIDLastSave="0" documentId="13_ncr:1_{0FFC9DF1-9D7E-440D-AC7E-D5134C8D39C4}" xr6:coauthVersionLast="47" xr6:coauthVersionMax="47" xr10:uidLastSave="{00000000-0000-0000-0000-000000000000}"/>
  <bookViews>
    <workbookView xWindow="-120" yWindow="-120" windowWidth="19440" windowHeight="14880" xr2:uid="{E4A0392D-9521-4D34-BDB2-0297C2A7EC94}"/>
  </bookViews>
  <sheets>
    <sheet name="Tổng hợp" sheetId="6" r:id="rId1"/>
    <sheet name="Xưởng 1" sheetId="4" r:id="rId2"/>
    <sheet name="Xưởng 2" sheetId="12" r:id="rId3"/>
    <sheet name="Xưởng 3" sheetId="13" r:id="rId4"/>
    <sheet name="Xưởng 4" sheetId="14" r:id="rId5"/>
    <sheet name="Xưởng 5" sheetId="15" r:id="rId6"/>
    <sheet name="Xưởng 6" sheetId="16" r:id="rId7"/>
  </sheets>
  <externalReferences>
    <externalReference r:id="rId8"/>
  </externalReferences>
  <definedNames>
    <definedName name="_xlnm._FilterDatabase" localSheetId="1" hidden="1">'Xưởng 1'!$A$1:$Q$3</definedName>
    <definedName name="_xlnm._FilterDatabase" localSheetId="2" hidden="1">'Xưởng 2'!$A$1:$Q$3</definedName>
    <definedName name="_xlnm._FilterDatabase" localSheetId="3" hidden="1">'Xưởng 3'!$A$1:$Q$3</definedName>
    <definedName name="_xlnm._FilterDatabase" localSheetId="4" hidden="1">'Xưởng 4'!$A$1:$S$4</definedName>
    <definedName name="_xlnm._FilterDatabase" localSheetId="5" hidden="1">'Xưởng 5'!$A$1:$R$3</definedName>
    <definedName name="Function">#REF!</definedName>
    <definedName name="RowTitleRegion1...H4.1">#REF!</definedName>
    <definedName name="RowTitleRegion2...E16.1">#REF!</definedName>
    <definedName name="Status">#REF!</definedName>
    <definedName name="TitleRegion1..H15.1">#REF!</definedName>
    <definedName name="TitleRegion2..c17.1">#REF!</definedName>
    <definedName name="TTT">#REF!</definedName>
    <definedName name="TWMAC">[1]!Table13[[#All],[ID]:[NAME]]</definedName>
    <definedName name="Type">#REF!</definedName>
    <definedName name="專案聯絡簿">#REF!</definedName>
    <definedName name="工作日">{"星期一","星期二","星期三","星期四","星期五","星期六","星期日"}</definedName>
    <definedName name="工作日_反轉">{"星期日","星期六","星期五","星期四","星期三","星期二","星期一"}</definedName>
    <definedName name="工作日_選項">MATCH(開始日,工作日_反轉,0)-2</definedName>
    <definedName name="日">{0,1,2,3,4,5,6}</definedName>
    <definedName name="日圖樣">{1,2,3,4,5,6,7}</definedName>
    <definedName name="日格線">日+週*7</definedName>
    <definedName name="月" localSheetId="2">MATCH([0]!顯示月份,!月1,0)</definedName>
    <definedName name="月" localSheetId="3">MATCH([0]!顯示月份,!月1,0)</definedName>
    <definedName name="月" localSheetId="4">MATCH([0]!顯示月份,!月1,0)</definedName>
    <definedName name="月" localSheetId="5">MATCH([0]!顯示月份,!月1,0)</definedName>
    <definedName name="月">MATCH(顯示月份,!月1,0)</definedName>
    <definedName name="月1">{"一月","二月","三月","四月","五月","六月","七月","八月","九月","十月","十一月","十二月"}</definedName>
    <definedName name="第一個日期" localSheetId="2">DATE([0]!顯示年度,'Xưởng 2'!月,1)</definedName>
    <definedName name="第一個日期" localSheetId="3">DATE([0]!顯示年度,'Xưởng 3'!月,1)</definedName>
    <definedName name="第一個日期" localSheetId="4">DATE([0]!顯示年度,'Xưởng 4'!月,1)</definedName>
    <definedName name="第一個日期" localSheetId="5">DATE([0]!顯示年度,'Xưởng 5'!月,1)</definedName>
    <definedName name="第一個日期">DATE(顯示年度,月,1)</definedName>
    <definedName name="行事曆">#N/A</definedName>
    <definedName name="週">{0;1;2;3;4;5;6}</definedName>
    <definedName name="週開始日">#REF!</definedName>
    <definedName name="開始日">#REF!</definedName>
    <definedName name="顯示年度">#REF!</definedName>
    <definedName name="顯示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6" l="1"/>
</calcChain>
</file>

<file path=xl/sharedStrings.xml><?xml version="1.0" encoding="utf-8"?>
<sst xmlns="http://schemas.openxmlformats.org/spreadsheetml/2006/main" count="761" uniqueCount="292">
  <si>
    <t>QLSX</t>
  </si>
  <si>
    <t>QC</t>
  </si>
  <si>
    <t>QLK</t>
  </si>
  <si>
    <t>HAN1</t>
  </si>
  <si>
    <t xml:space="preserve"> DAP 1</t>
  </si>
  <si>
    <t>SON 1</t>
  </si>
  <si>
    <t>DAP 3</t>
  </si>
  <si>
    <t>LAP RAP 3</t>
  </si>
  <si>
    <t>HAN 3 1</t>
  </si>
  <si>
    <t>HAN 3 2</t>
  </si>
  <si>
    <t>SON 3.4</t>
  </si>
  <si>
    <t>DAP 4</t>
  </si>
  <si>
    <t>KM</t>
  </si>
  <si>
    <t>KETOAN</t>
  </si>
  <si>
    <t>DUC</t>
  </si>
  <si>
    <t>GIA CONG (BP)</t>
  </si>
  <si>
    <t>SON 2</t>
  </si>
  <si>
    <t>DAP X5 1</t>
  </si>
  <si>
    <t>DAP X5 2</t>
  </si>
  <si>
    <t>HÀN 4-X5.1-CUOI</t>
  </si>
  <si>
    <t>HAN4-X5.2-VP</t>
  </si>
  <si>
    <t>HAN4-X5.3</t>
  </si>
  <si>
    <t>HAN 5</t>
  </si>
  <si>
    <t>CAT</t>
  </si>
  <si>
    <t>KAIFA</t>
  </si>
  <si>
    <t>DAP X4 2</t>
  </si>
  <si>
    <t>192.168.31.248</t>
  </si>
  <si>
    <t>192.168.31.250</t>
  </si>
  <si>
    <t>192.168.31.251</t>
  </si>
  <si>
    <t>192.168.31.249</t>
  </si>
  <si>
    <t>192.168.31.252</t>
  </si>
  <si>
    <t>Ngày mua</t>
  </si>
  <si>
    <t>Tên máy</t>
  </si>
  <si>
    <t>TAS0183360229</t>
  </si>
  <si>
    <t>MITA F09</t>
  </si>
  <si>
    <t>TAS0183360028</t>
  </si>
  <si>
    <t>TAS0183360038</t>
  </si>
  <si>
    <t>TAS0183360284</t>
  </si>
  <si>
    <t>TAS0183360286</t>
  </si>
  <si>
    <t>TAS0183360287</t>
  </si>
  <si>
    <t>8116223460026</t>
  </si>
  <si>
    <t>8116223460034</t>
  </si>
  <si>
    <t>TAS0183360007</t>
  </si>
  <si>
    <t>TAS0183360263</t>
  </si>
  <si>
    <t>TAS0183360154</t>
  </si>
  <si>
    <t>8116223460012</t>
  </si>
  <si>
    <t>TAS0183360363</t>
  </si>
  <si>
    <t>8116223460005</t>
  </si>
  <si>
    <t>8116223460007</t>
  </si>
  <si>
    <t>8116223460011</t>
  </si>
  <si>
    <t>TAS0183360366</t>
  </si>
  <si>
    <t>8116223460035</t>
  </si>
  <si>
    <t>8116223460032</t>
  </si>
  <si>
    <t>TAS0183360243</t>
  </si>
  <si>
    <t>TAS0183360213</t>
  </si>
  <si>
    <t>TAS0183360344</t>
  </si>
  <si>
    <t>TAS0183360117</t>
  </si>
  <si>
    <t>OGT7070077060900</t>
  </si>
  <si>
    <t>TAS0183360330</t>
  </si>
  <si>
    <t>8116223460004</t>
  </si>
  <si>
    <t>6764143800030</t>
  </si>
  <si>
    <t>192.168.32.221</t>
  </si>
  <si>
    <t>192.168.32.233</t>
  </si>
  <si>
    <t>192.168.32.231</t>
  </si>
  <si>
    <t>192.168.32.232</t>
  </si>
  <si>
    <t>192.168.32.230</t>
  </si>
  <si>
    <t>192.168.34.230</t>
  </si>
  <si>
    <t>192.168.33.245</t>
  </si>
  <si>
    <t>192.168.23.247</t>
  </si>
  <si>
    <t>192.168.23.248</t>
  </si>
  <si>
    <t>192.168.23.241</t>
  </si>
  <si>
    <t>192.168.23.12</t>
  </si>
  <si>
    <t>192.168.23.18</t>
  </si>
  <si>
    <t>192.168.23.17</t>
  </si>
  <si>
    <t>192.168.22.233</t>
  </si>
  <si>
    <t>192.168.22.234</t>
  </si>
  <si>
    <t>192.168.22.230</t>
  </si>
  <si>
    <t>192.168.22.231</t>
  </si>
  <si>
    <t>192.168.22.232</t>
  </si>
  <si>
    <t>192.168.22.239</t>
  </si>
  <si>
    <t>192.168.32.249</t>
  </si>
  <si>
    <t>192.168.33.225</t>
  </si>
  <si>
    <t>192.168.34.231</t>
  </si>
  <si>
    <t>8116212260502</t>
  </si>
  <si>
    <t>8116212260499</t>
  </si>
  <si>
    <t>8116223460014</t>
  </si>
  <si>
    <t>005610270029</t>
  </si>
  <si>
    <t>192.168.22.236</t>
  </si>
  <si>
    <t>192.168.23.216</t>
  </si>
  <si>
    <t>192.168.32.244</t>
  </si>
  <si>
    <t>192.168.32.243</t>
  </si>
  <si>
    <t>X5</t>
  </si>
  <si>
    <t>X2.2</t>
  </si>
  <si>
    <t>192.168.31.253</t>
  </si>
  <si>
    <t>192.168.23.218</t>
  </si>
  <si>
    <t>192.168.22.226</t>
  </si>
  <si>
    <t>8116222340009</t>
  </si>
  <si>
    <t>8116223460025</t>
  </si>
  <si>
    <t>ZKTeco(G2)</t>
  </si>
  <si>
    <t>Ronald jack(TFT 600)</t>
  </si>
  <si>
    <t>Mã máy</t>
  </si>
  <si>
    <t>Bộ phận, khu vực</t>
  </si>
  <si>
    <t>Ghi chú</t>
  </si>
  <si>
    <t>A7K2185260007</t>
  </si>
  <si>
    <t>8116223460029</t>
  </si>
  <si>
    <t>8116223460027</t>
  </si>
  <si>
    <t>TAS0183360396</t>
  </si>
  <si>
    <t>8116223460010</t>
  </si>
  <si>
    <t>8116223460020</t>
  </si>
  <si>
    <t>8116223460003</t>
  </si>
  <si>
    <t>X2-M1</t>
  </si>
  <si>
    <t>X2-M2</t>
  </si>
  <si>
    <t>X5-M1</t>
  </si>
  <si>
    <t>X5-M2</t>
  </si>
  <si>
    <t>192.168.32.237</t>
  </si>
  <si>
    <t>192.168.32.238</t>
  </si>
  <si>
    <t>192.168.32.239</t>
  </si>
  <si>
    <t>192.168.23.226</t>
  </si>
  <si>
    <t>192.168.22.237</t>
  </si>
  <si>
    <t>192.168.32.241</t>
  </si>
  <si>
    <t>192.168.22.238</t>
  </si>
  <si>
    <t>23/09/2019</t>
  </si>
  <si>
    <t>14/09/2022</t>
  </si>
  <si>
    <t>DANHBONG</t>
  </si>
  <si>
    <t>X5(Nhà xe)</t>
  </si>
  <si>
    <t>Xưởng</t>
  </si>
  <si>
    <t>X3.1</t>
  </si>
  <si>
    <t>X3.2</t>
  </si>
  <si>
    <t>X3-M4</t>
  </si>
  <si>
    <t>X3-M2</t>
  </si>
  <si>
    <t>X3-M3</t>
  </si>
  <si>
    <t>X3-M1</t>
  </si>
  <si>
    <t>TRẠM ĐIỆN X5</t>
  </si>
  <si>
    <t>Ngày lắp đặt</t>
  </si>
  <si>
    <t>Phân loại</t>
  </si>
  <si>
    <t>Cấp DNS</t>
  </si>
  <si>
    <t>Hình ảnh</t>
  </si>
  <si>
    <t>Chặn kết nối Internet qua IP</t>
  </si>
  <si>
    <t>No</t>
  </si>
  <si>
    <t>Yes</t>
  </si>
  <si>
    <t>Chấm công</t>
  </si>
  <si>
    <t>Chấm công ăn</t>
  </si>
  <si>
    <t>Chấm công sữa</t>
  </si>
  <si>
    <t>Chấm công nghỉ phép</t>
  </si>
  <si>
    <t>BAO VE 1</t>
  </si>
  <si>
    <t>VP KHO NL1</t>
  </si>
  <si>
    <t xml:space="preserve">Chấm công </t>
  </si>
  <si>
    <t>STT</t>
  </si>
  <si>
    <t>Model</t>
  </si>
  <si>
    <t>Số lượng</t>
  </si>
  <si>
    <t>X1</t>
  </si>
  <si>
    <t>X2</t>
  </si>
  <si>
    <t>X3</t>
  </si>
  <si>
    <t>X4</t>
  </si>
  <si>
    <t>Tổng :</t>
  </si>
  <si>
    <t>16/03/2019</t>
  </si>
  <si>
    <t>IP</t>
  </si>
  <si>
    <t>Port</t>
  </si>
  <si>
    <t>Vị trí swtich</t>
  </si>
  <si>
    <t>ZKT TECO G2</t>
  </si>
  <si>
    <t>TAS0183360389</t>
  </si>
  <si>
    <t>Sơn X6</t>
  </si>
  <si>
    <t>172.16.31.253</t>
  </si>
  <si>
    <t>Sơn X6 (Xưởng A)</t>
  </si>
  <si>
    <t>8116223460002</t>
  </si>
  <si>
    <t>Dập X6</t>
  </si>
  <si>
    <t>172.16.31.252</t>
  </si>
  <si>
    <t>Dập X6 (Xưởng B)</t>
  </si>
  <si>
    <t>TAS0183360025</t>
  </si>
  <si>
    <t>Nhà ăn</t>
  </si>
  <si>
    <t>172.16.31.251</t>
  </si>
  <si>
    <t>Nhà ăn X6 (Xưởng B)</t>
  </si>
  <si>
    <t>8116223460030</t>
  </si>
  <si>
    <t>172.16.31.249</t>
  </si>
  <si>
    <t>TAS0183360277</t>
  </si>
  <si>
    <t>172.16.31.250</t>
  </si>
  <si>
    <t>TAS0183360383</t>
  </si>
  <si>
    <t>Cổng BV1 X6</t>
  </si>
  <si>
    <t>172.16.31.248</t>
  </si>
  <si>
    <t>Cổng BV2 X6</t>
  </si>
  <si>
    <t>2145220460457</t>
  </si>
  <si>
    <t>172.16.31.247</t>
  </si>
  <si>
    <t>TAS0183360100</t>
  </si>
  <si>
    <t>Hàn 6</t>
  </si>
  <si>
    <t>172.16.31.246</t>
  </si>
  <si>
    <t>Hàn 6 (Xưởng A)</t>
  </si>
  <si>
    <t>6764164900064</t>
  </si>
  <si>
    <t>Máy thử</t>
  </si>
  <si>
    <t>Lấy vân tay</t>
  </si>
  <si>
    <t>172.16.31.245</t>
  </si>
  <si>
    <t>TCP: 4370 (đang sử dụng)</t>
  </si>
  <si>
    <t>Văn phòng X6 (Khu C)</t>
  </si>
  <si>
    <t>Kết nối khi sử dụng lấy vân tay nhân viên mới</t>
  </si>
  <si>
    <t>8116223460018</t>
  </si>
  <si>
    <t>Lắp ráp 6</t>
  </si>
  <si>
    <t>172.16.31.244</t>
  </si>
  <si>
    <t>Tên Switch</t>
  </si>
  <si>
    <t>X6</t>
  </si>
  <si>
    <t>TỔNG HỢP SỐ LƯỢNG MÁY CHẤM CÔNG TẠI VPIC1 (X1-X6)</t>
  </si>
  <si>
    <t>192.168.32.234</t>
  </si>
  <si>
    <t>Cisco SG95-16</t>
  </si>
  <si>
    <t>Dlink DGS-1008A</t>
  </si>
  <si>
    <t>Wallplate</t>
  </si>
  <si>
    <t>Planet GSD-803</t>
  </si>
  <si>
    <t xml:space="preserve"> Swtich kết nối</t>
  </si>
  <si>
    <t>TCP: 4370 (đang sử dụng)
8081 (không sử dụng)</t>
  </si>
  <si>
    <t>Cisco CB110 16port</t>
  </si>
  <si>
    <t>Cisco SG95 16 Port</t>
  </si>
  <si>
    <t xml:space="preserve">TCP: 4370 (đang sử dụng)
</t>
  </si>
  <si>
    <t>VP QLSX</t>
  </si>
  <si>
    <t>VP BẢO VỆ 1</t>
  </si>
  <si>
    <t>VP SƠN 1</t>
  </si>
  <si>
    <t>VP QLK NL1</t>
  </si>
  <si>
    <t>VP HÀN 1</t>
  </si>
  <si>
    <t>VP KẾ TOÁN</t>
  </si>
  <si>
    <t>P.HỌP GIA CÔNG</t>
  </si>
  <si>
    <t>XƯỞNG GIA CÔNG
(Vị trí 3 máy tính)</t>
  </si>
  <si>
    <t xml:space="preserve">Hình ảnh vị trí lắp đặt  </t>
  </si>
  <si>
    <t>VP SƠN 2</t>
  </si>
  <si>
    <t>Chưa lắp đặt</t>
  </si>
  <si>
    <t>Thời gian bảo hành</t>
  </si>
  <si>
    <t>Dlink
DES-1024A
(24 port)</t>
  </si>
  <si>
    <t>Dlink
DES-1008A
(8 port)</t>
  </si>
  <si>
    <t>Dlink
DES-1016A
(16 port)</t>
  </si>
  <si>
    <t>Cisco SG95 
(16 port)</t>
  </si>
  <si>
    <t>Cisco SG-95 
(8 port)</t>
  </si>
  <si>
    <t>Planet 
(24 port)</t>
  </si>
  <si>
    <t>Gần thang máy
 nhà ăn X3</t>
  </si>
  <si>
    <t>VP HÀN 3</t>
  </si>
  <si>
    <t>VP LẮP RÁP 3</t>
  </si>
  <si>
    <t>Cửa(Để máy tính)
 vào SƠN 3</t>
  </si>
  <si>
    <t>VP DẬP 3</t>
  </si>
  <si>
    <t>VP DẬP 4</t>
  </si>
  <si>
    <t>VP KAIFA</t>
  </si>
  <si>
    <t>Tủ rack Xưởng KM</t>
  </si>
  <si>
    <t>Hình ảnh vị trí lắp đặ</t>
  </si>
  <si>
    <t>Hình ảnh vị trí lắp đặt</t>
  </si>
  <si>
    <t>Bảo vệ X2</t>
  </si>
  <si>
    <t>P. Bảo vệ X2</t>
  </si>
  <si>
    <t>HÀN 5 (Đầu XƯỞNG)</t>
  </si>
  <si>
    <t>VP DẬP 5</t>
  </si>
  <si>
    <t>VP HÀN 4</t>
  </si>
  <si>
    <t>NHÀ ĂN X2
(Gần tủ điện)</t>
  </si>
  <si>
    <t>NHÀ ĂN X5
(Gần tủ điện)</t>
  </si>
  <si>
    <t>23/09/2020</t>
  </si>
  <si>
    <t>14/09/2023</t>
  </si>
  <si>
    <t>14/09/2024</t>
  </si>
  <si>
    <t>Vị trí lắp đặt</t>
  </si>
  <si>
    <t>Lối vào cầu thang lên văn phòng QLSX</t>
  </si>
  <si>
    <t>Lối vào văn phòng kho NL1, và Phòng đo lương, QC</t>
  </si>
  <si>
    <t>Đầu lối vào xưởng Hàn 1 
đối diện văn phòng HÀN 1</t>
  </si>
  <si>
    <t>Lối vào Xưởng DẬP 1 
giáp với Kho NL1</t>
  </si>
  <si>
    <t>Lỗi Vào bộ phận SƠN 1 giao
với Xưởng DẬP 1</t>
  </si>
  <si>
    <t>Trong văn phòng bảo vệ x1</t>
  </si>
  <si>
    <t>Đầu lối vào văn phòng Kế toán tại xưởng 2</t>
  </si>
  <si>
    <t>Giao hành lang đi Gia công đầu lối vào xưởng ĐÚC tiếp giáp nhà ăn x2</t>
  </si>
  <si>
    <t>Giao hành lang đi Gia công đầu lối vào xưởng Đánh bóng đối diện SƠN 2</t>
  </si>
  <si>
    <t>Đầu lối vào xưởng SƠN 2</t>
  </si>
  <si>
    <t>Khu vực tầng 2 phía trong căng tin nhà ăn</t>
  </si>
  <si>
    <t>Ngoài hành lang Đánh bóng gần cửa vào</t>
  </si>
  <si>
    <t>Tầng 2 nhà ăn X2 gần khu vực chế biến thực phẩm</t>
  </si>
  <si>
    <t>Trong văn phòng 
Bảo vệ tại Xưởng 2</t>
  </si>
  <si>
    <t>Tầng 2 Đầu lối ra và nhà ăn tầng 2 X2</t>
  </si>
  <si>
    <t>Tầng 2 lối đi lên cầu thang nhà ăn xưởng 3</t>
  </si>
  <si>
    <t>Tầng 1 giáp lối lên văn phòng DẬP 3 và vào xưởng DẬP 3</t>
  </si>
  <si>
    <t>Tầng 1 giáp lối  và vào xưởng LẮP ráp 3</t>
  </si>
  <si>
    <t>Tầng 1 lối đi vào 
xưởng HÀN 3</t>
  </si>
  <si>
    <t>Tầng 1 lối đi vào xưởng phía bên trong SƠN 3</t>
  </si>
  <si>
    <t>Tầng 1 giáp lối  và vào xưởng Cắt 3 đối diện khu nghỉ giải lao giáp tổng đài x3</t>
  </si>
  <si>
    <t>Tầng 2 lối đi lên cầu thang
 nhà ăn xưởng 3</t>
  </si>
  <si>
    <t>Tầng 2 lối đi xuống kho NL3</t>
  </si>
  <si>
    <t>Tầng 1 giáp cầu thang đi lên văn phòng DẬP 4</t>
  </si>
  <si>
    <t>Giữa xưởng KM giáp hành lang lối đi vào văn phòng Khuôn mẫu</t>
  </si>
  <si>
    <t>Tầng 2 chính giữa đối
 diện văn phòng Kaifa</t>
  </si>
  <si>
    <t>Đầu xưởng Dập 4 tiếp
 giáp khu hút thuốc Dập 4</t>
  </si>
  <si>
    <t>16/03/2020</t>
  </si>
  <si>
    <t>Vị trí cửa vào Dập 5 giáp về phía QLK và xưởng HÀN 5</t>
  </si>
  <si>
    <t>Vị trí cửa ra tiếp giáp với hành lang đi qua xưởng HÀN 4</t>
  </si>
  <si>
    <t>Đầu xưởng tiếp giáp với
 nhà ăn xưởng 5</t>
  </si>
  <si>
    <t>Tầng 1 cửa xưởng lối đi lên 
văn phòng HÀN 4</t>
  </si>
  <si>
    <t>Giữa xưởng Hàn 4 gần LINE F 
giao với hành lang đối diện dập 5 và Kho LK5</t>
  </si>
  <si>
    <t xml:space="preserve">Đầu xưởng tiếp giáp với
hành lang vị trí ngồi hút thuốc </t>
  </si>
  <si>
    <t>Tầng 2 nhà ăn x5 khu
 vực căng tin phân chia sữa.</t>
  </si>
  <si>
    <t>Lối vào nhà xe xưởng 5</t>
  </si>
  <si>
    <t>Tầng 2 lối vào nhà ăn Xưởng 5</t>
  </si>
  <si>
    <t>192.168.32.236</t>
  </si>
  <si>
    <t>782251500074</t>
  </si>
  <si>
    <t>X5-M3</t>
  </si>
  <si>
    <t>192.168.22.219</t>
  </si>
  <si>
    <t>0782251900229</t>
  </si>
  <si>
    <t>29/04/2025</t>
  </si>
  <si>
    <t>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</si>
</sst>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52]dd/mm/yyyy;@"/>
    <numFmt numFmtId="165" formatCode="m/d/yyyy;@"/>
    <numFmt numFmtId="166" formatCode="_-* #,##0.00\ _₫_-;\-* #,##0.00\ _₫_-;_-* &quot;-&quot;??\ _₫_-;_-@_-"/>
    <numFmt numFmtId="167" formatCode="_-* #,##0_-;\-* #,##0_-;_-* &quot;-&quot;??_-;_-@_-"/>
    <numFmt numFmtId="168" formatCode="[$-409]d\-mmm\-yyyy;@"/>
    <numFmt numFmtId="169" formatCode="[$-1010000]d/m/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rgb="FFFF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6">
    <xf numFmtId="0" fontId="0" fillId="0" borderId="0"/>
    <xf numFmtId="0" fontId="1" fillId="0" borderId="0"/>
    <xf numFmtId="164" fontId="8" fillId="0" borderId="0">
      <alignment vertical="center"/>
    </xf>
    <xf numFmtId="0" fontId="1" fillId="0" borderId="0"/>
    <xf numFmtId="164" fontId="8" fillId="0" borderId="0">
      <alignment vertical="center"/>
    </xf>
    <xf numFmtId="166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quotePrefix="1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4" applyNumberFormat="1" applyFont="1" applyFill="1" applyBorder="1" applyAlignment="1">
      <alignment horizontal="center" vertical="center" wrapText="1"/>
    </xf>
    <xf numFmtId="0" fontId="2" fillId="0" borderId="1" xfId="4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/>
    <xf numFmtId="0" fontId="10" fillId="0" borderId="1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0" borderId="0" xfId="0" applyFont="1"/>
    <xf numFmtId="167" fontId="2" fillId="0" borderId="8" xfId="5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68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49" fontId="7" fillId="0" borderId="0" xfId="0" applyNumberFormat="1" applyFont="1"/>
    <xf numFmtId="167" fontId="7" fillId="0" borderId="0" xfId="5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8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/>
    </xf>
    <xf numFmtId="0" fontId="6" fillId="4" borderId="8" xfId="0" applyFont="1" applyFill="1" applyBorder="1" applyAlignment="1">
      <alignment horizontal="center" vertical="center" wrapText="1"/>
    </xf>
    <xf numFmtId="168" fontId="6" fillId="4" borderId="8" xfId="0" applyNumberFormat="1" applyFont="1" applyFill="1" applyBorder="1" applyAlignment="1">
      <alignment horizontal="center" vertical="center" wrapText="1"/>
    </xf>
    <xf numFmtId="167" fontId="6" fillId="4" borderId="8" xfId="5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6">
    <cellStyle name="Comma 2" xfId="5" xr:uid="{9E1D11D9-8A41-4D8F-8676-D22DE0B5106B}"/>
    <cellStyle name="Normal" xfId="0" builtinId="0"/>
    <cellStyle name="Normal 10" xfId="4" xr:uid="{44213031-B67C-4CB9-B4B9-1FD0B527A41A}"/>
    <cellStyle name="Normal 2 2" xfId="1" xr:uid="{D23A548F-2036-463F-8133-D441B180BEAE}"/>
    <cellStyle name="Normal 3" xfId="3" xr:uid="{943F0C38-2E16-4826-A36A-F130C392B46E}"/>
    <cellStyle name="Normal 4" xfId="2" xr:uid="{0214F39C-E16C-4513-A9A3-060D8C0441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hợp'!$D$3</c:f>
              <c:strCache>
                <c:ptCount val="1"/>
                <c:pt idx="0">
                  <c:v>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'Tổng hợp'!$B$4:$C$12</c:f>
              <c:multiLvlStrCache>
                <c:ptCount val="9"/>
                <c:lvl>
                  <c:pt idx="0">
                    <c:v>ZKTeco(G2)</c:v>
                  </c:pt>
                  <c:pt idx="1">
                    <c:v>ZKTeco(G2)</c:v>
                  </c:pt>
                  <c:pt idx="2">
                    <c:v>ZKTeco(G2)</c:v>
                  </c:pt>
                  <c:pt idx="3">
                    <c:v>ZKTeco(G2)</c:v>
                  </c:pt>
                  <c:pt idx="4">
                    <c:v>MITA F09</c:v>
                  </c:pt>
                  <c:pt idx="5">
                    <c:v>ZKTeco(G2)</c:v>
                  </c:pt>
                  <c:pt idx="6">
                    <c:v>Ronald jack(TFT 600)</c:v>
                  </c:pt>
                  <c:pt idx="7">
                    <c:v>ZKTeco(G2)</c:v>
                  </c:pt>
                  <c:pt idx="8">
                    <c:v>MITA F09</c:v>
                  </c:pt>
                </c:lvl>
                <c:lvl>
                  <c:pt idx="0">
                    <c:v>X1</c:v>
                  </c:pt>
                  <c:pt idx="1">
                    <c:v>X2</c:v>
                  </c:pt>
                  <c:pt idx="2">
                    <c:v>X3</c:v>
                  </c:pt>
                  <c:pt idx="3">
                    <c:v>X4</c:v>
                  </c:pt>
                  <c:pt idx="5">
                    <c:v>X5</c:v>
                  </c:pt>
                  <c:pt idx="7">
                    <c:v>X6</c:v>
                  </c:pt>
                </c:lvl>
              </c:multiLvlStrCache>
            </c:multiLvlStrRef>
          </c:cat>
          <c:val>
            <c:numRef>
              <c:f>'Tổng hợp'!$D$4:$D$12</c:f>
              <c:numCache>
                <c:formatCode>General</c:formatCode>
                <c:ptCount val="9"/>
                <c:pt idx="0">
                  <c:v>7</c:v>
                </c:pt>
                <c:pt idx="1">
                  <c:v>9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9</c:v>
                </c:pt>
                <c:pt idx="6">
                  <c:v>1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F-48EA-9E53-59DDBC4856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1013871"/>
        <c:axId val="951011375"/>
      </c:barChart>
      <c:catAx>
        <c:axId val="95101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11375"/>
        <c:crosses val="autoZero"/>
        <c:auto val="1"/>
        <c:lblAlgn val="ctr"/>
        <c:lblOffset val="100"/>
        <c:noMultiLvlLbl val="0"/>
      </c:catAx>
      <c:valAx>
        <c:axId val="95101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01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13" Type="http://schemas.openxmlformats.org/officeDocument/2006/relationships/image" Target="../media/image26.jpeg"/><Relationship Id="rId3" Type="http://schemas.openxmlformats.org/officeDocument/2006/relationships/image" Target="../media/image16.jpeg"/><Relationship Id="rId7" Type="http://schemas.openxmlformats.org/officeDocument/2006/relationships/image" Target="../media/image20.jpeg"/><Relationship Id="rId12" Type="http://schemas.openxmlformats.org/officeDocument/2006/relationships/image" Target="../media/image25.jpeg"/><Relationship Id="rId2" Type="http://schemas.openxmlformats.org/officeDocument/2006/relationships/image" Target="../media/image15.jpeg"/><Relationship Id="rId16" Type="http://schemas.openxmlformats.org/officeDocument/2006/relationships/image" Target="../media/image29.jpeg"/><Relationship Id="rId1" Type="http://schemas.openxmlformats.org/officeDocument/2006/relationships/image" Target="../media/image14.jpeg"/><Relationship Id="rId6" Type="http://schemas.openxmlformats.org/officeDocument/2006/relationships/image" Target="../media/image19.jpeg"/><Relationship Id="rId11" Type="http://schemas.openxmlformats.org/officeDocument/2006/relationships/image" Target="../media/image24.jpeg"/><Relationship Id="rId5" Type="http://schemas.openxmlformats.org/officeDocument/2006/relationships/image" Target="../media/image18.jpeg"/><Relationship Id="rId15" Type="http://schemas.openxmlformats.org/officeDocument/2006/relationships/image" Target="../media/image28.jpeg"/><Relationship Id="rId10" Type="http://schemas.openxmlformats.org/officeDocument/2006/relationships/image" Target="../media/image23.jpeg"/><Relationship Id="rId4" Type="http://schemas.openxmlformats.org/officeDocument/2006/relationships/image" Target="../media/image17.jpeg"/><Relationship Id="rId9" Type="http://schemas.openxmlformats.org/officeDocument/2006/relationships/image" Target="../media/image22.jpeg"/><Relationship Id="rId14" Type="http://schemas.openxmlformats.org/officeDocument/2006/relationships/image" Target="../media/image27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jpeg"/><Relationship Id="rId13" Type="http://schemas.openxmlformats.org/officeDocument/2006/relationships/image" Target="../media/image42.jpeg"/><Relationship Id="rId18" Type="http://schemas.openxmlformats.org/officeDocument/2006/relationships/image" Target="../media/image47.jpeg"/><Relationship Id="rId3" Type="http://schemas.openxmlformats.org/officeDocument/2006/relationships/image" Target="../media/image32.jpeg"/><Relationship Id="rId21" Type="http://schemas.openxmlformats.org/officeDocument/2006/relationships/image" Target="../media/image50.jpeg"/><Relationship Id="rId7" Type="http://schemas.openxmlformats.org/officeDocument/2006/relationships/image" Target="../media/image36.jpeg"/><Relationship Id="rId12" Type="http://schemas.openxmlformats.org/officeDocument/2006/relationships/image" Target="../media/image41.jpeg"/><Relationship Id="rId17" Type="http://schemas.openxmlformats.org/officeDocument/2006/relationships/image" Target="../media/image46.jpeg"/><Relationship Id="rId2" Type="http://schemas.openxmlformats.org/officeDocument/2006/relationships/image" Target="../media/image31.jpeg"/><Relationship Id="rId16" Type="http://schemas.openxmlformats.org/officeDocument/2006/relationships/image" Target="../media/image45.jpeg"/><Relationship Id="rId20" Type="http://schemas.openxmlformats.org/officeDocument/2006/relationships/image" Target="../media/image49.jpeg"/><Relationship Id="rId1" Type="http://schemas.openxmlformats.org/officeDocument/2006/relationships/image" Target="../media/image30.jpeg"/><Relationship Id="rId6" Type="http://schemas.openxmlformats.org/officeDocument/2006/relationships/image" Target="../media/image35.jpeg"/><Relationship Id="rId11" Type="http://schemas.openxmlformats.org/officeDocument/2006/relationships/image" Target="../media/image40.jpeg"/><Relationship Id="rId5" Type="http://schemas.openxmlformats.org/officeDocument/2006/relationships/image" Target="../media/image34.jpeg"/><Relationship Id="rId15" Type="http://schemas.openxmlformats.org/officeDocument/2006/relationships/image" Target="../media/image44.jpeg"/><Relationship Id="rId23" Type="http://schemas.openxmlformats.org/officeDocument/2006/relationships/image" Target="../media/image52.jpeg"/><Relationship Id="rId10" Type="http://schemas.openxmlformats.org/officeDocument/2006/relationships/image" Target="../media/image39.jpeg"/><Relationship Id="rId19" Type="http://schemas.openxmlformats.org/officeDocument/2006/relationships/image" Target="../media/image48.jpeg"/><Relationship Id="rId4" Type="http://schemas.openxmlformats.org/officeDocument/2006/relationships/image" Target="../media/image33.jpeg"/><Relationship Id="rId9" Type="http://schemas.openxmlformats.org/officeDocument/2006/relationships/image" Target="../media/image38.jpeg"/><Relationship Id="rId14" Type="http://schemas.openxmlformats.org/officeDocument/2006/relationships/image" Target="../media/image43.jpeg"/><Relationship Id="rId22" Type="http://schemas.openxmlformats.org/officeDocument/2006/relationships/image" Target="../media/image51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jpeg"/><Relationship Id="rId3" Type="http://schemas.openxmlformats.org/officeDocument/2006/relationships/image" Target="../media/image55.jpeg"/><Relationship Id="rId7" Type="http://schemas.openxmlformats.org/officeDocument/2006/relationships/image" Target="../media/image59.jpeg"/><Relationship Id="rId2" Type="http://schemas.openxmlformats.org/officeDocument/2006/relationships/image" Target="../media/image54.jpeg"/><Relationship Id="rId1" Type="http://schemas.openxmlformats.org/officeDocument/2006/relationships/image" Target="../media/image53.jpeg"/><Relationship Id="rId6" Type="http://schemas.openxmlformats.org/officeDocument/2006/relationships/image" Target="../media/image58.jpeg"/><Relationship Id="rId5" Type="http://schemas.openxmlformats.org/officeDocument/2006/relationships/image" Target="../media/image57.jpeg"/><Relationship Id="rId4" Type="http://schemas.openxmlformats.org/officeDocument/2006/relationships/image" Target="../media/image56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jpeg"/><Relationship Id="rId13" Type="http://schemas.openxmlformats.org/officeDocument/2006/relationships/image" Target="../media/image73.jpeg"/><Relationship Id="rId18" Type="http://schemas.openxmlformats.org/officeDocument/2006/relationships/image" Target="../media/image78.jpeg"/><Relationship Id="rId3" Type="http://schemas.openxmlformats.org/officeDocument/2006/relationships/image" Target="../media/image63.jpeg"/><Relationship Id="rId7" Type="http://schemas.openxmlformats.org/officeDocument/2006/relationships/image" Target="../media/image67.jpeg"/><Relationship Id="rId12" Type="http://schemas.openxmlformats.org/officeDocument/2006/relationships/image" Target="../media/image72.jpeg"/><Relationship Id="rId17" Type="http://schemas.openxmlformats.org/officeDocument/2006/relationships/image" Target="../media/image77.jpeg"/><Relationship Id="rId2" Type="http://schemas.openxmlformats.org/officeDocument/2006/relationships/image" Target="../media/image62.jpeg"/><Relationship Id="rId16" Type="http://schemas.openxmlformats.org/officeDocument/2006/relationships/image" Target="../media/image76.jpeg"/><Relationship Id="rId20" Type="http://schemas.openxmlformats.org/officeDocument/2006/relationships/image" Target="../media/image80.jpeg"/><Relationship Id="rId1" Type="http://schemas.openxmlformats.org/officeDocument/2006/relationships/image" Target="../media/image61.jpeg"/><Relationship Id="rId6" Type="http://schemas.openxmlformats.org/officeDocument/2006/relationships/image" Target="../media/image66.jpeg"/><Relationship Id="rId11" Type="http://schemas.openxmlformats.org/officeDocument/2006/relationships/image" Target="../media/image71.jpeg"/><Relationship Id="rId5" Type="http://schemas.openxmlformats.org/officeDocument/2006/relationships/image" Target="../media/image65.jpeg"/><Relationship Id="rId15" Type="http://schemas.openxmlformats.org/officeDocument/2006/relationships/image" Target="../media/image75.jpeg"/><Relationship Id="rId10" Type="http://schemas.openxmlformats.org/officeDocument/2006/relationships/image" Target="../media/image70.jpeg"/><Relationship Id="rId19" Type="http://schemas.openxmlformats.org/officeDocument/2006/relationships/image" Target="../media/image79.jpeg"/><Relationship Id="rId4" Type="http://schemas.openxmlformats.org/officeDocument/2006/relationships/image" Target="../media/image64.jpeg"/><Relationship Id="rId9" Type="http://schemas.openxmlformats.org/officeDocument/2006/relationships/image" Target="../media/image69.jpeg"/><Relationship Id="rId14" Type="http://schemas.openxmlformats.org/officeDocument/2006/relationships/image" Target="../media/image74.jpe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8.jpeg"/><Relationship Id="rId13" Type="http://schemas.openxmlformats.org/officeDocument/2006/relationships/image" Target="../media/image93.jpeg"/><Relationship Id="rId18" Type="http://schemas.openxmlformats.org/officeDocument/2006/relationships/image" Target="../media/image98.jpeg"/><Relationship Id="rId3" Type="http://schemas.openxmlformats.org/officeDocument/2006/relationships/image" Target="../media/image83.jpeg"/><Relationship Id="rId7" Type="http://schemas.openxmlformats.org/officeDocument/2006/relationships/image" Target="../media/image87.jpeg"/><Relationship Id="rId12" Type="http://schemas.openxmlformats.org/officeDocument/2006/relationships/image" Target="../media/image92.jpeg"/><Relationship Id="rId17" Type="http://schemas.openxmlformats.org/officeDocument/2006/relationships/image" Target="../media/image97.jpeg"/><Relationship Id="rId2" Type="http://schemas.openxmlformats.org/officeDocument/2006/relationships/image" Target="../media/image82.jpeg"/><Relationship Id="rId16" Type="http://schemas.openxmlformats.org/officeDocument/2006/relationships/image" Target="../media/image96.jpeg"/><Relationship Id="rId1" Type="http://schemas.openxmlformats.org/officeDocument/2006/relationships/image" Target="../media/image81.jpeg"/><Relationship Id="rId6" Type="http://schemas.openxmlformats.org/officeDocument/2006/relationships/image" Target="../media/image86.jpeg"/><Relationship Id="rId11" Type="http://schemas.openxmlformats.org/officeDocument/2006/relationships/image" Target="../media/image91.jpeg"/><Relationship Id="rId5" Type="http://schemas.openxmlformats.org/officeDocument/2006/relationships/image" Target="../media/image85.jpeg"/><Relationship Id="rId15" Type="http://schemas.openxmlformats.org/officeDocument/2006/relationships/image" Target="../media/image95.jpeg"/><Relationship Id="rId10" Type="http://schemas.openxmlformats.org/officeDocument/2006/relationships/image" Target="../media/image90.jpeg"/><Relationship Id="rId19" Type="http://schemas.openxmlformats.org/officeDocument/2006/relationships/image" Target="../media/image99.jpeg"/><Relationship Id="rId4" Type="http://schemas.openxmlformats.org/officeDocument/2006/relationships/image" Target="../media/image84.jpeg"/><Relationship Id="rId9" Type="http://schemas.openxmlformats.org/officeDocument/2006/relationships/image" Target="../media/image89.jpeg"/><Relationship Id="rId1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52387</xdr:rowOff>
    </xdr:from>
    <xdr:to>
      <xdr:col>15</xdr:col>
      <xdr:colOff>0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E5D34-E4ED-4400-BA71-3CF37052C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126177</xdr:colOff>
      <xdr:row>1</xdr:row>
      <xdr:rowOff>62341</xdr:rowOff>
    </xdr:from>
    <xdr:to>
      <xdr:col>11</xdr:col>
      <xdr:colOff>2055048</xdr:colOff>
      <xdr:row>1</xdr:row>
      <xdr:rowOff>1548364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08F05-8903-4EA7-B00C-DB1B69E2C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3041" y="1101432"/>
          <a:ext cx="1928871" cy="1486023"/>
        </a:xfrm>
        <a:prstGeom prst="rect">
          <a:avLst/>
        </a:prstGeom>
      </xdr:spPr>
    </xdr:pic>
    <xdr:clientData/>
  </xdr:twoCellAnchor>
  <xdr:twoCellAnchor editAs="oneCell">
    <xdr:from>
      <xdr:col>11</xdr:col>
      <xdr:colOff>63280</xdr:colOff>
      <xdr:row>3</xdr:row>
      <xdr:rowOff>54429</xdr:rowOff>
    </xdr:from>
    <xdr:to>
      <xdr:col>11</xdr:col>
      <xdr:colOff>2111535</xdr:colOff>
      <xdr:row>3</xdr:row>
      <xdr:rowOff>1587047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5F31C-2B8E-4967-A01D-A2AF3650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0144" y="4314702"/>
          <a:ext cx="2048255" cy="1532618"/>
        </a:xfrm>
        <a:prstGeom prst="rect">
          <a:avLst/>
        </a:prstGeom>
      </xdr:spPr>
    </xdr:pic>
    <xdr:clientData/>
  </xdr:twoCellAnchor>
  <xdr:twoCellAnchor editAs="oneCell">
    <xdr:from>
      <xdr:col>11</xdr:col>
      <xdr:colOff>98963</xdr:colOff>
      <xdr:row>2</xdr:row>
      <xdr:rowOff>46091</xdr:rowOff>
    </xdr:from>
    <xdr:to>
      <xdr:col>11</xdr:col>
      <xdr:colOff>2071870</xdr:colOff>
      <xdr:row>2</xdr:row>
      <xdr:rowOff>1571801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601EC1-59E1-47CA-AB05-45D0EB9EC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75827" y="2695773"/>
          <a:ext cx="1972907" cy="1525710"/>
        </a:xfrm>
        <a:prstGeom prst="rect">
          <a:avLst/>
        </a:prstGeom>
      </xdr:spPr>
    </xdr:pic>
    <xdr:clientData/>
  </xdr:twoCellAnchor>
  <xdr:twoCellAnchor editAs="oneCell">
    <xdr:from>
      <xdr:col>11</xdr:col>
      <xdr:colOff>112570</xdr:colOff>
      <xdr:row>5</xdr:row>
      <xdr:rowOff>71997</xdr:rowOff>
    </xdr:from>
    <xdr:to>
      <xdr:col>11</xdr:col>
      <xdr:colOff>2142597</xdr:colOff>
      <xdr:row>5</xdr:row>
      <xdr:rowOff>1538169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547F0A-FA8F-4F7A-A095-55812F16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89434" y="7553452"/>
          <a:ext cx="2030027" cy="1466172"/>
        </a:xfrm>
        <a:prstGeom prst="rect">
          <a:avLst/>
        </a:prstGeom>
      </xdr:spPr>
    </xdr:pic>
    <xdr:clientData/>
  </xdr:twoCellAnchor>
  <xdr:twoCellAnchor editAs="oneCell">
    <xdr:from>
      <xdr:col>11</xdr:col>
      <xdr:colOff>62180</xdr:colOff>
      <xdr:row>7</xdr:row>
      <xdr:rowOff>40821</xdr:rowOff>
    </xdr:from>
    <xdr:to>
      <xdr:col>11</xdr:col>
      <xdr:colOff>2075217</xdr:colOff>
      <xdr:row>7</xdr:row>
      <xdr:rowOff>1593273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C17407-0AED-41A7-8CEB-D13B796F7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6069337" y="10513164"/>
          <a:ext cx="1552452" cy="2013037"/>
        </a:xfrm>
        <a:prstGeom prst="rect">
          <a:avLst/>
        </a:prstGeom>
      </xdr:spPr>
    </xdr:pic>
    <xdr:clientData/>
  </xdr:twoCellAnchor>
  <xdr:twoCellAnchor editAs="oneCell">
    <xdr:from>
      <xdr:col>11</xdr:col>
      <xdr:colOff>70072</xdr:colOff>
      <xdr:row>4</xdr:row>
      <xdr:rowOff>54429</xdr:rowOff>
    </xdr:from>
    <xdr:to>
      <xdr:col>11</xdr:col>
      <xdr:colOff>2164218</xdr:colOff>
      <xdr:row>4</xdr:row>
      <xdr:rowOff>1587047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FBF3CA-B288-443D-9538-4FF71E2E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6936" y="5925293"/>
          <a:ext cx="2094146" cy="1532618"/>
        </a:xfrm>
        <a:prstGeom prst="rect">
          <a:avLst/>
        </a:prstGeom>
      </xdr:spPr>
    </xdr:pic>
    <xdr:clientData/>
  </xdr:twoCellAnchor>
  <xdr:twoCellAnchor editAs="oneCell">
    <xdr:from>
      <xdr:col>11</xdr:col>
      <xdr:colOff>98962</xdr:colOff>
      <xdr:row>6</xdr:row>
      <xdr:rowOff>68035</xdr:rowOff>
    </xdr:from>
    <xdr:to>
      <xdr:col>11</xdr:col>
      <xdr:colOff>2099403</xdr:colOff>
      <xdr:row>6</xdr:row>
      <xdr:rowOff>1589561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8BA8C5-A519-4D26-93CE-C8874FE36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826" y="9160080"/>
          <a:ext cx="2000441" cy="1521526"/>
        </a:xfrm>
        <a:prstGeom prst="rect">
          <a:avLst/>
        </a:prstGeom>
      </xdr:spPr>
    </xdr:pic>
    <xdr:clientData/>
  </xdr:twoCellAnchor>
  <xdr:twoCellAnchor editAs="oneCell">
    <xdr:from>
      <xdr:col>13</xdr:col>
      <xdr:colOff>86589</xdr:colOff>
      <xdr:row>7</xdr:row>
      <xdr:rowOff>71798</xdr:rowOff>
    </xdr:from>
    <xdr:to>
      <xdr:col>13</xdr:col>
      <xdr:colOff>2100216</xdr:colOff>
      <xdr:row>7</xdr:row>
      <xdr:rowOff>1592094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C237AB-D0F9-4BF0-BE69-B7D4CFAE0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28225" y="10774434"/>
          <a:ext cx="2013627" cy="1520296"/>
        </a:xfrm>
        <a:prstGeom prst="rect">
          <a:avLst/>
        </a:prstGeom>
      </xdr:spPr>
    </xdr:pic>
    <xdr:clientData/>
  </xdr:twoCellAnchor>
  <xdr:twoCellAnchor editAs="oneCell">
    <xdr:from>
      <xdr:col>13</xdr:col>
      <xdr:colOff>69272</xdr:colOff>
      <xdr:row>4</xdr:row>
      <xdr:rowOff>69273</xdr:rowOff>
    </xdr:from>
    <xdr:to>
      <xdr:col>13</xdr:col>
      <xdr:colOff>2098085</xdr:colOff>
      <xdr:row>4</xdr:row>
      <xdr:rowOff>1567870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56FAE6D-E1C5-4F3D-BFB4-4C3B639E8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10908" y="5940137"/>
          <a:ext cx="2028813" cy="1498597"/>
        </a:xfrm>
        <a:prstGeom prst="rect">
          <a:avLst/>
        </a:prstGeom>
      </xdr:spPr>
    </xdr:pic>
    <xdr:clientData/>
  </xdr:twoCellAnchor>
  <xdr:twoCellAnchor editAs="oneCell">
    <xdr:from>
      <xdr:col>13</xdr:col>
      <xdr:colOff>33901</xdr:colOff>
      <xdr:row>6</xdr:row>
      <xdr:rowOff>34637</xdr:rowOff>
    </xdr:from>
    <xdr:to>
      <xdr:col>13</xdr:col>
      <xdr:colOff>2104784</xdr:colOff>
      <xdr:row>7</xdr:row>
      <xdr:rowOff>3792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D1453E-E144-4862-930F-C9921CCC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75537" y="9126682"/>
          <a:ext cx="2070883" cy="1574798"/>
        </a:xfrm>
        <a:prstGeom prst="rect">
          <a:avLst/>
        </a:prstGeom>
      </xdr:spPr>
    </xdr:pic>
    <xdr:clientData/>
  </xdr:twoCellAnchor>
  <xdr:twoCellAnchor editAs="oneCell">
    <xdr:from>
      <xdr:col>13</xdr:col>
      <xdr:colOff>49056</xdr:colOff>
      <xdr:row>5</xdr:row>
      <xdr:rowOff>51953</xdr:rowOff>
    </xdr:from>
    <xdr:to>
      <xdr:col>13</xdr:col>
      <xdr:colOff>2103470</xdr:colOff>
      <xdr:row>5</xdr:row>
      <xdr:rowOff>1575955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E915F3-DF81-46C5-8B91-D396C8E6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90692" y="7533408"/>
          <a:ext cx="2054414" cy="1524002"/>
        </a:xfrm>
        <a:prstGeom prst="rect">
          <a:avLst/>
        </a:prstGeom>
      </xdr:spPr>
    </xdr:pic>
    <xdr:clientData/>
  </xdr:twoCellAnchor>
  <xdr:twoCellAnchor editAs="oneCell">
    <xdr:from>
      <xdr:col>13</xdr:col>
      <xdr:colOff>69272</xdr:colOff>
      <xdr:row>1</xdr:row>
      <xdr:rowOff>51955</xdr:rowOff>
    </xdr:from>
    <xdr:to>
      <xdr:col>13</xdr:col>
      <xdr:colOff>2078182</xdr:colOff>
      <xdr:row>1</xdr:row>
      <xdr:rowOff>1575954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D98086-6DB6-41C8-BB07-61DCAC0A8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10908" y="1091046"/>
          <a:ext cx="2008910" cy="1523999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2</xdr:row>
      <xdr:rowOff>52270</xdr:rowOff>
    </xdr:from>
    <xdr:to>
      <xdr:col>13</xdr:col>
      <xdr:colOff>2044681</xdr:colOff>
      <xdr:row>3</xdr:row>
      <xdr:rowOff>1541318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E58639E-0147-43C9-9C9B-BB936D08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993591" y="2701952"/>
          <a:ext cx="1992726" cy="30996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56628</xdr:colOff>
      <xdr:row>2</xdr:row>
      <xdr:rowOff>54427</xdr:rowOff>
    </xdr:from>
    <xdr:to>
      <xdr:col>11</xdr:col>
      <xdr:colOff>1945821</xdr:colOff>
      <xdr:row>2</xdr:row>
      <xdr:rowOff>1183822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812949-65F9-4762-8EB8-B08D2881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64021" y="2095498"/>
          <a:ext cx="1889193" cy="1129395"/>
        </a:xfrm>
        <a:prstGeom prst="rect">
          <a:avLst/>
        </a:prstGeom>
      </xdr:spPr>
    </xdr:pic>
    <xdr:clientData/>
  </xdr:twoCellAnchor>
  <xdr:twoCellAnchor editAs="oneCell">
    <xdr:from>
      <xdr:col>11</xdr:col>
      <xdr:colOff>68035</xdr:colOff>
      <xdr:row>6</xdr:row>
      <xdr:rowOff>9294</xdr:rowOff>
    </xdr:from>
    <xdr:to>
      <xdr:col>11</xdr:col>
      <xdr:colOff>1932214</xdr:colOff>
      <xdr:row>6</xdr:row>
      <xdr:rowOff>1192673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7DB13-62A2-43F0-B0A5-754E43ECB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75428" y="6840080"/>
          <a:ext cx="1864179" cy="1183379"/>
        </a:xfrm>
        <a:prstGeom prst="rect">
          <a:avLst/>
        </a:prstGeom>
      </xdr:spPr>
    </xdr:pic>
    <xdr:clientData/>
  </xdr:twoCellAnchor>
  <xdr:twoCellAnchor editAs="oneCell">
    <xdr:from>
      <xdr:col>11</xdr:col>
      <xdr:colOff>40821</xdr:colOff>
      <xdr:row>4</xdr:row>
      <xdr:rowOff>41303</xdr:rowOff>
    </xdr:from>
    <xdr:to>
      <xdr:col>11</xdr:col>
      <xdr:colOff>1971893</xdr:colOff>
      <xdr:row>4</xdr:row>
      <xdr:rowOff>1183821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69AA1F-8B07-41BB-B28F-2914AA44F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48214" y="4477232"/>
          <a:ext cx="1931072" cy="1142518"/>
        </a:xfrm>
        <a:prstGeom prst="rect">
          <a:avLst/>
        </a:prstGeom>
      </xdr:spPr>
    </xdr:pic>
    <xdr:clientData/>
  </xdr:twoCellAnchor>
  <xdr:twoCellAnchor editAs="oneCell">
    <xdr:from>
      <xdr:col>11</xdr:col>
      <xdr:colOff>40821</xdr:colOff>
      <xdr:row>8</xdr:row>
      <xdr:rowOff>68035</xdr:rowOff>
    </xdr:from>
    <xdr:to>
      <xdr:col>11</xdr:col>
      <xdr:colOff>1948809</xdr:colOff>
      <xdr:row>8</xdr:row>
      <xdr:rowOff>1170214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C9BF7A-07A7-48A4-B20F-34444210D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48214" y="9293678"/>
          <a:ext cx="1907988" cy="1102179"/>
        </a:xfrm>
        <a:prstGeom prst="rect">
          <a:avLst/>
        </a:prstGeom>
      </xdr:spPr>
    </xdr:pic>
    <xdr:clientData/>
  </xdr:twoCellAnchor>
  <xdr:twoCellAnchor editAs="oneCell">
    <xdr:from>
      <xdr:col>11</xdr:col>
      <xdr:colOff>64873</xdr:colOff>
      <xdr:row>5</xdr:row>
      <xdr:rowOff>27214</xdr:rowOff>
    </xdr:from>
    <xdr:to>
      <xdr:col>11</xdr:col>
      <xdr:colOff>1959428</xdr:colOff>
      <xdr:row>5</xdr:row>
      <xdr:rowOff>1190693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3C6C27-5321-440F-86C5-E16DD804F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72266" y="5660571"/>
          <a:ext cx="1894555" cy="1163479"/>
        </a:xfrm>
        <a:prstGeom prst="rect">
          <a:avLst/>
        </a:prstGeom>
      </xdr:spPr>
    </xdr:pic>
    <xdr:clientData/>
  </xdr:twoCellAnchor>
  <xdr:twoCellAnchor editAs="oneCell">
    <xdr:from>
      <xdr:col>11</xdr:col>
      <xdr:colOff>69614</xdr:colOff>
      <xdr:row>1</xdr:row>
      <xdr:rowOff>27215</xdr:rowOff>
    </xdr:from>
    <xdr:to>
      <xdr:col>11</xdr:col>
      <xdr:colOff>1959428</xdr:colOff>
      <xdr:row>1</xdr:row>
      <xdr:rowOff>1190694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4D545E-1C0B-438D-8991-4695F88BB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77007" y="870858"/>
          <a:ext cx="1889814" cy="1163479"/>
        </a:xfrm>
        <a:prstGeom prst="rect">
          <a:avLst/>
        </a:prstGeom>
      </xdr:spPr>
    </xdr:pic>
    <xdr:clientData/>
  </xdr:twoCellAnchor>
  <xdr:twoCellAnchor editAs="oneCell">
    <xdr:from>
      <xdr:col>11</xdr:col>
      <xdr:colOff>65376</xdr:colOff>
      <xdr:row>3</xdr:row>
      <xdr:rowOff>27216</xdr:rowOff>
    </xdr:from>
    <xdr:to>
      <xdr:col>11</xdr:col>
      <xdr:colOff>1959427</xdr:colOff>
      <xdr:row>3</xdr:row>
      <xdr:rowOff>1156608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E0E8EE-0ACE-47C8-A40F-74D1B64E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72769" y="3265716"/>
          <a:ext cx="1894051" cy="1129392"/>
        </a:xfrm>
        <a:prstGeom prst="rect">
          <a:avLst/>
        </a:prstGeom>
      </xdr:spPr>
    </xdr:pic>
    <xdr:clientData/>
  </xdr:twoCellAnchor>
  <xdr:oneCellAnchor>
    <xdr:from>
      <xdr:col>11</xdr:col>
      <xdr:colOff>40821</xdr:colOff>
      <xdr:row>9</xdr:row>
      <xdr:rowOff>68035</xdr:rowOff>
    </xdr:from>
    <xdr:ext cx="1907988" cy="1102179"/>
    <xdr:pic>
      <xdr:nvPicPr>
        <xdr:cNvPr id="9" name="Picture 8">
          <a:extLst>
            <a:ext uri="{FF2B5EF4-FFF2-40B4-BE49-F238E27FC236}">
              <a16:creationId xmlns:a16="http://schemas.microsoft.com/office/drawing/2014/main" id="{CE16A568-4958-40C3-B4D3-1AE616590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648214" y="10491106"/>
          <a:ext cx="1907988" cy="1102179"/>
        </a:xfrm>
        <a:prstGeom prst="rect">
          <a:avLst/>
        </a:prstGeom>
      </xdr:spPr>
    </xdr:pic>
    <xdr:clientData/>
  </xdr:oneCellAnchor>
  <xdr:twoCellAnchor editAs="oneCell">
    <xdr:from>
      <xdr:col>13</xdr:col>
      <xdr:colOff>51089</xdr:colOff>
      <xdr:row>9</xdr:row>
      <xdr:rowOff>80096</xdr:rowOff>
    </xdr:from>
    <xdr:to>
      <xdr:col>13</xdr:col>
      <xdr:colOff>2143124</xdr:colOff>
      <xdr:row>9</xdr:row>
      <xdr:rowOff>1143000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55F0DBA-45EE-426F-B8B8-B4B6292EE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31518" y="10503167"/>
          <a:ext cx="2092035" cy="1062904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27214</xdr:colOff>
      <xdr:row>5</xdr:row>
      <xdr:rowOff>54429</xdr:rowOff>
    </xdr:from>
    <xdr:to>
      <xdr:col>13</xdr:col>
      <xdr:colOff>2149929</xdr:colOff>
      <xdr:row>5</xdr:row>
      <xdr:rowOff>1183822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487FA65-105F-4631-AE66-74E36A06B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48464" y="5687786"/>
          <a:ext cx="2122715" cy="1129393"/>
        </a:xfrm>
        <a:prstGeom prst="rect">
          <a:avLst/>
        </a:prstGeom>
      </xdr:spPr>
    </xdr:pic>
    <xdr:clientData/>
  </xdr:twoCellAnchor>
  <xdr:twoCellAnchor editAs="oneCell">
    <xdr:from>
      <xdr:col>13</xdr:col>
      <xdr:colOff>32091</xdr:colOff>
      <xdr:row>7</xdr:row>
      <xdr:rowOff>13607</xdr:rowOff>
    </xdr:from>
    <xdr:to>
      <xdr:col>13</xdr:col>
      <xdr:colOff>2164260</xdr:colOff>
      <xdr:row>7</xdr:row>
      <xdr:rowOff>1183822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149789-4178-41BB-8899-48EAE90E0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53046" y="8031925"/>
          <a:ext cx="2132169" cy="1170215"/>
        </a:xfrm>
        <a:prstGeom prst="rect">
          <a:avLst/>
        </a:prstGeom>
      </xdr:spPr>
    </xdr:pic>
    <xdr:clientData/>
  </xdr:twoCellAnchor>
  <xdr:twoCellAnchor editAs="oneCell">
    <xdr:from>
      <xdr:col>13</xdr:col>
      <xdr:colOff>40822</xdr:colOff>
      <xdr:row>2</xdr:row>
      <xdr:rowOff>54428</xdr:rowOff>
    </xdr:from>
    <xdr:to>
      <xdr:col>13</xdr:col>
      <xdr:colOff>2136321</xdr:colOff>
      <xdr:row>2</xdr:row>
      <xdr:rowOff>1183822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2573B1-D7DB-4319-9F45-54226FD2C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62072" y="2095499"/>
          <a:ext cx="2095499" cy="1129394"/>
        </a:xfrm>
        <a:prstGeom prst="rect">
          <a:avLst/>
        </a:prstGeom>
      </xdr:spPr>
    </xdr:pic>
    <xdr:clientData/>
  </xdr:twoCellAnchor>
  <xdr:twoCellAnchor editAs="oneCell">
    <xdr:from>
      <xdr:col>13</xdr:col>
      <xdr:colOff>86591</xdr:colOff>
      <xdr:row>3</xdr:row>
      <xdr:rowOff>69273</xdr:rowOff>
    </xdr:from>
    <xdr:to>
      <xdr:col>14</xdr:col>
      <xdr:colOff>1</xdr:colOff>
      <xdr:row>3</xdr:row>
      <xdr:rowOff>1160318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109B072-7F46-4C16-B0EB-1D9D6CB7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733818" y="3307773"/>
          <a:ext cx="2095500" cy="1091045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4</xdr:row>
      <xdr:rowOff>69273</xdr:rowOff>
    </xdr:from>
    <xdr:to>
      <xdr:col>13</xdr:col>
      <xdr:colOff>2147455</xdr:colOff>
      <xdr:row>4</xdr:row>
      <xdr:rowOff>1160318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ADF4E14-9DE6-4509-B960-8F292B6A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99182" y="4502728"/>
          <a:ext cx="2095500" cy="1091045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1</xdr:row>
      <xdr:rowOff>51955</xdr:rowOff>
    </xdr:from>
    <xdr:to>
      <xdr:col>13</xdr:col>
      <xdr:colOff>2164773</xdr:colOff>
      <xdr:row>1</xdr:row>
      <xdr:rowOff>1160318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CB9D7E-2029-4723-AB8A-01E18B256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99182" y="900546"/>
          <a:ext cx="2112818" cy="1108363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51953</xdr:colOff>
      <xdr:row>6</xdr:row>
      <xdr:rowOff>32003</xdr:rowOff>
    </xdr:from>
    <xdr:to>
      <xdr:col>13</xdr:col>
      <xdr:colOff>2130136</xdr:colOff>
      <xdr:row>6</xdr:row>
      <xdr:rowOff>1177636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2E16E35-5107-4BDC-A075-3CF92935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99180" y="6855367"/>
          <a:ext cx="2078183" cy="1145633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8</xdr:row>
      <xdr:rowOff>9405</xdr:rowOff>
    </xdr:from>
    <xdr:to>
      <xdr:col>13</xdr:col>
      <xdr:colOff>2147455</xdr:colOff>
      <xdr:row>8</xdr:row>
      <xdr:rowOff>1160318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58D9339-0259-4E4F-8065-6726DCF6D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699182" y="9222678"/>
          <a:ext cx="2095500" cy="11509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262696</xdr:colOff>
      <xdr:row>7</xdr:row>
      <xdr:rowOff>40820</xdr:rowOff>
    </xdr:from>
    <xdr:to>
      <xdr:col>11</xdr:col>
      <xdr:colOff>1741714</xdr:colOff>
      <xdr:row>7</xdr:row>
      <xdr:rowOff>1115786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46A10-D5A7-4F1F-8080-87584184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60339" y="7388677"/>
          <a:ext cx="1479018" cy="1074966"/>
        </a:xfrm>
        <a:prstGeom prst="rect">
          <a:avLst/>
        </a:prstGeom>
      </xdr:spPr>
    </xdr:pic>
    <xdr:clientData/>
  </xdr:twoCellAnchor>
  <xdr:twoCellAnchor editAs="oneCell">
    <xdr:from>
      <xdr:col>11</xdr:col>
      <xdr:colOff>40822</xdr:colOff>
      <xdr:row>1</xdr:row>
      <xdr:rowOff>27215</xdr:rowOff>
    </xdr:from>
    <xdr:to>
      <xdr:col>11</xdr:col>
      <xdr:colOff>1932215</xdr:colOff>
      <xdr:row>1</xdr:row>
      <xdr:rowOff>1074965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34958E-F614-4562-A9F5-233207393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131143" y="707572"/>
          <a:ext cx="1891393" cy="1047750"/>
        </a:xfrm>
        <a:prstGeom prst="rect">
          <a:avLst/>
        </a:prstGeom>
      </xdr:spPr>
    </xdr:pic>
    <xdr:clientData/>
  </xdr:twoCellAnchor>
  <xdr:twoCellAnchor editAs="oneCell">
    <xdr:from>
      <xdr:col>11</xdr:col>
      <xdr:colOff>312964</xdr:colOff>
      <xdr:row>10</xdr:row>
      <xdr:rowOff>55180</xdr:rowOff>
    </xdr:from>
    <xdr:to>
      <xdr:col>11</xdr:col>
      <xdr:colOff>1741714</xdr:colOff>
      <xdr:row>10</xdr:row>
      <xdr:rowOff>997963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7DE952-3C39-47B7-8824-92F408FED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0607" y="10655144"/>
          <a:ext cx="1428750" cy="942783"/>
        </a:xfrm>
        <a:prstGeom prst="rect">
          <a:avLst/>
        </a:prstGeom>
      </xdr:spPr>
    </xdr:pic>
    <xdr:clientData/>
  </xdr:twoCellAnchor>
  <xdr:twoCellAnchor editAs="oneCell">
    <xdr:from>
      <xdr:col>11</xdr:col>
      <xdr:colOff>312963</xdr:colOff>
      <xdr:row>11</xdr:row>
      <xdr:rowOff>59022</xdr:rowOff>
    </xdr:from>
    <xdr:to>
      <xdr:col>11</xdr:col>
      <xdr:colOff>1771892</xdr:colOff>
      <xdr:row>11</xdr:row>
      <xdr:rowOff>980369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F0CFD4D-9785-474C-A1B0-9502DE20B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0606" y="11665915"/>
          <a:ext cx="1458929" cy="921347"/>
        </a:xfrm>
        <a:prstGeom prst="rect">
          <a:avLst/>
        </a:prstGeom>
      </xdr:spPr>
    </xdr:pic>
    <xdr:clientData/>
  </xdr:twoCellAnchor>
  <xdr:twoCellAnchor editAs="oneCell">
    <xdr:from>
      <xdr:col>11</xdr:col>
      <xdr:colOff>299357</xdr:colOff>
      <xdr:row>9</xdr:row>
      <xdr:rowOff>44617</xdr:rowOff>
    </xdr:from>
    <xdr:to>
      <xdr:col>11</xdr:col>
      <xdr:colOff>1728107</xdr:colOff>
      <xdr:row>9</xdr:row>
      <xdr:rowOff>1020536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FAA125-75F2-41AD-9991-B2D003F2F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00" y="9583224"/>
          <a:ext cx="1428750" cy="975919"/>
        </a:xfrm>
        <a:prstGeom prst="rect">
          <a:avLst/>
        </a:prstGeom>
      </xdr:spPr>
    </xdr:pic>
    <xdr:clientData/>
  </xdr:twoCellAnchor>
  <xdr:twoCellAnchor editAs="oneCell">
    <xdr:from>
      <xdr:col>11</xdr:col>
      <xdr:colOff>312965</xdr:colOff>
      <xdr:row>13</xdr:row>
      <xdr:rowOff>23028</xdr:rowOff>
    </xdr:from>
    <xdr:to>
      <xdr:col>11</xdr:col>
      <xdr:colOff>1782537</xdr:colOff>
      <xdr:row>13</xdr:row>
      <xdr:rowOff>979716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166DDA-E88C-4413-B9F5-FA78CCD0E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110608" y="12636849"/>
          <a:ext cx="1469572" cy="956688"/>
        </a:xfrm>
        <a:prstGeom prst="rect">
          <a:avLst/>
        </a:prstGeom>
      </xdr:spPr>
    </xdr:pic>
    <xdr:clientData/>
  </xdr:twoCellAnchor>
  <xdr:twoCellAnchor editAs="oneCell">
    <xdr:from>
      <xdr:col>11</xdr:col>
      <xdr:colOff>195393</xdr:colOff>
      <xdr:row>5</xdr:row>
      <xdr:rowOff>40821</xdr:rowOff>
    </xdr:from>
    <xdr:to>
      <xdr:col>11</xdr:col>
      <xdr:colOff>1782537</xdr:colOff>
      <xdr:row>5</xdr:row>
      <xdr:rowOff>1083712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C61A0-0F4D-432F-9AA7-0D3C71E8A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93036" y="5129892"/>
          <a:ext cx="1587144" cy="1042891"/>
        </a:xfrm>
        <a:prstGeom prst="rect">
          <a:avLst/>
        </a:prstGeom>
      </xdr:spPr>
    </xdr:pic>
    <xdr:clientData/>
  </xdr:twoCellAnchor>
  <xdr:twoCellAnchor editAs="oneCell">
    <xdr:from>
      <xdr:col>11</xdr:col>
      <xdr:colOff>186729</xdr:colOff>
      <xdr:row>4</xdr:row>
      <xdr:rowOff>54430</xdr:rowOff>
    </xdr:from>
    <xdr:to>
      <xdr:col>11</xdr:col>
      <xdr:colOff>1823357</xdr:colOff>
      <xdr:row>4</xdr:row>
      <xdr:rowOff>1088572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0A6952-5DDE-4E8A-8439-22FD0F130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84372" y="4014109"/>
          <a:ext cx="1636628" cy="1034142"/>
        </a:xfrm>
        <a:prstGeom prst="rect">
          <a:avLst/>
        </a:prstGeom>
      </xdr:spPr>
    </xdr:pic>
    <xdr:clientData/>
  </xdr:twoCellAnchor>
  <xdr:twoCellAnchor editAs="oneCell">
    <xdr:from>
      <xdr:col>11</xdr:col>
      <xdr:colOff>247936</xdr:colOff>
      <xdr:row>8</xdr:row>
      <xdr:rowOff>40822</xdr:rowOff>
    </xdr:from>
    <xdr:to>
      <xdr:col>11</xdr:col>
      <xdr:colOff>1741714</xdr:colOff>
      <xdr:row>8</xdr:row>
      <xdr:rowOff>1047750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49B51CA-68C8-4D46-9094-7812E6833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45579" y="8518072"/>
          <a:ext cx="1493778" cy="1006928"/>
        </a:xfrm>
        <a:prstGeom prst="rect">
          <a:avLst/>
        </a:prstGeom>
      </xdr:spPr>
    </xdr:pic>
    <xdr:clientData/>
  </xdr:twoCellAnchor>
  <xdr:twoCellAnchor editAs="oneCell">
    <xdr:from>
      <xdr:col>11</xdr:col>
      <xdr:colOff>170608</xdr:colOff>
      <xdr:row>3</xdr:row>
      <xdr:rowOff>40822</xdr:rowOff>
    </xdr:from>
    <xdr:to>
      <xdr:col>11</xdr:col>
      <xdr:colOff>1850571</xdr:colOff>
      <xdr:row>3</xdr:row>
      <xdr:rowOff>1115785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D9EF99-0283-48A1-A61B-B5F9FC9C2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8251" y="2871108"/>
          <a:ext cx="1679963" cy="1074963"/>
        </a:xfrm>
        <a:prstGeom prst="rect">
          <a:avLst/>
        </a:prstGeom>
      </xdr:spPr>
    </xdr:pic>
    <xdr:clientData/>
  </xdr:twoCellAnchor>
  <xdr:twoCellAnchor editAs="oneCell">
    <xdr:from>
      <xdr:col>11</xdr:col>
      <xdr:colOff>226919</xdr:colOff>
      <xdr:row>6</xdr:row>
      <xdr:rowOff>40822</xdr:rowOff>
    </xdr:from>
    <xdr:to>
      <xdr:col>11</xdr:col>
      <xdr:colOff>1782535</xdr:colOff>
      <xdr:row>6</xdr:row>
      <xdr:rowOff>1102726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58C84F-2FC6-4405-8ACF-4F7A32C8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24562" y="6259286"/>
          <a:ext cx="1555616" cy="1061904"/>
        </a:xfrm>
        <a:prstGeom prst="rect">
          <a:avLst/>
        </a:prstGeom>
      </xdr:spPr>
    </xdr:pic>
    <xdr:clientData/>
  </xdr:twoCellAnchor>
  <xdr:twoCellAnchor editAs="oneCell">
    <xdr:from>
      <xdr:col>11</xdr:col>
      <xdr:colOff>163286</xdr:colOff>
      <xdr:row>2</xdr:row>
      <xdr:rowOff>60070</xdr:rowOff>
    </xdr:from>
    <xdr:to>
      <xdr:col>11</xdr:col>
      <xdr:colOff>1835870</xdr:colOff>
      <xdr:row>2</xdr:row>
      <xdr:rowOff>1102178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AF60BC9-5712-4232-8875-9275F1392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960929" y="1760963"/>
          <a:ext cx="1672584" cy="1042108"/>
        </a:xfrm>
        <a:prstGeom prst="rect">
          <a:avLst/>
        </a:prstGeom>
      </xdr:spPr>
    </xdr:pic>
    <xdr:clientData/>
  </xdr:twoCellAnchor>
  <xdr:twoCellAnchor editAs="oneCell">
    <xdr:from>
      <xdr:col>13</xdr:col>
      <xdr:colOff>27214</xdr:colOff>
      <xdr:row>1</xdr:row>
      <xdr:rowOff>40823</xdr:rowOff>
    </xdr:from>
    <xdr:to>
      <xdr:col>13</xdr:col>
      <xdr:colOff>1945821</xdr:colOff>
      <xdr:row>1</xdr:row>
      <xdr:rowOff>1102179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340D79-E677-45E6-A4FF-CB36E12E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090571" y="721180"/>
          <a:ext cx="1918607" cy="1061356"/>
        </a:xfrm>
        <a:prstGeom prst="rect">
          <a:avLst/>
        </a:prstGeom>
      </xdr:spPr>
    </xdr:pic>
    <xdr:clientData/>
  </xdr:twoCellAnchor>
  <xdr:twoCellAnchor editAs="oneCell">
    <xdr:from>
      <xdr:col>13</xdr:col>
      <xdr:colOff>81643</xdr:colOff>
      <xdr:row>7</xdr:row>
      <xdr:rowOff>68036</xdr:rowOff>
    </xdr:from>
    <xdr:to>
      <xdr:col>13</xdr:col>
      <xdr:colOff>1916489</xdr:colOff>
      <xdr:row>7</xdr:row>
      <xdr:rowOff>1103964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380FF9-05CA-45E8-9B29-49142FC84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5000" y="7524750"/>
          <a:ext cx="1834846" cy="1035928"/>
        </a:xfrm>
        <a:prstGeom prst="rect">
          <a:avLst/>
        </a:prstGeom>
      </xdr:spPr>
    </xdr:pic>
    <xdr:clientData/>
  </xdr:twoCellAnchor>
  <xdr:twoCellAnchor editAs="oneCell">
    <xdr:from>
      <xdr:col>13</xdr:col>
      <xdr:colOff>40823</xdr:colOff>
      <xdr:row>11</xdr:row>
      <xdr:rowOff>68035</xdr:rowOff>
    </xdr:from>
    <xdr:to>
      <xdr:col>13</xdr:col>
      <xdr:colOff>1932215</xdr:colOff>
      <xdr:row>11</xdr:row>
      <xdr:rowOff>993320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28F1EF2-0BA8-465D-9ED5-71DC71877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04180" y="11783785"/>
          <a:ext cx="1891392" cy="925285"/>
        </a:xfrm>
        <a:prstGeom prst="rect">
          <a:avLst/>
        </a:prstGeom>
      </xdr:spPr>
    </xdr:pic>
    <xdr:clientData/>
  </xdr:twoCellAnchor>
  <xdr:twoCellAnchor editAs="oneCell">
    <xdr:from>
      <xdr:col>13</xdr:col>
      <xdr:colOff>89364</xdr:colOff>
      <xdr:row>9</xdr:row>
      <xdr:rowOff>40821</xdr:rowOff>
    </xdr:from>
    <xdr:to>
      <xdr:col>13</xdr:col>
      <xdr:colOff>1896083</xdr:colOff>
      <xdr:row>10</xdr:row>
      <xdr:rowOff>993322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8CF6A8D-448C-40F5-996A-CC8E6B67B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52721" y="9688285"/>
          <a:ext cx="1806719" cy="2013858"/>
        </a:xfrm>
        <a:prstGeom prst="rect">
          <a:avLst/>
        </a:prstGeom>
      </xdr:spPr>
    </xdr:pic>
    <xdr:clientData/>
  </xdr:twoCellAnchor>
  <xdr:twoCellAnchor editAs="oneCell">
    <xdr:from>
      <xdr:col>13</xdr:col>
      <xdr:colOff>54428</xdr:colOff>
      <xdr:row>5</xdr:row>
      <xdr:rowOff>59333</xdr:rowOff>
    </xdr:from>
    <xdr:to>
      <xdr:col>13</xdr:col>
      <xdr:colOff>1932214</xdr:colOff>
      <xdr:row>6</xdr:row>
      <xdr:rowOff>1074965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969ABE6-5EFC-49CE-B6C9-AB00EE1B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17785" y="5257262"/>
          <a:ext cx="1877786" cy="2145024"/>
        </a:xfrm>
        <a:prstGeom prst="rect">
          <a:avLst/>
        </a:prstGeom>
      </xdr:spPr>
    </xdr:pic>
    <xdr:clientData/>
  </xdr:twoCellAnchor>
  <xdr:twoCellAnchor editAs="oneCell">
    <xdr:from>
      <xdr:col>13</xdr:col>
      <xdr:colOff>54428</xdr:colOff>
      <xdr:row>3</xdr:row>
      <xdr:rowOff>59933</xdr:rowOff>
    </xdr:from>
    <xdr:to>
      <xdr:col>13</xdr:col>
      <xdr:colOff>1945821</xdr:colOff>
      <xdr:row>3</xdr:row>
      <xdr:rowOff>1102179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B265DB8-6A22-46E3-87DC-F7AA1E41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17785" y="2999076"/>
          <a:ext cx="1891393" cy="1042246"/>
        </a:xfrm>
        <a:prstGeom prst="rect">
          <a:avLst/>
        </a:prstGeom>
      </xdr:spPr>
    </xdr:pic>
    <xdr:clientData/>
  </xdr:twoCellAnchor>
  <xdr:twoCellAnchor editAs="oneCell">
    <xdr:from>
      <xdr:col>13</xdr:col>
      <xdr:colOff>54428</xdr:colOff>
      <xdr:row>4</xdr:row>
      <xdr:rowOff>55093</xdr:rowOff>
    </xdr:from>
    <xdr:to>
      <xdr:col>13</xdr:col>
      <xdr:colOff>1945822</xdr:colOff>
      <xdr:row>4</xdr:row>
      <xdr:rowOff>1088571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440062E-1111-4DC4-93A5-36DCEF317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17785" y="4123629"/>
          <a:ext cx="1891394" cy="1033478"/>
        </a:xfrm>
        <a:prstGeom prst="rect">
          <a:avLst/>
        </a:prstGeom>
      </xdr:spPr>
    </xdr:pic>
    <xdr:clientData/>
  </xdr:twoCellAnchor>
  <xdr:twoCellAnchor editAs="oneCell">
    <xdr:from>
      <xdr:col>13</xdr:col>
      <xdr:colOff>81642</xdr:colOff>
      <xdr:row>8</xdr:row>
      <xdr:rowOff>47067</xdr:rowOff>
    </xdr:from>
    <xdr:to>
      <xdr:col>13</xdr:col>
      <xdr:colOff>1918608</xdr:colOff>
      <xdr:row>8</xdr:row>
      <xdr:rowOff>1047750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45978ADC-ED57-420A-BD0A-F6B6FB1F5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44999" y="8633174"/>
          <a:ext cx="1836966" cy="1000683"/>
        </a:xfrm>
        <a:prstGeom prst="rect">
          <a:avLst/>
        </a:prstGeom>
      </xdr:spPr>
    </xdr:pic>
    <xdr:clientData/>
  </xdr:twoCellAnchor>
  <xdr:twoCellAnchor editAs="oneCell">
    <xdr:from>
      <xdr:col>13</xdr:col>
      <xdr:colOff>40822</xdr:colOff>
      <xdr:row>2</xdr:row>
      <xdr:rowOff>40822</xdr:rowOff>
    </xdr:from>
    <xdr:to>
      <xdr:col>13</xdr:col>
      <xdr:colOff>1932215</xdr:colOff>
      <xdr:row>2</xdr:row>
      <xdr:rowOff>1088572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7AD2554-D77A-4542-BC24-1B3B603DC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104179" y="1850572"/>
          <a:ext cx="1891393" cy="1047750"/>
        </a:xfrm>
        <a:prstGeom prst="rect">
          <a:avLst/>
        </a:prstGeom>
      </xdr:spPr>
    </xdr:pic>
    <xdr:clientData/>
  </xdr:twoCellAnchor>
  <xdr:oneCellAnchor>
    <xdr:from>
      <xdr:col>11</xdr:col>
      <xdr:colOff>312965</xdr:colOff>
      <xdr:row>12</xdr:row>
      <xdr:rowOff>23028</xdr:rowOff>
    </xdr:from>
    <xdr:ext cx="1469572" cy="956688"/>
    <xdr:pic>
      <xdr:nvPicPr>
        <xdr:cNvPr id="17" name="Picture 16">
          <a:extLst>
            <a:ext uri="{FF2B5EF4-FFF2-40B4-BE49-F238E27FC236}">
              <a16:creationId xmlns:a16="http://schemas.microsoft.com/office/drawing/2014/main" id="{3E67F6BC-81FC-4F10-B2A3-1A27A7F8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716251" y="13752635"/>
          <a:ext cx="1469572" cy="956688"/>
        </a:xfrm>
        <a:prstGeom prst="rect">
          <a:avLst/>
        </a:prstGeom>
      </xdr:spPr>
    </xdr:pic>
    <xdr:clientData/>
  </xdr:oneCellAnchor>
  <xdr:oneCellAnchor>
    <xdr:from>
      <xdr:col>13</xdr:col>
      <xdr:colOff>68036</xdr:colOff>
      <xdr:row>12</xdr:row>
      <xdr:rowOff>40821</xdr:rowOff>
    </xdr:from>
    <xdr:ext cx="1877785" cy="922998"/>
    <xdr:pic>
      <xdr:nvPicPr>
        <xdr:cNvPr id="25" name="Picture 24">
          <a:extLst>
            <a:ext uri="{FF2B5EF4-FFF2-40B4-BE49-F238E27FC236}">
              <a16:creationId xmlns:a16="http://schemas.microsoft.com/office/drawing/2014/main" id="{64AEC235-9193-4883-B7AE-0335086C9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607893" y="13770428"/>
          <a:ext cx="1877785" cy="922998"/>
        </a:xfrm>
        <a:prstGeom prst="rect">
          <a:avLst/>
        </a:prstGeom>
      </xdr:spPr>
    </xdr:pic>
    <xdr:clientData/>
  </xdr:oneCellAnchor>
  <xdr:twoCellAnchor editAs="oneCell">
    <xdr:from>
      <xdr:col>13</xdr:col>
      <xdr:colOff>365908</xdr:colOff>
      <xdr:row>13</xdr:row>
      <xdr:rowOff>13608</xdr:rowOff>
    </xdr:from>
    <xdr:to>
      <xdr:col>13</xdr:col>
      <xdr:colOff>1279071</xdr:colOff>
      <xdr:row>13</xdr:row>
      <xdr:rowOff>958337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14C39AC-59ED-90E7-E14C-6E134C340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flipH="1">
          <a:off x="19905765" y="13743215"/>
          <a:ext cx="913163" cy="9447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37361</xdr:colOff>
      <xdr:row>3</xdr:row>
      <xdr:rowOff>40821</xdr:rowOff>
    </xdr:from>
    <xdr:to>
      <xdr:col>12</xdr:col>
      <xdr:colOff>1918607</xdr:colOff>
      <xdr:row>3</xdr:row>
      <xdr:rowOff>1374321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AC2BF9-DD64-4A90-8654-CBE7B25F6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59004" y="2027464"/>
          <a:ext cx="1881246" cy="1333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23041</xdr:colOff>
      <xdr:row>4</xdr:row>
      <xdr:rowOff>38168</xdr:rowOff>
    </xdr:from>
    <xdr:to>
      <xdr:col>12</xdr:col>
      <xdr:colOff>1959429</xdr:colOff>
      <xdr:row>4</xdr:row>
      <xdr:rowOff>1374321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1327B-9234-47F4-8FD6-D45620BB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44684" y="3439954"/>
          <a:ext cx="1936388" cy="1336153"/>
        </a:xfrm>
        <a:prstGeom prst="rect">
          <a:avLst/>
        </a:prstGeom>
      </xdr:spPr>
    </xdr:pic>
    <xdr:clientData/>
  </xdr:twoCellAnchor>
  <xdr:twoCellAnchor editAs="oneCell">
    <xdr:from>
      <xdr:col>12</xdr:col>
      <xdr:colOff>81643</xdr:colOff>
      <xdr:row>2</xdr:row>
      <xdr:rowOff>63299</xdr:rowOff>
    </xdr:from>
    <xdr:to>
      <xdr:col>12</xdr:col>
      <xdr:colOff>1932214</xdr:colOff>
      <xdr:row>2</xdr:row>
      <xdr:rowOff>1374321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CAF585-0D69-49F8-9166-5A17F5D2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03286" y="4880228"/>
          <a:ext cx="1850571" cy="1311022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</xdr:colOff>
      <xdr:row>1</xdr:row>
      <xdr:rowOff>40823</xdr:rowOff>
    </xdr:from>
    <xdr:to>
      <xdr:col>12</xdr:col>
      <xdr:colOff>1918607</xdr:colOff>
      <xdr:row>1</xdr:row>
      <xdr:rowOff>1388097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7278B4-04F2-4779-B28C-9C5412010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383555" y="612323"/>
          <a:ext cx="1856695" cy="1347274"/>
        </a:xfrm>
        <a:prstGeom prst="rect">
          <a:avLst/>
        </a:prstGeom>
      </xdr:spPr>
    </xdr:pic>
    <xdr:clientData/>
  </xdr:twoCellAnchor>
  <xdr:twoCellAnchor editAs="oneCell">
    <xdr:from>
      <xdr:col>14</xdr:col>
      <xdr:colOff>52201</xdr:colOff>
      <xdr:row>4</xdr:row>
      <xdr:rowOff>40822</xdr:rowOff>
    </xdr:from>
    <xdr:to>
      <xdr:col>14</xdr:col>
      <xdr:colOff>1941012</xdr:colOff>
      <xdr:row>4</xdr:row>
      <xdr:rowOff>1387928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9782B5-0A52-44C3-BDB8-58DCC168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46880" y="3442608"/>
          <a:ext cx="1888811" cy="1347106"/>
        </a:xfrm>
        <a:prstGeom prst="rect">
          <a:avLst/>
        </a:prstGeom>
      </xdr:spPr>
    </xdr:pic>
    <xdr:clientData/>
  </xdr:twoCellAnchor>
  <xdr:twoCellAnchor editAs="oneCell">
    <xdr:from>
      <xdr:col>14</xdr:col>
      <xdr:colOff>54428</xdr:colOff>
      <xdr:row>1</xdr:row>
      <xdr:rowOff>54429</xdr:rowOff>
    </xdr:from>
    <xdr:to>
      <xdr:col>14</xdr:col>
      <xdr:colOff>1936257</xdr:colOff>
      <xdr:row>1</xdr:row>
      <xdr:rowOff>1374322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9BD27B-9CF5-460C-9A8E-81CAF240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49107" y="625929"/>
          <a:ext cx="1881829" cy="1319893"/>
        </a:xfrm>
        <a:prstGeom prst="rect">
          <a:avLst/>
        </a:prstGeom>
      </xdr:spPr>
    </xdr:pic>
    <xdr:clientData/>
  </xdr:twoCellAnchor>
  <xdr:twoCellAnchor editAs="oneCell">
    <xdr:from>
      <xdr:col>14</xdr:col>
      <xdr:colOff>54427</xdr:colOff>
      <xdr:row>2</xdr:row>
      <xdr:rowOff>28177</xdr:rowOff>
    </xdr:from>
    <xdr:to>
      <xdr:col>14</xdr:col>
      <xdr:colOff>1945821</xdr:colOff>
      <xdr:row>2</xdr:row>
      <xdr:rowOff>1401535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6F0DDE1-6156-4961-84C2-E05F840E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349106" y="4845106"/>
          <a:ext cx="1891394" cy="1373358"/>
        </a:xfrm>
        <a:prstGeom prst="rect">
          <a:avLst/>
        </a:prstGeom>
      </xdr:spPr>
    </xdr:pic>
    <xdr:clientData/>
  </xdr:twoCellAnchor>
  <xdr:twoCellAnchor editAs="oneCell">
    <xdr:from>
      <xdr:col>14</xdr:col>
      <xdr:colOff>27215</xdr:colOff>
      <xdr:row>3</xdr:row>
      <xdr:rowOff>40821</xdr:rowOff>
    </xdr:from>
    <xdr:to>
      <xdr:col>14</xdr:col>
      <xdr:colOff>1951856</xdr:colOff>
      <xdr:row>3</xdr:row>
      <xdr:rowOff>1374322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D1770CC-8716-4F19-862C-353EA5212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294929" y="3442607"/>
          <a:ext cx="1924641" cy="13335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56633</xdr:colOff>
      <xdr:row>7</xdr:row>
      <xdr:rowOff>69272</xdr:rowOff>
    </xdr:from>
    <xdr:to>
      <xdr:col>11</xdr:col>
      <xdr:colOff>2270907</xdr:colOff>
      <xdr:row>8</xdr:row>
      <xdr:rowOff>6737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B21877-3CE0-4426-86BC-71E7DD26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39633" y="11274136"/>
          <a:ext cx="2214274" cy="1669283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69271</xdr:colOff>
      <xdr:row>11</xdr:row>
      <xdr:rowOff>400028</xdr:rowOff>
    </xdr:from>
    <xdr:to>
      <xdr:col>11</xdr:col>
      <xdr:colOff>2268682</xdr:colOff>
      <xdr:row>11</xdr:row>
      <xdr:rowOff>2008910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124506-4ED7-48C2-914E-BBE760B3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3407" y="18532164"/>
          <a:ext cx="2199411" cy="1608882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69272</xdr:colOff>
      <xdr:row>8</xdr:row>
      <xdr:rowOff>38633</xdr:rowOff>
    </xdr:from>
    <xdr:to>
      <xdr:col>11</xdr:col>
      <xdr:colOff>2268682</xdr:colOff>
      <xdr:row>8</xdr:row>
      <xdr:rowOff>1701275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7B5652-214F-4F21-8673-E042CE5ED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2272" y="12975315"/>
          <a:ext cx="2199410" cy="1662642"/>
        </a:xfrm>
        <a:prstGeom prst="rect">
          <a:avLst/>
        </a:prstGeom>
      </xdr:spPr>
    </xdr:pic>
    <xdr:clientData/>
  </xdr:twoCellAnchor>
  <xdr:twoCellAnchor editAs="oneCell">
    <xdr:from>
      <xdr:col>11</xdr:col>
      <xdr:colOff>86590</xdr:colOff>
      <xdr:row>9</xdr:row>
      <xdr:rowOff>43785</xdr:rowOff>
    </xdr:from>
    <xdr:to>
      <xdr:col>11</xdr:col>
      <xdr:colOff>2245270</xdr:colOff>
      <xdr:row>9</xdr:row>
      <xdr:rowOff>1697865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404813-E74D-47C2-9BB8-B9E7D221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69590" y="14712285"/>
          <a:ext cx="2158680" cy="1654080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69273</xdr:colOff>
      <xdr:row>2</xdr:row>
      <xdr:rowOff>67062</xdr:rowOff>
    </xdr:from>
    <xdr:to>
      <xdr:col>11</xdr:col>
      <xdr:colOff>2289046</xdr:colOff>
      <xdr:row>3</xdr:row>
      <xdr:rowOff>65764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7CBDFD-CE94-43BF-AB0C-61EC88F5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52273" y="2612835"/>
          <a:ext cx="2219773" cy="1730520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69271</xdr:colOff>
      <xdr:row>1</xdr:row>
      <xdr:rowOff>59406</xdr:rowOff>
    </xdr:from>
    <xdr:to>
      <xdr:col>11</xdr:col>
      <xdr:colOff>2289046</xdr:colOff>
      <xdr:row>2</xdr:row>
      <xdr:rowOff>42049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C37EE3-EBAA-4A5A-B9DB-A2F854CD1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52271" y="873361"/>
          <a:ext cx="2219775" cy="1714461"/>
        </a:xfrm>
        <a:prstGeom prst="rect">
          <a:avLst/>
        </a:prstGeom>
      </xdr:spPr>
    </xdr:pic>
    <xdr:clientData/>
  </xdr:twoCellAnchor>
  <xdr:twoCellAnchor editAs="oneCell">
    <xdr:from>
      <xdr:col>11</xdr:col>
      <xdr:colOff>40315</xdr:colOff>
      <xdr:row>4</xdr:row>
      <xdr:rowOff>51955</xdr:rowOff>
    </xdr:from>
    <xdr:to>
      <xdr:col>11</xdr:col>
      <xdr:colOff>2273776</xdr:colOff>
      <xdr:row>5</xdr:row>
      <xdr:rowOff>47091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BCB635-E8F9-490B-B1D6-EF592AB5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423315" y="6061364"/>
          <a:ext cx="2233461" cy="1726954"/>
        </a:xfrm>
        <a:prstGeom prst="rect">
          <a:avLst/>
        </a:prstGeom>
      </xdr:spPr>
    </xdr:pic>
    <xdr:clientData/>
  </xdr:twoCellAnchor>
  <xdr:twoCellAnchor editAs="oneCell">
    <xdr:from>
      <xdr:col>11</xdr:col>
      <xdr:colOff>51953</xdr:colOff>
      <xdr:row>3</xdr:row>
      <xdr:rowOff>69490</xdr:rowOff>
    </xdr:from>
    <xdr:to>
      <xdr:col>11</xdr:col>
      <xdr:colOff>2271728</xdr:colOff>
      <xdr:row>4</xdr:row>
      <xdr:rowOff>35375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C062D-8783-49A6-AED8-BD5129F3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434953" y="4347081"/>
          <a:ext cx="2219775" cy="1697703"/>
        </a:xfrm>
        <a:prstGeom prst="rect">
          <a:avLst/>
        </a:prstGeom>
      </xdr:spPr>
    </xdr:pic>
    <xdr:clientData/>
  </xdr:twoCellAnchor>
  <xdr:twoCellAnchor editAs="oneCell">
    <xdr:from>
      <xdr:col>11</xdr:col>
      <xdr:colOff>69271</xdr:colOff>
      <xdr:row>5</xdr:row>
      <xdr:rowOff>52351</xdr:rowOff>
    </xdr:from>
    <xdr:to>
      <xdr:col>11</xdr:col>
      <xdr:colOff>2289046</xdr:colOff>
      <xdr:row>6</xdr:row>
      <xdr:rowOff>104281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8ECAAA-95C7-456F-83FD-258CB802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452271" y="7793578"/>
          <a:ext cx="2219775" cy="1783748"/>
        </a:xfrm>
        <a:prstGeom prst="rect">
          <a:avLst/>
        </a:prstGeom>
      </xdr:spPr>
    </xdr:pic>
    <xdr:clientData/>
  </xdr:twoCellAnchor>
  <xdr:twoCellAnchor editAs="oneCell">
    <xdr:from>
      <xdr:col>11</xdr:col>
      <xdr:colOff>39394</xdr:colOff>
      <xdr:row>6</xdr:row>
      <xdr:rowOff>69272</xdr:rowOff>
    </xdr:from>
    <xdr:to>
      <xdr:col>11</xdr:col>
      <xdr:colOff>2233209</xdr:colOff>
      <xdr:row>7</xdr:row>
      <xdr:rowOff>6738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49FB7DD-763F-49F8-A774-0FF3CDF2D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22394" y="9542317"/>
          <a:ext cx="2193815" cy="1669285"/>
        </a:xfrm>
        <a:prstGeom prst="rect">
          <a:avLst/>
        </a:prstGeom>
      </xdr:spPr>
    </xdr:pic>
    <xdr:clientData/>
  </xdr:twoCellAnchor>
  <xdr:twoCellAnchor editAs="oneCell">
    <xdr:from>
      <xdr:col>13</xdr:col>
      <xdr:colOff>69272</xdr:colOff>
      <xdr:row>8</xdr:row>
      <xdr:rowOff>45472</xdr:rowOff>
    </xdr:from>
    <xdr:to>
      <xdr:col>13</xdr:col>
      <xdr:colOff>2251363</xdr:colOff>
      <xdr:row>8</xdr:row>
      <xdr:rowOff>1697182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7D66F7-0048-47C5-8329-92CD8F6F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55590" y="12982154"/>
          <a:ext cx="2182091" cy="1651710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4</xdr:row>
      <xdr:rowOff>17318</xdr:rowOff>
    </xdr:from>
    <xdr:to>
      <xdr:col>13</xdr:col>
      <xdr:colOff>2251363</xdr:colOff>
      <xdr:row>4</xdr:row>
      <xdr:rowOff>1722292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77F80B-5161-4527-B3A6-574017C3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38272" y="6026727"/>
          <a:ext cx="2199409" cy="1714499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3</xdr:row>
      <xdr:rowOff>30620</xdr:rowOff>
    </xdr:from>
    <xdr:to>
      <xdr:col>13</xdr:col>
      <xdr:colOff>2268682</xdr:colOff>
      <xdr:row>3</xdr:row>
      <xdr:rowOff>1697181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58C108D-B569-40A2-AAFA-DC6F45A99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38272" y="4308211"/>
          <a:ext cx="2216728" cy="1666561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51955</xdr:colOff>
      <xdr:row>5</xdr:row>
      <xdr:rowOff>103910</xdr:rowOff>
    </xdr:from>
    <xdr:to>
      <xdr:col>13</xdr:col>
      <xdr:colOff>2234045</xdr:colOff>
      <xdr:row>5</xdr:row>
      <xdr:rowOff>1658932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288FFC-6766-46AC-B5AB-98C944C1C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38273" y="7845137"/>
          <a:ext cx="2182090" cy="1555022"/>
        </a:xfrm>
        <a:prstGeom prst="rect">
          <a:avLst/>
        </a:prstGeom>
      </xdr:spPr>
    </xdr:pic>
    <xdr:clientData/>
  </xdr:twoCellAnchor>
  <xdr:twoCellAnchor editAs="oneCell">
    <xdr:from>
      <xdr:col>13</xdr:col>
      <xdr:colOff>69273</xdr:colOff>
      <xdr:row>9</xdr:row>
      <xdr:rowOff>658089</xdr:rowOff>
    </xdr:from>
    <xdr:to>
      <xdr:col>13</xdr:col>
      <xdr:colOff>2216727</xdr:colOff>
      <xdr:row>10</xdr:row>
      <xdr:rowOff>1246909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D18DC-A1F4-488E-95C3-A8F0F68A5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55591" y="15326589"/>
          <a:ext cx="2147454" cy="2320638"/>
        </a:xfrm>
        <a:prstGeom prst="rect">
          <a:avLst/>
        </a:prstGeom>
      </xdr:spPr>
    </xdr:pic>
    <xdr:clientData/>
  </xdr:twoCellAnchor>
  <xdr:twoCellAnchor editAs="oneCell">
    <xdr:from>
      <xdr:col>13</xdr:col>
      <xdr:colOff>51954</xdr:colOff>
      <xdr:row>7</xdr:row>
      <xdr:rowOff>69273</xdr:rowOff>
    </xdr:from>
    <xdr:to>
      <xdr:col>13</xdr:col>
      <xdr:colOff>2268681</xdr:colOff>
      <xdr:row>7</xdr:row>
      <xdr:rowOff>1677008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1E62B14-E4B5-45C6-9525-2364EBDE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38272" y="11274137"/>
          <a:ext cx="2216727" cy="1607735"/>
        </a:xfrm>
        <a:prstGeom prst="rect">
          <a:avLst/>
        </a:prstGeom>
      </xdr:spPr>
    </xdr:pic>
    <xdr:clientData/>
  </xdr:twoCellAnchor>
  <xdr:twoCellAnchor editAs="oneCell">
    <xdr:from>
      <xdr:col>13</xdr:col>
      <xdr:colOff>84030</xdr:colOff>
      <xdr:row>1</xdr:row>
      <xdr:rowOff>69272</xdr:rowOff>
    </xdr:from>
    <xdr:to>
      <xdr:col>13</xdr:col>
      <xdr:colOff>2268682</xdr:colOff>
      <xdr:row>1</xdr:row>
      <xdr:rowOff>1714500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FB22A92-F638-4E5D-BB25-57ED4846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70348" y="883227"/>
          <a:ext cx="2184652" cy="1645228"/>
        </a:xfrm>
        <a:prstGeom prst="rect">
          <a:avLst/>
        </a:prstGeom>
      </xdr:spPr>
    </xdr:pic>
    <xdr:clientData/>
  </xdr:twoCellAnchor>
  <xdr:twoCellAnchor editAs="oneCell">
    <xdr:from>
      <xdr:col>13</xdr:col>
      <xdr:colOff>69272</xdr:colOff>
      <xdr:row>2</xdr:row>
      <xdr:rowOff>69272</xdr:rowOff>
    </xdr:from>
    <xdr:to>
      <xdr:col>13</xdr:col>
      <xdr:colOff>2234046</xdr:colOff>
      <xdr:row>2</xdr:row>
      <xdr:rowOff>1697182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E97553-E5F4-4E3F-8158-4A6993733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55590" y="2615045"/>
          <a:ext cx="2164774" cy="1627910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34635</xdr:colOff>
      <xdr:row>6</xdr:row>
      <xdr:rowOff>51953</xdr:rowOff>
    </xdr:from>
    <xdr:to>
      <xdr:col>13</xdr:col>
      <xdr:colOff>2280168</xdr:colOff>
      <xdr:row>6</xdr:row>
      <xdr:rowOff>1697182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D65E470-9E4B-4BFB-B5D2-0F8957CFB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720953" y="9524998"/>
          <a:ext cx="2245533" cy="1645229"/>
        </a:xfrm>
        <a:prstGeom prst="rect">
          <a:avLst/>
        </a:prstGeom>
      </xdr:spPr>
    </xdr:pic>
    <xdr:clientData/>
  </xdr:twoCellAnchor>
  <xdr:oneCellAnchor>
    <xdr:from>
      <xdr:col>11</xdr:col>
      <xdr:colOff>69271</xdr:colOff>
      <xdr:row>10</xdr:row>
      <xdr:rowOff>53664</xdr:rowOff>
    </xdr:from>
    <xdr:ext cx="2199411" cy="1608882"/>
    <xdr:pic>
      <xdr:nvPicPr>
        <xdr:cNvPr id="21" name="Picture 20">
          <a:extLst>
            <a:ext uri="{FF2B5EF4-FFF2-40B4-BE49-F238E27FC236}">
              <a16:creationId xmlns:a16="http://schemas.microsoft.com/office/drawing/2014/main" id="{6BC9DC32-4DA1-49DF-B3B5-564B8474E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2271" y="18185800"/>
          <a:ext cx="2199411" cy="1608882"/>
        </a:xfrm>
        <a:prstGeom prst="rect">
          <a:avLst/>
        </a:prstGeom>
      </xdr:spPr>
    </xdr:pic>
    <xdr:clientData/>
  </xdr:oneCellAnchor>
  <xdr:twoCellAnchor editAs="oneCell">
    <xdr:from>
      <xdr:col>13</xdr:col>
      <xdr:colOff>311728</xdr:colOff>
      <xdr:row>11</xdr:row>
      <xdr:rowOff>173183</xdr:rowOff>
    </xdr:from>
    <xdr:to>
      <xdr:col>13</xdr:col>
      <xdr:colOff>2110309</xdr:colOff>
      <xdr:row>11</xdr:row>
      <xdr:rowOff>2299074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DFD6DED-8F16-4C75-ACB6-8CF2BE51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301364" y="18305319"/>
          <a:ext cx="1798581" cy="21258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E99DC3-7995-4A00-A323-88CCD56FB96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A46824-93E0-42E8-9195-CD88941F35A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2C0478-82C0-488A-9CC8-7722F023E26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38CD1A3-63E2-40BE-9D0C-A3C51A9FB2F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A3E3C-2443-4F91-AE1E-4531903ADC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E45409A-970D-49DC-AEB3-C39B2D26E21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C348F10-0C5E-4C1B-8ADC-9788C5EBB0C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9705123-3D76-4554-B247-4847C282D7B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E67AC27-E6AD-4351-9FBF-1A58B3563DE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3AC12E-05AF-4E92-B7A0-2648C75D2DB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103F73-6503-490C-B66D-E1529F940EF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23F51F-EB10-4007-8649-912F846CAD2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DD935C-3563-4D61-8AD5-F1B1CFAA522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8664683-7C66-49D0-A586-DC9FF141E5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99E52BF-559B-4BA1-84EF-344F0065E6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42B2F11-F95D-42EF-8784-136F59F068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AC9715-49B8-458A-8F86-84D7D0FAB88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AD8F7A-85F0-42A1-AC9A-223C10E7914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9CC4F4-BF06-4560-9713-60DE13B66AF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C890CEE-44FA-4247-B662-67A07F0843E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C7F95AA-B4A5-4F7C-B79B-79B96D722A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314E16-F5EE-45CA-B4AC-56E5D2FEA53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EB9447-45F3-4A89-8A7F-8EA52CF8CEF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B5EDC31-3B6B-4772-9896-158E4FFAA61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FBC6E73-D6E5-427F-B090-5C9E738C77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811D05B-51A7-401E-BFCE-86C2B4615B9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D94921D-EAD7-4085-9EA8-5ABA5FF7633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BF285C2-961C-49C2-BAC5-8DFC7731CB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EE7BB59-78C5-451A-B27D-2AC49F6B74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7443622-C99B-492E-AF88-245CBDAA57C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A84AAEA-6D26-40BE-827A-75D73FC1454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6A3D1B-3E1D-46CC-8CAA-75C73C302E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F5DEB57-C7CA-4B58-9E33-812D201C07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869362C-75B2-4944-8CBF-8122B2BC0C5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A1BE934-0359-43D9-906D-61B45B36DE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7C28CD7-971B-4063-929A-7410B049FBE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C8EE72F-173A-4AD8-B6DF-C1DA56742F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EB0E65BC-5964-4427-A30E-83C28174A95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FDBEB6A-5583-40EE-8A5C-89D9BB09726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26562A-BE9A-4CCA-983A-D5D637B79B8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68592EC-CD32-4592-BCB8-F4145BC502C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61D0D13-2437-4832-908B-584B650E26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0A768F0-D67C-4302-AADF-906D5400C85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A12E9E11-356A-4750-94E3-5DD6699E3AE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3F35904-D975-45C3-91A5-06571D44429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E908815F-0FBC-4B07-87E2-3D9AD5926F5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C019B7B-AA90-4B34-8BD8-81D0ACD31B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1598316-7295-4A26-B735-9E6BD50A4E4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BC9E93D-A313-4C2B-B7C4-DE462B2CA4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18BA900-6142-439A-99DB-7EFD6B3E36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898F333-EC18-40FF-B671-0F1528421F8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297A31D-899C-4541-8070-4B4F1D6D3B2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79F7AD4A-685E-45BD-85F5-C1EA84DF47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5111326-830B-4965-ADE0-ADD96CE6CD6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DD239BE-59DC-4E9F-BD9E-819AD2D7A97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4EFC470-72B9-41EE-A03B-61DA95C211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ABC9269-EBF6-4337-B712-7D53A598383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4779817-3A27-400B-9803-0887743F3AD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53AE34C6-B497-438C-9BAB-A4B643342A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E569B3E-4BCA-48E1-95DD-3AAAD25CD5A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3C9B3693-A87E-4E8B-A23C-05C1E4FF96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52FB56C-DE87-4B96-AF01-1E58D9E3899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0675A4B-5CF9-4047-9393-33B298BCD5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860F312-2690-4427-BBFD-2058EC3FED4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DFB3890A-0991-4648-8DAE-4A0D5F1BB6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7459EF27-3EC9-4DF4-B3B1-66E440066E8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D14F8176-F94B-4595-9209-160A938E56C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AC0A4FC-083F-4613-9C98-A94586802A5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F6841D8E-9891-418A-8124-A095E15CEBF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D3C1131-CB17-47C4-AD0D-6101AA5EAF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F5222BE-2FE1-4DF6-A0BB-1BA937A632E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B44743E-31EE-4266-ADEA-11D8BAD26D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107EB73-7AFB-4259-BB5A-7D98F259B01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E6EDDB2C-AFC5-41A0-A474-7AB02566AB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80E5D35-C3CD-4E55-8A43-B89C34C45EA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BCC2975-B6F6-4ED3-A727-D083339053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2D02E134-C95F-4BEA-916E-90A0BEF1802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C03C3DF1-315B-4302-8EF2-0BF178D8AAB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C4307750-3E0D-4F07-93F4-2473C4DE40F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3D968F1C-C0CC-4402-B4B7-211A8AB75BB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3E5EA2F-4A63-4A3D-BC59-074CFB5E5AB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3F731ED-587A-4ADA-9C48-D5C10CFF777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70989A6-9E7B-4D19-A616-58369B676AC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4BEFC7A-DBA4-4A09-95CF-763BAE20A7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12F57FB0-4392-43EE-B1ED-C324AE53B80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177DCB1-B291-410F-AB56-86EBD401BE6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423AE02-DA74-4E1E-BBEB-FF58B9A081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600F7503-737F-4626-9BB8-6BE16365EA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39A030E8-6B83-453C-9232-2011390223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BA7DCA5-33E9-4E8D-92E8-39E6FD1796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DF4B63A-D156-4BA2-AE72-EF477010E1E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E8A37EB-1B54-46C3-8C85-354CD7B3BA4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9E26923B-B79E-4BAD-ABCC-B453F29C68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EF2E239-C27F-42AB-BC3A-FB1B29C1A2B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BFEBB24-F60D-4623-9385-DFBFEE2601E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591C033-40C3-4C3E-85D5-BACE8B92362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425E9FFC-849A-4853-B87A-EAB0E6BE82D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CAB1D965-9D88-4715-9DAA-DFA5DB8A59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007B30B-F84E-4784-839F-C1CFD1B9CB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D15D375-9C3D-44EE-83E8-7790A778A1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84C0AEF-9FEB-4646-9FB8-2EBB998033B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F40F277-DD32-4A3D-881A-569F3E9F9B9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7D50F9C-D996-4CBE-90F7-34ED9177DB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CADDED8-F8CD-45C2-A9DD-CD23A91B81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5BE6FE4-62F4-4A97-BB20-A4949D3DC94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20D5FD98-B05C-401D-8B4A-EE1A24C0C0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FA28349-D071-4B42-AAA7-E4AECDB079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466DBA4D-17B8-4AFB-A47D-909A690DD9F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EC9682D2-0317-4F2E-BD5F-C1B1DBEA41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96CC0D-478D-4088-A8BB-09C970BB4E6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CD30354-E623-4F67-A1C9-18B4401AEF3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A0D42F8-D990-4292-8FE2-CDF0FF7054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7C1DA7B7-9015-4FFD-9B5D-7257049AA4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1F4CB4E-B912-4EFA-A2E1-41CE538F68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A877D78-9A14-4225-88FD-AF97A27E036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5E6F379-0D2C-474B-8402-32701380B08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546D65B-3F11-401C-A95A-B33BEF7349B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545D3F66-2A96-47CD-A70C-60D0D54F5A8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38200B7D-5CCE-4109-834A-A3A8F4F0E3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E2B2BB13-54D5-43C0-B14D-3527FF957DB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A08223C2-EACB-48B1-A7A0-B263E9579F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234B10CD-02DE-4B75-A623-FC959219625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ED480128-143E-459B-8FF3-8C40E105BA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34698A7-8406-4CB3-9479-9E60BA233E8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61DDD523-4A7C-4BAD-BD95-8C1004EA531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9A24B58-EC51-4055-B793-C38D17449DE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28D09262-1822-4E12-9747-59D5E538C7E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83C410AE-DFE5-4DB5-88A7-4136F2533D4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EE2757FF-4D84-4BE4-9824-C13FD3C5BB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4F7E44A8-A612-4E45-8BEE-E0D80C8F3CF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B2261B-1C60-4AF3-99BF-1C150D7BA8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ADF686A-4C0E-45A5-A1C9-F393677ABDA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DA75300-B912-4B1A-A746-9AA5A0C7007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FC0851E-87BF-4C64-A2A9-70583F82BC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E165B11-26F9-4900-A455-CF77F0DC103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5C7CA07-6EC1-4A2D-B7B2-2A822C867AD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63815571-9C1C-4097-9663-2C82E89D35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C1CC006C-3285-41E0-9E2A-9FECC49D8A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837DF8CF-BE01-497A-8B0F-37A64D34B5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9014492-6714-43D6-93A9-2CF95177E8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78A6FAF9-FF7A-429B-BDE4-F6E136A338E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74BCCA0-6C99-4C3E-8138-E656BB0F1B9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0391FE0-4AFE-47BD-960D-8B54C474E9A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F5122969-9654-4851-9C88-2F37970B88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76FDF58A-CCEB-4DAC-A6DB-3997B4E1B0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F8AA9DC5-93C9-48D2-A359-7225F9F794E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9D3685FD-6EE3-4832-A168-459D0654785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D3AE14A-881D-4775-9EDC-682CEE37379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B279D1B-55CE-43F5-8871-1A4A18D0A7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5BF2D841-8FB6-4037-BE0F-40E0DACDA8E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8BDE25E-145D-4AEC-A533-3E60D3BDA9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B448170A-8604-4AE6-BD40-623E9DDBF99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540C095E-334A-4C08-9811-96E24432FC7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426F704B-5257-4403-B074-D17F44614D0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52EC170-80DF-4283-8B30-A954AE7C138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2136ACF7-A04F-409C-8023-98E40EEFE53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94445D68-DA9C-4781-B1BF-A3FA54A2080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31843BE-4D68-402A-A06C-6AF8D3B9DF9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FC0BD932-AEF5-40CD-855A-CD5DFFFBE98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8F57590-022E-418F-8F74-465916F294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46D45EB2-9782-4074-9053-0E1AA47B35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E03996FB-6690-4D6B-A10B-7BB95D22375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366A3F24-B48E-427B-B55F-5433A9DDA58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77AA5CB7-443A-4B3C-8974-1642D381039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53B66B53-85C1-47C2-BD16-6F53828188D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3CF0F1B-4358-420B-897C-744472BD1F7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6B05BCA-7E52-4B5D-A3AD-C18343F1D8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9CAFB2A2-59B0-42DD-8EF0-4B89CE3579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55391FE6-43A6-4557-AE63-A942938CA60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437128A-5282-42A8-9EAA-76BA24B37E9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F47629F-B6B2-4F30-9807-D99E00A732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BEF354B3-845D-46E3-903D-85EAA89456E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5743290D-DA44-42D2-8958-4CF8959F970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B1285588-1BD7-4B34-A7A0-9FE65CC8D8E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54DD7ED3-734A-4B51-9218-B61DD3581E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DE33060-2F0A-45DA-80D9-109BB63B7FA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93ED238F-AF42-4E72-9FEA-6DB83AAE863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DB0A0221-3FC4-431D-A0DC-B07B466E21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E61B385-E386-4C3C-A8BC-D8B50CE213D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625B672A-1A29-4C17-BAC5-1D3A4A28D3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52936D6E-FA1B-44CE-A5E4-783246F13A1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CC7F9B7-28D3-4AD6-8310-4C72A457CC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CA16F300-0157-44BA-9839-5FB77E4308B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C72EC5E8-C449-4EAF-B5DC-0E272FDF2EB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CB7120B-00C5-4892-A3C0-D4D6CF424A6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DB8413CF-EA8B-4A4C-9617-3C031E60632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8A697078-D5C1-4D36-AB68-2FA9E18CF6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2C4874B-8F8A-4D5C-91CD-1A4DDE5418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F365718-D0A0-46D8-B801-AB5837489DF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844CDA83-2D0D-4F31-B435-99303B335A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E8E00F9-575D-446C-B247-3E60B6D0E34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8E511CF-5C93-4D26-9001-356A0E018EA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273F85C7-289F-4B73-83B0-BFFDF803B6B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E23F1B19-058B-4B26-BE76-047B816852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81B55906-F9E3-4526-8D2C-708A8B37263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5E5538E1-C73E-4E16-8631-E70F6778A9E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115B544-0666-47C5-AE39-1B116965D28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2A838F4C-59DF-48F6-9C9C-FE0E4664B8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5A89B8D5-7B67-4076-B67B-AC384AF530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803CB7A-282D-4F2D-9E8C-3341C09C226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66FBDD1B-CB56-4507-A854-21E163C1B36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1A4C6BE8-5D3D-4419-B4F4-28FF9EC1143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367B0CB3-6244-476E-AA2C-83A8056F70F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76EDE275-B705-44A4-B238-999B8A7044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18DD23A-ADD9-4D27-A502-5E7F06B70C4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C8317E48-3F63-46F6-93F0-639D533ADD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FAA641E3-E58D-493A-AE12-E35FE1C29DA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36DC6B97-2228-46B2-9571-C1D5706F5F4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D1AD009-C65A-4032-9CAB-1C870E7E0E6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8C85149-2D8E-4BB5-82A2-2305CC2C55F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AFDF840-82A1-40B1-AAEE-D0A7C8BEA6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D8B9A6D9-1D61-40C4-B8B2-E1B5265A915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E1C31D23-7F11-47EE-A5E9-2BFDCC1680C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BA9384E8-D67A-4F2A-AC4B-CA68D5FF27C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C7F25970-BEFA-4827-9177-F793C4CBD5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39D9A35-D911-48A2-A934-EF1ED8F6006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6F2DEC20-CDAD-4240-A38A-63A7FC166B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F630B3B-B17B-4CD7-B2B9-F25A2CCEBE8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BABF0696-69CB-4F00-9AB7-EC0CE389648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3B50DD36-5B42-47AD-A740-5C651E21533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7EA9FF57-4D5F-4C84-9B59-22F656D682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40A1E0A9-8351-4B34-8777-7C11A0E908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B42014D0-48D9-4A86-9653-7E76034D0E8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716EAD05-8D6E-4F3A-AE4C-A31FBCC977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7E591E67-DFDF-4C58-9761-AB0B118E0C2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C03FCA3-F7AD-4E2E-B6F1-0F0A76C37F9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3D715D29-C628-4451-8291-EEEDE6EA1BF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BFB4229B-1483-4B05-A43B-7FA3103B1AE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45AF1D87-48BD-41CD-A050-C89B8EB02C9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535EA78-9CFC-4FB5-929A-043DC66278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FF58E8D2-C20D-4E5F-8243-71C9BA37501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8C95C160-0432-4A1D-9547-71FC5B83255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1245A1F-7BC2-4E2A-BD5D-3E80188DD8E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2081B23B-9316-4D22-81F7-6A2652F6B8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42B1B0B1-3B0F-439D-AEB9-34405C666C3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5907829A-19A1-46C8-8407-ED9ECB9BE48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2270F8F4-5150-4722-8ED6-4F3D0FEF98A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D33B985C-0DB7-488D-9B0F-60B877EE69B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ED67FE01-3A76-46D8-B0DC-E57F2F4ADC7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9C154CBC-7BF6-4DC7-9B15-DCC64F216B4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E858E0AD-2881-4360-BFAD-E39D342520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B660268C-27B4-4F5D-A182-305BB320700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57EC322-BB29-4E1F-AA16-DE55F159F39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2246574E-4D64-4C4E-A592-E4B6A5C3E90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70D382C8-F436-4B48-80E4-33C0752C589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2CD221B6-7960-46FC-8041-4561961CC38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3D959818-B268-4D5F-AF9F-4476608426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C17C575-2EEF-4690-9044-FF344B6CBA8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44016900-F8AF-4A27-BCB6-1ECC9849BD8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93884AD4-A005-4E34-ABB4-7F102819A2B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5E6EBD7-0919-4433-B0F0-35D32BB8313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EF932022-C03E-41F8-BBFC-0C76125EF56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B62B12B7-3D95-4233-B43A-D5D4323DE6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8F25E036-51FE-4FCF-9FD9-8537965DFF6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182882C-B2BB-430C-81E7-C2287A109C6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91B3BF3A-82FC-460B-B26D-2E8BD69CE37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185CA4AE-2034-40E8-8294-53B9D0E7A5A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63A70DA4-DF70-4A98-BFFD-BAE994B4C4F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35EA2BA2-AA0C-4DF7-838A-7A837E24642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1312B717-8101-48B5-9893-CE136C76FE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5C6AA2D9-A055-4B94-8C0F-D9F70D5F2F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66C34AD2-DF8B-421E-A42D-BCB276E2BCE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F448F5E0-170E-45F4-92D0-44F601FAB70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862A78DA-376A-4AF4-926C-9C97AF479DF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6D5B3157-5A7E-44C2-8ED0-B2D383E51ED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440E477F-309B-4AA8-BC99-8FC53864898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21F03E63-2C65-401A-AAC3-4A949E67D4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14E10EC0-DD8E-4118-B49D-8DA20DB41F7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78780BB4-1C45-4B8D-AF14-766560758B9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C4306213-0238-4F3D-9167-7E88D2E6627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1551328-D9FE-48B7-9AC3-5CF5579213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C2FE61F2-AD23-4E96-B453-B1E23C75D55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99ABB0C2-143B-4994-A3EA-DE3437361F3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73FACFF5-95D9-4699-BD7A-9273B23435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8771E0AE-9A25-43ED-8084-4D6546B9B6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F475384C-FFEA-448E-B117-443AF34E3D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B386D337-59AE-4C6B-AA51-5C2D835BDEC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D72471BE-4246-49B3-9834-CA7FAB945E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91D105B-7849-4827-AD8C-8D424FFE63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30C890FD-0231-46F5-B15F-B2CE032AC8F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E9C80A8D-EB86-4CFA-BAAF-1ACAC8474B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6498E140-7AA5-4428-B348-B466E1781D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2EE3117D-F610-4C61-B320-3ABACF0A1AE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4CB70A87-0709-44B1-B650-7DDFF743D6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83608158-74D6-4101-943B-6AAE3281C3E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67FCF52F-67A3-4856-B94A-E499B0020D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F9F8255D-9DC4-456C-AE39-8B99D4D7311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912BA818-52DF-46D6-8BD8-BB112D839E1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CBB4BC77-B07A-4843-8444-E53E6525813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C883569-77D9-4325-9023-09347AA9C3F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6D353A48-251B-45C7-AAF8-C7B393FC7A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7585FBA-05B0-4E04-8A89-4E27BCC017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53132C64-BC06-4216-B0AF-AA82F524CCB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1F3E3ED2-34E7-4FE9-9039-C7E1920034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9E1B009F-7EFB-4821-8C34-679012921FA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3C0447E9-B443-4B21-8BA5-4580540491A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420719AD-4063-4C6C-98D2-3FFFAE6C174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143CD141-5EFF-4629-BA84-DF4E545195B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E829AC98-8E8C-4643-B31E-231F16C263F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4F34116-C7C1-45DA-92D7-75410573A6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FAE72584-6A66-4852-B0F7-4179B1B0E00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6CA463B3-3E77-4F26-8FAC-24E93205F04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424F6E2-1679-496B-AF0A-57A0FF468BE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97730B1F-8B04-4D4E-988C-1355A71BB9E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478ADF11-0A52-49DA-A3A3-14539EB0B71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820A4211-CADD-4F07-AE96-5E4803FB762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C9D29548-BBB4-4ACE-9968-692BCA6B706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B0C56950-A01C-4040-8803-E0469D7E91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16D68D60-2318-470A-B29D-CEB37CB379A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BD652FF-9158-469E-863C-3DBC874A34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A06A386-917A-467C-8EE5-5F9B86B16F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1ECB2EE-A05E-424E-96E3-423FA3194F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228E0E94-1E42-4642-AEAB-363E75C8D64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16182918-2A9F-4AAE-A2FF-35C7F046561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19040585-F53C-4510-9BEB-BE715B0D61D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FC102558-B7C3-4FC2-9C9C-66BED3EE746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F81BA493-3B26-43FC-B4B2-FD73EAEE3DA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4868640B-14C8-4C74-9C94-CEDAAC5957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76C3B5B4-49B2-4CE5-BBE4-E980EB4C75E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43BD98CB-343D-455D-92DD-58B0AC8A9B6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18D441A4-804C-4AC2-BB86-3742A38980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61D77B4-39B1-43BB-92BD-0EE4B8D8880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BD399CC3-5FC7-487C-8B55-C6C4600213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5F80F9A1-E841-41E0-BFB6-3C5E049D48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84A92B78-9FB6-467D-ABDD-3674654D0B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CFB558AF-075A-494D-95AC-CA9E8126C1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C1445F4E-86AC-4B35-871A-947D0192DB1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F669C262-CFAE-4E6A-A4AB-93B713816DA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4D3DCEC5-CF21-4639-AE6B-189AE82AA7B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95E2F0CA-802A-4947-B38E-820F4445F6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2E15A55A-F2C5-43B1-9660-BCBA53A5AF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D8F0FF7-063C-4BFB-AB4D-A71888DE23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8193A2BD-1C20-4389-9644-648AD53F0E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D04DAF81-3DDD-4D9C-A3DC-A4A01CAAA9D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D1EB22A7-B216-4BD4-8A27-33547338A3E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A979CE73-EF0B-440F-8663-EA8CC3EAC05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24BA2212-9033-4250-B8CB-DE3FDD42E82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9C53827A-495B-48E1-85C6-023803B81E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F0F96016-1A13-432F-BF72-5D87AC9DC1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7DD0211-A673-4420-8B1C-C0B2005FF35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989A32BE-101E-4039-954A-E96AE43F6F8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7D1DBDA9-48A2-4D92-AB4E-11A09CE540A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3582636-6CE3-45BA-B7A5-49D362A6658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2BF2DE69-FBB4-4C4B-9F17-BAC99B74209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5D858F2D-839A-4704-A985-DEC934A88C4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66684B14-1B35-4D04-98D4-E960686CBA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310C4E2A-51AB-4FD9-8681-B91D9C34ED1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D8760166-CBE3-4713-ADB4-CBF6835DEE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B265CBDF-DBE6-4BC6-8FCE-F06DC368FE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85566946-7B63-4D5A-9DB1-A919C97BC33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C818EF2-A54D-4C9D-BDAC-98246983AA4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1C07F09A-0642-4F9B-8805-EA9A0FB01F3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1D35A3BB-A09E-4D33-9981-3253DC97D6B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5826A2AD-741B-4D43-9435-0354074D313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9B9C5AE3-083F-4448-8E52-8EC2478A04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C56BDB5E-15AB-411C-ACEE-A79A6E6FC3B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FA76B83B-2157-4962-848A-E0073F4C5E4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B6EAF44C-9426-4B2C-A339-C4B2C0D6A6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5B71D8C-A852-424C-BE64-ACE6B057D75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BD142F38-B9AD-4ABF-A898-E40E6D8935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CC66DCF-54F6-4B33-8D65-E06AE63465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ED47750-0E57-4790-AC79-F0235A85B2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F99924F9-EF11-4523-9DEF-3444DF8A64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A2812F2E-94C7-470B-B6B9-FC103B7A41F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4B587574-C54F-4B05-9B1C-D4BCF67491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F7D89B88-C755-4A82-89CF-8B74A614583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68DCA78F-81DA-456D-8F49-E38E37CF2FC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3477FFB-0F50-4208-9783-291A47AAE91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A918E499-E399-48E5-A053-B652BFC8B04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ADA02687-5468-408B-9768-065292C64E5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557F4E78-6D60-44E9-8AC0-A5448DBD42D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835A5E31-30BF-40CC-8161-732A2F388A1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F35A6B44-AF74-4B11-A211-3BAEFB945B3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5C30E240-1F75-4D14-ADDE-F898976C6A7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058DDB71-7AE4-4E76-8433-547D1E1000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25AE0D9A-0A2C-48B1-A996-DE917563B1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E35C9997-E711-4F9D-B51E-B264BAEB272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3878D763-639D-4013-8E12-3F149E5E638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1F3FCEEB-F40D-4575-9C18-9A9E1D0FE4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7421012-C50F-4453-A649-F3C036B373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5837DE78-50F6-402B-831D-DC9F787A062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23E6D0FD-6EFC-45FA-8360-12023998FB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E0B258E0-C2AD-4A9E-A31F-C66ED7814A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6FB8F54E-D0C7-40C6-A9DC-C8922BEA46C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1A67E3D-A773-4FD3-B71A-43B3309C1E7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2775622-0439-472D-B710-05419AF3B6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A0E71D76-F259-40FC-B3CA-4BA936F5C89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8116211F-6236-4645-9413-423F9D21F1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7F7DEA6C-4646-4572-A9D4-AFCA088C14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8BE88E2D-0067-4D18-91E8-842F152C5B6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C23D104A-DBAD-4146-A076-6E9AFE5A7F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972254EE-63D1-4690-B12B-91CF6FFE27E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C1DD1506-00C1-4B6F-AFA6-45B6B1AE1D4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AF775AB2-C9E3-4387-A69E-624CBA8CC0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D7A8101D-8381-438C-A647-034BF6B1833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B79A67F6-2E84-4E7D-9B67-F91BB080BED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2EF844F9-185E-4BA5-97CA-4C7B914D43B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F2050FCB-A337-4B16-A3B1-6A993BFF5D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C47988CF-D748-4A92-AE8B-207C36134A2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AEFD304B-7D47-4174-B148-9612986028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DC6E2EDE-71E0-4B82-B356-5780BBEADE6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BDAC6C8F-F727-409C-A4B7-5B38A0DC10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6E69A4A-32C5-4AF7-8795-AAC2A2E0F7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14475140-67CC-4E86-AC8E-6314E063E0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BDF7F7AD-C012-4313-A84B-AA6660F5F51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E5202199-031C-41E9-A84D-8BC32E598AA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A32E351A-814E-4535-B41F-F4BF79E5F4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F761F3AB-7584-4EEA-B58E-9B12F185E22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A07684E4-7D28-4AEC-B87A-CEF8B37EC2F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CE79F5C1-FDE6-4E76-AA98-E054FCAC31C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D9806F4D-EA80-4708-9173-6D7051CFE0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28195611-C58A-4978-93EC-5DF61B1A1A8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AFCC052C-1288-4B09-9593-604EDC41A9D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E2DC3A60-2DDA-4ADF-8329-8A2B2C1FD4D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FB5535E3-9EB8-44AB-94BD-857BBB534E6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80B5AC5-70F1-401F-8C58-667B14977BF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4C1A1FF9-B2B1-40C6-A333-DF7A0FB0FA7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61EF468F-5330-4C6E-A764-6E1D5EBDC1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E37189B3-8F37-4638-AA7D-1E0F33496A8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D288E031-AA69-4C13-A237-D0C3F4A2EE4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3F7CB41E-F392-4076-8F1B-454E6306AF4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2706664C-30B5-431F-AB8B-8092FB7B68B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0FB6DD35-D587-4CCA-A0E8-3CEAC0F70E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E74ABD44-DFEA-4517-80D8-20C572362D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DC39A1D9-1864-48A7-ADEE-278EB5D39A5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3D823D1-EEDB-4C0C-BD5E-03AE3D1D734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B6B1D3C4-0F07-492D-B110-19F8783A39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80937BA5-5316-4335-9AA7-57F46A5C913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E3BCFD05-3526-42FD-8170-AA34E702DC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FC4FAC80-8C26-4C8A-99FE-D08D0C4B36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D483AB94-CDD9-47FC-96BF-FC4F5E7A866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4B43A38D-0EB3-4A65-BCA0-87D29EB9188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C0BEAD9F-9D45-4DB4-A2A7-1F0ABCDB9C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14918B80-5791-4C0B-BBD1-3D18A5EBDE1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7BD38C20-ED04-4E33-9725-79B903581C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7FA96B12-8712-4EC2-85A9-C9E22129012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384986EF-8AA2-4CDA-BD23-280A5BFAB5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7F0D360-3B95-4DE5-BC0A-DB72DE288F1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4507E2AB-B1C5-4893-820C-19171114DDE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6F6827C-09BE-4F01-812E-19EA94E1F5D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82FF9E8E-FD5E-4673-9CAB-900E80E2034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15CFAB3-98AA-4E34-B204-72F9FD9C05F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0D01F155-AD8A-4CAD-9936-DCA48A55E61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0F53FBAE-5C75-4B4B-B375-568FEFA19D0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6546A899-28C1-4F62-954E-A8EE78E74FA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57640CE1-C783-484A-9485-AB3CC3F53B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16835978-E6C0-4EED-B99B-215AFC91142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0AFDC5FB-DF28-4E0E-8104-F4B4B8EF190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78E96D2C-F9B8-4246-8A6C-19FA4E997CC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D0FFA18B-4D29-4B67-B3CB-32FBEF0532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D850778B-5477-484C-914D-1B11AC7BFC8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24345F06-2E09-46D9-B105-E6E9C6C2F8F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8A788F79-078D-4854-ABF2-9BB1F7E5A1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D271F5DA-B59F-4EFC-B0CA-22E0BA4D9C4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D72FE1D-7DF4-4B55-B1E2-4A95D1638B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CB60C62C-1963-48E7-8BC1-4615BF766BE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1A1B676B-AF0B-4EE5-8A05-ABAC392786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B57714B2-82B8-4197-A32D-4B24E0756F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8385C56D-8B07-4C95-BE94-1E4F6ED5B6F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DABDDA4-02D7-4831-BDA7-6D560CB6EC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925864D3-91E2-452A-BB09-A5C82D986D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EC340C10-D877-47CA-AF9F-0106395FEE4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48E925B8-91E5-4C7D-9CDF-1E8BE58C01B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09A897B5-D927-4AFC-BFCC-5A06A8138B3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C6428719-23C8-4D10-AFF0-C65EB11D319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1F30A93-1D74-4AD9-863B-4FF972FB13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D5BFA6-8452-493F-B1C0-0A707080766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380248F3-7BE9-4AC9-901E-B5920DCB07B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B188DD1E-B19E-444E-9B90-D979191D1FD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12E7FBD6-6FFB-4C96-8539-F2E2FD990C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95A1FF2B-5812-4C2C-97BB-8626D3FB87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89F7826C-39A8-49C9-A145-17EBF9AC9B1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5D28088A-9626-4F40-8B73-0FABFD060B6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32F84631-1C62-4A92-8573-643C0EDE040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51B9C47A-F8F0-4A14-9113-23AD4E5C642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9DF87F7-B1C2-4649-82A7-9D5B6E1B540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115A22EB-6754-4A23-87C9-9FF48F5FA59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296F57B9-6B31-4873-B490-43B85EA524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0EED0892-8CF2-4A5A-8620-D615C925B6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C6FFB38C-D297-42F3-BD07-4ABBC612B69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A673A47B-F4A5-4149-BE31-B42A3A9D5B5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D5AE931D-7336-4BCE-B2F0-4A956C9DD03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2B9F7F87-3563-4781-BADF-F78D4B8335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BC1C5065-BB6A-4D63-A5E1-F94FAB4BE95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92B17DB9-91F8-4EDD-AE4E-CEDF9BBE5F8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943DF559-9470-46DA-9570-602B6C96B6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A0C92738-BB54-46AF-8650-0C24111D8E3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68DDBBDE-08DF-4B5E-B4EF-676E481C617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CFB01272-25D0-4CF1-B005-37C679EFCED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F359D189-CB56-4E5E-AAF8-6324E88E87A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0D3F7361-D734-4ADA-9734-5ADF1B315F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9722995-F6C6-45F7-B274-2C03BFE7D26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A212C540-5042-44A6-B915-5C58888A8DB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D114EE95-9CC1-4A19-BDC2-9C3ED549B8B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28A933E5-3EB7-4E10-8AFF-538D60BAC32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8BBD8386-15BA-4D55-AD86-BB96E36B00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10BEC8F8-64BD-4B3F-A340-E81CD9C47DE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AEDF3F5A-2A92-4417-940D-D29F4A12258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39D98B4C-7257-4237-8B0E-171770A3B7F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9AACB48D-D16B-4E8E-AAA5-44D8B6EED22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610C3B31-C8AA-464E-9C3C-0D1D1896A00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51AC8FD9-736C-4D4E-B285-19D4B30472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D7A081C6-9365-49A8-8D6F-60172F35F3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5944424E-B890-4630-89FE-7237913609E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9FB17771-B5AB-454B-B9CD-64E1F16063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968B4951-1B59-438A-AF5E-D5709B6C5D4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67593993-BB24-47AC-BDE1-90E18B36E6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1D233321-6ADC-41EF-9C4C-B27382B2594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84A6FE96-DA8F-434A-BABE-764DE964BA2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C5D5E9FD-D195-4B30-A15C-FD5923824A3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DCA64765-DC57-423F-844C-7D57B3036BE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7AEFFE09-9858-46DE-B9C7-8F75FC74AB3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3F6BD5FD-5673-4394-B012-C763ABD564F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F8DF6A8B-7FCA-4398-837F-AB4AF721F1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9BCBF2E1-576C-442D-84EE-AA456ECCA19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9D5D865B-5D25-4960-ACB7-D2DC1AE2B9D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21975D7C-A472-40D7-97E1-BDFA512974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CFE6C18B-0FFC-4BC4-9BC0-5773868E77B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34589C30-7F87-4901-B8BB-E1281553879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E9E6CF7D-42FB-46CF-9FDA-58623D2CDAD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AE45F5CE-0821-4A0E-9C8F-4F912168ED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52A421F8-2C61-48F3-98C7-FDF96C45721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68A36E33-A8D5-417B-8E5F-FEF2E10CB3C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0347B7D-D727-4125-8758-1D07F8E11D3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3D5527AE-58AE-4855-9FF4-E69EFBCBC54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8D213CDC-A2DA-49F2-8983-5F3C43E4361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D2E65A72-1AAB-48AD-B16F-6674FE845DF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4156365-B872-48C1-BDA8-E1AEA7EA10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E3F75464-6D42-47F8-8F17-B7784FE34F1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C4E9E5A-7F80-4A51-948F-68EE46BF743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94FBECD4-6F9B-4333-92FD-AF4F61C8A7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3A27435-3B36-4231-AA9D-F16925FD77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14EEB4E9-25FE-48E9-85FA-8BBAE7FF600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3A2DD400-EEF5-4DB2-BBFD-65ED769CBE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9C2883A0-70EF-4C90-B40B-0EC5585A24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B4D7B7D2-05CF-4DE3-8C6F-5BD6324BB75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0CAFAACA-2662-4C4D-B757-2E1170D4210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A0B6AD12-9379-47F8-B460-F5E3615D151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5F34B91F-88F0-46B8-9109-A8E95D53177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E9CB9430-D82B-4C35-9EDA-251A1A0C282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F62B22FF-C379-4AB8-B62D-FB6BDAC436F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C7CEF7A1-ED0A-4D2E-8BE5-ED3C87AA41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17A1413E-13FA-48A0-95D2-359D38AEB19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03B98C7C-4D05-41C8-8FE8-6351BCDC458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702C4844-1B5E-40CF-88D8-CC50117D6BB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A53D6999-9F7F-40BC-A023-DE6290631CA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4832C103-D793-4141-9CA5-692A103BDF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AAA23B91-5056-4A49-BF96-F8A07E53FA4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618B0F3B-BA00-4357-AA50-CCCB62DD83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6636F5CE-83E8-439C-9AB7-F8861E2384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25210099-4F2C-43AF-A6C4-0E3B1AE97C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CD268218-E8F2-4FB4-B5FC-63A4FB5738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CB60F80E-71F7-449B-856E-17E5A61C8E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D20D3756-32EB-40E1-9661-66B77F6015A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DC261588-3D90-4795-86F3-5DA3EE0AE0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07E4B2B1-5B85-48DF-A74A-1E845A3DE66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F37170A2-4918-4232-84C6-03A447A016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FCCA0190-4544-4FB5-9997-27173EF09C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88644015-F792-4B21-B707-D409E60E7D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73AF70DE-AE50-42DE-8883-D5585F97E6E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5E8720C8-EC48-4524-B376-D534688E68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F4A7BA50-699A-4FC2-A90D-DE14644537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4791C9C2-1C9C-47CB-BDAA-1D20B8C385C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9D3EED97-E984-48E2-AF5D-344819C0CE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538C51BF-7FDD-4703-883F-573E1E1A097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FA1D5C66-420D-44FD-855E-2F04D87B09E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316C94DB-F561-4552-942A-2488CCFBF67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33E450BC-5112-439E-A04B-5AB8075623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0B4FD1D7-2285-4C6D-92F1-7DE1ADB9EA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F883AECB-549A-45E9-8D14-86DC9937A69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93DEFDE-A4C0-433D-98CF-D3708BDB09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35628D0C-D935-4D2B-8772-6AAD8729BB6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B25E8E0F-2633-4143-A89D-372A5426C6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DA750D8-250E-4DEC-8A2A-AD7FC1E939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E733561B-385C-4CCA-BA17-4E97FE2520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C58441B7-9C4C-4042-B30D-493DC11394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59AE9179-6C2B-47C5-A108-8117C0F4416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6940C358-06FF-486B-8DFB-D2E001AB080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4E6C4A2D-4941-452E-BC56-973D3A576B6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76E4D150-61F9-4AF6-BE03-9954491F395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9CBB1E45-98E4-4E76-8DB1-0C6C1E4068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5C78AD5A-E647-41C9-B8C9-9B596047C28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FFB64B5C-79FB-4094-9456-F6449BB614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29C950AE-EEFF-44F0-ACDD-2C58D9874ED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9158324E-8569-4DE2-84E7-E2DA14B8E32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CBBF2036-3019-44BE-ABEB-05626E465E7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17ED650A-8875-44CD-A254-771FB3F19F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8533F4A9-07A9-43EB-BAC1-BBFAE37713F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8A2F69BE-88B5-49D4-8F3E-A9A98F8D183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EDF22F39-3D75-483A-BF99-68046F2451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1C336460-70E4-4459-A922-3EBCF6A1A2B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F00A795D-43BB-4929-A051-C1296F227F3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AB04729A-02AF-4796-9D2B-AC8E408FE64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4AC6472-666E-4A24-BF11-7E570B7EF01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2D373B8F-79CF-42A8-91B5-FAFC8887310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08A62E9B-1628-4AA9-9714-B5F19373EA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BCB7195-2285-4B03-A063-C9AD85E3E7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022B089D-E628-4E05-8DA2-B5741926377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E1E2D3F-DE4B-4699-AC2B-B24143B8443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FDE40FA0-EBEA-461F-9214-8A6A0FD26E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51A9BE83-4E27-4319-B741-8D98D858CB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9B828D2-3EB2-469E-AAB7-75796CBC792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B5B23410-AFD6-4686-A178-35A4B9526DB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34FE7AD5-544D-4A87-8AC8-38198DBECE9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3EF254F4-15F5-467B-95F2-CCF04EE76CD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402A17D8-FDB1-4A16-A57E-3CFB3A8512C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6CDE55F9-1E3A-4362-BCEA-AD853316E04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57520D48-7997-4990-AE55-4DA0315C4E9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96C17BEC-A968-4EE9-831D-0B857D8DD4E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BC98626E-185F-44D3-ACCA-9EF503A6741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9C240B45-186B-4E3D-911D-F06884B64D0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503B7FFE-3905-4DA7-9698-CE75CD37086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80ACC9A5-FD46-41A2-898E-634505215D7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EF9741C8-B0F8-4561-9893-D12A18E0F03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5996F64A-52BA-495E-99DC-2789730A9D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23FE86F7-60F3-4300-8BBD-4234FFA6AE0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6DC69754-6CE6-47C3-B516-C2732272F36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A0BDB238-A07B-4E03-A16D-86826E508CC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29FA1525-42F4-440C-9CB6-EB5E25A123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2B218F8A-F30E-491B-A295-F63457498A9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FF860787-8403-46D0-8780-4B45C636092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A6DDCD32-C000-4E97-96FB-BBE0FD5B48E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406D1845-CB1F-490F-988C-576F9226700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B324AE25-CD2E-4E1A-8DC6-7FBD9A814D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C8EC01C4-0D53-4E72-A37C-D9AD71A83E3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4A288FE3-AB8A-46E4-A0F9-A552406D10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A61BB2E8-5335-4C09-A7D1-56B77434F8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D434B789-60F8-4FA5-AEED-FB5AECA57A5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B4CF2535-D74F-42A9-89E4-0630641B144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77A82DFB-488C-4336-ABEB-18E58183C1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C147FB8D-2540-42A5-BCB4-2C3055DD4F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CDF5CF99-540F-4E05-A423-A77B04A6B3B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4B9569E6-BB8A-472C-A588-00857EFCAD3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9AB3694C-BE3F-4277-A9B7-ABAF256FDF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59DDFF34-88EA-48AD-85CE-ABFD387033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A83975B-79D3-43BD-970B-00F75E18F43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D9ECBFD8-1C33-4495-834D-8D4D11B9DE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9339C48-6450-4987-9FA7-56A7B866573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8D0B9934-97FE-49B0-B54D-59FD2B20905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804E217C-74B0-4E5E-89F3-FA01D54C825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640282D1-AD3C-4413-9155-588AAEB25D1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61AE392B-E497-4B28-A603-FDC32EBA6B1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D8DB28FD-9641-4DFC-90CA-A6C54D22DC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8C2B69E1-944B-48CB-A348-2284AB8F57F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2DF149B2-E5AA-4A41-864C-755AA7D5CB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50BABAD-77E8-483D-B1F9-53D158861E2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74BD82FF-AB9E-4DB7-88FF-5AB4AFE928F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67B616C8-778C-4A2B-9C63-DC5F61D85EC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55E61827-EADD-427D-9244-3B9365D0ED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9001A0E3-C7E1-4AB7-A992-107106752F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ECB0BA9C-CE48-4D8F-821F-D6BF74B1AEB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D48712C4-BCDB-4502-8EC9-E6B335E19DF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AB116218-78E4-4BC1-B70B-37B684FCBFF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340B16ED-8E39-46BB-8236-B7E9C98601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ADDB60F2-78B0-4ACA-95D2-3EF6CD90847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C34F514E-AA5C-40F4-B7E2-74EC5F77B33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6A12FA81-1194-41B1-976C-EF18999EE80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A9FD74F8-1D2E-4397-85B5-7E8F410AFF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015786C3-1F4E-4094-B2F5-7C38C05905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4EDE96A6-285D-4F26-BFB2-8DCE576396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91943283-8C90-4776-98F1-DE367DB1B0B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347B6FD9-5CDB-40D1-B451-62BA49FA8E5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B6872FBD-E005-4B47-878C-AB6238717D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BADE515A-66A7-4540-B068-9C983F6D1E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1E68F332-5586-4970-81B3-A3B3EA78B0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84F22535-BB7A-4930-8814-8D5999CA55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062C1648-89D6-4270-9E3E-A0133AABE94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DD18FE8C-FDB3-4D83-B7F8-3C3A5E6CEB2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3FEDC829-7314-4E1D-963F-8BE6761EFB9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6C19DE03-6CE4-429E-A8D1-127EB03F48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CEE00240-90DB-4334-B61D-B1FA819B7C0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72A2D314-48D6-4886-A64B-A34317B009E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EFD03091-FE0B-4D58-BDB4-A5DB1B0E67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789A8F23-5B5E-4321-BBC8-66F603AE628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E9E46544-0A29-45A3-AE61-033898668F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F10D325E-DDA9-49CC-80E7-9D43109084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4BBC100C-87AA-49A9-8407-97174E91503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FD0E7484-3EDB-4239-9F8A-9B1F7EAD289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C805C9CF-A587-4D3E-8D59-2BC5D5A85B4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97108A8B-EDCA-42E8-9291-3518E14540C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E50E4011-89AE-4333-95E6-6FD5E55CA6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311E56D4-A880-4232-AAFF-8D44EB32109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1209814-A6F6-479A-8090-EA8ADFD6582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E3E092DC-1072-4D90-AE66-768769238D6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B02C48D-9101-487E-A13E-F426E5223F7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AF733BE1-5D3F-483C-8097-84D2CF9D808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EEB66651-ED94-4548-B22C-12746D310C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327BB481-B338-47F2-9023-CAC34C7FD1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B2E712A4-133A-46DC-BC7B-320B886CCB9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96B729D3-416D-4A2D-8219-2A0D808CC9D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AA508836-4E18-4342-98F7-7B56ECEB573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6D3C468C-C39C-46A9-B11F-579555B0C1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52EF6693-2376-4388-B0C8-D090B3EEDB8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7867FE03-01C8-47DE-8ED8-3B19E473816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525A67E6-8207-44E4-A187-AEE2108E2FC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66A91DD4-2F73-4E39-ABCE-9363A0C1D5F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1BBBCE02-B7A7-4A16-A3B7-2E8362376D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0AB2D942-2D33-40FD-836E-65DF2D03B0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B8F85AB4-333D-4B89-B85A-7588F1DF80D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963DA07D-C85E-4A98-A50E-79C7CB280E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EB7638A2-3FFE-4535-A66A-2BC35D33359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EC03A48F-CF2E-48A9-BD2F-B515963CF9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45C53C72-DCB3-46C1-B1AF-BF83443E0A0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FD51E5F7-8D41-4AD3-A1DF-5125D168F3E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DFB89915-DD70-4F65-BB14-3F7F3E9DF05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68813358-ED07-4DF2-BB85-13EF60445F1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17474A5A-20BD-4FAD-A2B0-A0FF7BDB74D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8ECF0237-D2E7-4ECF-8DF5-F549D047F5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88C078CE-E1D1-4556-9719-071AFC7817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255E101D-083B-4902-9614-05EF3CD51B1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C07EA322-3518-4FBD-85BB-8D2E294B97A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A2921A1C-0B2B-45AB-9802-A8B37B4AC8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20D0611E-5205-426D-BA0C-BB83E6BA2C0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51BB3A86-774C-48F9-811A-09F1D8CE381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CEC6EB4E-3A04-4852-8800-369BEEFD9B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8B72246C-978A-41CF-A779-36B01ADC345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C7744060-03EE-4C9B-A2BC-EE2E7922158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10B166DB-6DED-4791-BE22-51C3F49CE59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AB9EEF88-0CC7-4B4F-AEEB-09AA06087D8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3D7F2540-A82B-4522-BAC3-4E2CF18A7E5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B20863E8-759A-4C04-931B-EA12275B18D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A433DF22-3DC1-400C-893F-6BD3EB3CE7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87D8C9F1-12FB-4EDD-974C-C268638685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38144E1A-B055-4FA0-90D0-C69ECE8523C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36B87CB4-0663-4D2D-BB0A-2F77836176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EB97274-63C1-4861-B22B-29239AD35E6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8AF02349-ADEB-480B-8244-79DEE6C4FF1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F4BE7CDF-98D5-4290-B920-07DB5C2680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4640D216-760A-428E-811E-AFB65428407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EFEC5B1F-AC8E-4692-B96D-1634C6D434C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CC53BCDE-3D27-42C9-9BB7-75C1857E754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83484468-0300-41A9-BD02-65D5D1C64D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2081CF58-286C-4814-A998-CFDC7DBFA23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BB44AD8B-DED1-4DDA-BF2F-06A20C4FA8C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8573646F-FB30-4E2C-A570-FFAFCCAC93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A8189F89-CDFC-41FD-97C4-4ED908A13C8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F6407579-3681-4F34-9CF0-29AF0DD44A8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A41BD48E-5884-4E58-9BA7-B43EF32C33C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B6DD19AC-E729-4FB4-8BB1-AB3E814B4D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44ACB514-5F57-43D7-A9B4-ECF92FF1755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7F478AA-4D3C-46BB-A92E-4C7B899A7D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6F7F50BE-007F-4989-B205-D46767218C6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75F8C1B0-23AA-4C69-97D8-848F533F106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309EC722-6429-4A07-BCE0-3AE3109CDF6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246CB9BA-BB5C-40BF-BEDC-5A97092C784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E613E2B2-1D08-4E39-968A-BC57E93EF54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BFCF61C5-A76B-4502-B1C6-1D786EA1011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F0519C21-65EB-4AD2-A5AF-F5086BE0219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A35CD513-CA48-4907-AC3F-EE38F8E5FBF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6A6DE9CB-307E-4735-970D-14E4BFD6A92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7C5A6DB2-8805-4DA2-B457-754D48C8681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47FDFF5E-C190-43C8-AFFA-907C330706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E21F49AF-2D25-40C5-BFA7-4262D321DE6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E52BD36B-CB19-46FC-86CB-BE1CD0378A2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B94A2E70-C6CE-467D-95D9-22E504FEDB0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EE9615F3-28FB-48C7-97DE-23156BF4CB0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275587EA-CB73-4323-B4BA-76E4D14ED8F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F5323B2F-0238-45DE-9727-B68C5673CE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DA8B406C-D36F-40C7-AAD6-90597E0D68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A89D6CB1-66F8-4E2E-B6C3-B8DD45B12F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42328A86-65A1-4307-AFCB-E7B7AD194BA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779428D3-AA6F-4AF7-A037-42331F3B218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FAE1FF07-4CC3-4D96-B671-321274B350F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0360E108-145E-4B6F-AE5D-8A87D84A562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5D2F02D8-2FBF-4CB5-8CE5-71468EA416B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6EF4F6AB-A61C-42C3-97D9-3C3F89E724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842C08E6-6A15-4744-A340-37FF52223AD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1360A8CC-80E6-4605-8244-6F10260B45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D24788F4-2C98-42A7-85F8-FAA89BDF2A9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4758ED20-5DC7-49FD-97D1-842B3422CF8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AB0FABA6-77BC-41BD-B8D8-AB5C882D569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FFF0429D-221E-4042-8FC0-D4F7734380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C05EE2F6-94A7-4720-B1B9-840804951D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56B3918-6639-46F8-A50A-86332CBAF1B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35A275BD-1447-4DF2-9725-1365FBD501E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C0872C38-5564-4BA3-8259-5DDFA8730A9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63DA2051-A25E-4077-B55E-13100A94384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FA3671F8-D1B3-41A1-B476-56B5BDFDB3A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C1970EB8-953A-43DC-A651-EFD8B045E0F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7A83727A-226F-4C4B-B516-F9C3AA75F14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9AB84EB2-E380-49BF-AC08-7AEC2920C5B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C6C6C041-1CF6-47CB-B0DC-34EB67783E5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03045209-5067-4139-944E-2B06542C577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4EC303CE-7136-4186-83CE-A92900AECF2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316A4E07-F6D0-4B35-AB99-50DB2AC39A9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32D9A41E-3ACA-4F9C-AC14-248FA9B2B44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1A2207E4-5BC6-4AB1-8598-A80EC78A6AA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93FABB35-9C98-4554-88C3-44A65942A1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9C2B6253-2A25-4F4C-9367-31AE9D900D5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7B4AA3DA-7899-49C1-81EF-9BE86865A87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C0AAB7F0-039F-4767-8556-BE14B7FAD28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74894F7E-EBBB-4A5B-9657-38F16C897B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676394FB-203E-446E-92A8-64BEDB0BDF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B52E316-322B-4D1F-9724-2178A919E6F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DE9F43E0-2FC5-43EC-BDDC-867313F530C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7BF5AB5B-51AE-4DBE-9079-9601FD3783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00B91BE-B92F-4265-B3D6-9075A690692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3EB5793C-696E-4843-A827-D402769FC49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5D87725D-05BE-4F96-8532-FC61FCB99EB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6D2A34C-3806-405A-810D-6CE29B9FCBF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216EC2E8-18A0-436D-BC0A-B9F7C4067A2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FAA839D2-504B-4441-92DF-CF7258F8C23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C0AC5B99-8334-4B16-8A63-6656B10E880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1357C282-1537-4610-BA2A-B3449D70BDE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903015F5-E336-4901-A612-1F3A2C7F110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DBBC80B4-0E07-4BE0-AFCA-AD1A5BD2D76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AF39B31D-5E87-48E3-8C5E-02E458C70FA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E20FA339-DFF6-446B-B758-ED45EDFA87F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AE499860-DC79-4461-8179-838BD83D1B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3107E28F-3FEE-4929-A80F-42038383B6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A13A6C0C-32F2-4985-8949-350D6FD23F4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EF2BC152-DEC8-4BE4-8B25-ABFCEF59A76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257F3247-3909-46DB-867F-CE7D7415C63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D6529AD9-9F8B-493A-B9AF-26DD179EA29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BCA2A8B7-54A3-473E-84C1-EB9B99200B8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A621493A-D073-46B4-B8C1-B3F10232B84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36530D96-E78C-4FD6-8C10-082EF3D7286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65AE4193-D6D4-4BF1-80FC-E6DC2E578E6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CDCB2287-3A08-454D-867D-880F9848F57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BBD33EEF-9843-4AC3-BB0C-FDDBB877470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9EA408F1-FBA5-4889-8CCE-5992A3FCE2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3B3353C8-9F1A-41B1-A0E1-5A67FABC295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07FBB7E5-E620-4EC0-ADC1-E909B73404F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60483223-C3C9-4E90-A908-A73B1F30CAC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A183A09D-854E-4B2F-B011-AFE3851C4F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E48ED6F4-5A52-435E-B76A-D3B5F239B1B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09F2EB03-D654-46D4-A642-509672EB1C4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EE43D899-B644-4610-B2BA-2F3BCA32267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23DCEDFB-CA53-4F18-AF3E-7EBBF88C9B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F1BAFBFE-ECF8-4ACC-8F0F-294C9632F22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9499F5C0-CF23-4807-8FE0-6667D9B3F67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18A91C5D-81B5-4A08-9CDE-86C72A5DA7B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279473B1-891B-4387-AB46-3AEA29EE96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3E0C4044-B85A-4684-9E3E-B2E7BFD15E5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68B8708B-9E7F-4F6C-8C56-3BB0980DB6E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027FE82F-DAE9-44A5-B585-0A39D6ACDCD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254BD064-66CD-4528-A0D0-C69EB25E551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375DB996-8643-4313-8EF7-34A00E6365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78284D0D-B8FD-4009-BE89-ADB79A99922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B736D605-5FB5-4A59-A66E-08A0C1828D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6FDAD55D-8BFD-4DB6-B163-608456EFFF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60884EE9-8326-4689-9F4C-4743EA1768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6D66B901-E05C-4FAE-B908-16BF5197922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2258635F-0480-4827-9E6A-93E0323EC8E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D376EE66-1B37-4DC3-81D2-791A37C21CB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1737F153-E750-4655-B6C8-54330103F44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D6931758-647D-4809-8EE0-98E3295DAAF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58C24C29-7616-4379-8834-3B41F00E7D4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0757F55E-48DE-4B49-97D4-FAD2EE8CDC6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F0A10310-E26F-4B64-93E8-20C071B5CD0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B915BC56-6EE1-4095-A8F8-A3005D2437E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D1CFF578-F6DA-461A-B3B1-A9E39CF0DD7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4C97AE86-2B92-44AA-B4C6-A7A4E6164E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B0D053B8-1F60-4E46-A95C-E540287777D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62A54A49-EDAA-4AC6-8FDD-278E95584D8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363D893C-5F02-4DBC-9281-6487000117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6AF3C7BB-56A6-4B25-8E3E-93D24FD5FFD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7BD7A805-8878-480E-AC01-10F9A5E3F0A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A9542A08-DB80-46DC-ACC3-4A019BD9BD9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7F052504-5B2E-4B97-9515-3C071526E23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1EDE88CA-3C1A-40B6-AB1B-36AA08AAFA8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D655169D-7B11-4B37-AD54-58AD94A1D74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5E1DB9B2-F3F1-40FA-AD61-12500AEDB35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E867A296-FD10-4BDB-AE60-D3EBEFB8F54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BC871FB8-0F7E-412B-8A8E-DEC70DE74AE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2228D669-3416-4C4E-A6BE-03423CFCE5C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91AFD10A-C6F9-49B9-9D69-1294ECA921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F6B0180B-D2F0-4FF7-8308-6C615446EF2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954C53EB-E370-41DC-ADE3-5BB858C709E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9013D9E1-32E2-4EBA-A71E-B3671A758DF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1C072E41-AFAA-48D4-97AD-91D266C80FC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BEFA5819-4A6E-4E19-A89A-49241F8F7D7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C8FD6D9F-D48F-44BB-A269-EF7328B8281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D79AB5BB-8C5B-42F1-BBE3-E0811D6EB9A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ABA40559-EFCA-48B3-90AF-FE77985FE2E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B2AF5300-5B60-4AA8-A423-CF1B018439B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CD693608-153D-4D3B-AD2B-00B0770C5B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0945FFCF-FD90-49F5-AB60-1EEB8C72668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A63826D6-2E31-46F2-8573-BE73D9BDEC4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4C737C0A-EE27-42C6-B8AB-74A1BDC9D52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708F82A8-A4E3-4031-A1ED-E5AA844CA39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8F7E4655-9A78-4E7F-9CDC-79D6868E1B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8DF75A0E-AD99-498C-AD31-3D0FBC838BD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538453A6-0839-4CE2-A215-C0D897CE91D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BF6890CB-0CBA-43C8-9115-6B186F4C6BF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6101493B-0CB5-489E-BA69-BAF614EBF00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0628000E-EFA8-4E96-89F2-1B06F471834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A25F3486-6BA5-4953-80AE-F662509A454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BA0D542E-65B1-4589-A249-8A84A74C59A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721A439D-7EEF-4979-A8D3-387C73F112D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BA0B7C76-3D35-469E-BD1E-53EE64AC193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9374574D-AA5C-40CB-A314-112F81DFECB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9A63718F-A897-4630-992F-D9005D8B0C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E60B3977-CB62-415B-93BF-9FC5BEBA90D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CB5C77C2-AC29-4BAC-9C36-A0B1CB53198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8B630538-C5FB-4150-B2D5-8553BF287C5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DA045CE3-FCED-43CF-B66E-C4BACCC65B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BE6F8B5C-B139-4F47-B382-190944ECA8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2DFE8802-EA25-49B2-A3F9-7E7FF8C431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0BA94AFF-07E4-450B-B600-E3D49451701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865D8A71-9A4C-49CC-BB71-66A72BEA06C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6D8B1455-DFAC-45D8-9985-5C710328A50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AAFCA971-2DA9-485A-91A5-37F0F25852F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2477B5C1-B075-4228-BEAB-5E511D6D1F7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1D0A7969-8D0B-4850-B361-7331201F857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AA96F16-FFE9-456E-9527-DE3596A9B36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7B5CC7F1-E82B-4C9E-8693-EC5938251C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80DCF258-94F5-458C-8A7E-FAE9F6298B2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D776D7A3-4B2F-4CD6-AF21-7A0DF90532D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DCD332A5-1FDD-4FE3-B75C-07ADE924BF6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08D4E273-E86A-4FCF-9704-B95540A6C01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D8FB98C6-14A1-4346-9F0B-F6C5D38050C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2D3B7855-6C51-4F95-9DB9-9E73C849CA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5FA3878D-3EB8-4D24-862F-E354BFB8C27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49A3BE95-78C2-422F-AD33-AF4C478E95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6359C0C1-493B-47F5-8186-9CB4BE44291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88A9909E-672F-4944-80DB-989826DCE13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3F5FF706-8825-44B5-878B-F00C5F6D2FA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882CB225-437F-4098-BAFC-4475A8E32B0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27AE3B79-F531-4BCB-9E4A-8C661BF3D1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E1406A74-6E3F-4B17-9A40-E71A1574B2A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EC2641F1-DF76-4A29-8AAB-B1B477B94E9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23197B79-E8FC-4442-BC02-F0B4C024276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8FF2FAD8-A3A2-4F8D-A602-4721F130CA4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B83B612C-517B-4E35-BFF9-D374A93D515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5AC48F2-268D-4344-B49F-226E868D380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300CC002-9B5F-4538-812C-C642DCEEDD5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9418FA9A-7967-4F2E-AF9F-5543B83E45A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AA810D78-6CA9-4954-9A58-2406E4E5DE1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79924690-4D13-4F0E-8543-74A6511D027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AFF4C76F-6173-473B-96B5-7789B7FFFAC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21714606-03C9-4B6E-A247-7D06A41BBA9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E819BFD9-1795-4FF5-89D4-108D09CC6C7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85CC9C40-4ACC-423A-9C59-9EAE5892B4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ABFDAC0C-028F-454F-AFFC-DF396B8EEC0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1476C9BC-27C7-4856-8082-EE7971F4E08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9925C56A-FD2B-4EC8-A507-C4B6AB84609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5270E53D-E673-435A-95C5-A30370FFE2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52876AA9-FADD-44B6-A36C-E685F9FCCB9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CA41784A-B2C6-42A1-919F-293676F5B294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958A58DD-1503-46D5-A4D1-A3380A11DD0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288608B0-F5B2-4A59-A9E6-FD8ABB7955D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E2BFA909-A8E7-4404-8139-F6BBFB309E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FB714E82-F8AA-4BA3-A958-9A5916523D5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182AC7FA-A6E1-4979-858A-F8178F9A282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5180CCC5-EB3F-4DEC-BF24-E8DC0E2248E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A9F17FB6-B149-4581-B2B4-8AB38D01122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9201CE03-95AC-43D8-8F41-E0FE38B6081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D36D688F-DD8A-4A5B-BA60-EF3287BD23B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71F563FF-9CAB-46CF-9CCC-D963CBDB5DF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C984EA14-5647-4E1D-BF49-F72FF57E75C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5BDD30A3-D009-4D04-85F6-F87092A47C0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87F41AE2-DD09-47E2-8D41-6815F9ABF4C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AC54B2F3-09BD-41B5-8643-D40164383D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F3729E1-89F7-4A05-B85C-18A410D60AF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A4E7BE54-30C4-455E-8B85-5A2CB89F9D3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BCF0DA5C-E12E-4506-AD2E-0EF29BD6625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73940288-D7F7-4CA1-B094-A05A19F6F9B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A648200-A6C2-4078-9CA3-3E8ED60218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B92EC318-793D-48AD-81C6-23D8F74C013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CDC2F423-CC8A-454D-84CF-AB1D15BCAC4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F153C1A8-A43A-4787-B7AE-3ED7C00F323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BFB23941-B84F-411B-B56D-91B077CFD44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532BCC02-329A-43DA-B2DD-284AF5859E6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E6364268-3B1C-4C2A-9621-819D9B33EE1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D3AB57AD-700C-4973-A5C0-62E7F34D778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F45C2623-CC13-400A-AB3C-B81DF49ADCE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0D965511-5EBC-408C-B037-665C9B863D0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9BB47487-A12C-460B-9706-2AF9306EA71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D9D2F36E-9BF3-4206-A33D-0CB9E692EBB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278BB0FA-6ADA-4812-8A83-588CA128D1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77B39A5F-3259-480A-8B0E-8CD6330ACF3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83A934F4-008E-4447-B3AC-16FEFE1A0B6F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F9F4CFB5-268C-4CB6-A0E6-1802F89BE7D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B42798BA-D3D4-48F8-B55E-59AF7EADE72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A3C4CF0F-A776-4547-8430-10E4AE47320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FE264B13-1A44-4D96-8369-40B9CE4AB96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F67CE934-A049-4661-8B8E-2D42A3688EA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61B56F29-B8F5-4600-AAD4-302E28F2347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889D534C-16C2-4505-95CC-8716570A8489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5381E255-DECF-46A8-8275-C39AD077CC2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290F66D5-5C64-415A-A411-056B74BB37E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3BDA7191-CDFC-40F6-820E-19A75553B00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A97FEFD1-C177-4636-861D-3ED7AD506F55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445DBC2F-1A04-4A38-95D9-025851F602E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1E2FFBB6-1A0D-4FA7-980F-6D084E1D170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0531F83B-77C7-4F00-BB96-59B4EB0648A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C4C05110-CB99-49A5-BC4C-3182F3E6460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D575BFE8-1207-4B87-9589-D439F881CE6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80F96571-3DA0-4EB0-B2B3-2C2199EAE13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8926A4D2-E737-4E8D-A993-8686433D5B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D75135C9-C4CA-464A-A0E8-9AF5D0B17CB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6DBA2F9D-3485-42B9-A54C-D4CE7F39E74D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3AFFBF9E-A768-429F-883E-CC90F2A26278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29F0CAF3-CB83-4097-938B-DAAA75B30C5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B53F0406-07C6-4A82-BAAE-9E236EF4EE1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5CCF4FBE-E10C-48DC-86EC-E9CBA7160EDE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62FE26D-40B4-402B-91ED-C4AC01D97C40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DB12D56F-5478-4D90-B2B9-B5BCA3A6B4F2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ADF09E8D-62E5-4EDE-AC95-2D0590FB0EC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8C270B0B-9D6E-485E-B0DD-6D08D33098E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86F9C894-BBF8-4CF4-8D76-579424410F5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42BDC01F-7D15-4255-A8F7-742B9305BF9C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05234866-4C68-4F65-AEA0-EA59EAC989A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299E5026-C033-40AC-A668-DBC03F644EF6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28B63C82-E1BA-4EF8-87B3-08494B071531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D3EDA655-77EE-4292-B5F7-1F73BCFBE77A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36878FC2-0088-43FE-A00C-AD540A86C5C7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536ABE55-959E-4AB9-95F7-90F227CC1423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17</xdr:col>
      <xdr:colOff>0</xdr:colOff>
      <xdr:row>1</xdr:row>
      <xdr:rowOff>0</xdr:rowOff>
    </xdr:from>
    <xdr:ext cx="65" cy="172227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E9E9B7EA-745C-4DF8-A7D6-346D56BAAA1B}"/>
            </a:ext>
          </a:extLst>
        </xdr:cNvPr>
        <xdr:cNvSpPr txBox="1"/>
      </xdr:nvSpPr>
      <xdr:spPr>
        <a:xfrm>
          <a:off x="22212300" y="571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13</xdr:col>
      <xdr:colOff>73000</xdr:colOff>
      <xdr:row>8</xdr:row>
      <xdr:rowOff>95250</xdr:rowOff>
    </xdr:from>
    <xdr:to>
      <xdr:col>13</xdr:col>
      <xdr:colOff>1562099</xdr:colOff>
      <xdr:row>8</xdr:row>
      <xdr:rowOff>1212075</xdr:rowOff>
    </xdr:to>
    <xdr:pic>
      <xdr:nvPicPr>
        <xdr:cNvPr id="1012" name="Picture 1011">
          <a:extLst>
            <a:ext uri="{FF2B5EF4-FFF2-40B4-BE49-F238E27FC236}">
              <a16:creationId xmlns:a16="http://schemas.microsoft.com/office/drawing/2014/main" id="{10C7F56A-365D-42DF-99B0-8770A729C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84300" y="9534525"/>
          <a:ext cx="1489099" cy="1116825"/>
        </a:xfrm>
        <a:prstGeom prst="rect">
          <a:avLst/>
        </a:prstGeom>
      </xdr:spPr>
    </xdr:pic>
    <xdr:clientData/>
  </xdr:twoCellAnchor>
  <xdr:twoCellAnchor editAs="oneCell">
    <xdr:from>
      <xdr:col>13</xdr:col>
      <xdr:colOff>1689850</xdr:colOff>
      <xdr:row>8</xdr:row>
      <xdr:rowOff>91050</xdr:rowOff>
    </xdr:from>
    <xdr:to>
      <xdr:col>13</xdr:col>
      <xdr:colOff>3181349</xdr:colOff>
      <xdr:row>8</xdr:row>
      <xdr:rowOff>1209675</xdr:rowOff>
    </xdr:to>
    <xdr:pic>
      <xdr:nvPicPr>
        <xdr:cNvPr id="1013" name="Picture 1012">
          <a:extLst>
            <a:ext uri="{FF2B5EF4-FFF2-40B4-BE49-F238E27FC236}">
              <a16:creationId xmlns:a16="http://schemas.microsoft.com/office/drawing/2014/main" id="{5806DDB3-0A71-4073-A305-200243CC6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901150" y="9530325"/>
          <a:ext cx="1491499" cy="11186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180969</xdr:colOff>
      <xdr:row>1</xdr:row>
      <xdr:rowOff>49248</xdr:rowOff>
    </xdr:from>
    <xdr:to>
      <xdr:col>13</xdr:col>
      <xdr:colOff>1466849</xdr:colOff>
      <xdr:row>1</xdr:row>
      <xdr:rowOff>1209676</xdr:rowOff>
    </xdr:to>
    <xdr:pic>
      <xdr:nvPicPr>
        <xdr:cNvPr id="1014" name="Picture 1013">
          <a:extLst>
            <a:ext uri="{FF2B5EF4-FFF2-40B4-BE49-F238E27FC236}">
              <a16:creationId xmlns:a16="http://schemas.microsoft.com/office/drawing/2014/main" id="{7EA2C7A8-F098-43EF-9D7A-5CF8567BA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4454995" y="558022"/>
          <a:ext cx="1160428" cy="1285880"/>
        </a:xfrm>
        <a:prstGeom prst="rect">
          <a:avLst/>
        </a:prstGeom>
      </xdr:spPr>
    </xdr:pic>
    <xdr:clientData/>
  </xdr:twoCellAnchor>
  <xdr:twoCellAnchor editAs="oneCell">
    <xdr:from>
      <xdr:col>13</xdr:col>
      <xdr:colOff>1712096</xdr:colOff>
      <xdr:row>1</xdr:row>
      <xdr:rowOff>47630</xdr:rowOff>
    </xdr:from>
    <xdr:to>
      <xdr:col>13</xdr:col>
      <xdr:colOff>3112612</xdr:colOff>
      <xdr:row>1</xdr:row>
      <xdr:rowOff>1209681</xdr:rowOff>
    </xdr:to>
    <xdr:pic>
      <xdr:nvPicPr>
        <xdr:cNvPr id="1015" name="Picture 1014">
          <a:extLst>
            <a:ext uri="{FF2B5EF4-FFF2-40B4-BE49-F238E27FC236}">
              <a16:creationId xmlns:a16="http://schemas.microsoft.com/office/drawing/2014/main" id="{5F4B0F38-BF0E-4946-97E0-C6465E4E3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6042628" y="499898"/>
          <a:ext cx="1162051" cy="140051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2</xdr:row>
      <xdr:rowOff>60111</xdr:rowOff>
    </xdr:from>
    <xdr:to>
      <xdr:col>13</xdr:col>
      <xdr:colOff>1621650</xdr:colOff>
      <xdr:row>2</xdr:row>
      <xdr:rowOff>1219199</xdr:rowOff>
    </xdr:to>
    <xdr:pic>
      <xdr:nvPicPr>
        <xdr:cNvPr id="1016" name="Picture 1015">
          <a:extLst>
            <a:ext uri="{FF2B5EF4-FFF2-40B4-BE49-F238E27FC236}">
              <a16:creationId xmlns:a16="http://schemas.microsoft.com/office/drawing/2014/main" id="{13CB0B0D-AA9F-4332-A23D-75C39DDAC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87500" y="1898436"/>
          <a:ext cx="1545450" cy="1159088"/>
        </a:xfrm>
        <a:prstGeom prst="rect">
          <a:avLst/>
        </a:prstGeom>
      </xdr:spPr>
    </xdr:pic>
    <xdr:clientData/>
  </xdr:twoCellAnchor>
  <xdr:twoCellAnchor editAs="oneCell">
    <xdr:from>
      <xdr:col>13</xdr:col>
      <xdr:colOff>1654950</xdr:colOff>
      <xdr:row>2</xdr:row>
      <xdr:rowOff>48186</xdr:rowOff>
    </xdr:from>
    <xdr:to>
      <xdr:col>13</xdr:col>
      <xdr:colOff>3200400</xdr:colOff>
      <xdr:row>2</xdr:row>
      <xdr:rowOff>1207274</xdr:rowOff>
    </xdr:to>
    <xdr:pic>
      <xdr:nvPicPr>
        <xdr:cNvPr id="1017" name="Picture 1016">
          <a:extLst>
            <a:ext uri="{FF2B5EF4-FFF2-40B4-BE49-F238E27FC236}">
              <a16:creationId xmlns:a16="http://schemas.microsoft.com/office/drawing/2014/main" id="{E4D94730-E63B-4E25-BFB7-F4B9E788C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66250" y="1886511"/>
          <a:ext cx="1545450" cy="1159088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95251</xdr:colOff>
      <xdr:row>3</xdr:row>
      <xdr:rowOff>64874</xdr:rowOff>
    </xdr:from>
    <xdr:to>
      <xdr:col>13</xdr:col>
      <xdr:colOff>1621650</xdr:colOff>
      <xdr:row>3</xdr:row>
      <xdr:rowOff>1209674</xdr:rowOff>
    </xdr:to>
    <xdr:pic>
      <xdr:nvPicPr>
        <xdr:cNvPr id="1018" name="Picture 1017">
          <a:extLst>
            <a:ext uri="{FF2B5EF4-FFF2-40B4-BE49-F238E27FC236}">
              <a16:creationId xmlns:a16="http://schemas.microsoft.com/office/drawing/2014/main" id="{E5CE5C68-C538-459F-AAA5-0A40D190F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06551" y="3170024"/>
          <a:ext cx="1526399" cy="1144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1664476</xdr:colOff>
      <xdr:row>3</xdr:row>
      <xdr:rowOff>62474</xdr:rowOff>
    </xdr:from>
    <xdr:to>
      <xdr:col>13</xdr:col>
      <xdr:colOff>3190875</xdr:colOff>
      <xdr:row>3</xdr:row>
      <xdr:rowOff>1207274</xdr:rowOff>
    </xdr:to>
    <xdr:pic>
      <xdr:nvPicPr>
        <xdr:cNvPr id="1019" name="Picture 1018">
          <a:extLst>
            <a:ext uri="{FF2B5EF4-FFF2-40B4-BE49-F238E27FC236}">
              <a16:creationId xmlns:a16="http://schemas.microsoft.com/office/drawing/2014/main" id="{C7E8DE69-E5F2-4A99-AC94-D4D2D5317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776" y="3167624"/>
          <a:ext cx="1526399" cy="1144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4</xdr:row>
      <xdr:rowOff>72019</xdr:rowOff>
    </xdr:from>
    <xdr:to>
      <xdr:col>13</xdr:col>
      <xdr:colOff>1631175</xdr:colOff>
      <xdr:row>4</xdr:row>
      <xdr:rowOff>1209675</xdr:rowOff>
    </xdr:to>
    <xdr:pic>
      <xdr:nvPicPr>
        <xdr:cNvPr id="1020" name="Picture 1019">
          <a:extLst>
            <a:ext uri="{FF2B5EF4-FFF2-40B4-BE49-F238E27FC236}">
              <a16:creationId xmlns:a16="http://schemas.microsoft.com/office/drawing/2014/main" id="{2BE67B31-D593-4741-82FC-CFF86F87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25600" y="4443994"/>
          <a:ext cx="1516875" cy="1137656"/>
        </a:xfrm>
        <a:prstGeom prst="rect">
          <a:avLst/>
        </a:prstGeom>
      </xdr:spPr>
    </xdr:pic>
    <xdr:clientData/>
  </xdr:twoCellAnchor>
  <xdr:twoCellAnchor editAs="oneCell">
    <xdr:from>
      <xdr:col>13</xdr:col>
      <xdr:colOff>1674000</xdr:colOff>
      <xdr:row>4</xdr:row>
      <xdr:rowOff>79144</xdr:rowOff>
    </xdr:from>
    <xdr:to>
      <xdr:col>13</xdr:col>
      <xdr:colOff>3190875</xdr:colOff>
      <xdr:row>4</xdr:row>
      <xdr:rowOff>1216800</xdr:rowOff>
    </xdr:to>
    <xdr:pic>
      <xdr:nvPicPr>
        <xdr:cNvPr id="1021" name="Picture 1020">
          <a:extLst>
            <a:ext uri="{FF2B5EF4-FFF2-40B4-BE49-F238E27FC236}">
              <a16:creationId xmlns:a16="http://schemas.microsoft.com/office/drawing/2014/main" id="{D6EFCF53-B3D4-4C08-AFFC-E67086C46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85300" y="4451119"/>
          <a:ext cx="1516875" cy="11376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123824</xdr:colOff>
      <xdr:row>5</xdr:row>
      <xdr:rowOff>86306</xdr:rowOff>
    </xdr:from>
    <xdr:to>
      <xdr:col>13</xdr:col>
      <xdr:colOff>1621649</xdr:colOff>
      <xdr:row>5</xdr:row>
      <xdr:rowOff>1209675</xdr:rowOff>
    </xdr:to>
    <xdr:pic>
      <xdr:nvPicPr>
        <xdr:cNvPr id="1022" name="Picture 1021">
          <a:extLst>
            <a:ext uri="{FF2B5EF4-FFF2-40B4-BE49-F238E27FC236}">
              <a16:creationId xmlns:a16="http://schemas.microsoft.com/office/drawing/2014/main" id="{46034CB9-DFF7-423E-9173-58A8006A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335124" y="5725106"/>
          <a:ext cx="1497825" cy="1123369"/>
        </a:xfrm>
        <a:prstGeom prst="rect">
          <a:avLst/>
        </a:prstGeom>
      </xdr:spPr>
    </xdr:pic>
    <xdr:clientData/>
  </xdr:twoCellAnchor>
  <xdr:twoCellAnchor editAs="oneCell">
    <xdr:from>
      <xdr:col>13</xdr:col>
      <xdr:colOff>1683524</xdr:colOff>
      <xdr:row>5</xdr:row>
      <xdr:rowOff>83906</xdr:rowOff>
    </xdr:from>
    <xdr:to>
      <xdr:col>13</xdr:col>
      <xdr:colOff>3181349</xdr:colOff>
      <xdr:row>5</xdr:row>
      <xdr:rowOff>1207275</xdr:rowOff>
    </xdr:to>
    <xdr:pic>
      <xdr:nvPicPr>
        <xdr:cNvPr id="1023" name="Picture 1022">
          <a:extLst>
            <a:ext uri="{FF2B5EF4-FFF2-40B4-BE49-F238E27FC236}">
              <a16:creationId xmlns:a16="http://schemas.microsoft.com/office/drawing/2014/main" id="{F7A410AC-8951-422E-A16D-405FE32E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94824" y="5722706"/>
          <a:ext cx="1497825" cy="1123369"/>
        </a:xfrm>
        <a:prstGeom prst="rect">
          <a:avLst/>
        </a:prstGeom>
      </xdr:spPr>
    </xdr:pic>
    <xdr:clientData/>
  </xdr:twoCellAnchor>
  <xdr:twoCellAnchor editAs="oneCell">
    <xdr:from>
      <xdr:col>13</xdr:col>
      <xdr:colOff>152399</xdr:colOff>
      <xdr:row>7</xdr:row>
      <xdr:rowOff>45060</xdr:rowOff>
    </xdr:from>
    <xdr:to>
      <xdr:col>13</xdr:col>
      <xdr:colOff>1533524</xdr:colOff>
      <xdr:row>7</xdr:row>
      <xdr:rowOff>1219204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2659A135-44DA-42B5-A8BB-2A90F10BDB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4467190" y="8114019"/>
          <a:ext cx="1174144" cy="1381125"/>
        </a:xfrm>
        <a:prstGeom prst="rect">
          <a:avLst/>
        </a:prstGeom>
      </xdr:spPr>
    </xdr:pic>
    <xdr:clientData/>
  </xdr:twoCellAnchor>
  <xdr:twoCellAnchor editAs="oneCell">
    <xdr:from>
      <xdr:col>13</xdr:col>
      <xdr:colOff>1826399</xdr:colOff>
      <xdr:row>7</xdr:row>
      <xdr:rowOff>37237</xdr:rowOff>
    </xdr:from>
    <xdr:to>
      <xdr:col>13</xdr:col>
      <xdr:colOff>3076574</xdr:colOff>
      <xdr:row>7</xdr:row>
      <xdr:rowOff>1219205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FE45E3BD-FFCF-4301-B85A-A113418F75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16071803" y="8175583"/>
          <a:ext cx="1181968" cy="1250175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10</xdr:row>
      <xdr:rowOff>73817</xdr:rowOff>
    </xdr:from>
    <xdr:to>
      <xdr:col>13</xdr:col>
      <xdr:colOff>1514475</xdr:colOff>
      <xdr:row>10</xdr:row>
      <xdr:rowOff>1181098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6AFB3A04-2D09-4F32-B129-CED24497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49400" y="12046742"/>
          <a:ext cx="1476375" cy="1107281"/>
        </a:xfrm>
        <a:prstGeom prst="rect">
          <a:avLst/>
        </a:prstGeom>
      </xdr:spPr>
    </xdr:pic>
    <xdr:clientData/>
  </xdr:twoCellAnchor>
  <xdr:twoCellAnchor editAs="oneCell">
    <xdr:from>
      <xdr:col>13</xdr:col>
      <xdr:colOff>1664475</xdr:colOff>
      <xdr:row>10</xdr:row>
      <xdr:rowOff>64854</xdr:rowOff>
    </xdr:from>
    <xdr:to>
      <xdr:col>13</xdr:col>
      <xdr:colOff>3162300</xdr:colOff>
      <xdr:row>10</xdr:row>
      <xdr:rowOff>1188223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9C0C8B6E-355D-4B95-B536-D7C82F371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775" y="12037779"/>
          <a:ext cx="1497825" cy="1123369"/>
        </a:xfrm>
        <a:prstGeom prst="rect">
          <a:avLst/>
        </a:prstGeom>
      </xdr:spPr>
    </xdr:pic>
    <xdr:clientData/>
  </xdr:twoCellAnchor>
  <xdr:twoCellAnchor editAs="oneCell">
    <xdr:from>
      <xdr:col>13</xdr:col>
      <xdr:colOff>1181100</xdr:colOff>
      <xdr:row>9</xdr:row>
      <xdr:rowOff>31751</xdr:rowOff>
    </xdr:from>
    <xdr:to>
      <xdr:col>13</xdr:col>
      <xdr:colOff>2085975</xdr:colOff>
      <xdr:row>9</xdr:row>
      <xdr:rowOff>1238251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6CD4E06F-EEB0-4709-BFDB-EFC258F9F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15241588" y="10888663"/>
          <a:ext cx="1206500" cy="904875"/>
        </a:xfrm>
        <a:prstGeom prst="rect">
          <a:avLst/>
        </a:prstGeom>
      </xdr:spPr>
    </xdr:pic>
    <xdr:clientData/>
  </xdr:twoCellAnchor>
  <xdr:twoCellAnchor editAs="oneCell">
    <xdr:from>
      <xdr:col>13</xdr:col>
      <xdr:colOff>57149</xdr:colOff>
      <xdr:row>6</xdr:row>
      <xdr:rowOff>47625</xdr:rowOff>
    </xdr:from>
    <xdr:to>
      <xdr:col>13</xdr:col>
      <xdr:colOff>1593849</xdr:colOff>
      <xdr:row>6</xdr:row>
      <xdr:rowOff>1200150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7127C070-2314-4BEC-BAE0-8C1971B0C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268449" y="6953250"/>
          <a:ext cx="1536700" cy="1152525"/>
        </a:xfrm>
        <a:prstGeom prst="rect">
          <a:avLst/>
        </a:prstGeom>
      </xdr:spPr>
    </xdr:pic>
    <xdr:clientData/>
  </xdr:twoCellAnchor>
  <xdr:twoCellAnchor editAs="oneCell">
    <xdr:from>
      <xdr:col>13</xdr:col>
      <xdr:colOff>1645425</xdr:colOff>
      <xdr:row>6</xdr:row>
      <xdr:rowOff>74380</xdr:rowOff>
    </xdr:from>
    <xdr:to>
      <xdr:col>13</xdr:col>
      <xdr:colOff>3143251</xdr:colOff>
      <xdr:row>6</xdr:row>
      <xdr:rowOff>1197750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ECF59F47-38AF-4C24-8495-540187BD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56725" y="6980005"/>
          <a:ext cx="1497826" cy="11233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ic1-my.sharepoint.com/28.%20&#27298;&#26597;&#20998;&#39006;&#38651;&#33126;&#36039;&#29986;%20KT%20PHAN%20LOAI%20TS%20MAY%20TINH/2023/17.%20X6/4.%20WIFI/Wifi%20vpic1%20MA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-MAC"/>
      <sheetName val="WIFI"/>
      <sheetName val="X6"/>
      <sheetName val="KETOAN"/>
      <sheetName val="DAP4"/>
      <sheetName val="HAN4"/>
      <sheetName val="DAP5"/>
      <sheetName val="Gia Cong"/>
      <sheetName val="DUC"/>
      <sheetName val="SON3"/>
      <sheetName val="HAN5"/>
      <sheetName val="CAT3"/>
      <sheetName val="HAN3"/>
      <sheetName val="DAP3"/>
      <sheetName val="QA"/>
      <sheetName val="GDO"/>
      <sheetName val="SON1"/>
      <sheetName val="Thu Mua"/>
      <sheetName val="KF"/>
      <sheetName val="QLSX"/>
      <sheetName val="QC"/>
      <sheetName val="DAP6"/>
      <sheetName val="Wifi vpic1 MAY 202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B96F-B8A5-4653-A050-72EF863C1E72}">
  <dimension ref="A1:K13"/>
  <sheetViews>
    <sheetView showGridLines="0" tabSelected="1" workbookViewId="0">
      <selection activeCell="C32" sqref="C32"/>
    </sheetView>
  </sheetViews>
  <sheetFormatPr defaultRowHeight="15" x14ac:dyDescent="0.25"/>
  <cols>
    <col min="1" max="1" width="4.7109375" customWidth="1"/>
    <col min="2" max="2" width="13.28515625" customWidth="1"/>
    <col min="3" max="3" width="21.7109375" customWidth="1"/>
  </cols>
  <sheetData>
    <row r="1" spans="1:11" x14ac:dyDescent="0.25">
      <c r="A1" s="84" t="s">
        <v>198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x14ac:dyDescent="0.25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20.25" customHeight="1" x14ac:dyDescent="0.25">
      <c r="A3" s="23" t="s">
        <v>147</v>
      </c>
      <c r="B3" s="23" t="s">
        <v>125</v>
      </c>
      <c r="C3" s="23" t="s">
        <v>148</v>
      </c>
      <c r="D3" s="23" t="s">
        <v>149</v>
      </c>
      <c r="E3" s="23" t="s">
        <v>102</v>
      </c>
    </row>
    <row r="4" spans="1:11" ht="15.75" x14ac:dyDescent="0.25">
      <c r="A4" s="20">
        <v>1</v>
      </c>
      <c r="B4" s="19" t="s">
        <v>150</v>
      </c>
      <c r="C4" s="19" t="s">
        <v>98</v>
      </c>
      <c r="D4" s="20">
        <v>7</v>
      </c>
      <c r="E4" s="21"/>
    </row>
    <row r="5" spans="1:11" ht="15.75" x14ac:dyDescent="0.25">
      <c r="A5" s="20">
        <v>2</v>
      </c>
      <c r="B5" s="19" t="s">
        <v>151</v>
      </c>
      <c r="C5" s="19" t="s">
        <v>98</v>
      </c>
      <c r="D5" s="20">
        <v>9</v>
      </c>
      <c r="E5" s="21"/>
    </row>
    <row r="6" spans="1:11" ht="15.75" x14ac:dyDescent="0.25">
      <c r="A6" s="20">
        <v>3</v>
      </c>
      <c r="B6" s="19" t="s">
        <v>152</v>
      </c>
      <c r="C6" s="19" t="s">
        <v>98</v>
      </c>
      <c r="D6" s="22">
        <v>13</v>
      </c>
      <c r="E6" s="21"/>
    </row>
    <row r="7" spans="1:11" ht="15.75" x14ac:dyDescent="0.25">
      <c r="A7" s="88">
        <v>4</v>
      </c>
      <c r="B7" s="89" t="s">
        <v>153</v>
      </c>
      <c r="C7" s="19" t="s">
        <v>98</v>
      </c>
      <c r="D7" s="22">
        <v>3</v>
      </c>
      <c r="E7" s="21"/>
    </row>
    <row r="8" spans="1:11" ht="15.75" x14ac:dyDescent="0.25">
      <c r="A8" s="88"/>
      <c r="B8" s="89"/>
      <c r="C8" s="19" t="s">
        <v>34</v>
      </c>
      <c r="D8" s="22">
        <v>1</v>
      </c>
      <c r="E8" s="21"/>
    </row>
    <row r="9" spans="1:11" ht="15.75" x14ac:dyDescent="0.25">
      <c r="A9" s="88">
        <v>5</v>
      </c>
      <c r="B9" s="89" t="s">
        <v>91</v>
      </c>
      <c r="C9" s="19" t="s">
        <v>98</v>
      </c>
      <c r="D9" s="22">
        <v>9</v>
      </c>
      <c r="E9" s="21"/>
    </row>
    <row r="10" spans="1:11" ht="15.75" x14ac:dyDescent="0.25">
      <c r="A10" s="88"/>
      <c r="B10" s="89"/>
      <c r="C10" s="19" t="s">
        <v>99</v>
      </c>
      <c r="D10" s="22">
        <v>1</v>
      </c>
      <c r="E10" s="21"/>
    </row>
    <row r="11" spans="1:11" ht="15.75" x14ac:dyDescent="0.25">
      <c r="A11" s="88">
        <v>6</v>
      </c>
      <c r="B11" s="89" t="s">
        <v>197</v>
      </c>
      <c r="C11" s="25" t="s">
        <v>98</v>
      </c>
      <c r="D11" s="22">
        <v>9</v>
      </c>
      <c r="E11" s="21"/>
    </row>
    <row r="12" spans="1:11" ht="15.75" x14ac:dyDescent="0.25">
      <c r="A12" s="88"/>
      <c r="B12" s="89"/>
      <c r="C12" s="25" t="s">
        <v>34</v>
      </c>
      <c r="D12" s="22">
        <v>1</v>
      </c>
      <c r="E12" s="21"/>
    </row>
    <row r="13" spans="1:11" ht="18.75" x14ac:dyDescent="0.3">
      <c r="A13" s="85" t="s">
        <v>154</v>
      </c>
      <c r="B13" s="86"/>
      <c r="C13" s="87"/>
      <c r="D13" s="19">
        <f>SUM(D4:D12)</f>
        <v>53</v>
      </c>
      <c r="E13" s="24"/>
    </row>
  </sheetData>
  <mergeCells count="8">
    <mergeCell ref="A1:K2"/>
    <mergeCell ref="A13:C13"/>
    <mergeCell ref="A7:A8"/>
    <mergeCell ref="B7:B8"/>
    <mergeCell ref="A9:A10"/>
    <mergeCell ref="B9:B10"/>
    <mergeCell ref="B11:B12"/>
    <mergeCell ref="A11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E475-A886-4B3F-96E7-055BE412F8C1}">
  <dimension ref="A1:Q8"/>
  <sheetViews>
    <sheetView showGridLines="0" zoomScale="70" zoomScaleNormal="70" workbookViewId="0">
      <pane xSplit="1" ySplit="1" topLeftCell="B5" activePane="bottomRight" state="frozen"/>
      <selection pane="topRight"/>
      <selection pane="bottomLeft"/>
      <selection pane="bottomRight" activeCell="F8" sqref="F8"/>
    </sheetView>
  </sheetViews>
  <sheetFormatPr defaultColWidth="9" defaultRowHeight="18.75" x14ac:dyDescent="0.25"/>
  <cols>
    <col min="1" max="1" width="6.140625" style="1" customWidth="1"/>
    <col min="2" max="2" width="19.140625" style="1" customWidth="1"/>
    <col min="3" max="3" width="23.7109375" style="1" customWidth="1"/>
    <col min="4" max="4" width="17" style="1" customWidth="1"/>
    <col min="5" max="5" width="19.42578125" style="1" customWidth="1"/>
    <col min="6" max="6" width="21.42578125" style="1" customWidth="1"/>
    <col min="7" max="7" width="19.7109375" style="1" customWidth="1"/>
    <col min="8" max="8" width="21" style="4" customWidth="1"/>
    <col min="9" max="9" width="19.28515625" style="1" customWidth="1"/>
    <col min="10" max="10" width="13.28515625" style="1" customWidth="1"/>
    <col min="11" max="11" width="37" style="1" customWidth="1"/>
    <col min="12" max="12" width="32.5703125" style="1" customWidth="1"/>
    <col min="13" max="13" width="37.140625" style="1" customWidth="1"/>
    <col min="14" max="14" width="31.7109375" style="1" customWidth="1"/>
    <col min="15" max="15" width="30" style="1" customWidth="1"/>
    <col min="16" max="16" width="17.28515625" style="1" customWidth="1"/>
    <col min="17" max="17" width="19.42578125" style="5" customWidth="1"/>
    <col min="18" max="16384" width="9" style="3"/>
  </cols>
  <sheetData>
    <row r="1" spans="1:17" s="28" customFormat="1" ht="81.7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220</v>
      </c>
      <c r="F1" s="42" t="s">
        <v>101</v>
      </c>
      <c r="G1" s="42" t="s">
        <v>134</v>
      </c>
      <c r="H1" s="42" t="s">
        <v>156</v>
      </c>
      <c r="I1" s="42" t="s">
        <v>137</v>
      </c>
      <c r="J1" s="42" t="s">
        <v>135</v>
      </c>
      <c r="K1" s="42" t="s">
        <v>157</v>
      </c>
      <c r="L1" s="42" t="s">
        <v>136</v>
      </c>
      <c r="M1" s="42" t="s">
        <v>247</v>
      </c>
      <c r="N1" s="42" t="s">
        <v>217</v>
      </c>
      <c r="O1" s="42" t="s">
        <v>158</v>
      </c>
      <c r="P1" s="42" t="s">
        <v>204</v>
      </c>
      <c r="Q1" s="42" t="s">
        <v>102</v>
      </c>
    </row>
    <row r="2" spans="1:17" s="1" customFormat="1" ht="126.75" customHeight="1" x14ac:dyDescent="0.25">
      <c r="A2" s="49">
        <v>1</v>
      </c>
      <c r="B2" s="2" t="s">
        <v>98</v>
      </c>
      <c r="C2" s="11" t="s">
        <v>33</v>
      </c>
      <c r="D2" s="17" t="s">
        <v>121</v>
      </c>
      <c r="E2" s="17" t="s">
        <v>244</v>
      </c>
      <c r="F2" s="2" t="s">
        <v>0</v>
      </c>
      <c r="G2" s="2" t="s">
        <v>140</v>
      </c>
      <c r="H2" s="13" t="s">
        <v>26</v>
      </c>
      <c r="I2" s="6" t="s">
        <v>139</v>
      </c>
      <c r="J2" s="2" t="s">
        <v>138</v>
      </c>
      <c r="K2" s="2" t="s">
        <v>205</v>
      </c>
      <c r="L2" s="6"/>
      <c r="M2" s="74" t="s">
        <v>248</v>
      </c>
      <c r="N2" s="55"/>
      <c r="O2" s="6" t="s">
        <v>209</v>
      </c>
      <c r="P2" s="6" t="s">
        <v>221</v>
      </c>
      <c r="Q2" s="2"/>
    </row>
    <row r="3" spans="1:17" s="1" customFormat="1" ht="126.75" customHeight="1" x14ac:dyDescent="0.25">
      <c r="A3" s="49">
        <v>2</v>
      </c>
      <c r="B3" s="2" t="s">
        <v>98</v>
      </c>
      <c r="C3" s="11" t="s">
        <v>35</v>
      </c>
      <c r="D3" s="17" t="s">
        <v>121</v>
      </c>
      <c r="E3" s="17" t="s">
        <v>244</v>
      </c>
      <c r="F3" s="2" t="s">
        <v>1</v>
      </c>
      <c r="G3" s="2" t="s">
        <v>140</v>
      </c>
      <c r="H3" s="14" t="s">
        <v>27</v>
      </c>
      <c r="I3" s="6" t="s">
        <v>139</v>
      </c>
      <c r="J3" s="2" t="s">
        <v>138</v>
      </c>
      <c r="K3" s="2" t="s">
        <v>205</v>
      </c>
      <c r="L3" s="6"/>
      <c r="M3" s="90" t="s">
        <v>249</v>
      </c>
      <c r="N3" s="51"/>
      <c r="O3" s="90" t="s">
        <v>145</v>
      </c>
      <c r="P3" s="90" t="s">
        <v>221</v>
      </c>
      <c r="Q3" s="2"/>
    </row>
    <row r="4" spans="1:17" ht="126.75" customHeight="1" x14ac:dyDescent="0.25">
      <c r="A4" s="49">
        <v>3</v>
      </c>
      <c r="B4" s="2" t="s">
        <v>98</v>
      </c>
      <c r="C4" s="12" t="s">
        <v>40</v>
      </c>
      <c r="D4" s="17" t="s">
        <v>121</v>
      </c>
      <c r="E4" s="17" t="s">
        <v>244</v>
      </c>
      <c r="F4" s="7" t="s">
        <v>2</v>
      </c>
      <c r="G4" s="2" t="s">
        <v>146</v>
      </c>
      <c r="H4" s="15" t="s">
        <v>28</v>
      </c>
      <c r="I4" s="6" t="s">
        <v>139</v>
      </c>
      <c r="J4" s="2" t="s">
        <v>138</v>
      </c>
      <c r="K4" s="2" t="s">
        <v>205</v>
      </c>
      <c r="L4" s="7"/>
      <c r="M4" s="91"/>
      <c r="N4" s="53"/>
      <c r="O4" s="91"/>
      <c r="P4" s="91"/>
      <c r="Q4" s="2"/>
    </row>
    <row r="5" spans="1:17" ht="126.75" customHeight="1" x14ac:dyDescent="0.25">
      <c r="A5" s="49">
        <v>4</v>
      </c>
      <c r="B5" s="2" t="s">
        <v>98</v>
      </c>
      <c r="C5" s="11" t="s">
        <v>37</v>
      </c>
      <c r="D5" s="17" t="s">
        <v>121</v>
      </c>
      <c r="E5" s="17" t="s">
        <v>244</v>
      </c>
      <c r="F5" s="7" t="s">
        <v>3</v>
      </c>
      <c r="G5" s="2" t="s">
        <v>146</v>
      </c>
      <c r="H5" s="15" t="s">
        <v>29</v>
      </c>
      <c r="I5" s="6" t="s">
        <v>139</v>
      </c>
      <c r="J5" s="2" t="s">
        <v>138</v>
      </c>
      <c r="K5" s="2" t="s">
        <v>205</v>
      </c>
      <c r="L5" s="7"/>
      <c r="M5" s="76" t="s">
        <v>250</v>
      </c>
      <c r="N5" s="7"/>
      <c r="O5" s="7" t="s">
        <v>213</v>
      </c>
      <c r="P5" s="60" t="s">
        <v>221</v>
      </c>
      <c r="Q5" s="2"/>
    </row>
    <row r="6" spans="1:17" ht="126.75" customHeight="1" x14ac:dyDescent="0.25">
      <c r="A6" s="49">
        <v>5</v>
      </c>
      <c r="B6" s="2" t="s">
        <v>98</v>
      </c>
      <c r="C6" s="12" t="s">
        <v>41</v>
      </c>
      <c r="D6" s="18" t="s">
        <v>122</v>
      </c>
      <c r="E6" s="18" t="s">
        <v>245</v>
      </c>
      <c r="F6" s="7" t="s">
        <v>4</v>
      </c>
      <c r="G6" s="2" t="s">
        <v>146</v>
      </c>
      <c r="H6" s="15" t="s">
        <v>30</v>
      </c>
      <c r="I6" s="6" t="s">
        <v>139</v>
      </c>
      <c r="J6" s="2" t="s">
        <v>138</v>
      </c>
      <c r="K6" s="2" t="s">
        <v>205</v>
      </c>
      <c r="L6" s="7"/>
      <c r="M6" s="76" t="s">
        <v>251</v>
      </c>
      <c r="N6" s="7"/>
      <c r="O6" s="7" t="s">
        <v>212</v>
      </c>
      <c r="P6" s="60" t="s">
        <v>221</v>
      </c>
      <c r="Q6" s="2"/>
    </row>
    <row r="7" spans="1:17" ht="126.75" customHeight="1" x14ac:dyDescent="0.25">
      <c r="A7" s="49">
        <v>6</v>
      </c>
      <c r="B7" s="2" t="s">
        <v>98</v>
      </c>
      <c r="C7" s="9" t="s">
        <v>42</v>
      </c>
      <c r="D7" s="18" t="s">
        <v>122</v>
      </c>
      <c r="E7" s="18" t="s">
        <v>245</v>
      </c>
      <c r="F7" s="7" t="s">
        <v>5</v>
      </c>
      <c r="G7" s="2" t="s">
        <v>140</v>
      </c>
      <c r="H7" s="15" t="s">
        <v>61</v>
      </c>
      <c r="I7" s="6" t="s">
        <v>139</v>
      </c>
      <c r="J7" s="2" t="s">
        <v>138</v>
      </c>
      <c r="K7" s="2" t="s">
        <v>205</v>
      </c>
      <c r="L7" s="7"/>
      <c r="M7" s="76" t="s">
        <v>252</v>
      </c>
      <c r="N7" s="7"/>
      <c r="O7" s="7" t="s">
        <v>211</v>
      </c>
      <c r="P7" s="60" t="s">
        <v>221</v>
      </c>
      <c r="Q7" s="2"/>
    </row>
    <row r="8" spans="1:17" ht="126.75" customHeight="1" x14ac:dyDescent="0.25">
      <c r="A8" s="49">
        <v>7</v>
      </c>
      <c r="B8" s="2" t="s">
        <v>98</v>
      </c>
      <c r="C8" s="10" t="s">
        <v>96</v>
      </c>
      <c r="D8" s="17" t="s">
        <v>121</v>
      </c>
      <c r="E8" s="17" t="s">
        <v>244</v>
      </c>
      <c r="F8" s="7" t="s">
        <v>144</v>
      </c>
      <c r="G8" s="2" t="s">
        <v>143</v>
      </c>
      <c r="H8" s="15" t="s">
        <v>93</v>
      </c>
      <c r="I8" s="6" t="s">
        <v>139</v>
      </c>
      <c r="J8" s="2" t="s">
        <v>138</v>
      </c>
      <c r="K8" s="2" t="s">
        <v>205</v>
      </c>
      <c r="L8" s="7"/>
      <c r="M8" s="77" t="s">
        <v>253</v>
      </c>
      <c r="N8" s="7"/>
      <c r="O8" s="7" t="s">
        <v>210</v>
      </c>
      <c r="P8" s="6" t="s">
        <v>222</v>
      </c>
      <c r="Q8" s="2"/>
    </row>
  </sheetData>
  <mergeCells count="3">
    <mergeCell ref="O3:O4"/>
    <mergeCell ref="P3:P4"/>
    <mergeCell ref="M3:M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A6A0-A7AA-49F9-A186-6B8201884ECC}">
  <dimension ref="A1:Q10"/>
  <sheetViews>
    <sheetView showGridLines="0" zoomScale="55" zoomScaleNormal="55" workbookViewId="0">
      <pane xSplit="1" ySplit="1" topLeftCell="B3" activePane="bottomRight" state="frozen"/>
      <selection pane="topRight"/>
      <selection pane="bottomLeft"/>
      <selection pane="bottomRight" activeCell="F15" sqref="F15"/>
    </sheetView>
  </sheetViews>
  <sheetFormatPr defaultColWidth="9" defaultRowHeight="18.75" x14ac:dyDescent="0.25"/>
  <cols>
    <col min="1" max="1" width="5.140625" style="1" customWidth="1"/>
    <col min="2" max="2" width="19.140625" style="1" customWidth="1"/>
    <col min="3" max="3" width="23.7109375" style="1" customWidth="1"/>
    <col min="4" max="4" width="17" style="1" customWidth="1"/>
    <col min="5" max="5" width="19.42578125" style="1" customWidth="1"/>
    <col min="6" max="6" width="21.42578125" style="1" customWidth="1"/>
    <col min="7" max="7" width="19.7109375" style="1" customWidth="1"/>
    <col min="8" max="8" width="20.42578125" style="4" customWidth="1"/>
    <col min="9" max="9" width="18.28515625" style="1" customWidth="1"/>
    <col min="10" max="10" width="16" style="1" customWidth="1"/>
    <col min="11" max="11" width="34.42578125" style="1" customWidth="1"/>
    <col min="12" max="12" width="30.140625" style="1" customWidth="1"/>
    <col min="13" max="13" width="35.5703125" style="1" customWidth="1"/>
    <col min="14" max="14" width="32.7109375" style="1" customWidth="1"/>
    <col min="15" max="15" width="30" style="1" customWidth="1"/>
    <col min="16" max="16" width="23.28515625" style="1" customWidth="1"/>
    <col min="17" max="17" width="19.42578125" style="5" customWidth="1"/>
    <col min="18" max="16384" width="9" style="3"/>
  </cols>
  <sheetData>
    <row r="1" spans="1:17" s="28" customFormat="1" ht="66.7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220</v>
      </c>
      <c r="F1" s="42" t="s">
        <v>101</v>
      </c>
      <c r="G1" s="42" t="s">
        <v>134</v>
      </c>
      <c r="H1" s="42" t="s">
        <v>156</v>
      </c>
      <c r="I1" s="42" t="s">
        <v>137</v>
      </c>
      <c r="J1" s="42" t="s">
        <v>135</v>
      </c>
      <c r="K1" s="42" t="s">
        <v>157</v>
      </c>
      <c r="L1" s="42" t="s">
        <v>136</v>
      </c>
      <c r="M1" s="42" t="s">
        <v>247</v>
      </c>
      <c r="N1" s="42" t="s">
        <v>217</v>
      </c>
      <c r="O1" s="42" t="s">
        <v>158</v>
      </c>
      <c r="P1" s="42" t="s">
        <v>204</v>
      </c>
      <c r="Q1" s="42" t="s">
        <v>102</v>
      </c>
    </row>
    <row r="2" spans="1:17" s="1" customFormat="1" ht="93.75" customHeight="1" x14ac:dyDescent="0.25">
      <c r="A2" s="49">
        <v>1</v>
      </c>
      <c r="B2" s="2" t="s">
        <v>98</v>
      </c>
      <c r="C2" s="10" t="s">
        <v>47</v>
      </c>
      <c r="D2" s="7" t="s">
        <v>122</v>
      </c>
      <c r="E2" s="77" t="s">
        <v>245</v>
      </c>
      <c r="F2" s="7" t="s">
        <v>13</v>
      </c>
      <c r="G2" s="2" t="s">
        <v>140</v>
      </c>
      <c r="H2" s="15" t="s">
        <v>68</v>
      </c>
      <c r="I2" s="6" t="s">
        <v>139</v>
      </c>
      <c r="J2" s="2" t="s">
        <v>138</v>
      </c>
      <c r="K2" s="2" t="s">
        <v>205</v>
      </c>
      <c r="L2" s="6"/>
      <c r="M2" s="74" t="s">
        <v>254</v>
      </c>
      <c r="N2" s="60"/>
      <c r="O2" s="7" t="s">
        <v>214</v>
      </c>
      <c r="P2" s="6" t="s">
        <v>206</v>
      </c>
      <c r="Q2" s="2"/>
    </row>
    <row r="3" spans="1:17" s="1" customFormat="1" ht="93.75" customHeight="1" x14ac:dyDescent="0.25">
      <c r="A3" s="49">
        <v>2</v>
      </c>
      <c r="B3" s="2" t="s">
        <v>98</v>
      </c>
      <c r="C3" s="10" t="s">
        <v>48</v>
      </c>
      <c r="D3" s="7" t="s">
        <v>122</v>
      </c>
      <c r="E3" s="77" t="s">
        <v>245</v>
      </c>
      <c r="F3" s="7" t="s">
        <v>14</v>
      </c>
      <c r="G3" s="2" t="s">
        <v>140</v>
      </c>
      <c r="H3" s="15" t="s">
        <v>70</v>
      </c>
      <c r="I3" s="6" t="s">
        <v>139</v>
      </c>
      <c r="J3" s="2" t="s">
        <v>138</v>
      </c>
      <c r="K3" s="2" t="s">
        <v>205</v>
      </c>
      <c r="L3" s="6"/>
      <c r="M3" s="71" t="s">
        <v>255</v>
      </c>
      <c r="N3" s="56"/>
      <c r="O3" s="54" t="s">
        <v>216</v>
      </c>
      <c r="P3" s="15" t="s">
        <v>223</v>
      </c>
      <c r="Q3" s="2"/>
    </row>
    <row r="4" spans="1:17" ht="93.75" customHeight="1" x14ac:dyDescent="0.25">
      <c r="A4" s="49">
        <v>3</v>
      </c>
      <c r="B4" s="2" t="s">
        <v>98</v>
      </c>
      <c r="C4" s="10" t="s">
        <v>49</v>
      </c>
      <c r="D4" s="7" t="s">
        <v>122</v>
      </c>
      <c r="E4" s="77" t="s">
        <v>245</v>
      </c>
      <c r="F4" s="7" t="s">
        <v>15</v>
      </c>
      <c r="G4" s="2" t="s">
        <v>140</v>
      </c>
      <c r="H4" s="15" t="s">
        <v>71</v>
      </c>
      <c r="I4" s="6" t="s">
        <v>139</v>
      </c>
      <c r="J4" s="2" t="s">
        <v>138</v>
      </c>
      <c r="K4" s="2" t="s">
        <v>205</v>
      </c>
      <c r="L4" s="7"/>
      <c r="M4" s="73" t="s">
        <v>256</v>
      </c>
      <c r="N4" s="57"/>
      <c r="O4" s="52" t="s">
        <v>215</v>
      </c>
      <c r="P4" s="7" t="s">
        <v>207</v>
      </c>
      <c r="Q4" s="2"/>
    </row>
    <row r="5" spans="1:17" ht="93.75" customHeight="1" x14ac:dyDescent="0.25">
      <c r="A5" s="49">
        <v>4</v>
      </c>
      <c r="B5" s="2" t="s">
        <v>98</v>
      </c>
      <c r="C5" s="10" t="s">
        <v>51</v>
      </c>
      <c r="D5" s="7" t="s">
        <v>122</v>
      </c>
      <c r="E5" s="77" t="s">
        <v>245</v>
      </c>
      <c r="F5" s="7" t="s">
        <v>123</v>
      </c>
      <c r="G5" s="2" t="s">
        <v>140</v>
      </c>
      <c r="H5" s="15" t="s">
        <v>72</v>
      </c>
      <c r="I5" s="6" t="s">
        <v>139</v>
      </c>
      <c r="J5" s="2" t="s">
        <v>138</v>
      </c>
      <c r="K5" s="2" t="s">
        <v>205</v>
      </c>
      <c r="L5" s="7"/>
      <c r="M5" s="73" t="s">
        <v>259</v>
      </c>
      <c r="N5" s="57"/>
      <c r="O5" s="54" t="s">
        <v>216</v>
      </c>
      <c r="P5" s="15" t="s">
        <v>223</v>
      </c>
      <c r="Q5" s="2"/>
    </row>
    <row r="6" spans="1:17" ht="93.75" customHeight="1" x14ac:dyDescent="0.25">
      <c r="A6" s="49">
        <v>5</v>
      </c>
      <c r="B6" s="2" t="s">
        <v>98</v>
      </c>
      <c r="C6" s="10" t="s">
        <v>52</v>
      </c>
      <c r="D6" s="7" t="s">
        <v>122</v>
      </c>
      <c r="E6" s="77" t="s">
        <v>245</v>
      </c>
      <c r="F6" s="7" t="s">
        <v>16</v>
      </c>
      <c r="G6" s="2" t="s">
        <v>140</v>
      </c>
      <c r="H6" s="15" t="s">
        <v>73</v>
      </c>
      <c r="I6" s="6" t="s">
        <v>139</v>
      </c>
      <c r="J6" s="2" t="s">
        <v>138</v>
      </c>
      <c r="K6" s="2" t="s">
        <v>205</v>
      </c>
      <c r="L6" s="7"/>
      <c r="M6" s="77" t="s">
        <v>257</v>
      </c>
      <c r="N6" s="7"/>
      <c r="O6" s="7" t="s">
        <v>218</v>
      </c>
      <c r="P6" s="15" t="s">
        <v>223</v>
      </c>
      <c r="Q6" s="2"/>
    </row>
    <row r="7" spans="1:17" ht="93.75" customHeight="1" x14ac:dyDescent="0.25">
      <c r="A7" s="49">
        <v>6</v>
      </c>
      <c r="B7" s="2" t="s">
        <v>98</v>
      </c>
      <c r="C7" s="10" t="s">
        <v>85</v>
      </c>
      <c r="D7" s="7" t="s">
        <v>122</v>
      </c>
      <c r="E7" s="77" t="s">
        <v>245</v>
      </c>
      <c r="F7" s="7" t="s">
        <v>92</v>
      </c>
      <c r="G7" s="2" t="s">
        <v>142</v>
      </c>
      <c r="H7" s="15" t="s">
        <v>88</v>
      </c>
      <c r="I7" s="6" t="s">
        <v>139</v>
      </c>
      <c r="J7" s="2" t="s">
        <v>138</v>
      </c>
      <c r="K7" s="2" t="s">
        <v>205</v>
      </c>
      <c r="L7" s="7"/>
      <c r="M7" s="76" t="s">
        <v>258</v>
      </c>
      <c r="N7" s="57"/>
      <c r="O7" s="92" t="s">
        <v>242</v>
      </c>
      <c r="P7" s="92" t="s">
        <v>223</v>
      </c>
      <c r="Q7" s="2"/>
    </row>
    <row r="8" spans="1:17" ht="93.75" customHeight="1" x14ac:dyDescent="0.25">
      <c r="A8" s="49">
        <v>7</v>
      </c>
      <c r="B8" s="2" t="s">
        <v>98</v>
      </c>
      <c r="C8" s="7" t="s">
        <v>106</v>
      </c>
      <c r="D8" s="7" t="s">
        <v>122</v>
      </c>
      <c r="E8" s="77" t="s">
        <v>245</v>
      </c>
      <c r="F8" s="7" t="s">
        <v>110</v>
      </c>
      <c r="G8" s="7" t="s">
        <v>141</v>
      </c>
      <c r="H8" s="15" t="s">
        <v>117</v>
      </c>
      <c r="I8" s="6" t="s">
        <v>139</v>
      </c>
      <c r="J8" s="2" t="s">
        <v>138</v>
      </c>
      <c r="K8" s="2" t="s">
        <v>205</v>
      </c>
      <c r="L8" s="67"/>
      <c r="M8" s="2" t="s">
        <v>262</v>
      </c>
      <c r="N8" s="58"/>
      <c r="O8" s="93"/>
      <c r="P8" s="93"/>
      <c r="Q8" s="68" t="s">
        <v>219</v>
      </c>
    </row>
    <row r="9" spans="1:17" ht="93.75" customHeight="1" x14ac:dyDescent="0.25">
      <c r="A9" s="49">
        <v>8</v>
      </c>
      <c r="B9" s="2" t="s">
        <v>98</v>
      </c>
      <c r="C9" s="16" t="s">
        <v>107</v>
      </c>
      <c r="D9" s="7" t="s">
        <v>122</v>
      </c>
      <c r="E9" s="77" t="s">
        <v>245</v>
      </c>
      <c r="F9" s="7" t="s">
        <v>111</v>
      </c>
      <c r="G9" s="7" t="s">
        <v>141</v>
      </c>
      <c r="H9" s="15" t="s">
        <v>69</v>
      </c>
      <c r="I9" s="6" t="s">
        <v>139</v>
      </c>
      <c r="J9" s="2" t="s">
        <v>138</v>
      </c>
      <c r="K9" s="2" t="s">
        <v>205</v>
      </c>
      <c r="L9" s="7"/>
      <c r="M9" s="76" t="s">
        <v>260</v>
      </c>
      <c r="N9" s="59"/>
      <c r="O9" s="94"/>
      <c r="P9" s="94"/>
      <c r="Q9" s="8"/>
    </row>
    <row r="10" spans="1:17" ht="93.75" customHeight="1" x14ac:dyDescent="0.25">
      <c r="A10" s="49">
        <v>9</v>
      </c>
      <c r="B10" s="2" t="s">
        <v>98</v>
      </c>
      <c r="C10" s="16" t="s">
        <v>107</v>
      </c>
      <c r="D10" s="7" t="s">
        <v>122</v>
      </c>
      <c r="E10" s="77" t="s">
        <v>245</v>
      </c>
      <c r="F10" s="7" t="s">
        <v>237</v>
      </c>
      <c r="G10" s="2" t="s">
        <v>140</v>
      </c>
      <c r="H10" s="15" t="s">
        <v>94</v>
      </c>
      <c r="I10" s="69" t="s">
        <v>139</v>
      </c>
      <c r="J10" s="2" t="s">
        <v>138</v>
      </c>
      <c r="K10" s="2" t="s">
        <v>205</v>
      </c>
      <c r="L10" s="7"/>
      <c r="M10" s="78" t="s">
        <v>261</v>
      </c>
      <c r="N10" s="70"/>
      <c r="O10" s="7" t="s">
        <v>238</v>
      </c>
      <c r="P10" s="15" t="s">
        <v>223</v>
      </c>
      <c r="Q10" s="8"/>
    </row>
  </sheetData>
  <mergeCells count="2">
    <mergeCell ref="O7:O9"/>
    <mergeCell ref="P7:P9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DC49-B571-4D09-A261-108651A96F18}">
  <dimension ref="A1:Q14"/>
  <sheetViews>
    <sheetView showGridLines="0" zoomScale="70" zoomScaleNormal="70" workbookViewId="0">
      <pane xSplit="1" ySplit="1" topLeftCell="B8" activePane="bottomRight" state="frozen"/>
      <selection pane="topRight"/>
      <selection pane="bottomLeft"/>
      <selection pane="bottomRight" activeCell="E14" sqref="E14"/>
    </sheetView>
  </sheetViews>
  <sheetFormatPr defaultColWidth="9" defaultRowHeight="18.75" x14ac:dyDescent="0.25"/>
  <cols>
    <col min="1" max="1" width="7.140625" style="1" customWidth="1"/>
    <col min="2" max="2" width="17.5703125" style="1" customWidth="1"/>
    <col min="3" max="3" width="21.42578125" style="1" customWidth="1"/>
    <col min="4" max="4" width="15.5703125" style="1" customWidth="1"/>
    <col min="5" max="5" width="19.42578125" style="1" customWidth="1"/>
    <col min="6" max="6" width="19.5703125" style="1" customWidth="1"/>
    <col min="7" max="7" width="19.7109375" style="1" customWidth="1"/>
    <col min="8" max="8" width="22.85546875" style="4" customWidth="1"/>
    <col min="9" max="9" width="18.7109375" style="1" customWidth="1"/>
    <col min="10" max="10" width="18.85546875" style="1" customWidth="1"/>
    <col min="11" max="11" width="30.85546875" style="1" customWidth="1"/>
    <col min="12" max="12" width="29.5703125" style="1" customWidth="1"/>
    <col min="13" max="13" width="32.42578125" style="1" customWidth="1"/>
    <col min="14" max="14" width="29.5703125" style="1" customWidth="1"/>
    <col min="15" max="15" width="24.28515625" style="1" customWidth="1"/>
    <col min="16" max="16" width="30" style="1" customWidth="1"/>
    <col min="17" max="17" width="19.42578125" style="5" customWidth="1"/>
    <col min="18" max="16384" width="9" style="3"/>
  </cols>
  <sheetData>
    <row r="1" spans="1:17" s="28" customFormat="1" ht="53.2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220</v>
      </c>
      <c r="F1" s="42" t="s">
        <v>101</v>
      </c>
      <c r="G1" s="42" t="s">
        <v>134</v>
      </c>
      <c r="H1" s="42" t="s">
        <v>156</v>
      </c>
      <c r="I1" s="42" t="s">
        <v>137</v>
      </c>
      <c r="J1" s="42" t="s">
        <v>135</v>
      </c>
      <c r="K1" s="42" t="s">
        <v>157</v>
      </c>
      <c r="L1" s="42" t="s">
        <v>136</v>
      </c>
      <c r="M1" s="42" t="s">
        <v>247</v>
      </c>
      <c r="N1" s="42" t="s">
        <v>236</v>
      </c>
      <c r="O1" s="42" t="s">
        <v>158</v>
      </c>
      <c r="P1" s="42" t="s">
        <v>204</v>
      </c>
      <c r="Q1" s="42" t="s">
        <v>102</v>
      </c>
    </row>
    <row r="2" spans="1:17" s="1" customFormat="1" ht="88.5" customHeight="1" x14ac:dyDescent="0.25">
      <c r="A2" s="49">
        <v>1</v>
      </c>
      <c r="B2" s="2" t="s">
        <v>98</v>
      </c>
      <c r="C2" s="10" t="s">
        <v>83</v>
      </c>
      <c r="D2" s="17" t="s">
        <v>121</v>
      </c>
      <c r="E2" s="17" t="s">
        <v>244</v>
      </c>
      <c r="F2" s="7" t="s">
        <v>126</v>
      </c>
      <c r="G2" s="2" t="s">
        <v>142</v>
      </c>
      <c r="H2" s="15" t="s">
        <v>90</v>
      </c>
      <c r="I2" s="6" t="s">
        <v>139</v>
      </c>
      <c r="J2" s="2" t="s">
        <v>138</v>
      </c>
      <c r="K2" s="2" t="s">
        <v>205</v>
      </c>
      <c r="L2" s="7"/>
      <c r="M2" s="92" t="s">
        <v>263</v>
      </c>
      <c r="N2" s="63"/>
      <c r="O2" s="92" t="s">
        <v>227</v>
      </c>
      <c r="P2" s="90" t="s">
        <v>226</v>
      </c>
      <c r="Q2" s="2"/>
    </row>
    <row r="3" spans="1:17" s="1" customFormat="1" ht="88.5" customHeight="1" x14ac:dyDescent="0.25">
      <c r="A3" s="49">
        <v>2</v>
      </c>
      <c r="B3" s="2" t="s">
        <v>98</v>
      </c>
      <c r="C3" s="10" t="s">
        <v>84</v>
      </c>
      <c r="D3" s="17" t="s">
        <v>121</v>
      </c>
      <c r="E3" s="17" t="s">
        <v>244</v>
      </c>
      <c r="F3" s="7" t="s">
        <v>127</v>
      </c>
      <c r="G3" s="2" t="s">
        <v>142</v>
      </c>
      <c r="H3" s="15" t="s">
        <v>89</v>
      </c>
      <c r="I3" s="6" t="s">
        <v>139</v>
      </c>
      <c r="J3" s="2" t="s">
        <v>138</v>
      </c>
      <c r="K3" s="2" t="s">
        <v>205</v>
      </c>
      <c r="L3" s="7"/>
      <c r="M3" s="95"/>
      <c r="N3" s="65"/>
      <c r="O3" s="94"/>
      <c r="P3" s="91"/>
      <c r="Q3" s="2"/>
    </row>
    <row r="4" spans="1:17" ht="88.5" customHeight="1" x14ac:dyDescent="0.25">
      <c r="A4" s="49">
        <v>3</v>
      </c>
      <c r="B4" s="2" t="s">
        <v>98</v>
      </c>
      <c r="C4" s="10" t="s">
        <v>97</v>
      </c>
      <c r="D4" s="7" t="s">
        <v>122</v>
      </c>
      <c r="E4" s="77" t="s">
        <v>245</v>
      </c>
      <c r="F4" s="7" t="s">
        <v>6</v>
      </c>
      <c r="G4" s="2" t="s">
        <v>140</v>
      </c>
      <c r="H4" s="15" t="s">
        <v>62</v>
      </c>
      <c r="I4" s="6" t="s">
        <v>139</v>
      </c>
      <c r="J4" s="2" t="s">
        <v>138</v>
      </c>
      <c r="K4" s="2" t="s">
        <v>205</v>
      </c>
      <c r="L4" s="7"/>
      <c r="M4" s="76" t="s">
        <v>264</v>
      </c>
      <c r="N4" s="7"/>
      <c r="O4" s="7" t="s">
        <v>231</v>
      </c>
      <c r="P4" s="50" t="s">
        <v>221</v>
      </c>
      <c r="Q4" s="2"/>
    </row>
    <row r="5" spans="1:17" ht="88.5" customHeight="1" x14ac:dyDescent="0.25">
      <c r="A5" s="49">
        <v>4</v>
      </c>
      <c r="B5" s="2" t="s">
        <v>98</v>
      </c>
      <c r="C5" s="9" t="s">
        <v>36</v>
      </c>
      <c r="D5" s="7" t="s">
        <v>122</v>
      </c>
      <c r="E5" s="77" t="s">
        <v>246</v>
      </c>
      <c r="F5" s="7" t="s">
        <v>7</v>
      </c>
      <c r="G5" s="2" t="s">
        <v>140</v>
      </c>
      <c r="H5" s="15" t="s">
        <v>199</v>
      </c>
      <c r="I5" s="6" t="s">
        <v>139</v>
      </c>
      <c r="J5" s="2" t="s">
        <v>138</v>
      </c>
      <c r="K5" s="2" t="s">
        <v>205</v>
      </c>
      <c r="L5" s="7"/>
      <c r="M5" s="76" t="s">
        <v>265</v>
      </c>
      <c r="N5" s="7"/>
      <c r="O5" s="7" t="s">
        <v>229</v>
      </c>
      <c r="P5" s="15" t="s">
        <v>223</v>
      </c>
      <c r="Q5" s="2"/>
    </row>
    <row r="6" spans="1:17" ht="88.5" customHeight="1" x14ac:dyDescent="0.25">
      <c r="A6" s="49">
        <v>5</v>
      </c>
      <c r="B6" s="2" t="s">
        <v>98</v>
      </c>
      <c r="C6" s="9" t="s">
        <v>38</v>
      </c>
      <c r="D6" s="7" t="s">
        <v>122</v>
      </c>
      <c r="E6" s="77" t="s">
        <v>245</v>
      </c>
      <c r="F6" s="7" t="s">
        <v>8</v>
      </c>
      <c r="G6" s="2" t="s">
        <v>140</v>
      </c>
      <c r="H6" s="15" t="s">
        <v>63</v>
      </c>
      <c r="I6" s="6" t="s">
        <v>139</v>
      </c>
      <c r="J6" s="2" t="s">
        <v>138</v>
      </c>
      <c r="K6" s="2" t="s">
        <v>205</v>
      </c>
      <c r="L6" s="7"/>
      <c r="M6" s="92" t="s">
        <v>266</v>
      </c>
      <c r="N6" s="63"/>
      <c r="O6" s="97" t="s">
        <v>228</v>
      </c>
      <c r="P6" s="92" t="s">
        <v>221</v>
      </c>
      <c r="Q6" s="2"/>
    </row>
    <row r="7" spans="1:17" ht="88.5" customHeight="1" x14ac:dyDescent="0.25">
      <c r="A7" s="49">
        <v>6</v>
      </c>
      <c r="B7" s="2" t="s">
        <v>98</v>
      </c>
      <c r="C7" s="9" t="s">
        <v>43</v>
      </c>
      <c r="D7" s="7" t="s">
        <v>122</v>
      </c>
      <c r="E7" s="77" t="s">
        <v>246</v>
      </c>
      <c r="F7" s="7" t="s">
        <v>9</v>
      </c>
      <c r="G7" s="2" t="s">
        <v>140</v>
      </c>
      <c r="H7" s="15" t="s">
        <v>64</v>
      </c>
      <c r="I7" s="6" t="s">
        <v>139</v>
      </c>
      <c r="J7" s="2" t="s">
        <v>138</v>
      </c>
      <c r="K7" s="2" t="s">
        <v>205</v>
      </c>
      <c r="L7" s="7"/>
      <c r="M7" s="94"/>
      <c r="N7" s="65"/>
      <c r="O7" s="94"/>
      <c r="P7" s="94"/>
      <c r="Q7" s="2"/>
    </row>
    <row r="8" spans="1:17" ht="88.5" customHeight="1" x14ac:dyDescent="0.25">
      <c r="A8" s="49">
        <v>7</v>
      </c>
      <c r="B8" s="2" t="s">
        <v>98</v>
      </c>
      <c r="C8" s="9" t="s">
        <v>44</v>
      </c>
      <c r="D8" s="7" t="s">
        <v>122</v>
      </c>
      <c r="E8" s="77" t="s">
        <v>245</v>
      </c>
      <c r="F8" s="7" t="s">
        <v>10</v>
      </c>
      <c r="G8" s="2" t="s">
        <v>140</v>
      </c>
      <c r="H8" s="15" t="s">
        <v>65</v>
      </c>
      <c r="I8" s="6" t="s">
        <v>139</v>
      </c>
      <c r="J8" s="2" t="s">
        <v>138</v>
      </c>
      <c r="K8" s="2" t="s">
        <v>205</v>
      </c>
      <c r="L8" s="7"/>
      <c r="M8" s="76" t="s">
        <v>267</v>
      </c>
      <c r="N8" s="7"/>
      <c r="O8" s="15" t="s">
        <v>230</v>
      </c>
      <c r="P8" s="15" t="s">
        <v>225</v>
      </c>
      <c r="Q8" s="2"/>
    </row>
    <row r="9" spans="1:17" ht="83.25" customHeight="1" x14ac:dyDescent="0.25">
      <c r="A9" s="49">
        <v>8</v>
      </c>
      <c r="B9" s="2" t="s">
        <v>98</v>
      </c>
      <c r="C9" s="9" t="s">
        <v>58</v>
      </c>
      <c r="D9" s="17" t="s">
        <v>121</v>
      </c>
      <c r="E9" s="17" t="s">
        <v>244</v>
      </c>
      <c r="F9" s="7" t="s">
        <v>23</v>
      </c>
      <c r="G9" s="2" t="s">
        <v>140</v>
      </c>
      <c r="H9" s="15" t="s">
        <v>80</v>
      </c>
      <c r="I9" s="6" t="s">
        <v>139</v>
      </c>
      <c r="J9" s="2" t="s">
        <v>138</v>
      </c>
      <c r="K9" s="2" t="s">
        <v>205</v>
      </c>
      <c r="L9" s="7"/>
      <c r="M9" s="76" t="s">
        <v>268</v>
      </c>
      <c r="N9" s="7"/>
      <c r="O9" s="7" t="s">
        <v>231</v>
      </c>
      <c r="P9" s="60" t="s">
        <v>221</v>
      </c>
      <c r="Q9" s="8"/>
    </row>
    <row r="10" spans="1:17" ht="83.25" customHeight="1" x14ac:dyDescent="0.25">
      <c r="A10" s="49">
        <v>9</v>
      </c>
      <c r="B10" s="2" t="s">
        <v>98</v>
      </c>
      <c r="C10" s="7" t="s">
        <v>103</v>
      </c>
      <c r="D10" s="7" t="s">
        <v>122</v>
      </c>
      <c r="E10" s="77" t="s">
        <v>245</v>
      </c>
      <c r="F10" s="7" t="s">
        <v>128</v>
      </c>
      <c r="G10" s="7" t="s">
        <v>141</v>
      </c>
      <c r="H10" s="15" t="s">
        <v>114</v>
      </c>
      <c r="I10" s="6" t="s">
        <v>139</v>
      </c>
      <c r="J10" s="2" t="s">
        <v>138</v>
      </c>
      <c r="K10" s="2" t="s">
        <v>205</v>
      </c>
      <c r="L10" s="7"/>
      <c r="M10" s="97" t="s">
        <v>270</v>
      </c>
      <c r="N10" s="63"/>
      <c r="O10" s="92" t="s">
        <v>227</v>
      </c>
      <c r="P10" s="92" t="s">
        <v>226</v>
      </c>
      <c r="Q10" s="8"/>
    </row>
    <row r="11" spans="1:17" ht="78.75" customHeight="1" x14ac:dyDescent="0.25">
      <c r="A11" s="49">
        <v>10</v>
      </c>
      <c r="B11" s="2" t="s">
        <v>98</v>
      </c>
      <c r="C11" s="16" t="s">
        <v>104</v>
      </c>
      <c r="D11" s="7" t="s">
        <v>122</v>
      </c>
      <c r="E11" s="77" t="s">
        <v>245</v>
      </c>
      <c r="F11" s="7" t="s">
        <v>129</v>
      </c>
      <c r="G11" s="7" t="s">
        <v>141</v>
      </c>
      <c r="H11" s="15" t="s">
        <v>119</v>
      </c>
      <c r="I11" s="6" t="s">
        <v>139</v>
      </c>
      <c r="J11" s="2" t="s">
        <v>138</v>
      </c>
      <c r="K11" s="2" t="s">
        <v>205</v>
      </c>
      <c r="L11" s="7"/>
      <c r="M11" s="93"/>
      <c r="N11" s="64"/>
      <c r="O11" s="93"/>
      <c r="P11" s="93"/>
      <c r="Q11" s="8"/>
    </row>
    <row r="12" spans="1:17" ht="78.75" customHeight="1" x14ac:dyDescent="0.25">
      <c r="A12" s="49">
        <v>11</v>
      </c>
      <c r="B12" s="2" t="s">
        <v>98</v>
      </c>
      <c r="C12" s="16" t="s">
        <v>105</v>
      </c>
      <c r="D12" s="17" t="s">
        <v>121</v>
      </c>
      <c r="E12" s="17" t="s">
        <v>244</v>
      </c>
      <c r="F12" s="7" t="s">
        <v>130</v>
      </c>
      <c r="G12" s="7" t="s">
        <v>141</v>
      </c>
      <c r="H12" s="15" t="s">
        <v>115</v>
      </c>
      <c r="I12" s="6" t="s">
        <v>139</v>
      </c>
      <c r="J12" s="2" t="s">
        <v>138</v>
      </c>
      <c r="K12" s="2" t="s">
        <v>205</v>
      </c>
      <c r="L12" s="7"/>
      <c r="M12" s="96" t="s">
        <v>269</v>
      </c>
      <c r="N12" s="64"/>
      <c r="O12" s="93"/>
      <c r="P12" s="93"/>
      <c r="Q12" s="8"/>
    </row>
    <row r="13" spans="1:17" ht="78.75" customHeight="1" x14ac:dyDescent="0.25">
      <c r="A13" s="49">
        <v>12</v>
      </c>
      <c r="B13" s="2" t="s">
        <v>98</v>
      </c>
      <c r="C13" s="82" t="s">
        <v>50</v>
      </c>
      <c r="D13" s="82" t="s">
        <v>122</v>
      </c>
      <c r="E13" s="82" t="s">
        <v>245</v>
      </c>
      <c r="F13" s="82" t="s">
        <v>131</v>
      </c>
      <c r="G13" s="82" t="s">
        <v>141</v>
      </c>
      <c r="H13" s="81" t="s">
        <v>116</v>
      </c>
      <c r="I13" s="80" t="s">
        <v>139</v>
      </c>
      <c r="J13" s="2" t="s">
        <v>138</v>
      </c>
      <c r="K13" s="2" t="s">
        <v>205</v>
      </c>
      <c r="L13" s="82"/>
      <c r="M13" s="96"/>
      <c r="N13" s="79"/>
      <c r="O13" s="93"/>
      <c r="P13" s="93"/>
      <c r="Q13" s="8"/>
    </row>
    <row r="14" spans="1:17" ht="78.75" customHeight="1" x14ac:dyDescent="0.25">
      <c r="A14" s="49">
        <v>13</v>
      </c>
      <c r="B14" s="2" t="s">
        <v>98</v>
      </c>
      <c r="C14" s="16" t="s">
        <v>286</v>
      </c>
      <c r="D14" s="7" t="s">
        <v>290</v>
      </c>
      <c r="E14" s="83" t="s">
        <v>291</v>
      </c>
      <c r="F14" s="7" t="s">
        <v>128</v>
      </c>
      <c r="G14" s="7" t="s">
        <v>142</v>
      </c>
      <c r="H14" s="15" t="s">
        <v>285</v>
      </c>
      <c r="I14" s="6" t="s">
        <v>139</v>
      </c>
      <c r="J14" s="2" t="s">
        <v>138</v>
      </c>
      <c r="K14" s="2" t="s">
        <v>205</v>
      </c>
      <c r="L14" s="7"/>
      <c r="M14" s="94"/>
      <c r="N14" s="65"/>
      <c r="O14" s="94"/>
      <c r="P14" s="94"/>
      <c r="Q14" s="8"/>
    </row>
  </sheetData>
  <mergeCells count="10">
    <mergeCell ref="M2:M3"/>
    <mergeCell ref="M6:M7"/>
    <mergeCell ref="M12:M14"/>
    <mergeCell ref="M10:M11"/>
    <mergeCell ref="P2:P3"/>
    <mergeCell ref="P6:P7"/>
    <mergeCell ref="P10:P14"/>
    <mergeCell ref="O2:O3"/>
    <mergeCell ref="O6:O7"/>
    <mergeCell ref="O10:O1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DD5C-61CB-48E5-A186-5129786D9E1B}">
  <dimension ref="A1:S8"/>
  <sheetViews>
    <sheetView showGridLines="0" zoomScale="70" zoomScaleNormal="70" workbookViewId="0">
      <pane xSplit="1" ySplit="1" topLeftCell="G2" activePane="bottomRight" state="frozen"/>
      <selection pane="topRight"/>
      <selection pane="bottomLeft"/>
      <selection pane="bottomRight" activeCell="J12" sqref="J12"/>
    </sheetView>
  </sheetViews>
  <sheetFormatPr defaultColWidth="9" defaultRowHeight="18.75" x14ac:dyDescent="0.25"/>
  <cols>
    <col min="1" max="1" width="7.140625" style="1" customWidth="1"/>
    <col min="2" max="2" width="19.140625" style="1" customWidth="1"/>
    <col min="3" max="3" width="23.7109375" style="1" customWidth="1"/>
    <col min="4" max="4" width="17" style="1" customWidth="1"/>
    <col min="5" max="6" width="19.42578125" style="1" customWidth="1"/>
    <col min="7" max="7" width="21.42578125" style="1" customWidth="1"/>
    <col min="8" max="8" width="19.7109375" style="1" customWidth="1"/>
    <col min="9" max="9" width="18.140625" style="4" customWidth="1"/>
    <col min="10" max="10" width="19.85546875" style="1" customWidth="1"/>
    <col min="11" max="11" width="14" style="1" customWidth="1"/>
    <col min="12" max="12" width="30.7109375" style="1" customWidth="1"/>
    <col min="13" max="15" width="29.5703125" style="1" customWidth="1"/>
    <col min="16" max="18" width="30" style="1" customWidth="1"/>
    <col min="19" max="19" width="19.42578125" style="5" customWidth="1"/>
    <col min="20" max="16384" width="9" style="3"/>
  </cols>
  <sheetData>
    <row r="1" spans="1:19" s="28" customFormat="1" ht="4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133</v>
      </c>
      <c r="F1" s="42" t="s">
        <v>220</v>
      </c>
      <c r="G1" s="42" t="s">
        <v>101</v>
      </c>
      <c r="H1" s="42" t="s">
        <v>134</v>
      </c>
      <c r="I1" s="42" t="s">
        <v>156</v>
      </c>
      <c r="J1" s="42" t="s">
        <v>137</v>
      </c>
      <c r="K1" s="42" t="s">
        <v>135</v>
      </c>
      <c r="L1" s="42" t="s">
        <v>157</v>
      </c>
      <c r="M1" s="42" t="s">
        <v>136</v>
      </c>
      <c r="N1" s="42" t="s">
        <v>247</v>
      </c>
      <c r="O1" s="42" t="s">
        <v>236</v>
      </c>
      <c r="P1" s="42" t="s">
        <v>158</v>
      </c>
      <c r="Q1" s="42" t="s">
        <v>204</v>
      </c>
      <c r="R1" s="42" t="s">
        <v>102</v>
      </c>
    </row>
    <row r="2" spans="1:19" s="1" customFormat="1" ht="111" customHeight="1" x14ac:dyDescent="0.25">
      <c r="A2" s="49">
        <v>1</v>
      </c>
      <c r="B2" s="2" t="s">
        <v>98</v>
      </c>
      <c r="C2" s="10" t="s">
        <v>45</v>
      </c>
      <c r="D2" s="7" t="s">
        <v>122</v>
      </c>
      <c r="E2" s="6"/>
      <c r="F2" s="77" t="s">
        <v>245</v>
      </c>
      <c r="G2" s="7" t="s">
        <v>11</v>
      </c>
      <c r="H2" s="2" t="s">
        <v>140</v>
      </c>
      <c r="I2" s="15" t="s">
        <v>66</v>
      </c>
      <c r="J2" s="6" t="s">
        <v>139</v>
      </c>
      <c r="K2" s="2" t="s">
        <v>138</v>
      </c>
      <c r="L2" s="2" t="s">
        <v>205</v>
      </c>
      <c r="M2" s="6"/>
      <c r="N2" s="74" t="s">
        <v>271</v>
      </c>
      <c r="O2" s="66"/>
      <c r="P2" s="7" t="s">
        <v>232</v>
      </c>
      <c r="Q2" s="60" t="s">
        <v>221</v>
      </c>
      <c r="R2" s="6"/>
      <c r="S2" s="26"/>
    </row>
    <row r="3" spans="1:19" ht="111" customHeight="1" x14ac:dyDescent="0.25">
      <c r="A3" s="49">
        <v>4</v>
      </c>
      <c r="B3" s="7" t="s">
        <v>34</v>
      </c>
      <c r="C3" s="10" t="s">
        <v>60</v>
      </c>
      <c r="D3" s="17" t="s">
        <v>121</v>
      </c>
      <c r="E3" s="6"/>
      <c r="F3" s="17" t="s">
        <v>244</v>
      </c>
      <c r="G3" s="7" t="s">
        <v>25</v>
      </c>
      <c r="H3" s="2" t="s">
        <v>140</v>
      </c>
      <c r="I3" s="15" t="s">
        <v>82</v>
      </c>
      <c r="J3" s="6" t="s">
        <v>139</v>
      </c>
      <c r="K3" s="2" t="s">
        <v>138</v>
      </c>
      <c r="L3" s="2" t="s">
        <v>208</v>
      </c>
      <c r="M3" s="7"/>
      <c r="N3" s="76" t="s">
        <v>274</v>
      </c>
      <c r="O3" s="7"/>
      <c r="P3" s="7" t="s">
        <v>232</v>
      </c>
      <c r="Q3" s="60" t="s">
        <v>221</v>
      </c>
      <c r="R3" s="7"/>
      <c r="S3" s="26"/>
    </row>
    <row r="4" spans="1:19" s="1" customFormat="1" ht="111" customHeight="1" x14ac:dyDescent="0.25">
      <c r="A4" s="49">
        <v>2</v>
      </c>
      <c r="B4" s="2" t="s">
        <v>98</v>
      </c>
      <c r="C4" s="9" t="s">
        <v>46</v>
      </c>
      <c r="D4" s="7" t="s">
        <v>122</v>
      </c>
      <c r="E4" s="6"/>
      <c r="F4" s="77" t="s">
        <v>245</v>
      </c>
      <c r="G4" s="7" t="s">
        <v>12</v>
      </c>
      <c r="H4" s="2" t="s">
        <v>140</v>
      </c>
      <c r="I4" s="15" t="s">
        <v>67</v>
      </c>
      <c r="J4" s="6" t="s">
        <v>139</v>
      </c>
      <c r="K4" s="2" t="s">
        <v>138</v>
      </c>
      <c r="L4" s="2" t="s">
        <v>205</v>
      </c>
      <c r="M4" s="6"/>
      <c r="N4" s="74" t="s">
        <v>272</v>
      </c>
      <c r="O4" s="66"/>
      <c r="P4" s="7" t="s">
        <v>234</v>
      </c>
      <c r="Q4" s="15" t="s">
        <v>224</v>
      </c>
      <c r="R4" s="98"/>
      <c r="S4" s="26"/>
    </row>
    <row r="5" spans="1:19" ht="111" customHeight="1" x14ac:dyDescent="0.25">
      <c r="A5" s="49">
        <v>3</v>
      </c>
      <c r="B5" s="2" t="s">
        <v>98</v>
      </c>
      <c r="C5" s="10" t="s">
        <v>59</v>
      </c>
      <c r="D5" s="7" t="s">
        <v>122</v>
      </c>
      <c r="E5" s="6"/>
      <c r="F5" s="77" t="s">
        <v>245</v>
      </c>
      <c r="G5" s="7" t="s">
        <v>24</v>
      </c>
      <c r="H5" s="2" t="s">
        <v>140</v>
      </c>
      <c r="I5" s="15" t="s">
        <v>81</v>
      </c>
      <c r="J5" s="6" t="s">
        <v>139</v>
      </c>
      <c r="K5" s="2" t="s">
        <v>138</v>
      </c>
      <c r="L5" s="2" t="s">
        <v>205</v>
      </c>
      <c r="M5" s="7"/>
      <c r="N5" s="76" t="s">
        <v>273</v>
      </c>
      <c r="O5" s="7"/>
      <c r="P5" s="7" t="s">
        <v>233</v>
      </c>
      <c r="Q5" s="60" t="s">
        <v>221</v>
      </c>
      <c r="R5" s="98"/>
      <c r="S5" s="26"/>
    </row>
    <row r="6" spans="1:19" x14ac:dyDescent="0.25">
      <c r="K6" s="26"/>
      <c r="L6" s="26"/>
      <c r="S6" s="45"/>
    </row>
    <row r="7" spans="1:19" x14ac:dyDescent="0.25">
      <c r="K7" s="26"/>
      <c r="L7" s="26"/>
    </row>
    <row r="8" spans="1:19" x14ac:dyDescent="0.25">
      <c r="K8" s="26"/>
      <c r="L8" s="26"/>
    </row>
  </sheetData>
  <mergeCells count="1">
    <mergeCell ref="R4:R5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8BDE-A6EB-4D9D-B283-50EFC44F256F}">
  <dimension ref="A1:S14"/>
  <sheetViews>
    <sheetView showGridLines="0" zoomScale="55" zoomScaleNormal="55" workbookViewId="0">
      <pane xSplit="1" ySplit="1" topLeftCell="B7" activePane="bottomRight" state="frozen"/>
      <selection pane="topRight"/>
      <selection pane="bottomLeft"/>
      <selection pane="bottomRight" activeCell="E1" sqref="E1:E1048576"/>
    </sheetView>
  </sheetViews>
  <sheetFormatPr defaultColWidth="9" defaultRowHeight="18.75" x14ac:dyDescent="0.25"/>
  <cols>
    <col min="1" max="1" width="7.140625" style="1" customWidth="1"/>
    <col min="2" max="2" width="27.5703125" style="1" customWidth="1"/>
    <col min="3" max="3" width="23.7109375" style="1" customWidth="1"/>
    <col min="4" max="4" width="17" style="1" customWidth="1"/>
    <col min="5" max="5" width="19.42578125" style="1" customWidth="1"/>
    <col min="6" max="6" width="22.7109375" style="1" customWidth="1"/>
    <col min="7" max="7" width="19.7109375" style="1" customWidth="1"/>
    <col min="8" max="8" width="21.5703125" style="4" customWidth="1"/>
    <col min="9" max="9" width="21.5703125" style="1" customWidth="1"/>
    <col min="10" max="10" width="12.85546875" style="1" customWidth="1"/>
    <col min="11" max="11" width="33" style="1" customWidth="1"/>
    <col min="12" max="13" width="34.5703125" style="1" customWidth="1"/>
    <col min="14" max="14" width="34.28515625" style="1" customWidth="1"/>
    <col min="15" max="17" width="30" style="1" customWidth="1"/>
    <col min="18" max="18" width="19.42578125" style="5" customWidth="1"/>
    <col min="19" max="16384" width="9" style="3"/>
  </cols>
  <sheetData>
    <row r="1" spans="1:19" s="28" customFormat="1" ht="63.7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220</v>
      </c>
      <c r="F1" s="42" t="s">
        <v>101</v>
      </c>
      <c r="G1" s="42" t="s">
        <v>134</v>
      </c>
      <c r="H1" s="42" t="s">
        <v>156</v>
      </c>
      <c r="I1" s="42" t="s">
        <v>137</v>
      </c>
      <c r="J1" s="42" t="s">
        <v>135</v>
      </c>
      <c r="K1" s="42" t="s">
        <v>157</v>
      </c>
      <c r="L1" s="42" t="s">
        <v>136</v>
      </c>
      <c r="M1" s="42" t="s">
        <v>247</v>
      </c>
      <c r="N1" s="42" t="s">
        <v>235</v>
      </c>
      <c r="O1" s="42" t="s">
        <v>204</v>
      </c>
      <c r="P1" s="42" t="s">
        <v>196</v>
      </c>
      <c r="Q1" s="42" t="s">
        <v>102</v>
      </c>
    </row>
    <row r="2" spans="1:19" s="1" customFormat="1" ht="135.75" customHeight="1" x14ac:dyDescent="0.25">
      <c r="A2" s="49">
        <v>1</v>
      </c>
      <c r="B2" s="2" t="s">
        <v>98</v>
      </c>
      <c r="C2" s="9" t="s">
        <v>53</v>
      </c>
      <c r="D2" s="7" t="s">
        <v>122</v>
      </c>
      <c r="E2" s="77" t="s">
        <v>245</v>
      </c>
      <c r="F2" s="7" t="s">
        <v>17</v>
      </c>
      <c r="G2" s="2" t="s">
        <v>140</v>
      </c>
      <c r="H2" s="15" t="s">
        <v>74</v>
      </c>
      <c r="I2" s="6" t="s">
        <v>139</v>
      </c>
      <c r="J2" s="2" t="s">
        <v>138</v>
      </c>
      <c r="K2" s="2" t="s">
        <v>205</v>
      </c>
      <c r="L2" s="6"/>
      <c r="M2" s="71" t="s">
        <v>276</v>
      </c>
      <c r="N2" s="61"/>
      <c r="O2" s="97" t="s">
        <v>240</v>
      </c>
      <c r="P2" s="92" t="s">
        <v>226</v>
      </c>
      <c r="Q2" s="6"/>
      <c r="R2" s="26"/>
      <c r="S2" s="27"/>
    </row>
    <row r="3" spans="1:19" s="1" customFormat="1" ht="135.75" customHeight="1" x14ac:dyDescent="0.25">
      <c r="A3" s="49">
        <v>2</v>
      </c>
      <c r="B3" s="2" t="s">
        <v>98</v>
      </c>
      <c r="C3" s="9" t="s">
        <v>54</v>
      </c>
      <c r="D3" s="7" t="s">
        <v>122</v>
      </c>
      <c r="E3" s="77" t="s">
        <v>245</v>
      </c>
      <c r="F3" s="7" t="s">
        <v>18</v>
      </c>
      <c r="G3" s="2" t="s">
        <v>140</v>
      </c>
      <c r="H3" s="15" t="s">
        <v>76</v>
      </c>
      <c r="I3" s="6" t="s">
        <v>139</v>
      </c>
      <c r="J3" s="2" t="s">
        <v>138</v>
      </c>
      <c r="K3" s="2" t="s">
        <v>205</v>
      </c>
      <c r="L3" s="6"/>
      <c r="M3" s="72" t="s">
        <v>277</v>
      </c>
      <c r="N3" s="62"/>
      <c r="O3" s="94"/>
      <c r="P3" s="96"/>
      <c r="Q3" s="90"/>
      <c r="R3" s="26"/>
      <c r="S3" s="27"/>
    </row>
    <row r="4" spans="1:19" ht="135.75" customHeight="1" x14ac:dyDescent="0.25">
      <c r="A4" s="49">
        <v>3</v>
      </c>
      <c r="B4" s="2" t="s">
        <v>98</v>
      </c>
      <c r="C4" s="9" t="s">
        <v>55</v>
      </c>
      <c r="D4" s="7" t="s">
        <v>122</v>
      </c>
      <c r="E4" s="77" t="s">
        <v>245</v>
      </c>
      <c r="F4" s="7" t="s">
        <v>19</v>
      </c>
      <c r="G4" s="2" t="s">
        <v>140</v>
      </c>
      <c r="H4" s="15" t="s">
        <v>77</v>
      </c>
      <c r="I4" s="6" t="s">
        <v>139</v>
      </c>
      <c r="J4" s="2" t="s">
        <v>138</v>
      </c>
      <c r="K4" s="2" t="s">
        <v>205</v>
      </c>
      <c r="L4" s="7"/>
      <c r="M4" s="73" t="s">
        <v>278</v>
      </c>
      <c r="N4" s="63"/>
      <c r="O4" s="97" t="s">
        <v>241</v>
      </c>
      <c r="P4" s="99" t="s">
        <v>226</v>
      </c>
      <c r="Q4" s="91"/>
      <c r="R4" s="26"/>
      <c r="S4" s="46"/>
    </row>
    <row r="5" spans="1:19" ht="135.75" customHeight="1" x14ac:dyDescent="0.25">
      <c r="A5" s="49">
        <v>4</v>
      </c>
      <c r="B5" s="2" t="s">
        <v>98</v>
      </c>
      <c r="C5" s="9" t="s">
        <v>56</v>
      </c>
      <c r="D5" s="7" t="s">
        <v>122</v>
      </c>
      <c r="E5" s="77" t="s">
        <v>245</v>
      </c>
      <c r="F5" s="7" t="s">
        <v>20</v>
      </c>
      <c r="G5" s="2" t="s">
        <v>140</v>
      </c>
      <c r="H5" s="15" t="s">
        <v>78</v>
      </c>
      <c r="I5" s="6" t="s">
        <v>139</v>
      </c>
      <c r="J5" s="2" t="s">
        <v>138</v>
      </c>
      <c r="K5" s="2" t="s">
        <v>205</v>
      </c>
      <c r="L5" s="7"/>
      <c r="M5" s="75" t="s">
        <v>279</v>
      </c>
      <c r="N5" s="64"/>
      <c r="O5" s="93"/>
      <c r="P5" s="100"/>
      <c r="Q5" s="7"/>
      <c r="R5" s="26"/>
      <c r="S5" s="46"/>
    </row>
    <row r="6" spans="1:19" ht="135.75" customHeight="1" x14ac:dyDescent="0.25">
      <c r="A6" s="49">
        <v>5</v>
      </c>
      <c r="B6" s="7" t="s">
        <v>34</v>
      </c>
      <c r="C6" s="9" t="s">
        <v>57</v>
      </c>
      <c r="D6" s="7" t="s">
        <v>155</v>
      </c>
      <c r="E6" s="77" t="s">
        <v>275</v>
      </c>
      <c r="F6" s="7" t="s">
        <v>21</v>
      </c>
      <c r="G6" s="2" t="s">
        <v>140</v>
      </c>
      <c r="H6" s="15" t="s">
        <v>75</v>
      </c>
      <c r="I6" s="6" t="s">
        <v>139</v>
      </c>
      <c r="J6" s="2" t="s">
        <v>138</v>
      </c>
      <c r="K6" s="2" t="s">
        <v>205</v>
      </c>
      <c r="L6" s="7"/>
      <c r="M6" s="78" t="s">
        <v>280</v>
      </c>
      <c r="N6" s="65"/>
      <c r="O6" s="94"/>
      <c r="P6" s="100"/>
      <c r="Q6" s="7"/>
      <c r="R6" s="26"/>
      <c r="S6" s="46"/>
    </row>
    <row r="7" spans="1:19" ht="135.75" customHeight="1" x14ac:dyDescent="0.25">
      <c r="A7" s="49">
        <v>6</v>
      </c>
      <c r="B7" s="2" t="s">
        <v>98</v>
      </c>
      <c r="C7" s="9" t="s">
        <v>39</v>
      </c>
      <c r="D7" s="7" t="s">
        <v>122</v>
      </c>
      <c r="E7" s="77" t="s">
        <v>245</v>
      </c>
      <c r="F7" s="7" t="s">
        <v>22</v>
      </c>
      <c r="G7" s="2" t="s">
        <v>140</v>
      </c>
      <c r="H7" s="15" t="s">
        <v>79</v>
      </c>
      <c r="I7" s="6" t="s">
        <v>139</v>
      </c>
      <c r="J7" s="2" t="s">
        <v>138</v>
      </c>
      <c r="K7" s="2" t="s">
        <v>205</v>
      </c>
      <c r="L7" s="7"/>
      <c r="M7" s="76" t="s">
        <v>281</v>
      </c>
      <c r="N7" s="7"/>
      <c r="O7" s="7" t="s">
        <v>239</v>
      </c>
      <c r="P7" s="15" t="s">
        <v>222</v>
      </c>
      <c r="Q7" s="7"/>
      <c r="R7" s="26"/>
      <c r="S7" s="46"/>
    </row>
    <row r="8" spans="1:19" ht="135.75" customHeight="1" x14ac:dyDescent="0.25">
      <c r="A8" s="49">
        <v>7</v>
      </c>
      <c r="B8" s="7" t="s">
        <v>99</v>
      </c>
      <c r="C8" s="10" t="s">
        <v>86</v>
      </c>
      <c r="D8" s="17" t="s">
        <v>121</v>
      </c>
      <c r="E8" s="17" t="s">
        <v>244</v>
      </c>
      <c r="F8" s="7" t="s">
        <v>91</v>
      </c>
      <c r="G8" s="2" t="s">
        <v>142</v>
      </c>
      <c r="H8" s="15" t="s">
        <v>87</v>
      </c>
      <c r="I8" s="6" t="s">
        <v>139</v>
      </c>
      <c r="J8" s="2" t="s">
        <v>138</v>
      </c>
      <c r="K8" s="2" t="s">
        <v>205</v>
      </c>
      <c r="L8" s="7"/>
      <c r="M8" s="76" t="s">
        <v>282</v>
      </c>
      <c r="N8" s="7"/>
      <c r="O8" s="15" t="s">
        <v>243</v>
      </c>
      <c r="P8" s="15" t="s">
        <v>222</v>
      </c>
      <c r="Q8" s="7"/>
      <c r="R8" s="26"/>
      <c r="S8" s="46"/>
    </row>
    <row r="9" spans="1:19" ht="135.75" customHeight="1" x14ac:dyDescent="0.25">
      <c r="A9" s="49">
        <v>8</v>
      </c>
      <c r="B9" s="2" t="s">
        <v>98</v>
      </c>
      <c r="C9" s="10" t="s">
        <v>86</v>
      </c>
      <c r="D9" s="17" t="s">
        <v>121</v>
      </c>
      <c r="E9" s="17" t="s">
        <v>244</v>
      </c>
      <c r="F9" s="7" t="s">
        <v>124</v>
      </c>
      <c r="G9" s="2" t="s">
        <v>143</v>
      </c>
      <c r="H9" s="15" t="s">
        <v>95</v>
      </c>
      <c r="I9" s="6" t="s">
        <v>139</v>
      </c>
      <c r="J9" s="2" t="s">
        <v>138</v>
      </c>
      <c r="K9" s="2" t="s">
        <v>205</v>
      </c>
      <c r="L9" s="7"/>
      <c r="M9" s="77" t="s">
        <v>283</v>
      </c>
      <c r="N9" s="7"/>
      <c r="O9" s="7" t="s">
        <v>132</v>
      </c>
      <c r="P9" s="15" t="s">
        <v>222</v>
      </c>
      <c r="Q9" s="7"/>
      <c r="R9" s="45"/>
      <c r="S9" s="46"/>
    </row>
    <row r="10" spans="1:19" ht="135.75" customHeight="1" x14ac:dyDescent="0.25">
      <c r="A10" s="49">
        <v>9</v>
      </c>
      <c r="B10" s="2" t="s">
        <v>98</v>
      </c>
      <c r="C10" s="16" t="s">
        <v>108</v>
      </c>
      <c r="D10" s="17" t="s">
        <v>121</v>
      </c>
      <c r="E10" s="17" t="s">
        <v>244</v>
      </c>
      <c r="F10" s="7" t="s">
        <v>112</v>
      </c>
      <c r="G10" s="7" t="s">
        <v>141</v>
      </c>
      <c r="H10" s="15" t="s">
        <v>118</v>
      </c>
      <c r="I10" s="6" t="s">
        <v>139</v>
      </c>
      <c r="J10" s="2" t="s">
        <v>138</v>
      </c>
      <c r="K10" s="2" t="s">
        <v>205</v>
      </c>
      <c r="L10" s="7"/>
      <c r="M10" s="97" t="s">
        <v>284</v>
      </c>
      <c r="N10" s="63"/>
      <c r="O10" s="92" t="s">
        <v>243</v>
      </c>
      <c r="P10" s="92" t="s">
        <v>222</v>
      </c>
      <c r="Q10" s="7"/>
      <c r="R10" s="45"/>
      <c r="S10" s="46"/>
    </row>
    <row r="11" spans="1:19" ht="135.75" customHeight="1" x14ac:dyDescent="0.25">
      <c r="A11" s="49">
        <v>10</v>
      </c>
      <c r="B11" s="2" t="s">
        <v>98</v>
      </c>
      <c r="C11" s="16" t="s">
        <v>109</v>
      </c>
      <c r="D11" s="17" t="s">
        <v>121</v>
      </c>
      <c r="E11" s="17" t="s">
        <v>244</v>
      </c>
      <c r="F11" s="82" t="s">
        <v>113</v>
      </c>
      <c r="G11" s="82" t="s">
        <v>141</v>
      </c>
      <c r="H11" s="81" t="s">
        <v>120</v>
      </c>
      <c r="I11" s="80" t="s">
        <v>139</v>
      </c>
      <c r="J11" s="2" t="s">
        <v>138</v>
      </c>
      <c r="K11" s="2" t="s">
        <v>205</v>
      </c>
      <c r="L11" s="82"/>
      <c r="M11" s="93"/>
      <c r="N11" s="79"/>
      <c r="O11" s="96"/>
      <c r="P11" s="96"/>
      <c r="Q11" s="82"/>
      <c r="R11" s="45"/>
      <c r="S11" s="46"/>
    </row>
    <row r="12" spans="1:19" ht="192.75" customHeight="1" x14ac:dyDescent="0.25">
      <c r="A12" s="49">
        <v>11</v>
      </c>
      <c r="B12" s="2" t="s">
        <v>98</v>
      </c>
      <c r="C12" s="16" t="s">
        <v>289</v>
      </c>
      <c r="D12" s="83" t="s">
        <v>290</v>
      </c>
      <c r="E12" s="83" t="s">
        <v>291</v>
      </c>
      <c r="F12" s="7" t="s">
        <v>287</v>
      </c>
      <c r="G12" s="7" t="s">
        <v>142</v>
      </c>
      <c r="H12" s="15" t="s">
        <v>288</v>
      </c>
      <c r="I12" s="6" t="s">
        <v>139</v>
      </c>
      <c r="J12" s="2" t="s">
        <v>138</v>
      </c>
      <c r="K12" s="2" t="s">
        <v>205</v>
      </c>
      <c r="L12" s="7"/>
      <c r="M12" s="94"/>
      <c r="N12" s="79"/>
      <c r="O12" s="94"/>
      <c r="P12" s="94"/>
      <c r="Q12" s="7"/>
      <c r="R12" s="45"/>
      <c r="S12" s="46"/>
    </row>
    <row r="13" spans="1:19" x14ac:dyDescent="0.25">
      <c r="J13" s="26"/>
      <c r="K13" s="26"/>
      <c r="L13" s="27"/>
      <c r="M13" s="27"/>
      <c r="N13" s="27"/>
      <c r="R13" s="45"/>
      <c r="S13" s="46"/>
    </row>
    <row r="14" spans="1:19" x14ac:dyDescent="0.25">
      <c r="J14" s="26"/>
      <c r="K14" s="26"/>
      <c r="L14" s="27"/>
      <c r="M14" s="27"/>
      <c r="N14" s="27"/>
      <c r="R14" s="45"/>
      <c r="S14" s="46"/>
    </row>
  </sheetData>
  <mergeCells count="8">
    <mergeCell ref="M10:M12"/>
    <mergeCell ref="Q3:Q4"/>
    <mergeCell ref="O2:O3"/>
    <mergeCell ref="O4:O6"/>
    <mergeCell ref="O10:O12"/>
    <mergeCell ref="P2:P3"/>
    <mergeCell ref="P4:P6"/>
    <mergeCell ref="P10:P12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48FD-10B6-4E6A-8350-C39D23F7BC11}">
  <dimension ref="A1:R14"/>
  <sheetViews>
    <sheetView showGridLines="0" zoomScale="70" zoomScaleNormal="70" workbookViewId="0">
      <pane ySplit="1" topLeftCell="A5" activePane="bottomLeft" state="frozen"/>
      <selection pane="bottomLeft" activeCell="G10" sqref="G10"/>
    </sheetView>
  </sheetViews>
  <sheetFormatPr defaultColWidth="9.140625" defaultRowHeight="15" x14ac:dyDescent="0.25"/>
  <cols>
    <col min="1" max="1" width="6.42578125" style="38" customWidth="1"/>
    <col min="2" max="2" width="17.140625" style="3" customWidth="1"/>
    <col min="3" max="3" width="17" style="3" customWidth="1"/>
    <col min="4" max="4" width="15.140625" style="39" customWidth="1"/>
    <col min="5" max="5" width="16.5703125" style="39" customWidth="1"/>
    <col min="6" max="7" width="22.42578125" style="28" customWidth="1"/>
    <col min="8" max="8" width="20.7109375" style="28" customWidth="1"/>
    <col min="9" max="9" width="15.85546875" style="41" hidden="1" customWidth="1"/>
    <col min="10" max="10" width="17.85546875" style="28" hidden="1" customWidth="1"/>
    <col min="11" max="11" width="21.140625" style="28" customWidth="1"/>
    <col min="12" max="12" width="20" style="39" customWidth="1"/>
    <col min="13" max="13" width="34.140625" style="28" customWidth="1"/>
    <col min="14" max="14" width="48.7109375" style="39" customWidth="1"/>
    <col min="15" max="15" width="33.140625" style="39" customWidth="1"/>
    <col min="16" max="16" width="38.140625" style="39" customWidth="1"/>
    <col min="17" max="17" width="32.28515625" style="28" bestFit="1" customWidth="1"/>
    <col min="18" max="16384" width="9.140625" style="28"/>
  </cols>
  <sheetData>
    <row r="1" spans="1:18" ht="45" customHeight="1" x14ac:dyDescent="0.25">
      <c r="A1" s="44" t="s">
        <v>147</v>
      </c>
      <c r="B1" s="42" t="s">
        <v>32</v>
      </c>
      <c r="C1" s="42" t="s">
        <v>100</v>
      </c>
      <c r="D1" s="42" t="s">
        <v>31</v>
      </c>
      <c r="E1" s="42" t="s">
        <v>133</v>
      </c>
      <c r="F1" s="42" t="s">
        <v>101</v>
      </c>
      <c r="G1" s="42" t="s">
        <v>134</v>
      </c>
      <c r="H1" s="42" t="s">
        <v>156</v>
      </c>
      <c r="I1" s="43"/>
      <c r="J1" s="42"/>
      <c r="K1" s="42" t="s">
        <v>137</v>
      </c>
      <c r="L1" s="42" t="s">
        <v>135</v>
      </c>
      <c r="M1" s="42" t="s">
        <v>157</v>
      </c>
      <c r="N1" s="42" t="s">
        <v>136</v>
      </c>
      <c r="O1" s="42" t="s">
        <v>158</v>
      </c>
      <c r="P1" s="42" t="s">
        <v>204</v>
      </c>
      <c r="Q1" s="42" t="s">
        <v>102</v>
      </c>
    </row>
    <row r="2" spans="1:18" ht="99.95" customHeight="1" x14ac:dyDescent="0.25">
      <c r="A2" s="29">
        <v>1</v>
      </c>
      <c r="B2" s="30" t="s">
        <v>159</v>
      </c>
      <c r="C2" s="31" t="s">
        <v>160</v>
      </c>
      <c r="D2" s="32">
        <v>44301</v>
      </c>
      <c r="E2" s="32">
        <v>44459</v>
      </c>
      <c r="F2" s="33" t="s">
        <v>161</v>
      </c>
      <c r="G2" s="33" t="s">
        <v>140</v>
      </c>
      <c r="H2" s="30" t="s">
        <v>162</v>
      </c>
      <c r="I2" s="34"/>
      <c r="J2" s="33"/>
      <c r="K2" s="30" t="s">
        <v>139</v>
      </c>
      <c r="L2" s="30" t="s">
        <v>138</v>
      </c>
      <c r="M2" s="35" t="s">
        <v>205</v>
      </c>
      <c r="N2" s="30"/>
      <c r="O2" s="33" t="s">
        <v>163</v>
      </c>
      <c r="P2" s="33" t="s">
        <v>200</v>
      </c>
      <c r="Q2" s="36"/>
    </row>
    <row r="3" spans="1:18" ht="99.95" customHeight="1" x14ac:dyDescent="0.25">
      <c r="A3" s="29">
        <v>2</v>
      </c>
      <c r="B3" s="30" t="s">
        <v>159</v>
      </c>
      <c r="C3" s="31" t="s">
        <v>164</v>
      </c>
      <c r="D3" s="32">
        <v>44301</v>
      </c>
      <c r="E3" s="32">
        <v>44519</v>
      </c>
      <c r="F3" s="33" t="s">
        <v>165</v>
      </c>
      <c r="G3" s="33" t="s">
        <v>140</v>
      </c>
      <c r="H3" s="30" t="s">
        <v>166</v>
      </c>
      <c r="I3" s="34"/>
      <c r="J3" s="33"/>
      <c r="K3" s="30" t="s">
        <v>139</v>
      </c>
      <c r="L3" s="30" t="s">
        <v>138</v>
      </c>
      <c r="M3" s="35" t="s">
        <v>205</v>
      </c>
      <c r="N3" s="30"/>
      <c r="O3" s="33" t="s">
        <v>167</v>
      </c>
      <c r="P3" s="33" t="s">
        <v>200</v>
      </c>
      <c r="Q3" s="36"/>
    </row>
    <row r="4" spans="1:18" ht="99.95" customHeight="1" x14ac:dyDescent="0.25">
      <c r="A4" s="29">
        <v>3</v>
      </c>
      <c r="B4" s="30" t="s">
        <v>159</v>
      </c>
      <c r="C4" s="31" t="s">
        <v>168</v>
      </c>
      <c r="D4" s="32">
        <v>44301</v>
      </c>
      <c r="E4" s="32">
        <v>44471</v>
      </c>
      <c r="F4" s="33" t="s">
        <v>169</v>
      </c>
      <c r="G4" s="33" t="s">
        <v>141</v>
      </c>
      <c r="H4" s="30" t="s">
        <v>170</v>
      </c>
      <c r="I4" s="34"/>
      <c r="J4" s="33"/>
      <c r="K4" s="30" t="s">
        <v>139</v>
      </c>
      <c r="L4" s="30" t="s">
        <v>138</v>
      </c>
      <c r="M4" s="35" t="s">
        <v>205</v>
      </c>
      <c r="N4" s="30"/>
      <c r="O4" s="33" t="s">
        <v>171</v>
      </c>
      <c r="P4" s="33" t="s">
        <v>201</v>
      </c>
      <c r="Q4" s="36"/>
    </row>
    <row r="5" spans="1:18" ht="99.95" customHeight="1" x14ac:dyDescent="0.25">
      <c r="A5" s="29">
        <v>5</v>
      </c>
      <c r="B5" s="30" t="s">
        <v>159</v>
      </c>
      <c r="C5" s="31" t="s">
        <v>172</v>
      </c>
      <c r="D5" s="32">
        <v>44301</v>
      </c>
      <c r="E5" s="32">
        <v>44471</v>
      </c>
      <c r="F5" s="33" t="s">
        <v>169</v>
      </c>
      <c r="G5" s="33" t="s">
        <v>141</v>
      </c>
      <c r="H5" s="30" t="s">
        <v>173</v>
      </c>
      <c r="I5" s="34"/>
      <c r="J5" s="33"/>
      <c r="K5" s="30" t="s">
        <v>139</v>
      </c>
      <c r="L5" s="30" t="s">
        <v>138</v>
      </c>
      <c r="M5" s="35" t="s">
        <v>205</v>
      </c>
      <c r="N5" s="30"/>
      <c r="O5" s="33" t="s">
        <v>171</v>
      </c>
      <c r="P5" s="33" t="s">
        <v>201</v>
      </c>
      <c r="Q5" s="36"/>
      <c r="R5" s="37"/>
    </row>
    <row r="6" spans="1:18" ht="99.95" customHeight="1" x14ac:dyDescent="0.25">
      <c r="A6" s="29">
        <v>4</v>
      </c>
      <c r="B6" s="30" t="s">
        <v>159</v>
      </c>
      <c r="C6" s="31" t="s">
        <v>174</v>
      </c>
      <c r="D6" s="32">
        <v>44301</v>
      </c>
      <c r="E6" s="32">
        <v>44471</v>
      </c>
      <c r="F6" s="33" t="s">
        <v>169</v>
      </c>
      <c r="G6" s="33" t="s">
        <v>142</v>
      </c>
      <c r="H6" s="30" t="s">
        <v>175</v>
      </c>
      <c r="I6" s="34"/>
      <c r="J6" s="33"/>
      <c r="K6" s="30" t="s">
        <v>139</v>
      </c>
      <c r="L6" s="30" t="s">
        <v>138</v>
      </c>
      <c r="M6" s="35" t="s">
        <v>205</v>
      </c>
      <c r="N6" s="30"/>
      <c r="O6" s="33" t="s">
        <v>171</v>
      </c>
      <c r="P6" s="33" t="s">
        <v>201</v>
      </c>
      <c r="Q6" s="36"/>
    </row>
    <row r="7" spans="1:18" ht="99.95" customHeight="1" x14ac:dyDescent="0.25">
      <c r="A7" s="29">
        <v>6</v>
      </c>
      <c r="B7" s="30" t="s">
        <v>159</v>
      </c>
      <c r="C7" s="31" t="s">
        <v>176</v>
      </c>
      <c r="D7" s="32">
        <v>44301</v>
      </c>
      <c r="E7" s="32">
        <v>44483</v>
      </c>
      <c r="F7" s="33" t="s">
        <v>177</v>
      </c>
      <c r="G7" s="33" t="s">
        <v>140</v>
      </c>
      <c r="H7" s="30" t="s">
        <v>178</v>
      </c>
      <c r="I7" s="34"/>
      <c r="J7" s="33"/>
      <c r="K7" s="30" t="s">
        <v>139</v>
      </c>
      <c r="L7" s="30" t="s">
        <v>138</v>
      </c>
      <c r="M7" s="35" t="s">
        <v>205</v>
      </c>
      <c r="N7" s="30"/>
      <c r="O7" s="33" t="s">
        <v>179</v>
      </c>
      <c r="P7" s="33" t="s">
        <v>201</v>
      </c>
      <c r="Q7" s="36"/>
    </row>
    <row r="8" spans="1:18" ht="99.95" customHeight="1" x14ac:dyDescent="0.25">
      <c r="A8" s="29">
        <v>7</v>
      </c>
      <c r="B8" s="30" t="s">
        <v>159</v>
      </c>
      <c r="C8" s="31" t="s">
        <v>180</v>
      </c>
      <c r="D8" s="32">
        <v>44301</v>
      </c>
      <c r="E8" s="32">
        <v>44483</v>
      </c>
      <c r="F8" s="33" t="s">
        <v>179</v>
      </c>
      <c r="G8" s="33" t="s">
        <v>140</v>
      </c>
      <c r="H8" s="30" t="s">
        <v>181</v>
      </c>
      <c r="I8" s="34"/>
      <c r="J8" s="33"/>
      <c r="K8" s="30" t="s">
        <v>139</v>
      </c>
      <c r="L8" s="30" t="s">
        <v>138</v>
      </c>
      <c r="M8" s="35" t="s">
        <v>205</v>
      </c>
      <c r="N8" s="30"/>
      <c r="O8" s="33" t="s">
        <v>177</v>
      </c>
      <c r="P8" s="33" t="s">
        <v>202</v>
      </c>
      <c r="Q8" s="36"/>
    </row>
    <row r="9" spans="1:18" ht="99.95" customHeight="1" x14ac:dyDescent="0.25">
      <c r="A9" s="29">
        <v>8</v>
      </c>
      <c r="B9" s="30" t="s">
        <v>159</v>
      </c>
      <c r="C9" s="31" t="s">
        <v>182</v>
      </c>
      <c r="D9" s="32">
        <v>44301</v>
      </c>
      <c r="E9" s="32">
        <v>44567</v>
      </c>
      <c r="F9" s="33" t="s">
        <v>183</v>
      </c>
      <c r="G9" s="33" t="s">
        <v>140</v>
      </c>
      <c r="H9" s="30" t="s">
        <v>184</v>
      </c>
      <c r="I9" s="34"/>
      <c r="J9" s="33"/>
      <c r="K9" s="30" t="s">
        <v>139</v>
      </c>
      <c r="L9" s="30" t="s">
        <v>138</v>
      </c>
      <c r="M9" s="35" t="s">
        <v>205</v>
      </c>
      <c r="N9" s="30"/>
      <c r="O9" s="33" t="s">
        <v>185</v>
      </c>
      <c r="P9" s="33" t="s">
        <v>203</v>
      </c>
      <c r="Q9" s="36"/>
    </row>
    <row r="10" spans="1:18" ht="99.95" customHeight="1" x14ac:dyDescent="0.25">
      <c r="A10" s="29">
        <v>9</v>
      </c>
      <c r="B10" s="30" t="s">
        <v>34</v>
      </c>
      <c r="C10" s="31" t="s">
        <v>186</v>
      </c>
      <c r="D10" s="32"/>
      <c r="E10" s="32"/>
      <c r="F10" s="33" t="s">
        <v>187</v>
      </c>
      <c r="G10" s="33" t="s">
        <v>188</v>
      </c>
      <c r="H10" s="30" t="s">
        <v>189</v>
      </c>
      <c r="I10" s="34"/>
      <c r="J10" s="33"/>
      <c r="K10" s="30" t="s">
        <v>139</v>
      </c>
      <c r="L10" s="30" t="s">
        <v>138</v>
      </c>
      <c r="M10" s="35" t="s">
        <v>190</v>
      </c>
      <c r="N10" s="30"/>
      <c r="O10" s="33" t="s">
        <v>191</v>
      </c>
      <c r="P10" s="33" t="s">
        <v>200</v>
      </c>
      <c r="Q10" s="48" t="s">
        <v>192</v>
      </c>
    </row>
    <row r="11" spans="1:18" ht="99.95" customHeight="1" x14ac:dyDescent="0.25">
      <c r="A11" s="29">
        <v>10</v>
      </c>
      <c r="B11" s="30" t="s">
        <v>159</v>
      </c>
      <c r="C11" s="31" t="s">
        <v>193</v>
      </c>
      <c r="D11" s="32">
        <v>44301</v>
      </c>
      <c r="E11" s="32">
        <v>44840</v>
      </c>
      <c r="F11" s="33" t="s">
        <v>194</v>
      </c>
      <c r="G11" s="33" t="s">
        <v>140</v>
      </c>
      <c r="H11" s="30" t="s">
        <v>195</v>
      </c>
      <c r="I11" s="34"/>
      <c r="J11" s="33"/>
      <c r="K11" s="30" t="s">
        <v>139</v>
      </c>
      <c r="L11" s="30" t="s">
        <v>138</v>
      </c>
      <c r="M11" s="35" t="s">
        <v>205</v>
      </c>
      <c r="N11" s="30"/>
      <c r="O11" s="33" t="s">
        <v>163</v>
      </c>
      <c r="P11" s="47" t="s">
        <v>200</v>
      </c>
      <c r="Q11" s="35"/>
    </row>
    <row r="12" spans="1:18" x14ac:dyDescent="0.25">
      <c r="F12" s="3"/>
      <c r="G12" s="3"/>
      <c r="H12" s="3"/>
      <c r="I12" s="40"/>
      <c r="K12" s="3"/>
    </row>
    <row r="13" spans="1:18" x14ac:dyDescent="0.25">
      <c r="F13" s="3"/>
      <c r="G13" s="3"/>
      <c r="H13" s="3"/>
      <c r="I13" s="40"/>
      <c r="K13" s="3"/>
    </row>
    <row r="14" spans="1:18" x14ac:dyDescent="0.25">
      <c r="F14" s="3"/>
      <c r="G14" s="3"/>
      <c r="H14" s="3"/>
      <c r="I14" s="40"/>
      <c r="K14" s="3"/>
    </row>
  </sheetData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</vt:lpstr>
      <vt:lpstr>Xưởng 1</vt:lpstr>
      <vt:lpstr>Xưởng 2</vt:lpstr>
      <vt:lpstr>Xưởng 3</vt:lpstr>
      <vt:lpstr>Xưởng 4</vt:lpstr>
      <vt:lpstr>Xưởng 5</vt:lpstr>
      <vt:lpstr>Xưởng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Mạnh Trường</dc:creator>
  <cp:lastModifiedBy>Pham The Hung</cp:lastModifiedBy>
  <dcterms:created xsi:type="dcterms:W3CDTF">2024-11-11T02:58:25Z</dcterms:created>
  <dcterms:modified xsi:type="dcterms:W3CDTF">2026-01-10T04:45:42Z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410084</vt:lpwstr>
  </property>
  <property fmtid="{D5CDD505-2E9C-101B-9397-08002B2CF9AE}" pid="3" name="NXPowerLiteSettings">
    <vt:lpwstr>C7000400038000</vt:lpwstr>
  </property>
  <property fmtid="{D5CDD505-2E9C-101B-9397-08002B2CF9AE}" pid="4" name="NXPowerLiteVersion">
    <vt:lpwstr>D7.1.2</vt:lpwstr>
  </property>
</Properties>
</file>