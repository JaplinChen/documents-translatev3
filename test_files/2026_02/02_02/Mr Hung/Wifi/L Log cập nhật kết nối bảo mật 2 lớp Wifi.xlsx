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\\192.168.20.202\MIS_Public\4.REPORTS\6.BC_THU_HAI_HANG_TUAN\2025\2025-11\03.11\Mr Hung\Wifi\"/>
    </mc:Choice>
  </mc:AlternateContent>
  <xr:revisionPtr revIDLastSave="0" documentId="13_ncr:1_{4E21D350-5CA6-4758-BB88-70C2F5CE9B8A}" xr6:coauthVersionLast="47" xr6:coauthVersionMax="47" xr10:uidLastSave="{00000000-0000-0000-0000-000000000000}"/>
  <bookViews>
    <workbookView xWindow="-120" yWindow="-120" windowWidth="19440" windowHeight="14880" activeTab="2" xr2:uid="{00000000-000D-0000-FFFF-FFFF00000000}"/>
  </bookViews>
  <sheets>
    <sheet name="Report" sheetId="2" r:id="rId1"/>
    <sheet name="GDO" sheetId="4" r:id="rId2"/>
    <sheet name="Thu mua" sheetId="6" r:id="rId3"/>
    <sheet name="Kế toán" sheetId="5" r:id="rId4"/>
  </sheets>
  <externalReferences>
    <externalReference r:id="rId5"/>
  </externalReferences>
  <definedNames>
    <definedName name="TWMAC" localSheetId="3">[1]!Table13[[#All],[ID]:[NAME]]</definedName>
    <definedName name="TWMAC" localSheetId="2">[1]!Table13[[#All],[ID]:[NAME]]</definedName>
    <definedName name="TWMAC">[1]!Table13[[#All],[ID]:[NAME]]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" i="4" l="1"/>
  <c r="F37" i="4"/>
  <c r="F36" i="4"/>
  <c r="F35" i="4"/>
  <c r="F34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</calcChain>
</file>

<file path=xl/sharedStrings.xml><?xml version="1.0" encoding="utf-8"?>
<sst xmlns="http://schemas.openxmlformats.org/spreadsheetml/2006/main" count="338" uniqueCount="155">
  <si>
    <r>
      <rPr>
        <b/>
        <sz val="13"/>
        <color rgb="FF000000"/>
        <rFont val="Times New Roman"/>
        <family val="1"/>
      </rPr>
      <t xml:space="preserve">Hạng mục
</t>
    </r>
    <r>
      <rPr>
        <b/>
        <sz val="13"/>
        <color rgb="FF0A18D6"/>
        <rFont val="Microsoft JhengHei"/>
        <family val="2"/>
      </rPr>
      <t>項目</t>
    </r>
  </si>
  <si>
    <r>
      <rPr>
        <b/>
        <sz val="13"/>
        <color rgb="FF000000"/>
        <rFont val="Times New Roman"/>
        <family val="1"/>
      </rPr>
      <t xml:space="preserve">Đơn vị
</t>
    </r>
    <r>
      <rPr>
        <b/>
        <sz val="13"/>
        <color rgb="FF0A18D6"/>
        <rFont val="Microsoft JhengHei"/>
        <family val="2"/>
      </rPr>
      <t>單位</t>
    </r>
  </si>
  <si>
    <r>
      <rPr>
        <b/>
        <sz val="13"/>
        <color rgb="FF000000"/>
        <rFont val="Times New Roman"/>
        <family val="1"/>
      </rPr>
      <t xml:space="preserve">Thời gian đề xuất
</t>
    </r>
    <r>
      <rPr>
        <b/>
        <sz val="13"/>
        <color rgb="FF0A18D6"/>
        <rFont val="Microsoft JhengHei"/>
        <family val="2"/>
      </rPr>
      <t>建議日期</t>
    </r>
  </si>
  <si>
    <t>Đánh giá</t>
  </si>
  <si>
    <r>
      <rPr>
        <b/>
        <sz val="13"/>
        <color rgb="FF000000"/>
        <rFont val="Times New Roman"/>
        <family val="1"/>
      </rPr>
      <t xml:space="preserve">Tiến độ
</t>
    </r>
    <r>
      <rPr>
        <b/>
        <sz val="13"/>
        <color rgb="FF0A18D6"/>
        <rFont val="Microsoft JhengHei"/>
        <family val="2"/>
      </rPr>
      <t>進度</t>
    </r>
  </si>
  <si>
    <t>MIS</t>
  </si>
  <si>
    <t>Hoàn thành</t>
  </si>
  <si>
    <r>
      <t xml:space="preserve">Dự kiến hoàn thành
</t>
    </r>
    <r>
      <rPr>
        <b/>
        <sz val="13"/>
        <color rgb="FF0A18D6"/>
        <rFont val="Microsoft JhengHei"/>
        <family val="2"/>
      </rPr>
      <t>預計完成日期</t>
    </r>
  </si>
  <si>
    <t>Người xử lý</t>
  </si>
  <si>
    <t>#17655</t>
  </si>
  <si>
    <t>STT</t>
  </si>
  <si>
    <t>17-10-2025</t>
  </si>
  <si>
    <t>Log cập nhật kết nối bảo mật 2 lớp Wifi</t>
  </si>
  <si>
    <t>THU MUA</t>
  </si>
  <si>
    <t>06-10-2025</t>
  </si>
  <si>
    <t>GDO, KSNB</t>
  </si>
  <si>
    <t>KTSX</t>
  </si>
  <si>
    <t>31-10-2025</t>
  </si>
  <si>
    <t>QLSX</t>
  </si>
  <si>
    <t xml:space="preserve">Cập nhật mật khẩu Wifi và MAC laptop điện thoại
- Mr. ROBERT
- Mr. Peng
</t>
  </si>
  <si>
    <t xml:space="preserve">Cập nhật mật khẩu Wifi và MAC laptop điện thoại
- Mr. Tung
- Mr. Marty Lin
- Mr. Ming
</t>
  </si>
  <si>
    <t>Cập nhật mật khẩu Wifi và MAC laptop điện thoại
- Mr. CHUNKCHANG</t>
  </si>
  <si>
    <t>Cập nhật mật khẩu Wifi và MAC laptop điện thoại
- Mr. Lin</t>
  </si>
  <si>
    <t>Cập nhật mật khẩu Wifi và MAC laptop điện thoại
- Mr. Chen</t>
  </si>
  <si>
    <t>QLK</t>
  </si>
  <si>
    <t>Cập nhật mật khẩu Wifi và MAC thiết bị Handy</t>
  </si>
  <si>
    <t>ID</t>
  </si>
  <si>
    <t>MAC Address</t>
  </si>
  <si>
    <t>Status</t>
  </si>
  <si>
    <t>Description</t>
  </si>
  <si>
    <t>Active</t>
  </si>
  <si>
    <t>欄1</t>
  </si>
  <si>
    <t>F8:59:71:5A:98:BC</t>
  </si>
  <si>
    <t>Enabled</t>
  </si>
  <si>
    <t>TQ53.LT</t>
  </si>
  <si>
    <t>Done</t>
  </si>
  <si>
    <t>F8:94:C2:25:09:BD</t>
  </si>
  <si>
    <t>DL05.LT</t>
  </si>
  <si>
    <t>28:3F:69:C8:30:00</t>
  </si>
  <si>
    <t>DL05.MB</t>
  </si>
  <si>
    <t>AC:ED:5C:D1:F5:1A</t>
  </si>
  <si>
    <t>DL19.LT</t>
  </si>
  <si>
    <t>9C:E0:63:EB:D9:C3</t>
  </si>
  <si>
    <t>DL19.MB</t>
  </si>
  <si>
    <t>4C:8D:79:C7:FC:E4</t>
  </si>
  <si>
    <t>DL77.MB</t>
  </si>
  <si>
    <t>B4:6B:FC:ED:D8:98</t>
  </si>
  <si>
    <t>DL76.LT</t>
  </si>
  <si>
    <t>2C:4D:54:31:D1:90</t>
  </si>
  <si>
    <t>DL76.MB</t>
  </si>
  <si>
    <t>B8:08:CF:BF:91:D1</t>
  </si>
  <si>
    <t>DL89.LT</t>
  </si>
  <si>
    <t>70:3E:AC:0C:71:3F</t>
  </si>
  <si>
    <t>DL89.MB</t>
  </si>
  <si>
    <t>B8:EE:65:34:4D:E3</t>
  </si>
  <si>
    <t>DL10.LT</t>
  </si>
  <si>
    <t>FC:E9:98:A9:BD:CA</t>
  </si>
  <si>
    <t>DL10.MB</t>
  </si>
  <si>
    <t>A4:50:46:FB:70:F0</t>
  </si>
  <si>
    <t>DL57.MB</t>
  </si>
  <si>
    <t>A4:02:B9:84:EC:52</t>
  </si>
  <si>
    <t>DL57.LT</t>
  </si>
  <si>
    <t>44:85:00:F0:EA:42</t>
  </si>
  <si>
    <t>DL13.LT</t>
  </si>
  <si>
    <t>BC:32:B2:8B:F3:BB</t>
  </si>
  <si>
    <t>DL13.MB</t>
  </si>
  <si>
    <t>2C:FD:A1:A8:96:17</t>
  </si>
  <si>
    <t>DL71.MB</t>
  </si>
  <si>
    <t>28:E3:47:C0:5B:54</t>
  </si>
  <si>
    <t>DL01.LT</t>
  </si>
  <si>
    <t>60:F4:45:C0:84:21</t>
  </si>
  <si>
    <t>DL01.MB</t>
  </si>
  <si>
    <t>20:EE:28:64:3D:62</t>
  </si>
  <si>
    <t>DL92.MB</t>
  </si>
  <si>
    <t>04:D6:AA:43:59:B1</t>
  </si>
  <si>
    <t>DL06.MB</t>
  </si>
  <si>
    <t>00:D6:AA:43:59:B1</t>
  </si>
  <si>
    <t>7C:5C:F8:2E:81:23</t>
  </si>
  <si>
    <t>DL06.LT</t>
  </si>
  <si>
    <t>B8:08:CF:F3:D2:7F</t>
  </si>
  <si>
    <t>DL70.MB</t>
  </si>
  <si>
    <t>80:B0:3D:BE:F8:E1</t>
  </si>
  <si>
    <t>DL17.LT</t>
  </si>
  <si>
    <t>8C:FE:57:91:C6:5B</t>
  </si>
  <si>
    <t>DL19.IP</t>
  </si>
  <si>
    <t>E8:2A:EA:26:44:63</t>
  </si>
  <si>
    <t>DL77.LT</t>
  </si>
  <si>
    <t>44:4A:BD:6F:2E:E3</t>
  </si>
  <si>
    <t>20:EE:28:6A:3D:62</t>
  </si>
  <si>
    <t>40:98:AD:46:0E:4A</t>
  </si>
  <si>
    <t>DL02.MB</t>
  </si>
  <si>
    <t>38:DE:AD:DD:BF:8A</t>
  </si>
  <si>
    <t>DL90.LT</t>
  </si>
  <si>
    <t>C4:AC:AA:81:AB:22</t>
  </si>
  <si>
    <t>DL90.MB2</t>
  </si>
  <si>
    <t>陳嘉元 經理 Mobile</t>
  </si>
  <si>
    <t>14:D1:9E:1E:37:08</t>
  </si>
  <si>
    <t>DL89.MB2</t>
  </si>
  <si>
    <t>8C:98:6B:C5:BC:D5</t>
  </si>
  <si>
    <t>TQ53.MB2</t>
  </si>
  <si>
    <t>FC:02:96:D0:61:98</t>
  </si>
  <si>
    <t>DL57.MB2</t>
  </si>
  <si>
    <t>8C:17:59:59:AE:CF</t>
  </si>
  <si>
    <t>Mr.LungLT</t>
  </si>
  <si>
    <t>6C:00:6B:FB:71:ED</t>
  </si>
  <si>
    <t>Mr.LungMB</t>
  </si>
  <si>
    <t>84:5C:F3:06:99:15</t>
  </si>
  <si>
    <t>MrTonyKD.LT</t>
  </si>
  <si>
    <t>Mr.TonyKD</t>
  </si>
  <si>
    <t>A0:C5:89:A5:78:BE</t>
  </si>
  <si>
    <t>DL124.LT</t>
  </si>
  <si>
    <t>KSNB</t>
  </si>
  <si>
    <t>FC:18:3C:49:B7:06</t>
  </si>
  <si>
    <t>VN24210.MB</t>
  </si>
  <si>
    <t>IT</t>
  </si>
  <si>
    <t>F8:E9:4E:4B:BB:51</t>
  </si>
  <si>
    <t>VN24334.MB</t>
  </si>
  <si>
    <t>28:C5:D2:AC:95:9A</t>
  </si>
  <si>
    <t>Mr.LU LT</t>
  </si>
  <si>
    <t>64:B5:F2:5D:53:0B</t>
  </si>
  <si>
    <t>Mr.LiaoMB</t>
  </si>
  <si>
    <t>kaifa</t>
  </si>
  <si>
    <t>04:EC:D8:88:53:D3</t>
  </si>
  <si>
    <t>Mr.Hsinlin-LT</t>
  </si>
  <si>
    <t>XIMA</t>
  </si>
  <si>
    <t>70:D8:23:19:AC:2B</t>
  </si>
  <si>
    <t>Mr.TONYLIN-LT</t>
  </si>
  <si>
    <t>3C:01:EF:B2:CB:14</t>
  </si>
  <si>
    <t>1C:57:DC:5D:8F:5D</t>
  </si>
  <si>
    <t>38:8A:06:6C:00:E4</t>
  </si>
  <si>
    <t>Mr.Hsinlin-MB</t>
  </si>
  <si>
    <t>C4:C1:7D:6F:A2:E2</t>
  </si>
  <si>
    <t>Kent.MB</t>
  </si>
  <si>
    <t>EC:8E:77:B4:50:91</t>
  </si>
  <si>
    <t>Kent.LT</t>
  </si>
  <si>
    <t>9C:2F:9D:6D:43:A9</t>
  </si>
  <si>
    <t>Jackie.lin LT</t>
  </si>
  <si>
    <t>9C:B1:50:B9:30:BB</t>
  </si>
  <si>
    <t>DL57.LT2</t>
  </si>
  <si>
    <t>YuTengMao</t>
  </si>
  <si>
    <t>A8:79:8D:A6:F6:C0</t>
  </si>
  <si>
    <t>DL133.MB</t>
  </si>
  <si>
    <t>Back</t>
  </si>
  <si>
    <t>04:E8:B9:AD:A0:C5</t>
  </si>
  <si>
    <t>4C:F2:02:8A:85:65</t>
  </si>
  <si>
    <t>MrCanh-LT</t>
  </si>
  <si>
    <t>MrCanh-MB</t>
  </si>
  <si>
    <t>78:64:C0:E0:06:CA</t>
  </si>
  <si>
    <t>84:14:4D:B6:D4:92</t>
  </si>
  <si>
    <t>MrDuong_MB</t>
  </si>
  <si>
    <t>MrDuong_LT</t>
  </si>
  <si>
    <t>14:14:16:03:3F:58</t>
  </si>
  <si>
    <t>48:35:2B:0D:2C:95</t>
  </si>
  <si>
    <t>MrKevin-MT</t>
  </si>
  <si>
    <t>MrKevib-MB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</si>
</sst>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Times New Roman"/>
      <charset val="134"/>
    </font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3"/>
      <color rgb="FF000000"/>
      <name val="Times New Roman"/>
      <family val="1"/>
    </font>
    <font>
      <sz val="13"/>
      <color rgb="FF000000"/>
      <name val="Times New Roman"/>
      <family val="1"/>
    </font>
    <font>
      <sz val="10"/>
      <name val="Arial"/>
      <family val="2"/>
    </font>
    <font>
      <sz val="12"/>
      <name val="新細明體"/>
      <charset val="136"/>
    </font>
    <font>
      <b/>
      <sz val="13"/>
      <color rgb="FF0A18D6"/>
      <name val="Microsoft JhengHei"/>
      <family val="2"/>
    </font>
    <font>
      <sz val="12"/>
      <color theme="1"/>
      <name val="Times New Roman"/>
      <family val="1"/>
    </font>
    <font>
      <sz val="14"/>
      <color rgb="FF000000"/>
      <name val="Times New Roman"/>
      <family val="1"/>
    </font>
    <font>
      <sz val="11"/>
      <name val="微軟正黑體"/>
      <charset val="134"/>
    </font>
    <font>
      <sz val="12"/>
      <name val="微軟正黑體"/>
      <charset val="136"/>
    </font>
    <font>
      <sz val="11"/>
      <name val="Tahoma"/>
      <family val="2"/>
    </font>
    <font>
      <sz val="12"/>
      <name val="微軟正黑體"/>
      <charset val="134"/>
    </font>
    <font>
      <sz val="12"/>
      <name val="微軟正黑體"/>
    </font>
    <font>
      <sz val="11"/>
      <color theme="1"/>
      <name val="微軟正黑體"/>
      <charset val="134"/>
    </font>
    <font>
      <u/>
      <sz val="11"/>
      <color theme="10"/>
      <name val="Tahoma"/>
      <family val="2"/>
    </font>
    <font>
      <u/>
      <sz val="12"/>
      <color theme="10"/>
      <name val="微軟正黑體"/>
      <charset val="134"/>
    </font>
    <font>
      <sz val="11"/>
      <color rgb="FF1A1E26"/>
      <name val="Roboto"/>
    </font>
  </fonts>
  <fills count="6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7375408185064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8">
    <xf numFmtId="0" fontId="0" fillId="0" borderId="0"/>
    <xf numFmtId="0" fontId="5" fillId="0" borderId="0"/>
    <xf numFmtId="0" fontId="6" fillId="0" borderId="0"/>
    <xf numFmtId="0" fontId="5" fillId="0" borderId="0"/>
    <xf numFmtId="0" fontId="12" fillId="0" borderId="0"/>
    <xf numFmtId="0" fontId="1" fillId="0" borderId="0"/>
    <xf numFmtId="0" fontId="12" fillId="0" borderId="0"/>
    <xf numFmtId="0" fontId="16" fillId="0" borderId="0" applyNumberFormat="0" applyFill="0" applyBorder="0" applyAlignment="0" applyProtection="0"/>
  </cellStyleXfs>
  <cellXfs count="38">
    <xf numFmtId="0" fontId="0" fillId="0" borderId="0" xfId="0"/>
    <xf numFmtId="0" fontId="4" fillId="3" borderId="1" xfId="0" applyFont="1" applyFill="1" applyBorder="1" applyAlignment="1">
      <alignment horizontal="center" vertical="center" wrapText="1" readingOrder="1"/>
    </xf>
    <xf numFmtId="14" fontId="4" fillId="3" borderId="1" xfId="0" applyNumberFormat="1" applyFont="1" applyFill="1" applyBorder="1" applyAlignment="1">
      <alignment horizontal="center" vertical="center" wrapText="1" readingOrder="1"/>
    </xf>
    <xf numFmtId="14" fontId="8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 readingOrder="1"/>
    </xf>
    <xf numFmtId="0" fontId="9" fillId="3" borderId="1" xfId="0" applyFont="1" applyFill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/>
    </xf>
    <xf numFmtId="0" fontId="10" fillId="0" borderId="0" xfId="3" applyFont="1" applyAlignment="1">
      <alignment horizontal="center" vertical="center" wrapText="1"/>
    </xf>
    <xf numFmtId="0" fontId="11" fillId="0" borderId="0" xfId="3" applyFont="1" applyAlignment="1">
      <alignment vertical="center"/>
    </xf>
    <xf numFmtId="0" fontId="10" fillId="4" borderId="0" xfId="4" applyFont="1" applyFill="1" applyAlignment="1">
      <alignment horizontal="center" vertical="center"/>
    </xf>
    <xf numFmtId="0" fontId="10" fillId="4" borderId="0" xfId="5" applyFont="1" applyFill="1" applyAlignment="1">
      <alignment vertical="center"/>
    </xf>
    <xf numFmtId="0" fontId="10" fillId="4" borderId="0" xfId="3" applyFont="1" applyFill="1" applyAlignment="1">
      <alignment horizontal="center" vertical="center" wrapText="1"/>
    </xf>
    <xf numFmtId="0" fontId="10" fillId="4" borderId="0" xfId="5" applyFont="1" applyFill="1" applyAlignment="1">
      <alignment horizontal="center" vertical="center"/>
    </xf>
    <xf numFmtId="0" fontId="11" fillId="4" borderId="0" xfId="3" applyFont="1" applyFill="1" applyAlignment="1">
      <alignment vertical="center"/>
    </xf>
    <xf numFmtId="0" fontId="10" fillId="4" borderId="0" xfId="4" applyFont="1" applyFill="1" applyAlignment="1">
      <alignment vertical="center"/>
    </xf>
    <xf numFmtId="0" fontId="10" fillId="4" borderId="0" xfId="6" applyFont="1" applyFill="1" applyAlignment="1">
      <alignment horizontal="center" vertical="center"/>
    </xf>
    <xf numFmtId="0" fontId="10" fillId="4" borderId="0" xfId="5" applyFont="1" applyFill="1" applyAlignment="1">
      <alignment horizontal="left" vertical="center"/>
    </xf>
    <xf numFmtId="0" fontId="10" fillId="5" borderId="0" xfId="5" applyFont="1" applyFill="1" applyAlignment="1">
      <alignment horizontal="left" vertical="center"/>
    </xf>
    <xf numFmtId="0" fontId="13" fillId="4" borderId="0" xfId="5" applyFont="1" applyFill="1" applyAlignment="1">
      <alignment horizontal="left" vertical="center"/>
    </xf>
    <xf numFmtId="0" fontId="13" fillId="4" borderId="0" xfId="5" applyFont="1" applyFill="1" applyAlignment="1">
      <alignment vertical="center"/>
    </xf>
    <xf numFmtId="0" fontId="13" fillId="4" borderId="0" xfId="5" applyFont="1" applyFill="1" applyAlignment="1">
      <alignment horizontal="center" vertical="center"/>
    </xf>
    <xf numFmtId="0" fontId="14" fillId="4" borderId="0" xfId="5" applyFont="1" applyFill="1" applyAlignment="1">
      <alignment vertical="center"/>
    </xf>
    <xf numFmtId="0" fontId="14" fillId="4" borderId="0" xfId="5" applyFont="1" applyFill="1" applyAlignment="1">
      <alignment horizontal="center" vertical="center"/>
    </xf>
    <xf numFmtId="0" fontId="14" fillId="4" borderId="0" xfId="5" applyFont="1" applyFill="1" applyAlignment="1">
      <alignment horizontal="left" vertical="center"/>
    </xf>
    <xf numFmtId="0" fontId="15" fillId="5" borderId="2" xfId="3" applyFont="1" applyFill="1" applyBorder="1" applyAlignment="1">
      <alignment horizontal="center" vertical="center" wrapText="1"/>
    </xf>
    <xf numFmtId="0" fontId="10" fillId="5" borderId="0" xfId="5" applyFont="1" applyFill="1" applyAlignment="1">
      <alignment horizontal="center" vertical="center"/>
    </xf>
    <xf numFmtId="0" fontId="15" fillId="5" borderId="0" xfId="4" applyFont="1" applyFill="1" applyAlignment="1">
      <alignment horizontal="center" vertical="center"/>
    </xf>
    <xf numFmtId="0" fontId="13" fillId="5" borderId="0" xfId="5" applyFont="1" applyFill="1" applyAlignment="1">
      <alignment vertical="center"/>
    </xf>
    <xf numFmtId="0" fontId="13" fillId="0" borderId="0" xfId="3" applyFont="1" applyAlignment="1">
      <alignment vertical="center"/>
    </xf>
    <xf numFmtId="0" fontId="13" fillId="0" borderId="0" xfId="3" applyFont="1" applyAlignment="1">
      <alignment horizontal="center" vertical="center"/>
    </xf>
    <xf numFmtId="0" fontId="17" fillId="0" borderId="0" xfId="7" applyFont="1" applyAlignment="1" applyProtection="1">
      <alignment horizontal="center" vertical="center"/>
    </xf>
    <xf numFmtId="0" fontId="11" fillId="0" borderId="0" xfId="3" applyFont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18" fillId="0" borderId="0" xfId="0" applyFont="1" applyFill="1"/>
  </cellXfs>
  <cellStyles count="8">
    <cellStyle name="Hyperlink" xfId="7" builtinId="8"/>
    <cellStyle name="Normal" xfId="0" builtinId="0"/>
    <cellStyle name="Normal 2" xfId="1" xr:uid="{00000000-0005-0000-0000-000001000000}"/>
    <cellStyle name="Normal 2 2" xfId="5" xr:uid="{05A02E26-4588-4B65-8630-35C05C96A24E}"/>
    <cellStyle name="Normal 3" xfId="4" xr:uid="{B1F86E36-C5B4-4976-BE48-932EC2B8D4A5}"/>
    <cellStyle name="Normal 3 2" xfId="6" xr:uid="{FF4DCF8C-0EE3-4F73-BECA-6D7191059647}"/>
    <cellStyle name="Normal_Book2" xfId="3" xr:uid="{B48EC660-E35A-4A72-8B5A-552898995376}"/>
    <cellStyle name="一般 2" xfId="2" xr:uid="{00000000-0005-0000-0000-000002000000}"/>
  </cellStyles>
  <dxfs count="186">
    <dxf>
      <font>
        <b val="0"/>
        <i val="0"/>
        <strike val="0"/>
        <u val="none"/>
        <sz val="12"/>
        <color auto="1"/>
        <name val="微軟正黑體"/>
        <scheme val="none"/>
      </font>
      <alignment vertical="center"/>
    </dxf>
    <dxf>
      <font>
        <strike val="0"/>
        <sz val="12"/>
        <name val="微軟正黑體"/>
        <scheme val="none"/>
      </font>
    </dxf>
    <dxf>
      <font>
        <strike val="0"/>
        <sz val="12"/>
        <name val="微軟正黑體"/>
        <scheme val="none"/>
      </font>
    </dxf>
    <dxf>
      <font>
        <strike val="0"/>
        <sz val="12"/>
        <name val="微軟正黑體"/>
        <scheme val="none"/>
      </font>
    </dxf>
    <dxf>
      <font>
        <strike val="0"/>
        <sz val="12"/>
        <name val="微軟正黑體"/>
        <scheme val="none"/>
      </font>
    </dxf>
    <dxf>
      <font>
        <strike val="0"/>
        <sz val="12"/>
        <name val="微軟正黑體"/>
        <scheme val="none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2"/>
        <color auto="1"/>
        <name val="微軟正黑體"/>
        <scheme val="none"/>
      </font>
      <alignment vertical="center"/>
    </dxf>
    <dxf>
      <font>
        <strike val="0"/>
        <sz val="12"/>
        <name val="微軟正黑體"/>
        <scheme val="none"/>
      </font>
    </dxf>
    <dxf>
      <font>
        <strike val="0"/>
        <sz val="12"/>
        <name val="微軟正黑體"/>
        <scheme val="none"/>
      </font>
    </dxf>
    <dxf>
      <font>
        <strike val="0"/>
        <sz val="12"/>
        <name val="微軟正黑體"/>
        <scheme val="none"/>
      </font>
    </dxf>
    <dxf>
      <font>
        <strike val="0"/>
        <sz val="12"/>
        <name val="微軟正黑體"/>
        <scheme val="none"/>
      </font>
    </dxf>
    <dxf>
      <font>
        <strike val="0"/>
        <sz val="12"/>
        <name val="微軟正黑體"/>
        <scheme val="none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2"/>
        <color auto="1"/>
        <name val="微軟正黑體"/>
        <scheme val="none"/>
      </font>
      <alignment vertical="center"/>
    </dxf>
    <dxf>
      <font>
        <strike val="0"/>
        <sz val="12"/>
        <name val="微軟正黑體"/>
        <scheme val="none"/>
      </font>
    </dxf>
    <dxf>
      <font>
        <strike val="0"/>
        <sz val="12"/>
        <name val="微軟正黑體"/>
        <scheme val="none"/>
      </font>
    </dxf>
    <dxf>
      <font>
        <strike val="0"/>
        <sz val="12"/>
        <name val="微軟正黑體"/>
        <scheme val="none"/>
      </font>
    </dxf>
    <dxf>
      <font>
        <strike val="0"/>
        <sz val="12"/>
        <name val="微軟正黑體"/>
        <scheme val="none"/>
      </font>
    </dxf>
    <dxf>
      <font>
        <strike val="0"/>
        <sz val="12"/>
        <name val="微軟正黑體"/>
        <scheme val="none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0A18D6"/>
      <color rgb="FF1D2A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20.202\MIS_Public\4.REPORTS\16.KT_PHAN_LOAI_TS_MAY_TINH_&#27298;&#26597;&#20998;&#39006;&#38651;&#33126;&#36039;&#29986;\2025\10.%20WIFI\Wifi%20vpic1%2011.2025.xlsx" TargetMode="External"/><Relationship Id="rId1" Type="http://schemas.openxmlformats.org/officeDocument/2006/relationships/externalLinkPath" Target="/4.REPORTS/16.KT_PHAN_LOAI_TS_MAY_TINH_&#27298;&#26597;&#20998;&#39006;&#38651;&#33126;&#36039;&#29986;/2025/10.%20WIFI/Wifi%20vpic1%2011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W-MAC"/>
      <sheetName val="WIFI VPIC1"/>
      <sheetName val="KETOAN"/>
      <sheetName val="WIFI-X6"/>
      <sheetName val="SON3"/>
      <sheetName val="GDO"/>
      <sheetName val="QC"/>
      <sheetName val="DAP4"/>
      <sheetName val="HAN4"/>
      <sheetName val="KF"/>
      <sheetName val="DAP5"/>
      <sheetName val="Gia Cong"/>
      <sheetName val="HAN3"/>
      <sheetName val="DAP3"/>
      <sheetName val="SON1"/>
      <sheetName val="Thu Mua"/>
      <sheetName val="QLSX"/>
      <sheetName val="QA"/>
      <sheetName val="X6-OFFICE"/>
      <sheetName val="X6-M1"/>
      <sheetName val="X6-M2"/>
      <sheetName val="X6-M3"/>
      <sheetName val="X6-T1"/>
      <sheetName val="VPSX X6"/>
      <sheetName val="X6-BV1"/>
      <sheetName val="X6-QL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5938E5-C0A5-4A0A-B1A4-469DE6E530C2}" name="Table14" displayName="Table14" ref="A1:F55" totalsRowShown="0">
  <autoFilter ref="A1:F55" xr:uid="{00000000-0009-0000-0100-00000E000000}"/>
  <tableColumns count="6">
    <tableColumn id="1" xr3:uid="{AC90D94A-D1F2-4A19-B8DC-E2192C41FA9E}" name="ID" dataDxfId="129"/>
    <tableColumn id="2" xr3:uid="{E407E6B1-0467-4FB9-8677-DD642646DB2F}" name="MAC Address" dataDxfId="128"/>
    <tableColumn id="3" xr3:uid="{46C8C883-3905-4602-B663-81821BF50499}" name="Status" dataDxfId="127"/>
    <tableColumn id="4" xr3:uid="{88784C81-9F22-44F5-A962-F809C42F3C6B}" name="Description" dataDxfId="126"/>
    <tableColumn id="5" xr3:uid="{C33AC704-9FB7-41C6-98C6-30F53BF5CEA2}" name="Active" dataDxfId="125"/>
    <tableColumn id="6" xr3:uid="{4023361F-8E24-4BBE-8F80-4DA4778725FB}" name="欄1" dataDxfId="124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5D7DECE-2D7A-423E-A763-4079938C09C4}" name="Table1434" displayName="Table1434" ref="A1:F55" totalsRowShown="0">
  <autoFilter ref="A1:F55" xr:uid="{00000000-0009-0000-0100-00000E000000}"/>
  <tableColumns count="6">
    <tableColumn id="1" xr3:uid="{585AD00D-6973-4F4E-8271-D3AC4630767F}" name="ID" dataDxfId="5"/>
    <tableColumn id="2" xr3:uid="{62FE19A8-2894-4FC0-B7FC-3C9A7DEE5B5C}" name="MAC Address" dataDxfId="4"/>
    <tableColumn id="3" xr3:uid="{E000F663-C260-4951-822D-2720C9193C1B}" name="Status" dataDxfId="3"/>
    <tableColumn id="4" xr3:uid="{B99CA1A8-59F9-4951-BF80-92FEC75930E3}" name="Description" dataDxfId="2"/>
    <tableColumn id="5" xr3:uid="{676B3583-D689-4D7D-B1B4-BAD08EAC60D1}" name="Active" dataDxfId="1"/>
    <tableColumn id="6" xr3:uid="{62872F1D-7C05-41B4-A9C2-DDAC3995D0DB}" name="欄1" dataDxfId="0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C6F9EB-F16B-49DB-9374-5EB3F12DB248}" name="Table143" displayName="Table143" ref="A1:F55" totalsRowShown="0">
  <autoFilter ref="A1:F55" xr:uid="{00000000-0009-0000-0100-00000E000000}"/>
  <tableColumns count="6">
    <tableColumn id="1" xr3:uid="{5F960FDC-165F-45A9-90A2-6BB471CB0A71}" name="ID" dataDxfId="67"/>
    <tableColumn id="2" xr3:uid="{C93A42DB-4FDC-4688-99A4-8FDBDE64F8A6}" name="MAC Address" dataDxfId="66"/>
    <tableColumn id="3" xr3:uid="{83CE9299-BF8D-4309-9994-4C5C4D9F2C16}" name="Status" dataDxfId="65"/>
    <tableColumn id="4" xr3:uid="{48A8447C-83AC-40D2-B175-65F996A0374C}" name="Description" dataDxfId="64"/>
    <tableColumn id="5" xr3:uid="{2B0E7562-C357-4656-B528-65C53EA72CCD}" name="Active" dataDxfId="63"/>
    <tableColumn id="6" xr3:uid="{157CE582-FCF7-453D-8C8B-E08ECE8602CF}" name="欄1" dataDxfId="62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zoomScale="70" zoomScaleNormal="70" workbookViewId="0">
      <selection activeCell="K10" sqref="K10"/>
    </sheetView>
  </sheetViews>
  <sheetFormatPr defaultColWidth="9" defaultRowHeight="15.75"/>
  <cols>
    <col min="1" max="1" width="13.75" customWidth="1"/>
    <col min="2" max="2" width="43.5" customWidth="1"/>
    <col min="3" max="3" width="16.5" customWidth="1"/>
    <col min="4" max="4" width="22.125" customWidth="1"/>
    <col min="5" max="5" width="22" customWidth="1"/>
    <col min="6" max="6" width="16.5" hidden="1" customWidth="1"/>
    <col min="7" max="8" width="19.625" customWidth="1"/>
  </cols>
  <sheetData>
    <row r="1" spans="1:8" ht="21" customHeight="1">
      <c r="B1" s="8" t="s">
        <v>12</v>
      </c>
      <c r="C1" s="8"/>
      <c r="D1" s="8"/>
      <c r="E1" s="8"/>
      <c r="F1" s="8"/>
      <c r="G1" s="8"/>
      <c r="H1" s="8"/>
    </row>
    <row r="2" spans="1:8" ht="39" customHeight="1">
      <c r="B2" s="8"/>
      <c r="C2" s="8"/>
      <c r="D2" s="8"/>
      <c r="E2" s="8"/>
      <c r="F2" s="8"/>
      <c r="G2" s="8"/>
      <c r="H2" s="8"/>
    </row>
    <row r="3" spans="1:8" ht="15.75" customHeight="1">
      <c r="A3" s="7" t="s">
        <v>10</v>
      </c>
      <c r="B3" s="7" t="s">
        <v>0</v>
      </c>
      <c r="C3" s="7" t="s">
        <v>1</v>
      </c>
      <c r="D3" s="7" t="s">
        <v>2</v>
      </c>
      <c r="E3" s="7" t="s">
        <v>7</v>
      </c>
      <c r="F3" s="7" t="s">
        <v>3</v>
      </c>
      <c r="G3" s="7" t="s">
        <v>4</v>
      </c>
      <c r="H3" s="7" t="s">
        <v>8</v>
      </c>
    </row>
    <row r="4" spans="1:8" ht="35.25" customHeight="1">
      <c r="A4" s="7"/>
      <c r="B4" s="7"/>
      <c r="C4" s="7"/>
      <c r="D4" s="7"/>
      <c r="E4" s="7"/>
      <c r="F4" s="7"/>
      <c r="G4" s="7"/>
      <c r="H4" s="7"/>
    </row>
    <row r="5" spans="1:8" ht="141" customHeight="1">
      <c r="A5" s="5">
        <v>1</v>
      </c>
      <c r="B5" s="4" t="s">
        <v>25</v>
      </c>
      <c r="C5" s="1" t="s">
        <v>24</v>
      </c>
      <c r="D5" s="6" t="s">
        <v>14</v>
      </c>
      <c r="E5" s="6" t="s">
        <v>14</v>
      </c>
      <c r="F5" s="2" t="s">
        <v>5</v>
      </c>
      <c r="G5" s="1" t="s">
        <v>6</v>
      </c>
      <c r="H5" s="1" t="s">
        <v>9</v>
      </c>
    </row>
    <row r="6" spans="1:8" ht="141" customHeight="1">
      <c r="A6" s="5">
        <v>2</v>
      </c>
      <c r="B6" s="4" t="s">
        <v>19</v>
      </c>
      <c r="C6" s="1" t="s">
        <v>13</v>
      </c>
      <c r="D6" s="6" t="s">
        <v>11</v>
      </c>
      <c r="E6" s="6" t="s">
        <v>11</v>
      </c>
      <c r="F6" s="2" t="s">
        <v>5</v>
      </c>
      <c r="G6" s="1" t="s">
        <v>6</v>
      </c>
      <c r="H6" s="1" t="s">
        <v>9</v>
      </c>
    </row>
    <row r="7" spans="1:8" ht="145.5" customHeight="1">
      <c r="A7" s="5">
        <v>3</v>
      </c>
      <c r="B7" s="4" t="s">
        <v>20</v>
      </c>
      <c r="C7" s="1" t="s">
        <v>15</v>
      </c>
      <c r="D7" s="6" t="s">
        <v>11</v>
      </c>
      <c r="E7" s="6" t="s">
        <v>11</v>
      </c>
      <c r="F7" s="2"/>
      <c r="G7" s="1" t="s">
        <v>6</v>
      </c>
      <c r="H7" s="1" t="s">
        <v>9</v>
      </c>
    </row>
    <row r="8" spans="1:8" ht="213.75" customHeight="1">
      <c r="A8" s="5">
        <v>4</v>
      </c>
      <c r="B8" s="4" t="s">
        <v>21</v>
      </c>
      <c r="C8" s="1" t="s">
        <v>16</v>
      </c>
      <c r="D8" s="6" t="s">
        <v>11</v>
      </c>
      <c r="E8" s="6" t="s">
        <v>11</v>
      </c>
      <c r="F8" s="2"/>
      <c r="G8" s="1" t="s">
        <v>6</v>
      </c>
      <c r="H8" s="1" t="s">
        <v>9</v>
      </c>
    </row>
    <row r="9" spans="1:8" ht="200.25" customHeight="1">
      <c r="A9" s="5">
        <v>5</v>
      </c>
      <c r="B9" s="4" t="s">
        <v>23</v>
      </c>
      <c r="C9" s="1" t="s">
        <v>5</v>
      </c>
      <c r="D9" s="6" t="s">
        <v>17</v>
      </c>
      <c r="E9" s="6" t="s">
        <v>17</v>
      </c>
      <c r="F9" s="2"/>
      <c r="G9" s="1" t="s">
        <v>6</v>
      </c>
      <c r="H9" s="1" t="s">
        <v>9</v>
      </c>
    </row>
    <row r="10" spans="1:8" ht="175.5" customHeight="1">
      <c r="A10" s="5">
        <v>6</v>
      </c>
      <c r="B10" s="4" t="s">
        <v>22</v>
      </c>
      <c r="C10" s="1" t="s">
        <v>18</v>
      </c>
      <c r="D10" s="6" t="s">
        <v>17</v>
      </c>
      <c r="E10" s="6" t="s">
        <v>17</v>
      </c>
      <c r="F10" s="2"/>
      <c r="G10" s="1" t="s">
        <v>6</v>
      </c>
      <c r="H10" s="1" t="s">
        <v>9</v>
      </c>
    </row>
    <row r="11" spans="1:8" ht="136.5" customHeight="1">
      <c r="A11" s="5"/>
      <c r="B11" s="4"/>
      <c r="C11" s="1"/>
      <c r="D11" s="6"/>
      <c r="E11" s="3"/>
      <c r="F11" s="2"/>
      <c r="G11" s="1"/>
      <c r="H11" s="1"/>
    </row>
    <row r="12" spans="1:8" ht="177.75" customHeight="1">
      <c r="A12" s="5"/>
      <c r="B12" s="4"/>
      <c r="C12" s="1"/>
      <c r="D12" s="3"/>
      <c r="E12" s="3"/>
      <c r="F12" s="2"/>
      <c r="G12" s="1"/>
      <c r="H12" s="1"/>
    </row>
    <row r="13" spans="1:8" ht="136.5" customHeight="1">
      <c r="A13" s="5"/>
      <c r="B13" s="4"/>
      <c r="C13" s="1"/>
      <c r="D13" s="6"/>
      <c r="E13" s="6"/>
      <c r="F13" s="2"/>
      <c r="G13" s="1"/>
      <c r="H13" s="1"/>
    </row>
    <row r="14" spans="1:8" ht="189" customHeight="1">
      <c r="A14" s="5"/>
      <c r="B14" s="4"/>
      <c r="C14" s="1"/>
      <c r="D14" s="6"/>
      <c r="E14" s="6"/>
      <c r="F14" s="2"/>
      <c r="G14" s="1"/>
      <c r="H14" s="1"/>
    </row>
    <row r="15" spans="1:8" ht="189" customHeight="1">
      <c r="A15" s="5"/>
      <c r="B15" s="4"/>
      <c r="C15" s="1"/>
      <c r="D15" s="3"/>
      <c r="E15" s="3"/>
      <c r="F15" s="2"/>
      <c r="G15" s="1"/>
      <c r="H15" s="1"/>
    </row>
    <row r="16" spans="1:8" ht="178.5" customHeight="1">
      <c r="A16" s="5"/>
      <c r="B16" s="4"/>
      <c r="C16" s="1"/>
      <c r="D16" s="3"/>
      <c r="E16" s="3"/>
      <c r="F16" s="2"/>
      <c r="G16" s="1"/>
      <c r="H16" s="1"/>
    </row>
    <row r="17" spans="1:8" ht="193.5" customHeight="1">
      <c r="A17" s="5"/>
      <c r="B17" s="4"/>
      <c r="C17" s="1"/>
      <c r="D17" s="3"/>
      <c r="E17" s="3"/>
      <c r="F17" s="2"/>
      <c r="G17" s="1"/>
      <c r="H17" s="1"/>
    </row>
    <row r="18" spans="1:8" ht="196.5" customHeight="1">
      <c r="A18" s="5"/>
      <c r="B18" s="4"/>
      <c r="C18" s="1"/>
      <c r="D18" s="3"/>
      <c r="E18" s="3"/>
      <c r="F18" s="2"/>
      <c r="G18" s="1"/>
      <c r="H18" s="1"/>
    </row>
    <row r="19" spans="1:8" ht="236.25" customHeight="1">
      <c r="A19" s="5"/>
      <c r="B19" s="4"/>
      <c r="C19" s="1"/>
      <c r="D19" s="3"/>
      <c r="E19" s="3"/>
      <c r="F19" s="2"/>
      <c r="G19" s="1"/>
      <c r="H19" s="1"/>
    </row>
    <row r="20" spans="1:8" ht="221.25" customHeight="1">
      <c r="A20" s="5"/>
      <c r="B20" s="4"/>
      <c r="C20" s="1"/>
      <c r="D20" s="3"/>
      <c r="E20" s="3"/>
      <c r="F20" s="2"/>
      <c r="G20" s="1"/>
      <c r="H20" s="1"/>
    </row>
    <row r="21" spans="1:8" ht="182.25" customHeight="1">
      <c r="A21" s="5"/>
      <c r="B21" s="4"/>
      <c r="C21" s="1"/>
      <c r="D21" s="3"/>
      <c r="E21" s="3"/>
      <c r="F21" s="2"/>
      <c r="G21" s="1"/>
      <c r="H21" s="1"/>
    </row>
  </sheetData>
  <mergeCells count="9">
    <mergeCell ref="A3:A4"/>
    <mergeCell ref="F3:F4"/>
    <mergeCell ref="B1:H2"/>
    <mergeCell ref="B3:B4"/>
    <mergeCell ref="C3:C4"/>
    <mergeCell ref="D3:D4"/>
    <mergeCell ref="E3:E4"/>
    <mergeCell ref="G3:G4"/>
    <mergeCell ref="H3:H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EF69C-DD25-4B1C-B5D4-C77A66ABD757}">
  <sheetPr>
    <tabColor rgb="FF0070C0"/>
  </sheetPr>
  <dimension ref="A1:F55"/>
  <sheetViews>
    <sheetView showGridLines="0" workbookViewId="0">
      <pane ySplit="1" topLeftCell="A2" activePane="bottomLeft" state="frozen"/>
      <selection pane="bottomLeft" activeCell="H44" sqref="H44"/>
    </sheetView>
  </sheetViews>
  <sheetFormatPr defaultColWidth="8" defaultRowHeight="15.75"/>
  <cols>
    <col min="1" max="1" width="7.875" style="10" customWidth="1"/>
    <col min="2" max="2" width="20.875" style="10" customWidth="1"/>
    <col min="3" max="3" width="11.375" style="10" customWidth="1"/>
    <col min="4" max="4" width="22.25" style="33" customWidth="1"/>
    <col min="5" max="5" width="11.5" style="33" customWidth="1"/>
    <col min="6" max="6" width="21.625" style="10" customWidth="1"/>
    <col min="7" max="16384" width="8" style="10"/>
  </cols>
  <sheetData>
    <row r="1" spans="1:6">
      <c r="A1" s="9" t="s">
        <v>26</v>
      </c>
      <c r="B1" s="9" t="s">
        <v>27</v>
      </c>
      <c r="C1" s="9" t="s">
        <v>28</v>
      </c>
      <c r="D1" s="9" t="s">
        <v>29</v>
      </c>
      <c r="E1" s="9" t="s">
        <v>30</v>
      </c>
      <c r="F1" s="10" t="s">
        <v>31</v>
      </c>
    </row>
    <row r="2" spans="1:6">
      <c r="A2" s="11">
        <v>1</v>
      </c>
      <c r="B2" s="12" t="s">
        <v>32</v>
      </c>
      <c r="C2" s="13" t="s">
        <v>33</v>
      </c>
      <c r="D2" s="14" t="s">
        <v>34</v>
      </c>
      <c r="E2" s="11" t="s">
        <v>35</v>
      </c>
      <c r="F2" s="15" t="str">
        <f>VLOOKUP(Table14[[#This Row],[Description]],TWMAC,3,FALSE)</f>
        <v>曾德鵬 Laptop</v>
      </c>
    </row>
    <row r="3" spans="1:6">
      <c r="A3" s="11">
        <v>2</v>
      </c>
      <c r="B3" s="12" t="s">
        <v>36</v>
      </c>
      <c r="C3" s="13" t="s">
        <v>33</v>
      </c>
      <c r="D3" s="14" t="s">
        <v>37</v>
      </c>
      <c r="E3" s="11" t="s">
        <v>35</v>
      </c>
      <c r="F3" s="15" t="str">
        <f>VLOOKUP(Table14[[#This Row],[Description]],TWMAC,3,FALSE)</f>
        <v>廖仁成 經理 Laptop</v>
      </c>
    </row>
    <row r="4" spans="1:6">
      <c r="A4" s="11">
        <v>3</v>
      </c>
      <c r="B4" s="12" t="s">
        <v>38</v>
      </c>
      <c r="C4" s="13" t="s">
        <v>33</v>
      </c>
      <c r="D4" s="14" t="s">
        <v>39</v>
      </c>
      <c r="E4" s="11" t="s">
        <v>35</v>
      </c>
      <c r="F4" s="15" t="str">
        <f>VLOOKUP(Table14[[#This Row],[Description]],TWMAC,3,FALSE)</f>
        <v>廖仁成 經理 Mobile</v>
      </c>
    </row>
    <row r="5" spans="1:6">
      <c r="A5" s="11">
        <v>4</v>
      </c>
      <c r="B5" s="12" t="s">
        <v>40</v>
      </c>
      <c r="C5" s="13" t="s">
        <v>33</v>
      </c>
      <c r="D5" s="14" t="s">
        <v>41</v>
      </c>
      <c r="E5" s="11" t="s">
        <v>35</v>
      </c>
      <c r="F5" s="15" t="str">
        <f>VLOOKUP(Table14[[#This Row],[Description]],TWMAC,3,FALSE)</f>
        <v>總經理 Laptop</v>
      </c>
    </row>
    <row r="6" spans="1:6">
      <c r="A6" s="11">
        <v>5</v>
      </c>
      <c r="B6" s="12" t="s">
        <v>42</v>
      </c>
      <c r="C6" s="13" t="s">
        <v>33</v>
      </c>
      <c r="D6" s="14" t="s">
        <v>43</v>
      </c>
      <c r="E6" s="11" t="s">
        <v>35</v>
      </c>
      <c r="F6" s="15" t="str">
        <f>VLOOKUP(Table14[[#This Row],[Description]],TWMAC,3,FALSE)</f>
        <v>總經理 Mobile</v>
      </c>
    </row>
    <row r="7" spans="1:6">
      <c r="A7" s="11">
        <v>6</v>
      </c>
      <c r="B7" s="12" t="s">
        <v>44</v>
      </c>
      <c r="C7" s="13" t="s">
        <v>33</v>
      </c>
      <c r="D7" s="14" t="s">
        <v>45</v>
      </c>
      <c r="E7" s="11" t="s">
        <v>35</v>
      </c>
      <c r="F7" s="15" t="str">
        <f>VLOOKUP(Table14[[#This Row],[Description]],TWMAC,3,FALSE)</f>
        <v>曾創愉 經理 Mobile</v>
      </c>
    </row>
    <row r="8" spans="1:6">
      <c r="A8" s="11">
        <v>7</v>
      </c>
      <c r="B8" s="12" t="s">
        <v>46</v>
      </c>
      <c r="C8" s="13" t="s">
        <v>33</v>
      </c>
      <c r="D8" s="14" t="s">
        <v>47</v>
      </c>
      <c r="E8" s="11" t="s">
        <v>35</v>
      </c>
      <c r="F8" s="15" t="str">
        <f>VLOOKUP(Table14[[#This Row],[Description]],TWMAC,3,FALSE)</f>
        <v>王正文副總 Laptop</v>
      </c>
    </row>
    <row r="9" spans="1:6">
      <c r="A9" s="11">
        <v>8</v>
      </c>
      <c r="B9" s="12" t="s">
        <v>48</v>
      </c>
      <c r="C9" s="13" t="s">
        <v>33</v>
      </c>
      <c r="D9" s="14" t="s">
        <v>49</v>
      </c>
      <c r="E9" s="11" t="s">
        <v>35</v>
      </c>
      <c r="F9" s="15" t="str">
        <f>VLOOKUP(Table14[[#This Row],[Description]],TWMAC,3,FALSE)</f>
        <v>王正文副總 Mobile</v>
      </c>
    </row>
    <row r="10" spans="1:6">
      <c r="A10" s="11">
        <v>9</v>
      </c>
      <c r="B10" s="12" t="s">
        <v>50</v>
      </c>
      <c r="C10" s="13" t="s">
        <v>33</v>
      </c>
      <c r="D10" s="14" t="s">
        <v>51</v>
      </c>
      <c r="E10" s="11" t="s">
        <v>35</v>
      </c>
      <c r="F10" s="15" t="str">
        <f>VLOOKUP(Table14[[#This Row],[Description]],TWMAC,3,FALSE)</f>
        <v>陳柏宇 經理 Laptop</v>
      </c>
    </row>
    <row r="11" spans="1:6">
      <c r="A11" s="11">
        <v>10</v>
      </c>
      <c r="B11" s="12" t="s">
        <v>52</v>
      </c>
      <c r="C11" s="13" t="s">
        <v>33</v>
      </c>
      <c r="D11" s="14" t="s">
        <v>53</v>
      </c>
      <c r="E11" s="11" t="s">
        <v>35</v>
      </c>
      <c r="F11" s="15" t="str">
        <f>VLOOKUP(Table14[[#This Row],[Description]],TWMAC,3,FALSE)</f>
        <v>陳柏宇 經理 Mobile</v>
      </c>
    </row>
    <row r="12" spans="1:6">
      <c r="A12" s="11">
        <v>11</v>
      </c>
      <c r="B12" s="12" t="s">
        <v>54</v>
      </c>
      <c r="C12" s="13" t="s">
        <v>33</v>
      </c>
      <c r="D12" s="14" t="s">
        <v>55</v>
      </c>
      <c r="E12" s="11" t="s">
        <v>35</v>
      </c>
      <c r="F12" s="15" t="str">
        <f>VLOOKUP(Table14[[#This Row],[Description]],TWMAC,3,FALSE)</f>
        <v>詹前錦 副總 Laptop</v>
      </c>
    </row>
    <row r="13" spans="1:6">
      <c r="A13" s="11">
        <v>12</v>
      </c>
      <c r="B13" s="12" t="s">
        <v>56</v>
      </c>
      <c r="C13" s="13" t="s">
        <v>33</v>
      </c>
      <c r="D13" s="14" t="s">
        <v>57</v>
      </c>
      <c r="E13" s="11" t="s">
        <v>35</v>
      </c>
      <c r="F13" s="15" t="str">
        <f>VLOOKUP(Table14[[#This Row],[Description]],TWMAC,3,FALSE)</f>
        <v>詹前錦 副總 Mobile</v>
      </c>
    </row>
    <row r="14" spans="1:6">
      <c r="A14" s="11">
        <v>13</v>
      </c>
      <c r="B14" s="12" t="s">
        <v>58</v>
      </c>
      <c r="C14" s="13" t="s">
        <v>33</v>
      </c>
      <c r="D14" s="14" t="s">
        <v>59</v>
      </c>
      <c r="E14" s="11" t="s">
        <v>35</v>
      </c>
      <c r="F14" s="15" t="str">
        <f>VLOOKUP(Table14[[#This Row],[Description]],TWMAC,3,FALSE)</f>
        <v>游騰茂 經理 Mobile</v>
      </c>
    </row>
    <row r="15" spans="1:6">
      <c r="A15" s="11">
        <v>14</v>
      </c>
      <c r="B15" s="12" t="s">
        <v>60</v>
      </c>
      <c r="C15" s="13" t="s">
        <v>33</v>
      </c>
      <c r="D15" s="14" t="s">
        <v>61</v>
      </c>
      <c r="E15" s="11" t="s">
        <v>35</v>
      </c>
      <c r="F15" s="15" t="str">
        <f>VLOOKUP(Table14[[#This Row],[Description]],TWMAC,3,FALSE)</f>
        <v>游騰茂 經理 Laptop</v>
      </c>
    </row>
    <row r="16" spans="1:6">
      <c r="A16" s="11">
        <v>15</v>
      </c>
      <c r="B16" s="12" t="s">
        <v>62</v>
      </c>
      <c r="C16" s="13" t="s">
        <v>33</v>
      </c>
      <c r="D16" s="14" t="s">
        <v>63</v>
      </c>
      <c r="E16" s="11" t="s">
        <v>35</v>
      </c>
      <c r="F16" s="15" t="str">
        <f>VLOOKUP(Table14[[#This Row],[Description]],TWMAC,3,FALSE)</f>
        <v>張士聖 經理 Laptop</v>
      </c>
    </row>
    <row r="17" spans="1:6">
      <c r="A17" s="11">
        <v>16</v>
      </c>
      <c r="B17" s="12" t="s">
        <v>64</v>
      </c>
      <c r="C17" s="13" t="s">
        <v>33</v>
      </c>
      <c r="D17" s="14" t="s">
        <v>65</v>
      </c>
      <c r="E17" s="11" t="s">
        <v>35</v>
      </c>
      <c r="F17" s="15" t="str">
        <f>VLOOKUP(Table14[[#This Row],[Description]],TWMAC,3,FALSE)</f>
        <v>張士聖 經理 Mobile</v>
      </c>
    </row>
    <row r="18" spans="1:6">
      <c r="A18" s="11">
        <v>17</v>
      </c>
      <c r="B18" s="12" t="s">
        <v>66</v>
      </c>
      <c r="C18" s="13" t="s">
        <v>33</v>
      </c>
      <c r="D18" s="14" t="s">
        <v>67</v>
      </c>
      <c r="E18" s="11" t="s">
        <v>35</v>
      </c>
      <c r="F18" s="15" t="str">
        <f>VLOOKUP(Table14[[#This Row],[Description]],TWMAC,3,FALSE)</f>
        <v>蔡正春 經理 Mobile</v>
      </c>
    </row>
    <row r="19" spans="1:6">
      <c r="A19" s="11">
        <v>18</v>
      </c>
      <c r="B19" s="12" t="s">
        <v>68</v>
      </c>
      <c r="C19" s="13" t="s">
        <v>33</v>
      </c>
      <c r="D19" s="14" t="s">
        <v>69</v>
      </c>
      <c r="E19" s="11" t="s">
        <v>35</v>
      </c>
      <c r="F19" s="15" t="str">
        <f>VLOOKUP(Table14[[#This Row],[Description]],TWMAC,3,FALSE)</f>
        <v>詹文龍 副總 Laptop</v>
      </c>
    </row>
    <row r="20" spans="1:6">
      <c r="A20" s="11">
        <v>19</v>
      </c>
      <c r="B20" s="12" t="s">
        <v>70</v>
      </c>
      <c r="C20" s="13" t="s">
        <v>33</v>
      </c>
      <c r="D20" s="14" t="s">
        <v>71</v>
      </c>
      <c r="E20" s="11" t="s">
        <v>35</v>
      </c>
      <c r="F20" s="15" t="str">
        <f>VLOOKUP(Table14[[#This Row],[Description]],TWMAC,3,FALSE)</f>
        <v>詹文龍 副總 Mobile</v>
      </c>
    </row>
    <row r="21" spans="1:6">
      <c r="A21" s="11">
        <v>20</v>
      </c>
      <c r="B21" s="12" t="s">
        <v>72</v>
      </c>
      <c r="C21" s="13" t="s">
        <v>33</v>
      </c>
      <c r="D21" s="14" t="s">
        <v>73</v>
      </c>
      <c r="E21" s="11" t="s">
        <v>35</v>
      </c>
      <c r="F21" s="15" t="str">
        <f>VLOOKUP(Table14[[#This Row],[Description]],TWMAC,3,FALSE)</f>
        <v>陳銘哲 經理 Mobile</v>
      </c>
    </row>
    <row r="22" spans="1:6">
      <c r="A22" s="11">
        <v>21</v>
      </c>
      <c r="B22" s="12" t="s">
        <v>74</v>
      </c>
      <c r="C22" s="13" t="s">
        <v>33</v>
      </c>
      <c r="D22" s="14" t="s">
        <v>75</v>
      </c>
      <c r="E22" s="11" t="s">
        <v>35</v>
      </c>
      <c r="F22" s="15" t="str">
        <f>VLOOKUP(Table14[[#This Row],[Description]],TWMAC,3,FALSE)</f>
        <v>廖俊興 經理 Mobile</v>
      </c>
    </row>
    <row r="23" spans="1:6">
      <c r="A23" s="11">
        <v>22</v>
      </c>
      <c r="B23" s="12" t="s">
        <v>76</v>
      </c>
      <c r="C23" s="13" t="s">
        <v>33</v>
      </c>
      <c r="D23" s="14" t="s">
        <v>75</v>
      </c>
      <c r="E23" s="11" t="s">
        <v>35</v>
      </c>
      <c r="F23" s="15" t="str">
        <f>VLOOKUP(Table14[[#This Row],[Description]],TWMAC,3,FALSE)</f>
        <v>廖俊興 經理 Mobile</v>
      </c>
    </row>
    <row r="24" spans="1:6">
      <c r="A24" s="11">
        <v>23</v>
      </c>
      <c r="B24" s="12" t="s">
        <v>77</v>
      </c>
      <c r="C24" s="13" t="s">
        <v>33</v>
      </c>
      <c r="D24" s="14" t="s">
        <v>78</v>
      </c>
      <c r="E24" s="11" t="s">
        <v>35</v>
      </c>
      <c r="F24" s="15" t="str">
        <f>VLOOKUP(Table14[[#This Row],[Description]],TWMAC,3,FALSE)</f>
        <v>廖俊興 經理 Laptop</v>
      </c>
    </row>
    <row r="25" spans="1:6">
      <c r="A25" s="11">
        <v>24</v>
      </c>
      <c r="B25" s="12" t="s">
        <v>79</v>
      </c>
      <c r="C25" s="13" t="s">
        <v>33</v>
      </c>
      <c r="D25" s="14" t="s">
        <v>80</v>
      </c>
      <c r="E25" s="11" t="s">
        <v>35</v>
      </c>
      <c r="F25" s="15" t="str">
        <f>VLOOKUP(Table14[[#This Row],[Description]],TWMAC,3,FALSE)</f>
        <v>游棋明 經理 Mobile</v>
      </c>
    </row>
    <row r="26" spans="1:6">
      <c r="A26" s="11">
        <v>25</v>
      </c>
      <c r="B26" s="12" t="s">
        <v>81</v>
      </c>
      <c r="C26" s="13" t="s">
        <v>33</v>
      </c>
      <c r="D26" s="14" t="s">
        <v>82</v>
      </c>
      <c r="E26" s="11" t="s">
        <v>35</v>
      </c>
      <c r="F26" s="15" t="str">
        <f>VLOOKUP(Table14[[#This Row],[Description]],TWMAC,3,FALSE)</f>
        <v>Antonio</v>
      </c>
    </row>
    <row r="27" spans="1:6">
      <c r="A27" s="11">
        <v>26</v>
      </c>
      <c r="B27" s="12" t="s">
        <v>83</v>
      </c>
      <c r="C27" s="13" t="s">
        <v>33</v>
      </c>
      <c r="D27" s="14" t="s">
        <v>84</v>
      </c>
      <c r="E27" s="11" t="s">
        <v>35</v>
      </c>
      <c r="F27" s="15" t="str">
        <f>VLOOKUP(Table14[[#This Row],[Description]],TWMAC,3,FALSE)</f>
        <v>總經理 iPad</v>
      </c>
    </row>
    <row r="28" spans="1:6">
      <c r="A28" s="11">
        <v>27</v>
      </c>
      <c r="B28" s="16" t="s">
        <v>85</v>
      </c>
      <c r="C28" s="13" t="s">
        <v>33</v>
      </c>
      <c r="D28" s="14" t="s">
        <v>86</v>
      </c>
      <c r="E28" s="11" t="s">
        <v>35</v>
      </c>
      <c r="F28" s="15" t="str">
        <f>VLOOKUP(Table14[[#This Row],[Description]],TWMAC,3,FALSE)</f>
        <v>曾創瑜 經理 Laptop</v>
      </c>
    </row>
    <row r="29" spans="1:6">
      <c r="A29" s="11">
        <v>28</v>
      </c>
      <c r="B29" s="12" t="s">
        <v>87</v>
      </c>
      <c r="C29" s="13" t="s">
        <v>33</v>
      </c>
      <c r="D29" s="14" t="s">
        <v>45</v>
      </c>
      <c r="E29" s="11" t="s">
        <v>35</v>
      </c>
      <c r="F29" s="15" t="str">
        <f>VLOOKUP(Table14[[#This Row],[Description]],TWMAC,3,FALSE)</f>
        <v>曾創愉 經理 Mobile</v>
      </c>
    </row>
    <row r="30" spans="1:6">
      <c r="A30" s="11">
        <v>29</v>
      </c>
      <c r="B30" s="12" t="s">
        <v>88</v>
      </c>
      <c r="C30" s="13" t="s">
        <v>33</v>
      </c>
      <c r="D30" s="14" t="s">
        <v>73</v>
      </c>
      <c r="E30" s="11" t="s">
        <v>35</v>
      </c>
      <c r="F30" s="15" t="str">
        <f>VLOOKUP(Table14[[#This Row],[Description]],TWMAC,3,FALSE)</f>
        <v>陳銘哲 經理 Mobile</v>
      </c>
    </row>
    <row r="31" spans="1:6">
      <c r="A31" s="11">
        <v>30</v>
      </c>
      <c r="B31" s="12" t="s">
        <v>89</v>
      </c>
      <c r="C31" s="13" t="s">
        <v>33</v>
      </c>
      <c r="D31" s="14" t="s">
        <v>90</v>
      </c>
      <c r="E31" s="11" t="s">
        <v>35</v>
      </c>
      <c r="F31" s="15" t="str">
        <f>VLOOKUP(Table14[[#This Row],[Description]],TWMAC,3,FALSE)</f>
        <v>Chen Sơn</v>
      </c>
    </row>
    <row r="32" spans="1:6">
      <c r="A32" s="11">
        <v>31</v>
      </c>
      <c r="B32" s="16" t="s">
        <v>91</v>
      </c>
      <c r="C32" s="13" t="s">
        <v>33</v>
      </c>
      <c r="D32" s="14" t="s">
        <v>92</v>
      </c>
      <c r="E32" s="11" t="s">
        <v>35</v>
      </c>
      <c r="F32" s="15" t="str">
        <f>VLOOKUP(Table14[[#This Row],[Description]],TWMAC,3,FALSE)</f>
        <v>陳嘉元 經理 Notebook</v>
      </c>
    </row>
    <row r="33" spans="1:6">
      <c r="A33" s="11">
        <v>32</v>
      </c>
      <c r="B33" s="12" t="s">
        <v>93</v>
      </c>
      <c r="C33" s="13" t="s">
        <v>33</v>
      </c>
      <c r="D33" s="14" t="s">
        <v>94</v>
      </c>
      <c r="E33" s="17" t="s">
        <v>35</v>
      </c>
      <c r="F33" s="15" t="s">
        <v>95</v>
      </c>
    </row>
    <row r="34" spans="1:6">
      <c r="A34" s="11">
        <v>33</v>
      </c>
      <c r="B34" s="18" t="s">
        <v>96</v>
      </c>
      <c r="C34" s="13" t="s">
        <v>33</v>
      </c>
      <c r="D34" s="14" t="s">
        <v>97</v>
      </c>
      <c r="E34" s="11" t="s">
        <v>35</v>
      </c>
      <c r="F34" s="15" t="str">
        <f>VLOOKUP(Table14[[#This Row],[Description]],TWMAC,3,FALSE)</f>
        <v>CHEN, PO-YU</v>
      </c>
    </row>
    <row r="35" spans="1:6">
      <c r="A35" s="11">
        <v>34</v>
      </c>
      <c r="B35" s="19" t="s">
        <v>98</v>
      </c>
      <c r="C35" s="13" t="s">
        <v>33</v>
      </c>
      <c r="D35" s="14" t="s">
        <v>99</v>
      </c>
      <c r="E35" s="11" t="s">
        <v>35</v>
      </c>
      <c r="F35" s="15" t="str">
        <f>VLOOKUP(Table14[[#This Row],[Description]],TWMAC,3,FALSE)</f>
        <v>曾德鵬 Mobile</v>
      </c>
    </row>
    <row r="36" spans="1:6">
      <c r="A36" s="11">
        <v>35</v>
      </c>
      <c r="B36" s="16" t="s">
        <v>100</v>
      </c>
      <c r="C36" s="13" t="s">
        <v>33</v>
      </c>
      <c r="D36" s="14" t="s">
        <v>101</v>
      </c>
      <c r="E36" s="11" t="s">
        <v>35</v>
      </c>
      <c r="F36" s="15" t="str">
        <f>VLOOKUP(Table14[[#This Row],[Description]],TWMAC,3,FALSE)</f>
        <v>游騰茂 經理 Mobile</v>
      </c>
    </row>
    <row r="37" spans="1:6">
      <c r="A37" s="11">
        <v>36</v>
      </c>
      <c r="B37" s="12" t="s">
        <v>102</v>
      </c>
      <c r="C37" s="13" t="s">
        <v>33</v>
      </c>
      <c r="D37" s="14" t="s">
        <v>103</v>
      </c>
      <c r="E37" s="11" t="s">
        <v>35</v>
      </c>
      <c r="F37" s="15" t="str">
        <f>VLOOKUP(Table14[[#This Row],[Description]],TWMAC,3,FALSE)</f>
        <v>Mr.LungLT</v>
      </c>
    </row>
    <row r="38" spans="1:6">
      <c r="A38" s="11">
        <v>37</v>
      </c>
      <c r="B38" s="12" t="s">
        <v>104</v>
      </c>
      <c r="C38" s="13" t="s">
        <v>33</v>
      </c>
      <c r="D38" s="14" t="s">
        <v>105</v>
      </c>
      <c r="E38" s="11" t="s">
        <v>35</v>
      </c>
      <c r="F38" s="15" t="str">
        <f>VLOOKUP(Table14[[#This Row],[Description]],TWMAC,3,FALSE)</f>
        <v>Mr.LungMB</v>
      </c>
    </row>
    <row r="39" spans="1:6">
      <c r="A39" s="11">
        <v>38</v>
      </c>
      <c r="B39" s="12" t="s">
        <v>106</v>
      </c>
      <c r="C39" s="13" t="s">
        <v>33</v>
      </c>
      <c r="D39" s="14" t="s">
        <v>107</v>
      </c>
      <c r="E39" s="11" t="s">
        <v>35</v>
      </c>
      <c r="F39" s="20" t="s">
        <v>108</v>
      </c>
    </row>
    <row r="40" spans="1:6">
      <c r="A40" s="11">
        <v>39</v>
      </c>
      <c r="B40" s="21" t="s">
        <v>109</v>
      </c>
      <c r="C40" s="13" t="s">
        <v>33</v>
      </c>
      <c r="D40" s="22" t="s">
        <v>110</v>
      </c>
      <c r="E40" s="11" t="s">
        <v>35</v>
      </c>
      <c r="F40" s="22" t="s">
        <v>111</v>
      </c>
    </row>
    <row r="41" spans="1:6">
      <c r="A41" s="11">
        <v>40</v>
      </c>
      <c r="B41" s="19" t="s">
        <v>112</v>
      </c>
      <c r="C41" s="13" t="s">
        <v>33</v>
      </c>
      <c r="D41" s="14" t="s">
        <v>113</v>
      </c>
      <c r="E41" s="11" t="s">
        <v>35</v>
      </c>
      <c r="F41" s="15" t="s">
        <v>114</v>
      </c>
    </row>
    <row r="42" spans="1:6">
      <c r="A42" s="11">
        <v>41</v>
      </c>
      <c r="B42" s="16" t="s">
        <v>115</v>
      </c>
      <c r="C42" s="13" t="s">
        <v>33</v>
      </c>
      <c r="D42" s="14" t="s">
        <v>116</v>
      </c>
      <c r="E42" s="11" t="s">
        <v>35</v>
      </c>
      <c r="F42" s="15" t="s">
        <v>114</v>
      </c>
    </row>
    <row r="43" spans="1:6">
      <c r="A43" s="11">
        <v>42</v>
      </c>
      <c r="B43" s="12" t="s">
        <v>117</v>
      </c>
      <c r="C43" s="13" t="s">
        <v>33</v>
      </c>
      <c r="D43" s="14" t="s">
        <v>118</v>
      </c>
      <c r="E43" s="11" t="s">
        <v>35</v>
      </c>
      <c r="F43" s="15" t="s">
        <v>114</v>
      </c>
    </row>
    <row r="44" spans="1:6">
      <c r="A44" s="11">
        <v>43</v>
      </c>
      <c r="B44" s="12" t="s">
        <v>119</v>
      </c>
      <c r="C44" s="13" t="s">
        <v>33</v>
      </c>
      <c r="D44" s="14" t="s">
        <v>120</v>
      </c>
      <c r="E44" s="11" t="s">
        <v>35</v>
      </c>
      <c r="F44" s="15" t="s">
        <v>121</v>
      </c>
    </row>
    <row r="45" spans="1:6">
      <c r="A45" s="11">
        <v>44</v>
      </c>
      <c r="B45" s="12" t="s">
        <v>122</v>
      </c>
      <c r="C45" s="13" t="s">
        <v>33</v>
      </c>
      <c r="D45" s="14" t="s">
        <v>123</v>
      </c>
      <c r="E45" s="11" t="s">
        <v>35</v>
      </c>
      <c r="F45" s="20" t="s">
        <v>124</v>
      </c>
    </row>
    <row r="46" spans="1:6">
      <c r="A46" s="11">
        <v>45</v>
      </c>
      <c r="B46" s="19" t="s">
        <v>125</v>
      </c>
      <c r="C46" s="13" t="s">
        <v>33</v>
      </c>
      <c r="D46" s="14" t="s">
        <v>126</v>
      </c>
      <c r="E46" s="11" t="s">
        <v>35</v>
      </c>
      <c r="F46" s="15"/>
    </row>
    <row r="47" spans="1:6">
      <c r="A47" s="11">
        <v>46</v>
      </c>
      <c r="B47" s="16" t="s">
        <v>127</v>
      </c>
      <c r="C47" s="13" t="s">
        <v>33</v>
      </c>
      <c r="D47" s="14" t="s">
        <v>80</v>
      </c>
      <c r="E47" s="11" t="s">
        <v>35</v>
      </c>
      <c r="F47" s="15"/>
    </row>
    <row r="48" spans="1:6">
      <c r="A48" s="11">
        <v>47</v>
      </c>
      <c r="B48" s="12" t="s">
        <v>128</v>
      </c>
      <c r="C48" s="13" t="s">
        <v>33</v>
      </c>
      <c r="D48" s="14" t="s">
        <v>110</v>
      </c>
      <c r="E48" s="11" t="s">
        <v>35</v>
      </c>
      <c r="F48" s="15"/>
    </row>
    <row r="49" spans="1:6">
      <c r="A49" s="11">
        <v>48</v>
      </c>
      <c r="B49" s="12" t="s">
        <v>129</v>
      </c>
      <c r="C49" s="13" t="s">
        <v>33</v>
      </c>
      <c r="D49" s="14" t="s">
        <v>130</v>
      </c>
      <c r="E49" s="11" t="s">
        <v>35</v>
      </c>
      <c r="F49" s="15" t="s">
        <v>124</v>
      </c>
    </row>
    <row r="50" spans="1:6">
      <c r="A50" s="11">
        <v>49</v>
      </c>
      <c r="B50" s="23" t="s">
        <v>131</v>
      </c>
      <c r="C50" s="13" t="s">
        <v>33</v>
      </c>
      <c r="D50" s="24" t="s">
        <v>132</v>
      </c>
      <c r="E50" s="11" t="s">
        <v>35</v>
      </c>
      <c r="F50" s="25"/>
    </row>
    <row r="51" spans="1:6">
      <c r="A51" s="11">
        <v>50</v>
      </c>
      <c r="B51" s="23" t="s">
        <v>133</v>
      </c>
      <c r="C51" s="13" t="s">
        <v>33</v>
      </c>
      <c r="D51" s="24" t="s">
        <v>134</v>
      </c>
      <c r="E51" s="11" t="s">
        <v>35</v>
      </c>
      <c r="F51" s="25"/>
    </row>
    <row r="52" spans="1:6">
      <c r="A52" s="11">
        <v>51</v>
      </c>
      <c r="B52" s="23" t="s">
        <v>135</v>
      </c>
      <c r="C52" s="13" t="s">
        <v>33</v>
      </c>
      <c r="D52" s="24" t="s">
        <v>136</v>
      </c>
      <c r="E52" s="11" t="s">
        <v>35</v>
      </c>
      <c r="F52" s="25"/>
    </row>
    <row r="53" spans="1:6">
      <c r="A53" s="11">
        <v>52</v>
      </c>
      <c r="B53" s="19" t="s">
        <v>137</v>
      </c>
      <c r="C53" s="26" t="s">
        <v>33</v>
      </c>
      <c r="D53" s="27" t="s">
        <v>138</v>
      </c>
      <c r="E53" s="28" t="s">
        <v>35</v>
      </c>
      <c r="F53" s="29" t="s">
        <v>139</v>
      </c>
    </row>
    <row r="54" spans="1:6">
      <c r="A54" s="11">
        <v>53</v>
      </c>
      <c r="B54" s="23" t="s">
        <v>140</v>
      </c>
      <c r="C54" s="13" t="s">
        <v>33</v>
      </c>
      <c r="D54" s="27" t="s">
        <v>141</v>
      </c>
      <c r="E54" s="11" t="s">
        <v>35</v>
      </c>
      <c r="F54" s="25"/>
    </row>
    <row r="55" spans="1:6">
      <c r="A55" s="30"/>
      <c r="B55" s="30"/>
      <c r="C55" s="30"/>
      <c r="D55" s="31"/>
      <c r="E55" s="32" t="s">
        <v>142</v>
      </c>
      <c r="F55" s="30"/>
    </row>
  </sheetData>
  <conditionalFormatting sqref="B17">
    <cfRule type="duplicateValues" dxfId="185" priority="26"/>
  </conditionalFormatting>
  <conditionalFormatting sqref="B18:B32 B2:B16">
    <cfRule type="duplicateValues" dxfId="184" priority="40"/>
  </conditionalFormatting>
  <conditionalFormatting sqref="B32">
    <cfRule type="duplicateValues" dxfId="183" priority="37"/>
  </conditionalFormatting>
  <conditionalFormatting sqref="B33">
    <cfRule type="duplicateValues" dxfId="181" priority="27"/>
    <cfRule type="duplicateValues" dxfId="182" priority="38"/>
  </conditionalFormatting>
  <conditionalFormatting sqref="B34">
    <cfRule type="duplicateValues" dxfId="180" priority="39"/>
  </conditionalFormatting>
  <conditionalFormatting sqref="B35">
    <cfRule type="duplicateValues" dxfId="178" priority="28"/>
    <cfRule type="duplicateValues" dxfId="179" priority="29"/>
  </conditionalFormatting>
  <conditionalFormatting sqref="B36:B38">
    <cfRule type="duplicateValues" dxfId="176" priority="41"/>
    <cfRule type="duplicateValues" dxfId="177" priority="42"/>
    <cfRule type="duplicateValues" dxfId="175" priority="43"/>
  </conditionalFormatting>
  <conditionalFormatting sqref="B39:B40">
    <cfRule type="duplicateValues" dxfId="174" priority="32"/>
    <cfRule type="duplicateValues" dxfId="173" priority="33"/>
    <cfRule type="duplicateValues" dxfId="172" priority="34"/>
  </conditionalFormatting>
  <conditionalFormatting sqref="B41">
    <cfRule type="duplicateValues" dxfId="171" priority="10"/>
    <cfRule type="duplicateValues" dxfId="170" priority="11"/>
  </conditionalFormatting>
  <conditionalFormatting sqref="B42:B44">
    <cfRule type="duplicateValues" dxfId="167" priority="19"/>
    <cfRule type="duplicateValues" dxfId="168" priority="20"/>
    <cfRule type="duplicateValues" dxfId="169" priority="21"/>
  </conditionalFormatting>
  <conditionalFormatting sqref="B45">
    <cfRule type="duplicateValues" dxfId="164" priority="14"/>
    <cfRule type="duplicateValues" dxfId="165" priority="15"/>
    <cfRule type="duplicateValues" dxfId="166" priority="16"/>
  </conditionalFormatting>
  <conditionalFormatting sqref="B46">
    <cfRule type="duplicateValues" dxfId="162" priority="5"/>
    <cfRule type="duplicateValues" dxfId="163" priority="6"/>
  </conditionalFormatting>
  <conditionalFormatting sqref="B47:B49">
    <cfRule type="duplicateValues" dxfId="159" priority="7"/>
    <cfRule type="duplicateValues" dxfId="160" priority="8"/>
    <cfRule type="duplicateValues" dxfId="161" priority="9"/>
  </conditionalFormatting>
  <conditionalFormatting sqref="B50:B51">
    <cfRule type="duplicateValues" dxfId="158" priority="44"/>
    <cfRule type="duplicateValues" dxfId="157" priority="45"/>
    <cfRule type="duplicateValues" dxfId="156" priority="46"/>
  </conditionalFormatting>
  <conditionalFormatting sqref="B52 B54">
    <cfRule type="duplicateValues" dxfId="155" priority="52"/>
    <cfRule type="duplicateValues" dxfId="154" priority="53"/>
    <cfRule type="duplicateValues" dxfId="153" priority="54"/>
  </conditionalFormatting>
  <conditionalFormatting sqref="B53">
    <cfRule type="duplicateValues" dxfId="151" priority="1"/>
    <cfRule type="duplicateValues" dxfId="152" priority="2"/>
  </conditionalFormatting>
  <conditionalFormatting sqref="B55:B1048576 B1">
    <cfRule type="duplicateValues" dxfId="150" priority="49"/>
  </conditionalFormatting>
  <conditionalFormatting sqref="B55:B1048576 B18:B34 B1:B16">
    <cfRule type="duplicateValues" dxfId="149" priority="50"/>
    <cfRule type="duplicateValues" dxfId="148" priority="51"/>
  </conditionalFormatting>
  <conditionalFormatting sqref="D39">
    <cfRule type="duplicateValues" dxfId="146" priority="35"/>
    <cfRule type="duplicateValues" dxfId="147" priority="36"/>
  </conditionalFormatting>
  <conditionalFormatting sqref="D40">
    <cfRule type="duplicateValues" dxfId="144" priority="24"/>
    <cfRule type="duplicateValues" dxfId="145" priority="25"/>
  </conditionalFormatting>
  <conditionalFormatting sqref="D45">
    <cfRule type="duplicateValues" dxfId="142" priority="17"/>
    <cfRule type="duplicateValues" dxfId="143" priority="18"/>
  </conditionalFormatting>
  <conditionalFormatting sqref="D50:D51">
    <cfRule type="duplicateValues" dxfId="141" priority="47"/>
    <cfRule type="duplicateValues" dxfId="140" priority="48"/>
  </conditionalFormatting>
  <conditionalFormatting sqref="D52">
    <cfRule type="duplicateValues" dxfId="138" priority="3"/>
    <cfRule type="duplicateValues" dxfId="139" priority="4"/>
  </conditionalFormatting>
  <conditionalFormatting sqref="F39">
    <cfRule type="duplicateValues" dxfId="137" priority="30"/>
    <cfRule type="duplicateValues" dxfId="136" priority="31"/>
  </conditionalFormatting>
  <conditionalFormatting sqref="F40">
    <cfRule type="duplicateValues" dxfId="134" priority="22"/>
    <cfRule type="duplicateValues" dxfId="135" priority="23"/>
  </conditionalFormatting>
  <conditionalFormatting sqref="F45">
    <cfRule type="duplicateValues" dxfId="132" priority="12"/>
    <cfRule type="duplicateValues" dxfId="133" priority="13"/>
  </conditionalFormatting>
  <conditionalFormatting sqref="F50:F52 F54">
    <cfRule type="duplicateValues" dxfId="131" priority="55"/>
    <cfRule type="duplicateValues" dxfId="130" priority="56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468D2-5AE1-4DA7-B79E-3A43AAE3FDE2}">
  <sheetPr>
    <tabColor rgb="FF0070C0"/>
  </sheetPr>
  <dimension ref="A1:F55"/>
  <sheetViews>
    <sheetView showGridLines="0" tabSelected="1" workbookViewId="0">
      <pane ySplit="1" topLeftCell="A2" activePane="bottomLeft" state="frozen"/>
      <selection pane="bottomLeft" activeCell="D27" sqref="D27"/>
    </sheetView>
  </sheetViews>
  <sheetFormatPr defaultColWidth="8" defaultRowHeight="15.75"/>
  <cols>
    <col min="1" max="1" width="7.875" style="10" customWidth="1"/>
    <col min="2" max="2" width="20.875" style="10" customWidth="1"/>
    <col min="3" max="3" width="11.375" style="10" customWidth="1"/>
    <col min="4" max="4" width="22.25" style="33" customWidth="1"/>
    <col min="5" max="5" width="11.5" style="33" customWidth="1"/>
    <col min="6" max="6" width="21.625" style="10" customWidth="1"/>
    <col min="7" max="16384" width="8" style="10"/>
  </cols>
  <sheetData>
    <row r="1" spans="1:6">
      <c r="A1" s="9" t="s">
        <v>26</v>
      </c>
      <c r="B1" s="9" t="s">
        <v>27</v>
      </c>
      <c r="C1" s="9" t="s">
        <v>28</v>
      </c>
      <c r="D1" s="9" t="s">
        <v>29</v>
      </c>
      <c r="E1" s="9" t="s">
        <v>30</v>
      </c>
      <c r="F1" s="10" t="s">
        <v>31</v>
      </c>
    </row>
    <row r="2" spans="1:6">
      <c r="A2" s="11">
        <v>1</v>
      </c>
      <c r="B2" s="12" t="s">
        <v>143</v>
      </c>
      <c r="C2" s="13" t="s">
        <v>33</v>
      </c>
      <c r="D2" s="36" t="s">
        <v>145</v>
      </c>
      <c r="E2" s="11" t="s">
        <v>35</v>
      </c>
      <c r="F2" s="15"/>
    </row>
    <row r="3" spans="1:6">
      <c r="A3" s="11">
        <v>2</v>
      </c>
      <c r="B3" s="34" t="s">
        <v>144</v>
      </c>
      <c r="C3" s="13" t="s">
        <v>33</v>
      </c>
      <c r="D3" s="35" t="s">
        <v>146</v>
      </c>
      <c r="E3" s="11" t="s">
        <v>35</v>
      </c>
      <c r="F3" s="15"/>
    </row>
    <row r="4" spans="1:6">
      <c r="A4" s="11">
        <v>3</v>
      </c>
      <c r="B4" s="37" t="s">
        <v>147</v>
      </c>
      <c r="C4" s="13" t="s">
        <v>33</v>
      </c>
      <c r="D4" s="36" t="s">
        <v>149</v>
      </c>
      <c r="E4" s="11" t="s">
        <v>35</v>
      </c>
      <c r="F4" s="15"/>
    </row>
    <row r="5" spans="1:6">
      <c r="A5" s="11">
        <v>4</v>
      </c>
      <c r="B5" s="34" t="s">
        <v>148</v>
      </c>
      <c r="C5" s="13" t="s">
        <v>33</v>
      </c>
      <c r="D5" s="36" t="s">
        <v>150</v>
      </c>
      <c r="E5" s="11" t="s">
        <v>35</v>
      </c>
      <c r="F5" s="15"/>
    </row>
    <row r="6" spans="1:6">
      <c r="A6" s="11">
        <v>5</v>
      </c>
      <c r="B6" s="34" t="s">
        <v>151</v>
      </c>
      <c r="C6" s="13" t="s">
        <v>33</v>
      </c>
      <c r="D6" s="36" t="s">
        <v>153</v>
      </c>
      <c r="E6" s="11" t="s">
        <v>35</v>
      </c>
      <c r="F6" s="15"/>
    </row>
    <row r="7" spans="1:6">
      <c r="A7" s="11">
        <v>6</v>
      </c>
      <c r="B7" s="34" t="s">
        <v>152</v>
      </c>
      <c r="C7" s="13" t="s">
        <v>33</v>
      </c>
      <c r="D7" s="36" t="s">
        <v>154</v>
      </c>
      <c r="E7" s="11" t="s">
        <v>35</v>
      </c>
      <c r="F7" s="15"/>
    </row>
    <row r="8" spans="1:6">
      <c r="A8" s="11">
        <v>7</v>
      </c>
      <c r="B8" s="12"/>
      <c r="C8" s="13"/>
      <c r="D8" s="14"/>
      <c r="E8" s="11"/>
      <c r="F8" s="15"/>
    </row>
    <row r="9" spans="1:6">
      <c r="A9" s="11">
        <v>8</v>
      </c>
      <c r="B9" s="12"/>
      <c r="C9" s="13"/>
      <c r="D9" s="14"/>
      <c r="E9" s="11"/>
      <c r="F9" s="15"/>
    </row>
    <row r="10" spans="1:6">
      <c r="A10" s="11">
        <v>9</v>
      </c>
      <c r="B10" s="12"/>
      <c r="C10" s="13"/>
      <c r="D10" s="14"/>
      <c r="E10" s="11"/>
      <c r="F10" s="15"/>
    </row>
    <row r="11" spans="1:6">
      <c r="A11" s="11">
        <v>10</v>
      </c>
      <c r="B11" s="12"/>
      <c r="C11" s="13"/>
      <c r="D11" s="14"/>
      <c r="E11" s="11"/>
      <c r="F11" s="15"/>
    </row>
    <row r="12" spans="1:6">
      <c r="A12" s="11">
        <v>11</v>
      </c>
      <c r="B12" s="12"/>
      <c r="C12" s="13"/>
      <c r="D12" s="14"/>
      <c r="E12" s="11"/>
      <c r="F12" s="15"/>
    </row>
    <row r="13" spans="1:6">
      <c r="A13" s="11">
        <v>12</v>
      </c>
      <c r="B13" s="12"/>
      <c r="C13" s="13"/>
      <c r="D13" s="14"/>
      <c r="E13" s="11"/>
      <c r="F13" s="15"/>
    </row>
    <row r="14" spans="1:6">
      <c r="A14" s="11">
        <v>13</v>
      </c>
      <c r="B14" s="12"/>
      <c r="C14" s="13"/>
      <c r="D14" s="14"/>
      <c r="E14" s="11"/>
      <c r="F14" s="15"/>
    </row>
    <row r="15" spans="1:6">
      <c r="A15" s="11">
        <v>14</v>
      </c>
      <c r="B15" s="12"/>
      <c r="C15" s="13"/>
      <c r="D15" s="14"/>
      <c r="E15" s="11"/>
      <c r="F15" s="15"/>
    </row>
    <row r="16" spans="1:6">
      <c r="A16" s="11">
        <v>15</v>
      </c>
      <c r="B16" s="12"/>
      <c r="C16" s="13"/>
      <c r="D16" s="14"/>
      <c r="E16" s="11"/>
      <c r="F16" s="15"/>
    </row>
    <row r="17" spans="1:6">
      <c r="A17" s="11">
        <v>16</v>
      </c>
      <c r="B17" s="12"/>
      <c r="C17" s="13"/>
      <c r="D17" s="14"/>
      <c r="E17" s="11"/>
      <c r="F17" s="15"/>
    </row>
    <row r="18" spans="1:6">
      <c r="A18" s="11">
        <v>17</v>
      </c>
      <c r="B18" s="12"/>
      <c r="C18" s="13"/>
      <c r="D18" s="14"/>
      <c r="E18" s="11"/>
      <c r="F18" s="15"/>
    </row>
    <row r="19" spans="1:6">
      <c r="A19" s="11">
        <v>18</v>
      </c>
      <c r="B19" s="12"/>
      <c r="C19" s="13"/>
      <c r="D19" s="14"/>
      <c r="E19" s="11"/>
      <c r="F19" s="15"/>
    </row>
    <row r="20" spans="1:6">
      <c r="A20" s="11">
        <v>19</v>
      </c>
      <c r="B20" s="12"/>
      <c r="C20" s="13"/>
      <c r="D20" s="14"/>
      <c r="E20" s="11"/>
      <c r="F20" s="15"/>
    </row>
    <row r="21" spans="1:6">
      <c r="A21" s="11">
        <v>20</v>
      </c>
      <c r="B21" s="12"/>
      <c r="C21" s="13"/>
      <c r="D21" s="14"/>
      <c r="E21" s="11"/>
      <c r="F21" s="15"/>
    </row>
    <row r="22" spans="1:6">
      <c r="A22" s="11">
        <v>21</v>
      </c>
      <c r="B22" s="12"/>
      <c r="C22" s="13"/>
      <c r="D22" s="14"/>
      <c r="E22" s="11"/>
      <c r="F22" s="15"/>
    </row>
    <row r="23" spans="1:6">
      <c r="A23" s="11">
        <v>22</v>
      </c>
      <c r="B23" s="12"/>
      <c r="C23" s="13"/>
      <c r="D23" s="14"/>
      <c r="E23" s="11"/>
      <c r="F23" s="15"/>
    </row>
    <row r="24" spans="1:6">
      <c r="A24" s="11">
        <v>23</v>
      </c>
      <c r="B24" s="12"/>
      <c r="C24" s="13"/>
      <c r="D24" s="14"/>
      <c r="E24" s="11"/>
      <c r="F24" s="15"/>
    </row>
    <row r="25" spans="1:6">
      <c r="A25" s="11">
        <v>24</v>
      </c>
      <c r="B25" s="12"/>
      <c r="C25" s="13"/>
      <c r="D25" s="14"/>
      <c r="E25" s="11"/>
      <c r="F25" s="15"/>
    </row>
    <row r="26" spans="1:6">
      <c r="A26" s="11">
        <v>25</v>
      </c>
      <c r="B26" s="12"/>
      <c r="C26" s="13"/>
      <c r="D26" s="14"/>
      <c r="E26" s="11"/>
      <c r="F26" s="15"/>
    </row>
    <row r="27" spans="1:6">
      <c r="A27" s="11">
        <v>26</v>
      </c>
      <c r="B27" s="12"/>
      <c r="C27" s="13"/>
      <c r="D27" s="14"/>
      <c r="E27" s="11"/>
      <c r="F27" s="15"/>
    </row>
    <row r="28" spans="1:6">
      <c r="A28" s="11">
        <v>27</v>
      </c>
      <c r="B28" s="16"/>
      <c r="C28" s="13"/>
      <c r="D28" s="14"/>
      <c r="E28" s="11"/>
      <c r="F28" s="15"/>
    </row>
    <row r="29" spans="1:6">
      <c r="A29" s="11">
        <v>28</v>
      </c>
      <c r="B29" s="12"/>
      <c r="C29" s="13"/>
      <c r="D29" s="14"/>
      <c r="E29" s="11"/>
      <c r="F29" s="15"/>
    </row>
    <row r="30" spans="1:6">
      <c r="A30" s="11">
        <v>29</v>
      </c>
      <c r="B30" s="12"/>
      <c r="C30" s="13"/>
      <c r="D30" s="14"/>
      <c r="E30" s="11"/>
      <c r="F30" s="15"/>
    </row>
    <row r="31" spans="1:6">
      <c r="A31" s="11">
        <v>30</v>
      </c>
      <c r="B31" s="12"/>
      <c r="C31" s="13"/>
      <c r="D31" s="14"/>
      <c r="E31" s="11"/>
      <c r="F31" s="15"/>
    </row>
    <row r="32" spans="1:6">
      <c r="A32" s="11">
        <v>31</v>
      </c>
      <c r="B32" s="16"/>
      <c r="C32" s="13"/>
      <c r="D32" s="14"/>
      <c r="E32" s="11"/>
      <c r="F32" s="15"/>
    </row>
    <row r="33" spans="1:6">
      <c r="A33" s="11">
        <v>32</v>
      </c>
      <c r="B33" s="12"/>
      <c r="C33" s="13"/>
      <c r="D33" s="14"/>
      <c r="E33" s="17"/>
      <c r="F33" s="15"/>
    </row>
    <row r="34" spans="1:6">
      <c r="A34" s="11">
        <v>33</v>
      </c>
      <c r="B34" s="18"/>
      <c r="C34" s="13"/>
      <c r="D34" s="14"/>
      <c r="E34" s="11"/>
      <c r="F34" s="15"/>
    </row>
    <row r="35" spans="1:6">
      <c r="A35" s="11">
        <v>34</v>
      </c>
      <c r="B35" s="19"/>
      <c r="C35" s="13"/>
      <c r="D35" s="14"/>
      <c r="E35" s="11"/>
      <c r="F35" s="15"/>
    </row>
    <row r="36" spans="1:6">
      <c r="A36" s="11">
        <v>35</v>
      </c>
      <c r="B36" s="16"/>
      <c r="C36" s="13"/>
      <c r="D36" s="14"/>
      <c r="E36" s="11"/>
      <c r="F36" s="15"/>
    </row>
    <row r="37" spans="1:6">
      <c r="A37" s="11">
        <v>36</v>
      </c>
      <c r="B37" s="12"/>
      <c r="C37" s="13"/>
      <c r="D37" s="14"/>
      <c r="E37" s="11"/>
      <c r="F37" s="15"/>
    </row>
    <row r="38" spans="1:6">
      <c r="A38" s="11">
        <v>37</v>
      </c>
      <c r="B38" s="12"/>
      <c r="C38" s="13"/>
      <c r="D38" s="14"/>
      <c r="E38" s="11"/>
      <c r="F38" s="15"/>
    </row>
    <row r="39" spans="1:6">
      <c r="A39" s="11">
        <v>38</v>
      </c>
      <c r="B39" s="12"/>
      <c r="C39" s="13"/>
      <c r="D39" s="14"/>
      <c r="E39" s="11"/>
      <c r="F39" s="20"/>
    </row>
    <row r="40" spans="1:6">
      <c r="A40" s="11">
        <v>39</v>
      </c>
      <c r="B40" s="21"/>
      <c r="C40" s="13"/>
      <c r="D40" s="22"/>
      <c r="E40" s="11"/>
      <c r="F40" s="22"/>
    </row>
    <row r="41" spans="1:6">
      <c r="A41" s="11">
        <v>40</v>
      </c>
      <c r="B41" s="19"/>
      <c r="C41" s="13"/>
      <c r="D41" s="14"/>
      <c r="E41" s="11"/>
      <c r="F41" s="15"/>
    </row>
    <row r="42" spans="1:6">
      <c r="A42" s="11">
        <v>41</v>
      </c>
      <c r="B42" s="16"/>
      <c r="C42" s="13"/>
      <c r="D42" s="14"/>
      <c r="E42" s="11"/>
      <c r="F42" s="15"/>
    </row>
    <row r="43" spans="1:6">
      <c r="A43" s="11">
        <v>42</v>
      </c>
      <c r="B43" s="12"/>
      <c r="C43" s="13"/>
      <c r="D43" s="14"/>
      <c r="E43" s="11"/>
      <c r="F43" s="15"/>
    </row>
    <row r="44" spans="1:6">
      <c r="A44" s="11">
        <v>43</v>
      </c>
      <c r="B44" s="12"/>
      <c r="C44" s="13"/>
      <c r="D44" s="14"/>
      <c r="E44" s="11"/>
      <c r="F44" s="15"/>
    </row>
    <row r="45" spans="1:6">
      <c r="A45" s="11">
        <v>44</v>
      </c>
      <c r="B45" s="12"/>
      <c r="C45" s="13"/>
      <c r="D45" s="14"/>
      <c r="E45" s="11"/>
      <c r="F45" s="20"/>
    </row>
    <row r="46" spans="1:6">
      <c r="A46" s="11">
        <v>45</v>
      </c>
      <c r="B46" s="19"/>
      <c r="C46" s="13"/>
      <c r="D46" s="14"/>
      <c r="E46" s="11"/>
      <c r="F46" s="15"/>
    </row>
    <row r="47" spans="1:6">
      <c r="A47" s="11">
        <v>46</v>
      </c>
      <c r="B47" s="16"/>
      <c r="C47" s="13"/>
      <c r="D47" s="14"/>
      <c r="E47" s="11"/>
      <c r="F47" s="15"/>
    </row>
    <row r="48" spans="1:6">
      <c r="A48" s="11">
        <v>47</v>
      </c>
      <c r="B48" s="12"/>
      <c r="C48" s="13"/>
      <c r="D48" s="14"/>
      <c r="E48" s="11"/>
      <c r="F48" s="15"/>
    </row>
    <row r="49" spans="1:6">
      <c r="A49" s="11">
        <v>48</v>
      </c>
      <c r="B49" s="12"/>
      <c r="C49" s="13"/>
      <c r="D49" s="14"/>
      <c r="E49" s="11"/>
      <c r="F49" s="15"/>
    </row>
    <row r="50" spans="1:6">
      <c r="A50" s="11">
        <v>49</v>
      </c>
      <c r="B50" s="23"/>
      <c r="C50" s="13"/>
      <c r="D50" s="24"/>
      <c r="E50" s="11"/>
      <c r="F50" s="25"/>
    </row>
    <row r="51" spans="1:6">
      <c r="A51" s="11">
        <v>50</v>
      </c>
      <c r="B51" s="23"/>
      <c r="C51" s="13"/>
      <c r="D51" s="24"/>
      <c r="E51" s="11"/>
      <c r="F51" s="25"/>
    </row>
    <row r="52" spans="1:6">
      <c r="A52" s="11">
        <v>51</v>
      </c>
      <c r="B52" s="23"/>
      <c r="C52" s="13"/>
      <c r="D52" s="24"/>
      <c r="E52" s="11"/>
      <c r="F52" s="25"/>
    </row>
    <row r="53" spans="1:6">
      <c r="A53" s="11">
        <v>52</v>
      </c>
      <c r="B53" s="19"/>
      <c r="C53" s="26"/>
      <c r="D53" s="27"/>
      <c r="E53" s="28"/>
      <c r="F53" s="29"/>
    </row>
    <row r="54" spans="1:6">
      <c r="A54" s="11">
        <v>53</v>
      </c>
      <c r="B54" s="23"/>
      <c r="C54" s="13"/>
      <c r="D54" s="27"/>
      <c r="E54" s="11"/>
      <c r="F54" s="25"/>
    </row>
    <row r="55" spans="1:6">
      <c r="A55" s="30"/>
      <c r="B55" s="30"/>
      <c r="C55" s="30"/>
      <c r="D55" s="31"/>
      <c r="E55" s="32" t="s">
        <v>142</v>
      </c>
      <c r="F55" s="30"/>
    </row>
  </sheetData>
  <conditionalFormatting sqref="B17">
    <cfRule type="duplicateValues" dxfId="61" priority="26"/>
  </conditionalFormatting>
  <conditionalFormatting sqref="B18:B32 B2 B8:B16">
    <cfRule type="duplicateValues" dxfId="60" priority="40"/>
  </conditionalFormatting>
  <conditionalFormatting sqref="B32">
    <cfRule type="duplicateValues" dxfId="59" priority="37"/>
  </conditionalFormatting>
  <conditionalFormatting sqref="B33">
    <cfRule type="duplicateValues" dxfId="58" priority="27"/>
    <cfRule type="duplicateValues" dxfId="57" priority="38"/>
  </conditionalFormatting>
  <conditionalFormatting sqref="B34">
    <cfRule type="duplicateValues" dxfId="56" priority="39"/>
  </conditionalFormatting>
  <conditionalFormatting sqref="B35">
    <cfRule type="duplicateValues" dxfId="55" priority="28"/>
    <cfRule type="duplicateValues" dxfId="54" priority="29"/>
  </conditionalFormatting>
  <conditionalFormatting sqref="B36:B38">
    <cfRule type="duplicateValues" dxfId="53" priority="41"/>
    <cfRule type="duplicateValues" dxfId="52" priority="42"/>
    <cfRule type="duplicateValues" dxfId="51" priority="43"/>
  </conditionalFormatting>
  <conditionalFormatting sqref="B39:B40">
    <cfRule type="duplicateValues" dxfId="50" priority="32"/>
    <cfRule type="duplicateValues" dxfId="49" priority="33"/>
    <cfRule type="duplicateValues" dxfId="48" priority="34"/>
  </conditionalFormatting>
  <conditionalFormatting sqref="B41">
    <cfRule type="duplicateValues" dxfId="47" priority="10"/>
    <cfRule type="duplicateValues" dxfId="46" priority="11"/>
  </conditionalFormatting>
  <conditionalFormatting sqref="B42:B44">
    <cfRule type="duplicateValues" dxfId="45" priority="19"/>
    <cfRule type="duplicateValues" dxfId="44" priority="20"/>
    <cfRule type="duplicateValues" dxfId="43" priority="21"/>
  </conditionalFormatting>
  <conditionalFormatting sqref="B45">
    <cfRule type="duplicateValues" dxfId="42" priority="14"/>
    <cfRule type="duplicateValues" dxfId="41" priority="15"/>
    <cfRule type="duplicateValues" dxfId="40" priority="16"/>
  </conditionalFormatting>
  <conditionalFormatting sqref="B46">
    <cfRule type="duplicateValues" dxfId="39" priority="5"/>
    <cfRule type="duplicateValues" dxfId="38" priority="6"/>
  </conditionalFormatting>
  <conditionalFormatting sqref="B47:B49">
    <cfRule type="duplicateValues" dxfId="37" priority="7"/>
    <cfRule type="duplicateValues" dxfId="36" priority="8"/>
    <cfRule type="duplicateValues" dxfId="35" priority="9"/>
  </conditionalFormatting>
  <conditionalFormatting sqref="B50:B51">
    <cfRule type="duplicateValues" dxfId="34" priority="44"/>
    <cfRule type="duplicateValues" dxfId="33" priority="45"/>
    <cfRule type="duplicateValues" dxfId="32" priority="46"/>
  </conditionalFormatting>
  <conditionalFormatting sqref="B52 B54">
    <cfRule type="duplicateValues" dxfId="31" priority="52"/>
    <cfRule type="duplicateValues" dxfId="30" priority="53"/>
    <cfRule type="duplicateValues" dxfId="29" priority="54"/>
  </conditionalFormatting>
  <conditionalFormatting sqref="B53">
    <cfRule type="duplicateValues" dxfId="28" priority="1"/>
    <cfRule type="duplicateValues" dxfId="27" priority="2"/>
  </conditionalFormatting>
  <conditionalFormatting sqref="B55:B1048576 B1">
    <cfRule type="duplicateValues" dxfId="26" priority="49"/>
  </conditionalFormatting>
  <conditionalFormatting sqref="B55:B1048576 B18:B34 B1:B2 B8:B16">
    <cfRule type="duplicateValues" dxfId="25" priority="50"/>
    <cfRule type="duplicateValues" dxfId="24" priority="51"/>
  </conditionalFormatting>
  <conditionalFormatting sqref="D39">
    <cfRule type="duplicateValues" dxfId="23" priority="35"/>
    <cfRule type="duplicateValues" dxfId="22" priority="36"/>
  </conditionalFormatting>
  <conditionalFormatting sqref="D40">
    <cfRule type="duplicateValues" dxfId="21" priority="24"/>
    <cfRule type="duplicateValues" dxfId="20" priority="25"/>
  </conditionalFormatting>
  <conditionalFormatting sqref="D45">
    <cfRule type="duplicateValues" dxfId="19" priority="17"/>
    <cfRule type="duplicateValues" dxfId="18" priority="18"/>
  </conditionalFormatting>
  <conditionalFormatting sqref="D50:D51">
    <cfRule type="duplicateValues" dxfId="17" priority="47"/>
    <cfRule type="duplicateValues" dxfId="16" priority="48"/>
  </conditionalFormatting>
  <conditionalFormatting sqref="D52">
    <cfRule type="duplicateValues" dxfId="15" priority="3"/>
    <cfRule type="duplicateValues" dxfId="14" priority="4"/>
  </conditionalFormatting>
  <conditionalFormatting sqref="F39">
    <cfRule type="duplicateValues" dxfId="13" priority="30"/>
    <cfRule type="duplicateValues" dxfId="12" priority="31"/>
  </conditionalFormatting>
  <conditionalFormatting sqref="F40">
    <cfRule type="duplicateValues" dxfId="11" priority="22"/>
    <cfRule type="duplicateValues" dxfId="10" priority="23"/>
  </conditionalFormatting>
  <conditionalFormatting sqref="F45">
    <cfRule type="duplicateValues" dxfId="9" priority="12"/>
    <cfRule type="duplicateValues" dxfId="8" priority="13"/>
  </conditionalFormatting>
  <conditionalFormatting sqref="F50:F52 F54">
    <cfRule type="duplicateValues" dxfId="7" priority="55"/>
    <cfRule type="duplicateValues" dxfId="6" priority="56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C01B5-5940-43C7-8ACA-0AEE4D50F59B}">
  <sheetPr>
    <tabColor rgb="FF0070C0"/>
  </sheetPr>
  <dimension ref="A1:F55"/>
  <sheetViews>
    <sheetView showGridLines="0" workbookViewId="0">
      <pane ySplit="1" topLeftCell="A2" activePane="bottomLeft" state="frozen"/>
      <selection pane="bottomLeft" activeCell="I7" sqref="I7"/>
    </sheetView>
  </sheetViews>
  <sheetFormatPr defaultColWidth="8" defaultRowHeight="15.75"/>
  <cols>
    <col min="1" max="1" width="7.875" style="10" customWidth="1"/>
    <col min="2" max="2" width="20.875" style="10" customWidth="1"/>
    <col min="3" max="3" width="11.375" style="10" customWidth="1"/>
    <col min="4" max="4" width="22.25" style="33" customWidth="1"/>
    <col min="5" max="5" width="11.5" style="33" customWidth="1"/>
    <col min="6" max="6" width="21.625" style="10" customWidth="1"/>
    <col min="7" max="16384" width="8" style="10"/>
  </cols>
  <sheetData>
    <row r="1" spans="1:6">
      <c r="A1" s="9" t="s">
        <v>26</v>
      </c>
      <c r="B1" s="9" t="s">
        <v>27</v>
      </c>
      <c r="C1" s="9" t="s">
        <v>28</v>
      </c>
      <c r="D1" s="9" t="s">
        <v>29</v>
      </c>
      <c r="E1" s="9" t="s">
        <v>30</v>
      </c>
      <c r="F1" s="10" t="s">
        <v>31</v>
      </c>
    </row>
    <row r="2" spans="1:6">
      <c r="A2" s="11">
        <v>1</v>
      </c>
      <c r="B2" s="12" t="s">
        <v>143</v>
      </c>
      <c r="C2" s="13" t="s">
        <v>33</v>
      </c>
      <c r="D2" s="36" t="s">
        <v>145</v>
      </c>
      <c r="E2" s="11" t="s">
        <v>35</v>
      </c>
      <c r="F2" s="15"/>
    </row>
    <row r="3" spans="1:6">
      <c r="A3" s="11">
        <v>2</v>
      </c>
      <c r="B3" s="34" t="s">
        <v>144</v>
      </c>
      <c r="C3" s="13" t="s">
        <v>33</v>
      </c>
      <c r="D3" s="35" t="s">
        <v>146</v>
      </c>
      <c r="E3" s="11" t="s">
        <v>35</v>
      </c>
      <c r="F3" s="15"/>
    </row>
    <row r="4" spans="1:6">
      <c r="A4" s="11">
        <v>3</v>
      </c>
      <c r="B4" s="37" t="s">
        <v>147</v>
      </c>
      <c r="C4" s="13" t="s">
        <v>33</v>
      </c>
      <c r="D4" s="36" t="s">
        <v>149</v>
      </c>
      <c r="E4" s="11" t="s">
        <v>35</v>
      </c>
      <c r="F4" s="15"/>
    </row>
    <row r="5" spans="1:6">
      <c r="A5" s="11">
        <v>4</v>
      </c>
      <c r="B5" s="34" t="s">
        <v>148</v>
      </c>
      <c r="C5" s="13" t="s">
        <v>33</v>
      </c>
      <c r="D5" s="36" t="s">
        <v>150</v>
      </c>
      <c r="E5" s="11" t="s">
        <v>35</v>
      </c>
      <c r="F5" s="15"/>
    </row>
    <row r="6" spans="1:6">
      <c r="A6" s="11">
        <v>5</v>
      </c>
      <c r="B6" s="34" t="s">
        <v>151</v>
      </c>
      <c r="C6" s="13" t="s">
        <v>33</v>
      </c>
      <c r="D6" s="36" t="s">
        <v>153</v>
      </c>
      <c r="E6" s="11" t="s">
        <v>35</v>
      </c>
      <c r="F6" s="15"/>
    </row>
    <row r="7" spans="1:6">
      <c r="A7" s="11">
        <v>6</v>
      </c>
      <c r="B7" s="34" t="s">
        <v>152</v>
      </c>
      <c r="C7" s="13" t="s">
        <v>33</v>
      </c>
      <c r="D7" s="36" t="s">
        <v>154</v>
      </c>
      <c r="E7" s="11" t="s">
        <v>35</v>
      </c>
      <c r="F7" s="15"/>
    </row>
    <row r="8" spans="1:6">
      <c r="A8" s="11">
        <v>7</v>
      </c>
      <c r="B8" s="12"/>
      <c r="C8" s="13"/>
      <c r="D8" s="14"/>
      <c r="E8" s="11"/>
      <c r="F8" s="15"/>
    </row>
    <row r="9" spans="1:6">
      <c r="A9" s="11">
        <v>8</v>
      </c>
      <c r="B9" s="12"/>
      <c r="C9" s="13"/>
      <c r="D9" s="14"/>
      <c r="E9" s="11"/>
      <c r="F9" s="15"/>
    </row>
    <row r="10" spans="1:6">
      <c r="A10" s="11">
        <v>9</v>
      </c>
      <c r="B10" s="12"/>
      <c r="C10" s="13"/>
      <c r="D10" s="14"/>
      <c r="E10" s="11"/>
      <c r="F10" s="15"/>
    </row>
    <row r="11" spans="1:6">
      <c r="A11" s="11">
        <v>10</v>
      </c>
      <c r="B11" s="12"/>
      <c r="C11" s="13"/>
      <c r="D11" s="14"/>
      <c r="E11" s="11"/>
      <c r="F11" s="15"/>
    </row>
    <row r="12" spans="1:6">
      <c r="A12" s="11">
        <v>11</v>
      </c>
      <c r="B12" s="12"/>
      <c r="C12" s="13"/>
      <c r="D12" s="14"/>
      <c r="E12" s="11"/>
      <c r="F12" s="15"/>
    </row>
    <row r="13" spans="1:6">
      <c r="A13" s="11">
        <v>12</v>
      </c>
      <c r="B13" s="12"/>
      <c r="C13" s="13"/>
      <c r="D13" s="14"/>
      <c r="E13" s="11"/>
      <c r="F13" s="15"/>
    </row>
    <row r="14" spans="1:6">
      <c r="A14" s="11">
        <v>13</v>
      </c>
      <c r="B14" s="12"/>
      <c r="C14" s="13"/>
      <c r="D14" s="14"/>
      <c r="E14" s="11"/>
      <c r="F14" s="15"/>
    </row>
    <row r="15" spans="1:6">
      <c r="A15" s="11">
        <v>14</v>
      </c>
      <c r="B15" s="12"/>
      <c r="C15" s="13"/>
      <c r="D15" s="14"/>
      <c r="E15" s="11"/>
      <c r="F15" s="15"/>
    </row>
    <row r="16" spans="1:6">
      <c r="A16" s="11">
        <v>15</v>
      </c>
      <c r="B16" s="12"/>
      <c r="C16" s="13"/>
      <c r="D16" s="14"/>
      <c r="E16" s="11"/>
      <c r="F16" s="15"/>
    </row>
    <row r="17" spans="1:6">
      <c r="A17" s="11">
        <v>16</v>
      </c>
      <c r="B17" s="12"/>
      <c r="C17" s="13"/>
      <c r="D17" s="14"/>
      <c r="E17" s="11"/>
      <c r="F17" s="15"/>
    </row>
    <row r="18" spans="1:6">
      <c r="A18" s="11">
        <v>17</v>
      </c>
      <c r="B18" s="12"/>
      <c r="C18" s="13"/>
      <c r="D18" s="14"/>
      <c r="E18" s="11"/>
      <c r="F18" s="15"/>
    </row>
    <row r="19" spans="1:6">
      <c r="A19" s="11">
        <v>18</v>
      </c>
      <c r="B19" s="12"/>
      <c r="C19" s="13"/>
      <c r="D19" s="14"/>
      <c r="E19" s="11"/>
      <c r="F19" s="15"/>
    </row>
    <row r="20" spans="1:6">
      <c r="A20" s="11">
        <v>19</v>
      </c>
      <c r="B20" s="12"/>
      <c r="C20" s="13"/>
      <c r="D20" s="14"/>
      <c r="E20" s="11"/>
      <c r="F20" s="15"/>
    </row>
    <row r="21" spans="1:6">
      <c r="A21" s="11">
        <v>20</v>
      </c>
      <c r="B21" s="12"/>
      <c r="C21" s="13"/>
      <c r="D21" s="14"/>
      <c r="E21" s="11"/>
      <c r="F21" s="15"/>
    </row>
    <row r="22" spans="1:6">
      <c r="A22" s="11">
        <v>21</v>
      </c>
      <c r="B22" s="12"/>
      <c r="C22" s="13"/>
      <c r="D22" s="14"/>
      <c r="E22" s="11"/>
      <c r="F22" s="15"/>
    </row>
    <row r="23" spans="1:6">
      <c r="A23" s="11">
        <v>22</v>
      </c>
      <c r="B23" s="12"/>
      <c r="C23" s="13"/>
      <c r="D23" s="14"/>
      <c r="E23" s="11"/>
      <c r="F23" s="15"/>
    </row>
    <row r="24" spans="1:6">
      <c r="A24" s="11">
        <v>23</v>
      </c>
      <c r="B24" s="12"/>
      <c r="C24" s="13"/>
      <c r="D24" s="14"/>
      <c r="E24" s="11"/>
      <c r="F24" s="15"/>
    </row>
    <row r="25" spans="1:6">
      <c r="A25" s="11">
        <v>24</v>
      </c>
      <c r="B25" s="12"/>
      <c r="C25" s="13"/>
      <c r="D25" s="14"/>
      <c r="E25" s="11"/>
      <c r="F25" s="15"/>
    </row>
    <row r="26" spans="1:6">
      <c r="A26" s="11">
        <v>25</v>
      </c>
      <c r="B26" s="12"/>
      <c r="C26" s="13"/>
      <c r="D26" s="14"/>
      <c r="E26" s="11"/>
      <c r="F26" s="15"/>
    </row>
    <row r="27" spans="1:6">
      <c r="A27" s="11">
        <v>26</v>
      </c>
      <c r="B27" s="12"/>
      <c r="C27" s="13"/>
      <c r="D27" s="14"/>
      <c r="E27" s="11"/>
      <c r="F27" s="15"/>
    </row>
    <row r="28" spans="1:6">
      <c r="A28" s="11">
        <v>27</v>
      </c>
      <c r="B28" s="16"/>
      <c r="C28" s="13"/>
      <c r="D28" s="14"/>
      <c r="E28" s="11"/>
      <c r="F28" s="15"/>
    </row>
    <row r="29" spans="1:6">
      <c r="A29" s="11">
        <v>28</v>
      </c>
      <c r="B29" s="12"/>
      <c r="C29" s="13"/>
      <c r="D29" s="14"/>
      <c r="E29" s="11"/>
      <c r="F29" s="15"/>
    </row>
    <row r="30" spans="1:6">
      <c r="A30" s="11">
        <v>29</v>
      </c>
      <c r="B30" s="12"/>
      <c r="C30" s="13"/>
      <c r="D30" s="14"/>
      <c r="E30" s="11"/>
      <c r="F30" s="15"/>
    </row>
    <row r="31" spans="1:6">
      <c r="A31" s="11">
        <v>30</v>
      </c>
      <c r="B31" s="12"/>
      <c r="C31" s="13"/>
      <c r="D31" s="14"/>
      <c r="E31" s="11"/>
      <c r="F31" s="15"/>
    </row>
    <row r="32" spans="1:6">
      <c r="A32" s="11">
        <v>31</v>
      </c>
      <c r="B32" s="16"/>
      <c r="C32" s="13"/>
      <c r="D32" s="14"/>
      <c r="E32" s="11"/>
      <c r="F32" s="15"/>
    </row>
    <row r="33" spans="1:6">
      <c r="A33" s="11">
        <v>32</v>
      </c>
      <c r="B33" s="12"/>
      <c r="C33" s="13"/>
      <c r="D33" s="14"/>
      <c r="E33" s="17"/>
      <c r="F33" s="15"/>
    </row>
    <row r="34" spans="1:6">
      <c r="A34" s="11">
        <v>33</v>
      </c>
      <c r="B34" s="18"/>
      <c r="C34" s="13"/>
      <c r="D34" s="14"/>
      <c r="E34" s="11"/>
      <c r="F34" s="15"/>
    </row>
    <row r="35" spans="1:6">
      <c r="A35" s="11">
        <v>34</v>
      </c>
      <c r="B35" s="19"/>
      <c r="C35" s="13"/>
      <c r="D35" s="14"/>
      <c r="E35" s="11"/>
      <c r="F35" s="15"/>
    </row>
    <row r="36" spans="1:6">
      <c r="A36" s="11">
        <v>35</v>
      </c>
      <c r="B36" s="16"/>
      <c r="C36" s="13"/>
      <c r="D36" s="14"/>
      <c r="E36" s="11"/>
      <c r="F36" s="15"/>
    </row>
    <row r="37" spans="1:6">
      <c r="A37" s="11">
        <v>36</v>
      </c>
      <c r="B37" s="12"/>
      <c r="C37" s="13"/>
      <c r="D37" s="14"/>
      <c r="E37" s="11"/>
      <c r="F37" s="15"/>
    </row>
    <row r="38" spans="1:6">
      <c r="A38" s="11">
        <v>37</v>
      </c>
      <c r="B38" s="12"/>
      <c r="C38" s="13"/>
      <c r="D38" s="14"/>
      <c r="E38" s="11"/>
      <c r="F38" s="15"/>
    </row>
    <row r="39" spans="1:6">
      <c r="A39" s="11">
        <v>38</v>
      </c>
      <c r="B39" s="12"/>
      <c r="C39" s="13"/>
      <c r="D39" s="14"/>
      <c r="E39" s="11"/>
      <c r="F39" s="20"/>
    </row>
    <row r="40" spans="1:6">
      <c r="A40" s="11">
        <v>39</v>
      </c>
      <c r="B40" s="21"/>
      <c r="C40" s="13"/>
      <c r="D40" s="22"/>
      <c r="E40" s="11"/>
      <c r="F40" s="22"/>
    </row>
    <row r="41" spans="1:6">
      <c r="A41" s="11">
        <v>40</v>
      </c>
      <c r="B41" s="19"/>
      <c r="C41" s="13"/>
      <c r="D41" s="14"/>
      <c r="E41" s="11"/>
      <c r="F41" s="15"/>
    </row>
    <row r="42" spans="1:6">
      <c r="A42" s="11">
        <v>41</v>
      </c>
      <c r="B42" s="16"/>
      <c r="C42" s="13"/>
      <c r="D42" s="14"/>
      <c r="E42" s="11"/>
      <c r="F42" s="15"/>
    </row>
    <row r="43" spans="1:6">
      <c r="A43" s="11">
        <v>42</v>
      </c>
      <c r="B43" s="12"/>
      <c r="C43" s="13"/>
      <c r="D43" s="14"/>
      <c r="E43" s="11"/>
      <c r="F43" s="15"/>
    </row>
    <row r="44" spans="1:6">
      <c r="A44" s="11">
        <v>43</v>
      </c>
      <c r="B44" s="12"/>
      <c r="C44" s="13"/>
      <c r="D44" s="14"/>
      <c r="E44" s="11"/>
      <c r="F44" s="15"/>
    </row>
    <row r="45" spans="1:6">
      <c r="A45" s="11">
        <v>44</v>
      </c>
      <c r="B45" s="12"/>
      <c r="C45" s="13"/>
      <c r="D45" s="14"/>
      <c r="E45" s="11"/>
      <c r="F45" s="20"/>
    </row>
    <row r="46" spans="1:6">
      <c r="A46" s="11">
        <v>45</v>
      </c>
      <c r="B46" s="19"/>
      <c r="C46" s="13"/>
      <c r="D46" s="14"/>
      <c r="E46" s="11"/>
      <c r="F46" s="15"/>
    </row>
    <row r="47" spans="1:6">
      <c r="A47" s="11">
        <v>46</v>
      </c>
      <c r="B47" s="16"/>
      <c r="C47" s="13"/>
      <c r="D47" s="14"/>
      <c r="E47" s="11"/>
      <c r="F47" s="15"/>
    </row>
    <row r="48" spans="1:6">
      <c r="A48" s="11">
        <v>47</v>
      </c>
      <c r="B48" s="12"/>
      <c r="C48" s="13"/>
      <c r="D48" s="14"/>
      <c r="E48" s="11"/>
      <c r="F48" s="15"/>
    </row>
    <row r="49" spans="1:6">
      <c r="A49" s="11">
        <v>48</v>
      </c>
      <c r="B49" s="12"/>
      <c r="C49" s="13"/>
      <c r="D49" s="14"/>
      <c r="E49" s="11"/>
      <c r="F49" s="15"/>
    </row>
    <row r="50" spans="1:6">
      <c r="A50" s="11">
        <v>49</v>
      </c>
      <c r="B50" s="23"/>
      <c r="C50" s="13"/>
      <c r="D50" s="24"/>
      <c r="E50" s="11"/>
      <c r="F50" s="25"/>
    </row>
    <row r="51" spans="1:6">
      <c r="A51" s="11">
        <v>50</v>
      </c>
      <c r="B51" s="23"/>
      <c r="C51" s="13"/>
      <c r="D51" s="24"/>
      <c r="E51" s="11"/>
      <c r="F51" s="25"/>
    </row>
    <row r="52" spans="1:6">
      <c r="A52" s="11">
        <v>51</v>
      </c>
      <c r="B52" s="23"/>
      <c r="C52" s="13"/>
      <c r="D52" s="24"/>
      <c r="E52" s="11"/>
      <c r="F52" s="25"/>
    </row>
    <row r="53" spans="1:6">
      <c r="A53" s="11">
        <v>52</v>
      </c>
      <c r="B53" s="19"/>
      <c r="C53" s="26"/>
      <c r="D53" s="27"/>
      <c r="E53" s="28"/>
      <c r="F53" s="29"/>
    </row>
    <row r="54" spans="1:6">
      <c r="A54" s="11">
        <v>53</v>
      </c>
      <c r="B54" s="23"/>
      <c r="C54" s="13"/>
      <c r="D54" s="27"/>
      <c r="E54" s="11"/>
      <c r="F54" s="25"/>
    </row>
    <row r="55" spans="1:6">
      <c r="A55" s="30"/>
      <c r="B55" s="30"/>
      <c r="C55" s="30"/>
      <c r="D55" s="31"/>
      <c r="E55" s="32" t="s">
        <v>142</v>
      </c>
      <c r="F55" s="30"/>
    </row>
  </sheetData>
  <conditionalFormatting sqref="B17">
    <cfRule type="duplicateValues" dxfId="123" priority="26"/>
  </conditionalFormatting>
  <conditionalFormatting sqref="B18:B32 B2 B8:B16">
    <cfRule type="duplicateValues" dxfId="122" priority="40"/>
  </conditionalFormatting>
  <conditionalFormatting sqref="B32">
    <cfRule type="duplicateValues" dxfId="121" priority="37"/>
  </conditionalFormatting>
  <conditionalFormatting sqref="B33">
    <cfRule type="duplicateValues" dxfId="120" priority="27"/>
    <cfRule type="duplicateValues" dxfId="119" priority="38"/>
  </conditionalFormatting>
  <conditionalFormatting sqref="B34">
    <cfRule type="duplicateValues" dxfId="118" priority="39"/>
  </conditionalFormatting>
  <conditionalFormatting sqref="B35">
    <cfRule type="duplicateValues" dxfId="117" priority="28"/>
    <cfRule type="duplicateValues" dxfId="116" priority="29"/>
  </conditionalFormatting>
  <conditionalFormatting sqref="B36:B38">
    <cfRule type="duplicateValues" dxfId="115" priority="41"/>
    <cfRule type="duplicateValues" dxfId="114" priority="42"/>
    <cfRule type="duplicateValues" dxfId="113" priority="43"/>
  </conditionalFormatting>
  <conditionalFormatting sqref="B39:B40">
    <cfRule type="duplicateValues" dxfId="112" priority="32"/>
    <cfRule type="duplicateValues" dxfId="111" priority="33"/>
    <cfRule type="duplicateValues" dxfId="110" priority="34"/>
  </conditionalFormatting>
  <conditionalFormatting sqref="B41">
    <cfRule type="duplicateValues" dxfId="109" priority="10"/>
    <cfRule type="duplicateValues" dxfId="108" priority="11"/>
  </conditionalFormatting>
  <conditionalFormatting sqref="B42:B44">
    <cfRule type="duplicateValues" dxfId="107" priority="19"/>
    <cfRule type="duplicateValues" dxfId="106" priority="20"/>
    <cfRule type="duplicateValues" dxfId="105" priority="21"/>
  </conditionalFormatting>
  <conditionalFormatting sqref="B45">
    <cfRule type="duplicateValues" dxfId="104" priority="14"/>
    <cfRule type="duplicateValues" dxfId="103" priority="15"/>
    <cfRule type="duplicateValues" dxfId="102" priority="16"/>
  </conditionalFormatting>
  <conditionalFormatting sqref="B46">
    <cfRule type="duplicateValues" dxfId="101" priority="5"/>
    <cfRule type="duplicateValues" dxfId="100" priority="6"/>
  </conditionalFormatting>
  <conditionalFormatting sqref="B47:B49">
    <cfRule type="duplicateValues" dxfId="99" priority="7"/>
    <cfRule type="duplicateValues" dxfId="98" priority="8"/>
    <cfRule type="duplicateValues" dxfId="97" priority="9"/>
  </conditionalFormatting>
  <conditionalFormatting sqref="B50:B51">
    <cfRule type="duplicateValues" dxfId="96" priority="44"/>
    <cfRule type="duplicateValues" dxfId="95" priority="45"/>
    <cfRule type="duplicateValues" dxfId="94" priority="46"/>
  </conditionalFormatting>
  <conditionalFormatting sqref="B52 B54">
    <cfRule type="duplicateValues" dxfId="93" priority="52"/>
    <cfRule type="duplicateValues" dxfId="92" priority="53"/>
    <cfRule type="duplicateValues" dxfId="91" priority="54"/>
  </conditionalFormatting>
  <conditionalFormatting sqref="B53">
    <cfRule type="duplicateValues" dxfId="90" priority="1"/>
    <cfRule type="duplicateValues" dxfId="89" priority="2"/>
  </conditionalFormatting>
  <conditionalFormatting sqref="B55:B1048576 B1">
    <cfRule type="duplicateValues" dxfId="88" priority="49"/>
  </conditionalFormatting>
  <conditionalFormatting sqref="B55:B1048576 B18:B34 B1:B2 B8:B16">
    <cfRule type="duplicateValues" dxfId="87" priority="50"/>
    <cfRule type="duplicateValues" dxfId="86" priority="51"/>
  </conditionalFormatting>
  <conditionalFormatting sqref="D39">
    <cfRule type="duplicateValues" dxfId="85" priority="35"/>
    <cfRule type="duplicateValues" dxfId="84" priority="36"/>
  </conditionalFormatting>
  <conditionalFormatting sqref="D40">
    <cfRule type="duplicateValues" dxfId="83" priority="24"/>
    <cfRule type="duplicateValues" dxfId="82" priority="25"/>
  </conditionalFormatting>
  <conditionalFormatting sqref="D45">
    <cfRule type="duplicateValues" dxfId="81" priority="17"/>
    <cfRule type="duplicateValues" dxfId="80" priority="18"/>
  </conditionalFormatting>
  <conditionalFormatting sqref="D50:D51">
    <cfRule type="duplicateValues" dxfId="79" priority="47"/>
    <cfRule type="duplicateValues" dxfId="78" priority="48"/>
  </conditionalFormatting>
  <conditionalFormatting sqref="D52">
    <cfRule type="duplicateValues" dxfId="77" priority="3"/>
    <cfRule type="duplicateValues" dxfId="76" priority="4"/>
  </conditionalFormatting>
  <conditionalFormatting sqref="F39">
    <cfRule type="duplicateValues" dxfId="75" priority="30"/>
    <cfRule type="duplicateValues" dxfId="74" priority="31"/>
  </conditionalFormatting>
  <conditionalFormatting sqref="F40">
    <cfRule type="duplicateValues" dxfId="73" priority="22"/>
    <cfRule type="duplicateValues" dxfId="72" priority="23"/>
  </conditionalFormatting>
  <conditionalFormatting sqref="F45">
    <cfRule type="duplicateValues" dxfId="71" priority="12"/>
    <cfRule type="duplicateValues" dxfId="70" priority="13"/>
  </conditionalFormatting>
  <conditionalFormatting sqref="F50:F52 F54">
    <cfRule type="duplicateValues" dxfId="69" priority="55"/>
    <cfRule type="duplicateValues" dxfId="68" priority="56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</vt:lpstr>
      <vt:lpstr>GDO</vt:lpstr>
      <vt:lpstr>Thu mua</vt:lpstr>
      <vt:lpstr>Kế toán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Pham The Hung</cp:lastModifiedBy>
  <dcterms:created xsi:type="dcterms:W3CDTF">2021-06-28T03:03:00Z</dcterms:created>
  <dcterms:modified xsi:type="dcterms:W3CDTF">2025-11-07T00:56:52Z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E02369CA5BA640879246CA1B71C05197_13</vt:lpwstr>
  </property>
  <property fmtid="{D5CDD505-2E9C-101B-9397-08002B2CF9AE}" pid="3" name="KSOProductBuildVer">
    <vt:lpwstr>1033-12.2.0.18165</vt:lpwstr>
  </property>
</Properties>
</file>