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AIVP\Desktop\"/>
    </mc:Choice>
  </mc:AlternateContent>
  <xr:revisionPtr revIDLastSave="0" documentId="13_ncr:1_{621346EB-A80C-4BC8-AB9A-17A49809E4E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Kế hoạch chi tiết" sheetId="1" r:id="rId1"/>
    <sheet name="Biểu đồ Gantt" sheetId="2" r:id="rId2"/>
    <sheet name="Sử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3" i="3" l="1"/>
  <c r="I52" i="3"/>
  <c r="I51" i="3"/>
  <c r="I49" i="3"/>
  <c r="I48" i="3"/>
  <c r="I47" i="3"/>
  <c r="I46" i="3"/>
  <c r="I44" i="3"/>
  <c r="I43" i="3"/>
  <c r="I42" i="3"/>
  <c r="I41" i="3"/>
  <c r="I39" i="3"/>
  <c r="I38" i="3"/>
  <c r="I37" i="3"/>
  <c r="I36" i="3"/>
  <c r="I34" i="3"/>
  <c r="I33" i="3"/>
  <c r="I32" i="3"/>
  <c r="I31" i="3"/>
  <c r="I30" i="3"/>
  <c r="I29" i="3"/>
  <c r="I28" i="3"/>
  <c r="I26" i="3"/>
  <c r="I25" i="3"/>
  <c r="I24" i="3"/>
  <c r="I23" i="3"/>
  <c r="I22" i="3"/>
  <c r="I21" i="3"/>
  <c r="I20" i="3"/>
  <c r="I18" i="3"/>
  <c r="I17" i="3"/>
  <c r="I16" i="3"/>
  <c r="I15" i="3"/>
  <c r="I14" i="3"/>
  <c r="I13" i="3"/>
  <c r="I11" i="3"/>
  <c r="I8" i="3"/>
  <c r="I7" i="3"/>
  <c r="H2" i="3" l="1"/>
  <c r="I75" i="1"/>
  <c r="I74" i="1"/>
  <c r="I73" i="1"/>
  <c r="I71" i="1"/>
  <c r="I70" i="1"/>
  <c r="I69" i="1"/>
  <c r="I68" i="1"/>
  <c r="I67" i="1"/>
  <c r="I66" i="1"/>
  <c r="I64" i="1"/>
  <c r="I63" i="1"/>
  <c r="I62" i="1"/>
  <c r="I61" i="1"/>
  <c r="I60" i="1"/>
  <c r="I59" i="1"/>
  <c r="I58" i="1"/>
  <c r="I57" i="1"/>
  <c r="I56" i="1"/>
  <c r="I54" i="1"/>
  <c r="I53" i="1"/>
  <c r="I52" i="1"/>
  <c r="I51" i="1"/>
  <c r="I50" i="1"/>
  <c r="I49" i="1"/>
  <c r="I48" i="1"/>
  <c r="I47" i="1"/>
  <c r="I46" i="1"/>
  <c r="I45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4" i="1"/>
  <c r="I23" i="1"/>
  <c r="I22" i="1"/>
  <c r="I21" i="1"/>
  <c r="I20" i="1"/>
  <c r="I19" i="1"/>
  <c r="I18" i="1"/>
  <c r="I16" i="1"/>
  <c r="I15" i="1"/>
  <c r="I14" i="1"/>
  <c r="I13" i="1"/>
  <c r="I12" i="1"/>
  <c r="I11" i="1"/>
  <c r="I9" i="1"/>
  <c r="I8" i="1"/>
  <c r="I7" i="1"/>
  <c r="H2" i="1" l="1"/>
</calcChain>
</file>

<file path=xl/sharedStrings.xml><?xml version="1.0" encoding="utf-8"?>
<sst xmlns="http://schemas.openxmlformats.org/spreadsheetml/2006/main" count="976" uniqueCount="199">
  <si>
    <t>KẾ HOẠCH PHÁT TRIỂN ỨNG DỤNG XẾP CONTAINER CHO VPIC1</t>
  </si>
  <si>
    <t>Tên dự án:</t>
  </si>
  <si>
    <t>Hệ thống tối ưu xếp Container</t>
  </si>
  <si>
    <t>Ngày bắt đầu:</t>
  </si>
  <si>
    <t>20/09/2025</t>
  </si>
  <si>
    <t>Tiến độ tổng quát:</t>
  </si>
  <si>
    <t>Người thực hiện:</t>
  </si>
  <si>
    <t>#25575</t>
  </si>
  <si>
    <t>Ngày kết thúc dự kiến:</t>
  </si>
  <si>
    <t>31/01/2026</t>
  </si>
  <si>
    <t>STT</t>
  </si>
  <si>
    <t>Giai đoạn</t>
  </si>
  <si>
    <t>Nội dung công việc</t>
  </si>
  <si>
    <t>Người thực hiện</t>
  </si>
  <si>
    <t>Ngày bắt đầu</t>
  </si>
  <si>
    <t>Ngày kết thúc dự kiến</t>
  </si>
  <si>
    <t>Ngày hoàn thành</t>
  </si>
  <si>
    <t>Trạng thái</t>
  </si>
  <si>
    <t>Tiến độ (%)</t>
  </si>
  <si>
    <t>Ghi chú</t>
  </si>
  <si>
    <t>KHỞI ĐỘNG DỰ ÁN</t>
  </si>
  <si>
    <t>Họp kick-off dự án</t>
  </si>
  <si>
    <t>Hoàn thành</t>
  </si>
  <si>
    <t>Xác định phạm vi dự án</t>
  </si>
  <si>
    <t>22/09/2025</t>
  </si>
  <si>
    <t>Phân công nhóm dự án</t>
  </si>
  <si>
    <t>Lập kế hoạch chi tiết</t>
  </si>
  <si>
    <t>25/09/2025</t>
  </si>
  <si>
    <t>PHÂN TÍCH YÊU CẦU</t>
  </si>
  <si>
    <t>Khảo sát nghiệp vụ hiện tại</t>
  </si>
  <si>
    <t>05/10/2025</t>
  </si>
  <si>
    <t>Phỏng vấn stakeholders</t>
  </si>
  <si>
    <t>Thu thập yêu cầu chức năng</t>
  </si>
  <si>
    <t>06/10/2025</t>
  </si>
  <si>
    <t>15/10/2025</t>
  </si>
  <si>
    <t>Thu thập yêu cầu phi chức năng</t>
  </si>
  <si>
    <t>Phân tích use case</t>
  </si>
  <si>
    <t>16/10/2025</t>
  </si>
  <si>
    <t>20/10/2025</t>
  </si>
  <si>
    <t>Review và phê duyệt yêu cầu</t>
  </si>
  <si>
    <t>THIẾT KẾ HỆ THỐNG</t>
  </si>
  <si>
    <t>Thiết kế kiến trúc hệ thống</t>
  </si>
  <si>
    <t>21/10/2025</t>
  </si>
  <si>
    <t>25/10/2025</t>
  </si>
  <si>
    <t>Thiết kế cơ sở dữ liệu</t>
  </si>
  <si>
    <t>24/10/2025</t>
  </si>
  <si>
    <t>Thiết kế API</t>
  </si>
  <si>
    <t>Thiết kế luồng nghiệp vụ</t>
  </si>
  <si>
    <t>22/10/2025</t>
  </si>
  <si>
    <t>Thiết kế giao diện (UI/UX)</t>
  </si>
  <si>
    <t>28/10/2025</t>
  </si>
  <si>
    <t>Thiết kế thuật toán tối ưu</t>
  </si>
  <si>
    <t>05/11/2025</t>
  </si>
  <si>
    <t>Review thiết kế</t>
  </si>
  <si>
    <t>29/10/2025</t>
  </si>
  <si>
    <t>PHÁT TRIỂN</t>
  </si>
  <si>
    <t>Setup môi trường phát triển</t>
  </si>
  <si>
    <t>30/10/2025</t>
  </si>
  <si>
    <t>Setup CI/CD pipeline</t>
  </si>
  <si>
    <t>02/11/2025</t>
  </si>
  <si>
    <t>Phát triển database schema</t>
  </si>
  <si>
    <t>04/11/2025</t>
  </si>
  <si>
    <t>Phát triển API backend</t>
  </si>
  <si>
    <t>20/11/2025</t>
  </si>
  <si>
    <t>Phát triển module xác thực &amp; phân quyền</t>
  </si>
  <si>
    <t>10/11/2025</t>
  </si>
  <si>
    <t>14/11/2025</t>
  </si>
  <si>
    <t>Phát triển module quản lý Container</t>
  </si>
  <si>
    <t>12/11/2025</t>
  </si>
  <si>
    <t>15/11/2025</t>
  </si>
  <si>
    <t>Phát triển engine 3D visualization</t>
  </si>
  <si>
    <t>28/11/2025</t>
  </si>
  <si>
    <t>16/11/2025</t>
  </si>
  <si>
    <t>Phát triển thuật toán tối ưu</t>
  </si>
  <si>
    <t>11/11/2025</t>
  </si>
  <si>
    <t>24/11/2025</t>
  </si>
  <si>
    <t>18/11/2025</t>
  </si>
  <si>
    <t>Phát triển xử lý điều kiện xếp hàng</t>
  </si>
  <si>
    <t>12/03/2026</t>
  </si>
  <si>
    <t>Phát triển giao diện web</t>
  </si>
  <si>
    <t>25/11/2025</t>
  </si>
  <si>
    <t>31/10/2025</t>
  </si>
  <si>
    <t>Phát triển module lịch sử</t>
  </si>
  <si>
    <t>17/11/2025</t>
  </si>
  <si>
    <t>12/08/2026</t>
  </si>
  <si>
    <t>Phát triển tính năng xuất báo cáo</t>
  </si>
  <si>
    <t>15/12/2026</t>
  </si>
  <si>
    <t>Xử lý 1 đơn hàng nhiều container</t>
  </si>
  <si>
    <t>15/12/2025</t>
  </si>
  <si>
    <t>06/12/2025</t>
  </si>
  <si>
    <t>Xử lý nhiều đơn hàng 1 container</t>
  </si>
  <si>
    <t>01/12/2025</t>
  </si>
  <si>
    <t>Đang thực hiện</t>
  </si>
  <si>
    <t>Báo cáo cho 1 đơn nhiều container</t>
  </si>
  <si>
    <t>Báo cáo cho nhiều đơn 1 container</t>
  </si>
  <si>
    <t>08/12/2025</t>
  </si>
  <si>
    <t>20/12/2025</t>
  </si>
  <si>
    <t>Chưa thực hiện</t>
  </si>
  <si>
    <t>Code review</t>
  </si>
  <si>
    <t>01/11/2025</t>
  </si>
  <si>
    <t>Viết tài liệu kỹ thuật</t>
  </si>
  <si>
    <t>KIỂM THỬ</t>
  </si>
  <si>
    <t>Lập kế hoạch kiểm thử</t>
  </si>
  <si>
    <t>05/12/2025</t>
  </si>
  <si>
    <t>Viết test cases</t>
  </si>
  <si>
    <t>10/12/2025</t>
  </si>
  <si>
    <t>Unit testing</t>
  </si>
  <si>
    <t>Integration testing</t>
  </si>
  <si>
    <t>System testing</t>
  </si>
  <si>
    <t>25/12/2025</t>
  </si>
  <si>
    <t>Performance testing</t>
  </si>
  <si>
    <t>23/12/2025</t>
  </si>
  <si>
    <t>Security testing</t>
  </si>
  <si>
    <t>User Acceptance Testing (UAT)</t>
  </si>
  <si>
    <t>28/12/2025</t>
  </si>
  <si>
    <t>Bug fixing</t>
  </si>
  <si>
    <t>30/12/2025</t>
  </si>
  <si>
    <t>Regression testing</t>
  </si>
  <si>
    <t>TRIỂN KHAI</t>
  </si>
  <si>
    <t>Chuẩn bị môi trường production</t>
  </si>
  <si>
    <t>Viết tài liệu triển khai</t>
  </si>
  <si>
    <t>24/12/2025</t>
  </si>
  <si>
    <t>Triển khai lên staging</t>
  </si>
  <si>
    <t>Kiểm tra trên staging</t>
  </si>
  <si>
    <t>Triển khai lên production</t>
  </si>
  <si>
    <t>Smoke testing trên production</t>
  </si>
  <si>
    <t>Đào tạo người dùng</t>
  </si>
  <si>
    <t>26/12/2025</t>
  </si>
  <si>
    <t>Viết user manual</t>
  </si>
  <si>
    <t>Go-live</t>
  </si>
  <si>
    <t>29/12/2025</t>
  </si>
  <si>
    <t>BẢO TRÌ &amp; HỖ TRỢ</t>
  </si>
  <si>
    <t>Giám sát hệ thống</t>
  </si>
  <si>
    <t>Hỗ trợ người dùng</t>
  </si>
  <si>
    <t>Thu thập phản hồi</t>
  </si>
  <si>
    <t>15/01/2026</t>
  </si>
  <si>
    <t>Sửa lỗi khẩn cấp</t>
  </si>
  <si>
    <t>Tối ưu hiệu năng</t>
  </si>
  <si>
    <t>05/01/2026</t>
  </si>
  <si>
    <t>20/01/2026</t>
  </si>
  <si>
    <t>Cập nhật tài liệu</t>
  </si>
  <si>
    <t>ĐÁNH GIÁ &amp; KẾT THÚC</t>
  </si>
  <si>
    <t>Đánh giá dự án</t>
  </si>
  <si>
    <t>25/01/2026</t>
  </si>
  <si>
    <t>28/01/2026</t>
  </si>
  <si>
    <t>Lessons learned</t>
  </si>
  <si>
    <t>30/01/2026</t>
  </si>
  <si>
    <t>Bàn giao tài liệu</t>
  </si>
  <si>
    <t>Họp kết thúc dự án</t>
  </si>
  <si>
    <t>BIỂU ĐỒ GANTT - TIẾN ĐỘ DỰ ÁN</t>
  </si>
  <si>
    <t>Công việc</t>
  </si>
  <si>
    <t>Bắt đầu</t>
  </si>
  <si>
    <t>Kết thúc</t>
  </si>
  <si>
    <t>Tiến độ</t>
  </si>
  <si>
    <t>T9/25</t>
  </si>
  <si>
    <t>T10/25</t>
  </si>
  <si>
    <t>T11/25</t>
  </si>
  <si>
    <t>T12/25</t>
  </si>
  <si>
    <t>T1/26</t>
  </si>
  <si>
    <t>█</t>
  </si>
  <si>
    <t>CHÚ THÍCH:</t>
  </si>
  <si>
    <t>THỐNG KÊ TỔNG QUAN</t>
  </si>
  <si>
    <t>Tổng số công việc:</t>
  </si>
  <si>
    <t>Đã hoàn thành:</t>
  </si>
  <si>
    <t>Đang thực hiện:</t>
  </si>
  <si>
    <t>Chưa thực hiện:</t>
  </si>
  <si>
    <t>Tỷ lệ hoàn thành:</t>
  </si>
  <si>
    <t>46.9%</t>
  </si>
  <si>
    <t>Xác định mục tiêu và vấn đề nghiệp vụ</t>
  </si>
  <si>
    <t>Xác định phạm vi áp dụng và hệ thống liên quan</t>
  </si>
  <si>
    <t>Chỉ định System Owner và nhóm thực hiện</t>
  </si>
  <si>
    <t>Lập kế hoạch và mốc triển khai</t>
  </si>
  <si>
    <t>Phê duyệt khởi động</t>
  </si>
  <si>
    <t>Phỏng vấn stakeholders và người dùng liên quan</t>
  </si>
  <si>
    <t>Thu thập yêu cầu phi chức năng
(phân quyền, bảo mật, hiệu năng, ổn định)</t>
  </si>
  <si>
    <t>Phân tích use case và luồng nghiệp vụ</t>
  </si>
  <si>
    <t>Review và phê duyệt thiết kế</t>
  </si>
  <si>
    <t>Thiết kế phân quyền và bảo mật</t>
  </si>
  <si>
    <t>Thiết lập môi trường DEV / TEST / PROD</t>
  </si>
  <si>
    <t>Quản lý mã nguồn tập trung (Git)</t>
  </si>
  <si>
    <t>Áp dụng quy ước quản lý phiên bản và nhánh phát triển</t>
  </si>
  <si>
    <t>Thiết lập và vận hành CI/CD cho build, test và triển khai</t>
  </si>
  <si>
    <t>Phát triển các module chức năng</t>
  </si>
  <si>
    <t>Thực hiện code review và kiểm soát chất lượng</t>
  </si>
  <si>
    <t>Ghi nhận changelog cho từng phiên bản</t>
  </si>
  <si>
    <t>PHÁT TRIỂN &amp; QUẢN LÝ PHIÊN BẢN</t>
  </si>
  <si>
    <t>KIỂM THỬ &amp; NGHIỆM THU</t>
  </si>
  <si>
    <t>Kiểm thử chức năng và dữ liệu</t>
  </si>
  <si>
    <t>Kiểm thử phân quyền và hiệu năng cơ bản</t>
  </si>
  <si>
    <t>UAT với người dùng nghiệp vụ</t>
  </si>
  <si>
    <t>Sửa lỗi và xác nhận nghiệm thu</t>
  </si>
  <si>
    <t>TRIỂN KHAI &amp; ĐÀO TẠO</t>
  </si>
  <si>
    <t>Triển khai theo phiên bản đã phê duyệt</t>
  </si>
  <si>
    <t>Kiểm tra sau triển khai</t>
  </si>
  <si>
    <t>VẬN HÀNH &amp; CẢI TIẾN</t>
  </si>
  <si>
    <t>Giám sát và hỗ trợ người dùng</t>
  </si>
  <si>
    <t>Sửa lỗi, tối ưu hệ thống</t>
  </si>
  <si>
    <t>Nâng cấp phiên bản theo thay đổi nghiệp vụ</t>
  </si>
  <si>
    <t>Tổng kết và đề xuất cải tiến giai đoạn tiếp theo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</si>
</sst>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&quot;%&quot;"/>
    <numFmt numFmtId="165" formatCode="0&quot;%&quot;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name val="Calibri"/>
    </font>
    <font>
      <sz val="10"/>
      <name val="Calibri"/>
    </font>
    <font>
      <sz val="12"/>
      <color rgb="FF70AD47"/>
      <name val="Calibri"/>
    </font>
    <font>
      <sz val="12"/>
      <color rgb="FFFFC000"/>
      <name val="Calibri"/>
    </font>
    <font>
      <sz val="12"/>
      <color rgb="FFED7D31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70AD47"/>
        <bgColor rgb="FF70AD47"/>
      </patternFill>
    </fill>
    <fill>
      <patternFill patternType="solid">
        <fgColor rgb="FF366092"/>
        <bgColor rgb="FF366092"/>
      </patternFill>
    </fill>
    <fill>
      <patternFill patternType="solid">
        <fgColor rgb="FFB4C7E7"/>
        <bgColor rgb="FFB4C7E7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4B084"/>
        <bgColor rgb="FFF4B08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6" fillId="6" borderId="0" xfId="0" applyFont="1" applyFill="1"/>
    <xf numFmtId="0" fontId="7" fillId="7" borderId="0" xfId="0" applyFont="1" applyFill="1"/>
    <xf numFmtId="0" fontId="8" fillId="8" borderId="0" xfId="0" applyFont="1" applyFill="1"/>
    <xf numFmtId="0" fontId="0" fillId="0" borderId="0" xfId="0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left" vertical="center"/>
    </xf>
    <xf numFmtId="164" fontId="2" fillId="3" borderId="0" xfId="0" applyNumberFormat="1" applyFont="1" applyFill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right"/>
    </xf>
    <xf numFmtId="0" fontId="4" fillId="9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workbookViewId="0">
      <selection activeCell="C11" sqref="C11:C16"/>
    </sheetView>
  </sheetViews>
  <sheetFormatPr defaultRowHeight="15" x14ac:dyDescent="0.25"/>
  <cols>
    <col min="1" max="1" width="6" customWidth="1"/>
    <col min="2" max="2" width="20" customWidth="1"/>
    <col min="3" max="3" width="35" customWidth="1"/>
    <col min="4" max="4" width="20.7109375" customWidth="1"/>
    <col min="5" max="6" width="14" customWidth="1"/>
    <col min="7" max="7" width="17.140625" customWidth="1"/>
    <col min="8" max="8" width="15" customWidth="1"/>
    <col min="9" max="9" width="12" customWidth="1"/>
    <col min="10" max="10" width="20" customWidth="1"/>
  </cols>
  <sheetData>
    <row r="1" spans="1:10" ht="24.95" customHeight="1" x14ac:dyDescent="0.25">
      <c r="A1" s="24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24.95" customHeight="1" x14ac:dyDescent="0.25">
      <c r="A2" s="25" t="s">
        <v>1</v>
      </c>
      <c r="B2" s="25"/>
      <c r="C2" t="s">
        <v>2</v>
      </c>
      <c r="D2" t="s">
        <v>3</v>
      </c>
      <c r="E2" t="s">
        <v>4</v>
      </c>
      <c r="G2" s="20" t="s">
        <v>5</v>
      </c>
      <c r="H2" s="21">
        <f ca="1">AVERAGEIF(I:I,"&gt;="&amp;0,I:I)</f>
        <v>52.631578947368418</v>
      </c>
    </row>
    <row r="3" spans="1:10" ht="24.95" customHeight="1" x14ac:dyDescent="0.25">
      <c r="A3" s="25" t="s">
        <v>6</v>
      </c>
      <c r="B3" s="25"/>
      <c r="C3" t="s">
        <v>7</v>
      </c>
      <c r="D3" t="s">
        <v>8</v>
      </c>
      <c r="E3" t="s">
        <v>9</v>
      </c>
    </row>
    <row r="4" spans="1:10" ht="24.95" customHeight="1" x14ac:dyDescent="0.25"/>
    <row r="5" spans="1:10" ht="33.75" customHeight="1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18</v>
      </c>
      <c r="J5" s="1" t="s">
        <v>19</v>
      </c>
    </row>
    <row r="6" spans="1:10" ht="20.100000000000001" customHeight="1" x14ac:dyDescent="0.25">
      <c r="A6" s="22" t="s">
        <v>20</v>
      </c>
      <c r="B6" s="23"/>
      <c r="C6" s="23"/>
      <c r="D6" s="23"/>
      <c r="E6" s="23"/>
      <c r="F6" s="23"/>
      <c r="G6" s="23"/>
      <c r="H6" s="23"/>
      <c r="I6" s="23"/>
      <c r="J6" s="23"/>
    </row>
    <row r="7" spans="1:10" ht="20.100000000000001" customHeight="1" x14ac:dyDescent="0.25">
      <c r="A7" s="2">
        <v>1</v>
      </c>
      <c r="B7" s="3"/>
      <c r="C7" s="3" t="s">
        <v>23</v>
      </c>
      <c r="D7" s="2" t="s">
        <v>7</v>
      </c>
      <c r="E7" s="2" t="s">
        <v>4</v>
      </c>
      <c r="F7" s="2" t="s">
        <v>24</v>
      </c>
      <c r="G7" s="2" t="s">
        <v>24</v>
      </c>
      <c r="H7" s="4" t="s">
        <v>22</v>
      </c>
      <c r="I7" s="5">
        <f ca="1">IF(H7="Hoàn thành",100,IF(H7="Chưa thực hiện",0,IF(AND(E7&lt;&gt;"",F7&lt;&gt;""),MIN(100,MAX(0,(TODAY()-E7)/(F7-E7)*100)),0)))</f>
        <v>100</v>
      </c>
      <c r="J7" s="3"/>
    </row>
    <row r="8" spans="1:10" ht="20.100000000000001" customHeight="1" x14ac:dyDescent="0.25">
      <c r="A8" s="2">
        <v>2</v>
      </c>
      <c r="B8" s="3"/>
      <c r="C8" s="3" t="s">
        <v>25</v>
      </c>
      <c r="D8" s="2" t="s">
        <v>7</v>
      </c>
      <c r="E8" s="2" t="s">
        <v>4</v>
      </c>
      <c r="F8" s="2" t="s">
        <v>24</v>
      </c>
      <c r="G8" s="2" t="s">
        <v>24</v>
      </c>
      <c r="H8" s="4" t="s">
        <v>22</v>
      </c>
      <c r="I8" s="5">
        <f ca="1">IF(H8="Hoàn thành",100,IF(H8="Chưa thực hiện",0,IF(AND(E8&lt;&gt;"",F8&lt;&gt;""),MIN(100,MAX(0,(TODAY()-E8)/(F8-E8)*100)),0)))</f>
        <v>100</v>
      </c>
      <c r="J8" s="3"/>
    </row>
    <row r="9" spans="1:10" ht="20.100000000000001" customHeight="1" x14ac:dyDescent="0.25">
      <c r="A9" s="2">
        <v>3</v>
      </c>
      <c r="B9" s="3"/>
      <c r="C9" s="3" t="s">
        <v>26</v>
      </c>
      <c r="D9" s="2" t="s">
        <v>7</v>
      </c>
      <c r="E9" s="2" t="s">
        <v>24</v>
      </c>
      <c r="F9" s="2" t="s">
        <v>27</v>
      </c>
      <c r="G9" s="2" t="s">
        <v>27</v>
      </c>
      <c r="H9" s="4" t="s">
        <v>22</v>
      </c>
      <c r="I9" s="5">
        <f ca="1">IF(H9="Hoàn thành",100,IF(H9="Chưa thực hiện",0,IF(AND(E9&lt;&gt;"",F9&lt;&gt;""),MIN(100,MAX(0,(TODAY()-E9)/(F9-E9)*100)),0)))</f>
        <v>100</v>
      </c>
      <c r="J9" s="3"/>
    </row>
    <row r="10" spans="1:10" ht="20.100000000000001" customHeight="1" x14ac:dyDescent="0.25">
      <c r="A10" s="22" t="s">
        <v>28</v>
      </c>
      <c r="B10" s="23"/>
      <c r="C10" s="23"/>
      <c r="D10" s="23"/>
      <c r="E10" s="23"/>
      <c r="F10" s="23"/>
      <c r="G10" s="23"/>
      <c r="H10" s="23"/>
      <c r="I10" s="23"/>
      <c r="J10" s="23"/>
    </row>
    <row r="11" spans="1:10" ht="20.100000000000001" customHeight="1" x14ac:dyDescent="0.25">
      <c r="A11" s="2">
        <v>4</v>
      </c>
      <c r="B11" s="3"/>
      <c r="C11" s="3" t="s">
        <v>29</v>
      </c>
      <c r="D11" s="2" t="s">
        <v>7</v>
      </c>
      <c r="E11" s="2" t="s">
        <v>27</v>
      </c>
      <c r="F11" s="2" t="s">
        <v>30</v>
      </c>
      <c r="G11" s="2" t="s">
        <v>30</v>
      </c>
      <c r="H11" s="4" t="s">
        <v>22</v>
      </c>
      <c r="I11" s="5">
        <f t="shared" ref="I11:I16" ca="1" si="0">IF(H11="Hoàn thành",100,IF(H11="Chưa thực hiện",0,IF(AND(E11&lt;&gt;"",F11&lt;&gt;""),MIN(100,MAX(0,(TODAY()-E11)/(F11-E11)*100)),0)))</f>
        <v>100</v>
      </c>
      <c r="J11" s="3"/>
    </row>
    <row r="12" spans="1:10" ht="20.100000000000001" customHeight="1" x14ac:dyDescent="0.25">
      <c r="A12" s="2">
        <v>5</v>
      </c>
      <c r="B12" s="3"/>
      <c r="C12" s="3" t="s">
        <v>31</v>
      </c>
      <c r="D12" s="2" t="s">
        <v>7</v>
      </c>
      <c r="E12" s="2" t="s">
        <v>27</v>
      </c>
      <c r="F12" s="2" t="s">
        <v>30</v>
      </c>
      <c r="G12" s="2" t="s">
        <v>30</v>
      </c>
      <c r="H12" s="4" t="s">
        <v>22</v>
      </c>
      <c r="I12" s="5">
        <f t="shared" ca="1" si="0"/>
        <v>100</v>
      </c>
      <c r="J12" s="3"/>
    </row>
    <row r="13" spans="1:10" ht="20.100000000000001" customHeight="1" x14ac:dyDescent="0.25">
      <c r="A13" s="2">
        <v>6</v>
      </c>
      <c r="B13" s="3"/>
      <c r="C13" s="3" t="s">
        <v>32</v>
      </c>
      <c r="D13" s="2" t="s">
        <v>7</v>
      </c>
      <c r="E13" s="2" t="s">
        <v>33</v>
      </c>
      <c r="F13" s="2" t="s">
        <v>34</v>
      </c>
      <c r="G13" s="2" t="s">
        <v>34</v>
      </c>
      <c r="H13" s="4" t="s">
        <v>22</v>
      </c>
      <c r="I13" s="5">
        <f t="shared" ca="1" si="0"/>
        <v>100</v>
      </c>
      <c r="J13" s="3"/>
    </row>
    <row r="14" spans="1:10" ht="20.100000000000001" customHeight="1" x14ac:dyDescent="0.25">
      <c r="A14" s="2">
        <v>7</v>
      </c>
      <c r="B14" s="3"/>
      <c r="C14" s="3" t="s">
        <v>35</v>
      </c>
      <c r="D14" s="2" t="s">
        <v>7</v>
      </c>
      <c r="E14" s="2" t="s">
        <v>33</v>
      </c>
      <c r="F14" s="2" t="s">
        <v>34</v>
      </c>
      <c r="G14" s="2" t="s">
        <v>34</v>
      </c>
      <c r="H14" s="4" t="s">
        <v>22</v>
      </c>
      <c r="I14" s="5">
        <f t="shared" ca="1" si="0"/>
        <v>100</v>
      </c>
      <c r="J14" s="3"/>
    </row>
    <row r="15" spans="1:10" ht="20.100000000000001" customHeight="1" x14ac:dyDescent="0.25">
      <c r="A15" s="2">
        <v>8</v>
      </c>
      <c r="B15" s="3"/>
      <c r="C15" s="3" t="s">
        <v>36</v>
      </c>
      <c r="D15" s="2" t="s">
        <v>7</v>
      </c>
      <c r="E15" s="2" t="s">
        <v>37</v>
      </c>
      <c r="F15" s="2" t="s">
        <v>38</v>
      </c>
      <c r="G15" s="2" t="s">
        <v>38</v>
      </c>
      <c r="H15" s="4" t="s">
        <v>22</v>
      </c>
      <c r="I15" s="5">
        <f t="shared" ca="1" si="0"/>
        <v>100</v>
      </c>
      <c r="J15" s="3"/>
    </row>
    <row r="16" spans="1:10" ht="20.100000000000001" customHeight="1" x14ac:dyDescent="0.25">
      <c r="A16" s="2">
        <v>9</v>
      </c>
      <c r="B16" s="3"/>
      <c r="C16" s="3" t="s">
        <v>39</v>
      </c>
      <c r="D16" s="2" t="s">
        <v>7</v>
      </c>
      <c r="E16" s="2" t="s">
        <v>38</v>
      </c>
      <c r="F16" s="2" t="s">
        <v>38</v>
      </c>
      <c r="G16" s="2" t="s">
        <v>38</v>
      </c>
      <c r="H16" s="4" t="s">
        <v>22</v>
      </c>
      <c r="I16" s="5">
        <f t="shared" ca="1" si="0"/>
        <v>100</v>
      </c>
      <c r="J16" s="3"/>
    </row>
    <row r="17" spans="1:10" ht="20.100000000000001" customHeight="1" x14ac:dyDescent="0.25">
      <c r="A17" s="22" t="s">
        <v>40</v>
      </c>
      <c r="B17" s="23"/>
      <c r="C17" s="23"/>
      <c r="D17" s="23"/>
      <c r="E17" s="23"/>
      <c r="F17" s="23"/>
      <c r="G17" s="23"/>
      <c r="H17" s="23"/>
      <c r="I17" s="23"/>
      <c r="J17" s="23"/>
    </row>
    <row r="18" spans="1:10" ht="20.100000000000001" customHeight="1" x14ac:dyDescent="0.25">
      <c r="A18" s="2">
        <v>10</v>
      </c>
      <c r="B18" s="3"/>
      <c r="C18" s="3" t="s">
        <v>41</v>
      </c>
      <c r="D18" s="2" t="s">
        <v>7</v>
      </c>
      <c r="E18" s="2" t="s">
        <v>42</v>
      </c>
      <c r="F18" s="2" t="s">
        <v>43</v>
      </c>
      <c r="G18" s="2" t="s">
        <v>43</v>
      </c>
      <c r="H18" s="4" t="s">
        <v>22</v>
      </c>
      <c r="I18" s="5">
        <f t="shared" ref="I18:I24" ca="1" si="1">IF(H18="Hoàn thành",100,IF(H18="Chưa thực hiện",0,IF(AND(E18&lt;&gt;"",F18&lt;&gt;""),MIN(100,MAX(0,(TODAY()-E18)/(F18-E18)*100)),0)))</f>
        <v>100</v>
      </c>
      <c r="J18" s="3"/>
    </row>
    <row r="19" spans="1:10" ht="20.100000000000001" customHeight="1" x14ac:dyDescent="0.25">
      <c r="A19" s="2">
        <v>11</v>
      </c>
      <c r="B19" s="3"/>
      <c r="C19" s="3" t="s">
        <v>44</v>
      </c>
      <c r="D19" s="2" t="s">
        <v>7</v>
      </c>
      <c r="E19" s="2" t="s">
        <v>42</v>
      </c>
      <c r="F19" s="2" t="s">
        <v>45</v>
      </c>
      <c r="G19" s="2" t="s">
        <v>45</v>
      </c>
      <c r="H19" s="4" t="s">
        <v>22</v>
      </c>
      <c r="I19" s="5">
        <f t="shared" ca="1" si="1"/>
        <v>100</v>
      </c>
      <c r="J19" s="3"/>
    </row>
    <row r="20" spans="1:10" ht="20.100000000000001" customHeight="1" x14ac:dyDescent="0.25">
      <c r="A20" s="2">
        <v>12</v>
      </c>
      <c r="B20" s="3"/>
      <c r="C20" s="3" t="s">
        <v>46</v>
      </c>
      <c r="D20" s="2" t="s">
        <v>7</v>
      </c>
      <c r="E20" s="2" t="s">
        <v>42</v>
      </c>
      <c r="F20" s="2" t="s">
        <v>43</v>
      </c>
      <c r="G20" s="2" t="s">
        <v>43</v>
      </c>
      <c r="H20" s="4" t="s">
        <v>22</v>
      </c>
      <c r="I20" s="5">
        <f t="shared" ca="1" si="1"/>
        <v>100</v>
      </c>
      <c r="J20" s="3"/>
    </row>
    <row r="21" spans="1:10" ht="20.100000000000001" customHeight="1" x14ac:dyDescent="0.25">
      <c r="A21" s="2">
        <v>13</v>
      </c>
      <c r="B21" s="3"/>
      <c r="C21" s="3" t="s">
        <v>47</v>
      </c>
      <c r="D21" s="2" t="s">
        <v>7</v>
      </c>
      <c r="E21" s="2" t="s">
        <v>42</v>
      </c>
      <c r="F21" s="2" t="s">
        <v>48</v>
      </c>
      <c r="G21" s="2" t="s">
        <v>48</v>
      </c>
      <c r="H21" s="4" t="s">
        <v>22</v>
      </c>
      <c r="I21" s="5">
        <f t="shared" ca="1" si="1"/>
        <v>100</v>
      </c>
      <c r="J21" s="3"/>
    </row>
    <row r="22" spans="1:10" ht="20.100000000000001" customHeight="1" x14ac:dyDescent="0.25">
      <c r="A22" s="2">
        <v>14</v>
      </c>
      <c r="B22" s="3"/>
      <c r="C22" s="3" t="s">
        <v>49</v>
      </c>
      <c r="D22" s="2" t="s">
        <v>7</v>
      </c>
      <c r="E22" s="2" t="s">
        <v>42</v>
      </c>
      <c r="F22" s="2" t="s">
        <v>50</v>
      </c>
      <c r="G22" s="2" t="s">
        <v>50</v>
      </c>
      <c r="H22" s="4" t="s">
        <v>22</v>
      </c>
      <c r="I22" s="5">
        <f t="shared" ca="1" si="1"/>
        <v>100</v>
      </c>
      <c r="J22" s="3"/>
    </row>
    <row r="23" spans="1:10" ht="20.100000000000001" customHeight="1" x14ac:dyDescent="0.25">
      <c r="A23" s="2">
        <v>15</v>
      </c>
      <c r="B23" s="3"/>
      <c r="C23" s="3" t="s">
        <v>51</v>
      </c>
      <c r="D23" s="2" t="s">
        <v>7</v>
      </c>
      <c r="E23" s="2" t="s">
        <v>43</v>
      </c>
      <c r="F23" s="2" t="s">
        <v>52</v>
      </c>
      <c r="G23" s="2" t="s">
        <v>52</v>
      </c>
      <c r="H23" s="4" t="s">
        <v>22</v>
      </c>
      <c r="I23" s="5">
        <f t="shared" ca="1" si="1"/>
        <v>100</v>
      </c>
      <c r="J23" s="3"/>
    </row>
    <row r="24" spans="1:10" ht="20.100000000000001" customHeight="1" x14ac:dyDescent="0.25">
      <c r="A24" s="2">
        <v>16</v>
      </c>
      <c r="B24" s="3"/>
      <c r="C24" s="3" t="s">
        <v>53</v>
      </c>
      <c r="D24" s="2" t="s">
        <v>7</v>
      </c>
      <c r="E24" s="2" t="s">
        <v>50</v>
      </c>
      <c r="F24" s="2" t="s">
        <v>54</v>
      </c>
      <c r="G24" s="2" t="s">
        <v>54</v>
      </c>
      <c r="H24" s="4" t="s">
        <v>22</v>
      </c>
      <c r="I24" s="5">
        <f t="shared" ca="1" si="1"/>
        <v>100</v>
      </c>
      <c r="J24" s="3"/>
    </row>
    <row r="25" spans="1:10" ht="20.100000000000001" customHeight="1" x14ac:dyDescent="0.25">
      <c r="A25" s="22" t="s">
        <v>55</v>
      </c>
      <c r="B25" s="23"/>
      <c r="C25" s="23"/>
      <c r="D25" s="23"/>
      <c r="E25" s="23"/>
      <c r="F25" s="23"/>
      <c r="G25" s="23"/>
      <c r="H25" s="23"/>
      <c r="I25" s="23"/>
      <c r="J25" s="23"/>
    </row>
    <row r="26" spans="1:10" ht="20.100000000000001" customHeight="1" x14ac:dyDescent="0.25">
      <c r="A26" s="2">
        <v>17</v>
      </c>
      <c r="B26" s="3"/>
      <c r="C26" s="3" t="s">
        <v>56</v>
      </c>
      <c r="D26" s="2" t="s">
        <v>7</v>
      </c>
      <c r="E26" s="2" t="s">
        <v>54</v>
      </c>
      <c r="F26" s="2" t="s">
        <v>57</v>
      </c>
      <c r="G26" s="2" t="s">
        <v>57</v>
      </c>
      <c r="H26" s="4" t="s">
        <v>22</v>
      </c>
      <c r="I26" s="5">
        <f t="shared" ref="I26:I43" ca="1" si="2">IF(H26="Hoàn thành",100,IF(H26="Chưa thực hiện",0,IF(AND(E26&lt;&gt;"",F26&lt;&gt;""),MIN(100,MAX(0,(TODAY()-E26)/(F26-E26)*100)),0)))</f>
        <v>100</v>
      </c>
      <c r="J26" s="3"/>
    </row>
    <row r="27" spans="1:10" ht="20.100000000000001" customHeight="1" x14ac:dyDescent="0.25">
      <c r="A27" s="2">
        <v>18</v>
      </c>
      <c r="B27" s="3"/>
      <c r="C27" s="3" t="s">
        <v>58</v>
      </c>
      <c r="D27" s="2" t="s">
        <v>7</v>
      </c>
      <c r="E27" s="2" t="s">
        <v>57</v>
      </c>
      <c r="F27" s="2" t="s">
        <v>59</v>
      </c>
      <c r="G27" s="2" t="s">
        <v>59</v>
      </c>
      <c r="H27" s="4" t="s">
        <v>22</v>
      </c>
      <c r="I27" s="5">
        <f t="shared" ca="1" si="2"/>
        <v>100</v>
      </c>
      <c r="J27" s="3"/>
    </row>
    <row r="28" spans="1:10" ht="20.100000000000001" customHeight="1" x14ac:dyDescent="0.25">
      <c r="A28" s="2">
        <v>19</v>
      </c>
      <c r="B28" s="3"/>
      <c r="C28" s="3" t="s">
        <v>60</v>
      </c>
      <c r="D28" s="2" t="s">
        <v>7</v>
      </c>
      <c r="E28" s="2" t="s">
        <v>59</v>
      </c>
      <c r="F28" s="2" t="s">
        <v>61</v>
      </c>
      <c r="G28" s="2" t="s">
        <v>61</v>
      </c>
      <c r="H28" s="4" t="s">
        <v>22</v>
      </c>
      <c r="I28" s="5">
        <f t="shared" ca="1" si="2"/>
        <v>100</v>
      </c>
      <c r="J28" s="3"/>
    </row>
    <row r="29" spans="1:10" ht="20.100000000000001" customHeight="1" x14ac:dyDescent="0.25">
      <c r="A29" s="2">
        <v>20</v>
      </c>
      <c r="B29" s="3"/>
      <c r="C29" s="3" t="s">
        <v>62</v>
      </c>
      <c r="D29" s="2" t="s">
        <v>7</v>
      </c>
      <c r="E29" s="2" t="s">
        <v>61</v>
      </c>
      <c r="F29" s="2" t="s">
        <v>63</v>
      </c>
      <c r="G29" s="2" t="s">
        <v>63</v>
      </c>
      <c r="H29" s="4" t="s">
        <v>22</v>
      </c>
      <c r="I29" s="5">
        <f t="shared" ca="1" si="2"/>
        <v>100</v>
      </c>
      <c r="J29" s="3"/>
    </row>
    <row r="30" spans="1:10" ht="20.100000000000001" customHeight="1" x14ac:dyDescent="0.25">
      <c r="A30" s="2">
        <v>21</v>
      </c>
      <c r="B30" s="3"/>
      <c r="C30" s="3" t="s">
        <v>64</v>
      </c>
      <c r="D30" s="2" t="s">
        <v>7</v>
      </c>
      <c r="E30" s="2" t="s">
        <v>52</v>
      </c>
      <c r="F30" s="2" t="s">
        <v>65</v>
      </c>
      <c r="G30" s="2" t="s">
        <v>66</v>
      </c>
      <c r="H30" s="4" t="s">
        <v>22</v>
      </c>
      <c r="I30" s="5">
        <f t="shared" ca="1" si="2"/>
        <v>100</v>
      </c>
      <c r="J30" s="3"/>
    </row>
    <row r="31" spans="1:10" ht="20.100000000000001" customHeight="1" x14ac:dyDescent="0.25">
      <c r="A31" s="2">
        <v>22</v>
      </c>
      <c r="B31" s="3"/>
      <c r="C31" s="3" t="s">
        <v>67</v>
      </c>
      <c r="D31" s="2" t="s">
        <v>7</v>
      </c>
      <c r="E31" s="2" t="s">
        <v>65</v>
      </c>
      <c r="F31" s="2" t="s">
        <v>68</v>
      </c>
      <c r="G31" s="2" t="s">
        <v>69</v>
      </c>
      <c r="H31" s="4" t="s">
        <v>22</v>
      </c>
      <c r="I31" s="5">
        <f t="shared" ca="1" si="2"/>
        <v>100</v>
      </c>
      <c r="J31" s="3"/>
    </row>
    <row r="32" spans="1:10" ht="20.100000000000001" customHeight="1" x14ac:dyDescent="0.25">
      <c r="A32" s="2">
        <v>23</v>
      </c>
      <c r="B32" s="3"/>
      <c r="C32" s="3" t="s">
        <v>70</v>
      </c>
      <c r="D32" s="2" t="s">
        <v>7</v>
      </c>
      <c r="E32" s="2" t="s">
        <v>65</v>
      </c>
      <c r="F32" s="2" t="s">
        <v>71</v>
      </c>
      <c r="G32" s="2" t="s">
        <v>72</v>
      </c>
      <c r="H32" s="4" t="s">
        <v>22</v>
      </c>
      <c r="I32" s="5">
        <f t="shared" ca="1" si="2"/>
        <v>100</v>
      </c>
      <c r="J32" s="3"/>
    </row>
    <row r="33" spans="1:10" ht="20.100000000000001" customHeight="1" x14ac:dyDescent="0.25">
      <c r="A33" s="2">
        <v>24</v>
      </c>
      <c r="B33" s="3"/>
      <c r="C33" s="3" t="s">
        <v>73</v>
      </c>
      <c r="D33" s="2" t="s">
        <v>7</v>
      </c>
      <c r="E33" s="2" t="s">
        <v>74</v>
      </c>
      <c r="F33" s="2" t="s">
        <v>75</v>
      </c>
      <c r="G33" s="2" t="s">
        <v>76</v>
      </c>
      <c r="H33" s="4" t="s">
        <v>22</v>
      </c>
      <c r="I33" s="5">
        <f t="shared" ca="1" si="2"/>
        <v>100</v>
      </c>
      <c r="J33" s="3"/>
    </row>
    <row r="34" spans="1:10" ht="20.100000000000001" customHeight="1" x14ac:dyDescent="0.25">
      <c r="A34" s="2">
        <v>25</v>
      </c>
      <c r="B34" s="3"/>
      <c r="C34" s="3" t="s">
        <v>77</v>
      </c>
      <c r="D34" s="2" t="s">
        <v>7</v>
      </c>
      <c r="E34" s="2" t="s">
        <v>74</v>
      </c>
      <c r="F34" s="2" t="s">
        <v>78</v>
      </c>
      <c r="G34" s="2" t="s">
        <v>76</v>
      </c>
      <c r="H34" s="4" t="s">
        <v>22</v>
      </c>
      <c r="I34" s="5">
        <f t="shared" ca="1" si="2"/>
        <v>100</v>
      </c>
      <c r="J34" s="3"/>
    </row>
    <row r="35" spans="1:10" ht="20.100000000000001" customHeight="1" x14ac:dyDescent="0.25">
      <c r="A35" s="2">
        <v>26</v>
      </c>
      <c r="B35" s="3"/>
      <c r="C35" s="3" t="s">
        <v>79</v>
      </c>
      <c r="D35" s="2" t="s">
        <v>7</v>
      </c>
      <c r="E35" s="2" t="s">
        <v>54</v>
      </c>
      <c r="F35" s="2" t="s">
        <v>80</v>
      </c>
      <c r="G35" s="2" t="s">
        <v>81</v>
      </c>
      <c r="H35" s="4" t="s">
        <v>22</v>
      </c>
      <c r="I35" s="5">
        <f t="shared" ca="1" si="2"/>
        <v>100</v>
      </c>
      <c r="J35" s="3"/>
    </row>
    <row r="36" spans="1:10" ht="20.100000000000001" customHeight="1" x14ac:dyDescent="0.25">
      <c r="A36" s="2">
        <v>27</v>
      </c>
      <c r="B36" s="3"/>
      <c r="C36" s="3" t="s">
        <v>82</v>
      </c>
      <c r="D36" s="2" t="s">
        <v>7</v>
      </c>
      <c r="E36" s="2" t="s">
        <v>83</v>
      </c>
      <c r="F36" s="2" t="s">
        <v>84</v>
      </c>
      <c r="G36" s="2" t="s">
        <v>63</v>
      </c>
      <c r="H36" s="4" t="s">
        <v>22</v>
      </c>
      <c r="I36" s="5">
        <f t="shared" ca="1" si="2"/>
        <v>100</v>
      </c>
      <c r="J36" s="3"/>
    </row>
    <row r="37" spans="1:10" ht="20.100000000000001" customHeight="1" x14ac:dyDescent="0.25">
      <c r="A37" s="2">
        <v>28</v>
      </c>
      <c r="B37" s="3"/>
      <c r="C37" s="3" t="s">
        <v>85</v>
      </c>
      <c r="D37" s="2" t="s">
        <v>7</v>
      </c>
      <c r="E37" s="2" t="s">
        <v>83</v>
      </c>
      <c r="F37" s="2" t="s">
        <v>86</v>
      </c>
      <c r="G37" s="2" t="s">
        <v>63</v>
      </c>
      <c r="H37" s="4" t="s">
        <v>22</v>
      </c>
      <c r="I37" s="5">
        <f t="shared" ca="1" si="2"/>
        <v>100</v>
      </c>
      <c r="J37" s="3"/>
    </row>
    <row r="38" spans="1:10" ht="20.100000000000001" customHeight="1" x14ac:dyDescent="0.25">
      <c r="A38" s="2">
        <v>29</v>
      </c>
      <c r="B38" s="3"/>
      <c r="C38" s="3" t="s">
        <v>87</v>
      </c>
      <c r="D38" s="2" t="s">
        <v>7</v>
      </c>
      <c r="E38" s="2" t="s">
        <v>75</v>
      </c>
      <c r="F38" s="2" t="s">
        <v>88</v>
      </c>
      <c r="G38" s="2" t="s">
        <v>89</v>
      </c>
      <c r="H38" s="4" t="s">
        <v>22</v>
      </c>
      <c r="I38" s="5">
        <f t="shared" ca="1" si="2"/>
        <v>100</v>
      </c>
      <c r="J38" s="3"/>
    </row>
    <row r="39" spans="1:10" ht="20.100000000000001" customHeight="1" x14ac:dyDescent="0.25">
      <c r="A39" s="2">
        <v>30</v>
      </c>
      <c r="B39" s="3"/>
      <c r="C39" s="3" t="s">
        <v>90</v>
      </c>
      <c r="D39" s="2" t="s">
        <v>7</v>
      </c>
      <c r="E39" s="2" t="s">
        <v>91</v>
      </c>
      <c r="F39" s="2" t="s">
        <v>88</v>
      </c>
      <c r="G39" s="2"/>
      <c r="H39" s="6" t="s">
        <v>92</v>
      </c>
      <c r="I39" s="5" t="e">
        <f t="shared" ca="1" si="2"/>
        <v>#VALUE!</v>
      </c>
      <c r="J39" s="3"/>
    </row>
    <row r="40" spans="1:10" ht="20.100000000000001" customHeight="1" x14ac:dyDescent="0.25">
      <c r="A40" s="2">
        <v>31</v>
      </c>
      <c r="B40" s="3"/>
      <c r="C40" s="3" t="s">
        <v>93</v>
      </c>
      <c r="D40" s="2" t="s">
        <v>7</v>
      </c>
      <c r="E40" s="2" t="s">
        <v>91</v>
      </c>
      <c r="F40" s="2" t="s">
        <v>88</v>
      </c>
      <c r="G40" s="2"/>
      <c r="H40" s="6" t="s">
        <v>92</v>
      </c>
      <c r="I40" s="5" t="e">
        <f t="shared" ca="1" si="2"/>
        <v>#VALUE!</v>
      </c>
      <c r="J40" s="3"/>
    </row>
    <row r="41" spans="1:10" ht="20.100000000000001" customHeight="1" x14ac:dyDescent="0.25">
      <c r="A41" s="2">
        <v>32</v>
      </c>
      <c r="B41" s="3"/>
      <c r="C41" s="3" t="s">
        <v>94</v>
      </c>
      <c r="D41" s="2" t="s">
        <v>7</v>
      </c>
      <c r="E41" s="2" t="s">
        <v>95</v>
      </c>
      <c r="F41" s="2" t="s">
        <v>96</v>
      </c>
      <c r="G41" s="2"/>
      <c r="H41" s="7" t="s">
        <v>97</v>
      </c>
      <c r="I41" s="5">
        <f t="shared" ca="1" si="2"/>
        <v>0</v>
      </c>
      <c r="J41" s="3"/>
    </row>
    <row r="42" spans="1:10" ht="20.100000000000001" customHeight="1" x14ac:dyDescent="0.25">
      <c r="A42" s="2">
        <v>33</v>
      </c>
      <c r="B42" s="3"/>
      <c r="C42" s="3" t="s">
        <v>98</v>
      </c>
      <c r="D42" s="2" t="s">
        <v>7</v>
      </c>
      <c r="E42" s="2" t="s">
        <v>99</v>
      </c>
      <c r="F42" s="2" t="s">
        <v>96</v>
      </c>
      <c r="G42" s="2"/>
      <c r="H42" s="6" t="s">
        <v>92</v>
      </c>
      <c r="I42" s="5" t="e">
        <f t="shared" ca="1" si="2"/>
        <v>#VALUE!</v>
      </c>
      <c r="J42" s="3"/>
    </row>
    <row r="43" spans="1:10" ht="20.100000000000001" customHeight="1" x14ac:dyDescent="0.25">
      <c r="A43" s="2">
        <v>34</v>
      </c>
      <c r="B43" s="3"/>
      <c r="C43" s="3" t="s">
        <v>100</v>
      </c>
      <c r="D43" s="2" t="s">
        <v>7</v>
      </c>
      <c r="E43" s="2" t="s">
        <v>69</v>
      </c>
      <c r="F43" s="2" t="s">
        <v>96</v>
      </c>
      <c r="G43" s="2"/>
      <c r="H43" s="6" t="s">
        <v>92</v>
      </c>
      <c r="I43" s="5" t="e">
        <f t="shared" ca="1" si="2"/>
        <v>#VALUE!</v>
      </c>
      <c r="J43" s="3"/>
    </row>
    <row r="44" spans="1:10" ht="20.100000000000001" customHeight="1" x14ac:dyDescent="0.25">
      <c r="A44" s="22" t="s">
        <v>101</v>
      </c>
      <c r="B44" s="23"/>
      <c r="C44" s="23"/>
      <c r="D44" s="23"/>
      <c r="E44" s="23"/>
      <c r="F44" s="23"/>
      <c r="G44" s="23"/>
      <c r="H44" s="23"/>
      <c r="I44" s="23"/>
      <c r="J44" s="23"/>
    </row>
    <row r="45" spans="1:10" ht="20.100000000000001" customHeight="1" x14ac:dyDescent="0.25">
      <c r="A45" s="2">
        <v>35</v>
      </c>
      <c r="B45" s="3"/>
      <c r="C45" s="3" t="s">
        <v>102</v>
      </c>
      <c r="D45" s="2" t="s">
        <v>7</v>
      </c>
      <c r="E45" s="2" t="s">
        <v>91</v>
      </c>
      <c r="F45" s="2" t="s">
        <v>103</v>
      </c>
      <c r="G45" s="2"/>
      <c r="H45" s="6" t="s">
        <v>92</v>
      </c>
      <c r="I45" s="5">
        <f t="shared" ref="I45:I54" ca="1" si="3">IF(H45="Hoàn thành",100,IF(H45="Chưa thực hiện",0,IF(AND(E45&lt;&gt;"",F45&lt;&gt;""),MIN(100,MAX(0,(TODAY()-E45)/(F45-E45)*100)),0)))</f>
        <v>100</v>
      </c>
      <c r="J45" s="3"/>
    </row>
    <row r="46" spans="1:10" ht="20.100000000000001" customHeight="1" x14ac:dyDescent="0.25">
      <c r="A46" s="2">
        <v>36</v>
      </c>
      <c r="B46" s="3"/>
      <c r="C46" s="3" t="s">
        <v>104</v>
      </c>
      <c r="D46" s="2" t="s">
        <v>7</v>
      </c>
      <c r="E46" s="2" t="s">
        <v>103</v>
      </c>
      <c r="F46" s="2" t="s">
        <v>105</v>
      </c>
      <c r="G46" s="2"/>
      <c r="H46" s="7" t="s">
        <v>97</v>
      </c>
      <c r="I46" s="5">
        <f t="shared" ca="1" si="3"/>
        <v>0</v>
      </c>
      <c r="J46" s="3"/>
    </row>
    <row r="47" spans="1:10" ht="20.100000000000001" customHeight="1" x14ac:dyDescent="0.25">
      <c r="A47" s="2">
        <v>37</v>
      </c>
      <c r="B47" s="3"/>
      <c r="C47" s="3" t="s">
        <v>106</v>
      </c>
      <c r="D47" s="2" t="s">
        <v>7</v>
      </c>
      <c r="E47" s="2" t="s">
        <v>99</v>
      </c>
      <c r="F47" s="2" t="s">
        <v>96</v>
      </c>
      <c r="G47" s="2"/>
      <c r="H47" s="6" t="s">
        <v>92</v>
      </c>
      <c r="I47" s="5" t="e">
        <f t="shared" ca="1" si="3"/>
        <v>#VALUE!</v>
      </c>
      <c r="J47" s="3"/>
    </row>
    <row r="48" spans="1:10" ht="20.100000000000001" customHeight="1" x14ac:dyDescent="0.25">
      <c r="A48" s="2">
        <v>38</v>
      </c>
      <c r="B48" s="3"/>
      <c r="C48" s="3" t="s">
        <v>107</v>
      </c>
      <c r="D48" s="2" t="s">
        <v>7</v>
      </c>
      <c r="E48" s="2" t="s">
        <v>88</v>
      </c>
      <c r="F48" s="2" t="s">
        <v>96</v>
      </c>
      <c r="G48" s="2"/>
      <c r="H48" s="7" t="s">
        <v>97</v>
      </c>
      <c r="I48" s="5">
        <f t="shared" ca="1" si="3"/>
        <v>0</v>
      </c>
      <c r="J48" s="3"/>
    </row>
    <row r="49" spans="1:10" ht="20.100000000000001" customHeight="1" x14ac:dyDescent="0.25">
      <c r="A49" s="2">
        <v>39</v>
      </c>
      <c r="B49" s="3"/>
      <c r="C49" s="3" t="s">
        <v>108</v>
      </c>
      <c r="D49" s="2" t="s">
        <v>7</v>
      </c>
      <c r="E49" s="2" t="s">
        <v>96</v>
      </c>
      <c r="F49" s="2" t="s">
        <v>109</v>
      </c>
      <c r="G49" s="2"/>
      <c r="H49" s="7" t="s">
        <v>97</v>
      </c>
      <c r="I49" s="5">
        <f t="shared" ca="1" si="3"/>
        <v>0</v>
      </c>
      <c r="J49" s="3"/>
    </row>
    <row r="50" spans="1:10" ht="20.100000000000001" customHeight="1" x14ac:dyDescent="0.25">
      <c r="A50" s="2">
        <v>40</v>
      </c>
      <c r="B50" s="3"/>
      <c r="C50" s="3" t="s">
        <v>110</v>
      </c>
      <c r="D50" s="2" t="s">
        <v>7</v>
      </c>
      <c r="E50" s="2" t="s">
        <v>96</v>
      </c>
      <c r="F50" s="2" t="s">
        <v>111</v>
      </c>
      <c r="G50" s="2"/>
      <c r="H50" s="7" t="s">
        <v>97</v>
      </c>
      <c r="I50" s="5">
        <f t="shared" ca="1" si="3"/>
        <v>0</v>
      </c>
      <c r="J50" s="3"/>
    </row>
    <row r="51" spans="1:10" ht="20.100000000000001" customHeight="1" x14ac:dyDescent="0.25">
      <c r="A51" s="2">
        <v>41</v>
      </c>
      <c r="B51" s="3"/>
      <c r="C51" s="3" t="s">
        <v>112</v>
      </c>
      <c r="D51" s="2" t="s">
        <v>7</v>
      </c>
      <c r="E51" s="2" t="s">
        <v>96</v>
      </c>
      <c r="F51" s="2" t="s">
        <v>111</v>
      </c>
      <c r="G51" s="2"/>
      <c r="H51" s="7" t="s">
        <v>97</v>
      </c>
      <c r="I51" s="5">
        <f t="shared" ca="1" si="3"/>
        <v>0</v>
      </c>
      <c r="J51" s="3"/>
    </row>
    <row r="52" spans="1:10" ht="20.100000000000001" customHeight="1" x14ac:dyDescent="0.25">
      <c r="A52" s="2">
        <v>42</v>
      </c>
      <c r="B52" s="3"/>
      <c r="C52" s="3" t="s">
        <v>113</v>
      </c>
      <c r="D52" s="2" t="s">
        <v>7</v>
      </c>
      <c r="E52" s="2" t="s">
        <v>111</v>
      </c>
      <c r="F52" s="2" t="s">
        <v>114</v>
      </c>
      <c r="G52" s="2"/>
      <c r="H52" s="7" t="s">
        <v>97</v>
      </c>
      <c r="I52" s="5">
        <f t="shared" ca="1" si="3"/>
        <v>0</v>
      </c>
      <c r="J52" s="3"/>
    </row>
    <row r="53" spans="1:10" ht="20.100000000000001" customHeight="1" x14ac:dyDescent="0.25">
      <c r="A53" s="2">
        <v>43</v>
      </c>
      <c r="B53" s="3"/>
      <c r="C53" s="3" t="s">
        <v>115</v>
      </c>
      <c r="D53" s="2" t="s">
        <v>7</v>
      </c>
      <c r="E53" s="2" t="s">
        <v>88</v>
      </c>
      <c r="F53" s="2" t="s">
        <v>116</v>
      </c>
      <c r="G53" s="2"/>
      <c r="H53" s="7" t="s">
        <v>97</v>
      </c>
      <c r="I53" s="5">
        <f t="shared" ca="1" si="3"/>
        <v>0</v>
      </c>
      <c r="J53" s="3"/>
    </row>
    <row r="54" spans="1:10" ht="20.100000000000001" customHeight="1" x14ac:dyDescent="0.25">
      <c r="A54" s="2">
        <v>44</v>
      </c>
      <c r="B54" s="3"/>
      <c r="C54" s="3" t="s">
        <v>117</v>
      </c>
      <c r="D54" s="2" t="s">
        <v>7</v>
      </c>
      <c r="E54" s="2" t="s">
        <v>114</v>
      </c>
      <c r="F54" s="2" t="s">
        <v>116</v>
      </c>
      <c r="G54" s="2"/>
      <c r="H54" s="7" t="s">
        <v>97</v>
      </c>
      <c r="I54" s="5">
        <f t="shared" ca="1" si="3"/>
        <v>0</v>
      </c>
      <c r="J54" s="3"/>
    </row>
    <row r="55" spans="1:10" ht="20.100000000000001" customHeight="1" x14ac:dyDescent="0.25">
      <c r="A55" s="22" t="s">
        <v>118</v>
      </c>
      <c r="B55" s="23"/>
      <c r="C55" s="23"/>
      <c r="D55" s="23"/>
      <c r="E55" s="23"/>
      <c r="F55" s="23"/>
      <c r="G55" s="23"/>
      <c r="H55" s="23"/>
      <c r="I55" s="23"/>
      <c r="J55" s="23"/>
    </row>
    <row r="56" spans="1:10" ht="20.100000000000001" customHeight="1" x14ac:dyDescent="0.25">
      <c r="A56" s="2">
        <v>45</v>
      </c>
      <c r="B56" s="3"/>
      <c r="C56" s="3" t="s">
        <v>119</v>
      </c>
      <c r="D56" s="2" t="s">
        <v>7</v>
      </c>
      <c r="E56" s="2" t="s">
        <v>96</v>
      </c>
      <c r="F56" s="2" t="s">
        <v>111</v>
      </c>
      <c r="G56" s="2"/>
      <c r="H56" s="7" t="s">
        <v>97</v>
      </c>
      <c r="I56" s="5">
        <f t="shared" ref="I56:I64" ca="1" si="4">IF(H56="Hoàn thành",100,IF(H56="Chưa thực hiện",0,IF(AND(E56&lt;&gt;"",F56&lt;&gt;""),MIN(100,MAX(0,(TODAY()-E56)/(F56-E56)*100)),0)))</f>
        <v>0</v>
      </c>
      <c r="J56" s="3"/>
    </row>
    <row r="57" spans="1:10" ht="20.100000000000001" customHeight="1" x14ac:dyDescent="0.25">
      <c r="A57" s="2">
        <v>46</v>
      </c>
      <c r="B57" s="3"/>
      <c r="C57" s="3" t="s">
        <v>120</v>
      </c>
      <c r="D57" s="2" t="s">
        <v>7</v>
      </c>
      <c r="E57" s="2" t="s">
        <v>111</v>
      </c>
      <c r="F57" s="2" t="s">
        <v>121</v>
      </c>
      <c r="G57" s="2"/>
      <c r="H57" s="7" t="s">
        <v>97</v>
      </c>
      <c r="I57" s="5">
        <f t="shared" ca="1" si="4"/>
        <v>0</v>
      </c>
      <c r="J57" s="3"/>
    </row>
    <row r="58" spans="1:10" ht="20.100000000000001" customHeight="1" x14ac:dyDescent="0.25">
      <c r="A58" s="2">
        <v>47</v>
      </c>
      <c r="B58" s="3"/>
      <c r="C58" s="3" t="s">
        <v>122</v>
      </c>
      <c r="D58" s="2" t="s">
        <v>7</v>
      </c>
      <c r="E58" s="2" t="s">
        <v>121</v>
      </c>
      <c r="F58" s="2" t="s">
        <v>121</v>
      </c>
      <c r="G58" s="2"/>
      <c r="H58" s="7" t="s">
        <v>97</v>
      </c>
      <c r="I58" s="5">
        <f t="shared" ca="1" si="4"/>
        <v>0</v>
      </c>
      <c r="J58" s="3"/>
    </row>
    <row r="59" spans="1:10" ht="20.100000000000001" customHeight="1" x14ac:dyDescent="0.25">
      <c r="A59" s="2">
        <v>48</v>
      </c>
      <c r="B59" s="3"/>
      <c r="C59" s="3" t="s">
        <v>123</v>
      </c>
      <c r="D59" s="2" t="s">
        <v>7</v>
      </c>
      <c r="E59" s="2" t="s">
        <v>121</v>
      </c>
      <c r="F59" s="2" t="s">
        <v>109</v>
      </c>
      <c r="G59" s="2"/>
      <c r="H59" s="7" t="s">
        <v>97</v>
      </c>
      <c r="I59" s="5">
        <f t="shared" ca="1" si="4"/>
        <v>0</v>
      </c>
      <c r="J59" s="3"/>
    </row>
    <row r="60" spans="1:10" ht="20.100000000000001" customHeight="1" x14ac:dyDescent="0.25">
      <c r="A60" s="2">
        <v>49</v>
      </c>
      <c r="B60" s="3"/>
      <c r="C60" s="3" t="s">
        <v>124</v>
      </c>
      <c r="D60" s="2" t="s">
        <v>7</v>
      </c>
      <c r="E60" s="2" t="s">
        <v>109</v>
      </c>
      <c r="F60" s="2" t="s">
        <v>109</v>
      </c>
      <c r="G60" s="2"/>
      <c r="H60" s="7" t="s">
        <v>97</v>
      </c>
      <c r="I60" s="5">
        <f t="shared" ca="1" si="4"/>
        <v>0</v>
      </c>
      <c r="J60" s="3"/>
    </row>
    <row r="61" spans="1:10" ht="20.100000000000001" customHeight="1" x14ac:dyDescent="0.25">
      <c r="A61" s="2">
        <v>50</v>
      </c>
      <c r="B61" s="3"/>
      <c r="C61" s="3" t="s">
        <v>125</v>
      </c>
      <c r="D61" s="2" t="s">
        <v>7</v>
      </c>
      <c r="E61" s="2" t="s">
        <v>109</v>
      </c>
      <c r="F61" s="2" t="s">
        <v>109</v>
      </c>
      <c r="G61" s="2"/>
      <c r="H61" s="7" t="s">
        <v>97</v>
      </c>
      <c r="I61" s="5">
        <f t="shared" ca="1" si="4"/>
        <v>0</v>
      </c>
      <c r="J61" s="3"/>
    </row>
    <row r="62" spans="1:10" ht="20.100000000000001" customHeight="1" x14ac:dyDescent="0.25">
      <c r="A62" s="2">
        <v>51</v>
      </c>
      <c r="B62" s="3"/>
      <c r="C62" s="3" t="s">
        <v>126</v>
      </c>
      <c r="D62" s="2" t="s">
        <v>7</v>
      </c>
      <c r="E62" s="2" t="s">
        <v>127</v>
      </c>
      <c r="F62" s="2" t="s">
        <v>114</v>
      </c>
      <c r="G62" s="2"/>
      <c r="H62" s="7" t="s">
        <v>97</v>
      </c>
      <c r="I62" s="5">
        <f t="shared" ca="1" si="4"/>
        <v>0</v>
      </c>
      <c r="J62" s="3"/>
    </row>
    <row r="63" spans="1:10" ht="20.100000000000001" customHeight="1" x14ac:dyDescent="0.25">
      <c r="A63" s="2">
        <v>52</v>
      </c>
      <c r="B63" s="3"/>
      <c r="C63" s="3" t="s">
        <v>128</v>
      </c>
      <c r="D63" s="2" t="s">
        <v>7</v>
      </c>
      <c r="E63" s="2" t="s">
        <v>96</v>
      </c>
      <c r="F63" s="2" t="s">
        <v>114</v>
      </c>
      <c r="G63" s="2"/>
      <c r="H63" s="7" t="s">
        <v>97</v>
      </c>
      <c r="I63" s="5">
        <f t="shared" ca="1" si="4"/>
        <v>0</v>
      </c>
      <c r="J63" s="3"/>
    </row>
    <row r="64" spans="1:10" ht="20.100000000000001" customHeight="1" x14ac:dyDescent="0.25">
      <c r="A64" s="2">
        <v>53</v>
      </c>
      <c r="B64" s="3"/>
      <c r="C64" s="3" t="s">
        <v>129</v>
      </c>
      <c r="D64" s="2" t="s">
        <v>7</v>
      </c>
      <c r="E64" s="2" t="s">
        <v>130</v>
      </c>
      <c r="F64" s="2" t="s">
        <v>130</v>
      </c>
      <c r="G64" s="2"/>
      <c r="H64" s="7" t="s">
        <v>97</v>
      </c>
      <c r="I64" s="5">
        <f t="shared" ca="1" si="4"/>
        <v>0</v>
      </c>
      <c r="J64" s="3"/>
    </row>
    <row r="65" spans="1:10" ht="20.100000000000001" customHeight="1" x14ac:dyDescent="0.25">
      <c r="A65" s="22" t="s">
        <v>131</v>
      </c>
      <c r="B65" s="23"/>
      <c r="C65" s="23"/>
      <c r="D65" s="23"/>
      <c r="E65" s="23"/>
      <c r="F65" s="23"/>
      <c r="G65" s="23"/>
      <c r="H65" s="23"/>
      <c r="I65" s="23"/>
      <c r="J65" s="23"/>
    </row>
    <row r="66" spans="1:10" ht="20.100000000000001" customHeight="1" x14ac:dyDescent="0.25">
      <c r="A66" s="2">
        <v>54</v>
      </c>
      <c r="B66" s="3"/>
      <c r="C66" s="3" t="s">
        <v>132</v>
      </c>
      <c r="D66" s="2" t="s">
        <v>7</v>
      </c>
      <c r="E66" s="2" t="s">
        <v>130</v>
      </c>
      <c r="F66" s="2" t="s">
        <v>9</v>
      </c>
      <c r="G66" s="2"/>
      <c r="H66" s="7" t="s">
        <v>97</v>
      </c>
      <c r="I66" s="5">
        <f t="shared" ref="I66:I71" ca="1" si="5">IF(H66="Hoàn thành",100,IF(H66="Chưa thực hiện",0,IF(AND(E66&lt;&gt;"",F66&lt;&gt;""),MIN(100,MAX(0,(TODAY()-E66)/(F66-E66)*100)),0)))</f>
        <v>0</v>
      </c>
      <c r="J66" s="3"/>
    </row>
    <row r="67" spans="1:10" ht="20.100000000000001" customHeight="1" x14ac:dyDescent="0.25">
      <c r="A67" s="2">
        <v>55</v>
      </c>
      <c r="B67" s="3"/>
      <c r="C67" s="3" t="s">
        <v>133</v>
      </c>
      <c r="D67" s="2" t="s">
        <v>7</v>
      </c>
      <c r="E67" s="2" t="s">
        <v>130</v>
      </c>
      <c r="F67" s="2" t="s">
        <v>9</v>
      </c>
      <c r="G67" s="2"/>
      <c r="H67" s="7" t="s">
        <v>97</v>
      </c>
      <c r="I67" s="5">
        <f t="shared" ca="1" si="5"/>
        <v>0</v>
      </c>
      <c r="J67" s="3"/>
    </row>
    <row r="68" spans="1:10" ht="20.100000000000001" customHeight="1" x14ac:dyDescent="0.25">
      <c r="A68" s="2">
        <v>57</v>
      </c>
      <c r="B68" s="3"/>
      <c r="C68" s="3" t="s">
        <v>134</v>
      </c>
      <c r="D68" s="2" t="s">
        <v>7</v>
      </c>
      <c r="E68" s="2" t="s">
        <v>130</v>
      </c>
      <c r="F68" s="2" t="s">
        <v>135</v>
      </c>
      <c r="G68" s="2"/>
      <c r="H68" s="7" t="s">
        <v>97</v>
      </c>
      <c r="I68" s="5">
        <f t="shared" ca="1" si="5"/>
        <v>0</v>
      </c>
      <c r="J68" s="3"/>
    </row>
    <row r="69" spans="1:10" ht="20.100000000000001" customHeight="1" x14ac:dyDescent="0.25">
      <c r="A69" s="2">
        <v>58</v>
      </c>
      <c r="B69" s="3"/>
      <c r="C69" s="3" t="s">
        <v>136</v>
      </c>
      <c r="D69" s="2" t="s">
        <v>7</v>
      </c>
      <c r="E69" s="2" t="s">
        <v>130</v>
      </c>
      <c r="F69" s="2" t="s">
        <v>9</v>
      </c>
      <c r="G69" s="2"/>
      <c r="H69" s="7" t="s">
        <v>97</v>
      </c>
      <c r="I69" s="5">
        <f t="shared" ca="1" si="5"/>
        <v>0</v>
      </c>
      <c r="J69" s="3"/>
    </row>
    <row r="70" spans="1:10" ht="20.100000000000001" customHeight="1" x14ac:dyDescent="0.25">
      <c r="A70" s="2">
        <v>59</v>
      </c>
      <c r="B70" s="3"/>
      <c r="C70" s="3" t="s">
        <v>137</v>
      </c>
      <c r="D70" s="2" t="s">
        <v>7</v>
      </c>
      <c r="E70" s="2" t="s">
        <v>138</v>
      </c>
      <c r="F70" s="2" t="s">
        <v>139</v>
      </c>
      <c r="G70" s="2"/>
      <c r="H70" s="7" t="s">
        <v>97</v>
      </c>
      <c r="I70" s="5">
        <f t="shared" ca="1" si="5"/>
        <v>0</v>
      </c>
      <c r="J70" s="3"/>
    </row>
    <row r="71" spans="1:10" ht="20.100000000000001" customHeight="1" x14ac:dyDescent="0.25">
      <c r="A71" s="2">
        <v>60</v>
      </c>
      <c r="B71" s="3"/>
      <c r="C71" s="3" t="s">
        <v>140</v>
      </c>
      <c r="D71" s="2" t="s">
        <v>7</v>
      </c>
      <c r="E71" s="2" t="s">
        <v>130</v>
      </c>
      <c r="F71" s="2" t="s">
        <v>9</v>
      </c>
      <c r="G71" s="2"/>
      <c r="H71" s="7" t="s">
        <v>97</v>
      </c>
      <c r="I71" s="5">
        <f t="shared" ca="1" si="5"/>
        <v>0</v>
      </c>
      <c r="J71" s="3"/>
    </row>
    <row r="72" spans="1:10" ht="20.100000000000001" customHeight="1" x14ac:dyDescent="0.25">
      <c r="A72" s="22" t="s">
        <v>141</v>
      </c>
      <c r="B72" s="23"/>
      <c r="C72" s="23"/>
      <c r="D72" s="23"/>
      <c r="E72" s="23"/>
      <c r="F72" s="23"/>
      <c r="G72" s="23"/>
      <c r="H72" s="23"/>
      <c r="I72" s="23"/>
      <c r="J72" s="23"/>
    </row>
    <row r="73" spans="1:10" ht="20.100000000000001" customHeight="1" x14ac:dyDescent="0.25">
      <c r="A73" s="2">
        <v>61</v>
      </c>
      <c r="B73" s="3"/>
      <c r="C73" s="3" t="s">
        <v>142</v>
      </c>
      <c r="D73" s="2" t="s">
        <v>7</v>
      </c>
      <c r="E73" s="2" t="s">
        <v>143</v>
      </c>
      <c r="F73" s="2" t="s">
        <v>144</v>
      </c>
      <c r="G73" s="2"/>
      <c r="H73" s="7" t="s">
        <v>97</v>
      </c>
      <c r="I73" s="5">
        <f ca="1">IF(H73="Hoàn thành",100,IF(H73="Chưa thực hiện",0,IF(AND(E73&lt;&gt;"",F73&lt;&gt;""),MIN(100,MAX(0,(TODAY()-E73)/(F73-E73)*100)),0)))</f>
        <v>0</v>
      </c>
      <c r="J73" s="3"/>
    </row>
    <row r="74" spans="1:10" ht="20.100000000000001" customHeight="1" x14ac:dyDescent="0.25">
      <c r="A74" s="2">
        <v>62</v>
      </c>
      <c r="B74" s="3"/>
      <c r="C74" s="3" t="s">
        <v>147</v>
      </c>
      <c r="D74" s="2" t="s">
        <v>7</v>
      </c>
      <c r="E74" s="2" t="s">
        <v>146</v>
      </c>
      <c r="F74" s="2" t="s">
        <v>9</v>
      </c>
      <c r="G74" s="2"/>
      <c r="H74" s="7" t="s">
        <v>97</v>
      </c>
      <c r="I74" s="5">
        <f ca="1">IF(H74="Hoàn thành",100,IF(H74="Chưa thực hiện",0,IF(AND(E74&lt;&gt;"",F74&lt;&gt;""),MIN(100,MAX(0,(TODAY()-E74)/(F74-E74)*100)),0)))</f>
        <v>0</v>
      </c>
      <c r="J74" s="3"/>
    </row>
    <row r="75" spans="1:10" ht="20.100000000000001" customHeight="1" x14ac:dyDescent="0.25">
      <c r="A75" s="2">
        <v>63</v>
      </c>
      <c r="B75" s="3"/>
      <c r="C75" s="3" t="s">
        <v>148</v>
      </c>
      <c r="D75" s="2" t="s">
        <v>7</v>
      </c>
      <c r="E75" s="2" t="s">
        <v>9</v>
      </c>
      <c r="F75" s="2" t="s">
        <v>9</v>
      </c>
      <c r="G75" s="2"/>
      <c r="H75" s="7" t="s">
        <v>97</v>
      </c>
      <c r="I75" s="5">
        <f ca="1">IF(H75="Hoàn thành",100,IF(H75="Chưa thực hiện",0,IF(AND(E75&lt;&gt;"",F75&lt;&gt;""),MIN(100,MAX(0,(TODAY()-E75)/(F75-E75)*100)),0)))</f>
        <v>0</v>
      </c>
      <c r="J75" s="3"/>
    </row>
  </sheetData>
  <mergeCells count="11">
    <mergeCell ref="A72:J72"/>
    <mergeCell ref="A44:J44"/>
    <mergeCell ref="A10:J10"/>
    <mergeCell ref="A65:J65"/>
    <mergeCell ref="A1:J1"/>
    <mergeCell ref="A55:J55"/>
    <mergeCell ref="A2:B2"/>
    <mergeCell ref="A3:B3"/>
    <mergeCell ref="A6:J6"/>
    <mergeCell ref="A17:J17"/>
    <mergeCell ref="A25:J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1"/>
  <sheetViews>
    <sheetView topLeftCell="A55" workbookViewId="0">
      <selection activeCell="F79" sqref="F79"/>
    </sheetView>
  </sheetViews>
  <sheetFormatPr defaultRowHeight="15" x14ac:dyDescent="0.25"/>
  <cols>
    <col min="1" max="1" width="6" customWidth="1"/>
    <col min="2" max="2" width="35" customWidth="1"/>
    <col min="3" max="3" width="15" customWidth="1"/>
    <col min="4" max="5" width="12" customWidth="1"/>
    <col min="6" max="11" width="10" customWidth="1"/>
  </cols>
  <sheetData>
    <row r="1" spans="1:16" x14ac:dyDescent="0.25">
      <c r="A1" s="24" t="s">
        <v>149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3" spans="1:16" ht="31.5" x14ac:dyDescent="0.25">
      <c r="A3" s="1" t="s">
        <v>10</v>
      </c>
      <c r="B3" s="1" t="s">
        <v>150</v>
      </c>
      <c r="C3" s="1" t="s">
        <v>13</v>
      </c>
      <c r="D3" s="1" t="s">
        <v>151</v>
      </c>
      <c r="E3" s="1" t="s">
        <v>152</v>
      </c>
      <c r="F3" s="1" t="s">
        <v>153</v>
      </c>
      <c r="G3" s="1" t="s">
        <v>154</v>
      </c>
      <c r="H3" s="1" t="s">
        <v>155</v>
      </c>
      <c r="I3" s="1" t="s">
        <v>156</v>
      </c>
      <c r="J3" s="1" t="s">
        <v>157</v>
      </c>
      <c r="K3" s="1" t="s">
        <v>158</v>
      </c>
    </row>
    <row r="4" spans="1:16" ht="15.75" x14ac:dyDescent="0.25">
      <c r="A4" s="2">
        <v>1</v>
      </c>
      <c r="B4" s="3" t="s">
        <v>21</v>
      </c>
      <c r="C4" s="3" t="s">
        <v>7</v>
      </c>
      <c r="D4" s="2" t="s">
        <v>4</v>
      </c>
      <c r="E4" s="2" t="s">
        <v>4</v>
      </c>
      <c r="F4" s="5">
        <v>100</v>
      </c>
      <c r="G4" s="8" t="s">
        <v>159</v>
      </c>
    </row>
    <row r="5" spans="1:16" ht="15.75" x14ac:dyDescent="0.25">
      <c r="A5" s="2">
        <v>2</v>
      </c>
      <c r="B5" s="3" t="s">
        <v>23</v>
      </c>
      <c r="C5" s="3" t="s">
        <v>7</v>
      </c>
      <c r="D5" s="2" t="s">
        <v>4</v>
      </c>
      <c r="E5" s="2" t="s">
        <v>24</v>
      </c>
      <c r="F5" s="5">
        <v>100</v>
      </c>
      <c r="G5" s="8" t="s">
        <v>159</v>
      </c>
    </row>
    <row r="6" spans="1:16" ht="15.75" x14ac:dyDescent="0.25">
      <c r="A6" s="2">
        <v>3</v>
      </c>
      <c r="B6" s="3" t="s">
        <v>25</v>
      </c>
      <c r="C6" s="3" t="s">
        <v>7</v>
      </c>
      <c r="D6" s="2" t="s">
        <v>4</v>
      </c>
      <c r="E6" s="2" t="s">
        <v>24</v>
      </c>
      <c r="F6" s="5">
        <v>100</v>
      </c>
      <c r="G6" s="8" t="s">
        <v>159</v>
      </c>
    </row>
    <row r="7" spans="1:16" ht="15.75" x14ac:dyDescent="0.25">
      <c r="A7" s="2">
        <v>4</v>
      </c>
      <c r="B7" s="3" t="s">
        <v>26</v>
      </c>
      <c r="C7" s="3" t="s">
        <v>7</v>
      </c>
      <c r="D7" s="2" t="s">
        <v>24</v>
      </c>
      <c r="E7" s="2" t="s">
        <v>27</v>
      </c>
      <c r="F7" s="5">
        <v>100</v>
      </c>
      <c r="G7" s="8" t="s">
        <v>159</v>
      </c>
    </row>
    <row r="8" spans="1:16" ht="15.75" x14ac:dyDescent="0.25">
      <c r="A8" s="2">
        <v>5</v>
      </c>
      <c r="B8" s="3" t="s">
        <v>29</v>
      </c>
      <c r="C8" s="3" t="s">
        <v>7</v>
      </c>
      <c r="D8" s="2" t="s">
        <v>27</v>
      </c>
      <c r="E8" s="2" t="s">
        <v>30</v>
      </c>
      <c r="F8" s="5">
        <v>100</v>
      </c>
      <c r="G8" s="8" t="s">
        <v>159</v>
      </c>
      <c r="H8" s="8" t="s">
        <v>159</v>
      </c>
    </row>
    <row r="9" spans="1:16" ht="15.75" x14ac:dyDescent="0.25">
      <c r="A9" s="2">
        <v>6</v>
      </c>
      <c r="B9" s="3" t="s">
        <v>31</v>
      </c>
      <c r="C9" s="3" t="s">
        <v>7</v>
      </c>
      <c r="D9" s="2" t="s">
        <v>27</v>
      </c>
      <c r="E9" s="2" t="s">
        <v>30</v>
      </c>
      <c r="F9" s="5">
        <v>100</v>
      </c>
      <c r="G9" s="8" t="s">
        <v>159</v>
      </c>
      <c r="H9" s="8" t="s">
        <v>159</v>
      </c>
    </row>
    <row r="10" spans="1:16" ht="15.75" x14ac:dyDescent="0.25">
      <c r="A10" s="2">
        <v>7</v>
      </c>
      <c r="B10" s="3" t="s">
        <v>32</v>
      </c>
      <c r="C10" s="3" t="s">
        <v>7</v>
      </c>
      <c r="D10" s="2" t="s">
        <v>33</v>
      </c>
      <c r="E10" s="2" t="s">
        <v>34</v>
      </c>
      <c r="F10" s="5">
        <v>100</v>
      </c>
      <c r="H10" s="8" t="s">
        <v>159</v>
      </c>
    </row>
    <row r="11" spans="1:16" ht="15.75" x14ac:dyDescent="0.25">
      <c r="A11" s="2">
        <v>8</v>
      </c>
      <c r="B11" s="3" t="s">
        <v>35</v>
      </c>
      <c r="C11" s="3" t="s">
        <v>7</v>
      </c>
      <c r="D11" s="2" t="s">
        <v>33</v>
      </c>
      <c r="E11" s="2" t="s">
        <v>34</v>
      </c>
      <c r="F11" s="5">
        <v>100</v>
      </c>
      <c r="H11" s="8" t="s">
        <v>159</v>
      </c>
    </row>
    <row r="12" spans="1:16" ht="15.75" x14ac:dyDescent="0.25">
      <c r="A12" s="2">
        <v>9</v>
      </c>
      <c r="B12" s="3" t="s">
        <v>36</v>
      </c>
      <c r="C12" s="3" t="s">
        <v>7</v>
      </c>
      <c r="D12" s="2" t="s">
        <v>37</v>
      </c>
      <c r="E12" s="2" t="s">
        <v>38</v>
      </c>
      <c r="F12" s="5">
        <v>100</v>
      </c>
      <c r="H12" s="8" t="s">
        <v>159</v>
      </c>
    </row>
    <row r="13" spans="1:16" ht="15.75" x14ac:dyDescent="0.25">
      <c r="A13" s="2">
        <v>10</v>
      </c>
      <c r="B13" s="3" t="s">
        <v>39</v>
      </c>
      <c r="C13" s="3" t="s">
        <v>7</v>
      </c>
      <c r="D13" s="2" t="s">
        <v>38</v>
      </c>
      <c r="E13" s="2" t="s">
        <v>38</v>
      </c>
      <c r="F13" s="5">
        <v>100</v>
      </c>
      <c r="H13" s="8" t="s">
        <v>159</v>
      </c>
    </row>
    <row r="14" spans="1:16" ht="15.75" x14ac:dyDescent="0.25">
      <c r="A14" s="2">
        <v>11</v>
      </c>
      <c r="B14" s="3" t="s">
        <v>41</v>
      </c>
      <c r="C14" s="3" t="s">
        <v>7</v>
      </c>
      <c r="D14" s="2" t="s">
        <v>42</v>
      </c>
      <c r="E14" s="2" t="s">
        <v>43</v>
      </c>
      <c r="F14" s="5">
        <v>100</v>
      </c>
      <c r="H14" s="8" t="s">
        <v>159</v>
      </c>
    </row>
    <row r="15" spans="1:16" ht="15.75" x14ac:dyDescent="0.25">
      <c r="A15" s="2">
        <v>12</v>
      </c>
      <c r="B15" s="3" t="s">
        <v>44</v>
      </c>
      <c r="C15" s="3" t="s">
        <v>7</v>
      </c>
      <c r="D15" s="2" t="s">
        <v>42</v>
      </c>
      <c r="E15" s="2" t="s">
        <v>45</v>
      </c>
      <c r="F15" s="5">
        <v>100</v>
      </c>
      <c r="H15" s="8" t="s">
        <v>159</v>
      </c>
    </row>
    <row r="16" spans="1:16" ht="15.75" x14ac:dyDescent="0.25">
      <c r="A16" s="2">
        <v>13</v>
      </c>
      <c r="B16" s="3" t="s">
        <v>46</v>
      </c>
      <c r="C16" s="3" t="s">
        <v>7</v>
      </c>
      <c r="D16" s="2" t="s">
        <v>42</v>
      </c>
      <c r="E16" s="2" t="s">
        <v>43</v>
      </c>
      <c r="F16" s="5">
        <v>100</v>
      </c>
      <c r="H16" s="8" t="s">
        <v>159</v>
      </c>
    </row>
    <row r="17" spans="1:11" ht="15.75" x14ac:dyDescent="0.25">
      <c r="A17" s="2">
        <v>14</v>
      </c>
      <c r="B17" s="3" t="s">
        <v>47</v>
      </c>
      <c r="C17" s="3" t="s">
        <v>7</v>
      </c>
      <c r="D17" s="2" t="s">
        <v>42</v>
      </c>
      <c r="E17" s="2" t="s">
        <v>48</v>
      </c>
      <c r="F17" s="5">
        <v>100</v>
      </c>
      <c r="H17" s="8" t="s">
        <v>159</v>
      </c>
    </row>
    <row r="18" spans="1:11" ht="15.75" x14ac:dyDescent="0.25">
      <c r="A18" s="2">
        <v>15</v>
      </c>
      <c r="B18" s="3" t="s">
        <v>49</v>
      </c>
      <c r="C18" s="3" t="s">
        <v>7</v>
      </c>
      <c r="D18" s="2" t="s">
        <v>42</v>
      </c>
      <c r="E18" s="2" t="s">
        <v>50</v>
      </c>
      <c r="F18" s="5">
        <v>100</v>
      </c>
      <c r="H18" s="8" t="s">
        <v>159</v>
      </c>
    </row>
    <row r="19" spans="1:11" ht="15.75" x14ac:dyDescent="0.25">
      <c r="A19" s="2">
        <v>16</v>
      </c>
      <c r="B19" s="3" t="s">
        <v>51</v>
      </c>
      <c r="C19" s="3" t="s">
        <v>7</v>
      </c>
      <c r="D19" s="2" t="s">
        <v>43</v>
      </c>
      <c r="E19" s="2" t="s">
        <v>52</v>
      </c>
      <c r="F19" s="5">
        <v>100</v>
      </c>
      <c r="H19" s="8" t="s">
        <v>159</v>
      </c>
      <c r="I19" s="8" t="s">
        <v>159</v>
      </c>
    </row>
    <row r="20" spans="1:11" ht="15.75" x14ac:dyDescent="0.25">
      <c r="A20" s="2">
        <v>17</v>
      </c>
      <c r="B20" s="3" t="s">
        <v>53</v>
      </c>
      <c r="C20" s="3" t="s">
        <v>7</v>
      </c>
      <c r="D20" s="2" t="s">
        <v>50</v>
      </c>
      <c r="E20" s="2" t="s">
        <v>54</v>
      </c>
      <c r="F20" s="5">
        <v>100</v>
      </c>
      <c r="H20" s="8" t="s">
        <v>159</v>
      </c>
    </row>
    <row r="21" spans="1:11" ht="15.75" x14ac:dyDescent="0.25">
      <c r="A21" s="2">
        <v>18</v>
      </c>
      <c r="B21" s="3" t="s">
        <v>56</v>
      </c>
      <c r="C21" s="3" t="s">
        <v>7</v>
      </c>
      <c r="D21" s="2" t="s">
        <v>54</v>
      </c>
      <c r="E21" s="2" t="s">
        <v>57</v>
      </c>
      <c r="F21" s="5">
        <v>100</v>
      </c>
      <c r="H21" s="8" t="s">
        <v>159</v>
      </c>
    </row>
    <row r="22" spans="1:11" ht="15.75" x14ac:dyDescent="0.25">
      <c r="A22" s="2">
        <v>19</v>
      </c>
      <c r="B22" s="3" t="s">
        <v>58</v>
      </c>
      <c r="C22" s="3" t="s">
        <v>7</v>
      </c>
      <c r="D22" s="2" t="s">
        <v>57</v>
      </c>
      <c r="E22" s="2" t="s">
        <v>59</v>
      </c>
      <c r="F22" s="5">
        <v>100</v>
      </c>
      <c r="H22" s="8" t="s">
        <v>159</v>
      </c>
      <c r="I22" s="8" t="s">
        <v>159</v>
      </c>
    </row>
    <row r="23" spans="1:11" ht="15.75" x14ac:dyDescent="0.25">
      <c r="A23" s="2">
        <v>20</v>
      </c>
      <c r="B23" s="3" t="s">
        <v>60</v>
      </c>
      <c r="C23" s="3" t="s">
        <v>7</v>
      </c>
      <c r="D23" s="2" t="s">
        <v>59</v>
      </c>
      <c r="E23" s="2" t="s">
        <v>61</v>
      </c>
      <c r="F23" s="5">
        <v>100</v>
      </c>
      <c r="I23" s="8" t="s">
        <v>159</v>
      </c>
    </row>
    <row r="24" spans="1:11" ht="15.75" x14ac:dyDescent="0.25">
      <c r="A24" s="2">
        <v>21</v>
      </c>
      <c r="B24" s="3" t="s">
        <v>62</v>
      </c>
      <c r="C24" s="3" t="s">
        <v>7</v>
      </c>
      <c r="D24" s="2" t="s">
        <v>61</v>
      </c>
      <c r="E24" s="2" t="s">
        <v>63</v>
      </c>
      <c r="F24" s="5">
        <v>100</v>
      </c>
      <c r="I24" s="8" t="s">
        <v>159</v>
      </c>
    </row>
    <row r="25" spans="1:11" ht="15.75" x14ac:dyDescent="0.25">
      <c r="A25" s="2">
        <v>22</v>
      </c>
      <c r="B25" s="3" t="s">
        <v>64</v>
      </c>
      <c r="C25" s="3" t="s">
        <v>7</v>
      </c>
      <c r="D25" s="2" t="s">
        <v>52</v>
      </c>
      <c r="E25" s="2" t="s">
        <v>65</v>
      </c>
      <c r="F25" s="5">
        <v>100</v>
      </c>
      <c r="I25" s="8" t="s">
        <v>159</v>
      </c>
    </row>
    <row r="26" spans="1:11" ht="15.75" x14ac:dyDescent="0.25">
      <c r="A26" s="2">
        <v>23</v>
      </c>
      <c r="B26" s="3" t="s">
        <v>67</v>
      </c>
      <c r="C26" s="3" t="s">
        <v>7</v>
      </c>
      <c r="D26" s="2" t="s">
        <v>65</v>
      </c>
      <c r="E26" s="2" t="s">
        <v>68</v>
      </c>
      <c r="F26" s="5">
        <v>100</v>
      </c>
      <c r="I26" s="8" t="s">
        <v>159</v>
      </c>
    </row>
    <row r="27" spans="1:11" ht="15.75" x14ac:dyDescent="0.25">
      <c r="A27" s="2">
        <v>24</v>
      </c>
      <c r="B27" s="3" t="s">
        <v>70</v>
      </c>
      <c r="C27" s="3" t="s">
        <v>7</v>
      </c>
      <c r="D27" s="2" t="s">
        <v>65</v>
      </c>
      <c r="E27" s="2" t="s">
        <v>71</v>
      </c>
      <c r="F27" s="5">
        <v>100</v>
      </c>
      <c r="I27" s="8" t="s">
        <v>159</v>
      </c>
    </row>
    <row r="28" spans="1:11" ht="15.75" x14ac:dyDescent="0.25">
      <c r="A28" s="2">
        <v>25</v>
      </c>
      <c r="B28" s="3" t="s">
        <v>73</v>
      </c>
      <c r="C28" s="3" t="s">
        <v>7</v>
      </c>
      <c r="D28" s="2" t="s">
        <v>74</v>
      </c>
      <c r="E28" s="2" t="s">
        <v>75</v>
      </c>
      <c r="F28" s="5">
        <v>100</v>
      </c>
      <c r="I28" s="8" t="s">
        <v>159</v>
      </c>
    </row>
    <row r="29" spans="1:11" ht="15.75" x14ac:dyDescent="0.25">
      <c r="A29" s="2">
        <v>26</v>
      </c>
      <c r="B29" s="3" t="s">
        <v>77</v>
      </c>
      <c r="C29" s="3" t="s">
        <v>7</v>
      </c>
      <c r="D29" s="2" t="s">
        <v>74</v>
      </c>
      <c r="E29" s="2" t="s">
        <v>78</v>
      </c>
      <c r="F29" s="5">
        <v>100</v>
      </c>
      <c r="I29" s="8" t="s">
        <v>159</v>
      </c>
      <c r="J29" s="8" t="s">
        <v>159</v>
      </c>
      <c r="K29" s="8" t="s">
        <v>159</v>
      </c>
    </row>
    <row r="30" spans="1:11" ht="15.75" x14ac:dyDescent="0.25">
      <c r="A30" s="2">
        <v>27</v>
      </c>
      <c r="B30" s="3" t="s">
        <v>79</v>
      </c>
      <c r="C30" s="3" t="s">
        <v>7</v>
      </c>
      <c r="D30" s="2" t="s">
        <v>54</v>
      </c>
      <c r="E30" s="2" t="s">
        <v>80</v>
      </c>
      <c r="F30" s="5">
        <v>100</v>
      </c>
      <c r="H30" s="8" t="s">
        <v>159</v>
      </c>
      <c r="I30" s="8" t="s">
        <v>159</v>
      </c>
    </row>
    <row r="31" spans="1:11" ht="15.75" x14ac:dyDescent="0.25">
      <c r="A31" s="2">
        <v>28</v>
      </c>
      <c r="B31" s="3" t="s">
        <v>82</v>
      </c>
      <c r="C31" s="3" t="s">
        <v>7</v>
      </c>
      <c r="D31" s="2" t="s">
        <v>83</v>
      </c>
      <c r="E31" s="2" t="s">
        <v>84</v>
      </c>
      <c r="F31" s="5">
        <v>100</v>
      </c>
      <c r="I31" s="8" t="s">
        <v>159</v>
      </c>
      <c r="J31" s="8" t="s">
        <v>159</v>
      </c>
      <c r="K31" s="8" t="s">
        <v>159</v>
      </c>
    </row>
    <row r="32" spans="1:11" ht="15.75" x14ac:dyDescent="0.25">
      <c r="A32" s="2">
        <v>29</v>
      </c>
      <c r="B32" s="3" t="s">
        <v>85</v>
      </c>
      <c r="C32" s="3" t="s">
        <v>7</v>
      </c>
      <c r="D32" s="2" t="s">
        <v>83</v>
      </c>
      <c r="E32" s="2" t="s">
        <v>86</v>
      </c>
      <c r="F32" s="5">
        <v>100</v>
      </c>
      <c r="I32" s="8" t="s">
        <v>159</v>
      </c>
      <c r="J32" s="8" t="s">
        <v>159</v>
      </c>
      <c r="K32" s="8" t="s">
        <v>159</v>
      </c>
    </row>
    <row r="33" spans="1:10" ht="15.75" x14ac:dyDescent="0.25">
      <c r="A33" s="2">
        <v>30</v>
      </c>
      <c r="B33" s="3" t="s">
        <v>87</v>
      </c>
      <c r="C33" s="3" t="s">
        <v>7</v>
      </c>
      <c r="D33" s="2" t="s">
        <v>75</v>
      </c>
      <c r="E33" s="2" t="s">
        <v>88</v>
      </c>
      <c r="F33" s="5">
        <v>100</v>
      </c>
      <c r="I33" s="8" t="s">
        <v>159</v>
      </c>
      <c r="J33" s="8" t="s">
        <v>159</v>
      </c>
    </row>
    <row r="34" spans="1:10" ht="15.75" x14ac:dyDescent="0.25">
      <c r="A34" s="2">
        <v>31</v>
      </c>
      <c r="B34" s="3" t="s">
        <v>90</v>
      </c>
      <c r="C34" s="3" t="s">
        <v>7</v>
      </c>
      <c r="D34" s="2" t="s">
        <v>91</v>
      </c>
      <c r="E34" s="2" t="s">
        <v>88</v>
      </c>
      <c r="F34" s="5">
        <v>70</v>
      </c>
      <c r="J34" s="9" t="s">
        <v>159</v>
      </c>
    </row>
    <row r="35" spans="1:10" ht="15.75" x14ac:dyDescent="0.25">
      <c r="A35" s="2">
        <v>32</v>
      </c>
      <c r="B35" s="3" t="s">
        <v>93</v>
      </c>
      <c r="C35" s="3" t="s">
        <v>7</v>
      </c>
      <c r="D35" s="2" t="s">
        <v>91</v>
      </c>
      <c r="E35" s="2" t="s">
        <v>88</v>
      </c>
      <c r="F35" s="5">
        <v>65</v>
      </c>
      <c r="J35" s="9" t="s">
        <v>159</v>
      </c>
    </row>
    <row r="36" spans="1:10" ht="15.75" x14ac:dyDescent="0.25">
      <c r="A36" s="2">
        <v>33</v>
      </c>
      <c r="B36" s="3" t="s">
        <v>94</v>
      </c>
      <c r="C36" s="3" t="s">
        <v>7</v>
      </c>
      <c r="D36" s="2" t="s">
        <v>95</v>
      </c>
      <c r="E36" s="2" t="s">
        <v>96</v>
      </c>
      <c r="F36" s="5">
        <v>0</v>
      </c>
      <c r="J36" s="10" t="s">
        <v>159</v>
      </c>
    </row>
    <row r="37" spans="1:10" ht="15.75" x14ac:dyDescent="0.25">
      <c r="A37" s="2">
        <v>34</v>
      </c>
      <c r="B37" s="3" t="s">
        <v>98</v>
      </c>
      <c r="C37" s="3" t="s">
        <v>7</v>
      </c>
      <c r="D37" s="2" t="s">
        <v>99</v>
      </c>
      <c r="E37" s="2" t="s">
        <v>96</v>
      </c>
      <c r="F37" s="5">
        <v>75</v>
      </c>
      <c r="I37" s="9" t="s">
        <v>159</v>
      </c>
      <c r="J37" s="9" t="s">
        <v>159</v>
      </c>
    </row>
    <row r="38" spans="1:10" ht="15.75" x14ac:dyDescent="0.25">
      <c r="A38" s="2">
        <v>35</v>
      </c>
      <c r="B38" s="3" t="s">
        <v>100</v>
      </c>
      <c r="C38" s="3" t="s">
        <v>7</v>
      </c>
      <c r="D38" s="2" t="s">
        <v>69</v>
      </c>
      <c r="E38" s="2" t="s">
        <v>96</v>
      </c>
      <c r="F38" s="5">
        <v>60</v>
      </c>
      <c r="I38" s="9" t="s">
        <v>159</v>
      </c>
      <c r="J38" s="9" t="s">
        <v>159</v>
      </c>
    </row>
    <row r="39" spans="1:10" ht="15.75" x14ac:dyDescent="0.25">
      <c r="A39" s="2">
        <v>36</v>
      </c>
      <c r="B39" s="3" t="s">
        <v>102</v>
      </c>
      <c r="C39" s="3" t="s">
        <v>7</v>
      </c>
      <c r="D39" s="2" t="s">
        <v>91</v>
      </c>
      <c r="E39" s="2" t="s">
        <v>103</v>
      </c>
      <c r="F39" s="5">
        <v>80</v>
      </c>
      <c r="J39" s="9" t="s">
        <v>159</v>
      </c>
    </row>
    <row r="40" spans="1:10" ht="15.75" x14ac:dyDescent="0.25">
      <c r="A40" s="2">
        <v>37</v>
      </c>
      <c r="B40" s="3" t="s">
        <v>104</v>
      </c>
      <c r="C40" s="3" t="s">
        <v>7</v>
      </c>
      <c r="D40" s="2" t="s">
        <v>103</v>
      </c>
      <c r="E40" s="2" t="s">
        <v>105</v>
      </c>
      <c r="F40" s="5">
        <v>0</v>
      </c>
      <c r="J40" s="10" t="s">
        <v>159</v>
      </c>
    </row>
    <row r="41" spans="1:10" ht="15.75" x14ac:dyDescent="0.25">
      <c r="A41" s="2">
        <v>38</v>
      </c>
      <c r="B41" s="3" t="s">
        <v>106</v>
      </c>
      <c r="C41" s="3" t="s">
        <v>7</v>
      </c>
      <c r="D41" s="2" t="s">
        <v>99</v>
      </c>
      <c r="E41" s="2" t="s">
        <v>96</v>
      </c>
      <c r="F41" s="5">
        <v>70</v>
      </c>
      <c r="I41" s="9" t="s">
        <v>159</v>
      </c>
      <c r="J41" s="9" t="s">
        <v>159</v>
      </c>
    </row>
    <row r="42" spans="1:10" ht="15.75" x14ac:dyDescent="0.25">
      <c r="A42" s="2">
        <v>39</v>
      </c>
      <c r="B42" s="3" t="s">
        <v>107</v>
      </c>
      <c r="C42" s="3" t="s">
        <v>7</v>
      </c>
      <c r="D42" s="2" t="s">
        <v>88</v>
      </c>
      <c r="E42" s="2" t="s">
        <v>96</v>
      </c>
      <c r="F42" s="5">
        <v>0</v>
      </c>
      <c r="J42" s="10" t="s">
        <v>159</v>
      </c>
    </row>
    <row r="43" spans="1:10" ht="15.75" x14ac:dyDescent="0.25">
      <c r="A43" s="2">
        <v>40</v>
      </c>
      <c r="B43" s="3" t="s">
        <v>108</v>
      </c>
      <c r="C43" s="3" t="s">
        <v>7</v>
      </c>
      <c r="D43" s="2" t="s">
        <v>96</v>
      </c>
      <c r="E43" s="2" t="s">
        <v>109</v>
      </c>
      <c r="F43" s="5">
        <v>0</v>
      </c>
      <c r="J43" s="10" t="s">
        <v>159</v>
      </c>
    </row>
    <row r="44" spans="1:10" ht="15.75" x14ac:dyDescent="0.25">
      <c r="A44" s="2">
        <v>41</v>
      </c>
      <c r="B44" s="3" t="s">
        <v>110</v>
      </c>
      <c r="C44" s="3" t="s">
        <v>7</v>
      </c>
      <c r="D44" s="2" t="s">
        <v>96</v>
      </c>
      <c r="E44" s="2" t="s">
        <v>111</v>
      </c>
      <c r="F44" s="5">
        <v>0</v>
      </c>
      <c r="J44" s="10" t="s">
        <v>159</v>
      </c>
    </row>
    <row r="45" spans="1:10" ht="15.75" x14ac:dyDescent="0.25">
      <c r="A45" s="2">
        <v>42</v>
      </c>
      <c r="B45" s="3" t="s">
        <v>112</v>
      </c>
      <c r="C45" s="3" t="s">
        <v>7</v>
      </c>
      <c r="D45" s="2" t="s">
        <v>96</v>
      </c>
      <c r="E45" s="2" t="s">
        <v>111</v>
      </c>
      <c r="F45" s="5">
        <v>0</v>
      </c>
      <c r="J45" s="10" t="s">
        <v>159</v>
      </c>
    </row>
    <row r="46" spans="1:10" ht="15.75" x14ac:dyDescent="0.25">
      <c r="A46" s="2">
        <v>43</v>
      </c>
      <c r="B46" s="3" t="s">
        <v>113</v>
      </c>
      <c r="C46" s="3" t="s">
        <v>7</v>
      </c>
      <c r="D46" s="2" t="s">
        <v>111</v>
      </c>
      <c r="E46" s="2" t="s">
        <v>114</v>
      </c>
      <c r="F46" s="5">
        <v>0</v>
      </c>
      <c r="J46" s="10" t="s">
        <v>159</v>
      </c>
    </row>
    <row r="47" spans="1:10" ht="15.75" x14ac:dyDescent="0.25">
      <c r="A47" s="2">
        <v>44</v>
      </c>
      <c r="B47" s="3" t="s">
        <v>115</v>
      </c>
      <c r="C47" s="3" t="s">
        <v>7</v>
      </c>
      <c r="D47" s="2" t="s">
        <v>88</v>
      </c>
      <c r="E47" s="2" t="s">
        <v>116</v>
      </c>
      <c r="F47" s="5">
        <v>0</v>
      </c>
      <c r="J47" s="10" t="s">
        <v>159</v>
      </c>
    </row>
    <row r="48" spans="1:10" ht="15.75" x14ac:dyDescent="0.25">
      <c r="A48" s="2">
        <v>45</v>
      </c>
      <c r="B48" s="3" t="s">
        <v>117</v>
      </c>
      <c r="C48" s="3" t="s">
        <v>7</v>
      </c>
      <c r="D48" s="2" t="s">
        <v>114</v>
      </c>
      <c r="E48" s="2" t="s">
        <v>116</v>
      </c>
      <c r="F48" s="5">
        <v>0</v>
      </c>
      <c r="J48" s="10" t="s">
        <v>159</v>
      </c>
    </row>
    <row r="49" spans="1:11" ht="15.75" x14ac:dyDescent="0.25">
      <c r="A49" s="2">
        <v>46</v>
      </c>
      <c r="B49" s="3" t="s">
        <v>119</v>
      </c>
      <c r="C49" s="3" t="s">
        <v>7</v>
      </c>
      <c r="D49" s="2" t="s">
        <v>96</v>
      </c>
      <c r="E49" s="2" t="s">
        <v>111</v>
      </c>
      <c r="F49" s="5">
        <v>0</v>
      </c>
      <c r="J49" s="10" t="s">
        <v>159</v>
      </c>
    </row>
    <row r="50" spans="1:11" ht="15.75" x14ac:dyDescent="0.25">
      <c r="A50" s="2">
        <v>47</v>
      </c>
      <c r="B50" s="3" t="s">
        <v>120</v>
      </c>
      <c r="C50" s="3" t="s">
        <v>7</v>
      </c>
      <c r="D50" s="2" t="s">
        <v>111</v>
      </c>
      <c r="E50" s="2" t="s">
        <v>121</v>
      </c>
      <c r="F50" s="5">
        <v>0</v>
      </c>
      <c r="J50" s="10" t="s">
        <v>159</v>
      </c>
    </row>
    <row r="51" spans="1:11" ht="15.75" x14ac:dyDescent="0.25">
      <c r="A51" s="2">
        <v>48</v>
      </c>
      <c r="B51" s="3" t="s">
        <v>122</v>
      </c>
      <c r="C51" s="3" t="s">
        <v>7</v>
      </c>
      <c r="D51" s="2" t="s">
        <v>121</v>
      </c>
      <c r="E51" s="2" t="s">
        <v>121</v>
      </c>
      <c r="F51" s="5">
        <v>0</v>
      </c>
      <c r="J51" s="10" t="s">
        <v>159</v>
      </c>
    </row>
    <row r="52" spans="1:11" ht="15.75" x14ac:dyDescent="0.25">
      <c r="A52" s="2">
        <v>49</v>
      </c>
      <c r="B52" s="3" t="s">
        <v>123</v>
      </c>
      <c r="C52" s="3" t="s">
        <v>7</v>
      </c>
      <c r="D52" s="2" t="s">
        <v>121</v>
      </c>
      <c r="E52" s="2" t="s">
        <v>109</v>
      </c>
      <c r="F52" s="5">
        <v>0</v>
      </c>
      <c r="J52" s="10" t="s">
        <v>159</v>
      </c>
    </row>
    <row r="53" spans="1:11" ht="15.75" x14ac:dyDescent="0.25">
      <c r="A53" s="2">
        <v>50</v>
      </c>
      <c r="B53" s="3" t="s">
        <v>124</v>
      </c>
      <c r="C53" s="3" t="s">
        <v>7</v>
      </c>
      <c r="D53" s="2" t="s">
        <v>109</v>
      </c>
      <c r="E53" s="2" t="s">
        <v>109</v>
      </c>
      <c r="F53" s="5">
        <v>0</v>
      </c>
      <c r="J53" s="10" t="s">
        <v>159</v>
      </c>
    </row>
    <row r="54" spans="1:11" ht="15.75" x14ac:dyDescent="0.25">
      <c r="A54" s="2">
        <v>51</v>
      </c>
      <c r="B54" s="3" t="s">
        <v>125</v>
      </c>
      <c r="C54" s="3" t="s">
        <v>7</v>
      </c>
      <c r="D54" s="2" t="s">
        <v>109</v>
      </c>
      <c r="E54" s="2" t="s">
        <v>109</v>
      </c>
      <c r="F54" s="5">
        <v>0</v>
      </c>
      <c r="J54" s="10" t="s">
        <v>159</v>
      </c>
    </row>
    <row r="55" spans="1:11" ht="15.75" x14ac:dyDescent="0.25">
      <c r="A55" s="2">
        <v>52</v>
      </c>
      <c r="B55" s="3" t="s">
        <v>126</v>
      </c>
      <c r="C55" s="3" t="s">
        <v>7</v>
      </c>
      <c r="D55" s="2" t="s">
        <v>127</v>
      </c>
      <c r="E55" s="2" t="s">
        <v>114</v>
      </c>
      <c r="F55" s="5">
        <v>0</v>
      </c>
      <c r="J55" s="10" t="s">
        <v>159</v>
      </c>
    </row>
    <row r="56" spans="1:11" ht="15.75" x14ac:dyDescent="0.25">
      <c r="A56" s="2">
        <v>53</v>
      </c>
      <c r="B56" s="3" t="s">
        <v>128</v>
      </c>
      <c r="C56" s="3" t="s">
        <v>7</v>
      </c>
      <c r="D56" s="2" t="s">
        <v>96</v>
      </c>
      <c r="E56" s="2" t="s">
        <v>114</v>
      </c>
      <c r="F56" s="5">
        <v>0</v>
      </c>
      <c r="J56" s="10" t="s">
        <v>159</v>
      </c>
    </row>
    <row r="57" spans="1:11" ht="15.75" x14ac:dyDescent="0.25">
      <c r="A57" s="2">
        <v>54</v>
      </c>
      <c r="B57" s="3" t="s">
        <v>129</v>
      </c>
      <c r="C57" s="3" t="s">
        <v>7</v>
      </c>
      <c r="D57" s="2" t="s">
        <v>130</v>
      </c>
      <c r="E57" s="2" t="s">
        <v>130</v>
      </c>
      <c r="F57" s="5">
        <v>0</v>
      </c>
      <c r="J57" s="10" t="s">
        <v>159</v>
      </c>
    </row>
    <row r="58" spans="1:11" ht="15.75" x14ac:dyDescent="0.25">
      <c r="A58" s="2">
        <v>55</v>
      </c>
      <c r="B58" s="3" t="s">
        <v>132</v>
      </c>
      <c r="C58" s="3" t="s">
        <v>7</v>
      </c>
      <c r="D58" s="2" t="s">
        <v>130</v>
      </c>
      <c r="E58" s="2" t="s">
        <v>9</v>
      </c>
      <c r="F58" s="5">
        <v>0</v>
      </c>
      <c r="J58" s="10" t="s">
        <v>159</v>
      </c>
      <c r="K58" s="10" t="s">
        <v>159</v>
      </c>
    </row>
    <row r="59" spans="1:11" ht="15.75" x14ac:dyDescent="0.25">
      <c r="A59" s="2">
        <v>56</v>
      </c>
      <c r="B59" s="3" t="s">
        <v>133</v>
      </c>
      <c r="C59" s="3" t="s">
        <v>7</v>
      </c>
      <c r="D59" s="2" t="s">
        <v>130</v>
      </c>
      <c r="E59" s="2" t="s">
        <v>9</v>
      </c>
      <c r="F59" s="5">
        <v>0</v>
      </c>
      <c r="J59" s="10" t="s">
        <v>159</v>
      </c>
      <c r="K59" s="10" t="s">
        <v>159</v>
      </c>
    </row>
    <row r="60" spans="1:11" ht="15.75" x14ac:dyDescent="0.25">
      <c r="A60" s="2">
        <v>57</v>
      </c>
      <c r="B60" s="3" t="s">
        <v>134</v>
      </c>
      <c r="C60" s="3" t="s">
        <v>7</v>
      </c>
      <c r="D60" s="2" t="s">
        <v>130</v>
      </c>
      <c r="E60" s="2" t="s">
        <v>135</v>
      </c>
      <c r="F60" s="5">
        <v>0</v>
      </c>
      <c r="J60" s="10" t="s">
        <v>159</v>
      </c>
      <c r="K60" s="10" t="s">
        <v>159</v>
      </c>
    </row>
    <row r="61" spans="1:11" ht="15.75" x14ac:dyDescent="0.25">
      <c r="A61" s="2">
        <v>58</v>
      </c>
      <c r="B61" s="3" t="s">
        <v>136</v>
      </c>
      <c r="C61" s="3" t="s">
        <v>7</v>
      </c>
      <c r="D61" s="2" t="s">
        <v>130</v>
      </c>
      <c r="E61" s="2" t="s">
        <v>9</v>
      </c>
      <c r="F61" s="5">
        <v>0</v>
      </c>
      <c r="J61" s="10" t="s">
        <v>159</v>
      </c>
      <c r="K61" s="10" t="s">
        <v>159</v>
      </c>
    </row>
    <row r="62" spans="1:11" ht="15.75" x14ac:dyDescent="0.25">
      <c r="A62" s="2">
        <v>59</v>
      </c>
      <c r="B62" s="3" t="s">
        <v>137</v>
      </c>
      <c r="C62" s="3" t="s">
        <v>7</v>
      </c>
      <c r="D62" s="2" t="s">
        <v>138</v>
      </c>
      <c r="E62" s="2" t="s">
        <v>139</v>
      </c>
      <c r="F62" s="5">
        <v>0</v>
      </c>
      <c r="K62" s="10" t="s">
        <v>159</v>
      </c>
    </row>
    <row r="63" spans="1:11" ht="15.75" x14ac:dyDescent="0.25">
      <c r="A63" s="2">
        <v>60</v>
      </c>
      <c r="B63" s="3" t="s">
        <v>140</v>
      </c>
      <c r="C63" s="3" t="s">
        <v>7</v>
      </c>
      <c r="D63" s="2" t="s">
        <v>130</v>
      </c>
      <c r="E63" s="2" t="s">
        <v>9</v>
      </c>
      <c r="F63" s="5">
        <v>0</v>
      </c>
      <c r="J63" s="10" t="s">
        <v>159</v>
      </c>
      <c r="K63" s="10" t="s">
        <v>159</v>
      </c>
    </row>
    <row r="64" spans="1:11" ht="15.75" x14ac:dyDescent="0.25">
      <c r="A64" s="2">
        <v>61</v>
      </c>
      <c r="B64" s="3" t="s">
        <v>142</v>
      </c>
      <c r="C64" s="3" t="s">
        <v>7</v>
      </c>
      <c r="D64" s="2" t="s">
        <v>143</v>
      </c>
      <c r="E64" s="2" t="s">
        <v>144</v>
      </c>
      <c r="F64" s="5">
        <v>0</v>
      </c>
      <c r="K64" s="10" t="s">
        <v>159</v>
      </c>
    </row>
    <row r="65" spans="1:11" ht="15.75" x14ac:dyDescent="0.25">
      <c r="A65" s="2">
        <v>62</v>
      </c>
      <c r="B65" s="3" t="s">
        <v>145</v>
      </c>
      <c r="C65" s="3" t="s">
        <v>7</v>
      </c>
      <c r="D65" s="2" t="s">
        <v>144</v>
      </c>
      <c r="E65" s="2" t="s">
        <v>146</v>
      </c>
      <c r="F65" s="5">
        <v>0</v>
      </c>
      <c r="K65" s="10" t="s">
        <v>159</v>
      </c>
    </row>
    <row r="66" spans="1:11" ht="15.75" x14ac:dyDescent="0.25">
      <c r="A66" s="2">
        <v>63</v>
      </c>
      <c r="B66" s="3" t="s">
        <v>147</v>
      </c>
      <c r="C66" s="3" t="s">
        <v>7</v>
      </c>
      <c r="D66" s="2" t="s">
        <v>146</v>
      </c>
      <c r="E66" s="2" t="s">
        <v>9</v>
      </c>
      <c r="F66" s="5">
        <v>0</v>
      </c>
      <c r="K66" s="10" t="s">
        <v>159</v>
      </c>
    </row>
    <row r="67" spans="1:11" ht="15.75" x14ac:dyDescent="0.25">
      <c r="A67" s="2">
        <v>64</v>
      </c>
      <c r="B67" s="3" t="s">
        <v>148</v>
      </c>
      <c r="C67" s="3" t="s">
        <v>7</v>
      </c>
      <c r="D67" s="2" t="s">
        <v>9</v>
      </c>
      <c r="E67" s="2" t="s">
        <v>9</v>
      </c>
      <c r="F67" s="5">
        <v>0</v>
      </c>
      <c r="K67" s="10" t="s">
        <v>159</v>
      </c>
    </row>
    <row r="70" spans="1:11" x14ac:dyDescent="0.25">
      <c r="A70" s="27" t="s">
        <v>160</v>
      </c>
      <c r="B70" s="23"/>
    </row>
    <row r="71" spans="1:11" ht="15.75" x14ac:dyDescent="0.25">
      <c r="A71" s="11" t="s">
        <v>159</v>
      </c>
      <c r="B71" t="s">
        <v>22</v>
      </c>
    </row>
    <row r="72" spans="1:11" ht="15.75" x14ac:dyDescent="0.25">
      <c r="A72" s="12" t="s">
        <v>159</v>
      </c>
      <c r="B72" t="s">
        <v>92</v>
      </c>
    </row>
    <row r="73" spans="1:11" ht="15.75" x14ac:dyDescent="0.25">
      <c r="A73" s="13" t="s">
        <v>159</v>
      </c>
      <c r="B73" t="s">
        <v>97</v>
      </c>
    </row>
    <row r="76" spans="1:11" x14ac:dyDescent="0.25">
      <c r="A76" s="26" t="s">
        <v>161</v>
      </c>
      <c r="B76" s="26"/>
      <c r="C76" s="26"/>
    </row>
    <row r="77" spans="1:11" x14ac:dyDescent="0.25">
      <c r="A77" s="25" t="s">
        <v>162</v>
      </c>
      <c r="B77" s="25"/>
      <c r="C77" s="14">
        <v>64</v>
      </c>
    </row>
    <row r="78" spans="1:11" x14ac:dyDescent="0.25">
      <c r="A78" s="25" t="s">
        <v>163</v>
      </c>
      <c r="B78" s="25"/>
      <c r="C78" s="15">
        <v>30</v>
      </c>
    </row>
    <row r="79" spans="1:11" x14ac:dyDescent="0.25">
      <c r="A79" s="25" t="s">
        <v>164</v>
      </c>
      <c r="B79" s="25"/>
      <c r="C79" s="16">
        <v>6</v>
      </c>
    </row>
    <row r="80" spans="1:11" x14ac:dyDescent="0.25">
      <c r="A80" s="25" t="s">
        <v>165</v>
      </c>
      <c r="B80" s="25"/>
      <c r="C80" s="17">
        <v>28</v>
      </c>
    </row>
    <row r="81" spans="1:3" x14ac:dyDescent="0.25">
      <c r="A81" s="25" t="s">
        <v>166</v>
      </c>
      <c r="B81" s="25"/>
      <c r="C81" s="18" t="s">
        <v>167</v>
      </c>
    </row>
  </sheetData>
  <mergeCells count="8">
    <mergeCell ref="A81:B81"/>
    <mergeCell ref="A76:C76"/>
    <mergeCell ref="A70:B70"/>
    <mergeCell ref="A1:P1"/>
    <mergeCell ref="A77:B77"/>
    <mergeCell ref="A78:B78"/>
    <mergeCell ref="A79:B79"/>
    <mergeCell ref="A80:B8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J53"/>
  <sheetViews>
    <sheetView tabSelected="1" topLeftCell="A37" workbookViewId="0">
      <selection activeCell="E55" sqref="E55"/>
    </sheetView>
  </sheetViews>
  <sheetFormatPr defaultRowHeight="15" x14ac:dyDescent="0.25"/>
  <cols>
    <col min="1" max="1" width="6" style="19" customWidth="1"/>
    <col min="2" max="2" width="20" style="19" customWidth="1"/>
    <col min="3" max="3" width="35" style="19" customWidth="1"/>
    <col min="4" max="4" width="20.7109375" style="19" customWidth="1"/>
    <col min="5" max="6" width="14" style="19" customWidth="1"/>
    <col min="7" max="7" width="17.140625" style="19" customWidth="1"/>
    <col min="8" max="8" width="15" style="19" customWidth="1"/>
    <col min="9" max="9" width="12" style="19" customWidth="1"/>
    <col min="10" max="10" width="20" style="19" customWidth="1"/>
    <col min="11" max="16384" width="9.140625" style="19"/>
  </cols>
  <sheetData>
    <row r="1" spans="1:10" ht="24.95" customHeight="1" x14ac:dyDescent="0.25">
      <c r="A1" s="24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24.95" customHeight="1" x14ac:dyDescent="0.25">
      <c r="A2" s="25" t="s">
        <v>1</v>
      </c>
      <c r="B2" s="25"/>
      <c r="C2" s="19" t="s">
        <v>2</v>
      </c>
      <c r="D2" s="19" t="s">
        <v>3</v>
      </c>
      <c r="E2" s="19" t="s">
        <v>4</v>
      </c>
      <c r="G2" s="20" t="s">
        <v>5</v>
      </c>
      <c r="H2" s="21">
        <f ca="1">AVERAGEIF(I:I,"&gt;="&amp;0,I:I)</f>
        <v>64.86486486486487</v>
      </c>
    </row>
    <row r="3" spans="1:10" ht="24.95" customHeight="1" x14ac:dyDescent="0.25">
      <c r="A3" s="25" t="s">
        <v>6</v>
      </c>
      <c r="B3" s="25"/>
      <c r="C3" s="19" t="s">
        <v>7</v>
      </c>
      <c r="D3" s="19" t="s">
        <v>8</v>
      </c>
      <c r="E3" s="19" t="s">
        <v>9</v>
      </c>
    </row>
    <row r="4" spans="1:10" ht="24.95" customHeight="1" x14ac:dyDescent="0.25"/>
    <row r="5" spans="1:10" ht="33.75" customHeight="1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18</v>
      </c>
      <c r="J5" s="1" t="s">
        <v>19</v>
      </c>
    </row>
    <row r="6" spans="1:10" ht="20.100000000000001" customHeight="1" x14ac:dyDescent="0.25">
      <c r="A6" s="22" t="s">
        <v>20</v>
      </c>
      <c r="B6" s="23"/>
      <c r="C6" s="23"/>
      <c r="D6" s="23"/>
      <c r="E6" s="23"/>
      <c r="F6" s="23"/>
      <c r="G6" s="23"/>
      <c r="H6" s="23"/>
      <c r="I6" s="23"/>
      <c r="J6" s="23"/>
    </row>
    <row r="7" spans="1:10" ht="20.100000000000001" customHeight="1" x14ac:dyDescent="0.25">
      <c r="A7" s="2">
        <v>1</v>
      </c>
      <c r="B7" s="3"/>
      <c r="C7" s="3" t="s">
        <v>168</v>
      </c>
      <c r="D7" s="2" t="s">
        <v>7</v>
      </c>
      <c r="E7" s="2" t="s">
        <v>4</v>
      </c>
      <c r="F7" s="2" t="s">
        <v>24</v>
      </c>
      <c r="G7" s="2" t="s">
        <v>24</v>
      </c>
      <c r="H7" s="4" t="s">
        <v>22</v>
      </c>
      <c r="I7" s="5">
        <f ca="1">IF(H7="Hoàn thành",100,IF(H7="Chưa thực hiện",0,IF(AND(E7&lt;&gt;"",F7&lt;&gt;""),MIN(100,MAX(0,(TODAY()-E7)/(F7-E7)*100)),0)))</f>
        <v>100</v>
      </c>
      <c r="J7" s="3"/>
    </row>
    <row r="8" spans="1:10" ht="31.5" customHeight="1" x14ac:dyDescent="0.25">
      <c r="A8" s="2">
        <v>2</v>
      </c>
      <c r="B8" s="3"/>
      <c r="C8" s="3" t="s">
        <v>169</v>
      </c>
      <c r="D8" s="2" t="s">
        <v>7</v>
      </c>
      <c r="E8" s="2" t="s">
        <v>4</v>
      </c>
      <c r="F8" s="2" t="s">
        <v>24</v>
      </c>
      <c r="G8" s="2" t="s">
        <v>24</v>
      </c>
      <c r="H8" s="4" t="s">
        <v>22</v>
      </c>
      <c r="I8" s="5">
        <f ca="1">IF(H8="Hoàn thành",100,IF(H8="Chưa thực hiện",0,IF(AND(E8&lt;&gt;"",F8&lt;&gt;""),MIN(100,MAX(0,(TODAY()-E8)/(F8-E8)*100)),0)))</f>
        <v>100</v>
      </c>
      <c r="J8" s="3"/>
    </row>
    <row r="9" spans="1:10" ht="28.5" customHeight="1" x14ac:dyDescent="0.25">
      <c r="A9" s="2">
        <v>3</v>
      </c>
      <c r="B9" s="3"/>
      <c r="C9" s="3" t="s">
        <v>170</v>
      </c>
      <c r="D9" s="2"/>
      <c r="E9" s="2"/>
      <c r="F9" s="2"/>
      <c r="G9" s="2"/>
      <c r="H9" s="4"/>
      <c r="I9" s="5"/>
      <c r="J9" s="3"/>
    </row>
    <row r="10" spans="1:10" ht="20.100000000000001" customHeight="1" x14ac:dyDescent="0.25">
      <c r="A10" s="2">
        <v>4</v>
      </c>
      <c r="B10" s="3"/>
      <c r="C10" s="3" t="s">
        <v>171</v>
      </c>
      <c r="D10" s="2"/>
      <c r="E10" s="2"/>
      <c r="F10" s="2"/>
      <c r="G10" s="2"/>
      <c r="H10" s="4"/>
      <c r="I10" s="5"/>
      <c r="J10" s="3"/>
    </row>
    <row r="11" spans="1:10" ht="20.100000000000001" customHeight="1" x14ac:dyDescent="0.25">
      <c r="A11" s="2">
        <v>5</v>
      </c>
      <c r="B11" s="3"/>
      <c r="C11" s="3" t="s">
        <v>172</v>
      </c>
      <c r="D11" s="2" t="s">
        <v>7</v>
      </c>
      <c r="E11" s="2" t="s">
        <v>24</v>
      </c>
      <c r="F11" s="2" t="s">
        <v>27</v>
      </c>
      <c r="G11" s="2" t="s">
        <v>27</v>
      </c>
      <c r="H11" s="4" t="s">
        <v>22</v>
      </c>
      <c r="I11" s="5">
        <f ca="1">IF(H11="Hoàn thành",100,IF(H11="Chưa thực hiện",0,IF(AND(E11&lt;&gt;"",F11&lt;&gt;""),MIN(100,MAX(0,(TODAY()-E11)/(F11-E11)*100)),0)))</f>
        <v>100</v>
      </c>
      <c r="J11" s="3"/>
    </row>
    <row r="12" spans="1:10" ht="20.100000000000001" customHeight="1" x14ac:dyDescent="0.25">
      <c r="A12" s="22" t="s">
        <v>28</v>
      </c>
      <c r="B12" s="23"/>
      <c r="C12" s="23"/>
      <c r="D12" s="23"/>
      <c r="E12" s="23"/>
      <c r="F12" s="23"/>
      <c r="G12" s="23"/>
      <c r="H12" s="23"/>
      <c r="I12" s="23"/>
      <c r="J12" s="23"/>
    </row>
    <row r="13" spans="1:10" ht="20.100000000000001" customHeight="1" x14ac:dyDescent="0.25">
      <c r="A13" s="2">
        <v>6</v>
      </c>
      <c r="B13" s="3"/>
      <c r="C13" s="3" t="s">
        <v>29</v>
      </c>
      <c r="D13" s="2" t="s">
        <v>7</v>
      </c>
      <c r="E13" s="2" t="s">
        <v>27</v>
      </c>
      <c r="F13" s="2" t="s">
        <v>30</v>
      </c>
      <c r="G13" s="2" t="s">
        <v>30</v>
      </c>
      <c r="H13" s="4" t="s">
        <v>22</v>
      </c>
      <c r="I13" s="5">
        <f t="shared" ref="I13:I18" ca="1" si="0">IF(H13="Hoàn thành",100,IF(H13="Chưa thực hiện",0,IF(AND(E13&lt;&gt;"",F13&lt;&gt;""),MIN(100,MAX(0,(TODAY()-E13)/(F13-E13)*100)),0)))</f>
        <v>100</v>
      </c>
      <c r="J13" s="3"/>
    </row>
    <row r="14" spans="1:10" ht="30" customHeight="1" x14ac:dyDescent="0.25">
      <c r="A14" s="2">
        <v>7</v>
      </c>
      <c r="B14" s="3"/>
      <c r="C14" s="3" t="s">
        <v>173</v>
      </c>
      <c r="D14" s="2" t="s">
        <v>7</v>
      </c>
      <c r="E14" s="2" t="s">
        <v>27</v>
      </c>
      <c r="F14" s="2" t="s">
        <v>30</v>
      </c>
      <c r="G14" s="2" t="s">
        <v>30</v>
      </c>
      <c r="H14" s="4" t="s">
        <v>22</v>
      </c>
      <c r="I14" s="5">
        <f t="shared" ca="1" si="0"/>
        <v>100</v>
      </c>
      <c r="J14" s="3"/>
    </row>
    <row r="15" spans="1:10" ht="20.100000000000001" customHeight="1" x14ac:dyDescent="0.25">
      <c r="A15" s="2">
        <v>8</v>
      </c>
      <c r="B15" s="3"/>
      <c r="C15" s="3" t="s">
        <v>32</v>
      </c>
      <c r="D15" s="2" t="s">
        <v>7</v>
      </c>
      <c r="E15" s="2" t="s">
        <v>33</v>
      </c>
      <c r="F15" s="2" t="s">
        <v>34</v>
      </c>
      <c r="G15" s="2" t="s">
        <v>34</v>
      </c>
      <c r="H15" s="4" t="s">
        <v>22</v>
      </c>
      <c r="I15" s="5">
        <f t="shared" ca="1" si="0"/>
        <v>100</v>
      </c>
      <c r="J15" s="3"/>
    </row>
    <row r="16" spans="1:10" ht="27" customHeight="1" x14ac:dyDescent="0.25">
      <c r="A16" s="2">
        <v>9</v>
      </c>
      <c r="B16" s="3"/>
      <c r="C16" s="3" t="s">
        <v>174</v>
      </c>
      <c r="D16" s="2" t="s">
        <v>7</v>
      </c>
      <c r="E16" s="2" t="s">
        <v>33</v>
      </c>
      <c r="F16" s="2" t="s">
        <v>34</v>
      </c>
      <c r="G16" s="2" t="s">
        <v>34</v>
      </c>
      <c r="H16" s="4" t="s">
        <v>22</v>
      </c>
      <c r="I16" s="5">
        <f t="shared" ca="1" si="0"/>
        <v>100</v>
      </c>
      <c r="J16" s="3"/>
    </row>
    <row r="17" spans="1:10" ht="20.100000000000001" customHeight="1" x14ac:dyDescent="0.25">
      <c r="A17" s="2">
        <v>10</v>
      </c>
      <c r="B17" s="3"/>
      <c r="C17" s="3" t="s">
        <v>175</v>
      </c>
      <c r="D17" s="2" t="s">
        <v>7</v>
      </c>
      <c r="E17" s="2" t="s">
        <v>37</v>
      </c>
      <c r="F17" s="2" t="s">
        <v>38</v>
      </c>
      <c r="G17" s="2" t="s">
        <v>38</v>
      </c>
      <c r="H17" s="4" t="s">
        <v>22</v>
      </c>
      <c r="I17" s="5">
        <f t="shared" ca="1" si="0"/>
        <v>100</v>
      </c>
      <c r="J17" s="3"/>
    </row>
    <row r="18" spans="1:10" ht="20.100000000000001" customHeight="1" x14ac:dyDescent="0.25">
      <c r="A18" s="2">
        <v>11</v>
      </c>
      <c r="B18" s="3"/>
      <c r="C18" s="3" t="s">
        <v>39</v>
      </c>
      <c r="D18" s="2" t="s">
        <v>7</v>
      </c>
      <c r="E18" s="2" t="s">
        <v>38</v>
      </c>
      <c r="F18" s="2" t="s">
        <v>38</v>
      </c>
      <c r="G18" s="2" t="s">
        <v>38</v>
      </c>
      <c r="H18" s="4" t="s">
        <v>22</v>
      </c>
      <c r="I18" s="5">
        <f t="shared" ca="1" si="0"/>
        <v>100</v>
      </c>
      <c r="J18" s="3"/>
    </row>
    <row r="19" spans="1:10" ht="20.100000000000001" customHeight="1" x14ac:dyDescent="0.25">
      <c r="A19" s="22" t="s">
        <v>40</v>
      </c>
      <c r="B19" s="23"/>
      <c r="C19" s="23"/>
      <c r="D19" s="23"/>
      <c r="E19" s="23"/>
      <c r="F19" s="23"/>
      <c r="G19" s="23"/>
      <c r="H19" s="23"/>
      <c r="I19" s="23"/>
      <c r="J19" s="23"/>
    </row>
    <row r="20" spans="1:10" ht="20.100000000000001" customHeight="1" x14ac:dyDescent="0.25">
      <c r="A20" s="2">
        <v>11</v>
      </c>
      <c r="B20" s="3"/>
      <c r="C20" s="3" t="s">
        <v>41</v>
      </c>
      <c r="D20" s="2" t="s">
        <v>7</v>
      </c>
      <c r="E20" s="2" t="s">
        <v>42</v>
      </c>
      <c r="F20" s="2" t="s">
        <v>43</v>
      </c>
      <c r="G20" s="2" t="s">
        <v>43</v>
      </c>
      <c r="H20" s="4" t="s">
        <v>22</v>
      </c>
      <c r="I20" s="5">
        <f t="shared" ref="I20:I26" ca="1" si="1">IF(H20="Hoàn thành",100,IF(H20="Chưa thực hiện",0,IF(AND(E20&lt;&gt;"",F20&lt;&gt;""),MIN(100,MAX(0,(TODAY()-E20)/(F20-E20)*100)),0)))</f>
        <v>100</v>
      </c>
      <c r="J20" s="3"/>
    </row>
    <row r="21" spans="1:10" ht="20.100000000000001" customHeight="1" x14ac:dyDescent="0.25">
      <c r="A21" s="2">
        <v>12</v>
      </c>
      <c r="B21" s="3"/>
      <c r="C21" s="3" t="s">
        <v>44</v>
      </c>
      <c r="D21" s="2" t="s">
        <v>7</v>
      </c>
      <c r="E21" s="2" t="s">
        <v>42</v>
      </c>
      <c r="F21" s="2" t="s">
        <v>45</v>
      </c>
      <c r="G21" s="2" t="s">
        <v>45</v>
      </c>
      <c r="H21" s="4" t="s">
        <v>22</v>
      </c>
      <c r="I21" s="5">
        <f t="shared" ca="1" si="1"/>
        <v>100</v>
      </c>
      <c r="J21" s="3"/>
    </row>
    <row r="22" spans="1:10" ht="20.100000000000001" customHeight="1" x14ac:dyDescent="0.25">
      <c r="A22" s="2">
        <v>13</v>
      </c>
      <c r="B22" s="3"/>
      <c r="C22" s="3" t="s">
        <v>46</v>
      </c>
      <c r="D22" s="2" t="s">
        <v>7</v>
      </c>
      <c r="E22" s="2" t="s">
        <v>42</v>
      </c>
      <c r="F22" s="2" t="s">
        <v>43</v>
      </c>
      <c r="G22" s="2" t="s">
        <v>43</v>
      </c>
      <c r="H22" s="4" t="s">
        <v>22</v>
      </c>
      <c r="I22" s="5">
        <f t="shared" ca="1" si="1"/>
        <v>100</v>
      </c>
      <c r="J22" s="3"/>
    </row>
    <row r="23" spans="1:10" ht="20.100000000000001" customHeight="1" x14ac:dyDescent="0.25">
      <c r="A23" s="2">
        <v>14</v>
      </c>
      <c r="B23" s="3"/>
      <c r="C23" s="3" t="s">
        <v>47</v>
      </c>
      <c r="D23" s="2" t="s">
        <v>7</v>
      </c>
      <c r="E23" s="2" t="s">
        <v>42</v>
      </c>
      <c r="F23" s="2" t="s">
        <v>48</v>
      </c>
      <c r="G23" s="2" t="s">
        <v>48</v>
      </c>
      <c r="H23" s="4" t="s">
        <v>22</v>
      </c>
      <c r="I23" s="5">
        <f t="shared" ca="1" si="1"/>
        <v>100</v>
      </c>
      <c r="J23" s="3"/>
    </row>
    <row r="24" spans="1:10" ht="20.100000000000001" customHeight="1" x14ac:dyDescent="0.25">
      <c r="A24" s="2">
        <v>15</v>
      </c>
      <c r="B24" s="3"/>
      <c r="C24" s="3" t="s">
        <v>49</v>
      </c>
      <c r="D24" s="2" t="s">
        <v>7</v>
      </c>
      <c r="E24" s="2" t="s">
        <v>42</v>
      </c>
      <c r="F24" s="2" t="s">
        <v>50</v>
      </c>
      <c r="G24" s="2" t="s">
        <v>50</v>
      </c>
      <c r="H24" s="4" t="s">
        <v>22</v>
      </c>
      <c r="I24" s="5">
        <f t="shared" ca="1" si="1"/>
        <v>100</v>
      </c>
      <c r="J24" s="3"/>
    </row>
    <row r="25" spans="1:10" ht="20.100000000000001" customHeight="1" x14ac:dyDescent="0.25">
      <c r="A25" s="2">
        <v>16</v>
      </c>
      <c r="B25" s="3"/>
      <c r="C25" s="3" t="s">
        <v>177</v>
      </c>
      <c r="D25" s="2" t="s">
        <v>7</v>
      </c>
      <c r="E25" s="2" t="s">
        <v>43</v>
      </c>
      <c r="F25" s="2" t="s">
        <v>52</v>
      </c>
      <c r="G25" s="2" t="s">
        <v>52</v>
      </c>
      <c r="H25" s="4" t="s">
        <v>22</v>
      </c>
      <c r="I25" s="5">
        <f t="shared" ca="1" si="1"/>
        <v>100</v>
      </c>
      <c r="J25" s="3"/>
    </row>
    <row r="26" spans="1:10" ht="20.100000000000001" customHeight="1" x14ac:dyDescent="0.25">
      <c r="A26" s="2">
        <v>17</v>
      </c>
      <c r="B26" s="3"/>
      <c r="C26" s="3" t="s">
        <v>176</v>
      </c>
      <c r="D26" s="2" t="s">
        <v>7</v>
      </c>
      <c r="E26" s="2" t="s">
        <v>50</v>
      </c>
      <c r="F26" s="2" t="s">
        <v>54</v>
      </c>
      <c r="G26" s="2" t="s">
        <v>54</v>
      </c>
      <c r="H26" s="4" t="s">
        <v>22</v>
      </c>
      <c r="I26" s="5">
        <f t="shared" ca="1" si="1"/>
        <v>100</v>
      </c>
      <c r="J26" s="3"/>
    </row>
    <row r="27" spans="1:10" ht="20.100000000000001" customHeight="1" x14ac:dyDescent="0.25">
      <c r="A27" s="22" t="s">
        <v>185</v>
      </c>
      <c r="B27" s="23"/>
      <c r="C27" s="23"/>
      <c r="D27" s="23"/>
      <c r="E27" s="23"/>
      <c r="F27" s="23"/>
      <c r="G27" s="23"/>
      <c r="H27" s="23"/>
      <c r="I27" s="23"/>
      <c r="J27" s="23"/>
    </row>
    <row r="28" spans="1:10" ht="20.100000000000001" customHeight="1" x14ac:dyDescent="0.25">
      <c r="A28" s="2">
        <v>18</v>
      </c>
      <c r="B28" s="3"/>
      <c r="C28" s="3" t="s">
        <v>178</v>
      </c>
      <c r="D28" s="2" t="s">
        <v>7</v>
      </c>
      <c r="E28" s="2" t="s">
        <v>54</v>
      </c>
      <c r="F28" s="2" t="s">
        <v>57</v>
      </c>
      <c r="G28" s="2" t="s">
        <v>57</v>
      </c>
      <c r="H28" s="4" t="s">
        <v>22</v>
      </c>
      <c r="I28" s="5">
        <f t="shared" ref="I28:I34" ca="1" si="2">IF(H28="Hoàn thành",100,IF(H28="Chưa thực hiện",0,IF(AND(E28&lt;&gt;"",F28&lt;&gt;""),MIN(100,MAX(0,(TODAY()-E28)/(F28-E28)*100)),0)))</f>
        <v>100</v>
      </c>
      <c r="J28" s="3"/>
    </row>
    <row r="29" spans="1:10" ht="20.100000000000001" customHeight="1" x14ac:dyDescent="0.25">
      <c r="A29" s="2">
        <v>19</v>
      </c>
      <c r="B29" s="3"/>
      <c r="C29" s="3" t="s">
        <v>179</v>
      </c>
      <c r="D29" s="2" t="s">
        <v>7</v>
      </c>
      <c r="E29" s="2" t="s">
        <v>57</v>
      </c>
      <c r="F29" s="2" t="s">
        <v>59</v>
      </c>
      <c r="G29" s="2" t="s">
        <v>59</v>
      </c>
      <c r="H29" s="4" t="s">
        <v>22</v>
      </c>
      <c r="I29" s="5">
        <f t="shared" ca="1" si="2"/>
        <v>100</v>
      </c>
      <c r="J29" s="3"/>
    </row>
    <row r="30" spans="1:10" ht="30.75" customHeight="1" x14ac:dyDescent="0.25">
      <c r="A30" s="2">
        <v>20</v>
      </c>
      <c r="B30" s="3"/>
      <c r="C30" s="3" t="s">
        <v>180</v>
      </c>
      <c r="D30" s="2" t="s">
        <v>7</v>
      </c>
      <c r="E30" s="2" t="s">
        <v>59</v>
      </c>
      <c r="F30" s="2" t="s">
        <v>61</v>
      </c>
      <c r="G30" s="2" t="s">
        <v>61</v>
      </c>
      <c r="H30" s="4" t="s">
        <v>22</v>
      </c>
      <c r="I30" s="5">
        <f t="shared" ca="1" si="2"/>
        <v>100</v>
      </c>
      <c r="J30" s="3"/>
    </row>
    <row r="31" spans="1:10" ht="37.5" customHeight="1" x14ac:dyDescent="0.25">
      <c r="A31" s="2">
        <v>21</v>
      </c>
      <c r="B31" s="3"/>
      <c r="C31" s="3" t="s">
        <v>181</v>
      </c>
      <c r="D31" s="2" t="s">
        <v>7</v>
      </c>
      <c r="E31" s="2" t="s">
        <v>61</v>
      </c>
      <c r="F31" s="2" t="s">
        <v>63</v>
      </c>
      <c r="G31" s="2" t="s">
        <v>63</v>
      </c>
      <c r="H31" s="4" t="s">
        <v>22</v>
      </c>
      <c r="I31" s="5">
        <f t="shared" ca="1" si="2"/>
        <v>100</v>
      </c>
      <c r="J31" s="3"/>
    </row>
    <row r="32" spans="1:10" ht="20.100000000000001" customHeight="1" x14ac:dyDescent="0.25">
      <c r="A32" s="2">
        <v>22</v>
      </c>
      <c r="B32" s="3"/>
      <c r="C32" s="3" t="s">
        <v>182</v>
      </c>
      <c r="D32" s="2" t="s">
        <v>7</v>
      </c>
      <c r="E32" s="2" t="s">
        <v>52</v>
      </c>
      <c r="F32" s="2" t="s">
        <v>65</v>
      </c>
      <c r="G32" s="2" t="s">
        <v>66</v>
      </c>
      <c r="H32" s="4" t="s">
        <v>22</v>
      </c>
      <c r="I32" s="5">
        <f t="shared" ca="1" si="2"/>
        <v>100</v>
      </c>
      <c r="J32" s="3"/>
    </row>
    <row r="33" spans="1:10" ht="33" customHeight="1" x14ac:dyDescent="0.25">
      <c r="A33" s="2">
        <v>23</v>
      </c>
      <c r="B33" s="3"/>
      <c r="C33" s="3" t="s">
        <v>183</v>
      </c>
      <c r="D33" s="2" t="s">
        <v>7</v>
      </c>
      <c r="E33" s="2" t="s">
        <v>65</v>
      </c>
      <c r="F33" s="2" t="s">
        <v>68</v>
      </c>
      <c r="G33" s="2" t="s">
        <v>69</v>
      </c>
      <c r="H33" s="4" t="s">
        <v>22</v>
      </c>
      <c r="I33" s="5">
        <f t="shared" ca="1" si="2"/>
        <v>100</v>
      </c>
      <c r="J33" s="3"/>
    </row>
    <row r="34" spans="1:10" ht="20.100000000000001" customHeight="1" x14ac:dyDescent="0.25">
      <c r="A34" s="2">
        <v>24</v>
      </c>
      <c r="B34" s="3"/>
      <c r="C34" s="3" t="s">
        <v>184</v>
      </c>
      <c r="D34" s="2" t="s">
        <v>7</v>
      </c>
      <c r="E34" s="2" t="s">
        <v>65</v>
      </c>
      <c r="F34" s="2" t="s">
        <v>71</v>
      </c>
      <c r="G34" s="2" t="s">
        <v>72</v>
      </c>
      <c r="H34" s="4" t="s">
        <v>22</v>
      </c>
      <c r="I34" s="5">
        <f t="shared" ca="1" si="2"/>
        <v>100</v>
      </c>
      <c r="J34" s="3"/>
    </row>
    <row r="35" spans="1:10" ht="20.100000000000001" customHeight="1" x14ac:dyDescent="0.25">
      <c r="A35" s="22" t="s">
        <v>186</v>
      </c>
      <c r="B35" s="23"/>
      <c r="C35" s="23"/>
      <c r="D35" s="23"/>
      <c r="E35" s="23"/>
      <c r="F35" s="23"/>
      <c r="G35" s="23"/>
      <c r="H35" s="23"/>
      <c r="I35" s="23"/>
      <c r="J35" s="23"/>
    </row>
    <row r="36" spans="1:10" ht="20.100000000000001" customHeight="1" x14ac:dyDescent="0.25">
      <c r="A36" s="2">
        <v>25</v>
      </c>
      <c r="B36" s="3"/>
      <c r="C36" s="3" t="s">
        <v>187</v>
      </c>
      <c r="D36" s="2" t="s">
        <v>7</v>
      </c>
      <c r="E36" s="2" t="s">
        <v>91</v>
      </c>
      <c r="F36" s="2" t="s">
        <v>103</v>
      </c>
      <c r="G36" s="2"/>
      <c r="H36" s="6" t="s">
        <v>92</v>
      </c>
      <c r="I36" s="5">
        <f t="shared" ref="I36:I39" ca="1" si="3">IF(H36="Hoàn thành",100,IF(H36="Chưa thực hiện",0,IF(AND(E36&lt;&gt;"",F36&lt;&gt;""),MIN(100,MAX(0,(TODAY()-E36)/(F36-E36)*100)),0)))</f>
        <v>100</v>
      </c>
      <c r="J36" s="3"/>
    </row>
    <row r="37" spans="1:10" ht="20.100000000000001" customHeight="1" x14ac:dyDescent="0.25">
      <c r="A37" s="2">
        <v>26</v>
      </c>
      <c r="B37" s="3"/>
      <c r="C37" s="3" t="s">
        <v>188</v>
      </c>
      <c r="D37" s="2" t="s">
        <v>7</v>
      </c>
      <c r="E37" s="2" t="s">
        <v>103</v>
      </c>
      <c r="F37" s="2" t="s">
        <v>105</v>
      </c>
      <c r="G37" s="2"/>
      <c r="H37" s="7" t="s">
        <v>97</v>
      </c>
      <c r="I37" s="5">
        <f t="shared" ca="1" si="3"/>
        <v>0</v>
      </c>
      <c r="J37" s="3"/>
    </row>
    <row r="38" spans="1:10" ht="20.100000000000001" customHeight="1" x14ac:dyDescent="0.25">
      <c r="A38" s="2">
        <v>27</v>
      </c>
      <c r="B38" s="3"/>
      <c r="C38" s="3" t="s">
        <v>189</v>
      </c>
      <c r="D38" s="2" t="s">
        <v>7</v>
      </c>
      <c r="E38" s="2" t="s">
        <v>99</v>
      </c>
      <c r="F38" s="2" t="s">
        <v>96</v>
      </c>
      <c r="G38" s="2"/>
      <c r="H38" s="6" t="s">
        <v>92</v>
      </c>
      <c r="I38" s="5" t="e">
        <f t="shared" ca="1" si="3"/>
        <v>#VALUE!</v>
      </c>
      <c r="J38" s="3"/>
    </row>
    <row r="39" spans="1:10" ht="20.100000000000001" customHeight="1" x14ac:dyDescent="0.25">
      <c r="A39" s="2">
        <v>28</v>
      </c>
      <c r="B39" s="3"/>
      <c r="C39" s="3" t="s">
        <v>190</v>
      </c>
      <c r="D39" s="2" t="s">
        <v>7</v>
      </c>
      <c r="E39" s="2" t="s">
        <v>88</v>
      </c>
      <c r="F39" s="2" t="s">
        <v>96</v>
      </c>
      <c r="G39" s="2"/>
      <c r="H39" s="7" t="s">
        <v>97</v>
      </c>
      <c r="I39" s="5">
        <f t="shared" ca="1" si="3"/>
        <v>0</v>
      </c>
      <c r="J39" s="3"/>
    </row>
    <row r="40" spans="1:10" ht="20.100000000000001" customHeight="1" x14ac:dyDescent="0.25">
      <c r="A40" s="22" t="s">
        <v>191</v>
      </c>
      <c r="B40" s="23"/>
      <c r="C40" s="23"/>
      <c r="D40" s="23"/>
      <c r="E40" s="23"/>
      <c r="F40" s="23"/>
      <c r="G40" s="23"/>
      <c r="H40" s="23"/>
      <c r="I40" s="23"/>
      <c r="J40" s="23"/>
    </row>
    <row r="41" spans="1:10" ht="20.100000000000001" customHeight="1" x14ac:dyDescent="0.25">
      <c r="A41" s="2">
        <v>29</v>
      </c>
      <c r="B41" s="3"/>
      <c r="C41" s="3" t="s">
        <v>192</v>
      </c>
      <c r="D41" s="2" t="s">
        <v>7</v>
      </c>
      <c r="E41" s="2" t="s">
        <v>96</v>
      </c>
      <c r="F41" s="2" t="s">
        <v>111</v>
      </c>
      <c r="G41" s="2"/>
      <c r="H41" s="7" t="s">
        <v>97</v>
      </c>
      <c r="I41" s="5">
        <f t="shared" ref="I41:I44" ca="1" si="4">IF(H41="Hoàn thành",100,IF(H41="Chưa thực hiện",0,IF(AND(E41&lt;&gt;"",F41&lt;&gt;""),MIN(100,MAX(0,(TODAY()-E41)/(F41-E41)*100)),0)))</f>
        <v>0</v>
      </c>
      <c r="J41" s="3"/>
    </row>
    <row r="42" spans="1:10" ht="20.100000000000001" customHeight="1" x14ac:dyDescent="0.25">
      <c r="A42" s="2">
        <v>30</v>
      </c>
      <c r="B42" s="3"/>
      <c r="C42" s="3" t="s">
        <v>193</v>
      </c>
      <c r="D42" s="2" t="s">
        <v>7</v>
      </c>
      <c r="E42" s="2" t="s">
        <v>111</v>
      </c>
      <c r="F42" s="2" t="s">
        <v>121</v>
      </c>
      <c r="G42" s="2"/>
      <c r="H42" s="7" t="s">
        <v>97</v>
      </c>
      <c r="I42" s="5">
        <f t="shared" ca="1" si="4"/>
        <v>0</v>
      </c>
      <c r="J42" s="3"/>
    </row>
    <row r="43" spans="1:10" ht="20.100000000000001" customHeight="1" x14ac:dyDescent="0.25">
      <c r="A43" s="2">
        <v>31</v>
      </c>
      <c r="B43" s="3"/>
      <c r="C43" s="3" t="s">
        <v>126</v>
      </c>
      <c r="D43" s="2" t="s">
        <v>7</v>
      </c>
      <c r="E43" s="2" t="s">
        <v>121</v>
      </c>
      <c r="F43" s="2" t="s">
        <v>121</v>
      </c>
      <c r="G43" s="2"/>
      <c r="H43" s="7" t="s">
        <v>97</v>
      </c>
      <c r="I43" s="5">
        <f t="shared" ca="1" si="4"/>
        <v>0</v>
      </c>
      <c r="J43" s="3"/>
    </row>
    <row r="44" spans="1:10" ht="20.100000000000001" customHeight="1" x14ac:dyDescent="0.25">
      <c r="A44" s="2">
        <v>32</v>
      </c>
      <c r="B44" s="3"/>
      <c r="C44" s="3" t="s">
        <v>129</v>
      </c>
      <c r="D44" s="2" t="s">
        <v>7</v>
      </c>
      <c r="E44" s="2" t="s">
        <v>121</v>
      </c>
      <c r="F44" s="2" t="s">
        <v>109</v>
      </c>
      <c r="G44" s="2"/>
      <c r="H44" s="7" t="s">
        <v>97</v>
      </c>
      <c r="I44" s="5">
        <f t="shared" ca="1" si="4"/>
        <v>0</v>
      </c>
      <c r="J44" s="3"/>
    </row>
    <row r="45" spans="1:10" ht="20.100000000000001" customHeight="1" x14ac:dyDescent="0.25">
      <c r="A45" s="22" t="s">
        <v>194</v>
      </c>
      <c r="B45" s="23"/>
      <c r="C45" s="23"/>
      <c r="D45" s="23"/>
      <c r="E45" s="23"/>
      <c r="F45" s="23"/>
      <c r="G45" s="23"/>
      <c r="H45" s="23"/>
      <c r="I45" s="23"/>
      <c r="J45" s="23"/>
    </row>
    <row r="46" spans="1:10" ht="20.100000000000001" customHeight="1" x14ac:dyDescent="0.25">
      <c r="A46" s="2">
        <v>33</v>
      </c>
      <c r="B46" s="3"/>
      <c r="C46" s="3" t="s">
        <v>195</v>
      </c>
      <c r="D46" s="2" t="s">
        <v>7</v>
      </c>
      <c r="E46" s="2" t="s">
        <v>130</v>
      </c>
      <c r="F46" s="2" t="s">
        <v>9</v>
      </c>
      <c r="G46" s="2"/>
      <c r="H46" s="7" t="s">
        <v>97</v>
      </c>
      <c r="I46" s="5">
        <f t="shared" ref="I46:I49" ca="1" si="5">IF(H46="Hoàn thành",100,IF(H46="Chưa thực hiện",0,IF(AND(E46&lt;&gt;"",F46&lt;&gt;""),MIN(100,MAX(0,(TODAY()-E46)/(F46-E46)*100)),0)))</f>
        <v>0</v>
      </c>
      <c r="J46" s="3"/>
    </row>
    <row r="47" spans="1:10" ht="20.100000000000001" customHeight="1" x14ac:dyDescent="0.25">
      <c r="A47" s="2">
        <v>34</v>
      </c>
      <c r="B47" s="3"/>
      <c r="C47" s="3" t="s">
        <v>196</v>
      </c>
      <c r="D47" s="2" t="s">
        <v>7</v>
      </c>
      <c r="E47" s="2" t="s">
        <v>130</v>
      </c>
      <c r="F47" s="2" t="s">
        <v>9</v>
      </c>
      <c r="G47" s="2"/>
      <c r="H47" s="7" t="s">
        <v>97</v>
      </c>
      <c r="I47" s="5">
        <f t="shared" ca="1" si="5"/>
        <v>0</v>
      </c>
      <c r="J47" s="3"/>
    </row>
    <row r="48" spans="1:10" ht="20.100000000000001" customHeight="1" x14ac:dyDescent="0.25">
      <c r="A48" s="2">
        <v>35</v>
      </c>
      <c r="B48" s="3"/>
      <c r="C48" s="3" t="s">
        <v>197</v>
      </c>
      <c r="D48" s="2" t="s">
        <v>7</v>
      </c>
      <c r="E48" s="2" t="s">
        <v>130</v>
      </c>
      <c r="F48" s="2" t="s">
        <v>135</v>
      </c>
      <c r="G48" s="2"/>
      <c r="H48" s="7" t="s">
        <v>97</v>
      </c>
      <c r="I48" s="5">
        <f t="shared" ca="1" si="5"/>
        <v>0</v>
      </c>
      <c r="J48" s="3"/>
    </row>
    <row r="49" spans="1:10" ht="20.100000000000001" customHeight="1" x14ac:dyDescent="0.25">
      <c r="A49" s="2">
        <v>36</v>
      </c>
      <c r="B49" s="3"/>
      <c r="C49" s="3" t="s">
        <v>140</v>
      </c>
      <c r="D49" s="2" t="s">
        <v>7</v>
      </c>
      <c r="E49" s="2" t="s">
        <v>130</v>
      </c>
      <c r="F49" s="2" t="s">
        <v>9</v>
      </c>
      <c r="G49" s="2"/>
      <c r="H49" s="7" t="s">
        <v>97</v>
      </c>
      <c r="I49" s="5">
        <f t="shared" ca="1" si="5"/>
        <v>0</v>
      </c>
      <c r="J49" s="3"/>
    </row>
    <row r="50" spans="1:10" ht="20.100000000000001" customHeight="1" x14ac:dyDescent="0.25">
      <c r="A50" s="22" t="s">
        <v>141</v>
      </c>
      <c r="B50" s="23"/>
      <c r="C50" s="23"/>
      <c r="D50" s="23"/>
      <c r="E50" s="23"/>
      <c r="F50" s="23"/>
      <c r="G50" s="23"/>
      <c r="H50" s="23"/>
      <c r="I50" s="23"/>
      <c r="J50" s="23"/>
    </row>
    <row r="51" spans="1:10" ht="20.100000000000001" customHeight="1" x14ac:dyDescent="0.25">
      <c r="A51" s="2">
        <v>37</v>
      </c>
      <c r="B51" s="3"/>
      <c r="C51" s="3" t="s">
        <v>142</v>
      </c>
      <c r="D51" s="2" t="s">
        <v>7</v>
      </c>
      <c r="E51" s="2" t="s">
        <v>143</v>
      </c>
      <c r="F51" s="2" t="s">
        <v>144</v>
      </c>
      <c r="G51" s="2"/>
      <c r="H51" s="7" t="s">
        <v>97</v>
      </c>
      <c r="I51" s="5">
        <f ca="1">IF(H51="Hoàn thành",100,IF(H51="Chưa thực hiện",0,IF(AND(E51&lt;&gt;"",F51&lt;&gt;""),MIN(100,MAX(0,(TODAY()-E51)/(F51-E51)*100)),0)))</f>
        <v>0</v>
      </c>
      <c r="J51" s="3"/>
    </row>
    <row r="52" spans="1:10" ht="20.100000000000001" customHeight="1" x14ac:dyDescent="0.25">
      <c r="A52" s="2">
        <v>38</v>
      </c>
      <c r="B52" s="3"/>
      <c r="C52" s="3" t="s">
        <v>147</v>
      </c>
      <c r="D52" s="2" t="s">
        <v>7</v>
      </c>
      <c r="E52" s="2" t="s">
        <v>146</v>
      </c>
      <c r="F52" s="2" t="s">
        <v>9</v>
      </c>
      <c r="G52" s="2"/>
      <c r="H52" s="7" t="s">
        <v>97</v>
      </c>
      <c r="I52" s="5">
        <f ca="1">IF(H52="Hoàn thành",100,IF(H52="Chưa thực hiện",0,IF(AND(E52&lt;&gt;"",F52&lt;&gt;""),MIN(100,MAX(0,(TODAY()-E52)/(F52-E52)*100)),0)))</f>
        <v>0</v>
      </c>
      <c r="J52" s="3"/>
    </row>
    <row r="53" spans="1:10" ht="22.5" customHeight="1" x14ac:dyDescent="0.25">
      <c r="A53" s="2">
        <v>39</v>
      </c>
      <c r="B53" s="3"/>
      <c r="C53" s="3" t="s">
        <v>198</v>
      </c>
      <c r="D53" s="2" t="s">
        <v>7</v>
      </c>
      <c r="E53" s="2" t="s">
        <v>9</v>
      </c>
      <c r="F53" s="2" t="s">
        <v>9</v>
      </c>
      <c r="G53" s="2"/>
      <c r="H53" s="7" t="s">
        <v>97</v>
      </c>
      <c r="I53" s="5">
        <f ca="1">IF(H53="Hoàn thành",100,IF(H53="Chưa thực hiện",0,IF(AND(E53&lt;&gt;"",F53&lt;&gt;""),MIN(100,MAX(0,(TODAY()-E53)/(F53-E53)*100)),0)))</f>
        <v>0</v>
      </c>
      <c r="J53" s="3"/>
    </row>
  </sheetData>
  <mergeCells count="11">
    <mergeCell ref="A19:J19"/>
    <mergeCell ref="A1:J1"/>
    <mergeCell ref="A2:B2"/>
    <mergeCell ref="A3:B3"/>
    <mergeCell ref="A6:J6"/>
    <mergeCell ref="A12:J12"/>
    <mergeCell ref="A27:J27"/>
    <mergeCell ref="A35:J35"/>
    <mergeCell ref="A40:J40"/>
    <mergeCell ref="A45:J45"/>
    <mergeCell ref="A50:J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Kế hoạch chi tiết</vt:lpstr>
      <vt:lpstr>Biểu đồ Gantt</vt:lpstr>
      <vt:lpstr>Sửa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haivp</cp:lastModifiedBy>
  <dcterms:created xsi:type="dcterms:W3CDTF">2025-12-15T02:42:45Z</dcterms:created>
  <dcterms:modified xsi:type="dcterms:W3CDTF">2025-12-22T09:17:16Z</dcterms:modified>
</cp:coreProperties>
</file>