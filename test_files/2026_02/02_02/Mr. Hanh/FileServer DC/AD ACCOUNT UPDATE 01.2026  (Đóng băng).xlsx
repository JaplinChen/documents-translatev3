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IS08\Desktop\Mr. Hanh\FileServer DC\"/>
    </mc:Choice>
  </mc:AlternateContent>
  <xr:revisionPtr revIDLastSave="0" documentId="13_ncr:1_{CE1DB5BA-5366-4894-B4FD-9DA4C9CA1490}" xr6:coauthVersionLast="36" xr6:coauthVersionMax="47" xr10:uidLastSave="{00000000-0000-0000-0000-000000000000}"/>
  <bookViews>
    <workbookView xWindow="0" yWindow="0" windowWidth="19200" windowHeight="10665" firstSheet="1" activeTab="4" xr2:uid="{00000000-000D-0000-FFFF-FFFF00000000}"/>
  </bookViews>
  <sheets>
    <sheet name="PLAN (2)" sheetId="54" state="hidden" r:id="rId1"/>
    <sheet name="Repost" sheetId="58" r:id="rId2"/>
    <sheet name="Total" sheetId="44" r:id="rId3"/>
    <sheet name="Sheet3" sheetId="61" r:id="rId4"/>
    <sheet name="Sheet4" sheetId="62" r:id="rId5"/>
    <sheet name="DS" sheetId="59" r:id="rId6"/>
    <sheet name="FileServer" sheetId="60" r:id="rId7"/>
    <sheet name="Sheet1" sheetId="55" state="hidden" r:id="rId8"/>
    <sheet name="Manage" sheetId="45" state="hidden" r:id="rId9"/>
  </sheets>
  <externalReferences>
    <externalReference r:id="rId10"/>
  </externalReferences>
  <definedNames>
    <definedName name="_xlnm._FilterDatabase" localSheetId="5" hidden="1">DS!$A$1:$D$4384</definedName>
    <definedName name="_xlnm._FilterDatabase" localSheetId="8" hidden="1">Manage!$A$1:$H$34</definedName>
    <definedName name="_xlnm._FilterDatabase" localSheetId="4" hidden="1">Sheet4!$A$1:$O$786</definedName>
    <definedName name="_xlnm._FilterDatabase" localSheetId="2" hidden="1">Total!$A$1:$K$791</definedName>
  </definedNames>
  <calcPr calcId="191029"/>
  <pivotCaches>
    <pivotCache cacheId="0" r:id="rId11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10" i="62" l="1"/>
  <c r="H611" i="62"/>
  <c r="H612" i="62"/>
  <c r="H613" i="62"/>
  <c r="H614" i="62"/>
  <c r="H615" i="62"/>
  <c r="H616" i="62"/>
  <c r="H617" i="62"/>
  <c r="H618" i="62"/>
  <c r="H619" i="62"/>
  <c r="H620" i="62"/>
  <c r="H621" i="62"/>
  <c r="H622" i="62"/>
  <c r="H623" i="62"/>
  <c r="H624" i="62"/>
  <c r="H625" i="62"/>
  <c r="H626" i="62"/>
  <c r="H627" i="62"/>
  <c r="H628" i="62"/>
  <c r="H629" i="62"/>
  <c r="H630" i="62"/>
  <c r="H631" i="62"/>
  <c r="H632" i="62"/>
  <c r="H633" i="62"/>
  <c r="H634" i="62"/>
  <c r="H635" i="62"/>
  <c r="H636" i="62"/>
  <c r="H637" i="62"/>
  <c r="H638" i="62"/>
  <c r="H639" i="62"/>
  <c r="H640" i="62"/>
  <c r="H641" i="62"/>
  <c r="H642" i="62"/>
  <c r="H643" i="62"/>
  <c r="H644" i="62"/>
  <c r="H576" i="62"/>
  <c r="H645" i="62"/>
  <c r="H646" i="62"/>
  <c r="H647" i="62"/>
  <c r="H648" i="62"/>
  <c r="H649" i="62"/>
  <c r="H650" i="62"/>
  <c r="H651" i="62"/>
  <c r="H652" i="62"/>
  <c r="H653" i="62"/>
  <c r="H654" i="62"/>
  <c r="H535" i="62"/>
  <c r="H536" i="62"/>
  <c r="H537" i="62"/>
  <c r="H538" i="62"/>
  <c r="H539" i="62"/>
  <c r="H540" i="62"/>
  <c r="H541" i="62"/>
  <c r="H542" i="62"/>
  <c r="H543" i="62"/>
  <c r="H544" i="62"/>
  <c r="H545" i="62"/>
  <c r="H546" i="62"/>
  <c r="H547" i="62"/>
  <c r="H548" i="62"/>
  <c r="H549" i="62"/>
  <c r="H550" i="62"/>
  <c r="H551" i="62"/>
  <c r="H552" i="62"/>
  <c r="H553" i="62"/>
  <c r="H554" i="62"/>
  <c r="H555" i="62"/>
  <c r="H556" i="62"/>
  <c r="H557" i="62"/>
  <c r="H558" i="62"/>
  <c r="H135" i="62"/>
  <c r="H136" i="62"/>
  <c r="H137" i="62"/>
  <c r="H138" i="62"/>
  <c r="H139" i="62"/>
  <c r="H140" i="62"/>
  <c r="H141" i="62"/>
  <c r="H142" i="62"/>
  <c r="H143" i="62"/>
  <c r="H144" i="62"/>
  <c r="H145" i="62"/>
  <c r="H146" i="62"/>
  <c r="H434" i="62"/>
  <c r="H22" i="62"/>
  <c r="H23" i="62"/>
  <c r="H24" i="62"/>
  <c r="H25" i="62"/>
  <c r="H26" i="62"/>
  <c r="H27" i="62"/>
  <c r="H28" i="62"/>
  <c r="H29" i="62"/>
  <c r="H30" i="62"/>
  <c r="H31" i="62"/>
  <c r="H679" i="62"/>
  <c r="H680" i="62"/>
  <c r="H681" i="62"/>
  <c r="H682" i="62"/>
  <c r="H683" i="62"/>
  <c r="H766" i="62"/>
  <c r="H420" i="62"/>
  <c r="H421" i="62"/>
  <c r="H422" i="62"/>
  <c r="H692" i="62"/>
  <c r="H693" i="62"/>
  <c r="H694" i="62"/>
  <c r="H695" i="62"/>
  <c r="H696" i="62"/>
  <c r="H697" i="62"/>
  <c r="H698" i="62"/>
  <c r="H428" i="62"/>
  <c r="H429" i="62"/>
  <c r="H13" i="62"/>
  <c r="H423" i="62"/>
  <c r="H14" i="62"/>
  <c r="H15" i="62"/>
  <c r="H16" i="62"/>
  <c r="H35" i="62"/>
  <c r="H36" i="62"/>
  <c r="H37" i="62"/>
  <c r="H38" i="62"/>
  <c r="H39" i="62"/>
  <c r="H40" i="62"/>
  <c r="H41" i="62"/>
  <c r="H465" i="62"/>
  <c r="H767" i="62"/>
  <c r="H466" i="62"/>
  <c r="H684" i="62"/>
  <c r="H148" i="62"/>
  <c r="H149" i="62"/>
  <c r="H150" i="62"/>
  <c r="H151" i="62"/>
  <c r="H152" i="62"/>
  <c r="H153" i="62"/>
  <c r="H154" i="62"/>
  <c r="H155" i="62"/>
  <c r="H156" i="62"/>
  <c r="H157" i="62"/>
  <c r="H415" i="62"/>
  <c r="H158" i="62"/>
  <c r="H314" i="62"/>
  <c r="H315" i="62"/>
  <c r="H316" i="62"/>
  <c r="H317" i="62"/>
  <c r="H318" i="62"/>
  <c r="H319" i="62"/>
  <c r="H320" i="62"/>
  <c r="H321" i="62"/>
  <c r="H322" i="62"/>
  <c r="H323" i="62"/>
  <c r="H324" i="62"/>
  <c r="H325" i="62"/>
  <c r="H326" i="62"/>
  <c r="H327" i="62"/>
  <c r="H328" i="62"/>
  <c r="H329" i="62"/>
  <c r="H330" i="62"/>
  <c r="H331" i="62"/>
  <c r="H332" i="62"/>
  <c r="H333" i="62"/>
  <c r="H334" i="62"/>
  <c r="H335" i="62"/>
  <c r="H336" i="62"/>
  <c r="H337" i="62"/>
  <c r="H338" i="62"/>
  <c r="H339" i="62"/>
  <c r="H340" i="62"/>
  <c r="H341" i="62"/>
  <c r="H342" i="62"/>
  <c r="H343" i="62"/>
  <c r="H344" i="62"/>
  <c r="H345" i="62"/>
  <c r="H346" i="62"/>
  <c r="H347" i="62"/>
  <c r="H348" i="62"/>
  <c r="H349" i="62"/>
  <c r="H350" i="62"/>
  <c r="H351" i="62"/>
  <c r="H352" i="62"/>
  <c r="H353" i="62"/>
  <c r="H354" i="62"/>
  <c r="H355" i="62"/>
  <c r="H356" i="62"/>
  <c r="H357" i="62"/>
  <c r="H358" i="62"/>
  <c r="H359" i="62"/>
  <c r="H360" i="62"/>
  <c r="H361" i="62"/>
  <c r="H362" i="62"/>
  <c r="H363" i="62"/>
  <c r="H108" i="62"/>
  <c r="H109" i="62"/>
  <c r="H110" i="62"/>
  <c r="H111" i="62"/>
  <c r="H112" i="62"/>
  <c r="H113" i="62"/>
  <c r="H114" i="62"/>
  <c r="H655" i="62"/>
  <c r="H416" i="62"/>
  <c r="H417" i="62"/>
  <c r="H418" i="62"/>
  <c r="H725" i="62"/>
  <c r="H726" i="62"/>
  <c r="H727" i="62"/>
  <c r="H728" i="62"/>
  <c r="H729" i="62"/>
  <c r="H730" i="62"/>
  <c r="H731" i="62"/>
  <c r="H732" i="62"/>
  <c r="H733" i="62"/>
  <c r="H734" i="62"/>
  <c r="H735" i="62"/>
  <c r="H736" i="62"/>
  <c r="H737" i="62"/>
  <c r="H738" i="62"/>
  <c r="H739" i="62"/>
  <c r="H740" i="62"/>
  <c r="H741" i="62"/>
  <c r="H742" i="62"/>
  <c r="H743" i="62"/>
  <c r="H744" i="62"/>
  <c r="H745" i="62"/>
  <c r="H746" i="62"/>
  <c r="H747" i="62"/>
  <c r="H748" i="62"/>
  <c r="H749" i="62"/>
  <c r="H750" i="62"/>
  <c r="H751" i="62"/>
  <c r="H752" i="62"/>
  <c r="H753" i="62"/>
  <c r="H754" i="62"/>
  <c r="H755" i="62"/>
  <c r="H756" i="62"/>
  <c r="H757" i="62"/>
  <c r="H758" i="62"/>
  <c r="H759" i="62"/>
  <c r="H509" i="62"/>
  <c r="H760" i="62"/>
  <c r="H761" i="62"/>
  <c r="H762" i="62"/>
  <c r="H494" i="62"/>
  <c r="H495" i="62"/>
  <c r="H496" i="62"/>
  <c r="H497" i="62"/>
  <c r="H498" i="62"/>
  <c r="H499" i="62"/>
  <c r="H500" i="62"/>
  <c r="H501" i="62"/>
  <c r="H502" i="62"/>
  <c r="H503" i="62"/>
  <c r="H504" i="62"/>
  <c r="H505" i="62"/>
  <c r="H506" i="62"/>
  <c r="H507" i="62"/>
  <c r="H508" i="62"/>
  <c r="H2" i="62"/>
  <c r="H3" i="62"/>
  <c r="H4" i="62"/>
  <c r="H5" i="62"/>
  <c r="H6" i="62"/>
  <c r="H7" i="62"/>
  <c r="H8" i="62"/>
  <c r="H9" i="62"/>
  <c r="H10" i="62"/>
  <c r="H770" i="62"/>
  <c r="H771" i="62"/>
  <c r="H772" i="62"/>
  <c r="H773" i="62"/>
  <c r="H774" i="62"/>
  <c r="H775" i="62"/>
  <c r="H776" i="62"/>
  <c r="H777" i="62"/>
  <c r="H778" i="62"/>
  <c r="H779" i="62"/>
  <c r="H780" i="62"/>
  <c r="H781" i="62"/>
  <c r="H782" i="62"/>
  <c r="H365" i="62"/>
  <c r="H366" i="62"/>
  <c r="H367" i="62"/>
  <c r="H368" i="62"/>
  <c r="H785" i="62"/>
  <c r="H786" i="62"/>
  <c r="H196" i="62"/>
  <c r="H197" i="62"/>
  <c r="H198" i="62"/>
  <c r="H199" i="62"/>
  <c r="H200" i="62"/>
  <c r="H201" i="62"/>
  <c r="H202" i="62"/>
  <c r="H203" i="62"/>
  <c r="H204" i="62"/>
  <c r="H205" i="62"/>
  <c r="H206" i="62"/>
  <c r="H207" i="62"/>
  <c r="H208" i="62"/>
  <c r="H209" i="62"/>
  <c r="H210" i="62"/>
  <c r="H211" i="62"/>
  <c r="H212" i="62"/>
  <c r="H213" i="62"/>
  <c r="H214" i="62"/>
  <c r="H215" i="62"/>
  <c r="H216" i="62"/>
  <c r="H217" i="62"/>
  <c r="H218" i="62"/>
  <c r="H219" i="62"/>
  <c r="H220" i="62"/>
  <c r="H221" i="62"/>
  <c r="H222" i="62"/>
  <c r="H223" i="62"/>
  <c r="H224" i="62"/>
  <c r="H225" i="62"/>
  <c r="H226" i="62"/>
  <c r="H227" i="62"/>
  <c r="H228" i="62"/>
  <c r="H229" i="62"/>
  <c r="H230" i="62"/>
  <c r="H231" i="62"/>
  <c r="H232" i="62"/>
  <c r="H233" i="62"/>
  <c r="H234" i="62"/>
  <c r="H235" i="62"/>
  <c r="H236" i="62"/>
  <c r="H237" i="62"/>
  <c r="H238" i="62"/>
  <c r="H239" i="62"/>
  <c r="H240" i="62"/>
  <c r="H241" i="62"/>
  <c r="H242" i="62"/>
  <c r="H243" i="62"/>
  <c r="H244" i="62"/>
  <c r="H245" i="62"/>
  <c r="H246" i="62"/>
  <c r="H247" i="62"/>
  <c r="H248" i="62"/>
  <c r="H249" i="62"/>
  <c r="H250" i="62"/>
  <c r="H251" i="62"/>
  <c r="H252" i="62"/>
  <c r="H253" i="62"/>
  <c r="H254" i="62"/>
  <c r="H255" i="62"/>
  <c r="H256" i="62"/>
  <c r="H257" i="62"/>
  <c r="H258" i="62"/>
  <c r="H259" i="62"/>
  <c r="H260" i="62"/>
  <c r="H261" i="62"/>
  <c r="H262" i="62"/>
  <c r="H263" i="62"/>
  <c r="H264" i="62"/>
  <c r="H265" i="62"/>
  <c r="H266" i="62"/>
  <c r="H267" i="62"/>
  <c r="H268" i="62"/>
  <c r="H269" i="62"/>
  <c r="H270" i="62"/>
  <c r="H271" i="62"/>
  <c r="H272" i="62"/>
  <c r="H273" i="62"/>
  <c r="H369" i="62"/>
  <c r="H274" i="62"/>
  <c r="H275" i="62"/>
  <c r="H276" i="62"/>
  <c r="H277" i="62"/>
  <c r="H278" i="62"/>
  <c r="H279" i="62"/>
  <c r="H280" i="62"/>
  <c r="H281" i="62"/>
  <c r="H282" i="62"/>
  <c r="H283" i="62"/>
  <c r="H284" i="62"/>
  <c r="H285" i="62"/>
  <c r="H286" i="62"/>
  <c r="H287" i="62"/>
  <c r="H288" i="62"/>
  <c r="H289" i="62"/>
  <c r="H290" i="62"/>
  <c r="H291" i="62"/>
  <c r="H292" i="62"/>
  <c r="H293" i="62"/>
  <c r="H294" i="62"/>
  <c r="H295" i="62"/>
  <c r="H296" i="62"/>
  <c r="H297" i="62"/>
  <c r="H298" i="62"/>
  <c r="H299" i="62"/>
  <c r="H300" i="62"/>
  <c r="H435" i="62"/>
  <c r="H436" i="62"/>
  <c r="H437" i="62"/>
  <c r="H438" i="62"/>
  <c r="H439" i="62"/>
  <c r="H440" i="62"/>
  <c r="H441" i="62"/>
  <c r="H442" i="62"/>
  <c r="H443" i="62"/>
  <c r="H444" i="62"/>
  <c r="H445" i="62"/>
  <c r="H446" i="62"/>
  <c r="H447" i="62"/>
  <c r="H448" i="62"/>
  <c r="H449" i="62"/>
  <c r="H450" i="62"/>
  <c r="H451" i="62"/>
  <c r="H510" i="62"/>
  <c r="H511" i="62"/>
  <c r="H512" i="62"/>
  <c r="H513" i="62"/>
  <c r="H514" i="62"/>
  <c r="H515" i="62"/>
  <c r="H516" i="62"/>
  <c r="H517" i="62"/>
  <c r="H518" i="62"/>
  <c r="H519" i="62"/>
  <c r="H520" i="62"/>
  <c r="H521" i="62"/>
  <c r="H522" i="62"/>
  <c r="H523" i="62"/>
  <c r="H524" i="62"/>
  <c r="H525" i="62"/>
  <c r="H526" i="62"/>
  <c r="H527" i="62"/>
  <c r="H528" i="62"/>
  <c r="H44" i="62"/>
  <c r="H45" i="62"/>
  <c r="H46" i="62"/>
  <c r="H47" i="62"/>
  <c r="H48" i="62"/>
  <c r="H49" i="62"/>
  <c r="H50" i="62"/>
  <c r="H51" i="62"/>
  <c r="H52" i="62"/>
  <c r="H53" i="62"/>
  <c r="H54" i="62"/>
  <c r="H55" i="62"/>
  <c r="H580" i="62"/>
  <c r="H581" i="62"/>
  <c r="H582" i="62"/>
  <c r="H583" i="62"/>
  <c r="H584" i="62"/>
  <c r="H585" i="62"/>
  <c r="H587" i="62"/>
  <c r="H588" i="62"/>
  <c r="H589" i="62"/>
  <c r="H590" i="62"/>
  <c r="H20" i="62"/>
  <c r="H21" i="62"/>
  <c r="H674" i="62"/>
  <c r="H675" i="62"/>
  <c r="H707" i="62"/>
  <c r="H708" i="62"/>
  <c r="H709" i="62"/>
  <c r="H710" i="62"/>
  <c r="H711" i="62"/>
  <c r="H712" i="62"/>
  <c r="H713" i="62"/>
  <c r="H714" i="62"/>
  <c r="H715" i="62"/>
  <c r="H716" i="62"/>
  <c r="H717" i="62"/>
  <c r="H718" i="62"/>
  <c r="H719" i="62"/>
  <c r="H720" i="62"/>
  <c r="H721" i="62"/>
  <c r="H722" i="62"/>
  <c r="H723" i="62"/>
  <c r="H724" i="62"/>
  <c r="H91" i="62"/>
  <c r="H92" i="62"/>
  <c r="H93" i="62"/>
  <c r="H94" i="62"/>
  <c r="H95" i="62"/>
  <c r="H96" i="62"/>
  <c r="H97" i="62"/>
  <c r="H98" i="62"/>
  <c r="H99" i="62"/>
  <c r="H100" i="62"/>
  <c r="H101" i="62"/>
  <c r="H102" i="62"/>
  <c r="H370" i="62"/>
  <c r="H116" i="62"/>
  <c r="H117" i="62"/>
  <c r="H118" i="62"/>
  <c r="H119" i="62"/>
  <c r="H371" i="62"/>
  <c r="H120" i="62"/>
  <c r="H121" i="62"/>
  <c r="H122" i="62"/>
  <c r="H123" i="62"/>
  <c r="H124" i="62"/>
  <c r="H372" i="62"/>
  <c r="H103" i="62"/>
  <c r="H373" i="62"/>
  <c r="H374" i="62"/>
  <c r="H125" i="62"/>
  <c r="H375" i="62"/>
  <c r="H376" i="62"/>
  <c r="H126" i="62"/>
  <c r="H127" i="62"/>
  <c r="H377" i="62"/>
  <c r="H378" i="62"/>
  <c r="H379" i="62"/>
  <c r="H128" i="62"/>
  <c r="H380" i="62"/>
  <c r="H561" i="62"/>
  <c r="H562" i="62"/>
  <c r="H563" i="62"/>
  <c r="H564" i="62"/>
  <c r="H565" i="62"/>
  <c r="H566" i="62"/>
  <c r="H686" i="62"/>
  <c r="H687" i="62"/>
  <c r="H688" i="62"/>
  <c r="H689" i="62"/>
  <c r="H690" i="62"/>
  <c r="H685" i="62"/>
  <c r="H577" i="62"/>
  <c r="H578" i="62"/>
  <c r="H656" i="62"/>
  <c r="H657" i="62"/>
  <c r="H658" i="62"/>
  <c r="H659" i="62"/>
  <c r="H660" i="62"/>
  <c r="H661" i="62"/>
  <c r="H662" i="62"/>
  <c r="H12" i="62"/>
  <c r="H162" i="62"/>
  <c r="H593" i="62"/>
  <c r="H594" i="62"/>
  <c r="H595" i="62"/>
  <c r="H596" i="62"/>
  <c r="H597" i="62"/>
  <c r="H598" i="62"/>
  <c r="H599" i="62"/>
  <c r="H600" i="62"/>
  <c r="H567" i="62"/>
  <c r="H568" i="62"/>
  <c r="H569" i="62"/>
  <c r="H570" i="62"/>
  <c r="H181" i="62"/>
  <c r="H182" i="62"/>
  <c r="H183" i="62"/>
  <c r="H184" i="62"/>
  <c r="H185" i="62"/>
  <c r="H56" i="62"/>
  <c r="H61" i="62"/>
  <c r="H62" i="62"/>
  <c r="H63" i="62"/>
  <c r="H64" i="62"/>
  <c r="H65" i="62"/>
  <c r="H66" i="62"/>
  <c r="H67" i="62"/>
  <c r="H68" i="62"/>
  <c r="H69" i="62"/>
  <c r="H70" i="62"/>
  <c r="H71" i="62"/>
  <c r="H163" i="62"/>
  <c r="H164" i="62"/>
  <c r="H165" i="62"/>
  <c r="H166" i="62"/>
  <c r="H193" i="62"/>
  <c r="H467" i="62"/>
  <c r="H468" i="62"/>
  <c r="H469" i="62"/>
  <c r="H470" i="62"/>
  <c r="H471" i="62"/>
  <c r="H472" i="62"/>
  <c r="H473" i="62"/>
  <c r="H474" i="62"/>
  <c r="H194" i="62"/>
  <c r="H602" i="62"/>
  <c r="H603" i="62"/>
  <c r="H604" i="62"/>
  <c r="H571" i="62"/>
  <c r="H605" i="62"/>
  <c r="H572" i="62"/>
  <c r="H573" i="62"/>
  <c r="H76" i="62"/>
  <c r="H77" i="62"/>
  <c r="H78" i="62"/>
  <c r="H79" i="62"/>
  <c r="H80" i="62"/>
  <c r="H81" i="62"/>
  <c r="H82" i="62"/>
  <c r="H83" i="62"/>
  <c r="H84" i="62"/>
  <c r="H169" i="62"/>
  <c r="H170" i="62"/>
  <c r="H171" i="62"/>
  <c r="H172" i="62"/>
  <c r="H455" i="62"/>
  <c r="H456" i="62"/>
  <c r="H665" i="62"/>
  <c r="H699" i="62"/>
  <c r="H700" i="62"/>
  <c r="H701" i="62"/>
  <c r="H768" i="62"/>
  <c r="H769" i="62"/>
  <c r="H115" i="62"/>
  <c r="H147" i="62"/>
  <c r="H763" i="62"/>
  <c r="H57" i="62"/>
  <c r="H186" i="62"/>
  <c r="H32" i="62"/>
  <c r="H301" i="62"/>
  <c r="H607" i="62"/>
  <c r="H608" i="62"/>
  <c r="H609" i="62"/>
  <c r="H575" i="62"/>
  <c r="H676" i="62"/>
  <c r="H532" i="62"/>
  <c r="H533" i="62"/>
  <c r="H534" i="62"/>
  <c r="H134" i="62"/>
  <c r="H430" i="62"/>
  <c r="H431" i="62"/>
  <c r="H432" i="62"/>
  <c r="H433" i="62"/>
  <c r="H33" i="62"/>
  <c r="H34" i="62"/>
  <c r="H677" i="62"/>
  <c r="H678" i="62"/>
  <c r="H419" i="62"/>
  <c r="H691" i="62"/>
  <c r="H424" i="62"/>
  <c r="H425" i="62"/>
  <c r="H426" i="62"/>
  <c r="H427" i="62"/>
  <c r="H462" i="62"/>
  <c r="H17" i="62"/>
  <c r="H18" i="62"/>
  <c r="H19" i="62"/>
  <c r="H42" i="62"/>
  <c r="H463" i="62"/>
  <c r="H43" i="62"/>
  <c r="H464" i="62"/>
  <c r="H764" i="62"/>
  <c r="H765" i="62"/>
  <c r="H159" i="62"/>
  <c r="H160" i="62"/>
  <c r="H161" i="62"/>
  <c r="H409" i="62"/>
  <c r="H410" i="62"/>
  <c r="H411" i="62"/>
  <c r="H412" i="62"/>
  <c r="H413" i="62"/>
  <c r="H414" i="62"/>
  <c r="H486" i="62"/>
  <c r="H487" i="62"/>
  <c r="H488" i="62"/>
  <c r="H489" i="62"/>
  <c r="H490" i="62"/>
  <c r="H491" i="62"/>
  <c r="H492" i="62"/>
  <c r="H493" i="62"/>
  <c r="H11" i="62"/>
  <c r="H364" i="62"/>
  <c r="H783" i="62"/>
  <c r="H784" i="62"/>
  <c r="H302" i="62"/>
  <c r="H303" i="62"/>
  <c r="H304" i="62"/>
  <c r="H305" i="62"/>
  <c r="H306" i="62"/>
  <c r="H307" i="62"/>
  <c r="H308" i="62"/>
  <c r="H309" i="62"/>
  <c r="H310" i="62"/>
  <c r="H311" i="62"/>
  <c r="H312" i="62"/>
  <c r="H313" i="62"/>
  <c r="H452" i="62"/>
  <c r="H453" i="62"/>
  <c r="H454" i="62"/>
  <c r="H529" i="62"/>
  <c r="H530" i="62"/>
  <c r="H531" i="62"/>
  <c r="H58" i="62"/>
  <c r="H59" i="62"/>
  <c r="H586" i="62"/>
  <c r="H591" i="62"/>
  <c r="H592" i="62"/>
  <c r="H673" i="62"/>
  <c r="H104" i="62"/>
  <c r="H105" i="62"/>
  <c r="H106" i="62"/>
  <c r="H107" i="62"/>
  <c r="H381" i="62"/>
  <c r="H129" i="62"/>
  <c r="H382" i="62"/>
  <c r="H383" i="62"/>
  <c r="H384" i="62"/>
  <c r="H385" i="62"/>
  <c r="H130" i="62"/>
  <c r="H386" i="62"/>
  <c r="H387" i="62"/>
  <c r="H388" i="62"/>
  <c r="H389" i="62"/>
  <c r="H390" i="62"/>
  <c r="H391" i="62"/>
  <c r="H131" i="62"/>
  <c r="H392" i="62"/>
  <c r="H393" i="62"/>
  <c r="H394" i="62"/>
  <c r="H395" i="62"/>
  <c r="H396" i="62"/>
  <c r="H397" i="62"/>
  <c r="H398" i="62"/>
  <c r="H399" i="62"/>
  <c r="H400" i="62"/>
  <c r="H401" i="62"/>
  <c r="H402" i="62"/>
  <c r="H403" i="62"/>
  <c r="H404" i="62"/>
  <c r="H405" i="62"/>
  <c r="H406" i="62"/>
  <c r="H407" i="62"/>
  <c r="H408" i="62"/>
  <c r="H579" i="62"/>
  <c r="H663" i="62"/>
  <c r="H664" i="62"/>
  <c r="H601" i="62"/>
  <c r="H187" i="62"/>
  <c r="H188" i="62"/>
  <c r="H189" i="62"/>
  <c r="H190" i="62"/>
  <c r="H191" i="62"/>
  <c r="H192" i="62"/>
  <c r="H72" i="62"/>
  <c r="H60" i="62"/>
  <c r="H73" i="62"/>
  <c r="H74" i="62"/>
  <c r="H167" i="62"/>
  <c r="H168" i="62"/>
  <c r="H475" i="62"/>
  <c r="H476" i="62"/>
  <c r="H477" i="62"/>
  <c r="H478" i="62"/>
  <c r="H479" i="62"/>
  <c r="H480" i="62"/>
  <c r="H481" i="62"/>
  <c r="H482" i="62"/>
  <c r="H483" i="62"/>
  <c r="H484" i="62"/>
  <c r="H195" i="62"/>
  <c r="H606" i="62"/>
  <c r="H559" i="62"/>
  <c r="H560" i="62"/>
  <c r="H574" i="62"/>
  <c r="H85" i="62"/>
  <c r="H86" i="62"/>
  <c r="H87" i="62"/>
  <c r="H88" i="62"/>
  <c r="H89" i="62"/>
  <c r="H90" i="62"/>
  <c r="H173" i="62"/>
  <c r="H174" i="62"/>
  <c r="H175" i="62"/>
  <c r="H176" i="62"/>
  <c r="H177" i="62"/>
  <c r="H178" i="62"/>
  <c r="H179" i="62"/>
  <c r="H457" i="62"/>
  <c r="H458" i="62"/>
  <c r="H459" i="62"/>
  <c r="H460" i="62"/>
  <c r="H461" i="62"/>
  <c r="H666" i="62"/>
  <c r="H667" i="62"/>
  <c r="H668" i="62"/>
  <c r="H669" i="62"/>
  <c r="H670" i="62"/>
  <c r="H671" i="62"/>
  <c r="H672" i="62"/>
  <c r="H702" i="62"/>
  <c r="H703" i="62"/>
  <c r="H704" i="62"/>
  <c r="H180" i="62"/>
  <c r="H705" i="62"/>
  <c r="H706" i="62"/>
  <c r="H132" i="62"/>
  <c r="H133" i="62"/>
  <c r="H75" i="62"/>
  <c r="H485" i="62"/>
  <c r="G611" i="62"/>
  <c r="G612" i="62"/>
  <c r="G613" i="62"/>
  <c r="G614" i="62"/>
  <c r="G615" i="62"/>
  <c r="G616" i="62"/>
  <c r="G617" i="62"/>
  <c r="G618" i="62"/>
  <c r="G619" i="62"/>
  <c r="G620" i="62"/>
  <c r="G621" i="62"/>
  <c r="G622" i="62"/>
  <c r="G623" i="62"/>
  <c r="G624" i="62"/>
  <c r="G625" i="62"/>
  <c r="G626" i="62"/>
  <c r="G607" i="62"/>
  <c r="G608" i="62"/>
  <c r="G627" i="62"/>
  <c r="G628" i="62"/>
  <c r="G629" i="62"/>
  <c r="G630" i="62"/>
  <c r="G631" i="62"/>
  <c r="G632" i="62"/>
  <c r="G609" i="62"/>
  <c r="G633" i="62"/>
  <c r="G634" i="62"/>
  <c r="G635" i="62"/>
  <c r="G575" i="62"/>
  <c r="G636" i="62"/>
  <c r="G637" i="62"/>
  <c r="G638" i="62"/>
  <c r="G639" i="62"/>
  <c r="G640" i="62"/>
  <c r="G676" i="62"/>
  <c r="G641" i="62"/>
  <c r="G642" i="62"/>
  <c r="G643" i="62"/>
  <c r="G644" i="62"/>
  <c r="G576" i="62"/>
  <c r="G645" i="62"/>
  <c r="G646" i="62"/>
  <c r="G647" i="62"/>
  <c r="G648" i="62"/>
  <c r="G649" i="62"/>
  <c r="G650" i="62"/>
  <c r="G651" i="62"/>
  <c r="G652" i="62"/>
  <c r="G653" i="62"/>
  <c r="G654" i="62"/>
  <c r="G535" i="62"/>
  <c r="G536" i="62"/>
  <c r="G532" i="62"/>
  <c r="G537" i="62"/>
  <c r="G538" i="62"/>
  <c r="G539" i="62"/>
  <c r="G540" i="62"/>
  <c r="G541" i="62"/>
  <c r="G542" i="62"/>
  <c r="G543" i="62"/>
  <c r="G533" i="62"/>
  <c r="G544" i="62"/>
  <c r="G534" i="62"/>
  <c r="G545" i="62"/>
  <c r="G546" i="62"/>
  <c r="G547" i="62"/>
  <c r="G548" i="62"/>
  <c r="G549" i="62"/>
  <c r="G550" i="62"/>
  <c r="G551" i="62"/>
  <c r="G552" i="62"/>
  <c r="G553" i="62"/>
  <c r="G554" i="62"/>
  <c r="G555" i="62"/>
  <c r="G556" i="62"/>
  <c r="G557" i="62"/>
  <c r="G558" i="62"/>
  <c r="G135" i="62"/>
  <c r="G136" i="62"/>
  <c r="G137" i="62"/>
  <c r="G138" i="62"/>
  <c r="G139" i="62"/>
  <c r="G140" i="62"/>
  <c r="G141" i="62"/>
  <c r="G134" i="62"/>
  <c r="G142" i="62"/>
  <c r="G143" i="62"/>
  <c r="G144" i="62"/>
  <c r="G145" i="62"/>
  <c r="G146" i="62"/>
  <c r="G430" i="62"/>
  <c r="G431" i="62"/>
  <c r="G432" i="62"/>
  <c r="G433" i="62"/>
  <c r="G434" i="62"/>
  <c r="G22" i="62"/>
  <c r="G23" i="62"/>
  <c r="G24" i="62"/>
  <c r="G25" i="62"/>
  <c r="G33" i="62"/>
  <c r="G26" i="62"/>
  <c r="G34" i="62"/>
  <c r="G27" i="62"/>
  <c r="G28" i="62"/>
  <c r="G29" i="62"/>
  <c r="G30" i="62"/>
  <c r="G31" i="62"/>
  <c r="G679" i="62"/>
  <c r="G680" i="62"/>
  <c r="G677" i="62"/>
  <c r="G678" i="62"/>
  <c r="G681" i="62"/>
  <c r="G682" i="62"/>
  <c r="G683" i="62"/>
  <c r="G766" i="62"/>
  <c r="G420" i="62"/>
  <c r="G421" i="62"/>
  <c r="G419" i="62"/>
  <c r="G422" i="62"/>
  <c r="G692" i="62"/>
  <c r="G693" i="62"/>
  <c r="G694" i="62"/>
  <c r="G695" i="62"/>
  <c r="G696" i="62"/>
  <c r="G697" i="62"/>
  <c r="G691" i="62"/>
  <c r="G698" i="62"/>
  <c r="G424" i="62"/>
  <c r="G428" i="62"/>
  <c r="G429" i="62"/>
  <c r="G425" i="62"/>
  <c r="G426" i="62"/>
  <c r="G427" i="62"/>
  <c r="G462" i="62"/>
  <c r="G17" i="62"/>
  <c r="G13" i="62"/>
  <c r="G18" i="62"/>
  <c r="G423" i="62"/>
  <c r="G14" i="62"/>
  <c r="G15" i="62"/>
  <c r="G19" i="62"/>
  <c r="G16" i="62"/>
  <c r="G35" i="62"/>
  <c r="G42" i="62"/>
  <c r="G463" i="62"/>
  <c r="G36" i="62"/>
  <c r="G37" i="62"/>
  <c r="G38" i="62"/>
  <c r="G39" i="62"/>
  <c r="G43" i="62"/>
  <c r="G40" i="62"/>
  <c r="G41" i="62"/>
  <c r="G464" i="62"/>
  <c r="G465" i="62"/>
  <c r="G764" i="62"/>
  <c r="G767" i="62"/>
  <c r="G765" i="62"/>
  <c r="G466" i="62"/>
  <c r="G684" i="62"/>
  <c r="G159" i="62"/>
  <c r="G148" i="62"/>
  <c r="G149" i="62"/>
  <c r="G150" i="62"/>
  <c r="G151" i="62"/>
  <c r="G152" i="62"/>
  <c r="G153" i="62"/>
  <c r="G160" i="62"/>
  <c r="G154" i="62"/>
  <c r="G155" i="62"/>
  <c r="G156" i="62"/>
  <c r="G157" i="62"/>
  <c r="G415" i="62"/>
  <c r="G158" i="62"/>
  <c r="G161" i="62"/>
  <c r="G314" i="62"/>
  <c r="G315" i="62"/>
  <c r="G316" i="62"/>
  <c r="G317" i="62"/>
  <c r="G318" i="62"/>
  <c r="G319" i="62"/>
  <c r="G320" i="62"/>
  <c r="G321" i="62"/>
  <c r="G322" i="62"/>
  <c r="G323" i="62"/>
  <c r="G324" i="62"/>
  <c r="G325" i="62"/>
  <c r="G326" i="62"/>
  <c r="G327" i="62"/>
  <c r="G328" i="62"/>
  <c r="G329" i="62"/>
  <c r="G330" i="62"/>
  <c r="G331" i="62"/>
  <c r="G332" i="62"/>
  <c r="G333" i="62"/>
  <c r="G334" i="62"/>
  <c r="G335" i="62"/>
  <c r="G336" i="62"/>
  <c r="G337" i="62"/>
  <c r="G338" i="62"/>
  <c r="G339" i="62"/>
  <c r="G340" i="62"/>
  <c r="G341" i="62"/>
  <c r="G342" i="62"/>
  <c r="G343" i="62"/>
  <c r="G344" i="62"/>
  <c r="G345" i="62"/>
  <c r="G346" i="62"/>
  <c r="G347" i="62"/>
  <c r="G348" i="62"/>
  <c r="G349" i="62"/>
  <c r="G350" i="62"/>
  <c r="G351" i="62"/>
  <c r="G352" i="62"/>
  <c r="G353" i="62"/>
  <c r="G354" i="62"/>
  <c r="G355" i="62"/>
  <c r="G356" i="62"/>
  <c r="G357" i="62"/>
  <c r="G358" i="62"/>
  <c r="G359" i="62"/>
  <c r="G360" i="62"/>
  <c r="G361" i="62"/>
  <c r="G362" i="62"/>
  <c r="G363" i="62"/>
  <c r="G108" i="62"/>
  <c r="G109" i="62"/>
  <c r="G110" i="62"/>
  <c r="G111" i="62"/>
  <c r="G112" i="62"/>
  <c r="G113" i="62"/>
  <c r="G114" i="62"/>
  <c r="G409" i="62"/>
  <c r="G410" i="62"/>
  <c r="G655" i="62"/>
  <c r="G411" i="62"/>
  <c r="G416" i="62"/>
  <c r="G412" i="62"/>
  <c r="G417" i="62"/>
  <c r="G413" i="62"/>
  <c r="G418" i="62"/>
  <c r="G414" i="62"/>
  <c r="G725" i="62"/>
  <c r="G726" i="62"/>
  <c r="G727" i="62"/>
  <c r="G728" i="62"/>
  <c r="G729" i="62"/>
  <c r="G730" i="62"/>
  <c r="G731" i="62"/>
  <c r="G732" i="62"/>
  <c r="G733" i="62"/>
  <c r="G734" i="62"/>
  <c r="G735" i="62"/>
  <c r="G736" i="62"/>
  <c r="G737" i="62"/>
  <c r="G738" i="62"/>
  <c r="G739" i="62"/>
  <c r="G740" i="62"/>
  <c r="G741" i="62"/>
  <c r="G742" i="62"/>
  <c r="G743" i="62"/>
  <c r="G744" i="62"/>
  <c r="G745" i="62"/>
  <c r="G746" i="62"/>
  <c r="G747" i="62"/>
  <c r="G748" i="62"/>
  <c r="G749" i="62"/>
  <c r="G750" i="62"/>
  <c r="G751" i="62"/>
  <c r="G752" i="62"/>
  <c r="G753" i="62"/>
  <c r="G754" i="62"/>
  <c r="G755" i="62"/>
  <c r="G756" i="62"/>
  <c r="G757" i="62"/>
  <c r="G758" i="62"/>
  <c r="G759" i="62"/>
  <c r="G509" i="62"/>
  <c r="G760" i="62"/>
  <c r="G761" i="62"/>
  <c r="G762" i="62"/>
  <c r="G494" i="62"/>
  <c r="G486" i="62"/>
  <c r="G495" i="62"/>
  <c r="G496" i="62"/>
  <c r="G497" i="62"/>
  <c r="G498" i="62"/>
  <c r="G487" i="62"/>
  <c r="G499" i="62"/>
  <c r="G488" i="62"/>
  <c r="G500" i="62"/>
  <c r="G501" i="62"/>
  <c r="G502" i="62"/>
  <c r="G489" i="62"/>
  <c r="G503" i="62"/>
  <c r="G504" i="62"/>
  <c r="G490" i="62"/>
  <c r="G505" i="62"/>
  <c r="G491" i="62"/>
  <c r="G506" i="62"/>
  <c r="G507" i="62"/>
  <c r="G492" i="62"/>
  <c r="G493" i="62"/>
  <c r="G508" i="62"/>
  <c r="G2" i="62"/>
  <c r="G3" i="62"/>
  <c r="G11" i="62"/>
  <c r="G4" i="62"/>
  <c r="G5" i="62"/>
  <c r="G6" i="62"/>
  <c r="G7" i="62"/>
  <c r="G8" i="62"/>
  <c r="G9" i="62"/>
  <c r="G10" i="62"/>
  <c r="G770" i="62"/>
  <c r="G771" i="62"/>
  <c r="G772" i="62"/>
  <c r="G773" i="62"/>
  <c r="G774" i="62"/>
  <c r="G775" i="62"/>
  <c r="G776" i="62"/>
  <c r="G777" i="62"/>
  <c r="G778" i="62"/>
  <c r="G779" i="62"/>
  <c r="G780" i="62"/>
  <c r="G781" i="62"/>
  <c r="G782" i="62"/>
  <c r="G364" i="62"/>
  <c r="G365" i="62"/>
  <c r="G366" i="62"/>
  <c r="G367" i="62"/>
  <c r="G368" i="62"/>
  <c r="G785" i="62"/>
  <c r="G783" i="62"/>
  <c r="G786" i="62"/>
  <c r="G784" i="62"/>
  <c r="G196" i="62"/>
  <c r="G197" i="62"/>
  <c r="G198" i="62"/>
  <c r="G199" i="62"/>
  <c r="G200" i="62"/>
  <c r="G302" i="62"/>
  <c r="G201" i="62"/>
  <c r="G202" i="62"/>
  <c r="G203" i="62"/>
  <c r="G303" i="62"/>
  <c r="G204" i="62"/>
  <c r="G205" i="62"/>
  <c r="G206" i="62"/>
  <c r="G207" i="62"/>
  <c r="G208" i="62"/>
  <c r="G209" i="62"/>
  <c r="G210" i="62"/>
  <c r="G211" i="62"/>
  <c r="G304" i="62"/>
  <c r="G212" i="62"/>
  <c r="G213" i="62"/>
  <c r="G214" i="62"/>
  <c r="G215" i="62"/>
  <c r="G216" i="62"/>
  <c r="G217" i="62"/>
  <c r="G218" i="62"/>
  <c r="G219" i="62"/>
  <c r="G220" i="62"/>
  <c r="G221" i="62"/>
  <c r="G305" i="62"/>
  <c r="G222" i="62"/>
  <c r="G223" i="62"/>
  <c r="G224" i="62"/>
  <c r="G225" i="62"/>
  <c r="G226" i="62"/>
  <c r="G227" i="62"/>
  <c r="G228" i="62"/>
  <c r="G306" i="62"/>
  <c r="G229" i="62"/>
  <c r="G307" i="62"/>
  <c r="G230" i="62"/>
  <c r="G308" i="62"/>
  <c r="G231" i="62"/>
  <c r="G232" i="62"/>
  <c r="G233" i="62"/>
  <c r="G234" i="62"/>
  <c r="G235" i="62"/>
  <c r="G236" i="62"/>
  <c r="G237" i="62"/>
  <c r="G238" i="62"/>
  <c r="G239" i="62"/>
  <c r="G240" i="62"/>
  <c r="G241" i="62"/>
  <c r="G242" i="62"/>
  <c r="G243" i="62"/>
  <c r="G244" i="62"/>
  <c r="G245" i="62"/>
  <c r="G246" i="62"/>
  <c r="G247" i="62"/>
  <c r="G248" i="62"/>
  <c r="G249" i="62"/>
  <c r="G250" i="62"/>
  <c r="G251" i="62"/>
  <c r="G252" i="62"/>
  <c r="G309" i="62"/>
  <c r="G310" i="62"/>
  <c r="G253" i="62"/>
  <c r="G254" i="62"/>
  <c r="G255" i="62"/>
  <c r="G311" i="62"/>
  <c r="G256" i="62"/>
  <c r="G257" i="62"/>
  <c r="G258" i="62"/>
  <c r="G259" i="62"/>
  <c r="G312" i="62"/>
  <c r="G260" i="62"/>
  <c r="G261" i="62"/>
  <c r="G262" i="62"/>
  <c r="G263" i="62"/>
  <c r="G264" i="62"/>
  <c r="G265" i="62"/>
  <c r="G266" i="62"/>
  <c r="G267" i="62"/>
  <c r="G313" i="62"/>
  <c r="G268" i="62"/>
  <c r="G269" i="62"/>
  <c r="G270" i="62"/>
  <c r="G271" i="62"/>
  <c r="G272" i="62"/>
  <c r="G273" i="62"/>
  <c r="G369" i="62"/>
  <c r="G274" i="62"/>
  <c r="G275" i="62"/>
  <c r="G276" i="62"/>
  <c r="G277" i="62"/>
  <c r="G278" i="62"/>
  <c r="G279" i="62"/>
  <c r="G280" i="62"/>
  <c r="G281" i="62"/>
  <c r="G282" i="62"/>
  <c r="G283" i="62"/>
  <c r="G284" i="62"/>
  <c r="G285" i="62"/>
  <c r="G286" i="62"/>
  <c r="G287" i="62"/>
  <c r="G288" i="62"/>
  <c r="G289" i="62"/>
  <c r="G290" i="62"/>
  <c r="G291" i="62"/>
  <c r="G292" i="62"/>
  <c r="G293" i="62"/>
  <c r="G294" i="62"/>
  <c r="G295" i="62"/>
  <c r="G296" i="62"/>
  <c r="G297" i="62"/>
  <c r="G298" i="62"/>
  <c r="G299" i="62"/>
  <c r="G300" i="62"/>
  <c r="G435" i="62"/>
  <c r="G436" i="62"/>
  <c r="G437" i="62"/>
  <c r="G438" i="62"/>
  <c r="G439" i="62"/>
  <c r="G440" i="62"/>
  <c r="G441" i="62"/>
  <c r="G442" i="62"/>
  <c r="G443" i="62"/>
  <c r="G452" i="62"/>
  <c r="G444" i="62"/>
  <c r="G453" i="62"/>
  <c r="G445" i="62"/>
  <c r="G446" i="62"/>
  <c r="G447" i="62"/>
  <c r="G454" i="62"/>
  <c r="G448" i="62"/>
  <c r="G449" i="62"/>
  <c r="G450" i="62"/>
  <c r="G451" i="62"/>
  <c r="G510" i="62"/>
  <c r="G511" i="62"/>
  <c r="G512" i="62"/>
  <c r="G513" i="62"/>
  <c r="G529" i="62"/>
  <c r="G514" i="62"/>
  <c r="G515" i="62"/>
  <c r="G516" i="62"/>
  <c r="G517" i="62"/>
  <c r="G518" i="62"/>
  <c r="G519" i="62"/>
  <c r="G520" i="62"/>
  <c r="G521" i="62"/>
  <c r="G522" i="62"/>
  <c r="G523" i="62"/>
  <c r="G524" i="62"/>
  <c r="G530" i="62"/>
  <c r="G525" i="62"/>
  <c r="G526" i="62"/>
  <c r="G531" i="62"/>
  <c r="G527" i="62"/>
  <c r="G528" i="62"/>
  <c r="G58" i="62"/>
  <c r="G44" i="62"/>
  <c r="G45" i="62"/>
  <c r="G46" i="62"/>
  <c r="G47" i="62"/>
  <c r="G48" i="62"/>
  <c r="G49" i="62"/>
  <c r="G59" i="62"/>
  <c r="G50" i="62"/>
  <c r="G51" i="62"/>
  <c r="G52" i="62"/>
  <c r="G53" i="62"/>
  <c r="G54" i="62"/>
  <c r="G55" i="62"/>
  <c r="G586" i="62"/>
  <c r="G580" i="62"/>
  <c r="G581" i="62"/>
  <c r="G582" i="62"/>
  <c r="G583" i="62"/>
  <c r="G591" i="62"/>
  <c r="G584" i="62"/>
  <c r="G585" i="62"/>
  <c r="G587" i="62"/>
  <c r="G588" i="62"/>
  <c r="G592" i="62"/>
  <c r="G589" i="62"/>
  <c r="G590" i="62"/>
  <c r="G20" i="62"/>
  <c r="G21" i="62"/>
  <c r="G673" i="62"/>
  <c r="G674" i="62"/>
  <c r="G675" i="62"/>
  <c r="G707" i="62"/>
  <c r="G708" i="62"/>
  <c r="G709" i="62"/>
  <c r="G710" i="62"/>
  <c r="G711" i="62"/>
  <c r="G712" i="62"/>
  <c r="G713" i="62"/>
  <c r="G714" i="62"/>
  <c r="G715" i="62"/>
  <c r="G716" i="62"/>
  <c r="G717" i="62"/>
  <c r="G718" i="62"/>
  <c r="G719" i="62"/>
  <c r="G720" i="62"/>
  <c r="G721" i="62"/>
  <c r="G722" i="62"/>
  <c r="G723" i="62"/>
  <c r="G724" i="62"/>
  <c r="G91" i="62"/>
  <c r="G104" i="62"/>
  <c r="G92" i="62"/>
  <c r="G93" i="62"/>
  <c r="G94" i="62"/>
  <c r="G95" i="62"/>
  <c r="G105" i="62"/>
  <c r="G96" i="62"/>
  <c r="G106" i="62"/>
  <c r="G97" i="62"/>
  <c r="G98" i="62"/>
  <c r="G99" i="62"/>
  <c r="G107" i="62"/>
  <c r="G100" i="62"/>
  <c r="G101" i="62"/>
  <c r="G102" i="62"/>
  <c r="G370" i="62"/>
  <c r="G116" i="62"/>
  <c r="G117" i="62"/>
  <c r="G118" i="62"/>
  <c r="G381" i="62"/>
  <c r="G129" i="62"/>
  <c r="G119" i="62"/>
  <c r="G382" i="62"/>
  <c r="G383" i="62"/>
  <c r="G371" i="62"/>
  <c r="G120" i="62"/>
  <c r="G121" i="62"/>
  <c r="G122" i="62"/>
  <c r="G384" i="62"/>
  <c r="G123" i="62"/>
  <c r="G124" i="62"/>
  <c r="G385" i="62"/>
  <c r="G372" i="62"/>
  <c r="G103" i="62"/>
  <c r="G373" i="62"/>
  <c r="G374" i="62"/>
  <c r="G125" i="62"/>
  <c r="G130" i="62"/>
  <c r="G386" i="62"/>
  <c r="G387" i="62"/>
  <c r="G375" i="62"/>
  <c r="G388" i="62"/>
  <c r="G389" i="62"/>
  <c r="G390" i="62"/>
  <c r="G391" i="62"/>
  <c r="G131" i="62"/>
  <c r="G376" i="62"/>
  <c r="G126" i="62"/>
  <c r="G392" i="62"/>
  <c r="G393" i="62"/>
  <c r="G127" i="62"/>
  <c r="G377" i="62"/>
  <c r="G394" i="62"/>
  <c r="G378" i="62"/>
  <c r="G395" i="62"/>
  <c r="G379" i="62"/>
  <c r="G396" i="62"/>
  <c r="G128" i="62"/>
  <c r="G380" i="62"/>
  <c r="G397" i="62"/>
  <c r="G398" i="62"/>
  <c r="G399" i="62"/>
  <c r="G400" i="62"/>
  <c r="G401" i="62"/>
  <c r="G402" i="62"/>
  <c r="G403" i="62"/>
  <c r="G404" i="62"/>
  <c r="G405" i="62"/>
  <c r="G406" i="62"/>
  <c r="G407" i="62"/>
  <c r="G408" i="62"/>
  <c r="G561" i="62"/>
  <c r="G562" i="62"/>
  <c r="G563" i="62"/>
  <c r="G564" i="62"/>
  <c r="G565" i="62"/>
  <c r="G566" i="62"/>
  <c r="G686" i="62"/>
  <c r="G687" i="62"/>
  <c r="G688" i="62"/>
  <c r="G689" i="62"/>
  <c r="G690" i="62"/>
  <c r="G685" i="62"/>
  <c r="G577" i="62"/>
  <c r="G578" i="62"/>
  <c r="G579" i="62"/>
  <c r="G656" i="62"/>
  <c r="G663" i="62"/>
  <c r="G657" i="62"/>
  <c r="G658" i="62"/>
  <c r="G659" i="62"/>
  <c r="G660" i="62"/>
  <c r="G661" i="62"/>
  <c r="G664" i="62"/>
  <c r="G662" i="62"/>
  <c r="G12" i="62"/>
  <c r="G162" i="62"/>
  <c r="G593" i="62"/>
  <c r="G594" i="62"/>
  <c r="G595" i="62"/>
  <c r="G601" i="62"/>
  <c r="G596" i="62"/>
  <c r="G597" i="62"/>
  <c r="G598" i="62"/>
  <c r="G599" i="62"/>
  <c r="G600" i="62"/>
  <c r="G567" i="62"/>
  <c r="G568" i="62"/>
  <c r="G569" i="62"/>
  <c r="G570" i="62"/>
  <c r="G187" i="62"/>
  <c r="G188" i="62"/>
  <c r="G189" i="62"/>
  <c r="G190" i="62"/>
  <c r="G191" i="62"/>
  <c r="G181" i="62"/>
  <c r="G182" i="62"/>
  <c r="G183" i="62"/>
  <c r="G184" i="62"/>
  <c r="G192" i="62"/>
  <c r="G185" i="62"/>
  <c r="G72" i="62"/>
  <c r="G56" i="62"/>
  <c r="G61" i="62"/>
  <c r="G60" i="62"/>
  <c r="G62" i="62"/>
  <c r="G63" i="62"/>
  <c r="G64" i="62"/>
  <c r="G65" i="62"/>
  <c r="G66" i="62"/>
  <c r="G67" i="62"/>
  <c r="G68" i="62"/>
  <c r="G73" i="62"/>
  <c r="G74" i="62"/>
  <c r="G69" i="62"/>
  <c r="G70" i="62"/>
  <c r="G71" i="62"/>
  <c r="G167" i="62"/>
  <c r="G163" i="62"/>
  <c r="G164" i="62"/>
  <c r="G165" i="62"/>
  <c r="G166" i="62"/>
  <c r="G168" i="62"/>
  <c r="G193" i="62"/>
  <c r="G475" i="62"/>
  <c r="G467" i="62"/>
  <c r="G476" i="62"/>
  <c r="G477" i="62"/>
  <c r="G478" i="62"/>
  <c r="G479" i="62"/>
  <c r="G468" i="62"/>
  <c r="G480" i="62"/>
  <c r="G469" i="62"/>
  <c r="G470" i="62"/>
  <c r="G481" i="62"/>
  <c r="G482" i="62"/>
  <c r="G483" i="62"/>
  <c r="G471" i="62"/>
  <c r="G472" i="62"/>
  <c r="G484" i="62"/>
  <c r="G473" i="62"/>
  <c r="G195" i="62"/>
  <c r="G474" i="62"/>
  <c r="G194" i="62"/>
  <c r="G602" i="62"/>
  <c r="G603" i="62"/>
  <c r="G606" i="62"/>
  <c r="G604" i="62"/>
  <c r="G571" i="62"/>
  <c r="G605" i="62"/>
  <c r="G559" i="62"/>
  <c r="G572" i="62"/>
  <c r="G560" i="62"/>
  <c r="G574" i="62"/>
  <c r="G573" i="62"/>
  <c r="G76" i="62"/>
  <c r="G77" i="62"/>
  <c r="G85" i="62"/>
  <c r="G86" i="62"/>
  <c r="G78" i="62"/>
  <c r="G87" i="62"/>
  <c r="G79" i="62"/>
  <c r="G80" i="62"/>
  <c r="G88" i="62"/>
  <c r="G89" i="62"/>
  <c r="G81" i="62"/>
  <c r="G82" i="62"/>
  <c r="G90" i="62"/>
  <c r="G83" i="62"/>
  <c r="G84" i="62"/>
  <c r="G169" i="62"/>
  <c r="G170" i="62"/>
  <c r="G173" i="62"/>
  <c r="G174" i="62"/>
  <c r="G175" i="62"/>
  <c r="G171" i="62"/>
  <c r="G176" i="62"/>
  <c r="G177" i="62"/>
  <c r="G178" i="62"/>
  <c r="G172" i="62"/>
  <c r="G179" i="62"/>
  <c r="G457" i="62"/>
  <c r="G455" i="62"/>
  <c r="G456" i="62"/>
  <c r="G458" i="62"/>
  <c r="G459" i="62"/>
  <c r="G460" i="62"/>
  <c r="G461" i="62"/>
  <c r="G665" i="62"/>
  <c r="G666" i="62"/>
  <c r="G667" i="62"/>
  <c r="G668" i="62"/>
  <c r="G669" i="62"/>
  <c r="G670" i="62"/>
  <c r="G671" i="62"/>
  <c r="G672" i="62"/>
  <c r="G702" i="62"/>
  <c r="G703" i="62"/>
  <c r="G704" i="62"/>
  <c r="G699" i="62"/>
  <c r="G180" i="62"/>
  <c r="G705" i="62"/>
  <c r="G706" i="62"/>
  <c r="G700" i="62"/>
  <c r="G701" i="62"/>
  <c r="G768" i="62"/>
  <c r="G769" i="62"/>
  <c r="G132" i="62"/>
  <c r="G133" i="62"/>
  <c r="G115" i="62"/>
  <c r="G75" i="62"/>
  <c r="G147" i="62"/>
  <c r="G763" i="62"/>
  <c r="G485" i="62"/>
  <c r="G57" i="62"/>
  <c r="G186" i="62"/>
  <c r="G32" i="62"/>
  <c r="G610" i="62"/>
  <c r="D3" i="44"/>
  <c r="D4" i="44"/>
  <c r="D5" i="44"/>
  <c r="D6" i="44"/>
  <c r="D7" i="44"/>
  <c r="D8" i="44"/>
  <c r="D9" i="44"/>
  <c r="D10" i="44"/>
  <c r="D11" i="44"/>
  <c r="D12" i="44"/>
  <c r="D13" i="44"/>
  <c r="D14" i="44"/>
  <c r="D15" i="44"/>
  <c r="D16" i="44"/>
  <c r="D17" i="44"/>
  <c r="D18" i="44"/>
  <c r="D19" i="44"/>
  <c r="D20" i="44"/>
  <c r="D21" i="44"/>
  <c r="D22" i="44"/>
  <c r="D23" i="44"/>
  <c r="D24" i="44"/>
  <c r="D25" i="44"/>
  <c r="D26" i="44"/>
  <c r="D27" i="44"/>
  <c r="D28" i="44"/>
  <c r="D29" i="44"/>
  <c r="D30" i="44"/>
  <c r="D31" i="44"/>
  <c r="D32" i="44"/>
  <c r="D33" i="44"/>
  <c r="D34" i="44"/>
  <c r="D35" i="44"/>
  <c r="D36" i="44"/>
  <c r="D37" i="44"/>
  <c r="D38" i="44"/>
  <c r="D39" i="44"/>
  <c r="D40" i="44"/>
  <c r="D41" i="44"/>
  <c r="D42" i="44"/>
  <c r="D43" i="44"/>
  <c r="D44" i="44"/>
  <c r="D45" i="44"/>
  <c r="D46" i="44"/>
  <c r="D47" i="44"/>
  <c r="D48" i="44"/>
  <c r="D49" i="44"/>
  <c r="D50" i="44"/>
  <c r="D51" i="44"/>
  <c r="D52" i="44"/>
  <c r="D53" i="44"/>
  <c r="D54" i="44"/>
  <c r="D55" i="44"/>
  <c r="D56" i="44"/>
  <c r="D57" i="44"/>
  <c r="D58" i="44"/>
  <c r="D59" i="44"/>
  <c r="D60" i="44"/>
  <c r="D61" i="44"/>
  <c r="D62" i="44"/>
  <c r="D63" i="44"/>
  <c r="D64" i="44"/>
  <c r="D65" i="44"/>
  <c r="D66" i="44"/>
  <c r="D67" i="44"/>
  <c r="D68" i="44"/>
  <c r="D69" i="44"/>
  <c r="D70" i="44"/>
  <c r="D71" i="44"/>
  <c r="D72" i="44"/>
  <c r="D73" i="44"/>
  <c r="D74" i="44"/>
  <c r="D75" i="44"/>
  <c r="D76" i="44"/>
  <c r="D77" i="44"/>
  <c r="D78" i="44"/>
  <c r="D79" i="44"/>
  <c r="D80" i="44"/>
  <c r="D81" i="44"/>
  <c r="D82" i="44"/>
  <c r="D83" i="44"/>
  <c r="D84" i="44"/>
  <c r="D85" i="44"/>
  <c r="D86" i="44"/>
  <c r="D87" i="44"/>
  <c r="D88" i="44"/>
  <c r="D89" i="44"/>
  <c r="D90" i="44"/>
  <c r="D91" i="44"/>
  <c r="D92" i="44"/>
  <c r="D93" i="44"/>
  <c r="D94" i="44"/>
  <c r="D95" i="44"/>
  <c r="D96" i="44"/>
  <c r="D97" i="44"/>
  <c r="D98" i="44"/>
  <c r="D99" i="44"/>
  <c r="D100" i="44"/>
  <c r="D101" i="44"/>
  <c r="D102" i="44"/>
  <c r="D103" i="44"/>
  <c r="D104" i="44"/>
  <c r="D105" i="44"/>
  <c r="D106" i="44"/>
  <c r="D107" i="44"/>
  <c r="D108" i="44"/>
  <c r="D109" i="44"/>
  <c r="D110" i="44"/>
  <c r="D111" i="44"/>
  <c r="D112" i="44"/>
  <c r="D113" i="44"/>
  <c r="D114" i="44"/>
  <c r="D115" i="44"/>
  <c r="D116" i="44"/>
  <c r="D117" i="44"/>
  <c r="D118" i="44"/>
  <c r="D119" i="44"/>
  <c r="D120" i="44"/>
  <c r="D121" i="44"/>
  <c r="D122" i="44"/>
  <c r="D123" i="44"/>
  <c r="D124" i="44"/>
  <c r="D125" i="44"/>
  <c r="D126" i="44"/>
  <c r="D127" i="44"/>
  <c r="D128" i="44"/>
  <c r="D129" i="44"/>
  <c r="D130" i="44"/>
  <c r="D131" i="44"/>
  <c r="D132" i="44"/>
  <c r="D133" i="44"/>
  <c r="D134" i="44"/>
  <c r="D135" i="44"/>
  <c r="D136" i="44"/>
  <c r="D137" i="44"/>
  <c r="D138" i="44"/>
  <c r="D139" i="44"/>
  <c r="D140" i="44"/>
  <c r="D141" i="44"/>
  <c r="D142" i="44"/>
  <c r="D143" i="44"/>
  <c r="D144" i="44"/>
  <c r="D145" i="44"/>
  <c r="D146" i="44"/>
  <c r="D147" i="44"/>
  <c r="D148" i="44"/>
  <c r="D149" i="44"/>
  <c r="D150" i="44"/>
  <c r="D151" i="44"/>
  <c r="D152" i="44"/>
  <c r="D153" i="44"/>
  <c r="D154" i="44"/>
  <c r="D155" i="44"/>
  <c r="D156" i="44"/>
  <c r="D157" i="44"/>
  <c r="D158" i="44"/>
  <c r="D159" i="44"/>
  <c r="D160" i="44"/>
  <c r="D161" i="44"/>
  <c r="D162" i="44"/>
  <c r="D163" i="44"/>
  <c r="D164" i="44"/>
  <c r="D165" i="44"/>
  <c r="D166" i="44"/>
  <c r="D167" i="44"/>
  <c r="D168" i="44"/>
  <c r="D169" i="44"/>
  <c r="D170" i="44"/>
  <c r="D171" i="44"/>
  <c r="D172" i="44"/>
  <c r="D173" i="44"/>
  <c r="D174" i="44"/>
  <c r="D175" i="44"/>
  <c r="D176" i="44"/>
  <c r="D177" i="44"/>
  <c r="D178" i="44"/>
  <c r="D179" i="44"/>
  <c r="D180" i="44"/>
  <c r="D181" i="44"/>
  <c r="D182" i="44"/>
  <c r="D183" i="44"/>
  <c r="D184" i="44"/>
  <c r="D185" i="44"/>
  <c r="D186" i="44"/>
  <c r="D187" i="44"/>
  <c r="D188" i="44"/>
  <c r="D189" i="44"/>
  <c r="D190" i="44"/>
  <c r="D191" i="44"/>
  <c r="D192" i="44"/>
  <c r="D193" i="44"/>
  <c r="D194" i="44"/>
  <c r="D195" i="44"/>
  <c r="D196" i="44"/>
  <c r="D197" i="44"/>
  <c r="D198" i="44"/>
  <c r="D199" i="44"/>
  <c r="D200" i="44"/>
  <c r="D201" i="44"/>
  <c r="D202" i="44"/>
  <c r="D203" i="44"/>
  <c r="D204" i="44"/>
  <c r="D205" i="44"/>
  <c r="D206" i="44"/>
  <c r="D207" i="44"/>
  <c r="D208" i="44"/>
  <c r="D209" i="44"/>
  <c r="D210" i="44"/>
  <c r="D211" i="44"/>
  <c r="D212" i="44"/>
  <c r="D213" i="44"/>
  <c r="D214" i="44"/>
  <c r="D215" i="44"/>
  <c r="D216" i="44"/>
  <c r="D217" i="44"/>
  <c r="D218" i="44"/>
  <c r="D219" i="44"/>
  <c r="D220" i="44"/>
  <c r="D221" i="44"/>
  <c r="D222" i="44"/>
  <c r="D223" i="44"/>
  <c r="D224" i="44"/>
  <c r="D225" i="44"/>
  <c r="D226" i="44"/>
  <c r="D227" i="44"/>
  <c r="D228" i="44"/>
  <c r="D229" i="44"/>
  <c r="D230" i="44"/>
  <c r="D231" i="44"/>
  <c r="D232" i="44"/>
  <c r="D233" i="44"/>
  <c r="D234" i="44"/>
  <c r="D235" i="44"/>
  <c r="D236" i="44"/>
  <c r="D237" i="44"/>
  <c r="D238" i="44"/>
  <c r="D239" i="44"/>
  <c r="D240" i="44"/>
  <c r="D241" i="44"/>
  <c r="D242" i="44"/>
  <c r="D243" i="44"/>
  <c r="D244" i="44"/>
  <c r="D245" i="44"/>
  <c r="D246" i="44"/>
  <c r="D247" i="44"/>
  <c r="D248" i="44"/>
  <c r="D249" i="44"/>
  <c r="D250" i="44"/>
  <c r="D251" i="44"/>
  <c r="D252" i="44"/>
  <c r="D253" i="44"/>
  <c r="D254" i="44"/>
  <c r="D255" i="44"/>
  <c r="D256" i="44"/>
  <c r="D257" i="44"/>
  <c r="D258" i="44"/>
  <c r="D259" i="44"/>
  <c r="D260" i="44"/>
  <c r="D261" i="44"/>
  <c r="D262" i="44"/>
  <c r="D263" i="44"/>
  <c r="D264" i="44"/>
  <c r="D265" i="44"/>
  <c r="D266" i="44"/>
  <c r="D267" i="44"/>
  <c r="D268" i="44"/>
  <c r="D269" i="44"/>
  <c r="D270" i="44"/>
  <c r="D271" i="44"/>
  <c r="D272" i="44"/>
  <c r="D273" i="44"/>
  <c r="D274" i="44"/>
  <c r="D275" i="44"/>
  <c r="D276" i="44"/>
  <c r="D277" i="44"/>
  <c r="D278" i="44"/>
  <c r="D279" i="44"/>
  <c r="D280" i="44"/>
  <c r="D281" i="44"/>
  <c r="D282" i="44"/>
  <c r="D283" i="44"/>
  <c r="D284" i="44"/>
  <c r="D285" i="44"/>
  <c r="D286" i="44"/>
  <c r="D287" i="44"/>
  <c r="D288" i="44"/>
  <c r="D289" i="44"/>
  <c r="D290" i="44"/>
  <c r="D291" i="44"/>
  <c r="D292" i="44"/>
  <c r="D293" i="44"/>
  <c r="D294" i="44"/>
  <c r="D295" i="44"/>
  <c r="D296" i="44"/>
  <c r="D297" i="44"/>
  <c r="D298" i="44"/>
  <c r="D299" i="44"/>
  <c r="D300" i="44"/>
  <c r="D301" i="44"/>
  <c r="D302" i="44"/>
  <c r="D303" i="44"/>
  <c r="D304" i="44"/>
  <c r="D305" i="44"/>
  <c r="D306" i="44"/>
  <c r="D307" i="44"/>
  <c r="D308" i="44"/>
  <c r="D309" i="44"/>
  <c r="D310" i="44"/>
  <c r="D311" i="44"/>
  <c r="D312" i="44"/>
  <c r="D313" i="44"/>
  <c r="D314" i="44"/>
  <c r="D315" i="44"/>
  <c r="D316" i="44"/>
  <c r="D317" i="44"/>
  <c r="D318" i="44"/>
  <c r="D319" i="44"/>
  <c r="D320" i="44"/>
  <c r="D321" i="44"/>
  <c r="D322" i="44"/>
  <c r="D323" i="44"/>
  <c r="D324" i="44"/>
  <c r="D325" i="44"/>
  <c r="D326" i="44"/>
  <c r="D327" i="44"/>
  <c r="D328" i="44"/>
  <c r="D329" i="44"/>
  <c r="D330" i="44"/>
  <c r="D331" i="44"/>
  <c r="D332" i="44"/>
  <c r="D333" i="44"/>
  <c r="D334" i="44"/>
  <c r="D335" i="44"/>
  <c r="D336" i="44"/>
  <c r="D337" i="44"/>
  <c r="D338" i="44"/>
  <c r="D339" i="44"/>
  <c r="D340" i="44"/>
  <c r="D341" i="44"/>
  <c r="D342" i="44"/>
  <c r="D343" i="44"/>
  <c r="D344" i="44"/>
  <c r="D345" i="44"/>
  <c r="D346" i="44"/>
  <c r="D347" i="44"/>
  <c r="D348" i="44"/>
  <c r="D349" i="44"/>
  <c r="D350" i="44"/>
  <c r="D351" i="44"/>
  <c r="D352" i="44"/>
  <c r="D353" i="44"/>
  <c r="D354" i="44"/>
  <c r="D355" i="44"/>
  <c r="D356" i="44"/>
  <c r="D357" i="44"/>
  <c r="D358" i="44"/>
  <c r="D359" i="44"/>
  <c r="D360" i="44"/>
  <c r="D361" i="44"/>
  <c r="D362" i="44"/>
  <c r="D363" i="44"/>
  <c r="D364" i="44"/>
  <c r="D365" i="44"/>
  <c r="D366" i="44"/>
  <c r="D367" i="44"/>
  <c r="D368" i="44"/>
  <c r="D369" i="44"/>
  <c r="D370" i="44"/>
  <c r="D371" i="44"/>
  <c r="D372" i="44"/>
  <c r="D373" i="44"/>
  <c r="D374" i="44"/>
  <c r="D375" i="44"/>
  <c r="D376" i="44"/>
  <c r="D377" i="44"/>
  <c r="D378" i="44"/>
  <c r="D379" i="44"/>
  <c r="D380" i="44"/>
  <c r="D381" i="44"/>
  <c r="D382" i="44"/>
  <c r="D383" i="44"/>
  <c r="D384" i="44"/>
  <c r="D385" i="44"/>
  <c r="D386" i="44"/>
  <c r="D387" i="44"/>
  <c r="D388" i="44"/>
  <c r="D389" i="44"/>
  <c r="D390" i="44"/>
  <c r="D391" i="44"/>
  <c r="D392" i="44"/>
  <c r="D393" i="44"/>
  <c r="D394" i="44"/>
  <c r="D395" i="44"/>
  <c r="D396" i="44"/>
  <c r="D397" i="44"/>
  <c r="D398" i="44"/>
  <c r="D399" i="44"/>
  <c r="D400" i="44"/>
  <c r="D401" i="44"/>
  <c r="D402" i="44"/>
  <c r="D403" i="44"/>
  <c r="D404" i="44"/>
  <c r="D405" i="44"/>
  <c r="D406" i="44"/>
  <c r="D407" i="44"/>
  <c r="D408" i="44"/>
  <c r="D409" i="44"/>
  <c r="D410" i="44"/>
  <c r="D411" i="44"/>
  <c r="D412" i="44"/>
  <c r="D413" i="44"/>
  <c r="D414" i="44"/>
  <c r="D415" i="44"/>
  <c r="D416" i="44"/>
  <c r="D417" i="44"/>
  <c r="D418" i="44"/>
  <c r="D419" i="44"/>
  <c r="D420" i="44"/>
  <c r="D421" i="44"/>
  <c r="D422" i="44"/>
  <c r="D423" i="44"/>
  <c r="D424" i="44"/>
  <c r="D425" i="44"/>
  <c r="D426" i="44"/>
  <c r="D427" i="44"/>
  <c r="D428" i="44"/>
  <c r="D429" i="44"/>
  <c r="D430" i="44"/>
  <c r="D431" i="44"/>
  <c r="D432" i="44"/>
  <c r="D433" i="44"/>
  <c r="D434" i="44"/>
  <c r="D435" i="44"/>
  <c r="D436" i="44"/>
  <c r="D437" i="44"/>
  <c r="D438" i="44"/>
  <c r="D439" i="44"/>
  <c r="D440" i="44"/>
  <c r="D441" i="44"/>
  <c r="D442" i="44"/>
  <c r="D443" i="44"/>
  <c r="D444" i="44"/>
  <c r="D445" i="44"/>
  <c r="D446" i="44"/>
  <c r="D447" i="44"/>
  <c r="D448" i="44"/>
  <c r="D449" i="44"/>
  <c r="D450" i="44"/>
  <c r="D451" i="44"/>
  <c r="D452" i="44"/>
  <c r="D453" i="44"/>
  <c r="D454" i="44"/>
  <c r="D455" i="44"/>
  <c r="D456" i="44"/>
  <c r="D457" i="44"/>
  <c r="D458" i="44"/>
  <c r="D459" i="44"/>
  <c r="D460" i="44"/>
  <c r="D461" i="44"/>
  <c r="D462" i="44"/>
  <c r="D463" i="44"/>
  <c r="D464" i="44"/>
  <c r="D465" i="44"/>
  <c r="D466" i="44"/>
  <c r="D467" i="44"/>
  <c r="D468" i="44"/>
  <c r="D469" i="44"/>
  <c r="D470" i="44"/>
  <c r="D471" i="44"/>
  <c r="D472" i="44"/>
  <c r="D473" i="44"/>
  <c r="D474" i="44"/>
  <c r="D475" i="44"/>
  <c r="D476" i="44"/>
  <c r="D477" i="44"/>
  <c r="D478" i="44"/>
  <c r="D479" i="44"/>
  <c r="D480" i="44"/>
  <c r="D481" i="44"/>
  <c r="D482" i="44"/>
  <c r="D483" i="44"/>
  <c r="D484" i="44"/>
  <c r="D485" i="44"/>
  <c r="D486" i="44"/>
  <c r="D487" i="44"/>
  <c r="D488" i="44"/>
  <c r="D489" i="44"/>
  <c r="D490" i="44"/>
  <c r="D491" i="44"/>
  <c r="D492" i="44"/>
  <c r="D493" i="44"/>
  <c r="D494" i="44"/>
  <c r="D495" i="44"/>
  <c r="D496" i="44"/>
  <c r="D497" i="44"/>
  <c r="D498" i="44"/>
  <c r="D499" i="44"/>
  <c r="D500" i="44"/>
  <c r="D501" i="44"/>
  <c r="D502" i="44"/>
  <c r="D503" i="44"/>
  <c r="D504" i="44"/>
  <c r="D505" i="44"/>
  <c r="D506" i="44"/>
  <c r="D507" i="44"/>
  <c r="D508" i="44"/>
  <c r="D509" i="44"/>
  <c r="D510" i="44"/>
  <c r="D511" i="44"/>
  <c r="D512" i="44"/>
  <c r="D513" i="44"/>
  <c r="D514" i="44"/>
  <c r="D515" i="44"/>
  <c r="D516" i="44"/>
  <c r="D517" i="44"/>
  <c r="D518" i="44"/>
  <c r="D519" i="44"/>
  <c r="D520" i="44"/>
  <c r="D521" i="44"/>
  <c r="D522" i="44"/>
  <c r="D523" i="44"/>
  <c r="D524" i="44"/>
  <c r="D525" i="44"/>
  <c r="D526" i="44"/>
  <c r="D527" i="44"/>
  <c r="D528" i="44"/>
  <c r="D529" i="44"/>
  <c r="D530" i="44"/>
  <c r="D531" i="44"/>
  <c r="D532" i="44"/>
  <c r="D533" i="44"/>
  <c r="D534" i="44"/>
  <c r="D535" i="44"/>
  <c r="D536" i="44"/>
  <c r="D537" i="44"/>
  <c r="D538" i="44"/>
  <c r="D539" i="44"/>
  <c r="D540" i="44"/>
  <c r="D541" i="44"/>
  <c r="D542" i="44"/>
  <c r="D543" i="44"/>
  <c r="D544" i="44"/>
  <c r="D545" i="44"/>
  <c r="D546" i="44"/>
  <c r="D547" i="44"/>
  <c r="D548" i="44"/>
  <c r="D549" i="44"/>
  <c r="D550" i="44"/>
  <c r="D551" i="44"/>
  <c r="D552" i="44"/>
  <c r="D553" i="44"/>
  <c r="D554" i="44"/>
  <c r="D555" i="44"/>
  <c r="D556" i="44"/>
  <c r="D557" i="44"/>
  <c r="D558" i="44"/>
  <c r="D559" i="44"/>
  <c r="D560" i="44"/>
  <c r="D561" i="44"/>
  <c r="D562" i="44"/>
  <c r="D563" i="44"/>
  <c r="D564" i="44"/>
  <c r="D565" i="44"/>
  <c r="D566" i="44"/>
  <c r="D567" i="44"/>
  <c r="D568" i="44"/>
  <c r="D569" i="44"/>
  <c r="D570" i="44"/>
  <c r="D571" i="44"/>
  <c r="D572" i="44"/>
  <c r="D573" i="44"/>
  <c r="D574" i="44"/>
  <c r="D575" i="44"/>
  <c r="D576" i="44"/>
  <c r="D577" i="44"/>
  <c r="D578" i="44"/>
  <c r="D579" i="44"/>
  <c r="D580" i="44"/>
  <c r="D581" i="44"/>
  <c r="D582" i="44"/>
  <c r="D583" i="44"/>
  <c r="D584" i="44"/>
  <c r="D585" i="44"/>
  <c r="D586" i="44"/>
  <c r="D587" i="44"/>
  <c r="D588" i="44"/>
  <c r="D589" i="44"/>
  <c r="D590" i="44"/>
  <c r="D591" i="44"/>
  <c r="D592" i="44"/>
  <c r="D593" i="44"/>
  <c r="D594" i="44"/>
  <c r="D595" i="44"/>
  <c r="D596" i="44"/>
  <c r="D597" i="44"/>
  <c r="D598" i="44"/>
  <c r="D599" i="44"/>
  <c r="D600" i="44"/>
  <c r="D601" i="44"/>
  <c r="D602" i="44"/>
  <c r="D603" i="44"/>
  <c r="D604" i="44"/>
  <c r="D605" i="44"/>
  <c r="D606" i="44"/>
  <c r="D607" i="44"/>
  <c r="D608" i="44"/>
  <c r="D609" i="44"/>
  <c r="D610" i="44"/>
  <c r="D611" i="44"/>
  <c r="D612" i="44"/>
  <c r="D613" i="44"/>
  <c r="D614" i="44"/>
  <c r="D615" i="44"/>
  <c r="D616" i="44"/>
  <c r="D617" i="44"/>
  <c r="D618" i="44"/>
  <c r="D619" i="44"/>
  <c r="D620" i="44"/>
  <c r="D621" i="44"/>
  <c r="D622" i="44"/>
  <c r="D623" i="44"/>
  <c r="D624" i="44"/>
  <c r="D625" i="44"/>
  <c r="D626" i="44"/>
  <c r="D627" i="44"/>
  <c r="D628" i="44"/>
  <c r="D629" i="44"/>
  <c r="D630" i="44"/>
  <c r="D631" i="44"/>
  <c r="D632" i="44"/>
  <c r="D633" i="44"/>
  <c r="D634" i="44"/>
  <c r="D635" i="44"/>
  <c r="D636" i="44"/>
  <c r="D637" i="44"/>
  <c r="D638" i="44"/>
  <c r="D639" i="44"/>
  <c r="D640" i="44"/>
  <c r="D641" i="44"/>
  <c r="D642" i="44"/>
  <c r="D643" i="44"/>
  <c r="D644" i="44"/>
  <c r="D645" i="44"/>
  <c r="D646" i="44"/>
  <c r="D647" i="44"/>
  <c r="D648" i="44"/>
  <c r="D649" i="44"/>
  <c r="D650" i="44"/>
  <c r="D651" i="44"/>
  <c r="D652" i="44"/>
  <c r="D653" i="44"/>
  <c r="D654" i="44"/>
  <c r="D655" i="44"/>
  <c r="D656" i="44"/>
  <c r="D657" i="44"/>
  <c r="D658" i="44"/>
  <c r="D659" i="44"/>
  <c r="D660" i="44"/>
  <c r="D661" i="44"/>
  <c r="D662" i="44"/>
  <c r="D663" i="44"/>
  <c r="D664" i="44"/>
  <c r="D665" i="44"/>
  <c r="D666" i="44"/>
  <c r="D667" i="44"/>
  <c r="D668" i="44"/>
  <c r="D669" i="44"/>
  <c r="D670" i="44"/>
  <c r="D671" i="44"/>
  <c r="D672" i="44"/>
  <c r="D673" i="44"/>
  <c r="D674" i="44"/>
  <c r="D675" i="44"/>
  <c r="D676" i="44"/>
  <c r="D677" i="44"/>
  <c r="D678" i="44"/>
  <c r="D679" i="44"/>
  <c r="D680" i="44"/>
  <c r="D681" i="44"/>
  <c r="D682" i="44"/>
  <c r="D683" i="44"/>
  <c r="D684" i="44"/>
  <c r="D685" i="44"/>
  <c r="D686" i="44"/>
  <c r="D687" i="44"/>
  <c r="D688" i="44"/>
  <c r="D689" i="44"/>
  <c r="D690" i="44"/>
  <c r="D691" i="44"/>
  <c r="D692" i="44"/>
  <c r="D693" i="44"/>
  <c r="D694" i="44"/>
  <c r="D695" i="44"/>
  <c r="D696" i="44"/>
  <c r="D697" i="44"/>
  <c r="D698" i="44"/>
  <c r="D699" i="44"/>
  <c r="D700" i="44"/>
  <c r="D701" i="44"/>
  <c r="D702" i="44"/>
  <c r="D703" i="44"/>
  <c r="D704" i="44"/>
  <c r="D705" i="44"/>
  <c r="D706" i="44"/>
  <c r="D707" i="44"/>
  <c r="D708" i="44"/>
  <c r="D709" i="44"/>
  <c r="D710" i="44"/>
  <c r="D711" i="44"/>
  <c r="D712" i="44"/>
  <c r="D713" i="44"/>
  <c r="D714" i="44"/>
  <c r="D715" i="44"/>
  <c r="D716" i="44"/>
  <c r="D717" i="44"/>
  <c r="D718" i="44"/>
  <c r="D719" i="44"/>
  <c r="D720" i="44"/>
  <c r="D721" i="44"/>
  <c r="D722" i="44"/>
  <c r="D723" i="44"/>
  <c r="D724" i="44"/>
  <c r="D725" i="44"/>
  <c r="D726" i="44"/>
  <c r="D727" i="44"/>
  <c r="D728" i="44"/>
  <c r="D729" i="44"/>
  <c r="D730" i="44"/>
  <c r="D731" i="44"/>
  <c r="D732" i="44"/>
  <c r="D733" i="44"/>
  <c r="D734" i="44"/>
  <c r="D735" i="44"/>
  <c r="D736" i="44"/>
  <c r="D737" i="44"/>
  <c r="D738" i="44"/>
  <c r="D739" i="44"/>
  <c r="D740" i="44"/>
  <c r="D741" i="44"/>
  <c r="D742" i="44"/>
  <c r="D743" i="44"/>
  <c r="D744" i="44"/>
  <c r="D745" i="44"/>
  <c r="D746" i="44"/>
  <c r="D747" i="44"/>
  <c r="D748" i="44"/>
  <c r="D749" i="44"/>
  <c r="D750" i="44"/>
  <c r="D751" i="44"/>
  <c r="D752" i="44"/>
  <c r="D753" i="44"/>
  <c r="D754" i="44"/>
  <c r="D755" i="44"/>
  <c r="D756" i="44"/>
  <c r="D757" i="44"/>
  <c r="D758" i="44"/>
  <c r="D759" i="44"/>
  <c r="D760" i="44"/>
  <c r="D761" i="44"/>
  <c r="D762" i="44"/>
  <c r="D763" i="44"/>
  <c r="D764" i="44"/>
  <c r="D765" i="44"/>
  <c r="D766" i="44"/>
  <c r="D767" i="44"/>
  <c r="D768" i="44"/>
  <c r="D769" i="44"/>
  <c r="D770" i="44"/>
  <c r="D771" i="44"/>
  <c r="D772" i="44"/>
  <c r="D773" i="44"/>
  <c r="D774" i="44"/>
  <c r="D775" i="44"/>
  <c r="D776" i="44"/>
  <c r="D777" i="44"/>
  <c r="D778" i="44"/>
  <c r="D779" i="44"/>
  <c r="D780" i="44"/>
  <c r="D781" i="44"/>
  <c r="D782" i="44"/>
  <c r="D783" i="44"/>
  <c r="D784" i="44"/>
  <c r="D785" i="44"/>
  <c r="D786" i="44"/>
  <c r="D2" i="44"/>
  <c r="A2" i="59"/>
  <c r="A3" i="59"/>
  <c r="A4" i="59"/>
  <c r="A5" i="59"/>
  <c r="A6" i="59"/>
  <c r="A7" i="59"/>
  <c r="A8" i="59"/>
  <c r="A9" i="59"/>
  <c r="A10" i="59"/>
  <c r="A11" i="59"/>
  <c r="A12" i="59"/>
  <c r="A13" i="59"/>
  <c r="A14" i="59"/>
  <c r="A15" i="59"/>
  <c r="A16" i="59"/>
  <c r="A17" i="59"/>
  <c r="A18" i="59"/>
  <c r="A19" i="59"/>
  <c r="A20" i="59"/>
  <c r="A21" i="59"/>
  <c r="A22" i="59"/>
  <c r="A23" i="59"/>
  <c r="A24" i="59"/>
  <c r="A25" i="59"/>
  <c r="A26" i="59"/>
  <c r="A27" i="59"/>
  <c r="A28" i="59"/>
  <c r="A29" i="59"/>
  <c r="A30" i="59"/>
  <c r="A31" i="59"/>
  <c r="A32" i="59"/>
  <c r="A33" i="59"/>
  <c r="A34" i="59"/>
  <c r="A35" i="59"/>
  <c r="A36" i="59"/>
  <c r="A37" i="59"/>
  <c r="A38" i="59"/>
  <c r="A39" i="59"/>
  <c r="A40" i="59"/>
  <c r="A41" i="59"/>
  <c r="A42" i="59"/>
  <c r="A43" i="59"/>
  <c r="A44" i="59"/>
  <c r="A45" i="59"/>
  <c r="A46" i="59"/>
  <c r="A47" i="59"/>
  <c r="A48" i="59"/>
  <c r="A49" i="59"/>
  <c r="A50" i="59"/>
  <c r="A51" i="59"/>
  <c r="A52" i="59"/>
  <c r="A53" i="59"/>
  <c r="A54" i="59"/>
  <c r="A55" i="59"/>
  <c r="A56" i="59"/>
  <c r="A57" i="59"/>
  <c r="A58" i="59"/>
  <c r="A59" i="59"/>
  <c r="A60" i="59"/>
  <c r="A61" i="59"/>
  <c r="A62" i="59"/>
  <c r="A63" i="59"/>
  <c r="A64" i="59"/>
  <c r="A65" i="59"/>
  <c r="A66" i="59"/>
  <c r="A67" i="59"/>
  <c r="A68" i="59"/>
  <c r="A69" i="59"/>
  <c r="A70" i="59"/>
  <c r="A71" i="59"/>
  <c r="A72" i="59"/>
  <c r="A73" i="59"/>
  <c r="A74" i="59"/>
  <c r="A75" i="59"/>
  <c r="A76" i="59"/>
  <c r="A77" i="59"/>
  <c r="A78" i="59"/>
  <c r="A79" i="59"/>
  <c r="A80" i="59"/>
  <c r="A81" i="59"/>
  <c r="A82" i="59"/>
  <c r="A83" i="59"/>
  <c r="A84" i="59"/>
  <c r="A85" i="59"/>
  <c r="A86" i="59"/>
  <c r="A87" i="59"/>
  <c r="A88" i="59"/>
  <c r="A89" i="59"/>
  <c r="A90" i="59"/>
  <c r="A91" i="59"/>
  <c r="A92" i="59"/>
  <c r="A93" i="59"/>
  <c r="A94" i="59"/>
  <c r="A95" i="59"/>
  <c r="A96" i="59"/>
  <c r="A97" i="59"/>
  <c r="A98" i="59"/>
  <c r="A99" i="59"/>
  <c r="A100" i="59"/>
  <c r="A101" i="59"/>
  <c r="A102" i="59"/>
  <c r="A103" i="59"/>
  <c r="A104" i="59"/>
  <c r="A105" i="59"/>
  <c r="A106" i="59"/>
  <c r="A107" i="59"/>
  <c r="A108" i="59"/>
  <c r="A109" i="59"/>
  <c r="A110" i="59"/>
  <c r="A111" i="59"/>
  <c r="A112" i="59"/>
  <c r="A113" i="59"/>
  <c r="A114" i="59"/>
  <c r="A115" i="59"/>
  <c r="A116" i="59"/>
  <c r="A117" i="59"/>
  <c r="A118" i="59"/>
  <c r="A119" i="59"/>
  <c r="A120" i="59"/>
  <c r="A121" i="59"/>
  <c r="A122" i="59"/>
  <c r="A123" i="59"/>
  <c r="A124" i="59"/>
  <c r="A125" i="59"/>
  <c r="A126" i="59"/>
  <c r="A127" i="59"/>
  <c r="A128" i="59"/>
  <c r="A129" i="59"/>
  <c r="A130" i="59"/>
  <c r="A131" i="59"/>
  <c r="A132" i="59"/>
  <c r="A133" i="59"/>
  <c r="A134" i="59"/>
  <c r="A135" i="59"/>
  <c r="A136" i="59"/>
  <c r="A137" i="59"/>
  <c r="A138" i="59"/>
  <c r="A139" i="59"/>
  <c r="A140" i="59"/>
  <c r="A141" i="59"/>
  <c r="A142" i="59"/>
  <c r="A143" i="59"/>
  <c r="A144" i="59"/>
  <c r="A145" i="59"/>
  <c r="A146" i="59"/>
  <c r="A147" i="59"/>
  <c r="A148" i="59"/>
  <c r="A149" i="59"/>
  <c r="A150" i="59"/>
  <c r="A151" i="59"/>
  <c r="A152" i="59"/>
  <c r="A153" i="59"/>
  <c r="A154" i="59"/>
  <c r="A155" i="59"/>
  <c r="A156" i="59"/>
  <c r="A157" i="59"/>
  <c r="A158" i="59"/>
  <c r="A159" i="59"/>
  <c r="A160" i="59"/>
  <c r="A161" i="59"/>
  <c r="A162" i="59"/>
  <c r="A163" i="59"/>
  <c r="A164" i="59"/>
  <c r="A165" i="59"/>
  <c r="A166" i="59"/>
  <c r="A167" i="59"/>
  <c r="A168" i="59"/>
  <c r="A169" i="59"/>
  <c r="A170" i="59"/>
  <c r="A171" i="59"/>
  <c r="A172" i="59"/>
  <c r="A173" i="59"/>
  <c r="A174" i="59"/>
  <c r="A175" i="59"/>
  <c r="A176" i="59"/>
  <c r="A177" i="59"/>
  <c r="A178" i="59"/>
  <c r="A179" i="59"/>
  <c r="A180" i="59"/>
  <c r="A181" i="59"/>
  <c r="A182" i="59"/>
  <c r="A183" i="59"/>
  <c r="A184" i="59"/>
  <c r="A185" i="59"/>
  <c r="A186" i="59"/>
  <c r="A187" i="59"/>
  <c r="A188" i="59"/>
  <c r="A189" i="59"/>
  <c r="A190" i="59"/>
  <c r="A191" i="59"/>
  <c r="A192" i="59"/>
  <c r="A193" i="59"/>
  <c r="A194" i="59"/>
  <c r="A195" i="59"/>
  <c r="A196" i="59"/>
  <c r="A197" i="59"/>
  <c r="A198" i="59"/>
  <c r="A199" i="59"/>
  <c r="A200" i="59"/>
  <c r="A201" i="59"/>
  <c r="A202" i="59"/>
  <c r="A203" i="59"/>
  <c r="A204" i="59"/>
  <c r="A205" i="59"/>
  <c r="A206" i="59"/>
  <c r="A207" i="59"/>
  <c r="A208" i="59"/>
  <c r="A209" i="59"/>
  <c r="A210" i="59"/>
  <c r="A211" i="59"/>
  <c r="A212" i="59"/>
  <c r="A213" i="59"/>
  <c r="A214" i="59"/>
  <c r="A215" i="59"/>
  <c r="A216" i="59"/>
  <c r="A217" i="59"/>
  <c r="A218" i="59"/>
  <c r="A219" i="59"/>
  <c r="A220" i="59"/>
  <c r="A221" i="59"/>
  <c r="A222" i="59"/>
  <c r="A223" i="59"/>
  <c r="A224" i="59"/>
  <c r="A225" i="59"/>
  <c r="A226" i="59"/>
  <c r="A227" i="59"/>
  <c r="A228" i="59"/>
  <c r="A229" i="59"/>
  <c r="A230" i="59"/>
  <c r="A231" i="59"/>
  <c r="A232" i="59"/>
  <c r="A233" i="59"/>
  <c r="A234" i="59"/>
  <c r="A235" i="59"/>
  <c r="A236" i="59"/>
  <c r="A237" i="59"/>
  <c r="A238" i="59"/>
  <c r="A239" i="59"/>
  <c r="A240" i="59"/>
  <c r="A241" i="59"/>
  <c r="A242" i="59"/>
  <c r="A243" i="59"/>
  <c r="A244" i="59"/>
  <c r="A245" i="59"/>
  <c r="A246" i="59"/>
  <c r="A247" i="59"/>
  <c r="A248" i="59"/>
  <c r="A249" i="59"/>
  <c r="A250" i="59"/>
  <c r="A251" i="59"/>
  <c r="A252" i="59"/>
  <c r="A253" i="59"/>
  <c r="A254" i="59"/>
  <c r="A255" i="59"/>
  <c r="A256" i="59"/>
  <c r="A257" i="59"/>
  <c r="A258" i="59"/>
  <c r="A259" i="59"/>
  <c r="A260" i="59"/>
  <c r="A261" i="59"/>
  <c r="A262" i="59"/>
  <c r="A263" i="59"/>
  <c r="A264" i="59"/>
  <c r="A265" i="59"/>
  <c r="A266" i="59"/>
  <c r="A267" i="59"/>
  <c r="A268" i="59"/>
  <c r="A269" i="59"/>
  <c r="A270" i="59"/>
  <c r="A271" i="59"/>
  <c r="A272" i="59"/>
  <c r="A273" i="59"/>
  <c r="A274" i="59"/>
  <c r="A275" i="59"/>
  <c r="A276" i="59"/>
  <c r="A277" i="59"/>
  <c r="A278" i="59"/>
  <c r="A279" i="59"/>
  <c r="A280" i="59"/>
  <c r="A281" i="59"/>
  <c r="A282" i="59"/>
  <c r="A283" i="59"/>
  <c r="A284" i="59"/>
  <c r="A285" i="59"/>
  <c r="A286" i="59"/>
  <c r="A287" i="59"/>
  <c r="A288" i="59"/>
  <c r="A289" i="59"/>
  <c r="A290" i="59"/>
  <c r="A291" i="59"/>
  <c r="A292" i="59"/>
  <c r="A293" i="59"/>
  <c r="A294" i="59"/>
  <c r="A295" i="59"/>
  <c r="A296" i="59"/>
  <c r="A297" i="59"/>
  <c r="A298" i="59"/>
  <c r="A299" i="59"/>
  <c r="A300" i="59"/>
  <c r="A301" i="59"/>
  <c r="A302" i="59"/>
  <c r="A303" i="59"/>
  <c r="A304" i="59"/>
  <c r="A305" i="59"/>
  <c r="A306" i="59"/>
  <c r="A307" i="59"/>
  <c r="A308" i="59"/>
  <c r="A309" i="59"/>
  <c r="A310" i="59"/>
  <c r="A311" i="59"/>
  <c r="A312" i="59"/>
  <c r="A313" i="59"/>
  <c r="A314" i="59"/>
  <c r="A315" i="59"/>
  <c r="A316" i="59"/>
  <c r="A317" i="59"/>
  <c r="A318" i="59"/>
  <c r="A319" i="59"/>
  <c r="A320" i="59"/>
  <c r="A321" i="59"/>
  <c r="A322" i="59"/>
  <c r="A323" i="59"/>
  <c r="A324" i="59"/>
  <c r="A325" i="59"/>
  <c r="A326" i="59"/>
  <c r="A327" i="59"/>
  <c r="A328" i="59"/>
  <c r="A329" i="59"/>
  <c r="A330" i="59"/>
  <c r="A331" i="59"/>
  <c r="A332" i="59"/>
  <c r="A333" i="59"/>
  <c r="A334" i="59"/>
  <c r="A335" i="59"/>
  <c r="A336" i="59"/>
  <c r="A337" i="59"/>
  <c r="A338" i="59"/>
  <c r="A339" i="59"/>
  <c r="A340" i="59"/>
  <c r="A341" i="59"/>
  <c r="A342" i="59"/>
  <c r="A343" i="59"/>
  <c r="A344" i="59"/>
  <c r="A345" i="59"/>
  <c r="A346" i="59"/>
  <c r="A347" i="59"/>
  <c r="A348" i="59"/>
  <c r="A349" i="59"/>
  <c r="A350" i="59"/>
  <c r="A351" i="59"/>
  <c r="A352" i="59"/>
  <c r="A353" i="59"/>
  <c r="A354" i="59"/>
  <c r="A355" i="59"/>
  <c r="A356" i="59"/>
  <c r="A357" i="59"/>
  <c r="A358" i="59"/>
  <c r="A359" i="59"/>
  <c r="A360" i="59"/>
  <c r="A361" i="59"/>
  <c r="A362" i="59"/>
  <c r="A363" i="59"/>
  <c r="A364" i="59"/>
  <c r="A365" i="59"/>
  <c r="A366" i="59"/>
  <c r="A367" i="59"/>
  <c r="A368" i="59"/>
  <c r="A369" i="59"/>
  <c r="A370" i="59"/>
  <c r="A371" i="59"/>
  <c r="A372" i="59"/>
  <c r="A373" i="59"/>
  <c r="A374" i="59"/>
  <c r="A375" i="59"/>
  <c r="A376" i="59"/>
  <c r="A377" i="59"/>
  <c r="A378" i="59"/>
  <c r="A379" i="59"/>
  <c r="A380" i="59"/>
  <c r="A381" i="59"/>
  <c r="A382" i="59"/>
  <c r="A383" i="59"/>
  <c r="A384" i="59"/>
  <c r="A385" i="59"/>
  <c r="A386" i="59"/>
  <c r="A387" i="59"/>
  <c r="A388" i="59"/>
  <c r="A389" i="59"/>
  <c r="A390" i="59"/>
  <c r="A391" i="59"/>
  <c r="A392" i="59"/>
  <c r="A393" i="59"/>
  <c r="A394" i="59"/>
  <c r="A395" i="59"/>
  <c r="A396" i="59"/>
  <c r="A397" i="59"/>
  <c r="A398" i="59"/>
  <c r="A399" i="59"/>
  <c r="A400" i="59"/>
  <c r="A401" i="59"/>
  <c r="A402" i="59"/>
  <c r="A403" i="59"/>
  <c r="A404" i="59"/>
  <c r="A405" i="59"/>
  <c r="A406" i="59"/>
  <c r="A407" i="59"/>
  <c r="A408" i="59"/>
  <c r="A409" i="59"/>
  <c r="A410" i="59"/>
  <c r="A411" i="59"/>
  <c r="A412" i="59"/>
  <c r="A413" i="59"/>
  <c r="A414" i="59"/>
  <c r="A415" i="59"/>
  <c r="A416" i="59"/>
  <c r="A417" i="59"/>
  <c r="A418" i="59"/>
  <c r="A419" i="59"/>
  <c r="A420" i="59"/>
  <c r="A421" i="59"/>
  <c r="A422" i="59"/>
  <c r="A423" i="59"/>
  <c r="A424" i="59"/>
  <c r="A425" i="59"/>
  <c r="A426" i="59"/>
  <c r="A427" i="59"/>
  <c r="A428" i="59"/>
  <c r="A429" i="59"/>
  <c r="A430" i="59"/>
  <c r="A431" i="59"/>
  <c r="A432" i="59"/>
  <c r="A433" i="59"/>
  <c r="A434" i="59"/>
  <c r="A435" i="59"/>
  <c r="A436" i="59"/>
  <c r="A437" i="59"/>
  <c r="A438" i="59"/>
  <c r="A439" i="59"/>
  <c r="A440" i="59"/>
  <c r="A441" i="59"/>
  <c r="A442" i="59"/>
  <c r="A443" i="59"/>
  <c r="A444" i="59"/>
  <c r="A445" i="59"/>
  <c r="A446" i="59"/>
  <c r="A447" i="59"/>
  <c r="A448" i="59"/>
  <c r="A449" i="59"/>
  <c r="A450" i="59"/>
  <c r="A451" i="59"/>
  <c r="A452" i="59"/>
  <c r="A453" i="59"/>
  <c r="A454" i="59"/>
  <c r="A455" i="59"/>
  <c r="A456" i="59"/>
  <c r="A457" i="59"/>
  <c r="A458" i="59"/>
  <c r="A459" i="59"/>
  <c r="A460" i="59"/>
  <c r="A461" i="59"/>
  <c r="A462" i="59"/>
  <c r="A463" i="59"/>
  <c r="A464" i="59"/>
  <c r="A465" i="59"/>
  <c r="A466" i="59"/>
  <c r="A467" i="59"/>
  <c r="A468" i="59"/>
  <c r="A469" i="59"/>
  <c r="A470" i="59"/>
  <c r="A471" i="59"/>
  <c r="A472" i="59"/>
  <c r="A473" i="59"/>
  <c r="A474" i="59"/>
  <c r="A475" i="59"/>
  <c r="A476" i="59"/>
  <c r="A477" i="59"/>
  <c r="A478" i="59"/>
  <c r="A479" i="59"/>
  <c r="A480" i="59"/>
  <c r="A481" i="59"/>
  <c r="A482" i="59"/>
  <c r="A483" i="59"/>
  <c r="A484" i="59"/>
  <c r="A485" i="59"/>
  <c r="A486" i="59"/>
  <c r="A487" i="59"/>
  <c r="A488" i="59"/>
  <c r="A489" i="59"/>
  <c r="A490" i="59"/>
  <c r="A491" i="59"/>
  <c r="A492" i="59"/>
  <c r="A493" i="59"/>
  <c r="A494" i="59"/>
  <c r="A495" i="59"/>
  <c r="A496" i="59"/>
  <c r="A497" i="59"/>
  <c r="A498" i="59"/>
  <c r="A499" i="59"/>
  <c r="A500" i="59"/>
  <c r="A501" i="59"/>
  <c r="A502" i="59"/>
  <c r="A503" i="59"/>
  <c r="A504" i="59"/>
  <c r="A505" i="59"/>
  <c r="A506" i="59"/>
  <c r="A507" i="59"/>
  <c r="A508" i="59"/>
  <c r="A509" i="59"/>
  <c r="A510" i="59"/>
  <c r="A511" i="59"/>
  <c r="A512" i="59"/>
  <c r="A513" i="59"/>
  <c r="A514" i="59"/>
  <c r="A515" i="59"/>
  <c r="A516" i="59"/>
  <c r="A517" i="59"/>
  <c r="A518" i="59"/>
  <c r="A519" i="59"/>
  <c r="A520" i="59"/>
  <c r="A521" i="59"/>
  <c r="A522" i="59"/>
  <c r="A523" i="59"/>
  <c r="A524" i="59"/>
  <c r="A525" i="59"/>
  <c r="A526" i="59"/>
  <c r="A527" i="59"/>
  <c r="A528" i="59"/>
  <c r="A529" i="59"/>
  <c r="A530" i="59"/>
  <c r="A531" i="59"/>
  <c r="A532" i="59"/>
  <c r="A533" i="59"/>
  <c r="A534" i="59"/>
  <c r="A535" i="59"/>
  <c r="A536" i="59"/>
  <c r="A537" i="59"/>
  <c r="A538" i="59"/>
  <c r="A539" i="59"/>
  <c r="A540" i="59"/>
  <c r="A541" i="59"/>
  <c r="A542" i="59"/>
  <c r="A543" i="59"/>
  <c r="A544" i="59"/>
  <c r="A545" i="59"/>
  <c r="A546" i="59"/>
  <c r="A547" i="59"/>
  <c r="A548" i="59"/>
  <c r="A549" i="59"/>
  <c r="A550" i="59"/>
  <c r="A551" i="59"/>
  <c r="A552" i="59"/>
  <c r="A553" i="59"/>
  <c r="A554" i="59"/>
  <c r="A555" i="59"/>
  <c r="A556" i="59"/>
  <c r="A557" i="59"/>
  <c r="A558" i="59"/>
  <c r="A559" i="59"/>
  <c r="A560" i="59"/>
  <c r="A561" i="59"/>
  <c r="A562" i="59"/>
  <c r="A563" i="59"/>
  <c r="A564" i="59"/>
  <c r="A565" i="59"/>
  <c r="A566" i="59"/>
  <c r="A567" i="59"/>
  <c r="A568" i="59"/>
  <c r="A569" i="59"/>
  <c r="A570" i="59"/>
  <c r="A571" i="59"/>
  <c r="A572" i="59"/>
  <c r="A573" i="59"/>
  <c r="A574" i="59"/>
  <c r="A575" i="59"/>
  <c r="A576" i="59"/>
  <c r="A577" i="59"/>
  <c r="A578" i="59"/>
  <c r="A579" i="59"/>
  <c r="A580" i="59"/>
  <c r="A581" i="59"/>
  <c r="A582" i="59"/>
  <c r="A583" i="59"/>
  <c r="A584" i="59"/>
  <c r="A585" i="59"/>
  <c r="A586" i="59"/>
  <c r="A587" i="59"/>
  <c r="A588" i="59"/>
  <c r="A589" i="59"/>
  <c r="A590" i="59"/>
  <c r="A591" i="59"/>
  <c r="A592" i="59"/>
  <c r="A593" i="59"/>
  <c r="A594" i="59"/>
  <c r="A595" i="59"/>
  <c r="A596" i="59"/>
  <c r="A597" i="59"/>
  <c r="A598" i="59"/>
  <c r="A599" i="59"/>
  <c r="A600" i="59"/>
  <c r="A601" i="59"/>
  <c r="A602" i="59"/>
  <c r="A603" i="59"/>
  <c r="A604" i="59"/>
  <c r="A605" i="59"/>
  <c r="A606" i="59"/>
  <c r="A607" i="59"/>
  <c r="A608" i="59"/>
  <c r="A609" i="59"/>
  <c r="A610" i="59"/>
  <c r="A611" i="59"/>
  <c r="A612" i="59"/>
  <c r="A613" i="59"/>
  <c r="A614" i="59"/>
  <c r="A615" i="59"/>
  <c r="A616" i="59"/>
  <c r="A617" i="59"/>
  <c r="A618" i="59"/>
  <c r="A619" i="59"/>
  <c r="A620" i="59"/>
  <c r="A621" i="59"/>
  <c r="A622" i="59"/>
  <c r="A623" i="59"/>
  <c r="A624" i="59"/>
  <c r="A625" i="59"/>
  <c r="A626" i="59"/>
  <c r="A627" i="59"/>
  <c r="A628" i="59"/>
  <c r="A629" i="59"/>
  <c r="A630" i="59"/>
  <c r="A631" i="59"/>
  <c r="A632" i="59"/>
  <c r="A633" i="59"/>
  <c r="A634" i="59"/>
  <c r="A635" i="59"/>
  <c r="A636" i="59"/>
  <c r="A637" i="59"/>
  <c r="A638" i="59"/>
  <c r="A639" i="59"/>
  <c r="A640" i="59"/>
  <c r="A641" i="59"/>
  <c r="A642" i="59"/>
  <c r="A643" i="59"/>
  <c r="A644" i="59"/>
  <c r="A645" i="59"/>
  <c r="A646" i="59"/>
  <c r="A647" i="59"/>
  <c r="A648" i="59"/>
  <c r="A649" i="59"/>
  <c r="A650" i="59"/>
  <c r="A651" i="59"/>
  <c r="A652" i="59"/>
  <c r="A653" i="59"/>
  <c r="A654" i="59"/>
  <c r="A655" i="59"/>
  <c r="A656" i="59"/>
  <c r="A657" i="59"/>
  <c r="A658" i="59"/>
  <c r="A659" i="59"/>
  <c r="A660" i="59"/>
  <c r="A661" i="59"/>
  <c r="A662" i="59"/>
  <c r="A663" i="59"/>
  <c r="A664" i="59"/>
  <c r="A665" i="59"/>
  <c r="A666" i="59"/>
  <c r="A667" i="59"/>
  <c r="A668" i="59"/>
  <c r="A669" i="59"/>
  <c r="A670" i="59"/>
  <c r="A671" i="59"/>
  <c r="A672" i="59"/>
  <c r="A673" i="59"/>
  <c r="A674" i="59"/>
  <c r="A675" i="59"/>
  <c r="A676" i="59"/>
  <c r="A677" i="59"/>
  <c r="A678" i="59"/>
  <c r="A679" i="59"/>
  <c r="A680" i="59"/>
  <c r="A681" i="59"/>
  <c r="A682" i="59"/>
  <c r="A683" i="59"/>
  <c r="A684" i="59"/>
  <c r="A685" i="59"/>
  <c r="A686" i="59"/>
  <c r="A687" i="59"/>
  <c r="A688" i="59"/>
  <c r="A689" i="59"/>
  <c r="A690" i="59"/>
  <c r="A691" i="59"/>
  <c r="A692" i="59"/>
  <c r="A693" i="59"/>
  <c r="A694" i="59"/>
  <c r="A695" i="59"/>
  <c r="A696" i="59"/>
  <c r="A697" i="59"/>
  <c r="A698" i="59"/>
  <c r="A699" i="59"/>
  <c r="A700" i="59"/>
  <c r="A701" i="59"/>
  <c r="A702" i="59"/>
  <c r="A703" i="59"/>
  <c r="A704" i="59"/>
  <c r="A705" i="59"/>
  <c r="A706" i="59"/>
  <c r="A707" i="59"/>
  <c r="A708" i="59"/>
  <c r="A709" i="59"/>
  <c r="A710" i="59"/>
  <c r="A711" i="59"/>
  <c r="A712" i="59"/>
  <c r="A713" i="59"/>
  <c r="A714" i="59"/>
  <c r="A715" i="59"/>
  <c r="A716" i="59"/>
  <c r="A717" i="59"/>
  <c r="A718" i="59"/>
  <c r="A719" i="59"/>
  <c r="A720" i="59"/>
  <c r="A721" i="59"/>
  <c r="A722" i="59"/>
  <c r="A723" i="59"/>
  <c r="A724" i="59"/>
  <c r="A725" i="59"/>
  <c r="A726" i="59"/>
  <c r="A727" i="59"/>
  <c r="A728" i="59"/>
  <c r="A729" i="59"/>
  <c r="A730" i="59"/>
  <c r="A731" i="59"/>
  <c r="A732" i="59"/>
  <c r="A733" i="59"/>
  <c r="A734" i="59"/>
  <c r="A735" i="59"/>
  <c r="A736" i="59"/>
  <c r="A737" i="59"/>
  <c r="A738" i="59"/>
  <c r="A739" i="59"/>
  <c r="A740" i="59"/>
  <c r="A741" i="59"/>
  <c r="A742" i="59"/>
  <c r="A743" i="59"/>
  <c r="A744" i="59"/>
  <c r="A745" i="59"/>
  <c r="A746" i="59"/>
  <c r="A747" i="59"/>
  <c r="A748" i="59"/>
  <c r="A749" i="59"/>
  <c r="A750" i="59"/>
  <c r="A751" i="59"/>
  <c r="A752" i="59"/>
  <c r="A753" i="59"/>
  <c r="A754" i="59"/>
  <c r="A755" i="59"/>
  <c r="A756" i="59"/>
  <c r="A757" i="59"/>
  <c r="A758" i="59"/>
  <c r="A759" i="59"/>
  <c r="A760" i="59"/>
  <c r="A761" i="59"/>
  <c r="A762" i="59"/>
  <c r="A763" i="59"/>
  <c r="A764" i="59"/>
  <c r="A765" i="59"/>
  <c r="A766" i="59"/>
  <c r="A767" i="59"/>
  <c r="A768" i="59"/>
  <c r="A769" i="59"/>
  <c r="A770" i="59"/>
  <c r="A771" i="59"/>
  <c r="A772" i="59"/>
  <c r="A773" i="59"/>
  <c r="A774" i="59"/>
  <c r="A775" i="59"/>
  <c r="A776" i="59"/>
  <c r="A777" i="59"/>
  <c r="A778" i="59"/>
  <c r="A779" i="59"/>
  <c r="A780" i="59"/>
  <c r="A781" i="59"/>
  <c r="A782" i="59"/>
  <c r="A783" i="59"/>
  <c r="A784" i="59"/>
  <c r="A785" i="59"/>
  <c r="A786" i="59"/>
  <c r="A787" i="59"/>
  <c r="A788" i="59"/>
  <c r="A789" i="59"/>
  <c r="A790" i="59"/>
  <c r="A791" i="59"/>
  <c r="A792" i="59"/>
  <c r="A793" i="59"/>
  <c r="A794" i="59"/>
  <c r="A795" i="59"/>
  <c r="A796" i="59"/>
  <c r="A797" i="59"/>
  <c r="A798" i="59"/>
  <c r="A799" i="59"/>
  <c r="A800" i="59"/>
  <c r="A801" i="59"/>
  <c r="A802" i="59"/>
  <c r="A803" i="59"/>
  <c r="A804" i="59"/>
  <c r="A805" i="59"/>
  <c r="A806" i="59"/>
  <c r="A807" i="59"/>
  <c r="A808" i="59"/>
  <c r="A809" i="59"/>
  <c r="A810" i="59"/>
  <c r="A811" i="59"/>
  <c r="A812" i="59"/>
  <c r="A813" i="59"/>
  <c r="A814" i="59"/>
  <c r="A815" i="59"/>
  <c r="A816" i="59"/>
  <c r="A817" i="59"/>
  <c r="A818" i="59"/>
  <c r="A819" i="59"/>
  <c r="A820" i="59"/>
  <c r="A821" i="59"/>
  <c r="A822" i="59"/>
  <c r="A823" i="59"/>
  <c r="A824" i="59"/>
  <c r="A825" i="59"/>
  <c r="A826" i="59"/>
  <c r="A827" i="59"/>
  <c r="A828" i="59"/>
  <c r="A829" i="59"/>
  <c r="A830" i="59"/>
  <c r="A831" i="59"/>
  <c r="A832" i="59"/>
  <c r="A833" i="59"/>
  <c r="A834" i="59"/>
  <c r="A835" i="59"/>
  <c r="A836" i="59"/>
  <c r="A837" i="59"/>
  <c r="A838" i="59"/>
  <c r="A839" i="59"/>
  <c r="A840" i="59"/>
  <c r="A841" i="59"/>
  <c r="A842" i="59"/>
  <c r="A843" i="59"/>
  <c r="A844" i="59"/>
  <c r="A845" i="59"/>
  <c r="A846" i="59"/>
  <c r="A847" i="59"/>
  <c r="A848" i="59"/>
  <c r="A849" i="59"/>
  <c r="A850" i="59"/>
  <c r="A851" i="59"/>
  <c r="A852" i="59"/>
  <c r="A853" i="59"/>
  <c r="A854" i="59"/>
  <c r="A855" i="59"/>
  <c r="A856" i="59"/>
  <c r="A857" i="59"/>
  <c r="A858" i="59"/>
  <c r="A859" i="59"/>
  <c r="A860" i="59"/>
  <c r="A861" i="59"/>
  <c r="A862" i="59"/>
  <c r="A863" i="59"/>
  <c r="A864" i="59"/>
  <c r="A865" i="59"/>
  <c r="A866" i="59"/>
  <c r="A867" i="59"/>
  <c r="A868" i="59"/>
  <c r="A869" i="59"/>
  <c r="A870" i="59"/>
  <c r="A871" i="59"/>
  <c r="A872" i="59"/>
  <c r="A873" i="59"/>
  <c r="A874" i="59"/>
  <c r="A875" i="59"/>
  <c r="A876" i="59"/>
  <c r="A877" i="59"/>
  <c r="A878" i="59"/>
  <c r="A879" i="59"/>
  <c r="A880" i="59"/>
  <c r="A881" i="59"/>
  <c r="A882" i="59"/>
  <c r="A883" i="59"/>
  <c r="A884" i="59"/>
  <c r="A885" i="59"/>
  <c r="A886" i="59"/>
  <c r="A887" i="59"/>
  <c r="A888" i="59"/>
  <c r="A889" i="59"/>
  <c r="A890" i="59"/>
  <c r="A891" i="59"/>
  <c r="A892" i="59"/>
  <c r="A893" i="59"/>
  <c r="A894" i="59"/>
  <c r="A895" i="59"/>
  <c r="A896" i="59"/>
  <c r="A897" i="59"/>
  <c r="A898" i="59"/>
  <c r="A899" i="59"/>
  <c r="A900" i="59"/>
  <c r="A901" i="59"/>
  <c r="A902" i="59"/>
  <c r="A903" i="59"/>
  <c r="A904" i="59"/>
  <c r="A905" i="59"/>
  <c r="A906" i="59"/>
  <c r="A907" i="59"/>
  <c r="A908" i="59"/>
  <c r="A909" i="59"/>
  <c r="A910" i="59"/>
  <c r="A911" i="59"/>
  <c r="A912" i="59"/>
  <c r="A913" i="59"/>
  <c r="A914" i="59"/>
  <c r="A915" i="59"/>
  <c r="A916" i="59"/>
  <c r="A917" i="59"/>
  <c r="A918" i="59"/>
  <c r="A919" i="59"/>
  <c r="A920" i="59"/>
  <c r="A921" i="59"/>
  <c r="A922" i="59"/>
  <c r="A923" i="59"/>
  <c r="A924" i="59"/>
  <c r="A925" i="59"/>
  <c r="A926" i="59"/>
  <c r="A927" i="59"/>
  <c r="A928" i="59"/>
  <c r="A929" i="59"/>
  <c r="A930" i="59"/>
  <c r="A931" i="59"/>
  <c r="A932" i="59"/>
  <c r="A933" i="59"/>
  <c r="A934" i="59"/>
  <c r="A935" i="59"/>
  <c r="A936" i="59"/>
  <c r="A937" i="59"/>
  <c r="A938" i="59"/>
  <c r="A939" i="59"/>
  <c r="A940" i="59"/>
  <c r="A941" i="59"/>
  <c r="A942" i="59"/>
  <c r="A943" i="59"/>
  <c r="A944" i="59"/>
  <c r="A945" i="59"/>
  <c r="A946" i="59"/>
  <c r="A947" i="59"/>
  <c r="A948" i="59"/>
  <c r="A949" i="59"/>
  <c r="A950" i="59"/>
  <c r="A951" i="59"/>
  <c r="A952" i="59"/>
  <c r="A953" i="59"/>
  <c r="A954" i="59"/>
  <c r="A955" i="59"/>
  <c r="A956" i="59"/>
  <c r="A957" i="59"/>
  <c r="A958" i="59"/>
  <c r="A959" i="59"/>
  <c r="A960" i="59"/>
  <c r="A961" i="59"/>
  <c r="A962" i="59"/>
  <c r="A963" i="59"/>
  <c r="A964" i="59"/>
  <c r="A965" i="59"/>
  <c r="A966" i="59"/>
  <c r="A967" i="59"/>
  <c r="A968" i="59"/>
  <c r="A969" i="59"/>
  <c r="A970" i="59"/>
  <c r="A971" i="59"/>
  <c r="A972" i="59"/>
  <c r="A973" i="59"/>
  <c r="A974" i="59"/>
  <c r="A975" i="59"/>
  <c r="A976" i="59"/>
  <c r="A977" i="59"/>
  <c r="A978" i="59"/>
  <c r="A979" i="59"/>
  <c r="A980" i="59"/>
  <c r="A981" i="59"/>
  <c r="A982" i="59"/>
  <c r="A983" i="59"/>
  <c r="A984" i="59"/>
  <c r="A985" i="59"/>
  <c r="A986" i="59"/>
  <c r="A987" i="59"/>
  <c r="A988" i="59"/>
  <c r="A989" i="59"/>
  <c r="A990" i="59"/>
  <c r="A991" i="59"/>
  <c r="A992" i="59"/>
  <c r="A993" i="59"/>
  <c r="A994" i="59"/>
  <c r="A995" i="59"/>
  <c r="A996" i="59"/>
  <c r="A997" i="59"/>
  <c r="A998" i="59"/>
  <c r="A999" i="59"/>
  <c r="A1000" i="59"/>
  <c r="A1001" i="59"/>
  <c r="A1002" i="59"/>
  <c r="A1003" i="59"/>
  <c r="A1004" i="59"/>
  <c r="A1005" i="59"/>
  <c r="A1006" i="59"/>
  <c r="A1007" i="59"/>
  <c r="A1008" i="59"/>
  <c r="A1009" i="59"/>
  <c r="A1010" i="59"/>
  <c r="A1011" i="59"/>
  <c r="A1012" i="59"/>
  <c r="A1013" i="59"/>
  <c r="A1014" i="59"/>
  <c r="A1015" i="59"/>
  <c r="A1016" i="59"/>
  <c r="A1017" i="59"/>
  <c r="A1018" i="59"/>
  <c r="A1019" i="59"/>
  <c r="A1020" i="59"/>
  <c r="A1021" i="59"/>
  <c r="A1022" i="59"/>
  <c r="A1023" i="59"/>
  <c r="A1024" i="59"/>
  <c r="A1025" i="59"/>
  <c r="A1026" i="59"/>
  <c r="A1027" i="59"/>
  <c r="A1028" i="59"/>
  <c r="A1029" i="59"/>
  <c r="A1030" i="59"/>
  <c r="A1031" i="59"/>
  <c r="A1032" i="59"/>
  <c r="A1033" i="59"/>
  <c r="A1034" i="59"/>
  <c r="A1035" i="59"/>
  <c r="A1036" i="59"/>
  <c r="A1037" i="59"/>
  <c r="A1038" i="59"/>
  <c r="A1039" i="59"/>
  <c r="A1040" i="59"/>
  <c r="A1041" i="59"/>
  <c r="A1042" i="59"/>
  <c r="A1043" i="59"/>
  <c r="A1044" i="59"/>
  <c r="A1045" i="59"/>
  <c r="A1046" i="59"/>
  <c r="A1047" i="59"/>
  <c r="A1048" i="59"/>
  <c r="A1049" i="59"/>
  <c r="A1050" i="59"/>
  <c r="A1051" i="59"/>
  <c r="A1052" i="59"/>
  <c r="A1053" i="59"/>
  <c r="A1054" i="59"/>
  <c r="A1055" i="59"/>
  <c r="A1056" i="59"/>
  <c r="A1057" i="59"/>
  <c r="A1058" i="59"/>
  <c r="A1059" i="59"/>
  <c r="A1060" i="59"/>
  <c r="A1061" i="59"/>
  <c r="A1062" i="59"/>
  <c r="A1063" i="59"/>
  <c r="A1064" i="59"/>
  <c r="A1065" i="59"/>
  <c r="A1066" i="59"/>
  <c r="A1067" i="59"/>
  <c r="A1068" i="59"/>
  <c r="A1069" i="59"/>
  <c r="A1070" i="59"/>
  <c r="A1071" i="59"/>
  <c r="A1072" i="59"/>
  <c r="A1073" i="59"/>
  <c r="A1074" i="59"/>
  <c r="A1075" i="59"/>
  <c r="A1076" i="59"/>
  <c r="A1077" i="59"/>
  <c r="A1078" i="59"/>
  <c r="A1079" i="59"/>
  <c r="A1080" i="59"/>
  <c r="A1081" i="59"/>
  <c r="A1082" i="59"/>
  <c r="A1083" i="59"/>
  <c r="A1084" i="59"/>
  <c r="A1085" i="59"/>
  <c r="A1086" i="59"/>
  <c r="A1087" i="59"/>
  <c r="A1088" i="59"/>
  <c r="A1089" i="59"/>
  <c r="A1090" i="59"/>
  <c r="A1091" i="59"/>
  <c r="A1092" i="59"/>
  <c r="A1093" i="59"/>
  <c r="A1094" i="59"/>
  <c r="A1095" i="59"/>
  <c r="A1096" i="59"/>
  <c r="A1097" i="59"/>
  <c r="A1098" i="59"/>
  <c r="A1099" i="59"/>
  <c r="A1100" i="59"/>
  <c r="A1101" i="59"/>
  <c r="A1102" i="59"/>
  <c r="A1103" i="59"/>
  <c r="A1104" i="59"/>
  <c r="A1105" i="59"/>
  <c r="A1106" i="59"/>
  <c r="A1107" i="59"/>
  <c r="A1108" i="59"/>
  <c r="A1109" i="59"/>
  <c r="A1110" i="59"/>
  <c r="A1111" i="59"/>
  <c r="A1112" i="59"/>
  <c r="A1113" i="59"/>
  <c r="A1114" i="59"/>
  <c r="A1115" i="59"/>
  <c r="A1116" i="59"/>
  <c r="A1117" i="59"/>
  <c r="A1118" i="59"/>
  <c r="A1119" i="59"/>
  <c r="A1120" i="59"/>
  <c r="A1121" i="59"/>
  <c r="A1122" i="59"/>
  <c r="A1123" i="59"/>
  <c r="A1124" i="59"/>
  <c r="A1125" i="59"/>
  <c r="A1126" i="59"/>
  <c r="A1127" i="59"/>
  <c r="A1128" i="59"/>
  <c r="A1129" i="59"/>
  <c r="A1130" i="59"/>
  <c r="A1131" i="59"/>
  <c r="A1132" i="59"/>
  <c r="A1133" i="59"/>
  <c r="A1134" i="59"/>
  <c r="A1135" i="59"/>
  <c r="A1136" i="59"/>
  <c r="A1137" i="59"/>
  <c r="A1138" i="59"/>
  <c r="A1139" i="59"/>
  <c r="A1140" i="59"/>
  <c r="A1141" i="59"/>
  <c r="A1142" i="59"/>
  <c r="A1143" i="59"/>
  <c r="A1144" i="59"/>
  <c r="A1145" i="59"/>
  <c r="A1146" i="59"/>
  <c r="A1147" i="59"/>
  <c r="A1148" i="59"/>
  <c r="A1149" i="59"/>
  <c r="A1150" i="59"/>
  <c r="A1151" i="59"/>
  <c r="A1152" i="59"/>
  <c r="A1153" i="59"/>
  <c r="A1154" i="59"/>
  <c r="A1155" i="59"/>
  <c r="A1156" i="59"/>
  <c r="A1157" i="59"/>
  <c r="A1158" i="59"/>
  <c r="A1159" i="59"/>
  <c r="A1160" i="59"/>
  <c r="A1161" i="59"/>
  <c r="A1162" i="59"/>
  <c r="A1163" i="59"/>
  <c r="A1164" i="59"/>
  <c r="A1165" i="59"/>
  <c r="A1166" i="59"/>
  <c r="A1167" i="59"/>
  <c r="A1168" i="59"/>
  <c r="A1169" i="59"/>
  <c r="A1170" i="59"/>
  <c r="A1171" i="59"/>
  <c r="A1172" i="59"/>
  <c r="A1173" i="59"/>
  <c r="A1174" i="59"/>
  <c r="A1175" i="59"/>
  <c r="A1176" i="59"/>
  <c r="A1177" i="59"/>
  <c r="A1178" i="59"/>
  <c r="A1179" i="59"/>
  <c r="A1180" i="59"/>
  <c r="A1181" i="59"/>
  <c r="A1182" i="59"/>
  <c r="A1183" i="59"/>
  <c r="A1184" i="59"/>
  <c r="A1185" i="59"/>
  <c r="A1186" i="59"/>
  <c r="A1187" i="59"/>
  <c r="A1188" i="59"/>
  <c r="A1189" i="59"/>
  <c r="A1190" i="59"/>
  <c r="A1191" i="59"/>
  <c r="A1192" i="59"/>
  <c r="A1193" i="59"/>
  <c r="A1194" i="59"/>
  <c r="A1195" i="59"/>
  <c r="A1196" i="59"/>
  <c r="A1197" i="59"/>
  <c r="A1198" i="59"/>
  <c r="A1199" i="59"/>
  <c r="A1200" i="59"/>
  <c r="A1201" i="59"/>
  <c r="A1202" i="59"/>
  <c r="A1203" i="59"/>
  <c r="A1204" i="59"/>
  <c r="A1205" i="59"/>
  <c r="A1206" i="59"/>
  <c r="A1207" i="59"/>
  <c r="A1208" i="59"/>
  <c r="A1209" i="59"/>
  <c r="A1210" i="59"/>
  <c r="A1211" i="59"/>
  <c r="A1212" i="59"/>
  <c r="A1213" i="59"/>
  <c r="A1214" i="59"/>
  <c r="A1215" i="59"/>
  <c r="A1216" i="59"/>
  <c r="A1217" i="59"/>
  <c r="A1218" i="59"/>
  <c r="A1219" i="59"/>
  <c r="A1220" i="59"/>
  <c r="A1221" i="59"/>
  <c r="A1222" i="59"/>
  <c r="A1223" i="59"/>
  <c r="A1224" i="59"/>
  <c r="A1225" i="59"/>
  <c r="A1226" i="59"/>
  <c r="A1227" i="59"/>
  <c r="A1228" i="59"/>
  <c r="A1229" i="59"/>
  <c r="A1230" i="59"/>
  <c r="A1231" i="59"/>
  <c r="A1232" i="59"/>
  <c r="A1233" i="59"/>
  <c r="A1234" i="59"/>
  <c r="A1235" i="59"/>
  <c r="A1236" i="59"/>
  <c r="A1237" i="59"/>
  <c r="A1238" i="59"/>
  <c r="A1239" i="59"/>
  <c r="A1240" i="59"/>
  <c r="A1241" i="59"/>
  <c r="A1242" i="59"/>
  <c r="A1243" i="59"/>
  <c r="A1244" i="59"/>
  <c r="A1245" i="59"/>
  <c r="A1246" i="59"/>
  <c r="A1247" i="59"/>
  <c r="A1248" i="59"/>
  <c r="A1249" i="59"/>
  <c r="A1250" i="59"/>
  <c r="A1251" i="59"/>
  <c r="A1252" i="59"/>
  <c r="A1253" i="59"/>
  <c r="A1254" i="59"/>
  <c r="A1255" i="59"/>
  <c r="A1256" i="59"/>
  <c r="A1257" i="59"/>
  <c r="A1258" i="59"/>
  <c r="A1259" i="59"/>
  <c r="A1260" i="59"/>
  <c r="A1261" i="59"/>
  <c r="A1262" i="59"/>
  <c r="A1263" i="59"/>
  <c r="A1264" i="59"/>
  <c r="A1265" i="59"/>
  <c r="A1266" i="59"/>
  <c r="A1267" i="59"/>
  <c r="A1268" i="59"/>
  <c r="A1269" i="59"/>
  <c r="A1270" i="59"/>
  <c r="A1271" i="59"/>
  <c r="A1272" i="59"/>
  <c r="A1273" i="59"/>
  <c r="A1274" i="59"/>
  <c r="A1275" i="59"/>
  <c r="A1276" i="59"/>
  <c r="A1277" i="59"/>
  <c r="A1278" i="59"/>
  <c r="A1279" i="59"/>
  <c r="A1280" i="59"/>
  <c r="A1281" i="59"/>
  <c r="A1282" i="59"/>
  <c r="A1283" i="59"/>
  <c r="A1284" i="59"/>
  <c r="A1285" i="59"/>
  <c r="A1286" i="59"/>
  <c r="A1287" i="59"/>
  <c r="A1288" i="59"/>
  <c r="A1289" i="59"/>
  <c r="A1290" i="59"/>
  <c r="A1291" i="59"/>
  <c r="A1292" i="59"/>
  <c r="A1293" i="59"/>
  <c r="A1294" i="59"/>
  <c r="A1295" i="59"/>
  <c r="A1296" i="59"/>
  <c r="A1297" i="59"/>
  <c r="A1298" i="59"/>
  <c r="A1299" i="59"/>
  <c r="A1300" i="59"/>
  <c r="A1301" i="59"/>
  <c r="A1302" i="59"/>
  <c r="A1303" i="59"/>
  <c r="A1304" i="59"/>
  <c r="A1305" i="59"/>
  <c r="A1306" i="59"/>
  <c r="A1307" i="59"/>
  <c r="A1308" i="59"/>
  <c r="A1309" i="59"/>
  <c r="A1310" i="59"/>
  <c r="A1311" i="59"/>
  <c r="A1312" i="59"/>
  <c r="A1313" i="59"/>
  <c r="A1314" i="59"/>
  <c r="A1315" i="59"/>
  <c r="A1316" i="59"/>
  <c r="A1317" i="59"/>
  <c r="A1318" i="59"/>
  <c r="A1319" i="59"/>
  <c r="A1320" i="59"/>
  <c r="A1321" i="59"/>
  <c r="A1322" i="59"/>
  <c r="A1323" i="59"/>
  <c r="A1324" i="59"/>
  <c r="A1325" i="59"/>
  <c r="A1326" i="59"/>
  <c r="A1327" i="59"/>
  <c r="A1328" i="59"/>
  <c r="A1329" i="59"/>
  <c r="A1330" i="59"/>
  <c r="A1331" i="59"/>
  <c r="A1332" i="59"/>
  <c r="A1333" i="59"/>
  <c r="A1334" i="59"/>
  <c r="A1335" i="59"/>
  <c r="A1336" i="59"/>
  <c r="A1337" i="59"/>
  <c r="A1338" i="59"/>
  <c r="A1339" i="59"/>
  <c r="A1340" i="59"/>
  <c r="A1341" i="59"/>
  <c r="A1342" i="59"/>
  <c r="A1343" i="59"/>
  <c r="A1344" i="59"/>
  <c r="A1345" i="59"/>
  <c r="A1346" i="59"/>
  <c r="A1347" i="59"/>
  <c r="A1348" i="59"/>
  <c r="A1349" i="59"/>
  <c r="A1350" i="59"/>
  <c r="A1351" i="59"/>
  <c r="A1352" i="59"/>
  <c r="A1353" i="59"/>
  <c r="A1354" i="59"/>
  <c r="A1355" i="59"/>
  <c r="A1356" i="59"/>
  <c r="A1357" i="59"/>
  <c r="A1358" i="59"/>
  <c r="A1359" i="59"/>
  <c r="A1360" i="59"/>
  <c r="A1361" i="59"/>
  <c r="A1362" i="59"/>
  <c r="A1363" i="59"/>
  <c r="A1364" i="59"/>
  <c r="A1365" i="59"/>
  <c r="A1366" i="59"/>
  <c r="A1367" i="59"/>
  <c r="A1368" i="59"/>
  <c r="A1369" i="59"/>
  <c r="A1370" i="59"/>
  <c r="A1371" i="59"/>
  <c r="A1372" i="59"/>
  <c r="A1373" i="59"/>
  <c r="A1374" i="59"/>
  <c r="A1375" i="59"/>
  <c r="A1376" i="59"/>
  <c r="A1377" i="59"/>
  <c r="A1378" i="59"/>
  <c r="A1379" i="59"/>
  <c r="A1380" i="59"/>
  <c r="A1381" i="59"/>
  <c r="A1382" i="59"/>
  <c r="A1383" i="59"/>
  <c r="A1384" i="59"/>
  <c r="A1385" i="59"/>
  <c r="A1386" i="59"/>
  <c r="A1387" i="59"/>
  <c r="A1388" i="59"/>
  <c r="A1389" i="59"/>
  <c r="A1390" i="59"/>
  <c r="A1391" i="59"/>
  <c r="A1392" i="59"/>
  <c r="A1393" i="59"/>
  <c r="A1394" i="59"/>
  <c r="A1395" i="59"/>
  <c r="A1396" i="59"/>
  <c r="A1397" i="59"/>
  <c r="A1398" i="59"/>
  <c r="A1399" i="59"/>
  <c r="A1400" i="59"/>
  <c r="A1401" i="59"/>
  <c r="A1402" i="59"/>
  <c r="A1403" i="59"/>
  <c r="A1404" i="59"/>
  <c r="A1405" i="59"/>
  <c r="A1406" i="59"/>
  <c r="A1407" i="59"/>
  <c r="A1408" i="59"/>
  <c r="A1409" i="59"/>
  <c r="A1410" i="59"/>
  <c r="A1411" i="59"/>
  <c r="A1412" i="59"/>
  <c r="A1413" i="59"/>
  <c r="A1414" i="59"/>
  <c r="A1415" i="59"/>
  <c r="A1416" i="59"/>
  <c r="A1417" i="59"/>
  <c r="A1418" i="59"/>
  <c r="A1419" i="59"/>
  <c r="A1420" i="59"/>
  <c r="A1421" i="59"/>
  <c r="A1422" i="59"/>
  <c r="A1423" i="59"/>
  <c r="A1424" i="59"/>
  <c r="A1425" i="59"/>
  <c r="A1426" i="59"/>
  <c r="A1427" i="59"/>
  <c r="A1428" i="59"/>
  <c r="A1429" i="59"/>
  <c r="A1430" i="59"/>
  <c r="A1431" i="59"/>
  <c r="A1432" i="59"/>
  <c r="A1433" i="59"/>
  <c r="A1434" i="59"/>
  <c r="A1435" i="59"/>
  <c r="A1436" i="59"/>
  <c r="A1437" i="59"/>
  <c r="A1438" i="59"/>
  <c r="A1439" i="59"/>
  <c r="A1440" i="59"/>
  <c r="A1441" i="59"/>
  <c r="A1442" i="59"/>
  <c r="A1443" i="59"/>
  <c r="A1444" i="59"/>
  <c r="A1445" i="59"/>
  <c r="A1446" i="59"/>
  <c r="A1447" i="59"/>
  <c r="A1448" i="59"/>
  <c r="A1449" i="59"/>
  <c r="A1450" i="59"/>
  <c r="A1451" i="59"/>
  <c r="A1452" i="59"/>
  <c r="A1453" i="59"/>
  <c r="A1454" i="59"/>
  <c r="A1455" i="59"/>
  <c r="A1456" i="59"/>
  <c r="A1457" i="59"/>
  <c r="A1458" i="59"/>
  <c r="A1459" i="59"/>
  <c r="A1460" i="59"/>
  <c r="A1461" i="59"/>
  <c r="A1462" i="59"/>
  <c r="A1463" i="59"/>
  <c r="A1464" i="59"/>
  <c r="A1465" i="59"/>
  <c r="A1466" i="59"/>
  <c r="A1467" i="59"/>
  <c r="A1468" i="59"/>
  <c r="A1469" i="59"/>
  <c r="A1470" i="59"/>
  <c r="A1471" i="59"/>
  <c r="A1472" i="59"/>
  <c r="A1473" i="59"/>
  <c r="A1474" i="59"/>
  <c r="A1475" i="59"/>
  <c r="A1476" i="59"/>
  <c r="A1477" i="59"/>
  <c r="A1478" i="59"/>
  <c r="A1479" i="59"/>
  <c r="A1480" i="59"/>
  <c r="A1481" i="59"/>
  <c r="A1482" i="59"/>
  <c r="A1483" i="59"/>
  <c r="A1484" i="59"/>
  <c r="A1485" i="59"/>
  <c r="A1486" i="59"/>
  <c r="A1487" i="59"/>
  <c r="A1488" i="59"/>
  <c r="A1489" i="59"/>
  <c r="A1490" i="59"/>
  <c r="A1491" i="59"/>
  <c r="A1492" i="59"/>
  <c r="A1493" i="59"/>
  <c r="A1494" i="59"/>
  <c r="A1495" i="59"/>
  <c r="A1496" i="59"/>
  <c r="A1497" i="59"/>
  <c r="A1498" i="59"/>
  <c r="A1499" i="59"/>
  <c r="A1500" i="59"/>
  <c r="A1501" i="59"/>
  <c r="A1502" i="59"/>
  <c r="A1503" i="59"/>
  <c r="A1504" i="59"/>
  <c r="A1505" i="59"/>
  <c r="A1506" i="59"/>
  <c r="A1507" i="59"/>
  <c r="A1508" i="59"/>
  <c r="A1509" i="59"/>
  <c r="A1510" i="59"/>
  <c r="A1511" i="59"/>
  <c r="A1512" i="59"/>
  <c r="A1513" i="59"/>
  <c r="A1514" i="59"/>
  <c r="A1515" i="59"/>
  <c r="A1516" i="59"/>
  <c r="A1517" i="59"/>
  <c r="A1518" i="59"/>
  <c r="A1519" i="59"/>
  <c r="A1520" i="59"/>
  <c r="A1521" i="59"/>
  <c r="A1522" i="59"/>
  <c r="A1523" i="59"/>
  <c r="A1524" i="59"/>
  <c r="A1525" i="59"/>
  <c r="A1526" i="59"/>
  <c r="A1527" i="59"/>
  <c r="A1528" i="59"/>
  <c r="A1529" i="59"/>
  <c r="A1530" i="59"/>
  <c r="A1531" i="59"/>
  <c r="A1532" i="59"/>
  <c r="A1533" i="59"/>
  <c r="A1534" i="59"/>
  <c r="A1535" i="59"/>
  <c r="A1536" i="59"/>
  <c r="A1537" i="59"/>
  <c r="A1538" i="59"/>
  <c r="A1539" i="59"/>
  <c r="A1540" i="59"/>
  <c r="A1541" i="59"/>
  <c r="A1542" i="59"/>
  <c r="A1543" i="59"/>
  <c r="A1544" i="59"/>
  <c r="A1545" i="59"/>
  <c r="A1546" i="59"/>
  <c r="A1547" i="59"/>
  <c r="A1548" i="59"/>
  <c r="A1549" i="59"/>
  <c r="A1550" i="59"/>
  <c r="A1551" i="59"/>
  <c r="A1552" i="59"/>
  <c r="A1553" i="59"/>
  <c r="A1554" i="59"/>
  <c r="A1555" i="59"/>
  <c r="A1556" i="59"/>
  <c r="A1557" i="59"/>
  <c r="A1558" i="59"/>
  <c r="A1559" i="59"/>
  <c r="A1560" i="59"/>
  <c r="A1561" i="59"/>
  <c r="A1562" i="59"/>
  <c r="A1563" i="59"/>
  <c r="A1564" i="59"/>
  <c r="A1565" i="59"/>
  <c r="A1566" i="59"/>
  <c r="A1567" i="59"/>
  <c r="A1568" i="59"/>
  <c r="A1569" i="59"/>
  <c r="A1570" i="59"/>
  <c r="A1571" i="59"/>
  <c r="A1572" i="59"/>
  <c r="A1573" i="59"/>
  <c r="A1574" i="59"/>
  <c r="A1575" i="59"/>
  <c r="A1576" i="59"/>
  <c r="A1577" i="59"/>
  <c r="A1578" i="59"/>
  <c r="A1579" i="59"/>
  <c r="A1580" i="59"/>
  <c r="A1581" i="59"/>
  <c r="A1582" i="59"/>
  <c r="A1583" i="59"/>
  <c r="A1584" i="59"/>
  <c r="A1585" i="59"/>
  <c r="A1586" i="59"/>
  <c r="A1587" i="59"/>
  <c r="A1588" i="59"/>
  <c r="A1589" i="59"/>
  <c r="A1590" i="59"/>
  <c r="A1591" i="59"/>
  <c r="A1592" i="59"/>
  <c r="A1593" i="59"/>
  <c r="A1594" i="59"/>
  <c r="A1595" i="59"/>
  <c r="A1596" i="59"/>
  <c r="A1597" i="59"/>
  <c r="A1598" i="59"/>
  <c r="A1599" i="59"/>
  <c r="A1600" i="59"/>
  <c r="A1601" i="59"/>
  <c r="A1602" i="59"/>
  <c r="A1603" i="59"/>
  <c r="A1604" i="59"/>
  <c r="A1605" i="59"/>
  <c r="A1606" i="59"/>
  <c r="A1607" i="59"/>
  <c r="A1608" i="59"/>
  <c r="A1609" i="59"/>
  <c r="A1610" i="59"/>
  <c r="A1611" i="59"/>
  <c r="A1612" i="59"/>
  <c r="A1613" i="59"/>
  <c r="A1614" i="59"/>
  <c r="A1615" i="59"/>
  <c r="A1616" i="59"/>
  <c r="A1617" i="59"/>
  <c r="A1618" i="59"/>
  <c r="A1619" i="59"/>
  <c r="A1620" i="59"/>
  <c r="A1621" i="59"/>
  <c r="A1622" i="59"/>
  <c r="A1623" i="59"/>
  <c r="A1624" i="59"/>
  <c r="A1625" i="59"/>
  <c r="A1626" i="59"/>
  <c r="A1627" i="59"/>
  <c r="A1628" i="59"/>
  <c r="A1629" i="59"/>
  <c r="A1630" i="59"/>
  <c r="A1631" i="59"/>
  <c r="A1632" i="59"/>
  <c r="A1633" i="59"/>
  <c r="A1634" i="59"/>
  <c r="A1635" i="59"/>
  <c r="A1636" i="59"/>
  <c r="A1637" i="59"/>
  <c r="A1638" i="59"/>
  <c r="A1639" i="59"/>
  <c r="A1640" i="59"/>
  <c r="A1641" i="59"/>
  <c r="A1642" i="59"/>
  <c r="A1643" i="59"/>
  <c r="A1644" i="59"/>
  <c r="A1645" i="59"/>
  <c r="A1646" i="59"/>
  <c r="A1647" i="59"/>
  <c r="A1648" i="59"/>
  <c r="A1649" i="59"/>
  <c r="A1650" i="59"/>
  <c r="A1651" i="59"/>
  <c r="A1652" i="59"/>
  <c r="A1653" i="59"/>
  <c r="A1654" i="59"/>
  <c r="A1655" i="59"/>
  <c r="A1656" i="59"/>
  <c r="A1657" i="59"/>
  <c r="A1658" i="59"/>
  <c r="A1659" i="59"/>
  <c r="A1660" i="59"/>
  <c r="A1661" i="59"/>
  <c r="A1662" i="59"/>
  <c r="A1663" i="59"/>
  <c r="A1664" i="59"/>
  <c r="A1665" i="59"/>
  <c r="A1666" i="59"/>
  <c r="A1667" i="59"/>
  <c r="A1668" i="59"/>
  <c r="A1669" i="59"/>
  <c r="A1670" i="59"/>
  <c r="A1671" i="59"/>
  <c r="A1672" i="59"/>
  <c r="A1673" i="59"/>
  <c r="A1674" i="59"/>
  <c r="A1675" i="59"/>
  <c r="A1676" i="59"/>
  <c r="A1677" i="59"/>
  <c r="A1678" i="59"/>
  <c r="A1679" i="59"/>
  <c r="A1680" i="59"/>
  <c r="A1681" i="59"/>
  <c r="A1682" i="59"/>
  <c r="A1683" i="59"/>
  <c r="A1684" i="59"/>
  <c r="A1685" i="59"/>
  <c r="A1686" i="59"/>
  <c r="A1687" i="59"/>
  <c r="A1688" i="59"/>
  <c r="A1689" i="59"/>
  <c r="A1690" i="59"/>
  <c r="A1691" i="59"/>
  <c r="A1692" i="59"/>
  <c r="A1693" i="59"/>
  <c r="A1694" i="59"/>
  <c r="A1695" i="59"/>
  <c r="A1696" i="59"/>
  <c r="A1697" i="59"/>
  <c r="A1698" i="59"/>
  <c r="A1699" i="59"/>
  <c r="A1700" i="59"/>
  <c r="A1701" i="59"/>
  <c r="A1702" i="59"/>
  <c r="A1703" i="59"/>
  <c r="A1704" i="59"/>
  <c r="A1705" i="59"/>
  <c r="A1706" i="59"/>
  <c r="A1707" i="59"/>
  <c r="A1708" i="59"/>
  <c r="A1709" i="59"/>
  <c r="A1710" i="59"/>
  <c r="A1711" i="59"/>
  <c r="A1712" i="59"/>
  <c r="A1713" i="59"/>
  <c r="A1714" i="59"/>
  <c r="A1715" i="59"/>
  <c r="A1716" i="59"/>
  <c r="A1717" i="59"/>
  <c r="A1718" i="59"/>
  <c r="A1719" i="59"/>
  <c r="A1720" i="59"/>
  <c r="A1721" i="59"/>
  <c r="A1722" i="59"/>
  <c r="A1723" i="59"/>
  <c r="A1724" i="59"/>
  <c r="A1725" i="59"/>
  <c r="A1726" i="59"/>
  <c r="A1727" i="59"/>
  <c r="A1728" i="59"/>
  <c r="A1729" i="59"/>
  <c r="A1730" i="59"/>
  <c r="A1731" i="59"/>
  <c r="A1732" i="59"/>
  <c r="A1733" i="59"/>
  <c r="A1734" i="59"/>
  <c r="A1735" i="59"/>
  <c r="A1736" i="59"/>
  <c r="A1737" i="59"/>
  <c r="A1738" i="59"/>
  <c r="A1739" i="59"/>
  <c r="A1740" i="59"/>
  <c r="A1741" i="59"/>
  <c r="A1742" i="59"/>
  <c r="A1743" i="59"/>
  <c r="A1744" i="59"/>
  <c r="A1745" i="59"/>
  <c r="A1746" i="59"/>
  <c r="A1747" i="59"/>
  <c r="A1748" i="59"/>
  <c r="A1749" i="59"/>
  <c r="A1750" i="59"/>
  <c r="A1751" i="59"/>
  <c r="A1752" i="59"/>
  <c r="A1753" i="59"/>
  <c r="A1754" i="59"/>
  <c r="A1755" i="59"/>
  <c r="A1756" i="59"/>
  <c r="A1757" i="59"/>
  <c r="A1758" i="59"/>
  <c r="A1759" i="59"/>
  <c r="A1760" i="59"/>
  <c r="A1761" i="59"/>
  <c r="A1762" i="59"/>
  <c r="A1763" i="59"/>
  <c r="A1764" i="59"/>
  <c r="A1765" i="59"/>
  <c r="A1766" i="59"/>
  <c r="A1767" i="59"/>
  <c r="A1768" i="59"/>
  <c r="A1769" i="59"/>
  <c r="A1770" i="59"/>
  <c r="A1771" i="59"/>
  <c r="A1772" i="59"/>
  <c r="A1773" i="59"/>
  <c r="A1774" i="59"/>
  <c r="A1775" i="59"/>
  <c r="A1776" i="59"/>
  <c r="A1777" i="59"/>
  <c r="A1778" i="59"/>
  <c r="A1779" i="59"/>
  <c r="A1780" i="59"/>
  <c r="A1781" i="59"/>
  <c r="A1782" i="59"/>
  <c r="A1783" i="59"/>
  <c r="A1784" i="59"/>
  <c r="A1785" i="59"/>
  <c r="A1786" i="59"/>
  <c r="A1787" i="59"/>
  <c r="A1788" i="59"/>
  <c r="A1789" i="59"/>
  <c r="A1790" i="59"/>
  <c r="A1791" i="59"/>
  <c r="A1792" i="59"/>
  <c r="A1793" i="59"/>
  <c r="A1794" i="59"/>
  <c r="A1795" i="59"/>
  <c r="A1796" i="59"/>
  <c r="A1797" i="59"/>
  <c r="A1798" i="59"/>
  <c r="A1799" i="59"/>
  <c r="A1800" i="59"/>
  <c r="A1801" i="59"/>
  <c r="A1802" i="59"/>
  <c r="A1803" i="59"/>
  <c r="A1804" i="59"/>
  <c r="A1805" i="59"/>
  <c r="A1806" i="59"/>
  <c r="A1807" i="59"/>
  <c r="A1808" i="59"/>
  <c r="A1809" i="59"/>
  <c r="A1810" i="59"/>
  <c r="A1811" i="59"/>
  <c r="A1812" i="59"/>
  <c r="A1813" i="59"/>
  <c r="A1814" i="59"/>
  <c r="A1815" i="59"/>
  <c r="A1816" i="59"/>
  <c r="A1817" i="59"/>
  <c r="A1818" i="59"/>
  <c r="A1819" i="59"/>
  <c r="A1820" i="59"/>
  <c r="A1821" i="59"/>
  <c r="A1822" i="59"/>
  <c r="A1823" i="59"/>
  <c r="A1824" i="59"/>
  <c r="A1825" i="59"/>
  <c r="A1826" i="59"/>
  <c r="A1827" i="59"/>
  <c r="A1828" i="59"/>
  <c r="A1829" i="59"/>
  <c r="A1830" i="59"/>
  <c r="A1831" i="59"/>
  <c r="A1832" i="59"/>
  <c r="A1833" i="59"/>
  <c r="A1834" i="59"/>
  <c r="A1835" i="59"/>
  <c r="A1836" i="59"/>
  <c r="A1837" i="59"/>
  <c r="A1838" i="59"/>
  <c r="A1839" i="59"/>
  <c r="A1840" i="59"/>
  <c r="A1841" i="59"/>
  <c r="A1842" i="59"/>
  <c r="A1843" i="59"/>
  <c r="A1844" i="59"/>
  <c r="A1845" i="59"/>
  <c r="A1846" i="59"/>
  <c r="A1847" i="59"/>
  <c r="A1848" i="59"/>
  <c r="A1849" i="59"/>
  <c r="A1850" i="59"/>
  <c r="A1851" i="59"/>
  <c r="A1852" i="59"/>
  <c r="A1853" i="59"/>
  <c r="A1854" i="59"/>
  <c r="A1855" i="59"/>
  <c r="A1856" i="59"/>
  <c r="A1857" i="59"/>
  <c r="A1858" i="59"/>
  <c r="A1859" i="59"/>
  <c r="A1860" i="59"/>
  <c r="A1861" i="59"/>
  <c r="A1862" i="59"/>
  <c r="A1863" i="59"/>
  <c r="A1864" i="59"/>
  <c r="A1865" i="59"/>
  <c r="A1866" i="59"/>
  <c r="A1867" i="59"/>
  <c r="A1868" i="59"/>
  <c r="A1869" i="59"/>
  <c r="A1870" i="59"/>
  <c r="A1871" i="59"/>
  <c r="A1872" i="59"/>
  <c r="A1873" i="59"/>
  <c r="A1874" i="59"/>
  <c r="A1875" i="59"/>
  <c r="A1876" i="59"/>
  <c r="A1877" i="59"/>
  <c r="A1878" i="59"/>
  <c r="A1879" i="59"/>
  <c r="A1880" i="59"/>
  <c r="A1881" i="59"/>
  <c r="A1882" i="59"/>
  <c r="A1883" i="59"/>
  <c r="A1884" i="59"/>
  <c r="A1885" i="59"/>
  <c r="A1886" i="59"/>
  <c r="A1887" i="59"/>
  <c r="A1888" i="59"/>
  <c r="A1889" i="59"/>
  <c r="A1890" i="59"/>
  <c r="A1891" i="59"/>
  <c r="A1892" i="59"/>
  <c r="A1893" i="59"/>
  <c r="A1894" i="59"/>
  <c r="A1895" i="59"/>
  <c r="A1896" i="59"/>
  <c r="A1897" i="59"/>
  <c r="A1898" i="59"/>
  <c r="A1899" i="59"/>
  <c r="A1900" i="59"/>
  <c r="A1901" i="59"/>
  <c r="A1902" i="59"/>
  <c r="A1903" i="59"/>
  <c r="A1904" i="59"/>
  <c r="A1905" i="59"/>
  <c r="A1906" i="59"/>
  <c r="A1907" i="59"/>
  <c r="A1908" i="59"/>
  <c r="A1909" i="59"/>
  <c r="A1910" i="59"/>
  <c r="A1911" i="59"/>
  <c r="A1912" i="59"/>
  <c r="A1913" i="59"/>
  <c r="A1914" i="59"/>
  <c r="A1915" i="59"/>
  <c r="A1916" i="59"/>
  <c r="A1917" i="59"/>
  <c r="A1918" i="59"/>
  <c r="A1919" i="59"/>
  <c r="A1920" i="59"/>
  <c r="A1921" i="59"/>
  <c r="A1922" i="59"/>
  <c r="A1923" i="59"/>
  <c r="A1924" i="59"/>
  <c r="A1925" i="59"/>
  <c r="A1926" i="59"/>
  <c r="A1927" i="59"/>
  <c r="A1928" i="59"/>
  <c r="A1929" i="59"/>
  <c r="A1930" i="59"/>
  <c r="A1931" i="59"/>
  <c r="A1932" i="59"/>
  <c r="A1933" i="59"/>
  <c r="A1934" i="59"/>
  <c r="A1935" i="59"/>
  <c r="A1936" i="59"/>
  <c r="A1937" i="59"/>
  <c r="A1938" i="59"/>
  <c r="A1939" i="59"/>
  <c r="A1940" i="59"/>
  <c r="A1941" i="59"/>
  <c r="A1942" i="59"/>
  <c r="A1943" i="59"/>
  <c r="A1944" i="59"/>
  <c r="A1945" i="59"/>
  <c r="A1946" i="59"/>
  <c r="A1947" i="59"/>
  <c r="A1948" i="59"/>
  <c r="A1949" i="59"/>
  <c r="A1950" i="59"/>
  <c r="A1951" i="59"/>
  <c r="A1952" i="59"/>
  <c r="A1953" i="59"/>
  <c r="A1954" i="59"/>
  <c r="A1955" i="59"/>
  <c r="A1956" i="59"/>
  <c r="A1957" i="59"/>
  <c r="A1958" i="59"/>
  <c r="A1959" i="59"/>
  <c r="A1960" i="59"/>
  <c r="A1961" i="59"/>
  <c r="A1962" i="59"/>
  <c r="A1963" i="59"/>
  <c r="A1964" i="59"/>
  <c r="A1965" i="59"/>
  <c r="A1966" i="59"/>
  <c r="A1967" i="59"/>
  <c r="A1968" i="59"/>
  <c r="A1969" i="59"/>
  <c r="A1970" i="59"/>
  <c r="A1971" i="59"/>
  <c r="A1972" i="59"/>
  <c r="A1973" i="59"/>
  <c r="A1974" i="59"/>
  <c r="A1975" i="59"/>
  <c r="A1976" i="59"/>
  <c r="A1977" i="59"/>
  <c r="A1978" i="59"/>
  <c r="A1979" i="59"/>
  <c r="A1980" i="59"/>
  <c r="A1981" i="59"/>
  <c r="A1982" i="59"/>
  <c r="A1983" i="59"/>
  <c r="A1984" i="59"/>
  <c r="A1985" i="59"/>
  <c r="A1986" i="59"/>
  <c r="A1987" i="59"/>
  <c r="A1988" i="59"/>
  <c r="A1989" i="59"/>
  <c r="A1990" i="59"/>
  <c r="A1991" i="59"/>
  <c r="A1992" i="59"/>
  <c r="A1993" i="59"/>
  <c r="A1994" i="59"/>
  <c r="A1995" i="59"/>
  <c r="A1996" i="59"/>
  <c r="A1997" i="59"/>
  <c r="A1998" i="59"/>
  <c r="A1999" i="59"/>
  <c r="A2000" i="59"/>
  <c r="A2001" i="59"/>
  <c r="A2002" i="59"/>
  <c r="A2003" i="59"/>
  <c r="A2004" i="59"/>
  <c r="A2005" i="59"/>
  <c r="A2006" i="59"/>
  <c r="A2007" i="59"/>
  <c r="A2008" i="59"/>
  <c r="A2009" i="59"/>
  <c r="A2010" i="59"/>
  <c r="A2011" i="59"/>
  <c r="A2012" i="59"/>
  <c r="A2013" i="59"/>
  <c r="A2014" i="59"/>
  <c r="A2015" i="59"/>
  <c r="A2016" i="59"/>
  <c r="A2017" i="59"/>
  <c r="A2018" i="59"/>
  <c r="A2019" i="59"/>
  <c r="A2020" i="59"/>
  <c r="A2021" i="59"/>
  <c r="A2022" i="59"/>
  <c r="A2023" i="59"/>
  <c r="A2024" i="59"/>
  <c r="A2025" i="59"/>
  <c r="A2026" i="59"/>
  <c r="A2027" i="59"/>
  <c r="A2028" i="59"/>
  <c r="A2029" i="59"/>
  <c r="A2030" i="59"/>
  <c r="A2031" i="59"/>
  <c r="A2032" i="59"/>
  <c r="A2033" i="59"/>
  <c r="A2034" i="59"/>
  <c r="A2035" i="59"/>
  <c r="A2036" i="59"/>
  <c r="A2037" i="59"/>
  <c r="A2038" i="59"/>
  <c r="A2039" i="59"/>
  <c r="A2040" i="59"/>
  <c r="A2041" i="59"/>
  <c r="A2042" i="59"/>
  <c r="A2043" i="59"/>
  <c r="A2044" i="59"/>
  <c r="A2045" i="59"/>
  <c r="A2046" i="59"/>
  <c r="A2047" i="59"/>
  <c r="A2048" i="59"/>
  <c r="A2049" i="59"/>
  <c r="A2050" i="59"/>
  <c r="A2051" i="59"/>
  <c r="A2052" i="59"/>
  <c r="A2053" i="59"/>
  <c r="A2054" i="59"/>
  <c r="A2055" i="59"/>
  <c r="A2056" i="59"/>
  <c r="A2057" i="59"/>
  <c r="A2058" i="59"/>
  <c r="A2059" i="59"/>
  <c r="A2060" i="59"/>
  <c r="A2061" i="59"/>
  <c r="A2062" i="59"/>
  <c r="A2063" i="59"/>
  <c r="A2064" i="59"/>
  <c r="A2065" i="59"/>
  <c r="A2066" i="59"/>
  <c r="A2067" i="59"/>
  <c r="A2068" i="59"/>
  <c r="A2069" i="59"/>
  <c r="A2070" i="59"/>
  <c r="A2071" i="59"/>
  <c r="A2072" i="59"/>
  <c r="A2073" i="59"/>
  <c r="A2074" i="59"/>
  <c r="A2075" i="59"/>
  <c r="A2076" i="59"/>
  <c r="A2077" i="59"/>
  <c r="A2078" i="59"/>
  <c r="A2079" i="59"/>
  <c r="A2080" i="59"/>
  <c r="A2081" i="59"/>
  <c r="A2082" i="59"/>
  <c r="A2083" i="59"/>
  <c r="A2084" i="59"/>
  <c r="A2085" i="59"/>
  <c r="A2086" i="59"/>
  <c r="A2087" i="59"/>
  <c r="A2088" i="59"/>
  <c r="A2089" i="59"/>
  <c r="A2090" i="59"/>
  <c r="A2091" i="59"/>
  <c r="A2092" i="59"/>
  <c r="A2093" i="59"/>
  <c r="A2094" i="59"/>
  <c r="A2095" i="59"/>
  <c r="A2096" i="59"/>
  <c r="A2097" i="59"/>
  <c r="A2098" i="59"/>
  <c r="A2099" i="59"/>
  <c r="A2100" i="59"/>
  <c r="A2101" i="59"/>
  <c r="A2102" i="59"/>
  <c r="A2103" i="59"/>
  <c r="A2104" i="59"/>
  <c r="A2105" i="59"/>
  <c r="A2106" i="59"/>
  <c r="A2107" i="59"/>
  <c r="A2108" i="59"/>
  <c r="A2109" i="59"/>
  <c r="A2110" i="59"/>
  <c r="A2111" i="59"/>
  <c r="A2112" i="59"/>
  <c r="A2113" i="59"/>
  <c r="A2114" i="59"/>
  <c r="A2115" i="59"/>
  <c r="A2116" i="59"/>
  <c r="A2117" i="59"/>
  <c r="A2118" i="59"/>
  <c r="A2119" i="59"/>
  <c r="A2120" i="59"/>
  <c r="A2121" i="59"/>
  <c r="A2122" i="59"/>
  <c r="A2123" i="59"/>
  <c r="A2124" i="59"/>
  <c r="A2125" i="59"/>
  <c r="A2126" i="59"/>
  <c r="A2127" i="59"/>
  <c r="A2128" i="59"/>
  <c r="A2129" i="59"/>
  <c r="A2130" i="59"/>
  <c r="A2131" i="59"/>
  <c r="A2132" i="59"/>
  <c r="A2133" i="59"/>
  <c r="A2134" i="59"/>
  <c r="A2135" i="59"/>
  <c r="A2136" i="59"/>
  <c r="A2137" i="59"/>
  <c r="A2138" i="59"/>
  <c r="A2139" i="59"/>
  <c r="A2140" i="59"/>
  <c r="A2141" i="59"/>
  <c r="A2142" i="59"/>
  <c r="A2143" i="59"/>
  <c r="A2144" i="59"/>
  <c r="A2145" i="59"/>
  <c r="A2146" i="59"/>
  <c r="A2147" i="59"/>
  <c r="A2148" i="59"/>
  <c r="A2149" i="59"/>
  <c r="A2150" i="59"/>
  <c r="A2151" i="59"/>
  <c r="A2152" i="59"/>
  <c r="A2153" i="59"/>
  <c r="A2154" i="59"/>
  <c r="A2155" i="59"/>
  <c r="A2156" i="59"/>
  <c r="A2157" i="59"/>
  <c r="A2158" i="59"/>
  <c r="A2159" i="59"/>
  <c r="A2160" i="59"/>
  <c r="A2161" i="59"/>
  <c r="A2162" i="59"/>
  <c r="A2163" i="59"/>
  <c r="A2164" i="59"/>
  <c r="A2165" i="59"/>
  <c r="A2166" i="59"/>
  <c r="A2167" i="59"/>
  <c r="A2168" i="59"/>
  <c r="A2169" i="59"/>
  <c r="A2170" i="59"/>
  <c r="A2171" i="59"/>
  <c r="A2172" i="59"/>
  <c r="A2173" i="59"/>
  <c r="A2174" i="59"/>
  <c r="A2175" i="59"/>
  <c r="A2176" i="59"/>
  <c r="A2177" i="59"/>
  <c r="A2178" i="59"/>
  <c r="A2179" i="59"/>
  <c r="A2180" i="59"/>
  <c r="A2181" i="59"/>
  <c r="A2182" i="59"/>
  <c r="A2183" i="59"/>
  <c r="A2184" i="59"/>
  <c r="A2185" i="59"/>
  <c r="A2186" i="59"/>
  <c r="A2187" i="59"/>
  <c r="A2188" i="59"/>
  <c r="A2189" i="59"/>
  <c r="A2190" i="59"/>
  <c r="A2191" i="59"/>
  <c r="A2192" i="59"/>
  <c r="A2193" i="59"/>
  <c r="A2194" i="59"/>
  <c r="A2195" i="59"/>
  <c r="A2196" i="59"/>
  <c r="A2197" i="59"/>
  <c r="A2198" i="59"/>
  <c r="A2199" i="59"/>
  <c r="A2200" i="59"/>
  <c r="A2201" i="59"/>
  <c r="A2202" i="59"/>
  <c r="A2203" i="59"/>
  <c r="A2204" i="59"/>
  <c r="A2205" i="59"/>
  <c r="A2206" i="59"/>
  <c r="A2207" i="59"/>
  <c r="A2208" i="59"/>
  <c r="A2209" i="59"/>
  <c r="A2210" i="59"/>
  <c r="A2211" i="59"/>
  <c r="A2212" i="59"/>
  <c r="A2213" i="59"/>
  <c r="A2214" i="59"/>
  <c r="A2215" i="59"/>
  <c r="A2216" i="59"/>
  <c r="A2217" i="59"/>
  <c r="A2218" i="59"/>
  <c r="A2219" i="59"/>
  <c r="A2220" i="59"/>
  <c r="A2221" i="59"/>
  <c r="A2222" i="59"/>
  <c r="A2223" i="59"/>
  <c r="A2224" i="59"/>
  <c r="A2225" i="59"/>
  <c r="A2226" i="59"/>
  <c r="A2227" i="59"/>
  <c r="A2228" i="59"/>
  <c r="A2229" i="59"/>
  <c r="A2230" i="59"/>
  <c r="A2231" i="59"/>
  <c r="A2232" i="59"/>
  <c r="A2233" i="59"/>
  <c r="A2234" i="59"/>
  <c r="A2235" i="59"/>
  <c r="A2236" i="59"/>
  <c r="A2237" i="59"/>
  <c r="A2238" i="59"/>
  <c r="A2239" i="59"/>
  <c r="A2240" i="59"/>
  <c r="A2241" i="59"/>
  <c r="A2242" i="59"/>
  <c r="A2243" i="59"/>
  <c r="A2244" i="59"/>
  <c r="A2245" i="59"/>
  <c r="A2246" i="59"/>
  <c r="A2247" i="59"/>
  <c r="A2248" i="59"/>
  <c r="A2249" i="59"/>
  <c r="A2250" i="59"/>
  <c r="A2251" i="59"/>
  <c r="A2252" i="59"/>
  <c r="A2253" i="59"/>
  <c r="A2254" i="59"/>
  <c r="A2255" i="59"/>
  <c r="A2256" i="59"/>
  <c r="A2257" i="59"/>
  <c r="A2258" i="59"/>
  <c r="A2259" i="59"/>
  <c r="A2260" i="59"/>
  <c r="A2261" i="59"/>
  <c r="A2262" i="59"/>
  <c r="A2263" i="59"/>
  <c r="A2264" i="59"/>
  <c r="A2265" i="59"/>
  <c r="A2266" i="59"/>
  <c r="A2267" i="59"/>
  <c r="A2268" i="59"/>
  <c r="A2269" i="59"/>
  <c r="A2270" i="59"/>
  <c r="A2271" i="59"/>
  <c r="A2272" i="59"/>
  <c r="A2273" i="59"/>
  <c r="A2274" i="59"/>
  <c r="A2275" i="59"/>
  <c r="A2276" i="59"/>
  <c r="A2277" i="59"/>
  <c r="A2278" i="59"/>
  <c r="A2279" i="59"/>
  <c r="A2280" i="59"/>
  <c r="A2281" i="59"/>
  <c r="A2282" i="59"/>
  <c r="A2283" i="59"/>
  <c r="A2284" i="59"/>
  <c r="A2285" i="59"/>
  <c r="A2286" i="59"/>
  <c r="A2287" i="59"/>
  <c r="A2288" i="59"/>
  <c r="A2289" i="59"/>
  <c r="A2290" i="59"/>
  <c r="A2291" i="59"/>
  <c r="A2292" i="59"/>
  <c r="A2293" i="59"/>
  <c r="A2294" i="59"/>
  <c r="A2295" i="59"/>
  <c r="A2296" i="59"/>
  <c r="A2297" i="59"/>
  <c r="A2298" i="59"/>
  <c r="A2299" i="59"/>
  <c r="A2300" i="59"/>
  <c r="A2301" i="59"/>
  <c r="A2302" i="59"/>
  <c r="A2303" i="59"/>
  <c r="A2304" i="59"/>
  <c r="A2305" i="59"/>
  <c r="A2306" i="59"/>
  <c r="A2307" i="59"/>
  <c r="A2308" i="59"/>
  <c r="A2309" i="59"/>
  <c r="A2310" i="59"/>
  <c r="A2311" i="59"/>
  <c r="A2312" i="59"/>
  <c r="A2313" i="59"/>
  <c r="A2314" i="59"/>
  <c r="A2315" i="59"/>
  <c r="A2316" i="59"/>
  <c r="A2317" i="59"/>
  <c r="A2318" i="59"/>
  <c r="A2319" i="59"/>
  <c r="A2320" i="59"/>
  <c r="A2321" i="59"/>
  <c r="A2322" i="59"/>
  <c r="A2323" i="59"/>
  <c r="A2324" i="59"/>
  <c r="A2325" i="59"/>
  <c r="A2326" i="59"/>
  <c r="A2327" i="59"/>
  <c r="A2328" i="59"/>
  <c r="A2329" i="59"/>
  <c r="A2330" i="59"/>
  <c r="A2331" i="59"/>
  <c r="A2332" i="59"/>
  <c r="A2333" i="59"/>
  <c r="A2334" i="59"/>
  <c r="A2335" i="59"/>
  <c r="A2336" i="59"/>
  <c r="A2337" i="59"/>
  <c r="A2338" i="59"/>
  <c r="A2339" i="59"/>
  <c r="A2340" i="59"/>
  <c r="A2341" i="59"/>
  <c r="A2342" i="59"/>
  <c r="A2343" i="59"/>
  <c r="A2344" i="59"/>
  <c r="A2345" i="59"/>
  <c r="A2346" i="59"/>
  <c r="A2347" i="59"/>
  <c r="A2348" i="59"/>
  <c r="A2349" i="59"/>
  <c r="A2350" i="59"/>
  <c r="A2351" i="59"/>
  <c r="A2352" i="59"/>
  <c r="A2353" i="59"/>
  <c r="A2354" i="59"/>
  <c r="A2355" i="59"/>
  <c r="A2356" i="59"/>
  <c r="A2357" i="59"/>
  <c r="A2358" i="59"/>
  <c r="A2359" i="59"/>
  <c r="A2360" i="59"/>
  <c r="A2361" i="59"/>
  <c r="A2362" i="59"/>
  <c r="A2363" i="59"/>
  <c r="A2364" i="59"/>
  <c r="A2365" i="59"/>
  <c r="A2366" i="59"/>
  <c r="A2367" i="59"/>
  <c r="A2368" i="59"/>
  <c r="A2369" i="59"/>
  <c r="A2370" i="59"/>
  <c r="A2371" i="59"/>
  <c r="A2372" i="59"/>
  <c r="A2373" i="59"/>
  <c r="A2374" i="59"/>
  <c r="A2375" i="59"/>
  <c r="A2376" i="59"/>
  <c r="A2377" i="59"/>
  <c r="A2378" i="59"/>
  <c r="A2379" i="59"/>
  <c r="A2380" i="59"/>
  <c r="A2381" i="59"/>
  <c r="A2382" i="59"/>
  <c r="A2383" i="59"/>
  <c r="A2384" i="59"/>
  <c r="A2385" i="59"/>
  <c r="A2386" i="59"/>
  <c r="A2387" i="59"/>
  <c r="A2388" i="59"/>
  <c r="A2389" i="59"/>
  <c r="A2390" i="59"/>
  <c r="A2391" i="59"/>
  <c r="A2392" i="59"/>
  <c r="A2393" i="59"/>
  <c r="A2394" i="59"/>
  <c r="A2395" i="59"/>
  <c r="A2396" i="59"/>
  <c r="A2397" i="59"/>
  <c r="A2398" i="59"/>
  <c r="A2399" i="59"/>
  <c r="A2400" i="59"/>
  <c r="A2401" i="59"/>
  <c r="A2402" i="59"/>
  <c r="A2403" i="59"/>
  <c r="A2404" i="59"/>
  <c r="A2405" i="59"/>
  <c r="A2406" i="59"/>
  <c r="A2407" i="59"/>
  <c r="A2408" i="59"/>
  <c r="A2409" i="59"/>
  <c r="A2410" i="59"/>
  <c r="A2411" i="59"/>
  <c r="A2412" i="59"/>
  <c r="A2413" i="59"/>
  <c r="A2414" i="59"/>
  <c r="A2415" i="59"/>
  <c r="A2416" i="59"/>
  <c r="A2417" i="59"/>
  <c r="A2418" i="59"/>
  <c r="A2419" i="59"/>
  <c r="A2420" i="59"/>
  <c r="A2421" i="59"/>
  <c r="A2422" i="59"/>
  <c r="A2423" i="59"/>
  <c r="A2424" i="59"/>
  <c r="A2425" i="59"/>
  <c r="A2426" i="59"/>
  <c r="A2427" i="59"/>
  <c r="A2428" i="59"/>
  <c r="A2429" i="59"/>
  <c r="A2430" i="59"/>
  <c r="A2431" i="59"/>
  <c r="A2432" i="59"/>
  <c r="A2433" i="59"/>
  <c r="A2434" i="59"/>
  <c r="A2435" i="59"/>
  <c r="A2436" i="59"/>
  <c r="A2437" i="59"/>
  <c r="A2438" i="59"/>
  <c r="A2439" i="59"/>
  <c r="A2440" i="59"/>
  <c r="A2441" i="59"/>
  <c r="A2442" i="59"/>
  <c r="A2443" i="59"/>
  <c r="A2444" i="59"/>
  <c r="A2445" i="59"/>
  <c r="A2446" i="59"/>
  <c r="A2447" i="59"/>
  <c r="A2448" i="59"/>
  <c r="A2449" i="59"/>
  <c r="A2450" i="59"/>
  <c r="A2451" i="59"/>
  <c r="A2452" i="59"/>
  <c r="A2453" i="59"/>
  <c r="A2454" i="59"/>
  <c r="A2455" i="59"/>
  <c r="A2456" i="59"/>
  <c r="A2457" i="59"/>
  <c r="A2458" i="59"/>
  <c r="A2459" i="59"/>
  <c r="A2460" i="59"/>
  <c r="A2461" i="59"/>
  <c r="A2462" i="59"/>
  <c r="A2463" i="59"/>
  <c r="A2464" i="59"/>
  <c r="A2465" i="59"/>
  <c r="A2466" i="59"/>
  <c r="A2467" i="59"/>
  <c r="A2468" i="59"/>
  <c r="A2469" i="59"/>
  <c r="A2470" i="59"/>
  <c r="A2471" i="59"/>
  <c r="A2472" i="59"/>
  <c r="A2473" i="59"/>
  <c r="A2474" i="59"/>
  <c r="A2475" i="59"/>
  <c r="A2476" i="59"/>
  <c r="A2477" i="59"/>
  <c r="A2478" i="59"/>
  <c r="A2479" i="59"/>
  <c r="A2480" i="59"/>
  <c r="A2481" i="59"/>
  <c r="A2482" i="59"/>
  <c r="A2483" i="59"/>
  <c r="A2484" i="59"/>
  <c r="A2485" i="59"/>
  <c r="A2486" i="59"/>
  <c r="A2487" i="59"/>
  <c r="A2488" i="59"/>
  <c r="A2489" i="59"/>
  <c r="A2490" i="59"/>
  <c r="A2491" i="59"/>
  <c r="A2492" i="59"/>
  <c r="A2493" i="59"/>
  <c r="A2494" i="59"/>
  <c r="A2495" i="59"/>
  <c r="A2496" i="59"/>
  <c r="A2497" i="59"/>
  <c r="A2498" i="59"/>
  <c r="A2499" i="59"/>
  <c r="A2500" i="59"/>
  <c r="A2501" i="59"/>
  <c r="A2502" i="59"/>
  <c r="A2503" i="59"/>
  <c r="A2504" i="59"/>
  <c r="A2505" i="59"/>
  <c r="A2506" i="59"/>
  <c r="A2507" i="59"/>
  <c r="A2508" i="59"/>
  <c r="A2509" i="59"/>
  <c r="A2510" i="59"/>
  <c r="A2511" i="59"/>
  <c r="A2512" i="59"/>
  <c r="A2513" i="59"/>
  <c r="A2514" i="59"/>
  <c r="A2515" i="59"/>
  <c r="A2516" i="59"/>
  <c r="A2517" i="59"/>
  <c r="A2518" i="59"/>
  <c r="A2519" i="59"/>
  <c r="A2520" i="59"/>
  <c r="A2521" i="59"/>
  <c r="A2522" i="59"/>
  <c r="A2523" i="59"/>
  <c r="A2524" i="59"/>
  <c r="A2525" i="59"/>
  <c r="A2526" i="59"/>
  <c r="A2527" i="59"/>
  <c r="A2528" i="59"/>
  <c r="A2529" i="59"/>
  <c r="A2530" i="59"/>
  <c r="A2531" i="59"/>
  <c r="A2532" i="59"/>
  <c r="A2533" i="59"/>
  <c r="A2534" i="59"/>
  <c r="A2535" i="59"/>
  <c r="A2536" i="59"/>
  <c r="A2537" i="59"/>
  <c r="A2538" i="59"/>
  <c r="A2539" i="59"/>
  <c r="A2540" i="59"/>
  <c r="A2541" i="59"/>
  <c r="A2542" i="59"/>
  <c r="A2543" i="59"/>
  <c r="A2544" i="59"/>
  <c r="A2545" i="59"/>
  <c r="A2546" i="59"/>
  <c r="A2547" i="59"/>
  <c r="A2548" i="59"/>
  <c r="A2549" i="59"/>
  <c r="A2550" i="59"/>
  <c r="A2551" i="59"/>
  <c r="A2552" i="59"/>
  <c r="A2553" i="59"/>
  <c r="A2554" i="59"/>
  <c r="A2555" i="59"/>
  <c r="A2556" i="59"/>
  <c r="A2557" i="59"/>
  <c r="A2558" i="59"/>
  <c r="A2559" i="59"/>
  <c r="A2560" i="59"/>
  <c r="A2561" i="59"/>
  <c r="A2562" i="59"/>
  <c r="A2563" i="59"/>
  <c r="A2564" i="59"/>
  <c r="A2565" i="59"/>
  <c r="A2566" i="59"/>
  <c r="A2567" i="59"/>
  <c r="A2568" i="59"/>
  <c r="A2569" i="59"/>
  <c r="A2570" i="59"/>
  <c r="A2571" i="59"/>
  <c r="A2572" i="59"/>
  <c r="A2573" i="59"/>
  <c r="A2574" i="59"/>
  <c r="A2575" i="59"/>
  <c r="A2576" i="59"/>
  <c r="A2577" i="59"/>
  <c r="A2578" i="59"/>
  <c r="A2579" i="59"/>
  <c r="A2580" i="59"/>
  <c r="A2581" i="59"/>
  <c r="A2582" i="59"/>
  <c r="A2583" i="59"/>
  <c r="A2584" i="59"/>
  <c r="A2585" i="59"/>
  <c r="A2586" i="59"/>
  <c r="A2587" i="59"/>
  <c r="A2588" i="59"/>
  <c r="A2589" i="59"/>
  <c r="A2590" i="59"/>
  <c r="A2591" i="59"/>
  <c r="A2592" i="59"/>
  <c r="A2593" i="59"/>
  <c r="A2594" i="59"/>
  <c r="A2595" i="59"/>
  <c r="A2596" i="59"/>
  <c r="A2597" i="59"/>
  <c r="A2598" i="59"/>
  <c r="A2599" i="59"/>
  <c r="A2600" i="59"/>
  <c r="A2601" i="59"/>
  <c r="A2602" i="59"/>
  <c r="A2603" i="59"/>
  <c r="A2604" i="59"/>
  <c r="A2605" i="59"/>
  <c r="A2606" i="59"/>
  <c r="A2607" i="59"/>
  <c r="A2608" i="59"/>
  <c r="A2609" i="59"/>
  <c r="A2610" i="59"/>
  <c r="A2611" i="59"/>
  <c r="A2612" i="59"/>
  <c r="A2613" i="59"/>
  <c r="A2614" i="59"/>
  <c r="A2615" i="59"/>
  <c r="A2616" i="59"/>
  <c r="A2617" i="59"/>
  <c r="A2618" i="59"/>
  <c r="A2619" i="59"/>
  <c r="A2620" i="59"/>
  <c r="A2621" i="59"/>
  <c r="A2622" i="59"/>
  <c r="A2623" i="59"/>
  <c r="A2624" i="59"/>
  <c r="A2625" i="59"/>
  <c r="A2626" i="59"/>
  <c r="A2627" i="59"/>
  <c r="A2628" i="59"/>
  <c r="A2629" i="59"/>
  <c r="A2630" i="59"/>
  <c r="A2631" i="59"/>
  <c r="A2632" i="59"/>
  <c r="A2633" i="59"/>
  <c r="A2634" i="59"/>
  <c r="A2635" i="59"/>
  <c r="A2636" i="59"/>
  <c r="A2637" i="59"/>
  <c r="A2638" i="59"/>
  <c r="A2639" i="59"/>
  <c r="A2640" i="59"/>
  <c r="A2641" i="59"/>
  <c r="A2642" i="59"/>
  <c r="A2643" i="59"/>
  <c r="A2644" i="59"/>
  <c r="A2645" i="59"/>
  <c r="A2646" i="59"/>
  <c r="A2647" i="59"/>
  <c r="A2648" i="59"/>
  <c r="A2649" i="59"/>
  <c r="A2650" i="59"/>
  <c r="A2651" i="59"/>
  <c r="A2652" i="59"/>
  <c r="A2653" i="59"/>
  <c r="A2654" i="59"/>
  <c r="A2655" i="59"/>
  <c r="A2656" i="59"/>
  <c r="A2657" i="59"/>
  <c r="A2658" i="59"/>
  <c r="A2659" i="59"/>
  <c r="A2660" i="59"/>
  <c r="A2661" i="59"/>
  <c r="A2662" i="59"/>
  <c r="A2663" i="59"/>
  <c r="A2664" i="59"/>
  <c r="A2665" i="59"/>
  <c r="A2666" i="59"/>
  <c r="A2667" i="59"/>
  <c r="A2668" i="59"/>
  <c r="A2669" i="59"/>
  <c r="A2670" i="59"/>
  <c r="A2671" i="59"/>
  <c r="A2672" i="59"/>
  <c r="A2673" i="59"/>
  <c r="A2674" i="59"/>
  <c r="A2675" i="59"/>
  <c r="A2676" i="59"/>
  <c r="A2677" i="59"/>
  <c r="A2678" i="59"/>
  <c r="A2679" i="59"/>
  <c r="A2680" i="59"/>
  <c r="A2681" i="59"/>
  <c r="A2682" i="59"/>
  <c r="A2683" i="59"/>
  <c r="A2684" i="59"/>
  <c r="A2685" i="59"/>
  <c r="A2686" i="59"/>
  <c r="A2687" i="59"/>
  <c r="A2688" i="59"/>
  <c r="A2689" i="59"/>
  <c r="A2690" i="59"/>
  <c r="A2691" i="59"/>
  <c r="A2692" i="59"/>
  <c r="A2693" i="59"/>
  <c r="A2694" i="59"/>
  <c r="A2695" i="59"/>
  <c r="A2696" i="59"/>
  <c r="A2697" i="59"/>
  <c r="A2698" i="59"/>
  <c r="A2699" i="59"/>
  <c r="A2700" i="59"/>
  <c r="A2701" i="59"/>
  <c r="A2702" i="59"/>
  <c r="A2703" i="59"/>
  <c r="A2704" i="59"/>
  <c r="A2705" i="59"/>
  <c r="A2706" i="59"/>
  <c r="A2707" i="59"/>
  <c r="A2708" i="59"/>
  <c r="A2709" i="59"/>
  <c r="A2710" i="59"/>
  <c r="A2711" i="59"/>
  <c r="A2712" i="59"/>
  <c r="A2713" i="59"/>
  <c r="A2714" i="59"/>
  <c r="A2715" i="59"/>
  <c r="A2716" i="59"/>
  <c r="A2717" i="59"/>
  <c r="A2718" i="59"/>
  <c r="A2719" i="59"/>
  <c r="A2720" i="59"/>
  <c r="A2721" i="59"/>
  <c r="A2722" i="59"/>
  <c r="A2723" i="59"/>
  <c r="A2724" i="59"/>
  <c r="A2725" i="59"/>
  <c r="A2726" i="59"/>
  <c r="A2727" i="59"/>
  <c r="A2728" i="59"/>
  <c r="A2729" i="59"/>
  <c r="A2730" i="59"/>
  <c r="A2731" i="59"/>
  <c r="A2732" i="59"/>
  <c r="A2733" i="59"/>
  <c r="A2734" i="59"/>
  <c r="A2735" i="59"/>
  <c r="A2736" i="59"/>
  <c r="A2737" i="59"/>
  <c r="A2738" i="59"/>
  <c r="A2739" i="59"/>
  <c r="A2740" i="59"/>
  <c r="A2741" i="59"/>
  <c r="A2742" i="59"/>
  <c r="A2743" i="59"/>
  <c r="A2744" i="59"/>
  <c r="A2745" i="59"/>
  <c r="A2746" i="59"/>
  <c r="A2747" i="59"/>
  <c r="A2748" i="59"/>
  <c r="A2749" i="59"/>
  <c r="A2750" i="59"/>
  <c r="A2751" i="59"/>
  <c r="A2752" i="59"/>
  <c r="A2753" i="59"/>
  <c r="A2754" i="59"/>
  <c r="A2755" i="59"/>
  <c r="A2756" i="59"/>
  <c r="A2757" i="59"/>
  <c r="A2758" i="59"/>
  <c r="A2759" i="59"/>
  <c r="A2760" i="59"/>
  <c r="A2761" i="59"/>
  <c r="A2762" i="59"/>
  <c r="A2763" i="59"/>
  <c r="A2764" i="59"/>
  <c r="A2765" i="59"/>
  <c r="A2766" i="59"/>
  <c r="A2767" i="59"/>
  <c r="A2768" i="59"/>
  <c r="A2769" i="59"/>
  <c r="A2770" i="59"/>
  <c r="A2771" i="59"/>
  <c r="A2772" i="59"/>
  <c r="A2773" i="59"/>
  <c r="A2774" i="59"/>
  <c r="A2775" i="59"/>
  <c r="A2776" i="59"/>
  <c r="A2777" i="59"/>
  <c r="A2778" i="59"/>
  <c r="A2779" i="59"/>
  <c r="A2780" i="59"/>
  <c r="A2781" i="59"/>
  <c r="A2782" i="59"/>
  <c r="A2783" i="59"/>
  <c r="A2784" i="59"/>
  <c r="A2785" i="59"/>
  <c r="A2786" i="59"/>
  <c r="A2787" i="59"/>
  <c r="A2788" i="59"/>
  <c r="A2789" i="59"/>
  <c r="A2790" i="59"/>
  <c r="A2791" i="59"/>
  <c r="A2792" i="59"/>
  <c r="A2793" i="59"/>
  <c r="A2794" i="59"/>
  <c r="A2795" i="59"/>
  <c r="A2796" i="59"/>
  <c r="A2797" i="59"/>
  <c r="A2798" i="59"/>
  <c r="A2799" i="59"/>
  <c r="A2800" i="59"/>
  <c r="A2801" i="59"/>
  <c r="A2802" i="59"/>
  <c r="A2803" i="59"/>
  <c r="A2804" i="59"/>
  <c r="A2805" i="59"/>
  <c r="A2806" i="59"/>
  <c r="A2807" i="59"/>
  <c r="A2808" i="59"/>
  <c r="A2809" i="59"/>
  <c r="A2810" i="59"/>
  <c r="A2811" i="59"/>
  <c r="A2812" i="59"/>
  <c r="A2813" i="59"/>
  <c r="A2814" i="59"/>
  <c r="A2815" i="59"/>
  <c r="A2816" i="59"/>
  <c r="A2817" i="59"/>
  <c r="A2818" i="59"/>
  <c r="A2819" i="59"/>
  <c r="A2820" i="59"/>
  <c r="A2821" i="59"/>
  <c r="A2822" i="59"/>
  <c r="A2823" i="59"/>
  <c r="A2824" i="59"/>
  <c r="A2825" i="59"/>
  <c r="A2826" i="59"/>
  <c r="A2827" i="59"/>
  <c r="A2828" i="59"/>
  <c r="A2829" i="59"/>
  <c r="A2830" i="59"/>
  <c r="A2831" i="59"/>
  <c r="A2832" i="59"/>
  <c r="A2833" i="59"/>
  <c r="A2834" i="59"/>
  <c r="A2835" i="59"/>
  <c r="A2836" i="59"/>
  <c r="A2837" i="59"/>
  <c r="A2838" i="59"/>
  <c r="A2839" i="59"/>
  <c r="A2840" i="59"/>
  <c r="A2841" i="59"/>
  <c r="A2842" i="59"/>
  <c r="A2843" i="59"/>
  <c r="A2844" i="59"/>
  <c r="A2845" i="59"/>
  <c r="A2846" i="59"/>
  <c r="A2847" i="59"/>
  <c r="A2848" i="59"/>
  <c r="A2849" i="59"/>
  <c r="A2850" i="59"/>
  <c r="A2851" i="59"/>
  <c r="A2852" i="59"/>
  <c r="A2853" i="59"/>
  <c r="A2854" i="59"/>
  <c r="A2855" i="59"/>
  <c r="A2856" i="59"/>
  <c r="A2857" i="59"/>
  <c r="A2858" i="59"/>
  <c r="A2859" i="59"/>
  <c r="A2860" i="59"/>
  <c r="A2861" i="59"/>
  <c r="A2862" i="59"/>
  <c r="A2863" i="59"/>
  <c r="A2864" i="59"/>
  <c r="A2865" i="59"/>
  <c r="A2866" i="59"/>
  <c r="A2867" i="59"/>
  <c r="A2868" i="59"/>
  <c r="A2869" i="59"/>
  <c r="A2870" i="59"/>
  <c r="A2871" i="59"/>
  <c r="A2872" i="59"/>
  <c r="A2873" i="59"/>
  <c r="A2874" i="59"/>
  <c r="A2875" i="59"/>
  <c r="A2876" i="59"/>
  <c r="A2877" i="59"/>
  <c r="A2878" i="59"/>
  <c r="A2879" i="59"/>
  <c r="A2880" i="59"/>
  <c r="A2881" i="59"/>
  <c r="A2882" i="59"/>
  <c r="A2883" i="59"/>
  <c r="A2884" i="59"/>
  <c r="A2885" i="59"/>
  <c r="A2886" i="59"/>
  <c r="A2887" i="59"/>
  <c r="A2888" i="59"/>
  <c r="A2889" i="59"/>
  <c r="A2890" i="59"/>
  <c r="A2891" i="59"/>
  <c r="A2892" i="59"/>
  <c r="A2893" i="59"/>
  <c r="A2894" i="59"/>
  <c r="A2895" i="59"/>
  <c r="A2896" i="59"/>
  <c r="A2897" i="59"/>
  <c r="A2898" i="59"/>
  <c r="A2899" i="59"/>
  <c r="A2900" i="59"/>
  <c r="A2901" i="59"/>
  <c r="A2902" i="59"/>
  <c r="A2903" i="59"/>
  <c r="A2904" i="59"/>
  <c r="A2905" i="59"/>
  <c r="A2906" i="59"/>
  <c r="A2907" i="59"/>
  <c r="A2908" i="59"/>
  <c r="A2909" i="59"/>
  <c r="A2910" i="59"/>
  <c r="A2911" i="59"/>
  <c r="A2912" i="59"/>
  <c r="A2913" i="59"/>
  <c r="A2914" i="59"/>
  <c r="A2915" i="59"/>
  <c r="A2916" i="59"/>
  <c r="A2917" i="59"/>
  <c r="A2918" i="59"/>
  <c r="A2919" i="59"/>
  <c r="A2920" i="59"/>
  <c r="A2921" i="59"/>
  <c r="A2922" i="59"/>
  <c r="A2923" i="59"/>
  <c r="A2924" i="59"/>
  <c r="A2925" i="59"/>
  <c r="A2926" i="59"/>
  <c r="A2927" i="59"/>
  <c r="A2928" i="59"/>
  <c r="A2929" i="59"/>
  <c r="A2930" i="59"/>
  <c r="A2931" i="59"/>
  <c r="A2932" i="59"/>
  <c r="A2933" i="59"/>
  <c r="A2934" i="59"/>
  <c r="A2935" i="59"/>
  <c r="A2936" i="59"/>
  <c r="A2937" i="59"/>
  <c r="A2938" i="59"/>
  <c r="A2939" i="59"/>
  <c r="A2940" i="59"/>
  <c r="A2941" i="59"/>
  <c r="A2942" i="59"/>
  <c r="A2943" i="59"/>
  <c r="A2944" i="59"/>
  <c r="A2945" i="59"/>
  <c r="A2946" i="59"/>
  <c r="A2947" i="59"/>
  <c r="A2948" i="59"/>
  <c r="A2949" i="59"/>
  <c r="A2950" i="59"/>
  <c r="A2951" i="59"/>
  <c r="A2952" i="59"/>
  <c r="A2953" i="59"/>
  <c r="A2954" i="59"/>
  <c r="A2955" i="59"/>
  <c r="A2956" i="59"/>
  <c r="A2957" i="59"/>
  <c r="A2958" i="59"/>
  <c r="A2959" i="59"/>
  <c r="A2960" i="59"/>
  <c r="A2961" i="59"/>
  <c r="A2962" i="59"/>
  <c r="A2963" i="59"/>
  <c r="A2964" i="59"/>
  <c r="A2965" i="59"/>
  <c r="A2966" i="59"/>
  <c r="A2967" i="59"/>
  <c r="A2968" i="59"/>
  <c r="A2969" i="59"/>
  <c r="A2970" i="59"/>
  <c r="A2971" i="59"/>
  <c r="A2972" i="59"/>
  <c r="A2973" i="59"/>
  <c r="A2974" i="59"/>
  <c r="A2975" i="59"/>
  <c r="A2976" i="59"/>
  <c r="A2977" i="59"/>
  <c r="A2978" i="59"/>
  <c r="A2979" i="59"/>
  <c r="A2980" i="59"/>
  <c r="A2981" i="59"/>
  <c r="A2982" i="59"/>
  <c r="A2983" i="59"/>
  <c r="A2984" i="59"/>
  <c r="A2985" i="59"/>
  <c r="A2986" i="59"/>
  <c r="A2987" i="59"/>
  <c r="A2988" i="59"/>
  <c r="A2989" i="59"/>
  <c r="A2990" i="59"/>
  <c r="A2991" i="59"/>
  <c r="A2992" i="59"/>
  <c r="A2993" i="59"/>
  <c r="A2994" i="59"/>
  <c r="A2995" i="59"/>
  <c r="A2996" i="59"/>
  <c r="A2997" i="59"/>
  <c r="A2998" i="59"/>
  <c r="A2999" i="59"/>
  <c r="A3000" i="59"/>
  <c r="A3001" i="59"/>
  <c r="A3002" i="59"/>
  <c r="A3003" i="59"/>
  <c r="A3004" i="59"/>
  <c r="A3005" i="59"/>
  <c r="A3006" i="59"/>
  <c r="A3007" i="59"/>
  <c r="A3008" i="59"/>
  <c r="A3009" i="59"/>
  <c r="A3010" i="59"/>
  <c r="A3011" i="59"/>
  <c r="A3012" i="59"/>
  <c r="A3013" i="59"/>
  <c r="A3014" i="59"/>
  <c r="A3015" i="59"/>
  <c r="A3016" i="59"/>
  <c r="A3017" i="59"/>
  <c r="A3018" i="59"/>
  <c r="A3019" i="59"/>
  <c r="A3020" i="59"/>
  <c r="A3021" i="59"/>
  <c r="A3022" i="59"/>
  <c r="A3023" i="59"/>
  <c r="A3024" i="59"/>
  <c r="A3025" i="59"/>
  <c r="A3026" i="59"/>
  <c r="A3027" i="59"/>
  <c r="A3028" i="59"/>
  <c r="A3029" i="59"/>
  <c r="A3030" i="59"/>
  <c r="A3031" i="59"/>
  <c r="A3032" i="59"/>
  <c r="A3033" i="59"/>
  <c r="A3034" i="59"/>
  <c r="A3035" i="59"/>
  <c r="A3036" i="59"/>
  <c r="A3037" i="59"/>
  <c r="A3038" i="59"/>
  <c r="A3039" i="59"/>
  <c r="A3040" i="59"/>
  <c r="A3041" i="59"/>
  <c r="A3042" i="59"/>
  <c r="A3043" i="59"/>
  <c r="A3044" i="59"/>
  <c r="A3045" i="59"/>
  <c r="A3046" i="59"/>
  <c r="A3047" i="59"/>
  <c r="A3048" i="59"/>
  <c r="A3049" i="59"/>
  <c r="A3050" i="59"/>
  <c r="A3051" i="59"/>
  <c r="A3052" i="59"/>
  <c r="A3053" i="59"/>
  <c r="A3054" i="59"/>
  <c r="A3055" i="59"/>
  <c r="A3056" i="59"/>
  <c r="A3057" i="59"/>
  <c r="A3058" i="59"/>
  <c r="A3059" i="59"/>
  <c r="A3060" i="59"/>
  <c r="A3061" i="59"/>
  <c r="A3062" i="59"/>
  <c r="A3063" i="59"/>
  <c r="A3064" i="59"/>
  <c r="A3065" i="59"/>
  <c r="A3066" i="59"/>
  <c r="A3067" i="59"/>
  <c r="A3068" i="59"/>
  <c r="A3069" i="59"/>
  <c r="A3070" i="59"/>
  <c r="A3071" i="59"/>
  <c r="A3072" i="59"/>
  <c r="A3073" i="59"/>
  <c r="A3074" i="59"/>
  <c r="A3075" i="59"/>
  <c r="A3076" i="59"/>
  <c r="A3077" i="59"/>
  <c r="A3078" i="59"/>
  <c r="A3079" i="59"/>
  <c r="A3080" i="59"/>
  <c r="A3081" i="59"/>
  <c r="A3082" i="59"/>
  <c r="A3083" i="59"/>
  <c r="A3084" i="59"/>
  <c r="A3085" i="59"/>
  <c r="A3086" i="59"/>
  <c r="A3087" i="59"/>
  <c r="A3088" i="59"/>
  <c r="A3089" i="59"/>
  <c r="A3090" i="59"/>
  <c r="A3091" i="59"/>
  <c r="A3092" i="59"/>
  <c r="A3093" i="59"/>
  <c r="A3094" i="59"/>
  <c r="A3095" i="59"/>
  <c r="A3096" i="59"/>
  <c r="A3097" i="59"/>
  <c r="A3098" i="59"/>
  <c r="A3099" i="59"/>
  <c r="A3100" i="59"/>
  <c r="A3101" i="59"/>
  <c r="A3102" i="59"/>
  <c r="A3103" i="59"/>
  <c r="A3104" i="59"/>
  <c r="A3105" i="59"/>
  <c r="A3106" i="59"/>
  <c r="A3107" i="59"/>
  <c r="A3108" i="59"/>
  <c r="A3109" i="59"/>
  <c r="A3110" i="59"/>
  <c r="A3111" i="59"/>
  <c r="A3112" i="59"/>
  <c r="A3113" i="59"/>
  <c r="A3114" i="59"/>
  <c r="A3115" i="59"/>
  <c r="A3116" i="59"/>
  <c r="A3117" i="59"/>
  <c r="A3118" i="59"/>
  <c r="A3119" i="59"/>
  <c r="A3120" i="59"/>
  <c r="A3121" i="59"/>
  <c r="A3122" i="59"/>
  <c r="A3123" i="59"/>
  <c r="A3124" i="59"/>
  <c r="A3125" i="59"/>
  <c r="A3126" i="59"/>
  <c r="A3127" i="59"/>
  <c r="A3128" i="59"/>
  <c r="A3129" i="59"/>
  <c r="A3130" i="59"/>
  <c r="A3131" i="59"/>
  <c r="A3132" i="59"/>
  <c r="A3133" i="59"/>
  <c r="A3134" i="59"/>
  <c r="A3135" i="59"/>
  <c r="A3136" i="59"/>
  <c r="A3137" i="59"/>
  <c r="A3138" i="59"/>
  <c r="A3139" i="59"/>
  <c r="A3140" i="59"/>
  <c r="A3141" i="59"/>
  <c r="A3142" i="59"/>
  <c r="A3143" i="59"/>
  <c r="A3144" i="59"/>
  <c r="A3145" i="59"/>
  <c r="A3146" i="59"/>
  <c r="A3147" i="59"/>
  <c r="A3148" i="59"/>
  <c r="A3149" i="59"/>
  <c r="A3150" i="59"/>
  <c r="A3151" i="59"/>
  <c r="A3152" i="59"/>
  <c r="A3153" i="59"/>
  <c r="A3154" i="59"/>
  <c r="A3155" i="59"/>
  <c r="A3156" i="59"/>
  <c r="A3157" i="59"/>
  <c r="A3158" i="59"/>
  <c r="A3159" i="59"/>
  <c r="A3160" i="59"/>
  <c r="A3161" i="59"/>
  <c r="A3162" i="59"/>
  <c r="A3163" i="59"/>
  <c r="A3164" i="59"/>
  <c r="A3165" i="59"/>
  <c r="A3166" i="59"/>
  <c r="A3167" i="59"/>
  <c r="A3168" i="59"/>
  <c r="A3169" i="59"/>
  <c r="A3170" i="59"/>
  <c r="A3171" i="59"/>
  <c r="A3172" i="59"/>
  <c r="A3173" i="59"/>
  <c r="A3174" i="59"/>
  <c r="A3175" i="59"/>
  <c r="A3176" i="59"/>
  <c r="A3177" i="59"/>
  <c r="A3178" i="59"/>
  <c r="A3179" i="59"/>
  <c r="A3180" i="59"/>
  <c r="A3181" i="59"/>
  <c r="A3182" i="59"/>
  <c r="A3183" i="59"/>
  <c r="A3184" i="59"/>
  <c r="A3185" i="59"/>
  <c r="A3186" i="59"/>
  <c r="A3187" i="59"/>
  <c r="A3188" i="59"/>
  <c r="A3189" i="59"/>
  <c r="A3190" i="59"/>
  <c r="A3191" i="59"/>
  <c r="A3192" i="59"/>
  <c r="A3193" i="59"/>
  <c r="A3194" i="59"/>
  <c r="A3195" i="59"/>
  <c r="A3196" i="59"/>
  <c r="A3197" i="59"/>
  <c r="A3198" i="59"/>
  <c r="A3199" i="59"/>
  <c r="A3200" i="59"/>
  <c r="A3201" i="59"/>
  <c r="A3202" i="59"/>
  <c r="A3203" i="59"/>
  <c r="A3204" i="59"/>
  <c r="A3205" i="59"/>
  <c r="A3206" i="59"/>
  <c r="A3207" i="59"/>
  <c r="A3208" i="59"/>
  <c r="A3209" i="59"/>
  <c r="A3210" i="59"/>
  <c r="A3211" i="59"/>
  <c r="A3212" i="59"/>
  <c r="A3213" i="59"/>
  <c r="A3214" i="59"/>
  <c r="A3215" i="59"/>
  <c r="A3216" i="59"/>
  <c r="A3217" i="59"/>
  <c r="A3218" i="59"/>
  <c r="A3219" i="59"/>
  <c r="A3220" i="59"/>
  <c r="A3221" i="59"/>
  <c r="A3222" i="59"/>
  <c r="A3223" i="59"/>
  <c r="A3224" i="59"/>
  <c r="A3225" i="59"/>
  <c r="A3226" i="59"/>
  <c r="A3227" i="59"/>
  <c r="A3228" i="59"/>
  <c r="A3229" i="59"/>
  <c r="A3230" i="59"/>
  <c r="A3231" i="59"/>
  <c r="A3232" i="59"/>
  <c r="A3233" i="59"/>
  <c r="A3234" i="59"/>
  <c r="A3235" i="59"/>
  <c r="A3236" i="59"/>
  <c r="A3237" i="59"/>
  <c r="A3238" i="59"/>
  <c r="A3239" i="59"/>
  <c r="A3240" i="59"/>
  <c r="A3241" i="59"/>
  <c r="A3242" i="59"/>
  <c r="A3243" i="59"/>
  <c r="A3244" i="59"/>
  <c r="A3245" i="59"/>
  <c r="A3246" i="59"/>
  <c r="A3247" i="59"/>
  <c r="A3248" i="59"/>
  <c r="A3249" i="59"/>
  <c r="A3250" i="59"/>
  <c r="A3251" i="59"/>
  <c r="A3252" i="59"/>
  <c r="A3253" i="59"/>
  <c r="A3254" i="59"/>
  <c r="A3255" i="59"/>
  <c r="A3256" i="59"/>
  <c r="A3257" i="59"/>
  <c r="A3258" i="59"/>
  <c r="A3259" i="59"/>
  <c r="A3260" i="59"/>
  <c r="A3261" i="59"/>
  <c r="A3262" i="59"/>
  <c r="A3263" i="59"/>
  <c r="A3264" i="59"/>
  <c r="A3265" i="59"/>
  <c r="A3266" i="59"/>
  <c r="A3267" i="59"/>
  <c r="A3268" i="59"/>
  <c r="A3269" i="59"/>
  <c r="A3270" i="59"/>
  <c r="A3271" i="59"/>
  <c r="A3272" i="59"/>
  <c r="A3273" i="59"/>
  <c r="A3274" i="59"/>
  <c r="A3275" i="59"/>
  <c r="A3276" i="59"/>
  <c r="A3277" i="59"/>
  <c r="A3278" i="59"/>
  <c r="A3279" i="59"/>
  <c r="A3280" i="59"/>
  <c r="A3281" i="59"/>
  <c r="A3282" i="59"/>
  <c r="A3283" i="59"/>
  <c r="A3284" i="59"/>
  <c r="A3285" i="59"/>
  <c r="A3286" i="59"/>
  <c r="A3287" i="59"/>
  <c r="A3288" i="59"/>
  <c r="A3289" i="59"/>
  <c r="A3290" i="59"/>
  <c r="A3291" i="59"/>
  <c r="A3292" i="59"/>
  <c r="A3293" i="59"/>
  <c r="A3294" i="59"/>
  <c r="A3295" i="59"/>
  <c r="A3296" i="59"/>
  <c r="A3297" i="59"/>
  <c r="A3298" i="59"/>
  <c r="A3299" i="59"/>
  <c r="A3300" i="59"/>
  <c r="A3301" i="59"/>
  <c r="A3302" i="59"/>
  <c r="A3303" i="59"/>
  <c r="A3304" i="59"/>
  <c r="A3305" i="59"/>
  <c r="A3306" i="59"/>
  <c r="A3307" i="59"/>
  <c r="A3308" i="59"/>
  <c r="A3309" i="59"/>
  <c r="A3310" i="59"/>
  <c r="A3311" i="59"/>
  <c r="A3312" i="59"/>
  <c r="A3313" i="59"/>
  <c r="A3314" i="59"/>
  <c r="A3315" i="59"/>
  <c r="A3316" i="59"/>
  <c r="A3317" i="59"/>
  <c r="A3318" i="59"/>
  <c r="A3319" i="59"/>
  <c r="A3320" i="59"/>
  <c r="A3321" i="59"/>
  <c r="A3322" i="59"/>
  <c r="A3323" i="59"/>
  <c r="A3324" i="59"/>
  <c r="A3325" i="59"/>
  <c r="A3326" i="59"/>
  <c r="A3327" i="59"/>
  <c r="A3328" i="59"/>
  <c r="A3329" i="59"/>
  <c r="A3330" i="59"/>
  <c r="A3331" i="59"/>
  <c r="A3332" i="59"/>
  <c r="A3333" i="59"/>
  <c r="A3334" i="59"/>
  <c r="A3335" i="59"/>
  <c r="A3336" i="59"/>
  <c r="A3337" i="59"/>
  <c r="A3338" i="59"/>
  <c r="A3339" i="59"/>
  <c r="A3340" i="59"/>
  <c r="A3341" i="59"/>
  <c r="A3342" i="59"/>
  <c r="A3343" i="59"/>
  <c r="A3344" i="59"/>
  <c r="A3345" i="59"/>
  <c r="A3346" i="59"/>
  <c r="A3347" i="59"/>
  <c r="A3348" i="59"/>
  <c r="A3349" i="59"/>
  <c r="A3350" i="59"/>
  <c r="A3351" i="59"/>
  <c r="A3352" i="59"/>
  <c r="A3353" i="59"/>
  <c r="A3354" i="59"/>
  <c r="A3355" i="59"/>
  <c r="A3356" i="59"/>
  <c r="A3357" i="59"/>
  <c r="A3358" i="59"/>
  <c r="A3359" i="59"/>
  <c r="A3360" i="59"/>
  <c r="A3361" i="59"/>
  <c r="A3362" i="59"/>
  <c r="A3363" i="59"/>
  <c r="A3364" i="59"/>
  <c r="A3365" i="59"/>
  <c r="A3366" i="59"/>
  <c r="A3367" i="59"/>
  <c r="A3368" i="59"/>
  <c r="A3369" i="59"/>
  <c r="A3370" i="59"/>
  <c r="A3371" i="59"/>
  <c r="A3372" i="59"/>
  <c r="A3373" i="59"/>
  <c r="A3374" i="59"/>
  <c r="A3375" i="59"/>
  <c r="A3376" i="59"/>
  <c r="A3377" i="59"/>
  <c r="A3378" i="59"/>
  <c r="A3379" i="59"/>
  <c r="A3380" i="59"/>
  <c r="A3381" i="59"/>
  <c r="A3382" i="59"/>
  <c r="A3383" i="59"/>
  <c r="A3384" i="59"/>
  <c r="A3385" i="59"/>
  <c r="A3386" i="59"/>
  <c r="A3387" i="59"/>
  <c r="A3388" i="59"/>
  <c r="A3389" i="59"/>
  <c r="A3390" i="59"/>
  <c r="A3391" i="59"/>
  <c r="A3392" i="59"/>
  <c r="A3393" i="59"/>
  <c r="A3394" i="59"/>
  <c r="A3395" i="59"/>
  <c r="A3396" i="59"/>
  <c r="A3397" i="59"/>
  <c r="A3398" i="59"/>
  <c r="A3399" i="59"/>
  <c r="A3400" i="59"/>
  <c r="A3401" i="59"/>
  <c r="A3402" i="59"/>
  <c r="A3403" i="59"/>
  <c r="A3404" i="59"/>
  <c r="A3405" i="59"/>
  <c r="A3406" i="59"/>
  <c r="A3407" i="59"/>
  <c r="A3408" i="59"/>
  <c r="A3409" i="59"/>
  <c r="A3410" i="59"/>
  <c r="A3411" i="59"/>
  <c r="A3412" i="59"/>
  <c r="A3413" i="59"/>
  <c r="A3414" i="59"/>
  <c r="A3415" i="59"/>
  <c r="A3416" i="59"/>
  <c r="A3417" i="59"/>
  <c r="A3418" i="59"/>
  <c r="A3419" i="59"/>
  <c r="A3420" i="59"/>
  <c r="A3421" i="59"/>
  <c r="A3422" i="59"/>
  <c r="A3423" i="59"/>
  <c r="A3424" i="59"/>
  <c r="A3425" i="59"/>
  <c r="A3426" i="59"/>
  <c r="A3427" i="59"/>
  <c r="A3428" i="59"/>
  <c r="A3429" i="59"/>
  <c r="A3430" i="59"/>
  <c r="A3431" i="59"/>
  <c r="A3432" i="59"/>
  <c r="A3433" i="59"/>
  <c r="A3434" i="59"/>
  <c r="A3435" i="59"/>
  <c r="A3436" i="59"/>
  <c r="A3437" i="59"/>
  <c r="A3438" i="59"/>
  <c r="A3439" i="59"/>
  <c r="A3440" i="59"/>
  <c r="A3441" i="59"/>
  <c r="A3442" i="59"/>
  <c r="A3443" i="59"/>
  <c r="A3444" i="59"/>
  <c r="A3445" i="59"/>
  <c r="A3446" i="59"/>
  <c r="A3447" i="59"/>
  <c r="A3448" i="59"/>
  <c r="A3449" i="59"/>
  <c r="A3450" i="59"/>
  <c r="A3451" i="59"/>
  <c r="A3452" i="59"/>
  <c r="A3453" i="59"/>
  <c r="A3454" i="59"/>
  <c r="A3455" i="59"/>
  <c r="A3456" i="59"/>
  <c r="A3457" i="59"/>
  <c r="A3458" i="59"/>
  <c r="A3459" i="59"/>
  <c r="A3460" i="59"/>
  <c r="A3461" i="59"/>
  <c r="A3462" i="59"/>
  <c r="A3463" i="59"/>
  <c r="A3464" i="59"/>
  <c r="A3465" i="59"/>
  <c r="A3466" i="59"/>
  <c r="A3467" i="59"/>
  <c r="A3468" i="59"/>
  <c r="A3469" i="59"/>
  <c r="A3470" i="59"/>
  <c r="A3471" i="59"/>
  <c r="A3472" i="59"/>
  <c r="A3473" i="59"/>
  <c r="A3474" i="59"/>
  <c r="A3475" i="59"/>
  <c r="A3476" i="59"/>
  <c r="A3477" i="59"/>
  <c r="A3478" i="59"/>
  <c r="A3479" i="59"/>
  <c r="A3480" i="59"/>
  <c r="A3481" i="59"/>
  <c r="A3482" i="59"/>
  <c r="A3483" i="59"/>
  <c r="A3484" i="59"/>
  <c r="A3485" i="59"/>
  <c r="A3486" i="59"/>
  <c r="A3487" i="59"/>
  <c r="A3488" i="59"/>
  <c r="A3489" i="59"/>
  <c r="A3490" i="59"/>
  <c r="A3491" i="59"/>
  <c r="A3492" i="59"/>
  <c r="A3493" i="59"/>
  <c r="A3494" i="59"/>
  <c r="A3495" i="59"/>
  <c r="A3496" i="59"/>
  <c r="A3497" i="59"/>
  <c r="A3498" i="59"/>
  <c r="A3499" i="59"/>
  <c r="A3500" i="59"/>
  <c r="A3501" i="59"/>
  <c r="A3502" i="59"/>
  <c r="A3503" i="59"/>
  <c r="A3504" i="59"/>
  <c r="A3505" i="59"/>
  <c r="A3506" i="59"/>
  <c r="A3507" i="59"/>
  <c r="A3508" i="59"/>
  <c r="A3509" i="59"/>
  <c r="A3510" i="59"/>
  <c r="A3511" i="59"/>
  <c r="A3512" i="59"/>
  <c r="A3513" i="59"/>
  <c r="A3514" i="59"/>
  <c r="A3515" i="59"/>
  <c r="A3516" i="59"/>
  <c r="A3517" i="59"/>
  <c r="A3518" i="59"/>
  <c r="A3519" i="59"/>
  <c r="A3520" i="59"/>
  <c r="A3521" i="59"/>
  <c r="A3522" i="59"/>
  <c r="A3523" i="59"/>
  <c r="A3524" i="59"/>
  <c r="A3525" i="59"/>
  <c r="A3526" i="59"/>
  <c r="A3527" i="59"/>
  <c r="A3528" i="59"/>
  <c r="A3529" i="59"/>
  <c r="A3530" i="59"/>
  <c r="A3531" i="59"/>
  <c r="A3532" i="59"/>
  <c r="A3533" i="59"/>
  <c r="A3534" i="59"/>
  <c r="A3535" i="59"/>
  <c r="A3536" i="59"/>
  <c r="A3537" i="59"/>
  <c r="A3538" i="59"/>
  <c r="A3539" i="59"/>
  <c r="A3540" i="59"/>
  <c r="A3541" i="59"/>
  <c r="A3542" i="59"/>
  <c r="A3543" i="59"/>
  <c r="A3544" i="59"/>
  <c r="A3545" i="59"/>
  <c r="A3546" i="59"/>
  <c r="A3547" i="59"/>
  <c r="A3548" i="59"/>
  <c r="A3549" i="59"/>
  <c r="A3550" i="59"/>
  <c r="A3551" i="59"/>
  <c r="A3552" i="59"/>
  <c r="A3553" i="59"/>
  <c r="A3554" i="59"/>
  <c r="A3555" i="59"/>
  <c r="A3556" i="59"/>
  <c r="A3557" i="59"/>
  <c r="A3558" i="59"/>
  <c r="A3559" i="59"/>
  <c r="A3560" i="59"/>
  <c r="A3561" i="59"/>
  <c r="A3562" i="59"/>
  <c r="A3563" i="59"/>
  <c r="A3564" i="59"/>
  <c r="A3565" i="59"/>
  <c r="A3566" i="59"/>
  <c r="A3567" i="59"/>
  <c r="A3568" i="59"/>
  <c r="A3569" i="59"/>
  <c r="A3570" i="59"/>
  <c r="A3571" i="59"/>
  <c r="A3572" i="59"/>
  <c r="A3573" i="59"/>
  <c r="A3574" i="59"/>
  <c r="A3575" i="59"/>
  <c r="A3576" i="59"/>
  <c r="A3577" i="59"/>
  <c r="A3578" i="59"/>
  <c r="A3579" i="59"/>
  <c r="A3580" i="59"/>
  <c r="A3581" i="59"/>
  <c r="A3582" i="59"/>
  <c r="A3583" i="59"/>
  <c r="A3584" i="59"/>
  <c r="A3585" i="59"/>
  <c r="A3586" i="59"/>
  <c r="A3587" i="59"/>
  <c r="A3588" i="59"/>
  <c r="A3589" i="59"/>
  <c r="A3590" i="59"/>
  <c r="A3591" i="59"/>
  <c r="A3592" i="59"/>
  <c r="A3593" i="59"/>
  <c r="A3594" i="59"/>
  <c r="A3595" i="59"/>
  <c r="A3596" i="59"/>
  <c r="A3597" i="59"/>
  <c r="A3598" i="59"/>
  <c r="A3599" i="59"/>
  <c r="A3600" i="59"/>
  <c r="A3601" i="59"/>
  <c r="A3602" i="59"/>
  <c r="A3603" i="59"/>
  <c r="A3604" i="59"/>
  <c r="A3605" i="59"/>
  <c r="A3606" i="59"/>
  <c r="A3607" i="59"/>
  <c r="A3608" i="59"/>
  <c r="A3609" i="59"/>
  <c r="A3610" i="59"/>
  <c r="A3611" i="59"/>
  <c r="A3612" i="59"/>
  <c r="A3613" i="59"/>
  <c r="A3614" i="59"/>
  <c r="A3615" i="59"/>
  <c r="A3616" i="59"/>
  <c r="A3617" i="59"/>
  <c r="A3618" i="59"/>
  <c r="A3619" i="59"/>
  <c r="A3620" i="59"/>
  <c r="A3621" i="59"/>
  <c r="A3622" i="59"/>
  <c r="A3623" i="59"/>
  <c r="A3624" i="59"/>
  <c r="A3625" i="59"/>
  <c r="A3626" i="59"/>
  <c r="A3627" i="59"/>
  <c r="A3628" i="59"/>
  <c r="A3629" i="59"/>
  <c r="A3630" i="59"/>
  <c r="A3631" i="59"/>
  <c r="A3632" i="59"/>
  <c r="A3633" i="59"/>
  <c r="A3634" i="59"/>
  <c r="A3635" i="59"/>
  <c r="A3636" i="59"/>
  <c r="A3637" i="59"/>
  <c r="A3638" i="59"/>
  <c r="A3639" i="59"/>
  <c r="A3640" i="59"/>
  <c r="A3641" i="59"/>
  <c r="A3642" i="59"/>
  <c r="A3643" i="59"/>
  <c r="A3644" i="59"/>
  <c r="A3645" i="59"/>
  <c r="A3646" i="59"/>
  <c r="A3647" i="59"/>
  <c r="A3648" i="59"/>
  <c r="A3649" i="59"/>
  <c r="A3650" i="59"/>
  <c r="A3651" i="59"/>
  <c r="A3652" i="59"/>
  <c r="A3653" i="59"/>
  <c r="A3654" i="59"/>
  <c r="A3655" i="59"/>
  <c r="A3656" i="59"/>
  <c r="A3657" i="59"/>
  <c r="A3658" i="59"/>
  <c r="A3659" i="59"/>
  <c r="A3660" i="59"/>
  <c r="A3661" i="59"/>
  <c r="A3662" i="59"/>
  <c r="A3663" i="59"/>
  <c r="A3664" i="59"/>
  <c r="A3665" i="59"/>
  <c r="A3666" i="59"/>
  <c r="A3667" i="59"/>
  <c r="A3668" i="59"/>
  <c r="A3669" i="59"/>
  <c r="A3670" i="59"/>
  <c r="A3671" i="59"/>
  <c r="A3672" i="59"/>
  <c r="A3673" i="59"/>
  <c r="A3674" i="59"/>
  <c r="A3675" i="59"/>
  <c r="A3676" i="59"/>
  <c r="A3677" i="59"/>
  <c r="A3678" i="59"/>
  <c r="A3679" i="59"/>
  <c r="A3680" i="59"/>
  <c r="A3681" i="59"/>
  <c r="A3682" i="59"/>
  <c r="A3683" i="59"/>
  <c r="A3684" i="59"/>
  <c r="A3685" i="59"/>
  <c r="A3686" i="59"/>
  <c r="A3687" i="59"/>
  <c r="A3688" i="59"/>
  <c r="A3689" i="59"/>
  <c r="A3690" i="59"/>
  <c r="A3691" i="59"/>
  <c r="A3692" i="59"/>
  <c r="A3693" i="59"/>
  <c r="A3694" i="59"/>
  <c r="A3695" i="59"/>
  <c r="A3696" i="59"/>
  <c r="A3697" i="59"/>
  <c r="A3698" i="59"/>
  <c r="A3699" i="59"/>
  <c r="A3700" i="59"/>
  <c r="A3701" i="59"/>
  <c r="A3702" i="59"/>
  <c r="A3703" i="59"/>
  <c r="A3704" i="59"/>
  <c r="A3705" i="59"/>
  <c r="A3706" i="59"/>
  <c r="A3707" i="59"/>
  <c r="A3708" i="59"/>
  <c r="A3709" i="59"/>
  <c r="A3710" i="59"/>
  <c r="A3711" i="59"/>
  <c r="A3712" i="59"/>
  <c r="A3713" i="59"/>
  <c r="A3714" i="59"/>
  <c r="A3715" i="59"/>
  <c r="A3716" i="59"/>
  <c r="A3717" i="59"/>
  <c r="A3718" i="59"/>
  <c r="A3719" i="59"/>
  <c r="A3720" i="59"/>
  <c r="A3721" i="59"/>
  <c r="A3722" i="59"/>
  <c r="A3723" i="59"/>
  <c r="A3724" i="59"/>
  <c r="A3725" i="59"/>
  <c r="A3726" i="59"/>
  <c r="A3727" i="59"/>
  <c r="A3728" i="59"/>
  <c r="A3729" i="59"/>
  <c r="A3730" i="59"/>
  <c r="A3731" i="59"/>
  <c r="A3732" i="59"/>
  <c r="A3733" i="59"/>
  <c r="A3734" i="59"/>
  <c r="A3735" i="59"/>
  <c r="A3736" i="59"/>
  <c r="A3737" i="59"/>
  <c r="A3738" i="59"/>
  <c r="A3739" i="59"/>
  <c r="A3740" i="59"/>
  <c r="A3741" i="59"/>
  <c r="A3742" i="59"/>
  <c r="A3743" i="59"/>
  <c r="A3744" i="59"/>
  <c r="A3745" i="59"/>
  <c r="A3746" i="59"/>
  <c r="A3747" i="59"/>
  <c r="A3748" i="59"/>
  <c r="A3749" i="59"/>
  <c r="A3750" i="59"/>
  <c r="A3751" i="59"/>
  <c r="A3752" i="59"/>
  <c r="A3753" i="59"/>
  <c r="A3754" i="59"/>
  <c r="A3755" i="59"/>
  <c r="A3756" i="59"/>
  <c r="A3757" i="59"/>
  <c r="A3758" i="59"/>
  <c r="A3759" i="59"/>
  <c r="A3760" i="59"/>
  <c r="A3761" i="59"/>
  <c r="A3762" i="59"/>
  <c r="A3763" i="59"/>
  <c r="A3764" i="59"/>
  <c r="A3765" i="59"/>
  <c r="A3766" i="59"/>
  <c r="A3767" i="59"/>
  <c r="A3768" i="59"/>
  <c r="A3769" i="59"/>
  <c r="A3770" i="59"/>
  <c r="A3771" i="59"/>
  <c r="A3772" i="59"/>
  <c r="A3773" i="59"/>
  <c r="A3774" i="59"/>
  <c r="A3775" i="59"/>
  <c r="A3776" i="59"/>
  <c r="A3777" i="59"/>
  <c r="A3778" i="59"/>
  <c r="A3779" i="59"/>
  <c r="A3780" i="59"/>
  <c r="A3781" i="59"/>
  <c r="A3782" i="59"/>
  <c r="A3783" i="59"/>
  <c r="A3784" i="59"/>
  <c r="A3785" i="59"/>
  <c r="A3786" i="59"/>
  <c r="A3787" i="59"/>
  <c r="A3788" i="59"/>
  <c r="A3789" i="59"/>
  <c r="A3790" i="59"/>
  <c r="A3791" i="59"/>
  <c r="A3792" i="59"/>
  <c r="A3793" i="59"/>
  <c r="A3794" i="59"/>
  <c r="A3795" i="59"/>
  <c r="A3796" i="59"/>
  <c r="A3797" i="59"/>
  <c r="A3798" i="59"/>
  <c r="A3799" i="59"/>
  <c r="A3800" i="59"/>
  <c r="A3801" i="59"/>
  <c r="A3802" i="59"/>
  <c r="A3803" i="59"/>
  <c r="A3804" i="59"/>
  <c r="A3805" i="59"/>
  <c r="A3806" i="59"/>
  <c r="A3807" i="59"/>
  <c r="A3808" i="59"/>
  <c r="A3809" i="59"/>
  <c r="A3810" i="59"/>
  <c r="A3811" i="59"/>
  <c r="A3812" i="59"/>
  <c r="A3813" i="59"/>
  <c r="A3814" i="59"/>
  <c r="A3815" i="59"/>
  <c r="A3816" i="59"/>
  <c r="A3817" i="59"/>
  <c r="A3818" i="59"/>
  <c r="A3819" i="59"/>
  <c r="A3820" i="59"/>
  <c r="A3821" i="59"/>
  <c r="A3822" i="59"/>
  <c r="A3823" i="59"/>
  <c r="A3824" i="59"/>
  <c r="A3825" i="59"/>
  <c r="A3826" i="59"/>
  <c r="A3827" i="59"/>
  <c r="A3828" i="59"/>
  <c r="A3829" i="59"/>
  <c r="A3830" i="59"/>
  <c r="A3831" i="59"/>
  <c r="A3832" i="59"/>
  <c r="A3833" i="59"/>
  <c r="A3834" i="59"/>
  <c r="A3835" i="59"/>
  <c r="A3836" i="59"/>
  <c r="A3837" i="59"/>
  <c r="A3838" i="59"/>
  <c r="A3839" i="59"/>
  <c r="A3840" i="59"/>
  <c r="A3841" i="59"/>
  <c r="A3842" i="59"/>
  <c r="A3843" i="59"/>
  <c r="A3844" i="59"/>
  <c r="A3845" i="59"/>
  <c r="A3846" i="59"/>
  <c r="A3847" i="59"/>
  <c r="A3848" i="59"/>
  <c r="A3849" i="59"/>
  <c r="A3850" i="59"/>
  <c r="A3851" i="59"/>
  <c r="A3852" i="59"/>
  <c r="A3853" i="59"/>
  <c r="A3854" i="59"/>
  <c r="A3855" i="59"/>
  <c r="A3856" i="59"/>
  <c r="A3857" i="59"/>
  <c r="A3858" i="59"/>
  <c r="A3859" i="59"/>
  <c r="A3860" i="59"/>
  <c r="A3861" i="59"/>
  <c r="A3862" i="59"/>
  <c r="A3863" i="59"/>
  <c r="A3864" i="59"/>
  <c r="A3865" i="59"/>
  <c r="A3866" i="59"/>
  <c r="A3867" i="59"/>
  <c r="A3868" i="59"/>
  <c r="A3869" i="59"/>
  <c r="A3870" i="59"/>
  <c r="A3871" i="59"/>
  <c r="A3872" i="59"/>
  <c r="A3873" i="59"/>
  <c r="A3874" i="59"/>
  <c r="A3875" i="59"/>
  <c r="A3876" i="59"/>
  <c r="A3877" i="59"/>
  <c r="A3878" i="59"/>
  <c r="A3879" i="59"/>
  <c r="A3880" i="59"/>
  <c r="A3881" i="59"/>
  <c r="A3882" i="59"/>
  <c r="A3883" i="59"/>
  <c r="A3884" i="59"/>
  <c r="A3885" i="59"/>
  <c r="A3886" i="59"/>
  <c r="A3887" i="59"/>
  <c r="A3888" i="59"/>
  <c r="A3889" i="59"/>
  <c r="A3890" i="59"/>
  <c r="A3891" i="59"/>
  <c r="A3892" i="59"/>
  <c r="A3893" i="59"/>
  <c r="A3894" i="59"/>
  <c r="A3895" i="59"/>
  <c r="A3896" i="59"/>
  <c r="A3897" i="59"/>
  <c r="A3898" i="59"/>
  <c r="A3899" i="59"/>
  <c r="A3900" i="59"/>
  <c r="A3901" i="59"/>
  <c r="A3902" i="59"/>
  <c r="A3903" i="59"/>
  <c r="A3904" i="59"/>
  <c r="A3905" i="59"/>
  <c r="A3906" i="59"/>
  <c r="A3907" i="59"/>
  <c r="A3908" i="59"/>
  <c r="A3909" i="59"/>
  <c r="A3910" i="59"/>
  <c r="A3911" i="59"/>
  <c r="A3912" i="59"/>
  <c r="A3913" i="59"/>
  <c r="A3914" i="59"/>
  <c r="A3915" i="59"/>
  <c r="A3916" i="59"/>
  <c r="A3917" i="59"/>
  <c r="A3918" i="59"/>
  <c r="A3919" i="59"/>
  <c r="A3920" i="59"/>
  <c r="A3921" i="59"/>
  <c r="A3922" i="59"/>
  <c r="A3923" i="59"/>
  <c r="A3924" i="59"/>
  <c r="A3925" i="59"/>
  <c r="A3926" i="59"/>
  <c r="A3927" i="59"/>
  <c r="A3928" i="59"/>
  <c r="A3929" i="59"/>
  <c r="A3930" i="59"/>
  <c r="A3931" i="59"/>
  <c r="A3932" i="59"/>
  <c r="A3933" i="59"/>
  <c r="A3934" i="59"/>
  <c r="A3935" i="59"/>
  <c r="A3936" i="59"/>
  <c r="A3937" i="59"/>
  <c r="A3938" i="59"/>
  <c r="A3939" i="59"/>
  <c r="A3940" i="59"/>
  <c r="A3941" i="59"/>
  <c r="A3942" i="59"/>
  <c r="A3943" i="59"/>
  <c r="A3944" i="59"/>
  <c r="A3945" i="59"/>
  <c r="A3946" i="59"/>
  <c r="A3947" i="59"/>
  <c r="A3948" i="59"/>
  <c r="A3949" i="59"/>
  <c r="A3950" i="59"/>
  <c r="A3951" i="59"/>
  <c r="A3952" i="59"/>
  <c r="A3953" i="59"/>
  <c r="A3954" i="59"/>
  <c r="A3955" i="59"/>
  <c r="A3956" i="59"/>
  <c r="A3957" i="59"/>
  <c r="A3958" i="59"/>
  <c r="A3959" i="59"/>
  <c r="A3960" i="59"/>
  <c r="A3961" i="59"/>
  <c r="A3962" i="59"/>
  <c r="A3963" i="59"/>
  <c r="A3964" i="59"/>
  <c r="A3965" i="59"/>
  <c r="A3966" i="59"/>
  <c r="A3967" i="59"/>
  <c r="A3968" i="59"/>
  <c r="A3969" i="59"/>
  <c r="A3970" i="59"/>
  <c r="A3971" i="59"/>
  <c r="A3972" i="59"/>
  <c r="A3973" i="59"/>
  <c r="A3974" i="59"/>
  <c r="A3975" i="59"/>
  <c r="A3976" i="59"/>
  <c r="A3977" i="59"/>
  <c r="A3978" i="59"/>
  <c r="A3979" i="59"/>
  <c r="A3980" i="59"/>
  <c r="A3981" i="59"/>
  <c r="A3982" i="59"/>
  <c r="A3983" i="59"/>
  <c r="A3984" i="59"/>
  <c r="A3985" i="59"/>
  <c r="A3986" i="59"/>
  <c r="A3987" i="59"/>
  <c r="A3988" i="59"/>
  <c r="A3989" i="59"/>
  <c r="A3990" i="59"/>
  <c r="A3991" i="59"/>
  <c r="A3992" i="59"/>
  <c r="A3993" i="59"/>
  <c r="A3994" i="59"/>
  <c r="A3995" i="59"/>
  <c r="A3996" i="59"/>
  <c r="A3997" i="59"/>
  <c r="A3998" i="59"/>
  <c r="A3999" i="59"/>
  <c r="A4000" i="59"/>
  <c r="A4001" i="59"/>
  <c r="A4002" i="59"/>
  <c r="A4003" i="59"/>
  <c r="A4004" i="59"/>
  <c r="A4005" i="59"/>
  <c r="A4006" i="59"/>
  <c r="A4007" i="59"/>
  <c r="A4008" i="59"/>
  <c r="A4009" i="59"/>
  <c r="A4010" i="59"/>
  <c r="A4011" i="59"/>
  <c r="A4012" i="59"/>
  <c r="A4013" i="59"/>
  <c r="A4014" i="59"/>
  <c r="A4015" i="59"/>
  <c r="A4016" i="59"/>
  <c r="A4017" i="59"/>
  <c r="A4018" i="59"/>
  <c r="A4019" i="59"/>
  <c r="A4020" i="59"/>
  <c r="A4021" i="59"/>
  <c r="A4022" i="59"/>
  <c r="A4023" i="59"/>
  <c r="A4024" i="59"/>
  <c r="A4025" i="59"/>
  <c r="A4026" i="59"/>
  <c r="A4027" i="59"/>
  <c r="A4028" i="59"/>
  <c r="A4029" i="59"/>
  <c r="A4030" i="59"/>
  <c r="A4031" i="59"/>
  <c r="A4032" i="59"/>
  <c r="A4033" i="59"/>
  <c r="A4034" i="59"/>
  <c r="A4035" i="59"/>
  <c r="A4036" i="59"/>
  <c r="A4037" i="59"/>
  <c r="A4038" i="59"/>
  <c r="A4039" i="59"/>
  <c r="A4040" i="59"/>
  <c r="A4041" i="59"/>
  <c r="A4042" i="59"/>
  <c r="A4043" i="59"/>
  <c r="A4044" i="59"/>
  <c r="A4045" i="59"/>
  <c r="A4046" i="59"/>
  <c r="A4047" i="59"/>
  <c r="A4048" i="59"/>
  <c r="A4049" i="59"/>
  <c r="A4050" i="59"/>
  <c r="A4051" i="59"/>
  <c r="A4052" i="59"/>
  <c r="A4053" i="59"/>
  <c r="A4054" i="59"/>
  <c r="A4055" i="59"/>
  <c r="A4056" i="59"/>
  <c r="A4057" i="59"/>
  <c r="A4058" i="59"/>
  <c r="A4059" i="59"/>
  <c r="A4060" i="59"/>
  <c r="A4061" i="59"/>
  <c r="A4062" i="59"/>
  <c r="A4063" i="59"/>
  <c r="A4064" i="59"/>
  <c r="A4065" i="59"/>
  <c r="A4066" i="59"/>
  <c r="A4067" i="59"/>
  <c r="A4068" i="59"/>
  <c r="A4069" i="59"/>
  <c r="A4070" i="59"/>
  <c r="A4071" i="59"/>
  <c r="A4072" i="59"/>
  <c r="A4073" i="59"/>
  <c r="A4074" i="59"/>
  <c r="A4075" i="59"/>
  <c r="A4076" i="59"/>
  <c r="A4077" i="59"/>
  <c r="A4078" i="59"/>
  <c r="A4079" i="59"/>
  <c r="A4080" i="59"/>
  <c r="A4081" i="59"/>
  <c r="A4082" i="59"/>
  <c r="A4083" i="59"/>
  <c r="A4084" i="59"/>
  <c r="A4085" i="59"/>
  <c r="A4086" i="59"/>
  <c r="A4087" i="59"/>
  <c r="A4088" i="59"/>
  <c r="A4089" i="59"/>
  <c r="A4090" i="59"/>
  <c r="A4091" i="59"/>
  <c r="A4092" i="59"/>
  <c r="A4093" i="59"/>
  <c r="A4094" i="59"/>
  <c r="A4095" i="59"/>
  <c r="A4096" i="59"/>
  <c r="A4097" i="59"/>
  <c r="A4098" i="59"/>
  <c r="A4099" i="59"/>
  <c r="A4100" i="59"/>
  <c r="A4101" i="59"/>
  <c r="A4102" i="59"/>
  <c r="A4103" i="59"/>
  <c r="A4104" i="59"/>
  <c r="A4105" i="59"/>
  <c r="A4106" i="59"/>
  <c r="A4107" i="59"/>
  <c r="A4108" i="59"/>
  <c r="A4109" i="59"/>
  <c r="A4110" i="59"/>
  <c r="A4111" i="59"/>
  <c r="A4112" i="59"/>
  <c r="A4113" i="59"/>
  <c r="A4114" i="59"/>
  <c r="A4115" i="59"/>
  <c r="A4116" i="59"/>
  <c r="A4117" i="59"/>
  <c r="A4118" i="59"/>
  <c r="A4119" i="59"/>
  <c r="A4120" i="59"/>
  <c r="A4121" i="59"/>
  <c r="A4122" i="59"/>
  <c r="A4123" i="59"/>
  <c r="A4124" i="59"/>
  <c r="A4125" i="59"/>
  <c r="A4126" i="59"/>
  <c r="A4127" i="59"/>
  <c r="A4128" i="59"/>
  <c r="A4129" i="59"/>
  <c r="A4130" i="59"/>
  <c r="A4131" i="59"/>
  <c r="A4132" i="59"/>
  <c r="A4133" i="59"/>
  <c r="A4134" i="59"/>
  <c r="A4135" i="59"/>
  <c r="A4136" i="59"/>
  <c r="A4137" i="59"/>
  <c r="A4138" i="59"/>
  <c r="A4139" i="59"/>
  <c r="A4140" i="59"/>
  <c r="A4141" i="59"/>
  <c r="A4142" i="59"/>
  <c r="A4143" i="59"/>
  <c r="A4144" i="59"/>
  <c r="A4145" i="59"/>
  <c r="A4146" i="59"/>
  <c r="A4147" i="59"/>
  <c r="A4148" i="59"/>
  <c r="A4149" i="59"/>
  <c r="A4150" i="59"/>
  <c r="A4151" i="59"/>
  <c r="A4152" i="59"/>
  <c r="A4153" i="59"/>
  <c r="A4154" i="59"/>
  <c r="A4155" i="59"/>
  <c r="A4156" i="59"/>
  <c r="A4157" i="59"/>
  <c r="A4158" i="59"/>
  <c r="A4159" i="59"/>
  <c r="A4160" i="59"/>
  <c r="A4161" i="59"/>
  <c r="A4162" i="59"/>
  <c r="A4163" i="59"/>
  <c r="A4164" i="59"/>
  <c r="A4165" i="59"/>
  <c r="A4166" i="59"/>
  <c r="A4167" i="59"/>
  <c r="A4168" i="59"/>
  <c r="A4169" i="59"/>
  <c r="A4170" i="59"/>
  <c r="A4171" i="59"/>
  <c r="A4172" i="59"/>
  <c r="A4173" i="59"/>
  <c r="A4174" i="59"/>
  <c r="A4175" i="59"/>
  <c r="A4176" i="59"/>
  <c r="A4177" i="59"/>
  <c r="A4178" i="59"/>
  <c r="A4179" i="59"/>
  <c r="A4180" i="59"/>
  <c r="A4181" i="59"/>
  <c r="A4182" i="59"/>
  <c r="A4183" i="59"/>
  <c r="A4184" i="59"/>
  <c r="A4185" i="59"/>
  <c r="A4186" i="59"/>
  <c r="A4187" i="59"/>
  <c r="A4188" i="59"/>
  <c r="A4189" i="59"/>
  <c r="A4190" i="59"/>
  <c r="A4191" i="59"/>
  <c r="A4192" i="59"/>
  <c r="A4193" i="59"/>
  <c r="A4194" i="59"/>
  <c r="A4195" i="59"/>
  <c r="A4196" i="59"/>
  <c r="A4197" i="59"/>
  <c r="A4198" i="59"/>
  <c r="A4199" i="59"/>
  <c r="A4200" i="59"/>
  <c r="A4201" i="59"/>
  <c r="A4202" i="59"/>
  <c r="A4203" i="59"/>
  <c r="A4204" i="59"/>
  <c r="A4205" i="59"/>
  <c r="A4206" i="59"/>
  <c r="A4207" i="59"/>
  <c r="A4208" i="59"/>
  <c r="A4209" i="59"/>
  <c r="A4210" i="59"/>
  <c r="A4211" i="59"/>
  <c r="A4212" i="59"/>
  <c r="A4213" i="59"/>
  <c r="A4214" i="59"/>
  <c r="A4215" i="59"/>
  <c r="A4216" i="59"/>
  <c r="A4217" i="59"/>
  <c r="A4218" i="59"/>
  <c r="A4219" i="59"/>
  <c r="A4220" i="59"/>
  <c r="A4221" i="59"/>
  <c r="A4222" i="59"/>
  <c r="A4223" i="59"/>
  <c r="A4224" i="59"/>
  <c r="A4225" i="59"/>
  <c r="A4226" i="59"/>
  <c r="A4227" i="59"/>
  <c r="A4228" i="59"/>
  <c r="A4229" i="59"/>
  <c r="A4230" i="59"/>
  <c r="A4231" i="59"/>
  <c r="A4232" i="59"/>
  <c r="A4233" i="59"/>
  <c r="A4234" i="59"/>
  <c r="A4235" i="59"/>
  <c r="A4236" i="59"/>
  <c r="A4237" i="59"/>
  <c r="A4238" i="59"/>
  <c r="A4239" i="59"/>
  <c r="A4240" i="59"/>
  <c r="A4241" i="59"/>
  <c r="A4242" i="59"/>
  <c r="A4243" i="59"/>
  <c r="A4244" i="59"/>
  <c r="A4245" i="59"/>
  <c r="A4246" i="59"/>
  <c r="A4247" i="59"/>
  <c r="A4248" i="59"/>
  <c r="A4249" i="59"/>
  <c r="A4250" i="59"/>
  <c r="A4251" i="59"/>
  <c r="A4252" i="59"/>
  <c r="A4253" i="59"/>
  <c r="A4254" i="59"/>
  <c r="A4255" i="59"/>
  <c r="A4256" i="59"/>
  <c r="A4257" i="59"/>
  <c r="A4258" i="59"/>
  <c r="A4259" i="59"/>
  <c r="D3" i="60" l="1"/>
  <c r="D4" i="60"/>
  <c r="D5" i="60"/>
  <c r="D6" i="60"/>
  <c r="D7" i="60"/>
  <c r="D8" i="60"/>
  <c r="D9" i="60"/>
  <c r="D10" i="60"/>
  <c r="D11" i="60"/>
  <c r="D12" i="60"/>
  <c r="D13" i="60"/>
  <c r="D14" i="60"/>
  <c r="D15" i="60"/>
  <c r="D16" i="60"/>
  <c r="D17" i="60"/>
  <c r="D18" i="60"/>
  <c r="D19" i="60"/>
  <c r="D20" i="60"/>
  <c r="D21" i="60"/>
  <c r="D22" i="60"/>
  <c r="D23" i="60"/>
  <c r="D24" i="60"/>
  <c r="D25" i="60"/>
  <c r="D26" i="60"/>
  <c r="D27" i="60"/>
  <c r="D28" i="60"/>
  <c r="D29" i="60"/>
  <c r="D30" i="60"/>
  <c r="D31" i="60"/>
  <c r="D32" i="60"/>
  <c r="D33" i="60"/>
  <c r="D34" i="60"/>
  <c r="D35" i="60"/>
  <c r="D36" i="60"/>
  <c r="D37" i="60"/>
  <c r="D38" i="60"/>
  <c r="D39" i="60"/>
  <c r="D40" i="60"/>
  <c r="D41" i="60"/>
  <c r="D42" i="60"/>
  <c r="D43" i="60"/>
  <c r="D44" i="60"/>
  <c r="D45" i="60"/>
  <c r="D46" i="60"/>
  <c r="D47" i="60"/>
  <c r="D48" i="60"/>
  <c r="D49" i="60"/>
  <c r="D50" i="60"/>
  <c r="D51" i="60"/>
  <c r="D52" i="60"/>
  <c r="D53" i="60"/>
  <c r="D54" i="60"/>
  <c r="D55" i="60"/>
  <c r="D56" i="60"/>
  <c r="D57" i="60"/>
  <c r="D58" i="60"/>
  <c r="D59" i="60"/>
  <c r="D60" i="60"/>
  <c r="D61" i="60"/>
  <c r="D62" i="60"/>
  <c r="D63" i="60"/>
  <c r="D64" i="60"/>
  <c r="D65" i="60"/>
  <c r="D66" i="60"/>
  <c r="D67" i="60"/>
  <c r="D68" i="60"/>
  <c r="D69" i="60"/>
  <c r="D70" i="60"/>
  <c r="D71" i="60"/>
  <c r="D72" i="60"/>
  <c r="D73" i="60"/>
  <c r="D74" i="60"/>
  <c r="D75" i="60"/>
  <c r="D76" i="60"/>
  <c r="D77" i="60"/>
  <c r="D78" i="60"/>
  <c r="D79" i="60"/>
  <c r="D80" i="60"/>
  <c r="D81" i="60"/>
  <c r="D82" i="60"/>
  <c r="D83" i="60"/>
  <c r="D84" i="60"/>
  <c r="D85" i="60"/>
  <c r="D86" i="60"/>
  <c r="D87" i="60"/>
  <c r="D88" i="60"/>
  <c r="D89" i="60"/>
  <c r="D90" i="60"/>
  <c r="D91" i="60"/>
  <c r="D92" i="60"/>
  <c r="D93" i="60"/>
  <c r="D94" i="60"/>
  <c r="D95" i="60"/>
  <c r="D96" i="60"/>
  <c r="D97" i="60"/>
  <c r="D98" i="60"/>
  <c r="D99" i="60"/>
  <c r="D100" i="60"/>
  <c r="D101" i="60"/>
  <c r="D102" i="60"/>
  <c r="D103" i="60"/>
  <c r="D104" i="60"/>
  <c r="D105" i="60"/>
  <c r="D106" i="60"/>
  <c r="D107" i="60"/>
  <c r="D108" i="60"/>
  <c r="D109" i="60"/>
  <c r="D110" i="60"/>
  <c r="D111" i="60"/>
  <c r="D112" i="60"/>
  <c r="D113" i="60"/>
  <c r="D114" i="60"/>
  <c r="D115" i="60"/>
  <c r="D116" i="60"/>
  <c r="D117" i="60"/>
  <c r="D118" i="60"/>
  <c r="D119" i="60"/>
  <c r="D120" i="60"/>
  <c r="D121" i="60"/>
  <c r="D122" i="60"/>
  <c r="D123" i="60"/>
  <c r="D124" i="60"/>
  <c r="D125" i="60"/>
  <c r="D126" i="60"/>
  <c r="D127" i="60"/>
  <c r="D128" i="60"/>
  <c r="D129" i="60"/>
  <c r="D130" i="60"/>
  <c r="D131" i="60"/>
  <c r="D132" i="60"/>
  <c r="D133" i="60"/>
  <c r="D134" i="60"/>
  <c r="D135" i="60"/>
  <c r="D136" i="60"/>
  <c r="D137" i="60"/>
  <c r="D138" i="60"/>
  <c r="D139" i="60"/>
  <c r="D140" i="60"/>
  <c r="D141" i="60"/>
  <c r="D142" i="60"/>
  <c r="D143" i="60"/>
  <c r="D144" i="60"/>
  <c r="D145" i="60"/>
  <c r="D146" i="60"/>
  <c r="D147" i="60"/>
  <c r="D148" i="60"/>
  <c r="D149" i="60"/>
  <c r="D150" i="60"/>
  <c r="D151" i="60"/>
  <c r="D152" i="60"/>
  <c r="D153" i="60"/>
  <c r="D154" i="60"/>
  <c r="D155" i="60"/>
  <c r="D156" i="60"/>
  <c r="D157" i="60"/>
  <c r="D158" i="60"/>
  <c r="D159" i="60"/>
  <c r="D160" i="60"/>
  <c r="D161" i="60"/>
  <c r="D162" i="60"/>
  <c r="D163" i="60"/>
  <c r="D164" i="60"/>
  <c r="D165" i="60"/>
  <c r="D166" i="60"/>
  <c r="D167" i="60"/>
  <c r="D168" i="60"/>
  <c r="D169" i="60"/>
  <c r="D170" i="60"/>
  <c r="D171" i="60"/>
  <c r="D172" i="60"/>
  <c r="D173" i="60"/>
  <c r="D174" i="60"/>
  <c r="D175" i="60"/>
  <c r="D176" i="60"/>
  <c r="D177" i="60"/>
  <c r="D178" i="60"/>
  <c r="D179" i="60"/>
  <c r="D180" i="60"/>
  <c r="D181" i="60"/>
  <c r="D182" i="60"/>
  <c r="D183" i="60"/>
  <c r="D184" i="60"/>
  <c r="D185" i="60"/>
  <c r="D186" i="60"/>
  <c r="D187" i="60"/>
  <c r="D188" i="60"/>
  <c r="D189" i="60"/>
  <c r="D190" i="60"/>
  <c r="D191" i="60"/>
  <c r="D192" i="60"/>
  <c r="D193" i="60"/>
  <c r="D194" i="60"/>
  <c r="D195" i="60"/>
  <c r="D196" i="60"/>
  <c r="D197" i="60"/>
  <c r="D198" i="60"/>
  <c r="D199" i="60"/>
  <c r="D200" i="60"/>
  <c r="D201" i="60"/>
  <c r="D202" i="60"/>
  <c r="D203" i="60"/>
  <c r="D204" i="60"/>
  <c r="D206" i="60"/>
  <c r="D207" i="60"/>
  <c r="D208" i="60"/>
  <c r="D209" i="60"/>
  <c r="D210" i="60"/>
  <c r="D211" i="60"/>
  <c r="D212" i="60"/>
  <c r="D213" i="60"/>
  <c r="D214" i="60"/>
  <c r="D215" i="60"/>
  <c r="D216" i="60"/>
  <c r="D217" i="60"/>
  <c r="D218" i="60"/>
  <c r="D219" i="60"/>
  <c r="D220" i="60"/>
  <c r="D221" i="60"/>
  <c r="D222" i="60"/>
  <c r="D223" i="60"/>
  <c r="D224" i="60"/>
  <c r="D225" i="60"/>
  <c r="D226" i="60"/>
  <c r="D227" i="60"/>
  <c r="D228" i="60"/>
  <c r="D229" i="60"/>
  <c r="D230" i="60"/>
  <c r="D231" i="60"/>
  <c r="D232" i="60"/>
  <c r="D233" i="60"/>
  <c r="D234" i="60"/>
  <c r="D235" i="60"/>
  <c r="D236" i="60"/>
  <c r="D237" i="60"/>
  <c r="D238" i="60"/>
  <c r="D239" i="60"/>
  <c r="D240" i="60"/>
  <c r="D241" i="60"/>
  <c r="D242" i="60"/>
  <c r="D243" i="60"/>
  <c r="D244" i="60"/>
  <c r="D245" i="60"/>
  <c r="D246" i="60"/>
  <c r="D247" i="60"/>
  <c r="D248" i="60"/>
  <c r="D249" i="60"/>
  <c r="D250" i="60"/>
  <c r="D251" i="60"/>
  <c r="D252" i="60"/>
  <c r="D253" i="60"/>
  <c r="D254" i="60"/>
  <c r="D255" i="60"/>
  <c r="D256" i="60"/>
  <c r="D257" i="60"/>
  <c r="D258" i="60"/>
  <c r="D259" i="60"/>
  <c r="D260" i="60"/>
  <c r="D261" i="60"/>
  <c r="D262" i="60"/>
  <c r="D263" i="60"/>
  <c r="D264" i="60"/>
  <c r="D265" i="60"/>
  <c r="D266" i="60"/>
  <c r="D267" i="60"/>
  <c r="D268" i="60"/>
  <c r="D269" i="60"/>
  <c r="D270" i="60"/>
  <c r="D271" i="60"/>
  <c r="D272" i="60"/>
  <c r="D273" i="60"/>
  <c r="D274" i="60"/>
  <c r="D275" i="60"/>
  <c r="D276" i="60"/>
  <c r="D277" i="60"/>
  <c r="D278" i="60"/>
  <c r="D279" i="60"/>
  <c r="D280" i="60"/>
  <c r="D281" i="60"/>
  <c r="D282" i="60"/>
  <c r="D283" i="60"/>
  <c r="D284" i="60"/>
  <c r="D285" i="60"/>
  <c r="D286" i="60"/>
  <c r="D287" i="60"/>
  <c r="D288" i="60"/>
  <c r="D289" i="60"/>
  <c r="D290" i="60"/>
  <c r="D291" i="60"/>
  <c r="D292" i="60"/>
  <c r="D293" i="60"/>
  <c r="D294" i="60"/>
  <c r="D295" i="60"/>
  <c r="D296" i="60"/>
  <c r="D297" i="60"/>
  <c r="D298" i="60"/>
  <c r="D299" i="60"/>
  <c r="D300" i="60"/>
  <c r="D301" i="60"/>
  <c r="D302" i="60"/>
  <c r="D303" i="60"/>
  <c r="D304" i="60"/>
  <c r="D305" i="60"/>
  <c r="D306" i="60"/>
  <c r="D307" i="60"/>
  <c r="D308" i="60"/>
  <c r="D309" i="60"/>
  <c r="D310" i="60"/>
  <c r="D311" i="60"/>
  <c r="D313" i="60"/>
  <c r="D314" i="60"/>
  <c r="D315" i="60"/>
  <c r="D316" i="60"/>
  <c r="D317" i="60"/>
  <c r="D318" i="60"/>
  <c r="D319" i="60"/>
  <c r="D320" i="60"/>
  <c r="D321" i="60"/>
  <c r="D322" i="60"/>
  <c r="D323" i="60"/>
  <c r="D324" i="60"/>
  <c r="D325" i="60"/>
  <c r="D326" i="60"/>
  <c r="D327" i="60"/>
  <c r="D328" i="60"/>
  <c r="D329" i="60"/>
  <c r="D330" i="60"/>
  <c r="D331" i="60"/>
  <c r="D332" i="60"/>
  <c r="D333" i="60"/>
  <c r="D334" i="60"/>
  <c r="D335" i="60"/>
  <c r="D336" i="60"/>
  <c r="D337" i="60"/>
  <c r="D338" i="60"/>
  <c r="D339" i="60"/>
  <c r="D340" i="60"/>
  <c r="D341" i="60"/>
  <c r="D342" i="60"/>
  <c r="D343" i="60"/>
  <c r="D344" i="60"/>
  <c r="D345" i="60"/>
  <c r="D346" i="60"/>
  <c r="D347" i="60"/>
  <c r="D348" i="60"/>
  <c r="D349" i="60"/>
  <c r="D350" i="60"/>
  <c r="D351" i="60"/>
  <c r="D352" i="60"/>
  <c r="D353" i="60"/>
  <c r="D354" i="60"/>
  <c r="D355" i="60"/>
  <c r="D356" i="60"/>
  <c r="D357" i="60"/>
  <c r="D358" i="60"/>
  <c r="D359" i="60"/>
  <c r="D360" i="60"/>
  <c r="D361" i="60"/>
  <c r="D362" i="60"/>
  <c r="D363" i="60"/>
  <c r="D364" i="60"/>
  <c r="D365" i="60"/>
  <c r="D366" i="60"/>
  <c r="D367" i="60"/>
  <c r="D368" i="60"/>
  <c r="D369" i="60"/>
  <c r="D370" i="60"/>
  <c r="D371" i="60"/>
  <c r="D372" i="60"/>
  <c r="D373" i="60"/>
  <c r="D374" i="60"/>
  <c r="D375" i="60"/>
  <c r="D376" i="60"/>
  <c r="D377" i="60"/>
  <c r="D378" i="60"/>
  <c r="D379" i="60"/>
  <c r="D380" i="60"/>
  <c r="D381" i="60"/>
  <c r="D382" i="60"/>
  <c r="D383" i="60"/>
  <c r="D384" i="60"/>
  <c r="D385" i="60"/>
  <c r="D386" i="60"/>
  <c r="D387" i="60"/>
  <c r="D388" i="60"/>
  <c r="D389" i="60"/>
  <c r="D390" i="60"/>
  <c r="D391" i="60"/>
  <c r="D392" i="60"/>
  <c r="D393" i="60"/>
  <c r="D394" i="60"/>
  <c r="D395" i="60"/>
  <c r="D396" i="60"/>
  <c r="D397" i="60"/>
  <c r="D398" i="60"/>
  <c r="D399" i="60"/>
  <c r="D400" i="60"/>
  <c r="D401" i="60"/>
  <c r="D402" i="60"/>
  <c r="D403" i="60"/>
  <c r="D404" i="60"/>
  <c r="D405" i="60"/>
  <c r="D406" i="60"/>
  <c r="D407" i="60"/>
  <c r="D408" i="60"/>
  <c r="D409" i="60"/>
  <c r="D410" i="60"/>
  <c r="D411" i="60"/>
  <c r="D412" i="60"/>
  <c r="D413" i="60"/>
  <c r="D414" i="60"/>
  <c r="D415" i="60"/>
  <c r="D416" i="60"/>
  <c r="D417" i="60"/>
  <c r="D418" i="60"/>
  <c r="D419" i="60"/>
  <c r="D420" i="60"/>
  <c r="D421" i="60"/>
  <c r="D422" i="60"/>
  <c r="D423" i="60"/>
  <c r="D424" i="60"/>
  <c r="D425" i="60"/>
  <c r="D426" i="60"/>
  <c r="D427" i="60"/>
  <c r="D428" i="60"/>
  <c r="D429" i="60"/>
  <c r="D430" i="60"/>
  <c r="D431" i="60"/>
  <c r="D432" i="60"/>
  <c r="D433" i="60"/>
  <c r="D434" i="60"/>
  <c r="D435" i="60"/>
  <c r="D436" i="60"/>
  <c r="D437" i="60"/>
  <c r="D438" i="60"/>
  <c r="D439" i="60"/>
  <c r="D440" i="60"/>
  <c r="D441" i="60"/>
  <c r="D442" i="60"/>
  <c r="D443" i="60"/>
  <c r="D444" i="60"/>
  <c r="D445" i="60"/>
  <c r="D446" i="60"/>
  <c r="D447" i="60"/>
  <c r="D448" i="60"/>
  <c r="D449" i="60"/>
  <c r="D450" i="60"/>
  <c r="D451" i="60"/>
  <c r="D452" i="60"/>
  <c r="D453" i="60"/>
  <c r="D454" i="60"/>
  <c r="D455" i="60"/>
  <c r="D456" i="60"/>
  <c r="D457" i="60"/>
  <c r="D458" i="60"/>
  <c r="D459" i="60"/>
  <c r="D460" i="60"/>
  <c r="D461" i="60"/>
  <c r="D462" i="60"/>
  <c r="D463" i="60"/>
  <c r="D464" i="60"/>
  <c r="D465" i="60"/>
  <c r="D466" i="60"/>
  <c r="D467" i="60"/>
  <c r="D468" i="60"/>
  <c r="D469" i="60"/>
  <c r="D470" i="60"/>
  <c r="D471" i="60"/>
  <c r="D472" i="60"/>
  <c r="D473" i="60"/>
  <c r="D474" i="60"/>
  <c r="D475" i="60"/>
  <c r="D476" i="60"/>
  <c r="D477" i="60"/>
  <c r="D478" i="60"/>
  <c r="D479" i="60"/>
  <c r="D480" i="60"/>
  <c r="D481" i="60"/>
  <c r="D482" i="60"/>
  <c r="D483" i="60"/>
  <c r="D484" i="60"/>
  <c r="D485" i="60"/>
  <c r="D486" i="60"/>
  <c r="D487" i="60"/>
  <c r="D488" i="60"/>
  <c r="D489" i="60"/>
  <c r="D490" i="60"/>
  <c r="D491" i="60"/>
  <c r="D492" i="60"/>
  <c r="D493" i="60"/>
  <c r="D494" i="60"/>
  <c r="D495" i="60"/>
  <c r="D496" i="60"/>
  <c r="D497" i="60"/>
  <c r="D498" i="60"/>
  <c r="D499" i="60"/>
  <c r="D500" i="60"/>
  <c r="D501" i="60"/>
  <c r="D502" i="60"/>
  <c r="D503" i="60"/>
  <c r="D504" i="60"/>
  <c r="D505" i="60"/>
  <c r="D506" i="60"/>
  <c r="D507" i="60"/>
  <c r="D508" i="60"/>
  <c r="D509" i="60"/>
  <c r="D510" i="60"/>
  <c r="D511" i="60"/>
  <c r="D512" i="60"/>
  <c r="D513" i="60"/>
  <c r="D514" i="60"/>
  <c r="D515" i="60"/>
  <c r="D516" i="60"/>
  <c r="D517" i="60"/>
  <c r="D518" i="60"/>
  <c r="D519" i="60"/>
  <c r="D520" i="60"/>
  <c r="D521" i="60"/>
  <c r="D522" i="60"/>
  <c r="D523" i="60"/>
  <c r="D524" i="60"/>
  <c r="D525" i="60"/>
  <c r="D526" i="60"/>
  <c r="D527" i="60"/>
  <c r="D528" i="60"/>
  <c r="D529" i="60"/>
  <c r="D530" i="60"/>
  <c r="D531" i="60"/>
  <c r="D532" i="60"/>
  <c r="D533" i="60"/>
  <c r="D534" i="60"/>
  <c r="D535" i="60"/>
  <c r="D536" i="60"/>
  <c r="D537" i="60"/>
  <c r="D538" i="60"/>
  <c r="D539" i="60"/>
  <c r="D540" i="60"/>
  <c r="D541" i="60"/>
  <c r="D542" i="60"/>
  <c r="D543" i="60"/>
  <c r="D544" i="60"/>
  <c r="D545" i="60"/>
  <c r="D546" i="60"/>
  <c r="D547" i="60"/>
  <c r="D548" i="60"/>
  <c r="D549" i="60"/>
  <c r="D550" i="60"/>
  <c r="D551" i="60"/>
  <c r="D552" i="60"/>
  <c r="D553" i="60"/>
  <c r="D554" i="60"/>
  <c r="D555" i="60"/>
  <c r="D556" i="60"/>
  <c r="D557" i="60"/>
  <c r="D558" i="60"/>
  <c r="D559" i="60"/>
  <c r="D560" i="60"/>
  <c r="D561" i="60"/>
  <c r="D562" i="60"/>
  <c r="D563" i="60"/>
  <c r="D564" i="60"/>
  <c r="D565" i="60"/>
  <c r="D566" i="60"/>
  <c r="D567" i="60"/>
  <c r="D568" i="60"/>
  <c r="D569" i="60"/>
  <c r="D570" i="60"/>
  <c r="D571" i="60"/>
  <c r="D572" i="60"/>
  <c r="D573" i="60"/>
  <c r="D574" i="60"/>
  <c r="D575" i="60"/>
  <c r="D576" i="60"/>
  <c r="D577" i="60"/>
  <c r="D578" i="60"/>
  <c r="D579" i="60"/>
  <c r="D580" i="60"/>
  <c r="D581" i="60"/>
  <c r="D582" i="60"/>
  <c r="D583" i="60"/>
  <c r="D584" i="60"/>
  <c r="D585" i="60"/>
  <c r="D586" i="60"/>
  <c r="D587" i="60"/>
  <c r="D588" i="60"/>
  <c r="D589" i="60"/>
  <c r="D590" i="60"/>
  <c r="D591" i="60"/>
  <c r="D592" i="60"/>
  <c r="D593" i="60"/>
  <c r="D594" i="60"/>
  <c r="D595" i="60"/>
  <c r="D596" i="60"/>
  <c r="D597" i="60"/>
  <c r="D598" i="60"/>
  <c r="D599" i="60"/>
  <c r="D600" i="60"/>
  <c r="D601" i="60"/>
  <c r="D602" i="60"/>
  <c r="D603" i="60"/>
  <c r="D604" i="60"/>
  <c r="D605" i="60"/>
  <c r="D606" i="60"/>
  <c r="D607" i="60"/>
  <c r="D608" i="60"/>
  <c r="D609" i="60"/>
  <c r="D610" i="60"/>
  <c r="D611" i="60"/>
  <c r="D612" i="60"/>
  <c r="D613" i="60"/>
  <c r="D614" i="60"/>
  <c r="D615" i="60"/>
  <c r="D616" i="60"/>
  <c r="D617" i="60"/>
  <c r="D618" i="60"/>
  <c r="D619" i="60"/>
  <c r="D620" i="60"/>
  <c r="D621" i="60"/>
  <c r="D622" i="60"/>
  <c r="D623" i="60"/>
  <c r="D624" i="60"/>
  <c r="D625" i="60"/>
  <c r="D626" i="60"/>
  <c r="D627" i="60"/>
  <c r="D628" i="60"/>
  <c r="D629" i="60"/>
  <c r="D630" i="60"/>
  <c r="D631" i="60"/>
  <c r="D632" i="60"/>
  <c r="D633" i="60"/>
  <c r="D634" i="60"/>
  <c r="D635" i="60"/>
  <c r="D636" i="60"/>
  <c r="D637" i="60"/>
  <c r="D638" i="60"/>
  <c r="D639" i="60"/>
  <c r="D640" i="60"/>
  <c r="D641" i="60"/>
  <c r="D642" i="60"/>
  <c r="D643" i="60"/>
  <c r="D644" i="60"/>
  <c r="D645" i="60"/>
  <c r="D646" i="60"/>
  <c r="D647" i="60"/>
  <c r="D648" i="60"/>
  <c r="D649" i="60"/>
  <c r="D650" i="60"/>
  <c r="D651" i="60"/>
  <c r="D652" i="60"/>
  <c r="D653" i="60"/>
  <c r="D654" i="60"/>
  <c r="D655" i="60"/>
  <c r="D656" i="60"/>
  <c r="D657" i="60"/>
  <c r="D658" i="60"/>
  <c r="D659" i="60"/>
  <c r="D660" i="60"/>
  <c r="D661" i="60"/>
  <c r="D662" i="60"/>
  <c r="D663" i="60"/>
  <c r="D664" i="60"/>
  <c r="D665" i="60"/>
  <c r="D666" i="60"/>
  <c r="D667" i="60"/>
  <c r="D668" i="60"/>
  <c r="D669" i="60"/>
  <c r="D670" i="60"/>
  <c r="D671" i="60"/>
  <c r="D672" i="60"/>
  <c r="D673" i="60"/>
  <c r="D674" i="60"/>
  <c r="D675" i="60"/>
  <c r="D676" i="60"/>
  <c r="D677" i="60"/>
  <c r="D678" i="60"/>
  <c r="D679" i="60"/>
  <c r="D680" i="60"/>
  <c r="D681" i="60"/>
  <c r="D682" i="60"/>
  <c r="D683" i="60"/>
  <c r="D684" i="60"/>
  <c r="D685" i="60"/>
  <c r="D686" i="60"/>
  <c r="D687" i="60"/>
  <c r="D688" i="60"/>
  <c r="D689" i="60"/>
  <c r="D690" i="60"/>
  <c r="D691" i="60"/>
  <c r="D692" i="60"/>
  <c r="D693" i="60"/>
  <c r="D694" i="60"/>
  <c r="D695" i="60"/>
  <c r="D696" i="60"/>
  <c r="D697" i="60"/>
  <c r="D698" i="60"/>
  <c r="D699" i="60"/>
  <c r="D700" i="60"/>
  <c r="D701" i="60"/>
  <c r="D702" i="60"/>
  <c r="D703" i="60"/>
  <c r="D704" i="60"/>
  <c r="D705" i="60"/>
  <c r="D706" i="60"/>
  <c r="D707" i="60"/>
  <c r="D708" i="60"/>
  <c r="D709" i="60"/>
  <c r="D710" i="60"/>
  <c r="D711" i="60"/>
  <c r="D712" i="60"/>
  <c r="D713" i="60"/>
  <c r="D714" i="60"/>
  <c r="D715" i="60"/>
  <c r="D716" i="60"/>
  <c r="D717" i="60"/>
  <c r="D718" i="60"/>
  <c r="D719" i="60"/>
  <c r="D720" i="60"/>
  <c r="D721" i="60"/>
  <c r="D722" i="60"/>
  <c r="D723" i="60"/>
  <c r="D724" i="60"/>
  <c r="D725" i="60"/>
  <c r="D726" i="60"/>
  <c r="D727" i="60"/>
  <c r="D728" i="60"/>
  <c r="D729" i="60"/>
  <c r="D730" i="60"/>
  <c r="D731" i="60"/>
  <c r="D732" i="60"/>
  <c r="D733" i="60"/>
  <c r="D734" i="60"/>
  <c r="D735" i="60"/>
  <c r="D736" i="60"/>
  <c r="D737" i="60"/>
  <c r="D738" i="60"/>
  <c r="D739" i="60"/>
  <c r="D740" i="60"/>
  <c r="D741" i="60"/>
  <c r="D742" i="60"/>
  <c r="D743" i="60"/>
  <c r="D744" i="60"/>
  <c r="D745" i="60"/>
  <c r="D746" i="60"/>
  <c r="D747" i="60"/>
  <c r="D748" i="60"/>
  <c r="D749" i="60"/>
  <c r="D750" i="60"/>
  <c r="D751" i="60"/>
  <c r="D752" i="60"/>
  <c r="D753" i="60"/>
  <c r="D754" i="60"/>
  <c r="D755" i="60"/>
  <c r="D756" i="60"/>
  <c r="D757" i="60"/>
  <c r="D758" i="60"/>
  <c r="D759" i="60"/>
  <c r="D760" i="60"/>
  <c r="D761" i="60"/>
  <c r="D762" i="60"/>
  <c r="D763" i="60"/>
  <c r="D764" i="60"/>
  <c r="D765" i="60"/>
  <c r="D766" i="60"/>
  <c r="D767" i="60"/>
  <c r="D768" i="60"/>
  <c r="D769" i="60"/>
  <c r="D770" i="60"/>
  <c r="D771" i="60"/>
  <c r="D772" i="60"/>
  <c r="D773" i="60"/>
  <c r="D774" i="60"/>
  <c r="D775" i="60"/>
  <c r="D776" i="60"/>
  <c r="D777" i="60"/>
  <c r="D778" i="60"/>
  <c r="D779" i="60"/>
  <c r="D780" i="60"/>
  <c r="D781" i="60"/>
  <c r="D782" i="60"/>
  <c r="D783" i="60"/>
  <c r="D784" i="60"/>
  <c r="D785" i="60"/>
  <c r="D786" i="60"/>
  <c r="D787" i="60"/>
  <c r="D788" i="60"/>
  <c r="D789" i="60"/>
  <c r="D790" i="60"/>
  <c r="D791" i="60"/>
  <c r="D792" i="60"/>
  <c r="D793" i="60"/>
  <c r="D794" i="60"/>
  <c r="D795" i="60"/>
  <c r="D796" i="60"/>
  <c r="D797" i="60"/>
  <c r="H797" i="60"/>
  <c r="H796" i="60"/>
  <c r="H795" i="60"/>
  <c r="H794" i="60"/>
  <c r="H793" i="60"/>
  <c r="H792" i="60"/>
  <c r="H791" i="60"/>
  <c r="H790" i="60"/>
  <c r="H789" i="60"/>
  <c r="H788" i="60"/>
  <c r="H787" i="60"/>
  <c r="H786" i="60"/>
  <c r="H785" i="60"/>
  <c r="H784" i="60"/>
  <c r="H783" i="60"/>
  <c r="H782" i="60"/>
  <c r="H781" i="60"/>
  <c r="H780" i="60"/>
  <c r="H779" i="60"/>
  <c r="H778" i="60"/>
  <c r="H777" i="60"/>
  <c r="H776" i="60"/>
  <c r="H775" i="60"/>
  <c r="H774" i="60"/>
  <c r="H773" i="60"/>
  <c r="H772" i="60"/>
  <c r="H771" i="60"/>
  <c r="H770" i="60"/>
  <c r="H769" i="60"/>
  <c r="H768" i="60"/>
  <c r="H767" i="60"/>
  <c r="H766" i="60"/>
  <c r="H765" i="60"/>
  <c r="H764" i="60"/>
  <c r="H763" i="60"/>
  <c r="H762" i="60"/>
  <c r="H761" i="60"/>
  <c r="H760" i="60"/>
  <c r="H759" i="60"/>
  <c r="H758" i="60"/>
  <c r="H757" i="60"/>
  <c r="H756" i="60"/>
  <c r="H755" i="60"/>
  <c r="H754" i="60"/>
  <c r="H753" i="60"/>
  <c r="H752" i="60"/>
  <c r="H751" i="60"/>
  <c r="H750" i="60"/>
  <c r="H749" i="60"/>
  <c r="H748" i="60"/>
  <c r="H747" i="60"/>
  <c r="H746" i="60"/>
  <c r="H745" i="60"/>
  <c r="H744" i="60"/>
  <c r="H743" i="60"/>
  <c r="H742" i="60"/>
  <c r="H741" i="60"/>
  <c r="H740" i="60"/>
  <c r="H739" i="60"/>
  <c r="H738" i="60"/>
  <c r="H737" i="60"/>
  <c r="H736" i="60"/>
  <c r="H735" i="60"/>
  <c r="H734" i="60"/>
  <c r="H733" i="60"/>
  <c r="H732" i="60"/>
  <c r="H731" i="60"/>
  <c r="H730" i="60"/>
  <c r="H729" i="60"/>
  <c r="H728" i="60"/>
  <c r="H727" i="60"/>
  <c r="H726" i="60"/>
  <c r="H725" i="60"/>
  <c r="H724" i="60"/>
  <c r="H723" i="60"/>
  <c r="H722" i="60"/>
  <c r="H721" i="60"/>
  <c r="H720" i="60"/>
  <c r="H719" i="60"/>
  <c r="H718" i="60"/>
  <c r="H717" i="60"/>
  <c r="H716" i="60"/>
  <c r="H715" i="60"/>
  <c r="H714" i="60"/>
  <c r="H713" i="60"/>
  <c r="H712" i="60"/>
  <c r="H711" i="60"/>
  <c r="H710" i="60"/>
  <c r="H709" i="60"/>
  <c r="H708" i="60"/>
  <c r="H707" i="60"/>
  <c r="H706" i="60"/>
  <c r="H705" i="60"/>
  <c r="H704" i="60"/>
  <c r="H703" i="60"/>
  <c r="H702" i="60"/>
  <c r="H701" i="60"/>
  <c r="H700" i="60"/>
  <c r="H699" i="60"/>
  <c r="H698" i="60"/>
  <c r="H697" i="60"/>
  <c r="H696" i="60"/>
  <c r="H695" i="60"/>
  <c r="H694" i="60"/>
  <c r="H693" i="60"/>
  <c r="H692" i="60"/>
  <c r="H691" i="60"/>
  <c r="H690" i="60"/>
  <c r="H689" i="60"/>
  <c r="H688" i="60"/>
  <c r="H687" i="60"/>
  <c r="H686" i="60"/>
  <c r="H685" i="60"/>
  <c r="H684" i="60"/>
  <c r="H683" i="60"/>
  <c r="H682" i="60"/>
  <c r="H681" i="60"/>
  <c r="H680" i="60"/>
  <c r="H679" i="60"/>
  <c r="H678" i="60"/>
  <c r="H677" i="60"/>
  <c r="H676" i="60"/>
  <c r="H675" i="60"/>
  <c r="H674" i="60"/>
  <c r="H673" i="60"/>
  <c r="H672" i="60"/>
  <c r="H671" i="60"/>
  <c r="H670" i="60"/>
  <c r="H669" i="60"/>
  <c r="H668" i="60"/>
  <c r="H667" i="60"/>
  <c r="H666" i="60"/>
  <c r="H665" i="60"/>
  <c r="H664" i="60"/>
  <c r="H663" i="60"/>
  <c r="H662" i="60"/>
  <c r="H661" i="60"/>
  <c r="H660" i="60"/>
  <c r="H659" i="60"/>
  <c r="H658" i="60"/>
  <c r="H657" i="60"/>
  <c r="H656" i="60"/>
  <c r="H655" i="60"/>
  <c r="H654" i="60"/>
  <c r="H653" i="60"/>
  <c r="H652" i="60"/>
  <c r="H651" i="60"/>
  <c r="H650" i="60"/>
  <c r="H649" i="60"/>
  <c r="H648" i="60"/>
  <c r="H647" i="60"/>
  <c r="H646" i="60"/>
  <c r="H645" i="60"/>
  <c r="H644" i="60"/>
  <c r="H643" i="60"/>
  <c r="H642" i="60"/>
  <c r="H641" i="60"/>
  <c r="H640" i="60"/>
  <c r="H639" i="60"/>
  <c r="H638" i="60"/>
  <c r="H637" i="60"/>
  <c r="H636" i="60"/>
  <c r="H635" i="60"/>
  <c r="H634" i="60"/>
  <c r="H633" i="60"/>
  <c r="H632" i="60"/>
  <c r="H631" i="60"/>
  <c r="H630" i="60"/>
  <c r="H629" i="60"/>
  <c r="H628" i="60"/>
  <c r="H627" i="60"/>
  <c r="H626" i="60"/>
  <c r="H625" i="60"/>
  <c r="H624" i="60"/>
  <c r="H623" i="60"/>
  <c r="H622" i="60"/>
  <c r="H621" i="60"/>
  <c r="H620" i="60"/>
  <c r="H619" i="60"/>
  <c r="H618" i="60"/>
  <c r="H617" i="60"/>
  <c r="H616" i="60"/>
  <c r="H615" i="60"/>
  <c r="H614" i="60"/>
  <c r="H613" i="60"/>
  <c r="H612" i="60"/>
  <c r="H611" i="60"/>
  <c r="H610" i="60"/>
  <c r="H609" i="60"/>
  <c r="H608" i="60"/>
  <c r="H607" i="60"/>
  <c r="H606" i="60"/>
  <c r="H605" i="60"/>
  <c r="H604" i="60"/>
  <c r="H603" i="60"/>
  <c r="H602" i="60"/>
  <c r="H601" i="60"/>
  <c r="H600" i="60"/>
  <c r="H599" i="60"/>
  <c r="H598" i="60"/>
  <c r="H597" i="60"/>
  <c r="H596" i="60"/>
  <c r="H595" i="60"/>
  <c r="H594" i="60"/>
  <c r="H593" i="60"/>
  <c r="H592" i="60"/>
  <c r="H591" i="60"/>
  <c r="H590" i="60"/>
  <c r="H589" i="60"/>
  <c r="H588" i="60"/>
  <c r="H587" i="60"/>
  <c r="H586" i="60"/>
  <c r="H585" i="60"/>
  <c r="H584" i="60"/>
  <c r="H583" i="60"/>
  <c r="H582" i="60"/>
  <c r="H581" i="60"/>
  <c r="H580" i="60"/>
  <c r="H579" i="60"/>
  <c r="H578" i="60"/>
  <c r="H577" i="60"/>
  <c r="H576" i="60"/>
  <c r="H575" i="60"/>
  <c r="H574" i="60"/>
  <c r="H573" i="60"/>
  <c r="H572" i="60"/>
  <c r="H571" i="60"/>
  <c r="H570" i="60"/>
  <c r="H569" i="60"/>
  <c r="H568" i="60"/>
  <c r="H567" i="60"/>
  <c r="H566" i="60"/>
  <c r="H565" i="60"/>
  <c r="H564" i="60"/>
  <c r="H563" i="60"/>
  <c r="H562" i="60"/>
  <c r="H561" i="60"/>
  <c r="H560" i="60"/>
  <c r="H559" i="60"/>
  <c r="H558" i="60"/>
  <c r="H557" i="60"/>
  <c r="H556" i="60"/>
  <c r="H555" i="60"/>
  <c r="H554" i="60"/>
  <c r="H553" i="60"/>
  <c r="H552" i="60"/>
  <c r="H551" i="60"/>
  <c r="H550" i="60"/>
  <c r="H549" i="60"/>
  <c r="H548" i="60"/>
  <c r="H547" i="60"/>
  <c r="H546" i="60"/>
  <c r="H545" i="60"/>
  <c r="H544" i="60"/>
  <c r="H543" i="60"/>
  <c r="H542" i="60"/>
  <c r="H541" i="60"/>
  <c r="H540" i="60"/>
  <c r="H539" i="60"/>
  <c r="H538" i="60"/>
  <c r="H537" i="60"/>
  <c r="H536" i="60"/>
  <c r="H535" i="60"/>
  <c r="H534" i="60"/>
  <c r="H533" i="60"/>
  <c r="H532" i="60"/>
  <c r="H531" i="60"/>
  <c r="H530" i="60"/>
  <c r="H529" i="60"/>
  <c r="H528" i="60"/>
  <c r="H527" i="60"/>
  <c r="H526" i="60"/>
  <c r="H525" i="60"/>
  <c r="H524" i="60"/>
  <c r="H523" i="60"/>
  <c r="H522" i="60"/>
  <c r="H521" i="60"/>
  <c r="H520" i="60"/>
  <c r="H519" i="60"/>
  <c r="H518" i="60"/>
  <c r="H517" i="60"/>
  <c r="H516" i="60"/>
  <c r="H515" i="60"/>
  <c r="H514" i="60"/>
  <c r="H513" i="60"/>
  <c r="H512" i="60"/>
  <c r="H511" i="60"/>
  <c r="H510" i="60"/>
  <c r="H509" i="60"/>
  <c r="H508" i="60"/>
  <c r="H507" i="60"/>
  <c r="H506" i="60"/>
  <c r="H505" i="60"/>
  <c r="H504" i="60"/>
  <c r="H503" i="60"/>
  <c r="H502" i="60"/>
  <c r="H501" i="60"/>
  <c r="H500" i="60"/>
  <c r="H499" i="60"/>
  <c r="H498" i="60"/>
  <c r="H497" i="60"/>
  <c r="H496" i="60"/>
  <c r="H495" i="60"/>
  <c r="H494" i="60"/>
  <c r="H493" i="60"/>
  <c r="H492" i="60"/>
  <c r="H491" i="60"/>
  <c r="H490" i="60"/>
  <c r="H489" i="60"/>
  <c r="H488" i="60"/>
  <c r="H487" i="60"/>
  <c r="H486" i="60"/>
  <c r="H485" i="60"/>
  <c r="H484" i="60"/>
  <c r="H483" i="60"/>
  <c r="H482" i="60"/>
  <c r="H481" i="60"/>
  <c r="H480" i="60"/>
  <c r="H479" i="60"/>
  <c r="H478" i="60"/>
  <c r="H477" i="60"/>
  <c r="H476" i="60"/>
  <c r="H475" i="60"/>
  <c r="H474" i="60"/>
  <c r="H473" i="60"/>
  <c r="H472" i="60"/>
  <c r="H471" i="60"/>
  <c r="H470" i="60"/>
  <c r="H469" i="60"/>
  <c r="H468" i="60"/>
  <c r="H467" i="60"/>
  <c r="H466" i="60"/>
  <c r="H465" i="60"/>
  <c r="H464" i="60"/>
  <c r="H463" i="60"/>
  <c r="H462" i="60"/>
  <c r="H461" i="60"/>
  <c r="H460" i="60"/>
  <c r="H459" i="60"/>
  <c r="H458" i="60"/>
  <c r="H457" i="60"/>
  <c r="H456" i="60"/>
  <c r="H455" i="60"/>
  <c r="H454" i="60"/>
  <c r="H453" i="60"/>
  <c r="H452" i="60"/>
  <c r="H451" i="60"/>
  <c r="H450" i="60"/>
  <c r="H449" i="60"/>
  <c r="H448" i="60"/>
  <c r="H447" i="60"/>
  <c r="H446" i="60"/>
  <c r="H445" i="60"/>
  <c r="H444" i="60"/>
  <c r="H443" i="60"/>
  <c r="H442" i="60"/>
  <c r="H441" i="60"/>
  <c r="H440" i="60"/>
  <c r="H439" i="60"/>
  <c r="H438" i="60"/>
  <c r="H437" i="60"/>
  <c r="H436" i="60"/>
  <c r="H435" i="60"/>
  <c r="H434" i="60"/>
  <c r="H433" i="60"/>
  <c r="H432" i="60"/>
  <c r="H431" i="60"/>
  <c r="H430" i="60"/>
  <c r="H429" i="60"/>
  <c r="H428" i="60"/>
  <c r="H427" i="60"/>
  <c r="H426" i="60"/>
  <c r="H425" i="60"/>
  <c r="H424" i="60"/>
  <c r="H423" i="60"/>
  <c r="H422" i="60"/>
  <c r="H421" i="60"/>
  <c r="H420" i="60"/>
  <c r="H419" i="60"/>
  <c r="H418" i="60"/>
  <c r="H417" i="60"/>
  <c r="H416" i="60"/>
  <c r="H415" i="60"/>
  <c r="H414" i="60"/>
  <c r="H413" i="60"/>
  <c r="H412" i="60"/>
  <c r="H411" i="60"/>
  <c r="H410" i="60"/>
  <c r="H409" i="60"/>
  <c r="H408" i="60"/>
  <c r="H407" i="60"/>
  <c r="H406" i="60"/>
  <c r="H405" i="60"/>
  <c r="H404" i="60"/>
  <c r="H403" i="60"/>
  <c r="H402" i="60"/>
  <c r="H401" i="60"/>
  <c r="H400" i="60"/>
  <c r="H399" i="60"/>
  <c r="H398" i="60"/>
  <c r="H397" i="60"/>
  <c r="H396" i="60"/>
  <c r="H395" i="60"/>
  <c r="H394" i="60"/>
  <c r="H393" i="60"/>
  <c r="H392" i="60"/>
  <c r="H391" i="60"/>
  <c r="H390" i="60"/>
  <c r="H389" i="60"/>
  <c r="H388" i="60"/>
  <c r="H387" i="60"/>
  <c r="H386" i="60"/>
  <c r="H385" i="60"/>
  <c r="H384" i="60"/>
  <c r="H383" i="60"/>
  <c r="H382" i="60"/>
  <c r="H381" i="60"/>
  <c r="H380" i="60"/>
  <c r="H379" i="60"/>
  <c r="H378" i="60"/>
  <c r="H377" i="60"/>
  <c r="H376" i="60"/>
  <c r="H375" i="60"/>
  <c r="H374" i="60"/>
  <c r="H373" i="60"/>
  <c r="H372" i="60"/>
  <c r="H371" i="60"/>
  <c r="H370" i="60"/>
  <c r="H369" i="60"/>
  <c r="H368" i="60"/>
  <c r="H367" i="60"/>
  <c r="H366" i="60"/>
  <c r="H365" i="60"/>
  <c r="H364" i="60"/>
  <c r="H363" i="60"/>
  <c r="H362" i="60"/>
  <c r="H361" i="60"/>
  <c r="H360" i="60"/>
  <c r="H359" i="60"/>
  <c r="H358" i="60"/>
  <c r="H357" i="60"/>
  <c r="H356" i="60"/>
  <c r="H355" i="60"/>
  <c r="H354" i="60"/>
  <c r="H353" i="60"/>
  <c r="H352" i="60"/>
  <c r="H351" i="60"/>
  <c r="H350" i="60"/>
  <c r="H349" i="60"/>
  <c r="H348" i="60"/>
  <c r="H347" i="60"/>
  <c r="H346" i="60"/>
  <c r="H345" i="60"/>
  <c r="H344" i="60"/>
  <c r="H343" i="60"/>
  <c r="H342" i="60"/>
  <c r="H341" i="60"/>
  <c r="H340" i="60"/>
  <c r="H339" i="60"/>
  <c r="H338" i="60"/>
  <c r="H337" i="60"/>
  <c r="H336" i="60"/>
  <c r="H335" i="60"/>
  <c r="H334" i="60"/>
  <c r="H333" i="60"/>
  <c r="H332" i="60"/>
  <c r="H331" i="60"/>
  <c r="H330" i="60"/>
  <c r="H329" i="60"/>
  <c r="H328" i="60"/>
  <c r="H327" i="60"/>
  <c r="H326" i="60"/>
  <c r="H325" i="60"/>
  <c r="H324" i="60"/>
  <c r="H323" i="60"/>
  <c r="H322" i="60"/>
  <c r="H321" i="60"/>
  <c r="H320" i="60"/>
  <c r="H319" i="60"/>
  <c r="H318" i="60"/>
  <c r="H317" i="60"/>
  <c r="H316" i="60"/>
  <c r="H315" i="60"/>
  <c r="H314" i="60"/>
  <c r="H313" i="60"/>
  <c r="H312" i="60"/>
  <c r="H311" i="60"/>
  <c r="H310" i="60"/>
  <c r="H309" i="60"/>
  <c r="H308" i="60"/>
  <c r="H307" i="60"/>
  <c r="H306" i="60"/>
  <c r="H305" i="60"/>
  <c r="H304" i="60"/>
  <c r="H303" i="60"/>
  <c r="H302" i="60"/>
  <c r="H301" i="60"/>
  <c r="H300" i="60"/>
  <c r="H299" i="60"/>
  <c r="H298" i="60"/>
  <c r="H297" i="60"/>
  <c r="H296" i="60"/>
  <c r="H295" i="60"/>
  <c r="H294" i="60"/>
  <c r="H293" i="60"/>
  <c r="H292" i="60"/>
  <c r="H291" i="60"/>
  <c r="H290" i="60"/>
  <c r="H289" i="60"/>
  <c r="H288" i="60"/>
  <c r="H287" i="60"/>
  <c r="H286" i="60"/>
  <c r="H285" i="60"/>
  <c r="H284" i="60"/>
  <c r="H283" i="60"/>
  <c r="H282" i="60"/>
  <c r="H281" i="60"/>
  <c r="H280" i="60"/>
  <c r="H279" i="60"/>
  <c r="H278" i="60"/>
  <c r="H277" i="60"/>
  <c r="H276" i="60"/>
  <c r="H275" i="60"/>
  <c r="H274" i="60"/>
  <c r="H273" i="60"/>
  <c r="H272" i="60"/>
  <c r="H271" i="60"/>
  <c r="H270" i="60"/>
  <c r="H269" i="60"/>
  <c r="H268" i="60"/>
  <c r="H267" i="60"/>
  <c r="H266" i="60"/>
  <c r="H265" i="60"/>
  <c r="H264" i="60"/>
  <c r="H263" i="60"/>
  <c r="H262" i="60"/>
  <c r="H261" i="60"/>
  <c r="H260" i="60"/>
  <c r="H259" i="60"/>
  <c r="H258" i="60"/>
  <c r="H257" i="60"/>
  <c r="H256" i="60"/>
  <c r="H255" i="60"/>
  <c r="H254" i="60"/>
  <c r="H253" i="60"/>
  <c r="H252" i="60"/>
  <c r="H251" i="60"/>
  <c r="H250" i="60"/>
  <c r="H249" i="60"/>
  <c r="H248" i="60"/>
  <c r="H247" i="60"/>
  <c r="H246" i="60"/>
  <c r="H245" i="60"/>
  <c r="H244" i="60"/>
  <c r="H243" i="60"/>
  <c r="H242" i="60"/>
  <c r="H241" i="60"/>
  <c r="H240" i="60"/>
  <c r="H239" i="60"/>
  <c r="H238" i="60"/>
  <c r="H237" i="60"/>
  <c r="H236" i="60"/>
  <c r="H235" i="60"/>
  <c r="H234" i="60"/>
  <c r="H233" i="60"/>
  <c r="H232" i="60"/>
  <c r="H231" i="60"/>
  <c r="H230" i="60"/>
  <c r="H229" i="60"/>
  <c r="H228" i="60"/>
  <c r="H227" i="60"/>
  <c r="H226" i="60"/>
  <c r="H225" i="60"/>
  <c r="H224" i="60"/>
  <c r="H223" i="60"/>
  <c r="H222" i="60"/>
  <c r="H221" i="60"/>
  <c r="H220" i="60"/>
  <c r="H219" i="60"/>
  <c r="H218" i="60"/>
  <c r="H217" i="60"/>
  <c r="H216" i="60"/>
  <c r="H215" i="60"/>
  <c r="H214" i="60"/>
  <c r="H213" i="60"/>
  <c r="H212" i="60"/>
  <c r="H211" i="60"/>
  <c r="H210" i="60"/>
  <c r="H209" i="60"/>
  <c r="H208" i="60"/>
  <c r="H207" i="60"/>
  <c r="H206" i="60"/>
  <c r="H204" i="60"/>
  <c r="H203" i="60"/>
  <c r="H202" i="60"/>
  <c r="H201" i="60"/>
  <c r="H200" i="60"/>
  <c r="H199" i="60"/>
  <c r="H198" i="60"/>
  <c r="H197" i="60"/>
  <c r="H196" i="60"/>
  <c r="H195" i="60"/>
  <c r="H194" i="60"/>
  <c r="H193" i="60"/>
  <c r="H192" i="60"/>
  <c r="H191" i="60"/>
  <c r="H190" i="60"/>
  <c r="H189" i="60"/>
  <c r="H188" i="60"/>
  <c r="H187" i="60"/>
  <c r="H186" i="60"/>
  <c r="H185" i="60"/>
  <c r="H184" i="60"/>
  <c r="H183" i="60"/>
  <c r="H182" i="60"/>
  <c r="H181" i="60"/>
  <c r="H180" i="60"/>
  <c r="H179" i="60"/>
  <c r="H178" i="60"/>
  <c r="H177" i="60"/>
  <c r="H176" i="60"/>
  <c r="H175" i="60"/>
  <c r="H174" i="60"/>
  <c r="H173" i="60"/>
  <c r="H172" i="60"/>
  <c r="H171" i="60"/>
  <c r="H170" i="60"/>
  <c r="H169" i="60"/>
  <c r="H168" i="60"/>
  <c r="H167" i="60"/>
  <c r="H166" i="60"/>
  <c r="H165" i="60"/>
  <c r="H164" i="60"/>
  <c r="H163" i="60"/>
  <c r="H162" i="60"/>
  <c r="H161" i="60"/>
  <c r="H160" i="60"/>
  <c r="H159" i="60"/>
  <c r="H158" i="60"/>
  <c r="H157" i="60"/>
  <c r="H156" i="60"/>
  <c r="H155" i="60"/>
  <c r="H154" i="60"/>
  <c r="H153" i="60"/>
  <c r="H152" i="60"/>
  <c r="H151" i="60"/>
  <c r="H150" i="60"/>
  <c r="H149" i="60"/>
  <c r="H148" i="60"/>
  <c r="H147" i="60"/>
  <c r="H146" i="60"/>
  <c r="H145" i="60"/>
  <c r="H144" i="60"/>
  <c r="H143" i="60"/>
  <c r="H142" i="60"/>
  <c r="H141" i="60"/>
  <c r="H140" i="60"/>
  <c r="H139" i="60"/>
  <c r="H138" i="60"/>
  <c r="H137" i="60"/>
  <c r="H136" i="60"/>
  <c r="H135" i="60"/>
  <c r="H134" i="60"/>
  <c r="H133" i="60"/>
  <c r="H132" i="60"/>
  <c r="H131" i="60"/>
  <c r="H130" i="60"/>
  <c r="H129" i="60"/>
  <c r="H128" i="60"/>
  <c r="H127" i="60"/>
  <c r="H126" i="60"/>
  <c r="H125" i="60"/>
  <c r="H124" i="60"/>
  <c r="H123" i="60"/>
  <c r="H122" i="60"/>
  <c r="H121" i="60"/>
  <c r="H120" i="60"/>
  <c r="H119" i="60"/>
  <c r="H118" i="60"/>
  <c r="H117" i="60"/>
  <c r="H116" i="60"/>
  <c r="H115" i="60"/>
  <c r="H114" i="60"/>
  <c r="H113" i="60"/>
  <c r="H112" i="60"/>
  <c r="H111" i="60"/>
  <c r="H110" i="60"/>
  <c r="H109" i="60"/>
  <c r="H108" i="60"/>
  <c r="H107" i="60"/>
  <c r="H106" i="60"/>
  <c r="H105" i="60"/>
  <c r="H104" i="60"/>
  <c r="H103" i="60"/>
  <c r="H102" i="60"/>
  <c r="H101" i="60"/>
  <c r="H100" i="60"/>
  <c r="H99" i="60"/>
  <c r="H98" i="60"/>
  <c r="H97" i="60"/>
  <c r="H96" i="60"/>
  <c r="H95" i="60"/>
  <c r="H94" i="60"/>
  <c r="H93" i="60"/>
  <c r="H92" i="60"/>
  <c r="H91" i="60"/>
  <c r="H90" i="60"/>
  <c r="H89" i="60"/>
  <c r="H88" i="60"/>
  <c r="H87" i="60"/>
  <c r="H86" i="60"/>
  <c r="H85" i="60"/>
  <c r="H84" i="60"/>
  <c r="H83" i="60"/>
  <c r="H82" i="60"/>
  <c r="H81" i="60"/>
  <c r="H80" i="60"/>
  <c r="H79" i="60"/>
  <c r="H78" i="60"/>
  <c r="H77" i="60"/>
  <c r="H76" i="60"/>
  <c r="H75" i="60"/>
  <c r="H74" i="60"/>
  <c r="H73" i="60"/>
  <c r="H72" i="60"/>
  <c r="H71" i="60"/>
  <c r="H70" i="60"/>
  <c r="H69" i="60"/>
  <c r="H68" i="60"/>
  <c r="H67" i="60"/>
  <c r="H66" i="60"/>
  <c r="H65" i="60"/>
  <c r="H64" i="60"/>
  <c r="H63" i="60"/>
  <c r="H62" i="60"/>
  <c r="H61" i="60"/>
  <c r="H60" i="60"/>
  <c r="H59" i="60"/>
  <c r="H58" i="60"/>
  <c r="H57" i="60"/>
  <c r="H56" i="60"/>
  <c r="H55" i="60"/>
  <c r="H54" i="60"/>
  <c r="H53" i="60"/>
  <c r="H52" i="60"/>
  <c r="H51" i="60"/>
  <c r="H50" i="60"/>
  <c r="H49" i="60"/>
  <c r="H48" i="60"/>
  <c r="H47" i="60"/>
  <c r="H46" i="60"/>
  <c r="H45" i="60"/>
  <c r="H44" i="60"/>
  <c r="H43" i="60"/>
  <c r="H42" i="60"/>
  <c r="H41" i="60"/>
  <c r="H40" i="60"/>
  <c r="H39" i="60"/>
  <c r="H38" i="60"/>
  <c r="H37" i="60"/>
  <c r="H36" i="60"/>
  <c r="H35" i="60"/>
  <c r="H34" i="60"/>
  <c r="H33" i="60"/>
  <c r="H32" i="60"/>
  <c r="H31" i="60"/>
  <c r="H30" i="60"/>
  <c r="H29" i="60"/>
  <c r="H28" i="60"/>
  <c r="H27" i="60"/>
  <c r="H26" i="60"/>
  <c r="H25" i="60"/>
  <c r="H24" i="60"/>
  <c r="H23" i="60"/>
  <c r="H22" i="60"/>
  <c r="H21" i="60"/>
  <c r="H20" i="60"/>
  <c r="H19" i="60"/>
  <c r="H18" i="60"/>
  <c r="H17" i="60"/>
  <c r="H16" i="60"/>
  <c r="H15" i="60"/>
  <c r="H14" i="60"/>
  <c r="H13" i="60"/>
  <c r="H12" i="60"/>
  <c r="H11" i="60"/>
  <c r="H10" i="60"/>
  <c r="H9" i="60"/>
  <c r="H8" i="60"/>
  <c r="H7" i="60"/>
  <c r="H6" i="60"/>
  <c r="H5" i="60"/>
  <c r="H4" i="60"/>
  <c r="H3" i="60"/>
  <c r="N3" i="44"/>
  <c r="N4" i="44"/>
  <c r="N5" i="44"/>
  <c r="N6" i="44"/>
  <c r="N7" i="44"/>
  <c r="N8" i="44"/>
  <c r="N9" i="44"/>
  <c r="N10" i="44"/>
  <c r="N11" i="44"/>
  <c r="N12" i="44"/>
  <c r="N13" i="44"/>
  <c r="N14" i="44"/>
  <c r="N15" i="44"/>
  <c r="N16" i="44"/>
  <c r="N17" i="44"/>
  <c r="N18" i="44"/>
  <c r="N19" i="44"/>
  <c r="N20" i="44"/>
  <c r="N21" i="44"/>
  <c r="N22" i="44"/>
  <c r="N23" i="44"/>
  <c r="N24" i="44"/>
  <c r="N25" i="44"/>
  <c r="N26" i="44"/>
  <c r="N27" i="44"/>
  <c r="N28" i="44"/>
  <c r="N29" i="44"/>
  <c r="N30" i="44"/>
  <c r="N31" i="44"/>
  <c r="N32" i="44"/>
  <c r="N33" i="44"/>
  <c r="N34" i="44"/>
  <c r="N35" i="44"/>
  <c r="N36" i="44"/>
  <c r="N37" i="44"/>
  <c r="N38" i="44"/>
  <c r="N39" i="44"/>
  <c r="N40" i="44"/>
  <c r="N41" i="44"/>
  <c r="N42" i="44"/>
  <c r="N43" i="44"/>
  <c r="N44" i="44"/>
  <c r="N45" i="44"/>
  <c r="N46" i="44"/>
  <c r="N47" i="44"/>
  <c r="N48" i="44"/>
  <c r="N49" i="44"/>
  <c r="N50" i="44"/>
  <c r="N51" i="44"/>
  <c r="N52" i="44"/>
  <c r="N53" i="44"/>
  <c r="N54" i="44"/>
  <c r="N55" i="44"/>
  <c r="N56" i="44"/>
  <c r="N57" i="44"/>
  <c r="N58" i="44"/>
  <c r="N59" i="44"/>
  <c r="N60" i="44"/>
  <c r="N61" i="44"/>
  <c r="N62" i="44"/>
  <c r="N63" i="44"/>
  <c r="N64" i="44"/>
  <c r="N65" i="44"/>
  <c r="N66" i="44"/>
  <c r="N67" i="44"/>
  <c r="N68" i="44"/>
  <c r="N69" i="44"/>
  <c r="N70" i="44"/>
  <c r="N71" i="44"/>
  <c r="N72" i="44"/>
  <c r="N73" i="44"/>
  <c r="N74" i="44"/>
  <c r="N75" i="44"/>
  <c r="N76" i="44"/>
  <c r="N77" i="44"/>
  <c r="N78" i="44"/>
  <c r="N79" i="44"/>
  <c r="N80" i="44"/>
  <c r="N81" i="44"/>
  <c r="N82" i="44"/>
  <c r="N83" i="44"/>
  <c r="N84" i="44"/>
  <c r="N85" i="44"/>
  <c r="N86" i="44"/>
  <c r="N87" i="44"/>
  <c r="N88" i="44"/>
  <c r="N89" i="44"/>
  <c r="N90" i="44"/>
  <c r="N91" i="44"/>
  <c r="N92" i="44"/>
  <c r="N93" i="44"/>
  <c r="N94" i="44"/>
  <c r="N95" i="44"/>
  <c r="N96" i="44"/>
  <c r="N97" i="44"/>
  <c r="N98" i="44"/>
  <c r="N99" i="44"/>
  <c r="N100" i="44"/>
  <c r="N101" i="44"/>
  <c r="N102" i="44"/>
  <c r="N103" i="44"/>
  <c r="N104" i="44"/>
  <c r="N105" i="44"/>
  <c r="N106" i="44"/>
  <c r="N107" i="44"/>
  <c r="N108" i="44"/>
  <c r="N109" i="44"/>
  <c r="N110" i="44"/>
  <c r="N111" i="44"/>
  <c r="N112" i="44"/>
  <c r="N113" i="44"/>
  <c r="N114" i="44"/>
  <c r="N115" i="44"/>
  <c r="N116" i="44"/>
  <c r="N117" i="44"/>
  <c r="N118" i="44"/>
  <c r="N119" i="44"/>
  <c r="N120" i="44"/>
  <c r="N121" i="44"/>
  <c r="N122" i="44"/>
  <c r="N123" i="44"/>
  <c r="N124" i="44"/>
  <c r="N125" i="44"/>
  <c r="N126" i="44"/>
  <c r="N127" i="44"/>
  <c r="N128" i="44"/>
  <c r="N129" i="44"/>
  <c r="N130" i="44"/>
  <c r="N131" i="44"/>
  <c r="N132" i="44"/>
  <c r="N133" i="44"/>
  <c r="N134" i="44"/>
  <c r="N135" i="44"/>
  <c r="N136" i="44"/>
  <c r="N137" i="44"/>
  <c r="N138" i="44"/>
  <c r="N139" i="44"/>
  <c r="N140" i="44"/>
  <c r="N141" i="44"/>
  <c r="N142" i="44"/>
  <c r="N143" i="44"/>
  <c r="N144" i="44"/>
  <c r="N145" i="44"/>
  <c r="N146" i="44"/>
  <c r="N147" i="44"/>
  <c r="N148" i="44"/>
  <c r="N149" i="44"/>
  <c r="N150" i="44"/>
  <c r="N151" i="44"/>
  <c r="N152" i="44"/>
  <c r="N153" i="44"/>
  <c r="N154" i="44"/>
  <c r="N155" i="44"/>
  <c r="N156" i="44"/>
  <c r="N157" i="44"/>
  <c r="N158" i="44"/>
  <c r="N159" i="44"/>
  <c r="N160" i="44"/>
  <c r="N161" i="44"/>
  <c r="N162" i="44"/>
  <c r="N163" i="44"/>
  <c r="N164" i="44"/>
  <c r="N165" i="44"/>
  <c r="N166" i="44"/>
  <c r="N167" i="44"/>
  <c r="N168" i="44"/>
  <c r="N169" i="44"/>
  <c r="N170" i="44"/>
  <c r="N171" i="44"/>
  <c r="N172" i="44"/>
  <c r="N173" i="44"/>
  <c r="N174" i="44"/>
  <c r="N175" i="44"/>
  <c r="N176" i="44"/>
  <c r="N177" i="44"/>
  <c r="N178" i="44"/>
  <c r="N179" i="44"/>
  <c r="N180" i="44"/>
  <c r="N181" i="44"/>
  <c r="N182" i="44"/>
  <c r="N183" i="44"/>
  <c r="N184" i="44"/>
  <c r="N185" i="44"/>
  <c r="N186" i="44"/>
  <c r="N187" i="44"/>
  <c r="N188" i="44"/>
  <c r="N189" i="44"/>
  <c r="N190" i="44"/>
  <c r="N191" i="44"/>
  <c r="N192" i="44"/>
  <c r="N193" i="44"/>
  <c r="N194" i="44"/>
  <c r="N195" i="44"/>
  <c r="N196" i="44"/>
  <c r="N197" i="44"/>
  <c r="N198" i="44"/>
  <c r="N199" i="44"/>
  <c r="N200" i="44"/>
  <c r="N201" i="44"/>
  <c r="N202" i="44"/>
  <c r="N203" i="44"/>
  <c r="N204" i="44"/>
  <c r="N205" i="44"/>
  <c r="N206" i="44"/>
  <c r="N207" i="44"/>
  <c r="N208" i="44"/>
  <c r="N209" i="44"/>
  <c r="N210" i="44"/>
  <c r="N211" i="44"/>
  <c r="N212" i="44"/>
  <c r="N213" i="44"/>
  <c r="N214" i="44"/>
  <c r="N215" i="44"/>
  <c r="N216" i="44"/>
  <c r="N217" i="44"/>
  <c r="N218" i="44"/>
  <c r="N219" i="44"/>
  <c r="N220" i="44"/>
  <c r="N221" i="44"/>
  <c r="N222" i="44"/>
  <c r="N223" i="44"/>
  <c r="N224" i="44"/>
  <c r="N225" i="44"/>
  <c r="N226" i="44"/>
  <c r="N227" i="44"/>
  <c r="N228" i="44"/>
  <c r="N229" i="44"/>
  <c r="N230" i="44"/>
  <c r="N231" i="44"/>
  <c r="N232" i="44"/>
  <c r="N233" i="44"/>
  <c r="N234" i="44"/>
  <c r="N235" i="44"/>
  <c r="N236" i="44"/>
  <c r="N237" i="44"/>
  <c r="N238" i="44"/>
  <c r="N239" i="44"/>
  <c r="N240" i="44"/>
  <c r="N241" i="44"/>
  <c r="N242" i="44"/>
  <c r="N243" i="44"/>
  <c r="N244" i="44"/>
  <c r="N245" i="44"/>
  <c r="N246" i="44"/>
  <c r="N247" i="44"/>
  <c r="N248" i="44"/>
  <c r="N249" i="44"/>
  <c r="N250" i="44"/>
  <c r="N251" i="44"/>
  <c r="N252" i="44"/>
  <c r="N253" i="44"/>
  <c r="N254" i="44"/>
  <c r="N255" i="44"/>
  <c r="N256" i="44"/>
  <c r="N257" i="44"/>
  <c r="N258" i="44"/>
  <c r="N259" i="44"/>
  <c r="N260" i="44"/>
  <c r="N261" i="44"/>
  <c r="N262" i="44"/>
  <c r="N263" i="44"/>
  <c r="N264" i="44"/>
  <c r="N265" i="44"/>
  <c r="N266" i="44"/>
  <c r="N267" i="44"/>
  <c r="N268" i="44"/>
  <c r="N269" i="44"/>
  <c r="N270" i="44"/>
  <c r="N271" i="44"/>
  <c r="N272" i="44"/>
  <c r="N273" i="44"/>
  <c r="N274" i="44"/>
  <c r="N275" i="44"/>
  <c r="N276" i="44"/>
  <c r="N277" i="44"/>
  <c r="N278" i="44"/>
  <c r="N279" i="44"/>
  <c r="N280" i="44"/>
  <c r="N281" i="44"/>
  <c r="N282" i="44"/>
  <c r="N283" i="44"/>
  <c r="N284" i="44"/>
  <c r="N285" i="44"/>
  <c r="N286" i="44"/>
  <c r="N287" i="44"/>
  <c r="N288" i="44"/>
  <c r="N289" i="44"/>
  <c r="N290" i="44"/>
  <c r="N291" i="44"/>
  <c r="N292" i="44"/>
  <c r="N293" i="44"/>
  <c r="N294" i="44"/>
  <c r="N295" i="44"/>
  <c r="N296" i="44"/>
  <c r="N297" i="44"/>
  <c r="N298" i="44"/>
  <c r="N299" i="44"/>
  <c r="N300" i="44"/>
  <c r="N301" i="44"/>
  <c r="N302" i="44"/>
  <c r="N303" i="44"/>
  <c r="N304" i="44"/>
  <c r="N305" i="44"/>
  <c r="N306" i="44"/>
  <c r="N307" i="44"/>
  <c r="N308" i="44"/>
  <c r="N309" i="44"/>
  <c r="N310" i="44"/>
  <c r="N311" i="44"/>
  <c r="N312" i="44"/>
  <c r="N313" i="44"/>
  <c r="N314" i="44"/>
  <c r="N315" i="44"/>
  <c r="N316" i="44"/>
  <c r="N317" i="44"/>
  <c r="N318" i="44"/>
  <c r="N319" i="44"/>
  <c r="N320" i="44"/>
  <c r="N321" i="44"/>
  <c r="N322" i="44"/>
  <c r="N323" i="44"/>
  <c r="N324" i="44"/>
  <c r="N325" i="44"/>
  <c r="N326" i="44"/>
  <c r="N327" i="44"/>
  <c r="N328" i="44"/>
  <c r="N329" i="44"/>
  <c r="N330" i="44"/>
  <c r="N331" i="44"/>
  <c r="N332" i="44"/>
  <c r="N333" i="44"/>
  <c r="N334" i="44"/>
  <c r="N335" i="44"/>
  <c r="N336" i="44"/>
  <c r="N337" i="44"/>
  <c r="N338" i="44"/>
  <c r="N339" i="44"/>
  <c r="N340" i="44"/>
  <c r="N341" i="44"/>
  <c r="N342" i="44"/>
  <c r="N343" i="44"/>
  <c r="N344" i="44"/>
  <c r="N345" i="44"/>
  <c r="N346" i="44"/>
  <c r="N347" i="44"/>
  <c r="N348" i="44"/>
  <c r="N349" i="44"/>
  <c r="N350" i="44"/>
  <c r="N351" i="44"/>
  <c r="N352" i="44"/>
  <c r="N353" i="44"/>
  <c r="N354" i="44"/>
  <c r="N355" i="44"/>
  <c r="N356" i="44"/>
  <c r="N357" i="44"/>
  <c r="N358" i="44"/>
  <c r="N359" i="44"/>
  <c r="N360" i="44"/>
  <c r="N361" i="44"/>
  <c r="N362" i="44"/>
  <c r="N363" i="44"/>
  <c r="N364" i="44"/>
  <c r="N365" i="44"/>
  <c r="N366" i="44"/>
  <c r="N367" i="44"/>
  <c r="N368" i="44"/>
  <c r="N369" i="44"/>
  <c r="N370" i="44"/>
  <c r="N371" i="44"/>
  <c r="N372" i="44"/>
  <c r="N373" i="44"/>
  <c r="N374" i="44"/>
  <c r="N375" i="44"/>
  <c r="N376" i="44"/>
  <c r="N377" i="44"/>
  <c r="N378" i="44"/>
  <c r="N379" i="44"/>
  <c r="N380" i="44"/>
  <c r="N381" i="44"/>
  <c r="N382" i="44"/>
  <c r="N383" i="44"/>
  <c r="N384" i="44"/>
  <c r="N385" i="44"/>
  <c r="N386" i="44"/>
  <c r="N387" i="44"/>
  <c r="N388" i="44"/>
  <c r="N389" i="44"/>
  <c r="N390" i="44"/>
  <c r="N391" i="44"/>
  <c r="N392" i="44"/>
  <c r="N393" i="44"/>
  <c r="N394" i="44"/>
  <c r="N395" i="44"/>
  <c r="N396" i="44"/>
  <c r="N397" i="44"/>
  <c r="N398" i="44"/>
  <c r="N399" i="44"/>
  <c r="N400" i="44"/>
  <c r="N401" i="44"/>
  <c r="N402" i="44"/>
  <c r="N403" i="44"/>
  <c r="N404" i="44"/>
  <c r="N405" i="44"/>
  <c r="N406" i="44"/>
  <c r="N407" i="44"/>
  <c r="N408" i="44"/>
  <c r="N409" i="44"/>
  <c r="N410" i="44"/>
  <c r="N411" i="44"/>
  <c r="N412" i="44"/>
  <c r="N413" i="44"/>
  <c r="N414" i="44"/>
  <c r="N415" i="44"/>
  <c r="N416" i="44"/>
  <c r="N417" i="44"/>
  <c r="N418" i="44"/>
  <c r="N419" i="44"/>
  <c r="N420" i="44"/>
  <c r="N421" i="44"/>
  <c r="N422" i="44"/>
  <c r="N423" i="44"/>
  <c r="N424" i="44"/>
  <c r="N425" i="44"/>
  <c r="N426" i="44"/>
  <c r="N427" i="44"/>
  <c r="N428" i="44"/>
  <c r="N429" i="44"/>
  <c r="N430" i="44"/>
  <c r="N431" i="44"/>
  <c r="N432" i="44"/>
  <c r="N433" i="44"/>
  <c r="N434" i="44"/>
  <c r="N435" i="44"/>
  <c r="N436" i="44"/>
  <c r="N437" i="44"/>
  <c r="N438" i="44"/>
  <c r="N439" i="44"/>
  <c r="N440" i="44"/>
  <c r="N441" i="44"/>
  <c r="N442" i="44"/>
  <c r="N443" i="44"/>
  <c r="N444" i="44"/>
  <c r="N445" i="44"/>
  <c r="N446" i="44"/>
  <c r="N447" i="44"/>
  <c r="N448" i="44"/>
  <c r="N449" i="44"/>
  <c r="N450" i="44"/>
  <c r="N451" i="44"/>
  <c r="N452" i="44"/>
  <c r="N453" i="44"/>
  <c r="N454" i="44"/>
  <c r="N455" i="44"/>
  <c r="N456" i="44"/>
  <c r="N457" i="44"/>
  <c r="N458" i="44"/>
  <c r="N459" i="44"/>
  <c r="N460" i="44"/>
  <c r="N461" i="44"/>
  <c r="N462" i="44"/>
  <c r="N463" i="44"/>
  <c r="N464" i="44"/>
  <c r="N465" i="44"/>
  <c r="N466" i="44"/>
  <c r="N467" i="44"/>
  <c r="N468" i="44"/>
  <c r="N469" i="44"/>
  <c r="N470" i="44"/>
  <c r="N471" i="44"/>
  <c r="N472" i="44"/>
  <c r="N473" i="44"/>
  <c r="N474" i="44"/>
  <c r="N475" i="44"/>
  <c r="N476" i="44"/>
  <c r="N477" i="44"/>
  <c r="N478" i="44"/>
  <c r="N479" i="44"/>
  <c r="N480" i="44"/>
  <c r="N481" i="44"/>
  <c r="N482" i="44"/>
  <c r="N483" i="44"/>
  <c r="N484" i="44"/>
  <c r="N485" i="44"/>
  <c r="N486" i="44"/>
  <c r="N487" i="44"/>
  <c r="N488" i="44"/>
  <c r="N489" i="44"/>
  <c r="N490" i="44"/>
  <c r="N491" i="44"/>
  <c r="N492" i="44"/>
  <c r="N493" i="44"/>
  <c r="N494" i="44"/>
  <c r="N495" i="44"/>
  <c r="N496" i="44"/>
  <c r="N497" i="44"/>
  <c r="N498" i="44"/>
  <c r="N499" i="44"/>
  <c r="N500" i="44"/>
  <c r="N501" i="44"/>
  <c r="N502" i="44"/>
  <c r="N503" i="44"/>
  <c r="N504" i="44"/>
  <c r="N505" i="44"/>
  <c r="N506" i="44"/>
  <c r="N507" i="44"/>
  <c r="N508" i="44"/>
  <c r="N509" i="44"/>
  <c r="N510" i="44"/>
  <c r="N511" i="44"/>
  <c r="N512" i="44"/>
  <c r="N513" i="44"/>
  <c r="N514" i="44"/>
  <c r="N515" i="44"/>
  <c r="N516" i="44"/>
  <c r="N517" i="44"/>
  <c r="N518" i="44"/>
  <c r="N519" i="44"/>
  <c r="N520" i="44"/>
  <c r="N521" i="44"/>
  <c r="N522" i="44"/>
  <c r="N523" i="44"/>
  <c r="N524" i="44"/>
  <c r="N525" i="44"/>
  <c r="N526" i="44"/>
  <c r="N527" i="44"/>
  <c r="N528" i="44"/>
  <c r="N529" i="44"/>
  <c r="N530" i="44"/>
  <c r="N531" i="44"/>
  <c r="N532" i="44"/>
  <c r="N533" i="44"/>
  <c r="N534" i="44"/>
  <c r="N535" i="44"/>
  <c r="N536" i="44"/>
  <c r="N537" i="44"/>
  <c r="N538" i="44"/>
  <c r="N539" i="44"/>
  <c r="N540" i="44"/>
  <c r="N541" i="44"/>
  <c r="N542" i="44"/>
  <c r="N543" i="44"/>
  <c r="N544" i="44"/>
  <c r="N545" i="44"/>
  <c r="N546" i="44"/>
  <c r="N547" i="44"/>
  <c r="N548" i="44"/>
  <c r="N549" i="44"/>
  <c r="N550" i="44"/>
  <c r="N551" i="44"/>
  <c r="N552" i="44"/>
  <c r="N553" i="44"/>
  <c r="N554" i="44"/>
  <c r="N555" i="44"/>
  <c r="N556" i="44"/>
  <c r="N557" i="44"/>
  <c r="N558" i="44"/>
  <c r="N559" i="44"/>
  <c r="N560" i="44"/>
  <c r="N561" i="44"/>
  <c r="N562" i="44"/>
  <c r="N563" i="44"/>
  <c r="N564" i="44"/>
  <c r="N565" i="44"/>
  <c r="N566" i="44"/>
  <c r="N567" i="44"/>
  <c r="N568" i="44"/>
  <c r="N569" i="44"/>
  <c r="N570" i="44"/>
  <c r="N571" i="44"/>
  <c r="N572" i="44"/>
  <c r="N573" i="44"/>
  <c r="N574" i="44"/>
  <c r="N575" i="44"/>
  <c r="N576" i="44"/>
  <c r="N577" i="44"/>
  <c r="N578" i="44"/>
  <c r="N579" i="44"/>
  <c r="N580" i="44"/>
  <c r="N581" i="44"/>
  <c r="N582" i="44"/>
  <c r="N583" i="44"/>
  <c r="N584" i="44"/>
  <c r="N585" i="44"/>
  <c r="N586" i="44"/>
  <c r="N587" i="44"/>
  <c r="N588" i="44"/>
  <c r="N589" i="44"/>
  <c r="N590" i="44"/>
  <c r="N591" i="44"/>
  <c r="N592" i="44"/>
  <c r="N593" i="44"/>
  <c r="N594" i="44"/>
  <c r="N595" i="44"/>
  <c r="N596" i="44"/>
  <c r="N597" i="44"/>
  <c r="N598" i="44"/>
  <c r="N599" i="44"/>
  <c r="N600" i="44"/>
  <c r="N601" i="44"/>
  <c r="N602" i="44"/>
  <c r="N603" i="44"/>
  <c r="N604" i="44"/>
  <c r="N605" i="44"/>
  <c r="N606" i="44"/>
  <c r="N607" i="44"/>
  <c r="N608" i="44"/>
  <c r="N609" i="44"/>
  <c r="N610" i="44"/>
  <c r="N611" i="44"/>
  <c r="N612" i="44"/>
  <c r="N613" i="44"/>
  <c r="N614" i="44"/>
  <c r="N615" i="44"/>
  <c r="N616" i="44"/>
  <c r="N617" i="44"/>
  <c r="N618" i="44"/>
  <c r="N619" i="44"/>
  <c r="N620" i="44"/>
  <c r="N621" i="44"/>
  <c r="N622" i="44"/>
  <c r="N623" i="44"/>
  <c r="N624" i="44"/>
  <c r="N625" i="44"/>
  <c r="N626" i="44"/>
  <c r="N627" i="44"/>
  <c r="N628" i="44"/>
  <c r="N629" i="44"/>
  <c r="N630" i="44"/>
  <c r="N631" i="44"/>
  <c r="N632" i="44"/>
  <c r="N633" i="44"/>
  <c r="N634" i="44"/>
  <c r="N635" i="44"/>
  <c r="N636" i="44"/>
  <c r="N637" i="44"/>
  <c r="N638" i="44"/>
  <c r="N639" i="44"/>
  <c r="N640" i="44"/>
  <c r="N641" i="44"/>
  <c r="N642" i="44"/>
  <c r="N643" i="44"/>
  <c r="N644" i="44"/>
  <c r="N645" i="44"/>
  <c r="N646" i="44"/>
  <c r="N647" i="44"/>
  <c r="N648" i="44"/>
  <c r="N649" i="44"/>
  <c r="N650" i="44"/>
  <c r="N651" i="44"/>
  <c r="N652" i="44"/>
  <c r="N653" i="44"/>
  <c r="N654" i="44"/>
  <c r="N655" i="44"/>
  <c r="N656" i="44"/>
  <c r="N657" i="44"/>
  <c r="N658" i="44"/>
  <c r="N659" i="44"/>
  <c r="N660" i="44"/>
  <c r="N661" i="44"/>
  <c r="N662" i="44"/>
  <c r="N663" i="44"/>
  <c r="N664" i="44"/>
  <c r="N665" i="44"/>
  <c r="N666" i="44"/>
  <c r="N667" i="44"/>
  <c r="N668" i="44"/>
  <c r="N669" i="44"/>
  <c r="N670" i="44"/>
  <c r="N671" i="44"/>
  <c r="N672" i="44"/>
  <c r="N673" i="44"/>
  <c r="N674" i="44"/>
  <c r="N675" i="44"/>
  <c r="N676" i="44"/>
  <c r="N677" i="44"/>
  <c r="N678" i="44"/>
  <c r="N679" i="44"/>
  <c r="N680" i="44"/>
  <c r="N681" i="44"/>
  <c r="N682" i="44"/>
  <c r="N683" i="44"/>
  <c r="N684" i="44"/>
  <c r="N685" i="44"/>
  <c r="N686" i="44"/>
  <c r="N687" i="44"/>
  <c r="N688" i="44"/>
  <c r="N689" i="44"/>
  <c r="N690" i="44"/>
  <c r="N691" i="44"/>
  <c r="N692" i="44"/>
  <c r="N693" i="44"/>
  <c r="N694" i="44"/>
  <c r="N695" i="44"/>
  <c r="N696" i="44"/>
  <c r="N697" i="44"/>
  <c r="N698" i="44"/>
  <c r="N699" i="44"/>
  <c r="N700" i="44"/>
  <c r="N701" i="44"/>
  <c r="N702" i="44"/>
  <c r="N703" i="44"/>
  <c r="N704" i="44"/>
  <c r="N705" i="44"/>
  <c r="N706" i="44"/>
  <c r="N707" i="44"/>
  <c r="N708" i="44"/>
  <c r="N709" i="44"/>
  <c r="N710" i="44"/>
  <c r="N711" i="44"/>
  <c r="N712" i="44"/>
  <c r="N713" i="44"/>
  <c r="N714" i="44"/>
  <c r="N715" i="44"/>
  <c r="N716" i="44"/>
  <c r="N717" i="44"/>
  <c r="N718" i="44"/>
  <c r="N719" i="44"/>
  <c r="N720" i="44"/>
  <c r="N721" i="44"/>
  <c r="N722" i="44"/>
  <c r="N723" i="44"/>
  <c r="N724" i="44"/>
  <c r="N725" i="44"/>
  <c r="N726" i="44"/>
  <c r="N727" i="44"/>
  <c r="N728" i="44"/>
  <c r="N729" i="44"/>
  <c r="N730" i="44"/>
  <c r="N731" i="44"/>
  <c r="N732" i="44"/>
  <c r="N733" i="44"/>
  <c r="N734" i="44"/>
  <c r="N735" i="44"/>
  <c r="N736" i="44"/>
  <c r="N737" i="44"/>
  <c r="N738" i="44"/>
  <c r="N739" i="44"/>
  <c r="N740" i="44"/>
  <c r="N741" i="44"/>
  <c r="N742" i="44"/>
  <c r="N743" i="44"/>
  <c r="N744" i="44"/>
  <c r="N745" i="44"/>
  <c r="N746" i="44"/>
  <c r="N747" i="44"/>
  <c r="N748" i="44"/>
  <c r="N749" i="44"/>
  <c r="N750" i="44"/>
  <c r="N751" i="44"/>
  <c r="N752" i="44"/>
  <c r="N753" i="44"/>
  <c r="N754" i="44"/>
  <c r="N755" i="44"/>
  <c r="N756" i="44"/>
  <c r="N757" i="44"/>
  <c r="N758" i="44"/>
  <c r="N759" i="44"/>
  <c r="N760" i="44"/>
  <c r="N761" i="44"/>
  <c r="N762" i="44"/>
  <c r="N763" i="44"/>
  <c r="N764" i="44"/>
  <c r="N765" i="44"/>
  <c r="N766" i="44"/>
  <c r="N767" i="44"/>
  <c r="N768" i="44"/>
  <c r="N769" i="44"/>
  <c r="N770" i="44"/>
  <c r="N771" i="44"/>
  <c r="N772" i="44"/>
  <c r="N773" i="44"/>
  <c r="N774" i="44"/>
  <c r="N775" i="44"/>
  <c r="N776" i="44"/>
  <c r="N777" i="44"/>
  <c r="N778" i="44"/>
  <c r="N779" i="44"/>
  <c r="N780" i="44"/>
  <c r="N781" i="44"/>
  <c r="N782" i="44"/>
  <c r="N783" i="44"/>
  <c r="N784" i="44"/>
  <c r="N785" i="44"/>
  <c r="N786" i="44"/>
  <c r="N787" i="44"/>
  <c r="N788" i="44"/>
  <c r="N789" i="44"/>
  <c r="N790" i="44"/>
  <c r="N791" i="44"/>
  <c r="F617" i="44" l="1"/>
  <c r="L617" i="44"/>
  <c r="F618" i="44"/>
  <c r="L618" i="44"/>
  <c r="F619" i="44"/>
  <c r="L619" i="44"/>
  <c r="F262" i="44"/>
  <c r="F616" i="44" l="1"/>
  <c r="F773" i="44" l="1"/>
  <c r="F524" i="44"/>
  <c r="F243" i="44" l="1"/>
  <c r="F305" i="44" l="1"/>
  <c r="F629" i="44"/>
  <c r="F630" i="44"/>
  <c r="F114" i="44"/>
  <c r="F79" i="44"/>
  <c r="F496" i="44"/>
  <c r="F497" i="44"/>
  <c r="F622" i="44"/>
  <c r="F304" i="44"/>
  <c r="F614" i="44"/>
  <c r="F615" i="44"/>
  <c r="F224" i="44"/>
  <c r="F523" i="44"/>
  <c r="F522" i="44"/>
  <c r="F135" i="44"/>
  <c r="F452" i="44"/>
  <c r="F453" i="44"/>
  <c r="F454" i="44"/>
  <c r="F455" i="44"/>
  <c r="F91" i="44"/>
  <c r="F92" i="44"/>
  <c r="F576" i="44"/>
  <c r="F716" i="44"/>
  <c r="F314" i="44"/>
  <c r="F233" i="44"/>
  <c r="F607" i="44"/>
  <c r="F52" i="44" l="1"/>
  <c r="F303" i="44"/>
  <c r="F709" i="44"/>
  <c r="F708" i="44"/>
  <c r="F232" i="44"/>
  <c r="F231" i="44"/>
  <c r="F763" i="44"/>
  <c r="F738" i="44"/>
  <c r="F154" i="44"/>
  <c r="F242" i="44"/>
  <c r="F449" i="44"/>
  <c r="F780" i="44"/>
  <c r="F153" i="44"/>
  <c r="F51" i="44"/>
  <c r="F707" i="44"/>
  <c r="F49" i="44"/>
  <c r="F511" i="44"/>
  <c r="F328" i="44"/>
  <c r="F691" i="44"/>
  <c r="F495" i="44"/>
  <c r="F510" i="44" l="1"/>
  <c r="F282" i="44"/>
  <c r="F109" i="44"/>
  <c r="F50" i="44"/>
  <c r="F651" i="44"/>
  <c r="F668" i="44"/>
  <c r="F4" i="44"/>
  <c r="F140" i="44"/>
  <c r="F748" i="44"/>
  <c r="F475" i="44"/>
  <c r="F448" i="44"/>
  <c r="F547" i="44"/>
  <c r="F447" i="44"/>
  <c r="F606" i="44"/>
  <c r="F176" i="44"/>
  <c r="F605" i="44"/>
  <c r="F604" i="44"/>
  <c r="L262" i="44" l="1"/>
  <c r="L616" i="44"/>
  <c r="L773" i="44"/>
  <c r="L524" i="44"/>
  <c r="L243" i="44"/>
  <c r="L496" i="44"/>
  <c r="L522" i="44"/>
  <c r="L576" i="44"/>
  <c r="L305" i="44"/>
  <c r="L304" i="44"/>
  <c r="L453" i="44"/>
  <c r="L614" i="44"/>
  <c r="L454" i="44"/>
  <c r="L523" i="44"/>
  <c r="L622" i="44"/>
  <c r="L615" i="44"/>
  <c r="L114" i="44"/>
  <c r="L224" i="44"/>
  <c r="L91" i="44"/>
  <c r="L233" i="44"/>
  <c r="L497" i="44"/>
  <c r="L135" i="44"/>
  <c r="L716" i="44"/>
  <c r="L629" i="44"/>
  <c r="L79" i="44"/>
  <c r="L92" i="44"/>
  <c r="L452" i="44"/>
  <c r="L630" i="44"/>
  <c r="L455" i="44"/>
  <c r="L314" i="44"/>
  <c r="L607" i="44"/>
  <c r="L52" i="44"/>
  <c r="L303" i="44"/>
  <c r="L669" i="44"/>
  <c r="L708" i="44"/>
  <c r="L709" i="44"/>
  <c r="L231" i="44"/>
  <c r="L450" i="44"/>
  <c r="L451" i="44"/>
  <c r="L154" i="44"/>
  <c r="L763" i="44"/>
  <c r="L738" i="44"/>
  <c r="L782" i="44"/>
  <c r="L449" i="44"/>
  <c r="L95" i="44"/>
  <c r="L707" i="44"/>
  <c r="L153" i="44"/>
  <c r="L49" i="44"/>
  <c r="L51" i="44"/>
  <c r="L521" i="44"/>
  <c r="L742" i="44"/>
  <c r="L164" i="44"/>
  <c r="L775" i="44"/>
  <c r="L740" i="44"/>
  <c r="L701" i="44"/>
  <c r="L621" i="44"/>
  <c r="L503" i="44"/>
  <c r="L322" i="44"/>
  <c r="L141" i="44"/>
  <c r="L768" i="44"/>
  <c r="L733" i="44"/>
  <c r="L693" i="44"/>
  <c r="L597" i="44"/>
  <c r="L481" i="44"/>
  <c r="L298" i="44"/>
  <c r="L117" i="44"/>
  <c r="L766" i="44"/>
  <c r="L731" i="44"/>
  <c r="L690" i="44"/>
  <c r="L586" i="44"/>
  <c r="L458" i="44"/>
  <c r="L276" i="44"/>
  <c r="L777" i="44"/>
  <c r="L704" i="44"/>
  <c r="L634" i="44"/>
  <c r="L204" i="44"/>
  <c r="L251" i="44"/>
  <c r="L294" i="44"/>
  <c r="L386" i="44"/>
  <c r="L457" i="44"/>
  <c r="L552" i="44"/>
  <c r="L595" i="44"/>
  <c r="L643" i="44"/>
  <c r="L677" i="44"/>
  <c r="L700" i="44"/>
  <c r="L739" i="44"/>
  <c r="L765" i="44"/>
  <c r="L160" i="44"/>
  <c r="L363" i="44"/>
  <c r="L501" i="44"/>
  <c r="L574" i="44"/>
  <c r="L655" i="44"/>
  <c r="L730" i="44"/>
  <c r="L774" i="44"/>
  <c r="L225" i="44"/>
  <c r="L321" i="44"/>
  <c r="L427" i="44"/>
  <c r="L519" i="44"/>
  <c r="L562" i="44"/>
  <c r="L620" i="44"/>
  <c r="L665" i="44"/>
  <c r="L713" i="44"/>
  <c r="L755" i="44"/>
  <c r="L613" i="44"/>
  <c r="L183" i="44"/>
  <c r="L273" i="44"/>
  <c r="L343" i="44"/>
  <c r="L407" i="44"/>
  <c r="L478" i="44"/>
  <c r="L538" i="44"/>
  <c r="L585" i="44"/>
  <c r="L633" i="44"/>
  <c r="L689" i="44"/>
  <c r="L747" i="44"/>
  <c r="L137" i="44"/>
  <c r="L9" i="44"/>
  <c r="L29" i="44"/>
  <c r="L56" i="44"/>
  <c r="L77" i="44"/>
  <c r="L99" i="44"/>
  <c r="L124" i="44"/>
  <c r="L146" i="44"/>
  <c r="L168" i="44"/>
  <c r="L191" i="44"/>
  <c r="L212" i="44"/>
  <c r="L235" i="44"/>
  <c r="L259" i="44"/>
  <c r="L281" i="44"/>
  <c r="L302" i="44"/>
  <c r="L330" i="44"/>
  <c r="L351" i="44"/>
  <c r="L371" i="44"/>
  <c r="L394" i="44"/>
  <c r="L415" i="44"/>
  <c r="L435" i="44"/>
  <c r="L465" i="44"/>
  <c r="L486" i="44"/>
  <c r="L508" i="44"/>
  <c r="L529" i="44"/>
  <c r="L545" i="44"/>
  <c r="L556" i="44"/>
  <c r="L567" i="44"/>
  <c r="L578" i="44"/>
  <c r="L589" i="44"/>
  <c r="L600" i="44"/>
  <c r="L624" i="44"/>
  <c r="L637" i="44"/>
  <c r="L648" i="44"/>
  <c r="L658" i="44"/>
  <c r="L671" i="44"/>
  <c r="L682" i="44"/>
  <c r="L759" i="44"/>
  <c r="L725" i="44"/>
  <c r="L679" i="44"/>
  <c r="L575" i="44"/>
  <c r="L431" i="44"/>
  <c r="L252" i="44"/>
  <c r="L72" i="44"/>
  <c r="L346" i="44"/>
  <c r="L791" i="44"/>
  <c r="L757" i="44"/>
  <c r="L724" i="44"/>
  <c r="L666" i="44"/>
  <c r="L564" i="44"/>
  <c r="L410" i="44"/>
  <c r="L229" i="44"/>
  <c r="L45" i="44"/>
  <c r="L608" i="44"/>
  <c r="L750" i="44"/>
  <c r="L719" i="44"/>
  <c r="L656" i="44"/>
  <c r="L553" i="44"/>
  <c r="L387" i="44"/>
  <c r="L207" i="44"/>
  <c r="L25" i="44"/>
  <c r="L783" i="44"/>
  <c r="L748" i="44"/>
  <c r="L715" i="44"/>
  <c r="L645" i="44"/>
  <c r="L540" i="44"/>
  <c r="L367" i="44"/>
  <c r="L184" i="44"/>
  <c r="L3" i="44"/>
  <c r="L2" i="44"/>
  <c r="L784" i="44"/>
  <c r="L776" i="44"/>
  <c r="L767" i="44"/>
  <c r="L758" i="44"/>
  <c r="L749" i="44"/>
  <c r="L741" i="44"/>
  <c r="L732" i="44"/>
  <c r="L756" i="44"/>
  <c r="L718" i="44"/>
  <c r="L702" i="44"/>
  <c r="L692" i="44"/>
  <c r="L681" i="44"/>
  <c r="L667" i="44"/>
  <c r="L657" i="44"/>
  <c r="L647" i="44"/>
  <c r="L635" i="44"/>
  <c r="L623" i="44"/>
  <c r="L599" i="44"/>
  <c r="L587" i="44"/>
  <c r="L577" i="44"/>
  <c r="L566" i="44"/>
  <c r="L554" i="44"/>
  <c r="L542" i="44"/>
  <c r="L526" i="44"/>
  <c r="L505" i="44"/>
  <c r="L482" i="44"/>
  <c r="L462" i="44"/>
  <c r="L434" i="44"/>
  <c r="L411" i="44"/>
  <c r="L391" i="44"/>
  <c r="L370" i="44"/>
  <c r="L347" i="44"/>
  <c r="L326" i="44"/>
  <c r="L301" i="44"/>
  <c r="L277" i="44"/>
  <c r="L256" i="44"/>
  <c r="L234" i="44"/>
  <c r="L208" i="44"/>
  <c r="L188" i="44"/>
  <c r="L167" i="44"/>
  <c r="L142" i="44"/>
  <c r="L121" i="44"/>
  <c r="L98" i="44"/>
  <c r="L73" i="44"/>
  <c r="L53" i="44"/>
  <c r="L28" i="44"/>
  <c r="L5" i="44"/>
  <c r="L50" i="44"/>
  <c r="L116" i="44"/>
  <c r="L90" i="44"/>
  <c r="L69" i="44"/>
  <c r="L44" i="44"/>
  <c r="L21" i="44"/>
  <c r="L612" i="44"/>
  <c r="L781" i="44"/>
  <c r="L772" i="44"/>
  <c r="L764" i="44"/>
  <c r="L754" i="44"/>
  <c r="L746" i="44"/>
  <c r="L737" i="44"/>
  <c r="L729" i="44"/>
  <c r="L723" i="44"/>
  <c r="L712" i="44"/>
  <c r="L699" i="44"/>
  <c r="L687" i="44"/>
  <c r="L676" i="44"/>
  <c r="L664" i="44"/>
  <c r="L653" i="44"/>
  <c r="L642" i="44"/>
  <c r="L632" i="44"/>
  <c r="L605" i="44"/>
  <c r="L594" i="44"/>
  <c r="L584" i="44"/>
  <c r="L572" i="44"/>
  <c r="L561" i="44"/>
  <c r="L551" i="44"/>
  <c r="L537" i="44"/>
  <c r="L518" i="44"/>
  <c r="L500" i="44"/>
  <c r="L474" i="44"/>
  <c r="L447" i="44"/>
  <c r="L426" i="44"/>
  <c r="L403" i="44"/>
  <c r="L383" i="44"/>
  <c r="L362" i="44"/>
  <c r="L339" i="44"/>
  <c r="L318" i="44"/>
  <c r="L293" i="44"/>
  <c r="L269" i="44"/>
  <c r="L248" i="44"/>
  <c r="L223" i="44"/>
  <c r="L200" i="44"/>
  <c r="L180" i="44"/>
  <c r="L159" i="44"/>
  <c r="L133" i="44"/>
  <c r="L112" i="44"/>
  <c r="L89" i="44"/>
  <c r="L65" i="44"/>
  <c r="L41" i="44"/>
  <c r="L20" i="44"/>
  <c r="L611" i="44"/>
  <c r="L771" i="44"/>
  <c r="L762" i="44"/>
  <c r="L753" i="44"/>
  <c r="L745" i="44"/>
  <c r="L736" i="44"/>
  <c r="L728" i="44"/>
  <c r="L722" i="44"/>
  <c r="L711" i="44"/>
  <c r="L698" i="44"/>
  <c r="L685" i="44"/>
  <c r="L675" i="44"/>
  <c r="L663" i="44"/>
  <c r="L651" i="44"/>
  <c r="L641" i="44"/>
  <c r="L631" i="44"/>
  <c r="L603" i="44"/>
  <c r="L593" i="44"/>
  <c r="L583" i="44"/>
  <c r="L570" i="44"/>
  <c r="L560" i="44"/>
  <c r="L550" i="44"/>
  <c r="L534" i="44"/>
  <c r="L515" i="44"/>
  <c r="L494" i="44"/>
  <c r="L473" i="44"/>
  <c r="L443" i="44"/>
  <c r="L423" i="44"/>
  <c r="L402" i="44"/>
  <c r="L379" i="44"/>
  <c r="L359" i="44"/>
  <c r="L338" i="44"/>
  <c r="L313" i="44"/>
  <c r="L290" i="44"/>
  <c r="L268" i="44"/>
  <c r="L244" i="44"/>
  <c r="L220" i="44"/>
  <c r="L199" i="44"/>
  <c r="L176" i="44"/>
  <c r="L156" i="44"/>
  <c r="L132" i="44"/>
  <c r="L107" i="44"/>
  <c r="L86" i="44"/>
  <c r="L64" i="44"/>
  <c r="L37" i="44"/>
  <c r="L17" i="44"/>
  <c r="L610" i="44"/>
  <c r="L779" i="44"/>
  <c r="L770" i="44"/>
  <c r="L761" i="44"/>
  <c r="L752" i="44"/>
  <c r="L744" i="44"/>
  <c r="L735" i="44"/>
  <c r="L727" i="44"/>
  <c r="L721" i="44"/>
  <c r="L710" i="44"/>
  <c r="L696" i="44"/>
  <c r="L684" i="44"/>
  <c r="L674" i="44"/>
  <c r="L661" i="44"/>
  <c r="L650" i="44"/>
  <c r="L640" i="44"/>
  <c r="L627" i="44"/>
  <c r="L602" i="44"/>
  <c r="L592" i="44"/>
  <c r="L581" i="44"/>
  <c r="L569" i="44"/>
  <c r="L559" i="44"/>
  <c r="L548" i="44"/>
  <c r="L532" i="44"/>
  <c r="L513" i="44"/>
  <c r="L490" i="44"/>
  <c r="L470" i="44"/>
  <c r="L442" i="44"/>
  <c r="L419" i="44"/>
  <c r="L399" i="44"/>
  <c r="L378" i="44"/>
  <c r="L355" i="44"/>
  <c r="L335" i="44"/>
  <c r="L312" i="44"/>
  <c r="L286" i="44"/>
  <c r="L265" i="44"/>
  <c r="L242" i="44"/>
  <c r="L216" i="44"/>
  <c r="L196" i="44"/>
  <c r="L175" i="44"/>
  <c r="L150" i="44"/>
  <c r="L129" i="44"/>
  <c r="L106" i="44"/>
  <c r="L82" i="44"/>
  <c r="L61" i="44"/>
  <c r="L36" i="44"/>
  <c r="L13" i="44"/>
  <c r="L668" i="44"/>
  <c r="L495" i="44"/>
  <c r="L511" i="44"/>
  <c r="L328" i="44"/>
  <c r="L691" i="44"/>
  <c r="L109" i="44"/>
  <c r="L6" i="44"/>
  <c r="L14" i="44"/>
  <c r="L22" i="44"/>
  <c r="L30" i="44"/>
  <c r="L38" i="44"/>
  <c r="L46" i="44"/>
  <c r="L58" i="44"/>
  <c r="L66" i="44"/>
  <c r="L74" i="44"/>
  <c r="L83" i="44"/>
  <c r="L100" i="44"/>
  <c r="L108" i="44"/>
  <c r="L118" i="44"/>
  <c r="L126" i="44"/>
  <c r="L134" i="44"/>
  <c r="L143" i="44"/>
  <c r="L151" i="44"/>
  <c r="L161" i="44"/>
  <c r="L169" i="44"/>
  <c r="L177" i="44"/>
  <c r="L185" i="44"/>
  <c r="L193" i="44"/>
  <c r="L201" i="44"/>
  <c r="L209" i="44"/>
  <c r="L217" i="44"/>
  <c r="L226" i="44"/>
  <c r="L236" i="44"/>
  <c r="L245" i="44"/>
  <c r="L253" i="44"/>
  <c r="L261" i="44"/>
  <c r="L270" i="44"/>
  <c r="L278" i="44"/>
  <c r="L287" i="44"/>
  <c r="L295" i="44"/>
  <c r="L306" i="44"/>
  <c r="L315" i="44"/>
  <c r="L323" i="44"/>
  <c r="L332" i="44"/>
  <c r="L340" i="44"/>
  <c r="L348" i="44"/>
  <c r="L356" i="44"/>
  <c r="L364" i="44"/>
  <c r="L372" i="44"/>
  <c r="L380" i="44"/>
  <c r="L388" i="44"/>
  <c r="L396" i="44"/>
  <c r="L404" i="44"/>
  <c r="L412" i="44"/>
  <c r="L420" i="44"/>
  <c r="L428" i="44"/>
  <c r="L436" i="44"/>
  <c r="L444" i="44"/>
  <c r="L459" i="44"/>
  <c r="L467" i="44"/>
  <c r="L475" i="44"/>
  <c r="L483" i="44"/>
  <c r="L491" i="44"/>
  <c r="L502" i="44"/>
  <c r="L512" i="44"/>
  <c r="L520" i="44"/>
  <c r="L531" i="44"/>
  <c r="L539" i="44"/>
  <c r="L547" i="44"/>
  <c r="L555" i="44"/>
  <c r="L563" i="44"/>
  <c r="L571" i="44"/>
  <c r="L580" i="44"/>
  <c r="L588" i="44"/>
  <c r="L596" i="44"/>
  <c r="L604" i="44"/>
  <c r="L626" i="44"/>
  <c r="L636" i="44"/>
  <c r="L644" i="44"/>
  <c r="L652" i="44"/>
  <c r="L660" i="44"/>
  <c r="L670" i="44"/>
  <c r="L678" i="44"/>
  <c r="L686" i="44"/>
  <c r="L695" i="44"/>
  <c r="L703" i="44"/>
  <c r="L714" i="44"/>
  <c r="L7" i="44"/>
  <c r="L15" i="44"/>
  <c r="L23" i="44"/>
  <c r="L31" i="44"/>
  <c r="L39" i="44"/>
  <c r="L47" i="44"/>
  <c r="L59" i="44"/>
  <c r="L67" i="44"/>
  <c r="L75" i="44"/>
  <c r="L84" i="44"/>
  <c r="L93" i="44"/>
  <c r="L101" i="44"/>
  <c r="L110" i="44"/>
  <c r="L119" i="44"/>
  <c r="L127" i="44"/>
  <c r="L144" i="44"/>
  <c r="L152" i="44"/>
  <c r="L162" i="44"/>
  <c r="L170" i="44"/>
  <c r="L178" i="44"/>
  <c r="L186" i="44"/>
  <c r="L194" i="44"/>
  <c r="L202" i="44"/>
  <c r="L210" i="44"/>
  <c r="L218" i="44"/>
  <c r="L227" i="44"/>
  <c r="L237" i="44"/>
  <c r="L246" i="44"/>
  <c r="L254" i="44"/>
  <c r="L263" i="44"/>
  <c r="L271" i="44"/>
  <c r="L279" i="44"/>
  <c r="L288" i="44"/>
  <c r="L296" i="44"/>
  <c r="L307" i="44"/>
  <c r="L316" i="44"/>
  <c r="L324" i="44"/>
  <c r="L333" i="44"/>
  <c r="L341" i="44"/>
  <c r="L349" i="44"/>
  <c r="L357" i="44"/>
  <c r="L365" i="44"/>
  <c r="L373" i="44"/>
  <c r="L381" i="44"/>
  <c r="L389" i="44"/>
  <c r="L397" i="44"/>
  <c r="L405" i="44"/>
  <c r="L413" i="44"/>
  <c r="L421" i="44"/>
  <c r="L429" i="44"/>
  <c r="L437" i="44"/>
  <c r="L445" i="44"/>
  <c r="L460" i="44"/>
  <c r="L468" i="44"/>
  <c r="L476" i="44"/>
  <c r="L484" i="44"/>
  <c r="L492" i="44"/>
  <c r="L510" i="44"/>
  <c r="L4" i="44"/>
  <c r="L8" i="44"/>
  <c r="L16" i="44"/>
  <c r="L24" i="44"/>
  <c r="L32" i="44"/>
  <c r="L40" i="44"/>
  <c r="L48" i="44"/>
  <c r="L60" i="44"/>
  <c r="L68" i="44"/>
  <c r="L76" i="44"/>
  <c r="L85" i="44"/>
  <c r="L94" i="44"/>
  <c r="L102" i="44"/>
  <c r="L111" i="44"/>
  <c r="L120" i="44"/>
  <c r="L128" i="44"/>
  <c r="L136" i="44"/>
  <c r="L145" i="44"/>
  <c r="L155" i="44"/>
  <c r="L163" i="44"/>
  <c r="L171" i="44"/>
  <c r="L179" i="44"/>
  <c r="L187" i="44"/>
  <c r="L195" i="44"/>
  <c r="L203" i="44"/>
  <c r="L211" i="44"/>
  <c r="L219" i="44"/>
  <c r="L228" i="44"/>
  <c r="L238" i="44"/>
  <c r="L247" i="44"/>
  <c r="L255" i="44"/>
  <c r="L264" i="44"/>
  <c r="L272" i="44"/>
  <c r="L280" i="44"/>
  <c r="L289" i="44"/>
  <c r="L297" i="44"/>
  <c r="L308" i="44"/>
  <c r="L317" i="44"/>
  <c r="L325" i="44"/>
  <c r="L334" i="44"/>
  <c r="L342" i="44"/>
  <c r="L350" i="44"/>
  <c r="L358" i="44"/>
  <c r="L366" i="44"/>
  <c r="L374" i="44"/>
  <c r="L382" i="44"/>
  <c r="L390" i="44"/>
  <c r="L398" i="44"/>
  <c r="L406" i="44"/>
  <c r="L414" i="44"/>
  <c r="L422" i="44"/>
  <c r="L430" i="44"/>
  <c r="L438" i="44"/>
  <c r="L446" i="44"/>
  <c r="L461" i="44"/>
  <c r="L469" i="44"/>
  <c r="L477" i="44"/>
  <c r="L485" i="44"/>
  <c r="L493" i="44"/>
  <c r="L504" i="44"/>
  <c r="L514" i="44"/>
  <c r="L525" i="44"/>
  <c r="L533" i="44"/>
  <c r="L541" i="44"/>
  <c r="L549" i="44"/>
  <c r="L557" i="44"/>
  <c r="L565" i="44"/>
  <c r="L573" i="44"/>
  <c r="L582" i="44"/>
  <c r="L590" i="44"/>
  <c r="L598" i="44"/>
  <c r="L606" i="44"/>
  <c r="L628" i="44"/>
  <c r="L638" i="44"/>
  <c r="L646" i="44"/>
  <c r="L654" i="44"/>
  <c r="L662" i="44"/>
  <c r="L672" i="44"/>
  <c r="L680" i="44"/>
  <c r="L688" i="44"/>
  <c r="L697" i="44"/>
  <c r="L705" i="44"/>
  <c r="L717" i="44"/>
  <c r="L10" i="44"/>
  <c r="L18" i="44"/>
  <c r="L26" i="44"/>
  <c r="L34" i="44"/>
  <c r="L42" i="44"/>
  <c r="L54" i="44"/>
  <c r="L62" i="44"/>
  <c r="L70" i="44"/>
  <c r="L78" i="44"/>
  <c r="L87" i="44"/>
  <c r="L96" i="44"/>
  <c r="L104" i="44"/>
  <c r="L113" i="44"/>
  <c r="L122" i="44"/>
  <c r="L130" i="44"/>
  <c r="L138" i="44"/>
  <c r="L147" i="44"/>
  <c r="L157" i="44"/>
  <c r="L165" i="44"/>
  <c r="L173" i="44"/>
  <c r="L181" i="44"/>
  <c r="L189" i="44"/>
  <c r="L197" i="44"/>
  <c r="L205" i="44"/>
  <c r="L213" i="44"/>
  <c r="L221" i="44"/>
  <c r="L230" i="44"/>
  <c r="L240" i="44"/>
  <c r="L249" i="44"/>
  <c r="L257" i="44"/>
  <c r="L266" i="44"/>
  <c r="L274" i="44"/>
  <c r="L283" i="44"/>
  <c r="L291" i="44"/>
  <c r="L299" i="44"/>
  <c r="L310" i="44"/>
  <c r="L319" i="44"/>
  <c r="L327" i="44"/>
  <c r="L336" i="44"/>
  <c r="L344" i="44"/>
  <c r="L352" i="44"/>
  <c r="L360" i="44"/>
  <c r="L368" i="44"/>
  <c r="L376" i="44"/>
  <c r="L384" i="44"/>
  <c r="L392" i="44"/>
  <c r="L400" i="44"/>
  <c r="L408" i="44"/>
  <c r="L416" i="44"/>
  <c r="L424" i="44"/>
  <c r="L432" i="44"/>
  <c r="L440" i="44"/>
  <c r="L448" i="44"/>
  <c r="L463" i="44"/>
  <c r="L471" i="44"/>
  <c r="L479" i="44"/>
  <c r="L487" i="44"/>
  <c r="L498" i="44"/>
  <c r="L506" i="44"/>
  <c r="L516" i="44"/>
  <c r="L527" i="44"/>
  <c r="L535" i="44"/>
  <c r="L543" i="44"/>
  <c r="L282" i="44"/>
  <c r="L140" i="44"/>
  <c r="L11" i="44"/>
  <c r="L19" i="44"/>
  <c r="L27" i="44"/>
  <c r="L35" i="44"/>
  <c r="L43" i="44"/>
  <c r="L55" i="44"/>
  <c r="L63" i="44"/>
  <c r="L71" i="44"/>
  <c r="L80" i="44"/>
  <c r="L88" i="44"/>
  <c r="L97" i="44"/>
  <c r="L105" i="44"/>
  <c r="L115" i="44"/>
  <c r="L123" i="44"/>
  <c r="L131" i="44"/>
  <c r="L139" i="44"/>
  <c r="L148" i="44"/>
  <c r="L158" i="44"/>
  <c r="L166" i="44"/>
  <c r="L174" i="44"/>
  <c r="L182" i="44"/>
  <c r="L190" i="44"/>
  <c r="L198" i="44"/>
  <c r="L206" i="44"/>
  <c r="L214" i="44"/>
  <c r="L222" i="44"/>
  <c r="L232" i="44"/>
  <c r="L241" i="44"/>
  <c r="L250" i="44"/>
  <c r="L258" i="44"/>
  <c r="L267" i="44"/>
  <c r="L275" i="44"/>
  <c r="L284" i="44"/>
  <c r="L292" i="44"/>
  <c r="L300" i="44"/>
  <c r="L311" i="44"/>
  <c r="L320" i="44"/>
  <c r="L329" i="44"/>
  <c r="L337" i="44"/>
  <c r="L345" i="44"/>
  <c r="L353" i="44"/>
  <c r="L361" i="44"/>
  <c r="L369" i="44"/>
  <c r="L377" i="44"/>
  <c r="L385" i="44"/>
  <c r="L393" i="44"/>
  <c r="L401" i="44"/>
  <c r="L409" i="44"/>
  <c r="L417" i="44"/>
  <c r="L425" i="44"/>
  <c r="L433" i="44"/>
  <c r="L441" i="44"/>
  <c r="L456" i="44"/>
  <c r="L464" i="44"/>
  <c r="L472" i="44"/>
  <c r="L480" i="44"/>
  <c r="L488" i="44"/>
  <c r="L499" i="44"/>
  <c r="L507" i="44"/>
  <c r="L517" i="44"/>
  <c r="L528" i="44"/>
  <c r="L536" i="44"/>
  <c r="L544" i="44"/>
  <c r="L609" i="44"/>
  <c r="L778" i="44"/>
  <c r="L769" i="44"/>
  <c r="L760" i="44"/>
  <c r="L751" i="44"/>
  <c r="L743" i="44"/>
  <c r="L734" i="44"/>
  <c r="L726" i="44"/>
  <c r="L720" i="44"/>
  <c r="L706" i="44"/>
  <c r="L694" i="44"/>
  <c r="L683" i="44"/>
  <c r="L673" i="44"/>
  <c r="L659" i="44"/>
  <c r="L649" i="44"/>
  <c r="L639" i="44"/>
  <c r="L625" i="44"/>
  <c r="L601" i="44"/>
  <c r="L591" i="44"/>
  <c r="L579" i="44"/>
  <c r="L568" i="44"/>
  <c r="L558" i="44"/>
  <c r="L546" i="44"/>
  <c r="L530" i="44"/>
  <c r="L509" i="44"/>
  <c r="L489" i="44"/>
  <c r="L466" i="44"/>
  <c r="L439" i="44"/>
  <c r="L418" i="44"/>
  <c r="L395" i="44"/>
  <c r="L375" i="44"/>
  <c r="L354" i="44"/>
  <c r="L331" i="44"/>
  <c r="L309" i="44"/>
  <c r="L285" i="44"/>
  <c r="L260" i="44"/>
  <c r="L239" i="44"/>
  <c r="L215" i="44"/>
  <c r="L192" i="44"/>
  <c r="L172" i="44"/>
  <c r="L149" i="44"/>
  <c r="L125" i="44"/>
  <c r="L103" i="44"/>
  <c r="L81" i="44"/>
  <c r="L57" i="44"/>
  <c r="L33" i="44"/>
  <c r="L12" i="44"/>
  <c r="F223" i="44"/>
  <c r="F722" i="44"/>
  <c r="F684" i="44"/>
  <c r="F666" i="44"/>
  <c r="F706" i="44"/>
  <c r="F747" i="44"/>
  <c r="F509" i="44"/>
  <c r="F175" i="44"/>
  <c r="F108" i="44"/>
  <c r="F315" i="44" l="1"/>
  <c r="F446" i="44"/>
  <c r="F445" i="44"/>
  <c r="F444" i="44"/>
  <c r="F443" i="44"/>
  <c r="F301" i="44"/>
  <c r="F705" i="44"/>
  <c r="F737" i="44" l="1"/>
  <c r="F325" i="44" l="1"/>
  <c r="F784" i="44"/>
  <c r="F608" i="44"/>
  <c r="F609" i="44"/>
  <c r="F610" i="44"/>
  <c r="F611" i="44"/>
  <c r="F612" i="44"/>
  <c r="F613" i="44"/>
  <c r="F791" i="44"/>
  <c r="F48" i="44"/>
  <c r="F776" i="44"/>
  <c r="F777" i="44"/>
  <c r="F778" i="44"/>
  <c r="F779" i="44"/>
  <c r="F781" i="44"/>
  <c r="F782" i="44"/>
  <c r="F783" i="44"/>
  <c r="F712" i="44"/>
  <c r="F78" i="44" l="1"/>
  <c r="F771" i="44"/>
  <c r="F77" i="44" l="1"/>
  <c r="F746" i="44"/>
  <c r="F736" i="44" l="1"/>
  <c r="F2" i="44"/>
  <c r="F3" i="44"/>
  <c r="F5" i="44"/>
  <c r="F6" i="44"/>
  <c r="F7" i="44"/>
  <c r="F8" i="44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53" i="44"/>
  <c r="F54" i="44"/>
  <c r="F55" i="44"/>
  <c r="F56" i="44"/>
  <c r="F57" i="44"/>
  <c r="F58" i="44"/>
  <c r="F59" i="44"/>
  <c r="F60" i="44"/>
  <c r="F61" i="44"/>
  <c r="F62" i="44"/>
  <c r="F63" i="44"/>
  <c r="F64" i="44"/>
  <c r="F65" i="44"/>
  <c r="F66" i="44"/>
  <c r="F67" i="44"/>
  <c r="F68" i="44"/>
  <c r="F69" i="44"/>
  <c r="F70" i="44"/>
  <c r="F71" i="44"/>
  <c r="F72" i="44"/>
  <c r="F749" i="44"/>
  <c r="F73" i="44"/>
  <c r="F74" i="44"/>
  <c r="F75" i="44"/>
  <c r="F76" i="44"/>
  <c r="F80" i="44"/>
  <c r="F81" i="44"/>
  <c r="F82" i="44"/>
  <c r="F83" i="44"/>
  <c r="F84" i="44"/>
  <c r="F85" i="44"/>
  <c r="F86" i="44"/>
  <c r="F87" i="44"/>
  <c r="F88" i="44"/>
  <c r="F89" i="44"/>
  <c r="F90" i="44"/>
  <c r="F93" i="44"/>
  <c r="F94" i="44"/>
  <c r="F95" i="44"/>
  <c r="F96" i="44"/>
  <c r="F97" i="44"/>
  <c r="F98" i="44"/>
  <c r="F99" i="44"/>
  <c r="F100" i="44"/>
  <c r="F101" i="44"/>
  <c r="F102" i="44"/>
  <c r="F103" i="44"/>
  <c r="F104" i="44"/>
  <c r="F105" i="44"/>
  <c r="F106" i="44"/>
  <c r="F107" i="44"/>
  <c r="F110" i="44"/>
  <c r="F111" i="44"/>
  <c r="F112" i="44"/>
  <c r="F113" i="44"/>
  <c r="F116" i="44"/>
  <c r="F117" i="44"/>
  <c r="F118" i="44"/>
  <c r="F119" i="44"/>
  <c r="F120" i="44"/>
  <c r="F121" i="44"/>
  <c r="F122" i="44"/>
  <c r="F123" i="44"/>
  <c r="F124" i="44"/>
  <c r="F125" i="44"/>
  <c r="F126" i="44"/>
  <c r="F127" i="44"/>
  <c r="F128" i="44"/>
  <c r="F129" i="44"/>
  <c r="F130" i="44"/>
  <c r="F131" i="44"/>
  <c r="F132" i="44"/>
  <c r="F133" i="44"/>
  <c r="F134" i="44"/>
  <c r="F136" i="44"/>
  <c r="F137" i="44"/>
  <c r="F138" i="44"/>
  <c r="F139" i="44"/>
  <c r="F141" i="44"/>
  <c r="F142" i="44"/>
  <c r="F143" i="44"/>
  <c r="F144" i="44"/>
  <c r="F145" i="44"/>
  <c r="F146" i="44"/>
  <c r="F147" i="44"/>
  <c r="F148" i="44"/>
  <c r="F149" i="44"/>
  <c r="F150" i="44"/>
  <c r="F151" i="44"/>
  <c r="F155" i="44"/>
  <c r="F156" i="44"/>
  <c r="F157" i="44"/>
  <c r="F158" i="44"/>
  <c r="F159" i="44"/>
  <c r="F160" i="44"/>
  <c r="F161" i="44"/>
  <c r="F162" i="44"/>
  <c r="F163" i="44"/>
  <c r="F164" i="44"/>
  <c r="F165" i="44"/>
  <c r="F166" i="44"/>
  <c r="F167" i="44"/>
  <c r="F168" i="44"/>
  <c r="F169" i="44"/>
  <c r="F170" i="44"/>
  <c r="F171" i="44"/>
  <c r="F172" i="44"/>
  <c r="F173" i="44"/>
  <c r="F174" i="44"/>
  <c r="F177" i="44"/>
  <c r="F178" i="44"/>
  <c r="F179" i="44"/>
  <c r="F180" i="44"/>
  <c r="F181" i="44"/>
  <c r="F182" i="44"/>
  <c r="F183" i="44"/>
  <c r="F184" i="44"/>
  <c r="F185" i="44"/>
  <c r="F186" i="44"/>
  <c r="F187" i="44"/>
  <c r="F188" i="44"/>
  <c r="F189" i="44"/>
  <c r="F190" i="44"/>
  <c r="F191" i="44"/>
  <c r="F192" i="44"/>
  <c r="F193" i="44"/>
  <c r="F194" i="44"/>
  <c r="F195" i="44"/>
  <c r="F196" i="44"/>
  <c r="F197" i="44"/>
  <c r="F198" i="44"/>
  <c r="F199" i="44"/>
  <c r="F200" i="44"/>
  <c r="F201" i="44"/>
  <c r="F202" i="44"/>
  <c r="F203" i="44"/>
  <c r="F204" i="44"/>
  <c r="F205" i="44"/>
  <c r="F206" i="44"/>
  <c r="F207" i="44"/>
  <c r="F208" i="44"/>
  <c r="F209" i="44"/>
  <c r="F210" i="44"/>
  <c r="F211" i="44"/>
  <c r="F212" i="44"/>
  <c r="F213" i="44"/>
  <c r="F214" i="44"/>
  <c r="F215" i="44"/>
  <c r="F216" i="44"/>
  <c r="F217" i="44"/>
  <c r="F218" i="44"/>
  <c r="F219" i="44"/>
  <c r="F220" i="44"/>
  <c r="F221" i="44"/>
  <c r="F222" i="44"/>
  <c r="F227" i="44"/>
  <c r="F228" i="44"/>
  <c r="F229" i="44"/>
  <c r="F230" i="44"/>
  <c r="F234" i="44"/>
  <c r="F235" i="44"/>
  <c r="F236" i="44"/>
  <c r="F237" i="44"/>
  <c r="F238" i="44"/>
  <c r="F239" i="44"/>
  <c r="F240" i="44"/>
  <c r="F241" i="44"/>
  <c r="F244" i="44"/>
  <c r="F245" i="44"/>
  <c r="F246" i="44"/>
  <c r="F247" i="44"/>
  <c r="F248" i="44"/>
  <c r="F249" i="44"/>
  <c r="F250" i="44"/>
  <c r="F251" i="44"/>
  <c r="F252" i="44"/>
  <c r="F253" i="44"/>
  <c r="F254" i="44"/>
  <c r="F255" i="44"/>
  <c r="F256" i="44"/>
  <c r="F257" i="44"/>
  <c r="F258" i="44"/>
  <c r="F259" i="44"/>
  <c r="F260" i="44"/>
  <c r="F261" i="44"/>
  <c r="F263" i="44"/>
  <c r="F264" i="44"/>
  <c r="F265" i="44"/>
  <c r="F266" i="44"/>
  <c r="F267" i="44"/>
  <c r="F268" i="44"/>
  <c r="F269" i="44"/>
  <c r="F270" i="44"/>
  <c r="F271" i="44"/>
  <c r="F272" i="44"/>
  <c r="F273" i="44"/>
  <c r="F274" i="44"/>
  <c r="F275" i="44"/>
  <c r="F276" i="44"/>
  <c r="F277" i="44"/>
  <c r="F278" i="44"/>
  <c r="F279" i="44"/>
  <c r="F280" i="44"/>
  <c r="F281" i="44"/>
  <c r="F283" i="44"/>
  <c r="F284" i="44"/>
  <c r="F285" i="44"/>
  <c r="F286" i="44"/>
  <c r="F287" i="44"/>
  <c r="F288" i="44"/>
  <c r="F289" i="44"/>
  <c r="F290" i="44"/>
  <c r="F291" i="44"/>
  <c r="F292" i="44"/>
  <c r="F293" i="44"/>
  <c r="F294" i="44"/>
  <c r="F295" i="44"/>
  <c r="F297" i="44"/>
  <c r="F298" i="44"/>
  <c r="F299" i="44"/>
  <c r="F300" i="44"/>
  <c r="F306" i="44"/>
  <c r="F307" i="44"/>
  <c r="F308" i="44"/>
  <c r="F309" i="44"/>
  <c r="F310" i="44"/>
  <c r="F311" i="44"/>
  <c r="F312" i="44"/>
  <c r="F313" i="44"/>
  <c r="F316" i="44"/>
  <c r="F317" i="44"/>
  <c r="F318" i="44"/>
  <c r="F319" i="44"/>
  <c r="F320" i="44"/>
  <c r="F321" i="44"/>
  <c r="F322" i="44"/>
  <c r="F323" i="44"/>
  <c r="F324" i="44"/>
  <c r="F329" i="44"/>
  <c r="F330" i="44"/>
  <c r="F331" i="44"/>
  <c r="F332" i="44"/>
  <c r="F333" i="44"/>
  <c r="F334" i="44"/>
  <c r="F335" i="44"/>
  <c r="F336" i="44"/>
  <c r="F337" i="44"/>
  <c r="F338" i="44"/>
  <c r="F339" i="44"/>
  <c r="F340" i="44"/>
  <c r="F341" i="44"/>
  <c r="F342" i="44"/>
  <c r="F343" i="44"/>
  <c r="F344" i="44"/>
  <c r="F345" i="44"/>
  <c r="F346" i="44"/>
  <c r="F347" i="44"/>
  <c r="F348" i="44"/>
  <c r="F349" i="44"/>
  <c r="F350" i="44"/>
  <c r="F351" i="44"/>
  <c r="F352" i="44"/>
  <c r="F353" i="44"/>
  <c r="F354" i="44"/>
  <c r="F355" i="44"/>
  <c r="F356" i="44"/>
  <c r="F357" i="44"/>
  <c r="F358" i="44"/>
  <c r="F359" i="44"/>
  <c r="F360" i="44"/>
  <c r="F361" i="44"/>
  <c r="F362" i="44"/>
  <c r="F363" i="44"/>
  <c r="F364" i="44"/>
  <c r="F365" i="44"/>
  <c r="F366" i="44"/>
  <c r="F367" i="44"/>
  <c r="F368" i="44"/>
  <c r="F369" i="44"/>
  <c r="F370" i="44"/>
  <c r="F371" i="44"/>
  <c r="F372" i="44"/>
  <c r="F373" i="44"/>
  <c r="F374" i="44"/>
  <c r="F375" i="44"/>
  <c r="F376" i="44"/>
  <c r="F377" i="44"/>
  <c r="F378" i="44"/>
  <c r="F379" i="44"/>
  <c r="F380" i="44"/>
  <c r="F381" i="44"/>
  <c r="F382" i="44"/>
  <c r="F383" i="44"/>
  <c r="F384" i="44"/>
  <c r="F385" i="44"/>
  <c r="F386" i="44"/>
  <c r="F387" i="44"/>
  <c r="F388" i="44"/>
  <c r="F389" i="44"/>
  <c r="F390" i="44"/>
  <c r="F392" i="44"/>
  <c r="F393" i="44"/>
  <c r="F394" i="44"/>
  <c r="F395" i="44"/>
  <c r="F396" i="44"/>
  <c r="F397" i="44"/>
  <c r="F398" i="44"/>
  <c r="F399" i="44"/>
  <c r="F400" i="44"/>
  <c r="F401" i="44"/>
  <c r="F402" i="44"/>
  <c r="F403" i="44"/>
  <c r="F404" i="44"/>
  <c r="F405" i="44"/>
  <c r="F406" i="44"/>
  <c r="F407" i="44"/>
  <c r="F408" i="44"/>
  <c r="F409" i="44"/>
  <c r="F410" i="44"/>
  <c r="F411" i="44"/>
  <c r="F412" i="44"/>
  <c r="F413" i="44"/>
  <c r="F414" i="44"/>
  <c r="F415" i="44"/>
  <c r="F416" i="44"/>
  <c r="F417" i="44"/>
  <c r="F418" i="44"/>
  <c r="F419" i="44"/>
  <c r="F420" i="44"/>
  <c r="F421" i="44"/>
  <c r="F422" i="44"/>
  <c r="F423" i="44"/>
  <c r="F424" i="44"/>
  <c r="F425" i="44"/>
  <c r="F426" i="44"/>
  <c r="F427" i="44"/>
  <c r="F428" i="44"/>
  <c r="F429" i="44"/>
  <c r="F430" i="44"/>
  <c r="F431" i="44"/>
  <c r="F432" i="44"/>
  <c r="F433" i="44"/>
  <c r="F434" i="44"/>
  <c r="F435" i="44"/>
  <c r="F436" i="44"/>
  <c r="F437" i="44"/>
  <c r="F438" i="44"/>
  <c r="F439" i="44"/>
  <c r="F440" i="44"/>
  <c r="F441" i="44"/>
  <c r="F442" i="44"/>
  <c r="F456" i="44"/>
  <c r="F457" i="44"/>
  <c r="F458" i="44"/>
  <c r="F459" i="44"/>
  <c r="F460" i="44"/>
  <c r="F461" i="44"/>
  <c r="F462" i="44"/>
  <c r="F463" i="44"/>
  <c r="F464" i="44"/>
  <c r="F465" i="44"/>
  <c r="F466" i="44"/>
  <c r="F467" i="44"/>
  <c r="F468" i="44"/>
  <c r="F469" i="44"/>
  <c r="F470" i="44"/>
  <c r="F471" i="44"/>
  <c r="F472" i="44"/>
  <c r="F473" i="44"/>
  <c r="F476" i="44"/>
  <c r="F477" i="44"/>
  <c r="F478" i="44"/>
  <c r="F479" i="44"/>
  <c r="F480" i="44"/>
  <c r="F481" i="44"/>
  <c r="F482" i="44"/>
  <c r="F483" i="44"/>
  <c r="F484" i="44"/>
  <c r="F485" i="44"/>
  <c r="F486" i="44"/>
  <c r="F487" i="44"/>
  <c r="F488" i="44"/>
  <c r="F489" i="44"/>
  <c r="F490" i="44"/>
  <c r="F491" i="44"/>
  <c r="F492" i="44"/>
  <c r="F493" i="44"/>
  <c r="F494" i="44"/>
  <c r="F498" i="44"/>
  <c r="F499" i="44"/>
  <c r="F500" i="44"/>
  <c r="F501" i="44"/>
  <c r="F503" i="44"/>
  <c r="F504" i="44"/>
  <c r="F505" i="44"/>
  <c r="F506" i="44"/>
  <c r="F507" i="44"/>
  <c r="F508" i="44"/>
  <c r="F512" i="44"/>
  <c r="F513" i="44"/>
  <c r="F514" i="44"/>
  <c r="F515" i="44"/>
  <c r="F516" i="44"/>
  <c r="F517" i="44"/>
  <c r="F518" i="44"/>
  <c r="F519" i="44"/>
  <c r="F520" i="44"/>
  <c r="F521" i="44"/>
  <c r="F525" i="44"/>
  <c r="F526" i="44"/>
  <c r="F527" i="44"/>
  <c r="F528" i="44"/>
  <c r="F529" i="44"/>
  <c r="F530" i="44"/>
  <c r="F531" i="44"/>
  <c r="F532" i="44"/>
  <c r="F533" i="44"/>
  <c r="F534" i="44"/>
  <c r="F535" i="44"/>
  <c r="F536" i="44"/>
  <c r="F537" i="44"/>
  <c r="F538" i="44"/>
  <c r="F539" i="44"/>
  <c r="F540" i="44"/>
  <c r="F541" i="44"/>
  <c r="F542" i="44"/>
  <c r="F543" i="44"/>
  <c r="F545" i="44"/>
  <c r="F546" i="44"/>
  <c r="F548" i="44"/>
  <c r="F549" i="44"/>
  <c r="F550" i="44"/>
  <c r="F551" i="44"/>
  <c r="F552" i="44"/>
  <c r="F553" i="44"/>
  <c r="F554" i="44"/>
  <c r="F555" i="44"/>
  <c r="F556" i="44"/>
  <c r="F557" i="44"/>
  <c r="F558" i="44"/>
  <c r="F559" i="44"/>
  <c r="F560" i="44"/>
  <c r="F561" i="44"/>
  <c r="F562" i="44"/>
  <c r="F563" i="44"/>
  <c r="F564" i="44"/>
  <c r="F565" i="44"/>
  <c r="F566" i="44"/>
  <c r="F567" i="44"/>
  <c r="F568" i="44"/>
  <c r="F569" i="44"/>
  <c r="F570" i="44"/>
  <c r="F571" i="44"/>
  <c r="F572" i="44"/>
  <c r="F573" i="44"/>
  <c r="F574" i="44"/>
  <c r="F575" i="44"/>
  <c r="F577" i="44"/>
  <c r="F578" i="44"/>
  <c r="F579" i="44"/>
  <c r="F580" i="44"/>
  <c r="F581" i="44"/>
  <c r="F582" i="44"/>
  <c r="F583" i="44"/>
  <c r="F584" i="44"/>
  <c r="F585" i="44"/>
  <c r="F586" i="44"/>
  <c r="F587" i="44"/>
  <c r="F588" i="44"/>
  <c r="F589" i="44"/>
  <c r="F590" i="44"/>
  <c r="F591" i="44"/>
  <c r="F592" i="44"/>
  <c r="F593" i="44"/>
  <c r="F594" i="44"/>
  <c r="F595" i="44"/>
  <c r="F596" i="44"/>
  <c r="F597" i="44"/>
  <c r="F598" i="44"/>
  <c r="F600" i="44"/>
  <c r="F601" i="44"/>
  <c r="F602" i="44"/>
  <c r="F603" i="44"/>
  <c r="F620" i="44"/>
  <c r="F621" i="44"/>
  <c r="F623" i="44"/>
  <c r="F624" i="44"/>
  <c r="F625" i="44"/>
  <c r="F626" i="44"/>
  <c r="F627" i="44"/>
  <c r="F628" i="44"/>
  <c r="F631" i="44"/>
  <c r="F632" i="44"/>
  <c r="F633" i="44"/>
  <c r="F634" i="44"/>
  <c r="F635" i="44"/>
  <c r="F636" i="44"/>
  <c r="F637" i="44"/>
  <c r="F638" i="44"/>
  <c r="F639" i="44"/>
  <c r="F640" i="44"/>
  <c r="F641" i="44"/>
  <c r="F642" i="44"/>
  <c r="F643" i="44"/>
  <c r="F644" i="44"/>
  <c r="F645" i="44"/>
  <c r="F646" i="44"/>
  <c r="F647" i="44"/>
  <c r="F648" i="44"/>
  <c r="F649" i="44"/>
  <c r="F650" i="44"/>
  <c r="F652" i="44"/>
  <c r="F653" i="44"/>
  <c r="F654" i="44"/>
  <c r="F655" i="44"/>
  <c r="F656" i="44"/>
  <c r="F657" i="44"/>
  <c r="F658" i="44"/>
  <c r="F659" i="44"/>
  <c r="F660" i="44"/>
  <c r="F661" i="44"/>
  <c r="F662" i="44"/>
  <c r="F663" i="44"/>
  <c r="F664" i="44"/>
  <c r="F665" i="44"/>
  <c r="F667" i="44"/>
  <c r="F670" i="44"/>
  <c r="F671" i="44"/>
  <c r="F672" i="44"/>
  <c r="F673" i="44"/>
  <c r="F674" i="44"/>
  <c r="F675" i="44"/>
  <c r="F676" i="44"/>
  <c r="F677" i="44"/>
  <c r="F679" i="44"/>
  <c r="F680" i="44"/>
  <c r="F681" i="44"/>
  <c r="F682" i="44"/>
  <c r="F683" i="44"/>
  <c r="F685" i="44"/>
  <c r="F686" i="44"/>
  <c r="F687" i="44"/>
  <c r="F688" i="44"/>
  <c r="F689" i="44"/>
  <c r="F690" i="44"/>
  <c r="F692" i="44"/>
  <c r="F693" i="44"/>
  <c r="F694" i="44"/>
  <c r="F695" i="44"/>
  <c r="F696" i="44"/>
  <c r="F697" i="44"/>
  <c r="F698" i="44"/>
  <c r="F699" i="44"/>
  <c r="F700" i="44"/>
  <c r="F702" i="44"/>
  <c r="F703" i="44"/>
  <c r="F704" i="44"/>
  <c r="F710" i="44"/>
  <c r="F711" i="44"/>
  <c r="F713" i="44"/>
  <c r="F714" i="44"/>
  <c r="F715" i="44"/>
  <c r="F717" i="44"/>
  <c r="F718" i="44"/>
  <c r="F719" i="44"/>
  <c r="F720" i="44"/>
  <c r="F721" i="44"/>
  <c r="F723" i="44"/>
  <c r="F756" i="44"/>
  <c r="F725" i="44"/>
  <c r="F726" i="44"/>
  <c r="F727" i="44"/>
  <c r="F728" i="44"/>
  <c r="F729" i="44"/>
  <c r="F730" i="44"/>
  <c r="F731" i="44"/>
  <c r="F732" i="44"/>
  <c r="F152" i="44"/>
  <c r="F772" i="44"/>
  <c r="F733" i="44"/>
  <c r="F734" i="44"/>
  <c r="F735" i="44"/>
  <c r="F739" i="44"/>
  <c r="F740" i="44"/>
  <c r="F741" i="44"/>
  <c r="F742" i="44"/>
  <c r="F743" i="44"/>
  <c r="F744" i="44"/>
  <c r="F745" i="44"/>
  <c r="F750" i="44"/>
  <c r="F751" i="44"/>
  <c r="F752" i="44"/>
  <c r="F753" i="44"/>
  <c r="F754" i="44"/>
  <c r="F755" i="44"/>
  <c r="F757" i="44"/>
  <c r="F758" i="44"/>
  <c r="F759" i="44"/>
  <c r="F760" i="44"/>
  <c r="F761" i="44"/>
  <c r="F762" i="44"/>
  <c r="F764" i="44"/>
  <c r="F765" i="44"/>
  <c r="F766" i="44"/>
  <c r="F767" i="44"/>
  <c r="F768" i="44"/>
  <c r="F769" i="44"/>
  <c r="F770" i="44"/>
  <c r="F774" i="44"/>
  <c r="F775" i="44"/>
  <c r="D791" i="44" l="1"/>
  <c r="F34" i="45"/>
  <c r="F33" i="45"/>
  <c r="F32" i="45"/>
  <c r="F31" i="45"/>
  <c r="F30" i="45"/>
  <c r="F29" i="45"/>
  <c r="F28" i="45"/>
  <c r="F27" i="45"/>
  <c r="F26" i="45"/>
  <c r="F25" i="45"/>
  <c r="F24" i="45"/>
  <c r="F23" i="45"/>
  <c r="F22" i="45"/>
  <c r="F21" i="45"/>
  <c r="F20" i="45"/>
  <c r="F19" i="45"/>
  <c r="F18" i="45"/>
  <c r="F17" i="45"/>
  <c r="F16" i="45"/>
  <c r="F15" i="45"/>
  <c r="F14" i="45"/>
  <c r="F13" i="45"/>
  <c r="F12" i="45"/>
  <c r="F11" i="45"/>
  <c r="F10" i="45"/>
  <c r="F9" i="45"/>
  <c r="F8" i="45"/>
  <c r="F7" i="45"/>
  <c r="F6" i="45"/>
  <c r="F5" i="45"/>
  <c r="F4" i="45"/>
  <c r="F3" i="45"/>
  <c r="F2" i="4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18119</author>
  </authors>
  <commentList>
    <comment ref="H5" authorId="0" shapeId="0" xr:uid="{00000000-0006-0000-0000-000001000000}">
      <text>
        <r>
          <rPr>
            <b/>
            <sz val="9"/>
            <rFont val="Tahoma"/>
            <family val="2"/>
          </rPr>
          <t>18119:</t>
        </r>
        <r>
          <rPr>
            <sz val="9"/>
            <rFont val="Tahoma"/>
            <family val="2"/>
          </rPr>
          <t xml:space="preserve">
Thử nghiệm trên các máy tính MIS và Dập 6 -&gt; Ok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D07B2F4E-4AF3-4A26-83B5-E9F39755915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Ngày 02.03.2023 Bắt đầu scan HS từ 23198 ( vào ngày 11.02.2022)</t>
        </r>
      </text>
    </comment>
    <comment ref="C1" authorId="0" shapeId="0" xr:uid="{FB69E28C-C41F-4B32-83DA-1E7F05D8CA9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06.2025 chú 0220 nghỉ hưu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VN18499</author>
    <author>18119</author>
    <author>VN15060</author>
  </authors>
  <commentList>
    <comment ref="K518" authorId="0" shapeId="0" xr:uid="{971ABA8F-F28A-45EF-95BF-76BC8F4E311A}">
      <text>
        <r>
          <rPr>
            <b/>
            <sz val="9"/>
            <color indexed="81"/>
            <rFont val="Tahoma"/>
            <family val="2"/>
          </rPr>
          <t>chuyển từ tk qc.00941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97" authorId="1" shapeId="0" xr:uid="{014EC0A4-CCDC-4464-9EB1-2E2A8BD1A02D}">
      <text>
        <r>
          <rPr>
            <b/>
            <sz val="9"/>
            <color indexed="81"/>
            <rFont val="Tahoma"/>
            <family val="2"/>
          </rPr>
          <t>chuyển dập 3</t>
        </r>
      </text>
    </comment>
    <comment ref="F793" authorId="2" shapeId="0" xr:uid="{533D0293-1809-4EC9-9F98-A190814B3DAE}">
      <text>
        <r>
          <rPr>
            <b/>
            <sz val="9"/>
            <color indexed="81"/>
            <rFont val="Tahoma"/>
            <family val="2"/>
          </rPr>
          <t>VN15060:</t>
        </r>
        <r>
          <rPr>
            <sz val="9"/>
            <color indexed="81"/>
            <rFont val="Tahoma"/>
            <family val="2"/>
          </rPr>
          <t xml:space="preserve">
Con trai chủ tịch</t>
        </r>
      </text>
    </comment>
    <comment ref="F794" authorId="2" shapeId="0" xr:uid="{77AD0E21-F29A-4A04-BDB8-D65A48B87914}">
      <text>
        <r>
          <rPr>
            <b/>
            <sz val="9"/>
            <color indexed="81"/>
            <rFont val="Tahoma"/>
            <family val="2"/>
          </rPr>
          <t>VN15060:</t>
        </r>
        <r>
          <rPr>
            <sz val="9"/>
            <color indexed="81"/>
            <rFont val="Tahoma"/>
            <family val="2"/>
          </rPr>
          <t xml:space="preserve">
Trợ lý Chủ tịch HDTV</t>
        </r>
      </text>
    </comment>
    <comment ref="F796" authorId="2" shapeId="0" xr:uid="{CB13DFAF-E75A-46BF-A759-E95A45F53064}">
      <text>
        <r>
          <rPr>
            <b/>
            <sz val="9"/>
            <color indexed="81"/>
            <rFont val="Tahoma"/>
            <family val="2"/>
          </rPr>
          <t>VN15060:</t>
        </r>
        <r>
          <rPr>
            <sz val="9"/>
            <color indexed="81"/>
            <rFont val="Tahoma"/>
            <family val="2"/>
          </rPr>
          <t xml:space="preserve">
IS</t>
        </r>
      </text>
    </comment>
    <comment ref="F797" authorId="2" shapeId="0" xr:uid="{276A043A-7D18-43B9-87F9-88C0606E01E9}">
      <text>
        <r>
          <rPr>
            <b/>
            <sz val="9"/>
            <color indexed="81"/>
            <rFont val="Tahoma"/>
            <family val="2"/>
          </rPr>
          <t>VN15060:</t>
        </r>
        <r>
          <rPr>
            <sz val="9"/>
            <color indexed="81"/>
            <rFont val="Tahoma"/>
            <family val="2"/>
          </rPr>
          <t xml:space="preserve">
KTSX</t>
        </r>
      </text>
    </comment>
  </commentList>
</comments>
</file>

<file path=xl/sharedStrings.xml><?xml version="1.0" encoding="utf-8"?>
<sst xmlns="http://schemas.openxmlformats.org/spreadsheetml/2006/main" count="36372" uniqueCount="17236">
  <si>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</si>
  <si>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</si>
  <si>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</si>
  <si>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</si>
  <si>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</si>
  <si>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</si>
  <si>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</si>
  <si>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</si>
  <si>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</si>
  <si>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</si>
  <si>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</si>
  <si>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</si>
  <si>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</si>
  <si>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</si>
  <si>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</si>
  <si>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</si>
  <si>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</si>
  <si>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</si>
  <si>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1</t>
  </si>
  <si>
    <t/>
  </si>
  <si>
    <t>2</t>
  </si>
  <si>
    <t>3</t>
  </si>
  <si>
    <t>4</t>
  </si>
  <si>
    <t>5</t>
  </si>
  <si>
    <t>6</t>
  </si>
  <si>
    <t>7</t>
  </si>
  <si>
    <r>
      <rPr>
        <b/>
        <sz val="12"/>
        <color rgb="FF0000FF"/>
        <rFont val="SimSun"/>
      </rPr>
      <t>步驟</t>
    </r>
    <r>
      <rPr>
        <b/>
        <sz val="12"/>
        <color theme="1"/>
        <rFont val="Microsoft Himalaya"/>
      </rPr>
      <t xml:space="preserve"> </t>
    </r>
    <r>
      <rPr>
        <b/>
        <sz val="12"/>
        <color theme="1"/>
        <rFont val="Calibri"/>
        <family val="2"/>
      </rPr>
      <t xml:space="preserve">                                                                                                        </t>
    </r>
    <r>
      <rPr>
        <b/>
        <sz val="12"/>
        <color theme="1"/>
        <rFont val="Times New Roman"/>
        <family val="1"/>
      </rPr>
      <t xml:space="preserve">     </t>
    </r>
    <r>
      <rPr>
        <b/>
        <sz val="12"/>
        <color rgb="FF0000FF"/>
        <rFont val="SimSun"/>
      </rPr>
      <t>月份</t>
    </r>
  </si>
  <si>
    <t>環境設備</t>
  </si>
  <si>
    <t>準備主機環境</t>
  </si>
  <si>
    <r>
      <rPr>
        <sz val="12"/>
        <color rgb="FF0000FF"/>
        <rFont val="Microsoft JhengHei"/>
        <family val="2"/>
      </rPr>
      <t>建立部門</t>
    </r>
    <r>
      <rPr>
        <sz val="12"/>
        <color rgb="FF0000FF"/>
        <rFont val="Times New Roman"/>
        <family val="1"/>
      </rPr>
      <t xml:space="preserve"> Group</t>
    </r>
    <r>
      <rPr>
        <sz val="12"/>
        <color rgb="FF0000FF"/>
        <rFont val="Microsoft JhengHei"/>
        <family val="2"/>
      </rPr>
      <t>，給各部門建立訪問</t>
    </r>
    <r>
      <rPr>
        <sz val="12"/>
        <color rgb="FF0000FF"/>
        <rFont val="Times New Roman"/>
        <family val="1"/>
      </rPr>
      <t xml:space="preserve"> AD </t>
    </r>
    <r>
      <rPr>
        <sz val="12"/>
        <color rgb="FF0000FF"/>
        <rFont val="Microsoft JhengHei"/>
        <family val="2"/>
      </rPr>
      <t>帳號</t>
    </r>
  </si>
  <si>
    <t>應用對策</t>
  </si>
  <si>
    <t>根據 ISO27001 標準進行對策檢驗、測驗</t>
  </si>
  <si>
    <r>
      <rPr>
        <sz val="12"/>
        <color rgb="FF2C07E5"/>
        <rFont val="SimSun"/>
      </rPr>
      <t>檢驗並測試</t>
    </r>
    <r>
      <rPr>
        <sz val="12"/>
        <color rgb="FF2C07E5"/>
        <rFont val="Times New Roman"/>
        <family val="1"/>
      </rPr>
      <t xml:space="preserve"> Windows Server Update Services</t>
    </r>
  </si>
  <si>
    <r>
      <rPr>
        <sz val="12"/>
        <color rgb="FF0000FF"/>
        <rFont val="Microsoft JhengHei"/>
        <family val="2"/>
      </rPr>
      <t>應用在</t>
    </r>
    <r>
      <rPr>
        <sz val="12"/>
        <color rgb="FF0000FF"/>
        <rFont val="Times New Roman"/>
        <family val="1"/>
      </rPr>
      <t xml:space="preserve"> AD </t>
    </r>
    <r>
      <rPr>
        <sz val="12"/>
        <color rgb="FF0000FF"/>
        <rFont val="Microsoft JhengHei"/>
        <family val="2"/>
      </rPr>
      <t>上的管理對策：</t>
    </r>
    <r>
      <rPr>
        <sz val="12"/>
        <color rgb="FF0000FF"/>
        <rFont val="Times New Roman"/>
        <family val="1"/>
      </rPr>
      <t>Password;Block Registry, Block Manager, Block USB, CD, Block AppZalo-Bittorrent, Install 7Zip…</t>
    </r>
  </si>
  <si>
    <r>
      <rPr>
        <sz val="12"/>
        <color rgb="FF0000FF"/>
        <rFont val="Microsoft JhengHei"/>
        <family val="2"/>
      </rPr>
      <t>導入應用連接到</t>
    </r>
    <r>
      <rPr>
        <sz val="12"/>
        <color rgb="FF0000FF"/>
        <rFont val="Times New Roman"/>
        <family val="1"/>
      </rPr>
      <t xml:space="preserve"> AD</t>
    </r>
  </si>
  <si>
    <r>
      <rPr>
        <sz val="12"/>
        <color rgb="FF0000FF"/>
        <rFont val="Microsoft JhengHei"/>
        <family val="2"/>
      </rPr>
      <t>給</t>
    </r>
    <r>
      <rPr>
        <sz val="12"/>
        <color rgb="FF0000FF"/>
        <rFont val="Times New Roman"/>
        <family val="1"/>
      </rPr>
      <t xml:space="preserve"> 6 </t>
    </r>
    <r>
      <rPr>
        <sz val="12"/>
        <color rgb="FF0000FF"/>
        <rFont val="Microsoft JhengHei"/>
        <family val="2"/>
      </rPr>
      <t>廠電腦導入連接到</t>
    </r>
    <r>
      <rPr>
        <sz val="12"/>
        <color rgb="FF0000FF"/>
        <rFont val="Times New Roman"/>
        <family val="1"/>
      </rPr>
      <t xml:space="preserve"> AD</t>
    </r>
  </si>
  <si>
    <r>
      <rPr>
        <sz val="12"/>
        <color rgb="FF0000FF"/>
        <rFont val="Microsoft JhengHei"/>
        <family val="2"/>
      </rPr>
      <t>給</t>
    </r>
    <r>
      <rPr>
        <sz val="12"/>
        <color rgb="FF0000FF"/>
        <rFont val="Times New Roman"/>
        <family val="1"/>
      </rPr>
      <t xml:space="preserve"> 3 </t>
    </r>
    <r>
      <rPr>
        <sz val="12"/>
        <color rgb="FF0000FF"/>
        <rFont val="Microsoft JhengHei"/>
        <family val="2"/>
      </rPr>
      <t>廠辦公室電腦導入連接到</t>
    </r>
    <r>
      <rPr>
        <sz val="12"/>
        <color rgb="FF0000FF"/>
        <rFont val="Times New Roman"/>
        <family val="1"/>
      </rPr>
      <t xml:space="preserve"> AD</t>
    </r>
  </si>
  <si>
    <r>
      <rPr>
        <sz val="12"/>
        <color rgb="FF0000FF"/>
        <rFont val="Microsoft JhengHei"/>
        <family val="2"/>
      </rPr>
      <t>給</t>
    </r>
    <r>
      <rPr>
        <sz val="12"/>
        <color rgb="FF0000FF"/>
        <rFont val="Times New Roman"/>
        <family val="1"/>
      </rPr>
      <t xml:space="preserve"> 1 </t>
    </r>
    <r>
      <rPr>
        <sz val="12"/>
        <color rgb="FF0000FF"/>
        <rFont val="Microsoft JhengHei"/>
        <family val="2"/>
      </rPr>
      <t>廠電腦導入連接到</t>
    </r>
    <r>
      <rPr>
        <sz val="12"/>
        <color rgb="FF0000FF"/>
        <rFont val="Times New Roman"/>
        <family val="1"/>
      </rPr>
      <t xml:space="preserve"> AD</t>
    </r>
  </si>
  <si>
    <r>
      <rPr>
        <sz val="12"/>
        <color rgb="FF0000FF"/>
        <rFont val="Microsoft JhengHei"/>
        <family val="2"/>
      </rPr>
      <t>給</t>
    </r>
    <r>
      <rPr>
        <sz val="12"/>
        <color rgb="FF0000FF"/>
        <rFont val="Times New Roman"/>
        <family val="1"/>
      </rPr>
      <t xml:space="preserve"> 3 </t>
    </r>
    <r>
      <rPr>
        <sz val="12"/>
        <color rgb="FF0000FF"/>
        <rFont val="Microsoft JhengHei"/>
        <family val="2"/>
      </rPr>
      <t>廠電腦導入連接到</t>
    </r>
    <r>
      <rPr>
        <sz val="12"/>
        <color rgb="FF0000FF"/>
        <rFont val="Times New Roman"/>
        <family val="1"/>
      </rPr>
      <t xml:space="preserve"> AD</t>
    </r>
  </si>
  <si>
    <r>
      <rPr>
        <sz val="12"/>
        <color rgb="FF0000FF"/>
        <rFont val="Microsoft JhengHei"/>
        <family val="2"/>
      </rPr>
      <t>給</t>
    </r>
    <r>
      <rPr>
        <sz val="12"/>
        <color rgb="FF0000FF"/>
        <rFont val="Times New Roman"/>
        <family val="1"/>
      </rPr>
      <t xml:space="preserve"> 2 </t>
    </r>
    <r>
      <rPr>
        <sz val="12"/>
        <color rgb="FF0000FF"/>
        <rFont val="Microsoft JhengHei"/>
        <family val="2"/>
      </rPr>
      <t>廠電腦導入連接到</t>
    </r>
    <r>
      <rPr>
        <sz val="12"/>
        <color rgb="FF0000FF"/>
        <rFont val="Times New Roman"/>
        <family val="1"/>
      </rPr>
      <t xml:space="preserve"> AD</t>
    </r>
  </si>
  <si>
    <r>
      <rPr>
        <sz val="12"/>
        <color rgb="FF0000FF"/>
        <rFont val="Microsoft JhengHei"/>
        <family val="2"/>
      </rPr>
      <t>給</t>
    </r>
    <r>
      <rPr>
        <sz val="12"/>
        <color rgb="FF0000FF"/>
        <rFont val="Times New Roman"/>
        <family val="1"/>
      </rPr>
      <t xml:space="preserve"> 5 </t>
    </r>
    <r>
      <rPr>
        <sz val="12"/>
        <color rgb="FF0000FF"/>
        <rFont val="Microsoft JhengHei"/>
        <family val="2"/>
      </rPr>
      <t>廠電腦導入連接到</t>
    </r>
    <r>
      <rPr>
        <sz val="12"/>
        <color rgb="FF0000FF"/>
        <rFont val="Times New Roman"/>
        <family val="1"/>
      </rPr>
      <t xml:space="preserve"> AD</t>
    </r>
  </si>
  <si>
    <r>
      <rPr>
        <sz val="12"/>
        <color rgb="FF0000FF"/>
        <rFont val="Microsoft JhengHei"/>
        <family val="2"/>
      </rPr>
      <t>給</t>
    </r>
    <r>
      <rPr>
        <sz val="12"/>
        <color rgb="FF0000FF"/>
        <rFont val="Times New Roman"/>
        <family val="1"/>
      </rPr>
      <t xml:space="preserve"> 4 </t>
    </r>
    <r>
      <rPr>
        <sz val="12"/>
        <color rgb="FF0000FF"/>
        <rFont val="Microsoft JhengHei"/>
        <family val="2"/>
      </rPr>
      <t>廠電腦導入連接到</t>
    </r>
    <r>
      <rPr>
        <sz val="12"/>
        <color rgb="FF0000FF"/>
        <rFont val="Times New Roman"/>
        <family val="1"/>
      </rPr>
      <t xml:space="preserve"> AD</t>
    </r>
  </si>
  <si>
    <r>
      <rPr>
        <sz val="12"/>
        <color rgb="FF0000FF"/>
        <rFont val="Microsoft JhengHei"/>
        <family val="2"/>
      </rPr>
      <t>給開發部電腦導入連接到</t>
    </r>
    <r>
      <rPr>
        <sz val="12"/>
        <color rgb="FF0000FF"/>
        <rFont val="Times New Roman"/>
        <family val="1"/>
      </rPr>
      <t xml:space="preserve"> AD</t>
    </r>
  </si>
  <si>
    <t>支援使用者</t>
  </si>
  <si>
    <t>支援使用者處理發生問題 (若有)</t>
  </si>
  <si>
    <r>
      <rPr>
        <sz val="12"/>
        <color rgb="FF0000FF"/>
        <rFont val="Microsoft JhengHei"/>
        <family val="2"/>
      </rPr>
      <t>更新</t>
    </r>
    <r>
      <rPr>
        <sz val="12"/>
        <color rgb="FF0000FF"/>
        <rFont val="Times New Roman"/>
        <family val="1"/>
      </rPr>
      <t xml:space="preserve"> ISO27001 </t>
    </r>
    <r>
      <rPr>
        <sz val="12"/>
        <color rgb="FF0000FF"/>
        <rFont val="Microsoft JhengHei"/>
        <family val="2"/>
      </rPr>
      <t>文件</t>
    </r>
  </si>
  <si>
    <t>彙總數據，總結導入 AD 計劃以及更新 ISO27001 文件</t>
  </si>
  <si>
    <t>Update: 2024/05/03</t>
  </si>
  <si>
    <t>已完成</t>
  </si>
  <si>
    <t>執行中</t>
  </si>
  <si>
    <t>未執行</t>
  </si>
  <si>
    <t>MIS</t>
  </si>
  <si>
    <t>#18499</t>
  </si>
  <si>
    <t>#23169</t>
  </si>
  <si>
    <t>#20021</t>
  </si>
  <si>
    <t>#15060</t>
  </si>
  <si>
    <t>#17655</t>
  </si>
  <si>
    <t>QA</t>
  </si>
  <si>
    <t>No.</t>
  </si>
  <si>
    <t>amount</t>
  </si>
  <si>
    <t>Dep</t>
  </si>
  <si>
    <t>USER</t>
  </si>
  <si>
    <t>ID (vpic1.com)</t>
  </si>
  <si>
    <t>Password</t>
  </si>
  <si>
    <t>Create date</t>
  </si>
  <si>
    <t>Note</t>
  </si>
  <si>
    <t>#10437</t>
  </si>
  <si>
    <t>IT@vpic1</t>
  </si>
  <si>
    <t>#00328</t>
  </si>
  <si>
    <t>#00527</t>
  </si>
  <si>
    <t>#04202</t>
  </si>
  <si>
    <t>#07789</t>
  </si>
  <si>
    <t>#13582</t>
  </si>
  <si>
    <t>#08550</t>
  </si>
  <si>
    <t>#07290</t>
  </si>
  <si>
    <t>#08759</t>
  </si>
  <si>
    <t>#02245</t>
  </si>
  <si>
    <t>#15884</t>
  </si>
  <si>
    <t>#00665</t>
  </si>
  <si>
    <t>#06748</t>
  </si>
  <si>
    <t>#00186</t>
  </si>
  <si>
    <t>#15726</t>
  </si>
  <si>
    <t>#09145</t>
  </si>
  <si>
    <t>#03747</t>
  </si>
  <si>
    <t>#04428</t>
  </si>
  <si>
    <t>#20328</t>
  </si>
  <si>
    <t>#03613</t>
  </si>
  <si>
    <t>#06908</t>
  </si>
  <si>
    <t>#19767</t>
  </si>
  <si>
    <t>#12694</t>
  </si>
  <si>
    <t>#01232</t>
  </si>
  <si>
    <t>#10788</t>
  </si>
  <si>
    <t>#10029</t>
  </si>
  <si>
    <t>#00767</t>
  </si>
  <si>
    <t>#11937</t>
  </si>
  <si>
    <t>#24016</t>
  </si>
  <si>
    <t>#24009</t>
  </si>
  <si>
    <t>#19909</t>
  </si>
  <si>
    <t>#02547</t>
  </si>
  <si>
    <t>#23921</t>
  </si>
  <si>
    <t>#00116</t>
  </si>
  <si>
    <t>#00637</t>
  </si>
  <si>
    <t>#00072</t>
  </si>
  <si>
    <t>#08886</t>
  </si>
  <si>
    <t>QLSX-MEETING</t>
  </si>
  <si>
    <t>QLSX1.MEET</t>
  </si>
  <si>
    <t>BOT.QLSX</t>
  </si>
  <si>
    <t>#00990</t>
  </si>
  <si>
    <t>#01960</t>
  </si>
  <si>
    <t>#11403</t>
  </si>
  <si>
    <t>#02684</t>
  </si>
  <si>
    <t>#00683</t>
  </si>
  <si>
    <t>#00883</t>
  </si>
  <si>
    <t>#01214</t>
  </si>
  <si>
    <t>#01285</t>
  </si>
  <si>
    <t>#11798</t>
  </si>
  <si>
    <t>#13743</t>
  </si>
  <si>
    <t>#15940</t>
  </si>
  <si>
    <t>#12095</t>
  </si>
  <si>
    <t>#20906</t>
  </si>
  <si>
    <t>#09442</t>
  </si>
  <si>
    <t>#03037</t>
  </si>
  <si>
    <t>#24110</t>
  </si>
  <si>
    <t>#09755</t>
  </si>
  <si>
    <t>#00039</t>
  </si>
  <si>
    <t>#10186</t>
  </si>
  <si>
    <t>#02972</t>
  </si>
  <si>
    <t>#00941</t>
  </si>
  <si>
    <t>#00602</t>
  </si>
  <si>
    <t>#03359</t>
  </si>
  <si>
    <t>#04843</t>
  </si>
  <si>
    <t>#24007</t>
  </si>
  <si>
    <t>#10324</t>
  </si>
  <si>
    <t>#00138</t>
  </si>
  <si>
    <t>#01566</t>
  </si>
  <si>
    <t>#02322</t>
  </si>
  <si>
    <t>#07269</t>
  </si>
  <si>
    <t>#00470</t>
  </si>
  <si>
    <t>#03481</t>
  </si>
  <si>
    <t>#00038</t>
  </si>
  <si>
    <t>#07228</t>
  </si>
  <si>
    <t>#00798</t>
  </si>
  <si>
    <t>#00832</t>
  </si>
  <si>
    <t>#07039</t>
  </si>
  <si>
    <t>#21343</t>
  </si>
  <si>
    <t>#00400</t>
  </si>
  <si>
    <t>#02419</t>
  </si>
  <si>
    <t>#02183</t>
  </si>
  <si>
    <t>#07790</t>
  </si>
  <si>
    <t>#16479</t>
  </si>
  <si>
    <t>#10988</t>
  </si>
  <si>
    <t>#03439</t>
  </si>
  <si>
    <t>#03094</t>
  </si>
  <si>
    <t>#17617</t>
  </si>
  <si>
    <t>#00998</t>
  </si>
  <si>
    <t>#00279</t>
  </si>
  <si>
    <t>#00254</t>
  </si>
  <si>
    <t>#11553</t>
  </si>
  <si>
    <t>#11064</t>
  </si>
  <si>
    <t>#09567</t>
  </si>
  <si>
    <t>SON105-MEETING</t>
  </si>
  <si>
    <t>SON1.MEET</t>
  </si>
  <si>
    <t>#20055</t>
  </si>
  <si>
    <t>#08605</t>
  </si>
  <si>
    <t>#00125</t>
  </si>
  <si>
    <t>#00807</t>
  </si>
  <si>
    <t>#00844</t>
  </si>
  <si>
    <t>#00987</t>
  </si>
  <si>
    <t>#05539</t>
  </si>
  <si>
    <t>#09592</t>
  </si>
  <si>
    <t>#10613</t>
  </si>
  <si>
    <t>#01187</t>
  </si>
  <si>
    <t>#00811</t>
  </si>
  <si>
    <t>#00895</t>
  </si>
  <si>
    <t>DL02</t>
  </si>
  <si>
    <t>#01787</t>
  </si>
  <si>
    <t>#02630</t>
  </si>
  <si>
    <t>#19163</t>
  </si>
  <si>
    <t>#01936</t>
  </si>
  <si>
    <t>#03441</t>
  </si>
  <si>
    <t>#00834</t>
  </si>
  <si>
    <t>#19230</t>
  </si>
  <si>
    <t>#08917</t>
  </si>
  <si>
    <t>#02857</t>
  </si>
  <si>
    <t>#15502</t>
  </si>
  <si>
    <t>#07839</t>
  </si>
  <si>
    <t>#00868</t>
  </si>
  <si>
    <t>#07286</t>
  </si>
  <si>
    <t>#21906</t>
  </si>
  <si>
    <t>#10368</t>
  </si>
  <si>
    <t>#09866</t>
  </si>
  <si>
    <t>#17741</t>
  </si>
  <si>
    <t>#10367</t>
  </si>
  <si>
    <t>#00677</t>
  </si>
  <si>
    <t>#13581</t>
  </si>
  <si>
    <t>#01266</t>
  </si>
  <si>
    <t>#09568</t>
  </si>
  <si>
    <t>#01034</t>
  </si>
  <si>
    <t>#10495</t>
  </si>
  <si>
    <t>#03299</t>
  </si>
  <si>
    <t>#01644</t>
  </si>
  <si>
    <t>#09055</t>
  </si>
  <si>
    <t>#02260</t>
  </si>
  <si>
    <t>#01240</t>
  </si>
  <si>
    <t>#15895</t>
  </si>
  <si>
    <t>#03554</t>
  </si>
  <si>
    <t>#00288</t>
  </si>
  <si>
    <t>#00624</t>
  </si>
  <si>
    <t>#09096</t>
  </si>
  <si>
    <t>#00884</t>
  </si>
  <si>
    <t>#14201</t>
  </si>
  <si>
    <t>#19617</t>
  </si>
  <si>
    <t>#08954</t>
  </si>
  <si>
    <t>#00766</t>
  </si>
  <si>
    <t>#01014</t>
  </si>
  <si>
    <t>#07119</t>
  </si>
  <si>
    <t>Kinh doanh 業務部</t>
  </si>
  <si>
    <t>#24870</t>
  </si>
  <si>
    <t>#11288</t>
  </si>
  <si>
    <t>#14517</t>
  </si>
  <si>
    <t>#16629</t>
  </si>
  <si>
    <t>#04844</t>
  </si>
  <si>
    <t>#11287</t>
  </si>
  <si>
    <t>#14516</t>
  </si>
  <si>
    <t>#24409</t>
  </si>
  <si>
    <t>#14377</t>
  </si>
  <si>
    <t>#11581</t>
  </si>
  <si>
    <t>#08787</t>
  </si>
  <si>
    <t>#14150</t>
  </si>
  <si>
    <t>#24014</t>
  </si>
  <si>
    <t>#15628</t>
  </si>
  <si>
    <t>#22391</t>
  </si>
  <si>
    <t>#10507</t>
  </si>
  <si>
    <t>#03550</t>
  </si>
  <si>
    <t>#24570</t>
  </si>
  <si>
    <t>#24010</t>
  </si>
  <si>
    <t>#11799</t>
  </si>
  <si>
    <t>#23987</t>
  </si>
  <si>
    <t>#03423</t>
  </si>
  <si>
    <t>#24323</t>
  </si>
  <si>
    <t>#10704</t>
  </si>
  <si>
    <t>#10951</t>
  </si>
  <si>
    <t>#10839</t>
  </si>
  <si>
    <t>#09441</t>
  </si>
  <si>
    <t>#13855</t>
  </si>
  <si>
    <t>#11593</t>
  </si>
  <si>
    <t>#11458</t>
  </si>
  <si>
    <t>#01777</t>
  </si>
  <si>
    <t>#01204</t>
  </si>
  <si>
    <t>#14394</t>
  </si>
  <si>
    <t>#10369</t>
  </si>
  <si>
    <t>#07918</t>
  </si>
  <si>
    <t>#19423</t>
  </si>
  <si>
    <t>#16363</t>
  </si>
  <si>
    <t>#24329</t>
  </si>
  <si>
    <t>#24338</t>
  </si>
  <si>
    <t>#19818</t>
  </si>
  <si>
    <t>#20230</t>
  </si>
  <si>
    <t>#18500</t>
  </si>
  <si>
    <t>M1-MEETING</t>
  </si>
  <si>
    <t>M1</t>
  </si>
  <si>
    <t>M2-MEETING</t>
  </si>
  <si>
    <t>M2</t>
  </si>
  <si>
    <t>GDO 總經理室</t>
  </si>
  <si>
    <t>#12122</t>
  </si>
  <si>
    <t>#17577</t>
  </si>
  <si>
    <t>#09245</t>
  </si>
  <si>
    <t>#00661</t>
  </si>
  <si>
    <t>KTSX 生技</t>
  </si>
  <si>
    <t>#16143</t>
  </si>
  <si>
    <t>#17925</t>
  </si>
  <si>
    <t>#23862</t>
  </si>
  <si>
    <t>#24328</t>
  </si>
  <si>
    <t>#23793</t>
  </si>
  <si>
    <t>#23792</t>
  </si>
  <si>
    <t>#00127</t>
  </si>
  <si>
    <t>#24337</t>
  </si>
  <si>
    <t>#10949</t>
  </si>
  <si>
    <t>#17064</t>
  </si>
  <si>
    <t>#17952</t>
  </si>
  <si>
    <t>#16743</t>
  </si>
  <si>
    <t>#18155</t>
  </si>
  <si>
    <t>#19343</t>
  </si>
  <si>
    <t>#01574</t>
  </si>
  <si>
    <t>#22259</t>
  </si>
  <si>
    <t>#24569</t>
  </si>
  <si>
    <t>#24295</t>
  </si>
  <si>
    <t>#08898</t>
  </si>
  <si>
    <t>#08755</t>
  </si>
  <si>
    <t>#19766</t>
  </si>
  <si>
    <t>#13167</t>
  </si>
  <si>
    <t>#08894</t>
  </si>
  <si>
    <t>#16669</t>
  </si>
  <si>
    <t>#14595</t>
  </si>
  <si>
    <t>#22756</t>
  </si>
  <si>
    <t>#24642</t>
  </si>
  <si>
    <t>#17578</t>
  </si>
  <si>
    <t>#24336</t>
  </si>
  <si>
    <t>#14376</t>
  </si>
  <si>
    <t>#17646</t>
  </si>
  <si>
    <t>#13750</t>
  </si>
  <si>
    <t>#21835</t>
  </si>
  <si>
    <t>#08756</t>
  </si>
  <si>
    <t>#00658</t>
  </si>
  <si>
    <t>#18013</t>
  </si>
  <si>
    <t>#09590</t>
  </si>
  <si>
    <t>#09244</t>
  </si>
  <si>
    <t>#01737</t>
  </si>
  <si>
    <t>#01656</t>
  </si>
  <si>
    <t>#01914</t>
  </si>
  <si>
    <t>#00993</t>
  </si>
  <si>
    <t>#08889</t>
  </si>
  <si>
    <t>#24509</t>
  </si>
  <si>
    <t>#02824</t>
  </si>
  <si>
    <t>#18258</t>
  </si>
  <si>
    <t>#00740</t>
  </si>
  <si>
    <t>#00336</t>
  </si>
  <si>
    <t>#03489</t>
  </si>
  <si>
    <t>#01188</t>
  </si>
  <si>
    <t>#00369</t>
  </si>
  <si>
    <t>#01162</t>
  </si>
  <si>
    <t>#03499</t>
  </si>
  <si>
    <t>#17645</t>
  </si>
  <si>
    <t>#09870</t>
  </si>
  <si>
    <t>#20019</t>
  </si>
  <si>
    <t>#20907</t>
  </si>
  <si>
    <t>M7</t>
  </si>
  <si>
    <t>#10294</t>
  </si>
  <si>
    <t>#20194</t>
  </si>
  <si>
    <t>#09481</t>
  </si>
  <si>
    <t>#01443</t>
  </si>
  <si>
    <t>#03502</t>
  </si>
  <si>
    <t>#15950</t>
  </si>
  <si>
    <t>#16850</t>
  </si>
  <si>
    <t>#24122</t>
  </si>
  <si>
    <t>#03618</t>
  </si>
  <si>
    <t>#22261</t>
  </si>
  <si>
    <t>#00610</t>
  </si>
  <si>
    <t>#04036</t>
  </si>
  <si>
    <t>#09527</t>
  </si>
  <si>
    <t>#08941</t>
  </si>
  <si>
    <t>#10480</t>
  </si>
  <si>
    <t>#22147</t>
  </si>
  <si>
    <t>#13986</t>
  </si>
  <si>
    <t>#09878</t>
  </si>
  <si>
    <t>#01790</t>
  </si>
  <si>
    <t>VN.THUCTAP</t>
  </si>
  <si>
    <t>BOT.XNK</t>
  </si>
  <si>
    <t>#24294</t>
  </si>
  <si>
    <t>#00720</t>
  </si>
  <si>
    <t>#00376</t>
  </si>
  <si>
    <t>#05074</t>
  </si>
  <si>
    <t>#01967</t>
  </si>
  <si>
    <t>#01742</t>
  </si>
  <si>
    <t>#19409</t>
  </si>
  <si>
    <t>#15626</t>
  </si>
  <si>
    <t>#12760</t>
  </si>
  <si>
    <t>#11725</t>
  </si>
  <si>
    <t>#11132</t>
  </si>
  <si>
    <t>#13852</t>
  </si>
  <si>
    <t>#11723</t>
  </si>
  <si>
    <t>#00285</t>
  </si>
  <si>
    <t>#03798</t>
  </si>
  <si>
    <t>#10783</t>
  </si>
  <si>
    <t>#18143</t>
  </si>
  <si>
    <t>#03487</t>
  </si>
  <si>
    <t>#17912</t>
  </si>
  <si>
    <t xml:space="preserve"> #10953</t>
  </si>
  <si>
    <t>#04751</t>
  </si>
  <si>
    <t>#09587</t>
  </si>
  <si>
    <t>#12582</t>
  </si>
  <si>
    <t>#07179</t>
  </si>
  <si>
    <t>#05224</t>
  </si>
  <si>
    <t>#17794</t>
  </si>
  <si>
    <t>#10864</t>
  </si>
  <si>
    <t>#08232</t>
  </si>
  <si>
    <t>#17589</t>
  </si>
  <si>
    <t>#15625</t>
  </si>
  <si>
    <t>#13165</t>
  </si>
  <si>
    <t>#09586</t>
  </si>
  <si>
    <t>#17573</t>
  </si>
  <si>
    <t>#16002</t>
  </si>
  <si>
    <t>#10785</t>
  </si>
  <si>
    <t>#17356</t>
  </si>
  <si>
    <t>#12584</t>
  </si>
  <si>
    <t>#17886</t>
  </si>
  <si>
    <t>#12580</t>
  </si>
  <si>
    <t>#10879</t>
  </si>
  <si>
    <t>#16290</t>
  </si>
  <si>
    <t>#15629</t>
  </si>
  <si>
    <t>#17474</t>
  </si>
  <si>
    <t>#13668</t>
  </si>
  <si>
    <t>#21398</t>
  </si>
  <si>
    <t>#12404</t>
  </si>
  <si>
    <t>#04750</t>
  </si>
  <si>
    <t>#12761</t>
  </si>
  <si>
    <t>#17732</t>
  </si>
  <si>
    <t>#17795</t>
  </si>
  <si>
    <t>#12403</t>
  </si>
  <si>
    <t>#16003</t>
  </si>
  <si>
    <t>#10955</t>
  </si>
  <si>
    <t>#13090</t>
  </si>
  <si>
    <t>#00490</t>
  </si>
  <si>
    <t>#13672</t>
  </si>
  <si>
    <t>#01955</t>
  </si>
  <si>
    <t>#10954</t>
  </si>
  <si>
    <t>#10945</t>
  </si>
  <si>
    <t>#09589</t>
  </si>
  <si>
    <t>#19129</t>
  </si>
  <si>
    <t>#08128</t>
  </si>
  <si>
    <t>KF-MEETING</t>
  </si>
  <si>
    <t>KF.MEET</t>
  </si>
  <si>
    <t>#17582</t>
  </si>
  <si>
    <t>#15627</t>
  </si>
  <si>
    <t>#12038</t>
  </si>
  <si>
    <t>#12808</t>
  </si>
  <si>
    <t>#10784</t>
  </si>
  <si>
    <t>#03889</t>
  </si>
  <si>
    <t>#17730</t>
  </si>
  <si>
    <t>#10863</t>
  </si>
  <si>
    <t>#16289</t>
  </si>
  <si>
    <t>#17911</t>
  </si>
  <si>
    <t>#10610</t>
  </si>
  <si>
    <t>#11131</t>
  </si>
  <si>
    <t>#17731</t>
  </si>
  <si>
    <t>#10878</t>
  </si>
  <si>
    <t>#12405</t>
  </si>
  <si>
    <t>#11724</t>
  </si>
  <si>
    <t>#01057</t>
  </si>
  <si>
    <t>#08552</t>
  </si>
  <si>
    <t>#12583</t>
  </si>
  <si>
    <t>#18062</t>
  </si>
  <si>
    <t>#17581</t>
  </si>
  <si>
    <t>#13321</t>
  </si>
  <si>
    <t>#16851</t>
  </si>
  <si>
    <t>#17913</t>
  </si>
  <si>
    <t>#17647</t>
  </si>
  <si>
    <t>#10611</t>
  </si>
  <si>
    <t>#18468</t>
  </si>
  <si>
    <t>#19545</t>
  </si>
  <si>
    <t>#13669</t>
  </si>
  <si>
    <t>#19753</t>
  </si>
  <si>
    <t>#11658</t>
  </si>
  <si>
    <t>#11632</t>
  </si>
  <si>
    <t>#20149</t>
  </si>
  <si>
    <t>#14081</t>
  </si>
  <si>
    <t>#02543</t>
  </si>
  <si>
    <t>#02642</t>
  </si>
  <si>
    <t>#21265</t>
  </si>
  <si>
    <t>#13074</t>
  </si>
  <si>
    <t>#00799</t>
  </si>
  <si>
    <t>#20024</t>
  </si>
  <si>
    <t>#18082</t>
  </si>
  <si>
    <t>#10861</t>
  </si>
  <si>
    <t>#17885</t>
  </si>
  <si>
    <t>#06382</t>
  </si>
  <si>
    <t>#01066</t>
  </si>
  <si>
    <t>#00640</t>
  </si>
  <si>
    <t>#10605</t>
  </si>
  <si>
    <t>#11706</t>
  </si>
  <si>
    <t>#08904</t>
  </si>
  <si>
    <t>#01705</t>
  </si>
  <si>
    <t>#10567</t>
  </si>
  <si>
    <t>#07702</t>
  </si>
  <si>
    <t>#07153</t>
  </si>
  <si>
    <t>#01465</t>
  </si>
  <si>
    <t>#10406</t>
  </si>
  <si>
    <t>#16198</t>
  </si>
  <si>
    <t>#03048</t>
  </si>
  <si>
    <t>#18894</t>
  </si>
  <si>
    <t>#06436</t>
  </si>
  <si>
    <t>#01706</t>
  </si>
  <si>
    <t>#09787</t>
  </si>
  <si>
    <t>#00606</t>
  </si>
  <si>
    <t>#00259</t>
  </si>
  <si>
    <t>#11714</t>
  </si>
  <si>
    <t>#19425</t>
  </si>
  <si>
    <t>#24125</t>
  </si>
  <si>
    <t>#03408</t>
  </si>
  <si>
    <t>#20193</t>
  </si>
  <si>
    <t>#00079</t>
  </si>
  <si>
    <t>#04104</t>
  </si>
  <si>
    <t>#24525</t>
  </si>
  <si>
    <t>#10693</t>
  </si>
  <si>
    <t>#24081</t>
  </si>
  <si>
    <t>#00913</t>
  </si>
  <si>
    <t>#11402</t>
  </si>
  <si>
    <t>#06237</t>
  </si>
  <si>
    <t>#03480</t>
  </si>
  <si>
    <t>#17025</t>
  </si>
  <si>
    <t>#24084</t>
  </si>
  <si>
    <t>#19777</t>
  </si>
  <si>
    <t>#13847</t>
  </si>
  <si>
    <t>#15704</t>
  </si>
  <si>
    <t>#12014</t>
  </si>
  <si>
    <t>#11901</t>
  </si>
  <si>
    <t>#01413</t>
  </si>
  <si>
    <t>#10636</t>
  </si>
  <si>
    <t>#15705</t>
  </si>
  <si>
    <t>DAP407-MEETING</t>
  </si>
  <si>
    <t>#10595</t>
  </si>
  <si>
    <t>#16434</t>
  </si>
  <si>
    <t>#04708</t>
  </si>
  <si>
    <t>#00758</t>
  </si>
  <si>
    <t>#00405</t>
  </si>
  <si>
    <t>#08949</t>
  </si>
  <si>
    <t>#00231</t>
  </si>
  <si>
    <t>#02295</t>
  </si>
  <si>
    <t>#02196</t>
  </si>
  <si>
    <t>#24199</t>
  </si>
  <si>
    <t>#00379</t>
  </si>
  <si>
    <t>#00213</t>
  </si>
  <si>
    <t>#07948</t>
  </si>
  <si>
    <t>#07281</t>
  </si>
  <si>
    <t>#00334</t>
  </si>
  <si>
    <t>#04015</t>
  </si>
  <si>
    <t>#01919</t>
  </si>
  <si>
    <t>#00464</t>
  </si>
  <si>
    <t>#09879</t>
  </si>
  <si>
    <t>#01386</t>
  </si>
  <si>
    <t>#14021</t>
  </si>
  <si>
    <t>#07843</t>
  </si>
  <si>
    <t>#01527</t>
  </si>
  <si>
    <t>#01015</t>
  </si>
  <si>
    <t>#04197</t>
  </si>
  <si>
    <t>#01555</t>
  </si>
  <si>
    <t>#00662</t>
  </si>
  <si>
    <t>#01294</t>
  </si>
  <si>
    <t>#23102</t>
  </si>
  <si>
    <t>#02646</t>
  </si>
  <si>
    <t>#03615</t>
  </si>
  <si>
    <t>MEETING-KT</t>
  </si>
  <si>
    <t>TV.MEET</t>
  </si>
  <si>
    <t>#01525</t>
  </si>
  <si>
    <t>#01436</t>
  </si>
  <si>
    <t>#00776</t>
  </si>
  <si>
    <t>#02611</t>
  </si>
  <si>
    <t>#01373</t>
  </si>
  <si>
    <t>#00917</t>
  </si>
  <si>
    <t>#01198</t>
  </si>
  <si>
    <t>#16878</t>
  </si>
  <si>
    <t>#01021</t>
  </si>
  <si>
    <t>#09194</t>
  </si>
  <si>
    <t>#19005</t>
  </si>
  <si>
    <t>#00167</t>
  </si>
  <si>
    <t>#22029</t>
  </si>
  <si>
    <t>#01906</t>
  </si>
  <si>
    <t>#01376</t>
  </si>
  <si>
    <t>#01911</t>
  </si>
  <si>
    <t>#18616</t>
  </si>
  <si>
    <t>#01167</t>
  </si>
  <si>
    <t>#11988</t>
  </si>
  <si>
    <t>#09784</t>
  </si>
  <si>
    <t>#19427</t>
  </si>
  <si>
    <t>#14019</t>
  </si>
  <si>
    <t>#00234</t>
  </si>
  <si>
    <t>#10140</t>
  </si>
  <si>
    <t>#01309</t>
  </si>
  <si>
    <t>#16577</t>
  </si>
  <si>
    <t>#16917</t>
  </si>
  <si>
    <t>#02131</t>
  </si>
  <si>
    <t>#21794</t>
  </si>
  <si>
    <t>#16439</t>
  </si>
  <si>
    <t>#20363</t>
  </si>
  <si>
    <t>#00930</t>
  </si>
  <si>
    <t>#15378</t>
  </si>
  <si>
    <t>#01434</t>
  </si>
  <si>
    <t>#18327</t>
  </si>
  <si>
    <t>#02985</t>
  </si>
  <si>
    <t>#17213</t>
  </si>
  <si>
    <t>#22881</t>
  </si>
  <si>
    <t>#23748</t>
  </si>
  <si>
    <t>#23101</t>
  </si>
  <si>
    <t>#24325</t>
  </si>
  <si>
    <t>#24327</t>
  </si>
  <si>
    <t>#24330</t>
  </si>
  <si>
    <t>#24326</t>
  </si>
  <si>
    <t>GC-MEETING</t>
  </si>
  <si>
    <t>GC.MEET</t>
  </si>
  <si>
    <t>#17950</t>
  </si>
  <si>
    <t>#11314</t>
  </si>
  <si>
    <t>#09655</t>
  </si>
  <si>
    <t>#06831</t>
  </si>
  <si>
    <t>#00931</t>
  </si>
  <si>
    <t>#02261</t>
  </si>
  <si>
    <t>#08753</t>
  </si>
  <si>
    <t>#08555</t>
  </si>
  <si>
    <t>#14121</t>
  </si>
  <si>
    <t>#00806</t>
  </si>
  <si>
    <t>#09253</t>
  </si>
  <si>
    <t>#01614</t>
  </si>
  <si>
    <t>#01662</t>
  </si>
  <si>
    <t>#01932</t>
  </si>
  <si>
    <t>#15573</t>
  </si>
  <si>
    <t>#01233</t>
  </si>
  <si>
    <t>#02421</t>
  </si>
  <si>
    <t>#04267</t>
  </si>
  <si>
    <t>#21090</t>
  </si>
  <si>
    <t>#04268</t>
  </si>
  <si>
    <t>#06492</t>
  </si>
  <si>
    <t>#01273</t>
  </si>
  <si>
    <t>#00433</t>
  </si>
  <si>
    <t>#22094</t>
  </si>
  <si>
    <t>#15013</t>
  </si>
  <si>
    <t>#03562</t>
  </si>
  <si>
    <t>#06747</t>
  </si>
  <si>
    <t>#09077</t>
  </si>
  <si>
    <t>#07966</t>
  </si>
  <si>
    <t>#02420</t>
  </si>
  <si>
    <t>#04029</t>
  </si>
  <si>
    <t>#02529</t>
  </si>
  <si>
    <t>#09759</t>
  </si>
  <si>
    <t>#07279</t>
  </si>
  <si>
    <t>#04021</t>
  </si>
  <si>
    <t>#19426</t>
  </si>
  <si>
    <t>#03790</t>
  </si>
  <si>
    <t>#10979</t>
  </si>
  <si>
    <t>#01235</t>
  </si>
  <si>
    <t>#06404</t>
  </si>
  <si>
    <t>#03168</t>
  </si>
  <si>
    <t>#10070</t>
  </si>
  <si>
    <t>#00269</t>
  </si>
  <si>
    <t>#00256</t>
  </si>
  <si>
    <t>#14798</t>
  </si>
  <si>
    <t>#05225</t>
  </si>
  <si>
    <t>#11364</t>
  </si>
  <si>
    <t>#07195</t>
  </si>
  <si>
    <t>#02696</t>
  </si>
  <si>
    <t>#02413</t>
  </si>
  <si>
    <t>#15388</t>
  </si>
  <si>
    <t>#01267</t>
  </si>
  <si>
    <t>DAP5-MEETING</t>
  </si>
  <si>
    <t>DAP5.MEET</t>
  </si>
  <si>
    <t>#10828</t>
  </si>
  <si>
    <t>#08561</t>
  </si>
  <si>
    <t>#00576</t>
  </si>
  <si>
    <t>#06994</t>
  </si>
  <si>
    <t>#13456</t>
  </si>
  <si>
    <t>#11580</t>
  </si>
  <si>
    <t>#16268</t>
  </si>
  <si>
    <t>#00462</t>
  </si>
  <si>
    <t>#24210</t>
  </si>
  <si>
    <t>Vpic1@2024</t>
  </si>
  <si>
    <t>#22028</t>
  </si>
  <si>
    <t>#16138</t>
  </si>
  <si>
    <t>#24085</t>
  </si>
  <si>
    <t>#24112</t>
  </si>
  <si>
    <t>#24322</t>
  </si>
  <si>
    <t>#24320</t>
  </si>
  <si>
    <t>M6-MEETING</t>
  </si>
  <si>
    <t>M6</t>
  </si>
  <si>
    <t>#01959</t>
  </si>
  <si>
    <t>#18119</t>
  </si>
  <si>
    <t>#01653</t>
  </si>
  <si>
    <t>#03027</t>
  </si>
  <si>
    <t>#02692</t>
  </si>
  <si>
    <t>#24206</t>
  </si>
  <si>
    <t>#17175</t>
  </si>
  <si>
    <t>#00952</t>
  </si>
  <si>
    <t>#09482</t>
  </si>
  <si>
    <t>#19164</t>
  </si>
  <si>
    <t>#00235</t>
  </si>
  <si>
    <t>X6-MEETING</t>
  </si>
  <si>
    <t>X6.MEET</t>
  </si>
  <si>
    <t>#18660</t>
  </si>
  <si>
    <t>#20599</t>
  </si>
  <si>
    <t>#24508</t>
  </si>
  <si>
    <t>#21313</t>
  </si>
  <si>
    <t>#21137</t>
  </si>
  <si>
    <t>#21314</t>
  </si>
  <si>
    <t>#01909</t>
  </si>
  <si>
    <t>#03282</t>
  </si>
  <si>
    <t>#00172</t>
  </si>
  <si>
    <t>#12804</t>
  </si>
  <si>
    <t>#10109</t>
  </si>
  <si>
    <t>#19546</t>
  </si>
  <si>
    <t>#22077</t>
  </si>
  <si>
    <t>#02257</t>
  </si>
  <si>
    <t>#22410</t>
  </si>
  <si>
    <t>#01268</t>
  </si>
  <si>
    <t>#22409</t>
  </si>
  <si>
    <t>#01543</t>
  </si>
  <si>
    <t>#06887</t>
  </si>
  <si>
    <t>#24765</t>
  </si>
  <si>
    <t>#00533</t>
  </si>
  <si>
    <t>#20292</t>
  </si>
  <si>
    <t>#22095</t>
  </si>
  <si>
    <t>#19406</t>
  </si>
  <si>
    <t>#24751</t>
  </si>
  <si>
    <t>#24318</t>
  </si>
  <si>
    <t>#18433</t>
  </si>
  <si>
    <t>#10452</t>
  </si>
  <si>
    <t>#22757</t>
  </si>
  <si>
    <t>#00082</t>
  </si>
  <si>
    <t>CV cần thực hiện:</t>
  </si>
  <si>
    <t>中文姓名
Tên tiếng Trung</t>
  </si>
  <si>
    <t>英文
Tên tiếng Anh</t>
  </si>
  <si>
    <t>Status</t>
  </si>
  <si>
    <t>EXEC</t>
  </si>
  <si>
    <t>DL01</t>
  </si>
  <si>
    <t>詹文龍</t>
  </si>
  <si>
    <t>CHAN WEN LONG</t>
  </si>
  <si>
    <t>SON</t>
  </si>
  <si>
    <t>陳宏鐘</t>
  </si>
  <si>
    <t>CHEN HUNG CHUNG</t>
  </si>
  <si>
    <t>ADMI</t>
  </si>
  <si>
    <t>DL05</t>
  </si>
  <si>
    <t>廖仁成</t>
  </si>
  <si>
    <t>LIAO JEN CHENG</t>
  </si>
  <si>
    <t>KAIFA</t>
  </si>
  <si>
    <t>DL06</t>
  </si>
  <si>
    <t>廖俊興</t>
  </si>
  <si>
    <t>LIAO CHUN HSING</t>
  </si>
  <si>
    <t>Ban RD</t>
  </si>
  <si>
    <t>DL10</t>
  </si>
  <si>
    <t>詹前錦</t>
  </si>
  <si>
    <t>CHAN CHIEN CHIN</t>
  </si>
  <si>
    <t>DUC</t>
  </si>
  <si>
    <t>DL109</t>
  </si>
  <si>
    <t>莊道弦</t>
  </si>
  <si>
    <t>CHUANG TAO HSIEN</t>
  </si>
  <si>
    <t>QC</t>
  </si>
  <si>
    <t>DL110</t>
  </si>
  <si>
    <t>李志迪</t>
  </si>
  <si>
    <t>LEE CHIH DI</t>
  </si>
  <si>
    <t>DL111</t>
  </si>
  <si>
    <t>謝啓山</t>
  </si>
  <si>
    <t>HSIEH CHI SHAN</t>
  </si>
  <si>
    <t>VP. TGD</t>
  </si>
  <si>
    <t>DL112</t>
  </si>
  <si>
    <t>蔡協奉</t>
  </si>
  <si>
    <t>TSAI HSIEH FENG</t>
  </si>
  <si>
    <t>Ban KTSX</t>
  </si>
  <si>
    <t>DL122</t>
  </si>
  <si>
    <t>林高偉</t>
  </si>
  <si>
    <t>LIN KAO WEI</t>
  </si>
  <si>
    <t>H6</t>
  </si>
  <si>
    <t>DL114</t>
  </si>
  <si>
    <t>曾俊達</t>
  </si>
  <si>
    <t>TSENG CHUN TA</t>
  </si>
  <si>
    <t>DL120</t>
  </si>
  <si>
    <t>林冠廷</t>
  </si>
  <si>
    <t>LIN KUAN TING</t>
  </si>
  <si>
    <t>KTSX</t>
  </si>
  <si>
    <t>PRODX1</t>
  </si>
  <si>
    <t>DL13</t>
  </si>
  <si>
    <t>張士聖</t>
  </si>
  <si>
    <t>CHANG SHIH SHENG</t>
  </si>
  <si>
    <t>Ban VP. TGD</t>
  </si>
  <si>
    <t>DL19</t>
  </si>
  <si>
    <t>吳聰武</t>
  </si>
  <si>
    <t>WU TSONG WUU</t>
  </si>
  <si>
    <t>QLSX</t>
  </si>
  <si>
    <t>DL57</t>
  </si>
  <si>
    <t>游騰茂</t>
  </si>
  <si>
    <t>YU TENG MAO</t>
  </si>
  <si>
    <t>DL70</t>
  </si>
  <si>
    <t>游棋明</t>
  </si>
  <si>
    <t>YU CHI MING</t>
  </si>
  <si>
    <t>Tài vụ</t>
  </si>
  <si>
    <t>DL71</t>
  </si>
  <si>
    <t>蔡正春</t>
  </si>
  <si>
    <t>TSAI CHENG CHUN</t>
  </si>
  <si>
    <t>DL76</t>
  </si>
  <si>
    <t>王正文</t>
  </si>
  <si>
    <t>WANG, CHENG-WEN</t>
  </si>
  <si>
    <t>Kinh doanh</t>
  </si>
  <si>
    <t>DL77</t>
  </si>
  <si>
    <t>曾創愉</t>
  </si>
  <si>
    <t>TSENG CHUANG YU</t>
  </si>
  <si>
    <t>DL89</t>
  </si>
  <si>
    <t>陳伯宇</t>
  </si>
  <si>
    <t>CHEN PO-YU</t>
  </si>
  <si>
    <t>Máy tính</t>
  </si>
  <si>
    <t>DL90</t>
  </si>
  <si>
    <t>陳嘉元</t>
  </si>
  <si>
    <t>CHEN CHIA YUAN</t>
  </si>
  <si>
    <t>DL92</t>
  </si>
  <si>
    <t>陳銘哲</t>
  </si>
  <si>
    <t>CHEN MING-TSE</t>
  </si>
  <si>
    <t>Thu mua (Tiêu hao)</t>
  </si>
  <si>
    <t>TQ53</t>
  </si>
  <si>
    <t>曾德鵬</t>
  </si>
  <si>
    <t>ZENG DE PENG</t>
  </si>
  <si>
    <t>Sản xuất 6</t>
  </si>
  <si>
    <t>DL119</t>
  </si>
  <si>
    <t>古正良</t>
  </si>
  <si>
    <t>KU CHENG LIANG</t>
  </si>
  <si>
    <t>Cung ứng vận tư (TM)</t>
  </si>
  <si>
    <t>DL123</t>
  </si>
  <si>
    <t>侯輝源</t>
  </si>
  <si>
    <t>HOU HUI YUAN</t>
  </si>
  <si>
    <t>KSNB</t>
  </si>
  <si>
    <t>DL124</t>
  </si>
  <si>
    <t>林禹彤</t>
  </si>
  <si>
    <t>LIN YU TUNG</t>
  </si>
  <si>
    <t>QLTB</t>
  </si>
  <si>
    <t>Công vụ</t>
  </si>
  <si>
    <t>DL115</t>
  </si>
  <si>
    <t>蔡浩然</t>
  </si>
  <si>
    <t>TSAI HAO JAN</t>
  </si>
  <si>
    <t>DL94</t>
  </si>
  <si>
    <t>林宜慶</t>
  </si>
  <si>
    <t>DL126</t>
  </si>
  <si>
    <t>林子翔</t>
  </si>
  <si>
    <t>Kaifa X6</t>
  </si>
  <si>
    <t>DL125</t>
  </si>
  <si>
    <t>吳仲琪</t>
  </si>
  <si>
    <t>WU CHUNG CHI</t>
  </si>
  <si>
    <t>#24324</t>
  </si>
  <si>
    <t>#24851</t>
  </si>
  <si>
    <t>#03387</t>
  </si>
  <si>
    <t>#00046</t>
  </si>
  <si>
    <t>#09874</t>
  </si>
  <si>
    <t>#05077</t>
  </si>
  <si>
    <t>#11422</t>
  </si>
  <si>
    <t>#04254</t>
  </si>
  <si>
    <t>#24332</t>
  </si>
  <si>
    <t>#24124</t>
  </si>
  <si>
    <t xml:space="preserve">Disable </t>
  </si>
  <si>
    <t>Delete</t>
  </si>
  <si>
    <t>#15725</t>
  </si>
  <si>
    <t>#03500</t>
  </si>
  <si>
    <t>#04427</t>
  </si>
  <si>
    <t>#01534</t>
  </si>
  <si>
    <t>#24687</t>
  </si>
  <si>
    <t>#24335</t>
  </si>
  <si>
    <t>#07844</t>
  </si>
  <si>
    <t>THUC TAP</t>
  </si>
  <si>
    <t>IS</t>
  </si>
  <si>
    <t>#19951</t>
  </si>
  <si>
    <t>#20612</t>
  </si>
  <si>
    <t>#03671</t>
  </si>
  <si>
    <t>#24333</t>
  </si>
  <si>
    <t>DAP4.MEET</t>
  </si>
  <si>
    <t>An toàn - Môi trường 安環室</t>
  </si>
  <si>
    <t>Cán ống 製管事業部</t>
  </si>
  <si>
    <t>Cắt 3 三 廠素材</t>
  </si>
  <si>
    <t>Công Vụ 工務</t>
  </si>
  <si>
    <t>Dập 1 一廠沖壓</t>
  </si>
  <si>
    <t>Dập 3 三廠沖壓</t>
  </si>
  <si>
    <t>Dập 4 四廠沖壓</t>
  </si>
  <si>
    <t>Dập 5 五廠沖壓</t>
  </si>
  <si>
    <t>Dập 6  六廠沖壓</t>
  </si>
  <si>
    <t>Đúc 壓鑄部</t>
  </si>
  <si>
    <t>Gia công 加工部</t>
  </si>
  <si>
    <t xml:space="preserve">Hàn 1  一廠焊接 </t>
  </si>
  <si>
    <t>Hàn 3 三廠焊接</t>
  </si>
  <si>
    <t>Hàn 6 六廠焊接</t>
  </si>
  <si>
    <t xml:space="preserve">Kaifa  開發課 </t>
  </si>
  <si>
    <t>KHO LK1 一廠零件庫</t>
  </si>
  <si>
    <t>KHO LK3 三廠零件庫</t>
  </si>
  <si>
    <t>KHO NL1 一廠原料庫</t>
  </si>
  <si>
    <t>Khuôn mẫu 模具課</t>
  </si>
  <si>
    <t xml:space="preserve">KSNB 稽核室 </t>
  </si>
  <si>
    <t>Lắp ráp 6 六廠組裝</t>
  </si>
  <si>
    <t>Lắp ráp 組裝</t>
  </si>
  <si>
    <t>Nhân sự-tổng vụ 人事-總務</t>
  </si>
  <si>
    <t>QC 1 一廠品管</t>
  </si>
  <si>
    <t>QC 2 二廠品管</t>
  </si>
  <si>
    <t>QC 5 五廠品管</t>
  </si>
  <si>
    <t>QC 6 六廠品管</t>
  </si>
  <si>
    <t>QLK 2 二廠倉管部</t>
  </si>
  <si>
    <t>QLK 4 四廠倉庫</t>
  </si>
  <si>
    <t>QLK 5 五廠倉管部</t>
  </si>
  <si>
    <t>QLK 6 六廠倉管部</t>
  </si>
  <si>
    <t>QLSX 1 一廠生管</t>
  </si>
  <si>
    <t>QLSX 2 二廠生管</t>
  </si>
  <si>
    <t>QLSX 6 六廠生管</t>
  </si>
  <si>
    <t>QLTB 設管</t>
  </si>
  <si>
    <t>Sơn 1 一廠塗裝</t>
  </si>
  <si>
    <t xml:space="preserve">Sơn 2  二廠塗裝 </t>
  </si>
  <si>
    <t>Sơn 3 三廠塗裝</t>
  </si>
  <si>
    <t>Sơn 6 六廠塗裝</t>
  </si>
  <si>
    <t>Tài vụ  財務部</t>
  </si>
  <si>
    <t>Thu mua  採購</t>
  </si>
  <si>
    <t>Xuất nhập khẩu 進出口</t>
  </si>
  <si>
    <t>Y Tế  醫務室</t>
  </si>
  <si>
    <t>Grand Total</t>
  </si>
  <si>
    <t>Count of USER</t>
  </si>
  <si>
    <t>Count of Delete</t>
  </si>
  <si>
    <t xml:space="preserve">Count of Disable </t>
  </si>
  <si>
    <t>Hàn 5 五廠焊接</t>
  </si>
  <si>
    <t>Values</t>
  </si>
  <si>
    <t>#24901</t>
  </si>
  <si>
    <t>Name</t>
  </si>
  <si>
    <t>Nguyễn Ngọc Cương</t>
  </si>
  <si>
    <t>Phòng</t>
  </si>
  <si>
    <t>Lê Văn Trưởng</t>
  </si>
  <si>
    <t>00038</t>
  </si>
  <si>
    <t>Hàn X1</t>
  </si>
  <si>
    <t>Nguyễn Văn Minh</t>
  </si>
  <si>
    <t>00039</t>
  </si>
  <si>
    <t>Nguyễn Văn Xuân</t>
  </si>
  <si>
    <t>00041</t>
  </si>
  <si>
    <t>QLK</t>
  </si>
  <si>
    <t>Nguyễn Quốc Hoàn</t>
  </si>
  <si>
    <t>00046</t>
  </si>
  <si>
    <t>Cắt Laser</t>
  </si>
  <si>
    <t>Nguyễn Văn Bích</t>
  </si>
  <si>
    <t>00056</t>
  </si>
  <si>
    <t>Nguyễn Duy Dũng</t>
  </si>
  <si>
    <t>00063</t>
  </si>
  <si>
    <t>Sơn X3</t>
  </si>
  <si>
    <t>Nguyễn Anh Tiến</t>
  </si>
  <si>
    <t>00067</t>
  </si>
  <si>
    <t>Khuôn mẫu</t>
  </si>
  <si>
    <t>Nguyễn Hữu Thắng</t>
  </si>
  <si>
    <t>00069</t>
  </si>
  <si>
    <t>Trần Đức Quang</t>
  </si>
  <si>
    <t>00072</t>
  </si>
  <si>
    <t>Phạm Thị Hồng Việt</t>
  </si>
  <si>
    <t>00079</t>
  </si>
  <si>
    <t>Lê Văn Duy</t>
  </si>
  <si>
    <t>00082</t>
  </si>
  <si>
    <t>Sơn X6</t>
  </si>
  <si>
    <t>Phạm Sỹ Vượng</t>
  </si>
  <si>
    <t>00110</t>
  </si>
  <si>
    <t>Lê Văn Năm</t>
  </si>
  <si>
    <t>00112</t>
  </si>
  <si>
    <t>Vũ Huy Chung</t>
  </si>
  <si>
    <t>00116</t>
  </si>
  <si>
    <t>Nguyễn Hồng Cường</t>
  </si>
  <si>
    <t>00119</t>
  </si>
  <si>
    <t>CNC X1</t>
  </si>
  <si>
    <t>Nguyễn Văn Lý</t>
  </si>
  <si>
    <t>00121</t>
  </si>
  <si>
    <t>Dập X4</t>
  </si>
  <si>
    <t>Đỗ Văn Hạnh</t>
  </si>
  <si>
    <t>00125</t>
  </si>
  <si>
    <t>Dương Đức Giang</t>
  </si>
  <si>
    <t>00127</t>
  </si>
  <si>
    <t>Vũ Văn Quyết</t>
  </si>
  <si>
    <t>00130</t>
  </si>
  <si>
    <t>Tổng vụ</t>
  </si>
  <si>
    <t>Cù Huy Khải</t>
  </si>
  <si>
    <t>00135</t>
  </si>
  <si>
    <t>Hàn X3</t>
  </si>
  <si>
    <t>Phạm Văn Tuân</t>
  </si>
  <si>
    <t>00137</t>
  </si>
  <si>
    <t>Lương Trọng Đoàn</t>
  </si>
  <si>
    <t>00138</t>
  </si>
  <si>
    <t>Trần Quang Sáu</t>
  </si>
  <si>
    <t>00140</t>
  </si>
  <si>
    <t>Nguyễn Quỳnh Lưu</t>
  </si>
  <si>
    <t>00168</t>
  </si>
  <si>
    <t>Vũ Văn Thành</t>
  </si>
  <si>
    <t>00172</t>
  </si>
  <si>
    <t>Dập X6</t>
  </si>
  <si>
    <t>Hà Đức Giang</t>
  </si>
  <si>
    <t>00179</t>
  </si>
  <si>
    <t>Bùi Doãn Bình</t>
  </si>
  <si>
    <t>00180</t>
  </si>
  <si>
    <t>Dương Văn Nam</t>
  </si>
  <si>
    <t>00181</t>
  </si>
  <si>
    <t>Phùng Văn Toản</t>
  </si>
  <si>
    <t>00182</t>
  </si>
  <si>
    <t>Sơn ED</t>
  </si>
  <si>
    <t>Lê Văn Bảo</t>
  </si>
  <si>
    <t>00186</t>
  </si>
  <si>
    <t>Nguyễn Văn Đức</t>
  </si>
  <si>
    <t>00189</t>
  </si>
  <si>
    <t>Đỗ Hồng Ngoại</t>
  </si>
  <si>
    <t>00193</t>
  </si>
  <si>
    <t>Phạm Quang Vĩnh</t>
  </si>
  <si>
    <t>00197</t>
  </si>
  <si>
    <t>Triệu Minh Đức</t>
  </si>
  <si>
    <t>00200</t>
  </si>
  <si>
    <t>Phạm Văn Hòa</t>
  </si>
  <si>
    <t>00208</t>
  </si>
  <si>
    <t>Vũ Thanh Tùng</t>
  </si>
  <si>
    <t>00213</t>
  </si>
  <si>
    <t>Nguyễn Văn Thuỷ</t>
  </si>
  <si>
    <t>00221</t>
  </si>
  <si>
    <t>Lâm Quang Hải</t>
  </si>
  <si>
    <t>00231</t>
  </si>
  <si>
    <t>Nguyễn Văn Hiếu</t>
  </si>
  <si>
    <t>00234</t>
  </si>
  <si>
    <t>Gia công</t>
  </si>
  <si>
    <t>Nguyễn Văn Cường</t>
  </si>
  <si>
    <t>00235</t>
  </si>
  <si>
    <t>Đỗ Văn Hùng</t>
  </si>
  <si>
    <t>00248</t>
  </si>
  <si>
    <t>Dương Văn Tường</t>
  </si>
  <si>
    <t>00254</t>
  </si>
  <si>
    <t>Dập X1</t>
  </si>
  <si>
    <t>Nguyễn Văn Lực</t>
  </si>
  <si>
    <t>00256</t>
  </si>
  <si>
    <t>Vũ Thị Ngọc Anh</t>
  </si>
  <si>
    <t>00259</t>
  </si>
  <si>
    <t>Nguyễn Văn Quang</t>
  </si>
  <si>
    <t>00260</t>
  </si>
  <si>
    <t>Ngô Văn Ơn</t>
  </si>
  <si>
    <t>00264</t>
  </si>
  <si>
    <t>Lăng Thị Xuân Thương</t>
  </si>
  <si>
    <t>00269</t>
  </si>
  <si>
    <t>Nguyễn Văn Hùng</t>
  </si>
  <si>
    <t>00277</t>
  </si>
  <si>
    <t>Nguyễn Tiến Dũng</t>
  </si>
  <si>
    <t>00279</t>
  </si>
  <si>
    <t>Lê Thanh Hải</t>
  </si>
  <si>
    <t>00281</t>
  </si>
  <si>
    <t>Đàm Thị Kim Liên</t>
  </si>
  <si>
    <t>00285</t>
  </si>
  <si>
    <t>Kaifa</t>
  </si>
  <si>
    <t>Dương Thị Thoả</t>
  </si>
  <si>
    <t>00288</t>
  </si>
  <si>
    <t>Phạm Văn Quỳnh</t>
  </si>
  <si>
    <t>00289</t>
  </si>
  <si>
    <t>Uông Sỹ Phú</t>
  </si>
  <si>
    <t>00293</t>
  </si>
  <si>
    <t>Mai Văn Thành</t>
  </si>
  <si>
    <t>00295</t>
  </si>
  <si>
    <t>Vi Đức Việt</t>
  </si>
  <si>
    <t>00296</t>
  </si>
  <si>
    <t>Đặng Thị Thu Huyền</t>
  </si>
  <si>
    <t>00299</t>
  </si>
  <si>
    <t>Nguyễn Văn Tám</t>
  </si>
  <si>
    <t>00303</t>
  </si>
  <si>
    <t>Tô Văn Hoàn</t>
  </si>
  <si>
    <t>00315</t>
  </si>
  <si>
    <t>Nguyễn Huy Toàn</t>
  </si>
  <si>
    <t>00326</t>
  </si>
  <si>
    <t>Nguyễn Thị Thu Hương</t>
  </si>
  <si>
    <t>00328</t>
  </si>
  <si>
    <t>Dương Quốc Toản</t>
  </si>
  <si>
    <t>00334</t>
  </si>
  <si>
    <t>Vũ Thị Nhinh</t>
  </si>
  <si>
    <t>00336</t>
  </si>
  <si>
    <t>Nhân sự</t>
  </si>
  <si>
    <t>Đặng Thị Minh Xuyên</t>
  </si>
  <si>
    <t>00337</t>
  </si>
  <si>
    <t>Phạm Thị Quỳnh Hoa</t>
  </si>
  <si>
    <t>00338</t>
  </si>
  <si>
    <t>Dập X3</t>
  </si>
  <si>
    <t>Đỗ Thanh Sử</t>
  </si>
  <si>
    <t>00339</t>
  </si>
  <si>
    <t>Nguyễn Thị Bích</t>
  </si>
  <si>
    <t>00341</t>
  </si>
  <si>
    <t>Nguyễn Thế Được</t>
  </si>
  <si>
    <t>00348</t>
  </si>
  <si>
    <t>Trần Thị Thảo</t>
  </si>
  <si>
    <t>00349</t>
  </si>
  <si>
    <t>Sơn X2</t>
  </si>
  <si>
    <t>Lê Thị Thắm</t>
  </si>
  <si>
    <t>00350</t>
  </si>
  <si>
    <t>Nguyễn Thúy Hà</t>
  </si>
  <si>
    <t>00369</t>
  </si>
  <si>
    <t>Nguyễn Thành Y</t>
  </si>
  <si>
    <t>00370</t>
  </si>
  <si>
    <t>Nguyễn Bích Thủy</t>
  </si>
  <si>
    <t>00376</t>
  </si>
  <si>
    <t>Y tế</t>
  </si>
  <si>
    <t>Nguyễn Thị Hoa</t>
  </si>
  <si>
    <t>00379</t>
  </si>
  <si>
    <t>Đặng Văn Huấn</t>
  </si>
  <si>
    <t>00384</t>
  </si>
  <si>
    <t>Dương Văn Hải</t>
  </si>
  <si>
    <t>00400</t>
  </si>
  <si>
    <t>Nguyễn Quốc Hội</t>
  </si>
  <si>
    <t>00402</t>
  </si>
  <si>
    <t>Nguyễn Văn Thân</t>
  </si>
  <si>
    <t>00404</t>
  </si>
  <si>
    <t>Sơn X1</t>
  </si>
  <si>
    <t>Nguyễn Phong Vũ</t>
  </si>
  <si>
    <t>00405</t>
  </si>
  <si>
    <t>Chu Văn Sang</t>
  </si>
  <si>
    <t>00413</t>
  </si>
  <si>
    <t>Lưu Xuân Quý</t>
  </si>
  <si>
    <t>00416</t>
  </si>
  <si>
    <t>Nguyễn Văn Sơn</t>
  </si>
  <si>
    <t>00418</t>
  </si>
  <si>
    <t>Đoàn Văn Hiền</t>
  </si>
  <si>
    <t>00431</t>
  </si>
  <si>
    <t>00433</t>
  </si>
  <si>
    <t>Nguyễn Duy Nhân</t>
  </si>
  <si>
    <t>00443</t>
  </si>
  <si>
    <t>Nguyễn Xuân Hiếu</t>
  </si>
  <si>
    <t>00444</t>
  </si>
  <si>
    <t>Nguyễn Khắc Thành</t>
  </si>
  <si>
    <t>00455</t>
  </si>
  <si>
    <t>Nguyễn Thị Cát</t>
  </si>
  <si>
    <t>00458</t>
  </si>
  <si>
    <t>Nguyễn Văn Dũng</t>
  </si>
  <si>
    <t>00462</t>
  </si>
  <si>
    <t>Hàn X5</t>
  </si>
  <si>
    <t>Vũ Thị Kim Anh</t>
  </si>
  <si>
    <t>00464</t>
  </si>
  <si>
    <t>Trần Văn Sơn</t>
  </si>
  <si>
    <t>00470</t>
  </si>
  <si>
    <t>Lâm Thành Tâm</t>
  </si>
  <si>
    <t>00471</t>
  </si>
  <si>
    <t>Trần Văn Hiền</t>
  </si>
  <si>
    <t>00478</t>
  </si>
  <si>
    <t>Nguyễn Thị Oanh</t>
  </si>
  <si>
    <t>00479</t>
  </si>
  <si>
    <t>Trần Sức</t>
  </si>
  <si>
    <t>00483</t>
  </si>
  <si>
    <t>Hàn X6</t>
  </si>
  <si>
    <t>Hoàng Tuấn Anh</t>
  </si>
  <si>
    <t>00484</t>
  </si>
  <si>
    <t>Phạm Văn Tính</t>
  </si>
  <si>
    <t>00486</t>
  </si>
  <si>
    <t>Phan Bá Tước</t>
  </si>
  <si>
    <t>00487</t>
  </si>
  <si>
    <t>Hạ Văn Lợi</t>
  </si>
  <si>
    <t>00490</t>
  </si>
  <si>
    <t>Lâm Đình Chiến</t>
  </si>
  <si>
    <t>00493</t>
  </si>
  <si>
    <t>Nguyễn Thị Thêu</t>
  </si>
  <si>
    <t>00498</t>
  </si>
  <si>
    <t>Trương Mạnh Hưng</t>
  </si>
  <si>
    <t>00499</t>
  </si>
  <si>
    <t>Đúc</t>
  </si>
  <si>
    <t>Nguyễn Xuân Tĩnh</t>
  </si>
  <si>
    <t>00510</t>
  </si>
  <si>
    <t>00512</t>
  </si>
  <si>
    <t>Phan Bá Hào</t>
  </si>
  <si>
    <t>00513</t>
  </si>
  <si>
    <t>Nguyễn Tuấn Vinh</t>
  </si>
  <si>
    <t>00514</t>
  </si>
  <si>
    <t>Bùi Đại Hải</t>
  </si>
  <si>
    <t>00516</t>
  </si>
  <si>
    <t>Hà Văn Long</t>
  </si>
  <si>
    <t>00519</t>
  </si>
  <si>
    <t>00524</t>
  </si>
  <si>
    <t>Hoàng Anh Tuấn</t>
  </si>
  <si>
    <t>00525</t>
  </si>
  <si>
    <t>Nguyễn Tuấn Anh</t>
  </si>
  <si>
    <t>Phạm Ngọc Hoà</t>
  </si>
  <si>
    <t>00533</t>
  </si>
  <si>
    <t>Nguyễn Văn Tuân</t>
  </si>
  <si>
    <t>00535</t>
  </si>
  <si>
    <t>Dập X5</t>
  </si>
  <si>
    <t>Trần Đình Lợi</t>
  </si>
  <si>
    <t>00540</t>
  </si>
  <si>
    <t>Đào Minh Quỳnh</t>
  </si>
  <si>
    <t>00543</t>
  </si>
  <si>
    <t>Hạ Hồng Kuông</t>
  </si>
  <si>
    <t>00552</t>
  </si>
  <si>
    <t>Đỗ Đức Điều</t>
  </si>
  <si>
    <t>00563</t>
  </si>
  <si>
    <t>Nguyễn Văn Khánh</t>
  </si>
  <si>
    <t>00564</t>
  </si>
  <si>
    <t>Đỗ Văn Hợi</t>
  </si>
  <si>
    <t>00572</t>
  </si>
  <si>
    <t>Nguyễn Thanh Hải</t>
  </si>
  <si>
    <t>00575</t>
  </si>
  <si>
    <t>Dương Đức Kiên</t>
  </si>
  <si>
    <t>00576</t>
  </si>
  <si>
    <t>Hoàng Thị Giang</t>
  </si>
  <si>
    <t>00590</t>
  </si>
  <si>
    <t>Đỗ Thị Hân</t>
  </si>
  <si>
    <t>00591</t>
  </si>
  <si>
    <t>Trần Ngọc Cương</t>
  </si>
  <si>
    <t>00593</t>
  </si>
  <si>
    <t>Trịnh Cao Gang</t>
  </si>
  <si>
    <t>00596</t>
  </si>
  <si>
    <t>Hà Đức Chính</t>
  </si>
  <si>
    <t>00602</t>
  </si>
  <si>
    <t>Kim Văn Sơn</t>
  </si>
  <si>
    <t>00605</t>
  </si>
  <si>
    <t>Bùi Tất Thành</t>
  </si>
  <si>
    <t>00606</t>
  </si>
  <si>
    <t>Lương Thị Nhã</t>
  </si>
  <si>
    <t>00607</t>
  </si>
  <si>
    <t>Phùng Thị Mai Phương</t>
  </si>
  <si>
    <t>00610</t>
  </si>
  <si>
    <t>XNK</t>
  </si>
  <si>
    <t>Lê Văn Hợp</t>
  </si>
  <si>
    <t>00620</t>
  </si>
  <si>
    <t>Trần Xuân Quý</t>
  </si>
  <si>
    <t>00624</t>
  </si>
  <si>
    <t>Trần Mạnh</t>
  </si>
  <si>
    <t>00625</t>
  </si>
  <si>
    <t>Nguyễn Văn Tuấn</t>
  </si>
  <si>
    <t>00634</t>
  </si>
  <si>
    <t>Nguyễn Văn Bảy</t>
  </si>
  <si>
    <t>00637</t>
  </si>
  <si>
    <t>Nguyễn Văn Trúc</t>
  </si>
  <si>
    <t>00640</t>
  </si>
  <si>
    <t>00643</t>
  </si>
  <si>
    <t>Dương Trọng Nhất</t>
  </si>
  <si>
    <t>00647</t>
  </si>
  <si>
    <t>Lê Quang Lân</t>
  </si>
  <si>
    <t>00649</t>
  </si>
  <si>
    <t>Lê Trọng Tấn</t>
  </si>
  <si>
    <t>00651</t>
  </si>
  <si>
    <t>Đánh bóng</t>
  </si>
  <si>
    <t>Lê Thị Hải Yến</t>
  </si>
  <si>
    <t>00658</t>
  </si>
  <si>
    <t>Thu mua</t>
  </si>
  <si>
    <t>Ngô Văn Tuấn</t>
  </si>
  <si>
    <t>00661</t>
  </si>
  <si>
    <t>Trần Thị ánh Thu</t>
  </si>
  <si>
    <t>00662</t>
  </si>
  <si>
    <t>Vũ Kim Khánh</t>
  </si>
  <si>
    <t>00664</t>
  </si>
  <si>
    <t>Nguyễn Đình Tuấn</t>
  </si>
  <si>
    <t>00665</t>
  </si>
  <si>
    <t>Hoàng Thị Nguyệt</t>
  </si>
  <si>
    <t>00669</t>
  </si>
  <si>
    <t>Dương Đức Thắng</t>
  </si>
  <si>
    <t>00677</t>
  </si>
  <si>
    <t>Dương Thị Mai</t>
  </si>
  <si>
    <t>00682</t>
  </si>
  <si>
    <t>Đào Tuấn Hưng</t>
  </si>
  <si>
    <t>00683</t>
  </si>
  <si>
    <t>Hoàng Thị Hà</t>
  </si>
  <si>
    <t>Quách Văn Thường</t>
  </si>
  <si>
    <t>00688</t>
  </si>
  <si>
    <t>Đỗ Thị Phương</t>
  </si>
  <si>
    <t>00693</t>
  </si>
  <si>
    <t>Nguyễn Thị Hải</t>
  </si>
  <si>
    <t>00695</t>
  </si>
  <si>
    <t>Sơn ED X6</t>
  </si>
  <si>
    <t>Đặng Thị An Chuyên</t>
  </si>
  <si>
    <t>00699</t>
  </si>
  <si>
    <t>00701</t>
  </si>
  <si>
    <t>Nguyễn Huy Quản</t>
  </si>
  <si>
    <t>00717</t>
  </si>
  <si>
    <t>Hoàng Thúy Hằng</t>
  </si>
  <si>
    <t>00718</t>
  </si>
  <si>
    <t>Phùng Tuấn Hùng</t>
  </si>
  <si>
    <t>00720</t>
  </si>
  <si>
    <t>Nguyễn Trung Kỳ</t>
  </si>
  <si>
    <t>00723</t>
  </si>
  <si>
    <t>Trần Minh Đông</t>
  </si>
  <si>
    <t>00724</t>
  </si>
  <si>
    <t>Bạch Văn Thuỷ</t>
  </si>
  <si>
    <t>00727</t>
  </si>
  <si>
    <t>Nguyễn Văn Tuyến</t>
  </si>
  <si>
    <t>00731</t>
  </si>
  <si>
    <t>Đỗ Văn Minh</t>
  </si>
  <si>
    <t>00734</t>
  </si>
  <si>
    <t>Phùng Thị Loan</t>
  </si>
  <si>
    <t>00737</t>
  </si>
  <si>
    <t>Trần Thị Thu Hường</t>
  </si>
  <si>
    <t>00740</t>
  </si>
  <si>
    <t>Lê Thị Thanh Hà</t>
  </si>
  <si>
    <t>00743</t>
  </si>
  <si>
    <t>Nguyễn Thế Anh</t>
  </si>
  <si>
    <t>00748</t>
  </si>
  <si>
    <t>Nguyễn Văn Hiển</t>
  </si>
  <si>
    <t>00753</t>
  </si>
  <si>
    <t>Ngô Quang Hưng</t>
  </si>
  <si>
    <t>00756</t>
  </si>
  <si>
    <t>Nguyễn Tuấn Quyền</t>
  </si>
  <si>
    <t>00758</t>
  </si>
  <si>
    <t>Nguyễn Ngọc Quế</t>
  </si>
  <si>
    <t>00760</t>
  </si>
  <si>
    <t>Nguyễn Như Cường</t>
  </si>
  <si>
    <t>00762</t>
  </si>
  <si>
    <t>Nguyễn Thị Hương Lan</t>
  </si>
  <si>
    <t>00766</t>
  </si>
  <si>
    <t>Kinh doanh NĐ</t>
  </si>
  <si>
    <t>Nguyễn Thị Lữ</t>
  </si>
  <si>
    <t>00767</t>
  </si>
  <si>
    <t>Lâm Anh Đào</t>
  </si>
  <si>
    <t>00769</t>
  </si>
  <si>
    <t>Lê Phương Quỳnh</t>
  </si>
  <si>
    <t>00776</t>
  </si>
  <si>
    <t>Nguyễn Hưởng Chiều</t>
  </si>
  <si>
    <t>00777</t>
  </si>
  <si>
    <t>Lê Đình Quý</t>
  </si>
  <si>
    <t>00788</t>
  </si>
  <si>
    <t>Kim Thị Bích Thảo</t>
  </si>
  <si>
    <t>00789</t>
  </si>
  <si>
    <t>00790</t>
  </si>
  <si>
    <t>Kiều Mạnh Dũng</t>
  </si>
  <si>
    <t>00798</t>
  </si>
  <si>
    <t>Phan Bá Bộ</t>
  </si>
  <si>
    <t>00799</t>
  </si>
  <si>
    <t>Trần Ngọc Trí</t>
  </si>
  <si>
    <t>00804</t>
  </si>
  <si>
    <t>Nguyễn Thị Bắc Hà</t>
  </si>
  <si>
    <t>00806</t>
  </si>
  <si>
    <t>Đặng Thị ánh Sao</t>
  </si>
  <si>
    <t>00807</t>
  </si>
  <si>
    <t>Phùng Thị Hà</t>
  </si>
  <si>
    <t>00811</t>
  </si>
  <si>
    <t>Trần Thị Thơm</t>
  </si>
  <si>
    <t>00816</t>
  </si>
  <si>
    <t>Đinh Trung Kiên</t>
  </si>
  <si>
    <t>00832</t>
  </si>
  <si>
    <t>Nguyễn Gia Quỳnh</t>
  </si>
  <si>
    <t>00834</t>
  </si>
  <si>
    <t>Nguyễn Mạnh Hùng</t>
  </si>
  <si>
    <t>00841</t>
  </si>
  <si>
    <t>00844</t>
  </si>
  <si>
    <t>Nguyễn Văn Phong</t>
  </si>
  <si>
    <t>00850</t>
  </si>
  <si>
    <t>Nguyễn Công Chính</t>
  </si>
  <si>
    <t>00854</t>
  </si>
  <si>
    <t>Phan Điệp</t>
  </si>
  <si>
    <t>00858</t>
  </si>
  <si>
    <t>Lương Văn Giang</t>
  </si>
  <si>
    <t>00860</t>
  </si>
  <si>
    <t>Đường Văn Mạnh</t>
  </si>
  <si>
    <t>00868</t>
  </si>
  <si>
    <t>Văn Khắc Tuyến</t>
  </si>
  <si>
    <t>00869</t>
  </si>
  <si>
    <t>Bùi Văn Đức</t>
  </si>
  <si>
    <t>00872</t>
  </si>
  <si>
    <t>00883</t>
  </si>
  <si>
    <t>Ngô Tất Đoàn</t>
  </si>
  <si>
    <t>00884</t>
  </si>
  <si>
    <t>Lê Duy Tân</t>
  </si>
  <si>
    <t>00886</t>
  </si>
  <si>
    <t>Nguyễn Quang Huy</t>
  </si>
  <si>
    <t>00889</t>
  </si>
  <si>
    <t>Bùi Văn Việt</t>
  </si>
  <si>
    <t>00895</t>
  </si>
  <si>
    <t>Trần Văn Thường</t>
  </si>
  <si>
    <t>00902</t>
  </si>
  <si>
    <t>Trần Văn Thịnh</t>
  </si>
  <si>
    <t>00908</t>
  </si>
  <si>
    <t>Phan Hải Hà</t>
  </si>
  <si>
    <t>00913</t>
  </si>
  <si>
    <t>Nguyễn Thị Luyến</t>
  </si>
  <si>
    <t>00917</t>
  </si>
  <si>
    <t>Nguyễn Thị Thắng</t>
  </si>
  <si>
    <t>00918</t>
  </si>
  <si>
    <t>Nguyễn Thị Thanh Mai</t>
  </si>
  <si>
    <t>00919</t>
  </si>
  <si>
    <t>Nguyễn Thị Yến</t>
  </si>
  <si>
    <t>00921</t>
  </si>
  <si>
    <t>Nguyễn Thị Huyền</t>
  </si>
  <si>
    <t>Nguyễn Thị Sâm</t>
  </si>
  <si>
    <t>00923</t>
  </si>
  <si>
    <t>Nguyễn Thành Quyết</t>
  </si>
  <si>
    <t>00930</t>
  </si>
  <si>
    <t>Trần Xuân Đông</t>
  </si>
  <si>
    <t>00931</t>
  </si>
  <si>
    <t>Phạm Đức Trung</t>
  </si>
  <si>
    <t>00941</t>
  </si>
  <si>
    <t>Phùng Ngọc Minh</t>
  </si>
  <si>
    <t>00944</t>
  </si>
  <si>
    <t>Tạ Thị Kim Dung</t>
  </si>
  <si>
    <t>00946</t>
  </si>
  <si>
    <t>Nguyễn Hồng Quân</t>
  </si>
  <si>
    <t>00952</t>
  </si>
  <si>
    <t>Trần Trung Hậu</t>
  </si>
  <si>
    <t>00956</t>
  </si>
  <si>
    <t>Tạ Văn Minh</t>
  </si>
  <si>
    <t>00958</t>
  </si>
  <si>
    <t>Phan Văn Quân</t>
  </si>
  <si>
    <t>00959</t>
  </si>
  <si>
    <t>Đặng Hồng Lĩnh</t>
  </si>
  <si>
    <t>00962</t>
  </si>
  <si>
    <t>Trần Thị Dung</t>
  </si>
  <si>
    <t>00964</t>
  </si>
  <si>
    <t>Nguyễn Ngọc Chuyên</t>
  </si>
  <si>
    <t>00974</t>
  </si>
  <si>
    <t>Nguyễn Bình Mỹ</t>
  </si>
  <si>
    <t>00980</t>
  </si>
  <si>
    <t>Nguyễn Văn Tiến</t>
  </si>
  <si>
    <t>00984</t>
  </si>
  <si>
    <t>Nguyễn Thị Trọng</t>
  </si>
  <si>
    <t>00986</t>
  </si>
  <si>
    <t>Nguyễn Thị Thanh Huyền</t>
  </si>
  <si>
    <t>00987</t>
  </si>
  <si>
    <t>Nguyễn Văn Phương</t>
  </si>
  <si>
    <t>00990</t>
  </si>
  <si>
    <t>Nguyễn Quang Trung</t>
  </si>
  <si>
    <t>00993</t>
  </si>
  <si>
    <t>Nguyễn Đức Ngọc</t>
  </si>
  <si>
    <t>00996</t>
  </si>
  <si>
    <t>Tạ Hữu Bằng</t>
  </si>
  <si>
    <t>00998</t>
  </si>
  <si>
    <t>Nông Thị Bích Diệp</t>
  </si>
  <si>
    <t>01014</t>
  </si>
  <si>
    <t>Nguyễn Thị Thu Hà</t>
  </si>
  <si>
    <t>01015</t>
  </si>
  <si>
    <t>Nguyễn Thị Dung</t>
  </si>
  <si>
    <t>01019</t>
  </si>
  <si>
    <t>Bùi Việt Anh</t>
  </si>
  <si>
    <t>01021</t>
  </si>
  <si>
    <t>Dương Thị Phương Thu</t>
  </si>
  <si>
    <t>01034</t>
  </si>
  <si>
    <t>Lắp ráp</t>
  </si>
  <si>
    <t>Hoàng Thị Phương</t>
  </si>
  <si>
    <t>01039</t>
  </si>
  <si>
    <t>Nguyễn Xuân Thanh</t>
  </si>
  <si>
    <t>01040</t>
  </si>
  <si>
    <t>Nguyễn Thị Vui</t>
  </si>
  <si>
    <t>01041</t>
  </si>
  <si>
    <t>Nguyễn Thị Minh Quang</t>
  </si>
  <si>
    <t>01048</t>
  </si>
  <si>
    <t>Phạm Thế Sơn</t>
  </si>
  <si>
    <t>01057</t>
  </si>
  <si>
    <t>Ngô Minh Tuấn</t>
  </si>
  <si>
    <t>01062</t>
  </si>
  <si>
    <t>Nguyễn Đình Thi</t>
  </si>
  <si>
    <t>01066</t>
  </si>
  <si>
    <t>Phạm Văn Dũng</t>
  </si>
  <si>
    <t>01069</t>
  </si>
  <si>
    <t>Bùi Đức Tôn</t>
  </si>
  <si>
    <t>01078</t>
  </si>
  <si>
    <t>Nguyễn Thị Minh Huệ</t>
  </si>
  <si>
    <t>01086</t>
  </si>
  <si>
    <t>Uông Phương Thảo</t>
  </si>
  <si>
    <t>01094</t>
  </si>
  <si>
    <t>Phạm thị Tuyết Minh</t>
  </si>
  <si>
    <t>01097</t>
  </si>
  <si>
    <t>Nguyễn Triệu Hoa</t>
  </si>
  <si>
    <t>01099</t>
  </si>
  <si>
    <t>Nguyễn Anh Tuấn</t>
  </si>
  <si>
    <t>01100</t>
  </si>
  <si>
    <t>Nguyễn Quốc Phong</t>
  </si>
  <si>
    <t>01101</t>
  </si>
  <si>
    <t>Vũ Thành Khôi</t>
  </si>
  <si>
    <t>01106</t>
  </si>
  <si>
    <t>01119</t>
  </si>
  <si>
    <t>Lê Thị Thía</t>
  </si>
  <si>
    <t>01120</t>
  </si>
  <si>
    <t>Nguyễn Thị Liên</t>
  </si>
  <si>
    <t>01121</t>
  </si>
  <si>
    <t>Nguyễn Thị Mùi</t>
  </si>
  <si>
    <t>01122</t>
  </si>
  <si>
    <t>Dương Thị Hương Thảo</t>
  </si>
  <si>
    <t>01124</t>
  </si>
  <si>
    <t>Phan Thị Thu Hiền</t>
  </si>
  <si>
    <t>01134</t>
  </si>
  <si>
    <t>Vũ Văn Nhượng</t>
  </si>
  <si>
    <t>01140</t>
  </si>
  <si>
    <t>Nguyễn Thế Hưng</t>
  </si>
  <si>
    <t>01143</t>
  </si>
  <si>
    <t>Nguyễn Thị Hồng Phượng</t>
  </si>
  <si>
    <t>01151</t>
  </si>
  <si>
    <t>Nguyễn Thị Nhâm Tý</t>
  </si>
  <si>
    <t>01162</t>
  </si>
  <si>
    <t>Nguyễn Duy Khánh</t>
  </si>
  <si>
    <t>01167</t>
  </si>
  <si>
    <t>Nguyễn Tiến Thành</t>
  </si>
  <si>
    <t>01177</t>
  </si>
  <si>
    <t>Lê Văn Trung</t>
  </si>
  <si>
    <t>01179</t>
  </si>
  <si>
    <t>Trần Thị Thuý</t>
  </si>
  <si>
    <t>01187</t>
  </si>
  <si>
    <t>Nông Thị Hợp</t>
  </si>
  <si>
    <t>01188</t>
  </si>
  <si>
    <t>Nguyễn Thị Loan</t>
  </si>
  <si>
    <t>01191</t>
  </si>
  <si>
    <t>ATMT</t>
  </si>
  <si>
    <t>Lê Xuân Hoàn</t>
  </si>
  <si>
    <t>01197</t>
  </si>
  <si>
    <t>Nguyễn Thị Thuý Minh</t>
  </si>
  <si>
    <t>01198</t>
  </si>
  <si>
    <t>Lương Thị Thanh Huyền</t>
  </si>
  <si>
    <t>01204</t>
  </si>
  <si>
    <t>Kinh doanh XK1</t>
  </si>
  <si>
    <t>Trần Thị Loan</t>
  </si>
  <si>
    <t>01207</t>
  </si>
  <si>
    <t>Nguyễn Thị Hội</t>
  </si>
  <si>
    <t>01211</t>
  </si>
  <si>
    <t>Nguyễn Thị Thuý Nga</t>
  </si>
  <si>
    <t>01214</t>
  </si>
  <si>
    <t>Đặng Đình Chiến</t>
  </si>
  <si>
    <t>01226</t>
  </si>
  <si>
    <t>Bùi Văn Hải</t>
  </si>
  <si>
    <t>01227</t>
  </si>
  <si>
    <t>Đỗ Mai Thoan</t>
  </si>
  <si>
    <t>01232</t>
  </si>
  <si>
    <t>Vũ Thị Hoa</t>
  </si>
  <si>
    <t>01233</t>
  </si>
  <si>
    <t>Nguyễn Mạnh Cường</t>
  </si>
  <si>
    <t>01235</t>
  </si>
  <si>
    <t>01240</t>
  </si>
  <si>
    <t>Nguyễn Đức Hùng</t>
  </si>
  <si>
    <t>01242</t>
  </si>
  <si>
    <t>Nguyễn Khanh</t>
  </si>
  <si>
    <t>01246</t>
  </si>
  <si>
    <t>Nguyễn Quốc Huy</t>
  </si>
  <si>
    <t>01251</t>
  </si>
  <si>
    <t>Trương Mạnh Hùng</t>
  </si>
  <si>
    <t>01252</t>
  </si>
  <si>
    <t>Tô Văn Quyết</t>
  </si>
  <si>
    <t>01255</t>
  </si>
  <si>
    <t>Lê Văn Tuyển</t>
  </si>
  <si>
    <t>01258</t>
  </si>
  <si>
    <t>Nguyễn Ngọc Minh</t>
  </si>
  <si>
    <t>01259</t>
  </si>
  <si>
    <t>Nguyễn Văn Hướng</t>
  </si>
  <si>
    <t>01260</t>
  </si>
  <si>
    <t>Thiều Tô Hoàng</t>
  </si>
  <si>
    <t>01268</t>
  </si>
  <si>
    <t>Lắp ráp X6</t>
  </si>
  <si>
    <t>Phùng Văn Lợi</t>
  </si>
  <si>
    <t>01270</t>
  </si>
  <si>
    <t>Đặng Văn Chính</t>
  </si>
  <si>
    <t>01271</t>
  </si>
  <si>
    <t>Lê Khánh Toàn</t>
  </si>
  <si>
    <t>01273</t>
  </si>
  <si>
    <t>Nguyễn Văn Hoàn</t>
  </si>
  <si>
    <t>01283</t>
  </si>
  <si>
    <t>Vũ Thị Thanh Tú</t>
  </si>
  <si>
    <t>01285</t>
  </si>
  <si>
    <t>Trần Thị Thoa</t>
  </si>
  <si>
    <t>01286</t>
  </si>
  <si>
    <t>Nguyễn Thị Thơm</t>
  </si>
  <si>
    <t>01294</t>
  </si>
  <si>
    <t>Nguyễn Văn Mạnh</t>
  </si>
  <si>
    <t>01297</t>
  </si>
  <si>
    <t>Trần Danh Tuấn</t>
  </si>
  <si>
    <t>01299</t>
  </si>
  <si>
    <t>Nguyễn Duy Hữu</t>
  </si>
  <si>
    <t>01309</t>
  </si>
  <si>
    <t>Trần Văn Học</t>
  </si>
  <si>
    <t>01310</t>
  </si>
  <si>
    <t>Lê Hồng Đăng</t>
  </si>
  <si>
    <t>01312</t>
  </si>
  <si>
    <t>Tạ Văn Quyết</t>
  </si>
  <si>
    <t>01315</t>
  </si>
  <si>
    <t>Nguyễn Quang Sáng</t>
  </si>
  <si>
    <t>01344</t>
  </si>
  <si>
    <t>Nguyễn Văn Cảnh</t>
  </si>
  <si>
    <t>01348</t>
  </si>
  <si>
    <t>Hoàng Ngọc Chơn</t>
  </si>
  <si>
    <t>01351</t>
  </si>
  <si>
    <t>Dương Đình Trức</t>
  </si>
  <si>
    <t>01353</t>
  </si>
  <si>
    <t>Bùi Quốc Thanh</t>
  </si>
  <si>
    <t>01365</t>
  </si>
  <si>
    <t>Dương Thị Thu Thủy</t>
  </si>
  <si>
    <t>01373</t>
  </si>
  <si>
    <t>Nguyễn Xuân Trường</t>
  </si>
  <si>
    <t>01378</t>
  </si>
  <si>
    <t>Kim Văn Tùng</t>
  </si>
  <si>
    <t>01379</t>
  </si>
  <si>
    <t>Nguyễn Thị Bảo Phương</t>
  </si>
  <si>
    <t>01386</t>
  </si>
  <si>
    <t>01395</t>
  </si>
  <si>
    <t>Nguyễn Ngọc Điệp</t>
  </si>
  <si>
    <t>01406</t>
  </si>
  <si>
    <t>Lưu Văn Sơn</t>
  </si>
  <si>
    <t>01413</t>
  </si>
  <si>
    <t>Hoàng Thế Hiệp</t>
  </si>
  <si>
    <t>01414</t>
  </si>
  <si>
    <t>Trần Anh Thế</t>
  </si>
  <si>
    <t>01434</t>
  </si>
  <si>
    <t>KTKP</t>
  </si>
  <si>
    <t>Nguyễn Mạnh Tú</t>
  </si>
  <si>
    <t>01436</t>
  </si>
  <si>
    <t>Nguyễn Văn Nguyên</t>
  </si>
  <si>
    <t>01439</t>
  </si>
  <si>
    <t>Nguyễn Minh Tâm</t>
  </si>
  <si>
    <t>01443</t>
  </si>
  <si>
    <t>Trần Thị Hương Lài</t>
  </si>
  <si>
    <t>01445</t>
  </si>
  <si>
    <t>Dương Xuân Thắng</t>
  </si>
  <si>
    <t>01448</t>
  </si>
  <si>
    <t>Lê Trọng Tần</t>
  </si>
  <si>
    <t>01450</t>
  </si>
  <si>
    <t>Nguyễn Văn Chúc</t>
  </si>
  <si>
    <t>01458</t>
  </si>
  <si>
    <t>Nguyễn Văn Long</t>
  </si>
  <si>
    <t>01465</t>
  </si>
  <si>
    <t>Sái Ngọc Hưng</t>
  </si>
  <si>
    <t>01467</t>
  </si>
  <si>
    <t>Vũ Văn Sớm</t>
  </si>
  <si>
    <t>01479</t>
  </si>
  <si>
    <t>Phạm Văn Khải</t>
  </si>
  <si>
    <t>01482</t>
  </si>
  <si>
    <t>Phạm Văn Khánh</t>
  </si>
  <si>
    <t>01485</t>
  </si>
  <si>
    <t>Nguyễn Văn Hội</t>
  </si>
  <si>
    <t>01488</t>
  </si>
  <si>
    <t>Nguyễn Trung Tuyến</t>
  </si>
  <si>
    <t>01489</t>
  </si>
  <si>
    <t>Vũ Văn Hưng</t>
  </si>
  <si>
    <t>01490</t>
  </si>
  <si>
    <t>Nguyễn Đức Tiến</t>
  </si>
  <si>
    <t>01503</t>
  </si>
  <si>
    <t>Khổng Dương</t>
  </si>
  <si>
    <t>01525</t>
  </si>
  <si>
    <t>Trần Thị Lê Hoàn</t>
  </si>
  <si>
    <t>01527</t>
  </si>
  <si>
    <t>Nguyễn Thế Mạnh</t>
  </si>
  <si>
    <t>01534</t>
  </si>
  <si>
    <t>Nguyễn Văn Hải</t>
  </si>
  <si>
    <t>01535</t>
  </si>
  <si>
    <t>Trần Đình Tài</t>
  </si>
  <si>
    <t>01543</t>
  </si>
  <si>
    <t>Phan Lý Luận</t>
  </si>
  <si>
    <t>01554</t>
  </si>
  <si>
    <t>Nguyễn Ngọc Cảnh</t>
  </si>
  <si>
    <t>01555</t>
  </si>
  <si>
    <t>Hoàng Thị Hằng</t>
  </si>
  <si>
    <t>01561</t>
  </si>
  <si>
    <t>Nguyễn Thị Thúy Hà</t>
  </si>
  <si>
    <t>01562</t>
  </si>
  <si>
    <t>01564</t>
  </si>
  <si>
    <t>01566</t>
  </si>
  <si>
    <t>Nguyễn Thị Tình</t>
  </si>
  <si>
    <t>Nguyễn Thị Châm</t>
  </si>
  <si>
    <t>01574</t>
  </si>
  <si>
    <t>Hoàng Thị Năm</t>
  </si>
  <si>
    <t>01577</t>
  </si>
  <si>
    <t>Nguyễn Thị Nhung</t>
  </si>
  <si>
    <t>01578</t>
  </si>
  <si>
    <t>Mạc Xuân Tiếp</t>
  </si>
  <si>
    <t>01579</t>
  </si>
  <si>
    <t>Hoàng Thị Thu Hằng</t>
  </si>
  <si>
    <t>01580</t>
  </si>
  <si>
    <t>Vũ Kim Thi</t>
  </si>
  <si>
    <t>01607</t>
  </si>
  <si>
    <t>Ngô Đình Hiếu</t>
  </si>
  <si>
    <t>01609</t>
  </si>
  <si>
    <t>Phùng Văn Hà</t>
  </si>
  <si>
    <t>01614</t>
  </si>
  <si>
    <t>Nguyễn Thị Quý</t>
  </si>
  <si>
    <t>01625</t>
  </si>
  <si>
    <t>Trần Thị Bình Dương</t>
  </si>
  <si>
    <t>01626</t>
  </si>
  <si>
    <t>Nguyễn Khắc Nam</t>
  </si>
  <si>
    <t>01633</t>
  </si>
  <si>
    <t>Lê Hòa Bình</t>
  </si>
  <si>
    <t>01638</t>
  </si>
  <si>
    <t>Nguyễn Chí Thanh</t>
  </si>
  <si>
    <t>01643</t>
  </si>
  <si>
    <t>Nguyễn Văn Trung</t>
  </si>
  <si>
    <t>01644</t>
  </si>
  <si>
    <t>Nguyễn Châu Sơn</t>
  </si>
  <si>
    <t>01645</t>
  </si>
  <si>
    <t>Thiều Tô Nguyễn</t>
  </si>
  <si>
    <t>01648</t>
  </si>
  <si>
    <t>Trần Trọng Nhân</t>
  </si>
  <si>
    <t>01653</t>
  </si>
  <si>
    <t>Trần Thế Hùng</t>
  </si>
  <si>
    <t>01656</t>
  </si>
  <si>
    <t>Thiều Thị Quỳnh</t>
  </si>
  <si>
    <t>01662</t>
  </si>
  <si>
    <t>Đỗ Thị Hương</t>
  </si>
  <si>
    <t>01678</t>
  </si>
  <si>
    <t>Dương Thị Thúy Mỵ</t>
  </si>
  <si>
    <t>01680</t>
  </si>
  <si>
    <t>Nguyễn Thị Tâm</t>
  </si>
  <si>
    <t>01683</t>
  </si>
  <si>
    <t>Trần Kim Cúc</t>
  </si>
  <si>
    <t>01684</t>
  </si>
  <si>
    <t>Đào Thị Huệ</t>
  </si>
  <si>
    <t>01688</t>
  </si>
  <si>
    <t>Nguyễn Phúc Dũng</t>
  </si>
  <si>
    <t>01703</t>
  </si>
  <si>
    <t>Nguyễn Quang Vinh</t>
  </si>
  <si>
    <t>01705</t>
  </si>
  <si>
    <t>Phùng Văn Việt</t>
  </si>
  <si>
    <t>01706</t>
  </si>
  <si>
    <t>Nguyễn Văn Luận</t>
  </si>
  <si>
    <t>01709</t>
  </si>
  <si>
    <t>Đặng Văn Tưởng</t>
  </si>
  <si>
    <t>01710</t>
  </si>
  <si>
    <t>Đặng Văn Luân</t>
  </si>
  <si>
    <t>01716</t>
  </si>
  <si>
    <t>Trần Duy Bình</t>
  </si>
  <si>
    <t>01737</t>
  </si>
  <si>
    <t>Nguyễn Thị Thanh Huệ</t>
  </si>
  <si>
    <t>01738</t>
  </si>
  <si>
    <t>Nguyễn Thị Thu Hiền</t>
  </si>
  <si>
    <t>01742</t>
  </si>
  <si>
    <t>Đại Văn Phương</t>
  </si>
  <si>
    <t>01743</t>
  </si>
  <si>
    <t>Nguyễn Văn Thức</t>
  </si>
  <si>
    <t>01754</t>
  </si>
  <si>
    <t>Lương Văn Mạnh</t>
  </si>
  <si>
    <t>01755</t>
  </si>
  <si>
    <t>Đỗ Thị Thu Thủy</t>
  </si>
  <si>
    <t>01759</t>
  </si>
  <si>
    <t>Đỗ Thị Kim Huế</t>
  </si>
  <si>
    <t>01760</t>
  </si>
  <si>
    <t>Nguyễn Văn Hòa</t>
  </si>
  <si>
    <t>01763</t>
  </si>
  <si>
    <t>Ngô Thị Phương Hạnh</t>
  </si>
  <si>
    <t>01777</t>
  </si>
  <si>
    <t>Kinh doanh XK2</t>
  </si>
  <si>
    <t>Nguyễn Hữu Đoàn</t>
  </si>
  <si>
    <t>01787</t>
  </si>
  <si>
    <t>Trần Lê Quỳnh</t>
  </si>
  <si>
    <t>01788</t>
  </si>
  <si>
    <t>Trần Văn Việt</t>
  </si>
  <si>
    <t>01793</t>
  </si>
  <si>
    <t>Chu Văn Lượng</t>
  </si>
  <si>
    <t>01795</t>
  </si>
  <si>
    <t>Trần Xuân Hiển</t>
  </si>
  <si>
    <t>01808</t>
  </si>
  <si>
    <t>Phí Thị Tố Như</t>
  </si>
  <si>
    <t>01827</t>
  </si>
  <si>
    <t>Đào Văn Hương</t>
  </si>
  <si>
    <t>01835</t>
  </si>
  <si>
    <t>Trần Văn Trường</t>
  </si>
  <si>
    <t>01846</t>
  </si>
  <si>
    <t>Lê Văn Việt</t>
  </si>
  <si>
    <t>01847</t>
  </si>
  <si>
    <t>Tạ Văn Duy</t>
  </si>
  <si>
    <t>01853</t>
  </si>
  <si>
    <t>Trương Văn Hiếu</t>
  </si>
  <si>
    <t>01856</t>
  </si>
  <si>
    <t>Phan Thị Thanh Thuỷ</t>
  </si>
  <si>
    <t>01869</t>
  </si>
  <si>
    <t>Lại Hữu Hà</t>
  </si>
  <si>
    <t>01870</t>
  </si>
  <si>
    <t>Lê Thị Thanh Thuý</t>
  </si>
  <si>
    <t>01874</t>
  </si>
  <si>
    <t>Nguyễn Văn Lâm</t>
  </si>
  <si>
    <t>01876</t>
  </si>
  <si>
    <t>Trần Hà</t>
  </si>
  <si>
    <t>01884</t>
  </si>
  <si>
    <t>Lương Minh Hùng</t>
  </si>
  <si>
    <t>01885</t>
  </si>
  <si>
    <t>Phùng Khánh</t>
  </si>
  <si>
    <t>01906</t>
  </si>
  <si>
    <t>Phạm Hồng Vân</t>
  </si>
  <si>
    <t>01907</t>
  </si>
  <si>
    <t>Đường Thị Hoà</t>
  </si>
  <si>
    <t>01909</t>
  </si>
  <si>
    <t>Cắt X6</t>
  </si>
  <si>
    <t>Ngô Thị Dung</t>
  </si>
  <si>
    <t>01911</t>
  </si>
  <si>
    <t>Nguyễn Văn Bình</t>
  </si>
  <si>
    <t>01912</t>
  </si>
  <si>
    <t>Nguyễn Hồng Đông</t>
  </si>
  <si>
    <t>01914</t>
  </si>
  <si>
    <t>Nguyễn Xuân Chỉnh</t>
  </si>
  <si>
    <t>01926</t>
  </si>
  <si>
    <t>Hoàng Tiến Hưng</t>
  </si>
  <si>
    <t>01932</t>
  </si>
  <si>
    <t>Vũ Huy Hà</t>
  </si>
  <si>
    <t>01936</t>
  </si>
  <si>
    <t>Kim Văn Ngọc</t>
  </si>
  <si>
    <t>01945</t>
  </si>
  <si>
    <t>Dương Đức Sơn</t>
  </si>
  <si>
    <t>01955</t>
  </si>
  <si>
    <t>Đàm Đức Hải</t>
  </si>
  <si>
    <t>01959</t>
  </si>
  <si>
    <t>Lê Xuân Trường</t>
  </si>
  <si>
    <t>01960</t>
  </si>
  <si>
    <t>Nguyễn Huy Việt</t>
  </si>
  <si>
    <t>01961</t>
  </si>
  <si>
    <t>Nguyễn Thiều Bạch</t>
  </si>
  <si>
    <t>01967</t>
  </si>
  <si>
    <t>Đặng Văn Thắng</t>
  </si>
  <si>
    <t>01974</t>
  </si>
  <si>
    <t>01978</t>
  </si>
  <si>
    <t>Đặng Minh Lương</t>
  </si>
  <si>
    <t>01985</t>
  </si>
  <si>
    <t>Trần Tuyên</t>
  </si>
  <si>
    <t>02065</t>
  </si>
  <si>
    <t>Đặng Ngọc Thanh</t>
  </si>
  <si>
    <t>02091</t>
  </si>
  <si>
    <t>Nguyễn Văn Vững</t>
  </si>
  <si>
    <t>02097</t>
  </si>
  <si>
    <t>Lê Thị Quỳnh Lưu</t>
  </si>
  <si>
    <t>02103</t>
  </si>
  <si>
    <t>02106</t>
  </si>
  <si>
    <t>Nguyễn Thị Là</t>
  </si>
  <si>
    <t>02109</t>
  </si>
  <si>
    <t>Ngô Văn Lượng</t>
  </si>
  <si>
    <t>02115</t>
  </si>
  <si>
    <t>Lương Đình Kết</t>
  </si>
  <si>
    <t>02116</t>
  </si>
  <si>
    <t>Trần Thị Anh</t>
  </si>
  <si>
    <t>02119</t>
  </si>
  <si>
    <t>Nguyễn Văn Tranh</t>
  </si>
  <si>
    <t>02123</t>
  </si>
  <si>
    <t>Nguyễn Văn Quân</t>
  </si>
  <si>
    <t>02131</t>
  </si>
  <si>
    <t>Nguyễn Văn Chiến</t>
  </si>
  <si>
    <t>02139</t>
  </si>
  <si>
    <t>Dương Đức Huế</t>
  </si>
  <si>
    <t>02153</t>
  </si>
  <si>
    <t>02170</t>
  </si>
  <si>
    <t>Trần Kim Thu</t>
  </si>
  <si>
    <t>02175</t>
  </si>
  <si>
    <t>Bùi Văn Nam</t>
  </si>
  <si>
    <t>02176</t>
  </si>
  <si>
    <t>Ngô Mạnh Cường</t>
  </si>
  <si>
    <t>02183</t>
  </si>
  <si>
    <t>Trần Anh Đoàn</t>
  </si>
  <si>
    <t>02196</t>
  </si>
  <si>
    <t>Nguyễn Văn Trị</t>
  </si>
  <si>
    <t>02204</t>
  </si>
  <si>
    <t>Nguyễn Quốc Tưởng</t>
  </si>
  <si>
    <t>02210</t>
  </si>
  <si>
    <t>Đặng Quang Trung</t>
  </si>
  <si>
    <t>02213</t>
  </si>
  <si>
    <t>Vũ Văn Ngân</t>
  </si>
  <si>
    <t>02220</t>
  </si>
  <si>
    <t>Trần Văn Khoa</t>
  </si>
  <si>
    <t>02228</t>
  </si>
  <si>
    <t>Nguyễn Thanh Tuấn</t>
  </si>
  <si>
    <t>02247</t>
  </si>
  <si>
    <t>02251</t>
  </si>
  <si>
    <t>Nguyễn Đức Khảo</t>
  </si>
  <si>
    <t>02259</t>
  </si>
  <si>
    <t>02260</t>
  </si>
  <si>
    <t>Phan Hải Ba</t>
  </si>
  <si>
    <t>02261</t>
  </si>
  <si>
    <t>Phạm Tiến Mạnh</t>
  </si>
  <si>
    <t>02264</t>
  </si>
  <si>
    <t>Phạm Bá Hiến</t>
  </si>
  <si>
    <t>02265</t>
  </si>
  <si>
    <t>Tạ Thị Linh</t>
  </si>
  <si>
    <t>02279</t>
  </si>
  <si>
    <t>Nguyễn Thị Phượng</t>
  </si>
  <si>
    <t>02295</t>
  </si>
  <si>
    <t>Lăng Kiều Hưng</t>
  </si>
  <si>
    <t>02306</t>
  </si>
  <si>
    <t>Quảng Thị Huyền Hảo</t>
  </si>
  <si>
    <t>02309</t>
  </si>
  <si>
    <t>Dương Văn Long</t>
  </si>
  <si>
    <t>02314</t>
  </si>
  <si>
    <t>Phạm Văn Phương</t>
  </si>
  <si>
    <t>02315</t>
  </si>
  <si>
    <t>Bùi Văn Thành</t>
  </si>
  <si>
    <t>02318</t>
  </si>
  <si>
    <t>Nguyễn Văn Nhất</t>
  </si>
  <si>
    <t>02319</t>
  </si>
  <si>
    <t>Trần Thị Hương</t>
  </si>
  <si>
    <t>02322</t>
  </si>
  <si>
    <t>Tạ Hữu Tuyên</t>
  </si>
  <si>
    <t>02324</t>
  </si>
  <si>
    <t>Kim Văn Xuất</t>
  </si>
  <si>
    <t>02331</t>
  </si>
  <si>
    <t>Phạm Mạnh Thắng</t>
  </si>
  <si>
    <t>02332</t>
  </si>
  <si>
    <t>Đông Đình Đang</t>
  </si>
  <si>
    <t>02336</t>
  </si>
  <si>
    <t>Tạ Văn Thức</t>
  </si>
  <si>
    <t>02340</t>
  </si>
  <si>
    <t>Trần Văn Viên</t>
  </si>
  <si>
    <t>02351</t>
  </si>
  <si>
    <t>Nguyễn Đại Hoàng</t>
  </si>
  <si>
    <t>02365</t>
  </si>
  <si>
    <t>Trần Ngọc Chức</t>
  </si>
  <si>
    <t>02366</t>
  </si>
  <si>
    <t>Vũ Văn Hà</t>
  </si>
  <si>
    <t>02375</t>
  </si>
  <si>
    <t>Trần Đức Hiếu</t>
  </si>
  <si>
    <t>02379</t>
  </si>
  <si>
    <t>Vũ Ngọc Tình</t>
  </si>
  <si>
    <t>02386</t>
  </si>
  <si>
    <t>Doãn Văn Hiệp</t>
  </si>
  <si>
    <t>02401</t>
  </si>
  <si>
    <t>Phan Văn Toàn</t>
  </si>
  <si>
    <t>02413</t>
  </si>
  <si>
    <t>Nguyễn Huy Tiến</t>
  </si>
  <si>
    <t>02416</t>
  </si>
  <si>
    <t>Ngô Thị Thu Hằng</t>
  </si>
  <si>
    <t>02419</t>
  </si>
  <si>
    <t>Nguyễn Thị Hạnh Hằng</t>
  </si>
  <si>
    <t>02420</t>
  </si>
  <si>
    <t>Nguyễn Thị Hiền</t>
  </si>
  <si>
    <t>02421</t>
  </si>
  <si>
    <t>Đỗ Duy Hiển</t>
  </si>
  <si>
    <t>02431</t>
  </si>
  <si>
    <t>02441</t>
  </si>
  <si>
    <t>Đào Quang Cường</t>
  </si>
  <si>
    <t>02442</t>
  </si>
  <si>
    <t>Phạm Phương Nam</t>
  </si>
  <si>
    <t>02445</t>
  </si>
  <si>
    <t>Chu Văn Giang</t>
  </si>
  <si>
    <t>02450</t>
  </si>
  <si>
    <t>Nguyễn Văn Đình</t>
  </si>
  <si>
    <t>02451</t>
  </si>
  <si>
    <t>Tô Văn Doanh</t>
  </si>
  <si>
    <t>02452</t>
  </si>
  <si>
    <t>Đỗ Chí Công</t>
  </si>
  <si>
    <t>02460</t>
  </si>
  <si>
    <t>Lê Xuân Thấm</t>
  </si>
  <si>
    <t>02465</t>
  </si>
  <si>
    <t>02468</t>
  </si>
  <si>
    <t>02469</t>
  </si>
  <si>
    <t>Trần Ngọc Long</t>
  </si>
  <si>
    <t>02471</t>
  </si>
  <si>
    <t>Nguyễn Văn Đương</t>
  </si>
  <si>
    <t>02475</t>
  </si>
  <si>
    <t>Nguyễn Thị Kim Liên</t>
  </si>
  <si>
    <t>02478</t>
  </si>
  <si>
    <t>Nguyễn Văn Thể</t>
  </si>
  <si>
    <t>02485</t>
  </si>
  <si>
    <t>Bùi Tiến Hưng</t>
  </si>
  <si>
    <t>02494</t>
  </si>
  <si>
    <t>Chu Quý Thế</t>
  </si>
  <si>
    <t>02495</t>
  </si>
  <si>
    <t>Bùi Quốc Việt</t>
  </si>
  <si>
    <t>02496</t>
  </si>
  <si>
    <t>Trần Quốc Phương</t>
  </si>
  <si>
    <t>02497</t>
  </si>
  <si>
    <t>02499</t>
  </si>
  <si>
    <t>Bùi Cảnh Tuấn</t>
  </si>
  <si>
    <t>02501</t>
  </si>
  <si>
    <t>Vũ Hồng Vinh</t>
  </si>
  <si>
    <t>02506</t>
  </si>
  <si>
    <t>Lã Đức Cần</t>
  </si>
  <si>
    <t>02511</t>
  </si>
  <si>
    <t>Phan Tiến Hà</t>
  </si>
  <si>
    <t>02515</t>
  </si>
  <si>
    <t>Nguyễn Văn Hưng</t>
  </si>
  <si>
    <t>02518</t>
  </si>
  <si>
    <t>Phạm Quang Dũng</t>
  </si>
  <si>
    <t>02519</t>
  </si>
  <si>
    <t>Hà Thành Huấn</t>
  </si>
  <si>
    <t>02524</t>
  </si>
  <si>
    <t>Nguyễn Tiến Hải</t>
  </si>
  <si>
    <t>02529</t>
  </si>
  <si>
    <t>Hoàng Văn Hải</t>
  </si>
  <si>
    <t>02543</t>
  </si>
  <si>
    <t>Nguyễn Minh Tuân</t>
  </si>
  <si>
    <t>02547</t>
  </si>
  <si>
    <t>Lê Thị Nga</t>
  </si>
  <si>
    <t>02561</t>
  </si>
  <si>
    <t>Cao Huy Cường</t>
  </si>
  <si>
    <t>02566</t>
  </si>
  <si>
    <t>Dương Công Sáng</t>
  </si>
  <si>
    <t>02567</t>
  </si>
  <si>
    <t>02598</t>
  </si>
  <si>
    <t>Vũ Hồng Quang</t>
  </si>
  <si>
    <t>02599</t>
  </si>
  <si>
    <t>Đặng Văn Ba</t>
  </si>
  <si>
    <t>02607</t>
  </si>
  <si>
    <t>Nguyễn Thị Duyên</t>
  </si>
  <si>
    <t>02608</t>
  </si>
  <si>
    <t>Trần Việt Long</t>
  </si>
  <si>
    <t>02611</t>
  </si>
  <si>
    <t>Lê Thị Thiết</t>
  </si>
  <si>
    <t>02623</t>
  </si>
  <si>
    <t>Lê Thị Thuỳ</t>
  </si>
  <si>
    <t>02630</t>
  </si>
  <si>
    <t>Hạ Xuân Sỹ</t>
  </si>
  <si>
    <t>02635</t>
  </si>
  <si>
    <t>Phùng Đắc Bình</t>
  </si>
  <si>
    <t>02637</t>
  </si>
  <si>
    <t>Nguyễn Hữu Đức</t>
  </si>
  <si>
    <t>02638</t>
  </si>
  <si>
    <t>Nguyễn Văn Chí</t>
  </si>
  <si>
    <t>02639</t>
  </si>
  <si>
    <t>Phạm Văn Vẽ</t>
  </si>
  <si>
    <t>02642</t>
  </si>
  <si>
    <t>Ngô Đình Hoàng</t>
  </si>
  <si>
    <t>02646</t>
  </si>
  <si>
    <t>Ngô Đinh Mão</t>
  </si>
  <si>
    <t>02666</t>
  </si>
  <si>
    <t>Nguyễn Văn Trường</t>
  </si>
  <si>
    <t>02675</t>
  </si>
  <si>
    <t>Bùi Văn Thêu</t>
  </si>
  <si>
    <t>02679</t>
  </si>
  <si>
    <t>Nguyễn Đức Tuấn</t>
  </si>
  <si>
    <t>02684</t>
  </si>
  <si>
    <t>02690</t>
  </si>
  <si>
    <t>Vương Thị Cúc</t>
  </si>
  <si>
    <t>02692</t>
  </si>
  <si>
    <t>Trương Thị Huệ</t>
  </si>
  <si>
    <t>02694</t>
  </si>
  <si>
    <t>Phạm Thị Huệ</t>
  </si>
  <si>
    <t>02696</t>
  </si>
  <si>
    <t>Nguyễn Thị Huyên</t>
  </si>
  <si>
    <t>02697</t>
  </si>
  <si>
    <t>02701</t>
  </si>
  <si>
    <t>Phạm Văn Thịnh</t>
  </si>
  <si>
    <t>02706</t>
  </si>
  <si>
    <t>Nguyễn Văn Sỹ</t>
  </si>
  <si>
    <t>02713</t>
  </si>
  <si>
    <t>Chu Ngọc Lư</t>
  </si>
  <si>
    <t>02716</t>
  </si>
  <si>
    <t>Đỗ Tiến Hiệp</t>
  </si>
  <si>
    <t>02754</t>
  </si>
  <si>
    <t>Phan Văn Thuần</t>
  </si>
  <si>
    <t>02757</t>
  </si>
  <si>
    <t>Phùng Ngọc Chương</t>
  </si>
  <si>
    <t>02764</t>
  </si>
  <si>
    <t>Hà Đức Khanh</t>
  </si>
  <si>
    <t>02773</t>
  </si>
  <si>
    <t>Lưu Văn Sáu</t>
  </si>
  <si>
    <t>02782</t>
  </si>
  <si>
    <t>Tạ Quang Hùng</t>
  </si>
  <si>
    <t>02791</t>
  </si>
  <si>
    <t>Lê Văn Quân</t>
  </si>
  <si>
    <t>02792</t>
  </si>
  <si>
    <t>Khương Đình Du</t>
  </si>
  <si>
    <t>02814</t>
  </si>
  <si>
    <t>Nguyễn Văn Liên</t>
  </si>
  <si>
    <t>02821</t>
  </si>
  <si>
    <t>Hạ Văn Cường</t>
  </si>
  <si>
    <t>02823</t>
  </si>
  <si>
    <t>Hoàng Thị Hoa</t>
  </si>
  <si>
    <t>02824</t>
  </si>
  <si>
    <t>Lưu Văn Giang</t>
  </si>
  <si>
    <t>02830</t>
  </si>
  <si>
    <t>Triệu Đức Văn</t>
  </si>
  <si>
    <t>02831</t>
  </si>
  <si>
    <t>Ngô Đình Doanh</t>
  </si>
  <si>
    <t>02840</t>
  </si>
  <si>
    <t>Nguyễn Việt Tuấn</t>
  </si>
  <si>
    <t>02843</t>
  </si>
  <si>
    <t>Trương Văn Phương</t>
  </si>
  <si>
    <t>02847</t>
  </si>
  <si>
    <t>Nguyễn Văn Huân</t>
  </si>
  <si>
    <t>02849</t>
  </si>
  <si>
    <t>Hà Phương Anh</t>
  </si>
  <si>
    <t>02850</t>
  </si>
  <si>
    <t>Lâm Văn Sáu</t>
  </si>
  <si>
    <t>02851</t>
  </si>
  <si>
    <t>Lưu Thị Cần</t>
  </si>
  <si>
    <t>02855</t>
  </si>
  <si>
    <t>02856</t>
  </si>
  <si>
    <t>Lâm Thị Hiền</t>
  </si>
  <si>
    <t>02857</t>
  </si>
  <si>
    <t>Khổng Thị Đại</t>
  </si>
  <si>
    <t>02859</t>
  </si>
  <si>
    <t>Nguyễn Hồng Huệ</t>
  </si>
  <si>
    <t>02860</t>
  </si>
  <si>
    <t>Hà Thị Lan Anh</t>
  </si>
  <si>
    <t>02861</t>
  </si>
  <si>
    <t>Trương Thị Hoa</t>
  </si>
  <si>
    <t>02862</t>
  </si>
  <si>
    <t>Ngô Thị Thơm</t>
  </si>
  <si>
    <t>02865</t>
  </si>
  <si>
    <t>Phạm Ngọc Đoàn</t>
  </si>
  <si>
    <t>02868</t>
  </si>
  <si>
    <t>Lê Văn Kiên</t>
  </si>
  <si>
    <t>02880</t>
  </si>
  <si>
    <t>Ngô Văn Quý</t>
  </si>
  <si>
    <t>02884</t>
  </si>
  <si>
    <t>Phó Đức Thiện</t>
  </si>
  <si>
    <t>02885</t>
  </si>
  <si>
    <t>Nguyễn Văn Toán</t>
  </si>
  <si>
    <t>02886</t>
  </si>
  <si>
    <t>Đỗ Văn Hải</t>
  </si>
  <si>
    <t>02887</t>
  </si>
  <si>
    <t>Nguyễn Đình Đăng</t>
  </si>
  <si>
    <t>02891</t>
  </si>
  <si>
    <t>Nguyễn Thành Long</t>
  </si>
  <si>
    <t>02903</t>
  </si>
  <si>
    <t>Đào Quang Việt</t>
  </si>
  <si>
    <t>02927</t>
  </si>
  <si>
    <t>Nguyễn Duy Thảo</t>
  </si>
  <si>
    <t>02928</t>
  </si>
  <si>
    <t>02951</t>
  </si>
  <si>
    <t>Lưu Văn Tư</t>
  </si>
  <si>
    <t>02954</t>
  </si>
  <si>
    <t>Hà Trọng Lợi</t>
  </si>
  <si>
    <t>02972</t>
  </si>
  <si>
    <t>Trần Thị Thuỷ Hương</t>
  </si>
  <si>
    <t>02973</t>
  </si>
  <si>
    <t>Nguyễn Văn Ngọc</t>
  </si>
  <si>
    <t>02982</t>
  </si>
  <si>
    <t>Nguyễn Quốc Toản</t>
  </si>
  <si>
    <t>02984</t>
  </si>
  <si>
    <t>Nguyễn Ngọc Tuấn</t>
  </si>
  <si>
    <t>02985</t>
  </si>
  <si>
    <t>Lương Văn Vũ</t>
  </si>
  <si>
    <t>02990</t>
  </si>
  <si>
    <t>Lưu Văn Hạnh</t>
  </si>
  <si>
    <t>03001</t>
  </si>
  <si>
    <t>Bùi Đình Giang</t>
  </si>
  <si>
    <t>03010</t>
  </si>
  <si>
    <t>Đỗ Văn Đông</t>
  </si>
  <si>
    <t>03015</t>
  </si>
  <si>
    <t>03019</t>
  </si>
  <si>
    <t>Nguyễn Văn Hoà</t>
  </si>
  <si>
    <t>03020</t>
  </si>
  <si>
    <t>Nguyễn Xuân Dương</t>
  </si>
  <si>
    <t>03021</t>
  </si>
  <si>
    <t>Hoàng Ngọc Thắng</t>
  </si>
  <si>
    <t>03027</t>
  </si>
  <si>
    <t>Nguyễn Quang Ninh</t>
  </si>
  <si>
    <t>03030</t>
  </si>
  <si>
    <t>Bùi Quang Toàn</t>
  </si>
  <si>
    <t>03037</t>
  </si>
  <si>
    <t>Lê Thị Vân Anh</t>
  </si>
  <si>
    <t>03038</t>
  </si>
  <si>
    <t>Nguyễn Thị Thu</t>
  </si>
  <si>
    <t>03041</t>
  </si>
  <si>
    <t>03042</t>
  </si>
  <si>
    <t>03045</t>
  </si>
  <si>
    <t>Nguyễn Thế Cường</t>
  </si>
  <si>
    <t>03046</t>
  </si>
  <si>
    <t>Nguyễn Thị Thuỳ Linh</t>
  </si>
  <si>
    <t>03048</t>
  </si>
  <si>
    <t>Hoàng Đức Nhật</t>
  </si>
  <si>
    <t>03057</t>
  </si>
  <si>
    <t>Nguyễn Xuân Tân</t>
  </si>
  <si>
    <t>03069</t>
  </si>
  <si>
    <t>Lê Văn Chiến</t>
  </si>
  <si>
    <t>03070</t>
  </si>
  <si>
    <t>Đỗ Quốc Đạt</t>
  </si>
  <si>
    <t>03073</t>
  </si>
  <si>
    <t>Đỗ Thị Như Hoa</t>
  </si>
  <si>
    <t>03079</t>
  </si>
  <si>
    <t>Bùi Thị Thảo</t>
  </si>
  <si>
    <t>03083</t>
  </si>
  <si>
    <t>Nguyễn Thị Mến</t>
  </si>
  <si>
    <t>03086</t>
  </si>
  <si>
    <t>Đỗ Thị Thái Bảo</t>
  </si>
  <si>
    <t>03090</t>
  </si>
  <si>
    <t>Trần Thị Thu Thủy</t>
  </si>
  <si>
    <t>03094</t>
  </si>
  <si>
    <t>Trần Thị Thái</t>
  </si>
  <si>
    <t>03095</t>
  </si>
  <si>
    <t>Lăng Thị Phượng</t>
  </si>
  <si>
    <t>03098</t>
  </si>
  <si>
    <t>Dương Văn Chung</t>
  </si>
  <si>
    <t>03105</t>
  </si>
  <si>
    <t>Đàm Thị Quyên</t>
  </si>
  <si>
    <t>03125</t>
  </si>
  <si>
    <t>Nguyễn Quốc Viện</t>
  </si>
  <si>
    <t>03130</t>
  </si>
  <si>
    <t>Trần Văn Tính</t>
  </si>
  <si>
    <t>03137</t>
  </si>
  <si>
    <t>Nguyễn Văn Tình</t>
  </si>
  <si>
    <t>03139</t>
  </si>
  <si>
    <t>Nguyễn Thị Lan</t>
  </si>
  <si>
    <t>03144</t>
  </si>
  <si>
    <t>Nguyễn Văn Tài</t>
  </si>
  <si>
    <t>03146</t>
  </si>
  <si>
    <t>03147</t>
  </si>
  <si>
    <t>Nguyễn Văn Trọng</t>
  </si>
  <si>
    <t>03158</t>
  </si>
  <si>
    <t>Đào Thị Huyền</t>
  </si>
  <si>
    <t>03168</t>
  </si>
  <si>
    <t>Nguyễn Thị Điều</t>
  </si>
  <si>
    <t>03171</t>
  </si>
  <si>
    <t>Tạ Thị Đông</t>
  </si>
  <si>
    <t>03177</t>
  </si>
  <si>
    <t>Đỗ Thị Hưng</t>
  </si>
  <si>
    <t>03178</t>
  </si>
  <si>
    <t>Khổng Thị Hương</t>
  </si>
  <si>
    <t>Ngô Thị Đẹp</t>
  </si>
  <si>
    <t>03180</t>
  </si>
  <si>
    <t>Phùng Văn Công</t>
  </si>
  <si>
    <t>03184</t>
  </si>
  <si>
    <t>Lê Anh Tuấn</t>
  </si>
  <si>
    <t>03196</t>
  </si>
  <si>
    <t>Nguyễn Đức Trịnh</t>
  </si>
  <si>
    <t>03197</t>
  </si>
  <si>
    <t>Cao Thế Anh</t>
  </si>
  <si>
    <t>03198</t>
  </si>
  <si>
    <t>Khương Thị Thu</t>
  </si>
  <si>
    <t>03203</t>
  </si>
  <si>
    <t>Vũ Mạnh Hùng</t>
  </si>
  <si>
    <t>03229</t>
  </si>
  <si>
    <t>Cao Đắc Hạnh</t>
  </si>
  <si>
    <t>03264</t>
  </si>
  <si>
    <t>Trần Vĩnh Phúc</t>
  </si>
  <si>
    <t>03274</t>
  </si>
  <si>
    <t>Nguyễn Văn Tâm</t>
  </si>
  <si>
    <t>03282</t>
  </si>
  <si>
    <t>Hoàng Văn Duệ</t>
  </si>
  <si>
    <t>03283</t>
  </si>
  <si>
    <t>Nguyễn Văn Toàn</t>
  </si>
  <si>
    <t>03285</t>
  </si>
  <si>
    <t>Ngô Thị Hiệu</t>
  </si>
  <si>
    <t>03290</t>
  </si>
  <si>
    <t>Lê Thị Bích Hằng</t>
  </si>
  <si>
    <t>03292</t>
  </si>
  <si>
    <t>Đinh Thị Hồng</t>
  </si>
  <si>
    <t>03293</t>
  </si>
  <si>
    <t>Hoàng Văn Tài</t>
  </si>
  <si>
    <t>03294</t>
  </si>
  <si>
    <t>03298</t>
  </si>
  <si>
    <t>Nguyễn Phú Hà</t>
  </si>
  <si>
    <t>03299</t>
  </si>
  <si>
    <t>Nguyễn Xuân Anh</t>
  </si>
  <si>
    <t>03304</t>
  </si>
  <si>
    <t>Hoàng Đình Nguyên</t>
  </si>
  <si>
    <t>03308</t>
  </si>
  <si>
    <t>03324</t>
  </si>
  <si>
    <t>Nguyễn Văn Hà</t>
  </si>
  <si>
    <t>03327</t>
  </si>
  <si>
    <t>03330</t>
  </si>
  <si>
    <t>Nguyễn Quốc Phi</t>
  </si>
  <si>
    <t>03345</t>
  </si>
  <si>
    <t>Nguyễn Thị Hồng</t>
  </si>
  <si>
    <t>03352</t>
  </si>
  <si>
    <t>03354</t>
  </si>
  <si>
    <t>Khổng Quang Khải</t>
  </si>
  <si>
    <t>03356</t>
  </si>
  <si>
    <t>Trần Văn Thuỳ</t>
  </si>
  <si>
    <t>03359</t>
  </si>
  <si>
    <t>Đặng Thị Liên</t>
  </si>
  <si>
    <t>03361</t>
  </si>
  <si>
    <t>Nguyễn Duy Giang</t>
  </si>
  <si>
    <t>03363</t>
  </si>
  <si>
    <t>Nguyễn Ngọc Diệp Minh Tuyền</t>
  </si>
  <si>
    <t>03366</t>
  </si>
  <si>
    <t>Nguyễn Hoàng Thao</t>
  </si>
  <si>
    <t>03368</t>
  </si>
  <si>
    <t>Lưu Văn Dũng</t>
  </si>
  <si>
    <t>03371</t>
  </si>
  <si>
    <t>Đỗ Chí Nam</t>
  </si>
  <si>
    <t>03372</t>
  </si>
  <si>
    <t>Lê Quang Trường</t>
  </si>
  <si>
    <t>03373</t>
  </si>
  <si>
    <t>03376</t>
  </si>
  <si>
    <t>03384</t>
  </si>
  <si>
    <t>Dương Đức Cường</t>
  </si>
  <si>
    <t>03385</t>
  </si>
  <si>
    <t>Dư Văn Hùng</t>
  </si>
  <si>
    <t>03387</t>
  </si>
  <si>
    <t>Thiều Xuân Chinh</t>
  </si>
  <si>
    <t>03390</t>
  </si>
  <si>
    <t>Trần Văn Năm</t>
  </si>
  <si>
    <t>03392</t>
  </si>
  <si>
    <t>03401</t>
  </si>
  <si>
    <t>03408</t>
  </si>
  <si>
    <t>Trương Quốc Việt</t>
  </si>
  <si>
    <t>03410</t>
  </si>
  <si>
    <t>Tô Văn Quang</t>
  </si>
  <si>
    <t>03412</t>
  </si>
  <si>
    <t>Hà Văn Hùng</t>
  </si>
  <si>
    <t>03413</t>
  </si>
  <si>
    <t>Lê Duy Thắng</t>
  </si>
  <si>
    <t>03417</t>
  </si>
  <si>
    <t>Đinh Thị Giáng Hương</t>
  </si>
  <si>
    <t>03423</t>
  </si>
  <si>
    <t>Hà Trường Giang</t>
  </si>
  <si>
    <t>03429</t>
  </si>
  <si>
    <t>Đỗ Thị Hoa</t>
  </si>
  <si>
    <t>03439</t>
  </si>
  <si>
    <t>Khổng Thị Thanh Tú</t>
  </si>
  <si>
    <t>03441</t>
  </si>
  <si>
    <t>Trần Văn Quang</t>
  </si>
  <si>
    <t>03447</t>
  </si>
  <si>
    <t>03454</t>
  </si>
  <si>
    <t>Dương Quang Huy</t>
  </si>
  <si>
    <t>03459</t>
  </si>
  <si>
    <t>Vũ Văn Dũng</t>
  </si>
  <si>
    <t>03464</t>
  </si>
  <si>
    <t>Nguyễn Thị Hạnh</t>
  </si>
  <si>
    <t>03469</t>
  </si>
  <si>
    <t>Khổng Thị Hồng Nhung</t>
  </si>
  <si>
    <t>03470</t>
  </si>
  <si>
    <t>03473</t>
  </si>
  <si>
    <t>Nguyễn Thị Thái</t>
  </si>
  <si>
    <t>03475</t>
  </si>
  <si>
    <t>Phạm Văn An</t>
  </si>
  <si>
    <t>03480</t>
  </si>
  <si>
    <t>Vũ Ngọc Quang</t>
  </si>
  <si>
    <t>03481</t>
  </si>
  <si>
    <t>Nguyễn Thành Luân</t>
  </si>
  <si>
    <t>03483</t>
  </si>
  <si>
    <t>Nguyễn Đình Đường</t>
  </si>
  <si>
    <t>03487</t>
  </si>
  <si>
    <t>Bùi Thị Hồng Nhung</t>
  </si>
  <si>
    <t>03489</t>
  </si>
  <si>
    <t>Nguyễn Thị Sinh</t>
  </si>
  <si>
    <t>03499</t>
  </si>
  <si>
    <t>Nguyễn Văn Thắng</t>
  </si>
  <si>
    <t>03500</t>
  </si>
  <si>
    <t>Bùi Thị Nguyên</t>
  </si>
  <si>
    <t>03502</t>
  </si>
  <si>
    <t>Đỗ Thị Huyền</t>
  </si>
  <si>
    <t>03521</t>
  </si>
  <si>
    <t>Tạ Văn Sang</t>
  </si>
  <si>
    <t>03528</t>
  </si>
  <si>
    <t>Lê Thị Hương ánh</t>
  </si>
  <si>
    <t>03534</t>
  </si>
  <si>
    <t>Chu Thị Chang</t>
  </si>
  <si>
    <t>03538</t>
  </si>
  <si>
    <t>Nguyễn Thị Huệ</t>
  </si>
  <si>
    <t>03550</t>
  </si>
  <si>
    <t>Đặng Quốc Hùng</t>
  </si>
  <si>
    <t>03554</t>
  </si>
  <si>
    <t>Chu Văn Chung</t>
  </si>
  <si>
    <t>03560</t>
  </si>
  <si>
    <t>Nguyễn Khắc Huy</t>
  </si>
  <si>
    <t>03562</t>
  </si>
  <si>
    <t>Nguyễn Văn Lư</t>
  </si>
  <si>
    <t>03565</t>
  </si>
  <si>
    <t>Phạm Xuân Hưng</t>
  </si>
  <si>
    <t>03582</t>
  </si>
  <si>
    <t>Nguyễn Thế Lý</t>
  </si>
  <si>
    <t>03583</t>
  </si>
  <si>
    <t>03584</t>
  </si>
  <si>
    <t>03585</t>
  </si>
  <si>
    <t>Trần Văn Hải</t>
  </si>
  <si>
    <t>03591</t>
  </si>
  <si>
    <t>Bùi Thị Kim Hương</t>
  </si>
  <si>
    <t>03599</t>
  </si>
  <si>
    <t>Đặng Thị Hoa</t>
  </si>
  <si>
    <t>03601</t>
  </si>
  <si>
    <t>03602</t>
  </si>
  <si>
    <t>03603</t>
  </si>
  <si>
    <t>Nguyễn Đức Thịnh</t>
  </si>
  <si>
    <t>03613</t>
  </si>
  <si>
    <t>Phạm Ngọc Thiện</t>
  </si>
  <si>
    <t>03615</t>
  </si>
  <si>
    <t>03618</t>
  </si>
  <si>
    <t>Nguyễn Trọng Hiếu</t>
  </si>
  <si>
    <t>03649</t>
  </si>
  <si>
    <t>Cao Văn Thắng</t>
  </si>
  <si>
    <t>03657</t>
  </si>
  <si>
    <t>Lương Văn Thuần</t>
  </si>
  <si>
    <t>03658</t>
  </si>
  <si>
    <t>Đỗ Tiến Quang</t>
  </si>
  <si>
    <t>03671</t>
  </si>
  <si>
    <t>Nguyễn Chí Bằng</t>
  </si>
  <si>
    <t>03680</t>
  </si>
  <si>
    <t>Nguyễn Đức Đường</t>
  </si>
  <si>
    <t>03685</t>
  </si>
  <si>
    <t>Vũ Thị Vân</t>
  </si>
  <si>
    <t>03693</t>
  </si>
  <si>
    <t>Lưu Kim Thành</t>
  </si>
  <si>
    <t>03697</t>
  </si>
  <si>
    <t>Hoàng Hữu Thủy</t>
  </si>
  <si>
    <t>03699</t>
  </si>
  <si>
    <t>03712</t>
  </si>
  <si>
    <t>Nguyễn Hùng Oai</t>
  </si>
  <si>
    <t>03718</t>
  </si>
  <si>
    <t>Lê Văn Chi</t>
  </si>
  <si>
    <t>03726</t>
  </si>
  <si>
    <t>03735</t>
  </si>
  <si>
    <t>Trần Anh Dũng</t>
  </si>
  <si>
    <t>03737</t>
  </si>
  <si>
    <t>03739</t>
  </si>
  <si>
    <t>Hoàng Ngọc Anh</t>
  </si>
  <si>
    <t>03745</t>
  </si>
  <si>
    <t>Nguyễn Văn Quý</t>
  </si>
  <si>
    <t>03746</t>
  </si>
  <si>
    <t>Nguyễn Mạnh Toàn</t>
  </si>
  <si>
    <t>03747</t>
  </si>
  <si>
    <t>Nguyễn Đăng Kiên</t>
  </si>
  <si>
    <t>03760</t>
  </si>
  <si>
    <t>Lưu Văn Hải</t>
  </si>
  <si>
    <t>03765</t>
  </si>
  <si>
    <t>Nguyễn Minh Tuyên</t>
  </si>
  <si>
    <t>03790</t>
  </si>
  <si>
    <t>Bùi Văn Tĩnh</t>
  </si>
  <si>
    <t>03793</t>
  </si>
  <si>
    <t>Phùng Hữu Đức</t>
  </si>
  <si>
    <t>03798</t>
  </si>
  <si>
    <t>Khổng Văn Công</t>
  </si>
  <si>
    <t>03818</t>
  </si>
  <si>
    <t>Đặng Hồng Quang</t>
  </si>
  <si>
    <t>03819</t>
  </si>
  <si>
    <t>Nguyễn Ngọc Quý</t>
  </si>
  <si>
    <t>03821</t>
  </si>
  <si>
    <t>Lê Trọng Tuyền</t>
  </si>
  <si>
    <t>03823</t>
  </si>
  <si>
    <t>Lê Anh Tiến</t>
  </si>
  <si>
    <t>03828</t>
  </si>
  <si>
    <t>Chu Văn Long</t>
  </si>
  <si>
    <t>03832</t>
  </si>
  <si>
    <t>Hoàng Văn Thanh</t>
  </si>
  <si>
    <t>03846</t>
  </si>
  <si>
    <t>Nguyễn Văn Đông</t>
  </si>
  <si>
    <t>03851</t>
  </si>
  <si>
    <t>Nguyễn Văn Phúc</t>
  </si>
  <si>
    <t>03852</t>
  </si>
  <si>
    <t>Nguyễn Mạnh Đức</t>
  </si>
  <si>
    <t>03853</t>
  </si>
  <si>
    <t>Đỗ Quốc Chí</t>
  </si>
  <si>
    <t>03857</t>
  </si>
  <si>
    <t>Phùng Tiến Khoan</t>
  </si>
  <si>
    <t>03877</t>
  </si>
  <si>
    <t>Lý Thái Long</t>
  </si>
  <si>
    <t>03879</t>
  </si>
  <si>
    <t>Phạm Văn Thiện</t>
  </si>
  <si>
    <t>03883</t>
  </si>
  <si>
    <t>Đỗ Tiến Mạnh</t>
  </si>
  <si>
    <t>03889</t>
  </si>
  <si>
    <t>Đỗ Thị Giang</t>
  </si>
  <si>
    <t>03908</t>
  </si>
  <si>
    <t>03909</t>
  </si>
  <si>
    <t>Đỗ Cao Thành</t>
  </si>
  <si>
    <t>03910</t>
  </si>
  <si>
    <t>Nguyễn Thế Thuận</t>
  </si>
  <si>
    <t>03919</t>
  </si>
  <si>
    <t>Nguyễn Văn Hồng</t>
  </si>
  <si>
    <t>03924</t>
  </si>
  <si>
    <t>Nguyễn Trường Giang</t>
  </si>
  <si>
    <t>03936</t>
  </si>
  <si>
    <t>Nguyễn Đức Tuyên</t>
  </si>
  <si>
    <t>03937</t>
  </si>
  <si>
    <t>Đỗ Ngọc Quỳnh</t>
  </si>
  <si>
    <t>03943</t>
  </si>
  <si>
    <t>Bùi Văn Thìn</t>
  </si>
  <si>
    <t>03944</t>
  </si>
  <si>
    <t>Nguyễn Khắc Thưởng</t>
  </si>
  <si>
    <t>03954</t>
  </si>
  <si>
    <t>03955</t>
  </si>
  <si>
    <t>Hoàng Quốc Tiền</t>
  </si>
  <si>
    <t>03956</t>
  </si>
  <si>
    <t>Nguyễn Văn Linh</t>
  </si>
  <si>
    <t>03958</t>
  </si>
  <si>
    <t>Nguyễn Văn Tần</t>
  </si>
  <si>
    <t>03960</t>
  </si>
  <si>
    <t>Đào Văn Thanh</t>
  </si>
  <si>
    <t>03965</t>
  </si>
  <si>
    <t>Phan Thanh Thái</t>
  </si>
  <si>
    <t>03976</t>
  </si>
  <si>
    <t>Đặng Trần Dương</t>
  </si>
  <si>
    <t>03978</t>
  </si>
  <si>
    <t>Trần Trung Chính</t>
  </si>
  <si>
    <t>03979</t>
  </si>
  <si>
    <t>Lưu Thành Đức</t>
  </si>
  <si>
    <t>04015</t>
  </si>
  <si>
    <t>04021</t>
  </si>
  <si>
    <t>Phan Huy Quốc</t>
  </si>
  <si>
    <t>04029</t>
  </si>
  <si>
    <t>Phạm Văn Thực</t>
  </si>
  <si>
    <t>04035</t>
  </si>
  <si>
    <t>Đặng Thị Phượng</t>
  </si>
  <si>
    <t>04036</t>
  </si>
  <si>
    <t>Lê Văn Mạnh</t>
  </si>
  <si>
    <t>04042</t>
  </si>
  <si>
    <t>Trần Ngọc Mạnh</t>
  </si>
  <si>
    <t>04104</t>
  </si>
  <si>
    <t>Bùi Bảo Trường</t>
  </si>
  <si>
    <t>04106</t>
  </si>
  <si>
    <t>Trần Ngọc Kim</t>
  </si>
  <si>
    <t>04197</t>
  </si>
  <si>
    <t>04199</t>
  </si>
  <si>
    <t>Nguyễn Văn Doãn</t>
  </si>
  <si>
    <t>04201</t>
  </si>
  <si>
    <t>Kiều Văn Hiên</t>
  </si>
  <si>
    <t>04202</t>
  </si>
  <si>
    <t>04203</t>
  </si>
  <si>
    <t>Đoàn Anh Thảo</t>
  </si>
  <si>
    <t>04222</t>
  </si>
  <si>
    <t>Lê Xuân Sảng</t>
  </si>
  <si>
    <t>04223</t>
  </si>
  <si>
    <t>Đỗ Văn Hướng</t>
  </si>
  <si>
    <t>04224</t>
  </si>
  <si>
    <t>Phùng Văn Đồng</t>
  </si>
  <si>
    <t>04226</t>
  </si>
  <si>
    <t>Tạ Đức Thắng</t>
  </si>
  <si>
    <t>04230</t>
  </si>
  <si>
    <t>04231</t>
  </si>
  <si>
    <t>Nguyễn Văn Biên</t>
  </si>
  <si>
    <t>04233</t>
  </si>
  <si>
    <t>Lê Thế Hùng</t>
  </si>
  <si>
    <t>04240</t>
  </si>
  <si>
    <t>04241</t>
  </si>
  <si>
    <t>Hoàng Văn Đạt</t>
  </si>
  <si>
    <t>04242</t>
  </si>
  <si>
    <t>04252</t>
  </si>
  <si>
    <t>Bùi Văn Tuấn</t>
  </si>
  <si>
    <t>04254</t>
  </si>
  <si>
    <t>Vũ Văn Tuấn</t>
  </si>
  <si>
    <t>04257</t>
  </si>
  <si>
    <t>Nguyễn Thu Hương</t>
  </si>
  <si>
    <t>04258</t>
  </si>
  <si>
    <t>Lê Thị Huyền</t>
  </si>
  <si>
    <t>04261</t>
  </si>
  <si>
    <t>04267</t>
  </si>
  <si>
    <t>Kiều Mạnh Toàn</t>
  </si>
  <si>
    <t>04268</t>
  </si>
  <si>
    <t>Lê Mạnh Tiến</t>
  </si>
  <si>
    <t>04272</t>
  </si>
  <si>
    <t>Kim Anh Dũng</t>
  </si>
  <si>
    <t>04273</t>
  </si>
  <si>
    <t>Dương Hoàng Long</t>
  </si>
  <si>
    <t>04276</t>
  </si>
  <si>
    <t>Nguyễn Mạnh Trường</t>
  </si>
  <si>
    <t>04283</t>
  </si>
  <si>
    <t>Dương Xuân Quý</t>
  </si>
  <si>
    <t>04290</t>
  </si>
  <si>
    <t>Đường Văn Cương</t>
  </si>
  <si>
    <t>04309</t>
  </si>
  <si>
    <t>Đỗ Cao Việt</t>
  </si>
  <si>
    <t>04316</t>
  </si>
  <si>
    <t>Trần Văn Quân</t>
  </si>
  <si>
    <t>04324</t>
  </si>
  <si>
    <t>Vũ Ngọc Phương</t>
  </si>
  <si>
    <t>04332</t>
  </si>
  <si>
    <t>Nguyễn Thế Hùng</t>
  </si>
  <si>
    <t>04345</t>
  </si>
  <si>
    <t>Đỗ Văn Huấn</t>
  </si>
  <si>
    <t>04351</t>
  </si>
  <si>
    <t>04362</t>
  </si>
  <si>
    <t>Bùi Thị Hồng Hoài</t>
  </si>
  <si>
    <t>04365</t>
  </si>
  <si>
    <t>Nguyễn Thị Mai</t>
  </si>
  <si>
    <t>04366</t>
  </si>
  <si>
    <t>Ngô Văn Cháu</t>
  </si>
  <si>
    <t>04392</t>
  </si>
  <si>
    <t>Hoàng Văn Tuyên</t>
  </si>
  <si>
    <t>04394</t>
  </si>
  <si>
    <t>Vũ Văn Thái</t>
  </si>
  <si>
    <t>04403</t>
  </si>
  <si>
    <t>04404</t>
  </si>
  <si>
    <t>Bùi Đức Long</t>
  </si>
  <si>
    <t>04421</t>
  </si>
  <si>
    <t>Đào Duy Thực</t>
  </si>
  <si>
    <t>04423</t>
  </si>
  <si>
    <t>Nguyễn Trung Tâm</t>
  </si>
  <si>
    <t>04426</t>
  </si>
  <si>
    <t>Nguyễn Văn Nghiêm</t>
  </si>
  <si>
    <t>04427</t>
  </si>
  <si>
    <t>Nguyễn Văn Mỹ</t>
  </si>
  <si>
    <t>04428</t>
  </si>
  <si>
    <t>Nguyễn Minh Châu</t>
  </si>
  <si>
    <t>04432</t>
  </si>
  <si>
    <t>Nguyễn Minh Hải</t>
  </si>
  <si>
    <t>04433</t>
  </si>
  <si>
    <t>Ngô Văn Vũ</t>
  </si>
  <si>
    <t>04441</t>
  </si>
  <si>
    <t>Trần Thị Ngọc</t>
  </si>
  <si>
    <t>04455</t>
  </si>
  <si>
    <t>Đặng Văn Thục</t>
  </si>
  <si>
    <t>04461</t>
  </si>
  <si>
    <t>Lê Văn Thành</t>
  </si>
  <si>
    <t>04492</t>
  </si>
  <si>
    <t>Đỗ Cao Trường</t>
  </si>
  <si>
    <t>04506</t>
  </si>
  <si>
    <t>Nguyễn Tiến Bộ</t>
  </si>
  <si>
    <t>04509</t>
  </si>
  <si>
    <t>Trần Trung</t>
  </si>
  <si>
    <t>04512</t>
  </si>
  <si>
    <t>Nguyễn Văn Chính</t>
  </si>
  <si>
    <t>Đỗ Văn Tùng</t>
  </si>
  <si>
    <t>04539</t>
  </si>
  <si>
    <t>Lê Thanh Thuỷ</t>
  </si>
  <si>
    <t>04555</t>
  </si>
  <si>
    <t>Trần Tuấn Hưng</t>
  </si>
  <si>
    <t>04557</t>
  </si>
  <si>
    <t>Bùi Thị Kim Thu</t>
  </si>
  <si>
    <t>04559</t>
  </si>
  <si>
    <t>Nguyễn Đình Trung</t>
  </si>
  <si>
    <t>04584</t>
  </si>
  <si>
    <t>Nguyễn Ngọc Vạn</t>
  </si>
  <si>
    <t>04594</t>
  </si>
  <si>
    <t>Phạm Đình Việt</t>
  </si>
  <si>
    <t>04603</t>
  </si>
  <si>
    <t>Chu Văn Huy</t>
  </si>
  <si>
    <t>04608</t>
  </si>
  <si>
    <t>Nguyễn Thị Kim Cúc</t>
  </si>
  <si>
    <t>04609</t>
  </si>
  <si>
    <t>Nguyễn Văn Thơm</t>
  </si>
  <si>
    <t>04614</t>
  </si>
  <si>
    <t>04619</t>
  </si>
  <si>
    <t>Đỗ Thanh Tuấn</t>
  </si>
  <si>
    <t>04621</t>
  </si>
  <si>
    <t>Nguyễn Tiến Thịnh</t>
  </si>
  <si>
    <t>04622</t>
  </si>
  <si>
    <t>Nguyễn Công Chức</t>
  </si>
  <si>
    <t>04637</t>
  </si>
  <si>
    <t>Hoàng Văn Quỳ</t>
  </si>
  <si>
    <t>04646</t>
  </si>
  <si>
    <t>Nguyễn Kiên Trung</t>
  </si>
  <si>
    <t>04675</t>
  </si>
  <si>
    <t>NguyễnVăn Trường</t>
  </si>
  <si>
    <t>04676</t>
  </si>
  <si>
    <t>Nguyễn Thị Minh Hậu</t>
  </si>
  <si>
    <t>04682</t>
  </si>
  <si>
    <t>Nguyễn Thị Ngà</t>
  </si>
  <si>
    <t>04686</t>
  </si>
  <si>
    <t>Nguyễn Thị Trang</t>
  </si>
  <si>
    <t>04688</t>
  </si>
  <si>
    <t>Nguyễn Thị Hường</t>
  </si>
  <si>
    <t>04689</t>
  </si>
  <si>
    <t>Hoàng Văn Hoà</t>
  </si>
  <si>
    <t>04690</t>
  </si>
  <si>
    <t>Nguyễn Hữu Dũng</t>
  </si>
  <si>
    <t>04694</t>
  </si>
  <si>
    <t>Nguyễn Văn Chung</t>
  </si>
  <si>
    <t>04706</t>
  </si>
  <si>
    <t>04707</t>
  </si>
  <si>
    <t>Lê Thị Lý</t>
  </si>
  <si>
    <t>04715</t>
  </si>
  <si>
    <t>04725</t>
  </si>
  <si>
    <t>Lương Văn Thường</t>
  </si>
  <si>
    <t>04750</t>
  </si>
  <si>
    <t>Hạ Trọng Lực</t>
  </si>
  <si>
    <t>04751</t>
  </si>
  <si>
    <t>Dương Lê Chiến</t>
  </si>
  <si>
    <t>04753</t>
  </si>
  <si>
    <t>Lê Văn Bể</t>
  </si>
  <si>
    <t>04754</t>
  </si>
  <si>
    <t>Đặng Văn Tiến</t>
  </si>
  <si>
    <t>04774</t>
  </si>
  <si>
    <t>Lâm Quốc Tuấn</t>
  </si>
  <si>
    <t>04789</t>
  </si>
  <si>
    <t>04796</t>
  </si>
  <si>
    <t>Trần Mạnh Hùng</t>
  </si>
  <si>
    <t>04809</t>
  </si>
  <si>
    <t>Đỗ Cao Phương</t>
  </si>
  <si>
    <t>04815</t>
  </si>
  <si>
    <t>Nguyễn Văn Mùi</t>
  </si>
  <si>
    <t>04818</t>
  </si>
  <si>
    <t>Tạ Đình Nguyệt</t>
  </si>
  <si>
    <t>04822</t>
  </si>
  <si>
    <t>Bùi Thanh Bình</t>
  </si>
  <si>
    <t>04823</t>
  </si>
  <si>
    <t>Nguyễn Thị Thu Đông</t>
  </si>
  <si>
    <t>04836</t>
  </si>
  <si>
    <t>Phùng Phi Sơn</t>
  </si>
  <si>
    <t>04843</t>
  </si>
  <si>
    <t>Đoàn Xuân Hiệp</t>
  </si>
  <si>
    <t>04844</t>
  </si>
  <si>
    <t>Vũ Đức Trung</t>
  </si>
  <si>
    <t>04863</t>
  </si>
  <si>
    <t>Trần Nam Hải</t>
  </si>
  <si>
    <t>04868</t>
  </si>
  <si>
    <t>Chu Đức Lợi</t>
  </si>
  <si>
    <t>04880</t>
  </si>
  <si>
    <t>Nguyễn Thế Minh</t>
  </si>
  <si>
    <t>04882</t>
  </si>
  <si>
    <t>Lương Đình Lưu</t>
  </si>
  <si>
    <t>04883</t>
  </si>
  <si>
    <t>Lương Văn Huỳnh</t>
  </si>
  <si>
    <t>04888</t>
  </si>
  <si>
    <t>Nguyễn Minh Quang</t>
  </si>
  <si>
    <t>04902</t>
  </si>
  <si>
    <t>Đặng Bình Minh</t>
  </si>
  <si>
    <t>04914</t>
  </si>
  <si>
    <t>Dương Thị Phượng Vĩ</t>
  </si>
  <si>
    <t>04924</t>
  </si>
  <si>
    <t>Vương Văn Hoa</t>
  </si>
  <si>
    <t>04926</t>
  </si>
  <si>
    <t>Lê Thị Ngọc Mai</t>
  </si>
  <si>
    <t>04927</t>
  </si>
  <si>
    <t>Lưu Văn Lý</t>
  </si>
  <si>
    <t>04961</t>
  </si>
  <si>
    <t>Nguyễn Văn Đệ</t>
  </si>
  <si>
    <t>04962</t>
  </si>
  <si>
    <t>05001</t>
  </si>
  <si>
    <t>Trần Văn Hoan</t>
  </si>
  <si>
    <t>05024</t>
  </si>
  <si>
    <t>Phùng Văn Luận</t>
  </si>
  <si>
    <t>05026</t>
  </si>
  <si>
    <t>Nguyễn Thị Trường</t>
  </si>
  <si>
    <t>05035</t>
  </si>
  <si>
    <t>Hà Văn Khuê</t>
  </si>
  <si>
    <t>05041</t>
  </si>
  <si>
    <t>Trần Văn Hưng</t>
  </si>
  <si>
    <t>05056</t>
  </si>
  <si>
    <t>Đào Xuân Khoa</t>
  </si>
  <si>
    <t>05057</t>
  </si>
  <si>
    <t>Ngô Mạnh Tuấn</t>
  </si>
  <si>
    <t>05059</t>
  </si>
  <si>
    <t>Kiều Lương Trần</t>
  </si>
  <si>
    <t>05074</t>
  </si>
  <si>
    <t>Lê Thị Thuý</t>
  </si>
  <si>
    <t>05077</t>
  </si>
  <si>
    <t>Nguyễn Sỹ Đông</t>
  </si>
  <si>
    <t>05079</t>
  </si>
  <si>
    <t>Tạ Thị Ngần</t>
  </si>
  <si>
    <t>05095</t>
  </si>
  <si>
    <t>Phùng Văn Hùng</t>
  </si>
  <si>
    <t>05096</t>
  </si>
  <si>
    <t>Nguyễn Văn Thanh</t>
  </si>
  <si>
    <t>05114</t>
  </si>
  <si>
    <t>Trần Văn Khánh</t>
  </si>
  <si>
    <t>05132</t>
  </si>
  <si>
    <t>Nguyễn Văn Nam</t>
  </si>
  <si>
    <t>05139</t>
  </si>
  <si>
    <t>Ngô Thị Kim Dung</t>
  </si>
  <si>
    <t>05141</t>
  </si>
  <si>
    <t>Đào Anh Tuấn</t>
  </si>
  <si>
    <t>05147</t>
  </si>
  <si>
    <t>05152</t>
  </si>
  <si>
    <t>Phí Văn Thao</t>
  </si>
  <si>
    <t>05157</t>
  </si>
  <si>
    <t>Lâm Văn Thọ</t>
  </si>
  <si>
    <t>05160</t>
  </si>
  <si>
    <t>05166</t>
  </si>
  <si>
    <t>Trần Anh Thịnh</t>
  </si>
  <si>
    <t>05177</t>
  </si>
  <si>
    <t>Vũ Thị Thanh Hương</t>
  </si>
  <si>
    <t>05224</t>
  </si>
  <si>
    <t>Đinh Thị Thuý Hồng</t>
  </si>
  <si>
    <t>05225</t>
  </si>
  <si>
    <t>05231</t>
  </si>
  <si>
    <t>Nguyễn Ngọc Thanh</t>
  </si>
  <si>
    <t>05278</t>
  </si>
  <si>
    <t>Đặng Thị Hiền</t>
  </si>
  <si>
    <t>05294</t>
  </si>
  <si>
    <t>Hoàng Mạnh Hà</t>
  </si>
  <si>
    <t>05296</t>
  </si>
  <si>
    <t>Nguyễn Văn Anh</t>
  </si>
  <si>
    <t>05303</t>
  </si>
  <si>
    <t>Đặng Công Thức</t>
  </si>
  <si>
    <t>05313</t>
  </si>
  <si>
    <t>Khổng Văn Khương</t>
  </si>
  <si>
    <t>05325</t>
  </si>
  <si>
    <t>Dương Văn Việt</t>
  </si>
  <si>
    <t>05329</t>
  </si>
  <si>
    <t>Nguyễn Văn Thái</t>
  </si>
  <si>
    <t>05353</t>
  </si>
  <si>
    <t>Tạ Thị Năm</t>
  </si>
  <si>
    <t>05397</t>
  </si>
  <si>
    <t>Đặng Thị Nhâm</t>
  </si>
  <si>
    <t>05398</t>
  </si>
  <si>
    <t>Tạ Thị Hồng</t>
  </si>
  <si>
    <t>05401</t>
  </si>
  <si>
    <t>Trần Thị Gấm</t>
  </si>
  <si>
    <t>05402</t>
  </si>
  <si>
    <t>Nguyễn Thị Lợi</t>
  </si>
  <si>
    <t>05416</t>
  </si>
  <si>
    <t>Nguyễn Thị Thiết</t>
  </si>
  <si>
    <t>05420</t>
  </si>
  <si>
    <t>Bùi Thị Thơm</t>
  </si>
  <si>
    <t>05425</t>
  </si>
  <si>
    <t>Nguyễn Thị Mỵ</t>
  </si>
  <si>
    <t>05428</t>
  </si>
  <si>
    <t>Đỗ Thị Thu Lan</t>
  </si>
  <si>
    <t>05430</t>
  </si>
  <si>
    <t>Trần Văn Đoàn</t>
  </si>
  <si>
    <t>05464</t>
  </si>
  <si>
    <t>Nguyễn Thị Thuỷ</t>
  </si>
  <si>
    <t>05472</t>
  </si>
  <si>
    <t>Nguyễn Thị Sáu</t>
  </si>
  <si>
    <t>05474</t>
  </si>
  <si>
    <t>Dương Thị Thuý Hằng</t>
  </si>
  <si>
    <t>05478</t>
  </si>
  <si>
    <t>Nguyễn Thị Lê</t>
  </si>
  <si>
    <t>05479</t>
  </si>
  <si>
    <t>Ngô Thanh Thảo</t>
  </si>
  <si>
    <t>05481</t>
  </si>
  <si>
    <t>Đào Thị Thảo</t>
  </si>
  <si>
    <t>05483</t>
  </si>
  <si>
    <t>Bùi Thị Huệ</t>
  </si>
  <si>
    <t>05484</t>
  </si>
  <si>
    <t>Nguyễn Thị Ngân</t>
  </si>
  <si>
    <t>05493</t>
  </si>
  <si>
    <t>Phùng Thị Phương</t>
  </si>
  <si>
    <t>05496</t>
  </si>
  <si>
    <t>Đỗ Thị Liên</t>
  </si>
  <si>
    <t>05539</t>
  </si>
  <si>
    <t>Hoàng Thị Lý</t>
  </si>
  <si>
    <t>05542</t>
  </si>
  <si>
    <t>Đỗ Văn Vinh</t>
  </si>
  <si>
    <t>05563</t>
  </si>
  <si>
    <t>Nguyễn Thanh Bình</t>
  </si>
  <si>
    <t>05573</t>
  </si>
  <si>
    <t>05574</t>
  </si>
  <si>
    <t>Nguyễn Đức Khôi</t>
  </si>
  <si>
    <t>05575</t>
  </si>
  <si>
    <t>Đỗ Văn Huy</t>
  </si>
  <si>
    <t>05576</t>
  </si>
  <si>
    <t>05593</t>
  </si>
  <si>
    <t>Nguyễn Thị Quyên</t>
  </si>
  <si>
    <t>05596</t>
  </si>
  <si>
    <t>05597</t>
  </si>
  <si>
    <t>Vũ Văn Tuyến</t>
  </si>
  <si>
    <t>05603</t>
  </si>
  <si>
    <t>Nguyễn Văn Dương</t>
  </si>
  <si>
    <t>Ngô Văn Long</t>
  </si>
  <si>
    <t>05617</t>
  </si>
  <si>
    <t>Nguyễn Đức Tú</t>
  </si>
  <si>
    <t>05624</t>
  </si>
  <si>
    <t>Hoàng Đức Việt</t>
  </si>
  <si>
    <t>05645</t>
  </si>
  <si>
    <t>Nguyễn Xuân Phong</t>
  </si>
  <si>
    <t>05650</t>
  </si>
  <si>
    <t>Bùi Công Từ</t>
  </si>
  <si>
    <t>05668</t>
  </si>
  <si>
    <t>Vũ Thị Như Quỳnh</t>
  </si>
  <si>
    <t>05672</t>
  </si>
  <si>
    <t>05680</t>
  </si>
  <si>
    <t>Cao Xuân Đào</t>
  </si>
  <si>
    <t>05689</t>
  </si>
  <si>
    <t>Nguyễn Trọng Suyên</t>
  </si>
  <si>
    <t>05710</t>
  </si>
  <si>
    <t>Nguyễn Thị Thắm</t>
  </si>
  <si>
    <t>05714</t>
  </si>
  <si>
    <t>Đinh Viết Khương</t>
  </si>
  <si>
    <t>05729</t>
  </si>
  <si>
    <t>Trần Văn Tuấn</t>
  </si>
  <si>
    <t>05754</t>
  </si>
  <si>
    <t>Bùi Ngọc Hoà</t>
  </si>
  <si>
    <t>05771</t>
  </si>
  <si>
    <t>Vũ Huy Thắng</t>
  </si>
  <si>
    <t>05826</t>
  </si>
  <si>
    <t>Hà Thị Phượng</t>
  </si>
  <si>
    <t>05832</t>
  </si>
  <si>
    <t>05833</t>
  </si>
  <si>
    <t>Lê Thị Ngọc ánh</t>
  </si>
  <si>
    <t>05835</t>
  </si>
  <si>
    <t>Nguyễn Thị Hà</t>
  </si>
  <si>
    <t>05837</t>
  </si>
  <si>
    <t>Phạm Thị Dung</t>
  </si>
  <si>
    <t>05839</t>
  </si>
  <si>
    <t>Hoàng Thị Đông</t>
  </si>
  <si>
    <t>05846</t>
  </si>
  <si>
    <t>Khổng Thị Tuyết Mai</t>
  </si>
  <si>
    <t>05848</t>
  </si>
  <si>
    <t>Lê Thị Trang</t>
  </si>
  <si>
    <t>05858</t>
  </si>
  <si>
    <t>Tạ Thị Tâm</t>
  </si>
  <si>
    <t>05862</t>
  </si>
  <si>
    <t>Đào Thị Thuỷ</t>
  </si>
  <si>
    <t>05863</t>
  </si>
  <si>
    <t>Đỗ Thị Thanh Hòa</t>
  </si>
  <si>
    <t>05864</t>
  </si>
  <si>
    <t>Lê Thị Kim Thu</t>
  </si>
  <si>
    <t>05870</t>
  </si>
  <si>
    <t>Nguyễn Thị Hương</t>
  </si>
  <si>
    <t>05876</t>
  </si>
  <si>
    <t>Nguyễn Thị Thanh</t>
  </si>
  <si>
    <t>05881</t>
  </si>
  <si>
    <t>Nguyễn Tuyết Hạnh</t>
  </si>
  <si>
    <t>05882</t>
  </si>
  <si>
    <t>Đinh Văn Hạnh</t>
  </si>
  <si>
    <t>05893</t>
  </si>
  <si>
    <t>Khổng Ngọc Điệp</t>
  </si>
  <si>
    <t>05898</t>
  </si>
  <si>
    <t>Nguyễn Thị Lượng</t>
  </si>
  <si>
    <t>05906</t>
  </si>
  <si>
    <t>Phùng Thị Hiền</t>
  </si>
  <si>
    <t>05909</t>
  </si>
  <si>
    <t>Trần Thị Nhung</t>
  </si>
  <si>
    <t>05910</t>
  </si>
  <si>
    <t>05911</t>
  </si>
  <si>
    <t>Phạm Văn Cường</t>
  </si>
  <si>
    <t>05919</t>
  </si>
  <si>
    <t>Nguyễn Quốc Doanh</t>
  </si>
  <si>
    <t>05939</t>
  </si>
  <si>
    <t>Đào Văn Dương</t>
  </si>
  <si>
    <t>05941</t>
  </si>
  <si>
    <t>Nguyễn Đức Tuyển</t>
  </si>
  <si>
    <t>05956</t>
  </si>
  <si>
    <t>Đào Văn Tuấn</t>
  </si>
  <si>
    <t>05999</t>
  </si>
  <si>
    <t>Đặng Duy Tôn</t>
  </si>
  <si>
    <t>06000</t>
  </si>
  <si>
    <t>Lê Văn Quý</t>
  </si>
  <si>
    <t>06007</t>
  </si>
  <si>
    <t>Đàm Thị Hồng Nga</t>
  </si>
  <si>
    <t>06037</t>
  </si>
  <si>
    <t>Trần Văn Phú</t>
  </si>
  <si>
    <t>06046</t>
  </si>
  <si>
    <t>06094</t>
  </si>
  <si>
    <t>Nguyễn Văn Vinh</t>
  </si>
  <si>
    <t>06096</t>
  </si>
  <si>
    <t>Phạm Văn Quân</t>
  </si>
  <si>
    <t>06118</t>
  </si>
  <si>
    <t>Nguyễn Văn Tĩnh</t>
  </si>
  <si>
    <t>Nguyễn Đức Tâm</t>
  </si>
  <si>
    <t>06145</t>
  </si>
  <si>
    <t>Hà Thị Loan</t>
  </si>
  <si>
    <t>06162</t>
  </si>
  <si>
    <t>Đỗ Văn Bảo</t>
  </si>
  <si>
    <t>06216</t>
  </si>
  <si>
    <t>Phạm Quang Công</t>
  </si>
  <si>
    <t>06236</t>
  </si>
  <si>
    <t>Trần Đại Nghĩa</t>
  </si>
  <si>
    <t>06237</t>
  </si>
  <si>
    <t>Đặng Xuân Trường</t>
  </si>
  <si>
    <t>06290</t>
  </si>
  <si>
    <t>Nguyễn Văn Ba</t>
  </si>
  <si>
    <t>06296</t>
  </si>
  <si>
    <t>Nguyễn Văn Huy</t>
  </si>
  <si>
    <t>06297</t>
  </si>
  <si>
    <t>Nguyễn Văn Thông</t>
  </si>
  <si>
    <t>06298</t>
  </si>
  <si>
    <t>Tạ Đình Quang</t>
  </si>
  <si>
    <t>06302</t>
  </si>
  <si>
    <t>Ngô Đức Đại</t>
  </si>
  <si>
    <t>06310</t>
  </si>
  <si>
    <t>Nguyễn Hải Tuân</t>
  </si>
  <si>
    <t>06311</t>
  </si>
  <si>
    <t>Nguyễn Hùng Mạnh</t>
  </si>
  <si>
    <t>06312</t>
  </si>
  <si>
    <t>Đỗ Văn Việt</t>
  </si>
  <si>
    <t>06335</t>
  </si>
  <si>
    <t>Trần Thanh Minh</t>
  </si>
  <si>
    <t>06336</t>
  </si>
  <si>
    <t>Bùi Văn Hiển</t>
  </si>
  <si>
    <t>06341</t>
  </si>
  <si>
    <t>Đỗ Quý Bình</t>
  </si>
  <si>
    <t>06358</t>
  </si>
  <si>
    <t>Kỳ Văn Trường</t>
  </si>
  <si>
    <t>06381</t>
  </si>
  <si>
    <t>Lê Văn Châm</t>
  </si>
  <si>
    <t>06382</t>
  </si>
  <si>
    <t>Nguyễn Thị Thân Thương</t>
  </si>
  <si>
    <t>06404</t>
  </si>
  <si>
    <t>Nguyễn Văn Bắc</t>
  </si>
  <si>
    <t>06405</t>
  </si>
  <si>
    <t>06409</t>
  </si>
  <si>
    <t>Phạm Ngọc Bích</t>
  </si>
  <si>
    <t>06419</t>
  </si>
  <si>
    <t>06420</t>
  </si>
  <si>
    <t>06422</t>
  </si>
  <si>
    <t>06425</t>
  </si>
  <si>
    <t>Đỗ Thế An</t>
  </si>
  <si>
    <t>06431</t>
  </si>
  <si>
    <t>Vũ Văn Giang</t>
  </si>
  <si>
    <t>06436</t>
  </si>
  <si>
    <t>Lê Thành Nam</t>
  </si>
  <si>
    <t>06442</t>
  </si>
  <si>
    <t>Đặng Thị Phương Thanh</t>
  </si>
  <si>
    <t>06459</t>
  </si>
  <si>
    <t>Nguyễn Văn Việt</t>
  </si>
  <si>
    <t>06469</t>
  </si>
  <si>
    <t>Phạm Đình Trọng</t>
  </si>
  <si>
    <t>06478</t>
  </si>
  <si>
    <t>Đặng Văn Diễn</t>
  </si>
  <si>
    <t>06480</t>
  </si>
  <si>
    <t>Đoàn Ngọc Thành</t>
  </si>
  <si>
    <t>06481</t>
  </si>
  <si>
    <t>Vũ Văn Tâm</t>
  </si>
  <si>
    <t>06484</t>
  </si>
  <si>
    <t>Hà Thị Thuỳ Linh</t>
  </si>
  <si>
    <t>06492</t>
  </si>
  <si>
    <t>Trần Văn Dương</t>
  </si>
  <si>
    <t>06498</t>
  </si>
  <si>
    <t>06499</t>
  </si>
  <si>
    <t>06501</t>
  </si>
  <si>
    <t>Chu Thị Hường</t>
  </si>
  <si>
    <t>06502</t>
  </si>
  <si>
    <t>06503</t>
  </si>
  <si>
    <t>Dương Mạnh Quỳnh</t>
  </si>
  <si>
    <t>06505</t>
  </si>
  <si>
    <t>Nguyễn Duy Hoà</t>
  </si>
  <si>
    <t>06514</t>
  </si>
  <si>
    <t>Đỗ Tự Tiến</t>
  </si>
  <si>
    <t>06517</t>
  </si>
  <si>
    <t>Trần Văn Nam</t>
  </si>
  <si>
    <t>06529</t>
  </si>
  <si>
    <t>Nguyễn Thị Nụ</t>
  </si>
  <si>
    <t>06530</t>
  </si>
  <si>
    <t>Tống Hữu Đạt</t>
  </si>
  <si>
    <t>06534</t>
  </si>
  <si>
    <t>Khuất Thanh Bình</t>
  </si>
  <si>
    <t>06539</t>
  </si>
  <si>
    <t>Lưu Văn Huy</t>
  </si>
  <si>
    <t>06540</t>
  </si>
  <si>
    <t>Phùng Văn Quế</t>
  </si>
  <si>
    <t>06542</t>
  </si>
  <si>
    <t>Dương Thị Huệ</t>
  </si>
  <si>
    <t>06546</t>
  </si>
  <si>
    <t>Đào Duy Hợp</t>
  </si>
  <si>
    <t>06552</t>
  </si>
  <si>
    <t>Dương Ngọc Anh</t>
  </si>
  <si>
    <t>06554</t>
  </si>
  <si>
    <t>Đinh Thị Tươi</t>
  </si>
  <si>
    <t>06569</t>
  </si>
  <si>
    <t>Nguyễn Minh Khuyên</t>
  </si>
  <si>
    <t>06571</t>
  </si>
  <si>
    <t>Nguyễn Thị Thanh Hương</t>
  </si>
  <si>
    <t>06572</t>
  </si>
  <si>
    <t>Phạm Thị Thuý Duyên</t>
  </si>
  <si>
    <t>06573</t>
  </si>
  <si>
    <t>Hà Lê Thái</t>
  </si>
  <si>
    <t>06598</t>
  </si>
  <si>
    <t>06600</t>
  </si>
  <si>
    <t>Trần Tiến Hưng</t>
  </si>
  <si>
    <t>06610</t>
  </si>
  <si>
    <t>Đinh Thị Luyến</t>
  </si>
  <si>
    <t>06613</t>
  </si>
  <si>
    <t>Nguyễn Thị Nga</t>
  </si>
  <si>
    <t>06628</t>
  </si>
  <si>
    <t>Phùng Thị Bình</t>
  </si>
  <si>
    <t>06631</t>
  </si>
  <si>
    <t>Phùng Thị Vân</t>
  </si>
  <si>
    <t>06632</t>
  </si>
  <si>
    <t>Trần Thị Hường</t>
  </si>
  <si>
    <t>06634</t>
  </si>
  <si>
    <t>Hoàng Tiến Dũng</t>
  </si>
  <si>
    <t>06636</t>
  </si>
  <si>
    <t>Tạ Văn Chiến</t>
  </si>
  <si>
    <t>06642</t>
  </si>
  <si>
    <t>Đinh Thị Ngọc Hương</t>
  </si>
  <si>
    <t>06644</t>
  </si>
  <si>
    <t>Lê Thị ánh Nguyệt</t>
  </si>
  <si>
    <t>06645</t>
  </si>
  <si>
    <t>Lý Văn Chiến</t>
  </si>
  <si>
    <t>06652</t>
  </si>
  <si>
    <t>06654</t>
  </si>
  <si>
    <t>Trần Thế Hiền</t>
  </si>
  <si>
    <t>06667</t>
  </si>
  <si>
    <t>Ngô Đức Hùng</t>
  </si>
  <si>
    <t>06674</t>
  </si>
  <si>
    <t>Trần Thị Phương</t>
  </si>
  <si>
    <t>06680</t>
  </si>
  <si>
    <t>06682</t>
  </si>
  <si>
    <t>Đặng Đắc Hiếu</t>
  </si>
  <si>
    <t>06685</t>
  </si>
  <si>
    <t>Đặng Văn Cảnh</t>
  </si>
  <si>
    <t>06686</t>
  </si>
  <si>
    <t>Đỗ Đại Dương</t>
  </si>
  <si>
    <t>06687</t>
  </si>
  <si>
    <t>Đỗ Văn Hà</t>
  </si>
  <si>
    <t>06688</t>
  </si>
  <si>
    <t>Đỗ Xuân Thuỷ</t>
  </si>
  <si>
    <t>06689</t>
  </si>
  <si>
    <t>06698</t>
  </si>
  <si>
    <t>Nguyễn Thị Tuyết Vân</t>
  </si>
  <si>
    <t>06701</t>
  </si>
  <si>
    <t>Nguyễn Văn Tú</t>
  </si>
  <si>
    <t>06703</t>
  </si>
  <si>
    <t>Lê Quang Vũ</t>
  </si>
  <si>
    <t>06716</t>
  </si>
  <si>
    <t>Lâm Thị Trần</t>
  </si>
  <si>
    <t>06719</t>
  </si>
  <si>
    <t>Hoàng Thị Hường</t>
  </si>
  <si>
    <t>06731</t>
  </si>
  <si>
    <t>Lê Thị Ngọc Xuyến</t>
  </si>
  <si>
    <t>06732</t>
  </si>
  <si>
    <t>06734</t>
  </si>
  <si>
    <t>Kim Thị Thường</t>
  </si>
  <si>
    <t>06738</t>
  </si>
  <si>
    <t>Trần Thị Thanh Nga</t>
  </si>
  <si>
    <t>06742</t>
  </si>
  <si>
    <t>Đỗ Trung Hiếu</t>
  </si>
  <si>
    <t>06743</t>
  </si>
  <si>
    <t>06748</t>
  </si>
  <si>
    <t>06750</t>
  </si>
  <si>
    <t>Đỗ Thị Chiên</t>
  </si>
  <si>
    <t>06751</t>
  </si>
  <si>
    <t>06755</t>
  </si>
  <si>
    <t>Trần Thị Huệ</t>
  </si>
  <si>
    <t>06758</t>
  </si>
  <si>
    <t>Trần Văn Cường</t>
  </si>
  <si>
    <t>06762</t>
  </si>
  <si>
    <t>Trần Ngọc Thắng</t>
  </si>
  <si>
    <t>06770</t>
  </si>
  <si>
    <t>Lê Văn Nam</t>
  </si>
  <si>
    <t>06774</t>
  </si>
  <si>
    <t>Trần Văn Dự</t>
  </si>
  <si>
    <t>06789</t>
  </si>
  <si>
    <t>Nguyễn Bằng Giang</t>
  </si>
  <si>
    <t>06790</t>
  </si>
  <si>
    <t>Trần Văn Hoà</t>
  </si>
  <si>
    <t>06792</t>
  </si>
  <si>
    <t>Viên Văn Sơn</t>
  </si>
  <si>
    <t>06793</t>
  </si>
  <si>
    <t>06806</t>
  </si>
  <si>
    <t>06815</t>
  </si>
  <si>
    <t>Trần Bá Thịnh</t>
  </si>
  <si>
    <t>06821</t>
  </si>
  <si>
    <t>Nguyễn Thị Tuyết</t>
  </si>
  <si>
    <t>06824</t>
  </si>
  <si>
    <t>06826</t>
  </si>
  <si>
    <t>Hoàng Thị Xuyến</t>
  </si>
  <si>
    <t>06829</t>
  </si>
  <si>
    <t>Bằng Văn Liên</t>
  </si>
  <si>
    <t>06830</t>
  </si>
  <si>
    <t>Nguyễn Thị Tuyết Mai</t>
  </si>
  <si>
    <t>06831</t>
  </si>
  <si>
    <t>Sái Văn Duy</t>
  </si>
  <si>
    <t>06834</t>
  </si>
  <si>
    <t>Nguyễn Thành Tuân</t>
  </si>
  <si>
    <t>06853</t>
  </si>
  <si>
    <t>Lê Thị Phượng</t>
  </si>
  <si>
    <t>06860</t>
  </si>
  <si>
    <t>Đào Văn Vịnh</t>
  </si>
  <si>
    <t>06864</t>
  </si>
  <si>
    <t>Đoàn Văn Tâm</t>
  </si>
  <si>
    <t>06866</t>
  </si>
  <si>
    <t>Vũ Thị Hiền</t>
  </si>
  <si>
    <t>06873</t>
  </si>
  <si>
    <t>Trần Văn Linh</t>
  </si>
  <si>
    <t>06876</t>
  </si>
  <si>
    <t>Nguyễn Khắc Dân</t>
  </si>
  <si>
    <t>06877</t>
  </si>
  <si>
    <t>Nguyễn Phú Tuấn</t>
  </si>
  <si>
    <t>06879</t>
  </si>
  <si>
    <t>Nguyễn Quý Tiện</t>
  </si>
  <si>
    <t>06880</t>
  </si>
  <si>
    <t>Vũ Văn Dân</t>
  </si>
  <si>
    <t>06883</t>
  </si>
  <si>
    <t>06887</t>
  </si>
  <si>
    <t>Nguyễn Thị Lý</t>
  </si>
  <si>
    <t>06888</t>
  </si>
  <si>
    <t>Lê Thị Hồng Nhung</t>
  </si>
  <si>
    <t>06900</t>
  </si>
  <si>
    <t>Vũ Thị Thơm</t>
  </si>
  <si>
    <t>06904</t>
  </si>
  <si>
    <t>Nguyễn Duy Tiến</t>
  </si>
  <si>
    <t>06908</t>
  </si>
  <si>
    <t>Phạm Thị Tuyết</t>
  </si>
  <si>
    <t>06916</t>
  </si>
  <si>
    <t>Trần Thị Bích Thủy</t>
  </si>
  <si>
    <t>06917</t>
  </si>
  <si>
    <t>Hạ Khắc Hưng</t>
  </si>
  <si>
    <t>06922</t>
  </si>
  <si>
    <t>Lê Minh Tuấn</t>
  </si>
  <si>
    <t>06923</t>
  </si>
  <si>
    <t>Nguyễn Thị Luận</t>
  </si>
  <si>
    <t>06926</t>
  </si>
  <si>
    <t>06930</t>
  </si>
  <si>
    <t>06933</t>
  </si>
  <si>
    <t>06934</t>
  </si>
  <si>
    <t>Nguyễn Duy Quýnh</t>
  </si>
  <si>
    <t>06951</t>
  </si>
  <si>
    <t>Cát Thị Hợp</t>
  </si>
  <si>
    <t>06952</t>
  </si>
  <si>
    <t>06953</t>
  </si>
  <si>
    <t>06955</t>
  </si>
  <si>
    <t>Lê Thị Hiền</t>
  </si>
  <si>
    <t>06959</t>
  </si>
  <si>
    <t>Nguyễn Thị Hồng Hải</t>
  </si>
  <si>
    <t>06961</t>
  </si>
  <si>
    <t>Nguyễn Thị Mỹ</t>
  </si>
  <si>
    <t>06973</t>
  </si>
  <si>
    <t>Nguyễn Thị Thu Hằng</t>
  </si>
  <si>
    <t>06976</t>
  </si>
  <si>
    <t>06983</t>
  </si>
  <si>
    <t>06984</t>
  </si>
  <si>
    <t>Đỗ Thị Thuỳ</t>
  </si>
  <si>
    <t>06998</t>
  </si>
  <si>
    <t>Dư Thị Xuân</t>
  </si>
  <si>
    <t>07006</t>
  </si>
  <si>
    <t>Đường Thị Lương</t>
  </si>
  <si>
    <t>07010</t>
  </si>
  <si>
    <t>Trần Văn Cương</t>
  </si>
  <si>
    <t>07016</t>
  </si>
  <si>
    <t>Đỗ Thị Hạnh</t>
  </si>
  <si>
    <t>07018</t>
  </si>
  <si>
    <t>Đỗ Huy Nam</t>
  </si>
  <si>
    <t>07021</t>
  </si>
  <si>
    <t>Bùi Thị Hằng</t>
  </si>
  <si>
    <t>07022</t>
  </si>
  <si>
    <t>Cao Xuân Hải</t>
  </si>
  <si>
    <t>07032</t>
  </si>
  <si>
    <t>Phạm Hoài Nam</t>
  </si>
  <si>
    <t>07038</t>
  </si>
  <si>
    <t>Đỗ Tiến Dương</t>
  </si>
  <si>
    <t>07039</t>
  </si>
  <si>
    <t>Lê Thị Lộc</t>
  </si>
  <si>
    <t>07042</t>
  </si>
  <si>
    <t>07044</t>
  </si>
  <si>
    <t>Nguyễn Văn Tấn</t>
  </si>
  <si>
    <t>07045</t>
  </si>
  <si>
    <t>Trần Trung Tĩnh</t>
  </si>
  <si>
    <t>07047</t>
  </si>
  <si>
    <t>07051</t>
  </si>
  <si>
    <t>Lâm Thị Hai</t>
  </si>
  <si>
    <t>07055</t>
  </si>
  <si>
    <t>07059</t>
  </si>
  <si>
    <t>Đỗ Thị Hoà</t>
  </si>
  <si>
    <t>07062</t>
  </si>
  <si>
    <t>Lương Thị Liên</t>
  </si>
  <si>
    <t>07063</t>
  </si>
  <si>
    <t>Lê Văn Hiếu</t>
  </si>
  <si>
    <t>07065</t>
  </si>
  <si>
    <t>07071</t>
  </si>
  <si>
    <t>Hoàng Thị Luận</t>
  </si>
  <si>
    <t>07072</t>
  </si>
  <si>
    <t>07077</t>
  </si>
  <si>
    <t>Hoàng Thị Hạnh</t>
  </si>
  <si>
    <t>07091</t>
  </si>
  <si>
    <t>Phùng Thị Thuỳ</t>
  </si>
  <si>
    <t>07093</t>
  </si>
  <si>
    <t>Nguyễn Thị Lân</t>
  </si>
  <si>
    <t>07097</t>
  </si>
  <si>
    <t>Phùng Thị Trang</t>
  </si>
  <si>
    <t>07110</t>
  </si>
  <si>
    <t>Tạ Thị út</t>
  </si>
  <si>
    <t>07111</t>
  </si>
  <si>
    <t>Lê Thị Nguyệt</t>
  </si>
  <si>
    <t>07119</t>
  </si>
  <si>
    <t>Đỗ Thị Thuỷ</t>
  </si>
  <si>
    <t>07120</t>
  </si>
  <si>
    <t>Khương Tấn Đạt</t>
  </si>
  <si>
    <t>07132</t>
  </si>
  <si>
    <t>Tạ Thị Kim Cúc</t>
  </si>
  <si>
    <t>07135</t>
  </si>
  <si>
    <t>Trần Thị Tuyết</t>
  </si>
  <si>
    <t>07136</t>
  </si>
  <si>
    <t>Nguyễn Tuấn Doanh</t>
  </si>
  <si>
    <t>07139</t>
  </si>
  <si>
    <t>Quách Thị Lên</t>
  </si>
  <si>
    <t>07142</t>
  </si>
  <si>
    <t>Triệu Thị Thanh Hoài</t>
  </si>
  <si>
    <t>07143</t>
  </si>
  <si>
    <t>Lê Văn Điệp</t>
  </si>
  <si>
    <t>07153</t>
  </si>
  <si>
    <t>Lê Văn Bắc</t>
  </si>
  <si>
    <t>07154</t>
  </si>
  <si>
    <t>Tạ Đức Chuyền</t>
  </si>
  <si>
    <t>07158</t>
  </si>
  <si>
    <t>Văn Minh Trọng</t>
  </si>
  <si>
    <t>07163</t>
  </si>
  <si>
    <t>07167</t>
  </si>
  <si>
    <t>Nguyễn Thị ảnh</t>
  </si>
  <si>
    <t>07170</t>
  </si>
  <si>
    <t>Phùng Văn Quyền</t>
  </si>
  <si>
    <t>07179</t>
  </si>
  <si>
    <t>Phùng Văn Xây</t>
  </si>
  <si>
    <t>07186</t>
  </si>
  <si>
    <t>Trần Thị Hạnh</t>
  </si>
  <si>
    <t>07191</t>
  </si>
  <si>
    <t>Lương Thị Thanh Tâm</t>
  </si>
  <si>
    <t>07195</t>
  </si>
  <si>
    <t>Phùng Văn Tiến</t>
  </si>
  <si>
    <t>07202</t>
  </si>
  <si>
    <t>Nguyễn Thị Hoè</t>
  </si>
  <si>
    <t>07210</t>
  </si>
  <si>
    <t>Nguyễn Thị Thuận</t>
  </si>
  <si>
    <t>07216</t>
  </si>
  <si>
    <t>Ngô Thị Minh</t>
  </si>
  <si>
    <t>07220</t>
  </si>
  <si>
    <t>Nguyễn Thị Khánh</t>
  </si>
  <si>
    <t>07225</t>
  </si>
  <si>
    <t>Trần Thị Liên</t>
  </si>
  <si>
    <t>07228</t>
  </si>
  <si>
    <t>Đinh Thị Chiến</t>
  </si>
  <si>
    <t>07229</t>
  </si>
  <si>
    <t>Nguyễn Thị Linh</t>
  </si>
  <si>
    <t>07234</t>
  </si>
  <si>
    <t>Nguyễn Thị Thảo</t>
  </si>
  <si>
    <t>07239</t>
  </si>
  <si>
    <t>Nguyễn Trọng Thiều</t>
  </si>
  <si>
    <t>07245</t>
  </si>
  <si>
    <t>Lưu Văn Khai</t>
  </si>
  <si>
    <t>07249</t>
  </si>
  <si>
    <t>Nguyễn Xuân Dũng</t>
  </si>
  <si>
    <t>07250</t>
  </si>
  <si>
    <t>Phùng Khanh</t>
  </si>
  <si>
    <t>07251</t>
  </si>
  <si>
    <t>Tạ Thị Hợp</t>
  </si>
  <si>
    <t>07257</t>
  </si>
  <si>
    <t>Tạ Thị Phượng</t>
  </si>
  <si>
    <t>07258</t>
  </si>
  <si>
    <t>Bùi Thị Thìn</t>
  </si>
  <si>
    <t>07259</t>
  </si>
  <si>
    <t>07261</t>
  </si>
  <si>
    <t>Phạm Thị Vân</t>
  </si>
  <si>
    <t>07262</t>
  </si>
  <si>
    <t>07268</t>
  </si>
  <si>
    <t>Nguyễn Thị Thìn</t>
  </si>
  <si>
    <t>07269</t>
  </si>
  <si>
    <t>Hà Thị Hồng Chung</t>
  </si>
  <si>
    <t>07274</t>
  </si>
  <si>
    <t>Nguyễn Thị Tám</t>
  </si>
  <si>
    <t>07276</t>
  </si>
  <si>
    <t>Nguyễn Minh Thông</t>
  </si>
  <si>
    <t>07279</t>
  </si>
  <si>
    <t>07281</t>
  </si>
  <si>
    <t>Nguyễn Thị Xuân</t>
  </si>
  <si>
    <t>07283</t>
  </si>
  <si>
    <t>Chu Văn Tư</t>
  </si>
  <si>
    <t>07286</t>
  </si>
  <si>
    <t>Nguyễn Thị Tuyết Thanh</t>
  </si>
  <si>
    <t>07289</t>
  </si>
  <si>
    <t>Nguyễn Thành Đồng</t>
  </si>
  <si>
    <t>07290</t>
  </si>
  <si>
    <t>07297</t>
  </si>
  <si>
    <t>Phạm Đình Sớm</t>
  </si>
  <si>
    <t>07299</t>
  </si>
  <si>
    <t>07303</t>
  </si>
  <si>
    <t>Lê Thị Thơ</t>
  </si>
  <si>
    <t>07304</t>
  </si>
  <si>
    <t>Dương Thị Thụy</t>
  </si>
  <si>
    <t>07306</t>
  </si>
  <si>
    <t>07307</t>
  </si>
  <si>
    <t>07317</t>
  </si>
  <si>
    <t>07330</t>
  </si>
  <si>
    <t>07331</t>
  </si>
  <si>
    <t>Nguyễn Thị Thuý</t>
  </si>
  <si>
    <t>Trần Thị Tính</t>
  </si>
  <si>
    <t>07333</t>
  </si>
  <si>
    <t>Nguyễn Thị Yên</t>
  </si>
  <si>
    <t>Nguyễn Thị Thuỳ</t>
  </si>
  <si>
    <t>07345</t>
  </si>
  <si>
    <t>Nguyễn Quốc Sơn</t>
  </si>
  <si>
    <t>07348</t>
  </si>
  <si>
    <t>Nguyễn Văn Kiên</t>
  </si>
  <si>
    <t>07349</t>
  </si>
  <si>
    <t>Phùng Văn Cương</t>
  </si>
  <si>
    <t>07354</t>
  </si>
  <si>
    <t>07357</t>
  </si>
  <si>
    <t>Lê Thị Hương Thu</t>
  </si>
  <si>
    <t>07359</t>
  </si>
  <si>
    <t>Lưu Thị Thanh An</t>
  </si>
  <si>
    <t>07360</t>
  </si>
  <si>
    <t>07362</t>
  </si>
  <si>
    <t>Nguyễn Thị Thạch</t>
  </si>
  <si>
    <t>07363</t>
  </si>
  <si>
    <t>Phan Thị Thu Trang</t>
  </si>
  <si>
    <t>07365</t>
  </si>
  <si>
    <t>Vũ Thị Loan</t>
  </si>
  <si>
    <t>07367</t>
  </si>
  <si>
    <t>Phạm Danh Hùng</t>
  </si>
  <si>
    <t>07375</t>
  </si>
  <si>
    <t>Lại Thị Lương</t>
  </si>
  <si>
    <t>07377</t>
  </si>
  <si>
    <t>Nguyễn Thị Cảnh</t>
  </si>
  <si>
    <t>07380</t>
  </si>
  <si>
    <t>07383</t>
  </si>
  <si>
    <t>07384</t>
  </si>
  <si>
    <t>Phạm Thị Hậu</t>
  </si>
  <si>
    <t>07386</t>
  </si>
  <si>
    <t>Tạ Thị Thuỷ</t>
  </si>
  <si>
    <t>07387</t>
  </si>
  <si>
    <t>Lăng Văn Hoàng</t>
  </si>
  <si>
    <t>07392</t>
  </si>
  <si>
    <t>Nguyễn Thị Thanh Hà</t>
  </si>
  <si>
    <t>07424</t>
  </si>
  <si>
    <t>Phạm Thị Thuý Vân</t>
  </si>
  <si>
    <t>07426</t>
  </si>
  <si>
    <t>Phùng Thị Khuyến</t>
  </si>
  <si>
    <t>07427</t>
  </si>
  <si>
    <t>07444</t>
  </si>
  <si>
    <t>Nguyễn Tiến Hạnh</t>
  </si>
  <si>
    <t>07448</t>
  </si>
  <si>
    <t>Lê Thị Liên</t>
  </si>
  <si>
    <t>07452</t>
  </si>
  <si>
    <t>Lưu Thị Năm</t>
  </si>
  <si>
    <t>07454</t>
  </si>
  <si>
    <t>07462</t>
  </si>
  <si>
    <t>07467</t>
  </si>
  <si>
    <t>07468</t>
  </si>
  <si>
    <t>Vi Mạnh Hùng</t>
  </si>
  <si>
    <t>07472</t>
  </si>
  <si>
    <t>Nguyễn Thị Thu Huyền</t>
  </si>
  <si>
    <t>07481</t>
  </si>
  <si>
    <t>Trần Thị Hoài</t>
  </si>
  <si>
    <t>07483</t>
  </si>
  <si>
    <t>07484</t>
  </si>
  <si>
    <t>Nguyễn Thị Thương</t>
  </si>
  <si>
    <t>07486</t>
  </si>
  <si>
    <t>Kim Văn Khải</t>
  </si>
  <si>
    <t>07492</t>
  </si>
  <si>
    <t>Trần Thị Hà</t>
  </si>
  <si>
    <t>07496</t>
  </si>
  <si>
    <t>Đỗ Tô Hiệu</t>
  </si>
  <si>
    <t>07502</t>
  </si>
  <si>
    <t>Nguyễn Anh Thư</t>
  </si>
  <si>
    <t>07504</t>
  </si>
  <si>
    <t>07508</t>
  </si>
  <si>
    <t>Đinh Thị Dịu</t>
  </si>
  <si>
    <t>07509</t>
  </si>
  <si>
    <t>Dương Thị Kim Dung</t>
  </si>
  <si>
    <t>07518</t>
  </si>
  <si>
    <t>Trần Thanh Phương</t>
  </si>
  <si>
    <t>07519</t>
  </si>
  <si>
    <t>07527</t>
  </si>
  <si>
    <t>Nguyễn Thị Kim Tuyến</t>
  </si>
  <si>
    <t>07541</t>
  </si>
  <si>
    <t>Nguyễn Thị Minh</t>
  </si>
  <si>
    <t>07553</t>
  </si>
  <si>
    <t>Nguyễn Thị Thùy</t>
  </si>
  <si>
    <t>07554</t>
  </si>
  <si>
    <t>Nguyễn Thị Phương Thu</t>
  </si>
  <si>
    <t>07563</t>
  </si>
  <si>
    <t>07570</t>
  </si>
  <si>
    <t>Đỗ Văn Đồng</t>
  </si>
  <si>
    <t>07572</t>
  </si>
  <si>
    <t>Dương Thị Nguyệt</t>
  </si>
  <si>
    <t>07574</t>
  </si>
  <si>
    <t>Phí Thị Thanh</t>
  </si>
  <si>
    <t>07586</t>
  </si>
  <si>
    <t>Lương Thị Hạnh</t>
  </si>
  <si>
    <t>07591</t>
  </si>
  <si>
    <t>Kim Thị Hằng</t>
  </si>
  <si>
    <t>07598</t>
  </si>
  <si>
    <t>Lê Văn Tú</t>
  </si>
  <si>
    <t>07599</t>
  </si>
  <si>
    <t>07602</t>
  </si>
  <si>
    <t>07603</t>
  </si>
  <si>
    <t>07605</t>
  </si>
  <si>
    <t>Phan Thị Nụ</t>
  </si>
  <si>
    <t>07614</t>
  </si>
  <si>
    <t>Dương Thu Lan</t>
  </si>
  <si>
    <t>07623</t>
  </si>
  <si>
    <t>07637</t>
  </si>
  <si>
    <t>Phùng Thị Mừng</t>
  </si>
  <si>
    <t>07640</t>
  </si>
  <si>
    <t>07657</t>
  </si>
  <si>
    <t>Nguyễn Thị Mến Quỳnh</t>
  </si>
  <si>
    <t>07660</t>
  </si>
  <si>
    <t>07673</t>
  </si>
  <si>
    <t>07679</t>
  </si>
  <si>
    <t>07702</t>
  </si>
  <si>
    <t>07703</t>
  </si>
  <si>
    <t>Phạm Ngọc Thuận</t>
  </si>
  <si>
    <t>07706</t>
  </si>
  <si>
    <t>07708</t>
  </si>
  <si>
    <t>07725</t>
  </si>
  <si>
    <t>07726</t>
  </si>
  <si>
    <t>Trần Văn Chức</t>
  </si>
  <si>
    <t>07728</t>
  </si>
  <si>
    <t>Đỗ Văn Hoàn</t>
  </si>
  <si>
    <t>07747</t>
  </si>
  <si>
    <t>Dương Đức Xuân</t>
  </si>
  <si>
    <t>07748</t>
  </si>
  <si>
    <t>Nguyễn Thị Cúc</t>
  </si>
  <si>
    <t>07756</t>
  </si>
  <si>
    <t>Nguyễn Thị Vang</t>
  </si>
  <si>
    <t>07758</t>
  </si>
  <si>
    <t>Vũ Thị Ngần</t>
  </si>
  <si>
    <t>07762</t>
  </si>
  <si>
    <t>Dương Văn Giang</t>
  </si>
  <si>
    <t>07765</t>
  </si>
  <si>
    <t>Lê Văn Tuyên</t>
  </si>
  <si>
    <t>07766</t>
  </si>
  <si>
    <t>Nguyễn Hữu Tấn</t>
  </si>
  <si>
    <t>07767</t>
  </si>
  <si>
    <t>Nguyễn Hoàng Oanh</t>
  </si>
  <si>
    <t>07768</t>
  </si>
  <si>
    <t>Nguyễn Khắc Lâm</t>
  </si>
  <si>
    <t>07769</t>
  </si>
  <si>
    <t>Nguyễn Viết Văn</t>
  </si>
  <si>
    <t>07770</t>
  </si>
  <si>
    <t>Lý Văn Quang</t>
  </si>
  <si>
    <t>07783</t>
  </si>
  <si>
    <t>Nguyễn Thị Thịnh</t>
  </si>
  <si>
    <t>07789</t>
  </si>
  <si>
    <t>07790</t>
  </si>
  <si>
    <t>Dương Văn Sang</t>
  </si>
  <si>
    <t>07792</t>
  </si>
  <si>
    <t>Trần Văn Mạnh</t>
  </si>
  <si>
    <t>07799</t>
  </si>
  <si>
    <t>Nghiêm Văn Đức</t>
  </si>
  <si>
    <t>07801</t>
  </si>
  <si>
    <t>Phạm Đình Mạnh</t>
  </si>
  <si>
    <t>07804</t>
  </si>
  <si>
    <t>07813</t>
  </si>
  <si>
    <t>07814</t>
  </si>
  <si>
    <t>Nguyễn Văn Tùng</t>
  </si>
  <si>
    <t>07819</t>
  </si>
  <si>
    <t>Nguyễn Thị Phương Thảo</t>
  </si>
  <si>
    <t>Thiều Thị Mến</t>
  </si>
  <si>
    <t>07843</t>
  </si>
  <si>
    <t>Phan Văn Giang</t>
  </si>
  <si>
    <t>07844</t>
  </si>
  <si>
    <t>Lưu Văn Màn</t>
  </si>
  <si>
    <t>07846</t>
  </si>
  <si>
    <t>Trần Đức Mạnh</t>
  </si>
  <si>
    <t>07849</t>
  </si>
  <si>
    <t>Đỗ Thị Huệ</t>
  </si>
  <si>
    <t>07851</t>
  </si>
  <si>
    <t>07853</t>
  </si>
  <si>
    <t>Lê Văn Linh</t>
  </si>
  <si>
    <t>07855</t>
  </si>
  <si>
    <t>Nguyễn Thị Bình</t>
  </si>
  <si>
    <t>07857</t>
  </si>
  <si>
    <t>Nguyễn Thu Hiền</t>
  </si>
  <si>
    <t>07860</t>
  </si>
  <si>
    <t>Nguyễn Tùng Lâm</t>
  </si>
  <si>
    <t>07866</t>
  </si>
  <si>
    <t>Phùng Duy Ninh</t>
  </si>
  <si>
    <t>07880</t>
  </si>
  <si>
    <t>Nguyễn Thị Lương</t>
  </si>
  <si>
    <t>07888</t>
  </si>
  <si>
    <t>Trần Xuân Trường</t>
  </si>
  <si>
    <t>07895</t>
  </si>
  <si>
    <t>Dương Đức Hào</t>
  </si>
  <si>
    <t>07897</t>
  </si>
  <si>
    <t>Lê Ngọc Tiến</t>
  </si>
  <si>
    <t>07898</t>
  </si>
  <si>
    <t>Trương Văn Cảnh</t>
  </si>
  <si>
    <t>07912</t>
  </si>
  <si>
    <t>Hoàng Văn Lý</t>
  </si>
  <si>
    <t>07913</t>
  </si>
  <si>
    <t>Dương Thị Lan Anh</t>
  </si>
  <si>
    <t>07914</t>
  </si>
  <si>
    <t>Nguyễn Thị Thu Phương</t>
  </si>
  <si>
    <t>07918</t>
  </si>
  <si>
    <t>07921</t>
  </si>
  <si>
    <t>Đàm Thị Thu Huyền</t>
  </si>
  <si>
    <t>07937</t>
  </si>
  <si>
    <t>07947</t>
  </si>
  <si>
    <t>Vũ Trường Giang</t>
  </si>
  <si>
    <t>07948</t>
  </si>
  <si>
    <t>Lưu Ngọc Điệp</t>
  </si>
  <si>
    <t>07951</t>
  </si>
  <si>
    <t>Trần Văn Đạt</t>
  </si>
  <si>
    <t>07966</t>
  </si>
  <si>
    <t>Đào Xuân Chiến</t>
  </si>
  <si>
    <t>07971</t>
  </si>
  <si>
    <t>Vũ Đình Khôi</t>
  </si>
  <si>
    <t>07977</t>
  </si>
  <si>
    <t>Đỗ Trung Thông</t>
  </si>
  <si>
    <t>07978</t>
  </si>
  <si>
    <t>07980</t>
  </si>
  <si>
    <t>Bùi Thị Dung</t>
  </si>
  <si>
    <t>07984</t>
  </si>
  <si>
    <t>Bùi Thị Hải Lý</t>
  </si>
  <si>
    <t>07987</t>
  </si>
  <si>
    <t>Đỗ Văn Trang</t>
  </si>
  <si>
    <t>08008</t>
  </si>
  <si>
    <t>Trịnh Thị Mến</t>
  </si>
  <si>
    <t>08017</t>
  </si>
  <si>
    <t>Nguyễn Hữu Nhân</t>
  </si>
  <si>
    <t>08026</t>
  </si>
  <si>
    <t>Nguyễn Văn Hợi</t>
  </si>
  <si>
    <t>08045</t>
  </si>
  <si>
    <t>Nguyễn Văn Bốn</t>
  </si>
  <si>
    <t>08072</t>
  </si>
  <si>
    <t>Trần Văn Tuyển</t>
  </si>
  <si>
    <t>08075</t>
  </si>
  <si>
    <t>Nguyễn Xuân Thành</t>
  </si>
  <si>
    <t>08080</t>
  </si>
  <si>
    <t>08082</t>
  </si>
  <si>
    <t>08103</t>
  </si>
  <si>
    <t>Nguyễn Xuân Tiến</t>
  </si>
  <si>
    <t>08105</t>
  </si>
  <si>
    <t>Phạm Văn Nghìn</t>
  </si>
  <si>
    <t>08107</t>
  </si>
  <si>
    <t>Hoàng Nguyên Lý</t>
  </si>
  <si>
    <t>08109</t>
  </si>
  <si>
    <t>Lê Văn Si</t>
  </si>
  <si>
    <t>08111</t>
  </si>
  <si>
    <t>Đỗ Văn Thế</t>
  </si>
  <si>
    <t>08115</t>
  </si>
  <si>
    <t>Trần Quang Tú</t>
  </si>
  <si>
    <t>08116</t>
  </si>
  <si>
    <t>Lê Đình Lâm</t>
  </si>
  <si>
    <t>08118</t>
  </si>
  <si>
    <t>Tạ Bá Hiệp</t>
  </si>
  <si>
    <t>08122</t>
  </si>
  <si>
    <t>08124</t>
  </si>
  <si>
    <t>Phùng Văn Phương</t>
  </si>
  <si>
    <t>08128</t>
  </si>
  <si>
    <t>Cao Đạo Trường</t>
  </si>
  <si>
    <t>08142</t>
  </si>
  <si>
    <t>Bùi Xuân Chí</t>
  </si>
  <si>
    <t>08150</t>
  </si>
  <si>
    <t>Nguyễn Văn An</t>
  </si>
  <si>
    <t>08154</t>
  </si>
  <si>
    <t>Nguyễn Khắc Anh</t>
  </si>
  <si>
    <t>08156</t>
  </si>
  <si>
    <t>08161</t>
  </si>
  <si>
    <t>Lê Thị Hậu</t>
  </si>
  <si>
    <t>08164</t>
  </si>
  <si>
    <t>08171</t>
  </si>
  <si>
    <t>08189</t>
  </si>
  <si>
    <t>Nguyễn Văn Thành</t>
  </si>
  <si>
    <t>08201</t>
  </si>
  <si>
    <t>08229</t>
  </si>
  <si>
    <t>08232</t>
  </si>
  <si>
    <t>Trần Văn Lợi</t>
  </si>
  <si>
    <t>08233</t>
  </si>
  <si>
    <t>08234</t>
  </si>
  <si>
    <t>08243</t>
  </si>
  <si>
    <t>Nguyễn Hữu Khánh</t>
  </si>
  <si>
    <t>08244</t>
  </si>
  <si>
    <t>08248</t>
  </si>
  <si>
    <t>08266</t>
  </si>
  <si>
    <t>08280</t>
  </si>
  <si>
    <t>Hà Đăng Đông</t>
  </si>
  <si>
    <t>08286</t>
  </si>
  <si>
    <t>Lê Thị Hiên</t>
  </si>
  <si>
    <t>08288</t>
  </si>
  <si>
    <t>08289</t>
  </si>
  <si>
    <t>Đường Văn Tư</t>
  </si>
  <si>
    <t>08299</t>
  </si>
  <si>
    <t>Lưu Đức Việt</t>
  </si>
  <si>
    <t>08302</t>
  </si>
  <si>
    <t>08327</t>
  </si>
  <si>
    <t>08338</t>
  </si>
  <si>
    <t>Bùi Văn Hà</t>
  </si>
  <si>
    <t>08342</t>
  </si>
  <si>
    <t>08352</t>
  </si>
  <si>
    <t>08368</t>
  </si>
  <si>
    <t>Tạ Văn Thiện</t>
  </si>
  <si>
    <t>08371</t>
  </si>
  <si>
    <t>Nguyễn Văn Dinh</t>
  </si>
  <si>
    <t>08374</t>
  </si>
  <si>
    <t>Trần Thị Hằng</t>
  </si>
  <si>
    <t>08380</t>
  </si>
  <si>
    <t>Nguyễn Văn Liêm</t>
  </si>
  <si>
    <t>08381</t>
  </si>
  <si>
    <t>08421</t>
  </si>
  <si>
    <t>Lê Thị Biên</t>
  </si>
  <si>
    <t>08424</t>
  </si>
  <si>
    <t>08427</t>
  </si>
  <si>
    <t>08429</t>
  </si>
  <si>
    <t>Nguyễn Thị Hướng</t>
  </si>
  <si>
    <t>08434</t>
  </si>
  <si>
    <t>Nguyễn Quốc Sáng</t>
  </si>
  <si>
    <t>08440</t>
  </si>
  <si>
    <t>Đào Đức Hiếu</t>
  </si>
  <si>
    <t>08454</t>
  </si>
  <si>
    <t>Phạm Xuân Đức</t>
  </si>
  <si>
    <t>08495</t>
  </si>
  <si>
    <t>Trương Thị Hằng Nga</t>
  </si>
  <si>
    <t>08496</t>
  </si>
  <si>
    <t>08502</t>
  </si>
  <si>
    <t>Nguyễn Văn Hiệp</t>
  </si>
  <si>
    <t>08507</t>
  </si>
  <si>
    <t>Nguyễn Thị Ngọc</t>
  </si>
  <si>
    <t>08515</t>
  </si>
  <si>
    <t>Vũ Thị Chiến</t>
  </si>
  <si>
    <t>08519</t>
  </si>
  <si>
    <t>Đỗ Thị Dung</t>
  </si>
  <si>
    <t>08520</t>
  </si>
  <si>
    <t>Lê Minh Ngọc</t>
  </si>
  <si>
    <t>08524</t>
  </si>
  <si>
    <t>Tạ Huy Khoa</t>
  </si>
  <si>
    <t>08531</t>
  </si>
  <si>
    <t>Đỗ Văn Linh</t>
  </si>
  <si>
    <t>08536</t>
  </si>
  <si>
    <t>08537</t>
  </si>
  <si>
    <t>Đỗ Văn Phòng</t>
  </si>
  <si>
    <t>08541</t>
  </si>
  <si>
    <t>Bùi Thị Thanh</t>
  </si>
  <si>
    <t>08550</t>
  </si>
  <si>
    <t>Lê Mạnh Tú</t>
  </si>
  <si>
    <t>08552</t>
  </si>
  <si>
    <t>Trần Ngọc Đức</t>
  </si>
  <si>
    <t>08553</t>
  </si>
  <si>
    <t>Nguyễn Hữu Nguyệt</t>
  </si>
  <si>
    <t>08554</t>
  </si>
  <si>
    <t>08555</t>
  </si>
  <si>
    <t>Ngô Văn Lan</t>
  </si>
  <si>
    <t>08556</t>
  </si>
  <si>
    <t>Kim Văn Hùng</t>
  </si>
  <si>
    <t>08557</t>
  </si>
  <si>
    <t>Văn Khắc Tùng</t>
  </si>
  <si>
    <t>08561</t>
  </si>
  <si>
    <t>08569</t>
  </si>
  <si>
    <t>Lê Thị Yên</t>
  </si>
  <si>
    <t>08573</t>
  </si>
  <si>
    <t>Đỗ Văn Thêm</t>
  </si>
  <si>
    <t>08576</t>
  </si>
  <si>
    <t>Khổng Văn Tâm</t>
  </si>
  <si>
    <t>08577</t>
  </si>
  <si>
    <t>08605</t>
  </si>
  <si>
    <t>08611</t>
  </si>
  <si>
    <t>Nguyễn Văn Lợi</t>
  </si>
  <si>
    <t>08613</t>
  </si>
  <si>
    <t>Trần Thị Thao</t>
  </si>
  <si>
    <t>08614</t>
  </si>
  <si>
    <t>Tạ Văn Hải</t>
  </si>
  <si>
    <t>08620</t>
  </si>
  <si>
    <t>Đỗ Nguyên Giáp</t>
  </si>
  <si>
    <t>08621</t>
  </si>
  <si>
    <t>Nguyễn Văn Kiệm</t>
  </si>
  <si>
    <t>08622</t>
  </si>
  <si>
    <t>Lê Văn Cường</t>
  </si>
  <si>
    <t>08632</t>
  </si>
  <si>
    <t>Nguyễn Thị ánh</t>
  </si>
  <si>
    <t>08633</t>
  </si>
  <si>
    <t>Trần Thị Xuyến</t>
  </si>
  <si>
    <t>08637</t>
  </si>
  <si>
    <t>Nguyễn Cao Cường</t>
  </si>
  <si>
    <t>08674</t>
  </si>
  <si>
    <t>Phan Đăng Bình</t>
  </si>
  <si>
    <t>08678</t>
  </si>
  <si>
    <t>Tạ Thu Hà</t>
  </si>
  <si>
    <t>08682</t>
  </si>
  <si>
    <t>08685</t>
  </si>
  <si>
    <t>Trần Quốc Vĩ</t>
  </si>
  <si>
    <t>08725</t>
  </si>
  <si>
    <t>Đại Văn Ân</t>
  </si>
  <si>
    <t>08739</t>
  </si>
  <si>
    <t>Dương Văn Tâm</t>
  </si>
  <si>
    <t>08742</t>
  </si>
  <si>
    <t>Vũ Thị Hà</t>
  </si>
  <si>
    <t>08755</t>
  </si>
  <si>
    <t>Trần Văn Nghĩa</t>
  </si>
  <si>
    <t>08756</t>
  </si>
  <si>
    <t>Nguyễn Công Sáu</t>
  </si>
  <si>
    <t>08764</t>
  </si>
  <si>
    <t>Đinh Văn Đức</t>
  </si>
  <si>
    <t>08778</t>
  </si>
  <si>
    <t>Bạch Văn Hậu</t>
  </si>
  <si>
    <t>08787</t>
  </si>
  <si>
    <t>08788</t>
  </si>
  <si>
    <t>Đỗ Việt Triệu</t>
  </si>
  <si>
    <t>08790</t>
  </si>
  <si>
    <t>Phùng Quang Thành</t>
  </si>
  <si>
    <t>08799</t>
  </si>
  <si>
    <t>Trần Thị Ngọc Hanh</t>
  </si>
  <si>
    <t>08827</t>
  </si>
  <si>
    <t>08838</t>
  </si>
  <si>
    <t>Đỗ Mạnh Hưng</t>
  </si>
  <si>
    <t>08855</t>
  </si>
  <si>
    <t>Hà Văn Phương</t>
  </si>
  <si>
    <t>08870</t>
  </si>
  <si>
    <t>08873</t>
  </si>
  <si>
    <t>Lương Ngọc Tú</t>
  </si>
  <si>
    <t>08882</t>
  </si>
  <si>
    <t>08886</t>
  </si>
  <si>
    <t>Nghiêm Xuân Thế</t>
  </si>
  <si>
    <t>08889</t>
  </si>
  <si>
    <t>Phạm Thị Thanh Huyền</t>
  </si>
  <si>
    <t>08894</t>
  </si>
  <si>
    <t>Nguyễn Thị Vân</t>
  </si>
  <si>
    <t>08898</t>
  </si>
  <si>
    <t>Bùi Văn Linh</t>
  </si>
  <si>
    <t>08900</t>
  </si>
  <si>
    <t>Hoàng Văn Cảnh</t>
  </si>
  <si>
    <t>08901</t>
  </si>
  <si>
    <t>Khổng Văn Thiết</t>
  </si>
  <si>
    <t>08902</t>
  </si>
  <si>
    <t>Nguyễn Văn Vỹ</t>
  </si>
  <si>
    <t>08907</t>
  </si>
  <si>
    <t>Chu Văn Cường</t>
  </si>
  <si>
    <t>08909</t>
  </si>
  <si>
    <t>08917</t>
  </si>
  <si>
    <t>08924</t>
  </si>
  <si>
    <t>Dương Thị Thu Giang</t>
  </si>
  <si>
    <t>08941</t>
  </si>
  <si>
    <t>Nguyễn Văn Quỳnh</t>
  </si>
  <si>
    <t>08945</t>
  </si>
  <si>
    <t>Bùi Thị Lan Hương</t>
  </si>
  <si>
    <t>08949</t>
  </si>
  <si>
    <t>Trịnh Thị Tĩnh</t>
  </si>
  <si>
    <t>08954</t>
  </si>
  <si>
    <t>08966</t>
  </si>
  <si>
    <t>Lê Việt Hùng</t>
  </si>
  <si>
    <t>08977</t>
  </si>
  <si>
    <t>Nguyễn Văn Hoàng</t>
  </si>
  <si>
    <t>08981</t>
  </si>
  <si>
    <t>09000</t>
  </si>
  <si>
    <t>09010</t>
  </si>
  <si>
    <t>Nguyễn Văn Cầu</t>
  </si>
  <si>
    <t>09013</t>
  </si>
  <si>
    <t>09021</t>
  </si>
  <si>
    <t>Đỗ Quốc Trường</t>
  </si>
  <si>
    <t>09022</t>
  </si>
  <si>
    <t>Kim Văn Huy</t>
  </si>
  <si>
    <t>09028</t>
  </si>
  <si>
    <t>09038</t>
  </si>
  <si>
    <t>Đỗ Quốc Tuấn</t>
  </si>
  <si>
    <t>09040</t>
  </si>
  <si>
    <t>Bùi Công Quy</t>
  </si>
  <si>
    <t>09043</t>
  </si>
  <si>
    <t>09050</t>
  </si>
  <si>
    <t>Đỗ Văn Hưng</t>
  </si>
  <si>
    <t>Nguyễn Văn Quyết</t>
  </si>
  <si>
    <t>09056</t>
  </si>
  <si>
    <t>Nguyễn Văn Lương</t>
  </si>
  <si>
    <t>09059</t>
  </si>
  <si>
    <t>Dương Thị Huyền</t>
  </si>
  <si>
    <t>09062</t>
  </si>
  <si>
    <t>Kim Thị Hương</t>
  </si>
  <si>
    <t>09063</t>
  </si>
  <si>
    <t>Dương Hồng Quân</t>
  </si>
  <si>
    <t>09074</t>
  </si>
  <si>
    <t>Nguyễn Hữu Sơn</t>
  </si>
  <si>
    <t>09077</t>
  </si>
  <si>
    <t>Phạm Thị Bắc</t>
  </si>
  <si>
    <t>09084</t>
  </si>
  <si>
    <t>Khổng Quốc Tuấn</t>
  </si>
  <si>
    <t>09088</t>
  </si>
  <si>
    <t>09089</t>
  </si>
  <si>
    <t>Nguyễn Thị Huyền Trang</t>
  </si>
  <si>
    <t>09096</t>
  </si>
  <si>
    <t>Trần Văn Hùng</t>
  </si>
  <si>
    <t>09099</t>
  </si>
  <si>
    <t>Phùng Thị Hạnh</t>
  </si>
  <si>
    <t>09101</t>
  </si>
  <si>
    <t>Đỗ Văn Sang</t>
  </si>
  <si>
    <t>09106</t>
  </si>
  <si>
    <t>Dương Văn Mạnh</t>
  </si>
  <si>
    <t>09107</t>
  </si>
  <si>
    <t>Nguyễn Đại Nghĩa</t>
  </si>
  <si>
    <t>09128</t>
  </si>
  <si>
    <t>09133</t>
  </si>
  <si>
    <t>Nguyễn Văn Quảng</t>
  </si>
  <si>
    <t>09137</t>
  </si>
  <si>
    <t>Nguyễn Trung Hiếu</t>
  </si>
  <si>
    <t>09145</t>
  </si>
  <si>
    <t>Đào Quốc Đạt</t>
  </si>
  <si>
    <t>09146</t>
  </si>
  <si>
    <t>Nguyễn Phi Hùng</t>
  </si>
  <si>
    <t>09153</t>
  </si>
  <si>
    <t>09154</t>
  </si>
  <si>
    <t>Đặng Văn Thái</t>
  </si>
  <si>
    <t>09155</t>
  </si>
  <si>
    <t>Nguyễn Văn Thực</t>
  </si>
  <si>
    <t>09169</t>
  </si>
  <si>
    <t>Nguyễn Xuân Tuân</t>
  </si>
  <si>
    <t>09177</t>
  </si>
  <si>
    <t>Phạm Thị Ngọc Hà</t>
  </si>
  <si>
    <t>09194</t>
  </si>
  <si>
    <t>09202</t>
  </si>
  <si>
    <t>Trần Xuân Tùng</t>
  </si>
  <si>
    <t>09208</t>
  </si>
  <si>
    <t>Phùng Đức Thành</t>
  </si>
  <si>
    <t>09213</t>
  </si>
  <si>
    <t>Phạm Quang Tuyển</t>
  </si>
  <si>
    <t>09228</t>
  </si>
  <si>
    <t>09230</t>
  </si>
  <si>
    <t>Trương Công Hương</t>
  </si>
  <si>
    <t>09241</t>
  </si>
  <si>
    <t>Nguyễn Minh Thành</t>
  </si>
  <si>
    <t>09244</t>
  </si>
  <si>
    <t>Đỗ Thị Yến</t>
  </si>
  <si>
    <t>09245</t>
  </si>
  <si>
    <t>Hà Văn Minh</t>
  </si>
  <si>
    <t>09248</t>
  </si>
  <si>
    <t>Kim Văn Tuấn</t>
  </si>
  <si>
    <t>09250</t>
  </si>
  <si>
    <t>Nguyễn Xuân Sơn</t>
  </si>
  <si>
    <t>09251</t>
  </si>
  <si>
    <t>Nguyễn Trọng Hùng</t>
  </si>
  <si>
    <t>09253</t>
  </si>
  <si>
    <t>09254</t>
  </si>
  <si>
    <t>Nguyễn Văn Mười</t>
  </si>
  <si>
    <t>09261</t>
  </si>
  <si>
    <t>Chu Viết Hưng</t>
  </si>
  <si>
    <t>09262</t>
  </si>
  <si>
    <t>Nguyễn Hữu Khoát</t>
  </si>
  <si>
    <t>09268</t>
  </si>
  <si>
    <t>Trần Mạnh Hoà</t>
  </si>
  <si>
    <t>09272</t>
  </si>
  <si>
    <t>Đỗ Văn Thịnh</t>
  </si>
  <si>
    <t>09273</t>
  </si>
  <si>
    <t>09304</t>
  </si>
  <si>
    <t>Trần Thị Vững</t>
  </si>
  <si>
    <t>09315</t>
  </si>
  <si>
    <t>Hoàng Văn Kỳ</t>
  </si>
  <si>
    <t>09327</t>
  </si>
  <si>
    <t>Nguyễn Đức Khánh</t>
  </si>
  <si>
    <t>09329</t>
  </si>
  <si>
    <t>09341</t>
  </si>
  <si>
    <t>Hoàng Văn Cương</t>
  </si>
  <si>
    <t>09362</t>
  </si>
  <si>
    <t>Dương Thị Thuý</t>
  </si>
  <si>
    <t>09372</t>
  </si>
  <si>
    <t>09373</t>
  </si>
  <si>
    <t>Lê Văn Đức</t>
  </si>
  <si>
    <t>09378</t>
  </si>
  <si>
    <t>Hoàng Văn Công</t>
  </si>
  <si>
    <t>09379</t>
  </si>
  <si>
    <t>Lưu Văn Cường</t>
  </si>
  <si>
    <t>09389</t>
  </si>
  <si>
    <t>Nguyễn Văn Khoan</t>
  </si>
  <si>
    <t>09391</t>
  </si>
  <si>
    <t>09396</t>
  </si>
  <si>
    <t>Lộc Minh Hiếu</t>
  </si>
  <si>
    <t>09400</t>
  </si>
  <si>
    <t>Phan Mạnh Cường</t>
  </si>
  <si>
    <t>09401</t>
  </si>
  <si>
    <t>09432</t>
  </si>
  <si>
    <t>Phạm Xuân Trường</t>
  </si>
  <si>
    <t>09441</t>
  </si>
  <si>
    <t>Nguyễn Văn Lân</t>
  </si>
  <si>
    <t>09442</t>
  </si>
  <si>
    <t>Trần Anh Đạo</t>
  </si>
  <si>
    <t>09443</t>
  </si>
  <si>
    <t>09447</t>
  </si>
  <si>
    <t>Bùi Thị Vân</t>
  </si>
  <si>
    <t>09449</t>
  </si>
  <si>
    <t>Nguyễn Thị Quỳnh</t>
  </si>
  <si>
    <t>09450</t>
  </si>
  <si>
    <t>09456</t>
  </si>
  <si>
    <t>Hoàng Trọng Quyền</t>
  </si>
  <si>
    <t>09458</t>
  </si>
  <si>
    <t>Bùi Văn Tân</t>
  </si>
  <si>
    <t>09469</t>
  </si>
  <si>
    <t>Đặng Hữu Hảo</t>
  </si>
  <si>
    <t>09478</t>
  </si>
  <si>
    <t>Đường Thị Hoa</t>
  </si>
  <si>
    <t>09481</t>
  </si>
  <si>
    <t>Trần Thị Linh</t>
  </si>
  <si>
    <t>09482</t>
  </si>
  <si>
    <t>Nguyễn Văn Sáng</t>
  </si>
  <si>
    <t>09483</t>
  </si>
  <si>
    <t>Trần Quang Lộc</t>
  </si>
  <si>
    <t>09487</t>
  </si>
  <si>
    <t>Trịnh Đức Tuấn</t>
  </si>
  <si>
    <t>09488</t>
  </si>
  <si>
    <t>Trần Xuân Hồng</t>
  </si>
  <si>
    <t>09491</t>
  </si>
  <si>
    <t>Lê Mạnh Thắng</t>
  </si>
  <si>
    <t>Nguyễn Thành Du</t>
  </si>
  <si>
    <t>09497</t>
  </si>
  <si>
    <t>Giang Hoàng Sinh</t>
  </si>
  <si>
    <t>09499</t>
  </si>
  <si>
    <t>Nguyễn ánh Dương</t>
  </si>
  <si>
    <t>09508</t>
  </si>
  <si>
    <t>Chu Văn Tiến</t>
  </si>
  <si>
    <t>09512</t>
  </si>
  <si>
    <t>Nguyễn Thị Hồng Nhung</t>
  </si>
  <si>
    <t>09519</t>
  </si>
  <si>
    <t>Lê Thị Huân</t>
  </si>
  <si>
    <t>09521</t>
  </si>
  <si>
    <t>Nguyễn Thị Định</t>
  </si>
  <si>
    <t>09522</t>
  </si>
  <si>
    <t>Nguyễn Văn Thọ</t>
  </si>
  <si>
    <t>09525</t>
  </si>
  <si>
    <t>Đỗ Văn Tâm</t>
  </si>
  <si>
    <t>09526</t>
  </si>
  <si>
    <t>Nguyễn Bá Dũng</t>
  </si>
  <si>
    <t>09527</t>
  </si>
  <si>
    <t>Vũ Văn Vỹ</t>
  </si>
  <si>
    <t>09532</t>
  </si>
  <si>
    <t>Nguyễn Văn Vũ</t>
  </si>
  <si>
    <t>09552</t>
  </si>
  <si>
    <t>Đỗ Xuân Cảnh</t>
  </si>
  <si>
    <t>09559</t>
  </si>
  <si>
    <t>Phạm Văn Tiến</t>
  </si>
  <si>
    <t>09560</t>
  </si>
  <si>
    <t>Nguyễn Văn Tăng</t>
  </si>
  <si>
    <t>09564</t>
  </si>
  <si>
    <t>Trần Mạnh Tiến</t>
  </si>
  <si>
    <t>09567</t>
  </si>
  <si>
    <t>Nguyễn Hải Đăng</t>
  </si>
  <si>
    <t>09568</t>
  </si>
  <si>
    <t>Hoàng Văn Sâm</t>
  </si>
  <si>
    <t>09576</t>
  </si>
  <si>
    <t>Trần Văn Hiệp</t>
  </si>
  <si>
    <t>09578</t>
  </si>
  <si>
    <t>Bùi Thành Chung</t>
  </si>
  <si>
    <t>09580</t>
  </si>
  <si>
    <t>Hà Văn Ngọc</t>
  </si>
  <si>
    <t>09582</t>
  </si>
  <si>
    <t>09583</t>
  </si>
  <si>
    <t>Đỗ Thị Lệ</t>
  </si>
  <si>
    <t>09585</t>
  </si>
  <si>
    <t>Đỗ Minh Tuấn</t>
  </si>
  <si>
    <t>09586</t>
  </si>
  <si>
    <t>Trần Lâm Anh</t>
  </si>
  <si>
    <t>09587</t>
  </si>
  <si>
    <t>09589</t>
  </si>
  <si>
    <t>Phạm Văn Toàn</t>
  </si>
  <si>
    <t>09590</t>
  </si>
  <si>
    <t>Trần Đức Minh</t>
  </si>
  <si>
    <t>09591</t>
  </si>
  <si>
    <t>09592</t>
  </si>
  <si>
    <t>Nguyễn Tiến Tùng</t>
  </si>
  <si>
    <t>09611</t>
  </si>
  <si>
    <t>Nguyễn Việt Xuân</t>
  </si>
  <si>
    <t>09612</t>
  </si>
  <si>
    <t>Đỗ Văn Bình</t>
  </si>
  <si>
    <t>09616</t>
  </si>
  <si>
    <t>Vũ Quốc Định</t>
  </si>
  <si>
    <t>09620</t>
  </si>
  <si>
    <t>09627</t>
  </si>
  <si>
    <t>Phạm Tiến Dũng</t>
  </si>
  <si>
    <t>09640</t>
  </si>
  <si>
    <t>09641</t>
  </si>
  <si>
    <t>09651</t>
  </si>
  <si>
    <t>Ngô Thị Chung</t>
  </si>
  <si>
    <t>09655</t>
  </si>
  <si>
    <t>09661</t>
  </si>
  <si>
    <t>09662</t>
  </si>
  <si>
    <t>09663</t>
  </si>
  <si>
    <t>Phùng Thị Tuý</t>
  </si>
  <si>
    <t>09665</t>
  </si>
  <si>
    <t>Nguyễn Thị HảI Hà</t>
  </si>
  <si>
    <t>09667</t>
  </si>
  <si>
    <t>Ngô Thị Huyền</t>
  </si>
  <si>
    <t>09668</t>
  </si>
  <si>
    <t>Trương Văn Tuấn</t>
  </si>
  <si>
    <t>09679</t>
  </si>
  <si>
    <t>Nguyễn Văn Tuyên</t>
  </si>
  <si>
    <t>09681</t>
  </si>
  <si>
    <t>Vũ Văn Thắng</t>
  </si>
  <si>
    <t>09692</t>
  </si>
  <si>
    <t>Cát Văn Tài</t>
  </si>
  <si>
    <t>09696</t>
  </si>
  <si>
    <t>09699</t>
  </si>
  <si>
    <t>09701</t>
  </si>
  <si>
    <t>Nguyễn Hồng Sơn</t>
  </si>
  <si>
    <t>09721</t>
  </si>
  <si>
    <t>Bùi Văn Mạnh</t>
  </si>
  <si>
    <t>09723</t>
  </si>
  <si>
    <t>Đặng Đức Cảnh</t>
  </si>
  <si>
    <t>09728</t>
  </si>
  <si>
    <t>Nguyễn Văn Phái</t>
  </si>
  <si>
    <t>09743</t>
  </si>
  <si>
    <t>Khổng Năm Chính</t>
  </si>
  <si>
    <t>09747</t>
  </si>
  <si>
    <t>09751</t>
  </si>
  <si>
    <t>Hoàng Thị Thắm</t>
  </si>
  <si>
    <t>09755</t>
  </si>
  <si>
    <t>Nguyễn Thị Giang</t>
  </si>
  <si>
    <t>09759</t>
  </si>
  <si>
    <t>Nguyễn Thị Dịu</t>
  </si>
  <si>
    <t>09760</t>
  </si>
  <si>
    <t>Lê Thị Thanh Phương</t>
  </si>
  <si>
    <t>09761</t>
  </si>
  <si>
    <t>Khổng Thị Giang</t>
  </si>
  <si>
    <t>09763</t>
  </si>
  <si>
    <t>Phương Ngọc Luật</t>
  </si>
  <si>
    <t>09776</t>
  </si>
  <si>
    <t>Nguyễn Chiến</t>
  </si>
  <si>
    <t>09784</t>
  </si>
  <si>
    <t>Phùng Văn Nam</t>
  </si>
  <si>
    <t>09786</t>
  </si>
  <si>
    <t>09787</t>
  </si>
  <si>
    <t>Phùng Văn Khải</t>
  </si>
  <si>
    <t>09788</t>
  </si>
  <si>
    <t>Nguyễn Trung Sỹ</t>
  </si>
  <si>
    <t>09791</t>
  </si>
  <si>
    <t>Phan Tiến Dũng</t>
  </si>
  <si>
    <t>09818</t>
  </si>
  <si>
    <t>Nguyễn Văn Hữu</t>
  </si>
  <si>
    <t>09827</t>
  </si>
  <si>
    <t>09848</t>
  </si>
  <si>
    <t>Chu Phước Hiệp</t>
  </si>
  <si>
    <t>09850</t>
  </si>
  <si>
    <t>Nguyễn Văn Thịnh</t>
  </si>
  <si>
    <t>09855</t>
  </si>
  <si>
    <t>09866</t>
  </si>
  <si>
    <t>09868</t>
  </si>
  <si>
    <t>Nguyễn Thị Hồng Yến</t>
  </si>
  <si>
    <t>09870</t>
  </si>
  <si>
    <t>Chu Thị Huệ</t>
  </si>
  <si>
    <t>09871</t>
  </si>
  <si>
    <t>Nguyễn Văn Thìn</t>
  </si>
  <si>
    <t>09874</t>
  </si>
  <si>
    <t>09878</t>
  </si>
  <si>
    <t>Phạm Hồng Hải</t>
  </si>
  <si>
    <t>09879</t>
  </si>
  <si>
    <t>Trần Trung Tuấn</t>
  </si>
  <si>
    <t>09896</t>
  </si>
  <si>
    <t>09897</t>
  </si>
  <si>
    <t>Trần Kim Đính</t>
  </si>
  <si>
    <t>09901</t>
  </si>
  <si>
    <t>Nguyễn Việt Hải</t>
  </si>
  <si>
    <t>09912</t>
  </si>
  <si>
    <t>Lê Tất Lợi</t>
  </si>
  <si>
    <t>09917</t>
  </si>
  <si>
    <t>Đinh Quang Linh</t>
  </si>
  <si>
    <t>09920</t>
  </si>
  <si>
    <t>Trần Văn Trọng</t>
  </si>
  <si>
    <t>09922</t>
  </si>
  <si>
    <t>Phạm Văn Sơn</t>
  </si>
  <si>
    <t>09925</t>
  </si>
  <si>
    <t>Nguyễn Văn Thu</t>
  </si>
  <si>
    <t>09929</t>
  </si>
  <si>
    <t>Trần Văn Thuần</t>
  </si>
  <si>
    <t>09935</t>
  </si>
  <si>
    <t>Nguyễn Đình Thắng</t>
  </si>
  <si>
    <t>09941</t>
  </si>
  <si>
    <t>09944</t>
  </si>
  <si>
    <t>Đỗ Minh Hải</t>
  </si>
  <si>
    <t>09946</t>
  </si>
  <si>
    <t>Trần Thị Ngát</t>
  </si>
  <si>
    <t>09984</t>
  </si>
  <si>
    <t>Hà Quang Duy</t>
  </si>
  <si>
    <t>09988</t>
  </si>
  <si>
    <t>Dương Tiến Sinh</t>
  </si>
  <si>
    <t>09994</t>
  </si>
  <si>
    <t>Phạm Văn Hậu</t>
  </si>
  <si>
    <t>09997</t>
  </si>
  <si>
    <t>Trương Văn Anh Tú</t>
  </si>
  <si>
    <t>09998</t>
  </si>
  <si>
    <t>Hoàng Việt Anh</t>
  </si>
  <si>
    <t>10001</t>
  </si>
  <si>
    <t>10005</t>
  </si>
  <si>
    <t>10017</t>
  </si>
  <si>
    <t>Phạm Văn Thắng</t>
  </si>
  <si>
    <t>Phạm Minh Tuấn</t>
  </si>
  <si>
    <t>10029</t>
  </si>
  <si>
    <t>Dương Đức Kiểm</t>
  </si>
  <si>
    <t>10034</t>
  </si>
  <si>
    <t>Hoàng Thế Chung</t>
  </si>
  <si>
    <t>10049</t>
  </si>
  <si>
    <t>Nguyễn Thị Hiếu</t>
  </si>
  <si>
    <t>10054</t>
  </si>
  <si>
    <t>10056</t>
  </si>
  <si>
    <t>Lưu Thị Chinh</t>
  </si>
  <si>
    <t>10064</t>
  </si>
  <si>
    <t>10068</t>
  </si>
  <si>
    <t>10069</t>
  </si>
  <si>
    <t>10070</t>
  </si>
  <si>
    <t>10071</t>
  </si>
  <si>
    <t>10086</t>
  </si>
  <si>
    <t>Đặng Hữu Quân</t>
  </si>
  <si>
    <t>10104</t>
  </si>
  <si>
    <t>Dương Xuân Trường</t>
  </si>
  <si>
    <t>10109</t>
  </si>
  <si>
    <t>Phan Văn Hậu</t>
  </si>
  <si>
    <t>10140</t>
  </si>
  <si>
    <t>10145</t>
  </si>
  <si>
    <t>Phan Thị Hằng</t>
  </si>
  <si>
    <t>10148</t>
  </si>
  <si>
    <t>Nguyễn Đăng Dũng</t>
  </si>
  <si>
    <t>10178</t>
  </si>
  <si>
    <t>Nguyễn Bảo Ngọc</t>
  </si>
  <si>
    <t>10179</t>
  </si>
  <si>
    <t>Đỗ Gia Mạnh</t>
  </si>
  <si>
    <t>10184</t>
  </si>
  <si>
    <t>Ngọ Tuấn Anh</t>
  </si>
  <si>
    <t>10186</t>
  </si>
  <si>
    <t>Nguyễn Kế Ngọc</t>
  </si>
  <si>
    <t>10187</t>
  </si>
  <si>
    <t>Nguyễn Văn Hậu</t>
  </si>
  <si>
    <t>10188</t>
  </si>
  <si>
    <t>Trương Xuân Bình</t>
  </si>
  <si>
    <t>10189</t>
  </si>
  <si>
    <t>Triệu Đức Toàn</t>
  </si>
  <si>
    <t>10191</t>
  </si>
  <si>
    <t>Đào Thị Giang</t>
  </si>
  <si>
    <t>10199</t>
  </si>
  <si>
    <t>Phan Văn Nam</t>
  </si>
  <si>
    <t>10205</t>
  </si>
  <si>
    <t>Hoàng Ngọc Cường</t>
  </si>
  <si>
    <t>10207</t>
  </si>
  <si>
    <t>Nguyễn Văn Giới</t>
  </si>
  <si>
    <t>10221</t>
  </si>
  <si>
    <t>10224</t>
  </si>
  <si>
    <t>Nguyễn Đại Chí</t>
  </si>
  <si>
    <t>10236</t>
  </si>
  <si>
    <t>Nguyễn Văn Dân</t>
  </si>
  <si>
    <t>10239</t>
  </si>
  <si>
    <t>Hoàng Văn Hiển</t>
  </si>
  <si>
    <t>10247</t>
  </si>
  <si>
    <t>Nguyễn Thị An</t>
  </si>
  <si>
    <t>10250</t>
  </si>
  <si>
    <t>10251</t>
  </si>
  <si>
    <t>Phạm Quang Phố</t>
  </si>
  <si>
    <t>10257</t>
  </si>
  <si>
    <t>Trần Văn Khanh</t>
  </si>
  <si>
    <t>10261</t>
  </si>
  <si>
    <t>Phạm Quang Tình</t>
  </si>
  <si>
    <t>10291</t>
  </si>
  <si>
    <t>Trần Thị Hiền</t>
  </si>
  <si>
    <t>10294</t>
  </si>
  <si>
    <t>Nguyễn Văn Thiết</t>
  </si>
  <si>
    <t>10299</t>
  </si>
  <si>
    <t>10302</t>
  </si>
  <si>
    <t>Bùi Thị Thúy Mùi</t>
  </si>
  <si>
    <t>10303</t>
  </si>
  <si>
    <t>Nguyễn Ngọc Duy</t>
  </si>
  <si>
    <t>10304</t>
  </si>
  <si>
    <t>10307</t>
  </si>
  <si>
    <t>Lê Tiến Dũng</t>
  </si>
  <si>
    <t>10309</t>
  </si>
  <si>
    <t>Nguyễn Thị Vân Anh</t>
  </si>
  <si>
    <t>10324</t>
  </si>
  <si>
    <t>Đỗ Văn Hoàng</t>
  </si>
  <si>
    <t>10328</t>
  </si>
  <si>
    <t>Trần Thành Đạt</t>
  </si>
  <si>
    <t>10337</t>
  </si>
  <si>
    <t>10341</t>
  </si>
  <si>
    <t>10359</t>
  </si>
  <si>
    <t>Dương Thị Luyến</t>
  </si>
  <si>
    <t>10362</t>
  </si>
  <si>
    <t>Nguyễn Thị Liêm</t>
  </si>
  <si>
    <t>10367</t>
  </si>
  <si>
    <t>Trần Thị Thu Hằng</t>
  </si>
  <si>
    <t>10368</t>
  </si>
  <si>
    <t>10369</t>
  </si>
  <si>
    <t>Triệu Đức Quang</t>
  </si>
  <si>
    <t>10373</t>
  </si>
  <si>
    <t>Đinh Hoài Nam</t>
  </si>
  <si>
    <t>10379</t>
  </si>
  <si>
    <t>Hoàng Hải Định</t>
  </si>
  <si>
    <t>10387</t>
  </si>
  <si>
    <t>Trần Văn Phương</t>
  </si>
  <si>
    <t>10395</t>
  </si>
  <si>
    <t>Bùi Huy Giáp</t>
  </si>
  <si>
    <t>10397</t>
  </si>
  <si>
    <t>Kim Tuấn Hùng</t>
  </si>
  <si>
    <t>10402</t>
  </si>
  <si>
    <t>Phạm Đình Bắc</t>
  </si>
  <si>
    <t>10405</t>
  </si>
  <si>
    <t>10406</t>
  </si>
  <si>
    <t>Lưu Văn Trang</t>
  </si>
  <si>
    <t>10408</t>
  </si>
  <si>
    <t>Nguyễn Đắc Tài</t>
  </si>
  <si>
    <t>10411</t>
  </si>
  <si>
    <t>Hứa Thị Vệ</t>
  </si>
  <si>
    <t>10427</t>
  </si>
  <si>
    <t>Cao Văn Cường</t>
  </si>
  <si>
    <t>10452</t>
  </si>
  <si>
    <t>Phùng Thị Chinh</t>
  </si>
  <si>
    <t>10454</t>
  </si>
  <si>
    <t>Đỗ Trung Nghĩa</t>
  </si>
  <si>
    <t>10480</t>
  </si>
  <si>
    <t>Khổng Cao Nguyên</t>
  </si>
  <si>
    <t>10483</t>
  </si>
  <si>
    <t>Phùng Mạnh Thắng</t>
  </si>
  <si>
    <t>10489</t>
  </si>
  <si>
    <t>Trần Thị Thu Phương</t>
  </si>
  <si>
    <t>10495</t>
  </si>
  <si>
    <t>Phùng Thị Thúy</t>
  </si>
  <si>
    <t>10498</t>
  </si>
  <si>
    <t>Lê Chí Hưng</t>
  </si>
  <si>
    <t>10499</t>
  </si>
  <si>
    <t>Đỗ Thị Kim Thoa</t>
  </si>
  <si>
    <t>10504</t>
  </si>
  <si>
    <t>Đỗ Văn Tuấn</t>
  </si>
  <si>
    <t>Đặng Đức Khang</t>
  </si>
  <si>
    <t>10509</t>
  </si>
  <si>
    <t>Nguyễn Văn Tôn</t>
  </si>
  <si>
    <t>10510</t>
  </si>
  <si>
    <t>Trần Anh Tuấn</t>
  </si>
  <si>
    <t>10532</t>
  </si>
  <si>
    <t>Bùi Trung Kiên</t>
  </si>
  <si>
    <t>10544</t>
  </si>
  <si>
    <t>Đỗ Thị Thúy Phượng</t>
  </si>
  <si>
    <t>10549</t>
  </si>
  <si>
    <t>Lê Thành Chiến</t>
  </si>
  <si>
    <t>10553</t>
  </si>
  <si>
    <t>10556</t>
  </si>
  <si>
    <t>Ngô Văn Luận</t>
  </si>
  <si>
    <t>10561</t>
  </si>
  <si>
    <t>10566</t>
  </si>
  <si>
    <t>Phạm Văn Đức</t>
  </si>
  <si>
    <t>10567</t>
  </si>
  <si>
    <t>10570</t>
  </si>
  <si>
    <t>Hoàng Văn Việt</t>
  </si>
  <si>
    <t>10573</t>
  </si>
  <si>
    <t>Hà Tiến Dũng</t>
  </si>
  <si>
    <t>10574</t>
  </si>
  <si>
    <t>Hà Minh Tiến</t>
  </si>
  <si>
    <t>10587</t>
  </si>
  <si>
    <t>Lê Hải Đạt</t>
  </si>
  <si>
    <t>10592</t>
  </si>
  <si>
    <t>10595</t>
  </si>
  <si>
    <t>Đinh Thị Hạnh</t>
  </si>
  <si>
    <t>10596</t>
  </si>
  <si>
    <t>Hà Thị Phương</t>
  </si>
  <si>
    <t>10598</t>
  </si>
  <si>
    <t>Bùi Thị Lệ</t>
  </si>
  <si>
    <t>10599</t>
  </si>
  <si>
    <t>10600</t>
  </si>
  <si>
    <t>Hoàng Văn Minh</t>
  </si>
  <si>
    <t>10603</t>
  </si>
  <si>
    <t>Phùng Văn Tùng</t>
  </si>
  <si>
    <t>10604</t>
  </si>
  <si>
    <t>Nguyễn Văn Hạnh</t>
  </si>
  <si>
    <t>10605</t>
  </si>
  <si>
    <t>Phạm Văn Đại</t>
  </si>
  <si>
    <t>10607</t>
  </si>
  <si>
    <t>10608</t>
  </si>
  <si>
    <t>Trần Văn Hoàn</t>
  </si>
  <si>
    <t>10610</t>
  </si>
  <si>
    <t>10611</t>
  </si>
  <si>
    <t>Trịnh Thị Thoa</t>
  </si>
  <si>
    <t>10613</t>
  </si>
  <si>
    <t>Nguyễn Trọng Duy</t>
  </si>
  <si>
    <t>10617</t>
  </si>
  <si>
    <t>Dương Mạnh Huy</t>
  </si>
  <si>
    <t>10618</t>
  </si>
  <si>
    <t>10622</t>
  </si>
  <si>
    <t>Dương Thành Hưng</t>
  </si>
  <si>
    <t>10624</t>
  </si>
  <si>
    <t>10627</t>
  </si>
  <si>
    <t>Dương Thị Hương</t>
  </si>
  <si>
    <t>10636</t>
  </si>
  <si>
    <t>10654</t>
  </si>
  <si>
    <t>Dương Thị Thu Thùy</t>
  </si>
  <si>
    <t>10661</t>
  </si>
  <si>
    <t>Bùi Trung Thành</t>
  </si>
  <si>
    <t>10681</t>
  </si>
  <si>
    <t>Phan Văn Khải</t>
  </si>
  <si>
    <t>10683</t>
  </si>
  <si>
    <t>Đào Duy Hậu</t>
  </si>
  <si>
    <t>10693</t>
  </si>
  <si>
    <t>Lê Văn Đông</t>
  </si>
  <si>
    <t>10696</t>
  </si>
  <si>
    <t>Hoàng Giang Nam</t>
  </si>
  <si>
    <t>10698</t>
  </si>
  <si>
    <t>Trần Minh Nguyệt</t>
  </si>
  <si>
    <t>10704</t>
  </si>
  <si>
    <t>Lương Thị Hương</t>
  </si>
  <si>
    <t>10706</t>
  </si>
  <si>
    <t>Nguyễn Thanh Tùng</t>
  </si>
  <si>
    <t>10717</t>
  </si>
  <si>
    <t>Phùng Quốc Hưng</t>
  </si>
  <si>
    <t>10718</t>
  </si>
  <si>
    <t>Triệu Văn Tú</t>
  </si>
  <si>
    <t>10721</t>
  </si>
  <si>
    <t>10734</t>
  </si>
  <si>
    <t>Hoàng Thị Lê Na</t>
  </si>
  <si>
    <t>10739</t>
  </si>
  <si>
    <t>Nguyễn Quang Sơn</t>
  </si>
  <si>
    <t>10744</t>
  </si>
  <si>
    <t>Lê Thị Nhung</t>
  </si>
  <si>
    <t>10746</t>
  </si>
  <si>
    <t>Lê Thị Châm</t>
  </si>
  <si>
    <t>10748</t>
  </si>
  <si>
    <t>Nguyễn Thị Lành</t>
  </si>
  <si>
    <t>10749</t>
  </si>
  <si>
    <t>Phạm Kiên Quyết</t>
  </si>
  <si>
    <t>10755</t>
  </si>
  <si>
    <t>Cao Văn Thao</t>
  </si>
  <si>
    <t>10760</t>
  </si>
  <si>
    <t>Đỗ Văn Thái</t>
  </si>
  <si>
    <t>10766</t>
  </si>
  <si>
    <t>Lê Kim Khương</t>
  </si>
  <si>
    <t>10770</t>
  </si>
  <si>
    <t>Đỗ Trung Kiên</t>
  </si>
  <si>
    <t>10773</t>
  </si>
  <si>
    <t>Đặng Minh Thắng</t>
  </si>
  <si>
    <t>10783</t>
  </si>
  <si>
    <t>10784</t>
  </si>
  <si>
    <t>Nghiêm Hữu Phương Tuân</t>
  </si>
  <si>
    <t>10785</t>
  </si>
  <si>
    <t>10788</t>
  </si>
  <si>
    <t>Lê Huy Hiệu</t>
  </si>
  <si>
    <t>10790</t>
  </si>
  <si>
    <t>Nguyễn Đức Thuận</t>
  </si>
  <si>
    <t>10814</t>
  </si>
  <si>
    <t>Đặng Ngọc Chi</t>
  </si>
  <si>
    <t>10825</t>
  </si>
  <si>
    <t>Phùng Thị Nga</t>
  </si>
  <si>
    <t>10828</t>
  </si>
  <si>
    <t>Kiều Văn Mạnh</t>
  </si>
  <si>
    <t>10831</t>
  </si>
  <si>
    <t>Nguyễn Đức Mạnh</t>
  </si>
  <si>
    <t>10833</t>
  </si>
  <si>
    <t>10835</t>
  </si>
  <si>
    <t>Nguyễn Văn Phi</t>
  </si>
  <si>
    <t>10836</t>
  </si>
  <si>
    <t>Bùi Kim Dung</t>
  </si>
  <si>
    <t>10839</t>
  </si>
  <si>
    <t>10842</t>
  </si>
  <si>
    <t>Hoàng Ngọc Hà</t>
  </si>
  <si>
    <t>10847</t>
  </si>
  <si>
    <t>Trần Văn Kiên</t>
  </si>
  <si>
    <t>10852</t>
  </si>
  <si>
    <t>Phạm Đình Nam</t>
  </si>
  <si>
    <t>10854</t>
  </si>
  <si>
    <t>Hoàng Văn Khanh</t>
  </si>
  <si>
    <t>10856</t>
  </si>
  <si>
    <t>10860</t>
  </si>
  <si>
    <t>Nguyễn Thị Thúy Hồng</t>
  </si>
  <si>
    <t>10861</t>
  </si>
  <si>
    <t>10863</t>
  </si>
  <si>
    <t>Bùi Hồng Hưng</t>
  </si>
  <si>
    <t>10864</t>
  </si>
  <si>
    <t>Trần Hà Phương</t>
  </si>
  <si>
    <t>10878</t>
  </si>
  <si>
    <t>Đỗ Trung Sơn</t>
  </si>
  <si>
    <t>10879</t>
  </si>
  <si>
    <t>10886</t>
  </si>
  <si>
    <t>10891</t>
  </si>
  <si>
    <t>10902</t>
  </si>
  <si>
    <t>Vũ Xuân Ngọc</t>
  </si>
  <si>
    <t>10911</t>
  </si>
  <si>
    <t>Hà Văn Dinh</t>
  </si>
  <si>
    <t>10918</t>
  </si>
  <si>
    <t>Đoàn Văn Phục</t>
  </si>
  <si>
    <t>10924</t>
  </si>
  <si>
    <t>10925</t>
  </si>
  <si>
    <t>Hoàng Thị Thu Phương</t>
  </si>
  <si>
    <t>10945</t>
  </si>
  <si>
    <t>Bùi Văn Chiến</t>
  </si>
  <si>
    <t>10947</t>
  </si>
  <si>
    <t>Bùi Thị Mai</t>
  </si>
  <si>
    <t>10949</t>
  </si>
  <si>
    <t>Lương Văn Luận</t>
  </si>
  <si>
    <t>10950</t>
  </si>
  <si>
    <t>10951</t>
  </si>
  <si>
    <t>Hà Tiến Trung</t>
  </si>
  <si>
    <t>10953</t>
  </si>
  <si>
    <t>Trần Đức Hoàn</t>
  </si>
  <si>
    <t>10954</t>
  </si>
  <si>
    <t>10955</t>
  </si>
  <si>
    <t>Phạm Anh Văn</t>
  </si>
  <si>
    <t>10973</t>
  </si>
  <si>
    <t>10996</t>
  </si>
  <si>
    <t>Phùng Văn Thành</t>
  </si>
  <si>
    <t>11001</t>
  </si>
  <si>
    <t>Đinh Công Quyền</t>
  </si>
  <si>
    <t>11003</t>
  </si>
  <si>
    <t>11006</t>
  </si>
  <si>
    <t>11019</t>
  </si>
  <si>
    <t>Nguyễn Văn Đồng</t>
  </si>
  <si>
    <t>11020</t>
  </si>
  <si>
    <t>11044</t>
  </si>
  <si>
    <t>Vũ Văn Dương</t>
  </si>
  <si>
    <t>11047</t>
  </si>
  <si>
    <t>11064</t>
  </si>
  <si>
    <t>11066</t>
  </si>
  <si>
    <t>11068</t>
  </si>
  <si>
    <t>11083</t>
  </si>
  <si>
    <t>Lê Văn Khải</t>
  </si>
  <si>
    <t>11099</t>
  </si>
  <si>
    <t>11100</t>
  </si>
  <si>
    <t>Khổng Văn Sơn</t>
  </si>
  <si>
    <t>11104</t>
  </si>
  <si>
    <t>Đinh Tiến Minh</t>
  </si>
  <si>
    <t>11105</t>
  </si>
  <si>
    <t>Nguyễn Văn Giáp</t>
  </si>
  <si>
    <t>11106</t>
  </si>
  <si>
    <t>11110</t>
  </si>
  <si>
    <t>Trần Văn Thắng</t>
  </si>
  <si>
    <t>Trần Văn Thư</t>
  </si>
  <si>
    <t>Phan Văn Dũng</t>
  </si>
  <si>
    <t>11120</t>
  </si>
  <si>
    <t>Tạ Văn Thảo</t>
  </si>
  <si>
    <t>11122</t>
  </si>
  <si>
    <t>Lê Văn Tĩnh</t>
  </si>
  <si>
    <t>11131</t>
  </si>
  <si>
    <t>Nguyễn Đức Trường</t>
  </si>
  <si>
    <t>11132</t>
  </si>
  <si>
    <t>Trần Ngọc Cường</t>
  </si>
  <si>
    <t>11148</t>
  </si>
  <si>
    <t>Phan Bá Cương</t>
  </si>
  <si>
    <t>11151</t>
  </si>
  <si>
    <t>Nguyễn Văn Họa</t>
  </si>
  <si>
    <t>11155</t>
  </si>
  <si>
    <t>Nguyễn Văn Hợp</t>
  </si>
  <si>
    <t>11165</t>
  </si>
  <si>
    <t>Trần Văn Tiến</t>
  </si>
  <si>
    <t>11172</t>
  </si>
  <si>
    <t>Lê Đăng Hiệp</t>
  </si>
  <si>
    <t>11191</t>
  </si>
  <si>
    <t>Nguyễn Thị Hậu</t>
  </si>
  <si>
    <t>11203</t>
  </si>
  <si>
    <t>Đỗ Thị Hồng</t>
  </si>
  <si>
    <t>11205</t>
  </si>
  <si>
    <t>11207</t>
  </si>
  <si>
    <t>Bùi Văn Tiến</t>
  </si>
  <si>
    <t>11228</t>
  </si>
  <si>
    <t>Nguyễn Khắc Linh</t>
  </si>
  <si>
    <t>11243</t>
  </si>
  <si>
    <t>Cao Duy Chiến</t>
  </si>
  <si>
    <t>11246</t>
  </si>
  <si>
    <t>Lê Duy Mạnh</t>
  </si>
  <si>
    <t>11255</t>
  </si>
  <si>
    <t>Phùng Văn Sáng</t>
  </si>
  <si>
    <t>11257</t>
  </si>
  <si>
    <t>Nguyễn Văn Doanh</t>
  </si>
  <si>
    <t>Lưu Văn Linh</t>
  </si>
  <si>
    <t>11272</t>
  </si>
  <si>
    <t>Phạm Ngọc Duy</t>
  </si>
  <si>
    <t>11278</t>
  </si>
  <si>
    <t>Nghiêm Duy Anh</t>
  </si>
  <si>
    <t>11287</t>
  </si>
  <si>
    <t>Tạ Lệ Hằng</t>
  </si>
  <si>
    <t>11288</t>
  </si>
  <si>
    <t>Khổng Văn Mạnh</t>
  </si>
  <si>
    <t>11292</t>
  </si>
  <si>
    <t>Phùng Văn Phúc</t>
  </si>
  <si>
    <t>11293</t>
  </si>
  <si>
    <t>Dương Tiến Cẩn</t>
  </si>
  <si>
    <t>11294</t>
  </si>
  <si>
    <t>Vũ Công Nam</t>
  </si>
  <si>
    <t>11295</t>
  </si>
  <si>
    <t>Nguyễn Thị Phương Lan</t>
  </si>
  <si>
    <t>11304</t>
  </si>
  <si>
    <t>11314</t>
  </si>
  <si>
    <t>Thái Thị Nguyệt</t>
  </si>
  <si>
    <t>11327</t>
  </si>
  <si>
    <t>Vũ Văn Sơn</t>
  </si>
  <si>
    <t>11332</t>
  </si>
  <si>
    <t>Nguyễn Địch Trường</t>
  </si>
  <si>
    <t>11334</t>
  </si>
  <si>
    <t>Phùng Thị Ngọc</t>
  </si>
  <si>
    <t>11364</t>
  </si>
  <si>
    <t>Nguyễn Công Vũ</t>
  </si>
  <si>
    <t>11365</t>
  </si>
  <si>
    <t>Nguyễn Văn Quyền</t>
  </si>
  <si>
    <t>11366</t>
  </si>
  <si>
    <t>Hoàng Văn Hà</t>
  </si>
  <si>
    <t>11367</t>
  </si>
  <si>
    <t>Trần Trung Nghĩa</t>
  </si>
  <si>
    <t>11400</t>
  </si>
  <si>
    <t>Lê Chung</t>
  </si>
  <si>
    <t>11402</t>
  </si>
  <si>
    <t>11408</t>
  </si>
  <si>
    <t>Phan Anh Tú</t>
  </si>
  <si>
    <t>11412</t>
  </si>
  <si>
    <t>Nguyễn Duy Quý</t>
  </si>
  <si>
    <t>11418</t>
  </si>
  <si>
    <t>Đỗ Thị Thương</t>
  </si>
  <si>
    <t>11422</t>
  </si>
  <si>
    <t>Phan Văn Cường</t>
  </si>
  <si>
    <t>11432</t>
  </si>
  <si>
    <t>Nguyễn Hữu Hoạt</t>
  </si>
  <si>
    <t>11435</t>
  </si>
  <si>
    <t>Trần Doãn Long</t>
  </si>
  <si>
    <t>11439</t>
  </si>
  <si>
    <t>Trịnh Thị Thu</t>
  </si>
  <si>
    <t>11442</t>
  </si>
  <si>
    <t>Đào Thị Hòa</t>
  </si>
  <si>
    <t>11443</t>
  </si>
  <si>
    <t>Đỗ Quang Chính</t>
  </si>
  <si>
    <t>11452</t>
  </si>
  <si>
    <t>Hoàng Văn Chung</t>
  </si>
  <si>
    <t>11455</t>
  </si>
  <si>
    <t>Đặng Văn Bách</t>
  </si>
  <si>
    <t>11457</t>
  </si>
  <si>
    <t>Lê Thị Ngân</t>
  </si>
  <si>
    <t>11458</t>
  </si>
  <si>
    <t>11480</t>
  </si>
  <si>
    <t>Lê Thanh Lực</t>
  </si>
  <si>
    <t>11505</t>
  </si>
  <si>
    <t>Nguyễn Bá Hiển</t>
  </si>
  <si>
    <t>11508</t>
  </si>
  <si>
    <t>Lê Văn Lợi</t>
  </si>
  <si>
    <t>11509</t>
  </si>
  <si>
    <t>Lê Văn Tuấn</t>
  </si>
  <si>
    <t>11513</t>
  </si>
  <si>
    <t>Nguyễn Công Hội</t>
  </si>
  <si>
    <t>11525</t>
  </si>
  <si>
    <t>11527</t>
  </si>
  <si>
    <t>Dương Hùng Mạnh</t>
  </si>
  <si>
    <t>11553</t>
  </si>
  <si>
    <t>Lê Thị Tâm</t>
  </si>
  <si>
    <t>11562</t>
  </si>
  <si>
    <t>11576</t>
  </si>
  <si>
    <t>Phạm Văn Tuyến</t>
  </si>
  <si>
    <t>11578</t>
  </si>
  <si>
    <t>Đồng Thị Mai Hương</t>
  </si>
  <si>
    <t>11580</t>
  </si>
  <si>
    <t>Đinh Thị Ngọc Dung</t>
  </si>
  <si>
    <t>11581</t>
  </si>
  <si>
    <t>Nguyễn Trí Thức</t>
  </si>
  <si>
    <t>11588</t>
  </si>
  <si>
    <t>Ngô Văn Trường</t>
  </si>
  <si>
    <t>11593</t>
  </si>
  <si>
    <t>Hoàng Thị Thảo</t>
  </si>
  <si>
    <t>11599</t>
  </si>
  <si>
    <t>Phùng Thị Mai</t>
  </si>
  <si>
    <t>11608</t>
  </si>
  <si>
    <t>Đỗ Thị Mơ</t>
  </si>
  <si>
    <t>11622</t>
  </si>
  <si>
    <t>11625</t>
  </si>
  <si>
    <t>Kim Văn Huấn</t>
  </si>
  <si>
    <t>11632</t>
  </si>
  <si>
    <t>Trần Ngọc Thanh</t>
  </si>
  <si>
    <t>11634</t>
  </si>
  <si>
    <t>Nguyễn Văn Đoàn</t>
  </si>
  <si>
    <t>11635</t>
  </si>
  <si>
    <t>Nguyễn Duy Hai</t>
  </si>
  <si>
    <t>11658</t>
  </si>
  <si>
    <t>Hoàng Văn Hùng</t>
  </si>
  <si>
    <t>11673</t>
  </si>
  <si>
    <t>Nguyễn Tiến Đạt</t>
  </si>
  <si>
    <t>11681</t>
  </si>
  <si>
    <t>Dương Tiến Trường</t>
  </si>
  <si>
    <t>11687</t>
  </si>
  <si>
    <t>Phạm Thị Liên</t>
  </si>
  <si>
    <t>11696</t>
  </si>
  <si>
    <t>Trương Thị Thảo</t>
  </si>
  <si>
    <t>11697</t>
  </si>
  <si>
    <t>Hà Văn Dương</t>
  </si>
  <si>
    <t>11701</t>
  </si>
  <si>
    <t>11703</t>
  </si>
  <si>
    <t>Lê Hồng Chanh</t>
  </si>
  <si>
    <t>11704</t>
  </si>
  <si>
    <t>Hà Nam</t>
  </si>
  <si>
    <t>11706</t>
  </si>
  <si>
    <t>Lê Anh Đức</t>
  </si>
  <si>
    <t>11712</t>
  </si>
  <si>
    <t>Bạch Văn Tính</t>
  </si>
  <si>
    <t>11713</t>
  </si>
  <si>
    <t>Nguyễn Hải Hậu</t>
  </si>
  <si>
    <t>11714</t>
  </si>
  <si>
    <t>Lại Xuân Dương</t>
  </si>
  <si>
    <t>11723</t>
  </si>
  <si>
    <t>11724</t>
  </si>
  <si>
    <t>Trần Anh Hoàn</t>
  </si>
  <si>
    <t>11725</t>
  </si>
  <si>
    <t>11729</t>
  </si>
  <si>
    <t>11754</t>
  </si>
  <si>
    <t>11755</t>
  </si>
  <si>
    <t>Nguyễn Thị Xây</t>
  </si>
  <si>
    <t>11767</t>
  </si>
  <si>
    <t>11788</t>
  </si>
  <si>
    <t>Chu Văn Trường</t>
  </si>
  <si>
    <t>11798</t>
  </si>
  <si>
    <t>Phạm Thị Kiều Oanh</t>
  </si>
  <si>
    <t>11799</t>
  </si>
  <si>
    <t>Vũ Hồng Khanh</t>
  </si>
  <si>
    <t>11811</t>
  </si>
  <si>
    <t>Phan Văn Hưng</t>
  </si>
  <si>
    <t>11820</t>
  </si>
  <si>
    <t>Trần Mạnh Cường</t>
  </si>
  <si>
    <t>11823</t>
  </si>
  <si>
    <t>11836</t>
  </si>
  <si>
    <t>Lê Thị Hóa</t>
  </si>
  <si>
    <t>11839</t>
  </si>
  <si>
    <t>11844</t>
  </si>
  <si>
    <t>Đào Thị Anh</t>
  </si>
  <si>
    <t>11848</t>
  </si>
  <si>
    <t>Phạm Văn Ninh</t>
  </si>
  <si>
    <t>11871</t>
  </si>
  <si>
    <t>Đặng Xuân ánh</t>
  </si>
  <si>
    <t>11873</t>
  </si>
  <si>
    <t>11885</t>
  </si>
  <si>
    <t>11892</t>
  </si>
  <si>
    <t>Nguyễn Văn Tráng</t>
  </si>
  <si>
    <t>11895</t>
  </si>
  <si>
    <t>Nguyễn Kế Thanh</t>
  </si>
  <si>
    <t>11900</t>
  </si>
  <si>
    <t>Dương Thị Thu Nga</t>
  </si>
  <si>
    <t>11901</t>
  </si>
  <si>
    <t>Phùng Minh Chính</t>
  </si>
  <si>
    <t>11910</t>
  </si>
  <si>
    <t>Phùng Gia Hường</t>
  </si>
  <si>
    <t>11913</t>
  </si>
  <si>
    <t>11917</t>
  </si>
  <si>
    <t>11918</t>
  </si>
  <si>
    <t>Phùng Anh Tuấn</t>
  </si>
  <si>
    <t>11920</t>
  </si>
  <si>
    <t>Phùng Thị Kim Chung</t>
  </si>
  <si>
    <t>11925</t>
  </si>
  <si>
    <t>Đặng Thái Sơn</t>
  </si>
  <si>
    <t>11934</t>
  </si>
  <si>
    <t>Dương Văn Chiến</t>
  </si>
  <si>
    <t>11937</t>
  </si>
  <si>
    <t>Trần Văn Ân</t>
  </si>
  <si>
    <t>11958</t>
  </si>
  <si>
    <t>11988</t>
  </si>
  <si>
    <t>11991</t>
  </si>
  <si>
    <t>Nguyễn Đức Hòa</t>
  </si>
  <si>
    <t>11995</t>
  </si>
  <si>
    <t>Nguyễn Ngọc Hiếu</t>
  </si>
  <si>
    <t>12003</t>
  </si>
  <si>
    <t>12008</t>
  </si>
  <si>
    <t>Lê Văn Phúc</t>
  </si>
  <si>
    <t>12009</t>
  </si>
  <si>
    <t>Nguyễn Thị Minh Lương</t>
  </si>
  <si>
    <t>12013</t>
  </si>
  <si>
    <t>Hoàng Thị Chung</t>
  </si>
  <si>
    <t>Chu Văn Đường</t>
  </si>
  <si>
    <t>12017</t>
  </si>
  <si>
    <t>Hà Tiến Tín</t>
  </si>
  <si>
    <t>12022</t>
  </si>
  <si>
    <t>Đỗ Đức Tùng</t>
  </si>
  <si>
    <t>12026</t>
  </si>
  <si>
    <t>Phạm Hùng Huynh</t>
  </si>
  <si>
    <t>12038</t>
  </si>
  <si>
    <t>Phùng Thị Xuân</t>
  </si>
  <si>
    <t>12070</t>
  </si>
  <si>
    <t>Nguyễn Thị Thoa</t>
  </si>
  <si>
    <t>12080</t>
  </si>
  <si>
    <t>Trần Thị Minh Phượng</t>
  </si>
  <si>
    <t>12081</t>
  </si>
  <si>
    <t>Đặng Minh Thanh</t>
  </si>
  <si>
    <t>12086</t>
  </si>
  <si>
    <t>Chu Thị Hạnh</t>
  </si>
  <si>
    <t>12095</t>
  </si>
  <si>
    <t>12111</t>
  </si>
  <si>
    <t>12121</t>
  </si>
  <si>
    <t>Trương Văn Hải</t>
  </si>
  <si>
    <t>12126</t>
  </si>
  <si>
    <t>Dương Khắc Hiệp</t>
  </si>
  <si>
    <t>12133</t>
  </si>
  <si>
    <t>12134</t>
  </si>
  <si>
    <t>Nguyễn Ngọc Sơn</t>
  </si>
  <si>
    <t>12137</t>
  </si>
  <si>
    <t>12152</t>
  </si>
  <si>
    <t>Đỗ Văn Trường</t>
  </si>
  <si>
    <t>12155</t>
  </si>
  <si>
    <t>Nguyễn Duy Long</t>
  </si>
  <si>
    <t>12163</t>
  </si>
  <si>
    <t>12164</t>
  </si>
  <si>
    <t>Bùi Văn Ngọc</t>
  </si>
  <si>
    <t>12166</t>
  </si>
  <si>
    <t>Trần Văn Tùng</t>
  </si>
  <si>
    <t>12167</t>
  </si>
  <si>
    <t>Lương Quí Đôn</t>
  </si>
  <si>
    <t>12187</t>
  </si>
  <si>
    <t>12188</t>
  </si>
  <si>
    <t>Nguyễn  Mạnh Hùng</t>
  </si>
  <si>
    <t>12189</t>
  </si>
  <si>
    <t>Nguyễn Văn Toản</t>
  </si>
  <si>
    <t>12190</t>
  </si>
  <si>
    <t>Nguyễn Văn Duy</t>
  </si>
  <si>
    <t>12191</t>
  </si>
  <si>
    <t>12200</t>
  </si>
  <si>
    <t>12202</t>
  </si>
  <si>
    <t>Trần Văn Tuân</t>
  </si>
  <si>
    <t>12211</t>
  </si>
  <si>
    <t>Hà Văn thùy</t>
  </si>
  <si>
    <t>12223</t>
  </si>
  <si>
    <t>Hoàng Minh Tiến</t>
  </si>
  <si>
    <t>12229</t>
  </si>
  <si>
    <t>12243</t>
  </si>
  <si>
    <t>Trần Bình Yên</t>
  </si>
  <si>
    <t>12247</t>
  </si>
  <si>
    <t>Triệu Văn Minh</t>
  </si>
  <si>
    <t>12250</t>
  </si>
  <si>
    <t>Đỗ Ngọc Tuân</t>
  </si>
  <si>
    <t>12251</t>
  </si>
  <si>
    <t>Nguyễn Thị Hiền Trang</t>
  </si>
  <si>
    <t>12252</t>
  </si>
  <si>
    <t>Nguyễn Thị Chi</t>
  </si>
  <si>
    <t>12253</t>
  </si>
  <si>
    <t>12273</t>
  </si>
  <si>
    <t>Nguyễn Thị Nhài</t>
  </si>
  <si>
    <t>12282</t>
  </si>
  <si>
    <t>Nguyễn Việt Cường</t>
  </si>
  <si>
    <t>12285</t>
  </si>
  <si>
    <t>Bùi Thị Vân Anh</t>
  </si>
  <si>
    <t>12286</t>
  </si>
  <si>
    <t>Vũ Xuân Điều</t>
  </si>
  <si>
    <t>12303</t>
  </si>
  <si>
    <t>12312</t>
  </si>
  <si>
    <t>Nguyễn Thị Hằng</t>
  </si>
  <si>
    <t>12315</t>
  </si>
  <si>
    <t>Trần Văn Huấn</t>
  </si>
  <si>
    <t>12338</t>
  </si>
  <si>
    <t>12341</t>
  </si>
  <si>
    <t>Ngô Thị Hường</t>
  </si>
  <si>
    <t>12355</t>
  </si>
  <si>
    <t>Nguyễn Thế Thuyết</t>
  </si>
  <si>
    <t>12387</t>
  </si>
  <si>
    <t>Ninh Thị Loan</t>
  </si>
  <si>
    <t>12390</t>
  </si>
  <si>
    <t>Nguyễn Thanh Giang</t>
  </si>
  <si>
    <t>12392</t>
  </si>
  <si>
    <t>Đỗ Việt Đức</t>
  </si>
  <si>
    <t>12403</t>
  </si>
  <si>
    <t>Trần Văn Hoàng</t>
  </si>
  <si>
    <t>12405</t>
  </si>
  <si>
    <t>Nguyễn Hoàng Hạnh</t>
  </si>
  <si>
    <t>12430</t>
  </si>
  <si>
    <t>Trần Thị Thủy</t>
  </si>
  <si>
    <t>12436</t>
  </si>
  <si>
    <t>Hoàng Thanh Bình</t>
  </si>
  <si>
    <t>12448</t>
  </si>
  <si>
    <t>Trần Văn Phúc</t>
  </si>
  <si>
    <t>12451</t>
  </si>
  <si>
    <t>Lê Văn Điền</t>
  </si>
  <si>
    <t>12457</t>
  </si>
  <si>
    <t>Lê Văn Ngọc</t>
  </si>
  <si>
    <t>12459</t>
  </si>
  <si>
    <t>Nguyễn Thúy Vân</t>
  </si>
  <si>
    <t>12479</t>
  </si>
  <si>
    <t>Chu Văn Tình</t>
  </si>
  <si>
    <t>12480</t>
  </si>
  <si>
    <t>Bùi Đức Thắng</t>
  </si>
  <si>
    <t>12482</t>
  </si>
  <si>
    <t>Nguyễn Thành Phi</t>
  </si>
  <si>
    <t>12485</t>
  </si>
  <si>
    <t>12513</t>
  </si>
  <si>
    <t>Trương Hồng Kỳ</t>
  </si>
  <si>
    <t>12526</t>
  </si>
  <si>
    <t>Nguyễn Đăng Khoa</t>
  </si>
  <si>
    <t>12532</t>
  </si>
  <si>
    <t>Phan Thị Bích Anh</t>
  </si>
  <si>
    <t>12564</t>
  </si>
  <si>
    <t>Dương Văn Hùng</t>
  </si>
  <si>
    <t>12570</t>
  </si>
  <si>
    <t>12580</t>
  </si>
  <si>
    <t>12582</t>
  </si>
  <si>
    <t>Trần Bá Cường</t>
  </si>
  <si>
    <t>12583</t>
  </si>
  <si>
    <t>Đào Văn Chiến</t>
  </si>
  <si>
    <t>12584</t>
  </si>
  <si>
    <t>12601</t>
  </si>
  <si>
    <t>12602</t>
  </si>
  <si>
    <t>Ngô Thúy Quỳ</t>
  </si>
  <si>
    <t>12627</t>
  </si>
  <si>
    <t>Khổng Văn Trường</t>
  </si>
  <si>
    <t>12628</t>
  </si>
  <si>
    <t>Đào Văn Nhu</t>
  </si>
  <si>
    <t>12633</t>
  </si>
  <si>
    <t>12644</t>
  </si>
  <si>
    <t>Phan Văn Thiện</t>
  </si>
  <si>
    <t>12692</t>
  </si>
  <si>
    <t>Phạm Quốc Doanh</t>
  </si>
  <si>
    <t>12694</t>
  </si>
  <si>
    <t>Khổng Hồng Lâm</t>
  </si>
  <si>
    <t>12704</t>
  </si>
  <si>
    <t>Cà Văn Thiệp</t>
  </si>
  <si>
    <t>12711</t>
  </si>
  <si>
    <t>Nguyễn Quang Dự</t>
  </si>
  <si>
    <t>12744</t>
  </si>
  <si>
    <t>Phan Văn Hợi</t>
  </si>
  <si>
    <t>12760</t>
  </si>
  <si>
    <t>Ngô Công Đoàn</t>
  </si>
  <si>
    <t>12761</t>
  </si>
  <si>
    <t>12766</t>
  </si>
  <si>
    <t>Nguyễn Văn Công</t>
  </si>
  <si>
    <t>12792</t>
  </si>
  <si>
    <t>12804</t>
  </si>
  <si>
    <t>Nguyễn Văn Khai</t>
  </si>
  <si>
    <t>12806</t>
  </si>
  <si>
    <t>Nguyễn Văn Dậu</t>
  </si>
  <si>
    <t>12808</t>
  </si>
  <si>
    <t>12836</t>
  </si>
  <si>
    <t>Hà Đình Ninh</t>
  </si>
  <si>
    <t>12845</t>
  </si>
  <si>
    <t>Nguyễn Khánh Vân</t>
  </si>
  <si>
    <t>12867</t>
  </si>
  <si>
    <t>Bùi Văn Tùng</t>
  </si>
  <si>
    <t>12886</t>
  </si>
  <si>
    <t>Hoàng Việt Nam</t>
  </si>
  <si>
    <t>12887</t>
  </si>
  <si>
    <t>Nguyễn Văn Giang</t>
  </si>
  <si>
    <t>12902</t>
  </si>
  <si>
    <t>12925</t>
  </si>
  <si>
    <t>Nguyễn Xuân Mạnh</t>
  </si>
  <si>
    <t>12938</t>
  </si>
  <si>
    <t>Phùng Thị Lan</t>
  </si>
  <si>
    <t>12972</t>
  </si>
  <si>
    <t>Lâm Văn Năm</t>
  </si>
  <si>
    <t>12980</t>
  </si>
  <si>
    <t>Bạch Vương Việt</t>
  </si>
  <si>
    <t>12994</t>
  </si>
  <si>
    <t>Nguyễn Ngọc Hùng</t>
  </si>
  <si>
    <t>13010</t>
  </si>
  <si>
    <t>Trần Công Hoan</t>
  </si>
  <si>
    <t>13013</t>
  </si>
  <si>
    <t>Phạm Văn Thành</t>
  </si>
  <si>
    <t>13034</t>
  </si>
  <si>
    <t>Dương Thanh Hùng</t>
  </si>
  <si>
    <t>13041</t>
  </si>
  <si>
    <t>Hoàng Trung Hậu</t>
  </si>
  <si>
    <t>13050</t>
  </si>
  <si>
    <t>13061</t>
  </si>
  <si>
    <t>13063</t>
  </si>
  <si>
    <t>Lê Ngọc Anh</t>
  </si>
  <si>
    <t>13072</t>
  </si>
  <si>
    <t>Hoàng Văn Sáng</t>
  </si>
  <si>
    <t>13073</t>
  </si>
  <si>
    <t>13077</t>
  </si>
  <si>
    <t>Ngô Văn Hiền</t>
  </si>
  <si>
    <t>13090</t>
  </si>
  <si>
    <t>Sái Ngọc Ân</t>
  </si>
  <si>
    <t>13104</t>
  </si>
  <si>
    <t>13110</t>
  </si>
  <si>
    <t>Dương Thị Phương</t>
  </si>
  <si>
    <t>13122</t>
  </si>
  <si>
    <t>13134</t>
  </si>
  <si>
    <t>Trần Việt Hùng</t>
  </si>
  <si>
    <t>13156</t>
  </si>
  <si>
    <t>13165</t>
  </si>
  <si>
    <t>13167</t>
  </si>
  <si>
    <t>Nguyễn Văn Ninh</t>
  </si>
  <si>
    <t>13168</t>
  </si>
  <si>
    <t>Nguyễn Thị Kim Thoa</t>
  </si>
  <si>
    <t>13169</t>
  </si>
  <si>
    <t>Lương Văn Quý</t>
  </si>
  <si>
    <t>13202</t>
  </si>
  <si>
    <t>13216</t>
  </si>
  <si>
    <t>Phạm Duy Hùng</t>
  </si>
  <si>
    <t>13220</t>
  </si>
  <si>
    <t>Vũ Văn Đức</t>
  </si>
  <si>
    <t>13222</t>
  </si>
  <si>
    <t>Dương Văn Sinh</t>
  </si>
  <si>
    <t>13225</t>
  </si>
  <si>
    <t>Đỗ Đình Quân</t>
  </si>
  <si>
    <t>13236</t>
  </si>
  <si>
    <t>Phạm Văn Vinh</t>
  </si>
  <si>
    <t>13239</t>
  </si>
  <si>
    <t>Phạm Xuân Huấn</t>
  </si>
  <si>
    <t>13240</t>
  </si>
  <si>
    <t>Hoàng Văn Tráng</t>
  </si>
  <si>
    <t>13241</t>
  </si>
  <si>
    <t>Đỗ Văn Ba</t>
  </si>
  <si>
    <t>13266</t>
  </si>
  <si>
    <t>Phạm Đình Danh</t>
  </si>
  <si>
    <t>13271</t>
  </si>
  <si>
    <t>Phạm Văn Chiến</t>
  </si>
  <si>
    <t>13287</t>
  </si>
  <si>
    <t>13289</t>
  </si>
  <si>
    <t>13290</t>
  </si>
  <si>
    <t>13291</t>
  </si>
  <si>
    <t>Nguyễn Nam Hà</t>
  </si>
  <si>
    <t>13299</t>
  </si>
  <si>
    <t>13302</t>
  </si>
  <si>
    <t>Nguyễn Quang Chiến</t>
  </si>
  <si>
    <t>13318</t>
  </si>
  <si>
    <t>Nguyễn Huy Hùng</t>
  </si>
  <si>
    <t>13319</t>
  </si>
  <si>
    <t>Trần Quang Hùng</t>
  </si>
  <si>
    <t>13320</t>
  </si>
  <si>
    <t>Bùi Việt Hưng</t>
  </si>
  <si>
    <t>13321</t>
  </si>
  <si>
    <t>13336</t>
  </si>
  <si>
    <t>Nguyễn Hàn Thuyên</t>
  </si>
  <si>
    <t>13361</t>
  </si>
  <si>
    <t>Hoàng Văn Tùng</t>
  </si>
  <si>
    <t>13370</t>
  </si>
  <si>
    <t>Nguyễn Văn Từ</t>
  </si>
  <si>
    <t>13413</t>
  </si>
  <si>
    <t>Nguyễn Đình An</t>
  </si>
  <si>
    <t>13422</t>
  </si>
  <si>
    <t>Phạm Văn Đà</t>
  </si>
  <si>
    <t>13435</t>
  </si>
  <si>
    <t>13437</t>
  </si>
  <si>
    <t>13440</t>
  </si>
  <si>
    <t>Bùi Duy Hùng</t>
  </si>
  <si>
    <t>13444</t>
  </si>
  <si>
    <t>Triệu Quang Hoàn</t>
  </si>
  <si>
    <t>13445</t>
  </si>
  <si>
    <t>Trần Thị Trang</t>
  </si>
  <si>
    <t>13446</t>
  </si>
  <si>
    <t>Bùi Văn Sang</t>
  </si>
  <si>
    <t>13455</t>
  </si>
  <si>
    <t>Đinh Thị Ngọc</t>
  </si>
  <si>
    <t>13456</t>
  </si>
  <si>
    <t>Phùng Gia Bình</t>
  </si>
  <si>
    <t>13463</t>
  </si>
  <si>
    <t>Đào Việt Anh</t>
  </si>
  <si>
    <t>13464</t>
  </si>
  <si>
    <t>Trịnh Quốc Tiến</t>
  </si>
  <si>
    <t>13468</t>
  </si>
  <si>
    <t>Nguyễn Bá Hiến</t>
  </si>
  <si>
    <t>13487</t>
  </si>
  <si>
    <t>13492</t>
  </si>
  <si>
    <t>Trần Kim Bằng</t>
  </si>
  <si>
    <t>13495</t>
  </si>
  <si>
    <t>Phạm Thanh Bằng</t>
  </si>
  <si>
    <t>13500</t>
  </si>
  <si>
    <t>Trương Văn Dũng</t>
  </si>
  <si>
    <t>13536</t>
  </si>
  <si>
    <t>Đào Văn Cường</t>
  </si>
  <si>
    <t>13548</t>
  </si>
  <si>
    <t>Triệu Thị Thanh</t>
  </si>
  <si>
    <t>13565</t>
  </si>
  <si>
    <t>13581</t>
  </si>
  <si>
    <t>Phan Thị Phượng</t>
  </si>
  <si>
    <t>13582</t>
  </si>
  <si>
    <t>Lê Sinh Dũng</t>
  </si>
  <si>
    <t>13586</t>
  </si>
  <si>
    <t>Hoàng Ngọc Khang</t>
  </si>
  <si>
    <t>13588</t>
  </si>
  <si>
    <t>13595</t>
  </si>
  <si>
    <t>Hà Thế Công</t>
  </si>
  <si>
    <t>13598</t>
  </si>
  <si>
    <t>13603</t>
  </si>
  <si>
    <t>Lăng Xuân Quân</t>
  </si>
  <si>
    <t>13611</t>
  </si>
  <si>
    <t>Phạm Xuân Thành</t>
  </si>
  <si>
    <t>13622</t>
  </si>
  <si>
    <t>Hoàng Văn Dũng</t>
  </si>
  <si>
    <t>13624</t>
  </si>
  <si>
    <t>Cao Đức Anh</t>
  </si>
  <si>
    <t>13628</t>
  </si>
  <si>
    <t>Trần Văn Nguyên</t>
  </si>
  <si>
    <t>13636</t>
  </si>
  <si>
    <t>Trần Đình Dũng</t>
  </si>
  <si>
    <t>13638</t>
  </si>
  <si>
    <t>Đặng Văn Công</t>
  </si>
  <si>
    <t>13646</t>
  </si>
  <si>
    <t>13647</t>
  </si>
  <si>
    <t>Lê Văn Thông</t>
  </si>
  <si>
    <t>13656</t>
  </si>
  <si>
    <t>Nguyễn Thành Hoàng</t>
  </si>
  <si>
    <t>13664</t>
  </si>
  <si>
    <t>Đỗ Đoan Trang</t>
  </si>
  <si>
    <t>13668</t>
  </si>
  <si>
    <t>Dương Văn Hòa</t>
  </si>
  <si>
    <t>13669</t>
  </si>
  <si>
    <t>Đào Duy Thanh</t>
  </si>
  <si>
    <t>13672</t>
  </si>
  <si>
    <t>Lưu Văn Minh</t>
  </si>
  <si>
    <t>13696</t>
  </si>
  <si>
    <t>Lê Văn Chương</t>
  </si>
  <si>
    <t>13699</t>
  </si>
  <si>
    <t>13700</t>
  </si>
  <si>
    <t>13704</t>
  </si>
  <si>
    <t>Bùi Thị Nụ</t>
  </si>
  <si>
    <t>13705</t>
  </si>
  <si>
    <t>Nguyễn Thị Ngọc Ánh</t>
  </si>
  <si>
    <t>Vũ Văn Hải</t>
  </si>
  <si>
    <t>13711</t>
  </si>
  <si>
    <t>Nguyễn Hữu Hưng</t>
  </si>
  <si>
    <t>13716</t>
  </si>
  <si>
    <t>Lê Công Hiệp</t>
  </si>
  <si>
    <t>13730</t>
  </si>
  <si>
    <t>Nguyễn Thị Anh</t>
  </si>
  <si>
    <t>13735</t>
  </si>
  <si>
    <t>Nguyễn Xuân Vinh</t>
  </si>
  <si>
    <t>13741</t>
  </si>
  <si>
    <t>13743</t>
  </si>
  <si>
    <t>Nguyễn Khắc Hoàn</t>
  </si>
  <si>
    <t>13745</t>
  </si>
  <si>
    <t>Vũ Thị Bích Lợi</t>
  </si>
  <si>
    <t>13750</t>
  </si>
  <si>
    <t>Lê Văn Hải</t>
  </si>
  <si>
    <t>13783</t>
  </si>
  <si>
    <t>Dương Văn Quyết</t>
  </si>
  <si>
    <t>13797</t>
  </si>
  <si>
    <t>Đỗ Thị Luân</t>
  </si>
  <si>
    <t>13804</t>
  </si>
  <si>
    <t>Hoàng Thị Trang</t>
  </si>
  <si>
    <t>13805</t>
  </si>
  <si>
    <t>Nguyễn Văn Bộ</t>
  </si>
  <si>
    <t>13807</t>
  </si>
  <si>
    <t>Nguyễn Đắc Quý</t>
  </si>
  <si>
    <t>13820</t>
  </si>
  <si>
    <t>Lưu Thị Thảo</t>
  </si>
  <si>
    <t>13834</t>
  </si>
  <si>
    <t>Đinh Thị Hoa</t>
  </si>
  <si>
    <t>13836</t>
  </si>
  <si>
    <t>Hoàng Thị Hồng</t>
  </si>
  <si>
    <t>13837</t>
  </si>
  <si>
    <t>Kiều Trung Kiên</t>
  </si>
  <si>
    <t>13838</t>
  </si>
  <si>
    <t>Đào Thị Thúy Hương</t>
  </si>
  <si>
    <t>13841</t>
  </si>
  <si>
    <t>13842</t>
  </si>
  <si>
    <t>Trần Thị Thúy</t>
  </si>
  <si>
    <t>13844</t>
  </si>
  <si>
    <t>Ngô Đức Tiến</t>
  </si>
  <si>
    <t>13846</t>
  </si>
  <si>
    <t>13847</t>
  </si>
  <si>
    <t>Trịnh Văn Nam</t>
  </si>
  <si>
    <t>13852</t>
  </si>
  <si>
    <t>Đoàn Duy Hoàng</t>
  </si>
  <si>
    <t>13855</t>
  </si>
  <si>
    <t>Trần Văn Dũng</t>
  </si>
  <si>
    <t>13858</t>
  </si>
  <si>
    <t>Nguyễn Duy Quỳnh</t>
  </si>
  <si>
    <t>13868</t>
  </si>
  <si>
    <t>Hoàng Thị Phượng</t>
  </si>
  <si>
    <t>13871</t>
  </si>
  <si>
    <t>Chu Thị Hằng</t>
  </si>
  <si>
    <t>13889</t>
  </si>
  <si>
    <t>13897</t>
  </si>
  <si>
    <t>13911</t>
  </si>
  <si>
    <t>Đinh Công Thế Anh</t>
  </si>
  <si>
    <t>13912</t>
  </si>
  <si>
    <t>13918</t>
  </si>
  <si>
    <t>Nguyễn Công Minh</t>
  </si>
  <si>
    <t>13938</t>
  </si>
  <si>
    <t>13956</t>
  </si>
  <si>
    <t>Trần Đức Thịnh</t>
  </si>
  <si>
    <t>13977</t>
  </si>
  <si>
    <t>Dương Đức Chí</t>
  </si>
  <si>
    <t>13986</t>
  </si>
  <si>
    <t>Lê Hải Lý</t>
  </si>
  <si>
    <t>13987</t>
  </si>
  <si>
    <t>Đặng Văn Trình</t>
  </si>
  <si>
    <t>13993</t>
  </si>
  <si>
    <t>Hoàng Thị Ngân</t>
  </si>
  <si>
    <t>13994</t>
  </si>
  <si>
    <t>Nguyễn Thị Phương Nam</t>
  </si>
  <si>
    <t>14000</t>
  </si>
  <si>
    <t>Lương Thị Cúc</t>
  </si>
  <si>
    <t>14001</t>
  </si>
  <si>
    <t>Nguyễn Thị Thúy</t>
  </si>
  <si>
    <t>14009</t>
  </si>
  <si>
    <t>Đặng Ngọc Vương</t>
  </si>
  <si>
    <t>14019</t>
  </si>
  <si>
    <t>14021</t>
  </si>
  <si>
    <t>14027</t>
  </si>
  <si>
    <t>Lê Công Hồng</t>
  </si>
  <si>
    <t>14050</t>
  </si>
  <si>
    <t>Phạm Quang Vũ</t>
  </si>
  <si>
    <t>14069</t>
  </si>
  <si>
    <t>Đào Chí Thức</t>
  </si>
  <si>
    <t>14074</t>
  </si>
  <si>
    <t>Lê Văn Dũng</t>
  </si>
  <si>
    <t>14079</t>
  </si>
  <si>
    <t>Nguyễn Ngọc Trung</t>
  </si>
  <si>
    <t>14082</t>
  </si>
  <si>
    <t>Nguyễn Thị Thu Huệ</t>
  </si>
  <si>
    <t>14094</t>
  </si>
  <si>
    <t>14100</t>
  </si>
  <si>
    <t>Nguyễn Thị Hiểu</t>
  </si>
  <si>
    <t>14106</t>
  </si>
  <si>
    <t>Ôn Văn Chung</t>
  </si>
  <si>
    <t>14112</t>
  </si>
  <si>
    <t>14121</t>
  </si>
  <si>
    <t>14132</t>
  </si>
  <si>
    <t>Nguyễn Thị Tư Hậu</t>
  </si>
  <si>
    <t>14142</t>
  </si>
  <si>
    <t>Trần Ngọc Duy</t>
  </si>
  <si>
    <t>14145</t>
  </si>
  <si>
    <t>Trần Thị Hậu</t>
  </si>
  <si>
    <t>14150</t>
  </si>
  <si>
    <t>Phùng Thị Yến</t>
  </si>
  <si>
    <t>14162</t>
  </si>
  <si>
    <t>Nguyễn Thị Mỹ Linh</t>
  </si>
  <si>
    <t>14167</t>
  </si>
  <si>
    <t>Lâm Văn Tích</t>
  </si>
  <si>
    <t>14171</t>
  </si>
  <si>
    <t>14181</t>
  </si>
  <si>
    <t>Sầm Kim Oanh</t>
  </si>
  <si>
    <t>14248</t>
  </si>
  <si>
    <t>Đoàn Ngọc Học</t>
  </si>
  <si>
    <t>14259</t>
  </si>
  <si>
    <t>Nguyễn Thị Minh Loan</t>
  </si>
  <si>
    <t>14297</t>
  </si>
  <si>
    <t>14308</t>
  </si>
  <si>
    <t>Dương Công Chức</t>
  </si>
  <si>
    <t>14330</t>
  </si>
  <si>
    <t>Phùng Thị Thu Huyền</t>
  </si>
  <si>
    <t>14346</t>
  </si>
  <si>
    <t>Đỗ Tiến Dần</t>
  </si>
  <si>
    <t>14355</t>
  </si>
  <si>
    <t>Phùng Thị Huyền Trang</t>
  </si>
  <si>
    <t>14356</t>
  </si>
  <si>
    <t>Nguyễn Thị Kiều</t>
  </si>
  <si>
    <t>14359</t>
  </si>
  <si>
    <t>Chu Thị Yến Ngân</t>
  </si>
  <si>
    <t>14376</t>
  </si>
  <si>
    <t>Phạm Quang Nhật</t>
  </si>
  <si>
    <t>14377</t>
  </si>
  <si>
    <t>Nguyễn Thị Khuyên</t>
  </si>
  <si>
    <t>14394</t>
  </si>
  <si>
    <t>Nguyễn Thị Đào</t>
  </si>
  <si>
    <t>14397</t>
  </si>
  <si>
    <t>Đỗ Văn Sỹ</t>
  </si>
  <si>
    <t>14411</t>
  </si>
  <si>
    <t>14413</t>
  </si>
  <si>
    <t>14417</t>
  </si>
  <si>
    <t>Miêu Xuân Tùng</t>
  </si>
  <si>
    <t>14436</t>
  </si>
  <si>
    <t>Cao Việt Phương</t>
  </si>
  <si>
    <t>14439</t>
  </si>
  <si>
    <t>14440</t>
  </si>
  <si>
    <t>Nguyễn Văn Hiệu</t>
  </si>
  <si>
    <t>14447</t>
  </si>
  <si>
    <t>Nguyễn Thị Thu Trang</t>
  </si>
  <si>
    <t>14470</t>
  </si>
  <si>
    <t>Lê Thị Thu Uyên</t>
  </si>
  <si>
    <t>14480</t>
  </si>
  <si>
    <t>14483</t>
  </si>
  <si>
    <t>Hà Văn Trường</t>
  </si>
  <si>
    <t>14497</t>
  </si>
  <si>
    <t>Đặng Thùy Trang</t>
  </si>
  <si>
    <t>14516</t>
  </si>
  <si>
    <t>Hà Thị Bích Phương</t>
  </si>
  <si>
    <t>14517</t>
  </si>
  <si>
    <t>14544</t>
  </si>
  <si>
    <t>Nguyễn Thị Diệu Linh</t>
  </si>
  <si>
    <t>14569</t>
  </si>
  <si>
    <t>Lê Thế Duy</t>
  </si>
  <si>
    <t>14581</t>
  </si>
  <si>
    <t>Nguyễn Thị Phương</t>
  </si>
  <si>
    <t>14595</t>
  </si>
  <si>
    <t>Phùng Thị Huệ</t>
  </si>
  <si>
    <t>14613</t>
  </si>
  <si>
    <t>Trần Thị Kiệm</t>
  </si>
  <si>
    <t>14614</t>
  </si>
  <si>
    <t>Cao Trí Khải</t>
  </si>
  <si>
    <t>14629</t>
  </si>
  <si>
    <t>14633</t>
  </si>
  <si>
    <t>Mã Thị Bài</t>
  </si>
  <si>
    <t>14652</t>
  </si>
  <si>
    <t>14658</t>
  </si>
  <si>
    <t>14667</t>
  </si>
  <si>
    <t>Nguyễn Khắc Việt</t>
  </si>
  <si>
    <t>14673</t>
  </si>
  <si>
    <t>14688</t>
  </si>
  <si>
    <t>14689</t>
  </si>
  <si>
    <t>Lê Thị Thùy Dương</t>
  </si>
  <si>
    <t>14694</t>
  </si>
  <si>
    <t>Phạm Thị Thu Phương</t>
  </si>
  <si>
    <t>14697</t>
  </si>
  <si>
    <t>Lê Thanh Tuấn</t>
  </si>
  <si>
    <t>14710</t>
  </si>
  <si>
    <t>Lý Thị Kim Hường</t>
  </si>
  <si>
    <t>14723</t>
  </si>
  <si>
    <t>Hoàng Xuân Chiến</t>
  </si>
  <si>
    <t>14724</t>
  </si>
  <si>
    <t>Nguyễn Tùng</t>
  </si>
  <si>
    <t>14726</t>
  </si>
  <si>
    <t>Phan Thị Thanh</t>
  </si>
  <si>
    <t>14752</t>
  </si>
  <si>
    <t>14756</t>
  </si>
  <si>
    <t>Chu Thị Tỉnh</t>
  </si>
  <si>
    <t>14772</t>
  </si>
  <si>
    <t>14778</t>
  </si>
  <si>
    <t>Phạm Thị Thu</t>
  </si>
  <si>
    <t>14796</t>
  </si>
  <si>
    <t>14797</t>
  </si>
  <si>
    <t>Dương Thị Như Quỳnh</t>
  </si>
  <si>
    <t>14798</t>
  </si>
  <si>
    <t>Đỗ Văn Tuân</t>
  </si>
  <si>
    <t>14808</t>
  </si>
  <si>
    <t>14811</t>
  </si>
  <si>
    <t>14820</t>
  </si>
  <si>
    <t>Tạ Văn Tú</t>
  </si>
  <si>
    <t>14822</t>
  </si>
  <si>
    <t>Nguyễn Thành Khánh</t>
  </si>
  <si>
    <t>14831</t>
  </si>
  <si>
    <t>Đinh Xuân Thọ</t>
  </si>
  <si>
    <t>14845</t>
  </si>
  <si>
    <t>Phạm Anh Minh</t>
  </si>
  <si>
    <t>14858</t>
  </si>
  <si>
    <t>Nguyễn Văn Đạo</t>
  </si>
  <si>
    <t>14871</t>
  </si>
  <si>
    <t>Lê Hữu Phúc</t>
  </si>
  <si>
    <t>14876</t>
  </si>
  <si>
    <t>Trần Thị Hải</t>
  </si>
  <si>
    <t>14882</t>
  </si>
  <si>
    <t>Phạm Thị Tâm</t>
  </si>
  <si>
    <t>14890</t>
  </si>
  <si>
    <t>Lưu Anh Ba</t>
  </si>
  <si>
    <t>14892</t>
  </si>
  <si>
    <t>Nguyễn Chiến Thắng</t>
  </si>
  <si>
    <t>14916</t>
  </si>
  <si>
    <t>Phạm Thị Lan Anh</t>
  </si>
  <si>
    <t>14920</t>
  </si>
  <si>
    <t>Kiều Thị Liên</t>
  </si>
  <si>
    <t>14929</t>
  </si>
  <si>
    <t>Kim Văn Cường</t>
  </si>
  <si>
    <t>14935</t>
  </si>
  <si>
    <t>Nguyễn Thị Hồng Thắm</t>
  </si>
  <si>
    <t>14940</t>
  </si>
  <si>
    <t>14948</t>
  </si>
  <si>
    <t>Nguyễn Thị Hồng Nga</t>
  </si>
  <si>
    <t>14957</t>
  </si>
  <si>
    <t>Nguyễn Văn Huyên</t>
  </si>
  <si>
    <t>14972</t>
  </si>
  <si>
    <t>Hà Thị Hằng</t>
  </si>
  <si>
    <t>14974</t>
  </si>
  <si>
    <t>Lê Trọng Đại</t>
  </si>
  <si>
    <t>14991</t>
  </si>
  <si>
    <t>Bùi Thị Tiền</t>
  </si>
  <si>
    <t>14995</t>
  </si>
  <si>
    <t>Phùng Xuân Thu</t>
  </si>
  <si>
    <t>14997</t>
  </si>
  <si>
    <t>Cán ống</t>
  </si>
  <si>
    <t>Trần Hữu Hoàn</t>
  </si>
  <si>
    <t>15013</t>
  </si>
  <si>
    <t>Nguyễn Nhật Kiểm</t>
  </si>
  <si>
    <t>15017</t>
  </si>
  <si>
    <t>15031</t>
  </si>
  <si>
    <t>15034</t>
  </si>
  <si>
    <t>Phạm Văn Long</t>
  </si>
  <si>
    <t>15046</t>
  </si>
  <si>
    <t>15058</t>
  </si>
  <si>
    <t>Sái Vĩnh Hanh</t>
  </si>
  <si>
    <t>15060</t>
  </si>
  <si>
    <t>Ngô Bá Thành</t>
  </si>
  <si>
    <t>15069</t>
  </si>
  <si>
    <t>Phạm Thị Hồng Nhân</t>
  </si>
  <si>
    <t>15074</t>
  </si>
  <si>
    <t>Phạm Xuân Chất</t>
  </si>
  <si>
    <t>15075</t>
  </si>
  <si>
    <t>Giàng Thị Lý</t>
  </si>
  <si>
    <t>15088</t>
  </si>
  <si>
    <t>Đỗ Thị Thơm</t>
  </si>
  <si>
    <t>15093</t>
  </si>
  <si>
    <t>15097</t>
  </si>
  <si>
    <t>Nguyễn Trung Kiên</t>
  </si>
  <si>
    <t>15107</t>
  </si>
  <si>
    <t>Triệu Thị Ngân</t>
  </si>
  <si>
    <t>15108</t>
  </si>
  <si>
    <t>15114</t>
  </si>
  <si>
    <t>15115</t>
  </si>
  <si>
    <t>Nguyễn Thị Hòa</t>
  </si>
  <si>
    <t>15117</t>
  </si>
  <si>
    <t>Dương Văn Minh</t>
  </si>
  <si>
    <t>15119</t>
  </si>
  <si>
    <t>Lê Thị Việt</t>
  </si>
  <si>
    <t>15123</t>
  </si>
  <si>
    <t>15126</t>
  </si>
  <si>
    <t>Nguyễn Quang Thái</t>
  </si>
  <si>
    <t>15129</t>
  </si>
  <si>
    <t>Nguyễn Kim Oanh</t>
  </si>
  <si>
    <t>15144</t>
  </si>
  <si>
    <t>Trần Thị Lành</t>
  </si>
  <si>
    <t>15147</t>
  </si>
  <si>
    <t>Nguyễn Thị Ngọc Linh</t>
  </si>
  <si>
    <t>15177</t>
  </si>
  <si>
    <t>Lê Thị Vân</t>
  </si>
  <si>
    <t>15185</t>
  </si>
  <si>
    <t>Hà Văn Thu</t>
  </si>
  <si>
    <t>15194</t>
  </si>
  <si>
    <t>Nguyễn Ngọc Châu Giang</t>
  </si>
  <si>
    <t>15195</t>
  </si>
  <si>
    <t>Vương Hồng Thái</t>
  </si>
  <si>
    <t>15208</t>
  </si>
  <si>
    <t>Hoàng Mạnh Tú</t>
  </si>
  <si>
    <t>15215</t>
  </si>
  <si>
    <t>15227</t>
  </si>
  <si>
    <t>Bùi Thị Hoa</t>
  </si>
  <si>
    <t>15228</t>
  </si>
  <si>
    <t>Trần Quốc Hiệp</t>
  </si>
  <si>
    <t>15241</t>
  </si>
  <si>
    <t>Phạm Thùy Trang</t>
  </si>
  <si>
    <t>15254</t>
  </si>
  <si>
    <t>15259</t>
  </si>
  <si>
    <t>Đỗ Thị Ngọc  ánh</t>
  </si>
  <si>
    <t>15263</t>
  </si>
  <si>
    <t>Phạm Thị Mai</t>
  </si>
  <si>
    <t>15264</t>
  </si>
  <si>
    <t>15266</t>
  </si>
  <si>
    <t>Đường Văn Đạt</t>
  </si>
  <si>
    <t>15283</t>
  </si>
  <si>
    <t>15286</t>
  </si>
  <si>
    <t>Chu Văn Lừu</t>
  </si>
  <si>
    <t>15289</t>
  </si>
  <si>
    <t>Đặng Thị Chín</t>
  </si>
  <si>
    <t>15295</t>
  </si>
  <si>
    <t>15303</t>
  </si>
  <si>
    <t>Phùng Quốc Cường</t>
  </si>
  <si>
    <t>15322</t>
  </si>
  <si>
    <t>15327</t>
  </si>
  <si>
    <t>Bùi Xuân Anh</t>
  </si>
  <si>
    <t>15329</t>
  </si>
  <si>
    <t>Phùng Văn Hiếu</t>
  </si>
  <si>
    <t>15332</t>
  </si>
  <si>
    <t>Phạm Ngọc Thành</t>
  </si>
  <si>
    <t>15334</t>
  </si>
  <si>
    <t>Trần Thị Thanh Hương</t>
  </si>
  <si>
    <t>15339</t>
  </si>
  <si>
    <t>Chu Trọng Long</t>
  </si>
  <si>
    <t>15349</t>
  </si>
  <si>
    <t>Nguyễn Quốc Hương</t>
  </si>
  <si>
    <t>15352</t>
  </si>
  <si>
    <t>15368</t>
  </si>
  <si>
    <t>Lê Thị Tình</t>
  </si>
  <si>
    <t>15369</t>
  </si>
  <si>
    <t>15370</t>
  </si>
  <si>
    <t>Bùi Mạnh Cường</t>
  </si>
  <si>
    <t>15371</t>
  </si>
  <si>
    <t>Đặng Ngọc Chương</t>
  </si>
  <si>
    <t>15372</t>
  </si>
  <si>
    <t>15374</t>
  </si>
  <si>
    <t>Nguyễn Trung Thành</t>
  </si>
  <si>
    <t>15375</t>
  </si>
  <si>
    <t>Nguyễn Thị Ninh Nhâm</t>
  </si>
  <si>
    <t>15388</t>
  </si>
  <si>
    <t>Trần Thị Chiêm</t>
  </si>
  <si>
    <t>15394</t>
  </si>
  <si>
    <t>Trần Thị Thúy Hằng</t>
  </si>
  <si>
    <t>15397</t>
  </si>
  <si>
    <t>15405</t>
  </si>
  <si>
    <t>Vũ Văn Viên</t>
  </si>
  <si>
    <t>15408</t>
  </si>
  <si>
    <t>Lại Quang Hiệp</t>
  </si>
  <si>
    <t>15427</t>
  </si>
  <si>
    <t>Sầm Văn Tiền</t>
  </si>
  <si>
    <t>15457</t>
  </si>
  <si>
    <t>Ngô Thị Tân</t>
  </si>
  <si>
    <t>15461</t>
  </si>
  <si>
    <t>Hà Khắc Tuấn</t>
  </si>
  <si>
    <t>15464</t>
  </si>
  <si>
    <t>Nguyễn Ngọc Bích</t>
  </si>
  <si>
    <t>15465</t>
  </si>
  <si>
    <t>Hà Văn Khuyến</t>
  </si>
  <si>
    <t>15469</t>
  </si>
  <si>
    <t>Hà Minh Hiếu</t>
  </si>
  <si>
    <t>15476</t>
  </si>
  <si>
    <t>Hoàng Hữu Gia</t>
  </si>
  <si>
    <t>15483</t>
  </si>
  <si>
    <t>Ngô Thị Luyến</t>
  </si>
  <si>
    <t>15499</t>
  </si>
  <si>
    <t>Nguyễn Tiến Mạnh</t>
  </si>
  <si>
    <t>15504</t>
  </si>
  <si>
    <t>15515</t>
  </si>
  <si>
    <t>Nguyễn Xuân Duy</t>
  </si>
  <si>
    <t>15521</t>
  </si>
  <si>
    <t>Kim Thị Hảo</t>
  </si>
  <si>
    <t>15536</t>
  </si>
  <si>
    <t>Trần Văn Minh</t>
  </si>
  <si>
    <t>15550</t>
  </si>
  <si>
    <t>15557</t>
  </si>
  <si>
    <t>Thiều Thị Thúy Hoàn</t>
  </si>
  <si>
    <t>15568</t>
  </si>
  <si>
    <t>Nguyễn Anh Tuân</t>
  </si>
  <si>
    <t>15570</t>
  </si>
  <si>
    <t>Bùi Quang Trung</t>
  </si>
  <si>
    <t>15573</t>
  </si>
  <si>
    <t>Nguyễn Quang Minh</t>
  </si>
  <si>
    <t>15574</t>
  </si>
  <si>
    <t>15575</t>
  </si>
  <si>
    <t>15580</t>
  </si>
  <si>
    <t>Phạm Tuấn Anh</t>
  </si>
  <si>
    <t>15582</t>
  </si>
  <si>
    <t>15593</t>
  </si>
  <si>
    <t>Lê Văn Minh</t>
  </si>
  <si>
    <t>15598</t>
  </si>
  <si>
    <t>15603</t>
  </si>
  <si>
    <t>15605</t>
  </si>
  <si>
    <t>15619</t>
  </si>
  <si>
    <t>Ngô Văn Khanh</t>
  </si>
  <si>
    <t>15623</t>
  </si>
  <si>
    <t>Lê Bá Trường</t>
  </si>
  <si>
    <t>15625</t>
  </si>
  <si>
    <t>Phạm Đức Tấn</t>
  </si>
  <si>
    <t>15626</t>
  </si>
  <si>
    <t>Khổng Văn Bằng</t>
  </si>
  <si>
    <t>15627</t>
  </si>
  <si>
    <t>15628</t>
  </si>
  <si>
    <t>15629</t>
  </si>
  <si>
    <t>15640</t>
  </si>
  <si>
    <t>15647</t>
  </si>
  <si>
    <t>Bùi Thị Mến</t>
  </si>
  <si>
    <t>15655</t>
  </si>
  <si>
    <t>Nguyễn Văn Võ</t>
  </si>
  <si>
    <t>15660</t>
  </si>
  <si>
    <t>Bùi Công Phương</t>
  </si>
  <si>
    <t>15688</t>
  </si>
  <si>
    <t>Nguyễn Thị Điệp</t>
  </si>
  <si>
    <t>15697</t>
  </si>
  <si>
    <t>Nguyễn Quốc Tuấn</t>
  </si>
  <si>
    <t>15698</t>
  </si>
  <si>
    <t>Phạm Thị Hằng</t>
  </si>
  <si>
    <t>15704</t>
  </si>
  <si>
    <t>Nguyễn Thị Soan</t>
  </si>
  <si>
    <t>Hà Lương Thuần</t>
  </si>
  <si>
    <t>15709</t>
  </si>
  <si>
    <t>Lê Đại Dương</t>
  </si>
  <si>
    <t>15721</t>
  </si>
  <si>
    <t>15725</t>
  </si>
  <si>
    <t>15726</t>
  </si>
  <si>
    <t>15736</t>
  </si>
  <si>
    <t>Đỗ Thị Lan</t>
  </si>
  <si>
    <t>15742</t>
  </si>
  <si>
    <t>Dương Quốc Tấn</t>
  </si>
  <si>
    <t>15747</t>
  </si>
  <si>
    <t>15751</t>
  </si>
  <si>
    <t>Khổng Mai Linh</t>
  </si>
  <si>
    <t>15762</t>
  </si>
  <si>
    <t>Nguyễn Ngọc ánh</t>
  </si>
  <si>
    <t>15764</t>
  </si>
  <si>
    <t>Phạm Thị Thu Hà</t>
  </si>
  <si>
    <t>15765</t>
  </si>
  <si>
    <t>Nguyễn Thị Hồng Thu</t>
  </si>
  <si>
    <t>15773</t>
  </si>
  <si>
    <t>Bùi Thị Thư</t>
  </si>
  <si>
    <t>15774</t>
  </si>
  <si>
    <t>Hà Thị Oanh</t>
  </si>
  <si>
    <t>15777</t>
  </si>
  <si>
    <t>Bùi Thị Đào</t>
  </si>
  <si>
    <t>15794</t>
  </si>
  <si>
    <t>Lương Văn Long</t>
  </si>
  <si>
    <t>15802</t>
  </si>
  <si>
    <t>Nguyễn Phú Thành</t>
  </si>
  <si>
    <t>15808</t>
  </si>
  <si>
    <t>Nguyễn Quốc Cường</t>
  </si>
  <si>
    <t>15842</t>
  </si>
  <si>
    <t>Dương Văn Lợi</t>
  </si>
  <si>
    <t>15843</t>
  </si>
  <si>
    <t>15844</t>
  </si>
  <si>
    <t>Lê Quang Hưng</t>
  </si>
  <si>
    <t>15849</t>
  </si>
  <si>
    <t>Lê Thị Hòa</t>
  </si>
  <si>
    <t>15854</t>
  </si>
  <si>
    <t>Nguyễn Tiến Hùng</t>
  </si>
  <si>
    <t>15860</t>
  </si>
  <si>
    <t>15884</t>
  </si>
  <si>
    <t>Nguyễn Thị Nhã</t>
  </si>
  <si>
    <t>15895</t>
  </si>
  <si>
    <t>Bàn Văn Thắng</t>
  </si>
  <si>
    <t>15906</t>
  </si>
  <si>
    <t>15914</t>
  </si>
  <si>
    <t>Phùng Thị Hường</t>
  </si>
  <si>
    <t>15923</t>
  </si>
  <si>
    <t>Phan Kim Thái</t>
  </si>
  <si>
    <t>15940</t>
  </si>
  <si>
    <t>Quảng Văn Thành</t>
  </si>
  <si>
    <t>15941</t>
  </si>
  <si>
    <t>Lưu Thế An</t>
  </si>
  <si>
    <t>15947</t>
  </si>
  <si>
    <t>Hà Trung Kiên</t>
  </si>
  <si>
    <t>15950</t>
  </si>
  <si>
    <t>Nguyễn Hoàng Hải</t>
  </si>
  <si>
    <t>15952</t>
  </si>
  <si>
    <t>Lưu Văn Tài</t>
  </si>
  <si>
    <t>15971</t>
  </si>
  <si>
    <t>15973</t>
  </si>
  <si>
    <t>15978</t>
  </si>
  <si>
    <t>15984</t>
  </si>
  <si>
    <t>Đường Thị Hiền</t>
  </si>
  <si>
    <t>15987</t>
  </si>
  <si>
    <t>Đỗ Quang Trung</t>
  </si>
  <si>
    <t>15988</t>
  </si>
  <si>
    <t>15996</t>
  </si>
  <si>
    <t>Trần Xuân Tiến</t>
  </si>
  <si>
    <t>16002</t>
  </si>
  <si>
    <t>Nguyễn Đắc Phương</t>
  </si>
  <si>
    <t>16021</t>
  </si>
  <si>
    <t>Hoàng Trần Trường</t>
  </si>
  <si>
    <t>16026</t>
  </si>
  <si>
    <t>Nông Anh Thế</t>
  </si>
  <si>
    <t>16027</t>
  </si>
  <si>
    <t>Nguyễn Huy Hiến</t>
  </si>
  <si>
    <t>16031</t>
  </si>
  <si>
    <t>Huyên Văn Sinh</t>
  </si>
  <si>
    <t>16055</t>
  </si>
  <si>
    <t>Trần Tùng Lâm</t>
  </si>
  <si>
    <t>16059</t>
  </si>
  <si>
    <t>16066</t>
  </si>
  <si>
    <t>Nguyễn Văn Sạ</t>
  </si>
  <si>
    <t>16069</t>
  </si>
  <si>
    <t>16077</t>
  </si>
  <si>
    <t>Nguyễn Thị Hoàn</t>
  </si>
  <si>
    <t>16116</t>
  </si>
  <si>
    <t>Đặng Thị Hoan</t>
  </si>
  <si>
    <t>16118</t>
  </si>
  <si>
    <t>Phan Minh Duy</t>
  </si>
  <si>
    <t>16126</t>
  </si>
  <si>
    <t>Nguyễn Thị Thanh Hải</t>
  </si>
  <si>
    <t>16138</t>
  </si>
  <si>
    <t>Bùi Văn Đông</t>
  </si>
  <si>
    <t>16141</t>
  </si>
  <si>
    <t>Hà Thị Chung</t>
  </si>
  <si>
    <t>16143</t>
  </si>
  <si>
    <t>Quản Thị Tư</t>
  </si>
  <si>
    <t>16150</t>
  </si>
  <si>
    <t>16162</t>
  </si>
  <si>
    <t>Chu Quang Vũ</t>
  </si>
  <si>
    <t>16172</t>
  </si>
  <si>
    <t>Lê Văn Tám</t>
  </si>
  <si>
    <t>16183</t>
  </si>
  <si>
    <t>Dương Ngọc Tú</t>
  </si>
  <si>
    <t>16187</t>
  </si>
  <si>
    <t>Triệu Đức Thông</t>
  </si>
  <si>
    <t>16189</t>
  </si>
  <si>
    <t>Phạm Văn Luân</t>
  </si>
  <si>
    <t>16190</t>
  </si>
  <si>
    <t>16191</t>
  </si>
  <si>
    <t>Bùi Tiến Thành</t>
  </si>
  <si>
    <t>16198</t>
  </si>
  <si>
    <t>16199</t>
  </si>
  <si>
    <t>Lưu Thị Hường</t>
  </si>
  <si>
    <t>16203</t>
  </si>
  <si>
    <t>Lăng Văn Mười</t>
  </si>
  <si>
    <t>16212</t>
  </si>
  <si>
    <t>Phùng Văn Tưởng</t>
  </si>
  <si>
    <t>16213</t>
  </si>
  <si>
    <t>16219</t>
  </si>
  <si>
    <t>Lục Văn Bình</t>
  </si>
  <si>
    <t>16220</t>
  </si>
  <si>
    <t>Tô Thị Trang</t>
  </si>
  <si>
    <t>16268</t>
  </si>
  <si>
    <t>Tô Xuân Đăng</t>
  </si>
  <si>
    <t>16273</t>
  </si>
  <si>
    <t>16289</t>
  </si>
  <si>
    <t>16290</t>
  </si>
  <si>
    <t>Đặng Văn Phương</t>
  </si>
  <si>
    <t>16291</t>
  </si>
  <si>
    <t>Đặng Ngọc Thắng</t>
  </si>
  <si>
    <t>16296</t>
  </si>
  <si>
    <t>16302</t>
  </si>
  <si>
    <t>Vũ Thị Tuyền</t>
  </si>
  <si>
    <t>16305</t>
  </si>
  <si>
    <t>Nguyễn Đình Bình</t>
  </si>
  <si>
    <t>16337</t>
  </si>
  <si>
    <t>Lê Thị Loan</t>
  </si>
  <si>
    <t>16353</t>
  </si>
  <si>
    <t>Đỗ Thị Quý Thơm</t>
  </si>
  <si>
    <t>16359</t>
  </si>
  <si>
    <t>16362</t>
  </si>
  <si>
    <t>Phạm Ngọc Thanh</t>
  </si>
  <si>
    <t>16363</t>
  </si>
  <si>
    <t>Phùng Văn Bằng</t>
  </si>
  <si>
    <t>16377</t>
  </si>
  <si>
    <t>16389</t>
  </si>
  <si>
    <t>Phạm Quang Thái</t>
  </si>
  <si>
    <t>16392</t>
  </si>
  <si>
    <t>Cao Thành Lũy</t>
  </si>
  <si>
    <t>16412</t>
  </si>
  <si>
    <t>Phan Thị Loan</t>
  </si>
  <si>
    <t>16434</t>
  </si>
  <si>
    <t>Kim Văn Phong</t>
  </si>
  <si>
    <t>16437</t>
  </si>
  <si>
    <t>Phạm Quốc Trượng</t>
  </si>
  <si>
    <t>16439</t>
  </si>
  <si>
    <t>Nguyễn Văn Túc</t>
  </si>
  <si>
    <t>16449</t>
  </si>
  <si>
    <t>Nguyễn Tiến Thuận</t>
  </si>
  <si>
    <t>16460</t>
  </si>
  <si>
    <t>Nguyễn Quang Ngọc</t>
  </si>
  <si>
    <t>16466</t>
  </si>
  <si>
    <t>Tạ Thị Bích Lân</t>
  </si>
  <si>
    <t>16476</t>
  </si>
  <si>
    <t>Nguyễn Xuân Trình</t>
  </si>
  <si>
    <t>16486</t>
  </si>
  <si>
    <t>Phùng Văn Tuyến</t>
  </si>
  <si>
    <t>16490</t>
  </si>
  <si>
    <t>Nguyễn Thị Nguyệt</t>
  </si>
  <si>
    <t>16506</t>
  </si>
  <si>
    <t>16508</t>
  </si>
  <si>
    <t>Mùa A Dà</t>
  </si>
  <si>
    <t>16518</t>
  </si>
  <si>
    <t>Hoàng Công Lệnh</t>
  </si>
  <si>
    <t>16547</t>
  </si>
  <si>
    <t>Trần Văn Ngọc</t>
  </si>
  <si>
    <t>16577</t>
  </si>
  <si>
    <t>Nguyễn Chí Lợi</t>
  </si>
  <si>
    <t>16579</t>
  </si>
  <si>
    <t>Phan Văn Thắng</t>
  </si>
  <si>
    <t>16612</t>
  </si>
  <si>
    <t>16624</t>
  </si>
  <si>
    <t>Lưu Thu Hương</t>
  </si>
  <si>
    <t>16629</t>
  </si>
  <si>
    <t>16642</t>
  </si>
  <si>
    <t>Nguyễn Đức Hiền</t>
  </si>
  <si>
    <t>16643</t>
  </si>
  <si>
    <t>Đinh Văn Đô</t>
  </si>
  <si>
    <t>16656</t>
  </si>
  <si>
    <t>Trần Thị Bích Phượng</t>
  </si>
  <si>
    <t>16657</t>
  </si>
  <si>
    <t>16669</t>
  </si>
  <si>
    <t>Nguyễn Văn Chiều</t>
  </si>
  <si>
    <t>16686</t>
  </si>
  <si>
    <t>Nguyễn Chí Công</t>
  </si>
  <si>
    <t>16687</t>
  </si>
  <si>
    <t>Nguyễn Văn Thường</t>
  </si>
  <si>
    <t>16690</t>
  </si>
  <si>
    <t>Trần Minh Đăng</t>
  </si>
  <si>
    <t>16730</t>
  </si>
  <si>
    <t>16731</t>
  </si>
  <si>
    <t>16734</t>
  </si>
  <si>
    <t>16741</t>
  </si>
  <si>
    <t>Đỗ Thị Sang</t>
  </si>
  <si>
    <t>16743</t>
  </si>
  <si>
    <t>16747</t>
  </si>
  <si>
    <t>Phan Văn Được</t>
  </si>
  <si>
    <t>16758</t>
  </si>
  <si>
    <t>Nguyễn Thị Tuyền</t>
  </si>
  <si>
    <t>16761</t>
  </si>
  <si>
    <t>Nguyễn Thị Trúc Ly</t>
  </si>
  <si>
    <t>16762</t>
  </si>
  <si>
    <t>Nguyễn Thị Nguyên</t>
  </si>
  <si>
    <t>16807</t>
  </si>
  <si>
    <t>Khổng Minh Vinh</t>
  </si>
  <si>
    <t>16824</t>
  </si>
  <si>
    <t>Nguyễn Phương Linh</t>
  </si>
  <si>
    <t>16826</t>
  </si>
  <si>
    <t>16831</t>
  </si>
  <si>
    <t>Kim Văn Đạt</t>
  </si>
  <si>
    <t>16851</t>
  </si>
  <si>
    <t>Nguyễn Đức Đắc</t>
  </si>
  <si>
    <t>16877</t>
  </si>
  <si>
    <t>Lê Thị Thu</t>
  </si>
  <si>
    <t>16878</t>
  </si>
  <si>
    <t>16880</t>
  </si>
  <si>
    <t>Trần Văn Vinh</t>
  </si>
  <si>
    <t>16882</t>
  </si>
  <si>
    <t>Bùi Thị Lý</t>
  </si>
  <si>
    <t>16893</t>
  </si>
  <si>
    <t>Nguyễn Văn Vương</t>
  </si>
  <si>
    <t>16897</t>
  </si>
  <si>
    <t>16908</t>
  </si>
  <si>
    <t>Thái Thị Hạnh</t>
  </si>
  <si>
    <t>16917</t>
  </si>
  <si>
    <t>Nghiêm Văn Tú</t>
  </si>
  <si>
    <t>16918</t>
  </si>
  <si>
    <t>16938</t>
  </si>
  <si>
    <t>Ngô Gia Hiệp</t>
  </si>
  <si>
    <t>16939</t>
  </si>
  <si>
    <t>Ân Ngọc Huỳnh</t>
  </si>
  <si>
    <t>16942</t>
  </si>
  <si>
    <t>16958</t>
  </si>
  <si>
    <t>Nguyễn Đức Việt</t>
  </si>
  <si>
    <t>16961</t>
  </si>
  <si>
    <t>16968</t>
  </si>
  <si>
    <t>16983</t>
  </si>
  <si>
    <t>Vừ Mí Của</t>
  </si>
  <si>
    <t>16995</t>
  </si>
  <si>
    <t>Hà Thị Thanh Thúy</t>
  </si>
  <si>
    <t>17016</t>
  </si>
  <si>
    <t>Đỗ Thị Lan Phương</t>
  </si>
  <si>
    <t>17025</t>
  </si>
  <si>
    <t>Trần Quốc Anh</t>
  </si>
  <si>
    <t>17026</t>
  </si>
  <si>
    <t>Lê Việt Dũng</t>
  </si>
  <si>
    <t>17028</t>
  </si>
  <si>
    <t>Phạm Đình Hưng</t>
  </si>
  <si>
    <t>17050</t>
  </si>
  <si>
    <t>Phan Như Quỳnh</t>
  </si>
  <si>
    <t>17064</t>
  </si>
  <si>
    <t>Nguyễn Xuân Quý</t>
  </si>
  <si>
    <t>17066</t>
  </si>
  <si>
    <t>Đào Văn Nam</t>
  </si>
  <si>
    <t>17068</t>
  </si>
  <si>
    <t>Đỗ Văn Toàn</t>
  </si>
  <si>
    <t>17069</t>
  </si>
  <si>
    <t>Triệu Thường</t>
  </si>
  <si>
    <t>17073</t>
  </si>
  <si>
    <t>Nguyễn Phú Nam</t>
  </si>
  <si>
    <t>17088</t>
  </si>
  <si>
    <t>17091</t>
  </si>
  <si>
    <t>Cao Thanh Tú</t>
  </si>
  <si>
    <t>17113</t>
  </si>
  <si>
    <t>Nguyễn Văn Đại</t>
  </si>
  <si>
    <t>17125</t>
  </si>
  <si>
    <t>Bùi Thị Hồng</t>
  </si>
  <si>
    <t>17161</t>
  </si>
  <si>
    <t>Nguyễn Ngọc Trọng</t>
  </si>
  <si>
    <t>17171</t>
  </si>
  <si>
    <t>Nguyễn Huy Kiên</t>
  </si>
  <si>
    <t>17172</t>
  </si>
  <si>
    <t>Đỗ Công Thương</t>
  </si>
  <si>
    <t>17174</t>
  </si>
  <si>
    <t>Đại Tiến Quân</t>
  </si>
  <si>
    <t>17175</t>
  </si>
  <si>
    <t>Hoàng Trung Tuyến</t>
  </si>
  <si>
    <t>17176</t>
  </si>
  <si>
    <t>Hoàng Trung Đức</t>
  </si>
  <si>
    <t>17186</t>
  </si>
  <si>
    <t>Hoàng Nguyễn Nam</t>
  </si>
  <si>
    <t>17194</t>
  </si>
  <si>
    <t>Hà Quang Huy</t>
  </si>
  <si>
    <t>17197</t>
  </si>
  <si>
    <t>Nguyễn Thị Lệ Huyền</t>
  </si>
  <si>
    <t>17198</t>
  </si>
  <si>
    <t>Nguyễn Thị Thanh Xuân</t>
  </si>
  <si>
    <t>17199</t>
  </si>
  <si>
    <t>17200</t>
  </si>
  <si>
    <t>17211</t>
  </si>
  <si>
    <t>Vũ Duy Đức</t>
  </si>
  <si>
    <t>17213</t>
  </si>
  <si>
    <t>Vũ Ngọc Khánh</t>
  </si>
  <si>
    <t>17218</t>
  </si>
  <si>
    <t>Nguyễn Mạnh Quang</t>
  </si>
  <si>
    <t>17228</t>
  </si>
  <si>
    <t>Trần Quang Huân</t>
  </si>
  <si>
    <t>17244</t>
  </si>
  <si>
    <t>17251</t>
  </si>
  <si>
    <t>Tạ Văn Mạnh</t>
  </si>
  <si>
    <t>17252</t>
  </si>
  <si>
    <t>Phùng Quang Nam</t>
  </si>
  <si>
    <t>17255</t>
  </si>
  <si>
    <t>Lưu Thị Hiền</t>
  </si>
  <si>
    <t>17263</t>
  </si>
  <si>
    <t>Nguyễn Trung Dũng</t>
  </si>
  <si>
    <t>17270</t>
  </si>
  <si>
    <t>Lăng Văn Định</t>
  </si>
  <si>
    <t>17272</t>
  </si>
  <si>
    <t>Trần Kim Cương</t>
  </si>
  <si>
    <t>17274</t>
  </si>
  <si>
    <t>17281</t>
  </si>
  <si>
    <t>17285</t>
  </si>
  <si>
    <t>17288</t>
  </si>
  <si>
    <t>Chu Văn Hùng</t>
  </si>
  <si>
    <t>17289</t>
  </si>
  <si>
    <t>Tạ Xuân Cường</t>
  </si>
  <si>
    <t>17291</t>
  </si>
  <si>
    <t>Nguyễn Công Trung</t>
  </si>
  <si>
    <t>17292</t>
  </si>
  <si>
    <t>Vũ Thị Lý</t>
  </si>
  <si>
    <t>17293</t>
  </si>
  <si>
    <t>Nguyễn Thị Chung</t>
  </si>
  <si>
    <t>17295</t>
  </si>
  <si>
    <t>Bùi Đức Thuần</t>
  </si>
  <si>
    <t>17296</t>
  </si>
  <si>
    <t>Nguyễn Thị Kim Dung</t>
  </si>
  <si>
    <t>17297</t>
  </si>
  <si>
    <t>Nguyễn Tiến Nghiệp</t>
  </si>
  <si>
    <t>17303</t>
  </si>
  <si>
    <t>Tạ Thị Hà</t>
  </si>
  <si>
    <t>17309</t>
  </si>
  <si>
    <t>17310</t>
  </si>
  <si>
    <t>Lê Văn Hậu</t>
  </si>
  <si>
    <t>17321</t>
  </si>
  <si>
    <t>Phạm Thị Trang</t>
  </si>
  <si>
    <t>17324</t>
  </si>
  <si>
    <t>Nguyễn Văn Tạo</t>
  </si>
  <si>
    <t>17329</t>
  </si>
  <si>
    <t>Lê Thu Thảo</t>
  </si>
  <si>
    <t>17330</t>
  </si>
  <si>
    <t>17332</t>
  </si>
  <si>
    <t>Tạ Văn Bảy</t>
  </si>
  <si>
    <t>17350</t>
  </si>
  <si>
    <t>Đường Văn Định</t>
  </si>
  <si>
    <t>17356</t>
  </si>
  <si>
    <t>17381</t>
  </si>
  <si>
    <t>17389</t>
  </si>
  <si>
    <t>17390</t>
  </si>
  <si>
    <t>Nguyễn Thị Kim Oanh</t>
  </si>
  <si>
    <t>17404</t>
  </si>
  <si>
    <t>17405</t>
  </si>
  <si>
    <t>Khổng Văn Lợi</t>
  </si>
  <si>
    <t>17406</t>
  </si>
  <si>
    <t>17411</t>
  </si>
  <si>
    <t xml:space="preserve"> Đào Thị Phú</t>
  </si>
  <si>
    <t>17416</t>
  </si>
  <si>
    <t>Phạm Ngọc Hoàn</t>
  </si>
  <si>
    <t>17425</t>
  </si>
  <si>
    <t>Lê Trung Quyết</t>
  </si>
  <si>
    <t>17428</t>
  </si>
  <si>
    <t>Nguyễn Thu Thủy</t>
  </si>
  <si>
    <t>17429</t>
  </si>
  <si>
    <t>Khổng Mạnh Dũng</t>
  </si>
  <si>
    <t>17471</t>
  </si>
  <si>
    <t>Trần Thị Nga</t>
  </si>
  <si>
    <t>17473</t>
  </si>
  <si>
    <t>17474</t>
  </si>
  <si>
    <t>Vũ Thị Kim Thanh</t>
  </si>
  <si>
    <t>17482</t>
  </si>
  <si>
    <t>Đồng Văn Nam</t>
  </si>
  <si>
    <t>17489</t>
  </si>
  <si>
    <t>Nguyễn Hòa Điệp</t>
  </si>
  <si>
    <t>17493</t>
  </si>
  <si>
    <t>Trần Đức Tâm</t>
  </si>
  <si>
    <t>17506</t>
  </si>
  <si>
    <t>17521</t>
  </si>
  <si>
    <t>Nguyễn Công Duy</t>
  </si>
  <si>
    <t>17541</t>
  </si>
  <si>
    <t>Nguyễn Thị Khánh Linh</t>
  </si>
  <si>
    <t>17543</t>
  </si>
  <si>
    <t>Đào Thị Hà</t>
  </si>
  <si>
    <t>17552</t>
  </si>
  <si>
    <t>17573</t>
  </si>
  <si>
    <t>Đỗ Thị Lệ Thu</t>
  </si>
  <si>
    <t>17574</t>
  </si>
  <si>
    <t>Nguyễn Việt Đức</t>
  </si>
  <si>
    <t>17577</t>
  </si>
  <si>
    <t>17578</t>
  </si>
  <si>
    <t>Đỗ Đình Nam</t>
  </si>
  <si>
    <t>17581</t>
  </si>
  <si>
    <t>Nguyễn Văn Cương</t>
  </si>
  <si>
    <t>17582</t>
  </si>
  <si>
    <t>Trần Ngọc Nghiêm</t>
  </si>
  <si>
    <t>17587</t>
  </si>
  <si>
    <t>Nguyễn Chí Dũng</t>
  </si>
  <si>
    <t>17588</t>
  </si>
  <si>
    <t>Lê Hoài Nam</t>
  </si>
  <si>
    <t>17589</t>
  </si>
  <si>
    <t>Lê Văn Luân</t>
  </si>
  <si>
    <t>17590</t>
  </si>
  <si>
    <t>Bùi Văn Hùng</t>
  </si>
  <si>
    <t>17607</t>
  </si>
  <si>
    <t>Lâm Thị Thu Hà</t>
  </si>
  <si>
    <t>17613</t>
  </si>
  <si>
    <t>Đỗ Thị Thanh</t>
  </si>
  <si>
    <t>17617</t>
  </si>
  <si>
    <t>Nguyễn Thị Huế</t>
  </si>
  <si>
    <t>17630</t>
  </si>
  <si>
    <t>17635</t>
  </si>
  <si>
    <t>Nguyễn Thị Hồng Hạnh</t>
  </si>
  <si>
    <t>17645</t>
  </si>
  <si>
    <t>Đỗ Thị Thùy</t>
  </si>
  <si>
    <t>17646</t>
  </si>
  <si>
    <t>Lê Văn Giang</t>
  </si>
  <si>
    <t>17650</t>
  </si>
  <si>
    <t>Phạm Thế Hưng</t>
  </si>
  <si>
    <t>17655</t>
  </si>
  <si>
    <t>17662</t>
  </si>
  <si>
    <t>Nông Văn Sung</t>
  </si>
  <si>
    <t>17672</t>
  </si>
  <si>
    <t>Trần Tiến Thành</t>
  </si>
  <si>
    <t>17673</t>
  </si>
  <si>
    <t xml:space="preserve">Nguyễn Đức Khoa </t>
  </si>
  <si>
    <t>17677</t>
  </si>
  <si>
    <t>17684</t>
  </si>
  <si>
    <t>17686</t>
  </si>
  <si>
    <t>17692</t>
  </si>
  <si>
    <t>Nguyễn Quốc Quân</t>
  </si>
  <si>
    <t>17693</t>
  </si>
  <si>
    <t>17695</t>
  </si>
  <si>
    <t>Trần Thị Mai Sinh</t>
  </si>
  <si>
    <t>17696</t>
  </si>
  <si>
    <t>Phạm Đức Quân</t>
  </si>
  <si>
    <t>17706</t>
  </si>
  <si>
    <t>Phạm Ngọc Chí</t>
  </si>
  <si>
    <t>17707</t>
  </si>
  <si>
    <t>Trần Thanh Bình</t>
  </si>
  <si>
    <t>17710</t>
  </si>
  <si>
    <t>17717</t>
  </si>
  <si>
    <t>17718</t>
  </si>
  <si>
    <t>Đoàn Ngọc Vinh</t>
  </si>
  <si>
    <t>17724</t>
  </si>
  <si>
    <t>Nguyễn Văn Mừng</t>
  </si>
  <si>
    <t>17726</t>
  </si>
  <si>
    <t>17729</t>
  </si>
  <si>
    <t>Nguyễn Anh Công</t>
  </si>
  <si>
    <t>17730</t>
  </si>
  <si>
    <t>Hạ Văn Duy</t>
  </si>
  <si>
    <t>17731</t>
  </si>
  <si>
    <t>Nguyễn Xuân Cảnh</t>
  </si>
  <si>
    <t>17733</t>
  </si>
  <si>
    <t>Trần Văn Ngọ</t>
  </si>
  <si>
    <t>17740</t>
  </si>
  <si>
    <t>17741</t>
  </si>
  <si>
    <t>La Thị Hưng</t>
  </si>
  <si>
    <t>17750</t>
  </si>
  <si>
    <t>17751</t>
  </si>
  <si>
    <t>Hảng A Su</t>
  </si>
  <si>
    <t>17752</t>
  </si>
  <si>
    <t>Bùi Văn Tuệ</t>
  </si>
  <si>
    <t>17754</t>
  </si>
  <si>
    <t>Nguyễn Tú Vinh</t>
  </si>
  <si>
    <t>17756</t>
  </si>
  <si>
    <t>Khương Thị Trinh</t>
  </si>
  <si>
    <t>17758</t>
  </si>
  <si>
    <t>Trần Duy Phương</t>
  </si>
  <si>
    <t>17763</t>
  </si>
  <si>
    <t>Trần Hữu Hảo</t>
  </si>
  <si>
    <t>17766</t>
  </si>
  <si>
    <t>17783</t>
  </si>
  <si>
    <t>Nguyễn Hữu Luận</t>
  </si>
  <si>
    <t>17792</t>
  </si>
  <si>
    <t>Nguyễn Nam Cao</t>
  </si>
  <si>
    <t>17794</t>
  </si>
  <si>
    <t>Phùng Đức Hậu</t>
  </si>
  <si>
    <t>17795</t>
  </si>
  <si>
    <t>17796</t>
  </si>
  <si>
    <t>Đinh Văn Hiếu</t>
  </si>
  <si>
    <t>17797</t>
  </si>
  <si>
    <t>17806</t>
  </si>
  <si>
    <t>Hoàng Văn Vượng</t>
  </si>
  <si>
    <t>17811</t>
  </si>
  <si>
    <t>Nguyễn Công Năng</t>
  </si>
  <si>
    <t>17818</t>
  </si>
  <si>
    <t>Đỗ Thị Hoan</t>
  </si>
  <si>
    <t>17821</t>
  </si>
  <si>
    <t>Phùng Quang Mạnh</t>
  </si>
  <si>
    <t>17825</t>
  </si>
  <si>
    <t>Lê Quang Việt</t>
  </si>
  <si>
    <t>17828</t>
  </si>
  <si>
    <t>Nguyễn Thiện Phú</t>
  </si>
  <si>
    <t>17830</t>
  </si>
  <si>
    <t>17854</t>
  </si>
  <si>
    <t>Bùi Văn Bằng</t>
  </si>
  <si>
    <t>17866</t>
  </si>
  <si>
    <t>Hà Đại Dương</t>
  </si>
  <si>
    <t>17868</t>
  </si>
  <si>
    <t>Lộc Thị Loan</t>
  </si>
  <si>
    <t>17869</t>
  </si>
  <si>
    <t>Trần Tuấn Vũ</t>
  </si>
  <si>
    <t>17872</t>
  </si>
  <si>
    <t>17877</t>
  </si>
  <si>
    <t>Lê Ngọc Hĩu</t>
  </si>
  <si>
    <t>17880</t>
  </si>
  <si>
    <t>Phan Trọng Văn</t>
  </si>
  <si>
    <t>17883</t>
  </si>
  <si>
    <t>Nguyễn Văn Đăng</t>
  </si>
  <si>
    <t>17884</t>
  </si>
  <si>
    <t>Đại Thị Thu Anh</t>
  </si>
  <si>
    <t>17885</t>
  </si>
  <si>
    <t xml:space="preserve">Đoàn Trọng Lực </t>
  </si>
  <si>
    <t>17886</t>
  </si>
  <si>
    <t>Khương Đình Trung</t>
  </si>
  <si>
    <t>17901</t>
  </si>
  <si>
    <t>Kim Văn Luân</t>
  </si>
  <si>
    <t>17905</t>
  </si>
  <si>
    <t>17911</t>
  </si>
  <si>
    <t>Nguyễn Ngọc Hoàng</t>
  </si>
  <si>
    <t>17912</t>
  </si>
  <si>
    <t>Thiều Đức Hiếu</t>
  </si>
  <si>
    <t>17913</t>
  </si>
  <si>
    <t>Đào Ngọc Tiến Anh</t>
  </si>
  <si>
    <t>17921</t>
  </si>
  <si>
    <t>Nguyễn Đức Hoàng</t>
  </si>
  <si>
    <t>17923</t>
  </si>
  <si>
    <t>Nguyễn Trường Sơn</t>
  </si>
  <si>
    <t>17933</t>
  </si>
  <si>
    <t>17944</t>
  </si>
  <si>
    <t>Kim Văn Được</t>
  </si>
  <si>
    <t>17945</t>
  </si>
  <si>
    <t>17950</t>
  </si>
  <si>
    <t>17952</t>
  </si>
  <si>
    <t>Trần Văn Oai</t>
  </si>
  <si>
    <t>17961</t>
  </si>
  <si>
    <t>17963</t>
  </si>
  <si>
    <t>Nguyễn Thị My</t>
  </si>
  <si>
    <t>17965</t>
  </si>
  <si>
    <t>Đỗ Tiến An</t>
  </si>
  <si>
    <t>17973</t>
  </si>
  <si>
    <t>Hoàng Xuân Đạo</t>
  </si>
  <si>
    <t>17974</t>
  </si>
  <si>
    <t>Phan Văn Thạch</t>
  </si>
  <si>
    <t>17979</t>
  </si>
  <si>
    <t>Phạm Ngọc Huỳnh</t>
  </si>
  <si>
    <t>17987</t>
  </si>
  <si>
    <t>Nguyễn Văn Nghĩa</t>
  </si>
  <si>
    <t>17989</t>
  </si>
  <si>
    <t>17990</t>
  </si>
  <si>
    <t>Nguyễn Đức Hào</t>
  </si>
  <si>
    <t>18003</t>
  </si>
  <si>
    <t>Đỗ Kiên Trung</t>
  </si>
  <si>
    <t>18018</t>
  </si>
  <si>
    <t>18023</t>
  </si>
  <si>
    <t>Sái Hồng Quân</t>
  </si>
  <si>
    <t>18062</t>
  </si>
  <si>
    <t>Dương Văn Hiếu</t>
  </si>
  <si>
    <t>18064</t>
  </si>
  <si>
    <t>Trần Thị Chung</t>
  </si>
  <si>
    <t>18067</t>
  </si>
  <si>
    <t>Nguyễn Văn Tập</t>
  </si>
  <si>
    <t>18068</t>
  </si>
  <si>
    <t>Nguyễn Minh Hiếu</t>
  </si>
  <si>
    <t>Nguyễn Thị Thủy</t>
  </si>
  <si>
    <t>18082</t>
  </si>
  <si>
    <t>Đỗ Thu Hòa</t>
  </si>
  <si>
    <t>18090</t>
  </si>
  <si>
    <t>Trần Đăng Khoa</t>
  </si>
  <si>
    <t>18091</t>
  </si>
  <si>
    <t>Nguyễn Thị Hiệp</t>
  </si>
  <si>
    <t>18092</t>
  </si>
  <si>
    <t>Phạm Thị Hương</t>
  </si>
  <si>
    <t>18094</t>
  </si>
  <si>
    <t>Lê Phương Nam</t>
  </si>
  <si>
    <t>18095</t>
  </si>
  <si>
    <t>Nguyễn Chí Kiên</t>
  </si>
  <si>
    <t>18110</t>
  </si>
  <si>
    <t>Đỗ Trọng Trân</t>
  </si>
  <si>
    <t>18119</t>
  </si>
  <si>
    <t>Nguyễn Thị Xuân Hiệp</t>
  </si>
  <si>
    <t>18124</t>
  </si>
  <si>
    <t>Phạm Văn Kiên</t>
  </si>
  <si>
    <t>18143</t>
  </si>
  <si>
    <t>Ngô Minh Tân</t>
  </si>
  <si>
    <t>18147</t>
  </si>
  <si>
    <t>Nguyễn Xuân Huy</t>
  </si>
  <si>
    <t>18149</t>
  </si>
  <si>
    <t>Phí Văn Công</t>
  </si>
  <si>
    <t>18150</t>
  </si>
  <si>
    <t>Nguyễn Đức Hưng</t>
  </si>
  <si>
    <t>18152</t>
  </si>
  <si>
    <t>Nguyễn Tuấn Cường</t>
  </si>
  <si>
    <t>18155</t>
  </si>
  <si>
    <t>Triệu Đức Lương</t>
  </si>
  <si>
    <t>18160</t>
  </si>
  <si>
    <t>18170</t>
  </si>
  <si>
    <t>Nguyễn Ngọc Luân</t>
  </si>
  <si>
    <t>18185</t>
  </si>
  <si>
    <t>Lê Văn Quỳnh</t>
  </si>
  <si>
    <t>18190</t>
  </si>
  <si>
    <t>Hoàng Mạnh Đồng</t>
  </si>
  <si>
    <t>18196</t>
  </si>
  <si>
    <t>Phùng Việt Hưng</t>
  </si>
  <si>
    <t>18205</t>
  </si>
  <si>
    <t>Phùng Tiến Hân</t>
  </si>
  <si>
    <t>18206</t>
  </si>
  <si>
    <t>18220</t>
  </si>
  <si>
    <t>Nguyễn Khắc An</t>
  </si>
  <si>
    <t>18225</t>
  </si>
  <si>
    <t>Phạm Ngọc Quang</t>
  </si>
  <si>
    <t>18255</t>
  </si>
  <si>
    <t>18258</t>
  </si>
  <si>
    <t>Đỗ Trung Hậu</t>
  </si>
  <si>
    <t>18260</t>
  </si>
  <si>
    <t>Hoàng Tiến Huy</t>
  </si>
  <si>
    <t>18262</t>
  </si>
  <si>
    <t>Lưu Văn Chiu</t>
  </si>
  <si>
    <t>18263</t>
  </si>
  <si>
    <t>Lâm Văn Tư</t>
  </si>
  <si>
    <t>18274</t>
  </si>
  <si>
    <t>18276</t>
  </si>
  <si>
    <t>18287</t>
  </si>
  <si>
    <t>18307</t>
  </si>
  <si>
    <t>18323</t>
  </si>
  <si>
    <t>Nguyễn Thị Minh Anh</t>
  </si>
  <si>
    <t>18327</t>
  </si>
  <si>
    <t>Lê Thành Long</t>
  </si>
  <si>
    <t>18328</t>
  </si>
  <si>
    <t>18332</t>
  </si>
  <si>
    <t>Nguyễn Ngọc Huy</t>
  </si>
  <si>
    <t>18344</t>
  </si>
  <si>
    <t>18387</t>
  </si>
  <si>
    <t>18392</t>
  </si>
  <si>
    <t>Nguyễn Thị Hương Giang</t>
  </si>
  <si>
    <t>18393</t>
  </si>
  <si>
    <t>18409</t>
  </si>
  <si>
    <t>Đào Văn Trúc</t>
  </si>
  <si>
    <t>18410</t>
  </si>
  <si>
    <t>18418</t>
  </si>
  <si>
    <t>Phạm Văn Nam</t>
  </si>
  <si>
    <t>18426</t>
  </si>
  <si>
    <t>18432</t>
  </si>
  <si>
    <t>Vũ Văn Long</t>
  </si>
  <si>
    <t>18436</t>
  </si>
  <si>
    <t>18439</t>
  </si>
  <si>
    <t>Lê Văn Trường</t>
  </si>
  <si>
    <t>18446</t>
  </si>
  <si>
    <t>18452</t>
  </si>
  <si>
    <t>Phạm Thị Tình</t>
  </si>
  <si>
    <t>18454</t>
  </si>
  <si>
    <t>Dương Trung Vệ</t>
  </si>
  <si>
    <t>18462</t>
  </si>
  <si>
    <t>Nguyễn Thế Việt</t>
  </si>
  <si>
    <t>18463</t>
  </si>
  <si>
    <t>Lê Kiên Trung</t>
  </si>
  <si>
    <t>18499</t>
  </si>
  <si>
    <t>Bạch Hồng Văn</t>
  </si>
  <si>
    <t>18500</t>
  </si>
  <si>
    <t>18508</t>
  </si>
  <si>
    <t>Diệp Quốc Phi Hùng</t>
  </si>
  <si>
    <t>18517</t>
  </si>
  <si>
    <t>Trương Ánh Hào</t>
  </si>
  <si>
    <t>18534</t>
  </si>
  <si>
    <t>Lê Thị Thư</t>
  </si>
  <si>
    <t>18547</t>
  </si>
  <si>
    <t>Nguyễn Phương Thúy</t>
  </si>
  <si>
    <t>18565</t>
  </si>
  <si>
    <t>18568</t>
  </si>
  <si>
    <t>18569</t>
  </si>
  <si>
    <t>Nguyễn Đình Kiên</t>
  </si>
  <si>
    <t>18571</t>
  </si>
  <si>
    <t>Đỗ Anh Tuấn</t>
  </si>
  <si>
    <t>Hà Thu Dũng</t>
  </si>
  <si>
    <t>18587</t>
  </si>
  <si>
    <t>Phạm Văn Ngọc</t>
  </si>
  <si>
    <t>18588</t>
  </si>
  <si>
    <t>Phùng Văn Tú</t>
  </si>
  <si>
    <t>18590</t>
  </si>
  <si>
    <t>18598</t>
  </si>
  <si>
    <t>Trương Thị Linh</t>
  </si>
  <si>
    <t>18610</t>
  </si>
  <si>
    <t>Lưu Văn Điệp</t>
  </si>
  <si>
    <t>18615</t>
  </si>
  <si>
    <t>Phan Thị Thúy Hằng</t>
  </si>
  <si>
    <t>18616</t>
  </si>
  <si>
    <t>Nguyễn Ngọc Hưng</t>
  </si>
  <si>
    <t>18633</t>
  </si>
  <si>
    <t>Nguyễn Xuân Thêm</t>
  </si>
  <si>
    <t>18634</t>
  </si>
  <si>
    <t>18642</t>
  </si>
  <si>
    <t>Lưu Thị Nhung</t>
  </si>
  <si>
    <t>18643</t>
  </si>
  <si>
    <t>Nguyễn Thị Cam</t>
  </si>
  <si>
    <t>18645</t>
  </si>
  <si>
    <t>18647</t>
  </si>
  <si>
    <t>Lăng Thị Kim Thoa</t>
  </si>
  <si>
    <t>18648</t>
  </si>
  <si>
    <t>Ngô Gia Lộc</t>
  </si>
  <si>
    <t>18658</t>
  </si>
  <si>
    <t>Đoàn Thị Hương</t>
  </si>
  <si>
    <t>18668</t>
  </si>
  <si>
    <t>18670</t>
  </si>
  <si>
    <t>18671</t>
  </si>
  <si>
    <t>Dương Văn Trường</t>
  </si>
  <si>
    <t>18673</t>
  </si>
  <si>
    <t>Nguyễn Văn Nhường</t>
  </si>
  <si>
    <t>18675</t>
  </si>
  <si>
    <t>18678</t>
  </si>
  <si>
    <t>Phan Thị Dung</t>
  </si>
  <si>
    <t>18679</t>
  </si>
  <si>
    <t>Nguyễn Thị Hồng Dung</t>
  </si>
  <si>
    <t>18682</t>
  </si>
  <si>
    <t>Hoàng Tùng</t>
  </si>
  <si>
    <t>18692</t>
  </si>
  <si>
    <t>18701</t>
  </si>
  <si>
    <t>18709</t>
  </si>
  <si>
    <t>Cao Duy Vui</t>
  </si>
  <si>
    <t>18720</t>
  </si>
  <si>
    <t>Trần Thị Minh Tú</t>
  </si>
  <si>
    <t>18726</t>
  </si>
  <si>
    <t>Chu Văn Lâm</t>
  </si>
  <si>
    <t>18734</t>
  </si>
  <si>
    <t>Vũ Văn Cương</t>
  </si>
  <si>
    <t>18746</t>
  </si>
  <si>
    <t>18747</t>
  </si>
  <si>
    <t>18749</t>
  </si>
  <si>
    <t>Phạm Văn Phú</t>
  </si>
  <si>
    <t>18763</t>
  </si>
  <si>
    <t>18765</t>
  </si>
  <si>
    <t>Khổng Văn Hoàn</t>
  </si>
  <si>
    <t>18772</t>
  </si>
  <si>
    <t>18780</t>
  </si>
  <si>
    <t>Nguyễn Huy Hoàng</t>
  </si>
  <si>
    <t>18795</t>
  </si>
  <si>
    <t>18796</t>
  </si>
  <si>
    <t>Trần Văn Trong</t>
  </si>
  <si>
    <t>18798</t>
  </si>
  <si>
    <t>18799</t>
  </si>
  <si>
    <t>Nguyễn Hữu Thanh</t>
  </si>
  <si>
    <t>18807</t>
  </si>
  <si>
    <t>Nguyễn Hán Sỹ</t>
  </si>
  <si>
    <t>18811</t>
  </si>
  <si>
    <t>Đặng Văn Tuyển</t>
  </si>
  <si>
    <t>18816</t>
  </si>
  <si>
    <t>18821</t>
  </si>
  <si>
    <t>18834</t>
  </si>
  <si>
    <t>Trần Thị Thu</t>
  </si>
  <si>
    <t>18846</t>
  </si>
  <si>
    <t>Ngô Thị Thắm</t>
  </si>
  <si>
    <t>18847</t>
  </si>
  <si>
    <t>Nguyễn Quyết Thắng</t>
  </si>
  <si>
    <t>18848</t>
  </si>
  <si>
    <t>Hà Thị Mai</t>
  </si>
  <si>
    <t>18850</t>
  </si>
  <si>
    <t>Đào Quang Đăng</t>
  </si>
  <si>
    <t>18851</t>
  </si>
  <si>
    <t>Lý Văn Biên</t>
  </si>
  <si>
    <t>18857</t>
  </si>
  <si>
    <t>18858</t>
  </si>
  <si>
    <t>Viên Thị Dung</t>
  </si>
  <si>
    <t>18859</t>
  </si>
  <si>
    <t>18861</t>
  </si>
  <si>
    <t>Lê Thị Thúy</t>
  </si>
  <si>
    <t>18874</t>
  </si>
  <si>
    <t>Đặng Thị Thu Hiền</t>
  </si>
  <si>
    <t>18888</t>
  </si>
  <si>
    <t>Nguyễn Bảo Khanh</t>
  </si>
  <si>
    <t>18894</t>
  </si>
  <si>
    <t>Bùi Thị Ngân</t>
  </si>
  <si>
    <t>18897</t>
  </si>
  <si>
    <t>Vương Hồng Cấp</t>
  </si>
  <si>
    <t>18901</t>
  </si>
  <si>
    <t>Vy Thị Hoài</t>
  </si>
  <si>
    <t>18914</t>
  </si>
  <si>
    <t>18918</t>
  </si>
  <si>
    <t>Phùng Tăng Chiến</t>
  </si>
  <si>
    <t>18926</t>
  </si>
  <si>
    <t>18927</t>
  </si>
  <si>
    <t>Phùng Văn Đông</t>
  </si>
  <si>
    <t>18958</t>
  </si>
  <si>
    <t>18976</t>
  </si>
  <si>
    <t>Lương Văn Thêm</t>
  </si>
  <si>
    <t>18977</t>
  </si>
  <si>
    <t>Hoàng Thị Lành</t>
  </si>
  <si>
    <t>18983</t>
  </si>
  <si>
    <t>Dương Thị Thúy Huê</t>
  </si>
  <si>
    <t>18984</t>
  </si>
  <si>
    <t>Nguyễn Thị Lệ</t>
  </si>
  <si>
    <t>18992</t>
  </si>
  <si>
    <t>Ngô Thị Yến</t>
  </si>
  <si>
    <t>18995</t>
  </si>
  <si>
    <t>Kim Thị Nguyệt</t>
  </si>
  <si>
    <t>19000</t>
  </si>
  <si>
    <t>Bùi Thị Minh</t>
  </si>
  <si>
    <t>19005</t>
  </si>
  <si>
    <t>Chu Thanh Hương</t>
  </si>
  <si>
    <t>19019</t>
  </si>
  <si>
    <t>19021</t>
  </si>
  <si>
    <t>Khổng Văn Nam</t>
  </si>
  <si>
    <t>19023</t>
  </si>
  <si>
    <t>19025</t>
  </si>
  <si>
    <t>Trương Thị Bích Ngọc</t>
  </si>
  <si>
    <t>19026</t>
  </si>
  <si>
    <t>Nguyễn Đăng Tài</t>
  </si>
  <si>
    <t>19038</t>
  </si>
  <si>
    <t>Vũ Văn Mạnh</t>
  </si>
  <si>
    <t>19041</t>
  </si>
  <si>
    <t>19051</t>
  </si>
  <si>
    <t>Lê Chí Cao</t>
  </si>
  <si>
    <t>19054</t>
  </si>
  <si>
    <t>Hà Văn Thắng</t>
  </si>
  <si>
    <t>19078</t>
  </si>
  <si>
    <t>Đào Văn Phương</t>
  </si>
  <si>
    <t>19089</t>
  </si>
  <si>
    <t>Hoàng Xuân Thủy</t>
  </si>
  <si>
    <t>19090</t>
  </si>
  <si>
    <t>19103</t>
  </si>
  <si>
    <t>19108</t>
  </si>
  <si>
    <t>Nguyễn Thị Trình</t>
  </si>
  <si>
    <t>19109</t>
  </si>
  <si>
    <t>Đào Thị Chanh</t>
  </si>
  <si>
    <t>19114</t>
  </si>
  <si>
    <t>Kim Thị Sương</t>
  </si>
  <si>
    <t>19119</t>
  </si>
  <si>
    <t>Trần Thị Thư</t>
  </si>
  <si>
    <t>19120</t>
  </si>
  <si>
    <t>Vũ Công Văn</t>
  </si>
  <si>
    <t>19123</t>
  </si>
  <si>
    <t>Lưu Tiến Tùng</t>
  </si>
  <si>
    <t>19126</t>
  </si>
  <si>
    <t>Phùng Hồng Sơn</t>
  </si>
  <si>
    <t>19129</t>
  </si>
  <si>
    <t>Phùng Văn Ngọ</t>
  </si>
  <si>
    <t>19134</t>
  </si>
  <si>
    <t>Vũ Văn Đỗ</t>
  </si>
  <si>
    <t>19140</t>
  </si>
  <si>
    <t>19144</t>
  </si>
  <si>
    <t>19151</t>
  </si>
  <si>
    <t>Hoàng Ngọc Quang</t>
  </si>
  <si>
    <t>19155</t>
  </si>
  <si>
    <t>19160</t>
  </si>
  <si>
    <t>Bùi Ngọc Anh</t>
  </si>
  <si>
    <t>19163</t>
  </si>
  <si>
    <t>19164</t>
  </si>
  <si>
    <t>Chu Thị Thảo</t>
  </si>
  <si>
    <t>19165</t>
  </si>
  <si>
    <t>19170</t>
  </si>
  <si>
    <t>19195</t>
  </si>
  <si>
    <t>19205</t>
  </si>
  <si>
    <t>Khổng Thị Lệ</t>
  </si>
  <si>
    <t>19215</t>
  </si>
  <si>
    <t>Nguyễn Năng Quyết</t>
  </si>
  <si>
    <t>19226</t>
  </si>
  <si>
    <t>Nguyễn Bình Duy</t>
  </si>
  <si>
    <t>19228</t>
  </si>
  <si>
    <t>19230</t>
  </si>
  <si>
    <t>Lưu Thị Hồng</t>
  </si>
  <si>
    <t>19232</t>
  </si>
  <si>
    <t>Vương Thị Trang Ba</t>
  </si>
  <si>
    <t>19234</t>
  </si>
  <si>
    <t>Tạ Thanh Phúc</t>
  </si>
  <si>
    <t>19235</t>
  </si>
  <si>
    <t>19238</t>
  </si>
  <si>
    <t>19249</t>
  </si>
  <si>
    <t>19252</t>
  </si>
  <si>
    <t>Lê Thị Ngọc Ánh</t>
  </si>
  <si>
    <t>19254</t>
  </si>
  <si>
    <t>19256</t>
  </si>
  <si>
    <t>Ngô Sỹ Hải</t>
  </si>
  <si>
    <t>19263</t>
  </si>
  <si>
    <t>Chu Văn Tính</t>
  </si>
  <si>
    <t>19280</t>
  </si>
  <si>
    <t>Tạ Xuân Thanh</t>
  </si>
  <si>
    <t>19289</t>
  </si>
  <si>
    <t>Đỗ Văn Nguyên</t>
  </si>
  <si>
    <t>19291</t>
  </si>
  <si>
    <t>Nguyễn Đình Nam</t>
  </si>
  <si>
    <t>19292</t>
  </si>
  <si>
    <t>Bùi Văn Ninh</t>
  </si>
  <si>
    <t>19307</t>
  </si>
  <si>
    <t>19308</t>
  </si>
  <si>
    <t>Sầm Công Khanh</t>
  </si>
  <si>
    <t>19312</t>
  </si>
  <si>
    <t>Nguyễn Duy Đông</t>
  </si>
  <si>
    <t>19313</t>
  </si>
  <si>
    <t>Ngô Văn Tự</t>
  </si>
  <si>
    <t>19316</t>
  </si>
  <si>
    <t>Bùi Đức Phúc</t>
  </si>
  <si>
    <t>19337</t>
  </si>
  <si>
    <t>Nguyễn Đức Long</t>
  </si>
  <si>
    <t>19342</t>
  </si>
  <si>
    <t>Nguyễn Thu Huyền</t>
  </si>
  <si>
    <t>19343</t>
  </si>
  <si>
    <t>Nguyễn Duy Hiếu</t>
  </si>
  <si>
    <t>19344</t>
  </si>
  <si>
    <t>Nguyễn Thanh Sơn</t>
  </si>
  <si>
    <t>19348</t>
  </si>
  <si>
    <t>19367</t>
  </si>
  <si>
    <t>Nguyễn Danh Thưởng</t>
  </si>
  <si>
    <t>19370</t>
  </si>
  <si>
    <t>19406</t>
  </si>
  <si>
    <t>Lê Tuấn Anh</t>
  </si>
  <si>
    <t>19416</t>
  </si>
  <si>
    <t>Trần Duy Hậu</t>
  </si>
  <si>
    <t>19418</t>
  </si>
  <si>
    <t>19423</t>
  </si>
  <si>
    <t>Nguyễn Văn Tho</t>
  </si>
  <si>
    <t>19424</t>
  </si>
  <si>
    <t>Nguyễn Ngọc Hoàn</t>
  </si>
  <si>
    <t>19425</t>
  </si>
  <si>
    <t>Nguyễn Minh Đức</t>
  </si>
  <si>
    <t>19426</t>
  </si>
  <si>
    <t>Phạm Văn Hiếu</t>
  </si>
  <si>
    <t>19427</t>
  </si>
  <si>
    <t>Lê Mạnh Cường</t>
  </si>
  <si>
    <t>19428</t>
  </si>
  <si>
    <t>19443</t>
  </si>
  <si>
    <t>Kim Văn Hải</t>
  </si>
  <si>
    <t>19444</t>
  </si>
  <si>
    <t>Trần Xuân Tuyên</t>
  </si>
  <si>
    <t>19457</t>
  </si>
  <si>
    <t>Nguyễn Huỳnh Đức</t>
  </si>
  <si>
    <t>19466</t>
  </si>
  <si>
    <t>Phùng Đình Dương</t>
  </si>
  <si>
    <t>19468</t>
  </si>
  <si>
    <t>Phan Công Cường</t>
  </si>
  <si>
    <t>19470</t>
  </si>
  <si>
    <t>Đặng Phi Long</t>
  </si>
  <si>
    <t>19478</t>
  </si>
  <si>
    <t>Trần Như Quỳnh</t>
  </si>
  <si>
    <t>19483</t>
  </si>
  <si>
    <t>Phan Văn Trường</t>
  </si>
  <si>
    <t>19486</t>
  </si>
  <si>
    <t>Trịnh Văn Hoản</t>
  </si>
  <si>
    <t>19490</t>
  </si>
  <si>
    <t>19496</t>
  </si>
  <si>
    <t>Dương Quang Hiếu</t>
  </si>
  <si>
    <t>19544</t>
  </si>
  <si>
    <t>19545</t>
  </si>
  <si>
    <t>Đào Duy Đức</t>
  </si>
  <si>
    <t>19546</t>
  </si>
  <si>
    <t>Hoàng A Quỳnh</t>
  </si>
  <si>
    <t>19547</t>
  </si>
  <si>
    <t>Trần Thị Bích</t>
  </si>
  <si>
    <t>19554</t>
  </si>
  <si>
    <t>Trần Thị Thanh Hằng</t>
  </si>
  <si>
    <t>19556</t>
  </si>
  <si>
    <t>19566</t>
  </si>
  <si>
    <t>19572</t>
  </si>
  <si>
    <t>Vi Trung Thụy</t>
  </si>
  <si>
    <t>19583</t>
  </si>
  <si>
    <t>Tô Thị Lan</t>
  </si>
  <si>
    <t>19591</t>
  </si>
  <si>
    <t>19610</t>
  </si>
  <si>
    <t>19617</t>
  </si>
  <si>
    <t>Trần Thị Nam</t>
  </si>
  <si>
    <t>19627</t>
  </si>
  <si>
    <t>Trần Xuân Đạt</t>
  </si>
  <si>
    <t>19650</t>
  </si>
  <si>
    <t>19659</t>
  </si>
  <si>
    <t>Trần Thị Phượng</t>
  </si>
  <si>
    <t>19662</t>
  </si>
  <si>
    <t>Phạm Thị Hồng Linh</t>
  </si>
  <si>
    <t>19663</t>
  </si>
  <si>
    <t>Đỗ Thị Hà</t>
  </si>
  <si>
    <t>19665</t>
  </si>
  <si>
    <t>Hà Văn Tuân</t>
  </si>
  <si>
    <t>19667</t>
  </si>
  <si>
    <t>19669</t>
  </si>
  <si>
    <t>Nông Văn Anh</t>
  </si>
  <si>
    <t>19672</t>
  </si>
  <si>
    <t>Đào Thị Hương</t>
  </si>
  <si>
    <t>19677</t>
  </si>
  <si>
    <t>Cao Minh Cảnh</t>
  </si>
  <si>
    <t>19679</t>
  </si>
  <si>
    <t>Trương Xuân Thanh</t>
  </si>
  <si>
    <t>19681</t>
  </si>
  <si>
    <t>Hạ Văn Mạnh</t>
  </si>
  <si>
    <t>19695</t>
  </si>
  <si>
    <t>19724</t>
  </si>
  <si>
    <t>Nguyễn Tiến Nam</t>
  </si>
  <si>
    <t>19728</t>
  </si>
  <si>
    <t>19738</t>
  </si>
  <si>
    <t>19758</t>
  </si>
  <si>
    <t>Nguyễn Thị Thùy Linh</t>
  </si>
  <si>
    <t>19766</t>
  </si>
  <si>
    <t>Ma Thế Hiệp</t>
  </si>
  <si>
    <t>19776</t>
  </si>
  <si>
    <t>Phạm Văn Hưng</t>
  </si>
  <si>
    <t>19777</t>
  </si>
  <si>
    <t>Nguyễn Tuấn Hoàng</t>
  </si>
  <si>
    <t>19778</t>
  </si>
  <si>
    <t>19779</t>
  </si>
  <si>
    <t>Đỗ Thị Hà Trang</t>
  </si>
  <si>
    <t>19782</t>
  </si>
  <si>
    <t>Tạ Việt Hưng</t>
  </si>
  <si>
    <t>19784</t>
  </si>
  <si>
    <t>Nguyễn Văn Viết</t>
  </si>
  <si>
    <t>19785</t>
  </si>
  <si>
    <t>Bùi Minh Thành</t>
  </si>
  <si>
    <t>19786</t>
  </si>
  <si>
    <t>Trương Thị Ánh Tuyết</t>
  </si>
  <si>
    <t>19787</t>
  </si>
  <si>
    <t>Nghiêm Thị Hồng</t>
  </si>
  <si>
    <t>19788</t>
  </si>
  <si>
    <t>Hà Thị Lan</t>
  </si>
  <si>
    <t>19789</t>
  </si>
  <si>
    <t>Phan Văn Hùng</t>
  </si>
  <si>
    <t>19799</t>
  </si>
  <si>
    <t>Nguyễn Thị Được</t>
  </si>
  <si>
    <t>19809</t>
  </si>
  <si>
    <t>19818</t>
  </si>
  <si>
    <t>Bùi Văn Tỉnh</t>
  </si>
  <si>
    <t>19820</t>
  </si>
  <si>
    <t>19839</t>
  </si>
  <si>
    <t>Vũ Duy Tuyên</t>
  </si>
  <si>
    <t>19844</t>
  </si>
  <si>
    <t>19851</t>
  </si>
  <si>
    <t>Nguyễn Xuân Quảng</t>
  </si>
  <si>
    <t>19856</t>
  </si>
  <si>
    <t>19857</t>
  </si>
  <si>
    <t>19859</t>
  </si>
  <si>
    <t>Trần Lưu Quang</t>
  </si>
  <si>
    <t>19860</t>
  </si>
  <si>
    <t>19875</t>
  </si>
  <si>
    <t>Lê Đức Tài</t>
  </si>
  <si>
    <t>19876</t>
  </si>
  <si>
    <t>Đường Thị Thanh</t>
  </si>
  <si>
    <t>19877</t>
  </si>
  <si>
    <t>Nguyễn Thị Ánh</t>
  </si>
  <si>
    <t>19880</t>
  </si>
  <si>
    <t>19890</t>
  </si>
  <si>
    <t>Nguyễn Quang Duy</t>
  </si>
  <si>
    <t>19895</t>
  </si>
  <si>
    <t>Dương Tiến Nam</t>
  </si>
  <si>
    <t>19896</t>
  </si>
  <si>
    <t>Nguyễn Thị Lan Anh</t>
  </si>
  <si>
    <t>19898</t>
  </si>
  <si>
    <t>Hà Thị Chương</t>
  </si>
  <si>
    <t>19900</t>
  </si>
  <si>
    <t>19905</t>
  </si>
  <si>
    <t>Phạm Thùy Linh</t>
  </si>
  <si>
    <t>19908</t>
  </si>
  <si>
    <t>Nguyễn Duy Hiển</t>
  </si>
  <si>
    <t>19909</t>
  </si>
  <si>
    <t>Phạm Thị Hồng</t>
  </si>
  <si>
    <t>19915</t>
  </si>
  <si>
    <t>Đào Thị Thơm</t>
  </si>
  <si>
    <t>19918</t>
  </si>
  <si>
    <t>19942</t>
  </si>
  <si>
    <t>19951</t>
  </si>
  <si>
    <t>19952</t>
  </si>
  <si>
    <t>Dương Thị Hiệp</t>
  </si>
  <si>
    <t>19953</t>
  </si>
  <si>
    <t>19957</t>
  </si>
  <si>
    <t>Dương Thị Tuyên</t>
  </si>
  <si>
    <t>19960</t>
  </si>
  <si>
    <t>19963</t>
  </si>
  <si>
    <t>Nguyễn Thị Hưng</t>
  </si>
  <si>
    <t>19964</t>
  </si>
  <si>
    <t>Bùi Thị Loan</t>
  </si>
  <si>
    <t>19965</t>
  </si>
  <si>
    <t>19967</t>
  </si>
  <si>
    <t xml:space="preserve">Phạm Ngọc Hữu </t>
  </si>
  <si>
    <t>19968</t>
  </si>
  <si>
    <t xml:space="preserve">Sái Thị Thảo </t>
  </si>
  <si>
    <t>19970</t>
  </si>
  <si>
    <t>Nguyễn Thị Y</t>
  </si>
  <si>
    <t>19972</t>
  </si>
  <si>
    <t>Khuất Trung Thịnh</t>
  </si>
  <si>
    <t>19975</t>
  </si>
  <si>
    <t xml:space="preserve">Phạm Thị Hiền </t>
  </si>
  <si>
    <t>19982</t>
  </si>
  <si>
    <t>19983</t>
  </si>
  <si>
    <t>19986</t>
  </si>
  <si>
    <t>Phạm Thị Mơ</t>
  </si>
  <si>
    <t>19988</t>
  </si>
  <si>
    <t>19989</t>
  </si>
  <si>
    <t>19990</t>
  </si>
  <si>
    <t>Kim Văn Đảo</t>
  </si>
  <si>
    <t>19998</t>
  </si>
  <si>
    <t>Nguyễn Mạnh Dũng</t>
  </si>
  <si>
    <t>20012</t>
  </si>
  <si>
    <t>20014</t>
  </si>
  <si>
    <t>20019</t>
  </si>
  <si>
    <t>Nguyễn Mạnh Hoàn</t>
  </si>
  <si>
    <t>20021</t>
  </si>
  <si>
    <t xml:space="preserve">Bùi Thị Thành </t>
  </si>
  <si>
    <t>20022</t>
  </si>
  <si>
    <t>Nguyễn Xuân Hảo</t>
  </si>
  <si>
    <t>20023</t>
  </si>
  <si>
    <t>Nguyễn Thị Hồng Phương</t>
  </si>
  <si>
    <t>20024</t>
  </si>
  <si>
    <t>Vũ Thành Đạt</t>
  </si>
  <si>
    <t>20027</t>
  </si>
  <si>
    <t>20029</t>
  </si>
  <si>
    <t>Trần Tiến Dũng</t>
  </si>
  <si>
    <t>20039</t>
  </si>
  <si>
    <t>20040</t>
  </si>
  <si>
    <t>20041</t>
  </si>
  <si>
    <t>Mạc Văn Hải</t>
  </si>
  <si>
    <t>20043</t>
  </si>
  <si>
    <t>Bùi Minh Chiến</t>
  </si>
  <si>
    <t>20050</t>
  </si>
  <si>
    <t>20059</t>
  </si>
  <si>
    <t>Hoàng Thị  Huế</t>
  </si>
  <si>
    <t>20060</t>
  </si>
  <si>
    <t>20066</t>
  </si>
  <si>
    <t>Phan Xuân Trường</t>
  </si>
  <si>
    <t>20069</t>
  </si>
  <si>
    <t>Hoàng Thị Cát</t>
  </si>
  <si>
    <t>20072</t>
  </si>
  <si>
    <t>Lương Hoàng Tùng</t>
  </si>
  <si>
    <t>20073</t>
  </si>
  <si>
    <t>Nguyễn Thị Hải Yến</t>
  </si>
  <si>
    <t>20076</t>
  </si>
  <si>
    <t>Trần Ngọc Khanh</t>
  </si>
  <si>
    <t>20096</t>
  </si>
  <si>
    <t>20097</t>
  </si>
  <si>
    <t xml:space="preserve">Nguyễn Thị Hằng </t>
  </si>
  <si>
    <t>20110</t>
  </si>
  <si>
    <t xml:space="preserve">Vũ Văn Hà </t>
  </si>
  <si>
    <t>20116</t>
  </si>
  <si>
    <t>Trần Bá Trường</t>
  </si>
  <si>
    <t>20122</t>
  </si>
  <si>
    <t>Nguyễn Tiến Thơ</t>
  </si>
  <si>
    <t>20127</t>
  </si>
  <si>
    <t xml:space="preserve">Nguyễn Thị Thu Hằng </t>
  </si>
  <si>
    <t>20128</t>
  </si>
  <si>
    <t>20133</t>
  </si>
  <si>
    <t>20143</t>
  </si>
  <si>
    <t>Đặng Tiến Lực</t>
  </si>
  <si>
    <t>20149</t>
  </si>
  <si>
    <t>Dương Thị Thảo</t>
  </si>
  <si>
    <t>20152</t>
  </si>
  <si>
    <t>Đào Thị Hường</t>
  </si>
  <si>
    <t>20153</t>
  </si>
  <si>
    <t>20154</t>
  </si>
  <si>
    <t>20155</t>
  </si>
  <si>
    <t>Trần Văn Đức</t>
  </si>
  <si>
    <t>20157</t>
  </si>
  <si>
    <t>Phạm Tuấn Vũ</t>
  </si>
  <si>
    <t>20162</t>
  </si>
  <si>
    <t>Dương Ngọc Phương</t>
  </si>
  <si>
    <t>20194</t>
  </si>
  <si>
    <t>Nguyễn Thị Bích Hường</t>
  </si>
  <si>
    <t>20201</t>
  </si>
  <si>
    <t>Ngô Thị Thủy</t>
  </si>
  <si>
    <t>20211</t>
  </si>
  <si>
    <t>20234</t>
  </si>
  <si>
    <t>Đào Thành Long</t>
  </si>
  <si>
    <t>20242</t>
  </si>
  <si>
    <t>Phùng Thị Huê</t>
  </si>
  <si>
    <t>20263</t>
  </si>
  <si>
    <t>Nguyễn Văn Hinh</t>
  </si>
  <si>
    <t>20272</t>
  </si>
  <si>
    <t xml:space="preserve">Nguyễn Văn Hưng </t>
  </si>
  <si>
    <t>20279</t>
  </si>
  <si>
    <t>Nguyễn Trung Hậu</t>
  </si>
  <si>
    <t>20297</t>
  </si>
  <si>
    <t>20298</t>
  </si>
  <si>
    <t>Đỗ Văn Tuyên</t>
  </si>
  <si>
    <t>20299</t>
  </si>
  <si>
    <t>Nguyễn Ngọc Linh</t>
  </si>
  <si>
    <t xml:space="preserve">Phạm   Thị  Ngân </t>
  </si>
  <si>
    <t>20309</t>
  </si>
  <si>
    <t>Đỗ Văn Đạt</t>
  </si>
  <si>
    <t>20321</t>
  </si>
  <si>
    <t>Bùi Thị Xuyến</t>
  </si>
  <si>
    <t>20328</t>
  </si>
  <si>
    <t>Nguyễn Việt Hùng</t>
  </si>
  <si>
    <t>20329</t>
  </si>
  <si>
    <t>Đào Thị Dung</t>
  </si>
  <si>
    <t>20339</t>
  </si>
  <si>
    <t>Nguyễn Thị Thuyết</t>
  </si>
  <si>
    <t>20350</t>
  </si>
  <si>
    <t>20351</t>
  </si>
  <si>
    <t>Lê Thị Bảy</t>
  </si>
  <si>
    <t>20359</t>
  </si>
  <si>
    <t>Trần Minh Tiến</t>
  </si>
  <si>
    <t>20360</t>
  </si>
  <si>
    <t xml:space="preserve">Thái Thị Thảo </t>
  </si>
  <si>
    <t>20362</t>
  </si>
  <si>
    <t>Đinh Công Việt</t>
  </si>
  <si>
    <t>20363</t>
  </si>
  <si>
    <t>Lưu Thị Vượng</t>
  </si>
  <si>
    <t>20364</t>
  </si>
  <si>
    <t>Nguyễn Quang Phi</t>
  </si>
  <si>
    <t>20365</t>
  </si>
  <si>
    <t>Khổng Duy Toàn</t>
  </si>
  <si>
    <t>20366</t>
  </si>
  <si>
    <t>20368</t>
  </si>
  <si>
    <t>Nguyễn Duy Hùng</t>
  </si>
  <si>
    <t>20369</t>
  </si>
  <si>
    <t>20370</t>
  </si>
  <si>
    <t>Lê Quang Đạo</t>
  </si>
  <si>
    <t>20378</t>
  </si>
  <si>
    <t>Nguyễn Hoàng Thái</t>
  </si>
  <si>
    <t>20382</t>
  </si>
  <si>
    <t>Hoàng Văn Tuấn</t>
  </si>
  <si>
    <t>20387</t>
  </si>
  <si>
    <t>20390</t>
  </si>
  <si>
    <t xml:space="preserve">Trần Đức Luận </t>
  </si>
  <si>
    <t>20407</t>
  </si>
  <si>
    <t>Hà Xuân Nghĩa</t>
  </si>
  <si>
    <t>20412</t>
  </si>
  <si>
    <t>Lê Văn Hùng</t>
  </si>
  <si>
    <t>20442</t>
  </si>
  <si>
    <t>Đào Văn Thắng</t>
  </si>
  <si>
    <t>20446</t>
  </si>
  <si>
    <t>Dương Thị Dung</t>
  </si>
  <si>
    <t>20493</t>
  </si>
  <si>
    <t>Dương Văn Biên</t>
  </si>
  <si>
    <t>20503</t>
  </si>
  <si>
    <t>Đỗ Mạnh Hà</t>
  </si>
  <si>
    <t>20505</t>
  </si>
  <si>
    <t xml:space="preserve">Bùi Văn Đông </t>
  </si>
  <si>
    <t>20546</t>
  </si>
  <si>
    <t>Khổng Tiến Mạnh</t>
  </si>
  <si>
    <t>Lưu Văn Hai</t>
  </si>
  <si>
    <t>20564</t>
  </si>
  <si>
    <t>Dương Văn Oanh</t>
  </si>
  <si>
    <t>20565</t>
  </si>
  <si>
    <t>Dương Cao Hùng</t>
  </si>
  <si>
    <t>20569</t>
  </si>
  <si>
    <t>Nguyễn Đức Bình</t>
  </si>
  <si>
    <t>20577</t>
  </si>
  <si>
    <t>Hoàng Thị Mơ</t>
  </si>
  <si>
    <t>20599</t>
  </si>
  <si>
    <t>Phan Văn Hải</t>
  </si>
  <si>
    <t>20611</t>
  </si>
  <si>
    <t>20612</t>
  </si>
  <si>
    <t>Ngô Đức Mạnh</t>
  </si>
  <si>
    <t>20615</t>
  </si>
  <si>
    <t>Nguyễn Mạnh Tiến</t>
  </si>
  <si>
    <t>20638</t>
  </si>
  <si>
    <t>Lê Trường An</t>
  </si>
  <si>
    <t>20659</t>
  </si>
  <si>
    <t>Nguyễn Thị Tiến</t>
  </si>
  <si>
    <t>20662</t>
  </si>
  <si>
    <t>Lê Mạnh Trường</t>
  </si>
  <si>
    <t>20670</t>
  </si>
  <si>
    <t>Phùng Đắc Dũng</t>
  </si>
  <si>
    <t>20672</t>
  </si>
  <si>
    <t>20674</t>
  </si>
  <si>
    <t>Lê Thị Thu Hà</t>
  </si>
  <si>
    <t>20676</t>
  </si>
  <si>
    <t>Phùng Thị Y</t>
  </si>
  <si>
    <t>20696</t>
  </si>
  <si>
    <t>20697</t>
  </si>
  <si>
    <t>Tạ Thị Hồng Diễm</t>
  </si>
  <si>
    <t>20717</t>
  </si>
  <si>
    <t>Hoàng Thị Diệu Hương</t>
  </si>
  <si>
    <t>20718</t>
  </si>
  <si>
    <t>20722</t>
  </si>
  <si>
    <t>Nguyễn Công Nhất</t>
  </si>
  <si>
    <t>20727</t>
  </si>
  <si>
    <t>Đường Thị Trang</t>
  </si>
  <si>
    <t>20736</t>
  </si>
  <si>
    <t>Vũ Văn Yên</t>
  </si>
  <si>
    <t>20739</t>
  </si>
  <si>
    <t>Dương Thị Ngọc Ánh</t>
  </si>
  <si>
    <t>20741</t>
  </si>
  <si>
    <t>20745</t>
  </si>
  <si>
    <t xml:space="preserve">Dương Thị Hải Tiến </t>
  </si>
  <si>
    <t>20746</t>
  </si>
  <si>
    <t>20749</t>
  </si>
  <si>
    <t>Hà Minh Phương</t>
  </si>
  <si>
    <t>20750</t>
  </si>
  <si>
    <t>Trần Đức Hùng</t>
  </si>
  <si>
    <t>20754</t>
  </si>
  <si>
    <t xml:space="preserve">Đỗ Mạnh Cường </t>
  </si>
  <si>
    <t>20757</t>
  </si>
  <si>
    <t>Phạm Tuân</t>
  </si>
  <si>
    <t>20765</t>
  </si>
  <si>
    <t xml:space="preserve">Lưu Văn Tâm </t>
  </si>
  <si>
    <t>20770</t>
  </si>
  <si>
    <t xml:space="preserve">Nguyễn Viết Tú </t>
  </si>
  <si>
    <t>20793</t>
  </si>
  <si>
    <t>Nguyễn Văn Điệp</t>
  </si>
  <si>
    <t>20804</t>
  </si>
  <si>
    <t>Hoàng Đức Thọ</t>
  </si>
  <si>
    <t>20816</t>
  </si>
  <si>
    <t>Lý Thị Nuôi</t>
  </si>
  <si>
    <t>20845</t>
  </si>
  <si>
    <t>Nguyễn Tiến Đức</t>
  </si>
  <si>
    <t>20847</t>
  </si>
  <si>
    <t>20858</t>
  </si>
  <si>
    <t>20862</t>
  </si>
  <si>
    <t xml:space="preserve">Nguyễn Kim Trung </t>
  </si>
  <si>
    <t>20865</t>
  </si>
  <si>
    <t>Nguyễn Bá Tân</t>
  </si>
  <si>
    <t>20872</t>
  </si>
  <si>
    <t>Nguyễn Xuân Quỳnh</t>
  </si>
  <si>
    <t>20874</t>
  </si>
  <si>
    <t>20876</t>
  </si>
  <si>
    <t>Trần Văn Thế</t>
  </si>
  <si>
    <t>20888</t>
  </si>
  <si>
    <t>Trần Văn Hạnh</t>
  </si>
  <si>
    <t>20894</t>
  </si>
  <si>
    <t>Trần Văn Thành</t>
  </si>
  <si>
    <t>20901</t>
  </si>
  <si>
    <t>Đỗ Thị Kim Thu</t>
  </si>
  <si>
    <t>20906</t>
  </si>
  <si>
    <t>Bùi Thị Hương Giang</t>
  </si>
  <si>
    <t>20907</t>
  </si>
  <si>
    <t>Trần Xuân Thủy</t>
  </si>
  <si>
    <t>20909</t>
  </si>
  <si>
    <t>Sình Văn Lực</t>
  </si>
  <si>
    <t>20929</t>
  </si>
  <si>
    <t>Lưu Văn Lục</t>
  </si>
  <si>
    <t>20943</t>
  </si>
  <si>
    <t>Vũ Xuân Trường</t>
  </si>
  <si>
    <t>20964</t>
  </si>
  <si>
    <t>Hoàng Văn Duy</t>
  </si>
  <si>
    <t>20967</t>
  </si>
  <si>
    <t>20975</t>
  </si>
  <si>
    <t>Phan Duy Khánh</t>
  </si>
  <si>
    <t>20976</t>
  </si>
  <si>
    <t>Đại Thị Hạnh</t>
  </si>
  <si>
    <t>20977</t>
  </si>
  <si>
    <t>Phan Mạnh Thường</t>
  </si>
  <si>
    <t>20979</t>
  </si>
  <si>
    <t>Dương Trung Ngân</t>
  </si>
  <si>
    <t>20982</t>
  </si>
  <si>
    <t xml:space="preserve">Ma Thanh Đình </t>
  </si>
  <si>
    <t>20989</t>
  </si>
  <si>
    <t>20991</t>
  </si>
  <si>
    <t>Nguyễn Bá Thái</t>
  </si>
  <si>
    <t>20993</t>
  </si>
  <si>
    <t>Đỗ Hồng Quyết</t>
  </si>
  <si>
    <t>21004</t>
  </si>
  <si>
    <t>Tô Văn Hải</t>
  </si>
  <si>
    <t>21010</t>
  </si>
  <si>
    <t>Trần Xuân Hải</t>
  </si>
  <si>
    <t>21013</t>
  </si>
  <si>
    <t>Phan Huy Thích</t>
  </si>
  <si>
    <t>21021</t>
  </si>
  <si>
    <t>Tạ Duy Quý</t>
  </si>
  <si>
    <t>21023</t>
  </si>
  <si>
    <t xml:space="preserve">Trần Mạnh Hùng </t>
  </si>
  <si>
    <t>21030</t>
  </si>
  <si>
    <t>21031</t>
  </si>
  <si>
    <t>Nguyễn Thị Minh Hường</t>
  </si>
  <si>
    <t>21032</t>
  </si>
  <si>
    <t>Đào Chiến Công</t>
  </si>
  <si>
    <t>21036</t>
  </si>
  <si>
    <t>21041</t>
  </si>
  <si>
    <t>21048</t>
  </si>
  <si>
    <t>Dương Văn Cường</t>
  </si>
  <si>
    <t>21065</t>
  </si>
  <si>
    <t>Bằng Văn Ngọc</t>
  </si>
  <si>
    <t>21081</t>
  </si>
  <si>
    <t>21088</t>
  </si>
  <si>
    <t>Kiều Trọng Minh Hiếu</t>
  </si>
  <si>
    <t>21090</t>
  </si>
  <si>
    <t>Nguyễn Văn Thích</t>
  </si>
  <si>
    <t>21096</t>
  </si>
  <si>
    <t>Phan Văn Tân</t>
  </si>
  <si>
    <t>21097</t>
  </si>
  <si>
    <t>Đỗ Đức Quảng</t>
  </si>
  <si>
    <t>21100</t>
  </si>
  <si>
    <t xml:space="preserve">Trần Văn Cương </t>
  </si>
  <si>
    <t>21109</t>
  </si>
  <si>
    <t>Lương Thu Hiền</t>
  </si>
  <si>
    <t>21126</t>
  </si>
  <si>
    <t>Ngô Trường Giang</t>
  </si>
  <si>
    <t>21127</t>
  </si>
  <si>
    <t>Trần Thị Duyên</t>
  </si>
  <si>
    <t>21137</t>
  </si>
  <si>
    <t>Triệu Thị Vân</t>
  </si>
  <si>
    <t>21142</t>
  </si>
  <si>
    <t>21164</t>
  </si>
  <si>
    <t>21173</t>
  </si>
  <si>
    <t>Kim Văn Long</t>
  </si>
  <si>
    <t>21189</t>
  </si>
  <si>
    <t>Dương Thanh Nhất</t>
  </si>
  <si>
    <t>21195</t>
  </si>
  <si>
    <t>Hoàng Văn Tân</t>
  </si>
  <si>
    <t>21209</t>
  </si>
  <si>
    <t>Hoàng Văn Thắng</t>
  </si>
  <si>
    <t>21210</t>
  </si>
  <si>
    <t>Nguyễn Đình Hưng</t>
  </si>
  <si>
    <t>21214</t>
  </si>
  <si>
    <t>Dương Văn Khá</t>
  </si>
  <si>
    <t>21231</t>
  </si>
  <si>
    <t xml:space="preserve">Nguyễn Văn Đức </t>
  </si>
  <si>
    <t>21235</t>
  </si>
  <si>
    <t>Vương Văn Khoa</t>
  </si>
  <si>
    <t>21241</t>
  </si>
  <si>
    <t>21250</t>
  </si>
  <si>
    <t xml:space="preserve">Hoàng Văn Hòa </t>
  </si>
  <si>
    <t>21257</t>
  </si>
  <si>
    <t>21261</t>
  </si>
  <si>
    <t>Nguyễn Thục Anh</t>
  </si>
  <si>
    <t>21265</t>
  </si>
  <si>
    <t>Phùng Văn Duy</t>
  </si>
  <si>
    <t>21271</t>
  </si>
  <si>
    <t>Phùng Thế Tường</t>
  </si>
  <si>
    <t>21272</t>
  </si>
  <si>
    <t>21273</t>
  </si>
  <si>
    <t>Phạm Đức Dũng</t>
  </si>
  <si>
    <t>21274</t>
  </si>
  <si>
    <t>Hoàng Bảo Việt</t>
  </si>
  <si>
    <t>21275</t>
  </si>
  <si>
    <t>21286</t>
  </si>
  <si>
    <t>Vương Quốc Kiên</t>
  </si>
  <si>
    <t>21299</t>
  </si>
  <si>
    <t>21309</t>
  </si>
  <si>
    <t>21313</t>
  </si>
  <si>
    <t>Phan Thị Vân</t>
  </si>
  <si>
    <t>21314</t>
  </si>
  <si>
    <t>21319</t>
  </si>
  <si>
    <t>Đỗ Văn Thắng</t>
  </si>
  <si>
    <t>21335</t>
  </si>
  <si>
    <t>21337</t>
  </si>
  <si>
    <t>Trần Thị Thu Hiền</t>
  </si>
  <si>
    <t>21343</t>
  </si>
  <si>
    <t>Dương Thị Ngọc Nga</t>
  </si>
  <si>
    <t>21354</t>
  </si>
  <si>
    <t xml:space="preserve">Đinh Thị Thanh Tâm </t>
  </si>
  <si>
    <t>21366</t>
  </si>
  <si>
    <t>Ngô Quỳnh Đô</t>
  </si>
  <si>
    <t>21367</t>
  </si>
  <si>
    <t>21376</t>
  </si>
  <si>
    <t>Trần Mạnh Lương</t>
  </si>
  <si>
    <t>21384</t>
  </si>
  <si>
    <t>Phùng Trọng Hiếu</t>
  </si>
  <si>
    <t>21398</t>
  </si>
  <si>
    <t>21401</t>
  </si>
  <si>
    <t>Trương Phương Đông</t>
  </si>
  <si>
    <t>21423</t>
  </si>
  <si>
    <t>21445</t>
  </si>
  <si>
    <t xml:space="preserve">Hà Thị Minh Hải </t>
  </si>
  <si>
    <t>21448</t>
  </si>
  <si>
    <t>Ngô Minh Quang</t>
  </si>
  <si>
    <t>21449</t>
  </si>
  <si>
    <t>Trương Thị Hòa</t>
  </si>
  <si>
    <t>21456</t>
  </si>
  <si>
    <t xml:space="preserve">Nguyễn Thị Mây </t>
  </si>
  <si>
    <t>21478</t>
  </si>
  <si>
    <t>21492</t>
  </si>
  <si>
    <t>21494</t>
  </si>
  <si>
    <t xml:space="preserve">Phùng Thị Ngọc Anh </t>
  </si>
  <si>
    <t>21506</t>
  </si>
  <si>
    <t xml:space="preserve">Nguyễn Anh Tú </t>
  </si>
  <si>
    <t>21515</t>
  </si>
  <si>
    <t>Đặng Thị Phương</t>
  </si>
  <si>
    <t>21520</t>
  </si>
  <si>
    <t>21537</t>
  </si>
  <si>
    <t>Trân Văn Hùng</t>
  </si>
  <si>
    <t>21540</t>
  </si>
  <si>
    <t>Bùi Thị Diễm My</t>
  </si>
  <si>
    <t>21542</t>
  </si>
  <si>
    <t xml:space="preserve">Đỗ Văn Hưởng </t>
  </si>
  <si>
    <t>21555</t>
  </si>
  <si>
    <t>21556</t>
  </si>
  <si>
    <t>21557</t>
  </si>
  <si>
    <t>Đỗ Thị Dịu</t>
  </si>
  <si>
    <t>21559</t>
  </si>
  <si>
    <t>Trần Mạnh Trường</t>
  </si>
  <si>
    <t>21560</t>
  </si>
  <si>
    <t xml:space="preserve">Đỗ Thị Bích Thùy </t>
  </si>
  <si>
    <t>21561</t>
  </si>
  <si>
    <t>Nguyễn Thị Thu Lan</t>
  </si>
  <si>
    <t>21562</t>
  </si>
  <si>
    <t>21564</t>
  </si>
  <si>
    <t>21573</t>
  </si>
  <si>
    <t xml:space="preserve">Ngô Văn Loan </t>
  </si>
  <si>
    <t>21618</t>
  </si>
  <si>
    <t>Nguyễn Thế Dũng</t>
  </si>
  <si>
    <t>21622</t>
  </si>
  <si>
    <t>21633</t>
  </si>
  <si>
    <t>Giàng A Dình</t>
  </si>
  <si>
    <t>21644</t>
  </si>
  <si>
    <t>Nguyễn Chung Thành</t>
  </si>
  <si>
    <t>21664</t>
  </si>
  <si>
    <t>Nguyễn Hoàng Anh Sơn</t>
  </si>
  <si>
    <t>21667</t>
  </si>
  <si>
    <t>Bùi Văn Luyến</t>
  </si>
  <si>
    <t>21686</t>
  </si>
  <si>
    <t>Nguyễn Xuân Hà</t>
  </si>
  <si>
    <t>21690</t>
  </si>
  <si>
    <t>Trần Thị Tuyên</t>
  </si>
  <si>
    <t>21695</t>
  </si>
  <si>
    <t>Hoàng Thái Dương</t>
  </si>
  <si>
    <t>21696</t>
  </si>
  <si>
    <t>Lò Văn Tuấn</t>
  </si>
  <si>
    <t>21697</t>
  </si>
  <si>
    <t>21705</t>
  </si>
  <si>
    <t>Ngô Xuân Tỉnh</t>
  </si>
  <si>
    <t>21737</t>
  </si>
  <si>
    <t>Lương Văn Nguyên</t>
  </si>
  <si>
    <t>21738</t>
  </si>
  <si>
    <t>21745</t>
  </si>
  <si>
    <t>Trần Đức Vượng</t>
  </si>
  <si>
    <t>21755</t>
  </si>
  <si>
    <t>Phan Văn Hiếu</t>
  </si>
  <si>
    <t>21756</t>
  </si>
  <si>
    <t>Võ Anh Tú</t>
  </si>
  <si>
    <t>21758</t>
  </si>
  <si>
    <t>Nguyễn Hồng Hải</t>
  </si>
  <si>
    <t>21759</t>
  </si>
  <si>
    <t>21760</t>
  </si>
  <si>
    <t>Nguyễn Đức Cường</t>
  </si>
  <si>
    <t>21773</t>
  </si>
  <si>
    <t>Nguyễn Đình Phi</t>
  </si>
  <si>
    <t>21778</t>
  </si>
  <si>
    <t>Nguyễn Văn Vượng</t>
  </si>
  <si>
    <t>21786</t>
  </si>
  <si>
    <t>Nguyễn Anh Quân</t>
  </si>
  <si>
    <t>21794</t>
  </si>
  <si>
    <t>Trần Quốc Tuấn</t>
  </si>
  <si>
    <t>21803</t>
  </si>
  <si>
    <t>Nguyễn Ngọc Cường</t>
  </si>
  <si>
    <t>21805</t>
  </si>
  <si>
    <t>Nguyễn Thị Chinh</t>
  </si>
  <si>
    <t>21835</t>
  </si>
  <si>
    <t>21842</t>
  </si>
  <si>
    <t>21844</t>
  </si>
  <si>
    <t>21848</t>
  </si>
  <si>
    <t>Nguyễn Ngọc Anh</t>
  </si>
  <si>
    <t>21849</t>
  </si>
  <si>
    <t>Phạm Gia Phú</t>
  </si>
  <si>
    <t>21850</t>
  </si>
  <si>
    <t>Nguyễn Thị Bảy</t>
  </si>
  <si>
    <t>21851</t>
  </si>
  <si>
    <t>Vũ Văn Mười</t>
  </si>
  <si>
    <t>21857</t>
  </si>
  <si>
    <t>Phan Ngọc Long</t>
  </si>
  <si>
    <t>21864</t>
  </si>
  <si>
    <t>Triệu Văn Thịnh</t>
  </si>
  <si>
    <t>21875</t>
  </si>
  <si>
    <t>21892</t>
  </si>
  <si>
    <t>Nguyễn Ngọc Hưởng</t>
  </si>
  <si>
    <t>21896</t>
  </si>
  <si>
    <t>Nguyễn Anh Nhật</t>
  </si>
  <si>
    <t>21899</t>
  </si>
  <si>
    <t>Dương Văn Tuấn</t>
  </si>
  <si>
    <t>21905</t>
  </si>
  <si>
    <t>Nguyễn Việt Hoàng</t>
  </si>
  <si>
    <t>21907</t>
  </si>
  <si>
    <t>Trần Hoàng Trường</t>
  </si>
  <si>
    <t>21908</t>
  </si>
  <si>
    <t>21909</t>
  </si>
  <si>
    <t>Đặng Thu Hà</t>
  </si>
  <si>
    <t>21910</t>
  </si>
  <si>
    <t>Trần Thị Ngoan</t>
  </si>
  <si>
    <t>21911</t>
  </si>
  <si>
    <t>Nguyễn Khánh Hòa</t>
  </si>
  <si>
    <t>21912</t>
  </si>
  <si>
    <t>21913</t>
  </si>
  <si>
    <t>Đinh Duy Tuấn</t>
  </si>
  <si>
    <t>21926</t>
  </si>
  <si>
    <t>Nguyễn Ngọc Tiến</t>
  </si>
  <si>
    <t>21928</t>
  </si>
  <si>
    <t>Lê Thị Bình</t>
  </si>
  <si>
    <t>21951</t>
  </si>
  <si>
    <t>21953</t>
  </si>
  <si>
    <t>Lý Văn Dũng</t>
  </si>
  <si>
    <t>21972</t>
  </si>
  <si>
    <t>Trương Thị Yến</t>
  </si>
  <si>
    <t>21973</t>
  </si>
  <si>
    <t>Hoàng Văn Chinh</t>
  </si>
  <si>
    <t>21976</t>
  </si>
  <si>
    <t>21985</t>
  </si>
  <si>
    <t>Trương Văn Quyết</t>
  </si>
  <si>
    <t>21991</t>
  </si>
  <si>
    <t>21992</t>
  </si>
  <si>
    <t>Nguyễn Công Long</t>
  </si>
  <si>
    <t>21994</t>
  </si>
  <si>
    <t>Bùi Thị Phương</t>
  </si>
  <si>
    <t>21995</t>
  </si>
  <si>
    <t>Nguyễn Thị Minh Phượng</t>
  </si>
  <si>
    <t>21996</t>
  </si>
  <si>
    <t>21997</t>
  </si>
  <si>
    <t>Lê Kim Quang</t>
  </si>
  <si>
    <t>21998</t>
  </si>
  <si>
    <t>22000</t>
  </si>
  <si>
    <t>22001</t>
  </si>
  <si>
    <t>Kiều Đình Hướng</t>
  </si>
  <si>
    <t>22007</t>
  </si>
  <si>
    <t>Lương Văn Tứ</t>
  </si>
  <si>
    <t>22008</t>
  </si>
  <si>
    <t>22028</t>
  </si>
  <si>
    <t>Khổng Chí Hưng</t>
  </si>
  <si>
    <t>22031</t>
  </si>
  <si>
    <t>22046</t>
  </si>
  <si>
    <t>Hà Thị Yên</t>
  </si>
  <si>
    <t>22048</t>
  </si>
  <si>
    <t>Ngô Văn Chính</t>
  </si>
  <si>
    <t>22049</t>
  </si>
  <si>
    <t>Hoàng Thị Tâm</t>
  </si>
  <si>
    <t>22051</t>
  </si>
  <si>
    <t>Nguyễn Thành Dương</t>
  </si>
  <si>
    <t>22061</t>
  </si>
  <si>
    <t>Cao Mạnh Điệp</t>
  </si>
  <si>
    <t>22069</t>
  </si>
  <si>
    <t>Lê Thị Nhật Lệ</t>
  </si>
  <si>
    <t>22071</t>
  </si>
  <si>
    <t>Tạ Thị Lương Duyên</t>
  </si>
  <si>
    <t>22077</t>
  </si>
  <si>
    <t>Lăng Đình Dũng</t>
  </si>
  <si>
    <t>22079</t>
  </si>
  <si>
    <t>Bùi Thị Tiến</t>
  </si>
  <si>
    <t>22083</t>
  </si>
  <si>
    <t>22088</t>
  </si>
  <si>
    <t>Nguyễn Duy Toàn</t>
  </si>
  <si>
    <t>22093</t>
  </si>
  <si>
    <t>Phí Quang Huy</t>
  </si>
  <si>
    <t>22094</t>
  </si>
  <si>
    <t>Ngô Hương Trang</t>
  </si>
  <si>
    <t>22095</t>
  </si>
  <si>
    <t>Lê Thị Hưng</t>
  </si>
  <si>
    <t>22104</t>
  </si>
  <si>
    <t>Đặng Đình Chanh</t>
  </si>
  <si>
    <t>22127</t>
  </si>
  <si>
    <t>Dương Quang Hiệp</t>
  </si>
  <si>
    <t>22128</t>
  </si>
  <si>
    <t>Nông Thị Huệ</t>
  </si>
  <si>
    <t>22132</t>
  </si>
  <si>
    <t>Vũ Thị Thu Hiền</t>
  </si>
  <si>
    <t>22133</t>
  </si>
  <si>
    <t>22135</t>
  </si>
  <si>
    <t>Nguyễn Quý Hùng</t>
  </si>
  <si>
    <t>22138</t>
  </si>
  <si>
    <t>22144</t>
  </si>
  <si>
    <t>Trần Xuân Nguyên</t>
  </si>
  <si>
    <t>22145</t>
  </si>
  <si>
    <t>Trần Thị Thùy Linh</t>
  </si>
  <si>
    <t>22147</t>
  </si>
  <si>
    <t>Nguyễn Văn Nhi</t>
  </si>
  <si>
    <t>22169</t>
  </si>
  <si>
    <t>22185</t>
  </si>
  <si>
    <t>Trần Kiên Quyết</t>
  </si>
  <si>
    <t>22186</t>
  </si>
  <si>
    <t>Tạ Văn Tăng</t>
  </si>
  <si>
    <t>22190</t>
  </si>
  <si>
    <t>22192</t>
  </si>
  <si>
    <t>Kim Thị Tuyết Lan</t>
  </si>
  <si>
    <t>22193</t>
  </si>
  <si>
    <t>22194</t>
  </si>
  <si>
    <t>Lương Thị Huyền</t>
  </si>
  <si>
    <t>22197</t>
  </si>
  <si>
    <t>Hoàng Thị Nguyền</t>
  </si>
  <si>
    <t>22204</t>
  </si>
  <si>
    <t>22206</t>
  </si>
  <si>
    <t>Phạm Văn Duy</t>
  </si>
  <si>
    <t>22213</t>
  </si>
  <si>
    <t>Nguyễn Thanh Cảnh</t>
  </si>
  <si>
    <t>22216</t>
  </si>
  <si>
    <t>Bằng Văn Hải</t>
  </si>
  <si>
    <t>22218</t>
  </si>
  <si>
    <t>22223</t>
  </si>
  <si>
    <t>Nguyễn Đình Liệu</t>
  </si>
  <si>
    <t>22227</t>
  </si>
  <si>
    <t>Nguyễn Quốc Kỳ</t>
  </si>
  <si>
    <t>22232</t>
  </si>
  <si>
    <t>22233</t>
  </si>
  <si>
    <t>Nguyễn Minh Vũ</t>
  </si>
  <si>
    <t>22250</t>
  </si>
  <si>
    <t>22252</t>
  </si>
  <si>
    <t>Phùng Đức Kiên</t>
  </si>
  <si>
    <t>22259</t>
  </si>
  <si>
    <t>22295</t>
  </si>
  <si>
    <t>Đào Văn Chương</t>
  </si>
  <si>
    <t>22296</t>
  </si>
  <si>
    <t>Nguyễn Xuân Thái</t>
  </si>
  <si>
    <t>22317</t>
  </si>
  <si>
    <t>Ngô Thị Thúy</t>
  </si>
  <si>
    <t>22333</t>
  </si>
  <si>
    <t>22358</t>
  </si>
  <si>
    <t>Nguyễn Đức Huy</t>
  </si>
  <si>
    <t>22360</t>
  </si>
  <si>
    <t>Đỗ Ngọc Vĩnh</t>
  </si>
  <si>
    <t>22363</t>
  </si>
  <si>
    <t>Bàn Văn Biên</t>
  </si>
  <si>
    <t>22368</t>
  </si>
  <si>
    <t>22374</t>
  </si>
  <si>
    <t>Lê Đình Tuấn</t>
  </si>
  <si>
    <t>22380</t>
  </si>
  <si>
    <t>Nguyễn Huy Hưng</t>
  </si>
  <si>
    <t>22391</t>
  </si>
  <si>
    <t>Đỗ Thanh Hằng</t>
  </si>
  <si>
    <t>22394</t>
  </si>
  <si>
    <t>Trịnh Thị Xoan</t>
  </si>
  <si>
    <t>22409</t>
  </si>
  <si>
    <t>Vũ Thị Huyền</t>
  </si>
  <si>
    <t>22410</t>
  </si>
  <si>
    <t>Trần Văn Tâm</t>
  </si>
  <si>
    <t>22411</t>
  </si>
  <si>
    <t>Kim Thị Tâm</t>
  </si>
  <si>
    <t>22414</t>
  </si>
  <si>
    <t>Phan Thị Như Quỳnh</t>
  </si>
  <si>
    <t>22424</t>
  </si>
  <si>
    <t>Lê Thị Phương</t>
  </si>
  <si>
    <t>22445</t>
  </si>
  <si>
    <t>22450</t>
  </si>
  <si>
    <t>22452</t>
  </si>
  <si>
    <t>Phùng Thị Hồng</t>
  </si>
  <si>
    <t>22458</t>
  </si>
  <si>
    <t>Đào Văn Thỏa</t>
  </si>
  <si>
    <t>22479</t>
  </si>
  <si>
    <t>Phạm Ngọc Sơn</t>
  </si>
  <si>
    <t>22491</t>
  </si>
  <si>
    <t>Ân Ngọc Hải</t>
  </si>
  <si>
    <t>22493</t>
  </si>
  <si>
    <t>Trần Thị Huế</t>
  </si>
  <si>
    <t>22496</t>
  </si>
  <si>
    <t>Đặng Thị Yến</t>
  </si>
  <si>
    <t>22504</t>
  </si>
  <si>
    <t>Hoàng Thị Đào</t>
  </si>
  <si>
    <t>22510</t>
  </si>
  <si>
    <t>22511</t>
  </si>
  <si>
    <t>Đào Văn Hiến</t>
  </si>
  <si>
    <t>22518</t>
  </si>
  <si>
    <t>Trần Thị Ngân</t>
  </si>
  <si>
    <t>22525</t>
  </si>
  <si>
    <t>Dương Thị Minh Nguyệt</t>
  </si>
  <si>
    <t>22531</t>
  </si>
  <si>
    <t>22532</t>
  </si>
  <si>
    <t>Lê Thị Thanh Hương</t>
  </si>
  <si>
    <t>22533</t>
  </si>
  <si>
    <t>Tráng Seo Pùa</t>
  </si>
  <si>
    <t>22538</t>
  </si>
  <si>
    <t>Đỗ Thị Thu Hiền</t>
  </si>
  <si>
    <t>22550</t>
  </si>
  <si>
    <t>Bùi Văn Sơn</t>
  </si>
  <si>
    <t>22552</t>
  </si>
  <si>
    <t>Bùi Thị Bảo</t>
  </si>
  <si>
    <t>22566</t>
  </si>
  <si>
    <t>Nguyễn Thị Thao</t>
  </si>
  <si>
    <t>22581</t>
  </si>
  <si>
    <t>Hà Thị Hồng Nhung</t>
  </si>
  <si>
    <t>22591</t>
  </si>
  <si>
    <t>22595</t>
  </si>
  <si>
    <t>22599</t>
  </si>
  <si>
    <t>Bùi Văn Tuyến</t>
  </si>
  <si>
    <t>22603</t>
  </si>
  <si>
    <t>Phan Thị Văn</t>
  </si>
  <si>
    <t>22632</t>
  </si>
  <si>
    <t>Nùng Văn Thực</t>
  </si>
  <si>
    <t>22641</t>
  </si>
  <si>
    <t>Nguyễn Như Quang</t>
  </si>
  <si>
    <t>22644</t>
  </si>
  <si>
    <t>22647</t>
  </si>
  <si>
    <t>Hoàng Văn Cường</t>
  </si>
  <si>
    <t>22658</t>
  </si>
  <si>
    <t>Hoàng Văn Điện</t>
  </si>
  <si>
    <t>22674</t>
  </si>
  <si>
    <t>Nông Thị Nhung</t>
  </si>
  <si>
    <t>22685</t>
  </si>
  <si>
    <t>Trần Thị Bích Ngọc</t>
  </si>
  <si>
    <t>22686</t>
  </si>
  <si>
    <t>Lương Thị Tiến</t>
  </si>
  <si>
    <t>22688</t>
  </si>
  <si>
    <t>Nguyễn Việt Anh</t>
  </si>
  <si>
    <t>22690</t>
  </si>
  <si>
    <t>Tình Thị Ánh</t>
  </si>
  <si>
    <t>22692</t>
  </si>
  <si>
    <t>22693</t>
  </si>
  <si>
    <t>Lê Văn Thắng</t>
  </si>
  <si>
    <t>22694</t>
  </si>
  <si>
    <t>22695</t>
  </si>
  <si>
    <t>Nông Thị Hằng</t>
  </si>
  <si>
    <t>22696</t>
  </si>
  <si>
    <t>Chu Tiến Thành</t>
  </si>
  <si>
    <t>22697</t>
  </si>
  <si>
    <t>22701</t>
  </si>
  <si>
    <t>Nùng Văn Lù</t>
  </si>
  <si>
    <t>22716</t>
  </si>
  <si>
    <t>22730</t>
  </si>
  <si>
    <t>Đào Thị Hoan</t>
  </si>
  <si>
    <t>22756</t>
  </si>
  <si>
    <t>Đỗ Thị Mai Phương</t>
  </si>
  <si>
    <t>22757</t>
  </si>
  <si>
    <t>Hà Duy Liên</t>
  </si>
  <si>
    <t>22762</t>
  </si>
  <si>
    <t>Nguyễn Mạnh Hiệp</t>
  </si>
  <si>
    <t>22766</t>
  </si>
  <si>
    <t>Lường Văn Hạnh</t>
  </si>
  <si>
    <t>22777</t>
  </si>
  <si>
    <t>Nguyễn Duy Huân</t>
  </si>
  <si>
    <t>22784</t>
  </si>
  <si>
    <t>Nông Văn Bách</t>
  </si>
  <si>
    <t>22791</t>
  </si>
  <si>
    <t>Nguyễn Thị Lanh</t>
  </si>
  <si>
    <t>22795</t>
  </si>
  <si>
    <t>22796</t>
  </si>
  <si>
    <t>Phan Đình Hoàn</t>
  </si>
  <si>
    <t>22822</t>
  </si>
  <si>
    <t>Lý Thị Kiều</t>
  </si>
  <si>
    <t>22838</t>
  </si>
  <si>
    <t>Trần Ngọc Ánh</t>
  </si>
  <si>
    <t>22839</t>
  </si>
  <si>
    <t>Hà Tuấn Vũ</t>
  </si>
  <si>
    <t>22841</t>
  </si>
  <si>
    <t>Hoàng Thứ</t>
  </si>
  <si>
    <t>22880</t>
  </si>
  <si>
    <t>Vũ Đức Cảnh</t>
  </si>
  <si>
    <t>22881</t>
  </si>
  <si>
    <t>Diệp Văn Lừu</t>
  </si>
  <si>
    <t>22894</t>
  </si>
  <si>
    <t xml:space="preserve">Đỗ Quyết Thắng </t>
  </si>
  <si>
    <t>22951</t>
  </si>
  <si>
    <t xml:space="preserve">Dương Văn Dũng </t>
  </si>
  <si>
    <t>22952</t>
  </si>
  <si>
    <t xml:space="preserve">Hoàng Văn Chiến </t>
  </si>
  <si>
    <t>22955</t>
  </si>
  <si>
    <t xml:space="preserve">Ma Văn Hà </t>
  </si>
  <si>
    <t>22959</t>
  </si>
  <si>
    <t>Hà Thị Thùy</t>
  </si>
  <si>
    <t>22967</t>
  </si>
  <si>
    <t>Trần Văn Điệp</t>
  </si>
  <si>
    <t>22973</t>
  </si>
  <si>
    <t>Hoàng Trọng Nghĩa</t>
  </si>
  <si>
    <t>22980</t>
  </si>
  <si>
    <t>Lê Thị Cúc</t>
  </si>
  <si>
    <t>22993</t>
  </si>
  <si>
    <t>22996</t>
  </si>
  <si>
    <t>Vũ Thị Luyến</t>
  </si>
  <si>
    <t>23002</t>
  </si>
  <si>
    <t>Dương Thị Hương Trà</t>
  </si>
  <si>
    <t>23011</t>
  </si>
  <si>
    <t>Hoàng Văn Hoàng</t>
  </si>
  <si>
    <t>23012</t>
  </si>
  <si>
    <t>Hoàng Quang Tâm</t>
  </si>
  <si>
    <t>23013</t>
  </si>
  <si>
    <t>Bùi Công Hiếu</t>
  </si>
  <si>
    <t>23022</t>
  </si>
  <si>
    <t>23035</t>
  </si>
  <si>
    <t>23039</t>
  </si>
  <si>
    <t>23040</t>
  </si>
  <si>
    <t>Phùng Thị Diễm</t>
  </si>
  <si>
    <t>23047</t>
  </si>
  <si>
    <t>23055</t>
  </si>
  <si>
    <t>Vũ Hồng Điều</t>
  </si>
  <si>
    <t>23057</t>
  </si>
  <si>
    <t>Nguyễn Thị Trâm</t>
  </si>
  <si>
    <t>23065</t>
  </si>
  <si>
    <t>Đinh Duy Trường</t>
  </si>
  <si>
    <t>23084</t>
  </si>
  <si>
    <t>23101</t>
  </si>
  <si>
    <t>Chu Thị Kiều Trang</t>
  </si>
  <si>
    <t>23102</t>
  </si>
  <si>
    <t>Đinh Thị Hường</t>
  </si>
  <si>
    <t>23120</t>
  </si>
  <si>
    <t>Nguyễn Thiệu Võ</t>
  </si>
  <si>
    <t>23147</t>
  </si>
  <si>
    <t xml:space="preserve">Diệp Đức Hai </t>
  </si>
  <si>
    <t>23161</t>
  </si>
  <si>
    <t xml:space="preserve">Hoàng Văn Quang </t>
  </si>
  <si>
    <t>Quảng Văn Kiên</t>
  </si>
  <si>
    <t>23170</t>
  </si>
  <si>
    <t>Trần Quốc Bình</t>
  </si>
  <si>
    <t>23174</t>
  </si>
  <si>
    <t>Lê Thị Ngọc Huyền</t>
  </si>
  <si>
    <t>23179</t>
  </si>
  <si>
    <t>23185</t>
  </si>
  <si>
    <t>Phùng Mai Lý</t>
  </si>
  <si>
    <t>23192</t>
  </si>
  <si>
    <t>Nguyễn Văn Hào</t>
  </si>
  <si>
    <t>23197</t>
  </si>
  <si>
    <t>23198</t>
  </si>
  <si>
    <t>Nguyễn Kim Tuyển</t>
  </si>
  <si>
    <t>23202</t>
  </si>
  <si>
    <t>Vũ Thị Hương</t>
  </si>
  <si>
    <t>23203</t>
  </si>
  <si>
    <t>Vũ Đức Anh</t>
  </si>
  <si>
    <t>23210</t>
  </si>
  <si>
    <t>Mai Văn Thương</t>
  </si>
  <si>
    <t>23221</t>
  </si>
  <si>
    <t>Lê Văn Hòa</t>
  </si>
  <si>
    <t>23255</t>
  </si>
  <si>
    <t xml:space="preserve">Dương Văn Thắng </t>
  </si>
  <si>
    <t>23273</t>
  </si>
  <si>
    <t>23281</t>
  </si>
  <si>
    <t>Đinh Thị Chúc</t>
  </si>
  <si>
    <t>23287</t>
  </si>
  <si>
    <t>23291</t>
  </si>
  <si>
    <t>Trần Thị Dịu</t>
  </si>
  <si>
    <t>23294</t>
  </si>
  <si>
    <t>Triệu Thị Nụ</t>
  </si>
  <si>
    <t>23295</t>
  </si>
  <si>
    <t>Đinh Thị Nhài</t>
  </si>
  <si>
    <t>23298</t>
  </si>
  <si>
    <t>Hoàng Thị Thủy</t>
  </si>
  <si>
    <t>23304</t>
  </si>
  <si>
    <t>Hoàng Văn Lãm</t>
  </si>
  <si>
    <t>23305</t>
  </si>
  <si>
    <t>23306</t>
  </si>
  <si>
    <t>23308</t>
  </si>
  <si>
    <t>Lương Thị Huệ</t>
  </si>
  <si>
    <t>23321</t>
  </si>
  <si>
    <t>Lê Văn Thùy</t>
  </si>
  <si>
    <t>23354</t>
  </si>
  <si>
    <t>Trần Quang Minh</t>
  </si>
  <si>
    <t>23358</t>
  </si>
  <si>
    <t>La Văn Quân</t>
  </si>
  <si>
    <t>23366</t>
  </si>
  <si>
    <t>Khổng Tiến Đạt</t>
  </si>
  <si>
    <t>23372</t>
  </si>
  <si>
    <t>23395</t>
  </si>
  <si>
    <t>Vũ Anh Tú</t>
  </si>
  <si>
    <t>23413</t>
  </si>
  <si>
    <t>Ngô Thị Thanh</t>
  </si>
  <si>
    <t>23414</t>
  </si>
  <si>
    <t>23417</t>
  </si>
  <si>
    <t>Lâm Văn Vũ</t>
  </si>
  <si>
    <t>23418</t>
  </si>
  <si>
    <t>23432</t>
  </si>
  <si>
    <t>Bùi Văn Trai</t>
  </si>
  <si>
    <t>23434</t>
  </si>
  <si>
    <t>Giàng A Lu</t>
  </si>
  <si>
    <t>23438</t>
  </si>
  <si>
    <t>Nguyễn Thị Hoài</t>
  </si>
  <si>
    <t>23451</t>
  </si>
  <si>
    <t>23494</t>
  </si>
  <si>
    <t>Nguyễn Văn Thăng</t>
  </si>
  <si>
    <t>23495</t>
  </si>
  <si>
    <t>Trần Thị Hoàn</t>
  </si>
  <si>
    <t>23497</t>
  </si>
  <si>
    <t>Hà Hồng Phong</t>
  </si>
  <si>
    <t>23499</t>
  </si>
  <si>
    <t>Hoàng Thị Huế</t>
  </si>
  <si>
    <t>23500</t>
  </si>
  <si>
    <t>23524</t>
  </si>
  <si>
    <t>Ma Thị Hồng Bích</t>
  </si>
  <si>
    <t>23526</t>
  </si>
  <si>
    <t>23536</t>
  </si>
  <si>
    <t>Trần Hữu Minh</t>
  </si>
  <si>
    <t>23549</t>
  </si>
  <si>
    <t>Nguyễn Thị Đoàn</t>
  </si>
  <si>
    <t>23552</t>
  </si>
  <si>
    <t>Nguyễn Thị Bằng</t>
  </si>
  <si>
    <t>23563</t>
  </si>
  <si>
    <t>23566</t>
  </si>
  <si>
    <t>23572</t>
  </si>
  <si>
    <t>Trần Tiến Dân</t>
  </si>
  <si>
    <t>23577</t>
  </si>
  <si>
    <t>Đỗ Hai Nhất</t>
  </si>
  <si>
    <t>23593</t>
  </si>
  <si>
    <t>Bùi Thị Thanh Thủy</t>
  </si>
  <si>
    <t>23597</t>
  </si>
  <si>
    <t>Hoàng Thị Huyền</t>
  </si>
  <si>
    <t>23604</t>
  </si>
  <si>
    <t>23612</t>
  </si>
  <si>
    <t>Đinh Thị Đào</t>
  </si>
  <si>
    <t>23618</t>
  </si>
  <si>
    <t>Phùng Văn Kiên</t>
  </si>
  <si>
    <t>23630</t>
  </si>
  <si>
    <t xml:space="preserve">Nguyễn Văn Sơn </t>
  </si>
  <si>
    <t>23652</t>
  </si>
  <si>
    <t>23659</t>
  </si>
  <si>
    <t>23660</t>
  </si>
  <si>
    <t>Nguyễn Thị Hồng Vân</t>
  </si>
  <si>
    <t>23661</t>
  </si>
  <si>
    <t>Lương Thị Na</t>
  </si>
  <si>
    <t>23668</t>
  </si>
  <si>
    <t>Hoàng Phi Long</t>
  </si>
  <si>
    <t>23675</t>
  </si>
  <si>
    <t>Nịnh Văn Sắc</t>
  </si>
  <si>
    <t>23679</t>
  </si>
  <si>
    <t>Nguyễn Văn Học</t>
  </si>
  <si>
    <t>23682</t>
  </si>
  <si>
    <t>23685</t>
  </si>
  <si>
    <t>Nguyễn Thị Thu Thủy</t>
  </si>
  <si>
    <t>23732</t>
  </si>
  <si>
    <t>Trần Trung Đức</t>
  </si>
  <si>
    <t>23748</t>
  </si>
  <si>
    <t>23753</t>
  </si>
  <si>
    <t>23772</t>
  </si>
  <si>
    <t>23773</t>
  </si>
  <si>
    <t>Trương Thị Tuyết</t>
  </si>
  <si>
    <t>23783</t>
  </si>
  <si>
    <t>Chu Quang Linh</t>
  </si>
  <si>
    <t>23792</t>
  </si>
  <si>
    <t>23793</t>
  </si>
  <si>
    <t>Bùi Tiến Dũng</t>
  </si>
  <si>
    <t>23795</t>
  </si>
  <si>
    <t>Nguyễn Thị Hoan</t>
  </si>
  <si>
    <t>23797</t>
  </si>
  <si>
    <t>Nguyễn Thị Ninh</t>
  </si>
  <si>
    <t>23810</t>
  </si>
  <si>
    <t>23813</t>
  </si>
  <si>
    <t>Giàng A Tính</t>
  </si>
  <si>
    <t>23816</t>
  </si>
  <si>
    <t>Nguyễn Phương Nam</t>
  </si>
  <si>
    <t>23836</t>
  </si>
  <si>
    <t>Nguyễn Mạnh Thắng</t>
  </si>
  <si>
    <t>23843</t>
  </si>
  <si>
    <t xml:space="preserve">Nông Văn Nghĩa </t>
  </si>
  <si>
    <t>23856</t>
  </si>
  <si>
    <t>23862</t>
  </si>
  <si>
    <t xml:space="preserve">Lê Thị Thảo </t>
  </si>
  <si>
    <t>23876</t>
  </si>
  <si>
    <t>Trần Hoàng Quân</t>
  </si>
  <si>
    <t>23884</t>
  </si>
  <si>
    <t>Nguyễn Ngọc Long</t>
  </si>
  <si>
    <t>23893</t>
  </si>
  <si>
    <t>23897</t>
  </si>
  <si>
    <t>23910</t>
  </si>
  <si>
    <t>Nguyễn Đình Tài</t>
  </si>
  <si>
    <t>23912</t>
  </si>
  <si>
    <t>Nguyễn Minh Đăng</t>
  </si>
  <si>
    <t>23924</t>
  </si>
  <si>
    <t>Lê Thị Thu Hiền</t>
  </si>
  <si>
    <t>23930</t>
  </si>
  <si>
    <t>23931</t>
  </si>
  <si>
    <t>23932</t>
  </si>
  <si>
    <t>Đào Văn Linh</t>
  </si>
  <si>
    <t>23944</t>
  </si>
  <si>
    <t>Hoàng Xuân Phú</t>
  </si>
  <si>
    <t>23948</t>
  </si>
  <si>
    <t>Thèn Văn Trường</t>
  </si>
  <si>
    <t>23950</t>
  </si>
  <si>
    <t>Nguyễn Hải Long</t>
  </si>
  <si>
    <t>23956</t>
  </si>
  <si>
    <t>Nguyễn Thành Chung</t>
  </si>
  <si>
    <t>23957</t>
  </si>
  <si>
    <t>Nguyễn Tiến Quân</t>
  </si>
  <si>
    <t>23958</t>
  </si>
  <si>
    <t>Hoàng Quốc Việt</t>
  </si>
  <si>
    <t>23967</t>
  </si>
  <si>
    <t>Lê Thị Như</t>
  </si>
  <si>
    <t>23975</t>
  </si>
  <si>
    <t>Nguyễn Thế Toàn</t>
  </si>
  <si>
    <t>23977</t>
  </si>
  <si>
    <t>Đỗ Thị Duyên</t>
  </si>
  <si>
    <t>23987</t>
  </si>
  <si>
    <t xml:space="preserve">Nguyễn Thị Thanh Hương </t>
  </si>
  <si>
    <t>23999</t>
  </si>
  <si>
    <t>24002</t>
  </si>
  <si>
    <t>Đào Mạnh Cường</t>
  </si>
  <si>
    <t>24007</t>
  </si>
  <si>
    <t>Nguyễn Hoàng Minh Tuấn</t>
  </si>
  <si>
    <t>24008</t>
  </si>
  <si>
    <t>Đỗ Thanh Tùng</t>
  </si>
  <si>
    <t>24009</t>
  </si>
  <si>
    <t>24016</t>
  </si>
  <si>
    <t>Vũ Xuân Tùng</t>
  </si>
  <si>
    <t>24017</t>
  </si>
  <si>
    <t>Nguyễn Tiến Luận</t>
  </si>
  <si>
    <t>24018</t>
  </si>
  <si>
    <t>Nguyễn Hữu Tài</t>
  </si>
  <si>
    <t>24019</t>
  </si>
  <si>
    <t>Lưu Văn Bắc</t>
  </si>
  <si>
    <t>24020</t>
  </si>
  <si>
    <t xml:space="preserve">Hà Minh Tuấn </t>
  </si>
  <si>
    <t>24027</t>
  </si>
  <si>
    <t>Vũ Văn Diện</t>
  </si>
  <si>
    <t>24042</t>
  </si>
  <si>
    <t>Dương Mạnh Cường</t>
  </si>
  <si>
    <t>24045</t>
  </si>
  <si>
    <t xml:space="preserve">Nguyễn Việt Hà </t>
  </si>
  <si>
    <t>24054</t>
  </si>
  <si>
    <t>Lê Công Dân</t>
  </si>
  <si>
    <t>24064</t>
  </si>
  <si>
    <t>Trần Văn Hiển</t>
  </si>
  <si>
    <t>24075</t>
  </si>
  <si>
    <t>Nguyễn Hồng Phi</t>
  </si>
  <si>
    <t>24081</t>
  </si>
  <si>
    <t>Lương Văn Nam</t>
  </si>
  <si>
    <t>24083</t>
  </si>
  <si>
    <t>Nguyễn Quốc Anh</t>
  </si>
  <si>
    <t>24084</t>
  </si>
  <si>
    <t>Nguyễn Kiên Cương</t>
  </si>
  <si>
    <t>24085</t>
  </si>
  <si>
    <t>Phạm Văn Sáng</t>
  </si>
  <si>
    <t>24099</t>
  </si>
  <si>
    <t>Chu Văn Dũng</t>
  </si>
  <si>
    <t>24102</t>
  </si>
  <si>
    <t>Lê Tiến Thành</t>
  </si>
  <si>
    <t>24105</t>
  </si>
  <si>
    <t>Nguyễn Thị Bích Liên</t>
  </si>
  <si>
    <t>24110</t>
  </si>
  <si>
    <t>24112</t>
  </si>
  <si>
    <t>Phùng Văn Chiến</t>
  </si>
  <si>
    <t>24116</t>
  </si>
  <si>
    <t>Chu Thị Mến</t>
  </si>
  <si>
    <t>24123</t>
  </si>
  <si>
    <t>Chu Đức Tùng</t>
  </si>
  <si>
    <t>24124</t>
  </si>
  <si>
    <t>24125</t>
  </si>
  <si>
    <t>Lăng Văn Tuấn</t>
  </si>
  <si>
    <t>24135</t>
  </si>
  <si>
    <t>Nguyễn Minh Quân</t>
  </si>
  <si>
    <t>24148</t>
  </si>
  <si>
    <t>Nguyễn Thị Phương Anh</t>
  </si>
  <si>
    <t>24149</t>
  </si>
  <si>
    <t>24150</t>
  </si>
  <si>
    <t>24156</t>
  </si>
  <si>
    <t>Trần Thị Hồng Thu</t>
  </si>
  <si>
    <t>24180</t>
  </si>
  <si>
    <t>Đỗ Xuân Hải</t>
  </si>
  <si>
    <t>24181</t>
  </si>
  <si>
    <t>24189</t>
  </si>
  <si>
    <t>24192</t>
  </si>
  <si>
    <t>Đỗ Văn Thức</t>
  </si>
  <si>
    <t>24203</t>
  </si>
  <si>
    <t>Ngô Đức Vượng</t>
  </si>
  <si>
    <t>24204</t>
  </si>
  <si>
    <t>Trần Quang Huy</t>
  </si>
  <si>
    <t>24205</t>
  </si>
  <si>
    <t>Trần Ngọc Hoàng</t>
  </si>
  <si>
    <t>24206</t>
  </si>
  <si>
    <t>Trần Quốc Cường</t>
  </si>
  <si>
    <t>24207</t>
  </si>
  <si>
    <t>24210</t>
  </si>
  <si>
    <t>Đào Văn Nhân</t>
  </si>
  <si>
    <t>24211</t>
  </si>
  <si>
    <t>24215</t>
  </si>
  <si>
    <t>24218</t>
  </si>
  <si>
    <t>24222</t>
  </si>
  <si>
    <t>24223</t>
  </si>
  <si>
    <t>24224</t>
  </si>
  <si>
    <t>24229</t>
  </si>
  <si>
    <t>Chu Bảo Lâm</t>
  </si>
  <si>
    <t>24233</t>
  </si>
  <si>
    <t xml:space="preserve">Đỗ Văn Thạch </t>
  </si>
  <si>
    <t>24241</t>
  </si>
  <si>
    <t>Bùi Văn Đạt</t>
  </si>
  <si>
    <t>24254</t>
  </si>
  <si>
    <t>Hà Thanh Hoàn</t>
  </si>
  <si>
    <t>24260</t>
  </si>
  <si>
    <t xml:space="preserve">Nùng Văn Tiến </t>
  </si>
  <si>
    <t>24269</t>
  </si>
  <si>
    <t>Hoàng Văn Chiến</t>
  </si>
  <si>
    <t>24275</t>
  </si>
  <si>
    <t xml:space="preserve">Hoàng Văn Túc </t>
  </si>
  <si>
    <t>24282</t>
  </si>
  <si>
    <t>Đoàn Đức Quân</t>
  </si>
  <si>
    <t>24292</t>
  </si>
  <si>
    <t>24294</t>
  </si>
  <si>
    <t>Lưu Văn Thanh</t>
  </si>
  <si>
    <t>24297</t>
  </si>
  <si>
    <t>Hoàng Thị Tươi</t>
  </si>
  <si>
    <t>24301</t>
  </si>
  <si>
    <t>Lý Thị Quyên</t>
  </si>
  <si>
    <t>24307</t>
  </si>
  <si>
    <t>Đỗ Huy Linh</t>
  </si>
  <si>
    <t>24308</t>
  </si>
  <si>
    <t>24312</t>
  </si>
  <si>
    <t>Hoàng Diệu Linh</t>
  </si>
  <si>
    <t>24320</t>
  </si>
  <si>
    <t>Đặng Thị Thanh Huệ</t>
  </si>
  <si>
    <t>24322</t>
  </si>
  <si>
    <t>Đỗ Khánh Linh</t>
  </si>
  <si>
    <t>24323</t>
  </si>
  <si>
    <t>Nguyễn Hồng Nhung</t>
  </si>
  <si>
    <t>24324</t>
  </si>
  <si>
    <t>Dương Mạnh Quang</t>
  </si>
  <si>
    <t>24325</t>
  </si>
  <si>
    <t>Nguyễn Hữu Bửu</t>
  </si>
  <si>
    <t>24326</t>
  </si>
  <si>
    <t>Nguyễn Khánh Huyền</t>
  </si>
  <si>
    <t>24329</t>
  </si>
  <si>
    <t>24331</t>
  </si>
  <si>
    <t>Bùi Quang Doanh</t>
  </si>
  <si>
    <t>24332</t>
  </si>
  <si>
    <t>Lò Duy Chính</t>
  </si>
  <si>
    <t>24335</t>
  </si>
  <si>
    <t>24337</t>
  </si>
  <si>
    <t>Lê Thị Quỳnh Mai</t>
  </si>
  <si>
    <t>24338</t>
  </si>
  <si>
    <t>Phùng Tiến Hải</t>
  </si>
  <si>
    <t>24339</t>
  </si>
  <si>
    <t xml:space="preserve">Hoàng Văn Giáp </t>
  </si>
  <si>
    <t>24344</t>
  </si>
  <si>
    <t>24348</t>
  </si>
  <si>
    <t xml:space="preserve">Nguyễn Văn Thiện </t>
  </si>
  <si>
    <t>24353</t>
  </si>
  <si>
    <t>Hà Mạnh Thắng</t>
  </si>
  <si>
    <t xml:space="preserve">Dương Tiến Khang </t>
  </si>
  <si>
    <t>24360</t>
  </si>
  <si>
    <t>Dương Thị Mai Lan</t>
  </si>
  <si>
    <t>24373</t>
  </si>
  <si>
    <t>Nguyễn Lê Nhật Tân</t>
  </si>
  <si>
    <t>24375</t>
  </si>
  <si>
    <t>Phạm Quang Ninh</t>
  </si>
  <si>
    <t>24376</t>
  </si>
  <si>
    <t xml:space="preserve">Phùng Trọng Sơn </t>
  </si>
  <si>
    <t>24377</t>
  </si>
  <si>
    <t xml:space="preserve">Trần Thị Thu Hằng </t>
  </si>
  <si>
    <t>24378</t>
  </si>
  <si>
    <t xml:space="preserve">Phạm Văn Việt </t>
  </si>
  <si>
    <t>24380</t>
  </si>
  <si>
    <t>Dương Quang Thiện</t>
  </si>
  <si>
    <t>24382</t>
  </si>
  <si>
    <t xml:space="preserve">Trương Thị Xuân </t>
  </si>
  <si>
    <t>24384</t>
  </si>
  <si>
    <t>Phạm Thị Minh Huế</t>
  </si>
  <si>
    <t>24385</t>
  </si>
  <si>
    <t xml:space="preserve">Đặng Thị Mai Thu </t>
  </si>
  <si>
    <t>24388</t>
  </si>
  <si>
    <t xml:space="preserve">Trịnh Thị Huyền </t>
  </si>
  <si>
    <t>24399</t>
  </si>
  <si>
    <t xml:space="preserve">Nguyễn Văn Sáu </t>
  </si>
  <si>
    <t>24400</t>
  </si>
  <si>
    <t xml:space="preserve">Chu Văn Lợi </t>
  </si>
  <si>
    <t>24401</t>
  </si>
  <si>
    <t xml:space="preserve">Vũ Mạnh Cường </t>
  </si>
  <si>
    <t>24402</t>
  </si>
  <si>
    <t xml:space="preserve">Lê Quang Chung </t>
  </si>
  <si>
    <t>24404</t>
  </si>
  <si>
    <t>Đặng Hoàng Yến</t>
  </si>
  <si>
    <t>24409</t>
  </si>
  <si>
    <t>Bùi Mạnh Cầm</t>
  </si>
  <si>
    <t>24410</t>
  </si>
  <si>
    <t>Đặng Tuấn Phương</t>
  </si>
  <si>
    <t>24412</t>
  </si>
  <si>
    <t>Nguyễn Duy Quân</t>
  </si>
  <si>
    <t>24413</t>
  </si>
  <si>
    <t>Đào Quang Hiệp</t>
  </si>
  <si>
    <t>24414</t>
  </si>
  <si>
    <t>Lường Thị Biên</t>
  </si>
  <si>
    <t>24416</t>
  </si>
  <si>
    <t>Nguyễn Thị Tỉnh</t>
  </si>
  <si>
    <t>24417</t>
  </si>
  <si>
    <t xml:space="preserve">Thạch Quốc Huy </t>
  </si>
  <si>
    <t>24423</t>
  </si>
  <si>
    <t>24424</t>
  </si>
  <si>
    <t>Vũ Anh Quân</t>
  </si>
  <si>
    <t>24425</t>
  </si>
  <si>
    <t>Trần Văn Mùi</t>
  </si>
  <si>
    <t>24426</t>
  </si>
  <si>
    <t>Phùng Thị Huy</t>
  </si>
  <si>
    <t>24427</t>
  </si>
  <si>
    <t>24429</t>
  </si>
  <si>
    <t xml:space="preserve">Đinh Văn Triệu </t>
  </si>
  <si>
    <t>24431</t>
  </si>
  <si>
    <t xml:space="preserve">Đỗ Văn Dũng </t>
  </si>
  <si>
    <t>24432</t>
  </si>
  <si>
    <t>Phạm Thị Thanh Hoàn</t>
  </si>
  <si>
    <t>24437</t>
  </si>
  <si>
    <t>Nguyễn Hữu Ngọc</t>
  </si>
  <si>
    <t>24445</t>
  </si>
  <si>
    <t xml:space="preserve">Bùi Thị Nhung </t>
  </si>
  <si>
    <t>24446</t>
  </si>
  <si>
    <t>Nguyễn Thị Thu Quỳnh</t>
  </si>
  <si>
    <t>24448</t>
  </si>
  <si>
    <t>24459</t>
  </si>
  <si>
    <t>Phạm Đình Chỉnh</t>
  </si>
  <si>
    <t>24462</t>
  </si>
  <si>
    <t>Kim Xuân Chiến</t>
  </si>
  <si>
    <t>24463</t>
  </si>
  <si>
    <t>Nguyễn Quốc Tiến</t>
  </si>
  <si>
    <t>24464</t>
  </si>
  <si>
    <t>Chu Văn Nuôi</t>
  </si>
  <si>
    <t>24476</t>
  </si>
  <si>
    <t>24489</t>
  </si>
  <si>
    <t>Phạm Công Chiến</t>
  </si>
  <si>
    <t>24490</t>
  </si>
  <si>
    <t>Dương Việt Anh</t>
  </si>
  <si>
    <t>24495</t>
  </si>
  <si>
    <t>Nguyễn Minh Long</t>
  </si>
  <si>
    <t>24496</t>
  </si>
  <si>
    <t>Bùi Duy Sáng</t>
  </si>
  <si>
    <t>24507</t>
  </si>
  <si>
    <t>24509</t>
  </si>
  <si>
    <t>Cao Duy Phúc</t>
  </si>
  <si>
    <t>24511</t>
  </si>
  <si>
    <t>24521</t>
  </si>
  <si>
    <t>Lê Thế Vĩ</t>
  </si>
  <si>
    <t>24523</t>
  </si>
  <si>
    <t>24524</t>
  </si>
  <si>
    <t xml:space="preserve">Hoàng Thị Hiền </t>
  </si>
  <si>
    <t>24526</t>
  </si>
  <si>
    <t>24527</t>
  </si>
  <si>
    <t>24529</t>
  </si>
  <si>
    <t xml:space="preserve">Nguyễn Xuân Cảnh </t>
  </si>
  <si>
    <t>24534</t>
  </si>
  <si>
    <t xml:space="preserve">Bùi Việt Hoàng </t>
  </si>
  <si>
    <t>24540</t>
  </si>
  <si>
    <t>Gia Công</t>
  </si>
  <si>
    <t>Dương Văn Tư</t>
  </si>
  <si>
    <t>24542</t>
  </si>
  <si>
    <t>24551</t>
  </si>
  <si>
    <t>Nguyễn Duy Thành</t>
  </si>
  <si>
    <t>24552</t>
  </si>
  <si>
    <t>Phan Thành Luân</t>
  </si>
  <si>
    <t>24558</t>
  </si>
  <si>
    <t>24560</t>
  </si>
  <si>
    <t>Đỗ Mạnh Hùng</t>
  </si>
  <si>
    <t>24563</t>
  </si>
  <si>
    <t>Hoàng Thị Hòa</t>
  </si>
  <si>
    <t>24568</t>
  </si>
  <si>
    <t>24569</t>
  </si>
  <si>
    <t>Nguyễn Minh Thu</t>
  </si>
  <si>
    <t>24570</t>
  </si>
  <si>
    <t>24573</t>
  </si>
  <si>
    <t>Dư Văn Phong</t>
  </si>
  <si>
    <t>24574</t>
  </si>
  <si>
    <t>Nguyễn Xuân Việt</t>
  </si>
  <si>
    <t>24575</t>
  </si>
  <si>
    <t>Hoàng Hùng Mạnh</t>
  </si>
  <si>
    <t>24585</t>
  </si>
  <si>
    <t>Hoàng Văn Thủy</t>
  </si>
  <si>
    <t>24594</t>
  </si>
  <si>
    <t>24595</t>
  </si>
  <si>
    <t>24596</t>
  </si>
  <si>
    <t>24597</t>
  </si>
  <si>
    <t>Vũ Thị Phúc</t>
  </si>
  <si>
    <t>24600</t>
  </si>
  <si>
    <t>Hoàng Hồng Dương</t>
  </si>
  <si>
    <t>24601</t>
  </si>
  <si>
    <t>Dương Văn Tú</t>
  </si>
  <si>
    <t>24602</t>
  </si>
  <si>
    <t>Lương Quý Hải</t>
  </si>
  <si>
    <t>24604</t>
  </si>
  <si>
    <t>24605</t>
  </si>
  <si>
    <t>24618</t>
  </si>
  <si>
    <t>24619</t>
  </si>
  <si>
    <t>Nguyễn Tiến Hoàn</t>
  </si>
  <si>
    <t>24621</t>
  </si>
  <si>
    <t>Đặng Thị Hạnh</t>
  </si>
  <si>
    <t>24629</t>
  </si>
  <si>
    <t>Lục Thị Liên</t>
  </si>
  <si>
    <t>24632</t>
  </si>
  <si>
    <t>Nguyễn Mạnh Quỳnh Anh</t>
  </si>
  <si>
    <t>24634</t>
  </si>
  <si>
    <t>Nguyễn Xuân Hùng</t>
  </si>
  <si>
    <t>24636</t>
  </si>
  <si>
    <t>Trần Văn Biên</t>
  </si>
  <si>
    <t>24638</t>
  </si>
  <si>
    <t>Đào Mạnh Quyền</t>
  </si>
  <si>
    <t>24639</t>
  </si>
  <si>
    <t>Kim Văn Phúc</t>
  </si>
  <si>
    <t>24641</t>
  </si>
  <si>
    <t>Nguyễn Thùy Linh</t>
  </si>
  <si>
    <t>24642</t>
  </si>
  <si>
    <t>Phạm Thị Hường</t>
  </si>
  <si>
    <t>24643</t>
  </si>
  <si>
    <t>Hà Văn Đạt</t>
  </si>
  <si>
    <t>24653</t>
  </si>
  <si>
    <t>24663</t>
  </si>
  <si>
    <t>Tô Văn Huấn</t>
  </si>
  <si>
    <t>24689</t>
  </si>
  <si>
    <t>Phùng Văn Huy</t>
  </si>
  <si>
    <t>24692</t>
  </si>
  <si>
    <t xml:space="preserve">Trần Văn Dân </t>
  </si>
  <si>
    <t>24695</t>
  </si>
  <si>
    <t>Dương Thanh Tùng</t>
  </si>
  <si>
    <t>24702</t>
  </si>
  <si>
    <t>24706</t>
  </si>
  <si>
    <t xml:space="preserve">Lâm Thị Hai </t>
  </si>
  <si>
    <t>24708</t>
  </si>
  <si>
    <t>Lò Văn Hưng</t>
  </si>
  <si>
    <t>24716</t>
  </si>
  <si>
    <t>Phạm Tiến Đạt</t>
  </si>
  <si>
    <t>24731</t>
  </si>
  <si>
    <t xml:space="preserve">Hoàng Văn Hùng </t>
  </si>
  <si>
    <t>24735</t>
  </si>
  <si>
    <t>Ngô Thị Thanh Dịu</t>
  </si>
  <si>
    <t>24737</t>
  </si>
  <si>
    <t>Nguyễn Văn Sánh</t>
  </si>
  <si>
    <t>24742</t>
  </si>
  <si>
    <t>Nguyễn Quyết Chiến</t>
  </si>
  <si>
    <t>24752</t>
  </si>
  <si>
    <t>24753</t>
  </si>
  <si>
    <t>24754</t>
  </si>
  <si>
    <t xml:space="preserve">Nguyễn Văn Thắng </t>
  </si>
  <si>
    <t>24765</t>
  </si>
  <si>
    <t>Ma Thị Thoa</t>
  </si>
  <si>
    <t>24771</t>
  </si>
  <si>
    <t xml:space="preserve">Phạm Ngọc Đoàn </t>
  </si>
  <si>
    <t>24774</t>
  </si>
  <si>
    <t xml:space="preserve">Dương Văn Phong </t>
  </si>
  <si>
    <t>24780</t>
  </si>
  <si>
    <t>24781</t>
  </si>
  <si>
    <t>Vũ Thị Thu</t>
  </si>
  <si>
    <t>24782</t>
  </si>
  <si>
    <t>24784</t>
  </si>
  <si>
    <t>Tạ Văn Thắng</t>
  </si>
  <si>
    <t>24787</t>
  </si>
  <si>
    <t>24789</t>
  </si>
  <si>
    <t>Phạm Xuân Nghĩa</t>
  </si>
  <si>
    <t>24790</t>
  </si>
  <si>
    <t>24799</t>
  </si>
  <si>
    <t>Trần Quang Tuấn</t>
  </si>
  <si>
    <t>24807</t>
  </si>
  <si>
    <t>Ma Văn Uyển</t>
  </si>
  <si>
    <t>24809</t>
  </si>
  <si>
    <t>24814</t>
  </si>
  <si>
    <t>24818</t>
  </si>
  <si>
    <t xml:space="preserve">Bùi Văn Thiết </t>
  </si>
  <si>
    <t>24823</t>
  </si>
  <si>
    <t>Vũ Hoài Thu</t>
  </si>
  <si>
    <t>24828</t>
  </si>
  <si>
    <t>Dương Anh Thìn</t>
  </si>
  <si>
    <t>24832</t>
  </si>
  <si>
    <t xml:space="preserve">Nguyễn Văn Mạnh </t>
  </si>
  <si>
    <t>24833</t>
  </si>
  <si>
    <t>Trần Văn Thái</t>
  </si>
  <si>
    <t>24834</t>
  </si>
  <si>
    <t>24838</t>
  </si>
  <si>
    <t>Hà Công Thăng</t>
  </si>
  <si>
    <t>24843</t>
  </si>
  <si>
    <t>Triệu Văn Vạn</t>
  </si>
  <si>
    <t>24850</t>
  </si>
  <si>
    <t>Nguyễn Hùng Tráng</t>
  </si>
  <si>
    <t>24852</t>
  </si>
  <si>
    <t>24858</t>
  </si>
  <si>
    <t>Nguyễn Thu Hoài</t>
  </si>
  <si>
    <t>24870</t>
  </si>
  <si>
    <t>Nguyễn Lê Hoàng</t>
  </si>
  <si>
    <t>24871</t>
  </si>
  <si>
    <t>Lê Văn Hưng</t>
  </si>
  <si>
    <t>24874</t>
  </si>
  <si>
    <t>Đường Khương Duy</t>
  </si>
  <si>
    <t>24900</t>
  </si>
  <si>
    <t>24901</t>
  </si>
  <si>
    <t>Phùng Thị Sen</t>
  </si>
  <si>
    <t>24918</t>
  </si>
  <si>
    <t>Lê Thanh Bình</t>
  </si>
  <si>
    <t>24919</t>
  </si>
  <si>
    <t>Xi mạ</t>
  </si>
  <si>
    <t>#24900</t>
  </si>
  <si>
    <t>#14920</t>
  </si>
  <si>
    <t>#06000</t>
  </si>
  <si>
    <t>#05479</t>
  </si>
  <si>
    <t>#04914</t>
  </si>
  <si>
    <t>#01874</t>
  </si>
  <si>
    <t>#20793</t>
  </si>
  <si>
    <t>#01795</t>
  </si>
  <si>
    <t>#08352</t>
  </si>
  <si>
    <t>#20977</t>
  </si>
  <si>
    <t>#03699</t>
  </si>
  <si>
    <t>#00765</t>
  </si>
  <si>
    <t>#09155</t>
  </si>
  <si>
    <t>#03042</t>
  </si>
  <si>
    <t>#24871</t>
  </si>
  <si>
    <t>Bùi Lương Tâm</t>
  </si>
  <si>
    <t>#25126</t>
  </si>
  <si>
    <t>#25127</t>
  </si>
  <si>
    <t>#09262</t>
  </si>
  <si>
    <t>#00854</t>
  </si>
  <si>
    <t>#09040</t>
  </si>
  <si>
    <t>XIMA</t>
  </si>
  <si>
    <t>#24919</t>
  </si>
  <si>
    <t>27/08/2024</t>
  </si>
  <si>
    <t>#24789</t>
  </si>
  <si>
    <t>#25150</t>
  </si>
  <si>
    <t>25010</t>
  </si>
  <si>
    <t>#00487</t>
  </si>
  <si>
    <t>#00431</t>
  </si>
  <si>
    <t>Hàn X5A</t>
  </si>
  <si>
    <t>Văn phòng IS</t>
  </si>
  <si>
    <t>24934</t>
  </si>
  <si>
    <t>Đỗ Văn Hưởng</t>
  </si>
  <si>
    <t>24947</t>
  </si>
  <si>
    <t>Lò Phương Thanh</t>
  </si>
  <si>
    <t>24948</t>
  </si>
  <si>
    <t>24950</t>
  </si>
  <si>
    <t>24953</t>
  </si>
  <si>
    <t>Thang Lệ Huyền</t>
  </si>
  <si>
    <t>24954</t>
  </si>
  <si>
    <t>Phạm Xuân Hùng</t>
  </si>
  <si>
    <t>24965</t>
  </si>
  <si>
    <t xml:space="preserve">Nguyễn Thị Thức </t>
  </si>
  <si>
    <t>24966</t>
  </si>
  <si>
    <t>24969</t>
  </si>
  <si>
    <t>Bùi Thị Hồng Hà</t>
  </si>
  <si>
    <t>24973</t>
  </si>
  <si>
    <t xml:space="preserve">Đỗ Cao Thành </t>
  </si>
  <si>
    <t>24976</t>
  </si>
  <si>
    <t>Đinh Tiến Sơn</t>
  </si>
  <si>
    <t>24994</t>
  </si>
  <si>
    <t>Lê Duy Long</t>
  </si>
  <si>
    <t>24995</t>
  </si>
  <si>
    <t>24996</t>
  </si>
  <si>
    <t>Bùi Văn Nhã</t>
  </si>
  <si>
    <t>24999</t>
  </si>
  <si>
    <t>Kim Văn Quyết</t>
  </si>
  <si>
    <t>25001</t>
  </si>
  <si>
    <t>Trần Thiện Phú</t>
  </si>
  <si>
    <t>25009</t>
  </si>
  <si>
    <t xml:space="preserve">Lê Văn Bốn </t>
  </si>
  <si>
    <t>Xi Mạ</t>
  </si>
  <si>
    <t>25021</t>
  </si>
  <si>
    <t>Vũ Văn Huỳnh</t>
  </si>
  <si>
    <t>25024</t>
  </si>
  <si>
    <t>Vũ Hải Khanh</t>
  </si>
  <si>
    <t>25025</t>
  </si>
  <si>
    <t>Đặng Ngọc Đạt</t>
  </si>
  <si>
    <t>25026</t>
  </si>
  <si>
    <t>Đặng Ngọc Tuấn</t>
  </si>
  <si>
    <t>25027</t>
  </si>
  <si>
    <t>Lê Đức Việt</t>
  </si>
  <si>
    <t>25028</t>
  </si>
  <si>
    <t>Trần Danh Du</t>
  </si>
  <si>
    <t>25029</t>
  </si>
  <si>
    <t>25030</t>
  </si>
  <si>
    <t>Nguyễn Đình Dũng</t>
  </si>
  <si>
    <t>25032</t>
  </si>
  <si>
    <t>Vũ Kim Hiền</t>
  </si>
  <si>
    <t>25033</t>
  </si>
  <si>
    <t>Vũ Ngọc Chuyên</t>
  </si>
  <si>
    <t>25034</t>
  </si>
  <si>
    <t>25035</t>
  </si>
  <si>
    <t>25036</t>
  </si>
  <si>
    <t>25037</t>
  </si>
  <si>
    <t>Lự Văn Dỡ</t>
  </si>
  <si>
    <t>25038</t>
  </si>
  <si>
    <t>25039</t>
  </si>
  <si>
    <t>Bùi Văn Công</t>
  </si>
  <si>
    <t>25040</t>
  </si>
  <si>
    <t>Hoàng Văn Hoàn</t>
  </si>
  <si>
    <t>25045</t>
  </si>
  <si>
    <t>25048</t>
  </si>
  <si>
    <t>Khổng Văn Thông</t>
  </si>
  <si>
    <t>25049</t>
  </si>
  <si>
    <t>Đặng Văn Hoàng</t>
  </si>
  <si>
    <t>25050</t>
  </si>
  <si>
    <t>25054</t>
  </si>
  <si>
    <t xml:space="preserve">Nguyễn Thị Cúc </t>
  </si>
  <si>
    <t>25062</t>
  </si>
  <si>
    <t>Bàn Văn Tuấn</t>
  </si>
  <si>
    <t>25065</t>
  </si>
  <si>
    <t xml:space="preserve">Phùng Văn Hiếu </t>
  </si>
  <si>
    <t>25076</t>
  </si>
  <si>
    <t>25084</t>
  </si>
  <si>
    <t>Trương Công Lý</t>
  </si>
  <si>
    <t>25086</t>
  </si>
  <si>
    <t>Phạm Văn Được</t>
  </si>
  <si>
    <t>25094</t>
  </si>
  <si>
    <t>Dương Đức Anh Tú</t>
  </si>
  <si>
    <t>25117</t>
  </si>
  <si>
    <t>Hà Trọng Hoàng Long</t>
  </si>
  <si>
    <t>25118</t>
  </si>
  <si>
    <t>Phạm Thị Thương</t>
  </si>
  <si>
    <t>25119</t>
  </si>
  <si>
    <t>25120</t>
  </si>
  <si>
    <t>Hà Văn Giang</t>
  </si>
  <si>
    <t>25125</t>
  </si>
  <si>
    <t>Trần Minh Quân</t>
  </si>
  <si>
    <t>25127</t>
  </si>
  <si>
    <t>Chu Thanh Sơn</t>
  </si>
  <si>
    <t>25133</t>
  </si>
  <si>
    <t xml:space="preserve">Nùng Thị Minh Huệ </t>
  </si>
  <si>
    <t>25135</t>
  </si>
  <si>
    <t>Nguyễn Hoàng Long</t>
  </si>
  <si>
    <t>25140</t>
  </si>
  <si>
    <t>Ngô Việt Hoàng</t>
  </si>
  <si>
    <t>25143</t>
  </si>
  <si>
    <t>Lô Thị Ngâm</t>
  </si>
  <si>
    <t>25145</t>
  </si>
  <si>
    <t>Hoàng Thị Hồng Hạnh</t>
  </si>
  <si>
    <t>25148</t>
  </si>
  <si>
    <t>Tạ Hải Anh</t>
  </si>
  <si>
    <t>25149</t>
  </si>
  <si>
    <t>25150</t>
  </si>
  <si>
    <t>Nguyễn Xuân Chung</t>
  </si>
  <si>
    <r>
      <t xml:space="preserve">QLSX 1 </t>
    </r>
    <r>
      <rPr>
        <sz val="12"/>
        <color rgb="FF0000FF"/>
        <rFont val="Times New Roman"/>
        <family val="1"/>
      </rPr>
      <t>一廠生管</t>
    </r>
  </si>
  <si>
    <r>
      <t xml:space="preserve">QC 1 </t>
    </r>
    <r>
      <rPr>
        <sz val="12"/>
        <color rgb="FF0000FF"/>
        <rFont val="Times New Roman"/>
        <family val="1"/>
      </rPr>
      <t>一廠品管</t>
    </r>
  </si>
  <si>
    <r>
      <t xml:space="preserve">Hàn 1  </t>
    </r>
    <r>
      <rPr>
        <sz val="12"/>
        <color rgb="FF0000FF"/>
        <rFont val="Times New Roman"/>
        <family val="1"/>
      </rPr>
      <t xml:space="preserve">一廠焊接 </t>
    </r>
  </si>
  <si>
    <r>
      <t xml:space="preserve">KHO NL1 </t>
    </r>
    <r>
      <rPr>
        <sz val="12"/>
        <color rgb="FF0000FF"/>
        <rFont val="Times New Roman"/>
        <family val="1"/>
      </rPr>
      <t>一廠原料庫</t>
    </r>
  </si>
  <si>
    <r>
      <t xml:space="preserve">Dập 1 </t>
    </r>
    <r>
      <rPr>
        <sz val="12"/>
        <color rgb="FF0000FF"/>
        <rFont val="Times New Roman"/>
        <family val="1"/>
      </rPr>
      <t>一廠沖壓</t>
    </r>
  </si>
  <si>
    <r>
      <t xml:space="preserve">Sơn 1 </t>
    </r>
    <r>
      <rPr>
        <sz val="12"/>
        <color rgb="FF0000FF"/>
        <rFont val="Times New Roman"/>
        <family val="1"/>
      </rPr>
      <t>一廠塗裝</t>
    </r>
  </si>
  <si>
    <r>
      <t xml:space="preserve">KHO LK1 </t>
    </r>
    <r>
      <rPr>
        <sz val="12"/>
        <color rgb="FF0000FF"/>
        <rFont val="Times New Roman"/>
        <family val="1"/>
      </rPr>
      <t>一廠零件庫</t>
    </r>
  </si>
  <si>
    <r>
      <t xml:space="preserve">Sơn 3 </t>
    </r>
    <r>
      <rPr>
        <sz val="12"/>
        <color rgb="FF0000FF"/>
        <rFont val="Times New Roman"/>
        <family val="1"/>
      </rPr>
      <t>三廠塗裝</t>
    </r>
  </si>
  <si>
    <r>
      <t xml:space="preserve">KHO LK3 </t>
    </r>
    <r>
      <rPr>
        <sz val="12"/>
        <color rgb="FF0000FF"/>
        <rFont val="Times New Roman"/>
        <family val="1"/>
      </rPr>
      <t>三廠零件庫</t>
    </r>
  </si>
  <si>
    <r>
      <t xml:space="preserve">Cắt 3 </t>
    </r>
    <r>
      <rPr>
        <sz val="12"/>
        <color rgb="FF0000FF"/>
        <rFont val="Times New Roman"/>
        <family val="1"/>
      </rPr>
      <t>三 廠素材</t>
    </r>
  </si>
  <si>
    <r>
      <t xml:space="preserve">Dập 3 </t>
    </r>
    <r>
      <rPr>
        <sz val="12"/>
        <color rgb="FF0000FF"/>
        <rFont val="Times New Roman"/>
        <family val="1"/>
      </rPr>
      <t>三廠沖壓</t>
    </r>
  </si>
  <si>
    <r>
      <t xml:space="preserve">Lắp ráp </t>
    </r>
    <r>
      <rPr>
        <sz val="12"/>
        <color rgb="FF0000FF"/>
        <rFont val="Times New Roman"/>
        <family val="1"/>
      </rPr>
      <t>組裝</t>
    </r>
  </si>
  <si>
    <r>
      <t xml:space="preserve">Hàn 3 </t>
    </r>
    <r>
      <rPr>
        <sz val="12"/>
        <color rgb="FF0000FF"/>
        <rFont val="Times New Roman"/>
        <family val="1"/>
      </rPr>
      <t>三廠焊接</t>
    </r>
  </si>
  <si>
    <r>
      <t xml:space="preserve">Kinh doanh </t>
    </r>
    <r>
      <rPr>
        <sz val="12"/>
        <color rgb="FF0000FF"/>
        <rFont val="Times New Roman"/>
        <family val="1"/>
      </rPr>
      <t>業務部</t>
    </r>
  </si>
  <si>
    <r>
      <t xml:space="preserve">Thu mua  </t>
    </r>
    <r>
      <rPr>
        <sz val="12"/>
        <color rgb="FF0000FF"/>
        <rFont val="Times New Roman"/>
        <family val="1"/>
      </rPr>
      <t>採購</t>
    </r>
  </si>
  <si>
    <r>
      <t xml:space="preserve">Nhân sự-tổng vụ </t>
    </r>
    <r>
      <rPr>
        <sz val="12"/>
        <color rgb="FF0000FF"/>
        <rFont val="Times New Roman"/>
        <family val="1"/>
      </rPr>
      <t>人事-總務</t>
    </r>
  </si>
  <si>
    <r>
      <t xml:space="preserve">An toàn - Môi trường </t>
    </r>
    <r>
      <rPr>
        <sz val="12"/>
        <color rgb="FF0000FF"/>
        <rFont val="Times New Roman"/>
        <family val="1"/>
      </rPr>
      <t>安環室</t>
    </r>
  </si>
  <si>
    <r>
      <t xml:space="preserve">KSNB </t>
    </r>
    <r>
      <rPr>
        <sz val="12"/>
        <color rgb="FF0000FF"/>
        <rFont val="Times New Roman"/>
        <family val="1"/>
      </rPr>
      <t xml:space="preserve">稽核室 </t>
    </r>
  </si>
  <si>
    <r>
      <t xml:space="preserve">Y Tế  </t>
    </r>
    <r>
      <rPr>
        <sz val="12"/>
        <color rgb="FF0000FF"/>
        <rFont val="Times New Roman"/>
        <family val="1"/>
      </rPr>
      <t>醫務室</t>
    </r>
  </si>
  <si>
    <r>
      <t xml:space="preserve">Kaifa </t>
    </r>
    <r>
      <rPr>
        <sz val="12"/>
        <color rgb="FF0000FF"/>
        <rFont val="Times New Roman"/>
        <family val="1"/>
      </rPr>
      <t xml:space="preserve"> 開發課 </t>
    </r>
  </si>
  <si>
    <r>
      <t xml:space="preserve">Khuôn mẫu </t>
    </r>
    <r>
      <rPr>
        <sz val="12"/>
        <color rgb="FF0000FF"/>
        <rFont val="Times New Roman"/>
        <family val="1"/>
      </rPr>
      <t>模具課</t>
    </r>
  </si>
  <si>
    <r>
      <t xml:space="preserve">Dập 4 </t>
    </r>
    <r>
      <rPr>
        <sz val="12"/>
        <color rgb="FF0000FF"/>
        <rFont val="Times New Roman"/>
        <family val="1"/>
      </rPr>
      <t>四廠沖壓</t>
    </r>
  </si>
  <si>
    <r>
      <t xml:space="preserve">QLK 4 </t>
    </r>
    <r>
      <rPr>
        <sz val="12"/>
        <color rgb="FF0000FF"/>
        <rFont val="Times New Roman"/>
        <family val="1"/>
      </rPr>
      <t>四廠倉庫</t>
    </r>
  </si>
  <si>
    <r>
      <t xml:space="preserve">Công Vụ </t>
    </r>
    <r>
      <rPr>
        <sz val="12"/>
        <color rgb="FF0000FF"/>
        <rFont val="Times New Roman"/>
        <family val="1"/>
      </rPr>
      <t>工務</t>
    </r>
  </si>
  <si>
    <r>
      <t xml:space="preserve">QLTB </t>
    </r>
    <r>
      <rPr>
        <sz val="12"/>
        <color rgb="FF0000FF"/>
        <rFont val="Times New Roman"/>
        <family val="1"/>
      </rPr>
      <t>設管</t>
    </r>
  </si>
  <si>
    <r>
      <t xml:space="preserve">Tài vụ  </t>
    </r>
    <r>
      <rPr>
        <sz val="12"/>
        <color rgb="FF0000FF"/>
        <rFont val="Times New Roman"/>
        <family val="1"/>
      </rPr>
      <t>財務部</t>
    </r>
  </si>
  <si>
    <r>
      <t xml:space="preserve">Đúc </t>
    </r>
    <r>
      <rPr>
        <sz val="12"/>
        <color rgb="FF0000FF"/>
        <rFont val="Times New Roman"/>
        <family val="1"/>
      </rPr>
      <t>壓鑄部</t>
    </r>
  </si>
  <si>
    <r>
      <t xml:space="preserve">Gia công </t>
    </r>
    <r>
      <rPr>
        <sz val="12"/>
        <color rgb="FF0000FF"/>
        <rFont val="Times New Roman"/>
        <family val="1"/>
      </rPr>
      <t>加工部</t>
    </r>
  </si>
  <si>
    <r>
      <t xml:space="preserve">QC 2 </t>
    </r>
    <r>
      <rPr>
        <sz val="12"/>
        <color rgb="FF0000FF"/>
        <rFont val="Times New Roman"/>
        <family val="1"/>
      </rPr>
      <t>二廠品管</t>
    </r>
  </si>
  <si>
    <r>
      <t xml:space="preserve">Sơn 2  </t>
    </r>
    <r>
      <rPr>
        <sz val="12"/>
        <color rgb="FF0000FF"/>
        <rFont val="Times New Roman"/>
        <family val="1"/>
      </rPr>
      <t xml:space="preserve">二廠塗裝 </t>
    </r>
  </si>
  <si>
    <r>
      <t xml:space="preserve">QLK 2 </t>
    </r>
    <r>
      <rPr>
        <sz val="12"/>
        <color rgb="FF0000FF"/>
        <rFont val="Times New Roman"/>
        <family val="1"/>
      </rPr>
      <t>二廠倉管部</t>
    </r>
  </si>
  <si>
    <r>
      <t xml:space="preserve">QLSX 2 </t>
    </r>
    <r>
      <rPr>
        <sz val="12"/>
        <color rgb="FF0000FF"/>
        <rFont val="Times New Roman"/>
        <family val="1"/>
      </rPr>
      <t>二廠生管</t>
    </r>
  </si>
  <si>
    <r>
      <t xml:space="preserve">Cán ống </t>
    </r>
    <r>
      <rPr>
        <sz val="12"/>
        <color rgb="FF0000FF"/>
        <rFont val="Times New Roman"/>
        <family val="1"/>
      </rPr>
      <t>製管事業部</t>
    </r>
  </si>
  <si>
    <r>
      <t xml:space="preserve">QLK 5 </t>
    </r>
    <r>
      <rPr>
        <sz val="12"/>
        <color rgb="FF0000FF"/>
        <rFont val="Times New Roman"/>
        <family val="1"/>
      </rPr>
      <t>五廠倉管部</t>
    </r>
  </si>
  <si>
    <r>
      <t xml:space="preserve">QC 5 </t>
    </r>
    <r>
      <rPr>
        <sz val="12"/>
        <color rgb="FF0000FF"/>
        <rFont val="Times New Roman"/>
        <family val="1"/>
      </rPr>
      <t>五廠品管</t>
    </r>
  </si>
  <si>
    <r>
      <t xml:space="preserve">Dập 5 </t>
    </r>
    <r>
      <rPr>
        <sz val="12"/>
        <color rgb="FF0000FF"/>
        <rFont val="Times New Roman"/>
        <family val="1"/>
      </rPr>
      <t>五廠沖壓</t>
    </r>
  </si>
  <si>
    <r>
      <t xml:space="preserve">Hàn 5 </t>
    </r>
    <r>
      <rPr>
        <sz val="12"/>
        <color rgb="FF0000FF"/>
        <rFont val="Times New Roman"/>
        <family val="1"/>
      </rPr>
      <t>五廠焊接</t>
    </r>
  </si>
  <si>
    <r>
      <t xml:space="preserve">QLK 6 </t>
    </r>
    <r>
      <rPr>
        <sz val="12"/>
        <color rgb="FF0000FF"/>
        <rFont val="Times New Roman"/>
        <family val="1"/>
      </rPr>
      <t>六廠倉管部</t>
    </r>
  </si>
  <si>
    <r>
      <t xml:space="preserve">QC 6 </t>
    </r>
    <r>
      <rPr>
        <sz val="12"/>
        <color rgb="FF0000FF"/>
        <rFont val="Times New Roman"/>
        <family val="1"/>
      </rPr>
      <t>六廠品管</t>
    </r>
  </si>
  <si>
    <r>
      <t xml:space="preserve">Dập 6  </t>
    </r>
    <r>
      <rPr>
        <sz val="12"/>
        <color rgb="FF0000FF"/>
        <rFont val="Times New Roman"/>
        <family val="1"/>
      </rPr>
      <t>六廠沖壓</t>
    </r>
  </si>
  <si>
    <r>
      <t xml:space="preserve">Hàn 6 </t>
    </r>
    <r>
      <rPr>
        <sz val="12"/>
        <color rgb="FF0000FF"/>
        <rFont val="Times New Roman"/>
        <family val="1"/>
      </rPr>
      <t>六廠焊接</t>
    </r>
  </si>
  <si>
    <r>
      <t xml:space="preserve">Lắp ráp 6 </t>
    </r>
    <r>
      <rPr>
        <sz val="12"/>
        <color rgb="FF0000FF"/>
        <rFont val="Times New Roman"/>
        <family val="1"/>
      </rPr>
      <t>六廠組裝</t>
    </r>
  </si>
  <si>
    <r>
      <t xml:space="preserve">QLSX 6 </t>
    </r>
    <r>
      <rPr>
        <sz val="12"/>
        <color rgb="FF0000FF"/>
        <rFont val="Times New Roman"/>
        <family val="1"/>
      </rPr>
      <t>六廠生管</t>
    </r>
  </si>
  <si>
    <r>
      <t xml:space="preserve">Sơn 6 </t>
    </r>
    <r>
      <rPr>
        <sz val="12"/>
        <color rgb="FF0000FF"/>
        <rFont val="Times New Roman"/>
        <family val="1"/>
      </rPr>
      <t>六廠塗裝</t>
    </r>
  </si>
  <si>
    <r>
      <t xml:space="preserve">Xuất nhập khẩu </t>
    </r>
    <r>
      <rPr>
        <sz val="12"/>
        <color rgb="FF0033CC"/>
        <rFont val="Times New Roman"/>
        <family val="1"/>
      </rPr>
      <t>進出口</t>
    </r>
  </si>
  <si>
    <t>#25156</t>
  </si>
  <si>
    <t>25156</t>
  </si>
  <si>
    <t>#10188</t>
  </si>
  <si>
    <t>#12479</t>
  </si>
  <si>
    <t>#24996</t>
  </si>
  <si>
    <t>#24918</t>
  </si>
  <si>
    <t>#24994</t>
  </si>
  <si>
    <t>#25022</t>
  </si>
  <si>
    <t>Vũ Đức Duy</t>
  </si>
  <si>
    <t>#25354</t>
  </si>
  <si>
    <t>#24002</t>
  </si>
  <si>
    <t>#25575</t>
  </si>
  <si>
    <t>25575</t>
  </si>
  <si>
    <t>Lê Chí Duy</t>
  </si>
  <si>
    <t>#25319</t>
  </si>
  <si>
    <t>IT@vpic2</t>
  </si>
  <si>
    <t>25319</t>
  </si>
  <si>
    <t>KM.MEET</t>
  </si>
  <si>
    <t>#25658</t>
  </si>
  <si>
    <t>#25659</t>
  </si>
  <si>
    <t>25658</t>
  </si>
  <si>
    <t>25659</t>
  </si>
  <si>
    <t>(blank)</t>
  </si>
  <si>
    <t>Phùng Quốc Huy</t>
  </si>
  <si>
    <t>Lương Hồng Phúc</t>
  </si>
  <si>
    <t>#25724</t>
  </si>
  <si>
    <t>#25725</t>
  </si>
  <si>
    <t>25724</t>
  </si>
  <si>
    <t>25725</t>
  </si>
  <si>
    <t>Trần Hải Đăng</t>
  </si>
  <si>
    <t>Dương Công Thành</t>
  </si>
  <si>
    <t>#25678</t>
  </si>
  <si>
    <t>#25768</t>
  </si>
  <si>
    <t>#00860</t>
  </si>
  <si>
    <t>#00293</t>
  </si>
  <si>
    <t>#04365</t>
  </si>
  <si>
    <t>#00413</t>
  </si>
  <si>
    <t>#25758</t>
  </si>
  <si>
    <t>#25814</t>
  </si>
  <si>
    <t>25814</t>
  </si>
  <si>
    <t>Nguyễn Thanh Xuân</t>
  </si>
  <si>
    <t>#06311</t>
  </si>
  <si>
    <t>#10034</t>
  </si>
  <si>
    <t>#11457</t>
  </si>
  <si>
    <t>#25842</t>
  </si>
  <si>
    <t>Nghiêm Thị Phương Thảo</t>
  </si>
  <si>
    <t>NSX6.MEET</t>
  </si>
  <si>
    <t>#25843</t>
  </si>
  <si>
    <t>#25860</t>
  </si>
  <si>
    <t>25843</t>
  </si>
  <si>
    <t>25860</t>
  </si>
  <si>
    <t>Nguyễn Thị Như</t>
  </si>
  <si>
    <t>Trần Việt Hưng</t>
  </si>
  <si>
    <t>#16118</t>
  </si>
  <si>
    <t>#01876</t>
  </si>
  <si>
    <t>25956</t>
  </si>
  <si>
    <t>#25956</t>
  </si>
  <si>
    <t>#25677</t>
  </si>
  <si>
    <t>#25957</t>
  </si>
  <si>
    <t>25957</t>
  </si>
  <si>
    <t>Nguyễn Phú Tĩnh</t>
  </si>
  <si>
    <t>Đào Quang Linh</t>
  </si>
  <si>
    <t>#00264</t>
  </si>
  <si>
    <t>#25906</t>
  </si>
  <si>
    <t>25906</t>
  </si>
  <si>
    <t>Lưu Thị Hải</t>
  </si>
  <si>
    <t>Số thẻ chính thức</t>
  </si>
  <si>
    <t>Cắt X3</t>
  </si>
  <si>
    <t xml:space="preserve">Nguyễn Thị Thu Thanh </t>
  </si>
  <si>
    <t>25166</t>
  </si>
  <si>
    <t xml:space="preserve">Dương Thị Vượng </t>
  </si>
  <si>
    <t>25168</t>
  </si>
  <si>
    <t xml:space="preserve">Chu Văn Hiệu </t>
  </si>
  <si>
    <t>25171</t>
  </si>
  <si>
    <t>Mạc Văn Quang</t>
  </si>
  <si>
    <t>25174</t>
  </si>
  <si>
    <t>Nguyễn Hoàng Hiệp</t>
  </si>
  <si>
    <t>25180</t>
  </si>
  <si>
    <t>Triệu Minh Điệp</t>
  </si>
  <si>
    <t>25181</t>
  </si>
  <si>
    <t>Lê Xuân Tấc</t>
  </si>
  <si>
    <t>25183</t>
  </si>
  <si>
    <t>Lê Hồng Phong</t>
  </si>
  <si>
    <t>25184</t>
  </si>
  <si>
    <t>Trần Quốc Đạt</t>
  </si>
  <si>
    <t>25186</t>
  </si>
  <si>
    <t xml:space="preserve">Tạ Thị Phượng </t>
  </si>
  <si>
    <t>25187</t>
  </si>
  <si>
    <t>25188</t>
  </si>
  <si>
    <t xml:space="preserve">Nguyễn Quang Huy </t>
  </si>
  <si>
    <t>25189</t>
  </si>
  <si>
    <t xml:space="preserve">Khổng Văn Toán </t>
  </si>
  <si>
    <t>25190</t>
  </si>
  <si>
    <t>Đặng Duy Quảng</t>
  </si>
  <si>
    <t>25196</t>
  </si>
  <si>
    <t>Phạm Thị Thùy An</t>
  </si>
  <si>
    <t>25198</t>
  </si>
  <si>
    <t>Nguyễn Hồng Tuân</t>
  </si>
  <si>
    <t>25202</t>
  </si>
  <si>
    <t xml:space="preserve">Lý Thị Hồng Nhung </t>
  </si>
  <si>
    <t>25206</t>
  </si>
  <si>
    <t xml:space="preserve">Vàng Thị Phượng </t>
  </si>
  <si>
    <t>25208</t>
  </si>
  <si>
    <t>Triệu Tuấn Anh</t>
  </si>
  <si>
    <t>25209</t>
  </si>
  <si>
    <t>Phùng Tuấn Anh</t>
  </si>
  <si>
    <t>25221</t>
  </si>
  <si>
    <t>Lê Văn Dự</t>
  </si>
  <si>
    <t>25228</t>
  </si>
  <si>
    <t>25231</t>
  </si>
  <si>
    <t>25232</t>
  </si>
  <si>
    <t>Nguyễn Lệ Nhi</t>
  </si>
  <si>
    <t>25236</t>
  </si>
  <si>
    <t>Nguyễn Văn Thương</t>
  </si>
  <si>
    <t>25243</t>
  </si>
  <si>
    <t>Đỗ Thị Thuấn</t>
  </si>
  <si>
    <t>25258</t>
  </si>
  <si>
    <t>Nùng Thế An</t>
  </si>
  <si>
    <t>25272</t>
  </si>
  <si>
    <t>25281</t>
  </si>
  <si>
    <t>Lăng Thị Xuân</t>
  </si>
  <si>
    <t>25291</t>
  </si>
  <si>
    <t xml:space="preserve">Nguyễn Minh Khương </t>
  </si>
  <si>
    <t>25305</t>
  </si>
  <si>
    <t>Chu Thành Hưng</t>
  </si>
  <si>
    <t>25307</t>
  </si>
  <si>
    <t>25311</t>
  </si>
  <si>
    <t>Kim Thị Thảo</t>
  </si>
  <si>
    <t>Trần Thùy Trang</t>
  </si>
  <si>
    <t>25320</t>
  </si>
  <si>
    <t xml:space="preserve">Vũ Thị Hảo </t>
  </si>
  <si>
    <t>25328</t>
  </si>
  <si>
    <t>Phạm Thị Quỳnh</t>
  </si>
  <si>
    <t>25335</t>
  </si>
  <si>
    <t xml:space="preserve">Nguyễn Văn Hải </t>
  </si>
  <si>
    <t>25336</t>
  </si>
  <si>
    <t xml:space="preserve">Phạm Văn Được </t>
  </si>
  <si>
    <t>25343</t>
  </si>
  <si>
    <t xml:space="preserve">Kim Thị Vũ </t>
  </si>
  <si>
    <t>25354</t>
  </si>
  <si>
    <t>25357</t>
  </si>
  <si>
    <t>Mễ Văn Chính</t>
  </si>
  <si>
    <t>25360</t>
  </si>
  <si>
    <t>Hà Minh Tuấn</t>
  </si>
  <si>
    <t>25362</t>
  </si>
  <si>
    <t>Nguyễn Hồng Hà</t>
  </si>
  <si>
    <t>25364</t>
  </si>
  <si>
    <t>Nguyễn Thị Thuý Hằng</t>
  </si>
  <si>
    <t>25368</t>
  </si>
  <si>
    <t>Hoàng Quốc Hiệp</t>
  </si>
  <si>
    <t>25369</t>
  </si>
  <si>
    <t>25374</t>
  </si>
  <si>
    <t>25378</t>
  </si>
  <si>
    <t>Hán Văn Sơn</t>
  </si>
  <si>
    <t>25402</t>
  </si>
  <si>
    <t xml:space="preserve">Kim Văn Huân </t>
  </si>
  <si>
    <t>25406</t>
  </si>
  <si>
    <t xml:space="preserve">Hà Văn Dự </t>
  </si>
  <si>
    <t>25420</t>
  </si>
  <si>
    <t>25427</t>
  </si>
  <si>
    <t>Ngô Văn Nghĩa</t>
  </si>
  <si>
    <t>25428</t>
  </si>
  <si>
    <t>Phạm Văn Bảo</t>
  </si>
  <si>
    <t>25435</t>
  </si>
  <si>
    <t>Quan Văn Quyến</t>
  </si>
  <si>
    <t>25443</t>
  </si>
  <si>
    <t>Trần Thị Gái</t>
  </si>
  <si>
    <t>25452</t>
  </si>
  <si>
    <t>Nguyễn Quang Hà</t>
  </si>
  <si>
    <t>25453</t>
  </si>
  <si>
    <t>25456</t>
  </si>
  <si>
    <t>Nguyễn Đức Hải</t>
  </si>
  <si>
    <t>25457</t>
  </si>
  <si>
    <t>Hoàng Thị Thu Thủy</t>
  </si>
  <si>
    <t>25458</t>
  </si>
  <si>
    <t>Thào Thị Tuyết</t>
  </si>
  <si>
    <t>25459</t>
  </si>
  <si>
    <t>Hoàng Văn Thoát</t>
  </si>
  <si>
    <t>25463</t>
  </si>
  <si>
    <t>25466</t>
  </si>
  <si>
    <t>Nguyễn Hoàng Giang</t>
  </si>
  <si>
    <t>25467</t>
  </si>
  <si>
    <t>Chu Văn Tuấn</t>
  </si>
  <si>
    <t>25468</t>
  </si>
  <si>
    <t>Lê Thị Cảnh</t>
  </si>
  <si>
    <t>25469</t>
  </si>
  <si>
    <t>25471</t>
  </si>
  <si>
    <t>Phan Thị Hà</t>
  </si>
  <si>
    <t>25473</t>
  </si>
  <si>
    <t>Hoàng Đại Quân</t>
  </si>
  <si>
    <t>25474</t>
  </si>
  <si>
    <t>25475</t>
  </si>
  <si>
    <t>Nguyễn Quốc Thắng</t>
  </si>
  <si>
    <t>25483</t>
  </si>
  <si>
    <t>25489</t>
  </si>
  <si>
    <t>25494</t>
  </si>
  <si>
    <t>Kim Văn Lĩnh</t>
  </si>
  <si>
    <t>25511</t>
  </si>
  <si>
    <t>25521</t>
  </si>
  <si>
    <t>25526</t>
  </si>
  <si>
    <t>Nguyễn Thị Thêm</t>
  </si>
  <si>
    <t>25528</t>
  </si>
  <si>
    <t>Nguyễn Chí Hiếu</t>
  </si>
  <si>
    <t>25529</t>
  </si>
  <si>
    <t>25530</t>
  </si>
  <si>
    <t>Hà Đức Lương</t>
  </si>
  <si>
    <t>25532</t>
  </si>
  <si>
    <t>Nguyễn Thị Ngọc Châm</t>
  </si>
  <si>
    <t>25533</t>
  </si>
  <si>
    <t>Vũ Hoài Anh</t>
  </si>
  <si>
    <t>25535</t>
  </si>
  <si>
    <t>Phùng Quang Vũ</t>
  </si>
  <si>
    <t>25536</t>
  </si>
  <si>
    <t>25549</t>
  </si>
  <si>
    <t>Đỗ Minh Đức</t>
  </si>
  <si>
    <t>25559</t>
  </si>
  <si>
    <t>Dương Thị Nga</t>
  </si>
  <si>
    <t>25560</t>
  </si>
  <si>
    <t>25561</t>
  </si>
  <si>
    <t>Vũ Thành Chung</t>
  </si>
  <si>
    <t>25571</t>
  </si>
  <si>
    <t>Xìn Thị Hoa</t>
  </si>
  <si>
    <t>25572</t>
  </si>
  <si>
    <t>Bế Đức Chung</t>
  </si>
  <si>
    <t>25578</t>
  </si>
  <si>
    <t>Nguyễn Đức Kha</t>
  </si>
  <si>
    <t>25586</t>
  </si>
  <si>
    <t>25588</t>
  </si>
  <si>
    <t>25600</t>
  </si>
  <si>
    <t>Hà Anh Đức</t>
  </si>
  <si>
    <t>25601</t>
  </si>
  <si>
    <t>Nguyễn Văn Vĩnh</t>
  </si>
  <si>
    <t>25606</t>
  </si>
  <si>
    <t>Nguyễn Hồng Đức</t>
  </si>
  <si>
    <t>25622</t>
  </si>
  <si>
    <t>Chu Văn Hai</t>
  </si>
  <si>
    <t>25623</t>
  </si>
  <si>
    <t>Nguyễn Minh Ban</t>
  </si>
  <si>
    <t>25627</t>
  </si>
  <si>
    <t>Hà Minh Hạnh</t>
  </si>
  <si>
    <t>25635</t>
  </si>
  <si>
    <t>25654</t>
  </si>
  <si>
    <t>25655</t>
  </si>
  <si>
    <t>25657</t>
  </si>
  <si>
    <t>Nghiêm Xuân Vũ</t>
  </si>
  <si>
    <t>25664</t>
  </si>
  <si>
    <t>Ma Văn Hoành</t>
  </si>
  <si>
    <t>25665</t>
  </si>
  <si>
    <t xml:space="preserve">Lương Văn Hoàng </t>
  </si>
  <si>
    <t>25667</t>
  </si>
  <si>
    <t>Trần Xuân Cường</t>
  </si>
  <si>
    <t>25671</t>
  </si>
  <si>
    <t>Kim Văn Thắng</t>
  </si>
  <si>
    <t>25676</t>
  </si>
  <si>
    <t>Khương Đại Nghĩa</t>
  </si>
  <si>
    <t>25677</t>
  </si>
  <si>
    <t>Khổng Việt Vương</t>
  </si>
  <si>
    <t>25678</t>
  </si>
  <si>
    <t>25684</t>
  </si>
  <si>
    <t xml:space="preserve">Chu Văn Hùng </t>
  </si>
  <si>
    <t>25690</t>
  </si>
  <si>
    <t xml:space="preserve">Phạm Tiến Dũng </t>
  </si>
  <si>
    <t>25691</t>
  </si>
  <si>
    <t>Vương Quốc Tuấn</t>
  </si>
  <si>
    <t>25695</t>
  </si>
  <si>
    <t>25699</t>
  </si>
  <si>
    <t>Lê Mạnh Hà</t>
  </si>
  <si>
    <t>25700</t>
  </si>
  <si>
    <t>25702</t>
  </si>
  <si>
    <t>Trần Hồng Sơn</t>
  </si>
  <si>
    <t>25718</t>
  </si>
  <si>
    <t>Hán Quốc Cường</t>
  </si>
  <si>
    <t>25719</t>
  </si>
  <si>
    <t>Triệu Quốc Huy</t>
  </si>
  <si>
    <t>25720</t>
  </si>
  <si>
    <t>Nguyễn Quốc Vinh</t>
  </si>
  <si>
    <t>25722</t>
  </si>
  <si>
    <t>25723</t>
  </si>
  <si>
    <t>25736</t>
  </si>
  <si>
    <t>Trần Quang Hưng</t>
  </si>
  <si>
    <t>25739</t>
  </si>
  <si>
    <t xml:space="preserve">Phạm Thị Hiên </t>
  </si>
  <si>
    <t>25743</t>
  </si>
  <si>
    <t>Trương Xuân Nam</t>
  </si>
  <si>
    <t>25750</t>
  </si>
  <si>
    <t>Hà Văn Thật</t>
  </si>
  <si>
    <t>25753</t>
  </si>
  <si>
    <t>Trương Việt Hoàng</t>
  </si>
  <si>
    <t>25757</t>
  </si>
  <si>
    <t>25758</t>
  </si>
  <si>
    <t>Bạch Thị Hồng Nga</t>
  </si>
  <si>
    <t>25766</t>
  </si>
  <si>
    <t>25769</t>
  </si>
  <si>
    <t>Nguyễn Công Linh</t>
  </si>
  <si>
    <t>25770</t>
  </si>
  <si>
    <t>Trần Thị Thuỳ Dương</t>
  </si>
  <si>
    <t>25772</t>
  </si>
  <si>
    <t>Trần Thị Yến</t>
  </si>
  <si>
    <t>25773</t>
  </si>
  <si>
    <t>25775</t>
  </si>
  <si>
    <t>Phạm Tuấn Hoàng</t>
  </si>
  <si>
    <t>25777</t>
  </si>
  <si>
    <t>Hoàng Văn Tú</t>
  </si>
  <si>
    <t>25783</t>
  </si>
  <si>
    <t>Nguyễn Anh Dũng</t>
  </si>
  <si>
    <t>25787</t>
  </si>
  <si>
    <t xml:space="preserve">Mai Thị Hảo </t>
  </si>
  <si>
    <t>25796</t>
  </si>
  <si>
    <t xml:space="preserve">Khổng Bá Cao Kỳ </t>
  </si>
  <si>
    <t>25803</t>
  </si>
  <si>
    <t>25804</t>
  </si>
  <si>
    <t>25806</t>
  </si>
  <si>
    <t>25807</t>
  </si>
  <si>
    <t>Nguyễn Văn Tuấn Anh</t>
  </si>
  <si>
    <t>25813</t>
  </si>
  <si>
    <t>Nguyễn Văn Hoan</t>
  </si>
  <si>
    <t>25820</t>
  </si>
  <si>
    <t>Lý Văn Tiến</t>
  </si>
  <si>
    <t>25828</t>
  </si>
  <si>
    <t>25836</t>
  </si>
  <si>
    <t>Đằng Minh Quý</t>
  </si>
  <si>
    <t>25837</t>
  </si>
  <si>
    <t xml:space="preserve">Lê Anh Xuân </t>
  </si>
  <si>
    <t>25838</t>
  </si>
  <si>
    <t xml:space="preserve">Trần Khôi </t>
  </si>
  <si>
    <t>25839</t>
  </si>
  <si>
    <t xml:space="preserve">Nguyễn Văn Bính </t>
  </si>
  <si>
    <t>25840</t>
  </si>
  <si>
    <t>Đỗ Đình Quý</t>
  </si>
  <si>
    <t>25841</t>
  </si>
  <si>
    <t xml:space="preserve">Chu Thái Bình </t>
  </si>
  <si>
    <t>25842</t>
  </si>
  <si>
    <t xml:space="preserve">Nghiêm Thị Phương Thảo </t>
  </si>
  <si>
    <t>25844</t>
  </si>
  <si>
    <t>25845</t>
  </si>
  <si>
    <t>Hoàng Công Hậu</t>
  </si>
  <si>
    <t>25848</t>
  </si>
  <si>
    <t>Nguyễn Minh Tài</t>
  </si>
  <si>
    <t>25858</t>
  </si>
  <si>
    <t>25863</t>
  </si>
  <si>
    <t>25867</t>
  </si>
  <si>
    <t>25875</t>
  </si>
  <si>
    <t>Nguyễn Tiến Minh</t>
  </si>
  <si>
    <t>25889</t>
  </si>
  <si>
    <t>25893</t>
  </si>
  <si>
    <t>Đường Văn Thái</t>
  </si>
  <si>
    <t>25894</t>
  </si>
  <si>
    <t>25896</t>
  </si>
  <si>
    <t>Lê Tuấn Linh</t>
  </si>
  <si>
    <t>25897</t>
  </si>
  <si>
    <t>25898</t>
  </si>
  <si>
    <t>Lê Thanh Tuân</t>
  </si>
  <si>
    <t>25899</t>
  </si>
  <si>
    <t>Trần Xuân Lộc</t>
  </si>
  <si>
    <t>25901</t>
  </si>
  <si>
    <t>Nguyễn Công Toàn</t>
  </si>
  <si>
    <t>25903</t>
  </si>
  <si>
    <t>Trần Trường Giang</t>
  </si>
  <si>
    <t>25910</t>
  </si>
  <si>
    <t xml:space="preserve">Hà Quang Tâm </t>
  </si>
  <si>
    <t>25911</t>
  </si>
  <si>
    <t>Vũ Đức Hậu</t>
  </si>
  <si>
    <t>25916</t>
  </si>
  <si>
    <t>25917</t>
  </si>
  <si>
    <t>Phan Thị Tân</t>
  </si>
  <si>
    <t>25918</t>
  </si>
  <si>
    <t>25920</t>
  </si>
  <si>
    <t>Vũ Minh Hà</t>
  </si>
  <si>
    <t>25927</t>
  </si>
  <si>
    <t>Lê Duy Vũ</t>
  </si>
  <si>
    <t>25928</t>
  </si>
  <si>
    <t>25933</t>
  </si>
  <si>
    <t>Bùi Văn Chung</t>
  </si>
  <si>
    <t>25935</t>
  </si>
  <si>
    <t>Nguyễn Thị Thuý Lan</t>
  </si>
  <si>
    <t>25936</t>
  </si>
  <si>
    <t>Lê Đức Thiện</t>
  </si>
  <si>
    <t>25942</t>
  </si>
  <si>
    <t>Đỗ Văn Nam</t>
  </si>
  <si>
    <t>25944</t>
  </si>
  <si>
    <t>Lưu Văn Tâm</t>
  </si>
  <si>
    <t>25954</t>
  </si>
  <si>
    <t>25962</t>
  </si>
  <si>
    <t>Hoàng Vân Anh</t>
  </si>
  <si>
    <t>25963</t>
  </si>
  <si>
    <t>25967</t>
  </si>
  <si>
    <t>Vàng Láo Thành</t>
  </si>
  <si>
    <t>25976</t>
  </si>
  <si>
    <t>Hoàng Thị Chúc</t>
  </si>
  <si>
    <t>25977</t>
  </si>
  <si>
    <t>Nguyễn Thị Thanh Bình</t>
  </si>
  <si>
    <t>25978</t>
  </si>
  <si>
    <t>Nguyễn Khắc Tuyển</t>
  </si>
  <si>
    <t>25979</t>
  </si>
  <si>
    <t>Hoàng Thị Kim Lành</t>
  </si>
  <si>
    <t>25986</t>
  </si>
  <si>
    <t>Nùng Văn Kiểm</t>
  </si>
  <si>
    <t>25988</t>
  </si>
  <si>
    <t>Dương Thu Hương</t>
  </si>
  <si>
    <t>25989</t>
  </si>
  <si>
    <t>25990</t>
  </si>
  <si>
    <t>Hoàng Thị Niết</t>
  </si>
  <si>
    <t>26001</t>
  </si>
  <si>
    <t>Nguyễn Trọng Hải Anh</t>
  </si>
  <si>
    <t>26002</t>
  </si>
  <si>
    <t>Nguyễn Quang Hậu</t>
  </si>
  <si>
    <t>26003</t>
  </si>
  <si>
    <t>26005</t>
  </si>
  <si>
    <t>26007</t>
  </si>
  <si>
    <t>Lê Duy Anh</t>
  </si>
  <si>
    <t>#25374</t>
  </si>
  <si>
    <t>Check Dep</t>
  </si>
  <si>
    <t>#17908</t>
  </si>
  <si>
    <t>#08553</t>
  </si>
  <si>
    <t>#01134</t>
  </si>
  <si>
    <t>#06762</t>
  </si>
  <si>
    <t>#09000</t>
  </si>
  <si>
    <t>#25783</t>
  </si>
  <si>
    <t>#06955</t>
  </si>
  <si>
    <t>#25757</t>
  </si>
  <si>
    <t>#25918</t>
  </si>
  <si>
    <t>#26003</t>
  </si>
  <si>
    <t>#25606</t>
  </si>
  <si>
    <t>#26027</t>
  </si>
  <si>
    <t>#10199</t>
  </si>
  <si>
    <t>#26041</t>
  </si>
  <si>
    <t>26041</t>
  </si>
  <si>
    <t>Phùng Thị Thúy Hạnh</t>
  </si>
  <si>
    <t>#26005</t>
  </si>
  <si>
    <t>#26094</t>
  </si>
  <si>
    <t>#26001</t>
  </si>
  <si>
    <t>#26068</t>
  </si>
  <si>
    <t>HAN1</t>
  </si>
  <si>
    <t>#02716</t>
  </si>
  <si>
    <t>#26092</t>
  </si>
  <si>
    <t>26008</t>
  </si>
  <si>
    <t>Đoàn Anh Tuyến</t>
  </si>
  <si>
    <t>26014</t>
  </si>
  <si>
    <t>26015</t>
  </si>
  <si>
    <t>26020</t>
  </si>
  <si>
    <t xml:space="preserve">Nguyễn Thị Thùy </t>
  </si>
  <si>
    <t>26025</t>
  </si>
  <si>
    <t>26027</t>
  </si>
  <si>
    <t>Nguyễn Thị Hải Châu</t>
  </si>
  <si>
    <t>26028</t>
  </si>
  <si>
    <t>Nguyễn Văn Tư</t>
  </si>
  <si>
    <t>26032</t>
  </si>
  <si>
    <t xml:space="preserve">Nguyễn Thanh Tâm </t>
  </si>
  <si>
    <t>26033</t>
  </si>
  <si>
    <t>Bùi Hồng Hạnh</t>
  </si>
  <si>
    <t>26034</t>
  </si>
  <si>
    <t>26038</t>
  </si>
  <si>
    <t>26040</t>
  </si>
  <si>
    <t>26042</t>
  </si>
  <si>
    <t>26043</t>
  </si>
  <si>
    <t>26052</t>
  </si>
  <si>
    <t>Dư Thị Mai</t>
  </si>
  <si>
    <t>26054</t>
  </si>
  <si>
    <t>26055</t>
  </si>
  <si>
    <t>Nguyễn Hà Chi</t>
  </si>
  <si>
    <t>26057</t>
  </si>
  <si>
    <t>26062</t>
  </si>
  <si>
    <t>Trần Xuân Thảo</t>
  </si>
  <si>
    <t>26066</t>
  </si>
  <si>
    <t>Nguyễn Đức Quân</t>
  </si>
  <si>
    <t>26067</t>
  </si>
  <si>
    <t>Nguyễn Thị Huyền Chang</t>
  </si>
  <si>
    <t>26071</t>
  </si>
  <si>
    <t>Kim Thị Dung</t>
  </si>
  <si>
    <t>26080</t>
  </si>
  <si>
    <t>Nguyễn Văn Sinh</t>
  </si>
  <si>
    <t>26081</t>
  </si>
  <si>
    <t>26083</t>
  </si>
  <si>
    <t xml:space="preserve">Xìn Anh Mạnh </t>
  </si>
  <si>
    <t>26086</t>
  </si>
  <si>
    <t>26090</t>
  </si>
  <si>
    <t xml:space="preserve">Hà Thị Thu Hiền </t>
  </si>
  <si>
    <t>26092</t>
  </si>
  <si>
    <t>Trần Minh Hiệp</t>
  </si>
  <si>
    <t>26093</t>
  </si>
  <si>
    <t xml:space="preserve">Trần Trung Kiên </t>
  </si>
  <si>
    <t>26095</t>
  </si>
  <si>
    <t>Nguyễn Hồng Thuần</t>
  </si>
  <si>
    <t>26097</t>
  </si>
  <si>
    <t>26103</t>
  </si>
  <si>
    <t>Nguyễn Thị Thơ</t>
  </si>
  <si>
    <t>Nguyễn Thị Thúy Ngân</t>
  </si>
  <si>
    <t>26112</t>
  </si>
  <si>
    <t>Khổng Thị Hồng Thúy</t>
  </si>
  <si>
    <t>26113</t>
  </si>
  <si>
    <t>Nguyễn Xuân Cường</t>
  </si>
  <si>
    <t>26117</t>
  </si>
  <si>
    <t>26118</t>
  </si>
  <si>
    <t>26120</t>
  </si>
  <si>
    <t>26122</t>
  </si>
  <si>
    <t>Hạ Thanh Nhàn</t>
  </si>
  <si>
    <t>26123</t>
  </si>
  <si>
    <t>Nguyễn Hoài Nam</t>
  </si>
  <si>
    <t>26126</t>
  </si>
  <si>
    <t>Trần Đức Anh</t>
  </si>
  <si>
    <t>26127</t>
  </si>
  <si>
    <t>Khổng Minh Đông</t>
  </si>
  <si>
    <t>26132</t>
  </si>
  <si>
    <t>Vũ Đức Thông</t>
  </si>
  <si>
    <t>26136</t>
  </si>
  <si>
    <t>Khương Minh Trường</t>
  </si>
  <si>
    <t>26137</t>
  </si>
  <si>
    <t>26141</t>
  </si>
  <si>
    <t>Lò Văn Nghĩa</t>
  </si>
  <si>
    <t>26144</t>
  </si>
  <si>
    <t>Bùi Đức Việt</t>
  </si>
  <si>
    <t>26149</t>
  </si>
  <si>
    <t>Đào Văn Vĩnh</t>
  </si>
  <si>
    <t>Trần Thị Phương Huyền</t>
  </si>
  <si>
    <t>#26156</t>
  </si>
  <si>
    <t>#26223</t>
  </si>
  <si>
    <t>Phan Thanh Thùy</t>
  </si>
  <si>
    <t>26151</t>
  </si>
  <si>
    <t>Hoàng Thị Sim</t>
  </si>
  <si>
    <t>26152</t>
  </si>
  <si>
    <t>Phan Thị Thảo</t>
  </si>
  <si>
    <t>26155</t>
  </si>
  <si>
    <t>Xiếm Mùi Mủi</t>
  </si>
  <si>
    <t>26156</t>
  </si>
  <si>
    <t>26158</t>
  </si>
  <si>
    <t>Nguyễn Tuấn Kiệt</t>
  </si>
  <si>
    <t>26157</t>
  </si>
  <si>
    <t>Lê Thị Thanh Thủy</t>
  </si>
  <si>
    <t>26166</t>
  </si>
  <si>
    <t>Nguyễn Thị Kim Phượng</t>
  </si>
  <si>
    <t>26172</t>
  </si>
  <si>
    <t>Hán Thanh Thảo</t>
  </si>
  <si>
    <t>26183</t>
  </si>
  <si>
    <t>26184</t>
  </si>
  <si>
    <t>Phạm Thế Dũng</t>
  </si>
  <si>
    <t>26185</t>
  </si>
  <si>
    <t>26188</t>
  </si>
  <si>
    <t>26191</t>
  </si>
  <si>
    <t>26197</t>
  </si>
  <si>
    <t>Phùng Quang Tuyến</t>
  </si>
  <si>
    <t>26201</t>
  </si>
  <si>
    <t>Phan Minh Trường</t>
  </si>
  <si>
    <t>26202</t>
  </si>
  <si>
    <t>Bùi Thị Ánh</t>
  </si>
  <si>
    <t>26203</t>
  </si>
  <si>
    <t>Phan Công Nguyên</t>
  </si>
  <si>
    <t>26204</t>
  </si>
  <si>
    <t>Lê Văn Vịnh</t>
  </si>
  <si>
    <t>26205</t>
  </si>
  <si>
    <t>Hoàng Văn Hữu</t>
  </si>
  <si>
    <t>26210</t>
  </si>
  <si>
    <t>Phạm Tiến Anh</t>
  </si>
  <si>
    <t>26211</t>
  </si>
  <si>
    <t>Nguyễn Ngọc Bền</t>
  </si>
  <si>
    <t>26213</t>
  </si>
  <si>
    <t>26216</t>
  </si>
  <si>
    <t>Phạm Anh Tuấn</t>
  </si>
  <si>
    <t>26220</t>
  </si>
  <si>
    <t>Lưu Văn Bình</t>
  </si>
  <si>
    <t>26223</t>
  </si>
  <si>
    <t>Lê Minh Kiên</t>
  </si>
  <si>
    <t>26230</t>
  </si>
  <si>
    <t>Lê Tất Tài</t>
  </si>
  <si>
    <t>26233</t>
  </si>
  <si>
    <t>26234</t>
  </si>
  <si>
    <t>26240</t>
  </si>
  <si>
    <t>Phạm Văn Hoà</t>
  </si>
  <si>
    <t>#03229</t>
  </si>
  <si>
    <t>#26166</t>
  </si>
  <si>
    <t>#26277</t>
  </si>
  <si>
    <t>#26071</t>
  </si>
  <si>
    <t>Vpic1@2025</t>
  </si>
  <si>
    <t>#07045</t>
  </si>
  <si>
    <t>#26158</t>
  </si>
  <si>
    <t>Nguyễn Hữu Trường</t>
  </si>
  <si>
    <t>#26306</t>
  </si>
  <si>
    <t>#26307</t>
  </si>
  <si>
    <t>VN26306</t>
  </si>
  <si>
    <t>VN26307</t>
  </si>
  <si>
    <t>#26345</t>
  </si>
  <si>
    <t>VN07467</t>
  </si>
  <si>
    <t>#07467</t>
  </si>
  <si>
    <t>Họ và Tên</t>
  </si>
  <si>
    <t>26107</t>
  </si>
  <si>
    <t>26243</t>
  </si>
  <si>
    <t>26245</t>
  </si>
  <si>
    <t>Đinh Thị Hương</t>
  </si>
  <si>
    <t>26248</t>
  </si>
  <si>
    <t>26249</t>
  </si>
  <si>
    <t>Tạ Thị Ánh</t>
  </si>
  <si>
    <t>26251</t>
  </si>
  <si>
    <t>26253</t>
  </si>
  <si>
    <t>26254</t>
  </si>
  <si>
    <t>Phùng Văn Mạnh</t>
  </si>
  <si>
    <t>26261</t>
  </si>
  <si>
    <t>Nguyễn Văn Đạt</t>
  </si>
  <si>
    <t>26264</t>
  </si>
  <si>
    <t>26265</t>
  </si>
  <si>
    <t>Đỗ Cao Hoành</t>
  </si>
  <si>
    <t>26266</t>
  </si>
  <si>
    <t>Trần Quốc Đoàn</t>
  </si>
  <si>
    <t>26268</t>
  </si>
  <si>
    <t>Lò Thị Quý</t>
  </si>
  <si>
    <t>26271</t>
  </si>
  <si>
    <t>Đinh Văn Vui</t>
  </si>
  <si>
    <t>26272</t>
  </si>
  <si>
    <t>Võ Văn Đủ</t>
  </si>
  <si>
    <t>26277</t>
  </si>
  <si>
    <t>26278</t>
  </si>
  <si>
    <t>26279</t>
  </si>
  <si>
    <t>Tạ Thị Tuyết</t>
  </si>
  <si>
    <t>26285</t>
  </si>
  <si>
    <t>Đinh Khánh Toàn</t>
  </si>
  <si>
    <t>26286</t>
  </si>
  <si>
    <t>Dương Văn Công</t>
  </si>
  <si>
    <t>26293</t>
  </si>
  <si>
    <t>26294</t>
  </si>
  <si>
    <t>26299</t>
  </si>
  <si>
    <t>26300</t>
  </si>
  <si>
    <t>26301</t>
  </si>
  <si>
    <t>26302</t>
  </si>
  <si>
    <t>Phan Thị Ngọc Ánh</t>
  </si>
  <si>
    <t>26303</t>
  </si>
  <si>
    <t>Đặng Thành Phấn</t>
  </si>
  <si>
    <t>26306</t>
  </si>
  <si>
    <t>26307</t>
  </si>
  <si>
    <t>26308</t>
  </si>
  <si>
    <t>Dương Doãn Hiệp</t>
  </si>
  <si>
    <t>26309</t>
  </si>
  <si>
    <t>Nguyễn Quý Trọng</t>
  </si>
  <si>
    <t>26310</t>
  </si>
  <si>
    <t>Phùng Văn Xuân</t>
  </si>
  <si>
    <t>26315</t>
  </si>
  <si>
    <t>Phùng Thị Dung</t>
  </si>
  <si>
    <t>26316</t>
  </si>
  <si>
    <t>Lê Trung Liên</t>
  </si>
  <si>
    <t>26320</t>
  </si>
  <si>
    <t>Trần Việt Hoàn</t>
  </si>
  <si>
    <t>26328</t>
  </si>
  <si>
    <t>Vũ Mạnh Khánh</t>
  </si>
  <si>
    <t>26329</t>
  </si>
  <si>
    <t>Lục Văn Chín</t>
  </si>
  <si>
    <t>26330</t>
  </si>
  <si>
    <t>26332</t>
  </si>
  <si>
    <t>26337</t>
  </si>
  <si>
    <t>Lê Bình Thắng</t>
  </si>
  <si>
    <t>Lường Văn Khải</t>
  </si>
  <si>
    <t>26341</t>
  </si>
  <si>
    <t>26342</t>
  </si>
  <si>
    <t>Phạm Anh Tiến</t>
  </si>
  <si>
    <t>26343</t>
  </si>
  <si>
    <t>26344</t>
  </si>
  <si>
    <t>Lê Phương Thanh</t>
  </si>
  <si>
    <t>26345</t>
  </si>
  <si>
    <t>Phùng Thị Khánh Huyền</t>
  </si>
  <si>
    <t>26348</t>
  </si>
  <si>
    <t xml:space="preserve">Nguyễn Thị Anh </t>
  </si>
  <si>
    <t>26349</t>
  </si>
  <si>
    <t>Khổng Đình Dũng</t>
  </si>
  <si>
    <t>26352</t>
  </si>
  <si>
    <t>26354</t>
  </si>
  <si>
    <t>26355</t>
  </si>
  <si>
    <t>Đỗ Văn Anh</t>
  </si>
  <si>
    <t>26357</t>
  </si>
  <si>
    <t xml:space="preserve">Phạm Đức Kiểm </t>
  </si>
  <si>
    <t>26358</t>
  </si>
  <si>
    <t>#26350</t>
  </si>
  <si>
    <t>#26315</t>
  </si>
  <si>
    <t>#17574</t>
  </si>
  <si>
    <t>#26309</t>
  </si>
  <si>
    <t>Hà Thị Vân</t>
  </si>
  <si>
    <t>26368</t>
  </si>
  <si>
    <t>#26368</t>
  </si>
  <si>
    <t>#25978</t>
  </si>
  <si>
    <t>#25844</t>
  </si>
  <si>
    <t>#26285</t>
  </si>
  <si>
    <t>#26183</t>
  </si>
  <si>
    <t>#24995</t>
  </si>
  <si>
    <t>#26204</t>
  </si>
  <si>
    <t>#25149</t>
  </si>
  <si>
    <t>#26157</t>
  </si>
  <si>
    <t>#25148</t>
  </si>
  <si>
    <t>#26025</t>
  </si>
  <si>
    <t>#12806</t>
  </si>
  <si>
    <t>#02954</t>
  </si>
  <si>
    <t>#21803</t>
  </si>
  <si>
    <t>#01177</t>
  </si>
  <si>
    <t>#00886</t>
  </si>
  <si>
    <t>#10953</t>
  </si>
  <si>
    <t>#26040</t>
  </si>
  <si>
    <t>#26038</t>
  </si>
  <si>
    <t>#24410</t>
  </si>
  <si>
    <t>#24123</t>
  </si>
  <si>
    <t>#19908</t>
  </si>
  <si>
    <t>#06654</t>
  </si>
  <si>
    <t>#26344</t>
  </si>
  <si>
    <t>#24203</t>
  </si>
  <si>
    <t>#23055</t>
  </si>
  <si>
    <t>#06682</t>
  </si>
  <si>
    <t>#11366</t>
  </si>
  <si>
    <t>#25894</t>
  </si>
  <si>
    <t>#13073</t>
  </si>
  <si>
    <t>#19779</t>
  </si>
  <si>
    <t>#00862</t>
  </si>
  <si>
    <t>#11367</t>
  </si>
  <si>
    <t>#01122</t>
  </si>
  <si>
    <t>#20718</t>
  </si>
  <si>
    <t>#26363</t>
  </si>
  <si>
    <t>Nguyễn Thị Anh Đông</t>
  </si>
  <si>
    <t>#26415</t>
  </si>
  <si>
    <t>#26286</t>
  </si>
  <si>
    <t>#26470</t>
  </si>
  <si>
    <t>ngày vào</t>
  </si>
  <si>
    <t xml:space="preserve">VP.TGĐ </t>
  </si>
  <si>
    <t>26360</t>
  </si>
  <si>
    <t>Trịnh Văn Đại</t>
  </si>
  <si>
    <t>26363</t>
  </si>
  <si>
    <t>Lê Minh Phương</t>
  </si>
  <si>
    <t>26364</t>
  </si>
  <si>
    <t>Nguyễn Quốc Vấn</t>
  </si>
  <si>
    <t>26365</t>
  </si>
  <si>
    <t>Nguyễn Quang Hưng</t>
  </si>
  <si>
    <t>26366</t>
  </si>
  <si>
    <t>Nguyễn Ánh Quang</t>
  </si>
  <si>
    <t>26367</t>
  </si>
  <si>
    <t>Nghiêm Hồng Quân</t>
  </si>
  <si>
    <t>26370</t>
  </si>
  <si>
    <t>Vũ Thị Dung</t>
  </si>
  <si>
    <t>26371</t>
  </si>
  <si>
    <t>Đỗ Thị Vinh</t>
  </si>
  <si>
    <t>26372</t>
  </si>
  <si>
    <t>Triệu Thị Huyền Trang</t>
  </si>
  <si>
    <t>26374</t>
  </si>
  <si>
    <t>26379</t>
  </si>
  <si>
    <t>Dương Hoàng Sang</t>
  </si>
  <si>
    <t>26384</t>
  </si>
  <si>
    <t>Nguyễn Thúy Hiền</t>
  </si>
  <si>
    <t>26388</t>
  </si>
  <si>
    <t xml:space="preserve">Tạ Thị Như Quỳnh </t>
  </si>
  <si>
    <t>26390</t>
  </si>
  <si>
    <t>Ngô Xuân Quang</t>
  </si>
  <si>
    <t>26391</t>
  </si>
  <si>
    <t>Nguyễn Thị Thùy Trang</t>
  </si>
  <si>
    <t>26393</t>
  </si>
  <si>
    <t>Lê Thành Đạt</t>
  </si>
  <si>
    <t>26396</t>
  </si>
  <si>
    <t>Đỗ Đình Nhất</t>
  </si>
  <si>
    <t>26397</t>
  </si>
  <si>
    <t>Tạ Văn Dũng</t>
  </si>
  <si>
    <t>26398</t>
  </si>
  <si>
    <t>Nguyễn Khắc Hạnh</t>
  </si>
  <si>
    <t>26400</t>
  </si>
  <si>
    <t>26401</t>
  </si>
  <si>
    <t xml:space="preserve">Nguyễn Thị Hoa Phượng </t>
  </si>
  <si>
    <t>26402</t>
  </si>
  <si>
    <t>Đỗ Văn Chiến</t>
  </si>
  <si>
    <t>26403</t>
  </si>
  <si>
    <t>Phan Văn Thái</t>
  </si>
  <si>
    <t>26404</t>
  </si>
  <si>
    <t>Trần Trường Định</t>
  </si>
  <si>
    <t>26405</t>
  </si>
  <si>
    <t>26406</t>
  </si>
  <si>
    <t>Vũ Văn Hùng</t>
  </si>
  <si>
    <t>26408</t>
  </si>
  <si>
    <t>Phùng Văn Sơn</t>
  </si>
  <si>
    <t>26410</t>
  </si>
  <si>
    <t>26411</t>
  </si>
  <si>
    <t>26412</t>
  </si>
  <si>
    <t>26415</t>
  </si>
  <si>
    <t>26416</t>
  </si>
  <si>
    <t>Dương Nhật Huy</t>
  </si>
  <si>
    <t>26418</t>
  </si>
  <si>
    <t>Phàn Mùi Phấy</t>
  </si>
  <si>
    <t>26419</t>
  </si>
  <si>
    <t>26421</t>
  </si>
  <si>
    <t>Đỗ Ngọc Phương</t>
  </si>
  <si>
    <t>26423</t>
  </si>
  <si>
    <t>26424</t>
  </si>
  <si>
    <t xml:space="preserve">Nguyễn Văn Đảo </t>
  </si>
  <si>
    <t>26425</t>
  </si>
  <si>
    <t>Nguyễn Nhật Tiến</t>
  </si>
  <si>
    <t>26426</t>
  </si>
  <si>
    <t xml:space="preserve">Phan Văn Đương </t>
  </si>
  <si>
    <t>26427</t>
  </si>
  <si>
    <t>Lê Mạnh Hiếu</t>
  </si>
  <si>
    <t>26431</t>
  </si>
  <si>
    <t>Bùi Thị Lệ Minh</t>
  </si>
  <si>
    <t>26433</t>
  </si>
  <si>
    <t>Vũ Văn Tiến</t>
  </si>
  <si>
    <t>26434</t>
  </si>
  <si>
    <t>26435</t>
  </si>
  <si>
    <t>Vũ Thị Vinh</t>
  </si>
  <si>
    <t>26436</t>
  </si>
  <si>
    <t>Bạch Huy Hùng</t>
  </si>
  <si>
    <t>26437</t>
  </si>
  <si>
    <t>26438</t>
  </si>
  <si>
    <t>Vương Thị Vân</t>
  </si>
  <si>
    <t>26439</t>
  </si>
  <si>
    <t xml:space="preserve">Nguyễn Văn Tuyên </t>
  </si>
  <si>
    <t>26440</t>
  </si>
  <si>
    <t>Ngô Quang Trường</t>
  </si>
  <si>
    <t>26442</t>
  </si>
  <si>
    <t>26444</t>
  </si>
  <si>
    <t>Nguyễn Hữu Điệp</t>
  </si>
  <si>
    <t>26445</t>
  </si>
  <si>
    <t>Trần Văn Diệm</t>
  </si>
  <si>
    <t>26446</t>
  </si>
  <si>
    <t>Lù Thị Giang</t>
  </si>
  <si>
    <t>26447</t>
  </si>
  <si>
    <t>Nguyễn Thị Chúc</t>
  </si>
  <si>
    <t>26448</t>
  </si>
  <si>
    <t>26449</t>
  </si>
  <si>
    <t>Bùi Quang Hiếu</t>
  </si>
  <si>
    <t>26450</t>
  </si>
  <si>
    <t xml:space="preserve">Lê Thanh Thái </t>
  </si>
  <si>
    <t>26451</t>
  </si>
  <si>
    <t>26452</t>
  </si>
  <si>
    <t>Lê Văn Hướng</t>
  </si>
  <si>
    <t>26453</t>
  </si>
  <si>
    <t xml:space="preserve">Đặng Văn Nái </t>
  </si>
  <si>
    <t>26454</t>
  </si>
  <si>
    <t>26455</t>
  </si>
  <si>
    <t>Trần Thị Định</t>
  </si>
  <si>
    <t>26457</t>
  </si>
  <si>
    <t>Nguyễn Tiến Anh</t>
  </si>
  <si>
    <t>26458</t>
  </si>
  <si>
    <t xml:space="preserve">Nguyễn Văn Kiên </t>
  </si>
  <si>
    <t>26459</t>
  </si>
  <si>
    <t>Bùi Nguyễn Minh Phương</t>
  </si>
  <si>
    <t>26460</t>
  </si>
  <si>
    <t xml:space="preserve">Phùng Thị Thuý </t>
  </si>
  <si>
    <t>26461</t>
  </si>
  <si>
    <t>#26067</t>
  </si>
  <si>
    <t>#26471</t>
  </si>
  <si>
    <t>Nguyễn Thị Đan Quế</t>
  </si>
  <si>
    <t>#03965</t>
  </si>
  <si>
    <t>VN03965</t>
  </si>
  <si>
    <t>"02-01-2026</t>
  </si>
  <si>
    <t>VN26498</t>
  </si>
  <si>
    <t>"06-01-2026</t>
  </si>
  <si>
    <t>#26349</t>
  </si>
  <si>
    <t>#26379</t>
  </si>
  <si>
    <t>#26367</t>
  </si>
  <si>
    <t>Column1</t>
  </si>
  <si>
    <t>ID (FILESERVER)</t>
  </si>
  <si>
    <t>FILE SERVER UPDATE</t>
  </si>
  <si>
    <t>Num</t>
  </si>
  <si>
    <t>Department</t>
  </si>
  <si>
    <t>FULL NAME</t>
  </si>
  <si>
    <t>ALOW AD</t>
  </si>
  <si>
    <t>Email Local</t>
  </si>
  <si>
    <t>Pass</t>
  </si>
  <si>
    <t>Disable</t>
  </si>
  <si>
    <t>CAT</t>
  </si>
  <si>
    <t>cat.03441</t>
  </si>
  <si>
    <t>ok</t>
  </si>
  <si>
    <t>cat.07286</t>
  </si>
  <si>
    <t>07839</t>
  </si>
  <si>
    <t>cat.07839</t>
  </si>
  <si>
    <t>cat.00868</t>
  </si>
  <si>
    <t>MaNH!@#00868</t>
  </si>
  <si>
    <t>cat.01458</t>
  </si>
  <si>
    <t>CAT 素材</t>
  </si>
  <si>
    <t>cat.02175</t>
  </si>
  <si>
    <t>cat.02319</t>
  </si>
  <si>
    <t>15502</t>
  </si>
  <si>
    <t>cat.15502</t>
  </si>
  <si>
    <t>08917.son</t>
  </si>
  <si>
    <t>cat.02857</t>
  </si>
  <si>
    <t>Nguyễn Thị Thuân</t>
  </si>
  <si>
    <t>cat.19230</t>
  </si>
  <si>
    <t>DANH BONG</t>
  </si>
  <si>
    <t>son.01614</t>
  </si>
  <si>
    <t>db.01021</t>
  </si>
  <si>
    <t>db.09155</t>
  </si>
  <si>
    <t>db.01609</t>
  </si>
  <si>
    <t>kf.00285</t>
  </si>
  <si>
    <t>kf.0490</t>
  </si>
  <si>
    <t>kf.0799</t>
  </si>
  <si>
    <t>kf.1057</t>
  </si>
  <si>
    <t>kf.1955</t>
  </si>
  <si>
    <t>Hoàng văn Hải</t>
  </si>
  <si>
    <t>kf.2543</t>
  </si>
  <si>
    <t>kf.2642</t>
  </si>
  <si>
    <t>Vanve2642@</t>
  </si>
  <si>
    <t>kf.3487</t>
  </si>
  <si>
    <t>kf.3798</t>
  </si>
  <si>
    <t>kf.3889</t>
  </si>
  <si>
    <t>kf.4750</t>
  </si>
  <si>
    <t>kf.4751</t>
  </si>
  <si>
    <t>kf.5224</t>
  </si>
  <si>
    <t>06235</t>
  </si>
  <si>
    <t>kf.6235</t>
  </si>
  <si>
    <t>kf.6382</t>
  </si>
  <si>
    <t>kf.7179</t>
  </si>
  <si>
    <t>07837</t>
  </si>
  <si>
    <t>Nghiêm Văn Dự</t>
  </si>
  <si>
    <t>kf.7837</t>
  </si>
  <si>
    <t>08125</t>
  </si>
  <si>
    <t>Nguyễn Văn Thấm</t>
  </si>
  <si>
    <t>kf.8125</t>
  </si>
  <si>
    <t>kf.8128</t>
  </si>
  <si>
    <t>kf.8232</t>
  </si>
  <si>
    <t>kf.8552</t>
  </si>
  <si>
    <t>kf.9586</t>
  </si>
  <si>
    <t>kf.9587</t>
  </si>
  <si>
    <t>kf.9589</t>
  </si>
  <si>
    <t>kf.10610</t>
  </si>
  <si>
    <t>kf.10611</t>
  </si>
  <si>
    <t>10782</t>
  </si>
  <si>
    <t>Vũ Lâm Tùng</t>
  </si>
  <si>
    <t>kf.10782</t>
  </si>
  <si>
    <t>kf.10783</t>
  </si>
  <si>
    <t>kf.10784</t>
  </si>
  <si>
    <t>kf.10785</t>
  </si>
  <si>
    <t>kf.10861</t>
  </si>
  <si>
    <t>kf.10863</t>
  </si>
  <si>
    <t>kf.10864</t>
  </si>
  <si>
    <t>10878.phuong</t>
  </si>
  <si>
    <t>kf.10879</t>
  </si>
  <si>
    <t>kf.10945</t>
  </si>
  <si>
    <t>kf.10953</t>
  </si>
  <si>
    <t>kf.10954</t>
  </si>
  <si>
    <t xml:space="preserve">Trần Mạnh </t>
  </si>
  <si>
    <t>kf.10955</t>
  </si>
  <si>
    <t>Lê Văn Tính</t>
  </si>
  <si>
    <t>kf.11131</t>
  </si>
  <si>
    <t>kf.11132</t>
  </si>
  <si>
    <t>kf.11632</t>
  </si>
  <si>
    <t>kf.11658</t>
  </si>
  <si>
    <t>kf.11723</t>
  </si>
  <si>
    <t>kf.11724</t>
  </si>
  <si>
    <t>kf.11725</t>
  </si>
  <si>
    <t>11946</t>
  </si>
  <si>
    <t>Phùng Xuân Trường</t>
  </si>
  <si>
    <t>kf.11946</t>
  </si>
  <si>
    <t>kf.12038</t>
  </si>
  <si>
    <t>kf.12403</t>
  </si>
  <si>
    <t>12404</t>
  </si>
  <si>
    <t>Lưu Quốc Tuấn</t>
  </si>
  <si>
    <t>kf.12404</t>
  </si>
  <si>
    <t>kf.12405</t>
  </si>
  <si>
    <t>kf.12580</t>
  </si>
  <si>
    <t>kf.12582</t>
  </si>
  <si>
    <t>kf.12583</t>
  </si>
  <si>
    <t>uq8$vi</t>
  </si>
  <si>
    <t>kf.12584</t>
  </si>
  <si>
    <t>12698</t>
  </si>
  <si>
    <t>Nguyễn Bá Kiên</t>
  </si>
  <si>
    <t>kf.12698</t>
  </si>
  <si>
    <t>kf.12760</t>
  </si>
  <si>
    <t>Z\SM`Y</t>
  </si>
  <si>
    <t>kf.12761</t>
  </si>
  <si>
    <t>12805</t>
  </si>
  <si>
    <t>Đào Xuân Hoàn</t>
  </si>
  <si>
    <t>kf.12805</t>
  </si>
  <si>
    <t>kf.12806</t>
  </si>
  <si>
    <t>kf.12808</t>
  </si>
  <si>
    <t>13074</t>
  </si>
  <si>
    <t>Đào Thị Huế</t>
  </si>
  <si>
    <t>kf.13074</t>
  </si>
  <si>
    <t>kf.13090</t>
  </si>
  <si>
    <t>kf.13165</t>
  </si>
  <si>
    <t>13166</t>
  </si>
  <si>
    <t>Trần Văn Tài</t>
  </si>
  <si>
    <t>kf.13166</t>
  </si>
  <si>
    <t>13209</t>
  </si>
  <si>
    <t>kf.13209</t>
  </si>
  <si>
    <t>kf.13321</t>
  </si>
  <si>
    <t>Abcd1234</t>
  </si>
  <si>
    <t>13486</t>
  </si>
  <si>
    <t>Bựi  Hữu Linh</t>
  </si>
  <si>
    <t>kf.13486</t>
  </si>
  <si>
    <t>13667</t>
  </si>
  <si>
    <t>Hạ Văn Bắc</t>
  </si>
  <si>
    <t>kf.13667</t>
  </si>
  <si>
    <t>kf.13668</t>
  </si>
  <si>
    <t>l&gt;W#,i</t>
  </si>
  <si>
    <t>kf.13669</t>
  </si>
  <si>
    <t>13671</t>
  </si>
  <si>
    <t>Trần Quang Huấn</t>
  </si>
  <si>
    <t>kf.13671</t>
  </si>
  <si>
    <t>kf.13672</t>
  </si>
  <si>
    <t>kf.13852</t>
  </si>
  <si>
    <t>14081</t>
  </si>
  <si>
    <t>kf.14081</t>
  </si>
  <si>
    <t>Kaifa@2024</t>
  </si>
  <si>
    <t>14083</t>
  </si>
  <si>
    <t>Nguyễn Hữu Quyết</t>
  </si>
  <si>
    <t>kf.14083</t>
  </si>
  <si>
    <t>17647</t>
  </si>
  <si>
    <t>kf.17647</t>
  </si>
  <si>
    <t>kf.17582</t>
  </si>
  <si>
    <t>kf.16851</t>
  </si>
  <si>
    <t>16671</t>
  </si>
  <si>
    <t>Trần Nam Chung</t>
  </si>
  <si>
    <t>kf.16671</t>
  </si>
  <si>
    <t>kf.16290</t>
  </si>
  <si>
    <t>cUJm?k</t>
  </si>
  <si>
    <t>kf.16289</t>
  </si>
  <si>
    <t>16003</t>
  </si>
  <si>
    <t>Triệu Đức Kỳ</t>
  </si>
  <si>
    <t>kf.16003</t>
  </si>
  <si>
    <t>kf.16002</t>
  </si>
  <si>
    <t>kf.15629</t>
  </si>
  <si>
    <t>Nguyễn Văn Bằng</t>
  </si>
  <si>
    <t>kf.15627</t>
  </si>
  <si>
    <t>kf.15626</t>
  </si>
  <si>
    <t>qzaxd4</t>
  </si>
  <si>
    <t>kf.15625</t>
  </si>
  <si>
    <t>Đại Thi Thu Anh</t>
  </si>
  <si>
    <t>kf.17885</t>
  </si>
  <si>
    <t>Kim văn Ngọc</t>
  </si>
  <si>
    <t>kf.17573</t>
  </si>
  <si>
    <t>kf.18082</t>
  </si>
  <si>
    <t>kf.18062</t>
  </si>
  <si>
    <t>kf.17356</t>
  </si>
  <si>
    <t>IM@&gt;-s</t>
  </si>
  <si>
    <t>kf.17913</t>
  </si>
  <si>
    <t>kf.17911</t>
  </si>
  <si>
    <t>kf.17589</t>
  </si>
  <si>
    <t>kf.17795</t>
  </si>
  <si>
    <t>kf.17794</t>
  </si>
  <si>
    <t>v$]DS6</t>
  </si>
  <si>
    <t>kf.17731</t>
  </si>
  <si>
    <t>xD(y1,</t>
  </si>
  <si>
    <t>kf.17730</t>
  </si>
  <si>
    <t>18468</t>
  </si>
  <si>
    <t>kf.18468</t>
  </si>
  <si>
    <t>kf.17912</t>
  </si>
  <si>
    <t>SRC1fo</t>
  </si>
  <si>
    <t>19753</t>
  </si>
  <si>
    <t>Nguyễn Việt Hà</t>
  </si>
  <si>
    <t>kf.19753</t>
  </si>
  <si>
    <t>Hoilamgi1.</t>
  </si>
  <si>
    <t>20067</t>
  </si>
  <si>
    <t>Phạm Huy Mạnh</t>
  </si>
  <si>
    <t>kf.20067</t>
  </si>
  <si>
    <t>kf.20024</t>
  </si>
  <si>
    <t>17732</t>
  </si>
  <si>
    <t>Phùng Văn Hưng</t>
  </si>
  <si>
    <t>kf.17732</t>
  </si>
  <si>
    <t>kf.17581</t>
  </si>
  <si>
    <t>19409</t>
  </si>
  <si>
    <t>kf.19409</t>
  </si>
  <si>
    <t>kf.18143</t>
  </si>
  <si>
    <t>kf.19129</t>
  </si>
  <si>
    <t>kf.20149</t>
  </si>
  <si>
    <t>20625</t>
  </si>
  <si>
    <t>Trần Minh Quang</t>
  </si>
  <si>
    <t>kf.20625</t>
  </si>
  <si>
    <t>kf.21398</t>
  </si>
  <si>
    <t>kf.19545</t>
  </si>
  <si>
    <t>kf.21265</t>
  </si>
  <si>
    <t>20715</t>
  </si>
  <si>
    <t>Ngô Duy Mạnh</t>
  </si>
  <si>
    <t>kf.20715</t>
  </si>
  <si>
    <t>24323.linh</t>
  </si>
  <si>
    <t>SKPRqh</t>
  </si>
  <si>
    <t>24851</t>
  </si>
  <si>
    <t>Trần Thị Thu Nga</t>
  </si>
  <si>
    <t>24851.nga</t>
  </si>
  <si>
    <t>*~0beg</t>
  </si>
  <si>
    <t>kf.17474</t>
  </si>
  <si>
    <t>Đoàn Trọng Lực</t>
  </si>
  <si>
    <t>17886.luc</t>
  </si>
  <si>
    <t>123456</t>
  </si>
  <si>
    <t>25150.chung</t>
  </si>
  <si>
    <t>eVE@n,@25150</t>
  </si>
  <si>
    <t>25658.phuc</t>
  </si>
  <si>
    <t>%Pk&amp;T:</t>
  </si>
  <si>
    <t>25659.huy</t>
  </si>
  <si>
    <t>{yNBu{</t>
  </si>
  <si>
    <t>25724.dang</t>
  </si>
  <si>
    <t>V}/#l'</t>
  </si>
  <si>
    <t>25725.thanh</t>
  </si>
  <si>
    <t>QABGdT</t>
  </si>
  <si>
    <t>25957.tinh</t>
  </si>
  <si>
    <t>2`pj27</t>
  </si>
  <si>
    <t>26038.cuong</t>
  </si>
  <si>
    <t>Cuong@12</t>
  </si>
  <si>
    <t>26040.van</t>
  </si>
  <si>
    <t>Van@26040</t>
  </si>
  <si>
    <t>26092.hiep</t>
  </si>
  <si>
    <t>25956.linh</t>
  </si>
  <si>
    <t>(p`~?k</t>
  </si>
  <si>
    <t>24410.cam</t>
  </si>
  <si>
    <t>Cam123</t>
  </si>
  <si>
    <t>26306.dang</t>
  </si>
  <si>
    <t>Dang26306</t>
  </si>
  <si>
    <t>26307.truong</t>
  </si>
  <si>
    <t>Truong26307</t>
  </si>
  <si>
    <t>DAP5</t>
  </si>
  <si>
    <t>dap5.10636</t>
  </si>
  <si>
    <t>dap5.11364</t>
  </si>
  <si>
    <t>dap5.11901</t>
  </si>
  <si>
    <t>dap5.14798</t>
  </si>
  <si>
    <t>Đinh Thị Thúy Hồng</t>
  </si>
  <si>
    <t>dap5.05225</t>
  </si>
  <si>
    <t>dap5.01286</t>
  </si>
  <si>
    <t>dap5.00279</t>
  </si>
  <si>
    <t>dap5.02413</t>
  </si>
  <si>
    <t>dap5.02696</t>
  </si>
  <si>
    <t>dap5.08561</t>
  </si>
  <si>
    <t>dap5.07195</t>
  </si>
  <si>
    <t>25832</t>
  </si>
  <si>
    <t>25832.minh</t>
  </si>
  <si>
    <t>,+9{Z8</t>
  </si>
  <si>
    <t>dap5.15388</t>
  </si>
  <si>
    <t>DAP4</t>
  </si>
  <si>
    <t>12014</t>
  </si>
  <si>
    <t>dap4.12014</t>
  </si>
  <si>
    <t>dap4.15704</t>
  </si>
  <si>
    <t>dap4.04276</t>
  </si>
  <si>
    <t>00576.kien</t>
  </si>
  <si>
    <t>04233.bien</t>
  </si>
  <si>
    <t>15705</t>
  </si>
  <si>
    <t>15705.soan</t>
  </si>
  <si>
    <t>QL KHO</t>
  </si>
  <si>
    <t>qlk.116</t>
  </si>
  <si>
    <t>qlk.12694</t>
  </si>
  <si>
    <t>qlk.00844</t>
  </si>
  <si>
    <t>Đặng Thị Ánh Sao</t>
  </si>
  <si>
    <t>qlk.00807</t>
  </si>
  <si>
    <t>qlk.02295</t>
  </si>
  <si>
    <t>qlk.01653</t>
  </si>
  <si>
    <t>qlk.02630</t>
  </si>
  <si>
    <t>qlk.09077</t>
  </si>
  <si>
    <t>qlk.00758</t>
  </si>
  <si>
    <t>qlk.08553</t>
  </si>
  <si>
    <t>qlk.01787</t>
  </si>
  <si>
    <t>qlk.01936</t>
  </si>
  <si>
    <t>qlk.07039</t>
  </si>
  <si>
    <t>qlk.08949</t>
  </si>
  <si>
    <t>qlk.00400</t>
  </si>
  <si>
    <t>qlk.00379</t>
  </si>
  <si>
    <t>qlk.00231</t>
  </si>
  <si>
    <t>00943</t>
  </si>
  <si>
    <t>qlk.00943</t>
  </si>
  <si>
    <t>qlk.02420</t>
  </si>
  <si>
    <t>qlk.02196</t>
  </si>
  <si>
    <t>$vL(9j</t>
  </si>
  <si>
    <t>qlk.00125</t>
  </si>
  <si>
    <t>qlk.00405</t>
  </si>
  <si>
    <t>qlk.02692</t>
  </si>
  <si>
    <t>qlk.02529</t>
  </si>
  <si>
    <t>qlk.01662</t>
  </si>
  <si>
    <t>qlk.01932</t>
  </si>
  <si>
    <t>qlk.03027</t>
  </si>
  <si>
    <t>qlk.15573</t>
  </si>
  <si>
    <t>qlk.19908</t>
  </si>
  <si>
    <t>q@#bYd</t>
  </si>
  <si>
    <t>17908</t>
  </si>
  <si>
    <t>qlk.17908</t>
  </si>
  <si>
    <t>06747</t>
  </si>
  <si>
    <t>qlk.06747</t>
  </si>
  <si>
    <t>qlk.02183</t>
  </si>
  <si>
    <t>Trần Tiến Đạt</t>
  </si>
  <si>
    <t>qlk.07966</t>
  </si>
  <si>
    <t>24199</t>
  </si>
  <si>
    <t>qlk.24199</t>
  </si>
  <si>
    <t>ILQ\lZ</t>
  </si>
  <si>
    <t>24008.tuan</t>
  </si>
  <si>
    <t>(Id|&gt;k</t>
  </si>
  <si>
    <t>bot.qlk</t>
  </si>
  <si>
    <t>21343.hien</t>
  </si>
  <si>
    <t>E)i&lt;&amp;2</t>
  </si>
  <si>
    <t>Chu Thị Mên</t>
  </si>
  <si>
    <t>qlk.24123</t>
  </si>
  <si>
    <t>VZn(G4</t>
  </si>
  <si>
    <t>SON3</t>
  </si>
  <si>
    <t xml:space="preserve">Nguyễn Thị Bắc Hà </t>
  </si>
  <si>
    <t>son.00806</t>
  </si>
  <si>
    <t xml:space="preserve">Trần Thị Thuý </t>
  </si>
  <si>
    <t>son.01187</t>
  </si>
  <si>
    <t>son.00063</t>
  </si>
  <si>
    <t>son.00895</t>
  </si>
  <si>
    <t>SON4</t>
  </si>
  <si>
    <t>son.04254</t>
  </si>
  <si>
    <t xml:space="preserve">Nguyễn Thị Thu Huyền </t>
  </si>
  <si>
    <t>son.00987</t>
  </si>
  <si>
    <t xml:space="preserve">Đỗ Thị Liên </t>
  </si>
  <si>
    <t>son.05539</t>
  </si>
  <si>
    <t>SON2</t>
  </si>
  <si>
    <t xml:space="preserve">Trinh Thị Thoa </t>
  </si>
  <si>
    <t>son.10613</t>
  </si>
  <si>
    <t>son.14121</t>
  </si>
  <si>
    <t>Hoàng thị Diệu Hương</t>
  </si>
  <si>
    <t>20718.huong</t>
  </si>
  <si>
    <t>1234abcd</t>
  </si>
  <si>
    <t>son.09592</t>
  </si>
  <si>
    <t>KD</t>
  </si>
  <si>
    <t>Nguyễn Hương Lan</t>
  </si>
  <si>
    <t>kd.0766</t>
  </si>
  <si>
    <t>Nông Bích Diệp</t>
  </si>
  <si>
    <t>kd.1014</t>
  </si>
  <si>
    <t>kd.1204</t>
  </si>
  <si>
    <t>Ngô Phương Hạnh</t>
  </si>
  <si>
    <t>kd.1777</t>
  </si>
  <si>
    <t>kd.3423</t>
  </si>
  <si>
    <t>kd.03550</t>
  </si>
  <si>
    <t>kd.4844</t>
  </si>
  <si>
    <t>kd.7918</t>
  </si>
  <si>
    <t>kd.7119</t>
  </si>
  <si>
    <t>kd.8787</t>
  </si>
  <si>
    <t>kd.08954</t>
  </si>
  <si>
    <t>kd.10369</t>
  </si>
  <si>
    <t>kd.10704</t>
  </si>
  <si>
    <t>kd.10839</t>
  </si>
  <si>
    <t>kd.10951</t>
  </si>
  <si>
    <t>kd.11287</t>
  </si>
  <si>
    <t>kd.11288</t>
  </si>
  <si>
    <t>kd.11593</t>
  </si>
  <si>
    <t>kd.11799</t>
  </si>
  <si>
    <t>10507</t>
  </si>
  <si>
    <t>kd.10507</t>
  </si>
  <si>
    <t>kd.14516</t>
  </si>
  <si>
    <t>kd.11458</t>
  </si>
  <si>
    <t>kd.09441</t>
  </si>
  <si>
    <t>kd.13855</t>
  </si>
  <si>
    <t>kd.14150</t>
  </si>
  <si>
    <t>kd.14377</t>
  </si>
  <si>
    <t>kd.14517</t>
  </si>
  <si>
    <t>kd.11581</t>
  </si>
  <si>
    <t>kd.15628</t>
  </si>
  <si>
    <t>kd.14394</t>
  </si>
  <si>
    <t>kd.16363</t>
  </si>
  <si>
    <t>kd.16629</t>
  </si>
  <si>
    <t>18120</t>
  </si>
  <si>
    <t>Hoàng Thị Lương</t>
  </si>
  <si>
    <t>kd.18120</t>
  </si>
  <si>
    <t>kd.18500</t>
  </si>
  <si>
    <t>kd.19818</t>
  </si>
  <si>
    <t>kd.22391</t>
  </si>
  <si>
    <t>24014</t>
  </si>
  <si>
    <t>Đoàn Văn Thế</t>
  </si>
  <si>
    <t>kd.24014</t>
  </si>
  <si>
    <t>7@r1Oo</t>
  </si>
  <si>
    <t>23791</t>
  </si>
  <si>
    <t>Ngô Thị Thanh Hà</t>
  </si>
  <si>
    <t>kd.23791</t>
  </si>
  <si>
    <t>kd.23987</t>
  </si>
  <si>
    <t>m%mWg^</t>
  </si>
  <si>
    <t>24329.huyen</t>
  </si>
  <si>
    <t>Hyu932</t>
  </si>
  <si>
    <t>24338.mai</t>
  </si>
  <si>
    <t>m&gt;Nh~d</t>
  </si>
  <si>
    <t>Nguyễn Thị Thu Thanh</t>
  </si>
  <si>
    <t>kd.19423</t>
  </si>
  <si>
    <t>24324.nhung</t>
  </si>
  <si>
    <t>[F;h'U</t>
  </si>
  <si>
    <t>24409.yen</t>
  </si>
  <si>
    <t>bm^0B+</t>
  </si>
  <si>
    <t>25842.thao</t>
  </si>
  <si>
    <t>24870.hoai</t>
  </si>
  <si>
    <t>Fc23V&amp;</t>
  </si>
  <si>
    <t>24570.thu</t>
  </si>
  <si>
    <t>_c1wSx</t>
  </si>
  <si>
    <t>26267</t>
  </si>
  <si>
    <t>Hồ Tú Anh</t>
  </si>
  <si>
    <t>26267.anh</t>
  </si>
  <si>
    <t>Anh123@</t>
  </si>
  <si>
    <t>26344.thanh</t>
  </si>
  <si>
    <t>Thanh26344</t>
  </si>
  <si>
    <t>qc.00039</t>
  </si>
  <si>
    <t>qc.00079</t>
  </si>
  <si>
    <t>qc.00235</t>
  </si>
  <si>
    <t>qc.00259</t>
  </si>
  <si>
    <t>qc.00602</t>
  </si>
  <si>
    <t>qc.00683</t>
  </si>
  <si>
    <t>qc.00883</t>
  </si>
  <si>
    <t>qc.00913</t>
  </si>
  <si>
    <t>qc.00931</t>
  </si>
  <si>
    <t>qc.00990</t>
  </si>
  <si>
    <t>qc.00993</t>
  </si>
  <si>
    <t>Nguyễn Thị Thúy Nga</t>
  </si>
  <si>
    <t>qc.01214</t>
  </si>
  <si>
    <t>qc.01285</t>
  </si>
  <si>
    <t>qc.01960</t>
  </si>
  <si>
    <t>qc.02261</t>
  </si>
  <si>
    <t>qc.02684</t>
  </si>
  <si>
    <t>qc.02972</t>
  </si>
  <si>
    <t>qc.03037</t>
  </si>
  <si>
    <t>qc.03359</t>
  </si>
  <si>
    <t>qc.03408</t>
  </si>
  <si>
    <t>qc.03480</t>
  </si>
  <si>
    <t>qc.04021</t>
  </si>
  <si>
    <t>qc.04104</t>
  </si>
  <si>
    <t>qc.04843</t>
  </si>
  <si>
    <t>qc.05576</t>
  </si>
  <si>
    <t>qc.06237</t>
  </si>
  <si>
    <t>06717</t>
  </si>
  <si>
    <t>qc.06717</t>
  </si>
  <si>
    <t>qc.07279</t>
  </si>
  <si>
    <t>qc.08555</t>
  </si>
  <si>
    <t>08753</t>
  </si>
  <si>
    <t>Nguyễn Trọng Đặng</t>
  </si>
  <si>
    <t>qc.08753</t>
  </si>
  <si>
    <t>qc.09482</t>
  </si>
  <si>
    <t>qc.09755</t>
  </si>
  <si>
    <t>qc.09759</t>
  </si>
  <si>
    <t>qc.06831</t>
  </si>
  <si>
    <t>qc.10186</t>
  </si>
  <si>
    <t>qc.10693</t>
  </si>
  <si>
    <t>qc.11402</t>
  </si>
  <si>
    <t>11584</t>
  </si>
  <si>
    <t>qc.11584</t>
  </si>
  <si>
    <t>qc.11714</t>
  </si>
  <si>
    <t>qc.11798</t>
  </si>
  <si>
    <t>qc.12095</t>
  </si>
  <si>
    <t>qc.13073</t>
  </si>
  <si>
    <t>15505</t>
  </si>
  <si>
    <t>Đỗ Cao Sinh</t>
  </si>
  <si>
    <t>qc.15505</t>
  </si>
  <si>
    <t>qc.13847</t>
  </si>
  <si>
    <t>Qc@13847</t>
  </si>
  <si>
    <t>Phòng Đo Lường</t>
  </si>
  <si>
    <t>qc.doluong</t>
  </si>
  <si>
    <t>qc.13743</t>
  </si>
  <si>
    <t>qc.13072</t>
  </si>
  <si>
    <t>qc.15940</t>
  </si>
  <si>
    <t>qc.19164</t>
  </si>
  <si>
    <t>qc.13586</t>
  </si>
  <si>
    <t>qc.20906</t>
  </si>
  <si>
    <t>qc.19777</t>
  </si>
  <si>
    <t>20193</t>
  </si>
  <si>
    <t>Nguyễn Thành Thoại</t>
  </si>
  <si>
    <t>qc.20193</t>
  </si>
  <si>
    <t>22655</t>
  </si>
  <si>
    <t>qc.22655</t>
  </si>
  <si>
    <t>qc.19425</t>
  </si>
  <si>
    <t>qc.24110</t>
  </si>
  <si>
    <t>fASfYH</t>
  </si>
  <si>
    <t>11403</t>
  </si>
  <si>
    <t>qc.11403</t>
  </si>
  <si>
    <t>w&gt;P2\L</t>
  </si>
  <si>
    <t>qc.24125</t>
  </si>
  <si>
    <t>00952.quan</t>
  </si>
  <si>
    <t>qun&amp;0952</t>
  </si>
  <si>
    <t>24525</t>
  </si>
  <si>
    <t>Phan Anh Sáng</t>
  </si>
  <si>
    <t>24525.sang</t>
  </si>
  <si>
    <t>hIouvJ</t>
  </si>
  <si>
    <t>24081.phi</t>
  </si>
  <si>
    <t>OFXx}O</t>
  </si>
  <si>
    <t>19779.nguyen</t>
  </si>
  <si>
    <t>Qc123@</t>
  </si>
  <si>
    <t>24754.duy</t>
  </si>
  <si>
    <t>&amp;IrY/i</t>
  </si>
  <si>
    <t>24996.nha</t>
  </si>
  <si>
    <t>]LIW_*</t>
  </si>
  <si>
    <t>qc.24084</t>
  </si>
  <si>
    <t>11457.bach</t>
  </si>
  <si>
    <t>Qc@11457</t>
  </si>
  <si>
    <t>26003.thai</t>
  </si>
  <si>
    <t>]#Tfn;</t>
  </si>
  <si>
    <t>qc.10188</t>
  </si>
  <si>
    <t>TYs,jy</t>
  </si>
  <si>
    <t>25894.khanh</t>
  </si>
  <si>
    <t>Qc6@25894</t>
  </si>
  <si>
    <t>01790</t>
  </si>
  <si>
    <t>Dương Quốc Phi</t>
  </si>
  <si>
    <t>xnk.01790</t>
  </si>
  <si>
    <t>xnk.00610</t>
  </si>
  <si>
    <t>xnk.04036</t>
  </si>
  <si>
    <t>xnk.08941</t>
  </si>
  <si>
    <t>xnk.09527</t>
  </si>
  <si>
    <t>xnk.09878</t>
  </si>
  <si>
    <t>xnk.10480</t>
  </si>
  <si>
    <t>xnk.13986</t>
  </si>
  <si>
    <t>26027.chau</t>
  </si>
  <si>
    <t>~[p=6,</t>
  </si>
  <si>
    <t>xnk.22147</t>
  </si>
  <si>
    <t>han1.00038</t>
  </si>
  <si>
    <t>han1.00798</t>
  </si>
  <si>
    <t>han1.00832</t>
  </si>
  <si>
    <t>han1.02322</t>
  </si>
  <si>
    <t>han1.02884</t>
  </si>
  <si>
    <t>han1.03481</t>
  </si>
  <si>
    <t>han1.08244</t>
  </si>
  <si>
    <t>09300</t>
  </si>
  <si>
    <t>Nguyễn Ngọc Huấn</t>
  </si>
  <si>
    <t>han1.09300</t>
  </si>
  <si>
    <t>han1.10251</t>
  </si>
  <si>
    <t>han1.00470</t>
  </si>
  <si>
    <t>Lê Thị Ánh Nguyệt</t>
  </si>
  <si>
    <t>han1.06645</t>
  </si>
  <si>
    <t>han1.00138</t>
  </si>
  <si>
    <t>han1.01566</t>
  </si>
  <si>
    <t>THU MUA</t>
  </si>
  <si>
    <t>tm.00658</t>
  </si>
  <si>
    <t>00770</t>
  </si>
  <si>
    <t>Nguyễn Thi Thanh Hường</t>
  </si>
  <si>
    <t>tm.00770</t>
  </si>
  <si>
    <t>tm.01574</t>
  </si>
  <si>
    <t>tm.01656</t>
  </si>
  <si>
    <t>tm.01737</t>
  </si>
  <si>
    <t>tm.01914</t>
  </si>
  <si>
    <t>tm.08755</t>
  </si>
  <si>
    <t>tm.08889</t>
  </si>
  <si>
    <t>tm.08894</t>
  </si>
  <si>
    <t>tm.08898</t>
  </si>
  <si>
    <t>tm.09244</t>
  </si>
  <si>
    <t>tm.09590</t>
  </si>
  <si>
    <t>tm.10949</t>
  </si>
  <si>
    <t>tm.13167</t>
  </si>
  <si>
    <t>tm.13750</t>
  </si>
  <si>
    <t>chungan</t>
  </si>
  <si>
    <t>14456</t>
  </si>
  <si>
    <t>Nguyễn Diệu Tâm</t>
  </si>
  <si>
    <t>tm.14456</t>
  </si>
  <si>
    <t>18013</t>
  </si>
  <si>
    <t>tm.18013</t>
  </si>
  <si>
    <t>tm.14595</t>
  </si>
  <si>
    <t>tm.16669</t>
  </si>
  <si>
    <t>tm.17064</t>
  </si>
  <si>
    <t>tm.17952</t>
  </si>
  <si>
    <t>tm.18155</t>
  </si>
  <si>
    <t>tm.17578</t>
  </si>
  <si>
    <t>tm.19343</t>
  </si>
  <si>
    <t>tm.22259</t>
  </si>
  <si>
    <t>tm.08756</t>
  </si>
  <si>
    <t>kHve}T</t>
  </si>
  <si>
    <t>tm.22756</t>
  </si>
  <si>
    <t>24295</t>
  </si>
  <si>
    <t>Trinh Quang Sơn</t>
  </si>
  <si>
    <t>24295.son</t>
  </si>
  <si>
    <t>&gt;/0n8q</t>
  </si>
  <si>
    <t>24337.van</t>
  </si>
  <si>
    <t>=NKH&amp;u</t>
  </si>
  <si>
    <t>24509.linh</t>
  </si>
  <si>
    <t>24568.hoa</t>
  </si>
  <si>
    <t>,G!DRu</t>
  </si>
  <si>
    <t>Nguyễn Minh Phượng</t>
  </si>
  <si>
    <t>24569.phuong</t>
  </si>
  <si>
    <t>9PccIR</t>
  </si>
  <si>
    <t>24642.linh</t>
  </si>
  <si>
    <t>24336</t>
  </si>
  <si>
    <t>Đào Lê Nhật Hậu</t>
  </si>
  <si>
    <t>24336.hau</t>
  </si>
  <si>
    <t>@wa!Y4</t>
  </si>
  <si>
    <t>26156.huyen</t>
  </si>
  <si>
    <t>Huyen26156</t>
  </si>
  <si>
    <t>VN25757</t>
  </si>
  <si>
    <t>Huyen25757</t>
  </si>
  <si>
    <t>17646.thuy</t>
  </si>
  <si>
    <t>qlsx.10788</t>
  </si>
  <si>
    <t>KE TOAN</t>
  </si>
  <si>
    <t>kt.464</t>
  </si>
  <si>
    <t xml:space="preserve">Trần Thị Ánh Thu </t>
  </si>
  <si>
    <t>kt.662</t>
  </si>
  <si>
    <t xml:space="preserve">Nguyễn Thị Thu Hà </t>
  </si>
  <si>
    <t>kt.1015</t>
  </si>
  <si>
    <t>kt.1294</t>
  </si>
  <si>
    <t>kt.1386</t>
  </si>
  <si>
    <t>kt.1525</t>
  </si>
  <si>
    <t>kt.1527</t>
  </si>
  <si>
    <t>kt.1555</t>
  </si>
  <si>
    <t>01919</t>
  </si>
  <si>
    <t>Lê Minh Quyết</t>
  </si>
  <si>
    <t>kt.1919</t>
  </si>
  <si>
    <t>kt.2646</t>
  </si>
  <si>
    <t>kt.3615</t>
  </si>
  <si>
    <t>kt.4197</t>
  </si>
  <si>
    <t>kt.7843</t>
  </si>
  <si>
    <t>kt.9879</t>
  </si>
  <si>
    <t>kt.14021</t>
  </si>
  <si>
    <t>25677.vuong</t>
  </si>
  <si>
    <t>I36Wm.</t>
  </si>
  <si>
    <t>24953.huyen</t>
  </si>
  <si>
    <t>E@1ncF</t>
  </si>
  <si>
    <t>KM</t>
  </si>
  <si>
    <t>km.00606</t>
  </si>
  <si>
    <t>km.01465</t>
  </si>
  <si>
    <t>km.00640</t>
  </si>
  <si>
    <t>km.01706</t>
  </si>
  <si>
    <t>`!~80O</t>
  </si>
  <si>
    <t>km.03048</t>
  </si>
  <si>
    <t>km.07153</t>
  </si>
  <si>
    <t>km.07702</t>
  </si>
  <si>
    <t>Phan Bá Cường</t>
  </si>
  <si>
    <t>km.11151</t>
  </si>
  <si>
    <t>km.09787</t>
  </si>
  <si>
    <t>Nguyễn Thế Vinh</t>
  </si>
  <si>
    <t>km.01705</t>
  </si>
  <si>
    <t>km.16198</t>
  </si>
  <si>
    <t>1KFdnt</t>
  </si>
  <si>
    <t>06436.giang</t>
  </si>
  <si>
    <t>Giang@6436</t>
  </si>
  <si>
    <t>HAN4</t>
  </si>
  <si>
    <t>han4.3168</t>
  </si>
  <si>
    <t>han4.0256</t>
  </si>
  <si>
    <t>han4.10070</t>
  </si>
  <si>
    <t>han4.1235</t>
  </si>
  <si>
    <t>4.269</t>
  </si>
  <si>
    <t>han4.269</t>
  </si>
  <si>
    <t>han4.6404</t>
  </si>
  <si>
    <t>10979</t>
  </si>
  <si>
    <t>han4.10979</t>
  </si>
  <si>
    <t>Lưu Ngọc Sơn</t>
  </si>
  <si>
    <t>han4.1413</t>
  </si>
  <si>
    <t>06762.cuong</t>
  </si>
  <si>
    <t>1234Abcd</t>
  </si>
  <si>
    <t xml:space="preserve">Nguyễn Minh Tuyên </t>
  </si>
  <si>
    <t>han4.3790</t>
  </si>
  <si>
    <t>han4.10199</t>
  </si>
  <si>
    <t>duc.00776</t>
  </si>
  <si>
    <t>duc.00917</t>
  </si>
  <si>
    <t>duc.00930</t>
  </si>
  <si>
    <t>duc.01198</t>
  </si>
  <si>
    <t>duc.01373</t>
  </si>
  <si>
    <t>duc.01434</t>
  </si>
  <si>
    <t>duc.01436</t>
  </si>
  <si>
    <t>duc.05479</t>
  </si>
  <si>
    <t>duc.09194</t>
  </si>
  <si>
    <t>duc.09784</t>
  </si>
  <si>
    <t>duc.16878</t>
  </si>
  <si>
    <t>duc.16439</t>
  </si>
  <si>
    <t>12501</t>
  </si>
  <si>
    <t>Đỗ Hồng Quân</t>
  </si>
  <si>
    <t>duc.12501</t>
  </si>
  <si>
    <t>15378</t>
  </si>
  <si>
    <t>Nguyễn Phúc Tam</t>
  </si>
  <si>
    <t>duc.15378</t>
  </si>
  <si>
    <t>14020</t>
  </si>
  <si>
    <t>Lương Thị Điệp</t>
  </si>
  <si>
    <t>duc.14020</t>
  </si>
  <si>
    <t>duc.02611</t>
  </si>
  <si>
    <t>duc.09169</t>
  </si>
  <si>
    <t>QC.09655</t>
  </si>
  <si>
    <t>duc.19005</t>
  </si>
  <si>
    <t>duc.06000</t>
  </si>
  <si>
    <t>duc.02065</t>
  </si>
  <si>
    <t>LAP RAP</t>
  </si>
  <si>
    <t>lr.01644</t>
  </si>
  <si>
    <t>lr.03299</t>
  </si>
  <si>
    <t>lr.10495</t>
  </si>
  <si>
    <t>lr.09568</t>
  </si>
  <si>
    <t>17212</t>
  </si>
  <si>
    <t>Nguyễn Thu Phương</t>
  </si>
  <si>
    <t>lr.17212</t>
  </si>
  <si>
    <t>lr.01034</t>
  </si>
  <si>
    <t>11422.thuong</t>
  </si>
  <si>
    <t>ThUong@#$11422</t>
  </si>
  <si>
    <t>13581.hoa</t>
  </si>
  <si>
    <t>HoA!@#13581</t>
  </si>
  <si>
    <t>LAP RAP6</t>
  </si>
  <si>
    <t>lr6.01268</t>
  </si>
  <si>
    <t>LR6@01268</t>
  </si>
  <si>
    <t>lr6.01543</t>
  </si>
  <si>
    <t>LAPRAP6</t>
  </si>
  <si>
    <t>lr6.22410</t>
  </si>
  <si>
    <t>lr6#24023</t>
  </si>
  <si>
    <t>lr6.06887</t>
  </si>
  <si>
    <t>lr6#170823</t>
  </si>
  <si>
    <t>24531</t>
  </si>
  <si>
    <t>24531.nhung</t>
  </si>
  <si>
    <t>Lr6@24531</t>
  </si>
  <si>
    <t>26068</t>
  </si>
  <si>
    <t>Lăng Thị Lan</t>
  </si>
  <si>
    <t>26068.lan</t>
  </si>
  <si>
    <t>Lr@26068</t>
  </si>
  <si>
    <t>24765.nhung</t>
  </si>
  <si>
    <t>Nhung@24765</t>
  </si>
  <si>
    <t>NHAN SU</t>
  </si>
  <si>
    <t>ns.00336</t>
  </si>
  <si>
    <t>ns.00740</t>
  </si>
  <si>
    <t>ns.01188</t>
  </si>
  <si>
    <t>ns.02824</t>
  </si>
  <si>
    <t>ns.03489</t>
  </si>
  <si>
    <t>ns.03499</t>
  </si>
  <si>
    <t xml:space="preserve">Nguyễn Thị Hồng Hạnh </t>
  </si>
  <si>
    <t>ns.17645</t>
  </si>
  <si>
    <t>ns.18258</t>
  </si>
  <si>
    <t>ns.20019</t>
  </si>
  <si>
    <t>24333</t>
  </si>
  <si>
    <t>24333.them</t>
  </si>
  <si>
    <t>Jax12794</t>
  </si>
  <si>
    <t>25319.trang</t>
  </si>
  <si>
    <t>:lf~\J</t>
  </si>
  <si>
    <t>ns.20907</t>
  </si>
  <si>
    <t>HAN3</t>
  </si>
  <si>
    <t>han3.00200</t>
  </si>
  <si>
    <t>han3.00288</t>
  </si>
  <si>
    <t>han3.00303</t>
  </si>
  <si>
    <t>han3.00624</t>
  </si>
  <si>
    <t>han3.01240</t>
  </si>
  <si>
    <t>han3.15895</t>
  </si>
  <si>
    <t>han3.00884</t>
  </si>
  <si>
    <t>han3.03554</t>
  </si>
  <si>
    <t>Phan Thanh Giang</t>
  </si>
  <si>
    <t>07844.giang</t>
  </si>
  <si>
    <t>pa[Ap!</t>
  </si>
  <si>
    <t>02485.the</t>
  </si>
  <si>
    <t>wdLEDx</t>
  </si>
  <si>
    <t>Đặng Thanh Hoan</t>
  </si>
  <si>
    <t>16118.hoan</t>
  </si>
  <si>
    <t>Hoan123@</t>
  </si>
  <si>
    <t>09055</t>
  </si>
  <si>
    <t>09055.hung</t>
  </si>
  <si>
    <t>}(NjgM</t>
  </si>
  <si>
    <t>HAN5</t>
  </si>
  <si>
    <t>han5.13456</t>
  </si>
  <si>
    <t>han5.00462</t>
  </si>
  <si>
    <t>han5.01227</t>
  </si>
  <si>
    <t>06994</t>
  </si>
  <si>
    <t>Nguyễn Thị Tin</t>
  </si>
  <si>
    <t>han5.06994</t>
  </si>
  <si>
    <t>han5.04201</t>
  </si>
  <si>
    <t>han5.11580</t>
  </si>
  <si>
    <t>25606.duc</t>
  </si>
  <si>
    <t>Duc12@</t>
  </si>
  <si>
    <t>han5.16268</t>
  </si>
  <si>
    <t>HAN6</t>
  </si>
  <si>
    <t>han6.10109</t>
  </si>
  <si>
    <t>02257</t>
  </si>
  <si>
    <t>Hà Văn Dũng</t>
  </si>
  <si>
    <t>han6.02257</t>
  </si>
  <si>
    <t>han6.12804</t>
  </si>
  <si>
    <t>Ads7#2BF</t>
  </si>
  <si>
    <t>han6.19546</t>
  </si>
  <si>
    <t>04192</t>
  </si>
  <si>
    <t>Trần Côn</t>
  </si>
  <si>
    <t>han6.04192</t>
  </si>
  <si>
    <t>han6.22077</t>
  </si>
  <si>
    <t>hanx6&amp;23</t>
  </si>
  <si>
    <t>09262.hung</t>
  </si>
  <si>
    <t>HunG@!09262</t>
  </si>
  <si>
    <t>00046.hoan</t>
  </si>
  <si>
    <t>Son6@2024</t>
  </si>
  <si>
    <t>Trân Thị Hải</t>
  </si>
  <si>
    <t>25156.hai</t>
  </si>
  <si>
    <t>&amp;j5wf/@25156</t>
  </si>
  <si>
    <t>00413.sang</t>
  </si>
  <si>
    <t>Han6@00413</t>
  </si>
  <si>
    <t>25906.hai</t>
  </si>
  <si>
    <t>Han6@25906</t>
  </si>
  <si>
    <t>Nguyễn Đức Trung</t>
  </si>
  <si>
    <t>00941.trung</t>
  </si>
  <si>
    <t>a=2xfl@00941</t>
  </si>
  <si>
    <t>GIA CONG</t>
  </si>
  <si>
    <t>gc.00234</t>
  </si>
  <si>
    <t>gc.01911</t>
  </si>
  <si>
    <t>gc.01309</t>
  </si>
  <si>
    <t>gc.01795</t>
  </si>
  <si>
    <t>gc.01134</t>
  </si>
  <si>
    <t>gc.11988</t>
  </si>
  <si>
    <t>01899</t>
  </si>
  <si>
    <t>Nguyễn Kim Nguyên</t>
  </si>
  <si>
    <t>gc.01899</t>
  </si>
  <si>
    <t>gc.10140</t>
  </si>
  <si>
    <t>gc.01906</t>
  </si>
  <si>
    <t>gc.14019</t>
  </si>
  <si>
    <t>13208</t>
  </si>
  <si>
    <t>gc.13208</t>
  </si>
  <si>
    <t>Nguyễn Duy Khanh</t>
  </si>
  <si>
    <t>gc.01167</t>
  </si>
  <si>
    <t>11314.hung</t>
  </si>
  <si>
    <t>17213.duc</t>
  </si>
  <si>
    <t>19427.hieu</t>
  </si>
  <si>
    <t>24203.thuc</t>
  </si>
  <si>
    <t>23055.nam</t>
  </si>
  <si>
    <t>24124.tung</t>
  </si>
  <si>
    <t>24332.doanh</t>
  </si>
  <si>
    <t>23748.duc</t>
  </si>
  <si>
    <t>21794.quan</t>
  </si>
  <si>
    <t>22881.canh</t>
  </si>
  <si>
    <t>24325.quang</t>
  </si>
  <si>
    <t>24326.buu</t>
  </si>
  <si>
    <t>24327</t>
  </si>
  <si>
    <t>Ngô Quang Vinh</t>
  </si>
  <si>
    <t>24327.vinh</t>
  </si>
  <si>
    <t>24994.long</t>
  </si>
  <si>
    <t>25022</t>
  </si>
  <si>
    <t>Nguyễn Viết Việt</t>
  </si>
  <si>
    <t>25022.viet</t>
  </si>
  <si>
    <t>gc.16577</t>
  </si>
  <si>
    <t>gc.16917</t>
  </si>
  <si>
    <t>gc.17950</t>
  </si>
  <si>
    <t>gc.23101</t>
  </si>
  <si>
    <t>25843.nhu</t>
  </si>
  <si>
    <t>lvLJW'</t>
  </si>
  <si>
    <t>25978.tuyen</t>
  </si>
  <si>
    <t>Tuyen25978</t>
  </si>
  <si>
    <t>gc.20363</t>
  </si>
  <si>
    <t>25844.tuan</t>
  </si>
  <si>
    <t>Tuan25844</t>
  </si>
  <si>
    <t>26285.toan</t>
  </si>
  <si>
    <t>Toan26285</t>
  </si>
  <si>
    <t>26183.cuong</t>
  </si>
  <si>
    <t>Cuong26183</t>
  </si>
  <si>
    <t>24995.anh</t>
  </si>
  <si>
    <t>Anh24995</t>
  </si>
  <si>
    <t>25860.hung</t>
  </si>
  <si>
    <t>Hung25860</t>
  </si>
  <si>
    <t>26204.vinh</t>
  </si>
  <si>
    <t>Vinh26204</t>
  </si>
  <si>
    <t>26349.dung</t>
  </si>
  <si>
    <t>26358.toan</t>
  </si>
  <si>
    <t>26379.sang</t>
  </si>
  <si>
    <t>26067.chang</t>
  </si>
  <si>
    <t>26367.quan</t>
  </si>
  <si>
    <t>26308.hiep</t>
  </si>
  <si>
    <t>26210.anh</t>
  </si>
  <si>
    <t>SON1</t>
  </si>
  <si>
    <t>son1.00748</t>
  </si>
  <si>
    <t>Phạm Thị Thúy Duyên</t>
  </si>
  <si>
    <t>son1.06573</t>
  </si>
  <si>
    <t>son1.09253</t>
  </si>
  <si>
    <t>son1.08605</t>
  </si>
  <si>
    <t>son1.11553</t>
  </si>
  <si>
    <t>son1.11064</t>
  </si>
  <si>
    <t>son1.09567</t>
  </si>
  <si>
    <t>20055</t>
  </si>
  <si>
    <t>son1.20055</t>
  </si>
  <si>
    <t>28/06/2023</t>
  </si>
  <si>
    <t>SON6</t>
  </si>
  <si>
    <t>son6.00082</t>
  </si>
  <si>
    <t>son6@00082</t>
  </si>
  <si>
    <t>son6.22757</t>
  </si>
  <si>
    <t>18433</t>
  </si>
  <si>
    <t>18433.long</t>
  </si>
  <si>
    <t>A@sd2291</t>
  </si>
  <si>
    <t>21050</t>
  </si>
  <si>
    <t>Nguyễn Quốc Chính</t>
  </si>
  <si>
    <t>21050.chinh</t>
  </si>
  <si>
    <t>C1102@vie</t>
  </si>
  <si>
    <t>10452.cuong</t>
  </si>
  <si>
    <t>Qwk#2024</t>
  </si>
  <si>
    <t>20977.hanh</t>
  </si>
  <si>
    <t>Son6@20977</t>
  </si>
  <si>
    <t>15648</t>
  </si>
  <si>
    <t>son6.15648</t>
  </si>
  <si>
    <t>12479.van</t>
  </si>
  <si>
    <t>;I@Ln'@12479</t>
  </si>
  <si>
    <t>26041.hanh</t>
  </si>
  <si>
    <t>^ak]Wa#26041</t>
  </si>
  <si>
    <t>Vũ Thị Ánh</t>
  </si>
  <si>
    <t>26470.anh</t>
  </si>
  <si>
    <t>Son6@26470</t>
  </si>
  <si>
    <t>bổ sung phiếu đăng ký</t>
  </si>
  <si>
    <t>DAP6</t>
  </si>
  <si>
    <t>dap6.20599</t>
  </si>
  <si>
    <t>dap6.01909</t>
  </si>
  <si>
    <t>Dap6@01909</t>
  </si>
  <si>
    <t>18061</t>
  </si>
  <si>
    <t>Lăng Thị Ngọc Lan</t>
  </si>
  <si>
    <t>dap6.18061</t>
  </si>
  <si>
    <t>22231</t>
  </si>
  <si>
    <t>dap6.22231</t>
  </si>
  <si>
    <t>dap6.21313</t>
  </si>
  <si>
    <t>dap6.19951</t>
  </si>
  <si>
    <t>dap6.20612</t>
  </si>
  <si>
    <t>dap6.21137</t>
  </si>
  <si>
    <t>03282.tam</t>
  </si>
  <si>
    <t>D6p#2024</t>
  </si>
  <si>
    <t>21314.van</t>
  </si>
  <si>
    <t>Dap6@21314</t>
  </si>
  <si>
    <t>24508</t>
  </si>
  <si>
    <t>Bùi Thị Bình</t>
  </si>
  <si>
    <t>24508.binh</t>
  </si>
  <si>
    <t>Binh@24508</t>
  </si>
  <si>
    <t>00834.quynh</t>
  </si>
  <si>
    <t>Nguyễn văn Thìn</t>
  </si>
  <si>
    <t>09874.thin</t>
  </si>
  <si>
    <t>Dap6@9874</t>
  </si>
  <si>
    <t>DAP3</t>
  </si>
  <si>
    <t>vuthanh</t>
  </si>
  <si>
    <t>00431.hien</t>
  </si>
  <si>
    <t>ck/-]^@00431</t>
  </si>
  <si>
    <t>DAP1</t>
  </si>
  <si>
    <t>dap1.00254</t>
  </si>
  <si>
    <t>dap1.03094</t>
  </si>
  <si>
    <t>dap1.04619</t>
  </si>
  <si>
    <t>16755</t>
  </si>
  <si>
    <t>dap1.16755</t>
  </si>
  <si>
    <t>dap1.07790</t>
  </si>
  <si>
    <t>dap1.10595</t>
  </si>
  <si>
    <t>00998.bang</t>
  </si>
  <si>
    <t>AT-MT</t>
  </si>
  <si>
    <t>amt.01443</t>
  </si>
  <si>
    <t>amt.03502</t>
  </si>
  <si>
    <t>amt.15950</t>
  </si>
  <si>
    <t>22261</t>
  </si>
  <si>
    <t>amt.22261</t>
  </si>
  <si>
    <t>amt.03618</t>
  </si>
  <si>
    <t>25127.son</t>
  </si>
  <si>
    <t>JT=&gt;gA@25127</t>
  </si>
  <si>
    <t>25148.anh</t>
  </si>
  <si>
    <t>25678.duc</t>
  </si>
  <si>
    <t>ATMT@25678</t>
  </si>
  <si>
    <t>17925</t>
  </si>
  <si>
    <t>Nguyễn Đại Dương</t>
  </si>
  <si>
    <t>ktsx.17925</t>
  </si>
  <si>
    <t>ktsx.23792</t>
  </si>
  <si>
    <t>ktsx.23793</t>
  </si>
  <si>
    <t>22986</t>
  </si>
  <si>
    <t>Đỗ Đức Thắng</t>
  </si>
  <si>
    <t>ktsx.22986</t>
  </si>
  <si>
    <t>16143.chung</t>
  </si>
  <si>
    <t>Ksx&amp;2023</t>
  </si>
  <si>
    <t>24328</t>
  </si>
  <si>
    <t>Thiều Đức Lâm</t>
  </si>
  <si>
    <t>24328.lam</t>
  </si>
  <si>
    <t>Lam#24328</t>
  </si>
  <si>
    <t>24900.duy</t>
  </si>
  <si>
    <t>.aEYL*</t>
  </si>
  <si>
    <t>09245.yen</t>
  </si>
  <si>
    <t>ktsx.23862</t>
  </si>
  <si>
    <t>26415.dong</t>
  </si>
  <si>
    <t>Dong26415</t>
  </si>
  <si>
    <t>19617.nhung</t>
  </si>
  <si>
    <t>Nhung@19617</t>
  </si>
  <si>
    <t>TONG VU</t>
  </si>
  <si>
    <t>tv.00376</t>
  </si>
  <si>
    <t>tv.01162</t>
  </si>
  <si>
    <t>tv.00369</t>
  </si>
  <si>
    <t>tv.09481</t>
  </si>
  <si>
    <t>tv6#9481</t>
  </si>
  <si>
    <t>tv.05074</t>
  </si>
  <si>
    <t>17574.thu</t>
  </si>
  <si>
    <t>tvu@17574</t>
  </si>
  <si>
    <t>06682.thom</t>
  </si>
  <si>
    <t>Thom06682</t>
  </si>
  <si>
    <t>10294.hien</t>
  </si>
  <si>
    <t>Hien10294</t>
  </si>
  <si>
    <t>qltb.0334</t>
  </si>
  <si>
    <t>qltb.07281</t>
  </si>
  <si>
    <t>CONG VU</t>
  </si>
  <si>
    <t>cvu.07948</t>
  </si>
  <si>
    <t>qlsx.00072</t>
  </si>
  <si>
    <t>qlsx.328</t>
  </si>
  <si>
    <t>Phạm Ngọc Hòa</t>
  </si>
  <si>
    <t>qlsx.533</t>
  </si>
  <si>
    <t>qlsx.637</t>
  </si>
  <si>
    <t>qlsx.665</t>
  </si>
  <si>
    <t>qlsx.767</t>
  </si>
  <si>
    <t>qlsx.1232</t>
  </si>
  <si>
    <t>qlsx.1233</t>
  </si>
  <si>
    <t>qlsx.1534</t>
  </si>
  <si>
    <t>qlsx.2421</t>
  </si>
  <si>
    <t>qlsx.2547</t>
  </si>
  <si>
    <t>qlsx.3747</t>
  </si>
  <si>
    <t>qlsx.4427</t>
  </si>
  <si>
    <t>qlsx.4428</t>
  </si>
  <si>
    <t>Hà Thị Thùy Linh</t>
  </si>
  <si>
    <t>qlsx.6492</t>
  </si>
  <si>
    <t>qlsx.6748</t>
  </si>
  <si>
    <t>06905</t>
  </si>
  <si>
    <t>Hạ Thị Thu Thảo</t>
  </si>
  <si>
    <t>qlsx.6905</t>
  </si>
  <si>
    <t>qlsx.7789</t>
  </si>
  <si>
    <t>qlsx.0433</t>
  </si>
  <si>
    <t>10437</t>
  </si>
  <si>
    <t>Lê Kim Cường</t>
  </si>
  <si>
    <t>qlsx.10437</t>
  </si>
  <si>
    <t>qlsx.11937</t>
  </si>
  <si>
    <t>13982</t>
  </si>
  <si>
    <t>Trần Công Đức</t>
  </si>
  <si>
    <t>qlsx.13982</t>
  </si>
  <si>
    <t>qlsx.4267</t>
  </si>
  <si>
    <t>qlsx.4268</t>
  </si>
  <si>
    <t>qlsx.1273</t>
  </si>
  <si>
    <t>qlsx.0186</t>
  </si>
  <si>
    <t>qlsx.8550</t>
  </si>
  <si>
    <t>08759</t>
  </si>
  <si>
    <t>Nguyễn Thị Minh Yến</t>
  </si>
  <si>
    <t>qlsx.8759</t>
  </si>
  <si>
    <t>qlsx.8886</t>
  </si>
  <si>
    <t>qlsx.9145</t>
  </si>
  <si>
    <t>09752</t>
  </si>
  <si>
    <t>qlsx.9752</t>
  </si>
  <si>
    <t>11764</t>
  </si>
  <si>
    <t>qlsx.11764</t>
  </si>
  <si>
    <t>qlsx.13582</t>
  </si>
  <si>
    <t>15781</t>
  </si>
  <si>
    <t>qlsx.15781</t>
  </si>
  <si>
    <t>15572</t>
  </si>
  <si>
    <t>Nguyễn Thanh Hoàng</t>
  </si>
  <si>
    <t>qlsx.15572</t>
  </si>
  <si>
    <t>qlsx.04202</t>
  </si>
  <si>
    <t>14639</t>
  </si>
  <si>
    <t>Nguyễn Chí Linh</t>
  </si>
  <si>
    <t>qlsx.14639</t>
  </si>
  <si>
    <t>qlsx.18616</t>
  </si>
  <si>
    <t>18153</t>
  </si>
  <si>
    <t>qlsx.18153</t>
  </si>
  <si>
    <t>20292</t>
  </si>
  <si>
    <t>Nguyễn Văn Phương Anh</t>
  </si>
  <si>
    <t>qlsx6.20292</t>
  </si>
  <si>
    <t>qlsx6.22095</t>
  </si>
  <si>
    <t>qlsx6.24016</t>
  </si>
  <si>
    <t>qlsx6&amp;23</t>
  </si>
  <si>
    <t>23613</t>
  </si>
  <si>
    <t>Chu Văn An</t>
  </si>
  <si>
    <t>23613.an</t>
  </si>
  <si>
    <t>Qlsx6@23</t>
  </si>
  <si>
    <t>24318</t>
  </si>
  <si>
    <t>Phan Kiên Cường</t>
  </si>
  <si>
    <t>24318.cuong</t>
  </si>
  <si>
    <t>Bùi Xuyến</t>
  </si>
  <si>
    <t>qlsx.20328</t>
  </si>
  <si>
    <t>qlsx.19909</t>
  </si>
  <si>
    <t>qlsx.03500</t>
  </si>
  <si>
    <t>qlsx.03613</t>
  </si>
  <si>
    <t>19767</t>
  </si>
  <si>
    <t>Nguyễn Thế Anh Tùng</t>
  </si>
  <si>
    <t>qlsx.19767</t>
  </si>
  <si>
    <t>qlsx.15725</t>
  </si>
  <si>
    <t>qlsx.19406</t>
  </si>
  <si>
    <t>10029.tuan</t>
  </si>
  <si>
    <t>]=fyBw</t>
  </si>
  <si>
    <t>24335.chinh</t>
  </si>
  <si>
    <t>)iM&gt;E,</t>
  </si>
  <si>
    <t>24751</t>
  </si>
  <si>
    <t>Nguyễn Văn Thiện</t>
  </si>
  <si>
    <t>24751.thien</t>
  </si>
  <si>
    <t>QlSx@24751</t>
  </si>
  <si>
    <t>qlsx.25374</t>
  </si>
  <si>
    <t>&amp;^gu/H</t>
  </si>
  <si>
    <t>24871.hoang</t>
  </si>
  <si>
    <t>QlSx@24871!</t>
  </si>
  <si>
    <t>26158.kiet</t>
  </si>
  <si>
    <t>&amp;`C"zj26158</t>
  </si>
  <si>
    <t>26309.trong</t>
  </si>
  <si>
    <t>Trong26309</t>
  </si>
  <si>
    <t>ksnb.720</t>
  </si>
  <si>
    <t>17444</t>
  </si>
  <si>
    <t>ksnb.17444</t>
  </si>
  <si>
    <t>24294.anh</t>
  </si>
  <si>
    <t>ksnb#249</t>
  </si>
  <si>
    <t>24901.cuong</t>
  </si>
  <si>
    <t>fDU@Vr</t>
  </si>
  <si>
    <t>25126</t>
  </si>
  <si>
    <t>25126.tam</t>
  </si>
  <si>
    <t>vWSA45</t>
  </si>
  <si>
    <t>26277.linh</t>
  </si>
  <si>
    <t>CkTAky</t>
  </si>
  <si>
    <t>dap3.0677</t>
  </si>
  <si>
    <t>dap3.0760</t>
  </si>
  <si>
    <t>dap3.09096</t>
  </si>
  <si>
    <t>dap3.9866</t>
  </si>
  <si>
    <t>10368.hang</t>
  </si>
  <si>
    <t>HAng!@#10368</t>
  </si>
  <si>
    <t>23295.nu</t>
  </si>
  <si>
    <t>m3#TA_</t>
  </si>
  <si>
    <t>dap3.10367</t>
  </si>
  <si>
    <t>dap3.01283</t>
  </si>
  <si>
    <t>09354</t>
  </si>
  <si>
    <t>dap3.09354</t>
  </si>
  <si>
    <t>VPTGD</t>
  </si>
  <si>
    <t>vptgd</t>
  </si>
  <si>
    <t>vptgd.00127</t>
  </si>
  <si>
    <t>12122</t>
  </si>
  <si>
    <t>Trần Thị Thu Hương</t>
  </si>
  <si>
    <t>vptgd.12122</t>
  </si>
  <si>
    <t>vptgd.17577</t>
  </si>
  <si>
    <t>25814.xuan</t>
  </si>
  <si>
    <t>5-_rV&gt;</t>
  </si>
  <si>
    <t>25149.linh</t>
  </si>
  <si>
    <t>26157.thuy</t>
  </si>
  <si>
    <t>X]LUo"</t>
  </si>
  <si>
    <t>26345.huyen</t>
  </si>
  <si>
    <t>Huyen26345</t>
  </si>
  <si>
    <t>YTE</t>
  </si>
  <si>
    <t>yte.01742</t>
  </si>
  <si>
    <t>haivp1</t>
  </si>
  <si>
    <t>mis.15060</t>
  </si>
  <si>
    <t>mis.16138</t>
  </si>
  <si>
    <t>mis.17655</t>
  </si>
  <si>
    <t>mis.18119</t>
  </si>
  <si>
    <t>mis.18499</t>
  </si>
  <si>
    <t>mis.20021</t>
  </si>
  <si>
    <t>25758.nga</t>
  </si>
  <si>
    <t>Bachnga</t>
  </si>
  <si>
    <t>MEETING 1</t>
  </si>
  <si>
    <t>m1</t>
  </si>
  <si>
    <t>MEETING 2</t>
  </si>
  <si>
    <t>m2</t>
  </si>
  <si>
    <t>MEETING X6</t>
  </si>
  <si>
    <t>vpic1-x6</t>
  </si>
  <si>
    <t>M7-MEETING</t>
  </si>
  <si>
    <t>MEETING 7</t>
  </si>
  <si>
    <t>BOT.MIS</t>
  </si>
  <si>
    <t>bot.mis</t>
  </si>
  <si>
    <t>22028.hien</t>
  </si>
  <si>
    <t>23169</t>
  </si>
  <si>
    <t>mis.23169</t>
  </si>
  <si>
    <t>mis.24085</t>
  </si>
  <si>
    <t>HIHvtM</t>
  </si>
  <si>
    <t>24322.hue</t>
  </si>
  <si>
    <t>J3MRjE</t>
  </si>
  <si>
    <t>24320.linh</t>
  </si>
  <si>
    <t>Linh320</t>
  </si>
  <si>
    <t>24334</t>
  </si>
  <si>
    <t>24334.thao</t>
  </si>
  <si>
    <t>Thao334</t>
  </si>
  <si>
    <t>24703</t>
  </si>
  <si>
    <t>24703.tien</t>
  </si>
  <si>
    <t>Tien4703</t>
  </si>
  <si>
    <t>25575.duy</t>
  </si>
  <si>
    <t>,?"kc_!@25575</t>
  </si>
  <si>
    <t>26094</t>
  </si>
  <si>
    <t>Trần Văn Long</t>
  </si>
  <si>
    <t>26094.long</t>
  </si>
  <si>
    <t>Long@26094</t>
  </si>
  <si>
    <t>26223.kien</t>
  </si>
  <si>
    <t>jfux7@</t>
  </si>
  <si>
    <t>26315.dung</t>
  </si>
  <si>
    <t>Dung26315@</t>
  </si>
  <si>
    <t>26350.truong</t>
  </si>
  <si>
    <t>Truong26350</t>
  </si>
  <si>
    <t>mis.24112</t>
  </si>
  <si>
    <t>eae';,</t>
  </si>
  <si>
    <t>mis.24210</t>
  </si>
  <si>
    <t>jXmlh-</t>
  </si>
  <si>
    <t>24918.sen</t>
  </si>
  <si>
    <t>]fJtwo</t>
  </si>
  <si>
    <t>25010.trang</t>
  </si>
  <si>
    <t>IH8G\P</t>
  </si>
  <si>
    <t>24919.binh</t>
  </si>
  <si>
    <t>!*2:tw</t>
  </si>
  <si>
    <t>15/10/2024</t>
  </si>
  <si>
    <t>P. Tổng giám đốc</t>
  </si>
  <si>
    <t>james</t>
  </si>
  <si>
    <t>Giám đốc</t>
  </si>
  <si>
    <t>chenson</t>
  </si>
  <si>
    <t>powerty</t>
  </si>
  <si>
    <t>Hiệp lý</t>
  </si>
  <si>
    <t>chunhsing</t>
  </si>
  <si>
    <t>chin</t>
  </si>
  <si>
    <t>chang</t>
  </si>
  <si>
    <t>Tổng Giám đốc</t>
  </si>
  <si>
    <t>andy</t>
  </si>
  <si>
    <t>robert</t>
  </si>
  <si>
    <t>ming</t>
  </si>
  <si>
    <t>kevin</t>
  </si>
  <si>
    <t>WANG CHENG WEN</t>
  </si>
  <si>
    <t>arthur</t>
  </si>
  <si>
    <t>glen</t>
  </si>
  <si>
    <t>CHEN PO YU</t>
  </si>
  <si>
    <t>poyuchen</t>
  </si>
  <si>
    <t>japlinchen</t>
  </si>
  <si>
    <t>CHEN MING TSE</t>
  </si>
  <si>
    <t>jeremychen</t>
  </si>
  <si>
    <t>P. Giám đốc</t>
  </si>
  <si>
    <t>zengdepeng</t>
  </si>
  <si>
    <t>LIN YI CHING</t>
  </si>
  <si>
    <t>eddie.lin</t>
  </si>
  <si>
    <t>SHAWN WU</t>
  </si>
  <si>
    <t>shawn.wu</t>
  </si>
  <si>
    <t>DINO CHANG</t>
  </si>
  <si>
    <t>dinochiang</t>
  </si>
  <si>
    <t>TONI LIN</t>
  </si>
  <si>
    <t>tony.chen</t>
  </si>
  <si>
    <t>CHANG MING YUAN</t>
  </si>
  <si>
    <t>joe.chang</t>
  </si>
  <si>
    <t>P. Chủ tịch HDTV</t>
  </si>
  <si>
    <t>ANTONIO</t>
  </si>
  <si>
    <t>antonio</t>
  </si>
  <si>
    <t>Chủ tịch HDTV</t>
  </si>
  <si>
    <t>YU MIN HUI</t>
  </si>
  <si>
    <t>steven</t>
  </si>
  <si>
    <t>TOMY CHEN</t>
  </si>
  <si>
    <t>tommychen</t>
  </si>
  <si>
    <t>andyLee</t>
  </si>
  <si>
    <t>ted.chuang</t>
  </si>
  <si>
    <t>DL113</t>
  </si>
  <si>
    <t>LUNG HSUN MIN</t>
  </si>
  <si>
    <t>drago</t>
  </si>
  <si>
    <t>issac</t>
  </si>
  <si>
    <t>jimtseng</t>
  </si>
  <si>
    <t>24/11/2022</t>
  </si>
  <si>
    <t>CHANG KUN HUNG</t>
  </si>
  <si>
    <t>DL117</t>
  </si>
  <si>
    <t>09-06-2023</t>
  </si>
  <si>
    <t>DL118</t>
  </si>
  <si>
    <t>chengliang</t>
  </si>
  <si>
    <t>21-08-2023</t>
  </si>
  <si>
    <t>CHEN JIANZHONG</t>
  </si>
  <si>
    <t>hughes.chen</t>
  </si>
  <si>
    <t>28-09-2023</t>
  </si>
  <si>
    <t>prodigy.lin</t>
  </si>
  <si>
    <t>tony.lin</t>
  </si>
  <si>
    <t>30/10/2023</t>
  </si>
  <si>
    <t>wu.chungchi</t>
  </si>
  <si>
    <t>4/1/2024</t>
  </si>
  <si>
    <t>DL128</t>
  </si>
  <si>
    <t>YU SHIH CHIANG</t>
  </si>
  <si>
    <t>dl128</t>
  </si>
  <si>
    <t>2024-05-03</t>
  </si>
  <si>
    <t>DL130</t>
  </si>
  <si>
    <t>LIN HSIN</t>
  </si>
  <si>
    <t>dl130</t>
  </si>
  <si>
    <t>2024-06-04</t>
  </si>
  <si>
    <t>dl111</t>
  </si>
  <si>
    <t>DL133</t>
  </si>
  <si>
    <t>LIN TSUAN WEN</t>
  </si>
  <si>
    <t>jackie.lin</t>
  </si>
  <si>
    <t>DL134</t>
  </si>
  <si>
    <t>LIN CHIUNG HUNG</t>
  </si>
  <si>
    <t>DL135</t>
  </si>
  <si>
    <t>CHANG CHIH MING</t>
  </si>
  <si>
    <t>DL131</t>
  </si>
  <si>
    <t>LIN CHEN SHEN</t>
  </si>
  <si>
    <t>DL127</t>
  </si>
  <si>
    <t>ZHANG LUJUN</t>
  </si>
  <si>
    <t>peck.zhang</t>
  </si>
  <si>
    <t>DL132</t>
  </si>
  <si>
    <t>YU PO KAI</t>
  </si>
  <si>
    <t>洪茂益</t>
  </si>
  <si>
    <t>mars.hung</t>
  </si>
  <si>
    <t>LU YUNG HSIANG</t>
  </si>
  <si>
    <t>chales.lu</t>
  </si>
  <si>
    <t>HSU KAO MING</t>
  </si>
  <si>
    <t>ming.hsu</t>
  </si>
  <si>
    <t>DL136</t>
  </si>
  <si>
    <t>CHANG HAN QUAN</t>
  </si>
  <si>
    <t>-6B575</t>
  </si>
  <si>
    <t>CODE</t>
  </si>
  <si>
    <t>Code2</t>
  </si>
  <si>
    <t>VN10437</t>
  </si>
  <si>
    <t>VN00328</t>
  </si>
  <si>
    <t>VN00527</t>
  </si>
  <si>
    <t>VN00854</t>
  </si>
  <si>
    <t>VN04202</t>
  </si>
  <si>
    <t>VN07789</t>
  </si>
  <si>
    <t>VN13582</t>
  </si>
  <si>
    <t>VN08550</t>
  </si>
  <si>
    <t>VN07290</t>
  </si>
  <si>
    <t>VN08759</t>
  </si>
  <si>
    <t>VN02245</t>
  </si>
  <si>
    <t>VN15884</t>
  </si>
  <si>
    <t>VN00665</t>
  </si>
  <si>
    <t>VN06748</t>
  </si>
  <si>
    <t>VN03500</t>
  </si>
  <si>
    <t>VN15725</t>
  </si>
  <si>
    <t>VN00186</t>
  </si>
  <si>
    <t>VN04427</t>
  </si>
  <si>
    <t>VN01534</t>
  </si>
  <si>
    <t>VN15726</t>
  </si>
  <si>
    <t>VN09145</t>
  </si>
  <si>
    <t>VN24335</t>
  </si>
  <si>
    <t>VN24687</t>
  </si>
  <si>
    <t>VN03747</t>
  </si>
  <si>
    <t>VN04428</t>
  </si>
  <si>
    <t>VN20328</t>
  </si>
  <si>
    <t>VN03613</t>
  </si>
  <si>
    <t>VN06908</t>
  </si>
  <si>
    <t>VN19767</t>
  </si>
  <si>
    <t>VN12694</t>
  </si>
  <si>
    <t>VN01232</t>
  </si>
  <si>
    <t>VN10788</t>
  </si>
  <si>
    <t>VN10029</t>
  </si>
  <si>
    <t>VN00767</t>
  </si>
  <si>
    <t>VN11937</t>
  </si>
  <si>
    <t>VN24016</t>
  </si>
  <si>
    <t>VN24009</t>
  </si>
  <si>
    <t>VN19909</t>
  </si>
  <si>
    <t>VN02547</t>
  </si>
  <si>
    <t>VN23921</t>
  </si>
  <si>
    <t>VN00116</t>
  </si>
  <si>
    <t>VN00637</t>
  </si>
  <si>
    <t>VN00072</t>
  </si>
  <si>
    <t>VN08886</t>
  </si>
  <si>
    <t>VN25374</t>
  </si>
  <si>
    <t>VN26005</t>
  </si>
  <si>
    <t>VN25783</t>
  </si>
  <si>
    <t>VN26025</t>
  </si>
  <si>
    <t>VN26309</t>
  </si>
  <si>
    <t>VN00990</t>
  </si>
  <si>
    <t>VN01960</t>
  </si>
  <si>
    <t>VN11403</t>
  </si>
  <si>
    <t>VN02684</t>
  </si>
  <si>
    <t>VN00683</t>
  </si>
  <si>
    <t>VN00883</t>
  </si>
  <si>
    <t>VN01214</t>
  </si>
  <si>
    <t>VN01285</t>
  </si>
  <si>
    <t>VN11798</t>
  </si>
  <si>
    <t>VN13743</t>
  </si>
  <si>
    <t>VN15940</t>
  </si>
  <si>
    <t>VN12095</t>
  </si>
  <si>
    <t>VN20906</t>
  </si>
  <si>
    <t>VN09442</t>
  </si>
  <si>
    <t>VN03037</t>
  </si>
  <si>
    <t>VN24110</t>
  </si>
  <si>
    <t>VN09755</t>
  </si>
  <si>
    <t>VN00039</t>
  </si>
  <si>
    <t>VN10186</t>
  </si>
  <si>
    <t>VN02972</t>
  </si>
  <si>
    <t>VN00602</t>
  </si>
  <si>
    <t>VN03359</t>
  </si>
  <si>
    <t>VN04843</t>
  </si>
  <si>
    <t>VN24007</t>
  </si>
  <si>
    <t>VN10188</t>
  </si>
  <si>
    <t>VN24996</t>
  </si>
  <si>
    <t>VN19779</t>
  </si>
  <si>
    <t>VN10324</t>
  </si>
  <si>
    <t>VN00138</t>
  </si>
  <si>
    <t>VN01566</t>
  </si>
  <si>
    <t>VN02322</t>
  </si>
  <si>
    <t>VN07269</t>
  </si>
  <si>
    <t>VN00470</t>
  </si>
  <si>
    <t>VN03481</t>
  </si>
  <si>
    <t>VN00038</t>
  </si>
  <si>
    <t>VN07228</t>
  </si>
  <si>
    <t>VN00798</t>
  </si>
  <si>
    <t>VN00832</t>
  </si>
  <si>
    <t>VN01177</t>
  </si>
  <si>
    <t>VN00886</t>
  </si>
  <si>
    <t>VN07039</t>
  </si>
  <si>
    <t>VN21343</t>
  </si>
  <si>
    <t>VN00400</t>
  </si>
  <si>
    <t>VN02183</t>
  </si>
  <si>
    <t>VN09040</t>
  </si>
  <si>
    <t>VN07790</t>
  </si>
  <si>
    <t>VN16479</t>
  </si>
  <si>
    <t>VN10988</t>
  </si>
  <si>
    <t>VN03439</t>
  </si>
  <si>
    <t>VN03094</t>
  </si>
  <si>
    <t>VN17617</t>
  </si>
  <si>
    <t>VN00998</t>
  </si>
  <si>
    <t>VN00254</t>
  </si>
  <si>
    <t>VN00765</t>
  </si>
  <si>
    <t>VN00487</t>
  </si>
  <si>
    <t>VN00860</t>
  </si>
  <si>
    <t>VN06955</t>
  </si>
  <si>
    <t>VN00862</t>
  </si>
  <si>
    <t>VN11553</t>
  </si>
  <si>
    <t>VN11064</t>
  </si>
  <si>
    <t>VN09567</t>
  </si>
  <si>
    <t>VN11367</t>
  </si>
  <si>
    <t>VN20055</t>
  </si>
  <si>
    <t>VN08605</t>
  </si>
  <si>
    <t>VN00125</t>
  </si>
  <si>
    <t>VN00807</t>
  </si>
  <si>
    <t>VN17908</t>
  </si>
  <si>
    <t>VN03042</t>
  </si>
  <si>
    <t>VN00987</t>
  </si>
  <si>
    <t>VN05539</t>
  </si>
  <si>
    <t>VN09592</t>
  </si>
  <si>
    <t>VN10613</t>
  </si>
  <si>
    <t>VN01187</t>
  </si>
  <si>
    <t>VN00811</t>
  </si>
  <si>
    <t>VN00895</t>
  </si>
  <si>
    <t>VN04254</t>
  </si>
  <si>
    <t>VN00844</t>
  </si>
  <si>
    <t>VN05077</t>
  </si>
  <si>
    <t>VN03387</t>
  </si>
  <si>
    <t>VN02630</t>
  </si>
  <si>
    <t>VN01787</t>
  </si>
  <si>
    <t>VN24123</t>
  </si>
  <si>
    <t>VN03441</t>
  </si>
  <si>
    <t>VN19230</t>
  </si>
  <si>
    <t>VN08917</t>
  </si>
  <si>
    <t>VN02857</t>
  </si>
  <si>
    <t>VN08553</t>
  </si>
  <si>
    <t>VN15502</t>
  </si>
  <si>
    <t>VN07839</t>
  </si>
  <si>
    <t>VN00868</t>
  </si>
  <si>
    <t>VN07286</t>
  </si>
  <si>
    <t>VN21906</t>
  </si>
  <si>
    <t>VN10368</t>
  </si>
  <si>
    <t>VN11422</t>
  </si>
  <si>
    <t>VN09866</t>
  </si>
  <si>
    <t>VN10367</t>
  </si>
  <si>
    <t>VN17741</t>
  </si>
  <si>
    <t>VN00677</t>
  </si>
  <si>
    <t>VN00172</t>
  </si>
  <si>
    <t>VN26001</t>
  </si>
  <si>
    <t>VN03229</t>
  </si>
  <si>
    <t>VN13581</t>
  </si>
  <si>
    <t>VN01266</t>
  </si>
  <si>
    <t>VN09568</t>
  </si>
  <si>
    <t>VN01034</t>
  </si>
  <si>
    <t>VN10495</t>
  </si>
  <si>
    <t>VN03299</t>
  </si>
  <si>
    <t>VN01644</t>
  </si>
  <si>
    <t>VN09055</t>
  </si>
  <si>
    <t>VN02260</t>
  </si>
  <si>
    <t>VN19163</t>
  </si>
  <si>
    <t>VN07844</t>
  </si>
  <si>
    <t>VN01240</t>
  </si>
  <si>
    <t>VN15895</t>
  </si>
  <si>
    <t>VN03554</t>
  </si>
  <si>
    <t>VN00288</t>
  </si>
  <si>
    <t>VN00624</t>
  </si>
  <si>
    <t>VN09096</t>
  </si>
  <si>
    <t>VN00884</t>
  </si>
  <si>
    <t>VN14201</t>
  </si>
  <si>
    <t>VN19617</t>
  </si>
  <si>
    <t>VN00293</t>
  </si>
  <si>
    <t>VN16118</t>
  </si>
  <si>
    <t>VN08954</t>
  </si>
  <si>
    <t>VN00766</t>
  </si>
  <si>
    <t>VN01014</t>
  </si>
  <si>
    <t>VN16629</t>
  </si>
  <si>
    <t>VN10839</t>
  </si>
  <si>
    <t>VN11287</t>
  </si>
  <si>
    <t>VN23987</t>
  </si>
  <si>
    <t>VN11581</t>
  </si>
  <si>
    <t>VN11288</t>
  </si>
  <si>
    <t>VN01777</t>
  </si>
  <si>
    <t>VN08787</t>
  </si>
  <si>
    <t>VN10507</t>
  </si>
  <si>
    <t>VN24870</t>
  </si>
  <si>
    <t>VN04844</t>
  </si>
  <si>
    <t>VN13855</t>
  </si>
  <si>
    <t>VN24409</t>
  </si>
  <si>
    <t>VN24010</t>
  </si>
  <si>
    <t>VN03423</t>
  </si>
  <si>
    <t>VN01204</t>
  </si>
  <si>
    <t>VN24329</t>
  </si>
  <si>
    <t>VN03550</t>
  </si>
  <si>
    <t>VN14394</t>
  </si>
  <si>
    <t>VN19818</t>
  </si>
  <si>
    <t>VN10704</t>
  </si>
  <si>
    <t>VN24338</t>
  </si>
  <si>
    <t>VN11458</t>
  </si>
  <si>
    <t>VN20230</t>
  </si>
  <si>
    <t>VN14377</t>
  </si>
  <si>
    <t>VN24324</t>
  </si>
  <si>
    <t>VN11799</t>
  </si>
  <si>
    <t>VN14517</t>
  </si>
  <si>
    <t>VN07918</t>
  </si>
  <si>
    <t>VN10369</t>
  </si>
  <si>
    <t>VN14150</t>
  </si>
  <si>
    <t>VN19423</t>
  </si>
  <si>
    <t>VN24014</t>
  </si>
  <si>
    <t>VN24570</t>
  </si>
  <si>
    <t>VN10951</t>
  </si>
  <si>
    <t>VN15628</t>
  </si>
  <si>
    <t>VN14516</t>
  </si>
  <si>
    <t>VN11593</t>
  </si>
  <si>
    <t>VN09441</t>
  </si>
  <si>
    <t>VN18500</t>
  </si>
  <si>
    <t>VN07119</t>
  </si>
  <si>
    <t>VN16363</t>
  </si>
  <si>
    <t>VN22391</t>
  </si>
  <si>
    <t>VN25842</t>
  </si>
  <si>
    <t>VN26344</t>
  </si>
  <si>
    <t>VN12122</t>
  </si>
  <si>
    <t>VN17577</t>
  </si>
  <si>
    <t>VN09245</t>
  </si>
  <si>
    <t>VN00661</t>
  </si>
  <si>
    <t>VN25149</t>
  </si>
  <si>
    <t>VN26345</t>
  </si>
  <si>
    <t>VN26157</t>
  </si>
  <si>
    <t>VN16143</t>
  </si>
  <si>
    <t>VN17925</t>
  </si>
  <si>
    <t>VN23862</t>
  </si>
  <si>
    <t>VN24328</t>
  </si>
  <si>
    <t>VN23793</t>
  </si>
  <si>
    <t>VN23792</t>
  </si>
  <si>
    <t>VN00127</t>
  </si>
  <si>
    <t>VN24900</t>
  </si>
  <si>
    <t>VN25768</t>
  </si>
  <si>
    <t>VN26415</t>
  </si>
  <si>
    <t>VN24337</t>
  </si>
  <si>
    <t>VN10949</t>
  </si>
  <si>
    <t>VN17064</t>
  </si>
  <si>
    <t>VN17952</t>
  </si>
  <si>
    <t>VN16743</t>
  </si>
  <si>
    <t>VN18155</t>
  </si>
  <si>
    <t>VN19343</t>
  </si>
  <si>
    <t>VN01574</t>
  </si>
  <si>
    <t>VN22259</t>
  </si>
  <si>
    <t>VN24569</t>
  </si>
  <si>
    <t>VN24295</t>
  </si>
  <si>
    <t>VN08898</t>
  </si>
  <si>
    <t>VN08755</t>
  </si>
  <si>
    <t>VN19766</t>
  </si>
  <si>
    <t>VN13167</t>
  </si>
  <si>
    <t>VN08894</t>
  </si>
  <si>
    <t>VN16669</t>
  </si>
  <si>
    <t>VN14595</t>
  </si>
  <si>
    <t>VN26471</t>
  </si>
  <si>
    <t>VN22756</t>
  </si>
  <si>
    <t>VN24642</t>
  </si>
  <si>
    <t>VN17578</t>
  </si>
  <si>
    <t>VN24336</t>
  </si>
  <si>
    <t>VN14376</t>
  </si>
  <si>
    <t>VN17646</t>
  </si>
  <si>
    <t>VN13750</t>
  </si>
  <si>
    <t>VN21835</t>
  </si>
  <si>
    <t>VN08756</t>
  </si>
  <si>
    <t>VN00658</t>
  </si>
  <si>
    <t>VN18013</t>
  </si>
  <si>
    <t>VN09590</t>
  </si>
  <si>
    <t>VN09244</t>
  </si>
  <si>
    <t>VN01737</t>
  </si>
  <si>
    <t>VN01656</t>
  </si>
  <si>
    <t>VN01914</t>
  </si>
  <si>
    <t>VN00993</t>
  </si>
  <si>
    <t>VN08889</t>
  </si>
  <si>
    <t>VN24509</t>
  </si>
  <si>
    <t>VN02824</t>
  </si>
  <si>
    <t>VN18258</t>
  </si>
  <si>
    <t>VN00740</t>
  </si>
  <si>
    <t>VN00336</t>
  </si>
  <si>
    <t>VN03489</t>
  </si>
  <si>
    <t>VN01188</t>
  </si>
  <si>
    <t>VN00369</t>
  </si>
  <si>
    <t>VN01162</t>
  </si>
  <si>
    <t>VN03499</t>
  </si>
  <si>
    <t>VN17645</t>
  </si>
  <si>
    <t>VN09870</t>
  </si>
  <si>
    <t>VN20019</t>
  </si>
  <si>
    <t>VN20907</t>
  </si>
  <si>
    <t>VN24333</t>
  </si>
  <si>
    <t>VN10294</t>
  </si>
  <si>
    <t>VN20194</t>
  </si>
  <si>
    <t>VN09481</t>
  </si>
  <si>
    <t>VN25319</t>
  </si>
  <si>
    <t>VN17574</t>
  </si>
  <si>
    <t>VN06682</t>
  </si>
  <si>
    <t>VN26363</t>
  </si>
  <si>
    <t>VN01443</t>
  </si>
  <si>
    <t>VN03502</t>
  </si>
  <si>
    <t>VN15950</t>
  </si>
  <si>
    <t>VN16850</t>
  </si>
  <si>
    <t>VN24122</t>
  </si>
  <si>
    <t>VN03618</t>
  </si>
  <si>
    <t>VN22261</t>
  </si>
  <si>
    <t>VN25127</t>
  </si>
  <si>
    <t>VN25148</t>
  </si>
  <si>
    <t>VN25678</t>
  </si>
  <si>
    <t>VN00610</t>
  </si>
  <si>
    <t>VN04036</t>
  </si>
  <si>
    <t>VN09527</t>
  </si>
  <si>
    <t>VN08941</t>
  </si>
  <si>
    <t>VN10480</t>
  </si>
  <si>
    <t>VN22147</t>
  </si>
  <si>
    <t>VN13986</t>
  </si>
  <si>
    <t>VN09878</t>
  </si>
  <si>
    <t>VN01790</t>
  </si>
  <si>
    <t>VN25354</t>
  </si>
  <si>
    <t>VN26027</t>
  </si>
  <si>
    <t>VN24294</t>
  </si>
  <si>
    <t>VN00720</t>
  </si>
  <si>
    <t>VN26277</t>
  </si>
  <si>
    <t>VN24901</t>
  </si>
  <si>
    <t>VN25126</t>
  </si>
  <si>
    <t>VN00376</t>
  </si>
  <si>
    <t>VN05074</t>
  </si>
  <si>
    <t>VN01967</t>
  </si>
  <si>
    <t>VN01742</t>
  </si>
  <si>
    <t>VN19409</t>
  </si>
  <si>
    <t>VN15626</t>
  </si>
  <si>
    <t>VN12760</t>
  </si>
  <si>
    <t>VN11725</t>
  </si>
  <si>
    <t>VN11132</t>
  </si>
  <si>
    <t>VN13852</t>
  </si>
  <si>
    <t>VN11723</t>
  </si>
  <si>
    <t>VN00285</t>
  </si>
  <si>
    <t>VN03798</t>
  </si>
  <si>
    <t>VN24851</t>
  </si>
  <si>
    <t>VN18143</t>
  </si>
  <si>
    <t>VN03487</t>
  </si>
  <si>
    <t>VN17912</t>
  </si>
  <si>
    <t>VN10953</t>
  </si>
  <si>
    <t>VN04751</t>
  </si>
  <si>
    <t>VN09587</t>
  </si>
  <si>
    <t>VN12582</t>
  </si>
  <si>
    <t>VN07179</t>
  </si>
  <si>
    <t>VN05224</t>
  </si>
  <si>
    <t>VN17794</t>
  </si>
  <si>
    <t>VN10864</t>
  </si>
  <si>
    <t>VN08232</t>
  </si>
  <si>
    <t>VN17589</t>
  </si>
  <si>
    <t>VN15625</t>
  </si>
  <si>
    <t>VN13165</t>
  </si>
  <si>
    <t>VN09586</t>
  </si>
  <si>
    <t>VN17573</t>
  </si>
  <si>
    <t>VN16002</t>
  </si>
  <si>
    <t>VN10785</t>
  </si>
  <si>
    <t>VN17356</t>
  </si>
  <si>
    <t>VN12584</t>
  </si>
  <si>
    <t>VN17886</t>
  </si>
  <si>
    <t>VN12580</t>
  </si>
  <si>
    <t>VN10879</t>
  </si>
  <si>
    <t>VN16290</t>
  </si>
  <si>
    <t>VN15629</t>
  </si>
  <si>
    <t>VN17474</t>
  </si>
  <si>
    <t>VN13668</t>
  </si>
  <si>
    <t>VN21398</t>
  </si>
  <si>
    <t>VN12404</t>
  </si>
  <si>
    <t>VN04750</t>
  </si>
  <si>
    <t>VN12761</t>
  </si>
  <si>
    <t>VN17732</t>
  </si>
  <si>
    <t>VN17795</t>
  </si>
  <si>
    <t>VN12403</t>
  </si>
  <si>
    <t>VN16003</t>
  </si>
  <si>
    <t>VN10955</t>
  </si>
  <si>
    <t>VN13090</t>
  </si>
  <si>
    <t>VN13672</t>
  </si>
  <si>
    <t>VN10954</t>
  </si>
  <si>
    <t>VN10945</t>
  </si>
  <si>
    <t>VN09589</t>
  </si>
  <si>
    <t>VN19129</t>
  </si>
  <si>
    <t>VN17582</t>
  </si>
  <si>
    <t>VN15627</t>
  </si>
  <si>
    <t>VN12038</t>
  </si>
  <si>
    <t>VN12808</t>
  </si>
  <si>
    <t>VN10784</t>
  </si>
  <si>
    <t>VN17730</t>
  </si>
  <si>
    <t>VN10863</t>
  </si>
  <si>
    <t>VN16289</t>
  </si>
  <si>
    <t>VN17911</t>
  </si>
  <si>
    <t>VN10610</t>
  </si>
  <si>
    <t>VN12806</t>
  </si>
  <si>
    <t>VN11131</t>
  </si>
  <si>
    <t>VN17731</t>
  </si>
  <si>
    <t>VN10878</t>
  </si>
  <si>
    <t>VN12405</t>
  </si>
  <si>
    <t>VN11724</t>
  </si>
  <si>
    <t>VN01057</t>
  </si>
  <si>
    <t>VN08552</t>
  </si>
  <si>
    <t>VN12583</t>
  </si>
  <si>
    <t>VN08128</t>
  </si>
  <si>
    <t>VN18062</t>
  </si>
  <si>
    <t>VN17581</t>
  </si>
  <si>
    <t>VN13321</t>
  </si>
  <si>
    <t>VN16851</t>
  </si>
  <si>
    <t>VN17913</t>
  </si>
  <si>
    <t>VN17647</t>
  </si>
  <si>
    <t>VN10611</t>
  </si>
  <si>
    <t>VN18468</t>
  </si>
  <si>
    <t>VN19545</t>
  </si>
  <si>
    <t>VN13669</t>
  </si>
  <si>
    <t>VN19753</t>
  </si>
  <si>
    <t>VN11658</t>
  </si>
  <si>
    <t>VN11632</t>
  </si>
  <si>
    <t>VN20149</t>
  </si>
  <si>
    <t>VN00490</t>
  </si>
  <si>
    <t>VN10783</t>
  </si>
  <si>
    <t>VN14081</t>
  </si>
  <si>
    <t>VN02543</t>
  </si>
  <si>
    <t>VN01955</t>
  </si>
  <si>
    <t>VN02642</t>
  </si>
  <si>
    <t>VN21265</t>
  </si>
  <si>
    <t>VN13074</t>
  </si>
  <si>
    <t>VN03889</t>
  </si>
  <si>
    <t>VN00799</t>
  </si>
  <si>
    <t>VN20024</t>
  </si>
  <si>
    <t>VN18082</t>
  </si>
  <si>
    <t>VN10861</t>
  </si>
  <si>
    <t>VN24323</t>
  </si>
  <si>
    <t>VN17885</t>
  </si>
  <si>
    <t>VN06382</t>
  </si>
  <si>
    <t>VN25150</t>
  </si>
  <si>
    <t>VN25658</t>
  </si>
  <si>
    <t>VN25659</t>
  </si>
  <si>
    <t>VN25724</t>
  </si>
  <si>
    <t>VN25725</t>
  </si>
  <si>
    <t>VN25956</t>
  </si>
  <si>
    <t>VN25957</t>
  </si>
  <si>
    <t>VN26092</t>
  </si>
  <si>
    <t>VN26040</t>
  </si>
  <si>
    <t>VN26038</t>
  </si>
  <si>
    <t>VN24410</t>
  </si>
  <si>
    <t>VN01066</t>
  </si>
  <si>
    <t>VN00640</t>
  </si>
  <si>
    <t>VN10605</t>
  </si>
  <si>
    <t>VN11706</t>
  </si>
  <si>
    <t>VN08904</t>
  </si>
  <si>
    <t>VN01705</t>
  </si>
  <si>
    <t>VN10567</t>
  </si>
  <si>
    <t>VN07702</t>
  </si>
  <si>
    <t>VN07153</t>
  </si>
  <si>
    <t>VN01465</t>
  </si>
  <si>
    <t>VN10406</t>
  </si>
  <si>
    <t>VN16198</t>
  </si>
  <si>
    <t>VN03048</t>
  </si>
  <si>
    <t>VN18894</t>
  </si>
  <si>
    <t>VN06436</t>
  </si>
  <si>
    <t>VN01706</t>
  </si>
  <si>
    <t>VN09787</t>
  </si>
  <si>
    <t>VN00606</t>
  </si>
  <si>
    <t>VN00264</t>
  </si>
  <si>
    <t>VN00259</t>
  </si>
  <si>
    <t>VN11714</t>
  </si>
  <si>
    <t>VN19425</t>
  </si>
  <si>
    <t>VN24125</t>
  </si>
  <si>
    <t>VN20193</t>
  </si>
  <si>
    <t>VN00079</t>
  </si>
  <si>
    <t>VN04104</t>
  </si>
  <si>
    <t>VN24525</t>
  </si>
  <si>
    <t>VN10693</t>
  </si>
  <si>
    <t>VN24081</t>
  </si>
  <si>
    <t>VN11402</t>
  </si>
  <si>
    <t>VN06237</t>
  </si>
  <si>
    <t>VN03480</t>
  </si>
  <si>
    <t>VN17025</t>
  </si>
  <si>
    <t>VN24084</t>
  </si>
  <si>
    <t>VN00913</t>
  </si>
  <si>
    <t>VN19777</t>
  </si>
  <si>
    <t>VN13847</t>
  </si>
  <si>
    <t>VN03408</t>
  </si>
  <si>
    <t>VN26003</t>
  </si>
  <si>
    <t>VN25894</t>
  </si>
  <si>
    <t>VN13073</t>
  </si>
  <si>
    <t>VN15704</t>
  </si>
  <si>
    <t>VN01413</t>
  </si>
  <si>
    <t>VN10636</t>
  </si>
  <si>
    <t>VN15705</t>
  </si>
  <si>
    <t>VN10595</t>
  </si>
  <si>
    <t>VN16434</t>
  </si>
  <si>
    <t>VN12014</t>
  </si>
  <si>
    <t>VN11901</t>
  </si>
  <si>
    <t>VN04708</t>
  </si>
  <si>
    <t>VN08352</t>
  </si>
  <si>
    <t>VN04365</t>
  </si>
  <si>
    <t>VN25918</t>
  </si>
  <si>
    <t>VN10199</t>
  </si>
  <si>
    <t>VN00758</t>
  </si>
  <si>
    <t>VN00405</t>
  </si>
  <si>
    <t>VN08949</t>
  </si>
  <si>
    <t>VN00231</t>
  </si>
  <si>
    <t>VN02295</t>
  </si>
  <si>
    <t>VN24199</t>
  </si>
  <si>
    <t>VN00379</t>
  </si>
  <si>
    <t>VN02419</t>
  </si>
  <si>
    <t>VN01936</t>
  </si>
  <si>
    <t>VN02196</t>
  </si>
  <si>
    <t>VN19908</t>
  </si>
  <si>
    <t>VN06654</t>
  </si>
  <si>
    <t>VN26286</t>
  </si>
  <si>
    <t>VN00213</t>
  </si>
  <si>
    <t>VN07948</t>
  </si>
  <si>
    <t>VN07281</t>
  </si>
  <si>
    <t>VN00334</t>
  </si>
  <si>
    <t>VN04015</t>
  </si>
  <si>
    <t>VN01919</t>
  </si>
  <si>
    <t>VN00464</t>
  </si>
  <si>
    <t>VN09879</t>
  </si>
  <si>
    <t>VN01386</t>
  </si>
  <si>
    <t>VN14021</t>
  </si>
  <si>
    <t>VN07843</t>
  </si>
  <si>
    <t>VN01527</t>
  </si>
  <si>
    <t>VN01015</t>
  </si>
  <si>
    <t>VN04197</t>
  </si>
  <si>
    <t>VN00662</t>
  </si>
  <si>
    <t>VN01294</t>
  </si>
  <si>
    <t>VN23102</t>
  </si>
  <si>
    <t>VN02646</t>
  </si>
  <si>
    <t>VN03615</t>
  </si>
  <si>
    <t>VN01525</t>
  </si>
  <si>
    <t>VN01555</t>
  </si>
  <si>
    <t>VN25677</t>
  </si>
  <si>
    <t>VN01436</t>
  </si>
  <si>
    <t>VN02611</t>
  </si>
  <si>
    <t>VN01373</t>
  </si>
  <si>
    <t>VN00917</t>
  </si>
  <si>
    <t>VN01198</t>
  </si>
  <si>
    <t>VN16878</t>
  </si>
  <si>
    <t>VN01021</t>
  </si>
  <si>
    <t>VN09194</t>
  </si>
  <si>
    <t>VN19005</t>
  </si>
  <si>
    <t>VN09155</t>
  </si>
  <si>
    <t>VN00167</t>
  </si>
  <si>
    <t>VN00776</t>
  </si>
  <si>
    <t>VN06000</t>
  </si>
  <si>
    <t>VN22029</t>
  </si>
  <si>
    <t>VN05479</t>
  </si>
  <si>
    <t>VN04914</t>
  </si>
  <si>
    <t>VN01906</t>
  </si>
  <si>
    <t>VN01376</t>
  </si>
  <si>
    <t>VN01911</t>
  </si>
  <si>
    <t>VN01134</t>
  </si>
  <si>
    <t>VN18616</t>
  </si>
  <si>
    <t>VN01167</t>
  </si>
  <si>
    <t>VN11988</t>
  </si>
  <si>
    <t>VN09784</t>
  </si>
  <si>
    <t>VN19427</t>
  </si>
  <si>
    <t>VN14019</t>
  </si>
  <si>
    <t>VN00234</t>
  </si>
  <si>
    <t>VN01795</t>
  </si>
  <si>
    <t>VN21803</t>
  </si>
  <si>
    <t>VN16577</t>
  </si>
  <si>
    <t>VN16917</t>
  </si>
  <si>
    <t>VN02131</t>
  </si>
  <si>
    <t>VN24332</t>
  </si>
  <si>
    <t>VN16439</t>
  </si>
  <si>
    <t>VN00930</t>
  </si>
  <si>
    <t>VN01434</t>
  </si>
  <si>
    <t>VN18327</t>
  </si>
  <si>
    <t>VN02985</t>
  </si>
  <si>
    <t>VN01309</t>
  </si>
  <si>
    <t>VN17213</t>
  </si>
  <si>
    <t>VN24124</t>
  </si>
  <si>
    <t>VN23101</t>
  </si>
  <si>
    <t>VN20363</t>
  </si>
  <si>
    <t>VN22881</t>
  </si>
  <si>
    <t>VN24325</t>
  </si>
  <si>
    <t>VN23748</t>
  </si>
  <si>
    <t>VN24327</t>
  </si>
  <si>
    <t>VN15378</t>
  </si>
  <si>
    <t>VN24330</t>
  </si>
  <si>
    <t>VN21794</t>
  </si>
  <si>
    <t>VN24326</t>
  </si>
  <si>
    <t>VN17950</t>
  </si>
  <si>
    <t>VN11314</t>
  </si>
  <si>
    <t>VN09655</t>
  </si>
  <si>
    <t>VN10140</t>
  </si>
  <si>
    <t>VN25843</t>
  </si>
  <si>
    <t>VN25860</t>
  </si>
  <si>
    <t>VN01876</t>
  </si>
  <si>
    <t>VN26368</t>
  </si>
  <si>
    <t>VN25978</t>
  </si>
  <si>
    <t>VN25844</t>
  </si>
  <si>
    <t>VN26285</t>
  </si>
  <si>
    <t>VN26183</t>
  </si>
  <si>
    <t>VN24995</t>
  </si>
  <si>
    <t>VN26204</t>
  </si>
  <si>
    <t>VN24203</t>
  </si>
  <si>
    <t>VN23055</t>
  </si>
  <si>
    <t>VN26067</t>
  </si>
  <si>
    <t>VN26349</t>
  </si>
  <si>
    <t>VN26379</t>
  </si>
  <si>
    <t>VN26367</t>
  </si>
  <si>
    <t>VN06831</t>
  </si>
  <si>
    <t>VN02261</t>
  </si>
  <si>
    <t>VN11366</t>
  </si>
  <si>
    <t>VN08753</t>
  </si>
  <si>
    <t>VN00931</t>
  </si>
  <si>
    <t>VN08555</t>
  </si>
  <si>
    <t>VN14121</t>
  </si>
  <si>
    <t>VN00806</t>
  </si>
  <si>
    <t>VN09253</t>
  </si>
  <si>
    <t>VN01122</t>
  </si>
  <si>
    <t>VN20718</t>
  </si>
  <si>
    <t>VN01614</t>
  </si>
  <si>
    <t>VN01662</t>
  </si>
  <si>
    <t>VN01932</t>
  </si>
  <si>
    <t>VN15573</t>
  </si>
  <si>
    <t>VN01233</t>
  </si>
  <si>
    <t>VN02421</t>
  </si>
  <si>
    <t>VN04267</t>
  </si>
  <si>
    <t>VN21090</t>
  </si>
  <si>
    <t>VN04268</t>
  </si>
  <si>
    <t>VN06492</t>
  </si>
  <si>
    <t>VN01273</t>
  </si>
  <si>
    <t>VN00433</t>
  </si>
  <si>
    <t>VN22094</t>
  </si>
  <si>
    <t>VN15013</t>
  </si>
  <si>
    <t>VN03562</t>
  </si>
  <si>
    <t>VN06747</t>
  </si>
  <si>
    <t>VN03671</t>
  </si>
  <si>
    <t>VN09077</t>
  </si>
  <si>
    <t>VN07966</t>
  </si>
  <si>
    <t>VN02420</t>
  </si>
  <si>
    <t>VN09000</t>
  </si>
  <si>
    <t>VN04029</t>
  </si>
  <si>
    <t>VN20793</t>
  </si>
  <si>
    <t>VN02529</t>
  </si>
  <si>
    <t>VN09759</t>
  </si>
  <si>
    <t>VN07279</t>
  </si>
  <si>
    <t>VN04021</t>
  </si>
  <si>
    <t>VN19426</t>
  </si>
  <si>
    <t>VN03790</t>
  </si>
  <si>
    <t>VN10979</t>
  </si>
  <si>
    <t>VN01235</t>
  </si>
  <si>
    <t>VN03168</t>
  </si>
  <si>
    <t>VN10070</t>
  </si>
  <si>
    <t>VN00269</t>
  </si>
  <si>
    <t>VN06404</t>
  </si>
  <si>
    <t>VN06311</t>
  </si>
  <si>
    <t>VN00256</t>
  </si>
  <si>
    <t>VN06762</t>
  </si>
  <si>
    <t>VN14798</t>
  </si>
  <si>
    <t>VN05225</t>
  </si>
  <si>
    <t>VN07195</t>
  </si>
  <si>
    <t>VN02696</t>
  </si>
  <si>
    <t>VN02413</t>
  </si>
  <si>
    <t>VN15388</t>
  </si>
  <si>
    <t>VN01874</t>
  </si>
  <si>
    <t>VN01267</t>
  </si>
  <si>
    <t>VN10828</t>
  </si>
  <si>
    <t>VN08561</t>
  </si>
  <si>
    <t>VN11364</t>
  </si>
  <si>
    <t>VN00576</t>
  </si>
  <si>
    <t>VN14920</t>
  </si>
  <si>
    <t>VN10034</t>
  </si>
  <si>
    <t>VN00279</t>
  </si>
  <si>
    <t>VN06994</t>
  </si>
  <si>
    <t>VN13456</t>
  </si>
  <si>
    <t>VN11580</t>
  </si>
  <si>
    <t>VN16268</t>
  </si>
  <si>
    <t>VN00462</t>
  </si>
  <si>
    <t>VN25606</t>
  </si>
  <si>
    <t>VN24210</t>
  </si>
  <si>
    <t>VN22028</t>
  </si>
  <si>
    <t>VN16138</t>
  </si>
  <si>
    <t>VN20021</t>
  </si>
  <si>
    <t>VN17655</t>
  </si>
  <si>
    <t>VN23169</t>
  </si>
  <si>
    <t>VN15060</t>
  </si>
  <si>
    <t>VN24085</t>
  </si>
  <si>
    <t>VN24320</t>
  </si>
  <si>
    <t>VN01959</t>
  </si>
  <si>
    <t>VN18119</t>
  </si>
  <si>
    <t>VN18499</t>
  </si>
  <si>
    <t>VN25575</t>
  </si>
  <si>
    <t>VN25758</t>
  </si>
  <si>
    <t>VN26094</t>
  </si>
  <si>
    <t>VN26350</t>
  </si>
  <si>
    <t>VN26315</t>
  </si>
  <si>
    <t>VN24112</t>
  </si>
  <si>
    <t>VN24322</t>
  </si>
  <si>
    <t>VN24918</t>
  </si>
  <si>
    <t>VN01653</t>
  </si>
  <si>
    <t>VN03027</t>
  </si>
  <si>
    <t>VN02692</t>
  </si>
  <si>
    <t>VN02954</t>
  </si>
  <si>
    <t>VN24206</t>
  </si>
  <si>
    <t>VN17175</t>
  </si>
  <si>
    <t>VN00952</t>
  </si>
  <si>
    <t>VN09482</t>
  </si>
  <si>
    <t>VN19164</t>
  </si>
  <si>
    <t>VN11457</t>
  </si>
  <si>
    <t>VN00235</t>
  </si>
  <si>
    <t>VN18660</t>
  </si>
  <si>
    <t>VN20599</t>
  </si>
  <si>
    <t>VN24508</t>
  </si>
  <si>
    <t>VN21313</t>
  </si>
  <si>
    <t>VN21137</t>
  </si>
  <si>
    <t>VN21314</t>
  </si>
  <si>
    <t>VN01909</t>
  </si>
  <si>
    <t>VN03282</t>
  </si>
  <si>
    <t>VN09874</t>
  </si>
  <si>
    <t>VN19951</t>
  </si>
  <si>
    <t>VN20612</t>
  </si>
  <si>
    <t>VN00431</t>
  </si>
  <si>
    <t>VN24002</t>
  </si>
  <si>
    <t>VN26166</t>
  </si>
  <si>
    <t>VN12804</t>
  </si>
  <si>
    <t>VN10109</t>
  </si>
  <si>
    <t>VN19546</t>
  </si>
  <si>
    <t>VN22077</t>
  </si>
  <si>
    <t>VN02257</t>
  </si>
  <si>
    <t>VN03699</t>
  </si>
  <si>
    <t>VN09262</t>
  </si>
  <si>
    <t>VN25156</t>
  </si>
  <si>
    <t>VN00413</t>
  </si>
  <si>
    <t>VN25906</t>
  </si>
  <si>
    <t>VN00941</t>
  </si>
  <si>
    <t>VN22410</t>
  </si>
  <si>
    <t>VN01268</t>
  </si>
  <si>
    <t>VN22409</t>
  </si>
  <si>
    <t>VN01543</t>
  </si>
  <si>
    <t>VN06887</t>
  </si>
  <si>
    <t>VN24765</t>
  </si>
  <si>
    <t>VN26068</t>
  </si>
  <si>
    <t>VN00533</t>
  </si>
  <si>
    <t>VN20292</t>
  </si>
  <si>
    <t>VN22095</t>
  </si>
  <si>
    <t>VN19406</t>
  </si>
  <si>
    <t>VN24751</t>
  </si>
  <si>
    <t>VN24871</t>
  </si>
  <si>
    <t>VN26158</t>
  </si>
  <si>
    <t>VN24318</t>
  </si>
  <si>
    <t>VN18433</t>
  </si>
  <si>
    <t>VN10452</t>
  </si>
  <si>
    <t>VN22757</t>
  </si>
  <si>
    <t>VN00082</t>
  </si>
  <si>
    <t>VN00046</t>
  </si>
  <si>
    <t>VN20977</t>
  </si>
  <si>
    <t>VN12479</t>
  </si>
  <si>
    <t>VN00834</t>
  </si>
  <si>
    <t>VN26470</t>
  </si>
  <si>
    <t>VN24919</t>
  </si>
  <si>
    <t>VN24789</t>
  </si>
  <si>
    <t>VN24994</t>
  </si>
  <si>
    <t>VN25022</t>
  </si>
  <si>
    <t>VN25814</t>
  </si>
  <si>
    <t>VN26041</t>
  </si>
  <si>
    <t>VN02716</t>
  </si>
  <si>
    <t>VN26156</t>
  </si>
  <si>
    <t>VN26223</t>
  </si>
  <si>
    <t>VN26071</t>
  </si>
  <si>
    <t>VN07045</t>
  </si>
  <si>
    <t>*Account</t>
  </si>
  <si>
    <t>*Name</t>
  </si>
  <si>
    <t>#00498</t>
  </si>
  <si>
    <t>#01789</t>
  </si>
  <si>
    <t>Ngô Thị Dịu</t>
  </si>
  <si>
    <t>#02119</t>
  </si>
  <si>
    <t>#08882</t>
  </si>
  <si>
    <t>#18985</t>
  </si>
  <si>
    <t>#19165</t>
  </si>
  <si>
    <t>#20364</t>
  </si>
  <si>
    <t>#23837</t>
  </si>
  <si>
    <t>#25243</t>
  </si>
  <si>
    <t>#00179</t>
  </si>
  <si>
    <t>#00804</t>
  </si>
  <si>
    <t>#01743</t>
  </si>
  <si>
    <t>#03196</t>
  </si>
  <si>
    <t>#00130</t>
  </si>
  <si>
    <t>#00339</t>
  </si>
  <si>
    <t>#06422</t>
  </si>
  <si>
    <t>#24834</t>
  </si>
  <si>
    <t>#25536</t>
  </si>
  <si>
    <t>#26222</t>
  </si>
  <si>
    <t>Nguyễn Phương Quỳnh</t>
  </si>
  <si>
    <t>#26369</t>
  </si>
  <si>
    <t>Vũ Minh Phương</t>
  </si>
  <si>
    <t>#26405</t>
  </si>
  <si>
    <t>#01191</t>
  </si>
  <si>
    <t>#14082</t>
  </si>
  <si>
    <t>#19547</t>
  </si>
  <si>
    <t>#24232</t>
  </si>
  <si>
    <t>Đinh Thái Phương</t>
  </si>
  <si>
    <t>#24319</t>
  </si>
  <si>
    <t>Hà Văn Quân</t>
  </si>
  <si>
    <t>#24321</t>
  </si>
  <si>
    <t>Đặng Trung Hiếu</t>
  </si>
  <si>
    <t>#24339</t>
  </si>
  <si>
    <t>#25475</t>
  </si>
  <si>
    <t>#25476</t>
  </si>
  <si>
    <t>#14892</t>
  </si>
  <si>
    <t>#16362</t>
  </si>
  <si>
    <t>#19418</t>
  </si>
  <si>
    <t>#19496</t>
  </si>
  <si>
    <t>#20227</t>
  </si>
  <si>
    <t>Ngô Anh Việt Hưng</t>
  </si>
  <si>
    <t>#24767</t>
  </si>
  <si>
    <t>Dương Ngọc Thùy An</t>
  </si>
  <si>
    <t>Trần Thị Ánh Thu</t>
  </si>
  <si>
    <t>#24953</t>
  </si>
  <si>
    <t>DL129</t>
  </si>
  <si>
    <t>呂永祥</t>
  </si>
  <si>
    <t>TW00587</t>
  </si>
  <si>
    <t>許高銘</t>
  </si>
  <si>
    <t>#24703</t>
  </si>
  <si>
    <t>#24334</t>
  </si>
  <si>
    <t>#24917</t>
  </si>
  <si>
    <t>Trần Công Chiến</t>
  </si>
  <si>
    <t>#25308</t>
  </si>
  <si>
    <t>#24766</t>
  </si>
  <si>
    <t>Dương Ngọc Thùy Ngân</t>
  </si>
  <si>
    <t>Nguyễn Thi Hải Châu</t>
  </si>
  <si>
    <t>#14456</t>
  </si>
  <si>
    <t>#00770</t>
  </si>
  <si>
    <t>Nguyễn Thị Thanh Hường</t>
  </si>
  <si>
    <t>Trịnh Quang Sơn</t>
  </si>
  <si>
    <t>#24568</t>
  </si>
  <si>
    <t>林振伸</t>
  </si>
  <si>
    <t>游博凱</t>
  </si>
  <si>
    <t>#00443</t>
  </si>
  <si>
    <t>#01100</t>
  </si>
  <si>
    <t>#01101</t>
  </si>
  <si>
    <t>#01315</t>
  </si>
  <si>
    <t>#01488</t>
  </si>
  <si>
    <t>#01638</t>
  </si>
  <si>
    <t>#01643</t>
  </si>
  <si>
    <t>#01645</t>
  </si>
  <si>
    <t>#01847</t>
  </si>
  <si>
    <t>#01853</t>
  </si>
  <si>
    <t>#01856</t>
  </si>
  <si>
    <t>#02460</t>
  </si>
  <si>
    <t>#02886</t>
  </si>
  <si>
    <t>#03356</t>
  </si>
  <si>
    <t>#03976</t>
  </si>
  <si>
    <t>#03978</t>
  </si>
  <si>
    <t>#03979</t>
  </si>
  <si>
    <t>#04555</t>
  </si>
  <si>
    <t>#04557</t>
  </si>
  <si>
    <t>#04621</t>
  </si>
  <si>
    <t>#04622</t>
  </si>
  <si>
    <t>#04675</t>
  </si>
  <si>
    <t>#05281</t>
  </si>
  <si>
    <t>Nguyễn Hải Nguyên</t>
  </si>
  <si>
    <t>#06642</t>
  </si>
  <si>
    <t>#07880</t>
  </si>
  <si>
    <t>#07921</t>
  </si>
  <si>
    <t>#09378</t>
  </si>
  <si>
    <t>#09379</t>
  </si>
  <si>
    <t>#09591</t>
  </si>
  <si>
    <t>#19762</t>
  </si>
  <si>
    <t>Phùng Văn Quyết</t>
  </si>
  <si>
    <t>#20023</t>
  </si>
  <si>
    <t>#00543</t>
  </si>
  <si>
    <t>#00723</t>
  </si>
  <si>
    <t>#00724</t>
  </si>
  <si>
    <t>#01106</t>
  </si>
  <si>
    <t>#01648</t>
  </si>
  <si>
    <t>#01808</t>
  </si>
  <si>
    <t>#06597</t>
  </si>
  <si>
    <t>#11292</t>
  </si>
  <si>
    <t>#13240</t>
  </si>
  <si>
    <t>#13241</t>
  </si>
  <si>
    <t>#19342</t>
  </si>
  <si>
    <t>#19966</t>
  </si>
  <si>
    <t>Trần Văn Tuyền</t>
  </si>
  <si>
    <t>#19967</t>
  </si>
  <si>
    <t>#20027</t>
  </si>
  <si>
    <t>#20029</t>
  </si>
  <si>
    <t>#20823</t>
  </si>
  <si>
    <t>Nguyễn Hồng Nhiên</t>
  </si>
  <si>
    <t>#20872</t>
  </si>
  <si>
    <t>#24080</t>
  </si>
  <si>
    <t>Tạ Quang Đô</t>
  </si>
  <si>
    <t>#24083</t>
  </si>
  <si>
    <t>#24258</t>
  </si>
  <si>
    <t>Đặng Ngọc Thành</t>
  </si>
  <si>
    <t>#24297</t>
  </si>
  <si>
    <t>#25092</t>
  </si>
  <si>
    <t>Tào Hồng Phương</t>
  </si>
  <si>
    <t>#26086</t>
  </si>
  <si>
    <t>Phùng Thị Khánh Huyền</t>
  </si>
  <si>
    <t>林炯宏</t>
  </si>
  <si>
    <t>#25174</t>
  </si>
  <si>
    <t>#04616</t>
  </si>
  <si>
    <t>Nguyễn Hồng Hạnh</t>
  </si>
  <si>
    <t>#26118</t>
  </si>
  <si>
    <t>#26337</t>
  </si>
  <si>
    <t>#24978</t>
  </si>
  <si>
    <t>#25395</t>
  </si>
  <si>
    <t>#26004</t>
  </si>
  <si>
    <t>#23613</t>
  </si>
  <si>
    <t>Lê Văn Bình</t>
  </si>
  <si>
    <t>#13981</t>
  </si>
  <si>
    <t>#18153</t>
  </si>
  <si>
    <t>#23923</t>
  </si>
  <si>
    <t>#24501</t>
  </si>
  <si>
    <t>Nguyễn Đức Thành</t>
  </si>
  <si>
    <t>#25828</t>
  </si>
  <si>
    <t>#25845</t>
  </si>
  <si>
    <t>#25562</t>
  </si>
  <si>
    <t>#25769</t>
  </si>
  <si>
    <t>#24008</t>
  </si>
  <si>
    <t>#24930</t>
  </si>
  <si>
    <t>Đặng Ngọc Tâm</t>
  </si>
  <si>
    <t>#25352</t>
  </si>
  <si>
    <t>#01344</t>
  </si>
  <si>
    <t>#03385</t>
  </si>
  <si>
    <t>#03846</t>
  </si>
  <si>
    <t>#04025</t>
  </si>
  <si>
    <t>Phùng Xuân Đức</t>
  </si>
  <si>
    <t>#07111</t>
  </si>
  <si>
    <t>#08977</t>
  </si>
  <si>
    <t>#08981</t>
  </si>
  <si>
    <t>#10698</t>
  </si>
  <si>
    <t>#15380</t>
  </si>
  <si>
    <t>Trần Ngọc Tuấn</t>
  </si>
  <si>
    <t>#16055</t>
  </si>
  <si>
    <t>#18307</t>
  </si>
  <si>
    <t>#20120</t>
  </si>
  <si>
    <t>Hoàng Văn Lâm</t>
  </si>
  <si>
    <t>#20945</t>
  </si>
  <si>
    <t>#24498</t>
  </si>
  <si>
    <t>#24510</t>
  </si>
  <si>
    <t>Phạm Văn Hà</t>
  </si>
  <si>
    <t>#24528</t>
  </si>
  <si>
    <t>Vũ Văn Sử</t>
  </si>
  <si>
    <t>#24552</t>
  </si>
  <si>
    <t>#24602</t>
  </si>
  <si>
    <t>#24604</t>
  </si>
  <si>
    <t>#24605</t>
  </si>
  <si>
    <t>#06118</t>
  </si>
  <si>
    <t>#07623</t>
  </si>
  <si>
    <t>#14495</t>
  </si>
  <si>
    <t>#24492</t>
  </si>
  <si>
    <t>Nguyễn Lương Hiếu</t>
  </si>
  <si>
    <t>#02814</t>
  </si>
  <si>
    <t>#03591</t>
  </si>
  <si>
    <t>#03958</t>
  </si>
  <si>
    <t>#05573</t>
  </si>
  <si>
    <t>#09254</t>
  </si>
  <si>
    <t>#17909</t>
  </si>
  <si>
    <t>Nguyễn Đức Anh</t>
  </si>
  <si>
    <t>#19256</t>
  </si>
  <si>
    <t>#23894</t>
  </si>
  <si>
    <t>Chu Thành Công</t>
  </si>
  <si>
    <t>#24684</t>
  </si>
  <si>
    <t>Nguyễn Đình Trường</t>
  </si>
  <si>
    <t>#03073</t>
  </si>
  <si>
    <t>#03454</t>
  </si>
  <si>
    <t>#04223</t>
  </si>
  <si>
    <t>#04426</t>
  </si>
  <si>
    <t>#06652</t>
  </si>
  <si>
    <t>#07756</t>
  </si>
  <si>
    <t>#09062</t>
  </si>
  <si>
    <t>#09268</t>
  </si>
  <si>
    <t>#09552</t>
  </si>
  <si>
    <t>#13437</t>
  </si>
  <si>
    <t>#19659</t>
  </si>
  <si>
    <t>#19695</t>
  </si>
  <si>
    <t>#20122</t>
  </si>
  <si>
    <t>#20724</t>
  </si>
  <si>
    <t>Hà Tiến Nam</t>
  </si>
  <si>
    <t>#22765</t>
  </si>
  <si>
    <t>Trần Đức Ninh</t>
  </si>
  <si>
    <t>#23863</t>
  </si>
  <si>
    <t>Nguyễn An Vinh</t>
  </si>
  <si>
    <t>#23994</t>
  </si>
  <si>
    <t>#24020</t>
  </si>
  <si>
    <t>#00041</t>
  </si>
  <si>
    <t>#00069</t>
  </si>
  <si>
    <t>#00540</t>
  </si>
  <si>
    <t>#00769</t>
  </si>
  <si>
    <t>#00908</t>
  </si>
  <si>
    <t>#00984</t>
  </si>
  <si>
    <t>#01140</t>
  </si>
  <si>
    <t>#01151</t>
  </si>
  <si>
    <t>#01626</t>
  </si>
  <si>
    <t>#02441</t>
  </si>
  <si>
    <t>#02471</t>
  </si>
  <si>
    <t>#02566</t>
  </si>
  <si>
    <t>#02567</t>
  </si>
  <si>
    <t>#03083</t>
  </si>
  <si>
    <t>#03197</t>
  </si>
  <si>
    <t>#03198</t>
  </si>
  <si>
    <t>#04332</t>
  </si>
  <si>
    <t>#04796</t>
  </si>
  <si>
    <t>#04818</t>
  </si>
  <si>
    <t>#06701</t>
  </si>
  <si>
    <t>#06951</t>
  </si>
  <si>
    <t>#07051</t>
  </si>
  <si>
    <t>#07139</t>
  </si>
  <si>
    <t>#09010</t>
  </si>
  <si>
    <t>#09248</t>
  </si>
  <si>
    <t>#09627</t>
  </si>
  <si>
    <t>#10056</t>
  </si>
  <si>
    <t>#13938</t>
  </si>
  <si>
    <t>#15947</t>
  </si>
  <si>
    <t>#17729</t>
  </si>
  <si>
    <t>#18571</t>
  </si>
  <si>
    <t>#21271</t>
  </si>
  <si>
    <t>#22604</t>
  </si>
  <si>
    <t>Ngô Công Hiếu</t>
  </si>
  <si>
    <t>#23682</t>
  </si>
  <si>
    <t>#23876</t>
  </si>
  <si>
    <t>#24702</t>
  </si>
  <si>
    <t>#25140</t>
  </si>
  <si>
    <t>#25220</t>
  </si>
  <si>
    <t>Phạm Mạnh Tuyên</t>
  </si>
  <si>
    <t>#25525</t>
  </si>
  <si>
    <t>Lưu Xuân Trường</t>
  </si>
  <si>
    <t>#25561</t>
  </si>
  <si>
    <t>#25563</t>
  </si>
  <si>
    <t>#25700</t>
  </si>
  <si>
    <t>#25743</t>
  </si>
  <si>
    <t>#25804</t>
  </si>
  <si>
    <t>#25807</t>
  </si>
  <si>
    <t>#25910</t>
  </si>
  <si>
    <t>Hà Quang Tâm</t>
  </si>
  <si>
    <t>#25911</t>
  </si>
  <si>
    <t>#00575</t>
  </si>
  <si>
    <t>#01738</t>
  </si>
  <si>
    <t>#02638</t>
  </si>
  <si>
    <t>#03086</t>
  </si>
  <si>
    <t>#03130</t>
  </si>
  <si>
    <t>#03392</t>
  </si>
  <si>
    <t>#13134</t>
  </si>
  <si>
    <t>#17176</t>
  </si>
  <si>
    <t>#19952</t>
  </si>
  <si>
    <t>#20948</t>
  </si>
  <si>
    <t>Đặng Minh Quân</t>
  </si>
  <si>
    <t>#22179</t>
  </si>
  <si>
    <t>Nguyễn Minh Tuấn</t>
  </si>
  <si>
    <t>#22766</t>
  </si>
  <si>
    <t>#24462</t>
  </si>
  <si>
    <t>#24464</t>
  </si>
  <si>
    <t>#24493</t>
  </si>
  <si>
    <t>#24495</t>
  </si>
  <si>
    <t>#24553</t>
  </si>
  <si>
    <t>Nguyễn Kim Ngọc</t>
  </si>
  <si>
    <t>#04888</t>
  </si>
  <si>
    <t>#05313</t>
  </si>
  <si>
    <t>#08107</t>
  </si>
  <si>
    <t>#15071</t>
  </si>
  <si>
    <t>Phạm Văn Liệu</t>
  </si>
  <si>
    <t>#18462</t>
  </si>
  <si>
    <t>#22441</t>
  </si>
  <si>
    <t>#24880</t>
  </si>
  <si>
    <t>#24881</t>
  </si>
  <si>
    <t>Bùi Ngọc Long</t>
  </si>
  <si>
    <t>#24998</t>
  </si>
  <si>
    <t>#24999</t>
  </si>
  <si>
    <t>#26024</t>
  </si>
  <si>
    <t>Giang văn sơn</t>
  </si>
  <si>
    <t>#26054</t>
  </si>
  <si>
    <t>#26135</t>
  </si>
  <si>
    <t>Bàng Đức Tâm</t>
  </si>
  <si>
    <t>#26136</t>
  </si>
  <si>
    <t>#26144</t>
  </si>
  <si>
    <t>#26150</t>
  </si>
  <si>
    <t>#26205</t>
  </si>
  <si>
    <t>#26213</t>
  </si>
  <si>
    <t>#26264</t>
  </si>
  <si>
    <t>#26278</t>
  </si>
  <si>
    <t>#26326</t>
  </si>
  <si>
    <t>#26328</t>
  </si>
  <si>
    <t>#26331</t>
  </si>
  <si>
    <t>Trần Việt Anh</t>
  </si>
  <si>
    <t>#26380</t>
  </si>
  <si>
    <t>#26398</t>
  </si>
  <si>
    <t>#26421</t>
  </si>
  <si>
    <t>#08373</t>
  </si>
  <si>
    <t>Nguyễn Văn Giàu</t>
  </si>
  <si>
    <t>#08374</t>
  </si>
  <si>
    <t>#08685</t>
  </si>
  <si>
    <t>#12628</t>
  </si>
  <si>
    <t>#13236</t>
  </si>
  <si>
    <t>#21019</t>
  </si>
  <si>
    <t>#22093</t>
  </si>
  <si>
    <t>#01759</t>
  </si>
  <si>
    <t>#02265</t>
  </si>
  <si>
    <t>#03390</t>
  </si>
  <si>
    <t>#03739</t>
  </si>
  <si>
    <t>#04815</t>
  </si>
  <si>
    <t>#05481</t>
  </si>
  <si>
    <t>#08944</t>
  </si>
  <si>
    <t>Nguyễn Tuấn Anh Yên</t>
  </si>
  <si>
    <t>#15808</t>
  </si>
  <si>
    <t>#17228</t>
  </si>
  <si>
    <t>#17493</t>
  </si>
  <si>
    <t>#18976</t>
  </si>
  <si>
    <t>#19126</t>
  </si>
  <si>
    <t>#20297</t>
  </si>
  <si>
    <t>Nguyễn Viết Tú</t>
  </si>
  <si>
    <t>#22180</t>
  </si>
  <si>
    <t>#24463</t>
  </si>
  <si>
    <t>#24465</t>
  </si>
  <si>
    <t>Nguyễn Tiến Binh</t>
  </si>
  <si>
    <t>#24494</t>
  </si>
  <si>
    <t>#24496</t>
  </si>
  <si>
    <t>#24497</t>
  </si>
  <si>
    <t>Hà Văn Mạnh</t>
  </si>
  <si>
    <t>#24511</t>
  </si>
  <si>
    <t>#00579</t>
  </si>
  <si>
    <t>Cao Tiến Hùng</t>
  </si>
  <si>
    <t>#01978</t>
  </si>
  <si>
    <t>#02506</t>
  </si>
  <si>
    <t>#03746</t>
  </si>
  <si>
    <t>#04946</t>
  </si>
  <si>
    <t>Đào Văn Bắc</t>
  </si>
  <si>
    <t>#05574</t>
  </si>
  <si>
    <t>#06644</t>
  </si>
  <si>
    <t>#07978</t>
  </si>
  <si>
    <t>#08742</t>
  </si>
  <si>
    <t>#08966</t>
  </si>
  <si>
    <t>#09988</t>
  </si>
  <si>
    <t>#11532</t>
  </si>
  <si>
    <t>Nguyễn Tiến Dương</t>
  </si>
  <si>
    <t>#12692</t>
  </si>
  <si>
    <t>#15574</t>
  </si>
  <si>
    <t>#15575</t>
  </si>
  <si>
    <t>#16410</t>
  </si>
  <si>
    <t>Ngô Ngọc Tân</t>
  </si>
  <si>
    <t>#17113</t>
  </si>
  <si>
    <t>#17174</t>
  </si>
  <si>
    <t>#18891</t>
  </si>
  <si>
    <t>#20296</t>
  </si>
  <si>
    <t>#21272</t>
  </si>
  <si>
    <t>#21968</t>
  </si>
  <si>
    <t>Nguyễn Đình Khánh</t>
  </si>
  <si>
    <t>#05001</t>
  </si>
  <si>
    <t>#14470</t>
  </si>
  <si>
    <t>#14497</t>
  </si>
  <si>
    <t>#15074</t>
  </si>
  <si>
    <t>#17543</t>
  </si>
  <si>
    <t>#23993</t>
  </si>
  <si>
    <t>Đỗ Trung Tuấn</t>
  </si>
  <si>
    <t>#00197</t>
  </si>
  <si>
    <t>#00416</t>
  </si>
  <si>
    <t>#02106</t>
  </si>
  <si>
    <t>#02366</t>
  </si>
  <si>
    <t>#04258</t>
  </si>
  <si>
    <t>#05689</t>
  </si>
  <si>
    <t>#07330</t>
  </si>
  <si>
    <t>#18792</t>
  </si>
  <si>
    <t>Nguyễn Hữu Thủy</t>
  </si>
  <si>
    <t>#20152</t>
  </si>
  <si>
    <t>#21273</t>
  </si>
  <si>
    <t>林鑫</t>
  </si>
  <si>
    <t>#20739</t>
  </si>
  <si>
    <t>#25010</t>
  </si>
  <si>
    <t>#26298</t>
  </si>
  <si>
    <t>Vũ Thị Thu Trang</t>
  </si>
  <si>
    <t>#09667</t>
  </si>
  <si>
    <t>#00591</t>
  </si>
  <si>
    <t>#23732</t>
  </si>
  <si>
    <t>#04609</t>
  </si>
  <si>
    <t>#07866</t>
  </si>
  <si>
    <t>#24951</t>
  </si>
  <si>
    <t>#24952</t>
  </si>
  <si>
    <t>#24954</t>
  </si>
  <si>
    <t>#25135</t>
  </si>
  <si>
    <t>#25137</t>
  </si>
  <si>
    <t>Dương Minh Tuấn</t>
  </si>
  <si>
    <t>#25142</t>
  </si>
  <si>
    <t>Chu Quang Tú</t>
  </si>
  <si>
    <t>#25143</t>
  </si>
  <si>
    <t>#25209</t>
  </si>
  <si>
    <t>#25231</t>
  </si>
  <si>
    <t>#25232</t>
  </si>
  <si>
    <t>#25264</t>
  </si>
  <si>
    <t>Vũ Đình Sơn</t>
  </si>
  <si>
    <t>#25307</t>
  </si>
  <si>
    <t>#25798</t>
  </si>
  <si>
    <t>Lê Văn Lâm</t>
  </si>
  <si>
    <t>#25813</t>
  </si>
  <si>
    <t>#25875</t>
  </si>
  <si>
    <t>#25898</t>
  </si>
  <si>
    <t>#00119</t>
  </si>
  <si>
    <t>#00180</t>
  </si>
  <si>
    <t>#00634</t>
  </si>
  <si>
    <t>#01365</t>
  </si>
  <si>
    <t>#02365</t>
  </si>
  <si>
    <t>#02375</t>
  </si>
  <si>
    <t>#02450</t>
  </si>
  <si>
    <t>#02706</t>
  </si>
  <si>
    <t>#03447</t>
  </si>
  <si>
    <t>#04421</t>
  </si>
  <si>
    <t>#04492</t>
  </si>
  <si>
    <t>#04809</t>
  </si>
  <si>
    <t>#05041</t>
  </si>
  <si>
    <t>#06600</t>
  </si>
  <si>
    <t>#06789</t>
  </si>
  <si>
    <t>#07259</t>
  </si>
  <si>
    <t>#07350</t>
  </si>
  <si>
    <t>Nguyễn Văn Viện</t>
  </si>
  <si>
    <t>#07487</t>
  </si>
  <si>
    <t>Đỗ Minh Ngọc</t>
  </si>
  <si>
    <t>#08299</t>
  </si>
  <si>
    <t>#09327</t>
  </si>
  <si>
    <t>#09329</t>
  </si>
  <si>
    <t>#09456</t>
  </si>
  <si>
    <t>#09925</t>
  </si>
  <si>
    <t>#10247</t>
  </si>
  <si>
    <t>#11113</t>
  </si>
  <si>
    <t>#12152</t>
  </si>
  <si>
    <t>#12163</t>
  </si>
  <si>
    <t>#12164</t>
  </si>
  <si>
    <t>#12320</t>
  </si>
  <si>
    <t>Đặng Ngọc Hoàng</t>
  </si>
  <si>
    <t>#12473</t>
  </si>
  <si>
    <t>Trần Trí Cường</t>
  </si>
  <si>
    <t>#12889</t>
  </si>
  <si>
    <t>#13114</t>
  </si>
  <si>
    <t>Hà Văn Hoàn</t>
  </si>
  <si>
    <t>#13116</t>
  </si>
  <si>
    <t>Lâm Văn Tá</t>
  </si>
  <si>
    <t>#13299</t>
  </si>
  <si>
    <t>#13993</t>
  </si>
  <si>
    <t>#14142</t>
  </si>
  <si>
    <t>#14171</t>
  </si>
  <si>
    <t>#14297</t>
  </si>
  <si>
    <t>#14369</t>
  </si>
  <si>
    <t>#14439</t>
  </si>
  <si>
    <t>#14724</t>
  </si>
  <si>
    <t>#14726</t>
  </si>
  <si>
    <t>#14796</t>
  </si>
  <si>
    <t>#14963</t>
  </si>
  <si>
    <t>#14995</t>
  </si>
  <si>
    <t>#15215</t>
  </si>
  <si>
    <t>#15326</t>
  </si>
  <si>
    <t>Đỗ Thị Hồng Ngát</t>
  </si>
  <si>
    <t>#15464</t>
  </si>
  <si>
    <t>#15557</t>
  </si>
  <si>
    <t>#15849</t>
  </si>
  <si>
    <t>#15923</t>
  </si>
  <si>
    <t>#15978</t>
  </si>
  <si>
    <t>#16189</t>
  </si>
  <si>
    <t>#16191</t>
  </si>
  <si>
    <t>#16470</t>
  </si>
  <si>
    <t>#16518</t>
  </si>
  <si>
    <t>#16882</t>
  </si>
  <si>
    <t>#17091</t>
  </si>
  <si>
    <t>#17376</t>
  </si>
  <si>
    <t>Trần Đức Thọ</t>
  </si>
  <si>
    <t>#17389</t>
  </si>
  <si>
    <t>#17390</t>
  </si>
  <si>
    <t>#17504</t>
  </si>
  <si>
    <t>Chang A Bình</t>
  </si>
  <si>
    <t>#17506</t>
  </si>
  <si>
    <t>#17901</t>
  </si>
  <si>
    <t>#18064</t>
  </si>
  <si>
    <t>#18067</t>
  </si>
  <si>
    <t>#18069</t>
  </si>
  <si>
    <t>#18757</t>
  </si>
  <si>
    <t>Nguyễn Hồng Quý</t>
  </si>
  <si>
    <t>#18763</t>
  </si>
  <si>
    <t>#18780</t>
  </si>
  <si>
    <t>#18834</t>
  </si>
  <si>
    <t>#19032</t>
  </si>
  <si>
    <t>#19370</t>
  </si>
  <si>
    <t>#19372</t>
  </si>
  <si>
    <t>#19552</t>
  </si>
  <si>
    <t>Đặng Quang Hưng</t>
  </si>
  <si>
    <t>#19799</t>
  </si>
  <si>
    <t>#19934</t>
  </si>
  <si>
    <t>Lê Mạnh Khái</t>
  </si>
  <si>
    <t>#19990</t>
  </si>
  <si>
    <t>#20096</t>
  </si>
  <si>
    <t>#20097</t>
  </si>
  <si>
    <t>#20155</t>
  </si>
  <si>
    <t>#21536</t>
  </si>
  <si>
    <t>#21537</t>
  </si>
  <si>
    <t>#21540</t>
  </si>
  <si>
    <t>#21557</t>
  </si>
  <si>
    <t>#21560</t>
  </si>
  <si>
    <t>#21627</t>
  </si>
  <si>
    <t>Nguyễn Đắc Kiển</t>
  </si>
  <si>
    <t>#21697</t>
  </si>
  <si>
    <t>#21705</t>
  </si>
  <si>
    <t>#21863</t>
  </si>
  <si>
    <t>#21864</t>
  </si>
  <si>
    <t>#22138</t>
  </si>
  <si>
    <t>#22144</t>
  </si>
  <si>
    <t>#22169</t>
  </si>
  <si>
    <t>#22630</t>
  </si>
  <si>
    <t>Nguyễn Văn Hảo</t>
  </si>
  <si>
    <t>#22634</t>
  </si>
  <si>
    <t>Vũ Thành Anh</t>
  </si>
  <si>
    <t>#22682</t>
  </si>
  <si>
    <t>Tạ Văn Ngọc</t>
  </si>
  <si>
    <t>#22732</t>
  </si>
  <si>
    <t>Nguyễn Văn Ích</t>
  </si>
  <si>
    <t>#22912</t>
  </si>
  <si>
    <t>Hứa Văn Trọng</t>
  </si>
  <si>
    <t>#22980</t>
  </si>
  <si>
    <t>#23327</t>
  </si>
  <si>
    <t>Phùng Văn Hiền</t>
  </si>
  <si>
    <t>#23432</t>
  </si>
  <si>
    <t>#23608</t>
  </si>
  <si>
    <t>#23878</t>
  </si>
  <si>
    <t>Nguyễn Hoàng Anh</t>
  </si>
  <si>
    <t>#23882</t>
  </si>
  <si>
    <t>Dương Hồng Thái</t>
  </si>
  <si>
    <t>#24445</t>
  </si>
  <si>
    <t>#24449</t>
  </si>
  <si>
    <t>#24452</t>
  </si>
  <si>
    <t>#24453</t>
  </si>
  <si>
    <t>Đặng Văn Dung</t>
  </si>
  <si>
    <t>#24454</t>
  </si>
  <si>
    <t>#24456</t>
  </si>
  <si>
    <t>Lù A Vàng</t>
  </si>
  <si>
    <t>#24458</t>
  </si>
  <si>
    <t>Dương Văn Tiến</t>
  </si>
  <si>
    <t>#24459</t>
  </si>
  <si>
    <t>#24460</t>
  </si>
  <si>
    <t>Vương Trọng Anh</t>
  </si>
  <si>
    <t>#24488</t>
  </si>
  <si>
    <t>Nguyễn Hoài Lâm</t>
  </si>
  <si>
    <t>#24489</t>
  </si>
  <si>
    <t>#24490</t>
  </si>
  <si>
    <t>#24491</t>
  </si>
  <si>
    <t>Phạm Dương Trường</t>
  </si>
  <si>
    <t>#24780</t>
  </si>
  <si>
    <t>Dương Văn Phong</t>
  </si>
  <si>
    <t>#24781</t>
  </si>
  <si>
    <t>#24782</t>
  </si>
  <si>
    <t>#24783</t>
  </si>
  <si>
    <t>Đỗ Văn Thi</t>
  </si>
  <si>
    <t>#24784</t>
  </si>
  <si>
    <t>#24786</t>
  </si>
  <si>
    <t>Lờ A Cu</t>
  </si>
  <si>
    <t>#24787</t>
  </si>
  <si>
    <t>#24788</t>
  </si>
  <si>
    <t>#24817</t>
  </si>
  <si>
    <t>#24818</t>
  </si>
  <si>
    <t>#24820</t>
  </si>
  <si>
    <t>#24821</t>
  </si>
  <si>
    <t>Hoàng Xuân Bắc</t>
  </si>
  <si>
    <t>#25584</t>
  </si>
  <si>
    <t>Dương Mạnh Việt</t>
  </si>
  <si>
    <t>#25586</t>
  </si>
  <si>
    <t>#25587</t>
  </si>
  <si>
    <t>#25603</t>
  </si>
  <si>
    <t>Bùi Văn Cường</t>
  </si>
  <si>
    <t>#25604</t>
  </si>
  <si>
    <t>Bùi Thị Hương</t>
  </si>
  <si>
    <t>#25605</t>
  </si>
  <si>
    <t>Trần Phương Đông</t>
  </si>
  <si>
    <t>#25667</t>
  </si>
  <si>
    <t>#25668</t>
  </si>
  <si>
    <t>Phan Văn Hiệp</t>
  </si>
  <si>
    <t>#25669</t>
  </si>
  <si>
    <t>Phùng Tuấn Quyền</t>
  </si>
  <si>
    <t>#25690</t>
  </si>
  <si>
    <t>#25691</t>
  </si>
  <si>
    <t>#25692</t>
  </si>
  <si>
    <t>Lù Văn Phòng</t>
  </si>
  <si>
    <t>#25971</t>
  </si>
  <si>
    <t>Nguyễn Ngọc Đậm</t>
  </si>
  <si>
    <t>#26061</t>
  </si>
  <si>
    <t>Trần Văn Chín</t>
  </si>
  <si>
    <t>#26062</t>
  </si>
  <si>
    <t>#26080</t>
  </si>
  <si>
    <t>#26460</t>
  </si>
  <si>
    <t>Phùng Thị Thuý</t>
  </si>
  <si>
    <t>#26463</t>
  </si>
  <si>
    <t>Vũ Thị Bắc</t>
  </si>
  <si>
    <t>#26464</t>
  </si>
  <si>
    <t>Ngô Đức Nam</t>
  </si>
  <si>
    <t>#25979</t>
  </si>
  <si>
    <t>#26125</t>
  </si>
  <si>
    <t>Nguyễn Đình Cương</t>
  </si>
  <si>
    <t>#26197</t>
  </si>
  <si>
    <t>#26224</t>
  </si>
  <si>
    <t>Lê Mạnh Lưu</t>
  </si>
  <si>
    <t>#26242</t>
  </si>
  <si>
    <t>Phạm Văn Phòng</t>
  </si>
  <si>
    <t>#26243</t>
  </si>
  <si>
    <t>#26293</t>
  </si>
  <si>
    <t>#26299</t>
  </si>
  <si>
    <t>#26333</t>
  </si>
  <si>
    <t>Trần Trung Kiên</t>
  </si>
  <si>
    <t>#26370</t>
  </si>
  <si>
    <t>#26371</t>
  </si>
  <si>
    <t>#26372</t>
  </si>
  <si>
    <t>#26373</t>
  </si>
  <si>
    <t>Triệu Đức Minh</t>
  </si>
  <si>
    <t>#26401</t>
  </si>
  <si>
    <t>Nguyễn Thị Hoa Phượng</t>
  </si>
  <si>
    <t>#26406</t>
  </si>
  <si>
    <t>#26408</t>
  </si>
  <si>
    <t>#26444</t>
  </si>
  <si>
    <t>#26448</t>
  </si>
  <si>
    <t>#26472</t>
  </si>
  <si>
    <t>Đoàn Thị Thảo</t>
  </si>
  <si>
    <t>#26473</t>
  </si>
  <si>
    <t>Trần Văn Hào</t>
  </si>
  <si>
    <t>#02764</t>
  </si>
  <si>
    <t>#05056</t>
  </si>
  <si>
    <t>#05059</t>
  </si>
  <si>
    <t>#10996</t>
  </si>
  <si>
    <t>#12243</t>
  </si>
  <si>
    <t>#12247</t>
  </si>
  <si>
    <t>#24769</t>
  </si>
  <si>
    <t>#24770</t>
  </si>
  <si>
    <t>Đỗ Thị Hảo</t>
  </si>
  <si>
    <t>#24771</t>
  </si>
  <si>
    <t>#24772</t>
  </si>
  <si>
    <t>Nguyễn Công Tỉnh</t>
  </si>
  <si>
    <t>#24773</t>
  </si>
  <si>
    <t>Nguyễn Huy Cường</t>
  </si>
  <si>
    <t>#24774</t>
  </si>
  <si>
    <t>#24775</t>
  </si>
  <si>
    <t>#24776</t>
  </si>
  <si>
    <t>#24777</t>
  </si>
  <si>
    <t>Kiều Văn Tiến</t>
  </si>
  <si>
    <t>#24778</t>
  </si>
  <si>
    <t>Nguyễn Duy Bắc</t>
  </si>
  <si>
    <t>#24779</t>
  </si>
  <si>
    <t>Dương Tuấn Kiệt</t>
  </si>
  <si>
    <t>#24822</t>
  </si>
  <si>
    <t>Phạm Gia Sáng</t>
  </si>
  <si>
    <t>#00564</t>
  </si>
  <si>
    <t>#01482</t>
  </si>
  <si>
    <t>#01485</t>
  </si>
  <si>
    <t>#04403</t>
  </si>
  <si>
    <t>#07261</t>
  </si>
  <si>
    <t>#08536</t>
  </si>
  <si>
    <t>#13440</t>
  </si>
  <si>
    <t>#15017</t>
  </si>
  <si>
    <t>#21844</t>
  </si>
  <si>
    <t>25112</t>
  </si>
  <si>
    <t>#00514</t>
  </si>
  <si>
    <t>#00858</t>
  </si>
  <si>
    <t>#01348</t>
  </si>
  <si>
    <t>#03137</t>
  </si>
  <si>
    <t>#03180</t>
  </si>
  <si>
    <t>#04883</t>
  </si>
  <si>
    <t>#05353</t>
  </si>
  <si>
    <t>#06998</t>
  </si>
  <si>
    <t>#07132</t>
  </si>
  <si>
    <t>#07553</t>
  </si>
  <si>
    <t>#08520</t>
  </si>
  <si>
    <t>#08569</t>
  </si>
  <si>
    <t>#08827</t>
  </si>
  <si>
    <t>#12161</t>
  </si>
  <si>
    <t>Nguyễn Sỹ Ngân</t>
  </si>
  <si>
    <t>#12485</t>
  </si>
  <si>
    <t>#13841</t>
  </si>
  <si>
    <t>#14351</t>
  </si>
  <si>
    <t>#15018</t>
  </si>
  <si>
    <t>#15698</t>
  </si>
  <si>
    <t>#16359</t>
  </si>
  <si>
    <t>#16761</t>
  </si>
  <si>
    <t>#17989</t>
  </si>
  <si>
    <t>#18505</t>
  </si>
  <si>
    <t>#18534</t>
  </si>
  <si>
    <t>#18709</t>
  </si>
  <si>
    <t>#18713</t>
  </si>
  <si>
    <t>#19681</t>
  </si>
  <si>
    <t>#19970</t>
  </si>
  <si>
    <t>#21506</t>
  </si>
  <si>
    <t>#25074</t>
  </si>
  <si>
    <t>#25075</t>
  </si>
  <si>
    <t>Quảng Văn Hoan</t>
  </si>
  <si>
    <t>#25076</t>
  </si>
  <si>
    <t>#25077</t>
  </si>
  <si>
    <t>#25078</t>
  </si>
  <si>
    <t>Giàng A Trở</t>
  </si>
  <si>
    <t>#25079</t>
  </si>
  <si>
    <t>Đỗ Tiến Tùng</t>
  </si>
  <si>
    <t>#25460</t>
  </si>
  <si>
    <t>Đào Anh Dũng</t>
  </si>
  <si>
    <t>#25461</t>
  </si>
  <si>
    <t>#25462</t>
  </si>
  <si>
    <t>Trần Văn Bắc</t>
  </si>
  <si>
    <t>#25518</t>
  </si>
  <si>
    <t>Dương Việt Dũng</t>
  </si>
  <si>
    <t>#25519</t>
  </si>
  <si>
    <t>Dương Ngọc Yên</t>
  </si>
  <si>
    <t>#25520</t>
  </si>
  <si>
    <t>Trần Bình Minh</t>
  </si>
  <si>
    <t>#25548</t>
  </si>
  <si>
    <t>Trần Văn Trung</t>
  </si>
  <si>
    <t>#25661</t>
  </si>
  <si>
    <t>Hà Hữu Hải</t>
  </si>
  <si>
    <t>#25681</t>
  </si>
  <si>
    <t>Nguyễn Trung Giáp</t>
  </si>
  <si>
    <t>#00370</t>
  </si>
  <si>
    <t>#00563</t>
  </si>
  <si>
    <t>#01143</t>
  </si>
  <si>
    <t>#03327</t>
  </si>
  <si>
    <t>#04619</t>
  </si>
  <si>
    <t>#05846</t>
  </si>
  <si>
    <t>#05864</t>
  </si>
  <si>
    <t>#05882</t>
  </si>
  <si>
    <t>#06888</t>
  </si>
  <si>
    <t>#07071</t>
  </si>
  <si>
    <t>#07191</t>
  </si>
  <si>
    <t>#07262</t>
  </si>
  <si>
    <t>#07855</t>
  </si>
  <si>
    <t>#11608</t>
  </si>
  <si>
    <t>#12884</t>
  </si>
  <si>
    <t>Nguyễn Hồng Kiên</t>
  </si>
  <si>
    <t>#14311</t>
  </si>
  <si>
    <t>Đinh Quang Huy</t>
  </si>
  <si>
    <t>#15334</t>
  </si>
  <si>
    <t>#16624</t>
  </si>
  <si>
    <t>#18867</t>
  </si>
  <si>
    <t>#19078</t>
  </si>
  <si>
    <t>#19682</t>
  </si>
  <si>
    <t>Phạm Văn Tuấn</t>
  </si>
  <si>
    <t>#20201</t>
  </si>
  <si>
    <t>#21561</t>
  </si>
  <si>
    <t>#21562</t>
  </si>
  <si>
    <t>#21843</t>
  </si>
  <si>
    <t>Đỗ Lan Anh</t>
  </si>
  <si>
    <t>#21847</t>
  </si>
  <si>
    <t>#21849</t>
  </si>
  <si>
    <t>#21850</t>
  </si>
  <si>
    <t>#21991</t>
  </si>
  <si>
    <t>#22044</t>
  </si>
  <si>
    <t>Trần Thị Thanh Huyền</t>
  </si>
  <si>
    <t>#22045</t>
  </si>
  <si>
    <t>Nguyễn Thị Thanh Trang</t>
  </si>
  <si>
    <t>#00525</t>
  </si>
  <si>
    <t>#00552</t>
  </si>
  <si>
    <t>#00731</t>
  </si>
  <si>
    <t>#01351</t>
  </si>
  <si>
    <t>#02903</t>
  </si>
  <si>
    <t>#03852</t>
  </si>
  <si>
    <t>#05668</t>
  </si>
  <si>
    <t>#06216</t>
  </si>
  <si>
    <t>#07001</t>
  </si>
  <si>
    <t>Trần Văn Thìn</t>
  </si>
  <si>
    <t>#08234</t>
  </si>
  <si>
    <t>#08502</t>
  </si>
  <si>
    <t>#09089</t>
  </si>
  <si>
    <t>#10328</t>
  </si>
  <si>
    <t>#11885</t>
  </si>
  <si>
    <t>#13977</t>
  </si>
  <si>
    <t>#16873</t>
  </si>
  <si>
    <t>#18808</t>
  </si>
  <si>
    <t>#19776</t>
  </si>
  <si>
    <t>#19968</t>
  </si>
  <si>
    <t>#22046</t>
  </si>
  <si>
    <t>#23017</t>
  </si>
  <si>
    <t>Hoàng Văn Hưng</t>
  </si>
  <si>
    <t>#23018</t>
  </si>
  <si>
    <t>Khổng Xuân Trường</t>
  </si>
  <si>
    <t>#23197</t>
  </si>
  <si>
    <t>#00513</t>
  </si>
  <si>
    <t>#00756</t>
  </si>
  <si>
    <t>#01353</t>
  </si>
  <si>
    <t>#01490</t>
  </si>
  <si>
    <t>#02210</t>
  </si>
  <si>
    <t>#02351</t>
  </si>
  <si>
    <t>#02891</t>
  </si>
  <si>
    <t>#03030</t>
  </si>
  <si>
    <t>#03853</t>
  </si>
  <si>
    <t>#05147</t>
  </si>
  <si>
    <t>#06007</t>
  </si>
  <si>
    <t>#06046</t>
  </si>
  <si>
    <t>#06232</t>
  </si>
  <si>
    <t>Trịnh Ngọc Phương</t>
  </si>
  <si>
    <t>#06636</t>
  </si>
  <si>
    <t>#07091</t>
  </si>
  <si>
    <t>#07508</t>
  </si>
  <si>
    <t>#07554</t>
  </si>
  <si>
    <t>#08008</t>
  </si>
  <si>
    <t>#08045</t>
  </si>
  <si>
    <t>#08573</t>
  </si>
  <si>
    <t>#08778</t>
  </si>
  <si>
    <t>#08881</t>
  </si>
  <si>
    <t>Vũ Văn Vụ</t>
  </si>
  <si>
    <t>#14756</t>
  </si>
  <si>
    <t>#14841</t>
  </si>
  <si>
    <t>Nguyễn Thị Hát</t>
  </si>
  <si>
    <t>#14935</t>
  </si>
  <si>
    <t>#15177</t>
  </si>
  <si>
    <t>#15339</t>
  </si>
  <si>
    <t>#15747</t>
  </si>
  <si>
    <t>#16077</t>
  </si>
  <si>
    <t>#17987</t>
  </si>
  <si>
    <t>#17990</t>
  </si>
  <si>
    <t>#18866</t>
  </si>
  <si>
    <t>Nguyễn Xuân Yên</t>
  </si>
  <si>
    <t>#19084</t>
  </si>
  <si>
    <t>#19437</t>
  </si>
  <si>
    <t>#20133</t>
  </si>
  <si>
    <t>#21840</t>
  </si>
  <si>
    <t>Khương Văn Chung</t>
  </si>
  <si>
    <t>#21989</t>
  </si>
  <si>
    <t>#23066</t>
  </si>
  <si>
    <t>Phùng Văn Huấn</t>
  </si>
  <si>
    <t>#23772</t>
  </si>
  <si>
    <t>#23773</t>
  </si>
  <si>
    <t>Bùi Đình Tuyên</t>
  </si>
  <si>
    <t>#01489</t>
  </si>
  <si>
    <t>Trần Thị Thu Thuỷ</t>
  </si>
  <si>
    <t>#03177</t>
  </si>
  <si>
    <t>#03178</t>
  </si>
  <si>
    <t>#03473</t>
  </si>
  <si>
    <t>#03857</t>
  </si>
  <si>
    <t>#04882</t>
  </si>
  <si>
    <t>#05870</t>
  </si>
  <si>
    <t>#07167</t>
  </si>
  <si>
    <t>Nguyễn Văn Thiệu</t>
  </si>
  <si>
    <t>#15168</t>
  </si>
  <si>
    <t>#21842</t>
  </si>
  <si>
    <t>#21851</t>
  </si>
  <si>
    <t>#00296</t>
  </si>
  <si>
    <t>#02336</t>
  </si>
  <si>
    <t>#02906</t>
  </si>
  <si>
    <t>#03376</t>
  </si>
  <si>
    <t>#00299</t>
  </si>
  <si>
    <t>#01445</t>
  </si>
  <si>
    <t>#02856</t>
  </si>
  <si>
    <t>#03038</t>
  </si>
  <si>
    <t>#03179</t>
  </si>
  <si>
    <t>#03470</t>
  </si>
  <si>
    <t>#03475</t>
  </si>
  <si>
    <t>#05650</t>
  </si>
  <si>
    <t>#07093</t>
  </si>
  <si>
    <t>#07484</t>
  </si>
  <si>
    <t>#09063</t>
  </si>
  <si>
    <t>#09154</t>
  </si>
  <si>
    <t>#11165</t>
  </si>
  <si>
    <t>#14752</t>
  </si>
  <si>
    <t>#14831</t>
  </si>
  <si>
    <t>#18807</t>
  </si>
  <si>
    <t>#21032</t>
  </si>
  <si>
    <t>#21848</t>
  </si>
  <si>
    <t>#23065</t>
  </si>
  <si>
    <t>#26018</t>
  </si>
  <si>
    <t>Ngô Đức Dũng</t>
  </si>
  <si>
    <t>#26111</t>
  </si>
  <si>
    <t>Phùng Quang Tuấn</t>
  </si>
  <si>
    <t>#26141</t>
  </si>
  <si>
    <t>#26233</t>
  </si>
  <si>
    <t>#26272</t>
  </si>
  <si>
    <t>#26356</t>
  </si>
  <si>
    <t>#26391</t>
  </si>
  <si>
    <t>#26396</t>
  </si>
  <si>
    <t>#00110</t>
  </si>
  <si>
    <t>#00221</t>
  </si>
  <si>
    <t>#00315</t>
  </si>
  <si>
    <t>#01251</t>
  </si>
  <si>
    <t>#01252</t>
  </si>
  <si>
    <t>#02228</t>
  </si>
  <si>
    <t>#02331</t>
  </si>
  <si>
    <t>#02332</t>
  </si>
  <si>
    <t>#03070</t>
  </si>
  <si>
    <t>#05729</t>
  </si>
  <si>
    <t>#10976</t>
  </si>
  <si>
    <t>Nông Văn Cơ</t>
  </si>
  <si>
    <t>#05563</t>
  </si>
  <si>
    <t>#10805</t>
  </si>
  <si>
    <t>Nguyễn Quốc Được</t>
  </si>
  <si>
    <t>#13842</t>
  </si>
  <si>
    <t>#14440</t>
  </si>
  <si>
    <t>#00137</t>
  </si>
  <si>
    <t>#00181</t>
  </si>
  <si>
    <t>#00625</t>
  </si>
  <si>
    <t>#00902</t>
  </si>
  <si>
    <t>#01255</t>
  </si>
  <si>
    <t>#01985</t>
  </si>
  <si>
    <t>#02445</t>
  </si>
  <si>
    <t>#02859</t>
  </si>
  <si>
    <t>#02862</t>
  </si>
  <si>
    <t>#02887</t>
  </si>
  <si>
    <t>#03125</t>
  </si>
  <si>
    <t>#04419</t>
  </si>
  <si>
    <t>Nguyễn Phú Quang</t>
  </si>
  <si>
    <t>#04423</t>
  </si>
  <si>
    <t>#05296</t>
  </si>
  <si>
    <t>#05876</t>
  </si>
  <si>
    <t>#06879</t>
  </si>
  <si>
    <t>#07268</t>
  </si>
  <si>
    <t>#07317</t>
  </si>
  <si>
    <t>#07448</t>
  </si>
  <si>
    <t>#07462</t>
  </si>
  <si>
    <t>#07519</t>
  </si>
  <si>
    <t>#08637</t>
  </si>
  <si>
    <t>#10261</t>
  </si>
  <si>
    <t>#10598</t>
  </si>
  <si>
    <t>#10654</t>
  </si>
  <si>
    <t>#11110</t>
  </si>
  <si>
    <t>#11228</t>
  </si>
  <si>
    <t>#11622</t>
  </si>
  <si>
    <t>#11687</t>
  </si>
  <si>
    <t>#11696</t>
  </si>
  <si>
    <t>#11697</t>
  </si>
  <si>
    <t>#11892</t>
  </si>
  <si>
    <t>#14723</t>
  </si>
  <si>
    <t>#14797</t>
  </si>
  <si>
    <t>#14882</t>
  </si>
  <si>
    <t>#15322</t>
  </si>
  <si>
    <t>#15465</t>
  </si>
  <si>
    <t>#16093</t>
  </si>
  <si>
    <t>Đặng Thị Thanh Nga</t>
  </si>
  <si>
    <t>#16255</t>
  </si>
  <si>
    <t>#16686</t>
  </si>
  <si>
    <t>#17607</t>
  </si>
  <si>
    <t>#18424</t>
  </si>
  <si>
    <t>Lường Văn Sơn</t>
  </si>
  <si>
    <t>#18425</t>
  </si>
  <si>
    <t>#19554</t>
  </si>
  <si>
    <t>#19556</t>
  </si>
  <si>
    <t>#21556</t>
  </si>
  <si>
    <t>#21559</t>
  </si>
  <si>
    <t>#21696</t>
  </si>
  <si>
    <t>#22145</t>
  </si>
  <si>
    <t>#22632</t>
  </si>
  <si>
    <t>#23039</t>
  </si>
  <si>
    <t>#23321</t>
  </si>
  <si>
    <t>#23492</t>
  </si>
  <si>
    <t>Lê Thị Phương Thảo</t>
  </si>
  <si>
    <t>#23494</t>
  </si>
  <si>
    <t>#23495</t>
  </si>
  <si>
    <t>#23604</t>
  </si>
  <si>
    <t>#23881</t>
  </si>
  <si>
    <t>Phùng Văn Hiến</t>
  </si>
  <si>
    <t>#24446</t>
  </si>
  <si>
    <t>Bùi Thị Nhung</t>
  </si>
  <si>
    <t>#25463</t>
  </si>
  <si>
    <t>#25467</t>
  </si>
  <si>
    <t>#25468</t>
  </si>
  <si>
    <t>#25469</t>
  </si>
  <si>
    <t>#25585</t>
  </si>
  <si>
    <t>Nguyễn Phú Thuật</t>
  </si>
  <si>
    <t>#25642</t>
  </si>
  <si>
    <t>Trần Phương Thực</t>
  </si>
  <si>
    <t>#25702</t>
  </si>
  <si>
    <t>#25988</t>
  </si>
  <si>
    <t>#26202</t>
  </si>
  <si>
    <t>#00389</t>
  </si>
  <si>
    <t>Hoàng Tuấn Phương</t>
  </si>
  <si>
    <t>#00647</t>
  </si>
  <si>
    <t>#01258</t>
  </si>
  <si>
    <t>#01414</t>
  </si>
  <si>
    <t>#02773</t>
  </si>
  <si>
    <t>#04415</t>
  </si>
  <si>
    <t>Nguyễn Hồng Nhật</t>
  </si>
  <si>
    <t>#04868</t>
  </si>
  <si>
    <t>#05152</t>
  </si>
  <si>
    <t>#05166</t>
  </si>
  <si>
    <t>#06883</t>
  </si>
  <si>
    <t>#07018</t>
  </si>
  <si>
    <t>#07312</t>
  </si>
  <si>
    <t>Hà Thị Lập</t>
  </si>
  <si>
    <t>#07586</t>
  </si>
  <si>
    <t>#08122</t>
  </si>
  <si>
    <t>#08632</t>
  </si>
  <si>
    <t>#09432</t>
  </si>
  <si>
    <t>#09928</t>
  </si>
  <si>
    <t>Phan Văn Vĩnh</t>
  </si>
  <si>
    <t>#10257</t>
  </si>
  <si>
    <t>#11895</t>
  </si>
  <si>
    <t>#12155</t>
  </si>
  <si>
    <t>#12251</t>
  </si>
  <si>
    <t>#12532</t>
  </si>
  <si>
    <t>#13370</t>
  </si>
  <si>
    <t>#14838</t>
  </si>
  <si>
    <t>Phùng Quang Chung</t>
  </si>
  <si>
    <t>#14890</t>
  </si>
  <si>
    <t>#15208</t>
  </si>
  <si>
    <t>#15329</t>
  </si>
  <si>
    <t>#15469</t>
  </si>
  <si>
    <t>#16389</t>
  </si>
  <si>
    <t>#16466</t>
  </si>
  <si>
    <t>#16520</t>
  </si>
  <si>
    <t>Khổng Thị Dung</t>
  </si>
  <si>
    <t>#16687</t>
  </si>
  <si>
    <t>#17381</t>
  </si>
  <si>
    <t>#17530</t>
  </si>
  <si>
    <t>Lương Văn Hải</t>
  </si>
  <si>
    <t>#20424</t>
  </si>
  <si>
    <t>#22031</t>
  </si>
  <si>
    <t>#23040</t>
  </si>
  <si>
    <t>#23606</t>
  </si>
  <si>
    <t>#24447</t>
  </si>
  <si>
    <t>Tạ Ngọc Giang</t>
  </si>
  <si>
    <t>#24448</t>
  </si>
  <si>
    <t>#00220</t>
  </si>
  <si>
    <t>Phan Quang Hải</t>
  </si>
  <si>
    <t>#00384</t>
  </si>
  <si>
    <t>#00455</t>
  </si>
  <si>
    <t>#00469</t>
  </si>
  <si>
    <t>#00645</t>
  </si>
  <si>
    <t>Lê Xuân Đại</t>
  </si>
  <si>
    <t>#00718</t>
  </si>
  <si>
    <t>#00946</t>
  </si>
  <si>
    <t>#02701</t>
  </si>
  <si>
    <t>Phan Thanh Thuỳ</t>
  </si>
  <si>
    <t>#02880</t>
  </si>
  <si>
    <t>#03095</t>
  </si>
  <si>
    <t>#04682</t>
  </si>
  <si>
    <t>#04687</t>
  </si>
  <si>
    <t>#05493</t>
  </si>
  <si>
    <t>#06645</t>
  </si>
  <si>
    <t>#07072</t>
  </si>
  <si>
    <t>#07348</t>
  </si>
  <si>
    <t>#07349</t>
  </si>
  <si>
    <t>#07384</t>
  </si>
  <si>
    <t>#07637</t>
  </si>
  <si>
    <t>#07977</t>
  </si>
  <si>
    <t>#08327</t>
  </si>
  <si>
    <t>#08633</t>
  </si>
  <si>
    <t>#09304</t>
  </si>
  <si>
    <t>#09372</t>
  </si>
  <si>
    <t>#09917</t>
  </si>
  <si>
    <t>#09920</t>
  </si>
  <si>
    <t>#10067</t>
  </si>
  <si>
    <t>#10069</t>
  </si>
  <si>
    <t>#10250</t>
  </si>
  <si>
    <t>#10596</t>
  </si>
  <si>
    <t>#12252</t>
  </si>
  <si>
    <t>#12253</t>
  </si>
  <si>
    <t>#13844</t>
  </si>
  <si>
    <t>#15984</t>
  </si>
  <si>
    <t>#23813</t>
  </si>
  <si>
    <t>#00643</t>
  </si>
  <si>
    <t>#02442</t>
  </si>
  <si>
    <t>#02884</t>
  </si>
  <si>
    <t>#05645</t>
  </si>
  <si>
    <t>#07679</t>
  </si>
  <si>
    <t>#08244</t>
  </si>
  <si>
    <t>#10251</t>
  </si>
  <si>
    <t>#11900</t>
  </si>
  <si>
    <t>#13296</t>
  </si>
  <si>
    <t>#19367</t>
  </si>
  <si>
    <t>龍訓民</t>
  </si>
  <si>
    <t>張漢權</t>
  </si>
  <si>
    <t>#25532</t>
  </si>
  <si>
    <t>#01870</t>
  </si>
  <si>
    <t>#11105</t>
  </si>
  <si>
    <t>#14871</t>
  </si>
  <si>
    <t>#15070</t>
  </si>
  <si>
    <t>Nguyễn Mạnh Hà</t>
  </si>
  <si>
    <t>#15581</t>
  </si>
  <si>
    <t>Lê Văn Liêu</t>
  </si>
  <si>
    <t>#17945</t>
  </si>
  <si>
    <t>#17974</t>
  </si>
  <si>
    <t>#19978</t>
  </si>
  <si>
    <t>#20116</t>
  </si>
  <si>
    <t>#22250</t>
  </si>
  <si>
    <t>#25531</t>
  </si>
  <si>
    <t>Bùi Anh Đức</t>
  </si>
  <si>
    <t>#25533</t>
  </si>
  <si>
    <t>#25559</t>
  </si>
  <si>
    <t>#25560</t>
  </si>
  <si>
    <t>#10770</t>
  </si>
  <si>
    <t>#10852</t>
  </si>
  <si>
    <t>#11934</t>
  </si>
  <si>
    <t>#13646</t>
  </si>
  <si>
    <t>#15356</t>
  </si>
  <si>
    <t>Đỗ Quốc Toàn</t>
  </si>
  <si>
    <t>#17635</t>
  </si>
  <si>
    <t>#17973</t>
  </si>
  <si>
    <t>#19443</t>
  </si>
  <si>
    <t>#19896</t>
  </si>
  <si>
    <t>#20117</t>
  </si>
  <si>
    <t>Dương Quốc Huy</t>
  </si>
  <si>
    <t>#22252</t>
  </si>
  <si>
    <t>#22257</t>
  </si>
  <si>
    <t>Nghiêm Đức Cẩn</t>
  </si>
  <si>
    <t>#03289</t>
  </si>
  <si>
    <t>Sỹ Thị Oanh</t>
  </si>
  <si>
    <t>#03290</t>
  </si>
  <si>
    <t>#03293</t>
  </si>
  <si>
    <t>#03521</t>
  </si>
  <si>
    <t>#04224</t>
  </si>
  <si>
    <t>#05141</t>
  </si>
  <si>
    <t>#05478</t>
  </si>
  <si>
    <t>#06530</t>
  </si>
  <si>
    <t>#07299</t>
  </si>
  <si>
    <t>#07758</t>
  </si>
  <si>
    <t>#09101</t>
  </si>
  <si>
    <t>#10854</t>
  </si>
  <si>
    <t>#14808</t>
  </si>
  <si>
    <t>#15147</t>
  </si>
  <si>
    <t>#15580</t>
  </si>
  <si>
    <t>#15666</t>
  </si>
  <si>
    <t>Phùng Văn Khánh</t>
  </si>
  <si>
    <t>#17212</t>
  </si>
  <si>
    <t>#17868</t>
  </si>
  <si>
    <t>#18848</t>
  </si>
  <si>
    <t>#19949</t>
  </si>
  <si>
    <t>Nguyễn Thị Thúy Hằng</t>
  </si>
  <si>
    <t>#21124</t>
  </si>
  <si>
    <t>Dương Thị Hằng</t>
  </si>
  <si>
    <t>#02990</t>
  </si>
  <si>
    <t>#05325</t>
  </si>
  <si>
    <t>#26187</t>
  </si>
  <si>
    <t>Trần Tiến Trọng</t>
  </si>
  <si>
    <t>#26256</t>
  </si>
  <si>
    <t>#26268</t>
  </si>
  <si>
    <t>#00337</t>
  </si>
  <si>
    <t>#00444</t>
  </si>
  <si>
    <t>#00519</t>
  </si>
  <si>
    <t>#00593</t>
  </si>
  <si>
    <t>#02175</t>
  </si>
  <si>
    <t>#02847</t>
  </si>
  <si>
    <t>#02849</t>
  </si>
  <si>
    <t>#02850</t>
  </si>
  <si>
    <t>#03718</t>
  </si>
  <si>
    <t>#04603</t>
  </si>
  <si>
    <t>#05402</t>
  </si>
  <si>
    <t>#05862</t>
  </si>
  <si>
    <t>#06469</t>
  </si>
  <si>
    <t>#06667</t>
  </si>
  <si>
    <t>#07006</t>
  </si>
  <si>
    <t>#07021</t>
  </si>
  <si>
    <t>#07022</t>
  </si>
  <si>
    <t>#07135</t>
  </si>
  <si>
    <t>#07225</t>
  </si>
  <si>
    <t>#07518</t>
  </si>
  <si>
    <t>#07541</t>
  </si>
  <si>
    <t>#07572</t>
  </si>
  <si>
    <t>#08124</t>
  </si>
  <si>
    <t>#08288</t>
  </si>
  <si>
    <t>#08289</t>
  </si>
  <si>
    <t>#08338</t>
  </si>
  <si>
    <t>#08621</t>
  </si>
  <si>
    <t>#08622</t>
  </si>
  <si>
    <t>#09013</t>
  </si>
  <si>
    <t>#09373</t>
  </si>
  <si>
    <t>#09576</t>
  </si>
  <si>
    <t>#10174</t>
  </si>
  <si>
    <t>Hạ Xuân Huy</t>
  </si>
  <si>
    <t>#10842</t>
  </si>
  <si>
    <t>#11452</t>
  </si>
  <si>
    <t>#11527</t>
  </si>
  <si>
    <t>#11788</t>
  </si>
  <si>
    <t>#11917</t>
  </si>
  <si>
    <t>#11918</t>
  </si>
  <si>
    <t>#11925</t>
  </si>
  <si>
    <t>#12451</t>
  </si>
  <si>
    <t>#12980</t>
  </si>
  <si>
    <t>#13464</t>
  </si>
  <si>
    <t>#13487</t>
  </si>
  <si>
    <t>#13492</t>
  </si>
  <si>
    <t>#13696</t>
  </si>
  <si>
    <t>#15598</t>
  </si>
  <si>
    <t>#15761</t>
  </si>
  <si>
    <t>#16213</t>
  </si>
  <si>
    <t>#17733</t>
  </si>
  <si>
    <t>#17759</t>
  </si>
  <si>
    <t>Phạm Minh Hiếu</t>
  </si>
  <si>
    <t>#17766</t>
  </si>
  <si>
    <t>#18260</t>
  </si>
  <si>
    <t>#18261</t>
  </si>
  <si>
    <t>#18262</t>
  </si>
  <si>
    <t>#18590</t>
  </si>
  <si>
    <t>#18591</t>
  </si>
  <si>
    <t>Đặng Thị Thảo</t>
  </si>
  <si>
    <t>#18671</t>
  </si>
  <si>
    <t>#18672</t>
  </si>
  <si>
    <t>#18673</t>
  </si>
  <si>
    <t>#18675</t>
  </si>
  <si>
    <t>#18678</t>
  </si>
  <si>
    <t>#18897</t>
  </si>
  <si>
    <t>#19232</t>
  </si>
  <si>
    <t>#19234</t>
  </si>
  <si>
    <t>#19235</t>
  </si>
  <si>
    <t>#20040</t>
  </si>
  <si>
    <t>#20043</t>
  </si>
  <si>
    <t>#20072</t>
  </si>
  <si>
    <t>#20073</t>
  </si>
  <si>
    <t>#20359</t>
  </si>
  <si>
    <t>#20362</t>
  </si>
  <si>
    <t>#21013</t>
  </si>
  <si>
    <t>#21096</t>
  </si>
  <si>
    <t>#21448</t>
  </si>
  <si>
    <t>#21456</t>
  </si>
  <si>
    <t>#21896</t>
  </si>
  <si>
    <t>#21897</t>
  </si>
  <si>
    <t>#21905</t>
  </si>
  <si>
    <t>#22265</t>
  </si>
  <si>
    <t>#23120</t>
  </si>
  <si>
    <t>#23123</t>
  </si>
  <si>
    <t>Nguyễn Minh Huấn</t>
  </si>
  <si>
    <t>#23174</t>
  </si>
  <si>
    <t>#23287</t>
  </si>
  <si>
    <t>#23802</t>
  </si>
  <si>
    <t>Nguyễn Văn Cần</t>
  </si>
  <si>
    <t>#24365</t>
  </si>
  <si>
    <t>Cao Tiến Hoàn</t>
  </si>
  <si>
    <t>#24412</t>
  </si>
  <si>
    <t>#24415</t>
  </si>
  <si>
    <t>#24418</t>
  </si>
  <si>
    <t>#24420</t>
  </si>
  <si>
    <t>Vương Văn Mạnh</t>
  </si>
  <si>
    <t>#24593</t>
  </si>
  <si>
    <t>Đỗ Văn Hảo</t>
  </si>
  <si>
    <t>#24594</t>
  </si>
  <si>
    <t>#24595</t>
  </si>
  <si>
    <t>#24596</t>
  </si>
  <si>
    <t>#24597</t>
  </si>
  <si>
    <t>#24600</t>
  </si>
  <si>
    <t>#24706</t>
  </si>
  <si>
    <t>#24710</t>
  </si>
  <si>
    <t>Trần Văn Xuất</t>
  </si>
  <si>
    <t>#24852</t>
  </si>
  <si>
    <t>#24853</t>
  </si>
  <si>
    <t>#24854</t>
  </si>
  <si>
    <t>Đỗ Văn Xuân</t>
  </si>
  <si>
    <t>#24873</t>
  </si>
  <si>
    <t>#24873Nguyễn Thị Thanh Huyền</t>
  </si>
  <si>
    <t>#25200</t>
  </si>
  <si>
    <t>Phùng Ngọc Hà</t>
  </si>
  <si>
    <t>#25362</t>
  </si>
  <si>
    <t>#25363</t>
  </si>
  <si>
    <t>Lưu Thị Thùy</t>
  </si>
  <si>
    <t>#25660</t>
  </si>
  <si>
    <t>Nguyễn Anh Điều</t>
  </si>
  <si>
    <t>#25682</t>
  </si>
  <si>
    <t>Ngô Hồng Thuỵ</t>
  </si>
  <si>
    <t>#25684</t>
  </si>
  <si>
    <t>#25685</t>
  </si>
  <si>
    <t>#25924</t>
  </si>
  <si>
    <t>#01458</t>
  </si>
  <si>
    <t>#02139</t>
  </si>
  <si>
    <t>#02315</t>
  </si>
  <si>
    <t>#02851</t>
  </si>
  <si>
    <t>#03324</t>
  </si>
  <si>
    <t>#03726</t>
  </si>
  <si>
    <t>#04725</t>
  </si>
  <si>
    <t>#04823</t>
  </si>
  <si>
    <t>#05881</t>
  </si>
  <si>
    <t>#06952</t>
  </si>
  <si>
    <t>#06961</t>
  </si>
  <si>
    <t>#07210</t>
  </si>
  <si>
    <t>#07392</t>
  </si>
  <si>
    <t>#07481</t>
  </si>
  <si>
    <t>#07605</t>
  </si>
  <si>
    <t>#08171</t>
  </si>
  <si>
    <t>#08266</t>
  </si>
  <si>
    <t>#08290</t>
  </si>
  <si>
    <t>Trần Tiến Việt</t>
  </si>
  <si>
    <t>#08429</t>
  </si>
  <si>
    <t>#08577</t>
  </si>
  <si>
    <t>#09043</t>
  </si>
  <si>
    <t>#10519</t>
  </si>
  <si>
    <t>#11044</t>
  </si>
  <si>
    <t>#11446</t>
  </si>
  <si>
    <t>Triệu Tiến Dũng</t>
  </si>
  <si>
    <t>#11447</t>
  </si>
  <si>
    <t>Lưu Xuân Đạo</t>
  </si>
  <si>
    <t>#11958</t>
  </si>
  <si>
    <t>#12133</t>
  </si>
  <si>
    <t>#13217</t>
  </si>
  <si>
    <t>Trần Văn Điển</t>
  </si>
  <si>
    <t>#13698</t>
  </si>
  <si>
    <t>Hà Văn Chiêm</t>
  </si>
  <si>
    <t>#13699</t>
  </si>
  <si>
    <t>#13897</t>
  </si>
  <si>
    <t>#14581</t>
  </si>
  <si>
    <t>#14811</t>
  </si>
  <si>
    <t>#15286</t>
  </si>
  <si>
    <t>#15288</t>
  </si>
  <si>
    <t>Trần Mạnh Thái</t>
  </si>
  <si>
    <t>#15289</t>
  </si>
  <si>
    <t>#15290</t>
  </si>
  <si>
    <t>Triệu Trường</t>
  </si>
  <si>
    <t>#15762</t>
  </si>
  <si>
    <t>#16212</t>
  </si>
  <si>
    <t>#16939</t>
  </si>
  <si>
    <t>#16941</t>
  </si>
  <si>
    <t>Đinh Văn Tuấn</t>
  </si>
  <si>
    <t>#17244</t>
  </si>
  <si>
    <t>#17272</t>
  </si>
  <si>
    <t>#17517</t>
  </si>
  <si>
    <t>#17630</t>
  </si>
  <si>
    <t>#17737</t>
  </si>
  <si>
    <t>Âu Văn Chính</t>
  </si>
  <si>
    <t>#17763</t>
  </si>
  <si>
    <t>#18263</t>
  </si>
  <si>
    <t>#18274</t>
  </si>
  <si>
    <t>#18529</t>
  </si>
  <si>
    <t>Hạ Thị Hồng Nhung</t>
  </si>
  <si>
    <t>#18588</t>
  </si>
  <si>
    <t>#18598</t>
  </si>
  <si>
    <t>#18621</t>
  </si>
  <si>
    <t>#18670</t>
  </si>
  <si>
    <t>#18706</t>
  </si>
  <si>
    <t>Đào Quang Chiến</t>
  </si>
  <si>
    <t>#18798</t>
  </si>
  <si>
    <t>#18799</t>
  </si>
  <si>
    <t>#18858</t>
  </si>
  <si>
    <t>#18859</t>
  </si>
  <si>
    <t>#18860</t>
  </si>
  <si>
    <t>Lê Văn Giáp</t>
  </si>
  <si>
    <t>#18926</t>
  </si>
  <si>
    <t>#18927</t>
  </si>
  <si>
    <t>#19622</t>
  </si>
  <si>
    <t>Nguyễn Anh Cương</t>
  </si>
  <si>
    <t>#19820</t>
  </si>
  <si>
    <t>#20039</t>
  </si>
  <si>
    <t>#20360</t>
  </si>
  <si>
    <t>#21097</t>
  </si>
  <si>
    <t>#21449</t>
  </si>
  <si>
    <t>#21451</t>
  </si>
  <si>
    <t>#21454</t>
  </si>
  <si>
    <t>Phan Hồng Văn</t>
  </si>
  <si>
    <t>#21455</t>
  </si>
  <si>
    <t>Trần Đức Thắng</t>
  </si>
  <si>
    <t>#21494</t>
  </si>
  <si>
    <t>#21899</t>
  </si>
  <si>
    <t>#21901</t>
  </si>
  <si>
    <t>Trần Thế Cương</t>
  </si>
  <si>
    <t>#23291</t>
  </si>
  <si>
    <t>#23294</t>
  </si>
  <si>
    <t>#23295</t>
  </si>
  <si>
    <t>#23797</t>
  </si>
  <si>
    <t>#24366</t>
  </si>
  <si>
    <t>#24367</t>
  </si>
  <si>
    <t>#24373</t>
  </si>
  <si>
    <t>#24413</t>
  </si>
  <si>
    <t>#24414</t>
  </si>
  <si>
    <t>#24416</t>
  </si>
  <si>
    <t>#24417</t>
  </si>
  <si>
    <t>#24419</t>
  </si>
  <si>
    <t>Lương Vinh Hữu</t>
  </si>
  <si>
    <t>#24421</t>
  </si>
  <si>
    <t>Trần Như Cường</t>
  </si>
  <si>
    <t>#24598</t>
  </si>
  <si>
    <t>Hồ Ngọc Tam</t>
  </si>
  <si>
    <t>#24599</t>
  </si>
  <si>
    <t>Vũ Anh Nguyên</t>
  </si>
  <si>
    <t>#24601</t>
  </si>
  <si>
    <t>#24707</t>
  </si>
  <si>
    <t>Lê Văn Kỳ</t>
  </si>
  <si>
    <t>#24708</t>
  </si>
  <si>
    <t>#24711</t>
  </si>
  <si>
    <t>#24712</t>
  </si>
  <si>
    <t>Vương Văn Huy</t>
  </si>
  <si>
    <t>#25196</t>
  </si>
  <si>
    <t>#02318</t>
  </si>
  <si>
    <t>#02319</t>
  </si>
  <si>
    <t>#02843</t>
  </si>
  <si>
    <t>#11047</t>
  </si>
  <si>
    <t>#14582</t>
  </si>
  <si>
    <t>Vương Quang Đại</t>
  </si>
  <si>
    <t>#02324</t>
  </si>
  <si>
    <t>#03330</t>
  </si>
  <si>
    <t>#06425</t>
  </si>
  <si>
    <t>#07708</t>
  </si>
  <si>
    <t>#09578</t>
  </si>
  <si>
    <t>#12137</t>
  </si>
  <si>
    <t>#15283</t>
  </si>
  <si>
    <t>#17274</t>
  </si>
  <si>
    <t>#19238</t>
  </si>
  <si>
    <t>#20577</t>
  </si>
  <si>
    <t>#00964</t>
  </si>
  <si>
    <t>#01578</t>
  </si>
  <si>
    <t>#05858</t>
  </si>
  <si>
    <t>#07229</t>
  </si>
  <si>
    <t>#09580</t>
  </si>
  <si>
    <t>#10205</t>
  </si>
  <si>
    <t>#12454</t>
  </si>
  <si>
    <t>#17797</t>
  </si>
  <si>
    <t>#18701</t>
  </si>
  <si>
    <t>#19240</t>
  </si>
  <si>
    <t>Phan Văn Tâm</t>
  </si>
  <si>
    <t>#23286</t>
  </si>
  <si>
    <t>Chu Minh Tuấn</t>
  </si>
  <si>
    <t>#23795</t>
  </si>
  <si>
    <t>#23840</t>
  </si>
  <si>
    <t>Trần Thái Bình</t>
  </si>
  <si>
    <t>#23842</t>
  </si>
  <si>
    <t>#24368</t>
  </si>
  <si>
    <t>Hoàng Văn Huấn</t>
  </si>
  <si>
    <t>#24369</t>
  </si>
  <si>
    <t>Phan Duy Dương</t>
  </si>
  <si>
    <t>#00338</t>
  </si>
  <si>
    <t>#00510</t>
  </si>
  <si>
    <t>#00777</t>
  </si>
  <si>
    <t>#01048</t>
  </si>
  <si>
    <t>#02109</t>
  </si>
  <si>
    <t>#02220</t>
  </si>
  <si>
    <t>#02393</t>
  </si>
  <si>
    <t>Đặng Văn Quỳnh</t>
  </si>
  <si>
    <t>#02494</t>
  </si>
  <si>
    <t>#02499</t>
  </si>
  <si>
    <t>#02511</t>
  </si>
  <si>
    <t>#03712</t>
  </si>
  <si>
    <t>#03883</t>
  </si>
  <si>
    <t>#04340</t>
  </si>
  <si>
    <t>Nguyễn Thế Hẳn</t>
  </si>
  <si>
    <t>#04433</t>
  </si>
  <si>
    <t>#05000</t>
  </si>
  <si>
    <t>#05328</t>
  </si>
  <si>
    <t>Nguyễn Trung Thọ</t>
  </si>
  <si>
    <t>#05597</t>
  </si>
  <si>
    <t>#05603</t>
  </si>
  <si>
    <t>#06381</t>
  </si>
  <si>
    <t>#06529</t>
  </si>
  <si>
    <t>#06774</t>
  </si>
  <si>
    <t>#06866</t>
  </si>
  <si>
    <t>#06934</t>
  </si>
  <si>
    <t>#06953</t>
  </si>
  <si>
    <t>#07010</t>
  </si>
  <si>
    <t>#07059</t>
  </si>
  <si>
    <t>#07143</t>
  </si>
  <si>
    <t>#07289</t>
  </si>
  <si>
    <t>#07345</t>
  </si>
  <si>
    <t>#07351</t>
  </si>
  <si>
    <t>Phạm Văn Nguyên</t>
  </si>
  <si>
    <t>#07362</t>
  </si>
  <si>
    <t>#07363</t>
  </si>
  <si>
    <t>#07657</t>
  </si>
  <si>
    <t>#07868</t>
  </si>
  <si>
    <t>Bùi Thanh Nam</t>
  </si>
  <si>
    <t>#09309</t>
  </si>
  <si>
    <t>Hoàng Tiến Thịnh</t>
  </si>
  <si>
    <t>#09396</t>
  </si>
  <si>
    <t>#09400</t>
  </si>
  <si>
    <t>#09897</t>
  </si>
  <si>
    <t>#10178</t>
  </si>
  <si>
    <t>#10356</t>
  </si>
  <si>
    <t>#10532</t>
  </si>
  <si>
    <t>#10739</t>
  </si>
  <si>
    <t>#10744</t>
  </si>
  <si>
    <t>#11278</t>
  </si>
  <si>
    <t>#11408</t>
  </si>
  <si>
    <t>#11525</t>
  </si>
  <si>
    <t>#11576</t>
  </si>
  <si>
    <t>#12086</t>
  </si>
  <si>
    <t>#12437</t>
  </si>
  <si>
    <t>Nghiêm Thành Được</t>
  </si>
  <si>
    <t>#12457</t>
  </si>
  <si>
    <t>#12459</t>
  </si>
  <si>
    <t>#12601</t>
  </si>
  <si>
    <t>#13220</t>
  </si>
  <si>
    <t>#13468</t>
  </si>
  <si>
    <t>#13624</t>
  </si>
  <si>
    <t>#13679</t>
  </si>
  <si>
    <t>#14483</t>
  </si>
  <si>
    <t>#14633</t>
  </si>
  <si>
    <t>#14779</t>
  </si>
  <si>
    <t>Nguyễn Thị Thu Hoài</t>
  </si>
  <si>
    <t>#15075</t>
  </si>
  <si>
    <t>#15093</t>
  </si>
  <si>
    <t>#19692</t>
  </si>
  <si>
    <t>Lê Văn Hân</t>
  </si>
  <si>
    <t>#21907</t>
  </si>
  <si>
    <t>#21908</t>
  </si>
  <si>
    <t>#21910</t>
  </si>
  <si>
    <t>#21911</t>
  </si>
  <si>
    <t>#21912</t>
  </si>
  <si>
    <t>#21913</t>
  </si>
  <si>
    <t>#21967</t>
  </si>
  <si>
    <t>#22295</t>
  </si>
  <si>
    <t>#22297</t>
  </si>
  <si>
    <t>#23306</t>
  </si>
  <si>
    <t>#25190</t>
  </si>
  <si>
    <t>#25198</t>
  </si>
  <si>
    <t>#25221</t>
  </si>
  <si>
    <t>#25273</t>
  </si>
  <si>
    <t>Dương Tiến Đạt</t>
  </si>
  <si>
    <t>#25336</t>
  </si>
  <si>
    <t>#25338</t>
  </si>
  <si>
    <t>Phùng Thị Thủy</t>
  </si>
  <si>
    <t>#25521</t>
  </si>
  <si>
    <t>#25522</t>
  </si>
  <si>
    <t>Phạm Hoàng Hiệp</t>
  </si>
  <si>
    <t>#25523</t>
  </si>
  <si>
    <t>Phạm Văn Đạt</t>
  </si>
  <si>
    <t>#25534</t>
  </si>
  <si>
    <t>Nguyễn Xuân Thắng</t>
  </si>
  <si>
    <t>#25629</t>
  </si>
  <si>
    <t>Phùng Văn Hoàng</t>
  </si>
  <si>
    <t>#25630</t>
  </si>
  <si>
    <t>Nguyễn Trọng Quyền</t>
  </si>
  <si>
    <t>#25631</t>
  </si>
  <si>
    <t>Vũ Tiến Công</t>
  </si>
  <si>
    <t>#25632</t>
  </si>
  <si>
    <t>#25633</t>
  </si>
  <si>
    <t>Nguyễn Phú Khải</t>
  </si>
  <si>
    <t>#25634</t>
  </si>
  <si>
    <t>#25683</t>
  </si>
  <si>
    <t>Dương Thị Thu Hằng</t>
  </si>
  <si>
    <t>#25827</t>
  </si>
  <si>
    <t>Nguyễn Công Việt</t>
  </si>
  <si>
    <t>#25866</t>
  </si>
  <si>
    <t>Kim Tiến Dũng</t>
  </si>
  <si>
    <t>#25867</t>
  </si>
  <si>
    <t>#25868</t>
  </si>
  <si>
    <t>#25881</t>
  </si>
  <si>
    <t>Phạm Đức Duy</t>
  </si>
  <si>
    <t>#25882</t>
  </si>
  <si>
    <t>#25883</t>
  </si>
  <si>
    <t>#25901</t>
  </si>
  <si>
    <t>#25916</t>
  </si>
  <si>
    <t>#25917</t>
  </si>
  <si>
    <t>#26010</t>
  </si>
  <si>
    <t>Lưu Thị Tình</t>
  </si>
  <si>
    <t>#26011</t>
  </si>
  <si>
    <t>Nguyễn Hữu Quang</t>
  </si>
  <si>
    <t>#26096</t>
  </si>
  <si>
    <t>Đại Văn Bắc</t>
  </si>
  <si>
    <t>#26126</t>
  </si>
  <si>
    <t>#26127</t>
  </si>
  <si>
    <t>#26151</t>
  </si>
  <si>
    <t>#26152</t>
  </si>
  <si>
    <t>#26188</t>
  </si>
  <si>
    <t>#26227</t>
  </si>
  <si>
    <t>#26228</t>
  </si>
  <si>
    <t>Hà Thị Quỳnh Như</t>
  </si>
  <si>
    <t>#26279</t>
  </si>
  <si>
    <t>#26318</t>
  </si>
  <si>
    <t>Lưu Thị Xuyên</t>
  </si>
  <si>
    <t>#26319</t>
  </si>
  <si>
    <t>#26320</t>
  </si>
  <si>
    <t>#26321</t>
  </si>
  <si>
    <t>Vũ Văn Quân</t>
  </si>
  <si>
    <t>#26332</t>
  </si>
  <si>
    <t>Lương Văn Khải</t>
  </si>
  <si>
    <t>#26364</t>
  </si>
  <si>
    <t>#26374</t>
  </si>
  <si>
    <t>#26388</t>
  </si>
  <si>
    <t>Tạ Thị Như Quỳnh</t>
  </si>
  <si>
    <t>#26400</t>
  </si>
  <si>
    <t>#26402</t>
  </si>
  <si>
    <t>#26410</t>
  </si>
  <si>
    <t>#26425</t>
  </si>
  <si>
    <t>#26437</t>
  </si>
  <si>
    <t>#26457</t>
  </si>
  <si>
    <t>#26466</t>
  </si>
  <si>
    <t>#26467</t>
  </si>
  <si>
    <t>Trần Thanh Hải</t>
  </si>
  <si>
    <t>#00326</t>
  </si>
  <si>
    <t>#00350</t>
  </si>
  <si>
    <t>#00486</t>
  </si>
  <si>
    <t>#00760</t>
  </si>
  <si>
    <t>#01242</t>
  </si>
  <si>
    <t>#01945</t>
  </si>
  <si>
    <t>#02151</t>
  </si>
  <si>
    <t>Vũ Quang Mạnh</t>
  </si>
  <si>
    <t>#02153</t>
  </si>
  <si>
    <t>#02213</t>
  </si>
  <si>
    <t>#02416</t>
  </si>
  <si>
    <t>#02496</t>
  </si>
  <si>
    <t>#02497</t>
  </si>
  <si>
    <t>#02928</t>
  </si>
  <si>
    <t>#03294</t>
  </si>
  <si>
    <t>#03368</t>
  </si>
  <si>
    <t>#03370</t>
  </si>
  <si>
    <t>Phùng Đức Trung</t>
  </si>
  <si>
    <t>#03469</t>
  </si>
  <si>
    <t>#03877</t>
  </si>
  <si>
    <t>#03879</t>
  </si>
  <si>
    <t>#04594</t>
  </si>
  <si>
    <t>#04629</t>
  </si>
  <si>
    <t>Triệu Đức Bền</t>
  </si>
  <si>
    <t>#05474</t>
  </si>
  <si>
    <t>#06304</t>
  </si>
  <si>
    <t>Trần Văn Công</t>
  </si>
  <si>
    <t>#06552</t>
  </si>
  <si>
    <t>#06554</t>
  </si>
  <si>
    <t>#06569</t>
  </si>
  <si>
    <t>#06935</t>
  </si>
  <si>
    <t>Nguyễn Văn Ruy</t>
  </si>
  <si>
    <t>#07055</t>
  </si>
  <si>
    <t>#07097</t>
  </si>
  <si>
    <t>#07136</t>
  </si>
  <si>
    <t>#07142</t>
  </si>
  <si>
    <t>#07252</t>
  </si>
  <si>
    <t>Đỗ Thị Mậu</t>
  </si>
  <si>
    <t>#07486</t>
  </si>
  <si>
    <t>#07502</t>
  </si>
  <si>
    <t>#07591</t>
  </si>
  <si>
    <t>#07603</t>
  </si>
  <si>
    <t>#08007</t>
  </si>
  <si>
    <t>Trần Văn Hai</t>
  </si>
  <si>
    <t>#08233</t>
  </si>
  <si>
    <t>#08576</t>
  </si>
  <si>
    <t>#09031</t>
  </si>
  <si>
    <t>Phạm Ngọc Dũng</t>
  </si>
  <si>
    <t>#09074</t>
  </si>
  <si>
    <t>#09521</t>
  </si>
  <si>
    <t>#09577</t>
  </si>
  <si>
    <t>#09868</t>
  </si>
  <si>
    <t>#09896</t>
  </si>
  <si>
    <t>#10086</t>
  </si>
  <si>
    <t>#10179</t>
  </si>
  <si>
    <t>#10309</t>
  </si>
  <si>
    <t>#10359</t>
  </si>
  <si>
    <t>#10891</t>
  </si>
  <si>
    <t>#11083</t>
  </si>
  <si>
    <t>#11412</t>
  </si>
  <si>
    <t>#11418</t>
  </si>
  <si>
    <t>#12126</t>
  </si>
  <si>
    <t>#12513</t>
  </si>
  <si>
    <t>#13222</t>
  </si>
  <si>
    <t>#13632</t>
  </si>
  <si>
    <t>#14629</t>
  </si>
  <si>
    <t>#14658</t>
  </si>
  <si>
    <t>#15640</t>
  </si>
  <si>
    <t>#15987</t>
  </si>
  <si>
    <t>#16918</t>
  </si>
  <si>
    <t>#17016</t>
  </si>
  <si>
    <t>#18934</t>
  </si>
  <si>
    <t>Khổng Trọng Thịnh</t>
  </si>
  <si>
    <t>#19348</t>
  </si>
  <si>
    <t>#20324</t>
  </si>
  <si>
    <t>Nguyễn Công Tuyên</t>
  </si>
  <si>
    <t>#20387</t>
  </si>
  <si>
    <t>#21384</t>
  </si>
  <si>
    <t>#21490</t>
  </si>
  <si>
    <t>Phạm Thị Thanh</t>
  </si>
  <si>
    <t>#21492</t>
  </si>
  <si>
    <t>#21909</t>
  </si>
  <si>
    <t>#22299</t>
  </si>
  <si>
    <t>Nguyễn Văn Lượng</t>
  </si>
  <si>
    <t>#23308</t>
  </si>
  <si>
    <t>#23310</t>
  </si>
  <si>
    <t>#24422</t>
  </si>
  <si>
    <t>Bùi Trọng Tấn</t>
  </si>
  <si>
    <t>#24423</t>
  </si>
  <si>
    <t>Thạch Quốc Huy</t>
  </si>
  <si>
    <t>#00341</t>
  </si>
  <si>
    <t>#00512</t>
  </si>
  <si>
    <t>#01019</t>
  </si>
  <si>
    <t>#01283</t>
  </si>
  <si>
    <t>#01827</t>
  </si>
  <si>
    <t>#01961</t>
  </si>
  <si>
    <t>#02515</t>
  </si>
  <si>
    <t>#02860</t>
  </si>
  <si>
    <t>#03371</t>
  </si>
  <si>
    <t>#04290</t>
  </si>
  <si>
    <t>#04362</t>
  </si>
  <si>
    <t>#04455</t>
  </si>
  <si>
    <t>#05472</t>
  </si>
  <si>
    <t>#05593</t>
  </si>
  <si>
    <t>#05596</t>
  </si>
  <si>
    <t>#06503</t>
  </si>
  <si>
    <t>#06546</t>
  </si>
  <si>
    <t>#07063</t>
  </si>
  <si>
    <t>#07647</t>
  </si>
  <si>
    <t>#07937</t>
  </si>
  <si>
    <t>#10054</t>
  </si>
  <si>
    <t>#10064</t>
  </si>
  <si>
    <t>#10341</t>
  </si>
  <si>
    <t>#10362</t>
  </si>
  <si>
    <t>#12319</t>
  </si>
  <si>
    <t>Nguyễn Thị út</t>
  </si>
  <si>
    <t>#12434</t>
  </si>
  <si>
    <t>Vũ Thị Nghĩa</t>
  </si>
  <si>
    <t>#12436</t>
  </si>
  <si>
    <t>#12564</t>
  </si>
  <si>
    <t>#13063</t>
  </si>
  <si>
    <t>#13805</t>
  </si>
  <si>
    <t>#14778</t>
  </si>
  <si>
    <t>#15384</t>
  </si>
  <si>
    <t>#15854</t>
  </si>
  <si>
    <t>#18929</t>
  </si>
  <si>
    <t>Bùi Đình Huyên</t>
  </si>
  <si>
    <t>#19637</t>
  </si>
  <si>
    <t>#21573</t>
  </si>
  <si>
    <t>Hà Thị Thu Hà</t>
  </si>
  <si>
    <t>#23304</t>
  </si>
  <si>
    <t>#23305</t>
  </si>
  <si>
    <t>#23309</t>
  </si>
  <si>
    <t>#24180</t>
  </si>
  <si>
    <t>#24181</t>
  </si>
  <si>
    <t>#24183</t>
  </si>
  <si>
    <t>#24424</t>
  </si>
  <si>
    <t>#24425</t>
  </si>
  <si>
    <t>#10001</t>
  </si>
  <si>
    <t>#00348</t>
  </si>
  <si>
    <t>#01310</t>
  </si>
  <si>
    <t>#02623</t>
  </si>
  <si>
    <t>#02697</t>
  </si>
  <si>
    <t>#02861</t>
  </si>
  <si>
    <t>#03021</t>
  </si>
  <si>
    <t>#03069</t>
  </si>
  <si>
    <t>#03105</t>
  </si>
  <si>
    <t>#03144</t>
  </si>
  <si>
    <t>#03283</t>
  </si>
  <si>
    <t>#03649</t>
  </si>
  <si>
    <t>#03680</t>
  </si>
  <si>
    <t>#03954</t>
  </si>
  <si>
    <t>#03955</t>
  </si>
  <si>
    <t>#04201</t>
  </si>
  <si>
    <t>#04324</t>
  </si>
  <si>
    <t>#04689</t>
  </si>
  <si>
    <t>#04774</t>
  </si>
  <si>
    <t>#04961</t>
  </si>
  <si>
    <t>#05132</t>
  </si>
  <si>
    <t>#06290</t>
  </si>
  <si>
    <t>#06409</t>
  </si>
  <si>
    <t>#06442</t>
  </si>
  <si>
    <t>#06547</t>
  </si>
  <si>
    <t>#06873</t>
  </si>
  <si>
    <t>#06922</t>
  </si>
  <si>
    <t>#06923</t>
  </si>
  <si>
    <t>#06973</t>
  </si>
  <si>
    <t>#07220</t>
  </si>
  <si>
    <t>#07234</t>
  </si>
  <si>
    <t>#07297</t>
  </si>
  <si>
    <t>#07424</t>
  </si>
  <si>
    <t>#07570</t>
  </si>
  <si>
    <t>#07801</t>
  </si>
  <si>
    <t>#07804</t>
  </si>
  <si>
    <t>#07980</t>
  </si>
  <si>
    <t>#08026</t>
  </si>
  <si>
    <t>#08430</t>
  </si>
  <si>
    <t>Phan Thanh An</t>
  </si>
  <si>
    <t>#08507</t>
  </si>
  <si>
    <t>#08531</t>
  </si>
  <si>
    <t>#08614</t>
  </si>
  <si>
    <t>#08870</t>
  </si>
  <si>
    <t>#09401</t>
  </si>
  <si>
    <t>#09760</t>
  </si>
  <si>
    <t>#09776</t>
  </si>
  <si>
    <t>#10005</t>
  </si>
  <si>
    <t>#10624</t>
  </si>
  <si>
    <t>#10627</t>
  </si>
  <si>
    <t>#10759</t>
  </si>
  <si>
    <t>Nghiêm Văn Tuấn</t>
  </si>
  <si>
    <t>#10773</t>
  </si>
  <si>
    <t>#11767</t>
  </si>
  <si>
    <t>#11995</t>
  </si>
  <si>
    <t>#12008</t>
  </si>
  <si>
    <t>#12187</t>
  </si>
  <si>
    <t>#12191</t>
  </si>
  <si>
    <t>#12223</t>
  </si>
  <si>
    <t>#12387</t>
  </si>
  <si>
    <t>#12390</t>
  </si>
  <si>
    <t>#12602</t>
  </si>
  <si>
    <t>#12633</t>
  </si>
  <si>
    <t>#12845</t>
  </si>
  <si>
    <t>#13098</t>
  </si>
  <si>
    <t>Hà Văn Hiệp</t>
  </si>
  <si>
    <t>#13169</t>
  </si>
  <si>
    <t>#13266</t>
  </si>
  <si>
    <t>#13361</t>
  </si>
  <si>
    <t>#13603</t>
  </si>
  <si>
    <t>#13622</t>
  </si>
  <si>
    <t>#13636</t>
  </si>
  <si>
    <t>#13638</t>
  </si>
  <si>
    <t>#13647</t>
  </si>
  <si>
    <t>#13686</t>
  </si>
  <si>
    <t>Phạm Văn Binh</t>
  </si>
  <si>
    <t>#13956</t>
  </si>
  <si>
    <t>#14000</t>
  </si>
  <si>
    <t>#14001</t>
  </si>
  <si>
    <t>#14940</t>
  </si>
  <si>
    <t>#14957</t>
  </si>
  <si>
    <t>#15031</t>
  </si>
  <si>
    <t>#15144</t>
  </si>
  <si>
    <t>#15660</t>
  </si>
  <si>
    <t>#15996</t>
  </si>
  <si>
    <t>#16026</t>
  </si>
  <si>
    <t>#16116</t>
  </si>
  <si>
    <t>#16117</t>
  </si>
  <si>
    <t>#16352</t>
  </si>
  <si>
    <t>Trần Minh Hải</t>
  </si>
  <si>
    <t>#16353</t>
  </si>
  <si>
    <t>#16377</t>
  </si>
  <si>
    <t>#16635</t>
  </si>
  <si>
    <t>#16778</t>
  </si>
  <si>
    <t>Nguyễn Mạnh Thường</t>
  </si>
  <si>
    <t>#16807</t>
  </si>
  <si>
    <t>#16958</t>
  </si>
  <si>
    <t>#16961</t>
  </si>
  <si>
    <t>#16968</t>
  </si>
  <si>
    <t>#17000</t>
  </si>
  <si>
    <t>Lương Thị Chắc</t>
  </si>
  <si>
    <t>#17026</t>
  </si>
  <si>
    <t>#17750</t>
  </si>
  <si>
    <t>#17751</t>
  </si>
  <si>
    <t>#17752</t>
  </si>
  <si>
    <t>#17754</t>
  </si>
  <si>
    <t>#18205</t>
  </si>
  <si>
    <t>#18206</t>
  </si>
  <si>
    <t>#18287</t>
  </si>
  <si>
    <t>#18291</t>
  </si>
  <si>
    <t>#18393</t>
  </si>
  <si>
    <t>#18633</t>
  </si>
  <si>
    <t>#18634</t>
  </si>
  <si>
    <t>#18682</t>
  </si>
  <si>
    <t>#18765</t>
  </si>
  <si>
    <t>#18772</t>
  </si>
  <si>
    <t>#19041</t>
  </si>
  <si>
    <t>#19114</t>
  </si>
  <si>
    <t>#19195</t>
  </si>
  <si>
    <t>#19467</t>
  </si>
  <si>
    <t>Khổng Văn Đông</t>
  </si>
  <si>
    <t>#19468</t>
  </si>
  <si>
    <t>#19470</t>
  </si>
  <si>
    <t>#19651</t>
  </si>
  <si>
    <t>Hoàng Mạnh Niên</t>
  </si>
  <si>
    <t>#19711</t>
  </si>
  <si>
    <t>Lâm Văn Hồng</t>
  </si>
  <si>
    <t>#19804</t>
  </si>
  <si>
    <t>Phùng Thị Kim Huế</t>
  </si>
  <si>
    <t>#19809</t>
  </si>
  <si>
    <t>#19810</t>
  </si>
  <si>
    <t>#19998</t>
  </si>
  <si>
    <t>#20211</t>
  </si>
  <si>
    <t>#20226</t>
  </si>
  <si>
    <t>Ngô Thị Đào</t>
  </si>
  <si>
    <t>#20339</t>
  </si>
  <si>
    <t>#20709</t>
  </si>
  <si>
    <t>#20920</t>
  </si>
  <si>
    <t>Nguyễn Văn Thuần</t>
  </si>
  <si>
    <t>#21214</t>
  </si>
  <si>
    <t>#21875</t>
  </si>
  <si>
    <t>#22424</t>
  </si>
  <si>
    <t>#23054</t>
  </si>
  <si>
    <t>Nguyễn Công Vĩnh</t>
  </si>
  <si>
    <t>#23910</t>
  </si>
  <si>
    <t>#24513</t>
  </si>
  <si>
    <t>Đỗ Thái Học</t>
  </si>
  <si>
    <t>#24517</t>
  </si>
  <si>
    <t>Lưu Đức Anh</t>
  </si>
  <si>
    <t>#25024</t>
  </si>
  <si>
    <t>#25025</t>
  </si>
  <si>
    <t>#25026</t>
  </si>
  <si>
    <t>02-03-1984</t>
  </si>
  <si>
    <t>#25027</t>
  </si>
  <si>
    <t>#25028</t>
  </si>
  <si>
    <t>#25029</t>
  </si>
  <si>
    <t>#25030</t>
  </si>
  <si>
    <t>#25031</t>
  </si>
  <si>
    <t>Nguyễn Huy Tưởng</t>
  </si>
  <si>
    <t>#25032</t>
  </si>
  <si>
    <t>#25033</t>
  </si>
  <si>
    <t>#25034</t>
  </si>
  <si>
    <t>#25035</t>
  </si>
  <si>
    <t>#25036</t>
  </si>
  <si>
    <t>#25037</t>
  </si>
  <si>
    <t>#25038</t>
  </si>
  <si>
    <t>#25039</t>
  </si>
  <si>
    <t>#25040</t>
  </si>
  <si>
    <t>#25183</t>
  </si>
  <si>
    <t>#25184</t>
  </si>
  <si>
    <t>#25185</t>
  </si>
  <si>
    <t>Nguyễn Việt An</t>
  </si>
  <si>
    <t>#25186</t>
  </si>
  <si>
    <t>#25187</t>
  </si>
  <si>
    <t>#25188</t>
  </si>
  <si>
    <t>#25189</t>
  </si>
  <si>
    <t>Khổng Văn Toán</t>
  </si>
  <si>
    <t>#25242</t>
  </si>
  <si>
    <t>Phùng Ngọc Việt</t>
  </si>
  <si>
    <t>#25324</t>
  </si>
  <si>
    <t>Khổng Văn Quang</t>
  </si>
  <si>
    <t>#25364</t>
  </si>
  <si>
    <t>#25366</t>
  </si>
  <si>
    <t>Hoàng Văn Hồng</t>
  </si>
  <si>
    <t>#25368</t>
  </si>
  <si>
    <t>#25369</t>
  </si>
  <si>
    <t>#25370</t>
  </si>
  <si>
    <t>Vũ Văn Nam</t>
  </si>
  <si>
    <t>#25381</t>
  </si>
  <si>
    <t>Lù Văn Cơi</t>
  </si>
  <si>
    <t>#25382</t>
  </si>
  <si>
    <t>Hoàng Văn Huy</t>
  </si>
  <si>
    <t>#25400</t>
  </si>
  <si>
    <t>Hoàng Thị Thành</t>
  </si>
  <si>
    <t>#25401</t>
  </si>
  <si>
    <t>Hoàng Ngọc Toản</t>
  </si>
  <si>
    <t>#25402</t>
  </si>
  <si>
    <t>Kim Văn Huân</t>
  </si>
  <si>
    <t>#25417</t>
  </si>
  <si>
    <t>Ngô Thị Liễu</t>
  </si>
  <si>
    <t>#25418</t>
  </si>
  <si>
    <t>#25419</t>
  </si>
  <si>
    <t>#25420</t>
  </si>
  <si>
    <t>#25427</t>
  </si>
  <si>
    <t>#25428</t>
  </si>
  <si>
    <t>#25441</t>
  </si>
  <si>
    <t>#25494</t>
  </si>
  <si>
    <t>#25495</t>
  </si>
  <si>
    <t>#25529</t>
  </si>
  <si>
    <t>#25530</t>
  </si>
  <si>
    <t>#25588</t>
  </si>
  <si>
    <t>#25589</t>
  </si>
  <si>
    <t>Lưu Văn Hậu</t>
  </si>
  <si>
    <t>#25671</t>
  </si>
  <si>
    <t>#25672</t>
  </si>
  <si>
    <t>#25735</t>
  </si>
  <si>
    <t>Phan Văn Chung</t>
  </si>
  <si>
    <t>#25736</t>
  </si>
  <si>
    <t>#25751</t>
  </si>
  <si>
    <t>#25752</t>
  </si>
  <si>
    <t>Tạ Văn Sơn</t>
  </si>
  <si>
    <t>#25753</t>
  </si>
  <si>
    <t>#25766</t>
  </si>
  <si>
    <t>#25775</t>
  </si>
  <si>
    <t>#25776</t>
  </si>
  <si>
    <t>Vũ Ngọc Nga</t>
  </si>
  <si>
    <t>#25777</t>
  </si>
  <si>
    <t>#25786</t>
  </si>
  <si>
    <t>Phùng Gia Ngân</t>
  </si>
  <si>
    <t>#25787</t>
  </si>
  <si>
    <t>Mai Thị Hảo</t>
  </si>
  <si>
    <t>#25788</t>
  </si>
  <si>
    <t>Bùi Huy Khánh</t>
  </si>
  <si>
    <t>#25790</t>
  </si>
  <si>
    <t>Tống Phú Tân</t>
  </si>
  <si>
    <t>#25791</t>
  </si>
  <si>
    <t>Lê Thị Thoa</t>
  </si>
  <si>
    <t>#25792</t>
  </si>
  <si>
    <t>#25793</t>
  </si>
  <si>
    <t>Lê Văn Tuấn Anh</t>
  </si>
  <si>
    <t>#25816</t>
  </si>
  <si>
    <t>Phạm Văn Tài</t>
  </si>
  <si>
    <t>#25824</t>
  </si>
  <si>
    <t>Trần Văn Bình</t>
  </si>
  <si>
    <t>#25825</t>
  </si>
  <si>
    <t>Trần Thị Quế</t>
  </si>
  <si>
    <t>#25848</t>
  </si>
  <si>
    <t>#25878</t>
  </si>
  <si>
    <t>#25879</t>
  </si>
  <si>
    <t>Nguyễn Văn Tân</t>
  </si>
  <si>
    <t>#25880</t>
  </si>
  <si>
    <t>Hà Quốc Bình</t>
  </si>
  <si>
    <t>#25932</t>
  </si>
  <si>
    <t>Khổng Minh Trí</t>
  </si>
  <si>
    <t>#25933</t>
  </si>
  <si>
    <t>#25934</t>
  </si>
  <si>
    <t>Nguyễn Quốc Luyện</t>
  </si>
  <si>
    <t>#25940</t>
  </si>
  <si>
    <t>Hoàng Văn Xuyên</t>
  </si>
  <si>
    <t>#25972</t>
  </si>
  <si>
    <t>Phạm Văn Thông</t>
  </si>
  <si>
    <t>#25993</t>
  </si>
  <si>
    <t>#26019</t>
  </si>
  <si>
    <t>#26020</t>
  </si>
  <si>
    <t>#26036</t>
  </si>
  <si>
    <t>Hoàng Văn Tiến</t>
  </si>
  <si>
    <t>#26037</t>
  </si>
  <si>
    <t>Lưu Thị Vân</t>
  </si>
  <si>
    <t>#26081</t>
  </si>
  <si>
    <t>#26175</t>
  </si>
  <si>
    <t>Phạm Hồng Sơn</t>
  </si>
  <si>
    <t>#26176</t>
  </si>
  <si>
    <t>#26177</t>
  </si>
  <si>
    <t>#26247</t>
  </si>
  <si>
    <t>#26248</t>
  </si>
  <si>
    <t>#26261</t>
  </si>
  <si>
    <t>#26262</t>
  </si>
  <si>
    <t>Trần Hoàng Sơn</t>
  </si>
  <si>
    <t>#26273</t>
  </si>
  <si>
    <t>#26284</t>
  </si>
  <si>
    <t>Hà Văn Hiếu</t>
  </si>
  <si>
    <t>#26294</t>
  </si>
  <si>
    <t>#26295</t>
  </si>
  <si>
    <t>Dương Tiến Tâm</t>
  </si>
  <si>
    <t>#26301</t>
  </si>
  <si>
    <t>#26302</t>
  </si>
  <si>
    <t>#26325</t>
  </si>
  <si>
    <t>Cao Bá Kết</t>
  </si>
  <si>
    <t>#26353</t>
  </si>
  <si>
    <t>Nguyễn Thành Đạt</t>
  </si>
  <si>
    <t>#26357</t>
  </si>
  <si>
    <t>Phạm Đức Kiểm</t>
  </si>
  <si>
    <t>#26360</t>
  </si>
  <si>
    <t>#26377</t>
  </si>
  <si>
    <t>#26378</t>
  </si>
  <si>
    <t>#26397</t>
  </si>
  <si>
    <t>#26404</t>
  </si>
  <si>
    <t>#26412</t>
  </si>
  <si>
    <t>#26416</t>
  </si>
  <si>
    <t>#26431</t>
  </si>
  <si>
    <t>#26436</t>
  </si>
  <si>
    <t>#26439</t>
  </si>
  <si>
    <t>#26440</t>
  </si>
  <si>
    <t>#26461</t>
  </si>
  <si>
    <t>#26462</t>
  </si>
  <si>
    <t>Nguyễn Xuân Nam</t>
  </si>
  <si>
    <t>#26478</t>
  </si>
  <si>
    <t>#26479</t>
  </si>
  <si>
    <t>Dương Thế Anh</t>
  </si>
  <si>
    <t>#00135</t>
  </si>
  <si>
    <t>#00303</t>
  </si>
  <si>
    <t>#01846</t>
  </si>
  <si>
    <t>#02176</t>
  </si>
  <si>
    <t>#03685</t>
  </si>
  <si>
    <t>#03793</t>
  </si>
  <si>
    <t>#03960</t>
  </si>
  <si>
    <t>#04222</t>
  </si>
  <si>
    <t>#04461</t>
  </si>
  <si>
    <t>#05139</t>
  </si>
  <si>
    <t>#05617</t>
  </si>
  <si>
    <t>#06298</t>
  </si>
  <si>
    <t>#06431</t>
  </si>
  <si>
    <t>#06917</t>
  </si>
  <si>
    <t>Trần Thị Bích Thuỷ</t>
  </si>
  <si>
    <t>#07032</t>
  </si>
  <si>
    <t>#07258</t>
  </si>
  <si>
    <t>#07354</t>
  </si>
  <si>
    <t>#07365</t>
  </si>
  <si>
    <t>#07452</t>
  </si>
  <si>
    <t>#07454</t>
  </si>
  <si>
    <t>#07747</t>
  </si>
  <si>
    <t>#07792</t>
  </si>
  <si>
    <t>#07888</t>
  </si>
  <si>
    <t>#08075</t>
  </si>
  <si>
    <t>#08156</t>
  </si>
  <si>
    <t>#08371</t>
  </si>
  <si>
    <t>#08383</t>
  </si>
  <si>
    <t>Dương Hoàng Chung</t>
  </si>
  <si>
    <t>#08421</t>
  </si>
  <si>
    <t>#08495</t>
  </si>
  <si>
    <t>#08515</t>
  </si>
  <si>
    <t>#08924</t>
  </si>
  <si>
    <t>#09028</t>
  </si>
  <si>
    <t>#09146</t>
  </si>
  <si>
    <t>#09250</t>
  </si>
  <si>
    <t>#10307</t>
  </si>
  <si>
    <t>#10617</t>
  </si>
  <si>
    <t>#10683</t>
  </si>
  <si>
    <t>#10766</t>
  </si>
  <si>
    <t>#10886</t>
  </si>
  <si>
    <t>#11106</t>
  </si>
  <si>
    <t>#11272</t>
  </si>
  <si>
    <t>#12188</t>
  </si>
  <si>
    <t>#12190</t>
  </si>
  <si>
    <t>#12392</t>
  </si>
  <si>
    <t>#12986</t>
  </si>
  <si>
    <t>Lê Văn Vũ</t>
  </si>
  <si>
    <t>#13354</t>
  </si>
  <si>
    <t>Dương Huy Lộc</t>
  </si>
  <si>
    <t>#13455</t>
  </si>
  <si>
    <t>#13458</t>
  </si>
  <si>
    <t>Ngô Văn Thơ</t>
  </si>
  <si>
    <t>#13611</t>
  </si>
  <si>
    <t>#13639</t>
  </si>
  <si>
    <t>#13641</t>
  </si>
  <si>
    <t>Vương Lệ Thùy</t>
  </si>
  <si>
    <t>#14413</t>
  </si>
  <si>
    <t>#14414</t>
  </si>
  <si>
    <t>Lại Thị Tuyến</t>
  </si>
  <si>
    <t>#15034</t>
  </si>
  <si>
    <t>#15295</t>
  </si>
  <si>
    <t>#15521</t>
  </si>
  <si>
    <t>#15896</t>
  </si>
  <si>
    <t>Nguyễn Thị Thu Hòe</t>
  </si>
  <si>
    <t>#15988</t>
  </si>
  <si>
    <t>#16021</t>
  </si>
  <si>
    <t>#16027</t>
  </si>
  <si>
    <t>#16262</t>
  </si>
  <si>
    <t>Vũ Đức Tiệp</t>
  </si>
  <si>
    <t>#16525</t>
  </si>
  <si>
    <t>Phạm Ngọc Hùng</t>
  </si>
  <si>
    <t>#16792</t>
  </si>
  <si>
    <t>Hoàng Khắc Chiến</t>
  </si>
  <si>
    <t>#16897</t>
  </si>
  <si>
    <t>#16898</t>
  </si>
  <si>
    <t>Nguyễn Thị Vượng</t>
  </si>
  <si>
    <t>#17106</t>
  </si>
  <si>
    <t>Nguyễn Anh Tú</t>
  </si>
  <si>
    <t>#17324</t>
  </si>
  <si>
    <t>#17330</t>
  </si>
  <si>
    <t>#17755</t>
  </si>
  <si>
    <t>#17756</t>
  </si>
  <si>
    <t>#17783</t>
  </si>
  <si>
    <t>#17818</t>
  </si>
  <si>
    <t>#17905</t>
  </si>
  <si>
    <t>#17907</t>
  </si>
  <si>
    <t>#18392</t>
  </si>
  <si>
    <t>#18426</t>
  </si>
  <si>
    <t>#18454</t>
  </si>
  <si>
    <t>#18846</t>
  </si>
  <si>
    <t>#19038</t>
  </si>
  <si>
    <t>#19151</t>
  </si>
  <si>
    <t>#19249</t>
  </si>
  <si>
    <t>#19252</t>
  </si>
  <si>
    <t>#19328</t>
  </si>
  <si>
    <t>La Văn Hinh</t>
  </si>
  <si>
    <t>#19337</t>
  </si>
  <si>
    <t>#19466</t>
  </si>
  <si>
    <t>#19572</t>
  </si>
  <si>
    <t>#19650</t>
  </si>
  <si>
    <t>#19844</t>
  </si>
  <si>
    <t>#19940</t>
  </si>
  <si>
    <t>Nguyễn Đức Hiệp</t>
  </si>
  <si>
    <t>#19942</t>
  </si>
  <si>
    <t>#20050</t>
  </si>
  <si>
    <t>#20218</t>
  </si>
  <si>
    <t>Lương Văn Tĩnh</t>
  </si>
  <si>
    <t>#20309</t>
  </si>
  <si>
    <t>#20407</t>
  </si>
  <si>
    <t>#20412</t>
  </si>
  <si>
    <t>#20503</t>
  </si>
  <si>
    <t>#20615</t>
  </si>
  <si>
    <t>#20839</t>
  </si>
  <si>
    <t>#21159</t>
  </si>
  <si>
    <t>Nguyễn Thanh Thiết</t>
  </si>
  <si>
    <t>#21164</t>
  </si>
  <si>
    <t>#21209</t>
  </si>
  <si>
    <t>#21210</t>
  </si>
  <si>
    <t>#21297</t>
  </si>
  <si>
    <t>Lê Văn Định</t>
  </si>
  <si>
    <t>#21520</t>
  </si>
  <si>
    <t>#21522</t>
  </si>
  <si>
    <t>Lê Diên Xuân</t>
  </si>
  <si>
    <t>#21525</t>
  </si>
  <si>
    <t>Vũ Hoài Nam</t>
  </si>
  <si>
    <t>#21618</t>
  </si>
  <si>
    <t>#21643</t>
  </si>
  <si>
    <t>Nguyễn Thị Thuý Ngần</t>
  </si>
  <si>
    <t>#21644</t>
  </si>
  <si>
    <t>#21740</t>
  </si>
  <si>
    <t>Vũ Hồng Quân</t>
  </si>
  <si>
    <t>#21762</t>
  </si>
  <si>
    <t>Hoàng Trọng Tuân</t>
  </si>
  <si>
    <t>#21926</t>
  </si>
  <si>
    <t>#21928</t>
  </si>
  <si>
    <t>#24512</t>
  </si>
  <si>
    <t>Đỗ Cao Dũng</t>
  </si>
  <si>
    <t>#24515</t>
  </si>
  <si>
    <t>Kim Văn Tập</t>
  </si>
  <si>
    <t>#24516</t>
  </si>
  <si>
    <t>Lê Đức Anh</t>
  </si>
  <si>
    <t>#24518</t>
  </si>
  <si>
    <t>Nguyễn Ngọc Đạt</t>
  </si>
  <si>
    <t>#24520</t>
  </si>
  <si>
    <t>#24521</t>
  </si>
  <si>
    <t>#24527</t>
  </si>
  <si>
    <t>#02451</t>
  </si>
  <si>
    <t>#02519</t>
  </si>
  <si>
    <t>#07202</t>
  </si>
  <si>
    <t>#10018</t>
  </si>
  <si>
    <t>#14411</t>
  </si>
  <si>
    <t>#02485</t>
  </si>
  <si>
    <t>#05057</t>
  </si>
  <si>
    <t>#06145</t>
  </si>
  <si>
    <t>#06302</t>
  </si>
  <si>
    <t>#06829</t>
  </si>
  <si>
    <t>#06832</t>
  </si>
  <si>
    <t>Ngô Bá Hùng</t>
  </si>
  <si>
    <t>#07748</t>
  </si>
  <si>
    <t>#08017</t>
  </si>
  <si>
    <t>#14660</t>
  </si>
  <si>
    <t>Hảng A Dình</t>
  </si>
  <si>
    <t>#00200</t>
  </si>
  <si>
    <t>#01312</t>
  </si>
  <si>
    <t>#03285</t>
  </si>
  <si>
    <t>#04257</t>
  </si>
  <si>
    <t>#04694</t>
  </si>
  <si>
    <t>#08342</t>
  </si>
  <si>
    <t>#08909</t>
  </si>
  <si>
    <t>#11100</t>
  </si>
  <si>
    <t>#11588</t>
  </si>
  <si>
    <t>#12994</t>
  </si>
  <si>
    <t>#17123</t>
  </si>
  <si>
    <t>#17321</t>
  </si>
  <si>
    <t>#06742</t>
  </si>
  <si>
    <t>#08118</t>
  </si>
  <si>
    <t>#11993</t>
  </si>
  <si>
    <t>#17028</t>
  </si>
  <si>
    <t>#19036</t>
  </si>
  <si>
    <t>Ngô Khánh Trình</t>
  </si>
  <si>
    <t>#00684</t>
  </si>
  <si>
    <t>#02309</t>
  </si>
  <si>
    <t>#04686</t>
  </si>
  <si>
    <t>#05095</t>
  </si>
  <si>
    <t>#06864</t>
  </si>
  <si>
    <t>#06926</t>
  </si>
  <si>
    <t>#07062</t>
  </si>
  <si>
    <t>#08434</t>
  </si>
  <si>
    <t>#08496</t>
  </si>
  <si>
    <t>#09761</t>
  </si>
  <si>
    <t>#10148</t>
  </si>
  <si>
    <t>#10902</t>
  </si>
  <si>
    <t>#14346</t>
  </si>
  <si>
    <t>#16893</t>
  </si>
  <si>
    <t>#17329</t>
  </si>
  <si>
    <t>#00734</t>
  </si>
  <si>
    <t>#02524</t>
  </si>
  <si>
    <t>#04233</t>
  </si>
  <si>
    <t>Hoàng Văn Toán</t>
  </si>
  <si>
    <t>#05050</t>
  </si>
  <si>
    <t>Nguyễn Sỹ Hùng</t>
  </si>
  <si>
    <t>#06121</t>
  </si>
  <si>
    <t>#06315</t>
  </si>
  <si>
    <t>Nguyễn Vũ Bình</t>
  </si>
  <si>
    <t>#09208</t>
  </si>
  <si>
    <t>#09582</t>
  </si>
  <si>
    <t>#09958</t>
  </si>
  <si>
    <t>Hà Duy Lâm</t>
  </si>
  <si>
    <t>#10973</t>
  </si>
  <si>
    <t>#12013</t>
  </si>
  <si>
    <t>#12022</t>
  </si>
  <si>
    <t>#12315</t>
  </si>
  <si>
    <t>#12766</t>
  </si>
  <si>
    <t>#14972</t>
  </si>
  <si>
    <t>#14974</t>
  </si>
  <si>
    <t>#15332</t>
  </si>
  <si>
    <t>#15394</t>
  </si>
  <si>
    <t>#15457</t>
  </si>
  <si>
    <t>#15461</t>
  </si>
  <si>
    <t>#15499</t>
  </si>
  <si>
    <t>#15550</t>
  </si>
  <si>
    <t>#15568</t>
  </si>
  <si>
    <t>#16063</t>
  </si>
  <si>
    <t>Đặng Văn Giáp</t>
  </si>
  <si>
    <t>#16162</t>
  </si>
  <si>
    <t>#16203</t>
  </si>
  <si>
    <t>#16476</t>
  </si>
  <si>
    <t>#16657</t>
  </si>
  <si>
    <t>#16758</t>
  </si>
  <si>
    <t>#17218</t>
  </si>
  <si>
    <t>#17252</t>
  </si>
  <si>
    <t>#17285</t>
  </si>
  <si>
    <t>#17289</t>
  </si>
  <si>
    <t>#17692</t>
  </si>
  <si>
    <t>#18023</t>
  </si>
  <si>
    <t>#18092</t>
  </si>
  <si>
    <t>#18094</t>
  </si>
  <si>
    <t>#18124</t>
  </si>
  <si>
    <t>#18190</t>
  </si>
  <si>
    <t>#18220</t>
  </si>
  <si>
    <t>#18418</t>
  </si>
  <si>
    <t>#18446</t>
  </si>
  <si>
    <t>#18726</t>
  </si>
  <si>
    <t>#18811</t>
  </si>
  <si>
    <t>#18816</t>
  </si>
  <si>
    <t>#19089</t>
  </si>
  <si>
    <t>#19215</t>
  </si>
  <si>
    <t>#19226</t>
  </si>
  <si>
    <t>#19263</t>
  </si>
  <si>
    <t>#19890</t>
  </si>
  <si>
    <t>#19972</t>
  </si>
  <si>
    <t>#20153</t>
  </si>
  <si>
    <t>#20390</t>
  </si>
  <si>
    <t>#21738</t>
  </si>
  <si>
    <t>#21857</t>
  </si>
  <si>
    <t>#22061</t>
  </si>
  <si>
    <t>#22128</t>
  </si>
  <si>
    <t>#22286</t>
  </si>
  <si>
    <t>#22345</t>
  </si>
  <si>
    <t>La Văn Vũ</t>
  </si>
  <si>
    <t>#22480</t>
  </si>
  <si>
    <t>Nguyễn Bá Chính</t>
  </si>
  <si>
    <t>#22538</t>
  </si>
  <si>
    <t>#22603</t>
  </si>
  <si>
    <t>#22913</t>
  </si>
  <si>
    <t>Ma Công Dủng</t>
  </si>
  <si>
    <t>#23116</t>
  </si>
  <si>
    <t>Nguyễn Duy Thế</t>
  </si>
  <si>
    <t>#23366</t>
  </si>
  <si>
    <t>#23434</t>
  </si>
  <si>
    <t>#23478</t>
  </si>
  <si>
    <t>Phạm Văn Quý</t>
  </si>
  <si>
    <t>#23572</t>
  </si>
  <si>
    <t>#23575</t>
  </si>
  <si>
    <t>Hà Văn Hào</t>
  </si>
  <si>
    <t>#23677</t>
  </si>
  <si>
    <t>Thào A Hú</t>
  </si>
  <si>
    <t>#23679</t>
  </si>
  <si>
    <t>#23777</t>
  </si>
  <si>
    <t>Hảng Seo Hòa</t>
  </si>
  <si>
    <t>#23816</t>
  </si>
  <si>
    <t>#23917</t>
  </si>
  <si>
    <t>Ly Seo Giàng</t>
  </si>
  <si>
    <t>#23952</t>
  </si>
  <si>
    <t>#23955</t>
  </si>
  <si>
    <t>#23959</t>
  </si>
  <si>
    <t>#23967</t>
  </si>
  <si>
    <t>#23975</t>
  </si>
  <si>
    <t>#24126</t>
  </si>
  <si>
    <t>Bàn Văn Phúc</t>
  </si>
  <si>
    <t>#24128</t>
  </si>
  <si>
    <t>Cháng Văn Cương</t>
  </si>
  <si>
    <t>#24135</t>
  </si>
  <si>
    <t>#24140</t>
  </si>
  <si>
    <t>Nghiêm Xuân Kiên</t>
  </si>
  <si>
    <t>#24147</t>
  </si>
  <si>
    <t>#24152</t>
  </si>
  <si>
    <t>#24156</t>
  </si>
  <si>
    <t>#24157</t>
  </si>
  <si>
    <t>Phan Văn Quang</t>
  </si>
  <si>
    <t>#24426</t>
  </si>
  <si>
    <t>#24427</t>
  </si>
  <si>
    <t>#24428</t>
  </si>
  <si>
    <t>Tạ Thị Hương Dịu</t>
  </si>
  <si>
    <t>#24432</t>
  </si>
  <si>
    <t>Đỗ Văn Dũng</t>
  </si>
  <si>
    <t>#24438</t>
  </si>
  <si>
    <t>#24440</t>
  </si>
  <si>
    <t>#24442</t>
  </si>
  <si>
    <t>#24621</t>
  </si>
  <si>
    <t>#24631</t>
  </si>
  <si>
    <t>#24647</t>
  </si>
  <si>
    <t>Hà Văn Anh</t>
  </si>
  <si>
    <t>#24648</t>
  </si>
  <si>
    <t>#24650</t>
  </si>
  <si>
    <t>Bàn Văn Chiến</t>
  </si>
  <si>
    <t>#24652</t>
  </si>
  <si>
    <t>Ngô Kim Sơn</t>
  </si>
  <si>
    <t>#24653</t>
  </si>
  <si>
    <t>#24691</t>
  </si>
  <si>
    <t>#24721</t>
  </si>
  <si>
    <t>Lê Quang Minh</t>
  </si>
  <si>
    <t>#24723</t>
  </si>
  <si>
    <t>Tôn Mạnh Tuấn</t>
  </si>
  <si>
    <t>#24728</t>
  </si>
  <si>
    <t>#24736</t>
  </si>
  <si>
    <t>Đỗ Phương Nam</t>
  </si>
  <si>
    <t>#24737</t>
  </si>
  <si>
    <t>#24738</t>
  </si>
  <si>
    <t>#24739</t>
  </si>
  <si>
    <t>Hoàng Ngọc Thái</t>
  </si>
  <si>
    <t>#24740</t>
  </si>
  <si>
    <t>Sùng A Lau</t>
  </si>
  <si>
    <t>#24742</t>
  </si>
  <si>
    <t>#24745</t>
  </si>
  <si>
    <t>Trần Văn Tuyến</t>
  </si>
  <si>
    <t>#24748</t>
  </si>
  <si>
    <t>Nguyễn Thị Kim Lệ</t>
  </si>
  <si>
    <t>#24768</t>
  </si>
  <si>
    <t>Trần Thành Công</t>
  </si>
  <si>
    <t>#25041</t>
  </si>
  <si>
    <t>Vũ Văn Chung</t>
  </si>
  <si>
    <t>#25042</t>
  </si>
  <si>
    <t>Khổng Duy Tuyên</t>
  </si>
  <si>
    <t>#25044</t>
  </si>
  <si>
    <t>Nguyễn Hữu Anh</t>
  </si>
  <si>
    <t>#25045</t>
  </si>
  <si>
    <t>#25080</t>
  </si>
  <si>
    <t>Phan Thế Cường</t>
  </si>
  <si>
    <t>#25081</t>
  </si>
  <si>
    <t>Chu Văn Sơn</t>
  </si>
  <si>
    <t>#25082</t>
  </si>
  <si>
    <t>Hà Xuân Định</t>
  </si>
  <si>
    <t>#25083</t>
  </si>
  <si>
    <t>Phùng Mạnh Hà</t>
  </si>
  <si>
    <t>#25084</t>
  </si>
  <si>
    <t>#25085</t>
  </si>
  <si>
    <t>Trần Văn Kim</t>
  </si>
  <si>
    <t>#25086</t>
  </si>
  <si>
    <t>#25087</t>
  </si>
  <si>
    <t>#25088</t>
  </si>
  <si>
    <t>#25125</t>
  </si>
  <si>
    <t>026205000133</t>
  </si>
  <si>
    <t>#25454</t>
  </si>
  <si>
    <t>Trần Thị Dân</t>
  </si>
  <si>
    <t>#25456</t>
  </si>
  <si>
    <t>#25457</t>
  </si>
  <si>
    <t>#25458</t>
  </si>
  <si>
    <t>#25459</t>
  </si>
  <si>
    <t>#25526</t>
  </si>
  <si>
    <t>#25527</t>
  </si>
  <si>
    <t>#25549</t>
  </si>
  <si>
    <t>#25550</t>
  </si>
  <si>
    <t>Sấn Văn Dương</t>
  </si>
  <si>
    <t>#25578</t>
  </si>
  <si>
    <t>#25579</t>
  </si>
  <si>
    <t>#25635</t>
  </si>
  <si>
    <t>#25664</t>
  </si>
  <si>
    <t>#25665</t>
  </si>
  <si>
    <t>Lương Văn Hoàng</t>
  </si>
  <si>
    <t>#25942</t>
  </si>
  <si>
    <t>#25944</t>
  </si>
  <si>
    <t>#26042</t>
  </si>
  <si>
    <t>#26097</t>
  </si>
  <si>
    <t>#26449</t>
  </si>
  <si>
    <t>#26458</t>
  </si>
  <si>
    <t>#26468</t>
  </si>
  <si>
    <t>#26482</t>
  </si>
  <si>
    <t>#00121</t>
  </si>
  <si>
    <t>#00596</t>
  </si>
  <si>
    <t>#00688</t>
  </si>
  <si>
    <t>#01835</t>
  </si>
  <si>
    <t>#02340</t>
  </si>
  <si>
    <t>#03565</t>
  </si>
  <si>
    <t>#04272</t>
  </si>
  <si>
    <t>#04273</t>
  </si>
  <si>
    <t>#04366</t>
  </si>
  <si>
    <t>#04707</t>
  </si>
  <si>
    <t>#06674</t>
  </si>
  <si>
    <t>#07038</t>
  </si>
  <si>
    <t>#07799</t>
  </si>
  <si>
    <t>#07857</t>
  </si>
  <si>
    <t>#08142</t>
  </si>
  <si>
    <t>#08146</t>
  </si>
  <si>
    <t>#08799</t>
  </si>
  <si>
    <t>#09458</t>
  </si>
  <si>
    <t>#09721</t>
  </si>
  <si>
    <t>#12111</t>
  </si>
  <si>
    <t>#12886</t>
  </si>
  <si>
    <t>#14689</t>
  </si>
  <si>
    <t>#15069</t>
  </si>
  <si>
    <t>#15582</t>
  </si>
  <si>
    <t>#15583</t>
  </si>
  <si>
    <t>Lê Văn Chức</t>
  </si>
  <si>
    <t>#15751</t>
  </si>
  <si>
    <t>#16656</t>
  </si>
  <si>
    <t>#16698</t>
  </si>
  <si>
    <t>Phùng Khắc Biên</t>
  </si>
  <si>
    <t>#16831</t>
  </si>
  <si>
    <t>#16938</t>
  </si>
  <si>
    <t>#17125</t>
  </si>
  <si>
    <t>#17161</t>
  </si>
  <si>
    <t>#17251</t>
  </si>
  <si>
    <t>#17255</t>
  </si>
  <si>
    <t>#17281</t>
  </si>
  <si>
    <t>#17291</t>
  </si>
  <si>
    <t>#17292</t>
  </si>
  <si>
    <t>#17428</t>
  </si>
  <si>
    <t>#17429</t>
  </si>
  <si>
    <t>#17613</t>
  </si>
  <si>
    <t>#17695</t>
  </si>
  <si>
    <t>#17796</t>
  </si>
  <si>
    <t>#18090</t>
  </si>
  <si>
    <t>#18091</t>
  </si>
  <si>
    <t>#18185</t>
  </si>
  <si>
    <t>#18189</t>
  </si>
  <si>
    <t>#18196</t>
  </si>
  <si>
    <t>#18225</t>
  </si>
  <si>
    <t>#18302</t>
  </si>
  <si>
    <t>Trần Doãn Nam</t>
  </si>
  <si>
    <t>#18658</t>
  </si>
  <si>
    <t>#18679</t>
  </si>
  <si>
    <t>#18720</t>
  </si>
  <si>
    <t>#18725</t>
  </si>
  <si>
    <t>#19140</t>
  </si>
  <si>
    <t>#19724</t>
  </si>
  <si>
    <t>#19728</t>
  </si>
  <si>
    <t>#20234</t>
  </si>
  <si>
    <t>#20442</t>
  </si>
  <si>
    <t>#20909</t>
  </si>
  <si>
    <t>#20915</t>
  </si>
  <si>
    <t>Hoàng Thị Chiêm</t>
  </si>
  <si>
    <t>#21100</t>
  </si>
  <si>
    <t>#21109</t>
  </si>
  <si>
    <t>#21189</t>
  </si>
  <si>
    <t>#21319</t>
  </si>
  <si>
    <t>#21325</t>
  </si>
  <si>
    <t>Vũ Quang Thạch</t>
  </si>
  <si>
    <t>#21397</t>
  </si>
  <si>
    <t>Nguyễn Văn Vân</t>
  </si>
  <si>
    <t>#21737</t>
  </si>
  <si>
    <t>#21822</t>
  </si>
  <si>
    <t>Trần Trọng Vinh</t>
  </si>
  <si>
    <t>#21826</t>
  </si>
  <si>
    <t>Đỗ Văn Liêm</t>
  </si>
  <si>
    <t>#21972</t>
  </si>
  <si>
    <t>#21973</t>
  </si>
  <si>
    <t>#21976</t>
  </si>
  <si>
    <t>#21985</t>
  </si>
  <si>
    <t>#22127</t>
  </si>
  <si>
    <t>#22213</t>
  </si>
  <si>
    <t>#22216</t>
  </si>
  <si>
    <t>#22218</t>
  </si>
  <si>
    <t>#22223</t>
  </si>
  <si>
    <t>#22224</t>
  </si>
  <si>
    <t>Vàng A Trở</t>
  </si>
  <si>
    <t>#22227</t>
  </si>
  <si>
    <t>#22368</t>
  </si>
  <si>
    <t>#22374</t>
  </si>
  <si>
    <t>#22377</t>
  </si>
  <si>
    <t>Trần Duy Hợp</t>
  </si>
  <si>
    <t>#22378</t>
  </si>
  <si>
    <t>Trần Văn An</t>
  </si>
  <si>
    <t>#22733</t>
  </si>
  <si>
    <t>#22777</t>
  </si>
  <si>
    <t>#22784</t>
  </si>
  <si>
    <t>#22859</t>
  </si>
  <si>
    <t>Nông Xuân Lộc</t>
  </si>
  <si>
    <t>#23084</t>
  </si>
  <si>
    <t>#23094</t>
  </si>
  <si>
    <t>Trần Văn Anh</t>
  </si>
  <si>
    <t>#23097</t>
  </si>
  <si>
    <t>Vàng A Sinh</t>
  </si>
  <si>
    <t>#23198</t>
  </si>
  <si>
    <t>#23202</t>
  </si>
  <si>
    <t>#23203</t>
  </si>
  <si>
    <t>#23205</t>
  </si>
  <si>
    <t>Lý Văn Điển</t>
  </si>
  <si>
    <t>#23438</t>
  </si>
  <si>
    <t>#23448</t>
  </si>
  <si>
    <t>Nông Văn Sứ</t>
  </si>
  <si>
    <t>#23577</t>
  </si>
  <si>
    <t>#23612</t>
  </si>
  <si>
    <t>#23668</t>
  </si>
  <si>
    <t>#23675</t>
  </si>
  <si>
    <t>#23678</t>
  </si>
  <si>
    <t>Hoàng Văn Hoằng</t>
  </si>
  <si>
    <t>#23856</t>
  </si>
  <si>
    <t>#23859</t>
  </si>
  <si>
    <t>Nông Văn Mạnh</t>
  </si>
  <si>
    <t>#23860</t>
  </si>
  <si>
    <t>Vàng Seo Leng</t>
  </si>
  <si>
    <t>#23871</t>
  </si>
  <si>
    <t>Phùng Xuân Minh</t>
  </si>
  <si>
    <t>#23886</t>
  </si>
  <si>
    <t>#23892</t>
  </si>
  <si>
    <t>Cao Xuân Nam</t>
  </si>
  <si>
    <t>#23893</t>
  </si>
  <si>
    <t>#23913</t>
  </si>
  <si>
    <t>Nguyễn Trung Toản</t>
  </si>
  <si>
    <t>#23942</t>
  </si>
  <si>
    <t>Bùi Văn Tư</t>
  </si>
  <si>
    <t>#23944</t>
  </si>
  <si>
    <t>#23945</t>
  </si>
  <si>
    <t>#23947</t>
  </si>
  <si>
    <t>Hà Văn Lộc</t>
  </si>
  <si>
    <t>#23948</t>
  </si>
  <si>
    <t>#23950</t>
  </si>
  <si>
    <t>#23956</t>
  </si>
  <si>
    <t>#23957</t>
  </si>
  <si>
    <t>#23958</t>
  </si>
  <si>
    <t>#23961</t>
  </si>
  <si>
    <t>Khổng Trọng Bình</t>
  </si>
  <si>
    <t>#23970</t>
  </si>
  <si>
    <t>#23977</t>
  </si>
  <si>
    <t>#23979</t>
  </si>
  <si>
    <t>Phạm Thị Hải</t>
  </si>
  <si>
    <t>#23980</t>
  </si>
  <si>
    <t>#23989</t>
  </si>
  <si>
    <t>Tráng Seo Thanh</t>
  </si>
  <si>
    <t>#24021</t>
  </si>
  <si>
    <t>Phùng Quang Linh</t>
  </si>
  <si>
    <t>#24024</t>
  </si>
  <si>
    <t>Hoàng Phi Nam</t>
  </si>
  <si>
    <t>#24026</t>
  </si>
  <si>
    <t>Nghiêm Văn Sơn</t>
  </si>
  <si>
    <t>#24148</t>
  </si>
  <si>
    <t>#24149</t>
  </si>
  <si>
    <t>#24150</t>
  </si>
  <si>
    <t>#24155</t>
  </si>
  <si>
    <t>Phạm Văn Hải</t>
  </si>
  <si>
    <t>#24429</t>
  </si>
  <si>
    <t>#24431</t>
  </si>
  <si>
    <t>Đinh Văn Triệu</t>
  </si>
  <si>
    <t>#24433</t>
  </si>
  <si>
    <t>Đỗ Văn Trí</t>
  </si>
  <si>
    <t>#24434</t>
  </si>
  <si>
    <t>#24437</t>
  </si>
  <si>
    <t>#24441</t>
  </si>
  <si>
    <t>Đỗ Duy Quyền</t>
  </si>
  <si>
    <t>#24444</t>
  </si>
  <si>
    <t>Phạm Văn Hoàng</t>
  </si>
  <si>
    <t>#24618</t>
  </si>
  <si>
    <t>#24619</t>
  </si>
  <si>
    <t>#24622</t>
  </si>
  <si>
    <t>Phùng Văn Thắng</t>
  </si>
  <si>
    <t>#24626</t>
  </si>
  <si>
    <t>#24627</t>
  </si>
  <si>
    <t>Hoàng Văn Ấn</t>
  </si>
  <si>
    <t>#24628</t>
  </si>
  <si>
    <t>#24629</t>
  </si>
  <si>
    <t>#24630</t>
  </si>
  <si>
    <t>#24651</t>
  </si>
  <si>
    <t>#04035</t>
  </si>
  <si>
    <t>#04276</t>
  </si>
  <si>
    <t>#04926</t>
  </si>
  <si>
    <t>#12432</t>
  </si>
  <si>
    <t>Nguyễn Văn Kỷ</t>
  </si>
  <si>
    <t>#15914</t>
  </si>
  <si>
    <t>#17288</t>
  </si>
  <si>
    <t>#17693</t>
  </si>
  <si>
    <t>#19975</t>
  </si>
  <si>
    <t>#20638</t>
  </si>
  <si>
    <t>#21333</t>
  </si>
  <si>
    <t>Vũ Thị Anh</t>
  </si>
  <si>
    <t>#23437</t>
  </si>
  <si>
    <t>Nguyễn Xuân Hoàng</t>
  </si>
  <si>
    <t>#24526</t>
  </si>
  <si>
    <t>Hoàng Thị Hiền</t>
  </si>
  <si>
    <t>#00140</t>
  </si>
  <si>
    <t>#00193</t>
  </si>
  <si>
    <t>#00607</t>
  </si>
  <si>
    <t>#01078</t>
  </si>
  <si>
    <t>#01260</t>
  </si>
  <si>
    <t>#01479</t>
  </si>
  <si>
    <t>#04351</t>
  </si>
  <si>
    <t>#09723</t>
  </si>
  <si>
    <t>#09946</t>
  </si>
  <si>
    <t>#12017</t>
  </si>
  <si>
    <t>#17696</t>
  </si>
  <si>
    <t>#18177</t>
  </si>
  <si>
    <t>Đặng Thị Lan Anh</t>
  </si>
  <si>
    <t>#22425</t>
  </si>
  <si>
    <t>#23433</t>
  </si>
  <si>
    <t>Bùi Thị Tuyến</t>
  </si>
  <si>
    <t>#24027</t>
  </si>
  <si>
    <t>#24430</t>
  </si>
  <si>
    <t>#00853</t>
  </si>
  <si>
    <t>#04226</t>
  </si>
  <si>
    <t>#07814</t>
  </si>
  <si>
    <t>#08620</t>
  </si>
  <si>
    <t>#10632</t>
  </si>
  <si>
    <t>Hà Văn Chiến</t>
  </si>
  <si>
    <t>#12887</t>
  </si>
  <si>
    <t>#00535</t>
  </si>
  <si>
    <t>#00572</t>
  </si>
  <si>
    <t>#00737</t>
  </si>
  <si>
    <t>#00762</t>
  </si>
  <si>
    <t>#00849</t>
  </si>
  <si>
    <t>Nguyễn Anh Đức</t>
  </si>
  <si>
    <t>#00996</t>
  </si>
  <si>
    <t>#01286</t>
  </si>
  <si>
    <t>#01448</t>
  </si>
  <si>
    <t>#01788</t>
  </si>
  <si>
    <t>#02401</t>
  </si>
  <si>
    <t>#02754</t>
  </si>
  <si>
    <t>#02951</t>
  </si>
  <si>
    <t>#03079</t>
  </si>
  <si>
    <t>#03184</t>
  </si>
  <si>
    <t>#03366</t>
  </si>
  <si>
    <t>#03372</t>
  </si>
  <si>
    <t>#03373</t>
  </si>
  <si>
    <t>#03851</t>
  </si>
  <si>
    <t>#04404</t>
  </si>
  <si>
    <t>#04880</t>
  </si>
  <si>
    <t>#05420</t>
  </si>
  <si>
    <t>#05605</t>
  </si>
  <si>
    <t>#05754</t>
  </si>
  <si>
    <t>#05848</t>
  </si>
  <si>
    <t>#05863</t>
  </si>
  <si>
    <t>#05953</t>
  </si>
  <si>
    <t>#07342</t>
  </si>
  <si>
    <t>#07556</t>
  </si>
  <si>
    <t>Vũ Ngọc Duy</t>
  </si>
  <si>
    <t>#08248</t>
  </si>
  <si>
    <t>#08292</t>
  </si>
  <si>
    <t>Lương Xuân Sang</t>
  </si>
  <si>
    <t>#08739</t>
  </si>
  <si>
    <t>#09084</t>
  </si>
  <si>
    <t>#09088</t>
  </si>
  <si>
    <t>#09341</t>
  </si>
  <si>
    <t>#11155</t>
  </si>
  <si>
    <t>#11599</t>
  </si>
  <si>
    <t>#12229</t>
  </si>
  <si>
    <t>#13291</t>
  </si>
  <si>
    <t>#13548</t>
  </si>
  <si>
    <t>#14181</t>
  </si>
  <si>
    <t>#14397</t>
  </si>
  <si>
    <t>#14694</t>
  </si>
  <si>
    <t>#14929</t>
  </si>
  <si>
    <t>#14948</t>
  </si>
  <si>
    <t>#15117</t>
  </si>
  <si>
    <t>#15119</t>
  </si>
  <si>
    <t>#15123</t>
  </si>
  <si>
    <t>#15126</t>
  </si>
  <si>
    <t>#15368</t>
  </si>
  <si>
    <t>#15369</t>
  </si>
  <si>
    <t>#15371</t>
  </si>
  <si>
    <t>#15709</t>
  </si>
  <si>
    <t>#15971</t>
  </si>
  <si>
    <t>#15973</t>
  </si>
  <si>
    <t>#16069</t>
  </si>
  <si>
    <t>#16302</t>
  </si>
  <si>
    <t>#16305</t>
  </si>
  <si>
    <t>#17473</t>
  </si>
  <si>
    <t>#17482</t>
  </si>
  <si>
    <t>#18420</t>
  </si>
  <si>
    <t>Nguyễn Thế Thanh</t>
  </si>
  <si>
    <t>#18587</t>
  </si>
  <si>
    <t>#18821</t>
  </si>
  <si>
    <t>#18983</t>
  </si>
  <si>
    <t>#19292</t>
  </si>
  <si>
    <t>#19307</t>
  </si>
  <si>
    <t>#19487</t>
  </si>
  <si>
    <t>Nguyễn Thành Trung</t>
  </si>
  <si>
    <t>#20263</t>
  </si>
  <si>
    <t>#20266</t>
  </si>
  <si>
    <t>Đỗ Việt Hoàng</t>
  </si>
  <si>
    <t>#20464</t>
  </si>
  <si>
    <t>Trần Đức Vấn</t>
  </si>
  <si>
    <t>#20681</t>
  </si>
  <si>
    <t>#20845</t>
  </si>
  <si>
    <t>#21622</t>
  </si>
  <si>
    <t>#22531</t>
  </si>
  <si>
    <t>#22532</t>
  </si>
  <si>
    <t>#22533</t>
  </si>
  <si>
    <t>#22674</t>
  </si>
  <si>
    <t>#22894</t>
  </si>
  <si>
    <t>#26393</t>
  </si>
  <si>
    <t>#26426</t>
  </si>
  <si>
    <t>Phan Văn Đương</t>
  </si>
  <si>
    <t>#26442</t>
  </si>
  <si>
    <t>#01246</t>
  </si>
  <si>
    <t>#01884</t>
  </si>
  <si>
    <t>#02279</t>
  </si>
  <si>
    <t>#02694</t>
  </si>
  <si>
    <t>#03139</t>
  </si>
  <si>
    <t>#03146</t>
  </si>
  <si>
    <t>#03171</t>
  </si>
  <si>
    <t>#03464</t>
  </si>
  <si>
    <t>#03697</t>
  </si>
  <si>
    <t>#03745</t>
  </si>
  <si>
    <t>#03937</t>
  </si>
  <si>
    <t>#04203</t>
  </si>
  <si>
    <t>#04316</t>
  </si>
  <si>
    <t>#04584</t>
  </si>
  <si>
    <t>#04706</t>
  </si>
  <si>
    <t>#04927</t>
  </si>
  <si>
    <t>#04933</t>
  </si>
  <si>
    <t>Trương Văn Mạnh</t>
  </si>
  <si>
    <t>#05079</t>
  </si>
  <si>
    <t>#05714</t>
  </si>
  <si>
    <t>#05919</t>
  </si>
  <si>
    <t>#06285</t>
  </si>
  <si>
    <t>#06501</t>
  </si>
  <si>
    <t>#06876</t>
  </si>
  <si>
    <t>#06900</t>
  </si>
  <si>
    <t>#06904</t>
  </si>
  <si>
    <t>#06959</t>
  </si>
  <si>
    <t>#07007</t>
  </si>
  <si>
    <t>Kiều Thị Tình</t>
  </si>
  <si>
    <t>#07120</t>
  </si>
  <si>
    <t>#07245</t>
  </si>
  <si>
    <t>#07331</t>
  </si>
  <si>
    <t>#07367</t>
  </si>
  <si>
    <t>#07509</t>
  </si>
  <si>
    <t>#07725</t>
  </si>
  <si>
    <t>#07726</t>
  </si>
  <si>
    <t>#07813</t>
  </si>
  <si>
    <t>#07853</t>
  </si>
  <si>
    <t>#07860</t>
  </si>
  <si>
    <t>#07951</t>
  </si>
  <si>
    <t>#07971</t>
  </si>
  <si>
    <t>#08111</t>
  </si>
  <si>
    <t>#08229</t>
  </si>
  <si>
    <t>#08537</t>
  </si>
  <si>
    <t>#09059</t>
  </si>
  <si>
    <t>#09213</t>
  </si>
  <si>
    <t>#09581</t>
  </si>
  <si>
    <t>#09629</t>
  </si>
  <si>
    <t>Đỗ Bảo Linh</t>
  </si>
  <si>
    <t>#09743</t>
  </si>
  <si>
    <t>#10049</t>
  </si>
  <si>
    <t>#10549</t>
  </si>
  <si>
    <t>#10847</t>
  </si>
  <si>
    <t>#11176</t>
  </si>
  <si>
    <t>Vũ Thị Thương</t>
  </si>
  <si>
    <t>#11729</t>
  </si>
  <si>
    <t>#11920</t>
  </si>
  <si>
    <t>#12338</t>
  </si>
  <si>
    <t>#12430</t>
  </si>
  <si>
    <t>#12972</t>
  </si>
  <si>
    <t>#13495</t>
  </si>
  <si>
    <t>#13700</t>
  </si>
  <si>
    <t>#14035</t>
  </si>
  <si>
    <t>Trần Thị Vui</t>
  </si>
  <si>
    <t>#14569</t>
  </si>
  <si>
    <t>#14697</t>
  </si>
  <si>
    <t>#14858</t>
  </si>
  <si>
    <t>#15129</t>
  </si>
  <si>
    <t>#15370</t>
  </si>
  <si>
    <t>#15397</t>
  </si>
  <si>
    <t>#15774</t>
  </si>
  <si>
    <t>#15777</t>
  </si>
  <si>
    <t>#18095</t>
  </si>
  <si>
    <t>#18977</t>
  </si>
  <si>
    <t>#18984</t>
  </si>
  <si>
    <t>#18992</t>
  </si>
  <si>
    <t>#18995</t>
  </si>
  <si>
    <t>#19289</t>
  </si>
  <si>
    <t>#19291</t>
  </si>
  <si>
    <t>#19308</t>
  </si>
  <si>
    <t>#19483</t>
  </si>
  <si>
    <t>#19486</t>
  </si>
  <si>
    <t>#19490</t>
  </si>
  <si>
    <t>#19839</t>
  </si>
  <si>
    <t>#20335</t>
  </si>
  <si>
    <t>#20847</t>
  </si>
  <si>
    <t>#21515</t>
  </si>
  <si>
    <t>#21517</t>
  </si>
  <si>
    <t>Lù Mí Thò</t>
  </si>
  <si>
    <t>#01259</t>
  </si>
  <si>
    <t>#09038</t>
  </si>
  <si>
    <t>#12134</t>
  </si>
  <si>
    <t>#13500</t>
  </si>
  <si>
    <t>#13628</t>
  </si>
  <si>
    <t>#08873</t>
  </si>
  <si>
    <t>#09056</t>
  </si>
  <si>
    <t>#09251</t>
  </si>
  <si>
    <t>#15130</t>
  </si>
  <si>
    <t>#24260</t>
  </si>
  <si>
    <t>#03936</t>
  </si>
  <si>
    <t>#04261</t>
  </si>
  <si>
    <t>#10544</t>
  </si>
  <si>
    <t>#10592</t>
  </si>
  <si>
    <t>#11172</t>
  </si>
  <si>
    <t>#25832</t>
  </si>
  <si>
    <t>Nguyễn Thi Minh</t>
  </si>
  <si>
    <t>#21900</t>
  </si>
  <si>
    <t>#24113</t>
  </si>
  <si>
    <t>#24114</t>
  </si>
  <si>
    <t>Lê Đức Lương</t>
  </si>
  <si>
    <t>#24522</t>
  </si>
  <si>
    <t>Đào Đức Long</t>
  </si>
  <si>
    <t>#24793</t>
  </si>
  <si>
    <t>Hà Văn Nghị</t>
  </si>
  <si>
    <t>#24795</t>
  </si>
  <si>
    <t>Phùng Xuân Phúc</t>
  </si>
  <si>
    <t>#01263</t>
  </si>
  <si>
    <t>Đặng Duy Thái</t>
  </si>
  <si>
    <t>#04789</t>
  </si>
  <si>
    <t>#06310</t>
  </si>
  <si>
    <t>#13994</t>
  </si>
  <si>
    <t>#15260</t>
  </si>
  <si>
    <t>Dương Đức Hiếu</t>
  </si>
  <si>
    <t>#01869</t>
  </si>
  <si>
    <t>#04539</t>
  </si>
  <si>
    <t>#04688</t>
  </si>
  <si>
    <t>#09763</t>
  </si>
  <si>
    <t>#10145</t>
  </si>
  <si>
    <t>#10504</t>
  </si>
  <si>
    <t>#10618</t>
  </si>
  <si>
    <t>#15259</t>
  </si>
  <si>
    <t>#15264</t>
  </si>
  <si>
    <t>#15265</t>
  </si>
  <si>
    <t>#15266</t>
  </si>
  <si>
    <t>#17726</t>
  </si>
  <si>
    <t>#19170</t>
  </si>
  <si>
    <t>#20110</t>
  </si>
  <si>
    <t>#21752</t>
  </si>
  <si>
    <t>#22104</t>
  </si>
  <si>
    <t>#26343</t>
  </si>
  <si>
    <t>#02097</t>
  </si>
  <si>
    <t>#03657</t>
  </si>
  <si>
    <t>#07492</t>
  </si>
  <si>
    <t>#11099</t>
  </si>
  <si>
    <t>#19570</t>
  </si>
  <si>
    <t>Nguyễn Hữu Huy</t>
  </si>
  <si>
    <t>#21756</t>
  </si>
  <si>
    <t>#02259</t>
  </si>
  <si>
    <t>#02855</t>
  </si>
  <si>
    <t>#09929</t>
  </si>
  <si>
    <t>#09944</t>
  </si>
  <si>
    <t>#10622</t>
  </si>
  <si>
    <t>#10681</t>
  </si>
  <si>
    <t>#10887</t>
  </si>
  <si>
    <t>Lưu Quang Việt</t>
  </si>
  <si>
    <t>#11271</t>
  </si>
  <si>
    <t>Hà Quyết Tiến</t>
  </si>
  <si>
    <t>#12003</t>
  </si>
  <si>
    <t>#13919</t>
  </si>
  <si>
    <t>Lê Thị Tuyết</t>
  </si>
  <si>
    <t>#14340</t>
  </si>
  <si>
    <t>#14345</t>
  </si>
  <si>
    <t>Hoàng Văn Sử</t>
  </si>
  <si>
    <t>#14928</t>
  </si>
  <si>
    <t>Lưu Thị Nhân</t>
  </si>
  <si>
    <t>#14997</t>
  </si>
  <si>
    <t>#15088</t>
  </si>
  <si>
    <t>#15185</t>
  </si>
  <si>
    <t>#15303</t>
  </si>
  <si>
    <t>#15513</t>
  </si>
  <si>
    <t>Hà Thúy Tiên</t>
  </si>
  <si>
    <t>#15860</t>
  </si>
  <si>
    <t>#15861</t>
  </si>
  <si>
    <t>#16150</t>
  </si>
  <si>
    <t>#16183</t>
  </si>
  <si>
    <t>#16392</t>
  </si>
  <si>
    <t>#16857</t>
  </si>
  <si>
    <t>#17471</t>
  </si>
  <si>
    <t>#17943</t>
  </si>
  <si>
    <t>#18003</t>
  </si>
  <si>
    <t>#18452</t>
  </si>
  <si>
    <t>#19228</t>
  </si>
  <si>
    <t>#19566</t>
  </si>
  <si>
    <t>#20060</t>
  </si>
  <si>
    <t>#20113</t>
  </si>
  <si>
    <t>Nguyễn Khắc Hưng</t>
  </si>
  <si>
    <t>#20136</t>
  </si>
  <si>
    <t>Nguyễn Thị Tính</t>
  </si>
  <si>
    <t>#20321</t>
  </si>
  <si>
    <t>#20378</t>
  </si>
  <si>
    <t>#21231</t>
  </si>
  <si>
    <t>#21232</t>
  </si>
  <si>
    <t>#21296</t>
  </si>
  <si>
    <t>Phí Anh Tuấn</t>
  </si>
  <si>
    <t>#21354</t>
  </si>
  <si>
    <t>#21359</t>
  </si>
  <si>
    <t>Nguyễn Mạnh Lâm</t>
  </si>
  <si>
    <t>#21478</t>
  </si>
  <si>
    <t>#21633</t>
  </si>
  <si>
    <t>#21640</t>
  </si>
  <si>
    <t>Trần Xuân Bách</t>
  </si>
  <si>
    <t>#21745</t>
  </si>
  <si>
    <t>#21746</t>
  </si>
  <si>
    <t>#21747</t>
  </si>
  <si>
    <t>Nguyễn Thị Luyên</t>
  </si>
  <si>
    <t>#21755</t>
  </si>
  <si>
    <t>#21939</t>
  </si>
  <si>
    <t>#22039</t>
  </si>
  <si>
    <t>Triệu Văn Đồng</t>
  </si>
  <si>
    <t>#22199</t>
  </si>
  <si>
    <t>Bế Văn Thà</t>
  </si>
  <si>
    <t>#22200</t>
  </si>
  <si>
    <t>Cao Duy Đường</t>
  </si>
  <si>
    <t>#22204</t>
  </si>
  <si>
    <t>#22206</t>
  </si>
  <si>
    <t>#22452</t>
  </si>
  <si>
    <t>#23022</t>
  </si>
  <si>
    <t>#23027</t>
  </si>
  <si>
    <t>Nguyễn Anh Cường</t>
  </si>
  <si>
    <t>#24523</t>
  </si>
  <si>
    <t>#24794</t>
  </si>
  <si>
    <t>Phan Chung Kiên</t>
  </si>
  <si>
    <t>#24869</t>
  </si>
  <si>
    <t>#01227</t>
  </si>
  <si>
    <t>#01763</t>
  </si>
  <si>
    <t>#02452</t>
  </si>
  <si>
    <t>#03560</t>
  </si>
  <si>
    <t>#04962</t>
  </si>
  <si>
    <t>#06297</t>
  </si>
  <si>
    <t>#08201</t>
  </si>
  <si>
    <t>#08945</t>
  </si>
  <si>
    <t>#09437</t>
  </si>
  <si>
    <t>Dương Văn Đông</t>
  </si>
  <si>
    <t>#11264</t>
  </si>
  <si>
    <t>#11991</t>
  </si>
  <si>
    <t>#14424</t>
  </si>
  <si>
    <t>#14772</t>
  </si>
  <si>
    <t>#15254</t>
  </si>
  <si>
    <t>#15263</t>
  </si>
  <si>
    <t>#15515</t>
  </si>
  <si>
    <t>#16031</t>
  </si>
  <si>
    <t>#16490</t>
  </si>
  <si>
    <t>#16499</t>
  </si>
  <si>
    <t>Nguyễn Xuân Định</t>
  </si>
  <si>
    <t>#16641</t>
  </si>
  <si>
    <t>#16642</t>
  </si>
  <si>
    <t>#16643</t>
  </si>
  <si>
    <t>#17724</t>
  </si>
  <si>
    <t>#17821</t>
  </si>
  <si>
    <t>#17941</t>
  </si>
  <si>
    <t>#18847</t>
  </si>
  <si>
    <t>#19476</t>
  </si>
  <si>
    <t>Nguyễn Văn Soát</t>
  </si>
  <si>
    <t>#20112</t>
  </si>
  <si>
    <t>#21230</t>
  </si>
  <si>
    <t>#21235</t>
  </si>
  <si>
    <t>#21241</t>
  </si>
  <si>
    <t>#21477</t>
  </si>
  <si>
    <t>#21481</t>
  </si>
  <si>
    <t>Đỗ Cao Thủy</t>
  </si>
  <si>
    <t>#21555</t>
  </si>
  <si>
    <t>#21681</t>
  </si>
  <si>
    <t>Bùi Văn Chín</t>
  </si>
  <si>
    <t>#21683</t>
  </si>
  <si>
    <t>Trần Văn Ninh</t>
  </si>
  <si>
    <t>#21686</t>
  </si>
  <si>
    <t>#21724</t>
  </si>
  <si>
    <t>Nguyễn Văn Thuận</t>
  </si>
  <si>
    <t>#22021</t>
  </si>
  <si>
    <t>Nguyễn Tiến Vượng</t>
  </si>
  <si>
    <t>#22100</t>
  </si>
  <si>
    <t>#22102</t>
  </si>
  <si>
    <t>#22105</t>
  </si>
  <si>
    <t>Nông Đức Mạnh</t>
  </si>
  <si>
    <t>#22194</t>
  </si>
  <si>
    <t>#22197</t>
  </si>
  <si>
    <t>#22201</t>
  </si>
  <si>
    <t>#22577</t>
  </si>
  <si>
    <t>#23031</t>
  </si>
  <si>
    <t>Trần Quang Dũng</t>
  </si>
  <si>
    <t>#00483</t>
  </si>
  <si>
    <t>#01754</t>
  </si>
  <si>
    <t>#02599</t>
  </si>
  <si>
    <t>#02639</t>
  </si>
  <si>
    <t>#07644</t>
  </si>
  <si>
    <t>Tạ Văn Tuấn</t>
  </si>
  <si>
    <t>#07898</t>
  </si>
  <si>
    <t>#09021</t>
  </si>
  <si>
    <t>#10925</t>
  </si>
  <si>
    <t>#11246</t>
  </si>
  <si>
    <t>#12902</t>
  </si>
  <si>
    <t>#00208</t>
  </si>
  <si>
    <t>#02465</t>
  </si>
  <si>
    <t>#02478</t>
  </si>
  <si>
    <t>#03429</t>
  </si>
  <si>
    <t>#06877</t>
  </si>
  <si>
    <t>#06983</t>
  </si>
  <si>
    <t>#07598</t>
  </si>
  <si>
    <t>#08150</t>
  </si>
  <si>
    <t>#08286</t>
  </si>
  <si>
    <t>#09984</t>
  </si>
  <si>
    <t>#10224</t>
  </si>
  <si>
    <t>#17050</t>
  </si>
  <si>
    <t>#07496</t>
  </si>
  <si>
    <t>#07728</t>
  </si>
  <si>
    <t>#09050</t>
  </si>
  <si>
    <t>#09699</t>
  </si>
  <si>
    <t>#10082</t>
  </si>
  <si>
    <t>Hà Văn Khải</t>
  </si>
  <si>
    <t>#05826</t>
  </si>
  <si>
    <t>#07276</t>
  </si>
  <si>
    <t>#09620</t>
  </si>
  <si>
    <t>#10499</t>
  </si>
  <si>
    <t>#02264</t>
  </si>
  <si>
    <t>#02885</t>
  </si>
  <si>
    <t>#03158</t>
  </si>
  <si>
    <t>#03943</t>
  </si>
  <si>
    <t>#05096</t>
  </si>
  <si>
    <t>#05303</t>
  </si>
  <si>
    <t>#05893</t>
  </si>
  <si>
    <t>#05898</t>
  </si>
  <si>
    <t>#06146</t>
  </si>
  <si>
    <t>#06405</t>
  </si>
  <si>
    <t>#07044</t>
  </si>
  <si>
    <t>#07216</t>
  </si>
  <si>
    <t>#07427</t>
  </si>
  <si>
    <t>#07783</t>
  </si>
  <si>
    <t>#07819</t>
  </si>
  <si>
    <t>#07902</t>
  </si>
  <si>
    <t>#08243</t>
  </si>
  <si>
    <t>#08280</t>
  </si>
  <si>
    <t>#08381</t>
  </si>
  <si>
    <t>#08440</t>
  </si>
  <si>
    <t>#09499</t>
  </si>
  <si>
    <t>#09850</t>
  </si>
  <si>
    <t>#09922</t>
  </si>
  <si>
    <t>#10599</t>
  </si>
  <si>
    <t>#10696</t>
  </si>
  <si>
    <t>#10924</t>
  </si>
  <si>
    <t>#11243</t>
  </si>
  <si>
    <t>#11754</t>
  </si>
  <si>
    <t>#12189</t>
  </si>
  <si>
    <t>#12236</t>
  </si>
  <si>
    <t>Đặng Văn Hà</t>
  </si>
  <si>
    <t>#12744</t>
  </si>
  <si>
    <t>#12819</t>
  </si>
  <si>
    <t>Đằng Văn Chiến</t>
  </si>
  <si>
    <t>#13050</t>
  </si>
  <si>
    <t>#13834</t>
  </si>
  <si>
    <t>#13912</t>
  </si>
  <si>
    <t>#14417</t>
  </si>
  <si>
    <t>#15323</t>
  </si>
  <si>
    <t>Dương Thị Hồng</t>
  </si>
  <si>
    <t>#15697</t>
  </si>
  <si>
    <t>#15906</t>
  </si>
  <si>
    <t>#16412</t>
  </si>
  <si>
    <t>#18888</t>
  </si>
  <si>
    <t>#20222</t>
  </si>
  <si>
    <t>#20434</t>
  </si>
  <si>
    <t>Dương Ngọc Phúc</t>
  </si>
  <si>
    <t>#22706</t>
  </si>
  <si>
    <t>#24934</t>
  </si>
  <si>
    <t>#24935</t>
  </si>
  <si>
    <t>Kim Văn Nghĩa</t>
  </si>
  <si>
    <t>#24938</t>
  </si>
  <si>
    <t>Nguyễn Đức Doanh</t>
  </si>
  <si>
    <t>#24941</t>
  </si>
  <si>
    <t>#24942</t>
  </si>
  <si>
    <t>Nguyễn Xuân Linh</t>
  </si>
  <si>
    <t>#24943</t>
  </si>
  <si>
    <t>#24944</t>
  </si>
  <si>
    <t>Thào A Tông</t>
  </si>
  <si>
    <t>#24955</t>
  </si>
  <si>
    <t>#24956</t>
  </si>
  <si>
    <t>Phùng Văn Quang</t>
  </si>
  <si>
    <t>#24957</t>
  </si>
  <si>
    <t>Đặng Nhật Quang</t>
  </si>
  <si>
    <t>#24959</t>
  </si>
  <si>
    <t>Hà Bằng Đoàn</t>
  </si>
  <si>
    <t>#24960</t>
  </si>
  <si>
    <t>Nguyễn Đức Dũng</t>
  </si>
  <si>
    <t>#24961</t>
  </si>
  <si>
    <t>Cà Văn Dũng</t>
  </si>
  <si>
    <t>#24979</t>
  </si>
  <si>
    <t>Lê Văn Cảnh</t>
  </si>
  <si>
    <t>#26483</t>
  </si>
  <si>
    <t>Vũ Công Tiến</t>
  </si>
  <si>
    <t>#00524</t>
  </si>
  <si>
    <t>#00649</t>
  </si>
  <si>
    <t>#00841</t>
  </si>
  <si>
    <t>#00889</t>
  </si>
  <si>
    <t>#00974</t>
  </si>
  <si>
    <t>#01709</t>
  </si>
  <si>
    <t>#02518</t>
  </si>
  <si>
    <t>#02713</t>
  </si>
  <si>
    <t>#02778</t>
  </si>
  <si>
    <t>Phan Đức Huy</t>
  </si>
  <si>
    <t>#02868</t>
  </si>
  <si>
    <t>#02927</t>
  </si>
  <si>
    <t>#03015</t>
  </si>
  <si>
    <t>#03019</t>
  </si>
  <si>
    <t>#03057</t>
  </si>
  <si>
    <t>#03274</t>
  </si>
  <si>
    <t>#03658</t>
  </si>
  <si>
    <t>#04199</t>
  </si>
  <si>
    <t>#04231</t>
  </si>
  <si>
    <t>#04685</t>
  </si>
  <si>
    <t>#04690</t>
  </si>
  <si>
    <t>#06296</t>
  </si>
  <si>
    <t>#06312</t>
  </si>
  <si>
    <t>#06354</t>
  </si>
  <si>
    <t>Nguyễn Văn Ngọ</t>
  </si>
  <si>
    <t>#06358</t>
  </si>
  <si>
    <t>#06598</t>
  </si>
  <si>
    <t>#06610</t>
  </si>
  <si>
    <t>#06860</t>
  </si>
  <si>
    <t>#06880</t>
  </si>
  <si>
    <t>#06916</t>
  </si>
  <si>
    <t>#06971</t>
  </si>
  <si>
    <t>Dương Thành Thế</t>
  </si>
  <si>
    <t>#06976</t>
  </si>
  <si>
    <t>#06984</t>
  </si>
  <si>
    <t>#07239</t>
  </si>
  <si>
    <t>#07274</t>
  </si>
  <si>
    <t>#07377</t>
  </si>
  <si>
    <t>#07380</t>
  </si>
  <si>
    <t>#07383</t>
  </si>
  <si>
    <t>#07387</t>
  </si>
  <si>
    <t>#07599</t>
  </si>
  <si>
    <t>#07602</t>
  </si>
  <si>
    <t>#07640</t>
  </si>
  <si>
    <t>#07660</t>
  </si>
  <si>
    <t>#07762</t>
  </si>
  <si>
    <t>#07897</t>
  </si>
  <si>
    <t>#08103</t>
  </si>
  <si>
    <t>#08105</t>
  </si>
  <si>
    <t>#08109</t>
  </si>
  <si>
    <t>#08454</t>
  </si>
  <si>
    <t>#08541</t>
  </si>
  <si>
    <t>#08682</t>
  </si>
  <si>
    <t>#09202</t>
  </si>
  <si>
    <t>#09469</t>
  </si>
  <si>
    <t>#09616</t>
  </si>
  <si>
    <t>#09811</t>
  </si>
  <si>
    <t>Trương Hùng Dũng</t>
  </si>
  <si>
    <t>#09848</t>
  </si>
  <si>
    <t>#09912</t>
  </si>
  <si>
    <t>#09935</t>
  </si>
  <si>
    <t>#09941</t>
  </si>
  <si>
    <t>#10068</t>
  </si>
  <si>
    <t>#10221</t>
  </si>
  <si>
    <t>#10299</t>
  </si>
  <si>
    <t>#10427</t>
  </si>
  <si>
    <t>#10498</t>
  </si>
  <si>
    <t>#10600</t>
  </si>
  <si>
    <t>#10671</t>
  </si>
  <si>
    <t>#10760</t>
  </si>
  <si>
    <t>#10814</t>
  </si>
  <si>
    <t>#10825</t>
  </si>
  <si>
    <t>#11122</t>
  </si>
  <si>
    <t>#11562</t>
  </si>
  <si>
    <t>#11811</t>
  </si>
  <si>
    <t>#11910</t>
  </si>
  <si>
    <t>#11913</t>
  </si>
  <si>
    <t>#12250</t>
  </si>
  <si>
    <t>#12355</t>
  </si>
  <si>
    <t>#12492</t>
  </si>
  <si>
    <t>Vũ Hồng Dũng</t>
  </si>
  <si>
    <t>#12956</t>
  </si>
  <si>
    <t>Lê Minh Lực</t>
  </si>
  <si>
    <t>#13040</t>
  </si>
  <si>
    <t>#13041</t>
  </si>
  <si>
    <t>#13202</t>
  </si>
  <si>
    <t>#13225</t>
  </si>
  <si>
    <t>#13413</t>
  </si>
  <si>
    <t>#13414</t>
  </si>
  <si>
    <t>Lâm Văn Khánh</t>
  </si>
  <si>
    <t>#13446</t>
  </si>
  <si>
    <t>#13656</t>
  </si>
  <si>
    <t>#13735</t>
  </si>
  <si>
    <t>#13745</t>
  </si>
  <si>
    <t>#13774</t>
  </si>
  <si>
    <t>#13836</t>
  </si>
  <si>
    <t>#13871</t>
  </si>
  <si>
    <t>#13911</t>
  </si>
  <si>
    <t>#14069</t>
  </si>
  <si>
    <t>#14106</t>
  </si>
  <si>
    <t>#14112</t>
  </si>
  <si>
    <t>#14248</t>
  </si>
  <si>
    <t>#14544</t>
  </si>
  <si>
    <t>#14613</t>
  </si>
  <si>
    <t>#14688</t>
  </si>
  <si>
    <t>#14876</t>
  </si>
  <si>
    <t>#15327</t>
  </si>
  <si>
    <t>#15349</t>
  </si>
  <si>
    <t>#15352</t>
  </si>
  <si>
    <t>#15408</t>
  </si>
  <si>
    <t>#15536</t>
  </si>
  <si>
    <t>#15603</t>
  </si>
  <si>
    <t>#15605</t>
  </si>
  <si>
    <t>#15826</t>
  </si>
  <si>
    <t>Chu Văn Duy</t>
  </si>
  <si>
    <t>#16126</t>
  </si>
  <si>
    <t>#16762</t>
  </si>
  <si>
    <t>#17718</t>
  </si>
  <si>
    <t>#18901</t>
  </si>
  <si>
    <t>#19051</t>
  </si>
  <si>
    <t>#19155</t>
  </si>
  <si>
    <t>#21690</t>
  </si>
  <si>
    <t>#22335</t>
  </si>
  <si>
    <t>Mạc Văn Chính</t>
  </si>
  <si>
    <t>#22402</t>
  </si>
  <si>
    <t>Bùi Văn Hồng</t>
  </si>
  <si>
    <t>#23035</t>
  </si>
  <si>
    <t>#03010</t>
  </si>
  <si>
    <t>#03528</t>
  </si>
  <si>
    <t>#03760</t>
  </si>
  <si>
    <t>#03956</t>
  </si>
  <si>
    <t>#04230</t>
  </si>
  <si>
    <t>#05710</t>
  </si>
  <si>
    <t>#06738</t>
  </si>
  <si>
    <t>#06770</t>
  </si>
  <si>
    <t>#06834</t>
  </si>
  <si>
    <t>#06838</t>
  </si>
  <si>
    <t>Dương Tiến Dũng</t>
  </si>
  <si>
    <t>#07042</t>
  </si>
  <si>
    <t>#07047</t>
  </si>
  <si>
    <t>#07375</t>
  </si>
  <si>
    <t>#07912</t>
  </si>
  <si>
    <t>#07913</t>
  </si>
  <si>
    <t>#07987</t>
  </si>
  <si>
    <t>#08154</t>
  </si>
  <si>
    <t>#08161</t>
  </si>
  <si>
    <t>#08611</t>
  </si>
  <si>
    <t>#08613</t>
  </si>
  <si>
    <t>#08674</t>
  </si>
  <si>
    <t>#08678</t>
  </si>
  <si>
    <t>#08764</t>
  </si>
  <si>
    <t>#09022</t>
  </si>
  <si>
    <t>#09701</t>
  </si>
  <si>
    <t>#09926</t>
  </si>
  <si>
    <t>Cao Đắc Tươi</t>
  </si>
  <si>
    <t>#10587</t>
  </si>
  <si>
    <t>#10918</t>
  </si>
  <si>
    <t>#11104</t>
  </si>
  <si>
    <t>#11334</t>
  </si>
  <si>
    <t>#11480</t>
  </si>
  <si>
    <t>#11489</t>
  </si>
  <si>
    <t>#11578</t>
  </si>
  <si>
    <t>#11681</t>
  </si>
  <si>
    <t>#11755</t>
  </si>
  <si>
    <t>#11820</t>
  </si>
  <si>
    <t>#12026</t>
  </si>
  <si>
    <t>#12166</t>
  </si>
  <si>
    <t>#12303</t>
  </si>
  <si>
    <t>#12312</t>
  </si>
  <si>
    <t>#12400</t>
  </si>
  <si>
    <t>Phùng Văn Tuân</t>
  </si>
  <si>
    <t>#12615</t>
  </si>
  <si>
    <t>#13156</t>
  </si>
  <si>
    <t>#13271</t>
  </si>
  <si>
    <t>#13783</t>
  </si>
  <si>
    <t>#13838</t>
  </si>
  <si>
    <t>#13908</t>
  </si>
  <si>
    <t>#14132</t>
  </si>
  <si>
    <t>#14330</t>
  </si>
  <si>
    <t>#14614</t>
  </si>
  <si>
    <t>#14845</t>
  </si>
  <si>
    <t>#15405</t>
  </si>
  <si>
    <t>#15736</t>
  </si>
  <si>
    <t>#16220</t>
  </si>
  <si>
    <t>#16337</t>
  </si>
  <si>
    <t>#16460</t>
  </si>
  <si>
    <t>#17309</t>
  </si>
  <si>
    <t>#17310</t>
  </si>
  <si>
    <t>#17411</t>
  </si>
  <si>
    <t>#17416</t>
  </si>
  <si>
    <t>#17717</t>
  </si>
  <si>
    <t>#18517</t>
  </si>
  <si>
    <t>#21335</t>
  </si>
  <si>
    <t>#22274</t>
  </si>
  <si>
    <t>Quàng Văn Thủy</t>
  </si>
  <si>
    <t>#22333</t>
  </si>
  <si>
    <t>#22581</t>
  </si>
  <si>
    <t>#24163</t>
  </si>
  <si>
    <t>Lê Diên Thi</t>
  </si>
  <si>
    <t>#24168</t>
  </si>
  <si>
    <t>#24170</t>
  </si>
  <si>
    <t>Thịnh Văn Lâm</t>
  </si>
  <si>
    <t>#24173</t>
  </si>
  <si>
    <t>Vàng Seo Phong</t>
  </si>
  <si>
    <t>#00471</t>
  </si>
  <si>
    <t>#00484</t>
  </si>
  <si>
    <t>#01179</t>
  </si>
  <si>
    <t>#02475</t>
  </si>
  <si>
    <t>#05160</t>
  </si>
  <si>
    <t>#06517</t>
  </si>
  <si>
    <t>#07163</t>
  </si>
  <si>
    <t>#07283</t>
  </si>
  <si>
    <t>#07333</t>
  </si>
  <si>
    <t>#07357</t>
  </si>
  <si>
    <t>#07360</t>
  </si>
  <si>
    <t>#07386</t>
  </si>
  <si>
    <t>#07956</t>
  </si>
  <si>
    <t>Đào Văn Việt</t>
  </si>
  <si>
    <t>#08072</t>
  </si>
  <si>
    <t>#11625</t>
  </si>
  <si>
    <t>#12167</t>
  </si>
  <si>
    <t>#12951</t>
  </si>
  <si>
    <t>#13422</t>
  </si>
  <si>
    <t>#13837</t>
  </si>
  <si>
    <t>#14100</t>
  </si>
  <si>
    <t>#14740</t>
  </si>
  <si>
    <t>#15046</t>
  </si>
  <si>
    <t>#15358</t>
  </si>
  <si>
    <t>#15614</t>
  </si>
  <si>
    <t>Lê Huỳnh Đức</t>
  </si>
  <si>
    <t>#15688</t>
  </si>
  <si>
    <t>#16127</t>
  </si>
  <si>
    <t>Nguyễn Văn Tá</t>
  </si>
  <si>
    <t>#16172</t>
  </si>
  <si>
    <t>#16612</t>
  </si>
  <si>
    <t>#19160</t>
  </si>
  <si>
    <t>#21337</t>
  </si>
  <si>
    <t>#22637</t>
  </si>
  <si>
    <t>Vũ Thanh Xuân</t>
  </si>
  <si>
    <t>#22730</t>
  </si>
  <si>
    <t>#24174</t>
  </si>
  <si>
    <t>Vũ Huy Hùng</t>
  </si>
  <si>
    <t>張志明</t>
  </si>
  <si>
    <t>#07359</t>
  </si>
  <si>
    <t>#09827</t>
  </si>
  <si>
    <t>#12286</t>
  </si>
  <si>
    <t>#19026</t>
  </si>
  <si>
    <t>#19960</t>
  </si>
  <si>
    <t>#20816</t>
  </si>
  <si>
    <t>#20820</t>
  </si>
  <si>
    <t>Lục Văn Bảo</t>
  </si>
  <si>
    <t>#20901</t>
  </si>
  <si>
    <t>#22487</t>
  </si>
  <si>
    <t>#22511</t>
  </si>
  <si>
    <t>#22525</t>
  </si>
  <si>
    <t>#22643</t>
  </si>
  <si>
    <t>Hoàng Thị Thu</t>
  </si>
  <si>
    <t>#22693</t>
  </si>
  <si>
    <t>#22694</t>
  </si>
  <si>
    <t>#22696</t>
  </si>
  <si>
    <t>#22701</t>
  </si>
  <si>
    <t>#23273</t>
  </si>
  <si>
    <t>#23418</t>
  </si>
  <si>
    <t>#24478</t>
  </si>
  <si>
    <t>Tiêu Văn Trọng</t>
  </si>
  <si>
    <t>#24531</t>
  </si>
  <si>
    <t>#24574</t>
  </si>
  <si>
    <t>#24575</t>
  </si>
  <si>
    <t>#24576</t>
  </si>
  <si>
    <t>Chu Văn Bính</t>
  </si>
  <si>
    <t>#25160</t>
  </si>
  <si>
    <t>Phan Văn Tuấn</t>
  </si>
  <si>
    <t>#25162</t>
  </si>
  <si>
    <t>Lưu Quang Trung</t>
  </si>
  <si>
    <t>#25328</t>
  </si>
  <si>
    <t>#25348</t>
  </si>
  <si>
    <t>#25349</t>
  </si>
  <si>
    <t>Phùng Ngọc Tuyến</t>
  </si>
  <si>
    <t>#25350</t>
  </si>
  <si>
    <t>#25443</t>
  </si>
  <si>
    <t>#25873</t>
  </si>
  <si>
    <t>#26022</t>
  </si>
  <si>
    <t>Vương Đức Vệ</t>
  </si>
  <si>
    <t>#26023</t>
  </si>
  <si>
    <t>Hoàng Trường Vũ</t>
  </si>
  <si>
    <t>#02204</t>
  </si>
  <si>
    <t>#07016</t>
  </si>
  <si>
    <t>#22192</t>
  </si>
  <si>
    <t>#22193</t>
  </si>
  <si>
    <t>#22411</t>
  </si>
  <si>
    <t>#22414</t>
  </si>
  <si>
    <t>#22510</t>
  </si>
  <si>
    <t>#22644</t>
  </si>
  <si>
    <t>#22697</t>
  </si>
  <si>
    <t>#22700</t>
  </si>
  <si>
    <t>Lý Văn Năm</t>
  </si>
  <si>
    <t>#23417</t>
  </si>
  <si>
    <t>#23539</t>
  </si>
  <si>
    <t>#23593</t>
  </si>
  <si>
    <t>#24275</t>
  </si>
  <si>
    <t>#24276</t>
  </si>
  <si>
    <t>Lại Văn Năm</t>
  </si>
  <si>
    <t>#24278</t>
  </si>
  <si>
    <t>Phùng Quang Thiện</t>
  </si>
  <si>
    <t>#24397</t>
  </si>
  <si>
    <t>Hoàng Văn Lực</t>
  </si>
  <si>
    <t>#24399</t>
  </si>
  <si>
    <t>Trịnh Thị Huyền</t>
  </si>
  <si>
    <t>#24400</t>
  </si>
  <si>
    <t>Nguyễn Văn Sáu</t>
  </si>
  <si>
    <t>#24532</t>
  </si>
  <si>
    <t>Trần Văn Vĩnh</t>
  </si>
  <si>
    <t>#24533</t>
  </si>
  <si>
    <t>Lưu Duy Ánh</t>
  </si>
  <si>
    <t>#24534</t>
  </si>
  <si>
    <t>#24535</t>
  </si>
  <si>
    <t>Trần Đăng Phú</t>
  </si>
  <si>
    <t>#24731</t>
  </si>
  <si>
    <t>#24735</t>
  </si>
  <si>
    <t>#24803</t>
  </si>
  <si>
    <t>Tạ Duy Thái</t>
  </si>
  <si>
    <t>#24806</t>
  </si>
  <si>
    <t>#03534</t>
  </si>
  <si>
    <t>#08466</t>
  </si>
  <si>
    <t>#20588</t>
  </si>
  <si>
    <t>#22190</t>
  </si>
  <si>
    <t>#22833</t>
  </si>
  <si>
    <t>Nhâm Thị Phượng</t>
  </si>
  <si>
    <t>#10017</t>
  </si>
  <si>
    <t>#01378</t>
  </si>
  <si>
    <t>#13289</t>
  </si>
  <si>
    <t>#20241</t>
  </si>
  <si>
    <t>Đào Duy Thắng</t>
  </si>
  <si>
    <t>#21010</t>
  </si>
  <si>
    <t>#24529</t>
  </si>
  <si>
    <t>#24530</t>
  </si>
  <si>
    <t>Triệu Viết Sơn</t>
  </si>
  <si>
    <t>#24577</t>
  </si>
  <si>
    <t>Trần Khắc Một</t>
  </si>
  <si>
    <t>#24578</t>
  </si>
  <si>
    <t>Nguyễn Bùi Quang Minh</t>
  </si>
  <si>
    <t>#24579</t>
  </si>
  <si>
    <t>#24805</t>
  </si>
  <si>
    <t>#24807</t>
  </si>
  <si>
    <t>#18904</t>
  </si>
  <si>
    <t>#20894</t>
  </si>
  <si>
    <t>#02647</t>
  </si>
  <si>
    <t>Nguyễn Xuân Hữu</t>
  </si>
  <si>
    <t>#03944</t>
  </si>
  <si>
    <t>#04822</t>
  </si>
  <si>
    <t>#07574</t>
  </si>
  <si>
    <t>#07851</t>
  </si>
  <si>
    <t>#09339</t>
  </si>
  <si>
    <t>Đỗ Ngọc Tuấn</t>
  </si>
  <si>
    <t>#10860</t>
  </si>
  <si>
    <t>#14308</t>
  </si>
  <si>
    <t>#16066</t>
  </si>
  <si>
    <t>#16942</t>
  </si>
  <si>
    <t>#18061</t>
  </si>
  <si>
    <t>#18734</t>
  </si>
  <si>
    <t>#19316</t>
  </si>
  <si>
    <t>#20041</t>
  </si>
  <si>
    <t>#20546</t>
  </si>
  <si>
    <t>#20555</t>
  </si>
  <si>
    <t>#20662</t>
  </si>
  <si>
    <t>#21060</t>
  </si>
  <si>
    <t>#21135</t>
  </si>
  <si>
    <t>#21142</t>
  </si>
  <si>
    <t>#22163</t>
  </si>
  <si>
    <t>Nguyễn Phúc Thành</t>
  </si>
  <si>
    <t>#22381</t>
  </si>
  <si>
    <t>#24300</t>
  </si>
  <si>
    <t>Trần Văn Chính</t>
  </si>
  <si>
    <t>#24306</t>
  </si>
  <si>
    <t>Vũ Văn Huy</t>
  </si>
  <si>
    <t>#24374</t>
  </si>
  <si>
    <t>#24376</t>
  </si>
  <si>
    <t>#24378</t>
  </si>
  <si>
    <t>#24379</t>
  </si>
  <si>
    <t>Đỗ Thị Phương Thảo</t>
  </si>
  <si>
    <t>#24380</t>
  </si>
  <si>
    <t>Phạm Văn Việt</t>
  </si>
  <si>
    <t>#24382</t>
  </si>
  <si>
    <t>#24383</t>
  </si>
  <si>
    <t>Trần Văn Thiết</t>
  </si>
  <si>
    <t>#24481</t>
  </si>
  <si>
    <t>Đỗ Quang Duy</t>
  </si>
  <si>
    <t>#24486</t>
  </si>
  <si>
    <t>Lê Huy Hùng</t>
  </si>
  <si>
    <t>#24487</t>
  </si>
  <si>
    <t>#24503</t>
  </si>
  <si>
    <t>Trần Minh Chiến</t>
  </si>
  <si>
    <t>#24504</t>
  </si>
  <si>
    <t>#24506</t>
  </si>
  <si>
    <t>Vũ Đức Đông</t>
  </si>
  <si>
    <t>#24507</t>
  </si>
  <si>
    <t>#24582</t>
  </si>
  <si>
    <t>Cao Minh Hiếu</t>
  </si>
  <si>
    <t>#24583</t>
  </si>
  <si>
    <t>Nguyễn Thị Bé</t>
  </si>
  <si>
    <t>#24584</t>
  </si>
  <si>
    <t>Hà Thị Anh</t>
  </si>
  <si>
    <t>#24586</t>
  </si>
  <si>
    <t>#24587</t>
  </si>
  <si>
    <t>Hoàng Ngọc Tuy</t>
  </si>
  <si>
    <t>#24588</t>
  </si>
  <si>
    <t>Huỳnh Thị Thu Hiền</t>
  </si>
  <si>
    <t>#24589</t>
  </si>
  <si>
    <t>#24590</t>
  </si>
  <si>
    <t>#24591</t>
  </si>
  <si>
    <t>Chu Văn Hoàn</t>
  </si>
  <si>
    <t>#24592</t>
  </si>
  <si>
    <t>#24655</t>
  </si>
  <si>
    <t>Nguyễn Phương Anh</t>
  </si>
  <si>
    <t>#24656</t>
  </si>
  <si>
    <t>Nhâm Thị Hạnh</t>
  </si>
  <si>
    <t>#24658</t>
  </si>
  <si>
    <t>#24662</t>
  </si>
  <si>
    <t>Trần Quốc Bảo</t>
  </si>
  <si>
    <t>#24663</t>
  </si>
  <si>
    <t>#24664</t>
  </si>
  <si>
    <t>Vũ Văn Huân</t>
  </si>
  <si>
    <t>#24665</t>
  </si>
  <si>
    <t>Hà Quốc Tuấn</t>
  </si>
  <si>
    <t>#24666</t>
  </si>
  <si>
    <t>Hà Quang Luyến</t>
  </si>
  <si>
    <t>#24667</t>
  </si>
  <si>
    <t>Hoàng Thị Lâm</t>
  </si>
  <si>
    <t>#24798</t>
  </si>
  <si>
    <t>Hoàng Xuân Quyến</t>
  </si>
  <si>
    <t>#24799</t>
  </si>
  <si>
    <t>#24800</t>
  </si>
  <si>
    <t>Vũ Tiến Đạt</t>
  </si>
  <si>
    <t>#24801</t>
  </si>
  <si>
    <t>#24837</t>
  </si>
  <si>
    <t>#24838</t>
  </si>
  <si>
    <t>#24842</t>
  </si>
  <si>
    <t>#24843</t>
  </si>
  <si>
    <t>#25062</t>
  </si>
  <si>
    <t>#25063</t>
  </si>
  <si>
    <t>Cháng Văn Khánh</t>
  </si>
  <si>
    <t>#25065</t>
  </si>
  <si>
    <t>#25153</t>
  </si>
  <si>
    <t>Đỗ Thị Tuyết</t>
  </si>
  <si>
    <t>#25166</t>
  </si>
  <si>
    <t>Dương Thị Vượng</t>
  </si>
  <si>
    <t>#25168</t>
  </si>
  <si>
    <t>Chu Văn Hiệu</t>
  </si>
  <si>
    <t>#25180</t>
  </si>
  <si>
    <t>#25225</t>
  </si>
  <si>
    <t>Nguyễn Văn Thuế</t>
  </si>
  <si>
    <t>#25884</t>
  </si>
  <si>
    <t>Kỳ Văn Định</t>
  </si>
  <si>
    <t>#25886</t>
  </si>
  <si>
    <t>#25926</t>
  </si>
  <si>
    <t>Ngô Mạnh Hùng</t>
  </si>
  <si>
    <t>#25968</t>
  </si>
  <si>
    <t>#25969</t>
  </si>
  <si>
    <t># 25600</t>
  </si>
  <si>
    <t>#25601</t>
  </si>
  <si>
    <t>#11019</t>
  </si>
  <si>
    <t>#20957</t>
  </si>
  <si>
    <t>Vương Việt Hùng</t>
  </si>
  <si>
    <t>#20975</t>
  </si>
  <si>
    <t>#21036</t>
  </si>
  <si>
    <t>#21037</t>
  </si>
  <si>
    <t>Đào Đức Toàn</t>
  </si>
  <si>
    <t>#21039</t>
  </si>
  <si>
    <t>#22479</t>
  </si>
  <si>
    <t>#22658</t>
  </si>
  <si>
    <t>#22951</t>
  </si>
  <si>
    <t>#22955</t>
  </si>
  <si>
    <t>#23354</t>
  </si>
  <si>
    <t>#24401</t>
  </si>
  <si>
    <t>Chu Văn Lợi</t>
  </si>
  <si>
    <t>#24404</t>
  </si>
  <si>
    <t>Lê Quang Chung</t>
  </si>
  <si>
    <t>#24405</t>
  </si>
  <si>
    <t>#24408</t>
  </si>
  <si>
    <t>Hoàng Văn Tượng</t>
  </si>
  <si>
    <t>#24848</t>
  </si>
  <si>
    <t>Nguyễn Thế Nam</t>
  </si>
  <si>
    <t>#24849</t>
  </si>
  <si>
    <t>Lê Văn Hoà</t>
  </si>
  <si>
    <t>#24926</t>
  </si>
  <si>
    <t>Đặng Hồng Dũng</t>
  </si>
  <si>
    <t>#24927</t>
  </si>
  <si>
    <t>Tải Văn Quỳnh</t>
  </si>
  <si>
    <t>#24928</t>
  </si>
  <si>
    <t>Hoàng Trọng Nguyên</t>
  </si>
  <si>
    <t>#25313</t>
  </si>
  <si>
    <t>Đào Năm Tư</t>
  </si>
  <si>
    <t>#25335</t>
  </si>
  <si>
    <t>#25353</t>
  </si>
  <si>
    <t>Trần Anh Đào</t>
  </si>
  <si>
    <t>#25425</t>
  </si>
  <si>
    <t>#25426</t>
  </si>
  <si>
    <t>#25434</t>
  </si>
  <si>
    <t>Lâm Quang Hồ</t>
  </si>
  <si>
    <t>#25435</t>
  </si>
  <si>
    <t>#25600</t>
  </si>
  <si>
    <t>#25622</t>
  </si>
  <si>
    <t>#25623</t>
  </si>
  <si>
    <t>#25744</t>
  </si>
  <si>
    <t>Ma Thành Huynh</t>
  </si>
  <si>
    <t>#25745</t>
  </si>
  <si>
    <t>Lý Văn Sơn</t>
  </si>
  <si>
    <t>#25833</t>
  </si>
  <si>
    <t>#25865</t>
  </si>
  <si>
    <t>Đinh Thanh Liêm</t>
  </si>
  <si>
    <t>#25897</t>
  </si>
  <si>
    <t>#25914</t>
  </si>
  <si>
    <t>Đỗ Anh Văn</t>
  </si>
  <si>
    <t>#25922</t>
  </si>
  <si>
    <t>#25938</t>
  </si>
  <si>
    <t>Dương Tiến Hồng</t>
  </si>
  <si>
    <t>#26109</t>
  </si>
  <si>
    <t>Nguyễn Duy Hải</t>
  </si>
  <si>
    <t>#26138</t>
  </si>
  <si>
    <t>Nguyễn Văn Viên</t>
  </si>
  <si>
    <t>#26153</t>
  </si>
  <si>
    <t>Hoàng Văn Chỉnh</t>
  </si>
  <si>
    <t>#26218</t>
  </si>
  <si>
    <t>Nguyễn Cao Kỳ</t>
  </si>
  <si>
    <t>#26219</t>
  </si>
  <si>
    <t>#26220</t>
  </si>
  <si>
    <t>#26240</t>
  </si>
  <si>
    <t>#26303</t>
  </si>
  <si>
    <t>#26329</t>
  </si>
  <si>
    <t>#26336</t>
  </si>
  <si>
    <t>#26419</t>
  </si>
  <si>
    <t>#26481</t>
  </si>
  <si>
    <t>Bùi Thị Thúy</t>
  </si>
  <si>
    <t>#26487</t>
  </si>
  <si>
    <t>Lò Văn Trái</t>
  </si>
  <si>
    <t>#02561</t>
  </si>
  <si>
    <t>#06037</t>
  </si>
  <si>
    <t>#06502</t>
  </si>
  <si>
    <t>#06758</t>
  </si>
  <si>
    <t>#07527</t>
  </si>
  <si>
    <t>#09099</t>
  </si>
  <si>
    <t>#12214</t>
  </si>
  <si>
    <t>Hoàng Đức Vũ</t>
  </si>
  <si>
    <t>#12215</t>
  </si>
  <si>
    <t>Phạm Văn Thu</t>
  </si>
  <si>
    <t>#13216</t>
  </si>
  <si>
    <t>#13290</t>
  </si>
  <si>
    <t>#18123</t>
  </si>
  <si>
    <t>#18328</t>
  </si>
  <si>
    <t>#19876</t>
  </si>
  <si>
    <t>#19900</t>
  </si>
  <si>
    <t>#20964</t>
  </si>
  <si>
    <t>#20967</t>
  </si>
  <si>
    <t>#20974</t>
  </si>
  <si>
    <t>Nguyễn Xuân Vũ</t>
  </si>
  <si>
    <t>#20976</t>
  </si>
  <si>
    <t>#20979</t>
  </si>
  <si>
    <t>#20982</t>
  </si>
  <si>
    <t>#20989</t>
  </si>
  <si>
    <t>#20991</t>
  </si>
  <si>
    <t>#21041</t>
  </si>
  <si>
    <t>#21045</t>
  </si>
  <si>
    <t>Bùi Xuân Cảnh</t>
  </si>
  <si>
    <t>#21583</t>
  </si>
  <si>
    <t>Đại Thị Tuyết</t>
  </si>
  <si>
    <t>#22384</t>
  </si>
  <si>
    <t>Nguyễn Việt Tiến</t>
  </si>
  <si>
    <t>#22478</t>
  </si>
  <si>
    <t>Nguyễn Văn Tính</t>
  </si>
  <si>
    <t>#22518</t>
  </si>
  <si>
    <t>#22519</t>
  </si>
  <si>
    <t>Nguyễn Văn Dư</t>
  </si>
  <si>
    <t>#22647</t>
  </si>
  <si>
    <t>#22952</t>
  </si>
  <si>
    <t>#22959</t>
  </si>
  <si>
    <t>#22961</t>
  </si>
  <si>
    <t>Nông Văn Sinh</t>
  </si>
  <si>
    <t>#23013</t>
  </si>
  <si>
    <t>#23358</t>
  </si>
  <si>
    <t>#23597</t>
  </si>
  <si>
    <t>#23598</t>
  </si>
  <si>
    <t>Nguyễn Văn Luân</t>
  </si>
  <si>
    <t>#24280</t>
  </si>
  <si>
    <t>Dương Quang Chung</t>
  </si>
  <si>
    <t>#24281</t>
  </si>
  <si>
    <t>Dương Văn Lưu</t>
  </si>
  <si>
    <t>#24282</t>
  </si>
  <si>
    <t>#24283</t>
  </si>
  <si>
    <t>Lò Văn Toán</t>
  </si>
  <si>
    <t>#24284</t>
  </si>
  <si>
    <t>Lương Văn Công</t>
  </si>
  <si>
    <t>#24285</t>
  </si>
  <si>
    <t>Ma Văn Toản</t>
  </si>
  <si>
    <t>#24286</t>
  </si>
  <si>
    <t>Tạ Quốc Việt</t>
  </si>
  <si>
    <t>#24402</t>
  </si>
  <si>
    <t>Vũ Mạnh Cường</t>
  </si>
  <si>
    <t>#24406</t>
  </si>
  <si>
    <t>Trần Tiến Phước</t>
  </si>
  <si>
    <t>#24407</t>
  </si>
  <si>
    <t>Trần Văn Chiến</t>
  </si>
  <si>
    <t>#24476</t>
  </si>
  <si>
    <t>#24477</t>
  </si>
  <si>
    <t>#24808</t>
  </si>
  <si>
    <t>Tô Phương Nam</t>
  </si>
  <si>
    <t>#24809</t>
  </si>
  <si>
    <t>#24850</t>
  </si>
  <si>
    <t>#00695</t>
  </si>
  <si>
    <t>#01120</t>
  </si>
  <si>
    <t>#06830</t>
  </si>
  <si>
    <t>#14652</t>
  </si>
  <si>
    <t>#20981</t>
  </si>
  <si>
    <t>Tô Phương Lan</t>
  </si>
  <si>
    <t>#21031</t>
  </si>
  <si>
    <t>#22957</t>
  </si>
  <si>
    <t>Lường Văn Thuận</t>
  </si>
  <si>
    <t>#21050</t>
  </si>
  <si>
    <t>#00918</t>
  </si>
  <si>
    <t>#05624</t>
  </si>
  <si>
    <t>#07303</t>
  </si>
  <si>
    <t>#17223</t>
  </si>
  <si>
    <t>Trần Quang Trung</t>
  </si>
  <si>
    <t>#20968</t>
  </si>
  <si>
    <t>Nguyễn Tiến Nguyên</t>
  </si>
  <si>
    <t>#20611</t>
  </si>
  <si>
    <t>#22069</t>
  </si>
  <si>
    <t>#22493</t>
  </si>
  <si>
    <t>#22620</t>
  </si>
  <si>
    <t>Lưu Thị Nga</t>
  </si>
  <si>
    <t>#22695</t>
  </si>
  <si>
    <t>#23060</t>
  </si>
  <si>
    <t>Trần Anh Đức</t>
  </si>
  <si>
    <t>#23253</t>
  </si>
  <si>
    <t>Hoàng Văn Thư</t>
  </si>
  <si>
    <t>#23255</t>
  </si>
  <si>
    <t>#23652</t>
  </si>
  <si>
    <t>#23685</t>
  </si>
  <si>
    <t>#23751</t>
  </si>
  <si>
    <t>#23843</t>
  </si>
  <si>
    <t>#24003</t>
  </si>
  <si>
    <t>#24004</t>
  </si>
  <si>
    <t>Trần Văn Nhất</t>
  </si>
  <si>
    <t>#24298</t>
  </si>
  <si>
    <t>Nguyễn Công Thái</t>
  </si>
  <si>
    <t>#24299</t>
  </si>
  <si>
    <t>Nguyễn Việt Đại</t>
  </si>
  <si>
    <t>#24302</t>
  </si>
  <si>
    <t>#24303</t>
  </si>
  <si>
    <t>Dương Minh Quảng</t>
  </si>
  <si>
    <t>#24304</t>
  </si>
  <si>
    <t>Đặng Xuân Phú</t>
  </si>
  <si>
    <t>#25103</t>
  </si>
  <si>
    <t>#25151</t>
  </si>
  <si>
    <t>#25177</t>
  </si>
  <si>
    <t>Lê Quyết Tiến</t>
  </si>
  <si>
    <t>#25202</t>
  </si>
  <si>
    <t>Lý Thị Hồng Nhung</t>
  </si>
  <si>
    <t>#25208</t>
  </si>
  <si>
    <t>#25233</t>
  </si>
  <si>
    <t>Lâm Thị Lùn`</t>
  </si>
  <si>
    <t>#25236</t>
  </si>
  <si>
    <t>#25238</t>
  </si>
  <si>
    <t>#25240</t>
  </si>
  <si>
    <t>Trần Văn Mười</t>
  </si>
  <si>
    <t>#25249</t>
  </si>
  <si>
    <t>#25320</t>
  </si>
  <si>
    <t>Vũ Thị Hảo</t>
  </si>
  <si>
    <t>#25321</t>
  </si>
  <si>
    <t>Hoàng Đình Đức</t>
  </si>
  <si>
    <t>#25339</t>
  </si>
  <si>
    <t>Nguyễn Văn Cao</t>
  </si>
  <si>
    <t>#25340</t>
  </si>
  <si>
    <t>Hà Đức Hạnh</t>
  </si>
  <si>
    <t>#25436</t>
  </si>
  <si>
    <t>Trần Quang Phương</t>
  </si>
  <si>
    <t>#25839</t>
  </si>
  <si>
    <t>Nguyễn Văn Bính</t>
  </si>
  <si>
    <t>#25840</t>
  </si>
  <si>
    <t>#25841</t>
  </si>
  <si>
    <t>Chu Thái Bình</t>
  </si>
  <si>
    <t>#25856</t>
  </si>
  <si>
    <t>Lưu Hoàng Anh</t>
  </si>
  <si>
    <t>#25919</t>
  </si>
  <si>
    <t>Hoàng Đức Chính</t>
  </si>
  <si>
    <t>#25923</t>
  </si>
  <si>
    <t>#25984</t>
  </si>
  <si>
    <t>#25991</t>
  </si>
  <si>
    <t>Hà Văn Đức</t>
  </si>
  <si>
    <t>#02792</t>
  </si>
  <si>
    <t>#03001</t>
  </si>
  <si>
    <t>#06236</t>
  </si>
  <si>
    <t>#20059</t>
  </si>
  <si>
    <t>#20600</t>
  </si>
  <si>
    <t>Lê Hồng Ánh</t>
  </si>
  <si>
    <t>#20613</t>
  </si>
  <si>
    <t>Hoàng Văn Kiên</t>
  </si>
  <si>
    <t>#21048</t>
  </si>
  <si>
    <t>#21195</t>
  </si>
  <si>
    <t>#21309</t>
  </si>
  <si>
    <t>#21994</t>
  </si>
  <si>
    <t>#21996</t>
  </si>
  <si>
    <t>#22075</t>
  </si>
  <si>
    <t>Dương Huy Ba</t>
  </si>
  <si>
    <t>#22132</t>
  </si>
  <si>
    <t>#22133</t>
  </si>
  <si>
    <t>#22136</t>
  </si>
  <si>
    <t>#22304</t>
  </si>
  <si>
    <t>Dương Vĩnh Hà</t>
  </si>
  <si>
    <t>#22494</t>
  </si>
  <si>
    <t>Hà Thị Hương</t>
  </si>
  <si>
    <t>#22621</t>
  </si>
  <si>
    <t>Mai Quốc Hân</t>
  </si>
  <si>
    <t>#22845</t>
  </si>
  <si>
    <t>Hà Đức Mai</t>
  </si>
  <si>
    <t>#23334</t>
  </si>
  <si>
    <t>Phạm Đức Nhân</t>
  </si>
  <si>
    <t>#23335</t>
  </si>
  <si>
    <t>#23337</t>
  </si>
  <si>
    <t>#23401</t>
  </si>
  <si>
    <t>Bàn Đức Vinh</t>
  </si>
  <si>
    <t>#23526</t>
  </si>
  <si>
    <t>#23753</t>
  </si>
  <si>
    <t>#24301</t>
  </si>
  <si>
    <t>#24307</t>
  </si>
  <si>
    <t>#24375</t>
  </si>
  <si>
    <t>#24377</t>
  </si>
  <si>
    <t>Phùng Trọng Sơn</t>
  </si>
  <si>
    <t>#24381</t>
  </si>
  <si>
    <t>Nguyễn Huy Du</t>
  </si>
  <si>
    <t>#26492</t>
  </si>
  <si>
    <t>#02495</t>
  </si>
  <si>
    <t>#10291</t>
  </si>
  <si>
    <t>#21080</t>
  </si>
  <si>
    <t>#21992</t>
  </si>
  <si>
    <t>#21995</t>
  </si>
  <si>
    <t>#21999</t>
  </si>
  <si>
    <t>#22070</t>
  </si>
  <si>
    <t>#22135</t>
  </si>
  <si>
    <t>#22496</t>
  </si>
  <si>
    <t>#22809</t>
  </si>
  <si>
    <t>Vàng Văn Xanh</t>
  </si>
  <si>
    <t>#23011</t>
  </si>
  <si>
    <t>#23524</t>
  </si>
  <si>
    <t>#23754</t>
  </si>
  <si>
    <t>Hoàng Văn Uyên</t>
  </si>
  <si>
    <t>#23999</t>
  </si>
  <si>
    <t>#24657</t>
  </si>
  <si>
    <t>Trương Văn Mười</t>
  </si>
  <si>
    <t>#24660</t>
  </si>
  <si>
    <t>Lý Thị Vinh</t>
  </si>
  <si>
    <t>#24661</t>
  </si>
  <si>
    <t>Nguyễn Hồng Giang</t>
  </si>
  <si>
    <t>#24668</t>
  </si>
  <si>
    <t>Phùng Thị Hoà</t>
  </si>
  <si>
    <t>#22231</t>
  </si>
  <si>
    <t>#20903</t>
  </si>
  <si>
    <t>Lưu Xuân Hải</t>
  </si>
  <si>
    <t>#22164</t>
  </si>
  <si>
    <t>Phùng Văn Cường</t>
  </si>
  <si>
    <t>#22491</t>
  </si>
  <si>
    <t>#22698</t>
  </si>
  <si>
    <t>Chu Thái Nguyên</t>
  </si>
  <si>
    <t>#22846</t>
  </si>
  <si>
    <t>Bùi Quốc Bảo</t>
  </si>
  <si>
    <t>#23012</t>
  </si>
  <si>
    <t>#23259</t>
  </si>
  <si>
    <t>#23281</t>
  </si>
  <si>
    <t>#23395</t>
  </si>
  <si>
    <t>#23596</t>
  </si>
  <si>
    <t>#23783</t>
  </si>
  <si>
    <t>#24884</t>
  </si>
  <si>
    <t>Hà Dũng Kiên</t>
  </si>
  <si>
    <t>#24985</t>
  </si>
  <si>
    <t>Lê Thị Hoa</t>
  </si>
  <si>
    <t>#25011</t>
  </si>
  <si>
    <t>Lê Xuân Ngọc</t>
  </si>
  <si>
    <t>#25012</t>
  </si>
  <si>
    <t>Nguyễn Văn Kháng</t>
  </si>
  <si>
    <t>#25013</t>
  </si>
  <si>
    <t>Lê Quốc Tuấn</t>
  </si>
  <si>
    <t>#25058</t>
  </si>
  <si>
    <t>#25206</t>
  </si>
  <si>
    <t>Vàng Thị Phượng</t>
  </si>
  <si>
    <t>#25397</t>
  </si>
  <si>
    <t>Nguyễn Thị Thanh Thủy</t>
  </si>
  <si>
    <t>#25686</t>
  </si>
  <si>
    <t>Ngô Đình Tuyến</t>
  </si>
  <si>
    <t>#25785</t>
  </si>
  <si>
    <t>#25838</t>
  </si>
  <si>
    <t>Trần Khôi</t>
  </si>
  <si>
    <t>#26012</t>
  </si>
  <si>
    <t>Ma Văn Nhã</t>
  </si>
  <si>
    <t>#26013</t>
  </si>
  <si>
    <t>Hà Xuân Vui</t>
  </si>
  <si>
    <t>#26014</t>
  </si>
  <si>
    <t>#26131</t>
  </si>
  <si>
    <t>Phan Thị Ngọc Anh</t>
  </si>
  <si>
    <t>#26132</t>
  </si>
  <si>
    <t>#26154</t>
  </si>
  <si>
    <t>Lằm Văn Ghi</t>
  </si>
  <si>
    <t>#26167</t>
  </si>
  <si>
    <t>Hoàng Văn Nguyệt</t>
  </si>
  <si>
    <t>#26168</t>
  </si>
  <si>
    <t>#26169</t>
  </si>
  <si>
    <t>Hoàng Văn Biên</t>
  </si>
  <si>
    <t>#26170</t>
  </si>
  <si>
    <t>Sìn Thị Những</t>
  </si>
  <si>
    <t>#26171</t>
  </si>
  <si>
    <t>#26311</t>
  </si>
  <si>
    <t>Lê Thị Tấm</t>
  </si>
  <si>
    <t>#26322</t>
  </si>
  <si>
    <t>#26323</t>
  </si>
  <si>
    <t>#26445</t>
  </si>
  <si>
    <t>#20545</t>
  </si>
  <si>
    <t>Đinh Xuân Phú</t>
  </si>
  <si>
    <t>#20564</t>
  </si>
  <si>
    <t>#20565</t>
  </si>
  <si>
    <t>#20941</t>
  </si>
  <si>
    <t>Dương Hồng Hà</t>
  </si>
  <si>
    <t>#21997</t>
  </si>
  <si>
    <t>#21998</t>
  </si>
  <si>
    <t>#24585</t>
  </si>
  <si>
    <t>#24659</t>
  </si>
  <si>
    <t>Giàng A Sủ</t>
  </si>
  <si>
    <t>#25936</t>
  </si>
  <si>
    <t>#03459</t>
  </si>
  <si>
    <t>#06499</t>
  </si>
  <si>
    <t>#23404</t>
  </si>
  <si>
    <t>#23406</t>
  </si>
  <si>
    <t>#24395</t>
  </si>
  <si>
    <t>Trần Tùng Dương</t>
  </si>
  <si>
    <t>#18918</t>
  </si>
  <si>
    <t>#21004</t>
  </si>
  <si>
    <t>#22329</t>
  </si>
  <si>
    <t>Nguyễn Anh Tùng</t>
  </si>
  <si>
    <t>#23412</t>
  </si>
  <si>
    <t>#24480</t>
  </si>
  <si>
    <t>Trần Văn Lâm</t>
  </si>
  <si>
    <t>#24558</t>
  </si>
  <si>
    <t>#24560</t>
  </si>
  <si>
    <t>#24573</t>
  </si>
  <si>
    <t>Nguyễn Thị Thanh Thảo</t>
  </si>
  <si>
    <t>#22081</t>
  </si>
  <si>
    <t>#24105</t>
  </si>
  <si>
    <t>#03433</t>
  </si>
  <si>
    <t>Bùi Văn Toản</t>
  </si>
  <si>
    <t>#04192</t>
  </si>
  <si>
    <t>#19211</t>
  </si>
  <si>
    <t>#20928</t>
  </si>
  <si>
    <t>#22380</t>
  </si>
  <si>
    <t>#24106</t>
  </si>
  <si>
    <t>Nguyễn Đức Duy</t>
  </si>
  <si>
    <t>#01710</t>
  </si>
  <si>
    <t>#03147</t>
  </si>
  <si>
    <t>#04252</t>
  </si>
  <si>
    <t>#05157</t>
  </si>
  <si>
    <t>#08725</t>
  </si>
  <si>
    <t>#11114</t>
  </si>
  <si>
    <t>#14667</t>
  </si>
  <si>
    <t>#15597</t>
  </si>
  <si>
    <t>Trần Văn Bốn</t>
  </si>
  <si>
    <t>#16190</t>
  </si>
  <si>
    <t>#16995</t>
  </si>
  <si>
    <t>#17303</t>
  </si>
  <si>
    <t>#18068</t>
  </si>
  <si>
    <t>#19010</t>
  </si>
  <si>
    <t>Nguyễn Tô Hiệu</t>
  </si>
  <si>
    <t>#19023</t>
  </si>
  <si>
    <t>#19108</t>
  </si>
  <si>
    <t>#19679</t>
  </si>
  <si>
    <t>#20659</t>
  </si>
  <si>
    <t>#20929</t>
  </si>
  <si>
    <t>#20943</t>
  </si>
  <si>
    <t>#21065</t>
  </si>
  <si>
    <t>#21134</t>
  </si>
  <si>
    <t>#21250</t>
  </si>
  <si>
    <t>#22071</t>
  </si>
  <si>
    <t>#22083</t>
  </si>
  <si>
    <t>#22432</t>
  </si>
  <si>
    <t>#22639</t>
  </si>
  <si>
    <t>Lê Xuân Sơn</t>
  </si>
  <si>
    <t>#22641</t>
  </si>
  <si>
    <t>#22716</t>
  </si>
  <si>
    <t>#22722</t>
  </si>
  <si>
    <t>Bùi Văn Thắng</t>
  </si>
  <si>
    <t>#22763</t>
  </si>
  <si>
    <t>Dư Văn Thu</t>
  </si>
  <si>
    <t>#22931</t>
  </si>
  <si>
    <t>#23161</t>
  </si>
  <si>
    <t>#23167</t>
  </si>
  <si>
    <t>Hoàng Văn Quang</t>
  </si>
  <si>
    <t>#23413</t>
  </si>
  <si>
    <t>#23535</t>
  </si>
  <si>
    <t>Lý Văn Xuân</t>
  </si>
  <si>
    <t>#23536</t>
  </si>
  <si>
    <t>#23584</t>
  </si>
  <si>
    <t>#23810</t>
  </si>
  <si>
    <t>#24103</t>
  </si>
  <si>
    <t>Đặng  Tiến  Cường</t>
  </si>
  <si>
    <t>#24265</t>
  </si>
  <si>
    <t>Lã Thế Anh</t>
  </si>
  <si>
    <t>#24269</t>
  </si>
  <si>
    <t>Nùng Văn Tiến</t>
  </si>
  <si>
    <t>#24270</t>
  </si>
  <si>
    <t>Phan Thế Mạnh</t>
  </si>
  <si>
    <t>#24308</t>
  </si>
  <si>
    <t>#24309</t>
  </si>
  <si>
    <t>#24317</t>
  </si>
  <si>
    <t>Dương Văn Vinh</t>
  </si>
  <si>
    <t>#24385</t>
  </si>
  <si>
    <t>#24759</t>
  </si>
  <si>
    <t>Khương Minh Đoàn</t>
  </si>
  <si>
    <t>#24761</t>
  </si>
  <si>
    <t>Vương Thế Dũng</t>
  </si>
  <si>
    <t>#24763</t>
  </si>
  <si>
    <t>#24814</t>
  </si>
  <si>
    <t>#24893</t>
  </si>
  <si>
    <t>Phượng Tràn Phấu</t>
  </si>
  <si>
    <t>#24895</t>
  </si>
  <si>
    <t>Hà Doãn Tụng</t>
  </si>
  <si>
    <t>#24897</t>
  </si>
  <si>
    <t>#24916</t>
  </si>
  <si>
    <t>Nguyễn Trường Dương</t>
  </si>
  <si>
    <t>#25014</t>
  </si>
  <si>
    <t>Lê Thế Phương</t>
  </si>
  <si>
    <t>#25016</t>
  </si>
  <si>
    <t>Phó Văn Nuôi</t>
  </si>
  <si>
    <t>#25017</t>
  </si>
  <si>
    <t>29-05-1992</t>
  </si>
  <si>
    <t>#25023</t>
  </si>
  <si>
    <t>Dương Văn Ninh</t>
  </si>
  <si>
    <t>#25067</t>
  </si>
  <si>
    <t>#25073</t>
  </si>
  <si>
    <t>#25109</t>
  </si>
  <si>
    <t>#25130</t>
  </si>
  <si>
    <t>#25133</t>
  </si>
  <si>
    <t>Nùng Thị Minh Huệ</t>
  </si>
  <si>
    <t>#25158</t>
  </si>
  <si>
    <t>#25171</t>
  </si>
  <si>
    <t>#25181</t>
  </si>
  <si>
    <t>#25219</t>
  </si>
  <si>
    <t>#25257</t>
  </si>
  <si>
    <t>Lê Quang Triển</t>
  </si>
  <si>
    <t>#25258</t>
  </si>
  <si>
    <t>#25262</t>
  </si>
  <si>
    <t>Phạm Ngọc Hưng</t>
  </si>
  <si>
    <t>#25281</t>
  </si>
  <si>
    <t>#25289</t>
  </si>
  <si>
    <t>Chẩu Văn Hựu</t>
  </si>
  <si>
    <t>#25291</t>
  </si>
  <si>
    <t>Nguyễn Minh Khương</t>
  </si>
  <si>
    <t>#25293</t>
  </si>
  <si>
    <t>Nông Thị Duyên</t>
  </si>
  <si>
    <t>#25301</t>
  </si>
  <si>
    <t>#25305</t>
  </si>
  <si>
    <t>#25311</t>
  </si>
  <si>
    <t>#25343</t>
  </si>
  <si>
    <t>Kim Thị Vũ</t>
  </si>
  <si>
    <t>#25357</t>
  </si>
  <si>
    <t>#25360</t>
  </si>
  <si>
    <t>#25405</t>
  </si>
  <si>
    <t>Diệp Quang Dương</t>
  </si>
  <si>
    <t>#25406</t>
  </si>
  <si>
    <t>Hà Văn Dự</t>
  </si>
  <si>
    <t>#25407</t>
  </si>
  <si>
    <t>Nguyễn Khắc Bộ</t>
  </si>
  <si>
    <t>#25466</t>
  </si>
  <si>
    <t>#25510</t>
  </si>
  <si>
    <t>#25511</t>
  </si>
  <si>
    <t>#25570</t>
  </si>
  <si>
    <t>#25571</t>
  </si>
  <si>
    <t>#25572</t>
  </si>
  <si>
    <t>#25593</t>
  </si>
  <si>
    <t>Lò Văn Nam</t>
  </si>
  <si>
    <t>#25695</t>
  </si>
  <si>
    <t>#25699</t>
  </si>
  <si>
    <t>#25739</t>
  </si>
  <si>
    <t>Phạm Thị Hiên</t>
  </si>
  <si>
    <t>#25754</t>
  </si>
  <si>
    <t>#25780</t>
  </si>
  <si>
    <t>#25781</t>
  </si>
  <si>
    <t>#25800</t>
  </si>
  <si>
    <t>Đặng Văn Cường</t>
  </si>
  <si>
    <t>#25803</t>
  </si>
  <si>
    <t>#25806</t>
  </si>
  <si>
    <t>#25820</t>
  </si>
  <si>
    <t>#25822</t>
  </si>
  <si>
    <t>Trương Văn Đức</t>
  </si>
  <si>
    <t>#25835</t>
  </si>
  <si>
    <t>#25836</t>
  </si>
  <si>
    <t>#25837</t>
  </si>
  <si>
    <t>Lê Anh Xuân</t>
  </si>
  <si>
    <t>#25850</t>
  </si>
  <si>
    <t>Lê Hồng Quân</t>
  </si>
  <si>
    <t>#25858</t>
  </si>
  <si>
    <t>#25888</t>
  </si>
  <si>
    <t>#25889</t>
  </si>
  <si>
    <t>#25891</t>
  </si>
  <si>
    <t>#25907</t>
  </si>
  <si>
    <t>Đặng Văn Chương</t>
  </si>
  <si>
    <t>#25908</t>
  </si>
  <si>
    <t>Lý Tài Vượng</t>
  </si>
  <si>
    <t>#25920</t>
  </si>
  <si>
    <t>#25921</t>
  </si>
  <si>
    <t>Mạc Duy Hưng</t>
  </si>
  <si>
    <t>#25928</t>
  </si>
  <si>
    <t>#25935</t>
  </si>
  <si>
    <t>#25949</t>
  </si>
  <si>
    <t>Khổng Xuân Thuỷ</t>
  </si>
  <si>
    <t>#25950</t>
  </si>
  <si>
    <t>Lê Thị Thuý Hoàng</t>
  </si>
  <si>
    <t>#25951</t>
  </si>
  <si>
    <t>Nguyễn Thị Ba</t>
  </si>
  <si>
    <t>#25962</t>
  </si>
  <si>
    <t>#25963</t>
  </si>
  <si>
    <t>#25966</t>
  </si>
  <si>
    <t>#25967</t>
  </si>
  <si>
    <t>#25974</t>
  </si>
  <si>
    <t>Diệp Thị Xuân</t>
  </si>
  <si>
    <t>#25985</t>
  </si>
  <si>
    <t>#25987</t>
  </si>
  <si>
    <t>#25996</t>
  </si>
  <si>
    <t>Lương Thị Dung</t>
  </si>
  <si>
    <t>#25997</t>
  </si>
  <si>
    <t>Trần Thị Hồng</t>
  </si>
  <si>
    <t>#25998</t>
  </si>
  <si>
    <t>Trương Quân Bảo</t>
  </si>
  <si>
    <t>#25999</t>
  </si>
  <si>
    <t>Hoàng Văn Lượng</t>
  </si>
  <si>
    <t>#26000</t>
  </si>
  <si>
    <t>#26033</t>
  </si>
  <si>
    <t>#26034</t>
  </si>
  <si>
    <t>#26035</t>
  </si>
  <si>
    <t>Lý Văn Dương</t>
  </si>
  <si>
    <t>#26051</t>
  </si>
  <si>
    <t>Diệp Văn Tuân</t>
  </si>
  <si>
    <t>#26052</t>
  </si>
  <si>
    <t>#26053</t>
  </si>
  <si>
    <t>#26063</t>
  </si>
  <si>
    <t>Vũ Dương Tuyền</t>
  </si>
  <si>
    <t>#26064</t>
  </si>
  <si>
    <t>Lương Văn Chí</t>
  </si>
  <si>
    <t>#26065</t>
  </si>
  <si>
    <t>#26082</t>
  </si>
  <si>
    <t>Hoàng Thị Ngọc Lan</t>
  </si>
  <si>
    <t>#26083</t>
  </si>
  <si>
    <t>Xìn Anh Mạnh</t>
  </si>
  <si>
    <t>#26085</t>
  </si>
  <si>
    <t>Vi Thị Sinh</t>
  </si>
  <si>
    <t>#26089</t>
  </si>
  <si>
    <t>#26090</t>
  </si>
  <si>
    <t>Hà Thị Thu Hiền</t>
  </si>
  <si>
    <t>#26091</t>
  </si>
  <si>
    <t>Đào Ngọc Minh</t>
  </si>
  <si>
    <t>#26100</t>
  </si>
  <si>
    <t>#26101</t>
  </si>
  <si>
    <t>Diệp Văn Quyền</t>
  </si>
  <si>
    <t>#26102</t>
  </si>
  <si>
    <t>Lò Minh Hoàng</t>
  </si>
  <si>
    <t>#26103</t>
  </si>
  <si>
    <t>#26104</t>
  </si>
  <si>
    <t>Hầu Thị Dính</t>
  </si>
  <si>
    <t>#26105</t>
  </si>
  <si>
    <t>Nguyễn Duy Nghiệp</t>
  </si>
  <si>
    <t>#26106</t>
  </si>
  <si>
    <t>Ngô Thị Mai</t>
  </si>
  <si>
    <t>#26112</t>
  </si>
  <si>
    <t>#26113</t>
  </si>
  <si>
    <t>#26114</t>
  </si>
  <si>
    <t>Phạm Thị Tần</t>
  </si>
  <si>
    <t>#26129</t>
  </si>
  <si>
    <t>Nguyễn Ngọc Đức</t>
  </si>
  <si>
    <t>#26133</t>
  </si>
  <si>
    <t>Phạm Thị Hồng Thanh</t>
  </si>
  <si>
    <t>#26142</t>
  </si>
  <si>
    <t>Trần Thị Minh</t>
  </si>
  <si>
    <t>#26143</t>
  </si>
  <si>
    <t>#26155</t>
  </si>
  <si>
    <t>#26178</t>
  </si>
  <si>
    <t>Trần Thị Phương Oanh</t>
  </si>
  <si>
    <t>#26179</t>
  </si>
  <si>
    <t>#26180</t>
  </si>
  <si>
    <t>Chu Quang Sơn</t>
  </si>
  <si>
    <t>#26181</t>
  </si>
  <si>
    <t>Nông Văn Nghị</t>
  </si>
  <si>
    <t>#26182</t>
  </si>
  <si>
    <t>Nịnh Văn Chung</t>
  </si>
  <si>
    <t>#26189</t>
  </si>
  <si>
    <t>Hoàng Văn Dựng</t>
  </si>
  <si>
    <t>#26203</t>
  </si>
  <si>
    <t>#26234</t>
  </si>
  <si>
    <t>#26236</t>
  </si>
  <si>
    <t>Lê Xuân Thắng</t>
  </si>
  <si>
    <t>#26237</t>
  </si>
  <si>
    <t>#26249</t>
  </si>
  <si>
    <t>#26266</t>
  </si>
  <si>
    <t>#26290</t>
  </si>
  <si>
    <t>Hoàng Văn Riên</t>
  </si>
  <si>
    <t>#26291</t>
  </si>
  <si>
    <t>Khấu Thị Phúc</t>
  </si>
  <si>
    <t>#26304</t>
  </si>
  <si>
    <t>Vàng Văn Phòng</t>
  </si>
  <si>
    <t>#26305</t>
  </si>
  <si>
    <t>Lý Văn Hùng</t>
  </si>
  <si>
    <t>#26314</t>
  </si>
  <si>
    <t>Lâm Văn Anh</t>
  </si>
  <si>
    <t>#26403</t>
  </si>
  <si>
    <t>#26418</t>
  </si>
  <si>
    <t>#26433</t>
  </si>
  <si>
    <t>#26446</t>
  </si>
  <si>
    <t>#26453</t>
  </si>
  <si>
    <t>Đặng Văn Nái</t>
  </si>
  <si>
    <t>#26454</t>
  </si>
  <si>
    <t>#26455</t>
  </si>
  <si>
    <t>#26484</t>
  </si>
  <si>
    <t>Lò Văn Toàn</t>
  </si>
  <si>
    <t>#00189</t>
  </si>
  <si>
    <t>#01503</t>
  </si>
  <si>
    <t>#03345</t>
  </si>
  <si>
    <t>#04535</t>
  </si>
  <si>
    <t>#08080</t>
  </si>
  <si>
    <t>#08484</t>
  </si>
  <si>
    <t>Đinh Thị Thuý</t>
  </si>
  <si>
    <t>#09391</t>
  </si>
  <si>
    <t>#09979</t>
  </si>
  <si>
    <t>Phạm Tiến Thành</t>
  </si>
  <si>
    <t>#10746</t>
  </si>
  <si>
    <t>#11120</t>
  </si>
  <si>
    <t>#13168</t>
  </si>
  <si>
    <t>#13463</t>
  </si>
  <si>
    <t>#14710</t>
  </si>
  <si>
    <t>#16219</t>
  </si>
  <si>
    <t>#16690</t>
  </si>
  <si>
    <t>#17332</t>
  </si>
  <si>
    <t>#17341</t>
  </si>
  <si>
    <t>Lưu Văn Đức</t>
  </si>
  <si>
    <t>#19109</t>
  </si>
  <si>
    <t>#20421</t>
  </si>
  <si>
    <t>Chu Văn Diện</t>
  </si>
  <si>
    <t>#20786</t>
  </si>
  <si>
    <t>#21030</t>
  </si>
  <si>
    <t>#21081</t>
  </si>
  <si>
    <t>#21088</t>
  </si>
  <si>
    <t>#21118</t>
  </si>
  <si>
    <t>Tô Văn Nam</t>
  </si>
  <si>
    <t>#21119</t>
  </si>
  <si>
    <t>#21196</t>
  </si>
  <si>
    <t>Lê Văn Cháo</t>
  </si>
  <si>
    <t>#21257</t>
  </si>
  <si>
    <t>Hoàng Văn Hòa</t>
  </si>
  <si>
    <t>#21299</t>
  </si>
  <si>
    <t>#22079</t>
  </si>
  <si>
    <t>#22504</t>
  </si>
  <si>
    <t>#22628</t>
  </si>
  <si>
    <t>Lương Ngọc Tuấn</t>
  </si>
  <si>
    <t>#22726</t>
  </si>
  <si>
    <t>Nguyễn Hữu Dương</t>
  </si>
  <si>
    <t>#22762</t>
  </si>
  <si>
    <t>#22817</t>
  </si>
  <si>
    <t>Lý Văn Thức</t>
  </si>
  <si>
    <t>#22820</t>
  </si>
  <si>
    <t>#22822</t>
  </si>
  <si>
    <t>#23163</t>
  </si>
  <si>
    <t>Viên Quang Trường</t>
  </si>
  <si>
    <t>#23414</t>
  </si>
  <si>
    <t>#23605</t>
  </si>
  <si>
    <t>#23697</t>
  </si>
  <si>
    <t>Hoàng Hữu Lộc</t>
  </si>
  <si>
    <t>#23764</t>
  </si>
  <si>
    <t>#24100</t>
  </si>
  <si>
    <t>Bùi Chí Luận</t>
  </si>
  <si>
    <t>#24102</t>
  </si>
  <si>
    <t>#24104</t>
  </si>
  <si>
    <t>Giàng Văn Sành</t>
  </si>
  <si>
    <t>#24109</t>
  </si>
  <si>
    <t>Tống Văn Trung</t>
  </si>
  <si>
    <t>#24268</t>
  </si>
  <si>
    <t>#24272</t>
  </si>
  <si>
    <t>Trần Bá Nguyện</t>
  </si>
  <si>
    <t>#24310</t>
  </si>
  <si>
    <t>Vũ Ngọc Hưng</t>
  </si>
  <si>
    <t>#24312</t>
  </si>
  <si>
    <t>#24313</t>
  </si>
  <si>
    <t>Nguyễn Đức Khanh</t>
  </si>
  <si>
    <t>#24384</t>
  </si>
  <si>
    <t>Trương Thị Xuân</t>
  </si>
  <si>
    <t>#24387</t>
  </si>
  <si>
    <t>Nguyễn Văn Sâm</t>
  </si>
  <si>
    <t>#24388</t>
  </si>
  <si>
    <t>Đặng Thị Mai Thu</t>
  </si>
  <si>
    <t>#24391</t>
  </si>
  <si>
    <t>#24392</t>
  </si>
  <si>
    <t>Nguyễn Như Dương</t>
  </si>
  <si>
    <t>#24556</t>
  </si>
  <si>
    <t>Đào Trường Sơn</t>
  </si>
  <si>
    <t>#24755</t>
  </si>
  <si>
    <t>Trần Văn Toàn</t>
  </si>
  <si>
    <t>#24757</t>
  </si>
  <si>
    <t>Nguyễn Ngọc Khoa</t>
  </si>
  <si>
    <t>#24758</t>
  </si>
  <si>
    <t>Nguyễn Văn Hưởng</t>
  </si>
  <si>
    <t>#24760</t>
  </si>
  <si>
    <t>#24762</t>
  </si>
  <si>
    <t>Trương Văn Lừu</t>
  </si>
  <si>
    <t>#24816</t>
  </si>
  <si>
    <t>Triệu Văn Kiên</t>
  </si>
  <si>
    <t>#25986</t>
  </si>
  <si>
    <t>林纘文</t>
  </si>
  <si>
    <t>Đào Hoàng Nam</t>
  </si>
  <si>
    <t>#01124</t>
  </si>
  <si>
    <t>#12837</t>
  </si>
  <si>
    <t>SONED</t>
  </si>
  <si>
    <t>Nguyễn Thanh Huyền</t>
  </si>
  <si>
    <t>#00182</t>
  </si>
  <si>
    <t>#07426</t>
  </si>
  <si>
    <t>#09692</t>
  </si>
  <si>
    <t>#00690</t>
  </si>
  <si>
    <t>Trương Thị Hợi</t>
  </si>
  <si>
    <t>#00923</t>
  </si>
  <si>
    <t>#01094</t>
  </si>
  <si>
    <t>#01119</t>
  </si>
  <si>
    <t>#01156</t>
  </si>
  <si>
    <t>#03352</t>
  </si>
  <si>
    <t>#03601</t>
  </si>
  <si>
    <t>#03602</t>
  </si>
  <si>
    <t>#03693</t>
  </si>
  <si>
    <t>#04754</t>
  </si>
  <si>
    <t>#05398</t>
  </si>
  <si>
    <t>#06420</t>
  </si>
  <si>
    <t>#06613</t>
  </si>
  <si>
    <t>#09522</t>
  </si>
  <si>
    <t>#09612</t>
  </si>
  <si>
    <t>#09662</t>
  </si>
  <si>
    <t>#11020</t>
  </si>
  <si>
    <t>#13445</t>
  </si>
  <si>
    <t>#13918</t>
  </si>
  <si>
    <t>#15773</t>
  </si>
  <si>
    <t>#18565</t>
  </si>
  <si>
    <t>#19120</t>
  </si>
  <si>
    <t>#19544</t>
  </si>
  <si>
    <t>#21027</t>
  </si>
  <si>
    <t>#21029</t>
  </si>
  <si>
    <t>Trần Thanh Cường</t>
  </si>
  <si>
    <t>#01086</t>
  </si>
  <si>
    <t>#01097</t>
  </si>
  <si>
    <t>#03599</t>
  </si>
  <si>
    <t>#06571</t>
  </si>
  <si>
    <t>#06749</t>
  </si>
  <si>
    <t>Nguyễn Thị Thuý Xuân</t>
  </si>
  <si>
    <t>#07307</t>
  </si>
  <si>
    <t>#07504</t>
  </si>
  <si>
    <t>#07614</t>
  </si>
  <si>
    <t>#10303</t>
  </si>
  <si>
    <t>#11432</t>
  </si>
  <si>
    <t>#11505</t>
  </si>
  <si>
    <t>#12644</t>
  </si>
  <si>
    <t>#12836</t>
  </si>
  <si>
    <t>#14673</t>
  </si>
  <si>
    <t>#15227</t>
  </si>
  <si>
    <t>#15229</t>
  </si>
  <si>
    <t>Lý Quốc Cường</t>
  </si>
  <si>
    <t>#16187</t>
  </si>
  <si>
    <t>#17944</t>
  </si>
  <si>
    <t>#18170</t>
  </si>
  <si>
    <t>#18432</t>
  </si>
  <si>
    <t>#19118</t>
  </si>
  <si>
    <t>Cao Xuân Luật</t>
  </si>
  <si>
    <t>#19257</t>
  </si>
  <si>
    <t>#24920</t>
  </si>
  <si>
    <t>Nông Văn Hà</t>
  </si>
  <si>
    <t>#24947</t>
  </si>
  <si>
    <t>#24948</t>
  </si>
  <si>
    <t>#24949</t>
  </si>
  <si>
    <t>#24950</t>
  </si>
  <si>
    <t>#25117</t>
  </si>
  <si>
    <t>#25118</t>
  </si>
  <si>
    <t>#25119</t>
  </si>
  <si>
    <t>#25120</t>
  </si>
  <si>
    <t>#25410</t>
  </si>
  <si>
    <t>Trương Văn Lý</t>
  </si>
  <si>
    <t>#25483</t>
  </si>
  <si>
    <t>#25861</t>
  </si>
  <si>
    <t>Đào Thị Yến</t>
  </si>
  <si>
    <t>#25896</t>
  </si>
  <si>
    <t>#25909</t>
  </si>
  <si>
    <t>#25912</t>
  </si>
  <si>
    <t>#25915</t>
  </si>
  <si>
    <t>Vũ Thị Nga</t>
  </si>
  <si>
    <t>#25930</t>
  </si>
  <si>
    <t>#25952</t>
  </si>
  <si>
    <t>#25953</t>
  </si>
  <si>
    <t>#25954</t>
  </si>
  <si>
    <t>#26055</t>
  </si>
  <si>
    <t>#26107</t>
  </si>
  <si>
    <t>#26120</t>
  </si>
  <si>
    <t>#26184</t>
  </si>
  <si>
    <t>#26265</t>
  </si>
  <si>
    <t>#26296</t>
  </si>
  <si>
    <t>Phùng Văn Quân</t>
  </si>
  <si>
    <t>#07468</t>
  </si>
  <si>
    <t>#07984</t>
  </si>
  <si>
    <t>#09661</t>
  </si>
  <si>
    <t>#11442</t>
  </si>
  <si>
    <t>#11509</t>
  </si>
  <si>
    <t>#11836</t>
  </si>
  <si>
    <t>#12070</t>
  </si>
  <si>
    <t>#12867</t>
  </si>
  <si>
    <t>#13336</t>
  </si>
  <si>
    <t>#13807</t>
  </si>
  <si>
    <t>#15228</t>
  </si>
  <si>
    <t>#16273</t>
  </si>
  <si>
    <t>#16579</t>
  </si>
  <si>
    <t>#16826</t>
  </si>
  <si>
    <t>#17194</t>
  </si>
  <si>
    <t>#17293</t>
  </si>
  <si>
    <t>#17296</t>
  </si>
  <si>
    <t>#18171</t>
  </si>
  <si>
    <t>Lộc Minh Nghĩa</t>
  </si>
  <si>
    <t>#18436</t>
  </si>
  <si>
    <t>#18584</t>
  </si>
  <si>
    <t>#19119</t>
  </si>
  <si>
    <t>#19123</t>
  </si>
  <si>
    <t>#19953</t>
  </si>
  <si>
    <t>#00479</t>
  </si>
  <si>
    <t>#00669</t>
  </si>
  <si>
    <t>#02607</t>
  </si>
  <si>
    <t>#02758</t>
  </si>
  <si>
    <t>Phan Văn Tuyên</t>
  </si>
  <si>
    <t>#04394</t>
  </si>
  <si>
    <t>#04614</t>
  </si>
  <si>
    <t>#06243</t>
  </si>
  <si>
    <t>#06750</t>
  </si>
  <si>
    <t>#07472</t>
  </si>
  <si>
    <t>#08878</t>
  </si>
  <si>
    <t>#09153</t>
  </si>
  <si>
    <t>#09583</t>
  </si>
  <si>
    <t>#09611</t>
  </si>
  <si>
    <t>#09994</t>
  </si>
  <si>
    <t>#11513</t>
  </si>
  <si>
    <t>#12482</t>
  </si>
  <si>
    <t>#12570</t>
  </si>
  <si>
    <t>#13010</t>
  </si>
  <si>
    <t>#13444</t>
  </si>
  <si>
    <t>#14013</t>
  </si>
  <si>
    <t>#15195</t>
  </si>
  <si>
    <t>#15764</t>
  </si>
  <si>
    <t>#15765</t>
  </si>
  <si>
    <t>#17828</t>
  </si>
  <si>
    <t>#18332</t>
  </si>
  <si>
    <t>#18510</t>
  </si>
  <si>
    <t>Hoàng Ngọc Ánh</t>
  </si>
  <si>
    <t>#18958</t>
  </si>
  <si>
    <t>#19784</t>
  </si>
  <si>
    <t>#19787</t>
  </si>
  <si>
    <t>#19789</t>
  </si>
  <si>
    <t>#19860</t>
  </si>
  <si>
    <t>#19875</t>
  </si>
  <si>
    <t>#19898</t>
  </si>
  <si>
    <t>#19957</t>
  </si>
  <si>
    <t>#19986</t>
  </si>
  <si>
    <t>#20298</t>
  </si>
  <si>
    <t>#20858</t>
  </si>
  <si>
    <t>#22181</t>
  </si>
  <si>
    <t>Lê Thị Dung</t>
  </si>
  <si>
    <t>#22320</t>
  </si>
  <si>
    <t>Cao Văn Hiếu</t>
  </si>
  <si>
    <t>#24828</t>
  </si>
  <si>
    <t>#24829</t>
  </si>
  <si>
    <t>#24830</t>
  </si>
  <si>
    <t>Nguyễn Phú Thăng</t>
  </si>
  <si>
    <t>#24831</t>
  </si>
  <si>
    <t>Đỗ Chí Thành</t>
  </si>
  <si>
    <t>#24832</t>
  </si>
  <si>
    <t>#25046</t>
  </si>
  <si>
    <t>Nguyễn Nam Sơn</t>
  </si>
  <si>
    <t>#25047</t>
  </si>
  <si>
    <t>Phùng Văn Khang</t>
  </si>
  <si>
    <t>#25048</t>
  </si>
  <si>
    <t>#25049</t>
  </si>
  <si>
    <t>#25050</t>
  </si>
  <si>
    <t>#25145</t>
  </si>
  <si>
    <t>#25863</t>
  </si>
  <si>
    <t>#25864</t>
  </si>
  <si>
    <t>#26486</t>
  </si>
  <si>
    <t>Đào Quang Anh</t>
  </si>
  <si>
    <t>#00404</t>
  </si>
  <si>
    <t>#00493</t>
  </si>
  <si>
    <t>#01688</t>
  </si>
  <si>
    <t>#02608</t>
  </si>
  <si>
    <t>#05277</t>
  </si>
  <si>
    <t>#05397</t>
  </si>
  <si>
    <t>#06572</t>
  </si>
  <si>
    <t>#06628</t>
  </si>
  <si>
    <t>#08368</t>
  </si>
  <si>
    <t>#09357</t>
  </si>
  <si>
    <t>Trần Văn Tấn</t>
  </si>
  <si>
    <t>#09651</t>
  </si>
  <si>
    <t>#09997</t>
  </si>
  <si>
    <t>#10454</t>
  </si>
  <si>
    <t>#12121</t>
  </si>
  <si>
    <t>#13013</t>
  </si>
  <si>
    <t>#15058</t>
  </si>
  <si>
    <t>#15194</t>
  </si>
  <si>
    <t>#15427</t>
  </si>
  <si>
    <t>#15650</t>
  </si>
  <si>
    <t>Trương Thị Lan</t>
  </si>
  <si>
    <t>#17088</t>
  </si>
  <si>
    <t>#17404</t>
  </si>
  <si>
    <t>#17406</t>
  </si>
  <si>
    <t>#17830</t>
  </si>
  <si>
    <t>#17866</t>
  </si>
  <si>
    <t>#18369</t>
  </si>
  <si>
    <t>Bùi Văn Thái</t>
  </si>
  <si>
    <t>#18955</t>
  </si>
  <si>
    <t>#19785</t>
  </si>
  <si>
    <t>#19786</t>
  </si>
  <si>
    <t>#19901</t>
  </si>
  <si>
    <t>Phạm Văn Quyết</t>
  </si>
  <si>
    <t>#19954</t>
  </si>
  <si>
    <t>#19983</t>
  </si>
  <si>
    <t>#20056</t>
  </si>
  <si>
    <t>#20157</t>
  </si>
  <si>
    <t>#20727</t>
  </si>
  <si>
    <t>#20736</t>
  </si>
  <si>
    <t>#22186</t>
  </si>
  <si>
    <t>#22187</t>
  </si>
  <si>
    <t>Nguyễn Minh Tú</t>
  </si>
  <si>
    <t>#03304</t>
  </si>
  <si>
    <t>#03308</t>
  </si>
  <si>
    <t>#03908</t>
  </si>
  <si>
    <t>#04924</t>
  </si>
  <si>
    <t>#05294</t>
  </si>
  <si>
    <t>#06505</t>
  </si>
  <si>
    <t>#07914</t>
  </si>
  <si>
    <t>#08838</t>
  </si>
  <si>
    <t>#09447</t>
  </si>
  <si>
    <t>#10661</t>
  </si>
  <si>
    <t>#15193</t>
  </si>
  <si>
    <t>Đinh Xuân Trường</t>
  </si>
  <si>
    <t>#16506</t>
  </si>
  <si>
    <t>#19857</t>
  </si>
  <si>
    <t>#19859</t>
  </si>
  <si>
    <t>#19877</t>
  </si>
  <si>
    <t>#19982</t>
  </si>
  <si>
    <t>#20358</t>
  </si>
  <si>
    <t>#20505</t>
  </si>
  <si>
    <t>#22185</t>
  </si>
  <si>
    <t>#00816</t>
  </si>
  <si>
    <t>#09519</t>
  </si>
  <si>
    <t>#17405</t>
  </si>
  <si>
    <t>#17825</t>
  </si>
  <si>
    <t>#01099</t>
  </si>
  <si>
    <t>#07895</t>
  </si>
  <si>
    <t>#08855</t>
  </si>
  <si>
    <t>#00458</t>
  </si>
  <si>
    <t>#00682</t>
  </si>
  <si>
    <t>#00701</t>
  </si>
  <si>
    <t>#03361</t>
  </si>
  <si>
    <t>#04240</t>
  </si>
  <si>
    <t>#13287</t>
  </si>
  <si>
    <t>#15655</t>
  </si>
  <si>
    <t>#16061</t>
  </si>
  <si>
    <t>Đỗ Cao Quang</t>
  </si>
  <si>
    <t>#00748</t>
  </si>
  <si>
    <t>#03401</t>
  </si>
  <si>
    <t>#04241</t>
  </si>
  <si>
    <t>#04242</t>
  </si>
  <si>
    <t>#04454</t>
  </si>
  <si>
    <t>Phạm Văn Huy</t>
  </si>
  <si>
    <t>#04559</t>
  </si>
  <si>
    <t>#04676</t>
  </si>
  <si>
    <t>#05278</t>
  </si>
  <si>
    <t>#05401</t>
  </si>
  <si>
    <t>#05694</t>
  </si>
  <si>
    <t>#05771</t>
  </si>
  <si>
    <t>#06719</t>
  </si>
  <si>
    <t>#09241</t>
  </si>
  <si>
    <t>#09585</t>
  </si>
  <si>
    <t>#09641</t>
  </si>
  <si>
    <t>#12009</t>
  </si>
  <si>
    <t>#13689</t>
  </si>
  <si>
    <t>Tạ Thị ánh</t>
  </si>
  <si>
    <t>#13702</t>
  </si>
  <si>
    <t>Nguyễn Hiến</t>
  </si>
  <si>
    <t>#13716</t>
  </si>
  <si>
    <t>#18617</t>
  </si>
  <si>
    <t>Phạm Văn Thái</t>
  </si>
  <si>
    <t>#18645</t>
  </si>
  <si>
    <t>#18647</t>
  </si>
  <si>
    <t>#18684</t>
  </si>
  <si>
    <t>#18852</t>
  </si>
  <si>
    <t>#18857</t>
  </si>
  <si>
    <t>#19059</t>
  </si>
  <si>
    <t>Khổng Thị Lan</t>
  </si>
  <si>
    <t>#19989</t>
  </si>
  <si>
    <t>#20128</t>
  </si>
  <si>
    <t>#20382</t>
  </si>
  <si>
    <t>#20444</t>
  </si>
  <si>
    <t>#20446</t>
  </si>
  <si>
    <t>#20513</t>
  </si>
  <si>
    <t>Đào Văn Tiến</t>
  </si>
  <si>
    <t>#20697</t>
  </si>
  <si>
    <t>#20745</t>
  </si>
  <si>
    <t>#20993</t>
  </si>
  <si>
    <t>#21167</t>
  </si>
  <si>
    <t>#21168</t>
  </si>
  <si>
    <t>#22686</t>
  </si>
  <si>
    <t>#22688</t>
  </si>
  <si>
    <t>#22799</t>
  </si>
  <si>
    <t>Nguyễn Hoàng Sơn</t>
  </si>
  <si>
    <t>#24790</t>
  </si>
  <si>
    <t>#25000</t>
  </si>
  <si>
    <t>Đỗ Văn Thường</t>
  </si>
  <si>
    <t>#25001</t>
  </si>
  <si>
    <t>#25002</t>
  </si>
  <si>
    <t>Nguyễn Văn Thi</t>
  </si>
  <si>
    <t>#25003</t>
  </si>
  <si>
    <t>Đào Quốc Việt</t>
  </si>
  <si>
    <t>#25004</t>
  </si>
  <si>
    <t>Nghiêm Văn Thuần</t>
  </si>
  <si>
    <t>#25470</t>
  </si>
  <si>
    <t>Bùi Văn Thành Tài</t>
  </si>
  <si>
    <t>#25471</t>
  </si>
  <si>
    <t>#25472</t>
  </si>
  <si>
    <t>#25535</t>
  </si>
  <si>
    <t>#25564</t>
  </si>
  <si>
    <t>#25770</t>
  </si>
  <si>
    <t>#25771</t>
  </si>
  <si>
    <t>Đỗ Quốc Nghĩa</t>
  </si>
  <si>
    <t>#25772</t>
  </si>
  <si>
    <t>#25773</t>
  </si>
  <si>
    <t>#26006</t>
  </si>
  <si>
    <t>Nguyễn Quang Đoàn</t>
  </si>
  <si>
    <t>#26026</t>
  </si>
  <si>
    <t>#26093</t>
  </si>
  <si>
    <t>#26108</t>
  </si>
  <si>
    <t>Khổng Văn Huấn</t>
  </si>
  <si>
    <t>#26122</t>
  </si>
  <si>
    <t>#26137</t>
  </si>
  <si>
    <t>#26145</t>
  </si>
  <si>
    <t>Lưu Ngọc Ánh</t>
  </si>
  <si>
    <t>#26146</t>
  </si>
  <si>
    <t>Vũ Tài Nam</t>
  </si>
  <si>
    <t>#26147</t>
  </si>
  <si>
    <t>Phùng Quang Hiệp</t>
  </si>
  <si>
    <t>#26148</t>
  </si>
  <si>
    <t>#26310</t>
  </si>
  <si>
    <t>#26316</t>
  </si>
  <si>
    <t>#26341</t>
  </si>
  <si>
    <t>#26480</t>
  </si>
  <si>
    <t>Đào Huy Dần</t>
  </si>
  <si>
    <t>#00478</t>
  </si>
  <si>
    <t>#00590</t>
  </si>
  <si>
    <t>#00944</t>
  </si>
  <si>
    <t>#02306</t>
  </si>
  <si>
    <t>#02666</t>
  </si>
  <si>
    <t>#02757</t>
  </si>
  <si>
    <t>#05329</t>
  </si>
  <si>
    <t>#05430</t>
  </si>
  <si>
    <t>#08788</t>
  </si>
  <si>
    <t>#09389</t>
  </si>
  <si>
    <t>#09532</t>
  </si>
  <si>
    <t>#09663</t>
  </si>
  <si>
    <t>#09901</t>
  </si>
  <si>
    <t>#09998</t>
  </si>
  <si>
    <t>#10304</t>
  </si>
  <si>
    <t>#11068</t>
  </si>
  <si>
    <t>#11508</t>
  </si>
  <si>
    <t>#11823</t>
  </si>
  <si>
    <t>#12448</t>
  </si>
  <si>
    <t>#13238</t>
  </si>
  <si>
    <t>#16486</t>
  </si>
  <si>
    <t>#17172</t>
  </si>
  <si>
    <t>#17198</t>
  </si>
  <si>
    <t>#17295</t>
  </si>
  <si>
    <t>#18648</t>
  </si>
  <si>
    <t>#18851</t>
  </si>
  <si>
    <t>#19665</t>
  </si>
  <si>
    <t>#19668</t>
  </si>
  <si>
    <t>Lưu Thị Phương</t>
  </si>
  <si>
    <t>#19670</t>
  </si>
  <si>
    <t>Thiều Anh Tuấn</t>
  </si>
  <si>
    <t>#20127</t>
  </si>
  <si>
    <t>#20350</t>
  </si>
  <si>
    <t>#20748</t>
  </si>
  <si>
    <t>Dương Thị Ba</t>
  </si>
  <si>
    <t>#21023</t>
  </si>
  <si>
    <t>#22689</t>
  </si>
  <si>
    <t>#22690</t>
  </si>
  <si>
    <t>#24833</t>
  </si>
  <si>
    <t>#00349</t>
  </si>
  <si>
    <t>#01041</t>
  </si>
  <si>
    <t>#03298</t>
  </si>
  <si>
    <t>#03603</t>
  </si>
  <si>
    <t>#03735</t>
  </si>
  <si>
    <t>#05416</t>
  </si>
  <si>
    <t>#07983</t>
  </si>
  <si>
    <t>#10302</t>
  </si>
  <si>
    <t>#10337</t>
  </si>
  <si>
    <t>#13239</t>
  </si>
  <si>
    <t>#14009</t>
  </si>
  <si>
    <t>#14027</t>
  </si>
  <si>
    <t>#16877</t>
  </si>
  <si>
    <t>#17200</t>
  </si>
  <si>
    <t>#17854</t>
  </si>
  <si>
    <t>#17869</t>
  </si>
  <si>
    <t>#18508</t>
  </si>
  <si>
    <t>#18643</t>
  </si>
  <si>
    <t>#19054</t>
  </si>
  <si>
    <t>#19254</t>
  </si>
  <si>
    <t>#19565</t>
  </si>
  <si>
    <t>#19663</t>
  </si>
  <si>
    <t>#19788</t>
  </si>
  <si>
    <t>#19851</t>
  </si>
  <si>
    <t>#19981</t>
  </si>
  <si>
    <t>#19988</t>
  </si>
  <si>
    <t>#20696</t>
  </si>
  <si>
    <t>#20721</t>
  </si>
  <si>
    <t>Trịnh Thị Hằng</t>
  </si>
  <si>
    <t>#20722</t>
  </si>
  <si>
    <t>#20741</t>
  </si>
  <si>
    <t>#20744</t>
  </si>
  <si>
    <t>Khổng Thị Tuyết</t>
  </si>
  <si>
    <t>#20746</t>
  </si>
  <si>
    <t>#21021</t>
  </si>
  <si>
    <t>#21022</t>
  </si>
  <si>
    <t>#21121</t>
  </si>
  <si>
    <t>Đào Thị Hợp</t>
  </si>
  <si>
    <t>#21126</t>
  </si>
  <si>
    <t>#21127</t>
  </si>
  <si>
    <t>#22685</t>
  </si>
  <si>
    <t>#22692</t>
  </si>
  <si>
    <t>#22721</t>
  </si>
  <si>
    <t>Đỗ Xuân Chiến</t>
  </si>
  <si>
    <t>SON02</t>
  </si>
  <si>
    <t>#00743</t>
  </si>
  <si>
    <t>#06542</t>
  </si>
  <si>
    <t>#12480</t>
  </si>
  <si>
    <t>#15794</t>
  </si>
  <si>
    <t>#17199</t>
  </si>
  <si>
    <t>#17758</t>
  </si>
  <si>
    <t>#19669</t>
  </si>
  <si>
    <t>#19987</t>
  </si>
  <si>
    <t>#20717</t>
  </si>
  <si>
    <t>#01580</t>
  </si>
  <si>
    <t>#04863</t>
  </si>
  <si>
    <t>#06573</t>
  </si>
  <si>
    <t>#09508</t>
  </si>
  <si>
    <t>#10509</t>
  </si>
  <si>
    <t>#19660</t>
  </si>
  <si>
    <t>Dương Văn An</t>
  </si>
  <si>
    <t>SON03</t>
  </si>
  <si>
    <t>#00063</t>
  </si>
  <si>
    <t>#07673</t>
  </si>
  <si>
    <t>#11435</t>
  </si>
  <si>
    <t>#00418</t>
  </si>
  <si>
    <t>#01069</t>
  </si>
  <si>
    <t>#01121</t>
  </si>
  <si>
    <t>#01395</t>
  </si>
  <si>
    <t>#01678</t>
  </si>
  <si>
    <t>#08164</t>
  </si>
  <si>
    <t>#09668</t>
  </si>
  <si>
    <t>#11443</t>
  </si>
  <si>
    <t>#23897</t>
  </si>
  <si>
    <t>#00693</t>
  </si>
  <si>
    <t>#00699</t>
  </si>
  <si>
    <t>#00721</t>
  </si>
  <si>
    <t>Bạch Văn Hảo</t>
  </si>
  <si>
    <t>#01379</t>
  </si>
  <si>
    <t>#03354</t>
  </si>
  <si>
    <t>#04392</t>
  </si>
  <si>
    <t>#04646</t>
  </si>
  <si>
    <t>#04836</t>
  </si>
  <si>
    <t>#05464</t>
  </si>
  <si>
    <t>#06459</t>
  </si>
  <si>
    <t>#06540</t>
  </si>
  <si>
    <t>#06930</t>
  </si>
  <si>
    <t>#07306</t>
  </si>
  <si>
    <t>#09152</t>
  </si>
  <si>
    <t>Lê Văn Công</t>
  </si>
  <si>
    <t>#09362</t>
  </si>
  <si>
    <t>#09665</t>
  </si>
  <si>
    <t>#10510</t>
  </si>
  <si>
    <t>#13704</t>
  </si>
  <si>
    <t>#13730</t>
  </si>
  <si>
    <t>#13797</t>
  </si>
  <si>
    <t>#14436</t>
  </si>
  <si>
    <t>#15647</t>
  </si>
  <si>
    <t>#17073</t>
  </si>
  <si>
    <t>#17197</t>
  </si>
  <si>
    <t>#17792</t>
  </si>
  <si>
    <t>#17872</t>
  </si>
  <si>
    <t>#18850</t>
  </si>
  <si>
    <t>#19255</t>
  </si>
  <si>
    <t>Trần Hải Nam</t>
  </si>
  <si>
    <t>#19667</t>
  </si>
  <si>
    <t>#19791</t>
  </si>
  <si>
    <t>#19880</t>
  </si>
  <si>
    <t>#19905</t>
  </si>
  <si>
    <t>#19964</t>
  </si>
  <si>
    <t>#19985</t>
  </si>
  <si>
    <t>#20066</t>
  </si>
  <si>
    <t>#20299</t>
  </si>
  <si>
    <t>#20676</t>
  </si>
  <si>
    <t>#21176</t>
  </si>
  <si>
    <t>Vương Văn Minh</t>
  </si>
  <si>
    <t>#21261</t>
  </si>
  <si>
    <t>#21564</t>
  </si>
  <si>
    <t>#21565</t>
  </si>
  <si>
    <t>#21623</t>
  </si>
  <si>
    <t>#22317</t>
  </si>
  <si>
    <t>#22840</t>
  </si>
  <si>
    <t>Trương Thị Tuyết Nhung</t>
  </si>
  <si>
    <t>#23192</t>
  </si>
  <si>
    <t>#23661</t>
  </si>
  <si>
    <t>#23896</t>
  </si>
  <si>
    <t>#23898</t>
  </si>
  <si>
    <t>Nguyễn Thế Thành</t>
  </si>
  <si>
    <t>#24632</t>
  </si>
  <si>
    <t>#24633</t>
  </si>
  <si>
    <t>#24635</t>
  </si>
  <si>
    <t>#24643</t>
  </si>
  <si>
    <t>#25005</t>
  </si>
  <si>
    <t>Đại Thị Vân</t>
  </si>
  <si>
    <t>#25006</t>
  </si>
  <si>
    <t>#25007</t>
  </si>
  <si>
    <t>Hoàng Văn Luật</t>
  </si>
  <si>
    <t>#25008</t>
  </si>
  <si>
    <t>Đỗ Thế Toàn</t>
  </si>
  <si>
    <t>#25009</t>
  </si>
  <si>
    <t>Lê Văn Bốn</t>
  </si>
  <si>
    <t>#25053</t>
  </si>
  <si>
    <t>#25054</t>
  </si>
  <si>
    <t>#25403</t>
  </si>
  <si>
    <t>Lê Văn Tư</t>
  </si>
  <si>
    <t>#25485</t>
  </si>
  <si>
    <t>#25489</t>
  </si>
  <si>
    <t>#25676</t>
  </si>
  <si>
    <t>#25808</t>
  </si>
  <si>
    <t>Nguyễn Thiên Phúc</t>
  </si>
  <si>
    <t>#25809</t>
  </si>
  <si>
    <t>#25976</t>
  </si>
  <si>
    <t>#25977</t>
  </si>
  <si>
    <t>#25983</t>
  </si>
  <si>
    <t>Lý Văn Giang</t>
  </si>
  <si>
    <t>#26007</t>
  </si>
  <si>
    <t>#26028</t>
  </si>
  <si>
    <t>#26123</t>
  </si>
  <si>
    <t>#26130</t>
  </si>
  <si>
    <t>#26149</t>
  </si>
  <si>
    <t>#26165</t>
  </si>
  <si>
    <t>Trần Văn Út</t>
  </si>
  <si>
    <t>#26185</t>
  </si>
  <si>
    <t>#00986</t>
  </si>
  <si>
    <t>#05542</t>
  </si>
  <si>
    <t>#06419</t>
  </si>
  <si>
    <t>#14356</t>
  </si>
  <si>
    <t>#14359</t>
  </si>
  <si>
    <t>#17297</t>
  </si>
  <si>
    <t>#18642</t>
  </si>
  <si>
    <t>#19457</t>
  </si>
  <si>
    <t>#19458</t>
  </si>
  <si>
    <t>Luân Đình Tuấn</t>
  </si>
  <si>
    <t>#19662</t>
  </si>
  <si>
    <t>#19782</t>
  </si>
  <si>
    <t>#19963</t>
  </si>
  <si>
    <t>#19965</t>
  </si>
  <si>
    <t>#20861</t>
  </si>
  <si>
    <t>Nguyễn Bá Duy</t>
  </si>
  <si>
    <t>#22182</t>
  </si>
  <si>
    <t>Bùi Thị Thu Huyền</t>
  </si>
  <si>
    <t>#22318</t>
  </si>
  <si>
    <t>Trần Duy Mạnh</t>
  </si>
  <si>
    <t>#22363</t>
  </si>
  <si>
    <t>#22836</t>
  </si>
  <si>
    <t>Trần Công Dân</t>
  </si>
  <si>
    <t>#23659</t>
  </si>
  <si>
    <t>#23895</t>
  </si>
  <si>
    <t>#23912</t>
  </si>
  <si>
    <t>#01211</t>
  </si>
  <si>
    <t>#03737</t>
  </si>
  <si>
    <t>#07304</t>
  </si>
  <si>
    <t>#09818</t>
  </si>
  <si>
    <t>#14355</t>
  </si>
  <si>
    <t>#15721</t>
  </si>
  <si>
    <t>#16824</t>
  </si>
  <si>
    <t>#17171</t>
  </si>
  <si>
    <t>#17263</t>
  </si>
  <si>
    <t>#17541</t>
  </si>
  <si>
    <t>#18669</t>
  </si>
  <si>
    <t>Nguyễn Văn Hân</t>
  </si>
  <si>
    <t>#18795</t>
  </si>
  <si>
    <t>#20154</t>
  </si>
  <si>
    <t>#20300</t>
  </si>
  <si>
    <t>#21173</t>
  </si>
  <si>
    <t>#21286</t>
  </si>
  <si>
    <t>#21287</t>
  </si>
  <si>
    <t>Vũ Trung Tiến</t>
  </si>
  <si>
    <t>#22325</t>
  </si>
  <si>
    <t>Đỗ Đông Đô</t>
  </si>
  <si>
    <t>#22838</t>
  </si>
  <si>
    <t>#22839</t>
  </si>
  <si>
    <t>#22841</t>
  </si>
  <si>
    <t>#23660</t>
  </si>
  <si>
    <t>#24634</t>
  </si>
  <si>
    <t>#24636</t>
  </si>
  <si>
    <t>#24637</t>
  </si>
  <si>
    <t>#24638</t>
  </si>
  <si>
    <t>張陸軍</t>
  </si>
  <si>
    <t>#01197</t>
  </si>
  <si>
    <t>#04441</t>
  </si>
  <si>
    <t>#06716</t>
  </si>
  <si>
    <t>#08554</t>
  </si>
  <si>
    <t>#08557</t>
  </si>
  <si>
    <t>#10104</t>
  </si>
  <si>
    <t>#11455</t>
  </si>
  <si>
    <t>#13072</t>
  </si>
  <si>
    <t>#13320</t>
  </si>
  <si>
    <t>#13586</t>
  </si>
  <si>
    <t>#13846</t>
  </si>
  <si>
    <t>#15504</t>
  </si>
  <si>
    <t>#15941</t>
  </si>
  <si>
    <t>#16880</t>
  </si>
  <si>
    <t>#17270</t>
  </si>
  <si>
    <t>#18058</t>
  </si>
  <si>
    <t>Giang Thanh Tùng</t>
  </si>
  <si>
    <t>#19778</t>
  </si>
  <si>
    <t>#20874</t>
  </si>
  <si>
    <t>#21274</t>
  </si>
  <si>
    <t>#23884</t>
  </si>
  <si>
    <t>#23922</t>
  </si>
  <si>
    <t>Vũ Trung Kiên</t>
  </si>
  <si>
    <t>#24019</t>
  </si>
  <si>
    <t>#24205</t>
  </si>
  <si>
    <t>#24207</t>
  </si>
  <si>
    <t>#24640</t>
  </si>
  <si>
    <t>Chu Quang Tài</t>
  </si>
  <si>
    <t>#24690</t>
  </si>
  <si>
    <t>Lê Khải Oai</t>
  </si>
  <si>
    <t>#24753</t>
  </si>
  <si>
    <t>#24754</t>
  </si>
  <si>
    <t>#00277</t>
  </si>
  <si>
    <t>#00516</t>
  </si>
  <si>
    <t>#01299</t>
  </si>
  <si>
    <t>#01406</t>
  </si>
  <si>
    <t>#01450</t>
  </si>
  <si>
    <t>#01974</t>
  </si>
  <si>
    <t>#03483</t>
  </si>
  <si>
    <t>#04432</t>
  </si>
  <si>
    <t>#04753</t>
  </si>
  <si>
    <t>#05055</t>
  </si>
  <si>
    <t>#05575</t>
  </si>
  <si>
    <t>#06335</t>
  </si>
  <si>
    <t>#06336</t>
  </si>
  <si>
    <t>#06853</t>
  </si>
  <si>
    <t>#08524</t>
  </si>
  <si>
    <t>#09443</t>
  </si>
  <si>
    <t>#09483</t>
  </si>
  <si>
    <t>#10236</t>
  </si>
  <si>
    <t>#11634</t>
  </si>
  <si>
    <t>#11635</t>
  </si>
  <si>
    <t>#13319</t>
  </si>
  <si>
    <t>#13590</t>
  </si>
  <si>
    <t>#17740</t>
  </si>
  <si>
    <t>#17883</t>
  </si>
  <si>
    <t>#17884</t>
  </si>
  <si>
    <t>#18255</t>
  </si>
  <si>
    <t>#18569</t>
  </si>
  <si>
    <t>#18796</t>
  </si>
  <si>
    <t>#19344</t>
  </si>
  <si>
    <t>#19755</t>
  </si>
  <si>
    <t>Khổng Văn Duy</t>
  </si>
  <si>
    <t>#19856</t>
  </si>
  <si>
    <t>#20012</t>
  </si>
  <si>
    <t>#21275</t>
  </si>
  <si>
    <t>#23170</t>
  </si>
  <si>
    <t>#23836</t>
  </si>
  <si>
    <t>#24189</t>
  </si>
  <si>
    <t>#24292</t>
  </si>
  <si>
    <t>#24331</t>
  </si>
  <si>
    <t>#24688</t>
  </si>
  <si>
    <t>Đào Quang Hưng</t>
  </si>
  <si>
    <t>#24752</t>
  </si>
  <si>
    <t>#25450</t>
  </si>
  <si>
    <t>Đào Tuấn Anh</t>
  </si>
  <si>
    <t>#25451</t>
  </si>
  <si>
    <t>Đinh Ngọc Việt</t>
  </si>
  <si>
    <t>#25452</t>
  </si>
  <si>
    <t>#25453</t>
  </si>
  <si>
    <t>#25654</t>
  </si>
  <si>
    <t>#25655</t>
  </si>
  <si>
    <t>#25656</t>
  </si>
  <si>
    <t>Đặng Hồng Quân</t>
  </si>
  <si>
    <t>#25657</t>
  </si>
  <si>
    <t>#25893</t>
  </si>
  <si>
    <t>#26002</t>
  </si>
  <si>
    <t>#26117</t>
  </si>
  <si>
    <t>#26191</t>
  </si>
  <si>
    <t>#26211</t>
  </si>
  <si>
    <t>#26330</t>
  </si>
  <si>
    <t>#26427</t>
  </si>
  <si>
    <t>#00056</t>
  </si>
  <si>
    <t>#00112</t>
  </si>
  <si>
    <t>#03020</t>
  </si>
  <si>
    <t>#03684</t>
  </si>
  <si>
    <t>Dương Mạnh Hùng</t>
  </si>
  <si>
    <t>#03765</t>
  </si>
  <si>
    <t>#10189</t>
  </si>
  <si>
    <t>#10948</t>
  </si>
  <si>
    <t>#11365</t>
  </si>
  <si>
    <t>#11400</t>
  </si>
  <si>
    <t>#13588</t>
  </si>
  <si>
    <t>#14145</t>
  </si>
  <si>
    <t>#15939</t>
  </si>
  <si>
    <t>Doãn Tiến Quý</t>
  </si>
  <si>
    <t>#16983</t>
  </si>
  <si>
    <t>#18568</t>
  </si>
  <si>
    <t>#19424</t>
  </si>
  <si>
    <t>#19757</t>
  </si>
  <si>
    <t>#19758</t>
  </si>
  <si>
    <t>#20365</t>
  </si>
  <si>
    <t>#20368</t>
  </si>
  <si>
    <t>#20369</t>
  </si>
  <si>
    <t>#20674</t>
  </si>
  <si>
    <t>#23883</t>
  </si>
  <si>
    <t>Nguyễn Trung Đức</t>
  </si>
  <si>
    <t>#24018</t>
  </si>
  <si>
    <t>#24293</t>
  </si>
  <si>
    <t>#24689</t>
  </si>
  <si>
    <t>#24874</t>
  </si>
  <si>
    <t>#25147</t>
  </si>
  <si>
    <t>#22655</t>
  </si>
  <si>
    <t>#00168</t>
  </si>
  <si>
    <t>#00289</t>
  </si>
  <si>
    <t>#00295</t>
  </si>
  <si>
    <t>#00789</t>
  </si>
  <si>
    <t>#00790</t>
  </si>
  <si>
    <t>#00938</t>
  </si>
  <si>
    <t>Đinh Công Nam</t>
  </si>
  <si>
    <t>#00980</t>
  </si>
  <si>
    <t>#04106</t>
  </si>
  <si>
    <t>#07065</t>
  </si>
  <si>
    <t>#08556</t>
  </si>
  <si>
    <t>#09696</t>
  </si>
  <si>
    <t>#10950</t>
  </si>
  <si>
    <t>#13664</t>
  </si>
  <si>
    <t>#14820</t>
  </si>
  <si>
    <t>#14822</t>
  </si>
  <si>
    <t>#17684</t>
  </si>
  <si>
    <t>#18160</t>
  </si>
  <si>
    <t>#18463</t>
  </si>
  <si>
    <t>#18629</t>
  </si>
  <si>
    <t>Trần Xuân Đức</t>
  </si>
  <si>
    <t>#24188</t>
  </si>
  <si>
    <t>Hồ Đức Anh</t>
  </si>
  <si>
    <t>#24204</t>
  </si>
  <si>
    <t>#24296</t>
  </si>
  <si>
    <t>Bùi Quang Lượng</t>
  </si>
  <si>
    <t>#24524</t>
  </si>
  <si>
    <t>#24639</t>
  </si>
  <si>
    <t>#25020</t>
  </si>
  <si>
    <t>#25021</t>
  </si>
  <si>
    <t>#05576</t>
  </si>
  <si>
    <t>#10184</t>
  </si>
  <si>
    <t>#10187</t>
  </si>
  <si>
    <t>#10191</t>
  </si>
  <si>
    <t>#10947</t>
  </si>
  <si>
    <t>#11713</t>
  </si>
  <si>
    <t>#13318</t>
  </si>
  <si>
    <t>#14259</t>
  </si>
  <si>
    <t>#15570</t>
  </si>
  <si>
    <t>#16059</t>
  </si>
  <si>
    <t>#16741</t>
  </si>
  <si>
    <t>#17882</t>
  </si>
  <si>
    <t>Lê Triệu Nam</t>
  </si>
  <si>
    <t>#20014</t>
  </si>
  <si>
    <t>#20366</t>
  </si>
  <si>
    <t>#24017</t>
  </si>
  <si>
    <t>#24641</t>
  </si>
  <si>
    <t>KF01</t>
  </si>
  <si>
    <t>KAIFA01</t>
  </si>
  <si>
    <t>Vũ Thanh Hương</t>
  </si>
  <si>
    <t>KF02</t>
  </si>
  <si>
    <t>KAIFA02</t>
  </si>
  <si>
    <t>KF03</t>
  </si>
  <si>
    <t>KAIFA03</t>
  </si>
  <si>
    <t>游式強</t>
  </si>
  <si>
    <t>#20067</t>
  </si>
  <si>
    <t>#20625</t>
  </si>
  <si>
    <t>#20715</t>
  </si>
  <si>
    <t>#25903</t>
  </si>
  <si>
    <t>#25904</t>
  </si>
  <si>
    <t>Đoàn Ngọc Ánh</t>
  </si>
  <si>
    <t>#25905</t>
  </si>
  <si>
    <t>Lê Ngọc Linh</t>
  </si>
  <si>
    <t>#00620</t>
  </si>
  <si>
    <t>#06539</t>
  </si>
  <si>
    <t>#06743</t>
  </si>
  <si>
    <t>#07849</t>
  </si>
  <si>
    <t>#18150</t>
  </si>
  <si>
    <t>#03412</t>
  </si>
  <si>
    <t>#08907</t>
  </si>
  <si>
    <t>#20069</t>
  </si>
  <si>
    <t>#25718</t>
  </si>
  <si>
    <t>#07765</t>
  </si>
  <si>
    <t>#10831</t>
  </si>
  <si>
    <t>#11255</t>
  </si>
  <si>
    <t>#11704</t>
  </si>
  <si>
    <t>#11712</t>
  </si>
  <si>
    <t>#13110</t>
  </si>
  <si>
    <t>#13595</t>
  </si>
  <si>
    <t>#13598</t>
  </si>
  <si>
    <t>#15372</t>
  </si>
  <si>
    <t>#15373</t>
  </si>
  <si>
    <t>Nguyễn Quốc Bộ</t>
  </si>
  <si>
    <t>#15374</t>
  </si>
  <si>
    <t>#15375</t>
  </si>
  <si>
    <t>#15619</t>
  </si>
  <si>
    <t>#15623</t>
  </si>
  <si>
    <t>#17877</t>
  </si>
  <si>
    <t>#17879</t>
  </si>
  <si>
    <t>Vũ Thanh Hưng</t>
  </si>
  <si>
    <t>#18147</t>
  </si>
  <si>
    <t>#18151</t>
  </si>
  <si>
    <t>Phùng Quang Huy</t>
  </si>
  <si>
    <t>#22232</t>
  </si>
  <si>
    <t>#22233</t>
  </si>
  <si>
    <t>#25719</t>
  </si>
  <si>
    <t>#25720</t>
  </si>
  <si>
    <t>#25721</t>
  </si>
  <si>
    <t>Dương Đức Thuận</t>
  </si>
  <si>
    <t>#25722</t>
  </si>
  <si>
    <t>#25723</t>
  </si>
  <si>
    <t>#26066</t>
  </si>
  <si>
    <t>#26250</t>
  </si>
  <si>
    <t>#26251</t>
  </si>
  <si>
    <t>#26253</t>
  </si>
  <si>
    <t>#26254</t>
  </si>
  <si>
    <t>#00067</t>
  </si>
  <si>
    <t>#00402</t>
  </si>
  <si>
    <t>#00717</t>
  </si>
  <si>
    <t>#00753</t>
  </si>
  <si>
    <t>#01270</t>
  </si>
  <si>
    <t>#01467</t>
  </si>
  <si>
    <t>#02469</t>
  </si>
  <si>
    <t>#02690</t>
  </si>
  <si>
    <t>#02821</t>
  </si>
  <si>
    <t>#02982</t>
  </si>
  <si>
    <t>#03046</t>
  </si>
  <si>
    <t>#03264</t>
  </si>
  <si>
    <t>#03363</t>
  </si>
  <si>
    <t>#03413</t>
  </si>
  <si>
    <t>#03417</t>
  </si>
  <si>
    <t>#03582</t>
  </si>
  <si>
    <t>#03583</t>
  </si>
  <si>
    <t>#03832</t>
  </si>
  <si>
    <t>#03919</t>
  </si>
  <si>
    <t>#03924</t>
  </si>
  <si>
    <t>#04042</t>
  </si>
  <si>
    <t>#04283</t>
  </si>
  <si>
    <t>#04309</t>
  </si>
  <si>
    <t>#04345</t>
  </si>
  <si>
    <t>#06341</t>
  </si>
  <si>
    <t>#06484</t>
  </si>
  <si>
    <t>#06534</t>
  </si>
  <si>
    <t>#06685</t>
  </si>
  <si>
    <t>#06689</t>
  </si>
  <si>
    <t>#06815</t>
  </si>
  <si>
    <t>#07154</t>
  </si>
  <si>
    <t>#07158</t>
  </si>
  <si>
    <t>#07703</t>
  </si>
  <si>
    <t>#07766</t>
  </si>
  <si>
    <t>#07768</t>
  </si>
  <si>
    <t>#07769</t>
  </si>
  <si>
    <t>#07770</t>
  </si>
  <si>
    <t>#07846</t>
  </si>
  <si>
    <t>#08082</t>
  </si>
  <si>
    <t>#08086</t>
  </si>
  <si>
    <t>#08116</t>
  </si>
  <si>
    <t>#10408</t>
  </si>
  <si>
    <t>#10411</t>
  </si>
  <si>
    <t>#10566</t>
  </si>
  <si>
    <t>#10570</t>
  </si>
  <si>
    <t>#10574</t>
  </si>
  <si>
    <t>#10608</t>
  </si>
  <si>
    <t>#10835</t>
  </si>
  <si>
    <t>#10836</t>
  </si>
  <si>
    <t>#11148</t>
  </si>
  <si>
    <t>#11294</t>
  </si>
  <si>
    <t>#11703</t>
  </si>
  <si>
    <t>#13741</t>
  </si>
  <si>
    <t>#14074</t>
  </si>
  <si>
    <t>#16141</t>
  </si>
  <si>
    <t>#16296</t>
  </si>
  <si>
    <t>#16730</t>
  </si>
  <si>
    <t>#16731</t>
  </si>
  <si>
    <t>#16734</t>
  </si>
  <si>
    <t>#17066</t>
  </si>
  <si>
    <t>#17522</t>
  </si>
  <si>
    <t>Lăng Văn Ngọc</t>
  </si>
  <si>
    <t>#17587</t>
  </si>
  <si>
    <t>#17590</t>
  </si>
  <si>
    <t>#17880</t>
  </si>
  <si>
    <t>#17923</t>
  </si>
  <si>
    <t>#18149</t>
  </si>
  <si>
    <t>#19134</t>
  </si>
  <si>
    <t>#20670</t>
  </si>
  <si>
    <t>#20752</t>
  </si>
  <si>
    <t>Bùi Đức Hậu</t>
  </si>
  <si>
    <t>#00260</t>
  </si>
  <si>
    <t>#03203</t>
  </si>
  <si>
    <t>#05672</t>
  </si>
  <si>
    <t>#09791</t>
  </si>
  <si>
    <t>#10407</t>
  </si>
  <si>
    <t>#17650</t>
  </si>
  <si>
    <t>#02823</t>
  </si>
  <si>
    <t>#05956</t>
  </si>
  <si>
    <t>#08115</t>
  </si>
  <si>
    <t>#11257</t>
  </si>
  <si>
    <t>#11295</t>
  </si>
  <si>
    <t>#11701</t>
  </si>
  <si>
    <t>#12938</t>
  </si>
  <si>
    <t>#17588</t>
  </si>
  <si>
    <t>#20750</t>
  </si>
  <si>
    <t>#21760</t>
  </si>
  <si>
    <t>#00248</t>
  </si>
  <si>
    <t>#00605</t>
  </si>
  <si>
    <t>#00727</t>
  </si>
  <si>
    <t>#01062</t>
  </si>
  <si>
    <t>#01271</t>
  </si>
  <si>
    <t>#01297</t>
  </si>
  <si>
    <t>#01703</t>
  </si>
  <si>
    <t>#02468</t>
  </si>
  <si>
    <t>#03410</t>
  </si>
  <si>
    <t>#03584</t>
  </si>
  <si>
    <t>#03585</t>
  </si>
  <si>
    <t>#03910</t>
  </si>
  <si>
    <t>#04191</t>
  </si>
  <si>
    <t>Hoàng Vinh Tú</t>
  </si>
  <si>
    <t>#04509</t>
  </si>
  <si>
    <t>#05177</t>
  </si>
  <si>
    <t>#06480</t>
  </si>
  <si>
    <t>#06481</t>
  </si>
  <si>
    <t>#06686</t>
  </si>
  <si>
    <t>#06687</t>
  </si>
  <si>
    <t>#06688</t>
  </si>
  <si>
    <t>#06694</t>
  </si>
  <si>
    <t>#06698</t>
  </si>
  <si>
    <t>#06790</t>
  </si>
  <si>
    <t>#06792</t>
  </si>
  <si>
    <t>#06793</t>
  </si>
  <si>
    <t>#06821</t>
  </si>
  <si>
    <t>#07182</t>
  </si>
  <si>
    <t>Hoàng Văn Đăng</t>
  </si>
  <si>
    <t>#07186</t>
  </si>
  <si>
    <t>#07249</t>
  </si>
  <si>
    <t>#07250</t>
  </si>
  <si>
    <t>#07251</t>
  </si>
  <si>
    <t>#07767</t>
  </si>
  <si>
    <t>#08901</t>
  </si>
  <si>
    <t>#08902</t>
  </si>
  <si>
    <t>#08906</t>
  </si>
  <si>
    <t>Nguyễn Văn Kiểm</t>
  </si>
  <si>
    <t>#09786</t>
  </si>
  <si>
    <t>#10402</t>
  </si>
  <si>
    <t>#10573</t>
  </si>
  <si>
    <t>#10604</t>
  </si>
  <si>
    <t>#10833</t>
  </si>
  <si>
    <t>#11151</t>
  </si>
  <si>
    <t>#13034</t>
  </si>
  <si>
    <t>#15618</t>
  </si>
  <si>
    <t>Lê Việt Hoàng</t>
  </si>
  <si>
    <t>#15621</t>
  </si>
  <si>
    <t>#15952</t>
  </si>
  <si>
    <t>#16291</t>
  </si>
  <si>
    <t>#16293</t>
  </si>
  <si>
    <t>#16747</t>
  </si>
  <si>
    <t>#17068</t>
  </si>
  <si>
    <t>#17069</t>
  </si>
  <si>
    <t>#17521</t>
  </si>
  <si>
    <t>#17921</t>
  </si>
  <si>
    <t>#18148</t>
  </si>
  <si>
    <t>#18152</t>
  </si>
  <si>
    <t>#18409</t>
  </si>
  <si>
    <t>#18410</t>
  </si>
  <si>
    <t>#19428</t>
  </si>
  <si>
    <t>#19429</t>
  </si>
  <si>
    <t>Bùi Minh Đăng</t>
  </si>
  <si>
    <t>#20242</t>
  </si>
  <si>
    <t>#20329</t>
  </si>
  <si>
    <t>#20370</t>
  </si>
  <si>
    <t>#20569</t>
  </si>
  <si>
    <t>#20672</t>
  </si>
  <si>
    <t>#20749</t>
  </si>
  <si>
    <t>#20754</t>
  </si>
  <si>
    <t>#21758</t>
  </si>
  <si>
    <t>#21759</t>
  </si>
  <si>
    <t>#24411</t>
  </si>
  <si>
    <t>Trần Quốc Huy</t>
  </si>
  <si>
    <t>#02115</t>
  </si>
  <si>
    <t>#02116</t>
  </si>
  <si>
    <t>#04284</t>
  </si>
  <si>
    <t>#04506</t>
  </si>
  <si>
    <t>#07706</t>
  </si>
  <si>
    <t>#08900</t>
  </si>
  <si>
    <t>#09788</t>
  </si>
  <si>
    <t>#10405</t>
  </si>
  <si>
    <t>#10603</t>
  </si>
  <si>
    <t>#10607</t>
  </si>
  <si>
    <t>#11293</t>
  </si>
  <si>
    <t>#13985</t>
  </si>
  <si>
    <t>Hoàng Hữu Thuần</t>
  </si>
  <si>
    <t>#14079</t>
  </si>
  <si>
    <t>#16199</t>
  </si>
  <si>
    <t>#16508</t>
  </si>
  <si>
    <t>#20373</t>
  </si>
  <si>
    <t>Bùi Đức Cường</t>
  </si>
  <si>
    <t>#12802</t>
  </si>
  <si>
    <t>Hoàng Tường Vi</t>
  </si>
  <si>
    <t>Nguyễn Trung Nguyên</t>
  </si>
  <si>
    <t>#23791</t>
  </si>
  <si>
    <t>#23541</t>
  </si>
  <si>
    <t>Triệu Kiều Anh</t>
  </si>
  <si>
    <t>Ngô Thị Minh Huế</t>
  </si>
  <si>
    <t>#26267</t>
  </si>
  <si>
    <t>#02065</t>
  </si>
  <si>
    <t>#01625</t>
  </si>
  <si>
    <t>Nguyễn Hải Yến</t>
  </si>
  <si>
    <t>#01633</t>
  </si>
  <si>
    <t>#02170</t>
  </si>
  <si>
    <t>#02501</t>
  </si>
  <si>
    <t>#02635</t>
  </si>
  <si>
    <t>#22787</t>
  </si>
  <si>
    <t>#23057</t>
  </si>
  <si>
    <t>#09751</t>
  </si>
  <si>
    <t>#20865</t>
  </si>
  <si>
    <t>#26210</t>
  </si>
  <si>
    <t>#26308</t>
  </si>
  <si>
    <t>#26358</t>
  </si>
  <si>
    <t>#00499</t>
  </si>
  <si>
    <t>#00956</t>
  </si>
  <si>
    <t>#01755</t>
  </si>
  <si>
    <t>#06734</t>
  </si>
  <si>
    <t>#07947</t>
  </si>
  <si>
    <t>#08424</t>
  </si>
  <si>
    <t>#09640</t>
  </si>
  <si>
    <t>#09855</t>
  </si>
  <si>
    <t>#11873</t>
  </si>
  <si>
    <t>#21403</t>
  </si>
  <si>
    <t>#03538</t>
  </si>
  <si>
    <t>#09495</t>
  </si>
  <si>
    <t>#00962</t>
  </si>
  <si>
    <t>#02431</t>
  </si>
  <si>
    <t>#02831</t>
  </si>
  <si>
    <t>#10553</t>
  </si>
  <si>
    <t>#16437</t>
  </si>
  <si>
    <t>#19416</t>
  </si>
  <si>
    <t>#01439</t>
  </si>
  <si>
    <t>#02314</t>
  </si>
  <si>
    <t>#05114</t>
  </si>
  <si>
    <t>#05231</t>
  </si>
  <si>
    <t>#06094</t>
  </si>
  <si>
    <t>#09497</t>
  </si>
  <si>
    <t>#09856</t>
  </si>
  <si>
    <t>#11865</t>
  </si>
  <si>
    <t>Dương Văn Tân</t>
  </si>
  <si>
    <t>#19090</t>
  </si>
  <si>
    <t>#20281</t>
  </si>
  <si>
    <t>#21659</t>
  </si>
  <si>
    <t>Trần Đình Thảo</t>
  </si>
  <si>
    <t>#22587</t>
  </si>
  <si>
    <t>Hà Đức Thịnh</t>
  </si>
  <si>
    <t>#22601</t>
  </si>
  <si>
    <t>Xa Thị Hương</t>
  </si>
  <si>
    <t>#23233</t>
  </si>
  <si>
    <t>#24054</t>
  </si>
  <si>
    <t>#24116</t>
  </si>
  <si>
    <t>#24121</t>
  </si>
  <si>
    <t>#24141</t>
  </si>
  <si>
    <t>#24696</t>
  </si>
  <si>
    <t>#24697</t>
  </si>
  <si>
    <t>#24791</t>
  </si>
  <si>
    <t>Đàm Hồng Công</t>
  </si>
  <si>
    <t>#24826</t>
  </si>
  <si>
    <t>#24856</t>
  </si>
  <si>
    <t>Khổng Văn Kiên</t>
  </si>
  <si>
    <t>#24857</t>
  </si>
  <si>
    <t>Đặng Quang Linh</t>
  </si>
  <si>
    <t>#24858</t>
  </si>
  <si>
    <t>#24860</t>
  </si>
  <si>
    <t>Ngô Trung Hải</t>
  </si>
  <si>
    <t>#24861</t>
  </si>
  <si>
    <t>Giàng A Chiu</t>
  </si>
  <si>
    <t>#24875</t>
  </si>
  <si>
    <t>Nguyễn Minh Ngọc</t>
  </si>
  <si>
    <t>#24876</t>
  </si>
  <si>
    <t>#24877</t>
  </si>
  <si>
    <t>Đào Văn Thực</t>
  </si>
  <si>
    <t>#24902</t>
  </si>
  <si>
    <t>Vũ Văn Cường</t>
  </si>
  <si>
    <t>#24903</t>
  </si>
  <si>
    <t>Phạm Xuân Hoàng</t>
  </si>
  <si>
    <t>#24904</t>
  </si>
  <si>
    <t>Lưu Văn Quý</t>
  </si>
  <si>
    <t>#24905</t>
  </si>
  <si>
    <t>Ngàn Văn Hòa</t>
  </si>
  <si>
    <t>#24908</t>
  </si>
  <si>
    <t>Nguyễn Đức Toản</t>
  </si>
  <si>
    <t>#24921</t>
  </si>
  <si>
    <t>Hảng A Páo</t>
  </si>
  <si>
    <t>#24923</t>
  </si>
  <si>
    <t>Tống Minh Vương</t>
  </si>
  <si>
    <t>#24924</t>
  </si>
  <si>
    <t>Lèo Văn Pầng</t>
  </si>
  <si>
    <t>#24925</t>
  </si>
  <si>
    <t>Đào Duy Hưởng</t>
  </si>
  <si>
    <t>#24932</t>
  </si>
  <si>
    <t>Nguyễn Thế Điệp</t>
  </si>
  <si>
    <t>#24986</t>
  </si>
  <si>
    <t>#24987</t>
  </si>
  <si>
    <t>#24988</t>
  </si>
  <si>
    <t>Nông Văn Toàn</t>
  </si>
  <si>
    <t>#24989</t>
  </si>
  <si>
    <t>Hoàng Trung Kiên</t>
  </si>
  <si>
    <t>#24990</t>
  </si>
  <si>
    <t>Lý Văn Mạnh</t>
  </si>
  <si>
    <t>#24991</t>
  </si>
  <si>
    <t>Hoàng Văn Thuyết</t>
  </si>
  <si>
    <t>#24992</t>
  </si>
  <si>
    <t>Lê Văn Cần</t>
  </si>
  <si>
    <t>#25091</t>
  </si>
  <si>
    <t>Phàng A Sàng</t>
  </si>
  <si>
    <t>#25210</t>
  </si>
  <si>
    <t>Trương Quý Mùi</t>
  </si>
  <si>
    <t>#25228</t>
  </si>
  <si>
    <t>#25272</t>
  </si>
  <si>
    <t>#25378</t>
  </si>
  <si>
    <t>#25473</t>
  </si>
  <si>
    <t>#25474</t>
  </si>
  <si>
    <t>#25528</t>
  </si>
  <si>
    <t>#25731</t>
  </si>
  <si>
    <t>Nguyễn Tiến Thắng</t>
  </si>
  <si>
    <t>#25748</t>
  </si>
  <si>
    <t>Đỗ Trần Hoàng</t>
  </si>
  <si>
    <t>#25849</t>
  </si>
  <si>
    <t>Đặng Văn Thế</t>
  </si>
  <si>
    <t>#25857</t>
  </si>
  <si>
    <t>Nguyễn Văn Minh Hoàn</t>
  </si>
  <si>
    <t>#26043</t>
  </si>
  <si>
    <t>#26057</t>
  </si>
  <si>
    <t>#26072</t>
  </si>
  <si>
    <t>Nguyễn Quang Vịnh</t>
  </si>
  <si>
    <t>#26140</t>
  </si>
  <si>
    <t>#26281</t>
  </si>
  <si>
    <t>Bùi Hằng Hải</t>
  </si>
  <si>
    <t>#26312</t>
  </si>
  <si>
    <t>Lương Thị Bắc</t>
  </si>
  <si>
    <t>#26334</t>
  </si>
  <si>
    <t>Nguyễn Văn Thế</t>
  </si>
  <si>
    <t>#26352</t>
  </si>
  <si>
    <t>#01926</t>
  </si>
  <si>
    <t>#02679</t>
  </si>
  <si>
    <t>#06096</t>
  </si>
  <si>
    <t>#09272</t>
  </si>
  <si>
    <t>#09747</t>
  </si>
  <si>
    <t>#10911</t>
  </si>
  <si>
    <t>#13104</t>
  </si>
  <si>
    <t>#16040</t>
  </si>
  <si>
    <t>Lê Văn Ba</t>
  </si>
  <si>
    <t>#17662</t>
  </si>
  <si>
    <t>#19144</t>
  </si>
  <si>
    <t>#19411</t>
  </si>
  <si>
    <t>Sái Phương Nam</t>
  </si>
  <si>
    <t>#20862</t>
  </si>
  <si>
    <t>#22550</t>
  </si>
  <si>
    <t>#22552</t>
  </si>
  <si>
    <t>#22788</t>
  </si>
  <si>
    <t>Hà Xuân Vụ</t>
  </si>
  <si>
    <t>#23630</t>
  </si>
  <si>
    <t>#24142</t>
  </si>
  <si>
    <t>Hồ Đăng Trung</t>
  </si>
  <si>
    <t>#24669</t>
  </si>
  <si>
    <t>Đào Văn Sơn</t>
  </si>
  <si>
    <t>#24670</t>
  </si>
  <si>
    <t>#24704</t>
  </si>
  <si>
    <t>#24792</t>
  </si>
  <si>
    <t>#10859</t>
  </si>
  <si>
    <t>Nguyễn Văn Lục</t>
  </si>
  <si>
    <t>#18054</t>
  </si>
  <si>
    <t>#19002</t>
  </si>
  <si>
    <t>#19141</t>
  </si>
  <si>
    <t>Lưu Xuân Hùng</t>
  </si>
  <si>
    <t>#20917</t>
  </si>
  <si>
    <t>#02598</t>
  </si>
  <si>
    <t>#02637</t>
  </si>
  <si>
    <t>#02675</t>
  </si>
  <si>
    <t>#04512</t>
  </si>
  <si>
    <t>#06596</t>
  </si>
  <si>
    <t>Trần Văn Tráng</t>
  </si>
  <si>
    <t>#09273</t>
  </si>
  <si>
    <t>#09478</t>
  </si>
  <si>
    <t>#10856</t>
  </si>
  <si>
    <t>#14916</t>
  </si>
  <si>
    <t>#18733</t>
  </si>
  <si>
    <t>Hoàng Mạnh Thắng</t>
  </si>
  <si>
    <t>#19478</t>
  </si>
  <si>
    <t>#01880</t>
  </si>
  <si>
    <t>#10755</t>
  </si>
  <si>
    <t>#02123</t>
  </si>
  <si>
    <t>#02247</t>
  </si>
  <si>
    <t>#02791</t>
  </si>
  <si>
    <t>#02984</t>
  </si>
  <si>
    <t>#06268</t>
  </si>
  <si>
    <t>Nguyễn Xuân Bằng</t>
  </si>
  <si>
    <t>#06703</t>
  </si>
  <si>
    <t>#07444</t>
  </si>
  <si>
    <t>#08189</t>
  </si>
  <si>
    <t>#08790</t>
  </si>
  <si>
    <t>#10387</t>
  </si>
  <si>
    <t>#10721</t>
  </si>
  <si>
    <t>#11673</t>
  </si>
  <si>
    <t>#12081</t>
  </si>
  <si>
    <t>#12200</t>
  </si>
  <si>
    <t>#13434</t>
  </si>
  <si>
    <t>Nguyễn Bình Minh</t>
  </si>
  <si>
    <t>#13705</t>
  </si>
  <si>
    <t>#13815</t>
  </si>
  <si>
    <t>Lê Minh Hiếu</t>
  </si>
  <si>
    <t>#13868</t>
  </si>
  <si>
    <t>#14447</t>
  </si>
  <si>
    <t>#15115</t>
  </si>
  <si>
    <t>#15476</t>
  </si>
  <si>
    <t>#15742</t>
  </si>
  <si>
    <t>#15842</t>
  </si>
  <si>
    <t>#16449</t>
  </si>
  <si>
    <t>#16547</t>
  </si>
  <si>
    <t>#16911</t>
  </si>
  <si>
    <t>Nguyễn Xuân Thiện</t>
  </si>
  <si>
    <t>#17552</t>
  </si>
  <si>
    <t>#17672</t>
  </si>
  <si>
    <t>#17677</t>
  </si>
  <si>
    <t>#17699</t>
  </si>
  <si>
    <t>Lê Anh Được</t>
  </si>
  <si>
    <t>#17703</t>
  </si>
  <si>
    <t>#17706</t>
  </si>
  <si>
    <t>#17707</t>
  </si>
  <si>
    <t>#17961</t>
  </si>
  <si>
    <t>#17963</t>
  </si>
  <si>
    <t>#17971</t>
  </si>
  <si>
    <t>#18142</t>
  </si>
  <si>
    <t>Triệu Thanh Thiên</t>
  </si>
  <si>
    <t>#18239</t>
  </si>
  <si>
    <t>#18323</t>
  </si>
  <si>
    <t>#18344</t>
  </si>
  <si>
    <t>#18439</t>
  </si>
  <si>
    <t>#18689</t>
  </si>
  <si>
    <t>Trần Thị Huyền</t>
  </si>
  <si>
    <t>#18694</t>
  </si>
  <si>
    <t>Lê Thanh Vân</t>
  </si>
  <si>
    <t>#18747</t>
  </si>
  <si>
    <t>#18748</t>
  </si>
  <si>
    <t>Tạ Công Hàm</t>
  </si>
  <si>
    <t>#18874</t>
  </si>
  <si>
    <t>#19103</t>
  </si>
  <si>
    <t>#19280</t>
  </si>
  <si>
    <t>#19312</t>
  </si>
  <si>
    <t>#19313</t>
  </si>
  <si>
    <t>#19444</t>
  </si>
  <si>
    <t>#19610</t>
  </si>
  <si>
    <t>#19672</t>
  </si>
  <si>
    <t>#19677</t>
  </si>
  <si>
    <t>#20036</t>
  </si>
  <si>
    <t>Nguyễn Thị Thuyên</t>
  </si>
  <si>
    <t>#20272</t>
  </si>
  <si>
    <t>#20493</t>
  </si>
  <si>
    <t>#20544</t>
  </si>
  <si>
    <t>Ngô Văn Nam</t>
  </si>
  <si>
    <t>#20757</t>
  </si>
  <si>
    <t>#20876</t>
  </si>
  <si>
    <t>#21406</t>
  </si>
  <si>
    <t>Ngô Tuấn Khải</t>
  </si>
  <si>
    <t>#21407</t>
  </si>
  <si>
    <t>#21423</t>
  </si>
  <si>
    <t>#21675</t>
  </si>
  <si>
    <t>#21695</t>
  </si>
  <si>
    <t>#21796</t>
  </si>
  <si>
    <t>#21805</t>
  </si>
  <si>
    <t>#21892</t>
  </si>
  <si>
    <t>#22001</t>
  </si>
  <si>
    <t>#22048</t>
  </si>
  <si>
    <t>#22051</t>
  </si>
  <si>
    <t>#22356</t>
  </si>
  <si>
    <t>#22358</t>
  </si>
  <si>
    <t>#22458</t>
  </si>
  <si>
    <t>#22467</t>
  </si>
  <si>
    <t>Trần Lực</t>
  </si>
  <si>
    <t>#22547</t>
  </si>
  <si>
    <t>Trần Thị Bông</t>
  </si>
  <si>
    <t>#22599</t>
  </si>
  <si>
    <t>#22772</t>
  </si>
  <si>
    <t>Hà Thị Trang</t>
  </si>
  <si>
    <t>#22896</t>
  </si>
  <si>
    <t>Phạm Thị Hải Yến</t>
  </si>
  <si>
    <t>#22996</t>
  </si>
  <si>
    <t>#23134</t>
  </si>
  <si>
    <t>Khương Thị Tuyết</t>
  </si>
  <si>
    <t>#23181</t>
  </si>
  <si>
    <t>#23185</t>
  </si>
  <si>
    <t>#23186</t>
  </si>
  <si>
    <t>Phan Thị Thanh Thảo</t>
  </si>
  <si>
    <t>#23300</t>
  </si>
  <si>
    <t>#23566</t>
  </si>
  <si>
    <t>#23615</t>
  </si>
  <si>
    <t>#23727</t>
  </si>
  <si>
    <t>#23930</t>
  </si>
  <si>
    <t>#23935</t>
  </si>
  <si>
    <t>#23938</t>
  </si>
  <si>
    <t>#24039</t>
  </si>
  <si>
    <t>Chu Đức Thái</t>
  </si>
  <si>
    <t>#24042</t>
  </si>
  <si>
    <t>#24065</t>
  </si>
  <si>
    <t>Lò Thanh Vọng</t>
  </si>
  <si>
    <t>#24068</t>
  </si>
  <si>
    <t>#24099</t>
  </si>
  <si>
    <t>#24216</t>
  </si>
  <si>
    <t>Hà Văn Việt</t>
  </si>
  <si>
    <t>#24221</t>
  </si>
  <si>
    <t>Nguyễn Văn Dự</t>
  </si>
  <si>
    <t>#24224</t>
  </si>
  <si>
    <t>#24228</t>
  </si>
  <si>
    <t>#24231</t>
  </si>
  <si>
    <t>#24238</t>
  </si>
  <si>
    <t>#24241</t>
  </si>
  <si>
    <t>#24245</t>
  </si>
  <si>
    <t>#24246</t>
  </si>
  <si>
    <t>Vũ Hải Long</t>
  </si>
  <si>
    <t>#24253</t>
  </si>
  <si>
    <t>Nguyễn Công Phi</t>
  </si>
  <si>
    <t>#24254</t>
  </si>
  <si>
    <t>#24255</t>
  </si>
  <si>
    <t>Đường Văn Tùng</t>
  </si>
  <si>
    <t>#24340</t>
  </si>
  <si>
    <t>#24347</t>
  </si>
  <si>
    <t>Cao Duy Thắng</t>
  </si>
  <si>
    <t>#24348</t>
  </si>
  <si>
    <t>#24353</t>
  </si>
  <si>
    <t>#24357</t>
  </si>
  <si>
    <t>Lưu Đình Vũ</t>
  </si>
  <si>
    <t>#24358</t>
  </si>
  <si>
    <t>#24467</t>
  </si>
  <si>
    <t>Trần Quốc Sinh</t>
  </si>
  <si>
    <t>#24470</t>
  </si>
  <si>
    <t>Nguyễn Bình Dương</t>
  </si>
  <si>
    <t>#24471</t>
  </si>
  <si>
    <t>Dương Văn Khánh</t>
  </si>
  <si>
    <t>#24474</t>
  </si>
  <si>
    <t>#24540</t>
  </si>
  <si>
    <t>Bùi Việt Hoàng</t>
  </si>
  <si>
    <t>#24542</t>
  </si>
  <si>
    <t>#24546</t>
  </si>
  <si>
    <t>Tạ Việt Đoàn</t>
  </si>
  <si>
    <t>#24547</t>
  </si>
  <si>
    <t>Khương Minh Tấn</t>
  </si>
  <si>
    <t>#24565</t>
  </si>
  <si>
    <t>#24606</t>
  </si>
  <si>
    <t>#24612</t>
  </si>
  <si>
    <t>Lưu Văn Lịch</t>
  </si>
  <si>
    <t>#24615</t>
  </si>
  <si>
    <t>Lê Trung Hà</t>
  </si>
  <si>
    <t>#24616</t>
  </si>
  <si>
    <t>Vũ Văn Thanh</t>
  </si>
  <si>
    <t>#24624</t>
  </si>
  <si>
    <t>#24879</t>
  </si>
  <si>
    <t>Nguyễn Đức Toàn</t>
  </si>
  <si>
    <t>#24888</t>
  </si>
  <si>
    <t>Hoàng Trường Hải</t>
  </si>
  <si>
    <t>#24963</t>
  </si>
  <si>
    <t>Lê Thị Chiêm</t>
  </si>
  <si>
    <t>#24964</t>
  </si>
  <si>
    <t>#24965</t>
  </si>
  <si>
    <t>Nguyễn Thị Thức</t>
  </si>
  <si>
    <t>#24966</t>
  </si>
  <si>
    <t>#24967</t>
  </si>
  <si>
    <t>Đào Xuân Trung</t>
  </si>
  <si>
    <t>#24968</t>
  </si>
  <si>
    <t>Nguyễn Như Quỳnh</t>
  </si>
  <si>
    <t>#24969</t>
  </si>
  <si>
    <t>#24971</t>
  </si>
  <si>
    <t>Đỗ Văn Toản</t>
  </si>
  <si>
    <t>#24972</t>
  </si>
  <si>
    <t>Nguyễn Minh Cường</t>
  </si>
  <si>
    <t>#24973</t>
  </si>
  <si>
    <t>#24974</t>
  </si>
  <si>
    <t>Trần Doãn Xuân</t>
  </si>
  <si>
    <t>#24975</t>
  </si>
  <si>
    <t>Phạm Thị Ngọc</t>
  </si>
  <si>
    <t>#24976</t>
  </si>
  <si>
    <t>#24977</t>
  </si>
  <si>
    <t>Ngô Anh Quân</t>
  </si>
  <si>
    <t>#24993</t>
  </si>
  <si>
    <t>Nguyễn Trường Thủy</t>
  </si>
  <si>
    <t>#25094</t>
  </si>
  <si>
    <t>#25095</t>
  </si>
  <si>
    <t>Ngô Văn Diệm</t>
  </si>
  <si>
    <t>#25285</t>
  </si>
  <si>
    <t>Nguyễn Văn Châu</t>
  </si>
  <si>
    <t>#25287</t>
  </si>
  <si>
    <t>#25379</t>
  </si>
  <si>
    <t>Phạm Ngọc Đức</t>
  </si>
  <si>
    <t>#25380</t>
  </si>
  <si>
    <t>#25399</t>
  </si>
  <si>
    <t>Phan Văn Duật</t>
  </si>
  <si>
    <t>#25437</t>
  </si>
  <si>
    <t>Bùi Hoàng Phát Nhật</t>
  </si>
  <si>
    <t>#25438</t>
  </si>
  <si>
    <t>Nguyễn Công Lưu</t>
  </si>
  <si>
    <t>#25439</t>
  </si>
  <si>
    <t>#25444</t>
  </si>
  <si>
    <t>#25445</t>
  </si>
  <si>
    <t>#25446</t>
  </si>
  <si>
    <t>#25478</t>
  </si>
  <si>
    <t>#25479</t>
  </si>
  <si>
    <t>Bùi Xuân Bắc</t>
  </si>
  <si>
    <t>#25482</t>
  </si>
  <si>
    <t>Vũ Thế Quang</t>
  </si>
  <si>
    <t>#25580</t>
  </si>
  <si>
    <t>#25628</t>
  </si>
  <si>
    <t>#25638</t>
  </si>
  <si>
    <t>Trần Hồng Dương</t>
  </si>
  <si>
    <t>#25688</t>
  </si>
  <si>
    <t>#25704</t>
  </si>
  <si>
    <t>Ma Thị Lan</t>
  </si>
  <si>
    <t>#25732</t>
  </si>
  <si>
    <t>#25899</t>
  </si>
  <si>
    <t>#25927</t>
  </si>
  <si>
    <t>#25945</t>
  </si>
  <si>
    <t>Vũ Thị Hạnh</t>
  </si>
  <si>
    <t>#25992</t>
  </si>
  <si>
    <t>Lê Phùng Thúy Hằng</t>
  </si>
  <si>
    <t>#26015</t>
  </si>
  <si>
    <t>#26017</t>
  </si>
  <si>
    <t>Hà Phương Nam</t>
  </si>
  <si>
    <t>#26045</t>
  </si>
  <si>
    <t>Tạ Thị Thu</t>
  </si>
  <si>
    <t>#26046</t>
  </si>
  <si>
    <t>Phan Minh Hiếu</t>
  </si>
  <si>
    <t>#26047</t>
  </si>
  <si>
    <t>#26048</t>
  </si>
  <si>
    <t>#26049</t>
  </si>
  <si>
    <t>#26050</t>
  </si>
  <si>
    <t>#26058</t>
  </si>
  <si>
    <t>Bằng Thị Xuân</t>
  </si>
  <si>
    <t>#26060</t>
  </si>
  <si>
    <t>Tạ Thị Ngân</t>
  </si>
  <si>
    <t>#26073</t>
  </si>
  <si>
    <t>Nguyễn Thanh Tuân</t>
  </si>
  <si>
    <t>#26074</t>
  </si>
  <si>
    <t>Nguyễn Thị Liễu</t>
  </si>
  <si>
    <t>#26075</t>
  </si>
  <si>
    <t>#26077</t>
  </si>
  <si>
    <t>Hà Thị Hòa</t>
  </si>
  <si>
    <t>#26078</t>
  </si>
  <si>
    <t>Nguyễn Trọng Cương</t>
  </si>
  <si>
    <t>#26079</t>
  </si>
  <si>
    <t>#26088</t>
  </si>
  <si>
    <t>#26098</t>
  </si>
  <si>
    <t>Triệu Thị Hồng Gấm</t>
  </si>
  <si>
    <t>#26099</t>
  </si>
  <si>
    <t>Tôn Thị Ngọc Huyền</t>
  </si>
  <si>
    <t>#26110</t>
  </si>
  <si>
    <t>#26172</t>
  </si>
  <si>
    <t>#26173</t>
  </si>
  <si>
    <t>Nguyễn Văn Ất</t>
  </si>
  <si>
    <t>#26174</t>
  </si>
  <si>
    <t>Bạch Quảng Đại</t>
  </si>
  <si>
    <t>#26201</t>
  </si>
  <si>
    <t>#26216</t>
  </si>
  <si>
    <t>#26229</t>
  </si>
  <si>
    <t>Nguyễn Minh Sơn</t>
  </si>
  <si>
    <t>#26230</t>
  </si>
  <si>
    <t>#26245</t>
  </si>
  <si>
    <t>#26257</t>
  </si>
  <si>
    <t>Đỗ Huy Hiệu</t>
  </si>
  <si>
    <t>#26270</t>
  </si>
  <si>
    <t>Nguyễn Thị Lan Phương</t>
  </si>
  <si>
    <t>#26271</t>
  </si>
  <si>
    <t>#26283</t>
  </si>
  <si>
    <t>#26300</t>
  </si>
  <si>
    <t>#26313</t>
  </si>
  <si>
    <t>#26317</t>
  </si>
  <si>
    <t>Hà Văn Tiến</t>
  </si>
  <si>
    <t>#26324</t>
  </si>
  <si>
    <t>Phùng Minh Đức</t>
  </si>
  <si>
    <t>#26348</t>
  </si>
  <si>
    <t>#26351</t>
  </si>
  <si>
    <t>#26354</t>
  </si>
  <si>
    <t>#26355</t>
  </si>
  <si>
    <t>#26359</t>
  </si>
  <si>
    <t>#26365</t>
  </si>
  <si>
    <t>#26366</t>
  </si>
  <si>
    <t>#26375</t>
  </si>
  <si>
    <t>#26411</t>
  </si>
  <si>
    <t>#26434</t>
  </si>
  <si>
    <t>#26451</t>
  </si>
  <si>
    <t>#26459</t>
  </si>
  <si>
    <t>#26475</t>
  </si>
  <si>
    <t>#26476</t>
  </si>
  <si>
    <t>Dương Thị Hảo</t>
  </si>
  <si>
    <t>#26477</t>
  </si>
  <si>
    <t>#01885</t>
  </si>
  <si>
    <t>#01912</t>
  </si>
  <si>
    <t>#02251</t>
  </si>
  <si>
    <t>#02782</t>
  </si>
  <si>
    <t>#05035</t>
  </si>
  <si>
    <t>#06826</t>
  </si>
  <si>
    <t>#09261</t>
  </si>
  <si>
    <t>#09871</t>
  </si>
  <si>
    <t>#10483</t>
  </si>
  <si>
    <t>#10707</t>
  </si>
  <si>
    <t>Kim Thị Hội</t>
  </si>
  <si>
    <t>#10790</t>
  </si>
  <si>
    <t>#11066</t>
  </si>
  <si>
    <t>#11839</t>
  </si>
  <si>
    <t>#12202</t>
  </si>
  <si>
    <t>#12704</t>
  </si>
  <si>
    <t>#13435</t>
  </si>
  <si>
    <t>#13558</t>
  </si>
  <si>
    <t>#13565</t>
  </si>
  <si>
    <t>#13682</t>
  </si>
  <si>
    <t>Nguyễn Thị Vinh</t>
  </si>
  <si>
    <t>#14991</t>
  </si>
  <si>
    <t>#15107</t>
  </si>
  <si>
    <t>#15108</t>
  </si>
  <si>
    <t>#15483</t>
  </si>
  <si>
    <t>#15798</t>
  </si>
  <si>
    <t>#15844</t>
  </si>
  <si>
    <t>#17186</t>
  </si>
  <si>
    <t>#17350</t>
  </si>
  <si>
    <t>#17425</t>
  </si>
  <si>
    <t>#17673</t>
  </si>
  <si>
    <t>#17710</t>
  </si>
  <si>
    <t>#17933</t>
  </si>
  <si>
    <t>#18110</t>
  </si>
  <si>
    <t>#18610</t>
  </si>
  <si>
    <t>#18615</t>
  </si>
  <si>
    <t>#18692</t>
  </si>
  <si>
    <t>#18746</t>
  </si>
  <si>
    <t>#18902</t>
  </si>
  <si>
    <t>#18963</t>
  </si>
  <si>
    <t>Đỗ Văn Giang</t>
  </si>
  <si>
    <t>#19021</t>
  </si>
  <si>
    <t>#19269</t>
  </si>
  <si>
    <t>#19591</t>
  </si>
  <si>
    <t>#19748</t>
  </si>
  <si>
    <t>#20143</t>
  </si>
  <si>
    <t>#20162</t>
  </si>
  <si>
    <t>#20764</t>
  </si>
  <si>
    <t>Dương Anh Tuấn</t>
  </si>
  <si>
    <t>#20765</t>
  </si>
  <si>
    <t>#20798</t>
  </si>
  <si>
    <t>Lê Đức Toàn</t>
  </si>
  <si>
    <t>#20804</t>
  </si>
  <si>
    <t>#20877</t>
  </si>
  <si>
    <t>#20888</t>
  </si>
  <si>
    <t>#21385</t>
  </si>
  <si>
    <t>#21415</t>
  </si>
  <si>
    <t>Đỗ Tiến Hợp</t>
  </si>
  <si>
    <t>#21422</t>
  </si>
  <si>
    <t>#21773</t>
  </si>
  <si>
    <t>#21778</t>
  </si>
  <si>
    <t>#21786</t>
  </si>
  <si>
    <t>#21792</t>
  </si>
  <si>
    <t>Lê Quang Huy</t>
  </si>
  <si>
    <t>#21953</t>
  </si>
  <si>
    <t>#22000</t>
  </si>
  <si>
    <t>#22003</t>
  </si>
  <si>
    <t>Phan Trọng Đăng</t>
  </si>
  <si>
    <t>#22007</t>
  </si>
  <si>
    <t>#22146</t>
  </si>
  <si>
    <t>#22360</t>
  </si>
  <si>
    <t>#22457</t>
  </si>
  <si>
    <t>Hoàng Thị Vân</t>
  </si>
  <si>
    <t>#22791</t>
  </si>
  <si>
    <t>#22974</t>
  </si>
  <si>
    <t>#23047</t>
  </si>
  <si>
    <t>#23385</t>
  </si>
  <si>
    <t>Vũ Thị Bé</t>
  </si>
  <si>
    <t>#23514</t>
  </si>
  <si>
    <t>Nông Thị Lan</t>
  </si>
  <si>
    <t>#23635</t>
  </si>
  <si>
    <t>Hoàng Văn Khảm</t>
  </si>
  <si>
    <t>#23742</t>
  </si>
  <si>
    <t>Trần Ngọc Khiêm</t>
  </si>
  <si>
    <t>#23830</t>
  </si>
  <si>
    <t>#23931</t>
  </si>
  <si>
    <t>#23932</t>
  </si>
  <si>
    <t>#24037</t>
  </si>
  <si>
    <t>#24045</t>
  </si>
  <si>
    <t>#24063</t>
  </si>
  <si>
    <t>#24074</t>
  </si>
  <si>
    <t>Tô Minh Hiếu</t>
  </si>
  <si>
    <t>#24191</t>
  </si>
  <si>
    <t>Hoàng Trung Khải</t>
  </si>
  <si>
    <t>#24192</t>
  </si>
  <si>
    <t>#24193</t>
  </si>
  <si>
    <t>Nguyễn Thiện Công</t>
  </si>
  <si>
    <t>#24194</t>
  </si>
  <si>
    <t>#24211</t>
  </si>
  <si>
    <t>#24212</t>
  </si>
  <si>
    <t>Đỗ Cao Bắc</t>
  </si>
  <si>
    <t>#24213</t>
  </si>
  <si>
    <t>#24215</t>
  </si>
  <si>
    <t>#24217</t>
  </si>
  <si>
    <t>Kim Văn Đức</t>
  </si>
  <si>
    <t>#24222</t>
  </si>
  <si>
    <t>#24223</t>
  </si>
  <si>
    <t>#24237</t>
  </si>
  <si>
    <t>#24242</t>
  </si>
  <si>
    <t>Lê Tiến Hải</t>
  </si>
  <si>
    <t>#24352</t>
  </si>
  <si>
    <t>Nguyễn Văn Phượng</t>
  </si>
  <si>
    <t>#24354</t>
  </si>
  <si>
    <t>#24355</t>
  </si>
  <si>
    <t>#24466</t>
  </si>
  <si>
    <t>Vũ Anh Tiến</t>
  </si>
  <si>
    <t>#24563</t>
  </si>
  <si>
    <t>#24567</t>
  </si>
  <si>
    <t>Tạ Khắc Tuấn</t>
  </si>
  <si>
    <t>#24608</t>
  </si>
  <si>
    <t>Nguyễn Tiến Việt</t>
  </si>
  <si>
    <t>#01895</t>
  </si>
  <si>
    <t>#01907</t>
  </si>
  <si>
    <t>#02840</t>
  </si>
  <si>
    <t>#02973</t>
  </si>
  <si>
    <t>#03292</t>
  </si>
  <si>
    <t>#03828</t>
  </si>
  <si>
    <t>#05833</t>
  </si>
  <si>
    <t>#07170</t>
  </si>
  <si>
    <t>#07483</t>
  </si>
  <si>
    <t>#10397</t>
  </si>
  <si>
    <t>#10748</t>
  </si>
  <si>
    <t>#11304</t>
  </si>
  <si>
    <t>#12080</t>
  </si>
  <si>
    <t>#15097</t>
  </si>
  <si>
    <t>#15114</t>
  </si>
  <si>
    <t>#17965</t>
  </si>
  <si>
    <t>#18831</t>
  </si>
  <si>
    <t>Lê Xuân Phong</t>
  </si>
  <si>
    <t>#19019</t>
  </si>
  <si>
    <t>#19025</t>
  </si>
  <si>
    <t>#20591</t>
  </si>
  <si>
    <t>Phạm Minh Đức</t>
  </si>
  <si>
    <t>#20995</t>
  </si>
  <si>
    <t>Phùng Thị Thảo</t>
  </si>
  <si>
    <t>#22049</t>
  </si>
  <si>
    <t>#22566</t>
  </si>
  <si>
    <t>#22972</t>
  </si>
  <si>
    <t>Hà Văn Phúc</t>
  </si>
  <si>
    <t>#22993</t>
  </si>
  <si>
    <t>#23179</t>
  </si>
  <si>
    <t>#23451</t>
  </si>
  <si>
    <t>#23500</t>
  </si>
  <si>
    <t>#23552</t>
  </si>
  <si>
    <t>#23563</t>
  </si>
  <si>
    <t>#24064</t>
  </si>
  <si>
    <t>#24075</t>
  </si>
  <si>
    <t>#24225</t>
  </si>
  <si>
    <t>Phạm Quang Duy</t>
  </si>
  <si>
    <t>#24229</t>
  </si>
  <si>
    <t>#24344</t>
  </si>
  <si>
    <t>Hoàng Văn Giáp</t>
  </si>
  <si>
    <t>#24351</t>
  </si>
  <si>
    <t>#24607</t>
  </si>
  <si>
    <t>#24609</t>
  </si>
  <si>
    <t>#24360</t>
  </si>
  <si>
    <t>Dương Tiến Khang</t>
  </si>
  <si>
    <t>#24551</t>
  </si>
  <si>
    <t>#26384</t>
  </si>
  <si>
    <t>#00850</t>
  </si>
  <si>
    <t>#00869</t>
  </si>
  <si>
    <t>#01609</t>
  </si>
  <si>
    <t>#03090</t>
  </si>
  <si>
    <t>#07110</t>
  </si>
  <si>
    <t>#07563</t>
  </si>
  <si>
    <t>#10749</t>
  </si>
  <si>
    <t>#12627</t>
  </si>
  <si>
    <t>#13261</t>
  </si>
  <si>
    <t>Vũ Thị Thanh</t>
  </si>
  <si>
    <t>#13708</t>
  </si>
  <si>
    <t>#13709</t>
  </si>
  <si>
    <t>Phùng Thị Thu</t>
  </si>
  <si>
    <t>#13804</t>
  </si>
  <si>
    <t>#13889</t>
  </si>
  <si>
    <t>#14162</t>
  </si>
  <si>
    <t>#14167</t>
  </si>
  <si>
    <t>#15593</t>
  </si>
  <si>
    <t>#18611</t>
  </si>
  <si>
    <t>Lâm Thị Tuyến</t>
  </si>
  <si>
    <t>#18914</t>
  </si>
  <si>
    <t>#19205</t>
  </si>
  <si>
    <t>#21951</t>
  </si>
  <si>
    <t>#09564</t>
  </si>
  <si>
    <t>#11439</t>
  </si>
  <si>
    <t>#13553</t>
  </si>
  <si>
    <t>#13820</t>
  </si>
  <si>
    <t>#13866</t>
  </si>
  <si>
    <t>Lê Văn Huy</t>
  </si>
  <si>
    <t>#15802</t>
  </si>
  <si>
    <t>#17489</t>
  </si>
  <si>
    <t>#17811</t>
  </si>
  <si>
    <t>#24345</t>
  </si>
  <si>
    <t>Khổng Văn Quân</t>
  </si>
  <si>
    <t>#24349</t>
  </si>
  <si>
    <t>Nguyễn Xuân Thịnh</t>
  </si>
  <si>
    <t>#24544</t>
  </si>
  <si>
    <t>Khổng Minh Đăng</t>
  </si>
  <si>
    <t>#24564</t>
  </si>
  <si>
    <t>Phạm Hoàng Vinh</t>
  </si>
  <si>
    <t>#24671</t>
  </si>
  <si>
    <t>#24672</t>
  </si>
  <si>
    <t>#24673</t>
  </si>
  <si>
    <t>#24674</t>
  </si>
  <si>
    <t>Nguyễn Hữu Thuần</t>
  </si>
  <si>
    <t>#24675</t>
  </si>
  <si>
    <t>Lê Văn Yên</t>
  </si>
  <si>
    <t>#24676</t>
  </si>
  <si>
    <t>Trần Doãn Khải</t>
  </si>
  <si>
    <t>#24677</t>
  </si>
  <si>
    <t>Vũ Công Vinh</t>
  </si>
  <si>
    <t>#24678</t>
  </si>
  <si>
    <t>#24679</t>
  </si>
  <si>
    <t>#24680</t>
  </si>
  <si>
    <t>Trần Thanh Long</t>
  </si>
  <si>
    <t>#24681</t>
  </si>
  <si>
    <t>#24682</t>
  </si>
  <si>
    <t>#24683</t>
  </si>
  <si>
    <t>#24686</t>
  </si>
  <si>
    <t>#01040</t>
  </si>
  <si>
    <t>#01234</t>
  </si>
  <si>
    <t>Nguyễn Đình Tiệp</t>
  </si>
  <si>
    <t>Trần Thị Thắm</t>
  </si>
  <si>
    <t>#05839</t>
  </si>
  <si>
    <t>#06824</t>
  </si>
  <si>
    <t>#10395</t>
  </si>
  <si>
    <t>#12273</t>
  </si>
  <si>
    <t>#13711</t>
  </si>
  <si>
    <t>#17211</t>
  </si>
  <si>
    <t>#18668</t>
  </si>
  <si>
    <t>#18905</t>
  </si>
  <si>
    <t>#19405</t>
  </si>
  <si>
    <t>Hoàng Đình Kiểu</t>
  </si>
  <si>
    <t>#00281</t>
  </si>
  <si>
    <t>#00958</t>
  </si>
  <si>
    <t>#01793</t>
  </si>
  <si>
    <t>#03909</t>
  </si>
  <si>
    <t>#05941</t>
  </si>
  <si>
    <t>#09315</t>
  </si>
  <si>
    <t>#10489</t>
  </si>
  <si>
    <t>#12341</t>
  </si>
  <si>
    <t>#15797</t>
  </si>
  <si>
    <t>Nguyễn Bá phước</t>
  </si>
  <si>
    <t>#15843</t>
  </si>
  <si>
    <t>#16908</t>
  </si>
  <si>
    <t>#18276</t>
  </si>
  <si>
    <t>#19417</t>
  </si>
  <si>
    <t>Trần Văn Điều</t>
  </si>
  <si>
    <t>#20770</t>
  </si>
  <si>
    <t>#23924</t>
  </si>
  <si>
    <t>#24201</t>
  </si>
  <si>
    <t>#24202</t>
  </si>
  <si>
    <t>Diệp Văn Hai</t>
  </si>
  <si>
    <t>#24233</t>
  </si>
  <si>
    <t>#24257</t>
  </si>
  <si>
    <t>Trần Vĩ Đại</t>
  </si>
  <si>
    <t>#22595</t>
  </si>
  <si>
    <t>#22967</t>
  </si>
  <si>
    <t>#01226</t>
  </si>
  <si>
    <t>#01577</t>
  </si>
  <si>
    <t>#01684</t>
  </si>
  <si>
    <t>#03821</t>
  </si>
  <si>
    <t>#05026</t>
  </si>
  <si>
    <t>#05484</t>
  </si>
  <si>
    <t>#05911</t>
  </si>
  <si>
    <t>#22394</t>
  </si>
  <si>
    <t>#00872</t>
  </si>
  <si>
    <t>#00919</t>
  </si>
  <si>
    <t>#02103</t>
  </si>
  <si>
    <t>#03819</t>
  </si>
  <si>
    <t>#09169</t>
  </si>
  <si>
    <t>#09449</t>
  </si>
  <si>
    <t>#10071</t>
  </si>
  <si>
    <t>#11207</t>
  </si>
  <si>
    <t>#00664</t>
  </si>
  <si>
    <t>#02091</t>
  </si>
  <si>
    <t>#17686</t>
  </si>
  <si>
    <t>#00922</t>
  </si>
  <si>
    <t>#01039</t>
  </si>
  <si>
    <t>#01564</t>
  </si>
  <si>
    <t>#01760</t>
  </si>
  <si>
    <t>#05024</t>
  </si>
  <si>
    <t>#05910</t>
  </si>
  <si>
    <t>#06632</t>
  </si>
  <si>
    <t>#06634</t>
  </si>
  <si>
    <t>#06732</t>
  </si>
  <si>
    <t>#07332</t>
  </si>
  <si>
    <t>#09491</t>
  </si>
  <si>
    <t>#11203</t>
  </si>
  <si>
    <t>#13122</t>
  </si>
  <si>
    <t>#14480</t>
  </si>
  <si>
    <t>#19000</t>
  </si>
  <si>
    <t>#19627</t>
  </si>
  <si>
    <t>#21542</t>
  </si>
  <si>
    <t>#22445</t>
  </si>
  <si>
    <t>#22744</t>
  </si>
  <si>
    <t>Đinh Thị Phượng</t>
  </si>
  <si>
    <t>#23147</t>
  </si>
  <si>
    <t>#00651</t>
  </si>
  <si>
    <t>#01561</t>
  </si>
  <si>
    <t>#01567</t>
  </si>
  <si>
    <t>#01607</t>
  </si>
  <si>
    <t>#01680</t>
  </si>
  <si>
    <t>#02830</t>
  </si>
  <si>
    <t>#03045</t>
  </si>
  <si>
    <t>#03098</t>
  </si>
  <si>
    <t>#03384</t>
  </si>
  <si>
    <t>#03823</t>
  </si>
  <si>
    <t>#04608</t>
  </si>
  <si>
    <t>#05483</t>
  </si>
  <si>
    <t>#05496</t>
  </si>
  <si>
    <t>#05832</t>
  </si>
  <si>
    <t>#05835</t>
  </si>
  <si>
    <t>#05906</t>
  </si>
  <si>
    <t>#05909</t>
  </si>
  <si>
    <t>#05949</t>
  </si>
  <si>
    <t>Trần Hồng Thiện</t>
  </si>
  <si>
    <t>#06162</t>
  </si>
  <si>
    <t>#06498</t>
  </si>
  <si>
    <t>#06514</t>
  </si>
  <si>
    <t>#06631</t>
  </si>
  <si>
    <t>#06731</t>
  </si>
  <si>
    <t>#06751</t>
  </si>
  <si>
    <t>#06806</t>
  </si>
  <si>
    <t>#07089</t>
  </si>
  <si>
    <t>Triệu Văn Hiến</t>
  </si>
  <si>
    <t>#07257</t>
  </si>
  <si>
    <t>#08427</t>
  </si>
  <si>
    <t>#08519</t>
  </si>
  <si>
    <t>#09133</t>
  </si>
  <si>
    <t>#09230</t>
  </si>
  <si>
    <t>#09488</t>
  </si>
  <si>
    <t>#09525</t>
  </si>
  <si>
    <t>#09559</t>
  </si>
  <si>
    <t>#09560</t>
  </si>
  <si>
    <t>#09679</t>
  </si>
  <si>
    <t>#09681</t>
  </si>
  <si>
    <t>#09728</t>
  </si>
  <si>
    <t>#10239</t>
  </si>
  <si>
    <t>#10373</t>
  </si>
  <si>
    <t>#10379</t>
  </si>
  <si>
    <t>#10556</t>
  </si>
  <si>
    <t>#10561</t>
  </si>
  <si>
    <t>#10706</t>
  </si>
  <si>
    <t>#11003</t>
  </si>
  <si>
    <t>#11327</t>
  </si>
  <si>
    <t>#11332</t>
  </si>
  <si>
    <t>#11848</t>
  </si>
  <si>
    <t>#12211</t>
  </si>
  <si>
    <t>#12285</t>
  </si>
  <si>
    <t>#12526</t>
  </si>
  <si>
    <t>#12711</t>
  </si>
  <si>
    <t>#12792</t>
  </si>
  <si>
    <t>#13077</t>
  </si>
  <si>
    <t>#13302</t>
  </si>
  <si>
    <t>#13536</t>
  </si>
  <si>
    <t>#13539</t>
  </si>
  <si>
    <t>Trần Ngọc Nghĩa</t>
  </si>
  <si>
    <t>#14050</t>
  </si>
  <si>
    <t>#14094</t>
  </si>
  <si>
    <t>#17111</t>
  </si>
  <si>
    <t>#17137</t>
  </si>
  <si>
    <t>Giàng A Dê</t>
  </si>
  <si>
    <t>#17806</t>
  </si>
  <si>
    <t>#17979</t>
  </si>
  <si>
    <t>#18479</t>
  </si>
  <si>
    <t>Ngô Thị Thảo</t>
  </si>
  <si>
    <t>#18547</t>
  </si>
  <si>
    <t>#18749</t>
  </si>
  <si>
    <t>#19738</t>
  </si>
  <si>
    <t>#19915</t>
  </si>
  <si>
    <t>#20076</t>
  </si>
  <si>
    <t>#21366</t>
  </si>
  <si>
    <t>#21445</t>
  </si>
  <si>
    <t>#22296</t>
  </si>
  <si>
    <t>#22591</t>
  </si>
  <si>
    <t>#22880</t>
  </si>
  <si>
    <t>#22973</t>
  </si>
  <si>
    <t>#23000</t>
  </si>
  <si>
    <t>Trần Doãn Tiệp</t>
  </si>
  <si>
    <t>#23210</t>
  </si>
  <si>
    <t>#23221</t>
  </si>
  <si>
    <t>#23459</t>
  </si>
  <si>
    <t>Nguyễn Hữu Chiến</t>
  </si>
  <si>
    <t>#23497</t>
  </si>
  <si>
    <t>#23549</t>
  </si>
  <si>
    <t>#23738</t>
  </si>
  <si>
    <t>Nguyễn Tiến Cường</t>
  </si>
  <si>
    <t>#24218</t>
  </si>
  <si>
    <t>#24692</t>
  </si>
  <si>
    <t>#24693</t>
  </si>
  <si>
    <t>#24695</t>
  </si>
  <si>
    <t>Trần Văn Dân</t>
  </si>
  <si>
    <t>#24962</t>
  </si>
  <si>
    <t>Đỗ Văn Cao</t>
  </si>
  <si>
    <t>#25627</t>
  </si>
  <si>
    <t>#25750</t>
  </si>
  <si>
    <t>#25989</t>
  </si>
  <si>
    <t>#25990</t>
  </si>
  <si>
    <t>#26031</t>
  </si>
  <si>
    <t>Dương Thị Thủy</t>
  </si>
  <si>
    <t>#26032</t>
  </si>
  <si>
    <t>Nguyễn Thanh Tâm</t>
  </si>
  <si>
    <t>#26056</t>
  </si>
  <si>
    <t>#26069</t>
  </si>
  <si>
    <t>Đinh Văn Việt</t>
  </si>
  <si>
    <t>#26070</t>
  </si>
  <si>
    <t>#26087</t>
  </si>
  <si>
    <t>Lý Văn Nam</t>
  </si>
  <si>
    <t>#26095</t>
  </si>
  <si>
    <t>#26342</t>
  </si>
  <si>
    <t>#26424</t>
  </si>
  <si>
    <t>Nguyễn Văn Đảo</t>
  </si>
  <si>
    <t>#00788</t>
  </si>
  <si>
    <t>#00921</t>
  </si>
  <si>
    <t>#00959</t>
  </si>
  <si>
    <t>#01207</t>
  </si>
  <si>
    <t>#01535</t>
  </si>
  <si>
    <t>#01554</t>
  </si>
  <si>
    <t>#01562</t>
  </si>
  <si>
    <t>#01579</t>
  </si>
  <si>
    <t>#01683</t>
  </si>
  <si>
    <t>#01716</t>
  </si>
  <si>
    <t>#02379</t>
  </si>
  <si>
    <t>#02384</t>
  </si>
  <si>
    <t>Phùng Văn Đảm</t>
  </si>
  <si>
    <t>#02386</t>
  </si>
  <si>
    <t>#02865</t>
  </si>
  <si>
    <t>#03041</t>
  </si>
  <si>
    <t>#03818</t>
  </si>
  <si>
    <t>#04637</t>
  </si>
  <si>
    <t>#04715</t>
  </si>
  <si>
    <t>#04902</t>
  </si>
  <si>
    <t>#05425</t>
  </si>
  <si>
    <t>#05428</t>
  </si>
  <si>
    <t>#05680</t>
  </si>
  <si>
    <t>#05837</t>
  </si>
  <si>
    <t>#05939</t>
  </si>
  <si>
    <t>#05999</t>
  </si>
  <si>
    <t>#06478</t>
  </si>
  <si>
    <t>#06680</t>
  </si>
  <si>
    <t>#06755</t>
  </si>
  <si>
    <t>#06933</t>
  </si>
  <si>
    <t>#07077</t>
  </si>
  <si>
    <t>#08302</t>
  </si>
  <si>
    <t>#08380</t>
  </si>
  <si>
    <t>#08654</t>
  </si>
  <si>
    <t>#09106</t>
  </si>
  <si>
    <t>#09107</t>
  </si>
  <si>
    <t>#09128</t>
  </si>
  <si>
    <t>#09137</t>
  </si>
  <si>
    <t>#09177</t>
  </si>
  <si>
    <t>#09228</t>
  </si>
  <si>
    <t>#09450</t>
  </si>
  <si>
    <t>#09487</t>
  </si>
  <si>
    <t>#09512</t>
  </si>
  <si>
    <t>#09526</t>
  </si>
  <si>
    <t>#10207</t>
  </si>
  <si>
    <t>#10718</t>
  </si>
  <si>
    <t>#10734</t>
  </si>
  <si>
    <t>#11001</t>
  </si>
  <si>
    <t>#11006</t>
  </si>
  <si>
    <t>#11205</t>
  </si>
  <si>
    <t>#11844</t>
  </si>
  <si>
    <t>#11871</t>
  </si>
  <si>
    <t>#12282</t>
  </si>
  <si>
    <t>#12925</t>
  </si>
  <si>
    <t>#13061</t>
  </si>
  <si>
    <t>#13987</t>
  </si>
  <si>
    <t>#14994</t>
  </si>
  <si>
    <t>Lê Thanh Sơn</t>
  </si>
  <si>
    <t>#15241</t>
  </si>
  <si>
    <t>#18018</t>
  </si>
  <si>
    <t>#18387</t>
  </si>
  <si>
    <t>#18544</t>
  </si>
  <si>
    <t>Nguyễn Thế Quang</t>
  </si>
  <si>
    <t>#18738</t>
  </si>
  <si>
    <t>Nguyễn Hồng Vinh</t>
  </si>
  <si>
    <t>#18861</t>
  </si>
  <si>
    <t>#19583</t>
  </si>
  <si>
    <t>#19918</t>
  </si>
  <si>
    <t>#20022</t>
  </si>
  <si>
    <t>#20279</t>
  </si>
  <si>
    <t>#20351</t>
  </si>
  <si>
    <t>#21026</t>
  </si>
  <si>
    <t>Vũ Anh Tuấn</t>
  </si>
  <si>
    <t>#21367</t>
  </si>
  <si>
    <t>#21370</t>
  </si>
  <si>
    <t>Vi Văn Thắng</t>
  </si>
  <si>
    <t>#21376</t>
  </si>
  <si>
    <t>#21401</t>
  </si>
  <si>
    <t>#21664</t>
  </si>
  <si>
    <t>#21667</t>
  </si>
  <si>
    <t>#22088</t>
  </si>
  <si>
    <t>#22450</t>
  </si>
  <si>
    <t>#22594</t>
  </si>
  <si>
    <t>#22795</t>
  </si>
  <si>
    <t>#22796</t>
  </si>
  <si>
    <t>#22797</t>
  </si>
  <si>
    <t>Lâm Thị Lý</t>
  </si>
  <si>
    <t>#23002</t>
  </si>
  <si>
    <t>#23063</t>
  </si>
  <si>
    <t>Hà Ngọc Long</t>
  </si>
  <si>
    <t>#23144</t>
  </si>
  <si>
    <t>Quàng Văn Dũng</t>
  </si>
  <si>
    <t>#23298</t>
  </si>
  <si>
    <t>#23372</t>
  </si>
  <si>
    <t>#23378</t>
  </si>
  <si>
    <t>Nông Văn Luân</t>
  </si>
  <si>
    <t>#23386</t>
  </si>
  <si>
    <t>Vũ Tuấn Anh</t>
  </si>
  <si>
    <t>#23499</t>
  </si>
  <si>
    <t>#23508</t>
  </si>
  <si>
    <t>Ngô Hữu Linh</t>
  </si>
  <si>
    <t>#23618</t>
  </si>
  <si>
    <t>#23627</t>
  </si>
  <si>
    <t>#24644</t>
  </si>
  <si>
    <t>#24645</t>
  </si>
  <si>
    <t>#24646</t>
  </si>
  <si>
    <t>#24694</t>
  </si>
  <si>
    <t>Nguyễn Văn Ước</t>
  </si>
  <si>
    <t>#24714</t>
  </si>
  <si>
    <t>#24715</t>
  </si>
  <si>
    <t>#24716</t>
  </si>
  <si>
    <t>#24717</t>
  </si>
  <si>
    <t>#24823</t>
  </si>
  <si>
    <t>Bùi Văn Thiết</t>
  </si>
  <si>
    <t>#25767</t>
  </si>
  <si>
    <t>Phan Ngọc Anh</t>
  </si>
  <si>
    <t>#01899</t>
  </si>
  <si>
    <t>#11191</t>
  </si>
  <si>
    <t>#12462</t>
  </si>
  <si>
    <t>Ngô Minh Châu</t>
  </si>
  <si>
    <t>#13858</t>
  </si>
  <si>
    <t>#20758</t>
  </si>
  <si>
    <t>#22008</t>
  </si>
  <si>
    <t>#10717</t>
  </si>
  <si>
    <t>#19895</t>
  </si>
  <si>
    <t>#25796</t>
  </si>
  <si>
    <t>Khổng Bá Cao Kỳ</t>
  </si>
  <si>
    <t>#25829</t>
  </si>
  <si>
    <t>Nguyễn Lương Nguyên</t>
  </si>
  <si>
    <t>#25830</t>
  </si>
  <si>
    <t>Phùng Duy Hiển</t>
  </si>
  <si>
    <t>#26498</t>
  </si>
  <si>
    <t>Tiến độ</t>
  </si>
  <si>
    <t>Đỗ Quốc Huy</t>
  </si>
  <si>
    <t>Hoàn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</si>
</sst>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-* #,##0_-;\-* #,##0_-;_-* &quot;-&quot;??_-;_-@_-"/>
    <numFmt numFmtId="168" formatCode="d/m/yyyy;@"/>
    <numFmt numFmtId="169" formatCode="dd/mm/yyyy;@"/>
    <numFmt numFmtId="170" formatCode="d/mmm/yyyy;@"/>
    <numFmt numFmtId="171" formatCode="0.00_ "/>
    <numFmt numFmtId="172" formatCode="0_ "/>
    <numFmt numFmtId="173" formatCode="0;[Red]0"/>
    <numFmt numFmtId="174" formatCode="0_);\(0\)"/>
    <numFmt numFmtId="175" formatCode="yyyy\-mm\-dd;@"/>
  </numFmts>
  <fonts count="69">
    <font>
      <sz val="11"/>
      <color theme="1"/>
      <name val="Calibri"/>
      <charset val="134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SimSun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Microsoft JhengHei"/>
      <family val="2"/>
    </font>
    <font>
      <b/>
      <sz val="12"/>
      <color rgb="FF0000FF"/>
      <name val="SimSun"/>
    </font>
    <font>
      <sz val="12"/>
      <color rgb="FF0000FF"/>
      <name val="Microsoft JhengHei"/>
      <family val="2"/>
    </font>
    <font>
      <sz val="12"/>
      <color rgb="FF2C07E5"/>
      <name val="SimSun"/>
    </font>
    <font>
      <sz val="12"/>
      <color rgb="FF2C07E5"/>
      <name val="Microsoft JhengHei"/>
      <family val="2"/>
    </font>
    <font>
      <u/>
      <sz val="11"/>
      <color theme="10"/>
      <name val="Calibri"/>
      <family val="2"/>
      <scheme val="minor"/>
    </font>
    <font>
      <sz val="10"/>
      <name val="VNI-Times"/>
    </font>
    <font>
      <sz val="12"/>
      <name val="新細明體"/>
      <charset val="136"/>
    </font>
    <font>
      <sz val="12"/>
      <color rgb="FF0000FF"/>
      <name val="Times New Roman"/>
      <family val="1"/>
    </font>
    <font>
      <b/>
      <sz val="12"/>
      <color theme="1"/>
      <name val="Microsoft Himalaya"/>
    </font>
    <font>
      <sz val="12"/>
      <color rgb="FF2C07E5"/>
      <name val="Times New Roman"/>
      <family val="1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sz val="10"/>
      <name val="Arial"/>
      <family val="2"/>
      <charset val="1"/>
    </font>
    <font>
      <sz val="12"/>
      <color rgb="FF0033CC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3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</font>
    <font>
      <sz val="12"/>
      <color rgb="FFFF0000"/>
      <name val="Times New Roman"/>
    </font>
    <font>
      <b/>
      <sz val="12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4" tint="0.79982909634693444"/>
      </patternFill>
    </fill>
    <fill>
      <patternFill patternType="solid">
        <fgColor theme="0"/>
        <bgColor theme="9" tint="0.79982909634693444"/>
      </patternFill>
    </fill>
    <fill>
      <patternFill patternType="solid">
        <fgColor theme="0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theme="0"/>
        <bgColor rgb="FFDBEEF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8" tint="0.79985961485641044"/>
      </patternFill>
    </fill>
    <fill>
      <patternFill patternType="solid">
        <fgColor theme="9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rgb="FF0033CC"/>
      </left>
      <right style="thin">
        <color rgb="FF0033CC"/>
      </right>
      <top style="thin">
        <color rgb="FF0033CC"/>
      </top>
      <bottom style="thin">
        <color rgb="FF0033CC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rgb="FF0033CC"/>
      </left>
      <right style="thin">
        <color rgb="FF0033CC"/>
      </right>
      <top/>
      <bottom style="thin">
        <color rgb="FF0033CC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Down="1">
      <left/>
      <right/>
      <top style="thin">
        <color auto="1"/>
      </top>
      <bottom/>
      <diagonal style="thin">
        <color auto="1"/>
      </diagonal>
    </border>
    <border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Down="1">
      <left/>
      <right/>
      <top/>
      <bottom/>
      <diagonal style="thin">
        <color auto="1"/>
      </diagonal>
    </border>
    <border diagonalDown="1">
      <left/>
      <right style="thin">
        <color auto="1"/>
      </right>
      <top/>
      <bottom/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/>
      <top/>
      <bottom/>
      <diagonal/>
    </border>
  </borders>
  <cellStyleXfs count="10">
    <xf numFmtId="0" fontId="0" fillId="0" borderId="0"/>
    <xf numFmtId="164" fontId="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64" fontId="8" fillId="0" borderId="0" applyFont="0" applyFill="0" applyBorder="0" applyAlignment="0" applyProtection="0"/>
    <xf numFmtId="0" fontId="19" fillId="0" borderId="0"/>
    <xf numFmtId="0" fontId="20" fillId="0" borderId="0"/>
    <xf numFmtId="168" fontId="29" fillId="0" borderId="0"/>
    <xf numFmtId="0" fontId="40" fillId="0" borderId="0"/>
    <xf numFmtId="0" fontId="29" fillId="0" borderId="0"/>
    <xf numFmtId="165" fontId="8" fillId="0" borderId="0"/>
  </cellStyleXfs>
  <cellXfs count="413">
    <xf numFmtId="0" fontId="0" fillId="0" borderId="0" xfId="0"/>
    <xf numFmtId="0" fontId="0" fillId="0" borderId="0" xfId="0" applyAlignment="1"/>
    <xf numFmtId="0" fontId="0" fillId="0" borderId="0" xfId="0" applyAlignment="1">
      <alignment horizontal="left"/>
    </xf>
    <xf numFmtId="165" fontId="1" fillId="2" borderId="1" xfId="4" applyNumberFormat="1" applyFont="1" applyFill="1" applyBorder="1"/>
    <xf numFmtId="0" fontId="2" fillId="2" borderId="1" xfId="0" applyFont="1" applyFill="1" applyBorder="1" applyAlignment="1">
      <alignment horizontal="center" vertical="center"/>
    </xf>
    <xf numFmtId="165" fontId="1" fillId="2" borderId="1" xfId="4" applyNumberFormat="1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49" fontId="1" fillId="3" borderId="2" xfId="4" applyNumberFormat="1" applyFont="1" applyFill="1" applyBorder="1" applyAlignment="1">
      <alignment horizontal="center" vertical="center"/>
    </xf>
    <xf numFmtId="49" fontId="1" fillId="4" borderId="3" xfId="0" applyNumberFormat="1" applyFont="1" applyFill="1" applyBorder="1" applyAlignment="1">
      <alignment horizontal="left" vertical="center" indent="1"/>
    </xf>
    <xf numFmtId="49" fontId="3" fillId="4" borderId="3" xfId="0" applyNumberFormat="1" applyFont="1" applyFill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left" vertical="center"/>
    </xf>
    <xf numFmtId="49" fontId="4" fillId="5" borderId="3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5" borderId="3" xfId="0" applyFill="1" applyBorder="1"/>
    <xf numFmtId="49" fontId="1" fillId="3" borderId="4" xfId="4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left" vertical="center" indent="1"/>
    </xf>
    <xf numFmtId="49" fontId="3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left" vertical="center"/>
    </xf>
    <xf numFmtId="0" fontId="0" fillId="5" borderId="1" xfId="0" applyFill="1" applyBorder="1"/>
    <xf numFmtId="49" fontId="1" fillId="4" borderId="1" xfId="0" applyNumberFormat="1" applyFont="1" applyFill="1" applyBorder="1" applyAlignment="1">
      <alignment horizontal="left" vertical="center" indent="1"/>
    </xf>
    <xf numFmtId="49" fontId="3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49" fontId="1" fillId="5" borderId="1" xfId="1" applyNumberFormat="1" applyFont="1" applyFill="1" applyBorder="1" applyAlignment="1">
      <alignment horizontal="left" vertical="center" indent="1"/>
    </xf>
    <xf numFmtId="49" fontId="3" fillId="5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center" vertical="center"/>
    </xf>
    <xf numFmtId="166" fontId="3" fillId="5" borderId="1" xfId="1" applyNumberFormat="1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center" vertical="center"/>
    </xf>
    <xf numFmtId="49" fontId="1" fillId="4" borderId="1" xfId="1" applyNumberFormat="1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0" fontId="7" fillId="5" borderId="1" xfId="2" applyFont="1" applyFill="1" applyBorder="1" applyAlignment="1">
      <alignment horizontal="left" vertical="center"/>
    </xf>
    <xf numFmtId="49" fontId="6" fillId="4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3" fillId="0" borderId="0" xfId="0" applyFont="1" applyAlignment="1">
      <alignment horizontal="center" vertical="center"/>
    </xf>
    <xf numFmtId="0" fontId="3" fillId="0" borderId="6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center"/>
    </xf>
    <xf numFmtId="0" fontId="9" fillId="0" borderId="6" xfId="4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left"/>
    </xf>
    <xf numFmtId="0" fontId="11" fillId="6" borderId="6" xfId="5" applyFont="1" applyFill="1" applyBorder="1" applyAlignment="1">
      <alignment horizontal="center" vertical="center" wrapText="1"/>
    </xf>
    <xf numFmtId="0" fontId="11" fillId="7" borderId="6" xfId="5" applyFont="1" applyFill="1" applyBorder="1" applyAlignment="1">
      <alignment horizontal="center" vertical="center" wrapText="1"/>
    </xf>
    <xf numFmtId="0" fontId="3" fillId="0" borderId="6" xfId="5" applyFont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left" vertical="center" wrapText="1" readingOrder="1"/>
    </xf>
    <xf numFmtId="0" fontId="3" fillId="8" borderId="9" xfId="5" applyFont="1" applyFill="1" applyBorder="1" applyAlignment="1">
      <alignment horizontal="center" vertical="center" wrapText="1"/>
    </xf>
    <xf numFmtId="49" fontId="3" fillId="0" borderId="6" xfId="5" applyNumberFormat="1" applyFont="1" applyBorder="1" applyAlignment="1">
      <alignment horizontal="center" vertical="center" wrapText="1"/>
    </xf>
    <xf numFmtId="0" fontId="3" fillId="0" borderId="9" xfId="5" applyFont="1" applyBorder="1" applyAlignment="1">
      <alignment horizontal="center" vertical="center" wrapText="1"/>
    </xf>
    <xf numFmtId="0" fontId="3" fillId="9" borderId="6" xfId="5" applyFont="1" applyFill="1" applyBorder="1" applyAlignment="1">
      <alignment horizontal="center" vertical="center" wrapText="1"/>
    </xf>
    <xf numFmtId="49" fontId="3" fillId="9" borderId="6" xfId="5" applyNumberFormat="1" applyFont="1" applyFill="1" applyBorder="1" applyAlignment="1">
      <alignment horizontal="center" vertical="center" wrapText="1"/>
    </xf>
    <xf numFmtId="0" fontId="3" fillId="8" borderId="6" xfId="5" applyFont="1" applyFill="1" applyBorder="1" applyAlignment="1">
      <alignment horizontal="center" vertical="center" wrapText="1"/>
    </xf>
    <xf numFmtId="49" fontId="3" fillId="8" borderId="6" xfId="5" applyNumberFormat="1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left" vertical="center" wrapText="1" readingOrder="1"/>
    </xf>
    <xf numFmtId="0" fontId="3" fillId="9" borderId="9" xfId="5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center" wrapText="1" readingOrder="1"/>
    </xf>
    <xf numFmtId="49" fontId="3" fillId="9" borderId="6" xfId="5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vertical="center" wrapText="1" readingOrder="1"/>
    </xf>
    <xf numFmtId="0" fontId="15" fillId="0" borderId="6" xfId="5" applyFont="1" applyBorder="1" applyAlignment="1">
      <alignment vertical="center" wrapText="1"/>
    </xf>
    <xf numFmtId="0" fontId="9" fillId="0" borderId="6" xfId="5" applyFont="1" applyBorder="1" applyAlignment="1">
      <alignment horizontal="center" vertical="center" wrapText="1"/>
    </xf>
    <xf numFmtId="0" fontId="17" fillId="0" borderId="6" xfId="0" applyFont="1" applyBorder="1" applyAlignment="1">
      <alignment vertical="center" wrapText="1"/>
    </xf>
    <xf numFmtId="0" fontId="15" fillId="0" borderId="11" xfId="5" applyFont="1" applyBorder="1" applyAlignment="1">
      <alignment vertical="center" wrapText="1"/>
    </xf>
    <xf numFmtId="0" fontId="3" fillId="0" borderId="12" xfId="0" applyFont="1" applyBorder="1"/>
    <xf numFmtId="0" fontId="3" fillId="0" borderId="12" xfId="5" applyFont="1" applyBorder="1" applyAlignment="1">
      <alignment vertical="center" wrapText="1"/>
    </xf>
    <xf numFmtId="0" fontId="11" fillId="10" borderId="6" xfId="5" applyFont="1" applyFill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49" fontId="3" fillId="11" borderId="6" xfId="5" applyNumberFormat="1" applyFont="1" applyFill="1" applyBorder="1" applyAlignment="1">
      <alignment horizontal="center" vertical="center"/>
    </xf>
    <xf numFmtId="49" fontId="3" fillId="0" borderId="6" xfId="5" applyNumberFormat="1" applyFont="1" applyBorder="1" applyAlignment="1">
      <alignment horizontal="center" vertical="center"/>
    </xf>
    <xf numFmtId="49" fontId="3" fillId="0" borderId="6" xfId="5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3" fillId="0" borderId="6" xfId="0" applyNumberFormat="1" applyFont="1" applyFill="1" applyBorder="1" applyAlignment="1">
      <alignment horizontal="center" vertical="center"/>
    </xf>
    <xf numFmtId="49" fontId="3" fillId="11" borderId="6" xfId="0" applyNumberFormat="1" applyFont="1" applyFill="1" applyBorder="1" applyAlignment="1">
      <alignment horizontal="center" vertical="center"/>
    </xf>
    <xf numFmtId="49" fontId="3" fillId="0" borderId="6" xfId="5" applyNumberFormat="1" applyFont="1" applyFill="1" applyBorder="1" applyAlignment="1">
      <alignment horizontal="center" vertical="center" wrapText="1"/>
    </xf>
    <xf numFmtId="49" fontId="3" fillId="12" borderId="6" xfId="5" applyNumberFormat="1" applyFont="1" applyFill="1" applyBorder="1" applyAlignment="1">
      <alignment horizontal="center" vertical="center" wrapText="1"/>
    </xf>
    <xf numFmtId="0" fontId="3" fillId="12" borderId="10" xfId="5" applyFont="1" applyFill="1" applyBorder="1" applyAlignment="1">
      <alignment horizontal="center" vertical="center" wrapText="1"/>
    </xf>
    <xf numFmtId="0" fontId="12" fillId="0" borderId="6" xfId="5" applyFont="1" applyBorder="1" applyAlignment="1">
      <alignment horizontal="center" vertical="center" wrapText="1"/>
    </xf>
    <xf numFmtId="49" fontId="3" fillId="11" borderId="6" xfId="5" applyNumberFormat="1" applyFont="1" applyFill="1" applyBorder="1" applyAlignment="1">
      <alignment horizontal="center" vertical="center" wrapText="1"/>
    </xf>
    <xf numFmtId="49" fontId="1" fillId="5" borderId="1" xfId="1" quotePrefix="1" applyNumberFormat="1" applyFont="1" applyFill="1" applyBorder="1" applyAlignment="1">
      <alignment horizontal="left" vertical="center" indent="1"/>
    </xf>
    <xf numFmtId="0" fontId="0" fillId="0" borderId="0" xfId="0" pivotButton="1"/>
    <xf numFmtId="0" fontId="27" fillId="5" borderId="8" xfId="0" applyFont="1" applyFill="1" applyBorder="1" applyAlignment="1">
      <alignment horizontal="center" vertical="center" wrapText="1"/>
    </xf>
    <xf numFmtId="0" fontId="0" fillId="5" borderId="0" xfId="0" applyFill="1"/>
    <xf numFmtId="0" fontId="3" fillId="0" borderId="8" xfId="0" applyFont="1" applyFill="1" applyBorder="1" applyAlignment="1">
      <alignment vertical="center"/>
    </xf>
    <xf numFmtId="0" fontId="3" fillId="0" borderId="8" xfId="0" applyFont="1" applyFill="1" applyBorder="1" applyAlignment="1">
      <alignment horizontal="center"/>
    </xf>
    <xf numFmtId="0" fontId="3" fillId="0" borderId="0" xfId="0" applyFont="1"/>
    <xf numFmtId="1" fontId="3" fillId="0" borderId="6" xfId="0" applyNumberFormat="1" applyFont="1" applyFill="1" applyBorder="1" applyAlignment="1">
      <alignment horizontal="center" vertical="center"/>
    </xf>
    <xf numFmtId="167" fontId="3" fillId="0" borderId="6" xfId="1" applyNumberFormat="1" applyFont="1" applyFill="1" applyBorder="1" applyAlignment="1">
      <alignment horizontal="center" vertical="center"/>
    </xf>
    <xf numFmtId="165" fontId="3" fillId="0" borderId="6" xfId="0" applyNumberFormat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165" fontId="9" fillId="0" borderId="6" xfId="0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left" vertical="center"/>
    </xf>
    <xf numFmtId="167" fontId="3" fillId="0" borderId="8" xfId="1" applyNumberFormat="1" applyFont="1" applyFill="1" applyBorder="1" applyAlignment="1">
      <alignment horizontal="center" vertical="center"/>
    </xf>
    <xf numFmtId="165" fontId="3" fillId="0" borderId="8" xfId="0" applyNumberFormat="1" applyFont="1" applyFill="1" applyBorder="1" applyAlignment="1">
      <alignment horizontal="center" vertical="center"/>
    </xf>
    <xf numFmtId="167" fontId="3" fillId="0" borderId="6" xfId="0" applyNumberFormat="1" applyFont="1" applyFill="1" applyBorder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horizontal="left"/>
    </xf>
    <xf numFmtId="165" fontId="3" fillId="0" borderId="0" xfId="0" applyNumberFormat="1" applyFont="1"/>
    <xf numFmtId="0" fontId="31" fillId="0" borderId="6" xfId="0" applyFont="1" applyFill="1" applyBorder="1" applyAlignment="1">
      <alignment horizontal="center" vertical="center"/>
    </xf>
    <xf numFmtId="165" fontId="31" fillId="0" borderId="6" xfId="0" applyNumberFormat="1" applyFont="1" applyFill="1" applyBorder="1" applyAlignment="1">
      <alignment horizontal="center" vertical="center"/>
    </xf>
    <xf numFmtId="0" fontId="31" fillId="0" borderId="6" xfId="0" applyFont="1" applyFill="1" applyBorder="1" applyAlignment="1">
      <alignment horizontal="left" vertical="center"/>
    </xf>
    <xf numFmtId="167" fontId="31" fillId="0" borderId="6" xfId="1" applyNumberFormat="1" applyFont="1" applyFill="1" applyBorder="1" applyAlignment="1">
      <alignment horizontal="center" vertical="center"/>
    </xf>
    <xf numFmtId="0" fontId="3" fillId="0" borderId="6" xfId="0" applyFont="1" applyBorder="1"/>
    <xf numFmtId="167" fontId="32" fillId="0" borderId="6" xfId="1" applyNumberFormat="1" applyFont="1" applyFill="1" applyBorder="1" applyAlignment="1">
      <alignment horizontal="center" vertical="center"/>
    </xf>
    <xf numFmtId="0" fontId="32" fillId="0" borderId="6" xfId="0" applyFont="1" applyFill="1" applyBorder="1" applyAlignment="1">
      <alignment horizontal="center" vertical="center"/>
    </xf>
    <xf numFmtId="165" fontId="32" fillId="0" borderId="6" xfId="0" applyNumberFormat="1" applyFont="1" applyFill="1" applyBorder="1" applyAlignment="1">
      <alignment horizontal="center" vertical="center"/>
    </xf>
    <xf numFmtId="167" fontId="32" fillId="0" borderId="6" xfId="0" applyNumberFormat="1" applyFont="1" applyFill="1" applyBorder="1" applyAlignment="1">
      <alignment horizontal="center" vertical="center"/>
    </xf>
    <xf numFmtId="0" fontId="33" fillId="0" borderId="6" xfId="0" applyFont="1" applyFill="1" applyBorder="1" applyAlignment="1">
      <alignment horizontal="center" vertical="center"/>
    </xf>
    <xf numFmtId="165" fontId="33" fillId="0" borderId="6" xfId="0" applyNumberFormat="1" applyFont="1" applyFill="1" applyBorder="1" applyAlignment="1">
      <alignment horizontal="center" vertical="center"/>
    </xf>
    <xf numFmtId="167" fontId="33" fillId="0" borderId="6" xfId="1" applyNumberFormat="1" applyFont="1" applyFill="1" applyBorder="1" applyAlignment="1">
      <alignment horizontal="center" vertical="center"/>
    </xf>
    <xf numFmtId="0" fontId="33" fillId="0" borderId="6" xfId="0" applyFont="1" applyFill="1" applyBorder="1" applyAlignment="1">
      <alignment horizontal="left" vertical="center"/>
    </xf>
    <xf numFmtId="167" fontId="34" fillId="0" borderId="6" xfId="1" applyNumberFormat="1" applyFont="1" applyFill="1" applyBorder="1" applyAlignment="1">
      <alignment horizontal="center" vertical="center"/>
    </xf>
    <xf numFmtId="0" fontId="34" fillId="0" borderId="6" xfId="0" applyFont="1" applyFill="1" applyBorder="1" applyAlignment="1">
      <alignment horizontal="center" vertical="center"/>
    </xf>
    <xf numFmtId="165" fontId="34" fillId="0" borderId="6" xfId="0" applyNumberFormat="1" applyFont="1" applyFill="1" applyBorder="1" applyAlignment="1">
      <alignment horizontal="center" vertical="center"/>
    </xf>
    <xf numFmtId="165" fontId="4" fillId="0" borderId="6" xfId="0" applyNumberFormat="1" applyFont="1" applyFill="1" applyBorder="1" applyAlignment="1">
      <alignment horizontal="center" vertical="center"/>
    </xf>
    <xf numFmtId="0" fontId="34" fillId="0" borderId="6" xfId="0" applyFont="1" applyFill="1" applyBorder="1" applyAlignment="1">
      <alignment horizontal="left" vertical="center"/>
    </xf>
    <xf numFmtId="165" fontId="4" fillId="0" borderId="8" xfId="0" applyNumberFormat="1" applyFont="1" applyFill="1" applyBorder="1" applyAlignment="1">
      <alignment horizontal="center" vertical="center"/>
    </xf>
    <xf numFmtId="165" fontId="4" fillId="0" borderId="0" xfId="0" applyNumberFormat="1" applyFont="1"/>
    <xf numFmtId="0" fontId="9" fillId="0" borderId="6" xfId="0" applyFont="1" applyFill="1" applyBorder="1" applyAlignment="1">
      <alignment horizontal="center"/>
    </xf>
    <xf numFmtId="167" fontId="36" fillId="0" borderId="6" xfId="1" applyNumberFormat="1" applyFont="1" applyFill="1" applyBorder="1" applyAlignment="1">
      <alignment horizontal="center" vertical="center"/>
    </xf>
    <xf numFmtId="0" fontId="36" fillId="0" borderId="6" xfId="0" applyFont="1" applyFill="1" applyBorder="1" applyAlignment="1">
      <alignment horizontal="center" vertical="center"/>
    </xf>
    <xf numFmtId="165" fontId="36" fillId="0" borderId="6" xfId="0" applyNumberFormat="1" applyFont="1" applyFill="1" applyBorder="1" applyAlignment="1">
      <alignment horizontal="center" vertical="center"/>
    </xf>
    <xf numFmtId="165" fontId="37" fillId="0" borderId="6" xfId="0" applyNumberFormat="1" applyFont="1" applyFill="1" applyBorder="1" applyAlignment="1">
      <alignment horizontal="center" vertical="center"/>
    </xf>
    <xf numFmtId="0" fontId="36" fillId="0" borderId="6" xfId="4" applyFont="1" applyFill="1" applyBorder="1" applyAlignment="1">
      <alignment horizontal="left" vertical="center" wrapText="1"/>
    </xf>
    <xf numFmtId="167" fontId="38" fillId="0" borderId="6" xfId="1" applyNumberFormat="1" applyFont="1" applyFill="1" applyBorder="1" applyAlignment="1">
      <alignment horizontal="center" vertical="center"/>
    </xf>
    <xf numFmtId="0" fontId="38" fillId="0" borderId="6" xfId="0" applyFont="1" applyFill="1" applyBorder="1" applyAlignment="1">
      <alignment horizontal="center" vertical="center"/>
    </xf>
    <xf numFmtId="165" fontId="39" fillId="0" borderId="6" xfId="0" applyNumberFormat="1" applyFont="1" applyFill="1" applyBorder="1" applyAlignment="1">
      <alignment horizontal="center" vertical="center"/>
    </xf>
    <xf numFmtId="0" fontId="38" fillId="0" borderId="6" xfId="0" applyFont="1" applyFill="1" applyBorder="1" applyAlignment="1">
      <alignment horizontal="left" vertical="center"/>
    </xf>
    <xf numFmtId="165" fontId="38" fillId="0" borderId="6" xfId="0" applyNumberFormat="1" applyFont="1" applyFill="1" applyBorder="1" applyAlignment="1">
      <alignment horizontal="center" vertical="center"/>
    </xf>
    <xf numFmtId="0" fontId="38" fillId="0" borderId="6" xfId="0" applyFont="1" applyFill="1" applyBorder="1" applyAlignment="1">
      <alignment vertical="center"/>
    </xf>
    <xf numFmtId="170" fontId="9" fillId="5" borderId="19" xfId="0" applyNumberFormat="1" applyFont="1" applyFill="1" applyBorder="1" applyAlignment="1">
      <alignment horizontal="center" vertical="center"/>
    </xf>
    <xf numFmtId="166" fontId="9" fillId="5" borderId="19" xfId="1" applyNumberFormat="1" applyFont="1" applyFill="1" applyBorder="1" applyAlignment="1">
      <alignment horizontal="left" vertical="center" wrapText="1"/>
    </xf>
    <xf numFmtId="169" fontId="9" fillId="5" borderId="19" xfId="0" applyNumberFormat="1" applyFont="1" applyFill="1" applyBorder="1" applyAlignment="1">
      <alignment horizontal="left" vertical="center" wrapText="1"/>
    </xf>
    <xf numFmtId="169" fontId="9" fillId="5" borderId="19" xfId="0" applyNumberFormat="1" applyFont="1" applyFill="1" applyBorder="1" applyAlignment="1">
      <alignment vertical="center" wrapText="1"/>
    </xf>
    <xf numFmtId="169" fontId="9" fillId="15" borderId="19" xfId="0" applyNumberFormat="1" applyFont="1" applyFill="1" applyBorder="1" applyAlignment="1">
      <alignment horizontal="left" vertical="center" wrapText="1"/>
    </xf>
    <xf numFmtId="0" fontId="41" fillId="0" borderId="19" xfId="7" applyFont="1" applyBorder="1" applyAlignment="1">
      <alignment vertical="center"/>
    </xf>
    <xf numFmtId="0" fontId="9" fillId="5" borderId="19" xfId="8" applyFont="1" applyFill="1" applyBorder="1" applyAlignment="1">
      <alignment vertical="center"/>
    </xf>
    <xf numFmtId="2" fontId="42" fillId="5" borderId="19" xfId="8" applyNumberFormat="1" applyFont="1" applyFill="1" applyBorder="1" applyAlignment="1">
      <alignment vertical="center" wrapText="1"/>
    </xf>
    <xf numFmtId="0" fontId="0" fillId="5" borderId="0" xfId="0" applyFill="1" applyAlignment="1">
      <alignment horizontal="center"/>
    </xf>
    <xf numFmtId="165" fontId="4" fillId="0" borderId="19" xfId="0" applyNumberFormat="1" applyFont="1" applyFill="1" applyBorder="1" applyAlignment="1">
      <alignment horizontal="center" vertical="center"/>
    </xf>
    <xf numFmtId="0" fontId="3" fillId="0" borderId="19" xfId="0" applyFont="1" applyFill="1" applyBorder="1"/>
    <xf numFmtId="0" fontId="3" fillId="0" borderId="19" xfId="0" quotePrefix="1" applyFont="1" applyFill="1" applyBorder="1"/>
    <xf numFmtId="0" fontId="32" fillId="0" borderId="19" xfId="0" applyFont="1" applyFill="1" applyBorder="1"/>
    <xf numFmtId="0" fontId="31" fillId="0" borderId="19" xfId="0" applyFont="1" applyFill="1" applyBorder="1"/>
    <xf numFmtId="0" fontId="36" fillId="0" borderId="19" xfId="0" applyFont="1" applyFill="1" applyBorder="1"/>
    <xf numFmtId="0" fontId="33" fillId="0" borderId="19" xfId="0" applyFont="1" applyFill="1" applyBorder="1"/>
    <xf numFmtId="0" fontId="38" fillId="0" borderId="19" xfId="0" applyFont="1" applyFill="1" applyBorder="1"/>
    <xf numFmtId="0" fontId="34" fillId="0" borderId="19" xfId="0" applyFont="1" applyFill="1" applyBorder="1"/>
    <xf numFmtId="167" fontId="38" fillId="0" borderId="19" xfId="1" applyNumberFormat="1" applyFont="1" applyFill="1" applyBorder="1" applyAlignment="1">
      <alignment horizontal="center" vertical="center"/>
    </xf>
    <xf numFmtId="0" fontId="38" fillId="0" borderId="19" xfId="0" applyFont="1" applyFill="1" applyBorder="1" applyAlignment="1">
      <alignment horizontal="center" vertical="center"/>
    </xf>
    <xf numFmtId="165" fontId="39" fillId="0" borderId="19" xfId="0" applyNumberFormat="1" applyFont="1" applyFill="1" applyBorder="1" applyAlignment="1">
      <alignment horizontal="center" vertical="center"/>
    </xf>
    <xf numFmtId="0" fontId="0" fillId="0" borderId="19" xfId="0" applyNumberFormat="1" applyBorder="1"/>
    <xf numFmtId="0" fontId="0" fillId="0" borderId="19" xfId="0" applyBorder="1"/>
    <xf numFmtId="0" fontId="38" fillId="0" borderId="19" xfId="0" applyFont="1" applyFill="1" applyBorder="1" applyAlignment="1">
      <alignment horizontal="left" vertical="center"/>
    </xf>
    <xf numFmtId="165" fontId="38" fillId="0" borderId="19" xfId="0" applyNumberFormat="1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165" fontId="3" fillId="0" borderId="19" xfId="0" applyNumberFormat="1" applyFont="1" applyFill="1" applyBorder="1" applyAlignment="1">
      <alignment horizontal="center" vertical="center"/>
    </xf>
    <xf numFmtId="167" fontId="43" fillId="0" borderId="19" xfId="1" applyNumberFormat="1" applyFont="1" applyFill="1" applyBorder="1" applyAlignment="1">
      <alignment horizontal="center" vertical="center"/>
    </xf>
    <xf numFmtId="0" fontId="43" fillId="0" borderId="19" xfId="0" applyFont="1" applyFill="1" applyBorder="1" applyAlignment="1">
      <alignment horizontal="left" vertical="center"/>
    </xf>
    <xf numFmtId="0" fontId="43" fillId="0" borderId="19" xfId="0" applyFont="1" applyFill="1" applyBorder="1" applyAlignment="1">
      <alignment horizontal="center" vertical="center"/>
    </xf>
    <xf numFmtId="165" fontId="43" fillId="0" borderId="19" xfId="0" applyNumberFormat="1" applyFont="1" applyFill="1" applyBorder="1" applyAlignment="1">
      <alignment horizontal="center" vertical="center"/>
    </xf>
    <xf numFmtId="165" fontId="44" fillId="0" borderId="19" xfId="0" applyNumberFormat="1" applyFont="1" applyFill="1" applyBorder="1" applyAlignment="1">
      <alignment horizontal="center" vertical="center"/>
    </xf>
    <xf numFmtId="0" fontId="43" fillId="0" borderId="19" xfId="0" applyFont="1" applyFill="1" applyBorder="1"/>
    <xf numFmtId="170" fontId="9" fillId="5" borderId="19" xfId="0" quotePrefix="1" applyNumberFormat="1" applyFont="1" applyFill="1" applyBorder="1" applyAlignment="1">
      <alignment horizontal="center" vertical="center"/>
    </xf>
    <xf numFmtId="167" fontId="3" fillId="0" borderId="19" xfId="1" applyNumberFormat="1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left" vertical="center"/>
    </xf>
    <xf numFmtId="167" fontId="45" fillId="0" borderId="19" xfId="1" applyNumberFormat="1" applyFont="1" applyFill="1" applyBorder="1" applyAlignment="1">
      <alignment horizontal="center" vertical="center"/>
    </xf>
    <xf numFmtId="0" fontId="45" fillId="0" borderId="19" xfId="0" applyFont="1" applyFill="1" applyBorder="1" applyAlignment="1">
      <alignment horizontal="center" vertical="center"/>
    </xf>
    <xf numFmtId="165" fontId="45" fillId="0" borderId="19" xfId="0" applyNumberFormat="1" applyFont="1" applyFill="1" applyBorder="1" applyAlignment="1">
      <alignment horizontal="center" vertical="center"/>
    </xf>
    <xf numFmtId="165" fontId="46" fillId="0" borderId="19" xfId="0" applyNumberFormat="1" applyFont="1" applyFill="1" applyBorder="1" applyAlignment="1">
      <alignment horizontal="center" vertical="center"/>
    </xf>
    <xf numFmtId="0" fontId="45" fillId="0" borderId="19" xfId="0" applyFont="1" applyFill="1" applyBorder="1"/>
    <xf numFmtId="0" fontId="45" fillId="0" borderId="19" xfId="0" applyFont="1" applyFill="1" applyBorder="1" applyAlignment="1">
      <alignment horizontal="left" vertical="center"/>
    </xf>
    <xf numFmtId="0" fontId="18" fillId="0" borderId="6" xfId="2" applyFill="1" applyBorder="1" applyAlignment="1">
      <alignment horizontal="center"/>
    </xf>
    <xf numFmtId="0" fontId="28" fillId="13" borderId="19" xfId="0" applyFont="1" applyFill="1" applyBorder="1" applyAlignment="1">
      <alignment horizontal="left" vertical="center"/>
    </xf>
    <xf numFmtId="0" fontId="28" fillId="13" borderId="19" xfId="0" applyFont="1" applyFill="1" applyBorder="1"/>
    <xf numFmtId="0" fontId="9" fillId="5" borderId="19" xfId="0" applyFont="1" applyFill="1" applyBorder="1"/>
    <xf numFmtId="0" fontId="28" fillId="13" borderId="19" xfId="0" applyFont="1" applyFill="1" applyBorder="1" applyAlignment="1">
      <alignment vertical="center"/>
    </xf>
    <xf numFmtId="0" fontId="9" fillId="5" borderId="19" xfId="0" applyFont="1" applyFill="1" applyBorder="1" applyAlignment="1">
      <alignment vertical="center"/>
    </xf>
    <xf numFmtId="0" fontId="28" fillId="5" borderId="19" xfId="0" applyFont="1" applyFill="1" applyBorder="1"/>
    <xf numFmtId="0" fontId="28" fillId="14" borderId="19" xfId="0" applyFont="1" applyFill="1" applyBorder="1"/>
    <xf numFmtId="2" fontId="42" fillId="5" borderId="19" xfId="6" applyNumberFormat="1" applyFont="1" applyFill="1" applyBorder="1" applyAlignment="1">
      <alignment vertical="center" wrapText="1"/>
    </xf>
    <xf numFmtId="167" fontId="47" fillId="0" borderId="19" xfId="1" applyNumberFormat="1" applyFont="1" applyFill="1" applyBorder="1" applyAlignment="1">
      <alignment horizontal="center" vertical="center"/>
    </xf>
    <xf numFmtId="0" fontId="47" fillId="0" borderId="19" xfId="0" applyFont="1" applyFill="1" applyBorder="1" applyAlignment="1">
      <alignment horizontal="left" vertical="center"/>
    </xf>
    <xf numFmtId="0" fontId="47" fillId="0" borderId="19" xfId="0" applyFont="1" applyFill="1" applyBorder="1" applyAlignment="1">
      <alignment horizontal="center" vertical="center"/>
    </xf>
    <xf numFmtId="165" fontId="47" fillId="0" borderId="19" xfId="0" applyNumberFormat="1" applyFont="1" applyFill="1" applyBorder="1" applyAlignment="1">
      <alignment horizontal="center" vertical="center"/>
    </xf>
    <xf numFmtId="165" fontId="48" fillId="0" borderId="19" xfId="0" applyNumberFormat="1" applyFont="1" applyFill="1" applyBorder="1" applyAlignment="1">
      <alignment horizontal="center" vertical="center"/>
    </xf>
    <xf numFmtId="0" fontId="47" fillId="0" borderId="19" xfId="0" applyFont="1" applyFill="1" applyBorder="1"/>
    <xf numFmtId="0" fontId="18" fillId="0" borderId="19" xfId="2" applyFill="1" applyBorder="1" applyAlignment="1">
      <alignment horizontal="center"/>
    </xf>
    <xf numFmtId="0" fontId="47" fillId="0" borderId="19" xfId="0" applyFont="1" applyFill="1" applyBorder="1" applyAlignment="1">
      <alignment vertical="center"/>
    </xf>
    <xf numFmtId="167" fontId="49" fillId="0" borderId="19" xfId="1" applyNumberFormat="1" applyFont="1" applyFill="1" applyBorder="1" applyAlignment="1">
      <alignment horizontal="center" vertical="center"/>
    </xf>
    <xf numFmtId="0" fontId="49" fillId="0" borderId="19" xfId="4" applyFont="1" applyFill="1" applyBorder="1" applyAlignment="1">
      <alignment horizontal="left" vertical="center" wrapText="1"/>
    </xf>
    <xf numFmtId="0" fontId="49" fillId="0" borderId="19" xfId="0" applyFont="1" applyFill="1" applyBorder="1" applyAlignment="1">
      <alignment horizontal="center" vertical="center"/>
    </xf>
    <xf numFmtId="165" fontId="49" fillId="0" borderId="19" xfId="0" applyNumberFormat="1" applyFont="1" applyFill="1" applyBorder="1" applyAlignment="1">
      <alignment horizontal="center" vertical="center"/>
    </xf>
    <xf numFmtId="165" fontId="50" fillId="0" borderId="19" xfId="0" applyNumberFormat="1" applyFont="1" applyFill="1" applyBorder="1" applyAlignment="1">
      <alignment horizontal="center" vertical="center"/>
    </xf>
    <xf numFmtId="0" fontId="49" fillId="0" borderId="19" xfId="0" applyFont="1" applyFill="1" applyBorder="1"/>
    <xf numFmtId="49" fontId="9" fillId="5" borderId="19" xfId="0" applyNumberFormat="1" applyFont="1" applyFill="1" applyBorder="1" applyAlignment="1">
      <alignment horizontal="center" vertical="center"/>
    </xf>
    <xf numFmtId="0" fontId="27" fillId="5" borderId="11" xfId="0" applyFont="1" applyFill="1" applyBorder="1" applyAlignment="1">
      <alignment horizontal="center" vertical="center" wrapText="1"/>
    </xf>
    <xf numFmtId="0" fontId="27" fillId="5" borderId="12" xfId="0" applyFont="1" applyFill="1" applyBorder="1" applyAlignment="1">
      <alignment horizontal="center" vertical="center" wrapText="1"/>
    </xf>
    <xf numFmtId="170" fontId="28" fillId="5" borderId="19" xfId="0" applyNumberFormat="1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167" fontId="52" fillId="0" borderId="19" xfId="1" applyNumberFormat="1" applyFont="1" applyFill="1" applyBorder="1" applyAlignment="1">
      <alignment horizontal="center" vertical="center"/>
    </xf>
    <xf numFmtId="0" fontId="52" fillId="0" borderId="19" xfId="0" applyFont="1" applyFill="1" applyBorder="1" applyAlignment="1">
      <alignment horizontal="center" vertical="center"/>
    </xf>
    <xf numFmtId="165" fontId="52" fillId="0" borderId="19" xfId="0" applyNumberFormat="1" applyFont="1" applyFill="1" applyBorder="1" applyAlignment="1">
      <alignment horizontal="center" vertical="center"/>
    </xf>
    <xf numFmtId="165" fontId="53" fillId="0" borderId="19" xfId="0" applyNumberFormat="1" applyFont="1" applyFill="1" applyBorder="1" applyAlignment="1">
      <alignment horizontal="center" vertical="center"/>
    </xf>
    <xf numFmtId="0" fontId="52" fillId="0" borderId="19" xfId="0" applyFont="1" applyFill="1" applyBorder="1"/>
    <xf numFmtId="167" fontId="54" fillId="0" borderId="19" xfId="1" applyNumberFormat="1" applyFont="1" applyFill="1" applyBorder="1" applyAlignment="1">
      <alignment horizontal="center" vertical="center"/>
    </xf>
    <xf numFmtId="0" fontId="54" fillId="0" borderId="19" xfId="0" applyFont="1" applyFill="1" applyBorder="1" applyAlignment="1">
      <alignment horizontal="center" vertical="center"/>
    </xf>
    <xf numFmtId="165" fontId="55" fillId="0" borderId="19" xfId="0" applyNumberFormat="1" applyFont="1" applyFill="1" applyBorder="1" applyAlignment="1">
      <alignment horizontal="center" vertical="center"/>
    </xf>
    <xf numFmtId="0" fontId="54" fillId="0" borderId="19" xfId="0" applyFont="1" applyFill="1" applyBorder="1"/>
    <xf numFmtId="165" fontId="54" fillId="0" borderId="19" xfId="0" applyNumberFormat="1" applyFont="1" applyFill="1" applyBorder="1" applyAlignment="1">
      <alignment horizontal="center" vertical="center"/>
    </xf>
    <xf numFmtId="0" fontId="56" fillId="0" borderId="19" xfId="0" applyFont="1" applyFill="1" applyBorder="1" applyAlignment="1">
      <alignment horizontal="center" vertical="center"/>
    </xf>
    <xf numFmtId="165" fontId="56" fillId="0" borderId="19" xfId="0" applyNumberFormat="1" applyFont="1" applyFill="1" applyBorder="1" applyAlignment="1">
      <alignment horizontal="center" vertical="center"/>
    </xf>
    <xf numFmtId="165" fontId="57" fillId="0" borderId="19" xfId="0" applyNumberFormat="1" applyFont="1" applyFill="1" applyBorder="1" applyAlignment="1">
      <alignment horizontal="center" vertical="center"/>
    </xf>
    <xf numFmtId="0" fontId="56" fillId="0" borderId="19" xfId="0" applyFont="1" applyFill="1" applyBorder="1"/>
    <xf numFmtId="1" fontId="3" fillId="0" borderId="19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/>
    </xf>
    <xf numFmtId="49" fontId="56" fillId="0" borderId="19" xfId="0" applyNumberFormat="1" applyFont="1" applyBorder="1" applyAlignment="1">
      <alignment horizontal="center" vertical="center"/>
    </xf>
    <xf numFmtId="165" fontId="56" fillId="0" borderId="19" xfId="0" applyNumberFormat="1" applyFont="1" applyBorder="1" applyAlignment="1">
      <alignment horizontal="center" vertical="center"/>
    </xf>
    <xf numFmtId="1" fontId="58" fillId="0" borderId="19" xfId="0" applyNumberFormat="1" applyFont="1" applyFill="1" applyBorder="1" applyAlignment="1">
      <alignment horizontal="center" vertical="center"/>
    </xf>
    <xf numFmtId="167" fontId="58" fillId="0" borderId="19" xfId="1" applyNumberFormat="1" applyFont="1" applyFill="1" applyBorder="1" applyAlignment="1">
      <alignment horizontal="center" vertical="center"/>
    </xf>
    <xf numFmtId="0" fontId="58" fillId="0" borderId="19" xfId="0" applyFont="1" applyFill="1" applyBorder="1" applyAlignment="1">
      <alignment horizontal="center" vertical="center"/>
    </xf>
    <xf numFmtId="165" fontId="58" fillId="0" borderId="19" xfId="0" applyNumberFormat="1" applyFont="1" applyFill="1" applyBorder="1" applyAlignment="1">
      <alignment horizontal="center" vertical="center"/>
    </xf>
    <xf numFmtId="165" fontId="59" fillId="0" borderId="19" xfId="0" applyNumberFormat="1" applyFont="1" applyFill="1" applyBorder="1" applyAlignment="1">
      <alignment horizontal="center" vertical="center"/>
    </xf>
    <xf numFmtId="0" fontId="58" fillId="0" borderId="19" xfId="0" applyFont="1" applyFill="1" applyBorder="1"/>
    <xf numFmtId="170" fontId="9" fillId="5" borderId="8" xfId="0" applyNumberFormat="1" applyFont="1" applyFill="1" applyBorder="1" applyAlignment="1">
      <alignment horizontal="center" vertical="center"/>
    </xf>
    <xf numFmtId="170" fontId="9" fillId="5" borderId="11" xfId="0" applyNumberFormat="1" applyFont="1" applyFill="1" applyBorder="1" applyAlignment="1">
      <alignment horizontal="center" vertical="center"/>
    </xf>
    <xf numFmtId="170" fontId="9" fillId="5" borderId="12" xfId="0" applyNumberFormat="1" applyFont="1" applyFill="1" applyBorder="1" applyAlignment="1">
      <alignment horizontal="center" vertical="center"/>
    </xf>
    <xf numFmtId="0" fontId="9" fillId="0" borderId="19" xfId="0" applyFont="1" applyBorder="1"/>
    <xf numFmtId="0" fontId="28" fillId="5" borderId="19" xfId="0" applyFont="1" applyFill="1" applyBorder="1" applyAlignment="1">
      <alignment horizontal="left"/>
    </xf>
    <xf numFmtId="170" fontId="28" fillId="13" borderId="19" xfId="0" applyNumberFormat="1" applyFont="1" applyFill="1" applyBorder="1" applyAlignment="1">
      <alignment horizontal="center" vertical="center"/>
    </xf>
    <xf numFmtId="171" fontId="51" fillId="0" borderId="19" xfId="0" applyNumberFormat="1" applyFont="1" applyBorder="1"/>
    <xf numFmtId="0" fontId="28" fillId="5" borderId="19" xfId="0" applyFont="1" applyFill="1" applyBorder="1" applyAlignment="1">
      <alignment horizontal="left" vertical="center"/>
    </xf>
    <xf numFmtId="170" fontId="9" fillId="5" borderId="19" xfId="0" applyNumberFormat="1" applyFont="1" applyFill="1" applyBorder="1" applyAlignment="1">
      <alignment horizontal="left" vertical="center"/>
    </xf>
    <xf numFmtId="170" fontId="9" fillId="5" borderId="0" xfId="0" applyNumberFormat="1" applyFont="1" applyFill="1" applyAlignment="1">
      <alignment horizontal="center" vertical="center"/>
    </xf>
    <xf numFmtId="0" fontId="28" fillId="5" borderId="12" xfId="0" applyFont="1" applyFill="1" applyBorder="1" applyAlignment="1">
      <alignment horizontal="left"/>
    </xf>
    <xf numFmtId="170" fontId="28" fillId="5" borderId="12" xfId="0" applyNumberFormat="1" applyFont="1" applyFill="1" applyBorder="1" applyAlignment="1">
      <alignment horizontal="left" vertical="center"/>
    </xf>
    <xf numFmtId="168" fontId="28" fillId="5" borderId="19" xfId="6" applyFont="1" applyFill="1" applyBorder="1" applyAlignment="1">
      <alignment horizontal="left" vertical="center" wrapText="1"/>
    </xf>
    <xf numFmtId="170" fontId="28" fillId="5" borderId="19" xfId="4" applyNumberFormat="1" applyFont="1" applyFill="1" applyBorder="1" applyAlignment="1">
      <alignment horizontal="center" vertical="center"/>
    </xf>
    <xf numFmtId="170" fontId="28" fillId="5" borderId="19" xfId="0" applyNumberFormat="1" applyFont="1" applyFill="1" applyBorder="1" applyAlignment="1">
      <alignment horizontal="center" vertical="center"/>
    </xf>
    <xf numFmtId="0" fontId="28" fillId="5" borderId="19" xfId="0" applyFont="1" applyFill="1" applyBorder="1" applyAlignment="1">
      <alignment wrapText="1"/>
    </xf>
    <xf numFmtId="0" fontId="28" fillId="14" borderId="20" xfId="0" applyFont="1" applyFill="1" applyBorder="1"/>
    <xf numFmtId="0" fontId="28" fillId="5" borderId="20" xfId="0" applyFont="1" applyFill="1" applyBorder="1"/>
    <xf numFmtId="0" fontId="28" fillId="5" borderId="21" xfId="0" applyFont="1" applyFill="1" applyBorder="1"/>
    <xf numFmtId="0" fontId="28" fillId="5" borderId="23" xfId="0" applyFont="1" applyFill="1" applyBorder="1"/>
    <xf numFmtId="0" fontId="28" fillId="5" borderId="19" xfId="0" applyFont="1" applyFill="1" applyBorder="1" applyAlignment="1">
      <alignment horizontal="left" vertical="center" wrapText="1"/>
    </xf>
    <xf numFmtId="0" fontId="28" fillId="15" borderId="19" xfId="0" applyFont="1" applyFill="1" applyBorder="1" applyAlignment="1">
      <alignment horizontal="left" vertical="center" wrapText="1"/>
    </xf>
    <xf numFmtId="2" fontId="9" fillId="5" borderId="19" xfId="0" applyNumberFormat="1" applyFont="1" applyFill="1" applyBorder="1"/>
    <xf numFmtId="0" fontId="9" fillId="14" borderId="19" xfId="0" applyFont="1" applyFill="1" applyBorder="1"/>
    <xf numFmtId="0" fontId="41" fillId="5" borderId="19" xfId="7" applyFont="1" applyFill="1" applyBorder="1" applyAlignment="1">
      <alignment vertical="center"/>
    </xf>
    <xf numFmtId="2" fontId="42" fillId="5" borderId="22" xfId="8" applyNumberFormat="1" applyFont="1" applyFill="1" applyBorder="1" applyAlignment="1">
      <alignment vertical="center" wrapText="1"/>
    </xf>
    <xf numFmtId="2" fontId="42" fillId="16" borderId="19" xfId="8" applyNumberFormat="1" applyFont="1" applyFill="1" applyBorder="1" applyAlignment="1">
      <alignment vertical="center" wrapText="1"/>
    </xf>
    <xf numFmtId="0" fontId="7" fillId="15" borderId="19" xfId="0" applyFont="1" applyFill="1" applyBorder="1"/>
    <xf numFmtId="169" fontId="9" fillId="5" borderId="19" xfId="0" applyNumberFormat="1" applyFont="1" applyFill="1" applyBorder="1" applyAlignment="1">
      <alignment horizontal="center" vertical="center" wrapText="1"/>
    </xf>
    <xf numFmtId="0" fontId="62" fillId="0" borderId="24" xfId="0" applyFont="1" applyFill="1" applyBorder="1" applyAlignment="1">
      <alignment horizontal="center" vertical="center"/>
    </xf>
    <xf numFmtId="165" fontId="63" fillId="0" borderId="24" xfId="0" applyNumberFormat="1" applyFont="1" applyFill="1" applyBorder="1" applyAlignment="1">
      <alignment horizontal="center" vertical="center"/>
    </xf>
    <xf numFmtId="0" fontId="62" fillId="0" borderId="24" xfId="0" applyFont="1" applyFill="1" applyBorder="1"/>
    <xf numFmtId="0" fontId="62" fillId="0" borderId="24" xfId="0" applyFont="1" applyFill="1" applyBorder="1" applyAlignment="1">
      <alignment horizontal="center"/>
    </xf>
    <xf numFmtId="165" fontId="62" fillId="0" borderId="24" xfId="0" applyNumberFormat="1" applyFon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4" xfId="0" applyFill="1" applyBorder="1" applyAlignment="1">
      <alignment vertical="center"/>
    </xf>
    <xf numFmtId="0" fontId="0" fillId="5" borderId="24" xfId="0" applyFill="1" applyBorder="1" applyAlignment="1">
      <alignment horizontal="left" vertical="center"/>
    </xf>
    <xf numFmtId="167" fontId="32" fillId="0" borderId="7" xfId="0" applyNumberFormat="1" applyFont="1" applyFill="1" applyBorder="1" applyAlignment="1">
      <alignment horizontal="center" vertical="center"/>
    </xf>
    <xf numFmtId="0" fontId="3" fillId="0" borderId="7" xfId="0" applyFont="1" applyBorder="1" applyAlignment="1"/>
    <xf numFmtId="0" fontId="3" fillId="0" borderId="24" xfId="0" applyFont="1" applyBorder="1" applyAlignment="1">
      <alignment horizontal="left"/>
    </xf>
    <xf numFmtId="0" fontId="3" fillId="0" borderId="24" xfId="0" applyFont="1" applyBorder="1"/>
    <xf numFmtId="165" fontId="3" fillId="0" borderId="24" xfId="0" applyNumberFormat="1" applyFont="1" applyBorder="1"/>
    <xf numFmtId="165" fontId="4" fillId="0" borderId="24" xfId="0" applyNumberFormat="1" applyFont="1" applyBorder="1"/>
    <xf numFmtId="0" fontId="32" fillId="0" borderId="24" xfId="0" applyFont="1" applyFill="1" applyBorder="1" applyAlignment="1">
      <alignment horizontal="left" vertical="center"/>
    </xf>
    <xf numFmtId="0" fontId="32" fillId="0" borderId="24" xfId="0" applyNumberFormat="1" applyFont="1" applyFill="1" applyBorder="1" applyAlignment="1">
      <alignment vertical="center"/>
    </xf>
    <xf numFmtId="0" fontId="32" fillId="0" borderId="24" xfId="0" applyFont="1" applyFill="1" applyBorder="1" applyAlignment="1">
      <alignment horizontal="center" vertical="center"/>
    </xf>
    <xf numFmtId="0" fontId="32" fillId="0" borderId="24" xfId="0" applyFont="1" applyFill="1" applyBorder="1" applyAlignment="1">
      <alignment horizontal="center"/>
    </xf>
    <xf numFmtId="165" fontId="32" fillId="0" borderId="24" xfId="0" applyNumberFormat="1" applyFont="1" applyFill="1" applyBorder="1" applyAlignment="1">
      <alignment horizontal="center" vertical="center"/>
    </xf>
    <xf numFmtId="165" fontId="4" fillId="0" borderId="24" xfId="0" applyNumberFormat="1" applyFont="1" applyFill="1" applyBorder="1" applyAlignment="1">
      <alignment horizontal="center" vertical="center"/>
    </xf>
    <xf numFmtId="0" fontId="32" fillId="0" borderId="24" xfId="0" applyFont="1" applyFill="1" applyBorder="1"/>
    <xf numFmtId="0" fontId="9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165" fontId="9" fillId="0" borderId="24" xfId="0" applyNumberFormat="1" applyFont="1" applyBorder="1" applyAlignment="1">
      <alignment horizontal="center" vertical="center"/>
    </xf>
    <xf numFmtId="165" fontId="4" fillId="0" borderId="24" xfId="0" applyNumberFormat="1" applyFont="1" applyBorder="1" applyAlignment="1">
      <alignment horizontal="center" vertical="center"/>
    </xf>
    <xf numFmtId="0" fontId="18" fillId="0" borderId="24" xfId="2" applyBorder="1" applyAlignment="1">
      <alignment horizontal="center" vertical="center"/>
    </xf>
    <xf numFmtId="0" fontId="64" fillId="0" borderId="24" xfId="0" applyFont="1" applyFill="1" applyBorder="1" applyAlignment="1">
      <alignment horizontal="left" vertical="center"/>
    </xf>
    <xf numFmtId="0" fontId="64" fillId="0" borderId="24" xfId="0" applyFont="1" applyFill="1" applyBorder="1" applyAlignment="1">
      <alignment horizontal="center" vertical="center"/>
    </xf>
    <xf numFmtId="165" fontId="64" fillId="0" borderId="24" xfId="0" applyNumberFormat="1" applyFont="1" applyFill="1" applyBorder="1" applyAlignment="1">
      <alignment horizontal="center" vertical="center"/>
    </xf>
    <xf numFmtId="165" fontId="65" fillId="0" borderId="24" xfId="0" applyNumberFormat="1" applyFont="1" applyFill="1" applyBorder="1" applyAlignment="1">
      <alignment horizontal="center" vertical="center"/>
    </xf>
    <xf numFmtId="0" fontId="64" fillId="0" borderId="24" xfId="0" applyFont="1" applyFill="1" applyBorder="1"/>
    <xf numFmtId="0" fontId="3" fillId="0" borderId="24" xfId="0" applyFont="1" applyBorder="1" applyAlignment="1">
      <alignment horizontal="left" vertical="center"/>
    </xf>
    <xf numFmtId="0" fontId="41" fillId="5" borderId="24" xfId="0" applyFont="1" applyFill="1" applyBorder="1" applyAlignment="1">
      <alignment horizontal="left" vertical="center"/>
    </xf>
    <xf numFmtId="49" fontId="9" fillId="5" borderId="24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43" fillId="0" borderId="24" xfId="0" applyFont="1" applyFill="1" applyBorder="1" applyAlignment="1">
      <alignment horizontal="center" vertical="center"/>
    </xf>
    <xf numFmtId="0" fontId="38" fillId="0" borderId="24" xfId="0" applyFont="1" applyFill="1" applyBorder="1" applyAlignment="1">
      <alignment horizontal="center" vertical="center"/>
    </xf>
    <xf numFmtId="0" fontId="45" fillId="0" borderId="24" xfId="0" applyFont="1" applyFill="1" applyBorder="1" applyAlignment="1">
      <alignment horizontal="center" vertical="center"/>
    </xf>
    <xf numFmtId="0" fontId="31" fillId="0" borderId="24" xfId="0" applyFont="1" applyFill="1" applyBorder="1" applyAlignment="1">
      <alignment horizontal="center" vertical="center"/>
    </xf>
    <xf numFmtId="0" fontId="56" fillId="0" borderId="24" xfId="0" applyFont="1" applyFill="1" applyBorder="1" applyAlignment="1">
      <alignment horizontal="center" vertical="center"/>
    </xf>
    <xf numFmtId="0" fontId="47" fillId="0" borderId="24" xfId="0" applyFont="1" applyFill="1" applyBorder="1" applyAlignment="1">
      <alignment horizontal="center" vertical="center"/>
    </xf>
    <xf numFmtId="0" fontId="36" fillId="0" borderId="24" xfId="0" applyFont="1" applyFill="1" applyBorder="1" applyAlignment="1">
      <alignment horizontal="center" vertical="center"/>
    </xf>
    <xf numFmtId="0" fontId="54" fillId="0" borderId="24" xfId="0" applyFont="1" applyFill="1" applyBorder="1" applyAlignment="1">
      <alignment horizontal="center" vertical="center"/>
    </xf>
    <xf numFmtId="0" fontId="33" fillId="0" borderId="24" xfId="0" applyFont="1" applyFill="1" applyBorder="1" applyAlignment="1">
      <alignment horizontal="center" vertical="center"/>
    </xf>
    <xf numFmtId="0" fontId="52" fillId="0" borderId="24" xfId="0" applyFont="1" applyFill="1" applyBorder="1" applyAlignment="1">
      <alignment horizontal="center" vertical="center"/>
    </xf>
    <xf numFmtId="0" fontId="49" fillId="0" borderId="24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34" fillId="0" borderId="24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8" fillId="0" borderId="24" xfId="0" applyFont="1" applyFill="1" applyBorder="1" applyAlignment="1">
      <alignment horizontal="center" vertical="center"/>
    </xf>
    <xf numFmtId="0" fontId="3" fillId="8" borderId="0" xfId="0" applyFont="1" applyFill="1"/>
    <xf numFmtId="1" fontId="4" fillId="8" borderId="5" xfId="0" applyNumberFormat="1" applyFont="1" applyFill="1" applyBorder="1" applyAlignment="1">
      <alignment horizontal="center"/>
    </xf>
    <xf numFmtId="167" fontId="4" fillId="8" borderId="5" xfId="1" applyNumberFormat="1" applyFont="1" applyFill="1" applyBorder="1" applyAlignment="1">
      <alignment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65" fontId="4" fillId="8" borderId="0" xfId="0" applyNumberFormat="1" applyFont="1" applyFill="1" applyBorder="1" applyAlignment="1">
      <alignment horizontal="center"/>
    </xf>
    <xf numFmtId="0" fontId="4" fillId="8" borderId="0" xfId="0" applyFont="1" applyFill="1"/>
    <xf numFmtId="0" fontId="41" fillId="0" borderId="0" xfId="0" applyFont="1" applyAlignment="1">
      <alignment horizontal="left" vertical="center"/>
    </xf>
    <xf numFmtId="1" fontId="9" fillId="8" borderId="25" xfId="0" applyNumberFormat="1" applyFont="1" applyFill="1" applyBorder="1" applyAlignment="1">
      <alignment horizontal="center" vertical="center"/>
    </xf>
    <xf numFmtId="172" fontId="9" fillId="8" borderId="25" xfId="0" applyNumberFormat="1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left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7" xfId="0" applyFont="1" applyFill="1" applyBorder="1" applyAlignment="1">
      <alignment horizontal="left" vertical="center"/>
    </xf>
    <xf numFmtId="0" fontId="9" fillId="8" borderId="27" xfId="0" applyFont="1" applyFill="1" applyBorder="1" applyAlignment="1">
      <alignment horizontal="center" vertical="center"/>
    </xf>
    <xf numFmtId="165" fontId="9" fillId="8" borderId="26" xfId="0" applyNumberFormat="1" applyFont="1" applyFill="1" applyBorder="1" applyAlignment="1">
      <alignment horizontal="center" vertical="center"/>
    </xf>
    <xf numFmtId="165" fontId="9" fillId="8" borderId="0" xfId="0" applyNumberFormat="1" applyFont="1" applyFill="1" applyBorder="1" applyAlignment="1">
      <alignment horizontal="center" vertical="center"/>
    </xf>
    <xf numFmtId="0" fontId="41" fillId="8" borderId="0" xfId="0" applyFont="1" applyFill="1" applyAlignment="1">
      <alignment horizontal="left" vertical="center"/>
    </xf>
    <xf numFmtId="1" fontId="9" fillId="5" borderId="24" xfId="0" applyNumberFormat="1" applyFont="1" applyFill="1" applyBorder="1" applyAlignment="1">
      <alignment horizontal="center" vertical="center"/>
    </xf>
    <xf numFmtId="172" fontId="9" fillId="5" borderId="24" xfId="0" applyNumberFormat="1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left" vertical="center"/>
    </xf>
    <xf numFmtId="49" fontId="9" fillId="5" borderId="24" xfId="0" quotePrefix="1" applyNumberFormat="1" applyFont="1" applyFill="1" applyBorder="1" applyAlignment="1">
      <alignment horizontal="center" vertical="center"/>
    </xf>
    <xf numFmtId="49" fontId="9" fillId="5" borderId="24" xfId="0" applyNumberFormat="1" applyFont="1" applyFill="1" applyBorder="1" applyAlignment="1">
      <alignment horizontal="left" vertical="center"/>
    </xf>
    <xf numFmtId="165" fontId="9" fillId="5" borderId="24" xfId="0" applyNumberFormat="1" applyFont="1" applyFill="1" applyBorder="1" applyAlignment="1">
      <alignment horizontal="left" vertical="center"/>
    </xf>
    <xf numFmtId="165" fontId="4" fillId="5" borderId="24" xfId="0" applyNumberFormat="1" applyFont="1" applyFill="1" applyBorder="1" applyAlignment="1">
      <alignment horizontal="left" vertical="center"/>
    </xf>
    <xf numFmtId="0" fontId="41" fillId="5" borderId="0" xfId="0" applyFont="1" applyFill="1" applyAlignment="1">
      <alignment horizontal="left" vertical="center"/>
    </xf>
    <xf numFmtId="165" fontId="4" fillId="5" borderId="24" xfId="0" applyNumberFormat="1" applyFont="1" applyFill="1" applyBorder="1" applyAlignment="1">
      <alignment horizontal="center" vertical="center"/>
    </xf>
    <xf numFmtId="0" fontId="9" fillId="5" borderId="24" xfId="0" quotePrefix="1" applyFont="1" applyFill="1" applyBorder="1" applyAlignment="1">
      <alignment horizontal="left" vertical="center"/>
    </xf>
    <xf numFmtId="49" fontId="9" fillId="5" borderId="24" xfId="0" quotePrefix="1" applyNumberFormat="1" applyFont="1" applyFill="1" applyBorder="1" applyAlignment="1">
      <alignment horizontal="left" vertical="center"/>
    </xf>
    <xf numFmtId="0" fontId="9" fillId="5" borderId="24" xfId="0" applyFont="1" applyFill="1" applyBorder="1" applyAlignment="1">
      <alignment vertical="center"/>
    </xf>
    <xf numFmtId="0" fontId="41" fillId="5" borderId="0" xfId="0" applyFont="1" applyFill="1" applyBorder="1" applyAlignment="1">
      <alignment horizontal="left" vertical="center"/>
    </xf>
    <xf numFmtId="0" fontId="41" fillId="0" borderId="0" xfId="0" applyFont="1" applyBorder="1" applyAlignment="1">
      <alignment horizontal="left" vertical="center"/>
    </xf>
    <xf numFmtId="0" fontId="41" fillId="0" borderId="24" xfId="0" applyFont="1" applyFill="1" applyBorder="1" applyAlignment="1">
      <alignment horizontal="left" vertical="center"/>
    </xf>
    <xf numFmtId="0" fontId="41" fillId="0" borderId="24" xfId="0" quotePrefix="1" applyFont="1" applyFill="1" applyBorder="1" applyAlignment="1">
      <alignment horizontal="left" vertical="center"/>
    </xf>
    <xf numFmtId="165" fontId="9" fillId="5" borderId="24" xfId="0" quotePrefix="1" applyNumberFormat="1" applyFont="1" applyFill="1" applyBorder="1" applyAlignment="1">
      <alignment horizontal="left" vertical="center"/>
    </xf>
    <xf numFmtId="165" fontId="41" fillId="0" borderId="24" xfId="0" applyNumberFormat="1" applyFont="1" applyFill="1" applyBorder="1" applyAlignment="1">
      <alignment horizontal="left" vertical="center"/>
    </xf>
    <xf numFmtId="165" fontId="67" fillId="0" borderId="24" xfId="0" applyNumberFormat="1" applyFont="1" applyFill="1" applyBorder="1" applyAlignment="1">
      <alignment horizontal="left" vertical="center"/>
    </xf>
    <xf numFmtId="165" fontId="67" fillId="5" borderId="24" xfId="0" applyNumberFormat="1" applyFont="1" applyFill="1" applyBorder="1" applyAlignment="1">
      <alignment horizontal="left" vertical="center"/>
    </xf>
    <xf numFmtId="0" fontId="41" fillId="5" borderId="24" xfId="0" quotePrefix="1" applyFont="1" applyFill="1" applyBorder="1" applyAlignment="1">
      <alignment horizontal="left" vertical="center"/>
    </xf>
    <xf numFmtId="165" fontId="41" fillId="5" borderId="24" xfId="0" applyNumberFormat="1" applyFont="1" applyFill="1" applyBorder="1" applyAlignment="1">
      <alignment horizontal="left" vertical="center"/>
    </xf>
    <xf numFmtId="173" fontId="9" fillId="5" borderId="24" xfId="0" applyNumberFormat="1" applyFont="1" applyFill="1" applyBorder="1" applyAlignment="1">
      <alignment horizontal="left" vertical="center"/>
    </xf>
    <xf numFmtId="0" fontId="3" fillId="5" borderId="24" xfId="0" quotePrefix="1" applyFont="1" applyFill="1" applyBorder="1"/>
    <xf numFmtId="49" fontId="3" fillId="5" borderId="24" xfId="0" quotePrefix="1" applyNumberFormat="1" applyFont="1" applyFill="1" applyBorder="1"/>
    <xf numFmtId="0" fontId="9" fillId="5" borderId="24" xfId="0" applyFont="1" applyFill="1" applyBorder="1"/>
    <xf numFmtId="172" fontId="41" fillId="0" borderId="24" xfId="0" applyNumberFormat="1" applyFont="1" applyFill="1" applyBorder="1" applyAlignment="1">
      <alignment horizontal="center" vertical="center"/>
    </xf>
    <xf numFmtId="0" fontId="9" fillId="5" borderId="24" xfId="9" applyNumberFormat="1" applyFont="1" applyFill="1" applyBorder="1" applyAlignment="1">
      <alignment horizontal="center" vertical="center"/>
    </xf>
    <xf numFmtId="49" fontId="18" fillId="5" borderId="24" xfId="2" applyNumberFormat="1" applyFill="1" applyBorder="1" applyAlignment="1">
      <alignment horizontal="left" vertical="center"/>
    </xf>
    <xf numFmtId="165" fontId="4" fillId="17" borderId="24" xfId="0" applyNumberFormat="1" applyFont="1" applyFill="1" applyBorder="1" applyAlignment="1">
      <alignment horizontal="left" vertical="center"/>
    </xf>
    <xf numFmtId="1" fontId="9" fillId="5" borderId="24" xfId="9" applyNumberFormat="1" applyFont="1" applyFill="1" applyBorder="1" applyAlignment="1">
      <alignment horizontal="center" vertical="center"/>
    </xf>
    <xf numFmtId="172" fontId="9" fillId="5" borderId="24" xfId="0" applyNumberFormat="1" applyFont="1" applyFill="1" applyBorder="1" applyAlignment="1">
      <alignment horizontal="left" vertical="center"/>
    </xf>
    <xf numFmtId="165" fontId="4" fillId="17" borderId="24" xfId="0" applyNumberFormat="1" applyFont="1" applyFill="1" applyBorder="1" applyAlignment="1">
      <alignment horizontal="center" vertical="center"/>
    </xf>
    <xf numFmtId="165" fontId="67" fillId="17" borderId="24" xfId="0" applyNumberFormat="1" applyFont="1" applyFill="1" applyBorder="1" applyAlignment="1">
      <alignment horizontal="left" vertical="center"/>
    </xf>
    <xf numFmtId="49" fontId="9" fillId="5" borderId="24" xfId="2" applyNumberFormat="1" applyFont="1" applyFill="1" applyBorder="1" applyAlignment="1">
      <alignment horizontal="left" vertical="center"/>
    </xf>
    <xf numFmtId="0" fontId="3" fillId="5" borderId="24" xfId="0" applyFont="1" applyFill="1" applyBorder="1"/>
    <xf numFmtId="49" fontId="3" fillId="5" borderId="24" xfId="0" applyNumberFormat="1" applyFont="1" applyFill="1" applyBorder="1"/>
    <xf numFmtId="165" fontId="9" fillId="5" borderId="24" xfId="9" quotePrefix="1" applyFont="1" applyFill="1" applyBorder="1" applyAlignment="1">
      <alignment horizontal="center" vertical="center"/>
    </xf>
    <xf numFmtId="174" fontId="9" fillId="5" borderId="24" xfId="0" applyNumberFormat="1" applyFont="1" applyFill="1" applyBorder="1" applyAlignment="1">
      <alignment horizontal="left" vertical="center" wrapText="1"/>
    </xf>
    <xf numFmtId="165" fontId="3" fillId="5" borderId="24" xfId="0" applyNumberFormat="1" applyFont="1" applyFill="1" applyBorder="1"/>
    <xf numFmtId="165" fontId="66" fillId="5" borderId="24" xfId="0" applyNumberFormat="1" applyFont="1" applyFill="1" applyBorder="1"/>
    <xf numFmtId="165" fontId="9" fillId="5" borderId="24" xfId="9" applyFont="1" applyFill="1" applyBorder="1" applyAlignment="1">
      <alignment horizontal="left" vertical="center"/>
    </xf>
    <xf numFmtId="49" fontId="9" fillId="5" borderId="24" xfId="9" applyNumberFormat="1" applyFont="1" applyFill="1" applyBorder="1" applyAlignment="1">
      <alignment horizontal="center" vertical="center"/>
    </xf>
    <xf numFmtId="49" fontId="9" fillId="5" borderId="24" xfId="0" applyNumberFormat="1" applyFont="1" applyFill="1" applyBorder="1" applyAlignment="1">
      <alignment vertical="center"/>
    </xf>
    <xf numFmtId="49" fontId="3" fillId="5" borderId="24" xfId="0" applyNumberFormat="1" applyFont="1" applyFill="1" applyBorder="1" applyAlignment="1">
      <alignment horizontal="left" vertical="center"/>
    </xf>
    <xf numFmtId="174" fontId="9" fillId="5" borderId="24" xfId="0" applyNumberFormat="1" applyFont="1" applyFill="1" applyBorder="1" applyAlignment="1">
      <alignment vertical="center" wrapText="1"/>
    </xf>
    <xf numFmtId="0" fontId="9" fillId="5" borderId="24" xfId="0" applyFont="1" applyFill="1" applyBorder="1" applyAlignment="1">
      <alignment vertical="center" wrapText="1"/>
    </xf>
    <xf numFmtId="49" fontId="9" fillId="5" borderId="24" xfId="0" applyNumberFormat="1" applyFont="1" applyFill="1" applyBorder="1" applyAlignment="1">
      <alignment vertical="center" wrapText="1"/>
    </xf>
    <xf numFmtId="172" fontId="41" fillId="5" borderId="24" xfId="0" applyNumberFormat="1" applyFont="1" applyFill="1" applyBorder="1" applyAlignment="1">
      <alignment horizontal="center" vertical="center"/>
    </xf>
    <xf numFmtId="165" fontId="41" fillId="5" borderId="24" xfId="9" applyFont="1" applyFill="1" applyBorder="1" applyAlignment="1">
      <alignment horizontal="left" vertical="center"/>
    </xf>
    <xf numFmtId="49" fontId="41" fillId="5" borderId="24" xfId="9" applyNumberFormat="1" applyFont="1" applyFill="1" applyBorder="1" applyAlignment="1">
      <alignment horizontal="center" vertical="center"/>
    </xf>
    <xf numFmtId="174" fontId="41" fillId="5" borderId="24" xfId="0" applyNumberFormat="1" applyFont="1" applyFill="1" applyBorder="1" applyAlignment="1">
      <alignment horizontal="left" vertical="center" wrapText="1"/>
    </xf>
    <xf numFmtId="49" fontId="41" fillId="5" borderId="24" xfId="0" applyNumberFormat="1" applyFont="1" applyFill="1" applyBorder="1" applyAlignment="1">
      <alignment horizontal="left" vertical="center"/>
    </xf>
    <xf numFmtId="1" fontId="41" fillId="0" borderId="0" xfId="0" applyNumberFormat="1" applyFont="1" applyAlignment="1">
      <alignment horizontal="center" vertical="center"/>
    </xf>
    <xf numFmtId="172" fontId="41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65" fontId="41" fillId="0" borderId="0" xfId="0" applyNumberFormat="1" applyFont="1" applyAlignment="1">
      <alignment horizontal="left" vertical="center"/>
    </xf>
    <xf numFmtId="165" fontId="41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18" borderId="24" xfId="0" applyFill="1" applyBorder="1"/>
    <xf numFmtId="175" fontId="0" fillId="0" borderId="0" xfId="0" applyNumberFormat="1"/>
    <xf numFmtId="0" fontId="8" fillId="18" borderId="24" xfId="0" applyFont="1" applyFill="1" applyBorder="1"/>
    <xf numFmtId="0" fontId="68" fillId="0" borderId="0" xfId="0" applyFont="1"/>
    <xf numFmtId="0" fontId="10" fillId="6" borderId="6" xfId="5" applyFont="1" applyFill="1" applyBorder="1" applyAlignment="1">
      <alignment horizontal="center" vertical="center" wrapText="1"/>
    </xf>
    <xf numFmtId="0" fontId="10" fillId="7" borderId="7" xfId="5" applyFont="1" applyFill="1" applyBorder="1" applyAlignment="1">
      <alignment horizontal="center" vertical="center" wrapText="1"/>
    </xf>
    <xf numFmtId="0" fontId="10" fillId="7" borderId="10" xfId="5" applyFont="1" applyFill="1" applyBorder="1" applyAlignment="1">
      <alignment horizontal="center" vertical="center" wrapText="1"/>
    </xf>
    <xf numFmtId="0" fontId="10" fillId="7" borderId="9" xfId="5" applyFont="1" applyFill="1" applyBorder="1" applyAlignment="1">
      <alignment horizontal="center" vertical="center" wrapText="1"/>
    </xf>
    <xf numFmtId="0" fontId="10" fillId="10" borderId="7" xfId="5" applyFont="1" applyFill="1" applyBorder="1" applyAlignment="1">
      <alignment horizontal="center" vertical="center" wrapText="1"/>
    </xf>
    <xf numFmtId="0" fontId="10" fillId="10" borderId="10" xfId="5" applyFont="1" applyFill="1" applyBorder="1" applyAlignment="1">
      <alignment horizontal="center" vertical="center" wrapText="1"/>
    </xf>
    <xf numFmtId="0" fontId="10" fillId="10" borderId="9" xfId="5" applyFont="1" applyFill="1" applyBorder="1" applyAlignment="1">
      <alignment horizontal="center" vertical="center" wrapText="1"/>
    </xf>
    <xf numFmtId="0" fontId="15" fillId="0" borderId="7" xfId="5" applyFont="1" applyBorder="1" applyAlignment="1">
      <alignment horizontal="center" vertical="center" wrapText="1"/>
    </xf>
    <xf numFmtId="0" fontId="3" fillId="0" borderId="10" xfId="5" applyFont="1" applyBorder="1" applyAlignment="1">
      <alignment horizontal="center" vertical="center" wrapText="1"/>
    </xf>
    <xf numFmtId="0" fontId="3" fillId="0" borderId="9" xfId="5" applyFont="1" applyBorder="1" applyAlignment="1">
      <alignment horizontal="center" vertical="center" wrapText="1"/>
    </xf>
    <xf numFmtId="0" fontId="15" fillId="0" borderId="8" xfId="5" applyFont="1" applyBorder="1" applyAlignment="1">
      <alignment horizontal="center" vertical="center" wrapText="1"/>
    </xf>
    <xf numFmtId="0" fontId="3" fillId="0" borderId="12" xfId="5" applyFont="1" applyBorder="1" applyAlignment="1">
      <alignment horizontal="center" vertical="center" wrapText="1"/>
    </xf>
    <xf numFmtId="0" fontId="15" fillId="0" borderId="11" xfId="5" applyFont="1" applyBorder="1" applyAlignment="1">
      <alignment horizontal="center" vertical="center" wrapText="1"/>
    </xf>
    <xf numFmtId="0" fontId="3" fillId="0" borderId="11" xfId="5" applyFont="1" applyBorder="1" applyAlignment="1">
      <alignment horizontal="center" vertical="center" wrapText="1"/>
    </xf>
    <xf numFmtId="0" fontId="14" fillId="6" borderId="13" xfId="5" applyFont="1" applyFill="1" applyBorder="1" applyAlignment="1">
      <alignment horizontal="center" vertical="distributed" wrapText="1"/>
    </xf>
    <xf numFmtId="0" fontId="10" fillId="6" borderId="14" xfId="5" applyFont="1" applyFill="1" applyBorder="1" applyAlignment="1">
      <alignment horizontal="center" vertical="distributed" wrapText="1"/>
    </xf>
    <xf numFmtId="0" fontId="10" fillId="6" borderId="15" xfId="5" applyFont="1" applyFill="1" applyBorder="1" applyAlignment="1">
      <alignment horizontal="center" vertical="distributed" wrapText="1"/>
    </xf>
    <xf numFmtId="0" fontId="10" fillId="6" borderId="16" xfId="5" applyFont="1" applyFill="1" applyBorder="1" applyAlignment="1">
      <alignment horizontal="center" vertical="distributed" wrapText="1"/>
    </xf>
    <xf numFmtId="0" fontId="10" fillId="6" borderId="17" xfId="5" applyFont="1" applyFill="1" applyBorder="1" applyAlignment="1">
      <alignment horizontal="center" vertical="distributed" wrapText="1"/>
    </xf>
    <xf numFmtId="0" fontId="10" fillId="6" borderId="18" xfId="5" applyFont="1" applyFill="1" applyBorder="1" applyAlignment="1">
      <alignment horizontal="center" vertical="distributed" wrapText="1"/>
    </xf>
    <xf numFmtId="1" fontId="35" fillId="8" borderId="0" xfId="0" applyNumberFormat="1" applyFont="1" applyFill="1" applyAlignment="1">
      <alignment horizontal="center" vertical="center"/>
    </xf>
  </cellXfs>
  <cellStyles count="10">
    <cellStyle name="Comma" xfId="1" builtinId="3"/>
    <cellStyle name="Comma 2" xfId="3" xr:uid="{00000000-0005-0000-0000-000002000000}"/>
    <cellStyle name="Chuẩn 2" xfId="7" xr:uid="{00000000-0005-0000-0000-000000000000}"/>
    <cellStyle name="Hyperlink" xfId="2" builtinId="8"/>
    <cellStyle name="Normal" xfId="0" builtinId="0"/>
    <cellStyle name="Normal 2" xfId="4" xr:uid="{00000000-0005-0000-0000-000005000000}"/>
    <cellStyle name="Normal 3" xfId="9" xr:uid="{05A8D9EB-C9E1-4B94-BFD9-B79E259C72AA}"/>
    <cellStyle name="Normal_DON TUYEN NHAN VIEN" xfId="6" xr:uid="{00000000-0005-0000-0000-000006000000}"/>
    <cellStyle name="Normal_DON TUYEN NHAN VIEN 2" xfId="8" xr:uid="{00000000-0005-0000-0000-000007000000}"/>
    <cellStyle name="一般 2" xfId="5" xr:uid="{00000000-0005-0000-0000-000008000000}"/>
  </cellStyles>
  <dxfs count="6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trike val="0"/>
        <outline val="0"/>
        <shadow val="0"/>
        <vertAlign val="baseline"/>
        <name val="Times New Roman"/>
        <scheme val="none"/>
      </font>
      <fill>
        <patternFill>
          <bgColor theme="0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rgb="FFFF0000"/>
        <name val="Times New Roman"/>
        <scheme val="none"/>
      </font>
      <numFmt numFmtId="165" formatCode="[$-409]d\-mmm\-yyyy;@"/>
      <fill>
        <patternFill>
          <bgColor theme="0"/>
        </patternFill>
      </fill>
      <alignment horizontal="left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outline val="0"/>
        <shadow val="0"/>
        <u val="none"/>
        <vertAlign val="baseline"/>
        <sz val="11"/>
        <color rgb="FFFF0000"/>
        <name val="Times New Roman"/>
        <scheme val="none"/>
      </font>
      <numFmt numFmtId="165" formatCode="[$-409]d\-mmm\-yyyy;@"/>
      <fill>
        <patternFill patternType="none">
          <bgColor theme="0"/>
        </patternFill>
      </fill>
      <alignment horizontal="left" vertical="center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Times New Roman"/>
        <scheme val="none"/>
      </font>
      <numFmt numFmtId="165" formatCode="[$-409]d\-mmm\-yyyy;@"/>
      <fill>
        <patternFill patternType="none">
          <bgColor theme="0"/>
        </patternFill>
      </fill>
      <alignment horizontal="left" vertical="center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65" formatCode="[$-409]d\-mmm\-yyyy;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5" formatCode="[$-409]d\-mmm\-yyyy;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none">
          <bgColor theme="0"/>
        </patternFill>
      </fill>
      <alignment horizontal="left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none">
          <bgColor theme="0"/>
        </patternFill>
      </fill>
      <alignment horizontal="left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none">
          <bgColor theme="0"/>
        </patternFill>
      </fill>
      <alignment horizontal="left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Times New Roman"/>
        <scheme val="none"/>
      </font>
      <numFmt numFmtId="172" formatCode="0_ "/>
      <fill>
        <patternFill patternType="none">
          <bgColor theme="0"/>
        </patternFill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Times New Roman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vertAlign val="baseline"/>
        <name val="Times New Roman"/>
        <scheme val="none"/>
      </font>
      <fill>
        <patternFill>
          <bgColor theme="0"/>
        </patternFill>
      </fill>
    </dxf>
    <dxf>
      <fill>
        <patternFill patternType="solid">
          <fgColor indexed="64"/>
          <bgColor theme="9" tint="0.599993896298104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scheme val="none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scheme val="none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scheme val="none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[$-409]d\-mmm\-yyyy;@"/>
      <fill>
        <patternFill patternType="none"/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/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/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/>
      </fill>
      <alignment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7" formatCode="_-* #,##0_-;\-* #,##0_-;_-* &quot;-&quot;??_-;_-@_-"/>
      <fill>
        <patternFill patternType="none"/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" formatCode="0"/>
      <fill>
        <patternFill patternType="none"/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b val="0"/>
        <strike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033CC"/>
      <color rgb="FF2C07E5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 ACCOUNT UPDATE 01.2026  (Đóng băng).xlsx]Repost!PivotTable3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Repost!$B$3:$B$4</c:f>
              <c:strCache>
                <c:ptCount val="1"/>
                <c:pt idx="0">
                  <c:v>Count of USER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Repost!$A$5:$A$60</c:f>
              <c:strCache>
                <c:ptCount val="55"/>
                <c:pt idx="0">
                  <c:v>An toàn - Môi trường 安環室</c:v>
                </c:pt>
                <c:pt idx="1">
                  <c:v>Cán ống 製管事業部</c:v>
                </c:pt>
                <c:pt idx="2">
                  <c:v>Cắt 3 三 廠素材</c:v>
                </c:pt>
                <c:pt idx="3">
                  <c:v>Công Vụ 工務</c:v>
                </c:pt>
                <c:pt idx="4">
                  <c:v>Dập 1 一廠沖壓</c:v>
                </c:pt>
                <c:pt idx="5">
                  <c:v>Dập 3 三廠沖壓</c:v>
                </c:pt>
                <c:pt idx="6">
                  <c:v>Dập 4 四廠沖壓</c:v>
                </c:pt>
                <c:pt idx="7">
                  <c:v>Dập 5 五廠沖壓</c:v>
                </c:pt>
                <c:pt idx="8">
                  <c:v>Dập 6  六廠沖壓</c:v>
                </c:pt>
                <c:pt idx="9">
                  <c:v>Đúc 壓鑄部</c:v>
                </c:pt>
                <c:pt idx="10">
                  <c:v>GDO 總經理室</c:v>
                </c:pt>
                <c:pt idx="11">
                  <c:v>Gia công 加工部</c:v>
                </c:pt>
                <c:pt idx="12">
                  <c:v>Hàn 1  一廠焊接 </c:v>
                </c:pt>
                <c:pt idx="13">
                  <c:v>Hàn 3 三廠焊接</c:v>
                </c:pt>
                <c:pt idx="14">
                  <c:v>Hàn 6 六廠焊接</c:v>
                </c:pt>
                <c:pt idx="15">
                  <c:v>IS</c:v>
                </c:pt>
                <c:pt idx="16">
                  <c:v>Kaifa  開發課 </c:v>
                </c:pt>
                <c:pt idx="17">
                  <c:v>KHO LK1 一廠零件庫</c:v>
                </c:pt>
                <c:pt idx="18">
                  <c:v>KHO LK3 三廠零件庫</c:v>
                </c:pt>
                <c:pt idx="19">
                  <c:v>KHO NL1 一廠原料庫</c:v>
                </c:pt>
                <c:pt idx="20">
                  <c:v>Khuôn mẫu 模具課</c:v>
                </c:pt>
                <c:pt idx="21">
                  <c:v>Kinh doanh 業務部</c:v>
                </c:pt>
                <c:pt idx="22">
                  <c:v>KSNB 稽核室 </c:v>
                </c:pt>
                <c:pt idx="23">
                  <c:v>KTSX 生技</c:v>
                </c:pt>
                <c:pt idx="24">
                  <c:v>Lắp ráp 6 六廠組裝</c:v>
                </c:pt>
                <c:pt idx="25">
                  <c:v>Lắp ráp 組裝</c:v>
                </c:pt>
                <c:pt idx="26">
                  <c:v>MIS</c:v>
                </c:pt>
                <c:pt idx="27">
                  <c:v>Nhân sự-tổng vụ 人事-總務</c:v>
                </c:pt>
                <c:pt idx="28">
                  <c:v>QA</c:v>
                </c:pt>
                <c:pt idx="29">
                  <c:v>QC 1 一廠品管</c:v>
                </c:pt>
                <c:pt idx="30">
                  <c:v>QC 2 二廠品管</c:v>
                </c:pt>
                <c:pt idx="31">
                  <c:v>QC 5 五廠品管</c:v>
                </c:pt>
                <c:pt idx="32">
                  <c:v>QC 6 六廠品管</c:v>
                </c:pt>
                <c:pt idx="33">
                  <c:v>QLK 2 二廠倉管部</c:v>
                </c:pt>
                <c:pt idx="34">
                  <c:v>QLK 4 四廠倉庫</c:v>
                </c:pt>
                <c:pt idx="35">
                  <c:v>QLK 5 五廠倉管部</c:v>
                </c:pt>
                <c:pt idx="36">
                  <c:v>QLK 6 六廠倉管部</c:v>
                </c:pt>
                <c:pt idx="37">
                  <c:v>QLSX 1 一廠生管</c:v>
                </c:pt>
                <c:pt idx="38">
                  <c:v>QLSX 2 二廠生管</c:v>
                </c:pt>
                <c:pt idx="39">
                  <c:v>QLSX 6 六廠生管</c:v>
                </c:pt>
                <c:pt idx="40">
                  <c:v>QLTB 設管</c:v>
                </c:pt>
                <c:pt idx="41">
                  <c:v>Sơn 1 一廠塗裝</c:v>
                </c:pt>
                <c:pt idx="42">
                  <c:v>Sơn 2  二廠塗裝 </c:v>
                </c:pt>
                <c:pt idx="43">
                  <c:v>Sơn 3 三廠塗裝</c:v>
                </c:pt>
                <c:pt idx="44">
                  <c:v>Sơn 6 六廠塗裝</c:v>
                </c:pt>
                <c:pt idx="45">
                  <c:v>Tài vụ  財務部</c:v>
                </c:pt>
                <c:pt idx="46">
                  <c:v>Thu mua  採購</c:v>
                </c:pt>
                <c:pt idx="47">
                  <c:v>Xuất nhập khẩu 進出口</c:v>
                </c:pt>
                <c:pt idx="48">
                  <c:v>Y Tế  醫務室</c:v>
                </c:pt>
                <c:pt idx="49">
                  <c:v>Hàn 5 五廠焊接</c:v>
                </c:pt>
                <c:pt idx="50">
                  <c:v>XIMA</c:v>
                </c:pt>
                <c:pt idx="51">
                  <c:v>(blank)</c:v>
                </c:pt>
                <c:pt idx="52">
                  <c:v>KTKP</c:v>
                </c:pt>
                <c:pt idx="53">
                  <c:v>Hàn X5A</c:v>
                </c:pt>
                <c:pt idx="54">
                  <c:v>QLK</c:v>
                </c:pt>
              </c:strCache>
            </c:strRef>
          </c:cat>
          <c:val>
            <c:numRef>
              <c:f>Repost!$B$5:$B$60</c:f>
              <c:numCache>
                <c:formatCode>General</c:formatCode>
                <c:ptCount val="55"/>
                <c:pt idx="0">
                  <c:v>10</c:v>
                </c:pt>
                <c:pt idx="1">
                  <c:v>1</c:v>
                </c:pt>
                <c:pt idx="2">
                  <c:v>7</c:v>
                </c:pt>
                <c:pt idx="3">
                  <c:v>2</c:v>
                </c:pt>
                <c:pt idx="4">
                  <c:v>12</c:v>
                </c:pt>
                <c:pt idx="5">
                  <c:v>9</c:v>
                </c:pt>
                <c:pt idx="6">
                  <c:v>17</c:v>
                </c:pt>
                <c:pt idx="7">
                  <c:v>15</c:v>
                </c:pt>
                <c:pt idx="8">
                  <c:v>15</c:v>
                </c:pt>
                <c:pt idx="9">
                  <c:v>17</c:v>
                </c:pt>
                <c:pt idx="10">
                  <c:v>8</c:v>
                </c:pt>
                <c:pt idx="11">
                  <c:v>18</c:v>
                </c:pt>
                <c:pt idx="12">
                  <c:v>14</c:v>
                </c:pt>
                <c:pt idx="13">
                  <c:v>14</c:v>
                </c:pt>
                <c:pt idx="14">
                  <c:v>12</c:v>
                </c:pt>
                <c:pt idx="15">
                  <c:v>3</c:v>
                </c:pt>
                <c:pt idx="16">
                  <c:v>117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20</c:v>
                </c:pt>
                <c:pt idx="21">
                  <c:v>49</c:v>
                </c:pt>
                <c:pt idx="22">
                  <c:v>5</c:v>
                </c:pt>
                <c:pt idx="23">
                  <c:v>9</c:v>
                </c:pt>
                <c:pt idx="24">
                  <c:v>7</c:v>
                </c:pt>
                <c:pt idx="25">
                  <c:v>5</c:v>
                </c:pt>
                <c:pt idx="26">
                  <c:v>19</c:v>
                </c:pt>
                <c:pt idx="27">
                  <c:v>21</c:v>
                </c:pt>
                <c:pt idx="28">
                  <c:v>21</c:v>
                </c:pt>
                <c:pt idx="29">
                  <c:v>28</c:v>
                </c:pt>
                <c:pt idx="30">
                  <c:v>5</c:v>
                </c:pt>
                <c:pt idx="31">
                  <c:v>4</c:v>
                </c:pt>
                <c:pt idx="32">
                  <c:v>4</c:v>
                </c:pt>
                <c:pt idx="33">
                  <c:v>3</c:v>
                </c:pt>
                <c:pt idx="34">
                  <c:v>10</c:v>
                </c:pt>
                <c:pt idx="35">
                  <c:v>9</c:v>
                </c:pt>
                <c:pt idx="36">
                  <c:v>5</c:v>
                </c:pt>
                <c:pt idx="37">
                  <c:v>49</c:v>
                </c:pt>
                <c:pt idx="38">
                  <c:v>9</c:v>
                </c:pt>
                <c:pt idx="39">
                  <c:v>8</c:v>
                </c:pt>
                <c:pt idx="40">
                  <c:v>3</c:v>
                </c:pt>
                <c:pt idx="41">
                  <c:v>9</c:v>
                </c:pt>
                <c:pt idx="42">
                  <c:v>3</c:v>
                </c:pt>
                <c:pt idx="43">
                  <c:v>8</c:v>
                </c:pt>
                <c:pt idx="44">
                  <c:v>7</c:v>
                </c:pt>
                <c:pt idx="45">
                  <c:v>18</c:v>
                </c:pt>
                <c:pt idx="46">
                  <c:v>38</c:v>
                </c:pt>
                <c:pt idx="47">
                  <c:v>13</c:v>
                </c:pt>
                <c:pt idx="48">
                  <c:v>4</c:v>
                </c:pt>
                <c:pt idx="49">
                  <c:v>7</c:v>
                </c:pt>
                <c:pt idx="50">
                  <c:v>6</c:v>
                </c:pt>
                <c:pt idx="52">
                  <c:v>34</c:v>
                </c:pt>
                <c:pt idx="53">
                  <c:v>12</c:v>
                </c:pt>
                <c:pt idx="5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5A-4549-8BE3-3E5722729D77}"/>
            </c:ext>
          </c:extLst>
        </c:ser>
        <c:ser>
          <c:idx val="1"/>
          <c:order val="1"/>
          <c:tx>
            <c:strRef>
              <c:f>Repost!$C$3:$C$4</c:f>
              <c:strCache>
                <c:ptCount val="1"/>
                <c:pt idx="0">
                  <c:v>Count of Disable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Repost!$A$5:$A$60</c:f>
              <c:strCache>
                <c:ptCount val="55"/>
                <c:pt idx="0">
                  <c:v>An toàn - Môi trường 安環室</c:v>
                </c:pt>
                <c:pt idx="1">
                  <c:v>Cán ống 製管事業部</c:v>
                </c:pt>
                <c:pt idx="2">
                  <c:v>Cắt 3 三 廠素材</c:v>
                </c:pt>
                <c:pt idx="3">
                  <c:v>Công Vụ 工務</c:v>
                </c:pt>
                <c:pt idx="4">
                  <c:v>Dập 1 一廠沖壓</c:v>
                </c:pt>
                <c:pt idx="5">
                  <c:v>Dập 3 三廠沖壓</c:v>
                </c:pt>
                <c:pt idx="6">
                  <c:v>Dập 4 四廠沖壓</c:v>
                </c:pt>
                <c:pt idx="7">
                  <c:v>Dập 5 五廠沖壓</c:v>
                </c:pt>
                <c:pt idx="8">
                  <c:v>Dập 6  六廠沖壓</c:v>
                </c:pt>
                <c:pt idx="9">
                  <c:v>Đúc 壓鑄部</c:v>
                </c:pt>
                <c:pt idx="10">
                  <c:v>GDO 總經理室</c:v>
                </c:pt>
                <c:pt idx="11">
                  <c:v>Gia công 加工部</c:v>
                </c:pt>
                <c:pt idx="12">
                  <c:v>Hàn 1  一廠焊接 </c:v>
                </c:pt>
                <c:pt idx="13">
                  <c:v>Hàn 3 三廠焊接</c:v>
                </c:pt>
                <c:pt idx="14">
                  <c:v>Hàn 6 六廠焊接</c:v>
                </c:pt>
                <c:pt idx="15">
                  <c:v>IS</c:v>
                </c:pt>
                <c:pt idx="16">
                  <c:v>Kaifa  開發課 </c:v>
                </c:pt>
                <c:pt idx="17">
                  <c:v>KHO LK1 一廠零件庫</c:v>
                </c:pt>
                <c:pt idx="18">
                  <c:v>KHO LK3 三廠零件庫</c:v>
                </c:pt>
                <c:pt idx="19">
                  <c:v>KHO NL1 一廠原料庫</c:v>
                </c:pt>
                <c:pt idx="20">
                  <c:v>Khuôn mẫu 模具課</c:v>
                </c:pt>
                <c:pt idx="21">
                  <c:v>Kinh doanh 業務部</c:v>
                </c:pt>
                <c:pt idx="22">
                  <c:v>KSNB 稽核室 </c:v>
                </c:pt>
                <c:pt idx="23">
                  <c:v>KTSX 生技</c:v>
                </c:pt>
                <c:pt idx="24">
                  <c:v>Lắp ráp 6 六廠組裝</c:v>
                </c:pt>
                <c:pt idx="25">
                  <c:v>Lắp ráp 組裝</c:v>
                </c:pt>
                <c:pt idx="26">
                  <c:v>MIS</c:v>
                </c:pt>
                <c:pt idx="27">
                  <c:v>Nhân sự-tổng vụ 人事-總務</c:v>
                </c:pt>
                <c:pt idx="28">
                  <c:v>QA</c:v>
                </c:pt>
                <c:pt idx="29">
                  <c:v>QC 1 一廠品管</c:v>
                </c:pt>
                <c:pt idx="30">
                  <c:v>QC 2 二廠品管</c:v>
                </c:pt>
                <c:pt idx="31">
                  <c:v>QC 5 五廠品管</c:v>
                </c:pt>
                <c:pt idx="32">
                  <c:v>QC 6 六廠品管</c:v>
                </c:pt>
                <c:pt idx="33">
                  <c:v>QLK 2 二廠倉管部</c:v>
                </c:pt>
                <c:pt idx="34">
                  <c:v>QLK 4 四廠倉庫</c:v>
                </c:pt>
                <c:pt idx="35">
                  <c:v>QLK 5 五廠倉管部</c:v>
                </c:pt>
                <c:pt idx="36">
                  <c:v>QLK 6 六廠倉管部</c:v>
                </c:pt>
                <c:pt idx="37">
                  <c:v>QLSX 1 一廠生管</c:v>
                </c:pt>
                <c:pt idx="38">
                  <c:v>QLSX 2 二廠生管</c:v>
                </c:pt>
                <c:pt idx="39">
                  <c:v>QLSX 6 六廠生管</c:v>
                </c:pt>
                <c:pt idx="40">
                  <c:v>QLTB 設管</c:v>
                </c:pt>
                <c:pt idx="41">
                  <c:v>Sơn 1 一廠塗裝</c:v>
                </c:pt>
                <c:pt idx="42">
                  <c:v>Sơn 2  二廠塗裝 </c:v>
                </c:pt>
                <c:pt idx="43">
                  <c:v>Sơn 3 三廠塗裝</c:v>
                </c:pt>
                <c:pt idx="44">
                  <c:v>Sơn 6 六廠塗裝</c:v>
                </c:pt>
                <c:pt idx="45">
                  <c:v>Tài vụ  財務部</c:v>
                </c:pt>
                <c:pt idx="46">
                  <c:v>Thu mua  採購</c:v>
                </c:pt>
                <c:pt idx="47">
                  <c:v>Xuất nhập khẩu 進出口</c:v>
                </c:pt>
                <c:pt idx="48">
                  <c:v>Y Tế  醫務室</c:v>
                </c:pt>
                <c:pt idx="49">
                  <c:v>Hàn 5 五廠焊接</c:v>
                </c:pt>
                <c:pt idx="50">
                  <c:v>XIMA</c:v>
                </c:pt>
                <c:pt idx="51">
                  <c:v>(blank)</c:v>
                </c:pt>
                <c:pt idx="52">
                  <c:v>KTKP</c:v>
                </c:pt>
                <c:pt idx="53">
                  <c:v>Hàn X5A</c:v>
                </c:pt>
                <c:pt idx="54">
                  <c:v>QLK</c:v>
                </c:pt>
              </c:strCache>
            </c:strRef>
          </c:cat>
          <c:val>
            <c:numRef>
              <c:f>Repost!$C$5:$C$60</c:f>
              <c:numCache>
                <c:formatCode>General</c:formatCode>
                <c:ptCount val="55"/>
                <c:pt idx="0">
                  <c:v>3</c:v>
                </c:pt>
                <c:pt idx="2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1</c:v>
                </c:pt>
                <c:pt idx="11">
                  <c:v>3</c:v>
                </c:pt>
                <c:pt idx="13">
                  <c:v>2</c:v>
                </c:pt>
                <c:pt idx="14">
                  <c:v>2</c:v>
                </c:pt>
                <c:pt idx="16">
                  <c:v>10</c:v>
                </c:pt>
                <c:pt idx="17">
                  <c:v>1</c:v>
                </c:pt>
                <c:pt idx="20">
                  <c:v>1</c:v>
                </c:pt>
                <c:pt idx="21">
                  <c:v>4</c:v>
                </c:pt>
                <c:pt idx="22">
                  <c:v>2</c:v>
                </c:pt>
                <c:pt idx="23">
                  <c:v>3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  <c:pt idx="35">
                  <c:v>1</c:v>
                </c:pt>
                <c:pt idx="37">
                  <c:v>8</c:v>
                </c:pt>
                <c:pt idx="38">
                  <c:v>1</c:v>
                </c:pt>
                <c:pt idx="39">
                  <c:v>3</c:v>
                </c:pt>
                <c:pt idx="40">
                  <c:v>1</c:v>
                </c:pt>
                <c:pt idx="41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3</c:v>
                </c:pt>
                <c:pt idx="47">
                  <c:v>2</c:v>
                </c:pt>
                <c:pt idx="49">
                  <c:v>1</c:v>
                </c:pt>
                <c:pt idx="52">
                  <c:v>2</c:v>
                </c:pt>
                <c:pt idx="5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5A-4549-8BE3-3E5722729D77}"/>
            </c:ext>
          </c:extLst>
        </c:ser>
        <c:ser>
          <c:idx val="2"/>
          <c:order val="2"/>
          <c:tx>
            <c:strRef>
              <c:f>Repost!$D$3:$D$4</c:f>
              <c:strCache>
                <c:ptCount val="1"/>
                <c:pt idx="0">
                  <c:v>Count of Delete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Repost!$A$5:$A$60</c:f>
              <c:strCache>
                <c:ptCount val="55"/>
                <c:pt idx="0">
                  <c:v>An toàn - Môi trường 安環室</c:v>
                </c:pt>
                <c:pt idx="1">
                  <c:v>Cán ống 製管事業部</c:v>
                </c:pt>
                <c:pt idx="2">
                  <c:v>Cắt 3 三 廠素材</c:v>
                </c:pt>
                <c:pt idx="3">
                  <c:v>Công Vụ 工務</c:v>
                </c:pt>
                <c:pt idx="4">
                  <c:v>Dập 1 一廠沖壓</c:v>
                </c:pt>
                <c:pt idx="5">
                  <c:v>Dập 3 三廠沖壓</c:v>
                </c:pt>
                <c:pt idx="6">
                  <c:v>Dập 4 四廠沖壓</c:v>
                </c:pt>
                <c:pt idx="7">
                  <c:v>Dập 5 五廠沖壓</c:v>
                </c:pt>
                <c:pt idx="8">
                  <c:v>Dập 6  六廠沖壓</c:v>
                </c:pt>
                <c:pt idx="9">
                  <c:v>Đúc 壓鑄部</c:v>
                </c:pt>
                <c:pt idx="10">
                  <c:v>GDO 總經理室</c:v>
                </c:pt>
                <c:pt idx="11">
                  <c:v>Gia công 加工部</c:v>
                </c:pt>
                <c:pt idx="12">
                  <c:v>Hàn 1  一廠焊接 </c:v>
                </c:pt>
                <c:pt idx="13">
                  <c:v>Hàn 3 三廠焊接</c:v>
                </c:pt>
                <c:pt idx="14">
                  <c:v>Hàn 6 六廠焊接</c:v>
                </c:pt>
                <c:pt idx="15">
                  <c:v>IS</c:v>
                </c:pt>
                <c:pt idx="16">
                  <c:v>Kaifa  開發課 </c:v>
                </c:pt>
                <c:pt idx="17">
                  <c:v>KHO LK1 一廠零件庫</c:v>
                </c:pt>
                <c:pt idx="18">
                  <c:v>KHO LK3 三廠零件庫</c:v>
                </c:pt>
                <c:pt idx="19">
                  <c:v>KHO NL1 一廠原料庫</c:v>
                </c:pt>
                <c:pt idx="20">
                  <c:v>Khuôn mẫu 模具課</c:v>
                </c:pt>
                <c:pt idx="21">
                  <c:v>Kinh doanh 業務部</c:v>
                </c:pt>
                <c:pt idx="22">
                  <c:v>KSNB 稽核室 </c:v>
                </c:pt>
                <c:pt idx="23">
                  <c:v>KTSX 生技</c:v>
                </c:pt>
                <c:pt idx="24">
                  <c:v>Lắp ráp 6 六廠組裝</c:v>
                </c:pt>
                <c:pt idx="25">
                  <c:v>Lắp ráp 組裝</c:v>
                </c:pt>
                <c:pt idx="26">
                  <c:v>MIS</c:v>
                </c:pt>
                <c:pt idx="27">
                  <c:v>Nhân sự-tổng vụ 人事-總務</c:v>
                </c:pt>
                <c:pt idx="28">
                  <c:v>QA</c:v>
                </c:pt>
                <c:pt idx="29">
                  <c:v>QC 1 一廠品管</c:v>
                </c:pt>
                <c:pt idx="30">
                  <c:v>QC 2 二廠品管</c:v>
                </c:pt>
                <c:pt idx="31">
                  <c:v>QC 5 五廠品管</c:v>
                </c:pt>
                <c:pt idx="32">
                  <c:v>QC 6 六廠品管</c:v>
                </c:pt>
                <c:pt idx="33">
                  <c:v>QLK 2 二廠倉管部</c:v>
                </c:pt>
                <c:pt idx="34">
                  <c:v>QLK 4 四廠倉庫</c:v>
                </c:pt>
                <c:pt idx="35">
                  <c:v>QLK 5 五廠倉管部</c:v>
                </c:pt>
                <c:pt idx="36">
                  <c:v>QLK 6 六廠倉管部</c:v>
                </c:pt>
                <c:pt idx="37">
                  <c:v>QLSX 1 一廠生管</c:v>
                </c:pt>
                <c:pt idx="38">
                  <c:v>QLSX 2 二廠生管</c:v>
                </c:pt>
                <c:pt idx="39">
                  <c:v>QLSX 6 六廠生管</c:v>
                </c:pt>
                <c:pt idx="40">
                  <c:v>QLTB 設管</c:v>
                </c:pt>
                <c:pt idx="41">
                  <c:v>Sơn 1 一廠塗裝</c:v>
                </c:pt>
                <c:pt idx="42">
                  <c:v>Sơn 2  二廠塗裝 </c:v>
                </c:pt>
                <c:pt idx="43">
                  <c:v>Sơn 3 三廠塗裝</c:v>
                </c:pt>
                <c:pt idx="44">
                  <c:v>Sơn 6 六廠塗裝</c:v>
                </c:pt>
                <c:pt idx="45">
                  <c:v>Tài vụ  財務部</c:v>
                </c:pt>
                <c:pt idx="46">
                  <c:v>Thu mua  採購</c:v>
                </c:pt>
                <c:pt idx="47">
                  <c:v>Xuất nhập khẩu 進出口</c:v>
                </c:pt>
                <c:pt idx="48">
                  <c:v>Y Tế  醫務室</c:v>
                </c:pt>
                <c:pt idx="49">
                  <c:v>Hàn 5 五廠焊接</c:v>
                </c:pt>
                <c:pt idx="50">
                  <c:v>XIMA</c:v>
                </c:pt>
                <c:pt idx="51">
                  <c:v>(blank)</c:v>
                </c:pt>
                <c:pt idx="52">
                  <c:v>KTKP</c:v>
                </c:pt>
                <c:pt idx="53">
                  <c:v>Hàn X5A</c:v>
                </c:pt>
                <c:pt idx="54">
                  <c:v>QLK</c:v>
                </c:pt>
              </c:strCache>
            </c:strRef>
          </c:cat>
          <c:val>
            <c:numRef>
              <c:f>Repost!$D$5:$D$60</c:f>
              <c:numCache>
                <c:formatCode>General</c:formatCode>
                <c:ptCount val="55"/>
                <c:pt idx="0">
                  <c:v>2</c:v>
                </c:pt>
                <c:pt idx="2">
                  <c:v>2</c:v>
                </c:pt>
                <c:pt idx="4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  <c:pt idx="13">
                  <c:v>2</c:v>
                </c:pt>
                <c:pt idx="14">
                  <c:v>1</c:v>
                </c:pt>
                <c:pt idx="16">
                  <c:v>8</c:v>
                </c:pt>
                <c:pt idx="17">
                  <c:v>1</c:v>
                </c:pt>
                <c:pt idx="20">
                  <c:v>1</c:v>
                </c:pt>
                <c:pt idx="21">
                  <c:v>3</c:v>
                </c:pt>
                <c:pt idx="23">
                  <c:v>3</c:v>
                </c:pt>
                <c:pt idx="26">
                  <c:v>2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5">
                  <c:v>1</c:v>
                </c:pt>
                <c:pt idx="37">
                  <c:v>7</c:v>
                </c:pt>
                <c:pt idx="39">
                  <c:v>3</c:v>
                </c:pt>
                <c:pt idx="41">
                  <c:v>1</c:v>
                </c:pt>
                <c:pt idx="45">
                  <c:v>1</c:v>
                </c:pt>
                <c:pt idx="46">
                  <c:v>2</c:v>
                </c:pt>
                <c:pt idx="47">
                  <c:v>1</c:v>
                </c:pt>
                <c:pt idx="49">
                  <c:v>1</c:v>
                </c:pt>
                <c:pt idx="52">
                  <c:v>1</c:v>
                </c:pt>
                <c:pt idx="5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5A-4549-8BE3-3E5722729D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9064335"/>
        <c:axId val="129060591"/>
      </c:barChart>
      <c:catAx>
        <c:axId val="129064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60591"/>
        <c:crosses val="autoZero"/>
        <c:auto val="1"/>
        <c:lblAlgn val="ctr"/>
        <c:lblOffset val="100"/>
        <c:noMultiLvlLbl val="0"/>
      </c:catAx>
      <c:valAx>
        <c:axId val="12906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6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1125856</xdr:colOff>
      <xdr:row>2</xdr:row>
      <xdr:rowOff>9524</xdr:rowOff>
    </xdr:from>
    <xdr:to>
      <xdr:col>13</xdr:col>
      <xdr:colOff>1</xdr:colOff>
      <xdr:row>56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3E0337-14F7-45B8-B16E-C09C718D7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S08/Desktop/FILE%20SERVER%20ACCOUNT%20Th&#225;ng%2001-2026%20(&#272;&#243;ng%20b&#259;ng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n"/>
      <sheetName val="ACOUNT"/>
      <sheetName val="FILE SERVER ACCOUNT Tháng 01-20"/>
    </sheetNames>
    <sheetDataSet>
      <sheetData sheetId="0" refreshError="1"/>
      <sheetData sheetId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18119" refreshedDate="45951.379991087961" createdVersion="7" refreshedVersion="8" minRefreshableVersion="3" recordCount="767" xr:uid="{00000000-000A-0000-FFFF-FFFF00000000}">
  <cacheSource type="worksheet">
    <worksheetSource name="Table1[[No.]:[Delete]]"/>
  </cacheSource>
  <cacheFields count="10">
    <cacheField name="No." numFmtId="0">
      <sharedItems containsString="0" containsBlank="1" containsNumber="1" containsInteger="1" minValue="1" maxValue="753"/>
    </cacheField>
    <cacheField name="amount" numFmtId="0">
      <sharedItems containsString="0" containsBlank="1" containsNumber="1" containsInteger="1" minValue="1" maxValue="112"/>
    </cacheField>
    <cacheField name="Dep" numFmtId="0">
      <sharedItems containsBlank="1" count="60">
        <s v="QLSX 1 一廠生管"/>
        <s v="QLK"/>
        <s v="Sơn 1 一廠塗裝"/>
        <s v="QC 1 一廠品管"/>
        <s v="Hàn 1  一廠焊接 "/>
        <s v="KHO NL1 一廠原料庫"/>
        <s v="Dập 1 一廠沖壓"/>
        <s v="XIMA"/>
        <s v="KHO LK1 一廠零件庫"/>
        <s v="Sơn 3 三廠塗裝"/>
        <s v="KHO LK3 三廠零件庫"/>
        <s v="Lắp ráp 組裝"/>
        <s v="Cắt 3 三 廠素材"/>
        <s v="Dập 3 三廠沖壓"/>
        <s v="Hàn 3 三廠焊接"/>
        <s v="KTSX 生技"/>
        <s v="Kinh doanh 業務部"/>
        <s v="GDO 總經理室"/>
        <s v="Thu mua  採購"/>
        <s v="QA"/>
        <s v="Nhân sự-tổng vụ 人事-總務"/>
        <s v="An toàn - Môi trường 安環室"/>
        <s v="Xuất nhập khẩu 進出口"/>
        <s v="KSNB 稽核室 "/>
        <s v="Y Tế  醫務室"/>
        <s v="Kaifa  開發課 "/>
        <s v="KTKP"/>
        <s v="Khuôn mẫu 模具課"/>
        <s v="Dập 4 四廠沖壓"/>
        <s v="QLK 4 四廠倉庫"/>
        <s v="Công Vụ 工務"/>
        <s v="QLTB 設管"/>
        <s v="Tài vụ  財務部"/>
        <s v="Đúc 壓鑄部"/>
        <s v="Gia công 加工部"/>
        <s v="QC 2 二廠品管"/>
        <s v="Sơn 2  二廠塗裝 "/>
        <s v="QLK 2 二廠倉管部"/>
        <s v="QLSX 2 二廠生管"/>
        <s v="Cán ống 製管事業部"/>
        <s v="Hàn 5 五廠焊接"/>
        <s v="QLK 5 五廠倉管部"/>
        <s v="QC 5 五廠品管"/>
        <s v="Hàn X5A"/>
        <s v="Dập 5 五廠沖壓"/>
        <s v="IS"/>
        <s v="MIS"/>
        <s v="QLK 6 六廠倉管部"/>
        <s v="QC 6 六廠品管"/>
        <s v="Dập 6  六廠沖壓"/>
        <s v="Hàn 6 六廠焊接"/>
        <s v="Lắp ráp 6 六廠組裝"/>
        <s v="QLSX 6 六廠生管"/>
        <s v="Sơn 6 六廠塗裝"/>
        <m/>
        <s v="HAN1" u="1"/>
        <s v="Hàn 4" u="1"/>
        <s v="Hàn 4  四廠焊接" u="1"/>
        <s v="VPTGĐ" u="1"/>
        <s v=" Hàn 5 五廠焊接" u="1"/>
      </sharedItems>
    </cacheField>
    <cacheField name="Name" numFmtId="0">
      <sharedItems containsBlank="1"/>
    </cacheField>
    <cacheField name="USER" numFmtId="0">
      <sharedItems containsBlank="1"/>
    </cacheField>
    <cacheField name="ID (vpic1.com)" numFmtId="0">
      <sharedItems containsBlank="1"/>
    </cacheField>
    <cacheField name="Password" numFmtId="0">
      <sharedItems containsBlank="1"/>
    </cacheField>
    <cacheField name="Create date" numFmtId="0">
      <sharedItems containsDate="1" containsBlank="1" containsMixedTypes="1" minDate="2024-04-17T00:00:00" maxDate="2025-10-17T00:00:00"/>
    </cacheField>
    <cacheField name="Disable " numFmtId="0">
      <sharedItems containsNonDate="0" containsDate="1" containsString="0" containsBlank="1" minDate="2024-05-20T00:00:00" maxDate="2025-10-21T00:00:00"/>
    </cacheField>
    <cacheField name="Delete" numFmtId="0">
      <sharedItems containsNonDate="0" containsDate="1" containsString="0" containsBlank="1" minDate="2024-06-18T00:00:00" maxDate="2025-09-2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7">
  <r>
    <n v="1"/>
    <n v="1"/>
    <x v="0"/>
    <e v="#N/A"/>
    <s v="#10437"/>
    <s v="VN10437"/>
    <s v="IT@vpic1"/>
    <d v="2024-05-03T00:00:00"/>
    <d v="2025-05-29T00:00:00"/>
    <d v="2025-05-29T00:00:00"/>
  </r>
  <r>
    <n v="2"/>
    <n v="2"/>
    <x v="0"/>
    <s v="Nguyễn Thị Thu Hương"/>
    <s v="#00328"/>
    <s v="VN00328"/>
    <s v="IT@vpic1"/>
    <d v="2024-05-03T00:00:00"/>
    <m/>
    <m/>
  </r>
  <r>
    <n v="3"/>
    <n v="3"/>
    <x v="0"/>
    <e v="#N/A"/>
    <s v="#00527"/>
    <s v="VN00527"/>
    <s v="IT@vpic1"/>
    <d v="2024-05-03T00:00:00"/>
    <d v="2024-08-26T00:00:00"/>
    <d v="2024-08-26T00:00:00"/>
  </r>
  <r>
    <n v="4"/>
    <n v="4"/>
    <x v="0"/>
    <s v="Nguyễn Công Chính"/>
    <s v="#00854"/>
    <s v="VN00854"/>
    <s v="IT@vpic1"/>
    <d v="2024-08-26T00:00:00"/>
    <m/>
    <m/>
  </r>
  <r>
    <n v="5"/>
    <n v="5"/>
    <x v="0"/>
    <s v="Kiều Văn Hiên"/>
    <s v="#04202"/>
    <s v="VN04202"/>
    <s v="IT@vpic1"/>
    <d v="2024-05-03T00:00:00"/>
    <m/>
    <m/>
  </r>
  <r>
    <n v="6"/>
    <n v="6"/>
    <x v="0"/>
    <s v="Nguyễn Thị Thịnh"/>
    <s v="#07789"/>
    <s v="VN07789"/>
    <s v="IT@vpic1"/>
    <d v="2024-05-03T00:00:00"/>
    <m/>
    <m/>
  </r>
  <r>
    <n v="7"/>
    <n v="7"/>
    <x v="0"/>
    <s v="Phan Thị Phượng"/>
    <s v="#13582"/>
    <s v="VN13582"/>
    <s v="IT@vpic1"/>
    <d v="2024-05-03T00:00:00"/>
    <m/>
    <m/>
  </r>
  <r>
    <n v="8"/>
    <n v="8"/>
    <x v="0"/>
    <s v="Bùi Thị Thanh"/>
    <s v="#08550"/>
    <s v="VN08550"/>
    <s v="IT@vpic1"/>
    <d v="2024-05-03T00:00:00"/>
    <m/>
    <m/>
  </r>
  <r>
    <n v="9"/>
    <n v="9"/>
    <x v="0"/>
    <s v="Nguyễn Thành Đồng"/>
    <s v="#07290"/>
    <s v="VN07290"/>
    <s v="IT@vpic1"/>
    <d v="2024-05-03T00:00:00"/>
    <m/>
    <m/>
  </r>
  <r>
    <n v="10"/>
    <n v="10"/>
    <x v="0"/>
    <e v="#N/A"/>
    <s v="#08759"/>
    <s v="VN08759"/>
    <s v="IT@vpic1"/>
    <d v="2024-05-03T00:00:00"/>
    <d v="2025-08-07T00:00:00"/>
    <d v="2025-08-07T00:00:00"/>
  </r>
  <r>
    <n v="11"/>
    <n v="11"/>
    <x v="0"/>
    <e v="#N/A"/>
    <s v="#02245"/>
    <s v="VN02245"/>
    <s v="IT@vpic1"/>
    <d v="2024-05-03T00:00:00"/>
    <d v="2024-08-26T00:00:00"/>
    <d v="2025-05-29T00:00:00"/>
  </r>
  <r>
    <n v="12"/>
    <n v="12"/>
    <x v="0"/>
    <s v="Nguyễn Thị Mai"/>
    <s v="#15884"/>
    <s v="VN15884"/>
    <s v="IT@vpic1"/>
    <d v="2024-05-03T00:00:00"/>
    <m/>
    <m/>
  </r>
  <r>
    <n v="13"/>
    <n v="13"/>
    <x v="0"/>
    <s v="Nguyễn Đình Tuấn"/>
    <s v="#00665"/>
    <s v="VN00665"/>
    <s v="IT@vpic1"/>
    <d v="2024-05-03T00:00:00"/>
    <m/>
    <m/>
  </r>
  <r>
    <n v="14"/>
    <n v="14"/>
    <x v="0"/>
    <s v="Nguyễn Văn Mạnh"/>
    <s v="#06748"/>
    <s v="VN06748"/>
    <s v="IT@vpic1"/>
    <d v="2024-05-03T00:00:00"/>
    <m/>
    <m/>
  </r>
  <r>
    <n v="15"/>
    <n v="15"/>
    <x v="0"/>
    <s v="Nguyễn Văn Thắng"/>
    <s v="#03500"/>
    <s v="VN03500"/>
    <s v="IT@vpic1"/>
    <d v="2024-05-03T00:00:00"/>
    <d v="2025-10-20T00:00:00"/>
    <m/>
  </r>
  <r>
    <n v="16"/>
    <n v="16"/>
    <x v="0"/>
    <s v="Đỗ Minh Hải"/>
    <s v="#15725"/>
    <s v="VN15725"/>
    <s v="IT@vpic1"/>
    <d v="2024-05-03T00:00:00"/>
    <m/>
    <m/>
  </r>
  <r>
    <n v="17"/>
    <n v="17"/>
    <x v="0"/>
    <s v="Lê Văn Bảo"/>
    <s v="#00186"/>
    <s v="VN00186"/>
    <s v="IT@vpic1"/>
    <d v="2024-05-03T00:00:00"/>
    <m/>
    <m/>
  </r>
  <r>
    <n v="18"/>
    <n v="18"/>
    <x v="0"/>
    <s v="Nguyễn Văn Nghiêm"/>
    <s v="#04427"/>
    <s v="VN04427"/>
    <s v="IT@vpic1"/>
    <d v="2024-05-03T00:00:00"/>
    <m/>
    <m/>
  </r>
  <r>
    <n v="19"/>
    <n v="19"/>
    <x v="0"/>
    <s v="Nguyễn Thế Mạnh"/>
    <s v="#01534"/>
    <s v="VN01534"/>
    <s v="IT@vpic1"/>
    <d v="2024-05-03T00:00:00"/>
    <m/>
    <m/>
  </r>
  <r>
    <n v="20"/>
    <n v="20"/>
    <x v="0"/>
    <s v="Nguyễn Tùng Lâm"/>
    <s v="#15726"/>
    <s v="VN15726"/>
    <s v="IT@vpic1"/>
    <d v="2024-05-03T00:00:00"/>
    <m/>
    <m/>
  </r>
  <r>
    <n v="21"/>
    <n v="21"/>
    <x v="0"/>
    <s v="Nguyễn Trung Hiếu"/>
    <s v="#09145"/>
    <s v="VN09145"/>
    <s v="IT@vpic1"/>
    <d v="2024-05-03T00:00:00"/>
    <m/>
    <m/>
  </r>
  <r>
    <n v="22"/>
    <n v="22"/>
    <x v="0"/>
    <s v="Lò Duy Chính"/>
    <s v="#24335"/>
    <s v="VN24335"/>
    <s v="IT@vpic1"/>
    <d v="2024-05-30T00:00:00"/>
    <m/>
    <m/>
  </r>
  <r>
    <n v="23"/>
    <n v="23"/>
    <x v="0"/>
    <e v="#N/A"/>
    <s v="#24687"/>
    <s v="VN24687"/>
    <s v="IT@vpic1"/>
    <d v="2024-05-30T00:00:00"/>
    <d v="2025-05-29T00:00:00"/>
    <d v="2025-05-29T00:00:00"/>
  </r>
  <r>
    <n v="24"/>
    <n v="24"/>
    <x v="0"/>
    <s v="Nguyễn Mạnh Toàn"/>
    <s v="#03747"/>
    <s v="VN03747"/>
    <s v="IT@vpic1"/>
    <d v="2024-05-03T00:00:00"/>
    <m/>
    <m/>
  </r>
  <r>
    <n v="25"/>
    <n v="25"/>
    <x v="0"/>
    <s v="Nguyễn Văn Mỹ"/>
    <s v="#04428"/>
    <s v="VN04428"/>
    <s v="IT@vpic1"/>
    <d v="2024-05-03T00:00:00"/>
    <m/>
    <m/>
  </r>
  <r>
    <n v="26"/>
    <n v="26"/>
    <x v="0"/>
    <s v="Bùi Thị Xuyến"/>
    <s v="#20328"/>
    <s v="VN20328"/>
    <s v="IT@vpic1"/>
    <d v="2024-05-03T00:00:00"/>
    <m/>
    <m/>
  </r>
  <r>
    <n v="27"/>
    <n v="27"/>
    <x v="0"/>
    <s v="Nguyễn Đức Thịnh"/>
    <s v="#03613"/>
    <s v="VN03613"/>
    <s v="IT@vpic1"/>
    <d v="2024-05-03T00:00:00"/>
    <m/>
    <m/>
  </r>
  <r>
    <n v="28"/>
    <n v="28"/>
    <x v="0"/>
    <s v="Nguyễn Duy Tiến"/>
    <s v="#06908"/>
    <s v="VN06908"/>
    <s v="IT@vpic1"/>
    <d v="2024-05-03T00:00:00"/>
    <m/>
    <m/>
  </r>
  <r>
    <n v="29"/>
    <n v="29"/>
    <x v="0"/>
    <e v="#N/A"/>
    <s v="#19767"/>
    <s v="VN19767"/>
    <s v="IT@vpic1"/>
    <d v="2024-05-03T00:00:00"/>
    <d v="2025-07-01T00:00:00"/>
    <d v="2025-07-01T00:00:00"/>
  </r>
  <r>
    <n v="30"/>
    <n v="30"/>
    <x v="1"/>
    <s v="Phạm Quốc Doanh"/>
    <s v="#12694"/>
    <s v="VN12694"/>
    <s v="IT@vpic1"/>
    <d v="2024-05-03T00:00:00"/>
    <m/>
    <m/>
  </r>
  <r>
    <n v="31"/>
    <n v="31"/>
    <x v="0"/>
    <s v="Đỗ Mai Thoan"/>
    <s v="#01232"/>
    <s v="VN01232"/>
    <s v="IT@vpic1"/>
    <d v="2024-05-03T00:00:00"/>
    <m/>
    <m/>
  </r>
  <r>
    <n v="32"/>
    <n v="32"/>
    <x v="0"/>
    <s v="Lê Thị Huyền"/>
    <s v="#10788"/>
    <s v="VN10788"/>
    <s v="IT@vpic1"/>
    <d v="2024-05-03T00:00:00"/>
    <m/>
    <m/>
  </r>
  <r>
    <n v="33"/>
    <n v="33"/>
    <x v="0"/>
    <s v="Phạm Minh Tuấn"/>
    <s v="#10029"/>
    <s v="VN10029"/>
    <s v="IT@vpic1"/>
    <d v="2024-05-03T00:00:00"/>
    <m/>
    <m/>
  </r>
  <r>
    <n v="34"/>
    <n v="34"/>
    <x v="0"/>
    <s v="Nguyễn Thị Lữ"/>
    <s v="#00767"/>
    <s v="VN00767"/>
    <s v="IT@vpic1"/>
    <d v="2024-05-03T00:00:00"/>
    <m/>
    <m/>
  </r>
  <r>
    <n v="35"/>
    <n v="35"/>
    <x v="0"/>
    <s v="Dương Văn Chiến"/>
    <s v="#11937"/>
    <s v="VN11937"/>
    <s v="IT@vpic1"/>
    <d v="2024-05-03T00:00:00"/>
    <m/>
    <m/>
  </r>
  <r>
    <n v="36"/>
    <n v="36"/>
    <x v="2"/>
    <s v="Nguyễn Văn Tùng"/>
    <s v="#24016"/>
    <s v="VN24016"/>
    <s v="IT@vpic1"/>
    <d v="2024-05-31T00:00:00"/>
    <m/>
    <m/>
  </r>
  <r>
    <n v="37"/>
    <n v="37"/>
    <x v="0"/>
    <s v="Đỗ Thanh Tùng"/>
    <s v="#24009"/>
    <s v="VN24009"/>
    <s v="IT@vpic1"/>
    <d v="2024-05-03T00:00:00"/>
    <m/>
    <m/>
  </r>
  <r>
    <n v="38"/>
    <n v="38"/>
    <x v="0"/>
    <s v="Nguyễn Duy Hiển"/>
    <s v="#19909"/>
    <s v="VN19909"/>
    <s v="IT@vpic1"/>
    <d v="2024-05-03T00:00:00"/>
    <m/>
    <m/>
  </r>
  <r>
    <n v="39"/>
    <n v="39"/>
    <x v="0"/>
    <s v="Nguyễn Minh Tuân"/>
    <s v="#02547"/>
    <s v="VN02547"/>
    <s v="IT@vpic1"/>
    <d v="2024-05-03T00:00:00"/>
    <m/>
    <m/>
  </r>
  <r>
    <n v="40"/>
    <n v="40"/>
    <x v="0"/>
    <e v="#N/A"/>
    <s v="#23921"/>
    <s v="VN23921"/>
    <s v="IT@vpic1"/>
    <d v="2024-05-03T00:00:00"/>
    <d v="2025-05-29T00:00:00"/>
    <d v="2025-05-29T00:00:00"/>
  </r>
  <r>
    <n v="41"/>
    <n v="41"/>
    <x v="1"/>
    <s v="Vũ Huy Chung"/>
    <s v="#00116"/>
    <s v="VN00116"/>
    <s v="IT@vpic1"/>
    <d v="2024-05-03T00:00:00"/>
    <m/>
    <m/>
  </r>
  <r>
    <n v="42"/>
    <n v="42"/>
    <x v="0"/>
    <s v="Nguyễn Văn Bảy"/>
    <s v="#00637"/>
    <s v="VN00637"/>
    <s v="IT@vpic1"/>
    <d v="2024-05-03T00:00:00"/>
    <m/>
    <m/>
  </r>
  <r>
    <n v="43"/>
    <n v="43"/>
    <x v="0"/>
    <s v="Trần Đức Quang"/>
    <s v="#00072"/>
    <s v="VN00072"/>
    <s v="IT@vpic1"/>
    <d v="2024-05-03T00:00:00"/>
    <m/>
    <m/>
  </r>
  <r>
    <n v="44"/>
    <n v="44"/>
    <x v="0"/>
    <s v="Nguyễn Văn Nam"/>
    <s v="#08886"/>
    <s v="VN08886"/>
    <s v="IT@vpic1"/>
    <d v="2024-05-03T00:00:00"/>
    <m/>
    <m/>
  </r>
  <r>
    <n v="45"/>
    <n v="45"/>
    <x v="0"/>
    <e v="#N/A"/>
    <s v="QLSX-MEETING"/>
    <s v="QLSX1.MEET"/>
    <s v="IT@vpic1"/>
    <d v="2024-05-03T00:00:00"/>
    <m/>
    <m/>
  </r>
  <r>
    <n v="46"/>
    <n v="46"/>
    <x v="0"/>
    <e v="#N/A"/>
    <s v="BOT.QLSX"/>
    <s v="BOT.QLSX"/>
    <s v="IT@vpic1"/>
    <d v="2024-05-03T00:00:00"/>
    <m/>
    <m/>
  </r>
  <r>
    <n v="47"/>
    <n v="47"/>
    <x v="0"/>
    <s v="Nguyễn Quang Huy"/>
    <s v="#25374"/>
    <s v="VN25374"/>
    <s v="IT@vpic1"/>
    <d v="2024-11-25T00:00:00"/>
    <m/>
    <m/>
  </r>
  <r>
    <n v="48"/>
    <n v="48"/>
    <x v="0"/>
    <s v="Nguyễn Thị Soan"/>
    <s v="#26005"/>
    <s v="VN26005"/>
    <s v="IT@vpic1"/>
    <d v="2025-06-17T00:00:00"/>
    <m/>
    <m/>
  </r>
  <r>
    <n v="49"/>
    <m/>
    <x v="0"/>
    <s v="Nguyễn Anh Dũng"/>
    <s v="#25783"/>
    <s v="VN25783"/>
    <s v="IT@vpic1"/>
    <d v="2025-05-30T00:00:00"/>
    <m/>
    <m/>
  </r>
  <r>
    <n v="50"/>
    <m/>
    <x v="0"/>
    <s v="Nguyễn Tuấn Anh"/>
    <s v="#26025"/>
    <s v="VN26025"/>
    <s v="IT@vpic1"/>
    <d v="2025-07-01T00:00:00"/>
    <m/>
    <m/>
  </r>
  <r>
    <n v="51"/>
    <m/>
    <x v="0"/>
    <s v="Nguyễn Quý Trọng"/>
    <s v="#26309"/>
    <s v="VN26309"/>
    <s v="IT@vpic1"/>
    <d v="2025-10-03T00:00:00"/>
    <m/>
    <m/>
  </r>
  <r>
    <n v="51"/>
    <n v="1"/>
    <x v="3"/>
    <s v="Nguyễn Văn Phương"/>
    <s v="#00990"/>
    <s v="VN00990"/>
    <s v="IT@vpic1"/>
    <d v="2024-05-09T00:00:00"/>
    <m/>
    <m/>
  </r>
  <r>
    <n v="52"/>
    <n v="2"/>
    <x v="3"/>
    <s v="Lê Xuân Trường"/>
    <s v="#01960"/>
    <s v="VN01960"/>
    <s v="IT@vpic1"/>
    <d v="2024-05-09T00:00:00"/>
    <m/>
    <m/>
  </r>
  <r>
    <n v="53"/>
    <n v="3"/>
    <x v="3"/>
    <e v="#N/A"/>
    <s v="#11403"/>
    <s v="VN11403"/>
    <s v="IT@vpic1"/>
    <d v="2024-05-09T00:00:00"/>
    <d v="2025-05-29T00:00:00"/>
    <d v="2025-05-29T00:00:00"/>
  </r>
  <r>
    <n v="54"/>
    <n v="4"/>
    <x v="3"/>
    <s v="Nguyễn Đức Tuấn"/>
    <s v="#02684"/>
    <s v="VN02684"/>
    <s v="IT@vpic1"/>
    <d v="2024-05-09T00:00:00"/>
    <m/>
    <m/>
  </r>
  <r>
    <n v="55"/>
    <n v="5"/>
    <x v="3"/>
    <s v="Đào Tuấn Hưng"/>
    <s v="#00683"/>
    <s v="VN00683"/>
    <s v="IT@vpic1"/>
    <d v="2024-05-09T00:00:00"/>
    <m/>
    <m/>
  </r>
  <r>
    <n v="56"/>
    <n v="6"/>
    <x v="3"/>
    <s v="Nguyễn Văn Dũng"/>
    <s v="#00883"/>
    <s v="VN00883"/>
    <s v="IT@vpic1"/>
    <d v="2024-05-09T00:00:00"/>
    <m/>
    <m/>
  </r>
  <r>
    <n v="57"/>
    <n v="7"/>
    <x v="3"/>
    <s v="Nguyễn Thị Thuý Nga"/>
    <s v="#01214"/>
    <s v="VN01214"/>
    <s v="IT@vpic1"/>
    <d v="2024-05-09T00:00:00"/>
    <m/>
    <m/>
  </r>
  <r>
    <n v="58"/>
    <n v="8"/>
    <x v="3"/>
    <s v="Vũ Thị Thanh Tú"/>
    <s v="#01285"/>
    <s v="VN01285"/>
    <s v="IT@vpic1"/>
    <d v="2024-05-09T00:00:00"/>
    <m/>
    <m/>
  </r>
  <r>
    <n v="59"/>
    <n v="9"/>
    <x v="3"/>
    <s v="Chu Văn Trường"/>
    <s v="#11798"/>
    <s v="VN11798"/>
    <s v="IT@vpic1"/>
    <d v="2024-05-09T00:00:00"/>
    <m/>
    <m/>
  </r>
  <r>
    <n v="60"/>
    <n v="10"/>
    <x v="3"/>
    <s v="Trần Văn Tuân"/>
    <s v="#13743"/>
    <s v="VN13743"/>
    <s v="IT@vpic1"/>
    <d v="2024-05-09T00:00:00"/>
    <m/>
    <m/>
  </r>
  <r>
    <n v="61"/>
    <n v="11"/>
    <x v="3"/>
    <s v="Phan Kim Thái"/>
    <s v="#15940"/>
    <s v="VN15940"/>
    <s v="IT@vpic1"/>
    <d v="2024-05-09T00:00:00"/>
    <m/>
    <m/>
  </r>
  <r>
    <n v="62"/>
    <n v="12"/>
    <x v="3"/>
    <s v="Chu Thị Hạnh"/>
    <s v="#12095"/>
    <s v="VN12095"/>
    <s v="IT@vpic1"/>
    <d v="2024-05-09T00:00:00"/>
    <m/>
    <m/>
  </r>
  <r>
    <n v="63"/>
    <n v="13"/>
    <x v="3"/>
    <s v="Đỗ Thị Kim Thu"/>
    <s v="#20906"/>
    <s v="VN20906"/>
    <s v="IT@vpic1"/>
    <d v="2024-05-09T00:00:00"/>
    <m/>
    <m/>
  </r>
  <r>
    <n v="64"/>
    <n v="14"/>
    <x v="3"/>
    <s v="Nguyễn Văn Lân"/>
    <s v="#09442"/>
    <s v="VN09442"/>
    <s v="IT@vpic1"/>
    <d v="2024-05-09T00:00:00"/>
    <m/>
    <m/>
  </r>
  <r>
    <n v="65"/>
    <n v="15"/>
    <x v="3"/>
    <s v="Bùi Quang Toàn"/>
    <s v="#03037"/>
    <s v="VN03037"/>
    <s v="IT@vpic1"/>
    <d v="2024-05-09T00:00:00"/>
    <m/>
    <m/>
  </r>
  <r>
    <n v="66"/>
    <n v="16"/>
    <x v="3"/>
    <s v="Nguyễn Thị Bích Liên"/>
    <s v="#24110"/>
    <s v="VN24110"/>
    <s v="IT@vpic1"/>
    <d v="2024-05-09T00:00:00"/>
    <m/>
    <m/>
  </r>
  <r>
    <n v="67"/>
    <n v="17"/>
    <x v="3"/>
    <s v="Hoàng Thị Thắm"/>
    <s v="#09755"/>
    <s v="VN09755"/>
    <s v="IT@vpic1"/>
    <d v="2024-05-09T00:00:00"/>
    <m/>
    <m/>
  </r>
  <r>
    <n v="68"/>
    <n v="18"/>
    <x v="3"/>
    <s v="Nguyễn Văn Minh"/>
    <s v="#00039"/>
    <s v="VN00039"/>
    <s v="IT@vpic1"/>
    <d v="2024-05-09T00:00:00"/>
    <m/>
    <m/>
  </r>
  <r>
    <n v="69"/>
    <n v="19"/>
    <x v="3"/>
    <s v="Ngọ Tuấn Anh"/>
    <s v="#10186"/>
    <s v="VN10186"/>
    <s v="IT@vpic1"/>
    <d v="2024-05-09T00:00:00"/>
    <m/>
    <m/>
  </r>
  <r>
    <n v="70"/>
    <n v="20"/>
    <x v="3"/>
    <s v="Hà Trọng Lợi"/>
    <s v="#02972"/>
    <s v="VN02972"/>
    <s v="IT@vpic1"/>
    <d v="2024-05-09T00:00:00"/>
    <m/>
    <m/>
  </r>
  <r>
    <n v="71"/>
    <n v="22"/>
    <x v="3"/>
    <s v="Hà Đức Chính"/>
    <s v="#00602"/>
    <s v="VN00602"/>
    <s v="IT@vpic1"/>
    <d v="2024-05-09T00:00:00"/>
    <m/>
    <m/>
  </r>
  <r>
    <n v="72"/>
    <n v="23"/>
    <x v="3"/>
    <s v="Trần Văn Thuỳ"/>
    <s v="#03359"/>
    <s v="VN03359"/>
    <s v="IT@vpic1"/>
    <d v="2024-05-09T00:00:00"/>
    <m/>
    <m/>
  </r>
  <r>
    <n v="73"/>
    <n v="24"/>
    <x v="3"/>
    <s v="Phùng Phi Sơn"/>
    <s v="#04843"/>
    <s v="VN04843"/>
    <s v="IT@vpic1"/>
    <d v="2024-05-09T00:00:00"/>
    <m/>
    <m/>
  </r>
  <r>
    <n v="74"/>
    <n v="25"/>
    <x v="3"/>
    <s v="Đào Mạnh Cường"/>
    <s v="#24007"/>
    <s v="VN24007"/>
    <s v="IT@vpic1"/>
    <d v="2024-05-09T00:00:00"/>
    <m/>
    <m/>
  </r>
  <r>
    <n v="75"/>
    <n v="26"/>
    <x v="3"/>
    <s v="Nguyễn Văn Hậu"/>
    <s v="#10188"/>
    <s v="VN10188"/>
    <s v="IT@vpic1"/>
    <d v="2024-10-09T00:00:00"/>
    <m/>
    <m/>
  </r>
  <r>
    <n v="76"/>
    <n v="27"/>
    <x v="3"/>
    <s v="Bùi Văn Nhã"/>
    <s v="#24996"/>
    <s v="VN24996"/>
    <s v="IT@vpic1"/>
    <d v="2024-11-02T00:00:00"/>
    <d v="2025-10-20T00:00:00"/>
    <m/>
  </r>
  <r>
    <n v="77"/>
    <n v="1"/>
    <x v="4"/>
    <s v="Nguyễn Thị Vân Anh"/>
    <s v="#10324"/>
    <s v="VN10324"/>
    <s v="IT@vpic1"/>
    <d v="2024-05-09T00:00:00"/>
    <m/>
    <m/>
  </r>
  <r>
    <n v="78"/>
    <n v="2"/>
    <x v="4"/>
    <s v="Lương Trọng Đoàn"/>
    <s v="#00138"/>
    <s v="VN00138"/>
    <s v="IT@vpic1"/>
    <d v="2024-05-09T00:00:00"/>
    <m/>
    <m/>
  </r>
  <r>
    <n v="79"/>
    <n v="3"/>
    <x v="4"/>
    <s v="Nguyễn Thị Huyền"/>
    <s v="#01566"/>
    <s v="VN01566"/>
    <s v="IT@vpic1"/>
    <d v="2024-05-09T00:00:00"/>
    <m/>
    <m/>
  </r>
  <r>
    <n v="80"/>
    <n v="4"/>
    <x v="4"/>
    <s v="Trần Thị Hương"/>
    <s v="#02322"/>
    <s v="VN02322"/>
    <s v="IT@vpic1"/>
    <d v="2024-05-09T00:00:00"/>
    <m/>
    <m/>
  </r>
  <r>
    <n v="81"/>
    <n v="5"/>
    <x v="4"/>
    <s v="Nguyễn Thị Thìn"/>
    <s v="#07269"/>
    <s v="VN07269"/>
    <s v="IT@vpic1"/>
    <d v="2024-05-09T00:00:00"/>
    <m/>
    <m/>
  </r>
  <r>
    <n v="82"/>
    <n v="6"/>
    <x v="4"/>
    <s v="Trần Văn Sơn"/>
    <s v="#00470"/>
    <s v="VN00470"/>
    <s v="IT@vpic1"/>
    <d v="2024-05-09T00:00:00"/>
    <m/>
    <m/>
  </r>
  <r>
    <n v="83"/>
    <n v="7"/>
    <x v="4"/>
    <s v="Vũ Ngọc Quang"/>
    <s v="#03481"/>
    <s v="VN03481"/>
    <s v="IT@vpic1"/>
    <d v="2024-05-09T00:00:00"/>
    <m/>
    <m/>
  </r>
  <r>
    <n v="84"/>
    <n v="8"/>
    <x v="4"/>
    <s v="Lê Văn Trưởng"/>
    <s v="#00038"/>
    <s v="VN00038"/>
    <s v="IT@vpic1"/>
    <d v="2024-05-09T00:00:00"/>
    <m/>
    <m/>
  </r>
  <r>
    <n v="85"/>
    <n v="9"/>
    <x v="4"/>
    <s v="Trần Thị Liên"/>
    <s v="#07228"/>
    <s v="VN07228"/>
    <s v="IT@vpic1"/>
    <d v="2024-05-09T00:00:00"/>
    <m/>
    <m/>
  </r>
  <r>
    <n v="86"/>
    <n v="10"/>
    <x v="4"/>
    <s v="Kiều Mạnh Dũng"/>
    <s v="#00798"/>
    <s v="VN00798"/>
    <s v="IT@vpic1"/>
    <d v="2024-05-09T00:00:00"/>
    <m/>
    <m/>
  </r>
  <r>
    <n v="87"/>
    <n v="11"/>
    <x v="4"/>
    <s v="Đinh Trung Kiên"/>
    <s v="#00832"/>
    <s v="VN00832"/>
    <s v="IT@vpic1"/>
    <d v="2024-05-09T00:00:00"/>
    <m/>
    <m/>
  </r>
  <r>
    <n v="86"/>
    <n v="10"/>
    <x v="4"/>
    <s v="Nguyễn Tiến Thành"/>
    <s v="#01177"/>
    <s v="VN01177"/>
    <s v="IT@vpic1"/>
    <d v="2024-05-25T00:00:00"/>
    <m/>
    <m/>
  </r>
  <r>
    <n v="87"/>
    <n v="11"/>
    <x v="4"/>
    <s v="Lê Duy Tân"/>
    <s v="#00886"/>
    <s v="VN00886"/>
    <s v="IT@vpic1"/>
    <d v="2024-06-11T00:00:00"/>
    <m/>
    <m/>
  </r>
  <r>
    <n v="89"/>
    <n v="1"/>
    <x v="5"/>
    <s v="Đỗ Tiến Dương"/>
    <s v="#07039"/>
    <s v="VN07039"/>
    <s v="IT@vpic1"/>
    <d v="2024-05-09T00:00:00"/>
    <m/>
    <m/>
  </r>
  <r>
    <n v="90"/>
    <n v="2"/>
    <x v="5"/>
    <s v="Trần Thị Thu Hiền"/>
    <s v="#21343"/>
    <s v="VN21343"/>
    <s v="IT@vpic1"/>
    <d v="2024-05-09T00:00:00"/>
    <m/>
    <m/>
  </r>
  <r>
    <n v="91"/>
    <n v="3"/>
    <x v="5"/>
    <s v="Dương Văn Hải"/>
    <s v="#00400"/>
    <s v="VN00400"/>
    <s v="IT@vpic1"/>
    <d v="2024-05-09T00:00:00"/>
    <m/>
    <m/>
  </r>
  <r>
    <n v="92"/>
    <n v="4"/>
    <x v="5"/>
    <s v="Ngô Mạnh Cường"/>
    <s v="#02183"/>
    <s v="VN02183"/>
    <s v="IT@vpic1"/>
    <d v="2024-05-09T00:00:00"/>
    <m/>
    <m/>
  </r>
  <r>
    <n v="93"/>
    <n v="5"/>
    <x v="5"/>
    <s v="Đỗ Quốc Tuấn"/>
    <s v="#09040"/>
    <s v="VN09040"/>
    <s v="IT@vpic1"/>
    <d v="2024-08-24T00:00:00"/>
    <m/>
    <m/>
  </r>
  <r>
    <n v="94"/>
    <n v="1"/>
    <x v="6"/>
    <s v="Trần Ngọc Mạnh"/>
    <s v="#07790"/>
    <s v="VN07790"/>
    <s v="IT@vpic1"/>
    <d v="2024-05-09T00:00:00"/>
    <m/>
    <m/>
  </r>
  <r>
    <n v="95"/>
    <n v="2"/>
    <x v="6"/>
    <e v="#N/A"/>
    <s v="#16479"/>
    <s v="VN16479"/>
    <s v="IT@vpic1"/>
    <d v="2024-05-09T00:00:00"/>
    <d v="2025-08-07T00:00:00"/>
    <d v="2025-08-07T00:00:00"/>
  </r>
  <r>
    <n v="96"/>
    <n v="3"/>
    <x v="6"/>
    <e v="#N/A"/>
    <s v="#10988"/>
    <s v="VN10988"/>
    <s v="IT@vpic1"/>
    <d v="2024-05-09T00:00:00"/>
    <d v="2025-09-29T00:00:00"/>
    <m/>
  </r>
  <r>
    <n v="97"/>
    <n v="4"/>
    <x v="6"/>
    <s v="Đỗ Thị Hoa"/>
    <s v="#03439"/>
    <s v="VN03439"/>
    <s v="IT@vpic1"/>
    <d v="2024-05-09T00:00:00"/>
    <m/>
    <m/>
  </r>
  <r>
    <n v="98"/>
    <n v="5"/>
    <x v="6"/>
    <s v="Trần Thị Thu Thủy"/>
    <s v="#03094"/>
    <s v="VN03094"/>
    <s v="IT@vpic1"/>
    <d v="2024-05-09T00:00:00"/>
    <m/>
    <m/>
  </r>
  <r>
    <n v="99"/>
    <n v="6"/>
    <x v="6"/>
    <s v="Đỗ Thị Thanh"/>
    <s v="#17617"/>
    <s v="VN17617"/>
    <s v="IT@vpic1"/>
    <d v="2024-05-09T00:00:00"/>
    <m/>
    <m/>
  </r>
  <r>
    <n v="100"/>
    <n v="7"/>
    <x v="6"/>
    <s v="Tạ Hữu Bằng"/>
    <s v="#00998"/>
    <s v="VN00998"/>
    <s v="IT@vpic1"/>
    <d v="2024-05-09T00:00:00"/>
    <m/>
    <m/>
  </r>
  <r>
    <n v="101"/>
    <n v="8"/>
    <x v="6"/>
    <s v="Dương Văn Tường"/>
    <s v="#00254"/>
    <s v="VN00254"/>
    <s v="IT@vpic1"/>
    <d v="2024-05-09T00:00:00"/>
    <m/>
    <m/>
  </r>
  <r>
    <n v="102"/>
    <n v="9"/>
    <x v="6"/>
    <e v="#N/A"/>
    <s v="#00765"/>
    <s v="VN00765"/>
    <s v="IT@vpic1"/>
    <d v="2024-05-09T00:00:00"/>
    <d v="2025-05-29T00:00:00"/>
    <d v="2025-05-29T00:00:00"/>
  </r>
  <r>
    <n v="103"/>
    <n v="10"/>
    <x v="6"/>
    <s v="Phan Bá Tước"/>
    <s v="#00487"/>
    <s v="VN00487"/>
    <s v="IT@vpic1"/>
    <d v="2024-09-27T00:00:00"/>
    <m/>
    <m/>
  </r>
  <r>
    <n v="104"/>
    <n v="11"/>
    <x v="6"/>
    <s v="Lương Văn Giang"/>
    <s v="#00860"/>
    <s v="VN00860"/>
    <s v="IT@vpic1"/>
    <d v="2025-03-25T00:00:00"/>
    <m/>
    <m/>
  </r>
  <r>
    <n v="105"/>
    <m/>
    <x v="6"/>
    <s v="Nguyễn Thị Minh Huệ"/>
    <s v="#06955"/>
    <s v="VN06955"/>
    <s v="IT@vpic1"/>
    <d v="2025-05-30T00:00:00"/>
    <m/>
    <m/>
  </r>
  <r>
    <n v="106"/>
    <n v="1"/>
    <x v="2"/>
    <s v="Dương Thị Mai"/>
    <s v="#00682"/>
    <s v="VN00682"/>
    <s v="IT@vpic1"/>
    <d v="2024-05-09T00:00:00"/>
    <m/>
    <m/>
  </r>
  <r>
    <n v="107"/>
    <n v="2"/>
    <x v="2"/>
    <s v="Dương Hùng Mạnh"/>
    <s v="#11553"/>
    <s v="VN11553"/>
    <s v="IT@vpic1"/>
    <d v="2024-05-09T00:00:00"/>
    <m/>
    <m/>
  </r>
  <r>
    <n v="108"/>
    <n v="3"/>
    <x v="2"/>
    <s v="Nguyễn Thị Trang"/>
    <s v="#11064"/>
    <s v="VN11064"/>
    <s v="IT@vpic1"/>
    <d v="2024-05-09T00:00:00"/>
    <m/>
    <m/>
  </r>
  <r>
    <n v="109"/>
    <n v="4"/>
    <x v="2"/>
    <s v="Trần Mạnh Tiến"/>
    <s v="#09567"/>
    <s v="VN09567"/>
    <s v="IT@vpic1"/>
    <d v="2024-05-09T00:00:00"/>
    <m/>
    <m/>
  </r>
  <r>
    <n v="110"/>
    <n v="5"/>
    <x v="2"/>
    <e v="#N/A"/>
    <s v="SON105-MEETING"/>
    <s v="SON1.MEET"/>
    <s v="IT@vpic1"/>
    <d v="2024-05-09T00:00:00"/>
    <m/>
    <m/>
  </r>
  <r>
    <n v="111"/>
    <n v="6"/>
    <x v="2"/>
    <e v="#N/A"/>
    <s v="#20055"/>
    <s v="VN20055"/>
    <s v="IT@vpic1"/>
    <d v="2024-05-09T00:00:00"/>
    <d v="2025-05-29T00:00:00"/>
    <d v="2025-05-29T00:00:00"/>
  </r>
  <r>
    <n v="112"/>
    <n v="7"/>
    <x v="7"/>
    <s v="Nguyễn Văn Tùng"/>
    <s v="#08605"/>
    <s v="VN08605"/>
    <s v="IT@vpic1"/>
    <d v="2024-05-09T00:00:00"/>
    <m/>
    <m/>
  </r>
  <r>
    <n v="113"/>
    <n v="1"/>
    <x v="8"/>
    <s v="Đỗ Văn Hạnh"/>
    <s v="#00125"/>
    <s v="VN00125"/>
    <s v="IT@vpic1"/>
    <d v="2024-05-09T00:00:00"/>
    <m/>
    <m/>
  </r>
  <r>
    <n v="114"/>
    <n v="2"/>
    <x v="8"/>
    <s v="Đặng Thị ánh Sao"/>
    <s v="#00807"/>
    <s v="VN00807"/>
    <s v="IT@vpic1"/>
    <d v="2024-05-09T00:00:00"/>
    <m/>
    <m/>
  </r>
  <r>
    <n v="115"/>
    <n v="3"/>
    <x v="8"/>
    <e v="#N/A"/>
    <s v="#17908"/>
    <s v="VN17908"/>
    <s v="IT@vpic1"/>
    <d v="2024-05-09T00:00:00"/>
    <d v="2025-08-07T00:00:00"/>
    <d v="2025-08-07T00:00:00"/>
  </r>
  <r>
    <n v="116"/>
    <n v="4"/>
    <x v="8"/>
    <s v="Nguyễn Thị Loan"/>
    <s v="#03042"/>
    <s v="VN03042"/>
    <s v="IT@vpic1"/>
    <d v="2024-05-09T00:00:00"/>
    <m/>
    <m/>
  </r>
  <r>
    <n v="117"/>
    <n v="1"/>
    <x v="9"/>
    <s v="Nguyễn Thị Thanh Huyền"/>
    <s v="#00987"/>
    <s v="VN00987"/>
    <s v="IT@vpic1"/>
    <d v="2024-05-20T00:00:00"/>
    <m/>
    <m/>
  </r>
  <r>
    <n v="118"/>
    <n v="2"/>
    <x v="9"/>
    <s v="Đỗ Thị Liên"/>
    <s v="#05539"/>
    <s v="VN05539"/>
    <s v="IT@vpic1"/>
    <d v="2024-05-20T00:00:00"/>
    <m/>
    <m/>
  </r>
  <r>
    <n v="119"/>
    <n v="3"/>
    <x v="9"/>
    <s v="Trần Thị Hà"/>
    <s v="#09592"/>
    <s v="VN09592"/>
    <s v="IT@vpic1"/>
    <d v="2024-05-20T00:00:00"/>
    <m/>
    <m/>
  </r>
  <r>
    <n v="120"/>
    <n v="4"/>
    <x v="9"/>
    <s v="Trịnh Thị Thoa"/>
    <s v="#10613"/>
    <s v="VN10613"/>
    <s v="IT@vpic1"/>
    <d v="2024-05-20T00:00:00"/>
    <m/>
    <m/>
  </r>
  <r>
    <n v="121"/>
    <n v="5"/>
    <x v="9"/>
    <s v="Trần Thị Thuý"/>
    <s v="#01187"/>
    <s v="VN01187"/>
    <s v="IT@vpic1"/>
    <d v="2024-05-20T00:00:00"/>
    <m/>
    <m/>
  </r>
  <r>
    <n v="122"/>
    <n v="6"/>
    <x v="9"/>
    <s v="Phùng Thị Hà"/>
    <s v="#00811"/>
    <s v="VN00811"/>
    <s v="IT@vpic1"/>
    <d v="2024-05-20T00:00:00"/>
    <m/>
    <m/>
  </r>
  <r>
    <n v="123"/>
    <n v="7"/>
    <x v="9"/>
    <s v="Bùi Văn Việt"/>
    <s v="#00895"/>
    <s v="VN00895"/>
    <s v="IT@vpic1"/>
    <d v="2024-05-20T00:00:00"/>
    <m/>
    <m/>
  </r>
  <r>
    <n v="124"/>
    <n v="8"/>
    <x v="9"/>
    <s v="Bùi Văn Tuấn"/>
    <s v="#04254"/>
    <s v="VN04254"/>
    <s v="IT@vpic1"/>
    <d v="2024-06-14T00:00:00"/>
    <m/>
    <m/>
  </r>
  <r>
    <n v="125"/>
    <n v="1"/>
    <x v="10"/>
    <s v="Nguyễn Thế Anh"/>
    <s v="#00844"/>
    <s v="VN00844"/>
    <s v="IT@vpic1"/>
    <d v="2024-05-09T00:00:00"/>
    <m/>
    <m/>
  </r>
  <r>
    <n v="126"/>
    <n v="2"/>
    <x v="10"/>
    <s v="Lê Thị Thuý"/>
    <s v="#05077"/>
    <s v="VN05077"/>
    <s v="IT@vpic1"/>
    <d v="2024-05-09T00:00:00"/>
    <m/>
    <m/>
  </r>
  <r>
    <n v="127"/>
    <n v="3"/>
    <x v="10"/>
    <s v="Dư Văn Hùng"/>
    <s v="#03387"/>
    <s v="VN03387"/>
    <s v="IT@vpic1"/>
    <d v="2024-05-20T00:00:00"/>
    <m/>
    <m/>
  </r>
  <r>
    <n v="128"/>
    <n v="4"/>
    <x v="10"/>
    <s v="Lê Thị Thuỳ"/>
    <s v="#02630"/>
    <s v="VN02630"/>
    <s v="IT@vpic1"/>
    <d v="2024-05-20T00:00:00"/>
    <m/>
    <m/>
  </r>
  <r>
    <n v="129"/>
    <n v="5"/>
    <x v="10"/>
    <s v="Nguyễn Hữu Đoàn"/>
    <s v="#01787"/>
    <s v="VN01787"/>
    <s v="IT@vpic1"/>
    <d v="2024-05-25T00:00:00"/>
    <m/>
    <m/>
  </r>
  <r>
    <n v="131"/>
    <n v="1"/>
    <x v="11"/>
    <s v="Khổng Thị Thanh Tú"/>
    <s v="#03441"/>
    <s v="VN03441"/>
    <s v="IT@vpic1"/>
    <d v="2024-05-20T00:00:00"/>
    <m/>
    <m/>
  </r>
  <r>
    <n v="132"/>
    <n v="2"/>
    <x v="12"/>
    <s v="Nguyễn Thị Thuận"/>
    <s v="#19230"/>
    <s v="VN19230"/>
    <s v="IT@vpic1"/>
    <d v="2024-05-20T00:00:00"/>
    <m/>
    <m/>
  </r>
  <r>
    <n v="133"/>
    <n v="3"/>
    <x v="12"/>
    <s v="Nguyễn Văn Sơn"/>
    <s v="#08917"/>
    <s v="VN08917"/>
    <s v="IT@vpic1"/>
    <d v="2024-05-20T00:00:00"/>
    <m/>
    <m/>
  </r>
  <r>
    <n v="134"/>
    <n v="4"/>
    <x v="12"/>
    <s v="Lâm Thị Hiền"/>
    <s v="#02857"/>
    <s v="VN02857"/>
    <s v="IT@vpic1"/>
    <d v="2024-05-20T00:00:00"/>
    <m/>
    <m/>
  </r>
  <r>
    <n v="135"/>
    <m/>
    <x v="8"/>
    <s v="Trần Ngọc Đức"/>
    <s v="#08553"/>
    <s v="VN08553"/>
    <s v="IT@vpic1"/>
    <d v="2024-05-09T00:00:00"/>
    <m/>
    <m/>
  </r>
  <r>
    <n v="136"/>
    <n v="5"/>
    <x v="12"/>
    <e v="#N/A"/>
    <s v="#15502"/>
    <s v="VN15502"/>
    <s v="IT@vpic1"/>
    <d v="2024-05-20T00:00:00"/>
    <d v="2025-05-29T00:00:00"/>
    <d v="2025-05-30T00:00:00"/>
  </r>
  <r>
    <n v="137"/>
    <n v="6"/>
    <x v="12"/>
    <e v="#N/A"/>
    <s v="#07839"/>
    <s v="VN07839"/>
    <s v="IT@vpic1"/>
    <d v="2024-05-20T00:00:00"/>
    <d v="2025-05-29T00:00:00"/>
    <d v="2025-05-30T00:00:00"/>
  </r>
  <r>
    <n v="138"/>
    <n v="7"/>
    <x v="12"/>
    <s v="Đường Văn Mạnh"/>
    <s v="#00868"/>
    <s v="VN00868"/>
    <s v="IT@vpic1"/>
    <d v="2024-05-20T00:00:00"/>
    <m/>
    <m/>
  </r>
  <r>
    <n v="139"/>
    <n v="8"/>
    <x v="12"/>
    <s v="Chu Văn Tư"/>
    <s v="#07286"/>
    <s v="VN07286"/>
    <s v="IT@vpic1"/>
    <d v="2024-05-20T00:00:00"/>
    <m/>
    <m/>
  </r>
  <r>
    <n v="140"/>
    <n v="1"/>
    <x v="13"/>
    <e v="#N/A"/>
    <s v="#21906"/>
    <s v="VN21906"/>
    <s v="IT@vpic1"/>
    <d v="2024-05-20T00:00:00"/>
    <d v="2025-09-29T00:00:00"/>
    <m/>
  </r>
  <r>
    <n v="141"/>
    <n v="2"/>
    <x v="13"/>
    <s v="Trần Thị Thu Hằng"/>
    <s v="#10368"/>
    <s v="VN10368"/>
    <s v="IT@vpic1"/>
    <d v="2024-05-20T00:00:00"/>
    <m/>
    <m/>
  </r>
  <r>
    <n v="142"/>
    <n v="3"/>
    <x v="11"/>
    <s v="Đỗ Thị Thương"/>
    <s v="#11422"/>
    <s v="VN11422"/>
    <s v="IT@vpic1"/>
    <d v="2024-05-20T00:00:00"/>
    <m/>
    <m/>
  </r>
  <r>
    <n v="143"/>
    <n v="4"/>
    <x v="13"/>
    <s v="Nguyễn Thị Phượng"/>
    <s v="#09866"/>
    <s v="VN09866"/>
    <s v="IT@vpic1"/>
    <d v="2024-05-20T00:00:00"/>
    <m/>
    <m/>
  </r>
  <r>
    <n v="144"/>
    <n v="5"/>
    <x v="13"/>
    <s v="Nguyễn Thị Liêm"/>
    <s v="#10367"/>
    <s v="VN10367"/>
    <s v="IT@vpic1"/>
    <d v="2024-05-20T00:00:00"/>
    <m/>
    <m/>
  </r>
  <r>
    <n v="145"/>
    <n v="6"/>
    <x v="13"/>
    <s v="Nguyễn Thị Kim Thoa"/>
    <s v="#17741"/>
    <s v="VN17741"/>
    <s v="IT@vpic1"/>
    <d v="2024-05-20T00:00:00"/>
    <m/>
    <m/>
  </r>
  <r>
    <n v="146"/>
    <n v="7"/>
    <x v="13"/>
    <s v="Dương Đức Thắng"/>
    <s v="#00677"/>
    <s v="VN00677"/>
    <s v="IT@vpic1"/>
    <d v="2024-05-20T00:00:00"/>
    <m/>
    <m/>
  </r>
  <r>
    <n v="147"/>
    <n v="8"/>
    <x v="13"/>
    <s v="Vũ Văn Thành"/>
    <s v="#00172"/>
    <s v="VN00172"/>
    <s v="IT@vpic1"/>
    <d v="2024-04-17T00:00:00"/>
    <m/>
    <m/>
  </r>
  <r>
    <n v="148"/>
    <m/>
    <x v="13"/>
    <s v="Nguyễn Trọng Hải Anh"/>
    <s v="#26001"/>
    <s v="VN26001"/>
    <s v="IT@vpic1"/>
    <d v="2025-07-01T00:00:00"/>
    <m/>
    <m/>
  </r>
  <r>
    <n v="149"/>
    <m/>
    <x v="13"/>
    <s v="Vũ Mạnh Hùng"/>
    <s v="#03229"/>
    <s v="VN03229"/>
    <s v="IT@vpic1"/>
    <d v="2025-08-13T00:00:00"/>
    <m/>
    <m/>
  </r>
  <r>
    <n v="150"/>
    <n v="1"/>
    <x v="11"/>
    <s v="Nguyễn Thị Hoa"/>
    <s v="#13581"/>
    <s v="VN13581"/>
    <s v="IT@vpic1"/>
    <d v="2024-05-20T00:00:00"/>
    <m/>
    <m/>
  </r>
  <r>
    <n v="151"/>
    <n v="2"/>
    <x v="11"/>
    <e v="#N/A"/>
    <s v="#01266"/>
    <s v="VN01266"/>
    <s v="IT@vpic1"/>
    <d v="2024-05-20T00:00:00"/>
    <d v="2025-09-29T00:00:00"/>
    <m/>
  </r>
  <r>
    <n v="152"/>
    <n v="3"/>
    <x v="7"/>
    <s v="Nguyễn Hải Đăng"/>
    <s v="#09568"/>
    <s v="VN09568"/>
    <s v="IT@vpic1"/>
    <d v="2024-05-20T00:00:00"/>
    <m/>
    <m/>
  </r>
  <r>
    <n v="153"/>
    <n v="4"/>
    <x v="7"/>
    <s v="Dương Thị Phương Thu"/>
    <s v="#01034"/>
    <s v="VN01034"/>
    <s v="IT@vpic1"/>
    <d v="2024-05-20T00:00:00"/>
    <m/>
    <m/>
  </r>
  <r>
    <n v="154"/>
    <n v="5"/>
    <x v="7"/>
    <s v="Trần Thị Thu Phương"/>
    <s v="#10495"/>
    <s v="VN10495"/>
    <s v="IT@vpic1"/>
    <d v="2024-05-20T00:00:00"/>
    <m/>
    <m/>
  </r>
  <r>
    <n v="155"/>
    <n v="6"/>
    <x v="11"/>
    <s v="Nguyễn Phú Hà"/>
    <s v="#03299"/>
    <s v="VN03299"/>
    <s v="IT@vpic1"/>
    <d v="2024-05-20T00:00:00"/>
    <m/>
    <m/>
  </r>
  <r>
    <n v="156"/>
    <n v="7"/>
    <x v="2"/>
    <s v="Nguyễn Văn Trung"/>
    <s v="#01644"/>
    <s v="VN01644"/>
    <s v="IT@vpic1"/>
    <d v="2024-05-20T00:00:00"/>
    <m/>
    <m/>
  </r>
  <r>
    <n v="157"/>
    <n v="1"/>
    <x v="14"/>
    <e v="#N/A"/>
    <s v="#09055"/>
    <s v="VN09055"/>
    <s v="IT@vpic1"/>
    <d v="2024-05-20T00:00:00"/>
    <d v="2025-04-24T00:00:00"/>
    <d v="2025-04-24T00:00:00"/>
  </r>
  <r>
    <n v="158"/>
    <n v="2"/>
    <x v="14"/>
    <s v="Nguyễn Văn Long"/>
    <s v="#02260"/>
    <s v="VN02260"/>
    <s v="IT@vpic1"/>
    <d v="2024-05-20T00:00:00"/>
    <m/>
    <m/>
  </r>
  <r>
    <n v="159"/>
    <n v="3"/>
    <x v="14"/>
    <s v="Bùi Ngọc Anh"/>
    <s v="#19163"/>
    <s v="VN19163"/>
    <s v="IT@vpic1"/>
    <d v="2024-05-20T00:00:00"/>
    <m/>
    <m/>
  </r>
  <r>
    <n v="160"/>
    <n v="4"/>
    <x v="14"/>
    <s v="Phan Văn Giang"/>
    <s v="#07844"/>
    <s v="VN07844"/>
    <s v="IT@vpic1"/>
    <d v="2024-05-20T00:00:00"/>
    <m/>
    <m/>
  </r>
  <r>
    <n v="161"/>
    <n v="5"/>
    <x v="14"/>
    <s v="Nguyễn Anh Tuấn"/>
    <s v="#01240"/>
    <s v="VN01240"/>
    <s v="IT@vpic1"/>
    <d v="2024-05-20T00:00:00"/>
    <m/>
    <m/>
  </r>
  <r>
    <n v="162"/>
    <n v="6"/>
    <x v="14"/>
    <s v="Nguyễn Thị Nhã"/>
    <s v="#15895"/>
    <s v="VN15895"/>
    <s v="IT@vpic1"/>
    <d v="2024-05-20T00:00:00"/>
    <m/>
    <m/>
  </r>
  <r>
    <n v="163"/>
    <n v="7"/>
    <x v="14"/>
    <s v="Đặng Quốc Hùng"/>
    <s v="#03554"/>
    <s v="VN03554"/>
    <s v="IT@vpic1"/>
    <d v="2024-05-20T00:00:00"/>
    <m/>
    <m/>
  </r>
  <r>
    <n v="164"/>
    <n v="8"/>
    <x v="14"/>
    <s v="Dương Thị Thoả"/>
    <s v="#00288"/>
    <s v="VN00288"/>
    <s v="IT@vpic1"/>
    <d v="2024-05-20T00:00:00"/>
    <m/>
    <m/>
  </r>
  <r>
    <n v="165"/>
    <n v="9"/>
    <x v="14"/>
    <s v="Trần Xuân Quý"/>
    <s v="#00624"/>
    <s v="VN00624"/>
    <s v="IT@vpic1"/>
    <d v="2024-05-20T00:00:00"/>
    <m/>
    <m/>
  </r>
  <r>
    <n v="166"/>
    <n v="10"/>
    <x v="14"/>
    <s v="Nguyễn Thị Huyền Trang"/>
    <s v="#09096"/>
    <s v="VN09096"/>
    <s v="IT@vpic1"/>
    <d v="2024-05-20T00:00:00"/>
    <m/>
    <m/>
  </r>
  <r>
    <n v="167"/>
    <n v="11"/>
    <x v="14"/>
    <s v="Ngô Tất Đoàn"/>
    <s v="#00884"/>
    <s v="VN00884"/>
    <s v="IT@vpic1"/>
    <d v="2024-05-20T00:00:00"/>
    <m/>
    <m/>
  </r>
  <r>
    <n v="168"/>
    <n v="12"/>
    <x v="14"/>
    <e v="#N/A"/>
    <s v="#14201"/>
    <s v="VN14201"/>
    <s v="IT@vpic1"/>
    <d v="2024-05-20T00:00:00"/>
    <d v="2025-05-29T00:00:00"/>
    <d v="2025-05-29T00:00:00"/>
  </r>
  <r>
    <n v="169"/>
    <n v="13"/>
    <x v="15"/>
    <s v="Bùi Thị Hồng Nhung"/>
    <s v="#19617"/>
    <s v="VN19617"/>
    <s v="IT@vpic1"/>
    <d v="2024-05-20T00:00:00"/>
    <m/>
    <m/>
  </r>
  <r>
    <n v="170"/>
    <n v="14"/>
    <x v="14"/>
    <s v="Uông Sỹ Phú"/>
    <s v="#00293"/>
    <s v="VN00293"/>
    <s v="IT@vpic1"/>
    <d v="2025-03-20T00:00:00"/>
    <m/>
    <m/>
  </r>
  <r>
    <n v="171"/>
    <n v="15"/>
    <x v="14"/>
    <s v="Đặng Thị Hoan"/>
    <s v="#16118"/>
    <s v="VN16118"/>
    <s v="IT@vpic1"/>
    <d v="2025-04-24T00:00:00"/>
    <m/>
    <m/>
  </r>
  <r>
    <n v="172"/>
    <n v="1"/>
    <x v="16"/>
    <s v="Trịnh Thị Tĩnh"/>
    <s v="#08954"/>
    <s v="VN08954"/>
    <s v="IT@vpic1"/>
    <d v="2024-05-03T00:00:00"/>
    <m/>
    <m/>
  </r>
  <r>
    <n v="173"/>
    <n v="2"/>
    <x v="16"/>
    <s v="Nguyễn Thị Hương Lan"/>
    <s v="#00766"/>
    <s v="VN00766"/>
    <s v="IT@vpic1"/>
    <d v="2024-05-03T00:00:00"/>
    <m/>
    <m/>
  </r>
  <r>
    <n v="174"/>
    <n v="3"/>
    <x v="16"/>
    <s v="Nông Thị Bích Diệp"/>
    <s v="#01014"/>
    <s v="VN01014"/>
    <s v="IT@vpic1"/>
    <d v="2024-05-03T00:00:00"/>
    <m/>
    <m/>
  </r>
  <r>
    <n v="175"/>
    <n v="4"/>
    <x v="16"/>
    <s v="Lưu Thu Hương"/>
    <s v="#16629"/>
    <s v="VN16629"/>
    <s v="IT@vpic1"/>
    <d v="2024-05-03T00:00:00"/>
    <m/>
    <m/>
  </r>
  <r>
    <n v="176"/>
    <n v="5"/>
    <x v="16"/>
    <s v="Bùi Kim Dung"/>
    <s v="#10839"/>
    <s v="VN10839"/>
    <s v="IT@vpic1"/>
    <d v="2024-05-03T00:00:00"/>
    <m/>
    <m/>
  </r>
  <r>
    <n v="177"/>
    <n v="6"/>
    <x v="16"/>
    <s v="Nghiêm Duy Anh"/>
    <s v="#11287"/>
    <s v="VN11287"/>
    <s v="IT@vpic1"/>
    <d v="2024-05-03T00:00:00"/>
    <m/>
    <m/>
  </r>
  <r>
    <n v="178"/>
    <n v="7"/>
    <x v="16"/>
    <s v="Đỗ Thị Duyên"/>
    <s v="#23987"/>
    <s v="VN23987"/>
    <s v="IT@vpic1"/>
    <d v="2024-05-03T00:00:00"/>
    <m/>
    <m/>
  </r>
  <r>
    <n v="179"/>
    <n v="8"/>
    <x v="16"/>
    <s v="Đinh Thị Ngọc Dung"/>
    <s v="#11581"/>
    <s v="VN11581"/>
    <s v="IT@vpic1"/>
    <d v="2024-05-03T00:00:00"/>
    <m/>
    <m/>
  </r>
  <r>
    <n v="180"/>
    <n v="9"/>
    <x v="16"/>
    <s v="Tạ Lệ Hằng"/>
    <s v="#11288"/>
    <s v="VN11288"/>
    <s v="IT@vpic1"/>
    <d v="2024-05-03T00:00:00"/>
    <m/>
    <m/>
  </r>
  <r>
    <n v="181"/>
    <n v="10"/>
    <x v="16"/>
    <s v="Ngô Thị Phương Hạnh"/>
    <s v="#01777"/>
    <s v="VN01777"/>
    <s v="IT@vpic1"/>
    <d v="2024-05-03T00:00:00"/>
    <m/>
    <m/>
  </r>
  <r>
    <n v="182"/>
    <n v="11"/>
    <x v="16"/>
    <s v="Bạch Văn Hậu"/>
    <s v="#08787"/>
    <s v="VN08787"/>
    <s v="IT@vpic1"/>
    <d v="2024-05-03T00:00:00"/>
    <m/>
    <m/>
  </r>
  <r>
    <n v="183"/>
    <n v="12"/>
    <x v="16"/>
    <e v="#N/A"/>
    <s v="#10507"/>
    <s v="VN10507"/>
    <s v="IT@vpic1"/>
    <d v="2024-05-03T00:00:00"/>
    <d v="2025-05-29T00:00:00"/>
    <d v="2025-05-29T00:00:00"/>
  </r>
  <r>
    <n v="184"/>
    <n v="13"/>
    <x v="16"/>
    <s v="Nguyễn Thu Hoài"/>
    <s v="#24870"/>
    <s v="VN24870"/>
    <s v="IT@vpic1"/>
    <d v="2024-06-01T00:00:00"/>
    <m/>
    <m/>
  </r>
  <r>
    <n v="185"/>
    <n v="14"/>
    <x v="16"/>
    <s v="Đoàn Xuân Hiệp"/>
    <s v="#04844"/>
    <s v="VN04844"/>
    <s v="IT@vpic1"/>
    <d v="2024-05-03T00:00:00"/>
    <m/>
    <m/>
  </r>
  <r>
    <n v="186"/>
    <n v="15"/>
    <x v="16"/>
    <s v="Đoàn Duy Hoàng"/>
    <s v="#13855"/>
    <s v="VN13855"/>
    <s v="IT@vpic1"/>
    <d v="2024-05-03T00:00:00"/>
    <m/>
    <m/>
  </r>
  <r>
    <n v="187"/>
    <n v="16"/>
    <x v="16"/>
    <s v="Đặng Hoàng Yến"/>
    <s v="#24409"/>
    <s v="VN24409"/>
    <s v="IT@vpic1"/>
    <d v="2024-05-03T00:00:00"/>
    <m/>
    <m/>
  </r>
  <r>
    <n v="188"/>
    <n v="17"/>
    <x v="16"/>
    <e v="#N/A"/>
    <s v="#24010"/>
    <s v="VN24010"/>
    <s v="IT@vpic1"/>
    <d v="2024-05-03T00:00:00"/>
    <d v="2025-09-25T00:00:00"/>
    <m/>
  </r>
  <r>
    <n v="189"/>
    <n v="18"/>
    <x v="16"/>
    <s v="Đinh Thị Giáng Hương"/>
    <s v="#03423"/>
    <s v="VN03423"/>
    <s v="IT@vpic1"/>
    <d v="2024-05-03T00:00:00"/>
    <m/>
    <m/>
  </r>
  <r>
    <n v="190"/>
    <n v="19"/>
    <x v="16"/>
    <s v="Lương Thị Thanh Huyền"/>
    <s v="#01204"/>
    <s v="VN01204"/>
    <s v="IT@vpic1"/>
    <d v="2024-05-03T00:00:00"/>
    <m/>
    <m/>
  </r>
  <r>
    <n v="191"/>
    <n v="20"/>
    <x v="16"/>
    <s v="Nguyễn Khánh Huyền"/>
    <s v="#24329"/>
    <s v="VN24329"/>
    <s v="IT@vpic1"/>
    <d v="2024-05-03T00:00:00"/>
    <m/>
    <m/>
  </r>
  <r>
    <n v="192"/>
    <n v="21"/>
    <x v="16"/>
    <s v="Nguyễn Thị Huệ"/>
    <s v="#03550"/>
    <s v="VN03550"/>
    <s v="IT@vpic1"/>
    <d v="2024-05-03T00:00:00"/>
    <m/>
    <m/>
  </r>
  <r>
    <n v="193"/>
    <n v="22"/>
    <x v="16"/>
    <s v="Nguyễn Thị Khuyên"/>
    <s v="#14394"/>
    <s v="VN14394"/>
    <s v="IT@vpic1"/>
    <d v="2024-05-03T00:00:00"/>
    <m/>
    <m/>
  </r>
  <r>
    <n v="194"/>
    <n v="23"/>
    <x v="16"/>
    <s v="Nguyễn Thị Thùy Linh"/>
    <s v="#19818"/>
    <s v="VN19818"/>
    <s v="IT@vpic1"/>
    <d v="2024-05-03T00:00:00"/>
    <m/>
    <m/>
  </r>
  <r>
    <n v="195"/>
    <n v="24"/>
    <x v="16"/>
    <s v="Trần Minh Nguyệt"/>
    <s v="#10704"/>
    <s v="VN10704"/>
    <s v="IT@vpic1"/>
    <d v="2024-05-03T00:00:00"/>
    <m/>
    <m/>
  </r>
  <r>
    <n v="196"/>
    <n v="25"/>
    <x v="16"/>
    <s v="Lê Thị Quỳnh Mai"/>
    <s v="#24338"/>
    <s v="VN24338"/>
    <s v="IT@vpic1"/>
    <d v="2024-05-03T00:00:00"/>
    <m/>
    <m/>
  </r>
  <r>
    <n v="197"/>
    <n v="26"/>
    <x v="16"/>
    <s v="Lê Thị Ngân"/>
    <s v="#11458"/>
    <s v="VN11458"/>
    <s v="IT@vpic1"/>
    <d v="2024-05-03T00:00:00"/>
    <m/>
    <m/>
  </r>
  <r>
    <n v="198"/>
    <n v="27"/>
    <x v="16"/>
    <e v="#N/A"/>
    <s v="#20230"/>
    <s v="VN20230"/>
    <s v="IT@vpic1"/>
    <d v="2024-05-03T00:00:00"/>
    <d v="2025-05-29T00:00:00"/>
    <d v="2025-05-29T00:00:00"/>
  </r>
  <r>
    <n v="199"/>
    <n v="28"/>
    <x v="16"/>
    <s v="Phạm Quang Nhật"/>
    <s v="#14377"/>
    <s v="VN14377"/>
    <s v="IT@vpic1"/>
    <d v="2024-05-03T00:00:00"/>
    <m/>
    <m/>
  </r>
  <r>
    <n v="200"/>
    <n v="29"/>
    <x v="16"/>
    <s v="Nguyễn Hồng Nhung"/>
    <s v="#24324"/>
    <s v="VN24324"/>
    <s v="IT@vpic1"/>
    <d v="2024-05-03T00:00:00"/>
    <m/>
    <m/>
  </r>
  <r>
    <n v="201"/>
    <n v="30"/>
    <x v="16"/>
    <s v="Phạm Thị Kiều Oanh"/>
    <s v="#11799"/>
    <s v="VN11799"/>
    <s v="IT@vpic1"/>
    <d v="2024-05-03T00:00:00"/>
    <m/>
    <m/>
  </r>
  <r>
    <n v="202"/>
    <n v="31"/>
    <x v="16"/>
    <s v="Hà Thị Bích Phương"/>
    <s v="#14517"/>
    <s v="VN14517"/>
    <s v="IT@vpic1"/>
    <d v="2024-05-03T00:00:00"/>
    <m/>
    <m/>
  </r>
  <r>
    <n v="203"/>
    <n v="32"/>
    <x v="16"/>
    <s v="Nguyễn Thị Thu Phương"/>
    <s v="#07918"/>
    <s v="VN07918"/>
    <s v="IT@vpic1"/>
    <d v="2024-05-03T00:00:00"/>
    <m/>
    <m/>
  </r>
  <r>
    <n v="204"/>
    <n v="33"/>
    <x v="16"/>
    <s v="Nguyễn Thị Nga"/>
    <s v="#10369"/>
    <s v="VN10369"/>
    <s v="IT@vpic1"/>
    <d v="2024-05-03T00:00:00"/>
    <m/>
    <m/>
  </r>
  <r>
    <n v="205"/>
    <n v="34"/>
    <x v="16"/>
    <s v="Trần Thị Hậu"/>
    <s v="#14150"/>
    <s v="VN14150"/>
    <s v="IT@vpic1"/>
    <d v="2024-05-03T00:00:00"/>
    <m/>
    <m/>
  </r>
  <r>
    <n v="206"/>
    <n v="35"/>
    <x v="16"/>
    <s v="Nguyễn Thị Thu Thanh "/>
    <s v="#19423"/>
    <s v="VN19423"/>
    <s v="IT@vpic1"/>
    <d v="2024-05-03T00:00:00"/>
    <m/>
    <m/>
  </r>
  <r>
    <n v="207"/>
    <n v="36"/>
    <x v="16"/>
    <e v="#N/A"/>
    <s v="#24014"/>
    <s v="VN24014"/>
    <s v="IT@vpic1"/>
    <d v="2024-05-03T00:00:00"/>
    <d v="2025-05-29T00:00:00"/>
    <d v="2025-05-29T00:00:00"/>
  </r>
  <r>
    <n v="208"/>
    <n v="37"/>
    <x v="16"/>
    <s v="Nguyễn Minh Thu"/>
    <s v="#24570"/>
    <s v="VN24570"/>
    <s v="IT@vpic1"/>
    <d v="2024-05-03T00:00:00"/>
    <m/>
    <m/>
  </r>
  <r>
    <n v="209"/>
    <n v="38"/>
    <x v="16"/>
    <s v="Phùng Thị Thúy"/>
    <s v="#10951"/>
    <s v="VN10951"/>
    <s v="IT@vpic1"/>
    <d v="2024-05-03T00:00:00"/>
    <m/>
    <m/>
  </r>
  <r>
    <n v="210"/>
    <n v="39"/>
    <x v="16"/>
    <s v="Nguyễn Thị Thúy"/>
    <s v="#15628"/>
    <s v="VN15628"/>
    <s v="IT@vpic1"/>
    <d v="2024-05-03T00:00:00"/>
    <m/>
    <m/>
  </r>
  <r>
    <n v="211"/>
    <n v="40"/>
    <x v="16"/>
    <s v="Đặng Thùy Trang"/>
    <s v="#14516"/>
    <s v="VN14516"/>
    <s v="IT@vpic1"/>
    <d v="2024-05-03T00:00:00"/>
    <m/>
    <m/>
  </r>
  <r>
    <n v="212"/>
    <n v="41"/>
    <x v="16"/>
    <s v="Ngô Văn Trường"/>
    <s v="#11593"/>
    <s v="VN11593"/>
    <s v="IT@vpic1"/>
    <d v="2024-05-03T00:00:00"/>
    <m/>
    <m/>
  </r>
  <r>
    <n v="213"/>
    <n v="42"/>
    <x v="16"/>
    <s v="Phạm Xuân Trường"/>
    <s v="#09441"/>
    <s v="VN09441"/>
    <s v="IT@vpic1"/>
    <d v="2024-05-03T00:00:00"/>
    <m/>
    <m/>
  </r>
  <r>
    <n v="214"/>
    <n v="43"/>
    <x v="16"/>
    <s v="Bạch Hồng Văn"/>
    <s v="#18500"/>
    <s v="VN18500"/>
    <s v="IT@vpic1"/>
    <d v="2024-05-03T00:00:00"/>
    <m/>
    <m/>
  </r>
  <r>
    <n v="215"/>
    <n v="44"/>
    <x v="16"/>
    <s v="Lê Thị Nguyệt"/>
    <s v="#07119"/>
    <s v="VN07119"/>
    <s v="IT@vpic1"/>
    <d v="2024-05-03T00:00:00"/>
    <m/>
    <m/>
  </r>
  <r>
    <n v="216"/>
    <n v="45"/>
    <x v="16"/>
    <s v="Phạm Ngọc Thanh"/>
    <s v="#16363"/>
    <s v="VN16363"/>
    <s v="IT@vpic1"/>
    <d v="2024-05-03T00:00:00"/>
    <m/>
    <m/>
  </r>
  <r>
    <n v="217"/>
    <n v="46"/>
    <x v="16"/>
    <s v="Nguyễn Huy Hưng"/>
    <s v="#22391"/>
    <s v="VN22391"/>
    <s v="IT@vpic1"/>
    <d v="2024-05-03T00:00:00"/>
    <m/>
    <m/>
  </r>
  <r>
    <n v="218"/>
    <n v="47"/>
    <x v="16"/>
    <s v="Nghiêm Thị Phương Thảo"/>
    <s v="#25842"/>
    <s v="VN25842"/>
    <s v="IT@vpic1"/>
    <d v="2025-04-17T00:00:00"/>
    <m/>
    <m/>
  </r>
  <r>
    <n v="219"/>
    <n v="48"/>
    <x v="16"/>
    <e v="#N/A"/>
    <s v="M1-MEETING"/>
    <s v="M1"/>
    <s v="IT@vpic1"/>
    <d v="2024-05-03T00:00:00"/>
    <m/>
    <m/>
  </r>
  <r>
    <n v="220"/>
    <n v="49"/>
    <x v="16"/>
    <e v="#N/A"/>
    <s v="M2-MEETING"/>
    <s v="M2"/>
    <s v="IT@vpic1"/>
    <d v="2024-05-03T00:00:00"/>
    <m/>
    <m/>
  </r>
  <r>
    <n v="221"/>
    <n v="1"/>
    <x v="17"/>
    <e v="#N/A"/>
    <s v="#12122"/>
    <s v="VN12122"/>
    <s v="IT@vpic1"/>
    <d v="2024-04-26T00:00:00"/>
    <d v="2024-09-11T00:00:00"/>
    <d v="2024-09-11T00:00:00"/>
  </r>
  <r>
    <n v="222"/>
    <n v="2"/>
    <x v="17"/>
    <s v="Nguyễn Việt Đức"/>
    <s v="#17577"/>
    <s v="VN17577"/>
    <s v="IT@vpic1"/>
    <d v="2024-04-26T00:00:00"/>
    <m/>
    <m/>
  </r>
  <r>
    <n v="223"/>
    <n v="3"/>
    <x v="17"/>
    <s v="Đỗ Thị Yến"/>
    <s v="#09245"/>
    <s v="VN09245"/>
    <s v="IT@vpic1"/>
    <d v="2024-04-26T00:00:00"/>
    <m/>
    <m/>
  </r>
  <r>
    <n v="224"/>
    <n v="4"/>
    <x v="17"/>
    <s v="Ngô Văn Tuấn"/>
    <s v="#00661"/>
    <s v="VN00661"/>
    <s v="IT@vpic1"/>
    <d v="2024-04-26T00:00:00"/>
    <m/>
    <m/>
  </r>
  <r>
    <n v="225"/>
    <m/>
    <x v="17"/>
    <s v="Nguyễn Thị Mỹ Linh"/>
    <s v="#25149"/>
    <s v="VN25149"/>
    <s v="IT@vpic1"/>
    <d v="2024-09-11T00:00:00"/>
    <m/>
    <m/>
  </r>
  <r>
    <n v="226"/>
    <n v="5"/>
    <x v="17"/>
    <s v="Phùng Thị Khánh Huyền"/>
    <s v="#26345"/>
    <s v="VN26345"/>
    <s v="IT@vpic1"/>
    <d v="2025-09-18T00:00:00"/>
    <m/>
    <m/>
  </r>
  <r>
    <n v="226"/>
    <n v="5"/>
    <x v="17"/>
    <s v="Lê Thị Thanh Thủy"/>
    <s v="#26157"/>
    <s v="VN26157"/>
    <s v="IT@vpic1"/>
    <d v="2025-07-14T00:00:00"/>
    <m/>
    <m/>
  </r>
  <r>
    <n v="227"/>
    <n v="1"/>
    <x v="15"/>
    <s v="Hà Thị Chung"/>
    <s v="#16143"/>
    <s v="VN16143"/>
    <s v="IT@vpic1"/>
    <d v="2024-04-23T00:00:00"/>
    <m/>
    <m/>
  </r>
  <r>
    <n v="228"/>
    <n v="2"/>
    <x v="15"/>
    <e v="#N/A"/>
    <s v="#17925"/>
    <s v="VN17925"/>
    <s v="IT@vpic1"/>
    <d v="2024-04-23T00:00:00"/>
    <d v="2024-06-18T00:00:00"/>
    <d v="2024-06-18T00:00:00"/>
  </r>
  <r>
    <n v="229"/>
    <n v="3"/>
    <x v="0"/>
    <s v="Nguyễn Thị Yến"/>
    <s v="#23862"/>
    <s v="VN23862"/>
    <s v="IT@vpic1"/>
    <d v="2024-04-23T00:00:00"/>
    <m/>
    <m/>
  </r>
  <r>
    <n v="230"/>
    <n v="4"/>
    <x v="15"/>
    <e v="#N/A"/>
    <s v="#24328"/>
    <s v="VN24328"/>
    <s v="IT@vpic1"/>
    <d v="2024-04-23T00:00:00"/>
    <d v="2025-05-29T00:00:00"/>
    <d v="2025-05-29T00:00:00"/>
  </r>
  <r>
    <n v="231"/>
    <n v="5"/>
    <x v="15"/>
    <s v="Nguyễn Văn Tiến"/>
    <s v="#23793"/>
    <s v="VN23793"/>
    <s v="IT@vpic1"/>
    <d v="2024-04-23T00:00:00"/>
    <m/>
    <m/>
  </r>
  <r>
    <n v="232"/>
    <n v="6"/>
    <x v="15"/>
    <s v="Chu Quang Linh"/>
    <s v="#23792"/>
    <s v="VN23792"/>
    <s v="IT@vpic1"/>
    <d v="2024-04-23T00:00:00"/>
    <m/>
    <m/>
  </r>
  <r>
    <n v="233"/>
    <n v="7"/>
    <x v="15"/>
    <s v="Dương Đức Giang"/>
    <s v="#00127"/>
    <s v="VN00127"/>
    <s v="IT@vpic1"/>
    <d v="2024-04-23T00:00:00"/>
    <m/>
    <m/>
  </r>
  <r>
    <n v="234"/>
    <n v="8"/>
    <x v="15"/>
    <s v="Đường Khương Duy"/>
    <s v="#24900"/>
    <s v="VN24900"/>
    <s v="IT@vpic1"/>
    <d v="2024-06-19T00:00:00"/>
    <m/>
    <m/>
  </r>
  <r>
    <n v="235"/>
    <n v="9"/>
    <x v="15"/>
    <e v="#N/A"/>
    <s v="#25768"/>
    <s v="VN25768"/>
    <s v="IT@vpic1"/>
    <d v="2025-03-20T00:00:00"/>
    <d v="2025-08-07T00:00:00"/>
    <d v="2025-08-07T00:00:00"/>
  </r>
  <r>
    <n v="236"/>
    <n v="1"/>
    <x v="18"/>
    <s v="Nguyễn Thị Vân"/>
    <s v="#24337"/>
    <s v="VN24337"/>
    <s v="IT@vpic1"/>
    <d v="2024-05-03T00:00:00"/>
    <m/>
    <m/>
  </r>
  <r>
    <n v="237"/>
    <n v="2"/>
    <x v="18"/>
    <s v="Bùi Thị Mai"/>
    <s v="#10949"/>
    <s v="VN10949"/>
    <s v="IT@vpic1"/>
    <d v="2024-05-03T00:00:00"/>
    <m/>
    <m/>
  </r>
  <r>
    <n v="238"/>
    <n v="3"/>
    <x v="18"/>
    <s v="Phan Như Quỳnh"/>
    <s v="#17064"/>
    <s v="VN17064"/>
    <s v="IT@vpic1"/>
    <d v="2024-05-03T00:00:00"/>
    <m/>
    <m/>
  </r>
  <r>
    <n v="239"/>
    <n v="4"/>
    <x v="18"/>
    <s v="Trần Thị Hương"/>
    <s v="#17952"/>
    <s v="VN17952"/>
    <s v="IT@vpic1"/>
    <d v="2024-05-03T00:00:00"/>
    <m/>
    <m/>
  </r>
  <r>
    <n v="240"/>
    <n v="5"/>
    <x v="18"/>
    <s v="Đỗ Thị Sang"/>
    <s v="#16743"/>
    <s v="VN16743"/>
    <s v="IT@vpic1"/>
    <d v="2024-05-03T00:00:00"/>
    <m/>
    <m/>
  </r>
  <r>
    <n v="241"/>
    <n v="6"/>
    <x v="18"/>
    <s v="Nguyễn Tuấn Cường"/>
    <s v="#18155"/>
    <s v="VN18155"/>
    <s v="IT@vpic1"/>
    <d v="2024-05-03T00:00:00"/>
    <m/>
    <m/>
  </r>
  <r>
    <n v="242"/>
    <n v="7"/>
    <x v="18"/>
    <s v="Nguyễn Thu Huyền"/>
    <s v="#19343"/>
    <s v="VN19343"/>
    <s v="IT@vpic1"/>
    <d v="2024-05-03T00:00:00"/>
    <m/>
    <m/>
  </r>
  <r>
    <n v="243"/>
    <n v="8"/>
    <x v="18"/>
    <s v="Nguyễn Thị Châm"/>
    <s v="#01574"/>
    <s v="VN01574"/>
    <s v="IT@vpic1"/>
    <d v="2024-05-03T00:00:00"/>
    <m/>
    <m/>
  </r>
  <r>
    <n v="244"/>
    <n v="9"/>
    <x v="18"/>
    <s v="Phùng Đức Kiên"/>
    <s v="#22259"/>
    <s v="VN22259"/>
    <s v="IT@vpic1"/>
    <d v="2024-05-03T00:00:00"/>
    <m/>
    <m/>
  </r>
  <r>
    <n v="245"/>
    <n v="10"/>
    <x v="18"/>
    <s v="Nguyễn Thị Minh Phượng"/>
    <s v="#24569"/>
    <s v="VN24569"/>
    <s v="IT@vpic1"/>
    <d v="2024-05-03T00:00:00"/>
    <m/>
    <m/>
  </r>
  <r>
    <n v="246"/>
    <n v="11"/>
    <x v="18"/>
    <e v="#N/A"/>
    <s v="#24295"/>
    <s v="VN24295"/>
    <s v="IT@vpic1"/>
    <d v="2024-05-03T00:00:00"/>
    <d v="2025-05-29T00:00:00"/>
    <d v="2025-05-29T00:00:00"/>
  </r>
  <r>
    <n v="247"/>
    <n v="12"/>
    <x v="18"/>
    <s v="Nguyễn Thị Vân"/>
    <s v="#08898"/>
    <s v="VN08898"/>
    <s v="IT@vpic1"/>
    <d v="2024-05-03T00:00:00"/>
    <m/>
    <m/>
  </r>
  <r>
    <n v="248"/>
    <n v="13"/>
    <x v="18"/>
    <s v="Vũ Thị Hà"/>
    <s v="#08755"/>
    <s v="VN08755"/>
    <s v="IT@vpic1"/>
    <d v="2024-05-03T00:00:00"/>
    <m/>
    <m/>
  </r>
  <r>
    <n v="249"/>
    <n v="14"/>
    <x v="18"/>
    <s v="Nguyễn Thị Thùy Linh"/>
    <s v="#19766"/>
    <s v="VN19766"/>
    <s v="IT@vpic1"/>
    <d v="2024-05-03T00:00:00"/>
    <m/>
    <m/>
  </r>
  <r>
    <n v="250"/>
    <n v="15"/>
    <x v="18"/>
    <s v="Nguyễn Thị Giang"/>
    <s v="#13167"/>
    <s v="VN13167"/>
    <s v="IT@vpic1"/>
    <d v="2024-05-03T00:00:00"/>
    <m/>
    <m/>
  </r>
  <r>
    <n v="251"/>
    <n v="16"/>
    <x v="18"/>
    <s v="Phạm Thị Thanh Huyền"/>
    <s v="#08894"/>
    <s v="VN08894"/>
    <s v="IT@vpic1"/>
    <d v="2024-05-03T00:00:00"/>
    <m/>
    <m/>
  </r>
  <r>
    <n v="252"/>
    <n v="17"/>
    <x v="18"/>
    <s v="Nguyễn Thị Ngọc Ánh"/>
    <s v="#16669"/>
    <s v="VN16669"/>
    <s v="IT@vpic1"/>
    <d v="2024-05-03T00:00:00"/>
    <m/>
    <m/>
  </r>
  <r>
    <n v="253"/>
    <n v="18"/>
    <x v="18"/>
    <s v="Nguyễn Thị Phương"/>
    <s v="#14595"/>
    <s v="VN14595"/>
    <s v="IT@vpic1"/>
    <d v="2024-05-03T00:00:00"/>
    <m/>
    <m/>
  </r>
  <r>
    <n v="254"/>
    <n v="19"/>
    <x v="18"/>
    <s v="Đào Thị Hoan"/>
    <s v="#22756"/>
    <s v="VN22756"/>
    <s v="IT@vpic1"/>
    <d v="2024-05-03T00:00:00"/>
    <m/>
    <m/>
  </r>
  <r>
    <n v="255"/>
    <n v="20"/>
    <x v="18"/>
    <s v="Nguyễn Thùy Linh"/>
    <s v="#24642"/>
    <s v="VN24642"/>
    <s v="IT@vpic1"/>
    <d v="2024-05-03T00:00:00"/>
    <m/>
    <m/>
  </r>
  <r>
    <n v="256"/>
    <n v="21"/>
    <x v="18"/>
    <s v="Trần Văn Tuấn"/>
    <s v="#17578"/>
    <s v="VN17578"/>
    <s v="IT@vpic1"/>
    <d v="2024-05-03T00:00:00"/>
    <m/>
    <m/>
  </r>
  <r>
    <n v="257"/>
    <n v="22"/>
    <x v="18"/>
    <e v="#N/A"/>
    <s v="#24336"/>
    <s v="VN24336"/>
    <s v="IT@vpic1"/>
    <d v="2024-05-03T00:00:00"/>
    <d v="2025-05-29T00:00:00"/>
    <m/>
  </r>
  <r>
    <n v="258"/>
    <n v="23"/>
    <x v="18"/>
    <s v="Chu Thị Yến Ngân"/>
    <s v="#14376"/>
    <s v="VN14376"/>
    <s v="IT@vpic1"/>
    <d v="2024-05-03T00:00:00"/>
    <m/>
    <m/>
  </r>
  <r>
    <n v="259"/>
    <n v="24"/>
    <x v="18"/>
    <s v="Đỗ Thị Thùy"/>
    <s v="#17646"/>
    <s v="VN17646"/>
    <s v="IT@vpic1"/>
    <d v="2024-05-03T00:00:00"/>
    <m/>
    <m/>
  </r>
  <r>
    <n v="260"/>
    <n v="25"/>
    <x v="18"/>
    <s v="Vũ Thị Bích Lợi"/>
    <s v="#13750"/>
    <s v="VN13750"/>
    <s v="IT@vpic1"/>
    <d v="2024-05-03T00:00:00"/>
    <m/>
    <m/>
  </r>
  <r>
    <n v="261"/>
    <n v="26"/>
    <x v="18"/>
    <s v="Nguyễn Thị Chinh"/>
    <s v="#21835"/>
    <s v="VN21835"/>
    <s v="IT@vpic1"/>
    <d v="2024-05-03T00:00:00"/>
    <m/>
    <m/>
  </r>
  <r>
    <n v="262"/>
    <n v="27"/>
    <x v="18"/>
    <s v="Trần Văn Nghĩa"/>
    <s v="#08756"/>
    <s v="VN08756"/>
    <s v="IT@vpic1"/>
    <d v="2024-05-03T00:00:00"/>
    <m/>
    <m/>
  </r>
  <r>
    <n v="263"/>
    <n v="28"/>
    <x v="18"/>
    <s v="Lê Thị Hải Yến"/>
    <s v="#00658"/>
    <s v="VN00658"/>
    <s v="IT@vpic1"/>
    <d v="2024-05-03T00:00:00"/>
    <m/>
    <m/>
  </r>
  <r>
    <n v="264"/>
    <n v="29"/>
    <x v="18"/>
    <e v="#N/A"/>
    <s v="#18013"/>
    <s v="VN18013"/>
    <s v="IT@vpic1"/>
    <d v="2024-05-03T00:00:00"/>
    <d v="2025-08-07T00:00:00"/>
    <d v="2025-08-07T00:00:00"/>
  </r>
  <r>
    <n v="265"/>
    <n v="30"/>
    <x v="18"/>
    <s v="Phạm Văn Toàn"/>
    <s v="#09590"/>
    <s v="VN09590"/>
    <s v="IT@vpic1"/>
    <d v="2024-05-03T00:00:00"/>
    <m/>
    <m/>
  </r>
  <r>
    <n v="266"/>
    <n v="31"/>
    <x v="18"/>
    <s v="Nguyễn Minh Thành"/>
    <s v="#09244"/>
    <s v="VN09244"/>
    <s v="IT@vpic1"/>
    <d v="2024-05-03T00:00:00"/>
    <m/>
    <m/>
  </r>
  <r>
    <n v="267"/>
    <n v="32"/>
    <x v="18"/>
    <s v="Trần Duy Bình"/>
    <s v="#01737"/>
    <s v="VN01737"/>
    <s v="IT@vpic1"/>
    <d v="2024-05-03T00:00:00"/>
    <m/>
    <m/>
  </r>
  <r>
    <n v="268"/>
    <n v="33"/>
    <x v="18"/>
    <s v="Trần Thế Hùng"/>
    <s v="#01656"/>
    <s v="VN01656"/>
    <s v="IT@vpic1"/>
    <d v="2024-05-03T00:00:00"/>
    <m/>
    <m/>
  </r>
  <r>
    <n v="269"/>
    <n v="34"/>
    <x v="18"/>
    <s v="Nguyễn Hồng Đông"/>
    <s v="#01914"/>
    <s v="VN01914"/>
    <s v="IT@vpic1"/>
    <d v="2024-05-03T00:00:00"/>
    <m/>
    <m/>
  </r>
  <r>
    <n v="270"/>
    <n v="35"/>
    <x v="19"/>
    <s v="Nguyễn Quang Trung"/>
    <s v="#00993"/>
    <s v="VN00993"/>
    <s v="IT@vpic1"/>
    <d v="2024-05-03T00:00:00"/>
    <m/>
    <m/>
  </r>
  <r>
    <n v="271"/>
    <n v="36"/>
    <x v="18"/>
    <s v="Nghiêm Xuân Thế"/>
    <s v="#08889"/>
    <s v="VN08889"/>
    <s v="IT@vpic1"/>
    <d v="2024-05-03T00:00:00"/>
    <m/>
    <m/>
  </r>
  <r>
    <n v="272"/>
    <n v="37"/>
    <x v="18"/>
    <s v="Nguyễn Thị Diệu Linh"/>
    <s v="#24509"/>
    <s v="VN24509"/>
    <s v="IT@vpic1"/>
    <d v="2024-05-03T00:00:00"/>
    <m/>
    <m/>
  </r>
  <r>
    <n v="273"/>
    <m/>
    <x v="18"/>
    <s v="Nguyễn Thị Huyền"/>
    <s v="#25757"/>
    <s v="VN25757"/>
    <s v="IT@vpic1"/>
    <d v="2025-06-02T00:00:00"/>
    <m/>
    <m/>
  </r>
  <r>
    <n v="274"/>
    <n v="1"/>
    <x v="20"/>
    <s v="Hoàng Thị Hoa"/>
    <s v="#02824"/>
    <s v="VN02824"/>
    <s v="IT@vpic1"/>
    <d v="2024-04-26T00:00:00"/>
    <m/>
    <m/>
  </r>
  <r>
    <n v="275"/>
    <n v="2"/>
    <x v="20"/>
    <s v="Nguyễn Thị Hằng"/>
    <s v="#18258"/>
    <s v="VN18258"/>
    <s v="IT@vpic1"/>
    <d v="2024-04-26T00:00:00"/>
    <m/>
    <m/>
  </r>
  <r>
    <n v="276"/>
    <n v="3"/>
    <x v="20"/>
    <s v="Trần Thị Thu Hường"/>
    <s v="#00740"/>
    <s v="VN00740"/>
    <s v="IT@vpic1"/>
    <d v="2024-04-26T00:00:00"/>
    <m/>
    <m/>
  </r>
  <r>
    <n v="277"/>
    <n v="4"/>
    <x v="20"/>
    <s v="Vũ Thị Nhinh"/>
    <s v="#00336"/>
    <s v="VN00336"/>
    <s v="IT@vpic1"/>
    <d v="2024-04-26T00:00:00"/>
    <m/>
    <m/>
  </r>
  <r>
    <n v="278"/>
    <n v="5"/>
    <x v="20"/>
    <s v="Bùi Thị Hồng Nhung"/>
    <s v="#03489"/>
    <s v="VN03489"/>
    <s v="IT@vpic1"/>
    <d v="2024-04-26T00:00:00"/>
    <m/>
    <m/>
  </r>
  <r>
    <n v="279"/>
    <n v="6"/>
    <x v="20"/>
    <s v="Nông Thị Hợp"/>
    <s v="#01188"/>
    <s v="VN01188"/>
    <s v="IT@vpic1"/>
    <d v="2024-04-26T00:00:00"/>
    <m/>
    <m/>
  </r>
  <r>
    <n v="280"/>
    <n v="7"/>
    <x v="20"/>
    <s v="Nguyễn Thúy Hà"/>
    <s v="#00369"/>
    <s v="VN00369"/>
    <s v="IT@vpic1"/>
    <d v="2024-04-26T00:00:00"/>
    <m/>
    <m/>
  </r>
  <r>
    <n v="281"/>
    <n v="8"/>
    <x v="20"/>
    <s v="Nguyễn Thị Nhâm Tý"/>
    <s v="#01162"/>
    <s v="VN01162"/>
    <s v="IT@vpic1"/>
    <d v="2024-04-26T00:00:00"/>
    <m/>
    <m/>
  </r>
  <r>
    <n v="282"/>
    <n v="9"/>
    <x v="20"/>
    <s v="Nguyễn Thị Sinh"/>
    <s v="#03499"/>
    <s v="VN03499"/>
    <s v="IT@vpic1"/>
    <d v="2024-04-26T00:00:00"/>
    <m/>
    <m/>
  </r>
  <r>
    <n v="283"/>
    <n v="10"/>
    <x v="20"/>
    <s v="Nguyễn Thị Hồng Hạnh"/>
    <s v="#17645"/>
    <s v="VN17645"/>
    <s v="IT@vpic1"/>
    <d v="2024-04-26T00:00:00"/>
    <m/>
    <m/>
  </r>
  <r>
    <n v="284"/>
    <n v="11"/>
    <x v="20"/>
    <s v="Nguyễn Thị Hồng Yến"/>
    <s v="#09870"/>
    <s v="VN09870"/>
    <s v="IT@vpic1"/>
    <d v="2024-04-26T00:00:00"/>
    <m/>
    <m/>
  </r>
  <r>
    <n v="285"/>
    <n v="12"/>
    <x v="20"/>
    <s v="Dương Thị Phương"/>
    <s v="#20019"/>
    <s v="VN20019"/>
    <s v="IT@vpic1"/>
    <d v="2024-04-26T00:00:00"/>
    <m/>
    <m/>
  </r>
  <r>
    <n v="286"/>
    <n v="13"/>
    <x v="20"/>
    <s v="Bùi Thị Hương Giang"/>
    <s v="#20907"/>
    <s v="VN20907"/>
    <s v="IT@vpic1"/>
    <d v="2024-04-26T00:00:00"/>
    <m/>
    <m/>
  </r>
  <r>
    <n v="287"/>
    <n v="14"/>
    <x v="20"/>
    <e v="#N/A"/>
    <s v="M7"/>
    <s v="M7"/>
    <s v="IT@vpic1"/>
    <d v="2024-04-26T00:00:00"/>
    <m/>
    <m/>
  </r>
  <r>
    <n v="288"/>
    <n v="15"/>
    <x v="20"/>
    <e v="#N/A"/>
    <s v="#24333"/>
    <s v="VN24333"/>
    <s v="IT@vpic1"/>
    <d v="2024-04-26T00:00:00"/>
    <d v="2025-08-07T00:00:00"/>
    <d v="2025-08-07T00:00:00"/>
  </r>
  <r>
    <n v="289"/>
    <n v="16"/>
    <x v="20"/>
    <s v="Trần Thị Hiền"/>
    <s v="#10294"/>
    <s v="VN10294"/>
    <s v="IT@vpic1"/>
    <d v="2024-04-26T00:00:00"/>
    <m/>
    <m/>
  </r>
  <r>
    <n v="290"/>
    <n v="17"/>
    <x v="20"/>
    <s v="Dương Ngọc Phương"/>
    <s v="#20194"/>
    <s v="VN20194"/>
    <s v="IT@vpic1"/>
    <d v="2024-04-26T00:00:00"/>
    <m/>
    <m/>
  </r>
  <r>
    <n v="291"/>
    <n v="18"/>
    <x v="20"/>
    <s v="Đường Thị Hoa"/>
    <s v="#09481"/>
    <s v="VN09481"/>
    <s v="IT@vpic1"/>
    <d v="2024-04-26T00:00:00"/>
    <m/>
    <m/>
  </r>
  <r>
    <n v="292"/>
    <n v="19"/>
    <x v="20"/>
    <s v="Trần Thùy Trang"/>
    <s v="#25319"/>
    <s v="VN25319"/>
    <s v="IT@vpic1"/>
    <d v="2025-02-24T00:00:00"/>
    <m/>
    <m/>
  </r>
  <r>
    <n v="293"/>
    <n v="20"/>
    <x v="20"/>
    <e v="#N/A"/>
    <s v="NSX6.MEET"/>
    <s v="NSX6.MEET"/>
    <s v="IT@vpic1"/>
    <d v="2025-04-18T00:00:00"/>
    <m/>
    <m/>
  </r>
  <r>
    <n v="294"/>
    <m/>
    <x v="20"/>
    <s v="Đỗ Thị Lệ Thu"/>
    <s v="#17574"/>
    <s v="VN17574"/>
    <s v="IT@vpic1"/>
    <d v="2025-10-08T00:00:00"/>
    <m/>
    <m/>
  </r>
  <r>
    <n v="295"/>
    <n v="1"/>
    <x v="21"/>
    <s v="Nguyễn Minh Tâm"/>
    <s v="#01443"/>
    <s v="VN01443"/>
    <s v="IT@vpic1"/>
    <d v="2024-04-22T00:00:00"/>
    <m/>
    <m/>
  </r>
  <r>
    <n v="296"/>
    <n v="2"/>
    <x v="21"/>
    <s v="Bùi Thị Nguyên"/>
    <s v="#03502"/>
    <s v="VN03502"/>
    <s v="IT@vpic1"/>
    <d v="2024-04-22T00:00:00"/>
    <m/>
    <m/>
  </r>
  <r>
    <n v="297"/>
    <n v="3"/>
    <x v="21"/>
    <s v="Hà Trung Kiên"/>
    <s v="#15950"/>
    <s v="VN15950"/>
    <s v="IT@vpic1"/>
    <d v="2024-04-22T00:00:00"/>
    <m/>
    <m/>
  </r>
  <r>
    <n v="298"/>
    <n v="4"/>
    <x v="21"/>
    <e v="#N/A"/>
    <s v="#16850"/>
    <s v="VN16850"/>
    <s v="IT@vpic1"/>
    <d v="2024-04-22T00:00:00"/>
    <d v="2025-03-13T00:00:00"/>
    <d v="2025-03-13T00:00:00"/>
  </r>
  <r>
    <n v="299"/>
    <n v="5"/>
    <x v="21"/>
    <e v="#N/A"/>
    <s v="#24122"/>
    <s v="VN24122"/>
    <s v="IT@vpic1"/>
    <d v="2024-04-22T00:00:00"/>
    <d v="2025-05-29T00:00:00"/>
    <m/>
  </r>
  <r>
    <n v="300"/>
    <n v="6"/>
    <x v="21"/>
    <s v="Nguyễn Anh Tuấn"/>
    <s v="#03618"/>
    <s v="VN03618"/>
    <s v="IT@vpic1"/>
    <d v="2024-04-22T00:00:00"/>
    <m/>
    <m/>
  </r>
  <r>
    <n v="301"/>
    <n v="7"/>
    <x v="21"/>
    <e v="#N/A"/>
    <s v="#22261"/>
    <s v="VN22261"/>
    <s v="IT@vpic1"/>
    <d v="2024-04-22T00:00:00"/>
    <d v="2024-05-20T00:00:00"/>
    <d v="2024-07-08T00:00:00"/>
  </r>
  <r>
    <n v="302"/>
    <n v="8"/>
    <x v="21"/>
    <s v="Chu Thanh Sơn"/>
    <s v="#25127"/>
    <s v="VN25127"/>
    <s v="IT@vpic1"/>
    <d v="2024-08-05T00:00:00"/>
    <m/>
    <m/>
  </r>
  <r>
    <n v="302"/>
    <n v="8"/>
    <x v="21"/>
    <s v="Tạ Hải Anh"/>
    <s v="#25148"/>
    <s v="VN25148"/>
    <s v="IT@vpic1"/>
    <d v="2025-05-30T00:00:00"/>
    <m/>
    <m/>
  </r>
  <r>
    <n v="303"/>
    <n v="9"/>
    <x v="21"/>
    <s v="Nguyễn Huỳnh Đức"/>
    <s v="#25678"/>
    <s v="VN25678"/>
    <s v="IT@vpic1"/>
    <d v="2025-03-13T00:00:00"/>
    <m/>
    <m/>
  </r>
  <r>
    <n v="304"/>
    <n v="1"/>
    <x v="22"/>
    <s v="Phùng Thị Mai Phương"/>
    <s v="#00610"/>
    <s v="VN00610"/>
    <s v="IT@vpic1"/>
    <d v="2024-04-26T00:00:00"/>
    <m/>
    <m/>
  </r>
  <r>
    <n v="305"/>
    <n v="2"/>
    <x v="22"/>
    <s v="Đặng Thị Phượng"/>
    <s v="#04036"/>
    <s v="VN04036"/>
    <s v="IT@vpic1"/>
    <d v="2024-04-26T00:00:00"/>
    <m/>
    <m/>
  </r>
  <r>
    <n v="306"/>
    <n v="3"/>
    <x v="22"/>
    <s v="Nguyễn Bá Dũng"/>
    <s v="#09527"/>
    <s v="VN09527"/>
    <s v="IT@vpic1"/>
    <d v="2024-04-26T00:00:00"/>
    <m/>
    <m/>
  </r>
  <r>
    <n v="307"/>
    <n v="4"/>
    <x v="22"/>
    <s v="Dương Thị Thu Giang"/>
    <s v="#08941"/>
    <s v="VN08941"/>
    <s v="IT@vpic1"/>
    <d v="2024-04-26T00:00:00"/>
    <m/>
    <m/>
  </r>
  <r>
    <n v="308"/>
    <n v="5"/>
    <x v="22"/>
    <s v="Đỗ Trung Nghĩa"/>
    <s v="#10480"/>
    <s v="VN10480"/>
    <s v="IT@vpic1"/>
    <d v="2024-04-26T00:00:00"/>
    <m/>
    <m/>
  </r>
  <r>
    <n v="309"/>
    <n v="6"/>
    <x v="22"/>
    <s v="Trần Thị Thùy Linh"/>
    <s v="#22147"/>
    <s v="VN22147"/>
    <s v="IT@vpic1"/>
    <d v="2024-04-26T00:00:00"/>
    <m/>
    <m/>
  </r>
  <r>
    <n v="310"/>
    <n v="7"/>
    <x v="22"/>
    <s v="Dương Đức Chí"/>
    <s v="#13986"/>
    <s v="VN13986"/>
    <s v="IT@vpic1"/>
    <d v="2024-04-26T00:00:00"/>
    <m/>
    <m/>
  </r>
  <r>
    <n v="311"/>
    <n v="8"/>
    <x v="22"/>
    <s v="Nguyễn Thị Ngân"/>
    <s v="#09878"/>
    <s v="VN09878"/>
    <s v="IT@vpic1"/>
    <d v="2024-04-26T00:00:00"/>
    <m/>
    <m/>
  </r>
  <r>
    <n v="312"/>
    <n v="9"/>
    <x v="22"/>
    <e v="#N/A"/>
    <s v="#01790"/>
    <s v="VN01790"/>
    <s v="IT@vpic1"/>
    <d v="2024-04-26T00:00:00"/>
    <d v="2025-06-05T00:00:00"/>
    <d v="2025-06-05T00:00:00"/>
  </r>
  <r>
    <n v="313"/>
    <n v="10"/>
    <x v="22"/>
    <s v="Vũ Đức Duy"/>
    <s v="#25354"/>
    <s v="VN25354"/>
    <s v="IT@vpic1"/>
    <d v="2024-12-07T00:00:00"/>
    <m/>
    <m/>
  </r>
  <r>
    <n v="314"/>
    <n v="11"/>
    <x v="22"/>
    <e v="#N/A"/>
    <s v="THUC TAP"/>
    <s v="VN.THUCTAP"/>
    <s v="IT@vpic1"/>
    <d v="2024-04-26T00:00:00"/>
    <d v="2025-06-05T00:00:00"/>
    <m/>
  </r>
  <r>
    <n v="315"/>
    <n v="12"/>
    <x v="22"/>
    <e v="#N/A"/>
    <s v="BOT.XNK"/>
    <s v="BOT.XNK"/>
    <s v="IT@vpic1"/>
    <d v="2024-04-26T00:00:00"/>
    <m/>
    <m/>
  </r>
  <r>
    <n v="316"/>
    <n v="13"/>
    <x v="22"/>
    <s v="Nguyễn Thiị Hải Châu"/>
    <s v="#26027"/>
    <s v="VN26027"/>
    <s v="IT@vpic1"/>
    <d v="2025-06-05T00:00:00"/>
    <m/>
    <m/>
  </r>
  <r>
    <n v="317"/>
    <n v="1"/>
    <x v="23"/>
    <s v="Nguyễn Thị Vân Anh"/>
    <s v="#24294"/>
    <s v="VN24294"/>
    <s v="IT@vpic1"/>
    <d v="2024-04-26T00:00:00"/>
    <m/>
    <m/>
  </r>
  <r>
    <n v="318"/>
    <n v="2"/>
    <x v="23"/>
    <s v="Phùng Tuấn Hùng"/>
    <s v="#00720"/>
    <s v="VN00720"/>
    <s v="IT@vpic1"/>
    <d v="2024-04-26T00:00:00"/>
    <m/>
    <m/>
  </r>
  <r>
    <n v="319"/>
    <n v="3"/>
    <x v="23"/>
    <s v="Nguyễn Thị Khánh Linh"/>
    <s v="#26277"/>
    <s v="VN26277"/>
    <s v="IT@vpic1"/>
    <d v="2024-04-26T00:00:00"/>
    <d v="2024-06-18T00:00:00"/>
    <m/>
  </r>
  <r>
    <n v="320"/>
    <n v="4"/>
    <x v="23"/>
    <s v="Nguyễn Ngọc Cương"/>
    <s v="#24901"/>
    <s v="VN24901"/>
    <s v="IT@vpic1"/>
    <d v="2024-06-18T00:00:00"/>
    <m/>
    <m/>
  </r>
  <r>
    <n v="321"/>
    <n v="5"/>
    <x v="23"/>
    <s v="Bùi Lương Tâm"/>
    <s v="#25126"/>
    <s v="VN25126"/>
    <s v="IT@vpic1"/>
    <d v="2024-08-02T00:00:00"/>
    <d v="2025-08-18T00:00:00"/>
    <m/>
  </r>
  <r>
    <n v="322"/>
    <n v="1"/>
    <x v="24"/>
    <s v="Nguyễn Bích Thủy"/>
    <s v="#00376"/>
    <s v="VN00376"/>
    <s v="IT@vpic1"/>
    <d v="2024-04-26T00:00:00"/>
    <m/>
    <m/>
  </r>
  <r>
    <n v="323"/>
    <n v="2"/>
    <x v="24"/>
    <s v="Kiều Lương Trần"/>
    <s v="#05074"/>
    <s v="VN05074"/>
    <s v="IT@vpic1"/>
    <d v="2024-05-16T00:00:00"/>
    <m/>
    <m/>
  </r>
  <r>
    <n v="324"/>
    <n v="3"/>
    <x v="24"/>
    <s v="Nguyễn Thiều Bạch"/>
    <s v="#01967"/>
    <s v="VN01967"/>
    <s v="IT@vpic1"/>
    <d v="2024-05-16T00:00:00"/>
    <m/>
    <m/>
  </r>
  <r>
    <n v="325"/>
    <n v="4"/>
    <x v="24"/>
    <s v="Nguyễn Thị Thu Hiền"/>
    <s v="#01742"/>
    <s v="VN01742"/>
    <s v="IT@vpic1"/>
    <d v="2024-04-26T00:00:00"/>
    <m/>
    <m/>
  </r>
  <r>
    <n v="326"/>
    <n v="1"/>
    <x v="25"/>
    <e v="#N/A"/>
    <s v="#19409"/>
    <s v="VN19409"/>
    <s v="IT@vpic1"/>
    <d v="2024-05-28T00:00:00"/>
    <d v="2025-05-29T00:00:00"/>
    <d v="2025-05-29T00:00:00"/>
  </r>
  <r>
    <n v="327"/>
    <n v="2"/>
    <x v="25"/>
    <s v="Phạm Đức Tấn"/>
    <s v="#15626"/>
    <s v="VN15626"/>
    <s v="IT@vpic1"/>
    <d v="2024-05-28T00:00:00"/>
    <m/>
    <m/>
  </r>
  <r>
    <n v="328"/>
    <n v="3"/>
    <x v="25"/>
    <s v="Phan Văn Hợi"/>
    <s v="#12760"/>
    <s v="VN12760"/>
    <s v="IT@vpic1"/>
    <d v="2024-05-28T00:00:00"/>
    <m/>
    <m/>
  </r>
  <r>
    <n v="329"/>
    <n v="4"/>
    <x v="25"/>
    <s v="Trần Anh Hoàn"/>
    <s v="#11725"/>
    <s v="VN11725"/>
    <s v="IT@vpic1"/>
    <d v="2024-05-28T00:00:00"/>
    <m/>
    <m/>
  </r>
  <r>
    <n v="330"/>
    <n v="5"/>
    <x v="25"/>
    <s v="Nguyễn Đức Trường"/>
    <s v="#11132"/>
    <s v="VN11132"/>
    <s v="IT@vpic1"/>
    <d v="2024-05-28T00:00:00"/>
    <m/>
    <m/>
  </r>
  <r>
    <n v="331"/>
    <n v="6"/>
    <x v="25"/>
    <s v="Trịnh Văn Nam"/>
    <s v="#13852"/>
    <s v="VN13852"/>
    <s v="IT@vpic1"/>
    <d v="2024-05-28T00:00:00"/>
    <m/>
    <m/>
  </r>
  <r>
    <n v="332"/>
    <n v="7"/>
    <x v="25"/>
    <s v="Lại Xuân Dương"/>
    <s v="#11723"/>
    <s v="VN11723"/>
    <s v="IT@vpic1"/>
    <d v="2024-05-28T00:00:00"/>
    <m/>
    <m/>
  </r>
  <r>
    <n v="333"/>
    <n v="8"/>
    <x v="25"/>
    <s v="Đàm Thị Kim Liên"/>
    <s v="#00285"/>
    <s v="VN00285"/>
    <s v="IT@vpic1"/>
    <d v="2024-05-28T00:00:00"/>
    <m/>
    <m/>
  </r>
  <r>
    <n v="334"/>
    <n v="9"/>
    <x v="25"/>
    <s v="Phùng Hữu Đức"/>
    <s v="#03798"/>
    <s v="VN03798"/>
    <s v="IT@vpic1"/>
    <d v="2024-05-28T00:00:00"/>
    <m/>
    <m/>
  </r>
  <r>
    <n v="335"/>
    <n v="10"/>
    <x v="25"/>
    <e v="#N/A"/>
    <s v="#24851"/>
    <s v="VN24851"/>
    <s v="IT@vpic1"/>
    <d v="2024-05-28T00:00:00"/>
    <d v="2025-04-02T00:00:00"/>
    <d v="2025-04-02T00:00:00"/>
  </r>
  <r>
    <n v="336"/>
    <n v="11"/>
    <x v="25"/>
    <s v="Phạm Văn Kiên"/>
    <s v="#18143"/>
    <s v="VN18143"/>
    <s v="IT@vpic1"/>
    <d v="2024-05-28T00:00:00"/>
    <m/>
    <m/>
  </r>
  <r>
    <n v="337"/>
    <n v="12"/>
    <x v="25"/>
    <s v="Nguyễn Đình Đường"/>
    <s v="#03487"/>
    <s v="VN03487"/>
    <s v="IT@vpic1"/>
    <d v="2024-05-28T00:00:00"/>
    <m/>
    <m/>
  </r>
  <r>
    <n v="338"/>
    <n v="13"/>
    <x v="25"/>
    <s v="Nguyễn Ngọc Hoàng"/>
    <s v="#17912"/>
    <s v="VN17912"/>
    <s v="IT@vpic1"/>
    <d v="2024-05-28T00:00:00"/>
    <m/>
    <m/>
  </r>
  <r>
    <n v="339"/>
    <n v="14"/>
    <x v="25"/>
    <e v="#N/A"/>
    <s v=" #10953"/>
    <s v="VN10953"/>
    <s v="IT@vpic1"/>
    <d v="2024-05-28T00:00:00"/>
    <d v="2025-05-29T00:00:00"/>
    <m/>
  </r>
  <r>
    <n v="340"/>
    <n v="15"/>
    <x v="25"/>
    <s v="Hạ Trọng Lực"/>
    <s v="#04751"/>
    <s v="VN04751"/>
    <s v="IT@vpic1"/>
    <d v="2024-05-28T00:00:00"/>
    <m/>
    <m/>
  </r>
  <r>
    <n v="341"/>
    <n v="16"/>
    <x v="25"/>
    <s v="Trần Lâm Anh"/>
    <s v="#09587"/>
    <s v="VN09587"/>
    <s v="IT@vpic1"/>
    <d v="2024-05-28T00:00:00"/>
    <m/>
    <m/>
  </r>
  <r>
    <n v="342"/>
    <n v="17"/>
    <x v="25"/>
    <s v="Nguyễn Văn Sơn"/>
    <s v="#12582"/>
    <s v="VN12582"/>
    <s v="IT@vpic1"/>
    <d v="2024-05-28T00:00:00"/>
    <m/>
    <m/>
  </r>
  <r>
    <n v="343"/>
    <n v="18"/>
    <x v="25"/>
    <s v="Phùng Văn Quyền"/>
    <s v="#07179"/>
    <s v="VN07179"/>
    <s v="IT@vpic1"/>
    <d v="2024-05-28T00:00:00"/>
    <m/>
    <m/>
  </r>
  <r>
    <n v="344"/>
    <n v="19"/>
    <x v="25"/>
    <s v="Vũ Thị Thanh Hương"/>
    <s v="#05224"/>
    <s v="VN05224"/>
    <s v="IT@vpic1"/>
    <d v="2024-05-28T00:00:00"/>
    <m/>
    <m/>
  </r>
  <r>
    <n v="345"/>
    <n v="20"/>
    <x v="25"/>
    <s v="Nguyễn Nam Cao"/>
    <s v="#17794"/>
    <s v="VN17794"/>
    <s v="IT@vpic1"/>
    <d v="2024-05-28T00:00:00"/>
    <m/>
    <m/>
  </r>
  <r>
    <n v="346"/>
    <n v="21"/>
    <x v="25"/>
    <s v="Bùi Hồng Hưng"/>
    <s v="#10864"/>
    <s v="VN10864"/>
    <s v="IT@vpic1"/>
    <d v="2024-05-28T00:00:00"/>
    <m/>
    <m/>
  </r>
  <r>
    <n v="347"/>
    <n v="22"/>
    <x v="25"/>
    <s v="Phạm Văn Thực"/>
    <s v="#08232"/>
    <s v="VN08232"/>
    <s v="IT@vpic1"/>
    <d v="2024-05-28T00:00:00"/>
    <m/>
    <m/>
  </r>
  <r>
    <n v="348"/>
    <n v="23"/>
    <x v="25"/>
    <s v="Lê Hoài Nam"/>
    <s v="#17589"/>
    <s v="VN17589"/>
    <s v="IT@vpic1"/>
    <d v="2024-05-28T00:00:00"/>
    <m/>
    <m/>
  </r>
  <r>
    <n v="349"/>
    <n v="24"/>
    <x v="25"/>
    <s v="Lê Bá Trường"/>
    <s v="#15625"/>
    <s v="VN15625"/>
    <s v="IT@vpic1"/>
    <d v="2024-05-28T00:00:00"/>
    <m/>
    <m/>
  </r>
  <r>
    <n v="350"/>
    <n v="25"/>
    <x v="25"/>
    <s v="Phạm Văn Thắng"/>
    <s v="#13165"/>
    <s v="VN13165"/>
    <s v="IT@vpic1"/>
    <d v="2024-05-28T00:00:00"/>
    <m/>
    <m/>
  </r>
  <r>
    <n v="351"/>
    <n v="26"/>
    <x v="25"/>
    <s v="Đỗ Minh Tuấn"/>
    <s v="#09586"/>
    <s v="VN09586"/>
    <s v="IT@vpic1"/>
    <d v="2024-05-28T00:00:00"/>
    <m/>
    <m/>
  </r>
  <r>
    <n v="352"/>
    <n v="27"/>
    <x v="25"/>
    <s v="Kim Văn Ngọc"/>
    <s v="#17573"/>
    <s v="VN17573"/>
    <s v="IT@vpic1"/>
    <d v="2024-05-28T00:00:00"/>
    <m/>
    <m/>
  </r>
  <r>
    <n v="353"/>
    <n v="28"/>
    <x v="25"/>
    <s v="Trần Xuân Tiến"/>
    <s v="#16002"/>
    <s v="VN16002"/>
    <s v="IT@vpic1"/>
    <d v="2024-05-28T00:00:00"/>
    <m/>
    <m/>
  </r>
  <r>
    <n v="354"/>
    <n v="29"/>
    <x v="25"/>
    <s v="Nghiêm Hữu Phương Tuân"/>
    <s v="#10785"/>
    <s v="VN10785"/>
    <s v="IT@vpic1"/>
    <d v="2024-05-28T00:00:00"/>
    <m/>
    <m/>
  </r>
  <r>
    <n v="355"/>
    <n v="30"/>
    <x v="25"/>
    <s v="Đường Văn Định"/>
    <s v="#17356"/>
    <s v="VN17356"/>
    <s v="IT@vpic1"/>
    <d v="2024-05-28T00:00:00"/>
    <m/>
    <m/>
  </r>
  <r>
    <n v="356"/>
    <n v="31"/>
    <x v="25"/>
    <s v="Đào Văn Chiến"/>
    <s v="#12584"/>
    <s v="VN12584"/>
    <s v="IT@vpic1"/>
    <d v="2024-05-28T00:00:00"/>
    <m/>
    <m/>
  </r>
  <r>
    <n v="357"/>
    <n v="32"/>
    <x v="25"/>
    <s v="Đoàn Trọng Lực "/>
    <s v="#17886"/>
    <s v="VN17886"/>
    <s v="IT@vpic1"/>
    <d v="2024-05-28T00:00:00"/>
    <m/>
    <m/>
  </r>
  <r>
    <n v="358"/>
    <n v="33"/>
    <x v="25"/>
    <s v="Nguyễn Thị Nga"/>
    <s v="#12580"/>
    <s v="VN12580"/>
    <s v="IT@vpic1"/>
    <d v="2024-05-28T00:00:00"/>
    <m/>
    <m/>
  </r>
  <r>
    <n v="359"/>
    <n v="34"/>
    <x v="25"/>
    <s v="Đỗ Trung Sơn"/>
    <s v="#10879"/>
    <s v="VN10879"/>
    <s v="IT@vpic1"/>
    <d v="2024-05-28T00:00:00"/>
    <m/>
    <m/>
  </r>
  <r>
    <n v="360"/>
    <n v="35"/>
    <x v="25"/>
    <s v="Nguyễn Văn Cường"/>
    <s v="#16290"/>
    <s v="VN16290"/>
    <s v="IT@vpic1"/>
    <d v="2024-05-28T00:00:00"/>
    <m/>
    <m/>
  </r>
  <r>
    <n v="361"/>
    <n v="36"/>
    <x v="25"/>
    <s v="Nguyễn Văn Cường"/>
    <s v="#15629"/>
    <s v="VN15629"/>
    <s v="IT@vpic1"/>
    <d v="2024-05-28T00:00:00"/>
    <m/>
    <m/>
  </r>
  <r>
    <n v="362"/>
    <n v="37"/>
    <x v="25"/>
    <s v="Nguyễn Văn Linh"/>
    <s v="#17474"/>
    <s v="VN17474"/>
    <s v="IT@vpic1"/>
    <d v="2024-05-28T00:00:00"/>
    <m/>
    <m/>
  </r>
  <r>
    <n v="363"/>
    <n v="38"/>
    <x v="25"/>
    <s v="Đỗ Đoan Trang"/>
    <s v="#13668"/>
    <s v="VN13668"/>
    <s v="IT@vpic1"/>
    <d v="2024-05-28T00:00:00"/>
    <m/>
    <m/>
  </r>
  <r>
    <n v="364"/>
    <n v="39"/>
    <x v="25"/>
    <s v="Phùng Trọng Hiếu"/>
    <s v="#21398"/>
    <s v="VN21398"/>
    <s v="IT@vpic1"/>
    <d v="2024-05-28T00:00:00"/>
    <m/>
    <m/>
  </r>
  <r>
    <n v="365"/>
    <n v="40"/>
    <x v="25"/>
    <e v="#N/A"/>
    <s v="#12404"/>
    <s v="VN12404"/>
    <s v="IT@vpic1"/>
    <d v="2024-05-28T00:00:00"/>
    <d v="2025-09-19T00:00:00"/>
    <d v="2025-09-19T00:00:00"/>
  </r>
  <r>
    <n v="366"/>
    <n v="41"/>
    <x v="25"/>
    <s v="Lương Văn Thường"/>
    <s v="#04750"/>
    <s v="VN04750"/>
    <s v="IT@vpic1"/>
    <d v="2024-05-28T00:00:00"/>
    <m/>
    <m/>
  </r>
  <r>
    <n v="367"/>
    <n v="42"/>
    <x v="25"/>
    <s v="Ngô Công Đoàn"/>
    <s v="#12761"/>
    <s v="VN12761"/>
    <s v="IT@vpic1"/>
    <d v="2024-05-28T00:00:00"/>
    <m/>
    <m/>
  </r>
  <r>
    <n v="368"/>
    <n v="43"/>
    <x v="25"/>
    <e v="#N/A"/>
    <s v="#17732"/>
    <s v="VN17732"/>
    <s v="IT@vpic1"/>
    <d v="2024-05-28T00:00:00"/>
    <d v="2025-04-14T00:00:00"/>
    <d v="2025-04-14T00:00:00"/>
  </r>
  <r>
    <n v="369"/>
    <n v="44"/>
    <x v="25"/>
    <s v="Phùng Đức Hậu"/>
    <s v="#17795"/>
    <s v="VN17795"/>
    <s v="IT@vpic1"/>
    <d v="2024-05-28T00:00:00"/>
    <m/>
    <m/>
  </r>
  <r>
    <n v="370"/>
    <n v="45"/>
    <x v="25"/>
    <s v="Đỗ Việt Đức"/>
    <s v="#12403"/>
    <s v="VN12403"/>
    <s v="IT@vpic1"/>
    <d v="2024-05-28T00:00:00"/>
    <m/>
    <m/>
  </r>
  <r>
    <n v="371"/>
    <n v="46"/>
    <x v="25"/>
    <e v="#N/A"/>
    <s v="#16003"/>
    <s v="VN16003"/>
    <s v="IT@vpic1"/>
    <d v="2024-05-28T00:00:00"/>
    <d v="2025-05-26T00:00:00"/>
    <m/>
  </r>
  <r>
    <n v="372"/>
    <n v="47"/>
    <x v="25"/>
    <s v="Trần Mạnh"/>
    <s v="#10955"/>
    <s v="VN10955"/>
    <s v="IT@vpic1"/>
    <d v="2024-05-28T00:00:00"/>
    <m/>
    <m/>
  </r>
  <r>
    <n v="373"/>
    <n v="48"/>
    <x v="25"/>
    <s v="Ngô Văn Hiền"/>
    <s v="#13090"/>
    <s v="VN13090"/>
    <s v="IT@vpic1"/>
    <d v="2024-05-28T00:00:00"/>
    <m/>
    <m/>
  </r>
  <r>
    <n v="374"/>
    <n v="49"/>
    <x v="25"/>
    <s v="Đào Duy Thanh"/>
    <s v="#13672"/>
    <s v="VN13672"/>
    <s v="IT@vpic1"/>
    <d v="2024-05-28T00:00:00"/>
    <m/>
    <m/>
  </r>
  <r>
    <n v="375"/>
    <n v="50"/>
    <x v="25"/>
    <s v="Trần Đức Hoàn"/>
    <s v="#10954"/>
    <s v="VN10954"/>
    <s v="IT@vpic1"/>
    <d v="2024-05-28T00:00:00"/>
    <m/>
    <m/>
  </r>
  <r>
    <n v="376"/>
    <n v="51"/>
    <x v="25"/>
    <s v="Hoàng Thị Thu Phương"/>
    <s v="#10945"/>
    <s v="VN10945"/>
    <s v="IT@vpic1"/>
    <d v="2024-05-28T00:00:00"/>
    <m/>
    <m/>
  </r>
  <r>
    <n v="377"/>
    <n v="52"/>
    <x v="25"/>
    <s v="Nguyễn Văn Biên"/>
    <s v="#09589"/>
    <s v="VN09589"/>
    <s v="IT@vpic1"/>
    <d v="2024-05-28T00:00:00"/>
    <m/>
    <m/>
  </r>
  <r>
    <n v="378"/>
    <n v="53"/>
    <x v="25"/>
    <s v="Phùng Hồng Sơn"/>
    <s v="#19129"/>
    <s v="VN19129"/>
    <s v="IT@vpic1"/>
    <d v="2024-05-28T00:00:00"/>
    <m/>
    <m/>
  </r>
  <r>
    <n v="379"/>
    <n v="54"/>
    <x v="25"/>
    <e v="#N/A"/>
    <s v="KF-MEETING"/>
    <s v="KF.MEET"/>
    <s v="IT@vpic1"/>
    <d v="2024-05-28T00:00:00"/>
    <m/>
    <m/>
  </r>
  <r>
    <n v="380"/>
    <n v="55"/>
    <x v="25"/>
    <s v="Nguyễn Văn Cương"/>
    <s v="#17582"/>
    <s v="VN17582"/>
    <s v="IT@vpic1"/>
    <d v="2024-05-28T00:00:00"/>
    <m/>
    <m/>
  </r>
  <r>
    <n v="381"/>
    <n v="56"/>
    <x v="25"/>
    <s v="Khổng Văn Bằng"/>
    <s v="#15627"/>
    <s v="VN15627"/>
    <s v="IT@vpic1"/>
    <d v="2024-05-28T00:00:00"/>
    <m/>
    <m/>
  </r>
  <r>
    <n v="382"/>
    <n v="57"/>
    <x v="25"/>
    <s v="Phạm Hùng Huynh"/>
    <s v="#12038"/>
    <s v="VN12038"/>
    <s v="IT@vpic1"/>
    <d v="2024-05-28T00:00:00"/>
    <m/>
    <m/>
  </r>
  <r>
    <n v="383"/>
    <n v="58"/>
    <x v="25"/>
    <s v="Nguyễn Văn Dậu"/>
    <s v="#12808"/>
    <s v="VN12808"/>
    <s v="IT@vpic1"/>
    <d v="2024-05-28T00:00:00"/>
    <m/>
    <m/>
  </r>
  <r>
    <n v="384"/>
    <n v="59"/>
    <x v="25"/>
    <s v="Nguyễn Văn Tú"/>
    <s v="#10784"/>
    <s v="VN10784"/>
    <s v="IT@vpic1"/>
    <d v="2024-05-28T00:00:00"/>
    <m/>
    <m/>
  </r>
  <r>
    <n v="385"/>
    <n v="60"/>
    <x v="25"/>
    <s v="Nguyễn Anh Công"/>
    <s v="#17730"/>
    <s v="VN17730"/>
    <s v="IT@vpic1"/>
    <d v="2024-05-28T00:00:00"/>
    <m/>
    <m/>
  </r>
  <r>
    <n v="386"/>
    <n v="61"/>
    <x v="25"/>
    <s v="Nguyễn Văn Long"/>
    <s v="#10863"/>
    <s v="VN10863"/>
    <s v="IT@vpic1"/>
    <d v="2024-05-28T00:00:00"/>
    <m/>
    <m/>
  </r>
  <r>
    <n v="387"/>
    <n v="62"/>
    <x v="25"/>
    <s v="Lê Văn Hiếu"/>
    <s v="#16289"/>
    <s v="VN16289"/>
    <s v="IT@vpic1"/>
    <d v="2024-05-28T00:00:00"/>
    <m/>
    <m/>
  </r>
  <r>
    <n v="388"/>
    <n v="63"/>
    <x v="25"/>
    <s v="Nguyễn Văn Anh"/>
    <s v="#17911"/>
    <s v="VN17911"/>
    <s v="IT@vpic1"/>
    <d v="2024-05-28T00:00:00"/>
    <m/>
    <m/>
  </r>
  <r>
    <n v="389"/>
    <n v="64"/>
    <x v="25"/>
    <s v="Trần Văn Hoàn"/>
    <s v="#10610"/>
    <s v="VN10610"/>
    <s v="IT@vpic1"/>
    <d v="2024-05-28T00:00:00"/>
    <m/>
    <m/>
  </r>
  <r>
    <n v="390"/>
    <n v="65"/>
    <x v="25"/>
    <s v="Nguyễn Văn Khai"/>
    <s v="#12806"/>
    <s v="VN12806"/>
    <s v="IT@vpic1"/>
    <d v="2024-05-28T00:00:00"/>
    <m/>
    <m/>
  </r>
  <r>
    <n v="391"/>
    <n v="66"/>
    <x v="25"/>
    <s v="Lê Văn Tĩnh"/>
    <s v="#11131"/>
    <s v="VN11131"/>
    <s v="IT@vpic1"/>
    <d v="2024-05-28T00:00:00"/>
    <m/>
    <m/>
  </r>
  <r>
    <n v="392"/>
    <n v="67"/>
    <x v="25"/>
    <s v="Hạ Văn Duy"/>
    <s v="#17731"/>
    <s v="VN17731"/>
    <s v="IT@vpic1"/>
    <d v="2024-05-28T00:00:00"/>
    <m/>
    <m/>
  </r>
  <r>
    <n v="393"/>
    <n v="68"/>
    <x v="25"/>
    <s v="Trần Hà Phương"/>
    <s v="#10878"/>
    <s v="VN10878"/>
    <s v="IT@vpic1"/>
    <d v="2024-05-28T00:00:00"/>
    <m/>
    <m/>
  </r>
  <r>
    <n v="394"/>
    <n v="69"/>
    <x v="25"/>
    <s v="Trần Văn Hoàng"/>
    <s v="#12405"/>
    <s v="VN12405"/>
    <s v="IT@vpic1"/>
    <d v="2024-05-28T00:00:00"/>
    <m/>
    <m/>
  </r>
  <r>
    <n v="395"/>
    <n v="70"/>
    <x v="25"/>
    <s v="Nguyễn Văn Nam"/>
    <s v="#11724"/>
    <s v="VN11724"/>
    <s v="IT@vpic1"/>
    <d v="2024-05-28T00:00:00"/>
    <m/>
    <m/>
  </r>
  <r>
    <n v="396"/>
    <n v="71"/>
    <x v="25"/>
    <s v="Phạm Thế Sơn"/>
    <s v="#01057"/>
    <s v="VN01057"/>
    <s v="IT@vpic1"/>
    <d v="2024-05-28T00:00:00"/>
    <m/>
    <m/>
  </r>
  <r>
    <n v="397"/>
    <n v="72"/>
    <x v="25"/>
    <s v="Lê Mạnh Tú"/>
    <s v="#08552"/>
    <s v="VN08552"/>
    <s v="IT@vpic1"/>
    <d v="2024-05-28T00:00:00"/>
    <m/>
    <m/>
  </r>
  <r>
    <n v="398"/>
    <n v="73"/>
    <x v="25"/>
    <s v="Trần Bá Cường"/>
    <s v="#12583"/>
    <s v="VN12583"/>
    <s v="IT@vpic1"/>
    <d v="2024-05-28T00:00:00"/>
    <m/>
    <m/>
  </r>
  <r>
    <n v="399"/>
    <n v="74"/>
    <x v="25"/>
    <s v="Phùng Văn Phương"/>
    <s v="#08128"/>
    <s v="VN08128"/>
    <s v="IT@vpic1"/>
    <d v="2024-05-28T00:00:00"/>
    <m/>
    <m/>
  </r>
  <r>
    <n v="400"/>
    <n v="75"/>
    <x v="25"/>
    <s v="Sái Hồng Quân"/>
    <s v="#18062"/>
    <s v="VN18062"/>
    <s v="IT@vpic1"/>
    <d v="2024-05-28T00:00:00"/>
    <m/>
    <m/>
  </r>
  <r>
    <n v="401"/>
    <n v="76"/>
    <x v="25"/>
    <s v="Đỗ Đình Nam"/>
    <s v="#17581"/>
    <s v="VN17581"/>
    <s v="IT@vpic1"/>
    <d v="2024-05-28T00:00:00"/>
    <m/>
    <m/>
  </r>
  <r>
    <n v="402"/>
    <n v="77"/>
    <x v="25"/>
    <s v="Bùi Việt Hưng"/>
    <s v="#13321"/>
    <s v="VN13321"/>
    <s v="IT@vpic1"/>
    <d v="2024-05-28T00:00:00"/>
    <m/>
    <m/>
  </r>
  <r>
    <n v="403"/>
    <n v="78"/>
    <x v="25"/>
    <s v="Kim Văn Đạt"/>
    <s v="#16851"/>
    <s v="VN16851"/>
    <s v="IT@vpic1"/>
    <d v="2024-05-28T00:00:00"/>
    <m/>
    <m/>
  </r>
  <r>
    <n v="404"/>
    <n v="79"/>
    <x v="25"/>
    <s v="Thiều Đức Hiếu"/>
    <s v="#17913"/>
    <s v="VN17913"/>
    <s v="IT@vpic1"/>
    <d v="2024-05-28T00:00:00"/>
    <m/>
    <m/>
  </r>
  <r>
    <n v="405"/>
    <n v="80"/>
    <x v="25"/>
    <e v="#N/A"/>
    <s v="#17647"/>
    <s v="VN17647"/>
    <s v="IT@vpic1"/>
    <d v="2024-05-28T00:00:00"/>
    <d v="2025-05-29T00:00:00"/>
    <d v="2025-05-29T00:00:00"/>
  </r>
  <r>
    <n v="406"/>
    <n v="81"/>
    <x v="25"/>
    <s v="Nguyễn Minh Hải"/>
    <s v="#10611"/>
    <s v="VN10611"/>
    <s v="IT@vpic1"/>
    <d v="2024-05-28T00:00:00"/>
    <m/>
    <m/>
  </r>
  <r>
    <n v="407"/>
    <n v="82"/>
    <x v="25"/>
    <e v="#N/A"/>
    <s v="#18468"/>
    <s v="VN18468"/>
    <s v="IT@vpic1"/>
    <d v="2024-05-28T00:00:00"/>
    <d v="2025-05-29T00:00:00"/>
    <d v="2025-05-29T00:00:00"/>
  </r>
  <r>
    <n v="408"/>
    <n v="83"/>
    <x v="25"/>
    <s v="Nguyễn Thanh Tùng"/>
    <s v="#19545"/>
    <s v="VN19545"/>
    <s v="IT@vpic1"/>
    <d v="2024-05-28T00:00:00"/>
    <m/>
    <m/>
  </r>
  <r>
    <n v="409"/>
    <n v="84"/>
    <x v="25"/>
    <s v="Dương Văn Hòa"/>
    <s v="#13669"/>
    <s v="VN13669"/>
    <s v="IT@vpic1"/>
    <d v="2024-05-28T00:00:00"/>
    <m/>
    <m/>
  </r>
  <r>
    <n v="410"/>
    <n v="85"/>
    <x v="25"/>
    <e v="#N/A"/>
    <s v="#19753"/>
    <s v="VN19753"/>
    <s v="IT@vpic1"/>
    <d v="2024-05-28T00:00:00"/>
    <d v="2025-05-29T00:00:00"/>
    <d v="2025-05-29T00:00:00"/>
  </r>
  <r>
    <n v="411"/>
    <n v="86"/>
    <x v="25"/>
    <s v="Nguyễn Duy Hai"/>
    <s v="#11658"/>
    <s v="VN11658"/>
    <s v="IT@vpic1"/>
    <d v="2024-05-28T00:00:00"/>
    <m/>
    <m/>
  </r>
  <r>
    <n v="412"/>
    <n v="87"/>
    <x v="25"/>
    <s v="Kim Văn Huấn"/>
    <s v="#11632"/>
    <s v="VN11632"/>
    <s v="IT@vpic1"/>
    <d v="2024-05-28T00:00:00"/>
    <m/>
    <m/>
  </r>
  <r>
    <n v="413"/>
    <n v="88"/>
    <x v="25"/>
    <s v="Đặng Tiến Lực"/>
    <s v="#20149"/>
    <s v="VN20149"/>
    <s v="IT@vpic1"/>
    <d v="2024-05-28T00:00:00"/>
    <m/>
    <m/>
  </r>
  <r>
    <n v="414"/>
    <n v="89"/>
    <x v="25"/>
    <s v="Hạ Văn Lợi"/>
    <s v="#00490"/>
    <s v="VN00490"/>
    <s v="IT@vpic1"/>
    <d v="2024-05-28T00:00:00"/>
    <m/>
    <m/>
  </r>
  <r>
    <n v="415"/>
    <n v="90"/>
    <x v="25"/>
    <s v="Đặng Minh Thắng"/>
    <s v="#10783"/>
    <s v="VN10783"/>
    <s v="IT@vpic1"/>
    <d v="2024-05-28T00:00:00"/>
    <m/>
    <m/>
  </r>
  <r>
    <n v="416"/>
    <n v="91"/>
    <x v="26"/>
    <e v="#N/A"/>
    <s v="#14081"/>
    <s v="VN14081"/>
    <s v="IT@vpic1"/>
    <d v="2024-05-28T00:00:00"/>
    <d v="2025-10-20T00:00:00"/>
    <m/>
  </r>
  <r>
    <n v="417"/>
    <n v="92"/>
    <x v="25"/>
    <s v="Hoàng Văn Hải"/>
    <s v="#02543"/>
    <s v="VN02543"/>
    <s v="IT@vpic1"/>
    <d v="2024-05-28T00:00:00"/>
    <m/>
    <m/>
  </r>
  <r>
    <n v="418"/>
    <n v="93"/>
    <x v="25"/>
    <s v="Dương Đức Sơn"/>
    <s v="#01955"/>
    <s v="VN01955"/>
    <s v="IT@vpic1"/>
    <d v="2024-05-28T00:00:00"/>
    <m/>
    <m/>
  </r>
  <r>
    <n v="419"/>
    <n v="94"/>
    <x v="25"/>
    <s v="Phạm Văn Vẽ"/>
    <s v="#02642"/>
    <s v="VN02642"/>
    <s v="IT@vpic1"/>
    <d v="2024-05-28T00:00:00"/>
    <m/>
    <m/>
  </r>
  <r>
    <n v="420"/>
    <n v="95"/>
    <x v="25"/>
    <s v="Nguyễn Thục Anh"/>
    <s v="#21265"/>
    <s v="VN21265"/>
    <s v="IT@vpic1"/>
    <d v="2024-05-28T00:00:00"/>
    <m/>
    <m/>
  </r>
  <r>
    <n v="421"/>
    <n v="96"/>
    <x v="25"/>
    <e v="#N/A"/>
    <s v="#13074"/>
    <s v="VN13074"/>
    <s v="IT@vpic1"/>
    <d v="2024-05-28T00:00:00"/>
    <d v="2025-08-07T00:00:00"/>
    <d v="2025-08-07T00:00:00"/>
  </r>
  <r>
    <n v="422"/>
    <n v="97"/>
    <x v="25"/>
    <s v="Đỗ Tiến Mạnh"/>
    <s v="#03889"/>
    <s v="VN03889"/>
    <s v="IT@vpic1"/>
    <d v="2024-05-28T00:00:00"/>
    <m/>
    <m/>
  </r>
  <r>
    <n v="423"/>
    <n v="98"/>
    <x v="25"/>
    <s v="Phan Bá Bộ"/>
    <s v="#00799"/>
    <s v="VN00799"/>
    <s v="IT@vpic1"/>
    <d v="2024-05-23T00:00:00"/>
    <m/>
    <m/>
  </r>
  <r>
    <n v="424"/>
    <n v="99"/>
    <x v="25"/>
    <s v="Nguyễn Thị Hồng Phương"/>
    <s v="#20024"/>
    <s v="VN20024"/>
    <s v="IT@vpic1"/>
    <d v="2024-05-28T00:00:00"/>
    <m/>
    <m/>
  </r>
  <r>
    <n v="425"/>
    <n v="100"/>
    <x v="25"/>
    <s v="Nguyễn Thị Thủy"/>
    <s v="#18082"/>
    <s v="VN18082"/>
    <s v="IT@vpic1"/>
    <d v="2024-05-28T00:00:00"/>
    <m/>
    <m/>
  </r>
  <r>
    <n v="426"/>
    <n v="101"/>
    <x v="25"/>
    <s v="Nguyễn Thị Thúy Hồng"/>
    <s v="#10861"/>
    <s v="VN10861"/>
    <s v="IT@vpic1"/>
    <d v="2024-05-28T00:00:00"/>
    <m/>
    <m/>
  </r>
  <r>
    <n v="427"/>
    <n v="102"/>
    <x v="25"/>
    <s v="Đỗ Khánh Linh"/>
    <s v="#24323"/>
    <s v="VN24323"/>
    <s v="IT@vpic1"/>
    <d v="2024-05-28T00:00:00"/>
    <m/>
    <m/>
  </r>
  <r>
    <n v="428"/>
    <n v="103"/>
    <x v="25"/>
    <s v="Đại Thị Thu Anh"/>
    <s v="#17885"/>
    <s v="VN17885"/>
    <s v="IT@vpic1"/>
    <d v="2024-05-28T00:00:00"/>
    <m/>
    <m/>
  </r>
  <r>
    <n v="429"/>
    <n v="104"/>
    <x v="25"/>
    <s v="Lê Văn Châm"/>
    <s v="#06382"/>
    <s v="VN06382"/>
    <s v="IT@vpic1"/>
    <d v="2024-05-23T00:00:00"/>
    <m/>
    <m/>
  </r>
  <r>
    <n v="430"/>
    <n v="105"/>
    <x v="25"/>
    <s v="Nguyễn Xuân Chung"/>
    <s v="#25150"/>
    <s v="VN25150"/>
    <s v="IT@vpic1"/>
    <d v="2024-09-18T00:00:00"/>
    <m/>
    <m/>
  </r>
  <r>
    <n v="431"/>
    <n v="106"/>
    <x v="25"/>
    <s v="Lương Hồng Phúc"/>
    <s v="#25658"/>
    <s v="VN25658"/>
    <s v="IT@vpic1"/>
    <d v="2025-03-03T00:00:00"/>
    <m/>
    <m/>
  </r>
  <r>
    <n v="432"/>
    <n v="107"/>
    <x v="25"/>
    <s v="Phùng Quốc Huy"/>
    <s v="#25659"/>
    <s v="VN25659"/>
    <s v="IT@vpic1"/>
    <d v="2025-03-03T00:00:00"/>
    <m/>
    <m/>
  </r>
  <r>
    <n v="433"/>
    <n v="108"/>
    <x v="25"/>
    <s v="Trần Hải Đăng"/>
    <s v="#25724"/>
    <s v="VN25724"/>
    <s v="IT@vpic1"/>
    <d v="2025-03-13T00:00:00"/>
    <m/>
    <m/>
  </r>
  <r>
    <n v="434"/>
    <n v="109"/>
    <x v="25"/>
    <s v="Dương Công Thành"/>
    <s v="#25725"/>
    <s v="VN25725"/>
    <s v="IT@vpic1"/>
    <d v="2025-03-13T00:00:00"/>
    <m/>
    <m/>
  </r>
  <r>
    <n v="435"/>
    <n v="110"/>
    <x v="25"/>
    <s v="Đào Quang Linh"/>
    <s v="#25956"/>
    <s v="VN25956"/>
    <s v="IT@vpic1"/>
    <d v="2025-05-22T00:00:00"/>
    <m/>
    <m/>
  </r>
  <r>
    <n v="436"/>
    <n v="111"/>
    <x v="25"/>
    <s v="Nguyễn Phú Tĩnh"/>
    <s v="#25957"/>
    <s v="VN25957"/>
    <s v="IT@vpic1"/>
    <d v="2025-05-26T00:00:00"/>
    <m/>
    <m/>
  </r>
  <r>
    <n v="437"/>
    <m/>
    <x v="25"/>
    <s v="Trần Minh Hiệp"/>
    <s v="#26092"/>
    <s v="VN26092"/>
    <s v="IT@vpic1"/>
    <d v="2025-07-09T00:00:00"/>
    <m/>
    <m/>
  </r>
  <r>
    <n v="438"/>
    <n v="112"/>
    <x v="25"/>
    <s v="Nguyễn Minh Đăng"/>
    <s v="#26306"/>
    <s v="VN26306"/>
    <s v="IT@vpic1"/>
    <d v="2025-09-19T00:00:00"/>
    <m/>
    <m/>
  </r>
  <r>
    <n v="439"/>
    <m/>
    <x v="25"/>
    <s v="Nguyễn Hữu Trường"/>
    <s v="#26307"/>
    <s v="VN26307"/>
    <s v="IT@vpic1"/>
    <d v="2025-09-19T00:00:00"/>
    <m/>
    <m/>
  </r>
  <r>
    <n v="436"/>
    <n v="111"/>
    <x v="25"/>
    <s v="Hà Tiến Trung"/>
    <s v="#10953"/>
    <s v="VN10953"/>
    <s v="IT@vpic1"/>
    <d v="2024-05-28T00:00:00"/>
    <m/>
    <m/>
  </r>
  <r>
    <n v="437"/>
    <m/>
    <x v="25"/>
    <s v="Phùng Thị Vân"/>
    <s v="#26040"/>
    <s v="VN26040"/>
    <s v="IT@vpic1"/>
    <d v="2025-06-09T00:00:00"/>
    <m/>
    <m/>
  </r>
  <r>
    <n v="438"/>
    <n v="112"/>
    <x v="25"/>
    <s v="Trần Mạnh Cường"/>
    <s v="#26038"/>
    <s v="VN26038"/>
    <s v="IT@vpic1"/>
    <d v="2025-06-12T00:00:00"/>
    <m/>
    <m/>
  </r>
  <r>
    <n v="439"/>
    <m/>
    <x v="25"/>
    <s v="Bùi Mạnh Cầm"/>
    <s v="#24410"/>
    <s v="VN24410"/>
    <s v="IT@vpic1"/>
    <d v="2025-08-27T00:00:00"/>
    <m/>
    <m/>
  </r>
  <r>
    <n v="440"/>
    <n v="1"/>
    <x v="27"/>
    <s v="Nguyễn Đình Thi"/>
    <s v="#01066"/>
    <s v="VN01066"/>
    <s v="IT@vpic1"/>
    <d v="2024-05-27T00:00:00"/>
    <m/>
    <m/>
  </r>
  <r>
    <n v="441"/>
    <n v="2"/>
    <x v="27"/>
    <s v="Nguyễn Văn Trúc"/>
    <s v="#00640"/>
    <s v="VN00640"/>
    <s v="IT@vpic1"/>
    <d v="2024-05-27T00:00:00"/>
    <m/>
    <m/>
  </r>
  <r>
    <n v="442"/>
    <n v="3"/>
    <x v="27"/>
    <s v="Nguyễn Văn Hạnh"/>
    <s v="#10605"/>
    <s v="VN10605"/>
    <s v="IT@vpic1"/>
    <d v="2024-05-27T00:00:00"/>
    <m/>
    <m/>
  </r>
  <r>
    <n v="443"/>
    <n v="4"/>
    <x v="27"/>
    <s v="Hà Nam"/>
    <s v="#11706"/>
    <s v="VN11706"/>
    <s v="IT@vpic1"/>
    <d v="2024-05-27T00:00:00"/>
    <m/>
    <m/>
  </r>
  <r>
    <n v="444"/>
    <n v="5"/>
    <x v="27"/>
    <e v="#N/A"/>
    <s v="#08904"/>
    <s v="VN08904"/>
    <s v="IT@vpic1"/>
    <d v="2024-05-27T00:00:00"/>
    <d v="2025-08-07T00:00:00"/>
    <d v="2025-08-07T00:00:00"/>
  </r>
  <r>
    <n v="445"/>
    <n v="6"/>
    <x v="27"/>
    <s v="Nguyễn Quang Vinh"/>
    <s v="#01705"/>
    <s v="VN01705"/>
    <s v="IT@vpic1"/>
    <d v="2024-05-27T00:00:00"/>
    <m/>
    <m/>
  </r>
  <r>
    <n v="446"/>
    <n v="7"/>
    <x v="27"/>
    <s v="Phạm Văn Đức"/>
    <s v="#10567"/>
    <s v="VN10567"/>
    <s v="IT@vpic1"/>
    <d v="2024-05-27T00:00:00"/>
    <m/>
    <m/>
  </r>
  <r>
    <n v="447"/>
    <n v="8"/>
    <x v="27"/>
    <s v="Nguyễn Văn Kiên"/>
    <s v="#07702"/>
    <s v="VN07702"/>
    <s v="IT@vpic1"/>
    <d v="2024-05-27T00:00:00"/>
    <m/>
    <m/>
  </r>
  <r>
    <n v="448"/>
    <n v="9"/>
    <x v="27"/>
    <s v="Lê Văn Điệp"/>
    <s v="#07153"/>
    <s v="VN07153"/>
    <s v="IT@vpic1"/>
    <d v="2024-05-27T00:00:00"/>
    <m/>
    <m/>
  </r>
  <r>
    <n v="449"/>
    <n v="10"/>
    <x v="27"/>
    <s v="Nguyễn Văn Long"/>
    <s v="#01465"/>
    <s v="VN01465"/>
    <s v="IT@vpic1"/>
    <d v="2024-05-27T00:00:00"/>
    <m/>
    <m/>
  </r>
  <r>
    <n v="450"/>
    <n v="11"/>
    <x v="27"/>
    <s v="Nguyễn Văn Kiên"/>
    <s v="#10406"/>
    <s v="VN10406"/>
    <s v="IT@vpic1"/>
    <d v="2024-05-27T00:00:00"/>
    <m/>
    <m/>
  </r>
  <r>
    <n v="451"/>
    <n v="12"/>
    <x v="27"/>
    <s v="Bùi Tiến Thành"/>
    <s v="#16198"/>
    <s v="VN16198"/>
    <s v="IT@vpic1"/>
    <d v="2024-05-27T00:00:00"/>
    <m/>
    <m/>
  </r>
  <r>
    <n v="452"/>
    <n v="13"/>
    <x v="27"/>
    <s v="Nguyễn Thị Thuỳ Linh"/>
    <s v="#03048"/>
    <s v="VN03048"/>
    <s v="IT@vpic1"/>
    <d v="2024-05-27T00:00:00"/>
    <m/>
    <m/>
  </r>
  <r>
    <n v="453"/>
    <n v="14"/>
    <x v="27"/>
    <s v="Nguyễn Bảo Khanh"/>
    <s v="#18894"/>
    <s v="VN18894"/>
    <s v="IT@vpic1"/>
    <d v="2024-05-27T00:00:00"/>
    <m/>
    <m/>
  </r>
  <r>
    <n v="454"/>
    <n v="15"/>
    <x v="27"/>
    <s v="Vũ Văn Giang"/>
    <s v="#06436"/>
    <s v="VN06436"/>
    <s v="IT@vpic1"/>
    <d v="2024-05-22T00:00:00"/>
    <m/>
    <m/>
  </r>
  <r>
    <n v="455"/>
    <n v="16"/>
    <x v="27"/>
    <s v="Phùng Văn Việt"/>
    <s v="#01706"/>
    <s v="VN01706"/>
    <s v="IT@vpic1"/>
    <d v="2024-05-27T00:00:00"/>
    <m/>
    <m/>
  </r>
  <r>
    <n v="456"/>
    <n v="17"/>
    <x v="27"/>
    <s v="Nguyễn Văn Tĩnh"/>
    <s v="#09787"/>
    <s v="VN09787"/>
    <s v="IT@vpic1"/>
    <d v="2024-05-27T00:00:00"/>
    <m/>
    <m/>
  </r>
  <r>
    <n v="457"/>
    <n v="18"/>
    <x v="27"/>
    <s v="Bùi Tất Thành"/>
    <s v="#00606"/>
    <s v="VN00606"/>
    <s v="IT@vpic1"/>
    <d v="2024-05-27T00:00:00"/>
    <m/>
    <m/>
  </r>
  <r>
    <n v="458"/>
    <n v="19"/>
    <x v="27"/>
    <e v="#N/A"/>
    <s v="KM.MEET"/>
    <s v="KM.MEET"/>
    <s v="IT@vpic1"/>
    <d v="2025-02-25T00:00:00"/>
    <m/>
    <m/>
  </r>
  <r>
    <n v="459"/>
    <n v="20"/>
    <x v="27"/>
    <s v="Ngô Văn Ơn"/>
    <s v="#00264"/>
    <s v="VN00264"/>
    <s v="IT@vpic2"/>
    <d v="2025-05-26T00:00:00"/>
    <m/>
    <m/>
  </r>
  <r>
    <n v="460"/>
    <n v="1"/>
    <x v="19"/>
    <s v="Vũ Thị Ngọc Anh"/>
    <s v="#00259"/>
    <s v="VN00259"/>
    <s v="IT@vpic1"/>
    <d v="2024-05-27T00:00:00"/>
    <m/>
    <m/>
  </r>
  <r>
    <n v="461"/>
    <n v="2"/>
    <x v="19"/>
    <s v="Nguyễn Hải Hậu"/>
    <s v="#11714"/>
    <s v="VN11714"/>
    <s v="IT@vpic1"/>
    <d v="2024-05-27T00:00:00"/>
    <m/>
    <m/>
  </r>
  <r>
    <n v="462"/>
    <n v="3"/>
    <x v="19"/>
    <s v="Nguyễn Ngọc Hoàn"/>
    <s v="#19425"/>
    <s v="VN19425"/>
    <s v="IT@vpic1"/>
    <d v="2024-05-27T00:00:00"/>
    <m/>
    <m/>
  </r>
  <r>
    <n v="463"/>
    <n v="4"/>
    <x v="19"/>
    <s v="Nguyễn Duy Tiến"/>
    <s v="#24125"/>
    <s v="VN24125"/>
    <s v="IT@vpic1"/>
    <d v="2024-05-27T00:00:00"/>
    <m/>
    <m/>
  </r>
  <r>
    <n v="464"/>
    <n v="5"/>
    <x v="19"/>
    <e v="#N/A"/>
    <s v="#20193"/>
    <s v="VN20193"/>
    <s v="IT@vpic1"/>
    <d v="2024-05-27T00:00:00"/>
    <d v="2025-05-29T00:00:00"/>
    <d v="2025-05-29T00:00:00"/>
  </r>
  <r>
    <n v="465"/>
    <n v="6"/>
    <x v="19"/>
    <s v="Phạm Thị Hồng Việt"/>
    <s v="#00079"/>
    <s v="VN00079"/>
    <s v="IT@vpic1"/>
    <d v="2024-05-27T00:00:00"/>
    <m/>
    <m/>
  </r>
  <r>
    <n v="466"/>
    <n v="7"/>
    <x v="19"/>
    <s v="Trần Ngọc Mạnh"/>
    <s v="#04104"/>
    <s v="VN04104"/>
    <s v="IT@vpic1"/>
    <d v="2024-05-27T00:00:00"/>
    <m/>
    <m/>
  </r>
  <r>
    <n v="467"/>
    <n v="8"/>
    <x v="19"/>
    <e v="#N/A"/>
    <s v="#24525"/>
    <s v="VN24525"/>
    <s v="IT@vpic1"/>
    <d v="2024-05-27T00:00:00"/>
    <d v="2025-05-29T00:00:00"/>
    <d v="2025-05-29T00:00:00"/>
  </r>
  <r>
    <n v="468"/>
    <n v="9"/>
    <x v="19"/>
    <s v="Đào Duy Hậu"/>
    <s v="#10693"/>
    <s v="VN10693"/>
    <s v="IT@vpic1"/>
    <d v="2024-05-27T00:00:00"/>
    <m/>
    <m/>
  </r>
  <r>
    <n v="469"/>
    <n v="10"/>
    <x v="19"/>
    <s v="Nguyễn Hồng Phi"/>
    <s v="#24081"/>
    <s v="VN24081"/>
    <s v="IT@vpic1"/>
    <d v="2024-05-27T00:00:00"/>
    <m/>
    <m/>
  </r>
  <r>
    <n v="470"/>
    <n v="11"/>
    <x v="19"/>
    <s v="Lê Chung"/>
    <s v="#11402"/>
    <s v="VN11402"/>
    <s v="IT@vpic1"/>
    <d v="2024-05-27T00:00:00"/>
    <m/>
    <m/>
  </r>
  <r>
    <n v="471"/>
    <n v="12"/>
    <x v="19"/>
    <s v="Trần Đại Nghĩa"/>
    <s v="#06237"/>
    <s v="VN06237"/>
    <s v="IT@vpic1"/>
    <d v="2024-05-27T00:00:00"/>
    <m/>
    <m/>
  </r>
  <r>
    <n v="472"/>
    <n v="13"/>
    <x v="19"/>
    <s v="Phạm Văn An"/>
    <s v="#03480"/>
    <s v="VN03480"/>
    <s v="IT@vpic1"/>
    <d v="2024-05-27T00:00:00"/>
    <m/>
    <m/>
  </r>
  <r>
    <n v="473"/>
    <n v="14"/>
    <x v="19"/>
    <s v="Đỗ Thị Lan Phương"/>
    <s v="#17025"/>
    <s v="VN17025"/>
    <s v="IT@vpic1"/>
    <d v="2024-05-27T00:00:00"/>
    <m/>
    <m/>
  </r>
  <r>
    <n v="474"/>
    <n v="15"/>
    <x v="19"/>
    <s v="Nguyễn Quốc Anh"/>
    <s v="#24084"/>
    <s v="VN24084"/>
    <s v="IT@vpic1"/>
    <d v="2024-05-27T00:00:00"/>
    <m/>
    <m/>
  </r>
  <r>
    <n v="475"/>
    <n v="16"/>
    <x v="19"/>
    <s v="Phan Hải Hà"/>
    <s v="#00913"/>
    <s v="VN00913"/>
    <s v="IT@vpic1"/>
    <d v="2024-05-27T00:00:00"/>
    <m/>
    <m/>
  </r>
  <r>
    <n v="476"/>
    <n v="17"/>
    <x v="19"/>
    <s v="Phạm Văn Hưng"/>
    <s v="#19777"/>
    <s v="VN19777"/>
    <s v="IT@vpic1"/>
    <d v="2024-05-27T00:00:00"/>
    <m/>
    <m/>
  </r>
  <r>
    <n v="477"/>
    <n v="18"/>
    <x v="19"/>
    <s v="Nguyễn Ngọc Thanh"/>
    <s v="#13847"/>
    <s v="VN13847"/>
    <s v="IT@vpic1"/>
    <d v="2024-05-27T00:00:00"/>
    <m/>
    <m/>
  </r>
  <r>
    <n v="478"/>
    <n v="19"/>
    <x v="19"/>
    <s v="Nguyễn Văn Hải"/>
    <s v="#03408"/>
    <s v="VN03408"/>
    <s v="IT@vpic1"/>
    <d v="2024-05-27T00:00:00"/>
    <m/>
    <m/>
  </r>
  <r>
    <n v="479"/>
    <n v="20"/>
    <x v="19"/>
    <s v="Nguyễn Văn Thái"/>
    <s v="#26003"/>
    <s v="VN26003"/>
    <s v="IT@vpic1"/>
    <d v="2025-06-04T00:00:00"/>
    <m/>
    <m/>
  </r>
  <r>
    <n v="480"/>
    <n v="1"/>
    <x v="28"/>
    <s v="Phạm Thị Hằng"/>
    <s v="#15704"/>
    <s v="VN15704"/>
    <s v="IT@vpic1"/>
    <d v="2024-05-25T00:00:00"/>
    <m/>
    <m/>
  </r>
  <r>
    <n v="481"/>
    <n v="2"/>
    <x v="28"/>
    <s v="Lưu Văn Sơn"/>
    <s v="#01413"/>
    <s v="VN01413"/>
    <s v="IT@vpic1"/>
    <d v="2024-05-25T00:00:00"/>
    <m/>
    <m/>
  </r>
  <r>
    <n v="482"/>
    <n v="3"/>
    <x v="28"/>
    <s v="Dương Thị Hương"/>
    <s v="#10636"/>
    <s v="VN10636"/>
    <s v="IT@vpic1"/>
    <d v="2024-05-25T00:00:00"/>
    <m/>
    <m/>
  </r>
  <r>
    <n v="483"/>
    <n v="4"/>
    <x v="28"/>
    <e v="#N/A"/>
    <s v="#15705"/>
    <s v="VN15705"/>
    <s v="IT@vpic1"/>
    <d v="2024-05-25T00:00:00"/>
    <d v="2025-05-29T00:00:00"/>
    <d v="2025-05-29T00:00:00"/>
  </r>
  <r>
    <n v="484"/>
    <n v="5"/>
    <x v="28"/>
    <e v="#N/A"/>
    <s v="DAP407-MEETING"/>
    <s v="DAP4.MEET"/>
    <s v="IT@vpic1"/>
    <d v="2024-05-25T00:00:00"/>
    <m/>
    <m/>
  </r>
  <r>
    <n v="485"/>
    <n v="6"/>
    <x v="28"/>
    <s v="Nguyễn Thị Thu Hà"/>
    <s v="#10595"/>
    <s v="VN10595"/>
    <s v="IT@vpic1"/>
    <d v="2024-05-25T00:00:00"/>
    <m/>
    <m/>
  </r>
  <r>
    <n v="486"/>
    <n v="7"/>
    <x v="28"/>
    <s v="Phan Thị Loan"/>
    <s v="#16434"/>
    <s v="VN16434"/>
    <s v="IT@vpic1"/>
    <d v="2024-05-22T00:00:00"/>
    <m/>
    <m/>
  </r>
  <r>
    <n v="487"/>
    <n v="8"/>
    <x v="28"/>
    <e v="#N/A"/>
    <s v="#12014"/>
    <s v="VN12014"/>
    <s v="IT@vpic1"/>
    <d v="2024-05-25T00:00:00"/>
    <d v="2025-05-29T00:00:00"/>
    <d v="2025-05-29T00:00:00"/>
  </r>
  <r>
    <n v="488"/>
    <n v="9"/>
    <x v="28"/>
    <s v="Dương Thị Thu Nga"/>
    <s v="#11901"/>
    <s v="VN11901"/>
    <s v="IT@vpic1"/>
    <d v="2024-05-25T00:00:00"/>
    <m/>
    <m/>
  </r>
  <r>
    <n v="489"/>
    <n v="10"/>
    <x v="28"/>
    <e v="#N/A"/>
    <s v="#04708"/>
    <s v="VN04708"/>
    <s v="IT@vpic1"/>
    <d v="2024-05-25T00:00:00"/>
    <d v="2025-09-19T00:00:00"/>
    <d v="2025-09-19T00:00:00"/>
  </r>
  <r>
    <n v="490"/>
    <n v="11"/>
    <x v="28"/>
    <s v="Nguyễn Thị Huyền"/>
    <s v="#08352"/>
    <s v="VN08352"/>
    <s v="IT@vpic1"/>
    <d v="2024-06-26T00:00:00"/>
    <m/>
    <m/>
  </r>
  <r>
    <n v="491"/>
    <n v="12"/>
    <x v="28"/>
    <s v="Bùi Thị Hồng Hoài"/>
    <s v="#04365"/>
    <s v="VN04365"/>
    <s v="IT@vpic1"/>
    <d v="2025-03-20T00:00:00"/>
    <m/>
    <m/>
  </r>
  <r>
    <n v="492"/>
    <n v="13"/>
    <x v="28"/>
    <s v="Hoàng Thị Chung"/>
    <s v="#25918"/>
    <s v="VN25918"/>
    <s v="IT@vpic1"/>
    <d v="2025-06-03T00:00:00"/>
    <m/>
    <m/>
  </r>
  <r>
    <n v="493"/>
    <n v="14"/>
    <x v="28"/>
    <s v="Đào Thị Giang"/>
    <s v="#10199"/>
    <s v="VN10199"/>
    <s v="IT@vpic1"/>
    <d v="2025-06-05T00:00:00"/>
    <m/>
    <m/>
  </r>
  <r>
    <n v="494"/>
    <n v="1"/>
    <x v="29"/>
    <s v="Nguyễn Tuấn Quyền"/>
    <s v="#00758"/>
    <s v="VN00758"/>
    <s v="IT@vpic1"/>
    <d v="2024-05-25T00:00:00"/>
    <m/>
    <m/>
  </r>
  <r>
    <n v="495"/>
    <n v="2"/>
    <x v="29"/>
    <s v="Nguyễn Phong Vũ"/>
    <s v="#00405"/>
    <s v="VN00405"/>
    <s v="IT@vpic1"/>
    <d v="2024-05-25T00:00:00"/>
    <m/>
    <m/>
  </r>
  <r>
    <n v="496"/>
    <n v="3"/>
    <x v="29"/>
    <s v="Bùi Thị Lan Hương"/>
    <s v="#08949"/>
    <s v="VN08949"/>
    <s v="IT@vpic1"/>
    <d v="2024-05-25T00:00:00"/>
    <m/>
    <m/>
  </r>
  <r>
    <n v="497"/>
    <n v="4"/>
    <x v="29"/>
    <s v="Lâm Quang Hải"/>
    <s v="#00231"/>
    <s v="VN00231"/>
    <s v="IT@vpic1"/>
    <d v="2024-05-25T00:00:00"/>
    <m/>
    <m/>
  </r>
  <r>
    <n v="498"/>
    <n v="5"/>
    <x v="29"/>
    <s v="Nguyễn Thị Phượng"/>
    <s v="#02295"/>
    <s v="VN02295"/>
    <s v="IT@vpic1"/>
    <d v="2024-05-25T00:00:00"/>
    <m/>
    <m/>
  </r>
  <r>
    <n v="499"/>
    <n v="6"/>
    <x v="29"/>
    <s v="Phạm Tiến Dũng"/>
    <s v="#24199"/>
    <s v="VN24199"/>
    <s v="IT@vpic1"/>
    <d v="2024-05-25T00:00:00"/>
    <m/>
    <m/>
  </r>
  <r>
    <n v="500"/>
    <n v="7"/>
    <x v="29"/>
    <s v="Nguyễn Thị Hoa"/>
    <s v="#00379"/>
    <s v="VN00379"/>
    <s v="IT@vpic1"/>
    <d v="2024-05-25T00:00:00"/>
    <m/>
    <m/>
  </r>
  <r>
    <n v="501"/>
    <n v="8"/>
    <x v="29"/>
    <s v="Ngô Thị Thu Hằng"/>
    <s v="#02419"/>
    <s v="VN02419"/>
    <s v="IT@vpic1"/>
    <d v="2024-05-25T00:00:00"/>
    <m/>
    <m/>
  </r>
  <r>
    <n v="502"/>
    <n v="9"/>
    <x v="29"/>
    <s v="Vũ Huy Hà"/>
    <s v="#01936"/>
    <s v="VN01936"/>
    <s v="IT@vpic1"/>
    <d v="2024-05-25T00:00:00"/>
    <m/>
    <m/>
  </r>
  <r>
    <n v="503"/>
    <n v="10"/>
    <x v="29"/>
    <s v="Trần Anh Đoàn"/>
    <s v="#02196"/>
    <s v="VN02196"/>
    <s v="IT@vpic1"/>
    <d v="2024-05-25T00:00:00"/>
    <m/>
    <m/>
  </r>
  <r>
    <n v="504"/>
    <n v="1"/>
    <x v="30"/>
    <s v="Vũ Thanh Tùng"/>
    <s v="#00213"/>
    <s v="VN00213"/>
    <s v="IT@vpic1"/>
    <d v="2024-05-25T00:00:00"/>
    <m/>
    <m/>
  </r>
  <r>
    <n v="505"/>
    <n v="2"/>
    <x v="30"/>
    <s v="Vũ Trường Giang"/>
    <s v="#07948"/>
    <s v="VN07948"/>
    <s v="IT@vpic1"/>
    <d v="2024-05-25T00:00:00"/>
    <m/>
    <m/>
  </r>
  <r>
    <n v="506"/>
    <n v="1"/>
    <x v="31"/>
    <s v="Nguyễn Văn Mạnh"/>
    <s v="#07281"/>
    <s v="VN07281"/>
    <s v="IT@vpic1"/>
    <d v="2024-05-20T00:00:00"/>
    <m/>
    <m/>
  </r>
  <r>
    <n v="507"/>
    <n v="2"/>
    <x v="31"/>
    <s v="Dương Quốc Toản"/>
    <s v="#00334"/>
    <s v="VN00334"/>
    <s v="IT@vpic1"/>
    <d v="2024-05-20T00:00:00"/>
    <m/>
    <m/>
  </r>
  <r>
    <n v="508"/>
    <n v="3"/>
    <x v="31"/>
    <s v="Lưu Thành Đức"/>
    <s v="#04015"/>
    <s v="VN04015"/>
    <s v="IT@vpic1"/>
    <d v="2024-05-20T00:00:00"/>
    <d v="2025-10-20T00:00:00"/>
    <m/>
  </r>
  <r>
    <n v="509"/>
    <n v="1"/>
    <x v="32"/>
    <e v="#N/A"/>
    <s v="#01919"/>
    <s v="VN01919"/>
    <s v="IT@vpic1"/>
    <d v="2024-05-22T00:00:00"/>
    <d v="2025-05-26T00:00:00"/>
    <d v="2025-05-26T00:00:00"/>
  </r>
  <r>
    <n v="510"/>
    <n v="2"/>
    <x v="32"/>
    <s v="Vũ Thị Kim Anh"/>
    <s v="#00464"/>
    <s v="VN00464"/>
    <s v="IT@vpic1"/>
    <d v="2024-05-22T00:00:00"/>
    <m/>
    <m/>
  </r>
  <r>
    <n v="511"/>
    <n v="3"/>
    <x v="32"/>
    <s v="Phạm Hồng Hải"/>
    <s v="#09879"/>
    <s v="VN09879"/>
    <s v="IT@vpic1"/>
    <d v="2024-05-22T00:00:00"/>
    <m/>
    <m/>
  </r>
  <r>
    <n v="512"/>
    <n v="4"/>
    <x v="32"/>
    <s v="Nguyễn Thị Bảo Phương"/>
    <s v="#01386"/>
    <s v="VN01386"/>
    <s v="IT@vpic1"/>
    <d v="2024-05-22T00:00:00"/>
    <m/>
    <m/>
  </r>
  <r>
    <n v="513"/>
    <n v="5"/>
    <x v="32"/>
    <s v="Nguyễn Thị Hồng Nhung"/>
    <s v="#14021"/>
    <s v="VN14021"/>
    <s v="IT@vpic1"/>
    <d v="2024-05-22T00:00:00"/>
    <m/>
    <m/>
  </r>
  <r>
    <n v="514"/>
    <n v="6"/>
    <x v="32"/>
    <s v="Thiều Thị Mến"/>
    <s v="#07843"/>
    <s v="VN07843"/>
    <s v="IT@vpic1"/>
    <d v="2024-05-22T00:00:00"/>
    <m/>
    <m/>
  </r>
  <r>
    <n v="515"/>
    <n v="7"/>
    <x v="32"/>
    <s v="Trần Thị Lê Hoàn"/>
    <s v="#01527"/>
    <s v="VN01527"/>
    <s v="IT@vpic1"/>
    <d v="2024-05-22T00:00:00"/>
    <m/>
    <m/>
  </r>
  <r>
    <n v="516"/>
    <n v="8"/>
    <x v="32"/>
    <s v="Nguyễn Thị Thu Hà"/>
    <s v="#01015"/>
    <s v="VN01015"/>
    <s v="IT@vpic1"/>
    <d v="2024-05-22T00:00:00"/>
    <m/>
    <m/>
  </r>
  <r>
    <n v="517"/>
    <n v="9"/>
    <x v="32"/>
    <s v="Trần Ngọc Kim"/>
    <s v="#04197"/>
    <s v="VN04197"/>
    <s v="IT@vpic1"/>
    <d v="2024-05-22T00:00:00"/>
    <m/>
    <m/>
  </r>
  <r>
    <n v="518"/>
    <n v="10"/>
    <x v="32"/>
    <s v="Trần Thị ánh Thu"/>
    <s v="#00662"/>
    <s v="VN00662"/>
    <s v="IT@vpic1"/>
    <d v="2024-05-22T00:00:00"/>
    <m/>
    <m/>
  </r>
  <r>
    <n v="519"/>
    <n v="11"/>
    <x v="32"/>
    <s v="Nguyễn Thị Thơm"/>
    <s v="#01294"/>
    <s v="VN01294"/>
    <s v="IT@vpic1"/>
    <d v="2024-05-22T00:00:00"/>
    <m/>
    <m/>
  </r>
  <r>
    <n v="520"/>
    <n v="12"/>
    <x v="32"/>
    <s v="Chu Thị Kiều Trang"/>
    <s v="#23102"/>
    <s v="VN23102"/>
    <s v="IT@vpic1"/>
    <d v="2024-05-22T00:00:00"/>
    <m/>
    <m/>
  </r>
  <r>
    <n v="521"/>
    <n v="13"/>
    <x v="32"/>
    <s v="Ngô Đình Hoàng"/>
    <s v="#02646"/>
    <s v="VN02646"/>
    <s v="IT@vpic1"/>
    <d v="2024-05-22T00:00:00"/>
    <m/>
    <m/>
  </r>
  <r>
    <n v="522"/>
    <n v="14"/>
    <x v="32"/>
    <s v="Phạm Ngọc Thiện"/>
    <s v="#03615"/>
    <s v="VN03615"/>
    <s v="IT@vpic1"/>
    <d v="2024-05-22T00:00:00"/>
    <m/>
    <m/>
  </r>
  <r>
    <n v="523"/>
    <n v="15"/>
    <x v="32"/>
    <e v="#N/A"/>
    <s v="MEETING-KT"/>
    <s v="TV.MEET"/>
    <s v="IT@vpic1"/>
    <d v="2024-05-22T00:00:00"/>
    <m/>
    <m/>
  </r>
  <r>
    <n v="524"/>
    <n v="16"/>
    <x v="32"/>
    <s v="Khổng Dương"/>
    <s v="#01525"/>
    <s v="VN01525"/>
    <s v="IT@vpic1"/>
    <d v="2024-05-22T00:00:00"/>
    <m/>
    <m/>
  </r>
  <r>
    <n v="525"/>
    <n v="17"/>
    <x v="32"/>
    <s v="Nguyễn Ngọc Cảnh"/>
    <s v="#01555"/>
    <s v="VN01555"/>
    <s v="IT@vpic1"/>
    <d v="2024-05-22T00:00:00"/>
    <m/>
    <m/>
  </r>
  <r>
    <n v="526"/>
    <n v="18"/>
    <x v="32"/>
    <s v="Khổng Việt Vương"/>
    <s v="#25677"/>
    <s v="VN25677"/>
    <s v="IT@vpic1"/>
    <d v="2025-05-26T00:00:00"/>
    <m/>
    <m/>
  </r>
  <r>
    <n v="527"/>
    <n v="1"/>
    <x v="33"/>
    <s v="Nguyễn Mạnh Tú"/>
    <s v="#01436"/>
    <s v="VN01436"/>
    <s v="IT@vpic1"/>
    <d v="2024-05-22T00:00:00"/>
    <m/>
    <m/>
  </r>
  <r>
    <n v="528"/>
    <n v="2"/>
    <x v="33"/>
    <s v="Trần Việt Long"/>
    <s v="#02611"/>
    <s v="VN02611"/>
    <s v="IT@vpic1"/>
    <d v="2024-05-22T00:00:00"/>
    <d v="2025-10-20T00:00:00"/>
    <m/>
  </r>
  <r>
    <n v="529"/>
    <n v="3"/>
    <x v="33"/>
    <s v="Dương Thị Thu Thủy"/>
    <s v="#01373"/>
    <s v="VN01373"/>
    <s v="IT@vpic1"/>
    <d v="2024-05-22T00:00:00"/>
    <m/>
    <m/>
  </r>
  <r>
    <n v="530"/>
    <n v="4"/>
    <x v="33"/>
    <s v="Nguyễn Thị Luyến"/>
    <s v="#00917"/>
    <s v="VN00917"/>
    <s v="IT@vpic1"/>
    <d v="2024-05-22T00:00:00"/>
    <m/>
    <m/>
  </r>
  <r>
    <n v="531"/>
    <n v="5"/>
    <x v="33"/>
    <s v="Nguyễn Thị Thuý Minh"/>
    <s v="#01198"/>
    <s v="VN01198"/>
    <s v="IT@vpic1"/>
    <d v="2024-05-22T00:00:00"/>
    <m/>
    <m/>
  </r>
  <r>
    <n v="532"/>
    <n v="6"/>
    <x v="33"/>
    <s v="Lê Thị Thu"/>
    <s v="#16878"/>
    <s v="VN16878"/>
    <s v="IT@vpic1"/>
    <d v="2024-05-22T00:00:00"/>
    <m/>
    <m/>
  </r>
  <r>
    <n v="533"/>
    <n v="7"/>
    <x v="33"/>
    <s v="Bùi Việt Anh"/>
    <s v="#01021"/>
    <s v="VN01021"/>
    <s v="IT@vpic1"/>
    <d v="2024-05-22T00:00:00"/>
    <m/>
    <m/>
  </r>
  <r>
    <n v="534"/>
    <n v="8"/>
    <x v="33"/>
    <s v="Phạm Thị Ngọc Hà"/>
    <s v="#09194"/>
    <s v="VN09194"/>
    <s v="IT@vpic1"/>
    <d v="2024-05-22T00:00:00"/>
    <m/>
    <m/>
  </r>
  <r>
    <n v="535"/>
    <n v="9"/>
    <x v="33"/>
    <s v="Bùi Thị Minh"/>
    <s v="#19005"/>
    <s v="VN19005"/>
    <s v="IT@vpic1"/>
    <d v="2024-05-22T00:00:00"/>
    <m/>
    <m/>
  </r>
  <r>
    <n v="536"/>
    <n v="10"/>
    <x v="33"/>
    <s v="Đặng Văn Thái"/>
    <s v="#09155"/>
    <s v="VN09155"/>
    <s v="IT@vpic1"/>
    <d v="2024-07-27T00:00:00"/>
    <m/>
    <m/>
  </r>
  <r>
    <n v="537"/>
    <n v="11"/>
    <x v="33"/>
    <e v="#N/A"/>
    <s v="#00167"/>
    <s v="VN00167"/>
    <s v="IT@vpic1"/>
    <d v="2024-05-22T00:00:00"/>
    <d v="2025-05-29T00:00:00"/>
    <d v="2025-05-29T00:00:00"/>
  </r>
  <r>
    <n v="538"/>
    <n v="12"/>
    <x v="33"/>
    <s v="Lê Phương Quỳnh"/>
    <s v="#00776"/>
    <s v="VN00776"/>
    <s v="IT@vpic1"/>
    <d v="2024-05-22T00:00:00"/>
    <m/>
    <m/>
  </r>
  <r>
    <n v="539"/>
    <n v="13"/>
    <x v="33"/>
    <s v="Đặng Duy Tôn"/>
    <s v="#06000"/>
    <s v="VN06000"/>
    <s v="IT@vpic1"/>
    <d v="2024-05-22T00:00:00"/>
    <m/>
    <m/>
  </r>
  <r>
    <n v="540"/>
    <n v="14"/>
    <x v="33"/>
    <e v="#N/A"/>
    <s v="#22029"/>
    <s v="VN22029"/>
    <s v="IT@vpic1"/>
    <d v="2024-05-22T00:00:00"/>
    <d v="2025-05-29T00:00:00"/>
    <d v="2025-05-29T00:00:00"/>
  </r>
  <r>
    <n v="541"/>
    <n v="15"/>
    <x v="33"/>
    <s v="Nguyễn Thị Lê"/>
    <s v="#05479"/>
    <s v="VN05479"/>
    <s v="IT@vpic1"/>
    <d v="2024-06-21T00:00:00"/>
    <d v="2025-10-20T00:00:00"/>
    <m/>
  </r>
  <r>
    <n v="542"/>
    <n v="16"/>
    <x v="33"/>
    <s v="Đặng Bình Minh"/>
    <s v="#04914"/>
    <s v="VN04914"/>
    <s v="IT@vpic1"/>
    <d v="2024-06-21T00:00:00"/>
    <m/>
    <m/>
  </r>
  <r>
    <n v="543"/>
    <n v="1"/>
    <x v="26"/>
    <s v="Phùng Khánh"/>
    <s v="#01906"/>
    <s v="VN01906"/>
    <s v="IT@vpic1"/>
    <d v="2024-05-22T00:00:00"/>
    <m/>
    <m/>
  </r>
  <r>
    <n v="544"/>
    <n v="2"/>
    <x v="34"/>
    <e v="#N/A"/>
    <s v="#01376"/>
    <s v="VN01376"/>
    <s v="IT@vpic1"/>
    <d v="2024-05-22T00:00:00"/>
    <d v="2025-05-29T00:00:00"/>
    <d v="2025-05-29T00:00:00"/>
  </r>
  <r>
    <n v="545"/>
    <n v="3"/>
    <x v="34"/>
    <s v="Ngô Thị Dung"/>
    <s v="#01911"/>
    <s v="VN01911"/>
    <s v="IT@vpic1"/>
    <d v="2024-05-22T00:00:00"/>
    <m/>
    <m/>
  </r>
  <r>
    <n v="546"/>
    <n v="4"/>
    <x v="34"/>
    <s v="Phan Thị Thu Hiền"/>
    <s v="#01134"/>
    <s v="VN01134"/>
    <s v="IT@vpic1"/>
    <d v="2024-05-22T00:00:00"/>
    <m/>
    <m/>
  </r>
  <r>
    <n v="547"/>
    <n v="5"/>
    <x v="26"/>
    <s v="Phan Thị Thúy Hằng"/>
    <s v="#18616"/>
    <s v="VN18616"/>
    <s v="IT@vpic1"/>
    <d v="2024-05-16T00:00:00"/>
    <m/>
    <m/>
  </r>
  <r>
    <n v="548"/>
    <n v="6"/>
    <x v="34"/>
    <s v="Nguyễn Duy Khánh"/>
    <s v="#01167"/>
    <s v="VN01167"/>
    <s v="IT@vpic1"/>
    <d v="2024-05-22T00:00:00"/>
    <m/>
    <m/>
  </r>
  <r>
    <n v="549"/>
    <n v="7"/>
    <x v="34"/>
    <s v="Nguyễn Thị Lan"/>
    <s v="#11988"/>
    <s v="VN11988"/>
    <s v="IT@vpic1"/>
    <d v="2024-05-22T00:00:00"/>
    <m/>
    <m/>
  </r>
  <r>
    <n v="550"/>
    <n v="8"/>
    <x v="26"/>
    <s v="Nguyễn Chiến"/>
    <s v="#09784"/>
    <s v="VN09784"/>
    <s v="IT@vpic1"/>
    <d v="2024-05-22T00:00:00"/>
    <m/>
    <m/>
  </r>
  <r>
    <n v="551"/>
    <n v="9"/>
    <x v="26"/>
    <s v="Phạm Văn Hiếu"/>
    <s v="#19427"/>
    <s v="VN19427"/>
    <s v="IT@vpic1"/>
    <d v="2024-05-22T00:00:00"/>
    <m/>
    <m/>
  </r>
  <r>
    <n v="552"/>
    <n v="10"/>
    <x v="26"/>
    <s v="Đặng Ngọc Vương"/>
    <s v="#14019"/>
    <s v="VN14019"/>
    <s v="IT@vpic1"/>
    <d v="2024-05-22T00:00:00"/>
    <m/>
    <m/>
  </r>
  <r>
    <n v="553"/>
    <n v="11"/>
    <x v="34"/>
    <s v="Nguyễn Văn Hiếu"/>
    <s v="#00234"/>
    <s v="VN00234"/>
    <s v="IT@vpic1"/>
    <d v="2024-05-22T00:00:00"/>
    <m/>
    <m/>
  </r>
  <r>
    <n v="554"/>
    <n v="12"/>
    <x v="34"/>
    <s v="Chu Văn Lượng"/>
    <s v="#01795"/>
    <s v="VN01795"/>
    <s v="IT@vpic1"/>
    <d v="2024-06-24T00:00:00"/>
    <m/>
    <m/>
  </r>
  <r>
    <n v="554"/>
    <n v="12"/>
    <x v="34"/>
    <s v="Trần Quốc Tuấn"/>
    <s v="#21803"/>
    <s v="VN21803"/>
    <s v="IT@vpic1"/>
    <d v="2024-06-24T00:00:00"/>
    <m/>
    <m/>
  </r>
  <r>
    <n v="555"/>
    <n v="13"/>
    <x v="26"/>
    <s v="Trần Văn Ngọc"/>
    <s v="#16577"/>
    <s v="VN16577"/>
    <s v="IT@vpic1"/>
    <d v="2024-05-22T00:00:00"/>
    <m/>
    <m/>
  </r>
  <r>
    <n v="556"/>
    <n v="14"/>
    <x v="34"/>
    <s v="Thái Thị Hạnh"/>
    <s v="#16917"/>
    <s v="VN16917"/>
    <s v="IT@vpic1"/>
    <d v="2024-05-22T00:00:00"/>
    <m/>
    <m/>
  </r>
  <r>
    <n v="557"/>
    <n v="15"/>
    <x v="34"/>
    <s v="Nguyễn Văn Quân"/>
    <s v="#02131"/>
    <s v="VN02131"/>
    <s v="IT@vpic1"/>
    <d v="2024-05-22T00:00:00"/>
    <m/>
    <m/>
  </r>
  <r>
    <n v="558"/>
    <n v="16"/>
    <x v="26"/>
    <s v="Bùi Quang Doanh"/>
    <s v="#24332"/>
    <s v="VN24332"/>
    <s v="IT@vpic1"/>
    <d v="2024-05-22T00:00:00"/>
    <m/>
    <m/>
  </r>
  <r>
    <n v="559"/>
    <n v="17"/>
    <x v="26"/>
    <s v="Phạm Quốc Trượng"/>
    <s v="#16439"/>
    <s v="VN16439"/>
    <s v="IT@vpic1"/>
    <d v="2024-05-22T00:00:00"/>
    <m/>
    <m/>
  </r>
  <r>
    <n v="560"/>
    <n v="18"/>
    <x v="33"/>
    <s v="Nguyễn Thành Quyết"/>
    <s v="#00930"/>
    <s v="VN00930"/>
    <s v="IT@vpic1"/>
    <d v="2024-05-22T00:00:00"/>
    <m/>
    <m/>
  </r>
  <r>
    <n v="561"/>
    <n v="19"/>
    <x v="26"/>
    <s v="Trần Anh Thế"/>
    <s v="#01434"/>
    <s v="VN01434"/>
    <s v="IT@vpic1"/>
    <d v="2024-05-22T00:00:00"/>
    <m/>
    <m/>
  </r>
  <r>
    <n v="562"/>
    <n v="20"/>
    <x v="26"/>
    <s v="Nguyễn Thị Minh Anh"/>
    <s v="#18327"/>
    <s v="VN18327"/>
    <s v="IT@vpic1"/>
    <d v="2024-05-22T00:00:00"/>
    <m/>
    <m/>
  </r>
  <r>
    <n v="563"/>
    <n v="21"/>
    <x v="34"/>
    <s v="Nguyễn Ngọc Tuấn"/>
    <s v="#02985"/>
    <s v="VN02985"/>
    <s v="IT@vpic1"/>
    <d v="2024-05-22T00:00:00"/>
    <m/>
    <m/>
  </r>
  <r>
    <n v="564"/>
    <n v="22"/>
    <x v="34"/>
    <s v="Nguyễn Duy Hữu"/>
    <s v="#01309"/>
    <s v="VN01309"/>
    <s v="IT@vpic1"/>
    <d v="2024-05-22T00:00:00"/>
    <m/>
    <m/>
  </r>
  <r>
    <n v="565"/>
    <n v="23"/>
    <x v="26"/>
    <s v="Vũ Duy Đức"/>
    <s v="#17213"/>
    <s v="VN17213"/>
    <s v="IT@vpic1"/>
    <d v="2024-05-23T00:00:00"/>
    <m/>
    <m/>
  </r>
  <r>
    <n v="566"/>
    <n v="24"/>
    <x v="26"/>
    <s v="Chu Đức Tùng"/>
    <s v="#24124"/>
    <s v="VN24124"/>
    <s v="IT@vpic1"/>
    <d v="2024-05-23T00:00:00"/>
    <m/>
    <m/>
  </r>
  <r>
    <n v="567"/>
    <n v="25"/>
    <x v="26"/>
    <s v="Nguyễn Thị Hồng"/>
    <s v="#23101"/>
    <s v="VN23101"/>
    <s v="IT@vpic1"/>
    <d v="2024-05-23T00:00:00"/>
    <m/>
    <m/>
  </r>
  <r>
    <n v="568"/>
    <n v="26"/>
    <x v="26"/>
    <s v="Đinh Công Việt"/>
    <s v="#20363"/>
    <s v="VN20363"/>
    <s v="IT@vpic1"/>
    <d v="2024-05-23T00:00:00"/>
    <m/>
    <m/>
  </r>
  <r>
    <n v="569"/>
    <n v="27"/>
    <x v="26"/>
    <s v="Vũ Đức Cảnh"/>
    <s v="#22881"/>
    <s v="VN22881"/>
    <s v="IT@vpic1"/>
    <d v="2024-05-23T00:00:00"/>
    <m/>
    <m/>
  </r>
  <r>
    <n v="570"/>
    <n v="28"/>
    <x v="26"/>
    <s v="Dương Mạnh Quang"/>
    <s v="#24325"/>
    <s v="VN24325"/>
    <s v="IT@vpic1"/>
    <d v="2024-05-23T00:00:00"/>
    <m/>
    <m/>
  </r>
  <r>
    <n v="571"/>
    <n v="29"/>
    <x v="26"/>
    <s v="Trần Trung Đức"/>
    <s v="#23748"/>
    <s v="VN23748"/>
    <s v="IT@vpic1"/>
    <d v="2024-05-23T00:00:00"/>
    <m/>
    <m/>
  </r>
  <r>
    <n v="572"/>
    <n v="30"/>
    <x v="34"/>
    <e v="#N/A"/>
    <s v="#24327"/>
    <s v="VN24327"/>
    <s v="IT@vpic1"/>
    <d v="2024-05-23T00:00:00"/>
    <d v="2025-05-29T00:00:00"/>
    <d v="2025-05-29T00:00:00"/>
  </r>
  <r>
    <n v="573"/>
    <n v="31"/>
    <x v="26"/>
    <e v="#N/A"/>
    <s v="#15378"/>
    <s v="VN15378"/>
    <s v="IT@vpic1"/>
    <d v="2024-05-23T00:00:00"/>
    <d v="2025-08-07T00:00:00"/>
    <d v="2025-08-07T00:00:00"/>
  </r>
  <r>
    <n v="574"/>
    <n v="32"/>
    <x v="34"/>
    <e v="#N/A"/>
    <s v="#24330"/>
    <s v="VN24330"/>
    <s v="IT@vpic1"/>
    <d v="2024-05-23T00:00:00"/>
    <d v="2025-05-29T00:00:00"/>
    <d v="2025-05-29T00:00:00"/>
  </r>
  <r>
    <n v="575"/>
    <n v="33"/>
    <x v="26"/>
    <s v="Nguyễn Anh Quân"/>
    <s v="#21794"/>
    <s v="VN21794"/>
    <s v="IT@vpic1"/>
    <d v="2024-05-23T00:00:00"/>
    <m/>
    <m/>
  </r>
  <r>
    <n v="576"/>
    <n v="34"/>
    <x v="26"/>
    <s v="Nguyễn Hữu Bửu"/>
    <s v="#24326"/>
    <s v="VN24326"/>
    <s v="IT@vpic1"/>
    <d v="2024-05-23T00:00:00"/>
    <m/>
    <m/>
  </r>
  <r>
    <n v="577"/>
    <n v="35"/>
    <x v="34"/>
    <e v="#N/A"/>
    <s v="GC-MEETING"/>
    <s v="GC.MEET"/>
    <s v="IT@vpic1"/>
    <d v="2024-05-23T00:00:00"/>
    <m/>
    <m/>
  </r>
  <r>
    <n v="578"/>
    <n v="36"/>
    <x v="26"/>
    <s v="Nguyễn Tiến Dũng"/>
    <s v="#17950"/>
    <s v="VN17950"/>
    <s v="IT@vpic1"/>
    <d v="2024-05-23T00:00:00"/>
    <m/>
    <m/>
  </r>
  <r>
    <n v="579"/>
    <n v="37"/>
    <x v="26"/>
    <s v="Nguyễn Văn Hưng"/>
    <s v="#11314"/>
    <s v="VN11314"/>
    <s v="IT@vpic1"/>
    <d v="2024-05-23T00:00:00"/>
    <m/>
    <m/>
  </r>
  <r>
    <n v="580"/>
    <n v="38"/>
    <x v="26"/>
    <s v="Ngô Thị Chung"/>
    <s v="#09655"/>
    <s v="VN09655"/>
    <s v="IT@vpic1"/>
    <d v="2024-05-23T00:00:00"/>
    <m/>
    <m/>
  </r>
  <r>
    <n v="581"/>
    <n v="39"/>
    <x v="26"/>
    <s v="Phan Văn Hậu"/>
    <s v="#10140"/>
    <s v="VN10140"/>
    <s v="IT@vpic1"/>
    <d v="2024-05-23T00:00:00"/>
    <m/>
    <m/>
  </r>
  <r>
    <n v="582"/>
    <n v="40"/>
    <x v="26"/>
    <s v="Nguyễn Thị Như"/>
    <s v="#25843"/>
    <s v="VN25843"/>
    <s v="IT@vpic1"/>
    <d v="2025-04-21T00:00:00"/>
    <m/>
    <m/>
  </r>
  <r>
    <n v="583"/>
    <n v="41"/>
    <x v="26"/>
    <s v="Trần Việt Hưng"/>
    <s v="#25860"/>
    <s v="VN25860"/>
    <s v="IT@vpic1"/>
    <d v="2025-04-21T00:00:00"/>
    <m/>
    <m/>
  </r>
  <r>
    <n v="584"/>
    <m/>
    <x v="34"/>
    <s v="Nguyễn Văn Lâm"/>
    <s v="#01876"/>
    <s v="VN01876"/>
    <s v="IT@vpic1"/>
    <d v="2025-05-13T00:00:00"/>
    <m/>
    <m/>
  </r>
  <r>
    <n v="585"/>
    <m/>
    <x v="26"/>
    <s v="Hà Thị Vân"/>
    <s v="#26368"/>
    <s v="VN26368"/>
    <s v="IT@vpic1"/>
    <d v="2025-10-13T00:00:00"/>
    <m/>
    <m/>
  </r>
  <r>
    <n v="586"/>
    <m/>
    <x v="26"/>
    <s v="Nguyễn Khắc Tuyển"/>
    <s v="#25978"/>
    <s v="VN25978"/>
    <s v="IT@vpic1"/>
    <d v="2025-10-16T00:00:00"/>
    <m/>
    <m/>
  </r>
  <r>
    <n v="587"/>
    <m/>
    <x v="26"/>
    <s v="Lê Văn Tuấn"/>
    <s v="#25844"/>
    <s v="VN25844"/>
    <s v="IT@vpic1"/>
    <d v="2025-10-16T00:00:00"/>
    <m/>
    <m/>
  </r>
  <r>
    <n v="588"/>
    <m/>
    <x v="26"/>
    <s v="Đinh Khánh Toàn"/>
    <s v="#26285"/>
    <s v="VN26285"/>
    <s v="IT@vpic1"/>
    <d v="2025-10-16T00:00:00"/>
    <m/>
    <m/>
  </r>
  <r>
    <n v="589"/>
    <m/>
    <x v="26"/>
    <s v="Lê Mạnh Cường"/>
    <s v="#26183"/>
    <s v="VN26183"/>
    <s v="IT@vpic1"/>
    <d v="2025-10-16T00:00:00"/>
    <m/>
    <m/>
  </r>
  <r>
    <n v="590"/>
    <m/>
    <x v="26"/>
    <s v="Nguyễn Mạnh Quỳnh Anh"/>
    <s v="#24995"/>
    <s v="VN24995"/>
    <s v="IT@vpic1"/>
    <d v="2025-10-16T00:00:00"/>
    <m/>
    <m/>
  </r>
  <r>
    <n v="591"/>
    <m/>
    <x v="26"/>
    <s v="Lê Văn Vịnh"/>
    <s v="#26204"/>
    <s v="VN26204"/>
    <s v="IT@vpic1"/>
    <d v="2025-10-16T00:00:00"/>
    <m/>
    <m/>
  </r>
  <r>
    <n v="592"/>
    <n v="1"/>
    <x v="35"/>
    <s v="Nguyễn Thị Tuyết Mai"/>
    <s v="#06831"/>
    <s v="VN06831"/>
    <s v="IT@vpic1"/>
    <d v="2024-05-22T00:00:00"/>
    <m/>
    <m/>
  </r>
  <r>
    <n v="593"/>
    <n v="2"/>
    <x v="35"/>
    <s v="Phan Hải Ba"/>
    <s v="#02261"/>
    <s v="VN02261"/>
    <s v="IT@vpic1"/>
    <d v="2024-05-22T00:00:00"/>
    <m/>
    <m/>
  </r>
  <r>
    <n v="594"/>
    <n v="3"/>
    <x v="35"/>
    <e v="#N/A"/>
    <s v="#08753"/>
    <s v="VN08753"/>
    <s v="IT@vpic1"/>
    <d v="2024-05-22T00:00:00"/>
    <d v="2025-05-29T00:00:00"/>
    <d v="2025-05-29T00:00:00"/>
  </r>
  <r>
    <n v="595"/>
    <n v="4"/>
    <x v="35"/>
    <s v="Trần Xuân Đông"/>
    <s v="#00931"/>
    <s v="VN00931"/>
    <s v="IT@vpic1"/>
    <d v="2024-05-22T00:00:00"/>
    <m/>
    <m/>
  </r>
  <r>
    <n v="596"/>
    <n v="5"/>
    <x v="35"/>
    <s v="Nguyễn Văn Cường"/>
    <s v="#08555"/>
    <s v="VN08555"/>
    <s v="IT@vpic1"/>
    <d v="2024-05-22T00:00:00"/>
    <m/>
    <m/>
  </r>
  <r>
    <n v="597"/>
    <n v="1"/>
    <x v="36"/>
    <s v="Hoàng Thị Giang"/>
    <s v="#14121"/>
    <s v="VN14121"/>
    <s v="IT@vpic1"/>
    <d v="2024-05-20T00:00:00"/>
    <m/>
    <m/>
  </r>
  <r>
    <n v="598"/>
    <n v="2"/>
    <x v="36"/>
    <s v="Nguyễn Thị Bắc Hà"/>
    <s v="#00806"/>
    <s v="VN00806"/>
    <s v="IT@vpic1"/>
    <d v="2024-05-20T00:00:00"/>
    <m/>
    <m/>
  </r>
  <r>
    <n v="599"/>
    <n v="3"/>
    <x v="36"/>
    <s v="Nguyễn Trọng Hùng"/>
    <s v="#09253"/>
    <s v="VN09253"/>
    <s v="IT@vpic1"/>
    <d v="2024-05-20T00:00:00"/>
    <m/>
    <m/>
  </r>
  <r>
    <n v="600"/>
    <n v="4"/>
    <x v="2"/>
    <s v="Phùng Văn Hà"/>
    <s v="#01614"/>
    <s v="VN01614"/>
    <s v="IT@vpic1"/>
    <d v="2024-05-20T00:00:00"/>
    <m/>
    <m/>
  </r>
  <r>
    <n v="601"/>
    <n v="1"/>
    <x v="37"/>
    <s v="Thiều Thị Quỳnh"/>
    <s v="#01662"/>
    <s v="VN01662"/>
    <s v="IT@vpic1"/>
    <d v="2024-05-22T00:00:00"/>
    <m/>
    <m/>
  </r>
  <r>
    <n v="602"/>
    <n v="2"/>
    <x v="37"/>
    <s v="Hoàng Tiến Hưng"/>
    <s v="#01932"/>
    <s v="VN01932"/>
    <s v="IT@vpic1"/>
    <d v="2024-05-22T00:00:00"/>
    <m/>
    <m/>
  </r>
  <r>
    <n v="603"/>
    <n v="3"/>
    <x v="37"/>
    <s v="Bùi Quang Trung"/>
    <s v="#15573"/>
    <s v="VN15573"/>
    <s v="IT@vpic1"/>
    <d v="2024-05-22T00:00:00"/>
    <m/>
    <m/>
  </r>
  <r>
    <n v="604"/>
    <n v="1"/>
    <x v="38"/>
    <s v="Vũ Thị Hoa"/>
    <s v="#01233"/>
    <s v="VN01233"/>
    <s v="IT@vpic1"/>
    <d v="2024-05-22T00:00:00"/>
    <m/>
    <m/>
  </r>
  <r>
    <n v="605"/>
    <n v="2"/>
    <x v="38"/>
    <s v="Nguyễn Thị Hiền"/>
    <s v="#02421"/>
    <s v="VN02421"/>
    <s v="IT@vpic1"/>
    <d v="2024-05-22T00:00:00"/>
    <m/>
    <m/>
  </r>
  <r>
    <n v="606"/>
    <n v="3"/>
    <x v="38"/>
    <s v="Nguyễn Văn Đông"/>
    <s v="#04267"/>
    <s v="VN04267"/>
    <s v="IT@vpic1"/>
    <d v="2024-05-22T00:00:00"/>
    <m/>
    <m/>
  </r>
  <r>
    <n v="607"/>
    <n v="4"/>
    <x v="38"/>
    <s v="Kiều Trọng Minh Hiếu"/>
    <s v="#21090"/>
    <s v="VN21090"/>
    <s v="IT@vpic1"/>
    <d v="2024-05-22T00:00:00"/>
    <m/>
    <m/>
  </r>
  <r>
    <n v="608"/>
    <n v="5"/>
    <x v="38"/>
    <s v="Kiều Mạnh Toàn"/>
    <s v="#04268"/>
    <s v="VN04268"/>
    <s v="IT@vpic1"/>
    <d v="2024-05-22T00:00:00"/>
    <m/>
    <m/>
  </r>
  <r>
    <n v="609"/>
    <n v="6"/>
    <x v="38"/>
    <s v="Hà Thị Thuỳ Linh"/>
    <s v="#06492"/>
    <s v="VN06492"/>
    <s v="IT@vpic1"/>
    <d v="2024-05-22T00:00:00"/>
    <m/>
    <m/>
  </r>
  <r>
    <n v="610"/>
    <n v="7"/>
    <x v="38"/>
    <s v="Lê Khánh Toàn"/>
    <s v="#01273"/>
    <s v="VN01273"/>
    <s v="IT@vpic1"/>
    <d v="2024-05-22T00:00:00"/>
    <m/>
    <m/>
  </r>
  <r>
    <n v="611"/>
    <n v="8"/>
    <x v="38"/>
    <s v="Nguyễn Văn Quang"/>
    <s v="#00433"/>
    <s v="VN00433"/>
    <s v="IT@vpic1"/>
    <d v="2024-05-22T00:00:00"/>
    <d v="2025-10-20T00:00:00"/>
    <m/>
  </r>
  <r>
    <n v="612"/>
    <n v="9"/>
    <x v="38"/>
    <s v="Phí Quang Huy"/>
    <s v="#22094"/>
    <s v="VN22094"/>
    <s v="IT@vpic1"/>
    <d v="2024-05-22T00:00:00"/>
    <m/>
    <m/>
  </r>
  <r>
    <n v="613"/>
    <n v="1"/>
    <x v="39"/>
    <s v="Trần Hữu Hoàn"/>
    <s v="#15013"/>
    <s v="VN15013"/>
    <s v="IT@vpic1"/>
    <d v="2024-05-23T00:00:00"/>
    <m/>
    <m/>
  </r>
  <r>
    <n v="614"/>
    <n v="2"/>
    <x v="40"/>
    <s v="Nguyễn Khắc Huy"/>
    <s v="#03562"/>
    <s v="VN03562"/>
    <s v="IT@vpic1"/>
    <d v="2024-05-23T00:00:00"/>
    <m/>
    <m/>
  </r>
  <r>
    <n v="615"/>
    <n v="1"/>
    <x v="41"/>
    <e v="#N/A"/>
    <s v="#06747"/>
    <s v="VN06747"/>
    <s v="IT@vpic1"/>
    <d v="2024-05-23T00:00:00"/>
    <d v="2024-06-21T00:00:00"/>
    <d v="2024-06-21T00:00:00"/>
  </r>
  <r>
    <n v="616"/>
    <n v="2"/>
    <x v="41"/>
    <s v="Đỗ Tiến Quang"/>
    <s v="#03671"/>
    <s v="VN03671"/>
    <s v="IT@vpic1"/>
    <d v="2024-05-23T00:00:00"/>
    <m/>
    <m/>
  </r>
  <r>
    <n v="617"/>
    <n v="3"/>
    <x v="41"/>
    <s v="Nguyễn Hữu Sơn"/>
    <s v="#09077"/>
    <s v="VN09077"/>
    <s v="IT@vpic1"/>
    <d v="2024-05-23T00:00:00"/>
    <m/>
    <m/>
  </r>
  <r>
    <n v="618"/>
    <n v="4"/>
    <x v="41"/>
    <s v="Trần Văn Đạt"/>
    <s v="#07966"/>
    <s v="VN07966"/>
    <s v="IT@vpic1"/>
    <d v="2024-05-23T00:00:00"/>
    <m/>
    <m/>
  </r>
  <r>
    <n v="619"/>
    <n v="5"/>
    <x v="41"/>
    <s v="Nguyễn Thị Hạnh Hằng"/>
    <s v="#02420"/>
    <s v="VN02420"/>
    <s v="IT@vpic1"/>
    <d v="2024-05-23T00:00:00"/>
    <m/>
    <m/>
  </r>
  <r>
    <n v="620"/>
    <n v="6"/>
    <x v="41"/>
    <s v="Lê Văn Chiến"/>
    <s v="#09000"/>
    <s v="VN09000"/>
    <s v="IT@vpic1"/>
    <d v="2024-05-23T00:00:00"/>
    <m/>
    <m/>
  </r>
  <r>
    <n v="621"/>
    <n v="7"/>
    <x v="41"/>
    <s v="Phan Huy Quốc"/>
    <s v="#04029"/>
    <s v="VN04029"/>
    <s v="IT@vpic1"/>
    <d v="2024-05-23T00:00:00"/>
    <m/>
    <m/>
  </r>
  <r>
    <n v="622"/>
    <n v="8"/>
    <x v="41"/>
    <s v="Nguyễn Viết Tú "/>
    <s v="#20793"/>
    <s v="VN20793"/>
    <s v="IT@vpic1"/>
    <d v="2024-06-21T00:00:00"/>
    <m/>
    <m/>
  </r>
  <r>
    <n v="623"/>
    <n v="9"/>
    <x v="41"/>
    <s v="Nguyễn Tiến Hải"/>
    <s v="#02529"/>
    <s v="VN02529"/>
    <s v="IT@vpic1"/>
    <d v="2024-05-23T00:00:00"/>
    <m/>
    <m/>
  </r>
  <r>
    <n v="624"/>
    <n v="1"/>
    <x v="42"/>
    <s v="Nguyễn Thị Giang"/>
    <s v="#09759"/>
    <s v="VN09759"/>
    <s v="IT@vpic1"/>
    <d v="2024-05-23T00:00:00"/>
    <m/>
    <m/>
  </r>
  <r>
    <n v="625"/>
    <n v="2"/>
    <x v="42"/>
    <s v="Nguyễn Minh Thông"/>
    <s v="#07279"/>
    <s v="VN07279"/>
    <s v="IT@vpic1"/>
    <d v="2024-05-23T00:00:00"/>
    <m/>
    <m/>
  </r>
  <r>
    <n v="626"/>
    <n v="3"/>
    <x v="42"/>
    <s v="Nguyễn Mạnh Toàn"/>
    <s v="#04021"/>
    <s v="VN04021"/>
    <s v="IT@vpic1"/>
    <d v="2024-05-23T00:00:00"/>
    <m/>
    <m/>
  </r>
  <r>
    <n v="627"/>
    <n v="4"/>
    <x v="42"/>
    <s v="Nguyễn Minh Đức"/>
    <s v="#19426"/>
    <s v="VN19426"/>
    <s v="IT@vpic1"/>
    <d v="2024-05-23T00:00:00"/>
    <m/>
    <m/>
  </r>
  <r>
    <n v="628"/>
    <n v="1"/>
    <x v="43"/>
    <s v="Nguyễn Minh Tuyên"/>
    <s v="#03790"/>
    <s v="VN03790"/>
    <s v="IT@vpic1"/>
    <d v="2024-05-23T00:00:00"/>
    <m/>
    <m/>
  </r>
  <r>
    <n v="629"/>
    <n v="2"/>
    <x v="43"/>
    <e v="#N/A"/>
    <s v="#10979"/>
    <s v="VN10979"/>
    <s v="IT@vpic1"/>
    <d v="2024-05-23T00:00:00"/>
    <d v="2025-05-29T00:00:00"/>
    <d v="2025-05-29T00:00:00"/>
  </r>
  <r>
    <n v="630"/>
    <n v="3"/>
    <x v="43"/>
    <s v="Nguyễn Mạnh Cường"/>
    <s v="#01235"/>
    <s v="VN01235"/>
    <s v="IT@vpic1"/>
    <d v="2024-05-23T00:00:00"/>
    <m/>
    <m/>
  </r>
  <r>
    <n v="631"/>
    <n v="4"/>
    <x v="43"/>
    <s v="Đào Thị Huyền"/>
    <s v="#03168"/>
    <s v="VN03168"/>
    <s v="IT@vpic1"/>
    <d v="2024-05-23T00:00:00"/>
    <m/>
    <m/>
  </r>
  <r>
    <n v="632"/>
    <n v="5"/>
    <x v="43"/>
    <s v="Nguyễn Thị Thu Phương"/>
    <s v="#10070"/>
    <s v="VN10070"/>
    <s v="IT@vpic1"/>
    <d v="2024-05-23T00:00:00"/>
    <m/>
    <m/>
  </r>
  <r>
    <n v="633"/>
    <n v="6"/>
    <x v="43"/>
    <s v="Lăng Thị Xuân Thương"/>
    <s v="#00269"/>
    <s v="VN00269"/>
    <s v="IT@vpic1"/>
    <d v="2024-05-23T00:00:00"/>
    <m/>
    <m/>
  </r>
  <r>
    <n v="634"/>
    <n v="7"/>
    <x v="43"/>
    <s v="Nguyễn Thị Thân Thương"/>
    <s v="#06404"/>
    <s v="VN06404"/>
    <s v="IT@vpic1"/>
    <d v="2024-05-23T00:00:00"/>
    <m/>
    <m/>
  </r>
  <r>
    <n v="635"/>
    <n v="8"/>
    <x v="43"/>
    <s v="Nguyễn Hải Tuân"/>
    <s v="#06311"/>
    <s v="VN06311"/>
    <s v="IT@vpic1"/>
    <d v="2025-04-08T00:00:00"/>
    <m/>
    <m/>
  </r>
  <r>
    <n v="636"/>
    <n v="9"/>
    <x v="43"/>
    <s v="Nguyễn Văn Lực"/>
    <s v="#00256"/>
    <s v="VN00256"/>
    <s v="IT@vpic1"/>
    <d v="2024-05-23T00:00:00"/>
    <m/>
    <m/>
  </r>
  <r>
    <n v="637"/>
    <m/>
    <x v="43"/>
    <s v="Trần Văn Cường"/>
    <s v="#06762"/>
    <s v="VN06762"/>
    <s v="IT@vpic1"/>
    <d v="2025-05-30T00:00:00"/>
    <m/>
    <m/>
  </r>
  <r>
    <n v="638"/>
    <m/>
    <x v="43"/>
    <s v="Nguyễn Thị Thu Hà"/>
    <s v="#07467"/>
    <s v="VN07467"/>
    <s v="IT@vpic2"/>
    <d v="2025-09-25T00:00:00"/>
    <m/>
    <m/>
  </r>
  <r>
    <n v="639"/>
    <n v="1"/>
    <x v="44"/>
    <s v="Dương Thị Như Quỳnh"/>
    <s v="#14798"/>
    <s v="VN14798"/>
    <s v="IT@vpic1"/>
    <d v="2024-05-23T00:00:00"/>
    <m/>
    <m/>
  </r>
  <r>
    <n v="640"/>
    <n v="2"/>
    <x v="28"/>
    <s v="Đinh Thị Thuý Hồng"/>
    <s v="#05225"/>
    <s v="VN05225"/>
    <s v="IT@vpic1"/>
    <d v="2024-05-23T00:00:00"/>
    <m/>
    <m/>
  </r>
  <r>
    <n v="641"/>
    <n v="3"/>
    <x v="44"/>
    <s v="Lương Thị Thanh Tâm"/>
    <s v="#07195"/>
    <s v="VN07195"/>
    <s v="IT@vpic1"/>
    <d v="2024-05-16T00:00:00"/>
    <m/>
    <m/>
  </r>
  <r>
    <n v="642"/>
    <n v="4"/>
    <x v="28"/>
    <s v="Phạm Thị Huệ"/>
    <s v="#02696"/>
    <s v="VN02696"/>
    <s v="IT@vpic1"/>
    <d v="2024-05-23T00:00:00"/>
    <m/>
    <m/>
  </r>
  <r>
    <n v="643"/>
    <n v="5"/>
    <x v="44"/>
    <s v="Phan Văn Toàn"/>
    <s v="#02413"/>
    <s v="VN02413"/>
    <s v="IT@vpic1"/>
    <d v="2024-05-23T00:00:00"/>
    <m/>
    <m/>
  </r>
  <r>
    <n v="644"/>
    <n v="6"/>
    <x v="44"/>
    <s v="Nguyễn Thị Ninh Nhâm"/>
    <s v="#15388"/>
    <s v="VN15388"/>
    <s v="IT@vpic1"/>
    <d v="2024-05-23T00:00:00"/>
    <m/>
    <m/>
  </r>
  <r>
    <n v="645"/>
    <n v="7"/>
    <x v="44"/>
    <s v="Lê Thị Thanh Thuý"/>
    <s v="#01874"/>
    <s v="VN01874"/>
    <s v="IT@vpic1"/>
    <d v="2024-05-23T00:00:00"/>
    <m/>
    <m/>
  </r>
  <r>
    <n v="646"/>
    <n v="8"/>
    <x v="44"/>
    <e v="#N/A"/>
    <s v="#01267"/>
    <s v="VN01267"/>
    <s v="IT@vpic1"/>
    <d v="2024-05-23T00:00:00"/>
    <d v="2024-06-21T00:00:00"/>
    <d v="2024-06-21T00:00:00"/>
  </r>
  <r>
    <n v="647"/>
    <n v="9"/>
    <x v="44"/>
    <e v="#N/A"/>
    <s v="DAP5-MEETING"/>
    <s v="DAP5.MEET"/>
    <s v="IT@vpic1"/>
    <d v="2024-05-23T00:00:00"/>
    <m/>
    <m/>
  </r>
  <r>
    <n v="648"/>
    <n v="10"/>
    <x v="44"/>
    <s v="Phùng Thị Nga"/>
    <s v="#10828"/>
    <s v="VN10828"/>
    <s v="IT@vpic1"/>
    <d v="2024-05-23T00:00:00"/>
    <m/>
    <m/>
  </r>
  <r>
    <n v="649"/>
    <n v="11"/>
    <x v="44"/>
    <s v="Văn Khắc Tùng"/>
    <s v="#08561"/>
    <s v="VN08561"/>
    <s v="IT@vpic1"/>
    <d v="2024-05-23T00:00:00"/>
    <m/>
    <m/>
  </r>
  <r>
    <n v="650"/>
    <n v="12"/>
    <x v="44"/>
    <s v="Phùng Thị Ngọc"/>
    <s v="#11364"/>
    <s v="VN11364"/>
    <s v="IT@vpic1"/>
    <d v="2024-05-23T00:00:00"/>
    <m/>
    <m/>
  </r>
  <r>
    <n v="651"/>
    <n v="13"/>
    <x v="44"/>
    <s v="Dương Đức Kiên"/>
    <s v="#00576"/>
    <s v="VN00576"/>
    <s v="IT@vpic1"/>
    <d v="2024-05-23T00:00:00"/>
    <m/>
    <m/>
  </r>
  <r>
    <n v="652"/>
    <n v="14"/>
    <x v="44"/>
    <s v="Phạm Thị Lan Anh"/>
    <s v="#14920"/>
    <s v="VN14920"/>
    <s v="IT@vpic1"/>
    <d v="2024-06-20T00:00:00"/>
    <m/>
    <m/>
  </r>
  <r>
    <n v="653"/>
    <n v="15"/>
    <x v="44"/>
    <s v="Dương Đức Kiểm"/>
    <s v="#10034"/>
    <s v="VN10034"/>
    <s v="IT@vpic1"/>
    <d v="2025-04-08T00:00:00"/>
    <m/>
    <m/>
  </r>
  <r>
    <n v="654"/>
    <n v="16"/>
    <x v="44"/>
    <s v="Nguyễn Tiến Dũng"/>
    <s v="#00279"/>
    <s v="VN00279"/>
    <s v="IT@vpic1"/>
    <d v="2024-05-09T00:00:00"/>
    <m/>
    <m/>
  </r>
  <r>
    <n v="655"/>
    <n v="1"/>
    <x v="40"/>
    <e v="#N/A"/>
    <s v="#06994"/>
    <s v="VN06994"/>
    <s v="IT@vpic1"/>
    <d v="2024-05-23T00:00:00"/>
    <d v="2025-05-29T00:00:00"/>
    <d v="2025-05-29T00:00:00"/>
  </r>
  <r>
    <n v="656"/>
    <n v="2"/>
    <x v="40"/>
    <s v="Đinh Thị Ngọc"/>
    <s v="#13456"/>
    <s v="VN13456"/>
    <s v="IT@vpic1"/>
    <d v="2024-05-23T00:00:00"/>
    <m/>
    <m/>
  </r>
  <r>
    <n v="657"/>
    <n v="3"/>
    <x v="40"/>
    <s v="Đồng Thị Mai Hương"/>
    <s v="#11580"/>
    <s v="VN11580"/>
    <s v="IT@vpic1"/>
    <d v="2024-05-23T00:00:00"/>
    <m/>
    <m/>
  </r>
  <r>
    <n v="658"/>
    <n v="4"/>
    <x v="40"/>
    <s v="Tô Thị Trang"/>
    <s v="#16268"/>
    <s v="VN16268"/>
    <s v="IT@vpic1"/>
    <d v="2024-05-23T00:00:00"/>
    <m/>
    <m/>
  </r>
  <r>
    <n v="659"/>
    <n v="5"/>
    <x v="40"/>
    <s v="Nguyễn Văn Dũng"/>
    <s v="#00462"/>
    <s v="VN00462"/>
    <s v="IT@vpic1"/>
    <d v="2024-05-23T00:00:00"/>
    <m/>
    <m/>
  </r>
  <r>
    <n v="660"/>
    <m/>
    <x v="40"/>
    <s v="Nguyễn Hồng Đức"/>
    <s v="#25606"/>
    <s v="VN25606"/>
    <s v="IT@vpic1"/>
    <d v="2025-06-03T00:00:00"/>
    <m/>
    <m/>
  </r>
  <r>
    <n v="661"/>
    <n v="1"/>
    <x v="45"/>
    <s v="Nguyễn Thị Lan"/>
    <s v="#24210"/>
    <s v="VN24210"/>
    <s v="Vpic1@2024"/>
    <d v="2024-04-22T00:00:00"/>
    <m/>
    <m/>
  </r>
  <r>
    <n v="662"/>
    <n v="2"/>
    <x v="46"/>
    <s v="Nguyễn Thị Hiền"/>
    <s v="#22028"/>
    <s v="VN22028"/>
    <s v="Vpic1@2024"/>
    <d v="2024-04-22T00:00:00"/>
    <m/>
    <m/>
  </r>
  <r>
    <n v="663"/>
    <n v="3"/>
    <x v="46"/>
    <s v="Nguyễn Thị Thanh Hải"/>
    <s v="#16138"/>
    <s v="VN16138"/>
    <s v="Vpic1@2024"/>
    <d v="2024-04-22T00:00:00"/>
    <m/>
    <m/>
  </r>
  <r>
    <n v="664"/>
    <n v="4"/>
    <x v="46"/>
    <s v="Nguyễn Mạnh Hoàn"/>
    <s v="#20021"/>
    <s v="VN20021"/>
    <s v="Vpic1@2024"/>
    <d v="2024-04-22T00:00:00"/>
    <m/>
    <m/>
  </r>
  <r>
    <n v="665"/>
    <n v="5"/>
    <x v="46"/>
    <s v="Phạm Thế Hưng"/>
    <s v="#17655"/>
    <s v="VN17655"/>
    <s v="Vpic1@2024"/>
    <d v="2024-04-22T00:00:00"/>
    <m/>
    <m/>
  </r>
  <r>
    <n v="666"/>
    <n v="6"/>
    <x v="46"/>
    <e v="#N/A"/>
    <s v="#23169"/>
    <s v="VN23169"/>
    <s v="Vpic1@2024"/>
    <d v="2024-04-22T00:00:00"/>
    <d v="2025-07-01T00:00:00"/>
    <d v="2025-08-07T00:00:00"/>
  </r>
  <r>
    <n v="667"/>
    <n v="7"/>
    <x v="46"/>
    <s v="Sái Vĩnh Hanh"/>
    <s v="#15060"/>
    <s v="VN15060"/>
    <s v="Vpic1@2024"/>
    <d v="2024-04-22T00:00:00"/>
    <m/>
    <m/>
  </r>
  <r>
    <n v="668"/>
    <n v="8"/>
    <x v="46"/>
    <s v="Nguyễn Kiên Cương"/>
    <s v="#24085"/>
    <s v="VN24085"/>
    <s v="Vpic1@2024"/>
    <d v="2024-04-22T00:00:00"/>
    <m/>
    <m/>
  </r>
  <r>
    <n v="669"/>
    <n v="9"/>
    <x v="46"/>
    <s v="Hoàng Diệu Linh"/>
    <s v="#24320"/>
    <s v="VN24320"/>
    <s v="Vpic1@2024"/>
    <d v="2024-04-22T00:00:00"/>
    <m/>
    <m/>
  </r>
  <r>
    <n v="670"/>
    <n v="11"/>
    <x v="46"/>
    <e v="#N/A"/>
    <s v="M6-MEETING"/>
    <s v="M6"/>
    <s v="IT@vpic1"/>
    <d v="2024-04-22T00:00:00"/>
    <m/>
    <m/>
  </r>
  <r>
    <n v="671"/>
    <n v="12"/>
    <x v="46"/>
    <s v="Đàm Đức Hải"/>
    <s v="#01959"/>
    <s v="VN01959"/>
    <s v="Vpic1@2024"/>
    <d v="2024-04-22T00:00:00"/>
    <m/>
    <m/>
  </r>
  <r>
    <n v="672"/>
    <n v="13"/>
    <x v="46"/>
    <s v="Đỗ Trọng Trân"/>
    <s v="#18119"/>
    <s v="VN18119"/>
    <s v="Vpic1@2024"/>
    <d v="2024-04-22T00:00:00"/>
    <m/>
    <m/>
  </r>
  <r>
    <n v="673"/>
    <n v="14"/>
    <x v="46"/>
    <s v="Lê Kiên Trung"/>
    <s v="#18499"/>
    <s v="VN18499"/>
    <s v="Vpic1@2024"/>
    <d v="2024-04-22T00:00:00"/>
    <m/>
    <m/>
  </r>
  <r>
    <n v="674"/>
    <n v="17"/>
    <x v="46"/>
    <s v="Lê Chí Duy"/>
    <s v="#25575"/>
    <s v="VN25575"/>
    <s v="Vpic1@2024"/>
    <d v="2025-02-20T00:00:00"/>
    <m/>
    <m/>
  </r>
  <r>
    <n v="675"/>
    <n v="18"/>
    <x v="46"/>
    <s v="Bạch Thị Hồng Nga"/>
    <s v="#25758"/>
    <s v="VN25758"/>
    <s v="Vpic1@2024"/>
    <d v="2025-04-02T00:00:00"/>
    <m/>
    <m/>
  </r>
  <r>
    <n v="676"/>
    <m/>
    <x v="46"/>
    <e v="#N/A"/>
    <s v="#26094"/>
    <s v="VN26094"/>
    <s v="IT@vpic1"/>
    <d v="2025-06-23T00:00:00"/>
    <d v="2025-06-26T00:00:00"/>
    <d v="2025-06-26T00:00:00"/>
  </r>
  <r>
    <n v="677"/>
    <m/>
    <x v="46"/>
    <s v="Trần Văn Trường"/>
    <s v="#26350"/>
    <s v="VN26350"/>
    <s v="IT@vpic1"/>
    <d v="2025-09-24T00:00:00"/>
    <m/>
    <m/>
  </r>
  <r>
    <n v="678"/>
    <m/>
    <x v="46"/>
    <s v="Phùng Thị Dung"/>
    <s v="#26315"/>
    <s v="VN26315"/>
    <s v="IT@vpic1"/>
    <d v="2025-09-24T00:00:00"/>
    <m/>
    <m/>
  </r>
  <r>
    <n v="679"/>
    <n v="1"/>
    <x v="45"/>
    <s v="Nguyễn Thị Thơm"/>
    <s v="#24112"/>
    <s v="VN24112"/>
    <s v="Vpic1@2024"/>
    <d v="2024-04-22T00:00:00"/>
    <m/>
    <m/>
  </r>
  <r>
    <n v="680"/>
    <n v="2"/>
    <x v="46"/>
    <s v="Đặng Thị Thanh Huệ"/>
    <s v="#24322"/>
    <s v="VN24322"/>
    <s v="Vpic1@2024"/>
    <d v="2024-04-22T00:00:00"/>
    <m/>
    <m/>
  </r>
  <r>
    <n v="681"/>
    <n v="3"/>
    <x v="45"/>
    <s v="Phùng Thị Sen"/>
    <s v="#24918"/>
    <s v="VN24918"/>
    <s v="Vpic1@2024"/>
    <d v="2024-07-13T00:00:00"/>
    <m/>
    <m/>
  </r>
  <r>
    <n v="682"/>
    <n v="1"/>
    <x v="47"/>
    <s v="Trần Trọng Nhân"/>
    <s v="#01653"/>
    <s v="VN01653"/>
    <s v="IT@vpic1"/>
    <d v="2024-04-23T00:00:00"/>
    <m/>
    <m/>
  </r>
  <r>
    <n v="683"/>
    <n v="2"/>
    <x v="47"/>
    <s v="Hoàng Ngọc Thắng"/>
    <s v="#03027"/>
    <s v="VN03027"/>
    <s v="IT@vpic1"/>
    <d v="2024-04-23T00:00:00"/>
    <m/>
    <m/>
  </r>
  <r>
    <n v="684"/>
    <n v="3"/>
    <x v="47"/>
    <s v="Vương Thị Cúc"/>
    <s v="#02692"/>
    <s v="VN02692"/>
    <s v="IT@vpic1"/>
    <d v="2024-04-23T00:00:00"/>
    <m/>
    <m/>
  </r>
  <r>
    <n v="684"/>
    <n v="3"/>
    <x v="47"/>
    <s v="Lưu Văn Tư"/>
    <s v="#02954"/>
    <s v="VN02954"/>
    <s v="IT@vpic1"/>
    <d v="2024-04-23T00:00:00"/>
    <m/>
    <m/>
  </r>
  <r>
    <n v="685"/>
    <n v="4"/>
    <x v="48"/>
    <s v="Trần Ngọc Hoàng"/>
    <s v="#24206"/>
    <s v="VN24206"/>
    <s v="IT@vpic1"/>
    <d v="2024-04-23T00:00:00"/>
    <m/>
    <m/>
  </r>
  <r>
    <n v="686"/>
    <n v="5"/>
    <x v="47"/>
    <s v="Đại Tiến Quân"/>
    <s v="#17175"/>
    <s v="VN17175"/>
    <s v="IT@vpic1"/>
    <d v="2024-04-23T00:00:00"/>
    <m/>
    <m/>
  </r>
  <r>
    <n v="687"/>
    <n v="1"/>
    <x v="3"/>
    <s v="Nguyễn Hồng Quân"/>
    <s v="#00952"/>
    <s v="VN00952"/>
    <s v="IT@vpic1"/>
    <d v="2024-04-23T00:00:00"/>
    <m/>
    <m/>
  </r>
  <r>
    <n v="688"/>
    <n v="2"/>
    <x v="48"/>
    <s v="Trần Thị Linh"/>
    <s v="#09482"/>
    <s v="VN09482"/>
    <s v="IT@vpic1"/>
    <d v="2024-04-23T00:00:00"/>
    <m/>
    <m/>
  </r>
  <r>
    <n v="689"/>
    <n v="3"/>
    <x v="3"/>
    <s v="Nguyễn Văn Tuấn"/>
    <s v="#19164"/>
    <s v="VN19164"/>
    <s v="IT@vpic1"/>
    <d v="2024-04-23T00:00:00"/>
    <m/>
    <m/>
  </r>
  <r>
    <n v="690"/>
    <n v="4"/>
    <x v="48"/>
    <s v="Đặng Văn Bách"/>
    <s v="#11457"/>
    <s v="VN11457"/>
    <s v="IT@vpic1"/>
    <d v="2025-04-09T00:00:00"/>
    <m/>
    <m/>
  </r>
  <r>
    <n v="691"/>
    <n v="5"/>
    <x v="48"/>
    <s v="Nguyễn Văn Cường"/>
    <s v="#00235"/>
    <s v="VN00235"/>
    <s v="IT@vpic1"/>
    <d v="2024-04-23T00:00:00"/>
    <m/>
    <m/>
  </r>
  <r>
    <n v="693"/>
    <n v="1"/>
    <x v="49"/>
    <e v="#N/A"/>
    <s v="X6-MEETING"/>
    <s v="X6.MEET"/>
    <s v="IT@vpic1"/>
    <d v="2024-04-17T00:00:00"/>
    <m/>
    <m/>
  </r>
  <r>
    <n v="694"/>
    <n v="3"/>
    <x v="49"/>
    <e v="#N/A"/>
    <s v="#18660"/>
    <s v="VN18660"/>
    <s v="IT@vpic1"/>
    <d v="2024-04-17T00:00:00"/>
    <d v="2024-07-08T00:00:00"/>
    <d v="2024-07-08T00:00:00"/>
  </r>
  <r>
    <n v="695"/>
    <n v="4"/>
    <x v="49"/>
    <s v="Hoàng Thị Mơ"/>
    <s v="#20599"/>
    <s v="VN20599"/>
    <s v="IT@vpic1"/>
    <d v="2024-04-17T00:00:00"/>
    <m/>
    <m/>
  </r>
  <r>
    <n v="696"/>
    <n v="5"/>
    <x v="49"/>
    <e v="#N/A"/>
    <s v="#24508"/>
    <s v="VN24508"/>
    <s v="IT@vpic1"/>
    <d v="2024-04-17T00:00:00"/>
    <d v="2025-05-15T00:00:00"/>
    <d v="2025-05-15T00:00:00"/>
  </r>
  <r>
    <n v="697"/>
    <n v="6"/>
    <x v="49"/>
    <s v="Nguyễn Thị Hiền"/>
    <s v="#21313"/>
    <s v="VN21313"/>
    <s v="IT@vpic1"/>
    <d v="2024-04-17T00:00:00"/>
    <m/>
    <m/>
  </r>
  <r>
    <n v="698"/>
    <n v="7"/>
    <x v="49"/>
    <s v="Trần Thị Duyên"/>
    <s v="#21137"/>
    <s v="VN21137"/>
    <s v="IT@vpic1"/>
    <d v="2024-04-17T00:00:00"/>
    <m/>
    <m/>
  </r>
  <r>
    <n v="699"/>
    <n v="8"/>
    <x v="49"/>
    <s v="Phan Thị Vân"/>
    <s v="#21314"/>
    <s v="VN21314"/>
    <s v="IT@vpic1"/>
    <d v="2024-04-17T00:00:00"/>
    <m/>
    <m/>
  </r>
  <r>
    <n v="700"/>
    <n v="9"/>
    <x v="49"/>
    <s v="Đường Thị Hoà"/>
    <s v="#01909"/>
    <s v="VN01909"/>
    <s v="IT@vpic1"/>
    <d v="2024-04-17T00:00:00"/>
    <m/>
    <m/>
  </r>
  <r>
    <n v="701"/>
    <n v="10"/>
    <x v="49"/>
    <s v="Nguyễn Văn Tâm"/>
    <s v="#03282"/>
    <s v="VN03282"/>
    <s v="IT@vpic1"/>
    <d v="2024-04-17T00:00:00"/>
    <m/>
    <m/>
  </r>
  <r>
    <n v="702"/>
    <n v="11"/>
    <x v="49"/>
    <s v="Nguyễn Văn Thìn"/>
    <s v="#09874"/>
    <s v="VN09874"/>
    <s v="IT@vpic1"/>
    <d v="2024-06-13T00:00:00"/>
    <m/>
    <m/>
  </r>
  <r>
    <n v="703"/>
    <n v="12"/>
    <x v="49"/>
    <s v="Đỗ Văn Tuấn"/>
    <s v="#19951"/>
    <s v="VN19951"/>
    <s v="IT@vpic1"/>
    <d v="2024-04-17T00:00:00"/>
    <d v="2025-10-20T00:00:00"/>
    <m/>
  </r>
  <r>
    <n v="704"/>
    <n v="13"/>
    <x v="49"/>
    <s v="Trần Văn Đức"/>
    <s v="#20612"/>
    <s v="VN20612"/>
    <s v="IT@vpic1"/>
    <d v="2024-04-17T00:00:00"/>
    <m/>
    <m/>
  </r>
  <r>
    <n v="705"/>
    <n v="14"/>
    <x v="49"/>
    <s v="Đoàn Văn Hiền"/>
    <s v="#00431"/>
    <s v="VN00431"/>
    <s v="IT@vpic1"/>
    <d v="2024-09-26T00:00:00"/>
    <m/>
    <m/>
  </r>
  <r>
    <n v="706"/>
    <n v="15"/>
    <x v="49"/>
    <s v="Ngô Thị Kim Dung"/>
    <s v="#24002"/>
    <s v="VN24002"/>
    <s v="IT@vpic1"/>
    <d v="2025-01-08T00:00:00"/>
    <m/>
    <m/>
  </r>
  <r>
    <n v="707"/>
    <m/>
    <x v="49"/>
    <s v="Nguyễn Thị Kim Phượng"/>
    <s v="#26166"/>
    <s v="VN26166"/>
    <s v="IT@vpic1"/>
    <d v="2025-08-18T00:00:00"/>
    <m/>
    <m/>
  </r>
  <r>
    <n v="708"/>
    <n v="1"/>
    <x v="50"/>
    <s v="Nguyễn Thị Nga"/>
    <s v="#12804"/>
    <s v="VN12804"/>
    <s v="IT@vpic1"/>
    <d v="2024-04-20T00:00:00"/>
    <m/>
    <m/>
  </r>
  <r>
    <n v="709"/>
    <n v="2"/>
    <x v="50"/>
    <s v="Dương Xuân Trường"/>
    <s v="#10109"/>
    <s v="VN10109"/>
    <s v="IT@vpic1"/>
    <d v="2024-04-20T00:00:00"/>
    <m/>
    <m/>
  </r>
  <r>
    <n v="710"/>
    <n v="3"/>
    <x v="50"/>
    <s v="Đào Duy Đức"/>
    <s v="#19546"/>
    <s v="VN19546"/>
    <s v="IT@vpic1"/>
    <d v="2024-04-20T00:00:00"/>
    <m/>
    <m/>
  </r>
  <r>
    <n v="711"/>
    <n v="4"/>
    <x v="50"/>
    <s v="Tạ Thị Lương Duyên"/>
    <s v="#22077"/>
    <s v="VN22077"/>
    <s v="IT@vpic1"/>
    <d v="2024-04-20T00:00:00"/>
    <m/>
    <m/>
  </r>
  <r>
    <n v="712"/>
    <n v="5"/>
    <x v="50"/>
    <e v="#N/A"/>
    <s v="#02257"/>
    <s v="VN02257"/>
    <s v="IT@vpic1"/>
    <d v="2024-04-20T00:00:00"/>
    <d v="2025-04-02T00:00:00"/>
    <d v="2025-04-02T00:00:00"/>
  </r>
  <r>
    <n v="713"/>
    <n v="6"/>
    <x v="50"/>
    <s v="Hoàng Hữu Thủy"/>
    <s v="#03699"/>
    <s v="VN03699"/>
    <s v="IT@vpic1"/>
    <d v="2024-07-02T00:00:00"/>
    <m/>
    <m/>
  </r>
  <r>
    <n v="714"/>
    <n v="7"/>
    <x v="50"/>
    <s v="Chu Viết Hưng"/>
    <s v="#09262"/>
    <s v="VN09262"/>
    <s v="IT@vpic1"/>
    <d v="2024-08-14T00:00:00"/>
    <d v="2024-10-07T00:00:00"/>
    <m/>
  </r>
  <r>
    <n v="715"/>
    <n v="8"/>
    <x v="50"/>
    <s v="Trần Thị Hải"/>
    <s v="#25156"/>
    <s v="VN25156"/>
    <s v="IT@vpic1"/>
    <d v="2024-10-07T00:00:00"/>
    <m/>
    <m/>
  </r>
  <r>
    <n v="716"/>
    <n v="9"/>
    <x v="50"/>
    <s v="Chu Văn Sang"/>
    <s v="#00413"/>
    <s v="VN00413"/>
    <s v="IT@vpic1"/>
    <d v="2025-03-27T00:00:00"/>
    <m/>
    <m/>
  </r>
  <r>
    <n v="717"/>
    <n v="10"/>
    <x v="50"/>
    <s v="Lưu Thị Hải"/>
    <s v="#25906"/>
    <s v="VN25906"/>
    <s v="IT@vpic1"/>
    <d v="2025-05-29T00:00:00"/>
    <m/>
    <m/>
  </r>
  <r>
    <n v="718"/>
    <n v="11"/>
    <x v="50"/>
    <s v="Phạm Đức Trung"/>
    <s v="#00941"/>
    <s v="VN00941"/>
    <s v="IT@vpic1"/>
    <d v="2024-05-09T00:00:00"/>
    <m/>
    <m/>
  </r>
  <r>
    <n v="719"/>
    <n v="1"/>
    <x v="51"/>
    <s v="Vũ Thị Huyền"/>
    <s v="#22410"/>
    <s v="VN22410"/>
    <s v="IT@vpic1"/>
    <d v="2024-04-20T00:00:00"/>
    <m/>
    <m/>
  </r>
  <r>
    <n v="720"/>
    <n v="2"/>
    <x v="51"/>
    <s v="Thiều Tô Hoàng"/>
    <s v="#01268"/>
    <s v="VN01268"/>
    <s v="IT@vpic1"/>
    <d v="2024-04-20T00:00:00"/>
    <m/>
    <m/>
  </r>
  <r>
    <n v="721"/>
    <n v="3"/>
    <x v="51"/>
    <s v="Trịnh Thị Xoan"/>
    <s v="#22409"/>
    <s v="VN22409"/>
    <s v="IT@vpic1"/>
    <d v="2024-04-20T00:00:00"/>
    <m/>
    <m/>
  </r>
  <r>
    <n v="722"/>
    <n v="4"/>
    <x v="51"/>
    <s v="Trần Đình Tài"/>
    <s v="#01543"/>
    <s v="VN01543"/>
    <s v="IT@vpic1"/>
    <d v="2024-04-20T00:00:00"/>
    <m/>
    <m/>
  </r>
  <r>
    <n v="723"/>
    <n v="5"/>
    <x v="51"/>
    <s v="Nguyễn Thị Hạnh"/>
    <s v="#06887"/>
    <s v="VN06887"/>
    <s v="IT@vpic1"/>
    <d v="2024-04-20T00:00:00"/>
    <m/>
    <m/>
  </r>
  <r>
    <n v="724"/>
    <n v="6"/>
    <x v="51"/>
    <s v="Nguyễn Thị Hồng Nhung"/>
    <s v="#24765"/>
    <s v="VN24765"/>
    <s v="IT@vpic1"/>
    <d v="2024-04-20T00:00:00"/>
    <m/>
    <m/>
  </r>
  <r>
    <n v="725"/>
    <n v="2"/>
    <x v="51"/>
    <s v="Lăng Thị Ngọc Lan"/>
    <s v="#26068"/>
    <s v="VN26068"/>
    <s v="IT@vpic1"/>
    <d v="2024-04-17T00:00:00"/>
    <m/>
    <m/>
  </r>
  <r>
    <n v="726"/>
    <n v="1"/>
    <x v="52"/>
    <s v="Phạm Ngọc Hoà"/>
    <s v="#00533"/>
    <s v="VN00533"/>
    <s v="IT@vpic1"/>
    <d v="2024-04-23T00:00:00"/>
    <m/>
    <m/>
  </r>
  <r>
    <n v="727"/>
    <n v="2"/>
    <x v="52"/>
    <e v="#N/A"/>
    <s v="#20292"/>
    <s v="VN20292"/>
    <s v="IT@vpic1"/>
    <d v="2024-04-23T00:00:00"/>
    <d v="2025-06-11T00:00:00"/>
    <d v="2025-06-11T00:00:00"/>
  </r>
  <r>
    <n v="728"/>
    <n v="3"/>
    <x v="52"/>
    <s v="Ngô Hương Trang"/>
    <s v="#22095"/>
    <s v="VN22095"/>
    <s v="IT@vpic1"/>
    <d v="2024-04-23T00:00:00"/>
    <m/>
    <m/>
  </r>
  <r>
    <n v="729"/>
    <n v="4"/>
    <x v="52"/>
    <s v="Nguyễn Văn Quang"/>
    <s v="#19406"/>
    <s v="VN19406"/>
    <s v="IT@vpic1"/>
    <d v="2024-04-23T00:00:00"/>
    <m/>
    <m/>
  </r>
  <r>
    <n v="730"/>
    <n v="5"/>
    <x v="52"/>
    <e v="#N/A"/>
    <s v="#24751"/>
    <s v="VN24751"/>
    <s v="IT@vpic1"/>
    <d v="2024-05-11T00:00:00"/>
    <d v="2024-07-01T00:00:00"/>
    <d v="2024-07-01T00:00:00"/>
  </r>
  <r>
    <n v="731"/>
    <n v="6"/>
    <x v="52"/>
    <s v="Nguyễn Lê Hoàng"/>
    <s v="#24871"/>
    <s v="VN24871"/>
    <s v="IT@vpic1"/>
    <d v="2024-07-31T00:00:00"/>
    <m/>
    <m/>
  </r>
  <r>
    <n v="732"/>
    <m/>
    <x v="52"/>
    <s v="Nguyễn Tuấn Kiệt"/>
    <s v="#26158"/>
    <s v="VN26158"/>
    <s v="IT@vpic1"/>
    <d v="2025-09-11T00:00:00"/>
    <m/>
    <m/>
  </r>
  <r>
    <n v="733"/>
    <n v="7"/>
    <x v="52"/>
    <e v="#N/A"/>
    <s v="#24318"/>
    <s v="VN24318"/>
    <s v="IT@vpic1"/>
    <d v="2024-04-23T00:00:00"/>
    <d v="2024-07-01T00:00:00"/>
    <d v="2024-07-01T00:00:00"/>
  </r>
  <r>
    <n v="734"/>
    <n v="1"/>
    <x v="53"/>
    <e v="#N/A"/>
    <s v="#18433"/>
    <s v="VN18433"/>
    <s v="IT@vpic1"/>
    <d v="2024-04-20T00:00:00"/>
    <d v="2024-10-15T00:00:00"/>
    <m/>
  </r>
  <r>
    <n v="735"/>
    <n v="2"/>
    <x v="53"/>
    <s v="Cao Văn Cường"/>
    <s v="#10452"/>
    <s v="VN10452"/>
    <s v="IT@vpic1"/>
    <d v="2024-04-20T00:00:00"/>
    <m/>
    <m/>
  </r>
  <r>
    <n v="736"/>
    <n v="3"/>
    <x v="53"/>
    <s v="Đỗ Thị Mai Phương"/>
    <s v="#22757"/>
    <s v="VN22757"/>
    <s v="IT@vpic1"/>
    <d v="2024-04-20T00:00:00"/>
    <m/>
    <m/>
  </r>
  <r>
    <n v="737"/>
    <n v="4"/>
    <x v="53"/>
    <s v="Lê Văn Duy"/>
    <s v="#00082"/>
    <s v="VN00082"/>
    <s v="IT@vpic1"/>
    <d v="2024-04-20T00:00:00"/>
    <m/>
    <m/>
  </r>
  <r>
    <n v="738"/>
    <n v="5"/>
    <x v="50"/>
    <s v="Nguyễn Quốc Hoàn"/>
    <s v="#00046"/>
    <s v="VN00046"/>
    <s v="IT@vpic1"/>
    <d v="2024-05-20T00:00:00"/>
    <m/>
    <m/>
  </r>
  <r>
    <n v="739"/>
    <n v="6"/>
    <x v="53"/>
    <s v="Đại Thị Hạnh"/>
    <s v="#20977"/>
    <s v="VN20977"/>
    <s v="IT@vpic1"/>
    <d v="2024-07-01T00:00:00"/>
    <m/>
    <m/>
  </r>
  <r>
    <n v="740"/>
    <n v="7"/>
    <x v="53"/>
    <s v="Nguyễn Thúy Vân"/>
    <s v="#12479"/>
    <s v="VN12479"/>
    <s v="IT@vpic1"/>
    <d v="2024-10-15T00:00:00"/>
    <m/>
    <m/>
  </r>
  <r>
    <n v="741"/>
    <n v="8"/>
    <x v="53"/>
    <s v="Nguyễn Gia Quỳnh"/>
    <s v="#00834"/>
    <s v="VN00834"/>
    <s v="IT@vpic1"/>
    <d v="2024-05-20T00:00:00"/>
    <m/>
    <m/>
  </r>
  <r>
    <n v="742"/>
    <n v="1"/>
    <x v="7"/>
    <s v="Lê Thanh Bình"/>
    <s v="#24919"/>
    <s v="VN24919"/>
    <s v="IT@vpic1"/>
    <s v="27/08/2024"/>
    <m/>
    <m/>
  </r>
  <r>
    <n v="743"/>
    <n v="2"/>
    <x v="7"/>
    <s v="Nguyễn Văn An"/>
    <s v="#24789"/>
    <s v="VN24789"/>
    <s v="IT@vpic1"/>
    <s v="27/08/2024"/>
    <m/>
    <m/>
  </r>
  <r>
    <n v="744"/>
    <n v="1"/>
    <x v="34"/>
    <s v="Lê Duy Long"/>
    <s v="#24994"/>
    <s v="VN24994"/>
    <s v="IT@vpic1"/>
    <d v="2024-11-06T00:00:00"/>
    <m/>
    <m/>
  </r>
  <r>
    <n v="745"/>
    <n v="2"/>
    <x v="34"/>
    <s v="Nguyễn Viết Việt"/>
    <s v="#25022"/>
    <s v="VN25022"/>
    <s v="IT@vpic1"/>
    <d v="2024-11-06T00:00:00"/>
    <m/>
    <m/>
  </r>
  <r>
    <n v="746"/>
    <n v="1"/>
    <x v="17"/>
    <s v="Nguyễn Thanh Xuân"/>
    <s v="#25814"/>
    <s v="VN25814"/>
    <s v="IT@vpic1"/>
    <d v="2025-03-04T00:00:00"/>
    <m/>
    <m/>
  </r>
  <r>
    <n v="747"/>
    <m/>
    <x v="44"/>
    <s v="Phùng Thị Thúy Hạnh"/>
    <s v="#26041"/>
    <s v="VN26041"/>
    <s v="IT@vpic1"/>
    <d v="2025-06-13T00:00:00"/>
    <m/>
    <m/>
  </r>
  <r>
    <n v="748"/>
    <m/>
    <x v="4"/>
    <s v="Chu Ngọc Lư"/>
    <s v="#02716"/>
    <s v="VN02716"/>
    <s v="Vpic1@2024"/>
    <d v="2025-07-03T00:00:00"/>
    <m/>
    <m/>
  </r>
  <r>
    <n v="749"/>
    <m/>
    <x v="18"/>
    <s v="Trần Thị Phương Huyền"/>
    <s v="#26156"/>
    <s v="VN26156"/>
    <s v="IT@vpic1"/>
    <d v="2025-08-01T00:00:00"/>
    <m/>
    <m/>
  </r>
  <r>
    <n v="750"/>
    <m/>
    <x v="46"/>
    <s v="Lê Minh Kiên"/>
    <s v="#26223"/>
    <s v="VN26223"/>
    <s v="Vpic1@2024"/>
    <d v="2025-08-06T00:00:00"/>
    <m/>
    <m/>
  </r>
  <r>
    <n v="751"/>
    <m/>
    <x v="28"/>
    <s v="Kim Thị Dung"/>
    <s v="#26071"/>
    <s v="VN26071"/>
    <s v="Vpic1@2025"/>
    <d v="2025-08-20T00:00:00"/>
    <m/>
    <m/>
  </r>
  <r>
    <n v="752"/>
    <m/>
    <x v="43"/>
    <s v="Nguyễn Văn Tấn"/>
    <s v="#07045"/>
    <s v="VN07045"/>
    <s v="Vpic1@2025"/>
    <d v="2025-08-20T00:00:00"/>
    <m/>
    <m/>
  </r>
  <r>
    <m/>
    <m/>
    <x v="54"/>
    <m/>
    <m/>
    <m/>
    <m/>
    <m/>
    <m/>
    <m/>
  </r>
  <r>
    <m/>
    <m/>
    <x v="54"/>
    <m/>
    <m/>
    <m/>
    <m/>
    <m/>
    <m/>
    <m/>
  </r>
  <r>
    <m/>
    <m/>
    <x v="54"/>
    <m/>
    <m/>
    <m/>
    <m/>
    <m/>
    <m/>
    <m/>
  </r>
  <r>
    <m/>
    <m/>
    <x v="54"/>
    <m/>
    <m/>
    <m/>
    <m/>
    <m/>
    <m/>
    <m/>
  </r>
  <r>
    <m/>
    <m/>
    <x v="54"/>
    <m/>
    <m/>
    <m/>
    <m/>
    <m/>
    <m/>
    <m/>
  </r>
  <r>
    <m/>
    <m/>
    <x v="54"/>
    <m/>
    <m/>
    <m/>
    <m/>
    <m/>
    <m/>
    <m/>
  </r>
  <r>
    <n v="753"/>
    <m/>
    <x v="54"/>
    <e v="#N/A"/>
    <m/>
    <s v="VN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 chartFormat="15" fieldListSortAscending="1">
  <location ref="A3:D60" firstHeaderRow="1" firstDataRow="2" firstDataCol="1"/>
  <pivotFields count="10">
    <pivotField compact="0" outline="0" showAll="0"/>
    <pivotField compact="0" numFmtId="167" outline="0" showAll="0"/>
    <pivotField axis="axisRow" compact="0" outline="0" showAll="0">
      <items count="61">
        <item m="1" x="59"/>
        <item sd="0" x="21"/>
        <item sd="0" x="39"/>
        <item sd="0" x="12"/>
        <item sd="0" x="30"/>
        <item sd="0" x="6"/>
        <item sd="0" x="13"/>
        <item sd="0" x="28"/>
        <item sd="0" x="44"/>
        <item sd="0" x="49"/>
        <item sd="0" x="33"/>
        <item sd="0" x="17"/>
        <item sd="0" x="34"/>
        <item sd="0" x="4"/>
        <item sd="0" x="14"/>
        <item sd="0" m="1" x="57"/>
        <item sd="0" x="50"/>
        <item x="45"/>
        <item x="25"/>
        <item x="8"/>
        <item x="10"/>
        <item x="5"/>
        <item x="27"/>
        <item x="16"/>
        <item x="23"/>
        <item x="15"/>
        <item x="51"/>
        <item x="11"/>
        <item x="46"/>
        <item x="20"/>
        <item x="19"/>
        <item x="3"/>
        <item x="35"/>
        <item x="42"/>
        <item x="48"/>
        <item x="37"/>
        <item x="29"/>
        <item x="41"/>
        <item x="47"/>
        <item x="0"/>
        <item x="38"/>
        <item x="52"/>
        <item x="31"/>
        <item x="2"/>
        <item x="36"/>
        <item x="9"/>
        <item x="53"/>
        <item x="32"/>
        <item x="18"/>
        <item x="22"/>
        <item x="24"/>
        <item x="40"/>
        <item x="7"/>
        <item x="54"/>
        <item m="1" x="58"/>
        <item x="26"/>
        <item x="43"/>
        <item m="1" x="55"/>
        <item m="1" x="56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</pivotFields>
  <rowFields count="1">
    <field x="2"/>
  </rowFields>
  <rowItems count="5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5"/>
    </i>
    <i>
      <x v="56"/>
    </i>
    <i>
      <x v="5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USER" fld="4" subtotal="count" baseField="0" baseItem="0"/>
    <dataField name="Count of Disable " fld="8" subtotal="count" baseField="0" baseItem="0"/>
    <dataField name="Count of Delete" fld="9" subtotal="count" baseField="0" baseItem="0"/>
  </dataFields>
  <formats count="4">
    <format dxfId="68">
      <pivotArea outline="0" collapsedLevelsAreSubtotals="1" fieldPosition="0"/>
    </format>
    <format dxfId="67">
      <pivotArea dataOnly="0" labelOnly="1" fieldPosition="0">
        <references count="1">
          <reference field="2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66">
      <pivotArea dataOnly="0" labelOnly="1" fieldPosition="0">
        <references count="1">
          <reference field="2" count="1">
            <x v="51"/>
          </reference>
        </references>
      </pivotArea>
    </format>
    <format dxfId="65">
      <pivotArea dataOnly="0" labelOnly="1" grandRow="1" outline="0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791" totalsRowShown="0" headerRowDxfId="57" dataDxfId="56">
  <autoFilter ref="A1:N791" xr:uid="{00000000-0009-0000-0100-000001000000}"/>
  <sortState ref="A2:M47">
    <sortCondition ref="A1:A762"/>
  </sortState>
  <tableColumns count="14">
    <tableColumn id="1" xr3:uid="{00000000-0010-0000-0000-000001000000}" name="No." dataDxfId="55"/>
    <tableColumn id="2" xr3:uid="{00000000-0010-0000-0000-000002000000}" name="amount" dataDxfId="54"/>
    <tableColumn id="3" xr3:uid="{00000000-0010-0000-0000-000003000000}" name="Dep" dataDxfId="53"/>
    <tableColumn id="10" xr3:uid="{00000000-0010-0000-0000-00000A000000}" name="Name" dataDxfId="52">
      <calculatedColumnFormula>VLOOKUP(E2,DS!$A$2:$D$4398,3,0)</calculatedColumnFormula>
    </tableColumn>
    <tableColumn id="6" xr3:uid="{00000000-0010-0000-0000-000006000000}" name="USER" dataDxfId="51"/>
    <tableColumn id="7" xr3:uid="{00000000-0010-0000-0000-000007000000}" name="ID (vpic1.com)" dataDxfId="50">
      <calculatedColumnFormula>"VN"&amp;RIGHT(E2,5)</calculatedColumnFormula>
    </tableColumn>
    <tableColumn id="12" xr3:uid="{8AC468CD-3831-4509-838B-E0B97FA6D9BC}" name="ID (FILESERVER)" dataDxfId="49"/>
    <tableColumn id="8" xr3:uid="{00000000-0010-0000-0000-000008000000}" name="Password" dataDxfId="48"/>
    <tableColumn id="9" xr3:uid="{00000000-0010-0000-0000-000009000000}" name="Create date" dataDxfId="47"/>
    <tableColumn id="5" xr3:uid="{00000000-0010-0000-0000-000005000000}" name="Disable " dataDxfId="46"/>
    <tableColumn id="4" xr3:uid="{00000000-0010-0000-0000-000004000000}" name="Delete" dataDxfId="45"/>
    <tableColumn id="11" xr3:uid="{00000000-0010-0000-0000-00000B000000}" name="Check Dep" dataDxfId="44">
      <calculatedColumnFormula>VLOOKUP(E2,DS!$A$2:$E$4398, 5, 0)</calculatedColumnFormula>
    </tableColumn>
    <tableColumn id="13" xr3:uid="{00000000-0010-0000-0000-00000D000000}" name="Note" dataDxfId="43"/>
    <tableColumn id="14" xr3:uid="{A30248A5-D52B-46D0-B9B8-6ACA1B52B0E8}" name="Column1" dataDxfId="42">
      <calculatedColumnFormula>VLOOKUP(Table1[[#This Row],[USER]],[1]!Table145678910111213141545678910111213146[[#All],[No.]:[Delete]],2,0)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DA310A-FB18-4A1B-96B0-F2884F1BD485}" name="Table145678910111213141545678910111213146" displayName="Table145678910111213141545678910111213146" ref="A2:N797" totalsRowShown="0" headerRowDxfId="20" dataDxfId="19">
  <autoFilter ref="A2:N797" xr:uid="{26EFFA13-FCBC-4851-BBFB-B9AB47E199FA}"/>
  <tableColumns count="14">
    <tableColumn id="1" xr3:uid="{0862D08C-BDDB-4AAF-B7AA-A6FF4975B24B}" name="No." dataDxfId="18"/>
    <tableColumn id="9" xr3:uid="{04A67007-0554-4140-827E-294205DCB5A0}" name="Num" dataDxfId="17"/>
    <tableColumn id="2" xr3:uid="{D74D5B07-4495-42C5-BE05-3127A830E55D}" name="Department" dataDxfId="16"/>
    <tableColumn id="13" xr3:uid="{409466EE-50E5-455C-9672-AD636F0D22E2}" name="CODE" dataDxfId="15" dataCellStyle="Normal 3">
      <calculatedColumnFormula>CONCATENATE("#",E3)</calculatedColumnFormula>
    </tableColumn>
    <tableColumn id="6" xr3:uid="{AD03690F-2F4E-454E-BD2B-EE9D7B4CBC84}" name="Code2" dataDxfId="14" dataCellStyle="Normal 3"/>
    <tableColumn id="4" xr3:uid="{2BB63057-6D9E-4C30-8078-A0B739CE290A}" name="FULL NAME" dataDxfId="13"/>
    <tableColumn id="5" xr3:uid="{2A3C5BA5-E853-4534-A430-518FBD71118E}" name="USER" dataDxfId="12"/>
    <tableColumn id="14" xr3:uid="{D551BF57-68C7-482D-8CE9-EE17D28D1589}" name="ALOW AD" dataDxfId="11">
      <calculatedColumnFormula>CONCATENATE("VN",E3)</calculatedColumnFormula>
    </tableColumn>
    <tableColumn id="8" xr3:uid="{9DE50B01-84F5-41A1-A57F-066AE3AE2482}" name="Email Local" dataDxfId="10"/>
    <tableColumn id="10" xr3:uid="{1E82B518-3FDB-4D3A-B50F-56DE93A2C5B2}" name="Pass" dataDxfId="9"/>
    <tableColumn id="3" xr3:uid="{D63EE2C5-5C50-4AFB-BAA3-FAFFB97CACDF}" name="Create date" dataDxfId="8"/>
    <tableColumn id="11" xr3:uid="{B1F99310-8FE1-491C-BC83-B569C81D563D}" name="Disable" dataDxfId="7"/>
    <tableColumn id="12" xr3:uid="{B23C2D78-1E6A-4F85-93A4-56D2CE059F30}" name="Delete" dataDxfId="6"/>
    <tableColumn id="7" xr3:uid="{8801AEF8-4924-4267-8E7D-042799F1BDA5}" name="Column1" dataDxfId="5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00B050">
            <a:alpha val="80000"/>
          </a:srgbClr>
        </a:solidFill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Vpic1@2024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mailto:IT@vpic1" TargetMode="External"/><Relationship Id="rId7" Type="http://schemas.openxmlformats.org/officeDocument/2006/relationships/hyperlink" Target="mailto:IT@vpic1" TargetMode="External"/><Relationship Id="rId12" Type="http://schemas.openxmlformats.org/officeDocument/2006/relationships/hyperlink" Target="mailto:IT@vpic1" TargetMode="External"/><Relationship Id="rId2" Type="http://schemas.openxmlformats.org/officeDocument/2006/relationships/hyperlink" Target="mailto:IT@vpic1" TargetMode="External"/><Relationship Id="rId1" Type="http://schemas.openxmlformats.org/officeDocument/2006/relationships/hyperlink" Target="mailto:IT@vpic1" TargetMode="External"/><Relationship Id="rId6" Type="http://schemas.openxmlformats.org/officeDocument/2006/relationships/hyperlink" Target="mailto:Vpic1@2024" TargetMode="External"/><Relationship Id="rId11" Type="http://schemas.openxmlformats.org/officeDocument/2006/relationships/hyperlink" Target="mailto:Vpic1@2025" TargetMode="External"/><Relationship Id="rId5" Type="http://schemas.openxmlformats.org/officeDocument/2006/relationships/hyperlink" Target="mailto:IT@vpic1" TargetMode="External"/><Relationship Id="rId10" Type="http://schemas.openxmlformats.org/officeDocument/2006/relationships/hyperlink" Target="mailto:Vpic1@2025" TargetMode="External"/><Relationship Id="rId4" Type="http://schemas.openxmlformats.org/officeDocument/2006/relationships/hyperlink" Target="mailto:IT@vpic1" TargetMode="External"/><Relationship Id="rId9" Type="http://schemas.openxmlformats.org/officeDocument/2006/relationships/hyperlink" Target="mailto:IT@vpic1" TargetMode="External"/><Relationship Id="rId14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3.vml"/><Relationship Id="rId3" Type="http://schemas.openxmlformats.org/officeDocument/2006/relationships/hyperlink" Target="mailto:Dung26315@" TargetMode="External"/><Relationship Id="rId7" Type="http://schemas.openxmlformats.org/officeDocument/2006/relationships/hyperlink" Target="mailto:Qc6@25894" TargetMode="External"/><Relationship Id="rId2" Type="http://schemas.openxmlformats.org/officeDocument/2006/relationships/hyperlink" Target="mailto:Vpic1@2025" TargetMode="External"/><Relationship Id="rId1" Type="http://schemas.openxmlformats.org/officeDocument/2006/relationships/hyperlink" Target="mailto:Anh123@" TargetMode="External"/><Relationship Id="rId6" Type="http://schemas.openxmlformats.org/officeDocument/2006/relationships/hyperlink" Target="mailto:Son6@26470" TargetMode="External"/><Relationship Id="rId5" Type="http://schemas.openxmlformats.org/officeDocument/2006/relationships/hyperlink" Target="mailto:Nhung@19617" TargetMode="External"/><Relationship Id="rId10" Type="http://schemas.openxmlformats.org/officeDocument/2006/relationships/comments" Target="../comments3.xml"/><Relationship Id="rId4" Type="http://schemas.openxmlformats.org/officeDocument/2006/relationships/hyperlink" Target="mailto:tvu@17574" TargetMode="External"/><Relationship Id="rId9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zoomScale="90" zoomScaleNormal="90" workbookViewId="0">
      <selection activeCell="C23" sqref="C23"/>
    </sheetView>
  </sheetViews>
  <sheetFormatPr defaultColWidth="11.85546875" defaultRowHeight="15.75"/>
  <cols>
    <col min="1" max="1" width="24.140625" style="47" customWidth="1"/>
    <col min="2" max="2" width="6.140625" style="48" customWidth="1"/>
    <col min="3" max="3" width="73.42578125" style="49" customWidth="1"/>
    <col min="4" max="21" width="4.7109375" style="48" customWidth="1"/>
    <col min="22" max="16384" width="11.85546875" style="48"/>
  </cols>
  <sheetData>
    <row r="1" spans="1:21" s="46" customFormat="1">
      <c r="A1" s="406" t="s">
        <v>26</v>
      </c>
      <c r="B1" s="407"/>
      <c r="C1" s="408"/>
      <c r="D1" s="393">
        <v>2024.4</v>
      </c>
      <c r="E1" s="394"/>
      <c r="F1" s="394"/>
      <c r="G1" s="395"/>
      <c r="H1" s="392">
        <v>2024.5</v>
      </c>
      <c r="I1" s="392"/>
      <c r="J1" s="392"/>
      <c r="K1" s="392"/>
      <c r="L1" s="392"/>
      <c r="M1" s="393">
        <v>2024.6</v>
      </c>
      <c r="N1" s="394"/>
      <c r="O1" s="394"/>
      <c r="P1" s="395"/>
      <c r="Q1" s="396">
        <v>2024.7</v>
      </c>
      <c r="R1" s="397"/>
      <c r="S1" s="397"/>
      <c r="T1" s="397"/>
      <c r="U1" s="398"/>
    </row>
    <row r="2" spans="1:21">
      <c r="A2" s="409"/>
      <c r="B2" s="410"/>
      <c r="C2" s="411"/>
      <c r="D2" s="50" t="s">
        <v>0</v>
      </c>
      <c r="E2" s="50" t="s">
        <v>1</v>
      </c>
      <c r="F2" s="50" t="s">
        <v>2</v>
      </c>
      <c r="G2" s="50" t="s">
        <v>3</v>
      </c>
      <c r="H2" s="51" t="s">
        <v>4</v>
      </c>
      <c r="I2" s="51" t="s">
        <v>5</v>
      </c>
      <c r="J2" s="51" t="s">
        <v>6</v>
      </c>
      <c r="K2" s="51" t="s">
        <v>7</v>
      </c>
      <c r="L2" s="51" t="s">
        <v>8</v>
      </c>
      <c r="M2" s="72" t="s">
        <v>9</v>
      </c>
      <c r="N2" s="50" t="s">
        <v>10</v>
      </c>
      <c r="O2" s="50" t="s">
        <v>11</v>
      </c>
      <c r="P2" s="50" t="s">
        <v>12</v>
      </c>
      <c r="Q2" s="51" t="s">
        <v>13</v>
      </c>
      <c r="R2" s="51" t="s">
        <v>14</v>
      </c>
      <c r="S2" s="51" t="s">
        <v>15</v>
      </c>
      <c r="T2" s="51" t="s">
        <v>16</v>
      </c>
      <c r="U2" s="51" t="s">
        <v>17</v>
      </c>
    </row>
    <row r="3" spans="1:21" ht="16.899999999999999" customHeight="1">
      <c r="A3" s="402" t="s">
        <v>27</v>
      </c>
      <c r="B3" s="52">
        <v>1</v>
      </c>
      <c r="C3" s="53" t="s">
        <v>28</v>
      </c>
      <c r="D3" s="54"/>
      <c r="E3" s="52"/>
      <c r="F3" s="52"/>
      <c r="G3" s="52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</row>
    <row r="4" spans="1:21" ht="16.899999999999999" customHeight="1">
      <c r="A4" s="403"/>
      <c r="B4" s="52">
        <v>2</v>
      </c>
      <c r="C4" s="53" t="s">
        <v>29</v>
      </c>
      <c r="D4" s="56"/>
      <c r="E4" s="52"/>
      <c r="F4" s="57"/>
      <c r="G4" s="57"/>
      <c r="H4" s="58"/>
      <c r="I4" s="58"/>
      <c r="J4" s="58"/>
      <c r="K4" s="58"/>
      <c r="L4" s="58"/>
      <c r="M4" s="55"/>
      <c r="N4" s="55"/>
      <c r="O4" s="55"/>
      <c r="P4" s="55"/>
      <c r="Q4" s="55"/>
      <c r="R4" s="55"/>
      <c r="S4" s="55"/>
      <c r="T4" s="55"/>
      <c r="U4" s="55"/>
    </row>
    <row r="5" spans="1:21" ht="16.899999999999999" customHeight="1">
      <c r="A5" s="404" t="s">
        <v>30</v>
      </c>
      <c r="B5" s="52">
        <v>1</v>
      </c>
      <c r="C5" s="53" t="s">
        <v>31</v>
      </c>
      <c r="D5" s="54"/>
      <c r="E5" s="59"/>
      <c r="F5" s="59"/>
      <c r="G5" s="59"/>
      <c r="H5" s="60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</row>
    <row r="6" spans="1:21" ht="16.899999999999999" customHeight="1">
      <c r="A6" s="405"/>
      <c r="B6" s="52">
        <v>2</v>
      </c>
      <c r="C6" s="61" t="s">
        <v>32</v>
      </c>
      <c r="D6" s="62"/>
      <c r="E6" s="57"/>
      <c r="F6" s="57"/>
      <c r="G6" s="57"/>
      <c r="H6" s="58"/>
      <c r="I6" s="58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</row>
    <row r="7" spans="1:21" ht="31.15" customHeight="1">
      <c r="A7" s="403"/>
      <c r="B7" s="52">
        <v>3</v>
      </c>
      <c r="C7" s="53" t="s">
        <v>33</v>
      </c>
      <c r="D7" s="56"/>
      <c r="E7" s="52"/>
      <c r="F7" s="57"/>
      <c r="G7" s="57"/>
      <c r="H7" s="57"/>
      <c r="I7" s="58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</row>
    <row r="8" spans="1:21" ht="19.899999999999999" customHeight="1">
      <c r="A8" s="402" t="s">
        <v>34</v>
      </c>
      <c r="B8" s="52" t="s">
        <v>18</v>
      </c>
      <c r="C8" s="63" t="s">
        <v>35</v>
      </c>
      <c r="D8" s="56" t="s">
        <v>19</v>
      </c>
      <c r="E8" s="52" t="s">
        <v>19</v>
      </c>
      <c r="F8" s="52" t="s">
        <v>19</v>
      </c>
      <c r="G8" s="57" t="s">
        <v>19</v>
      </c>
      <c r="H8" s="64"/>
      <c r="I8" s="73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</row>
    <row r="9" spans="1:21" ht="19.899999999999999" customHeight="1">
      <c r="A9" s="405"/>
      <c r="B9" s="52" t="s">
        <v>20</v>
      </c>
      <c r="C9" s="63" t="s">
        <v>36</v>
      </c>
      <c r="D9" s="56" t="s">
        <v>19</v>
      </c>
      <c r="E9" s="52" t="s">
        <v>19</v>
      </c>
      <c r="F9" s="52" t="s">
        <v>19</v>
      </c>
      <c r="G9" s="52" t="s">
        <v>19</v>
      </c>
      <c r="H9" s="44"/>
      <c r="I9" s="74"/>
      <c r="J9" s="74"/>
      <c r="K9" s="75"/>
      <c r="L9" s="76"/>
      <c r="M9" s="76"/>
      <c r="N9" s="55"/>
      <c r="O9" s="55"/>
      <c r="P9" s="55"/>
      <c r="Q9" s="55"/>
      <c r="R9" s="55"/>
      <c r="S9" s="55"/>
      <c r="T9" s="55"/>
      <c r="U9" s="55"/>
    </row>
    <row r="10" spans="1:21" ht="19.899999999999999" customHeight="1">
      <c r="A10" s="405"/>
      <c r="B10" s="52" t="s">
        <v>21</v>
      </c>
      <c r="C10" s="63" t="s">
        <v>37</v>
      </c>
      <c r="D10" s="56" t="s">
        <v>19</v>
      </c>
      <c r="E10" s="52" t="s">
        <v>19</v>
      </c>
      <c r="F10" s="52" t="s">
        <v>19</v>
      </c>
      <c r="G10" s="52" t="s">
        <v>19</v>
      </c>
      <c r="H10" s="39"/>
      <c r="I10" s="77"/>
      <c r="J10" s="77"/>
      <c r="K10" s="77"/>
      <c r="L10" s="75"/>
      <c r="M10" s="75"/>
      <c r="N10" s="77"/>
      <c r="O10" s="55"/>
      <c r="P10" s="55"/>
      <c r="Q10" s="55"/>
      <c r="R10" s="55"/>
      <c r="S10" s="55"/>
      <c r="T10" s="55"/>
      <c r="U10" s="55"/>
    </row>
    <row r="11" spans="1:21" ht="19.899999999999999" customHeight="1">
      <c r="A11" s="405"/>
      <c r="B11" s="52" t="s">
        <v>22</v>
      </c>
      <c r="C11" s="63" t="s">
        <v>38</v>
      </c>
      <c r="D11" s="56" t="s">
        <v>19</v>
      </c>
      <c r="E11" s="52" t="s">
        <v>19</v>
      </c>
      <c r="F11" s="52" t="s">
        <v>19</v>
      </c>
      <c r="G11" s="52" t="s">
        <v>19</v>
      </c>
      <c r="H11" s="55"/>
      <c r="I11" s="78"/>
      <c r="J11" s="77"/>
      <c r="K11" s="77"/>
      <c r="L11" s="77"/>
      <c r="M11" s="77"/>
      <c r="N11" s="75"/>
      <c r="O11" s="55"/>
      <c r="P11" s="55"/>
      <c r="Q11" s="55"/>
      <c r="R11" s="55"/>
      <c r="S11" s="55"/>
      <c r="T11" s="55"/>
      <c r="U11" s="55"/>
    </row>
    <row r="12" spans="1:21" ht="19.899999999999999" customHeight="1">
      <c r="A12" s="405"/>
      <c r="B12" s="52" t="s">
        <v>23</v>
      </c>
      <c r="C12" s="65" t="s">
        <v>39</v>
      </c>
      <c r="D12" s="56" t="s">
        <v>19</v>
      </c>
      <c r="E12" s="52" t="s">
        <v>19</v>
      </c>
      <c r="F12" s="52" t="s">
        <v>19</v>
      </c>
      <c r="G12" s="52" t="s">
        <v>19</v>
      </c>
      <c r="H12" s="55"/>
      <c r="I12" s="78"/>
      <c r="J12" s="73"/>
      <c r="K12" s="79"/>
      <c r="L12" s="79"/>
      <c r="M12" s="79"/>
      <c r="N12" s="79"/>
      <c r="O12" s="80"/>
      <c r="P12" s="80"/>
      <c r="Q12" s="55"/>
      <c r="R12" s="55"/>
      <c r="S12" s="55"/>
      <c r="T12" s="55"/>
      <c r="U12" s="55"/>
    </row>
    <row r="13" spans="1:21" ht="19.899999999999999" customHeight="1">
      <c r="A13" s="405"/>
      <c r="B13" s="52" t="s">
        <v>24</v>
      </c>
      <c r="C13" s="63" t="s">
        <v>40</v>
      </c>
      <c r="D13" s="56" t="s">
        <v>19</v>
      </c>
      <c r="E13" s="52" t="s">
        <v>19</v>
      </c>
      <c r="F13" s="52" t="s">
        <v>19</v>
      </c>
      <c r="G13" s="52" t="s">
        <v>19</v>
      </c>
      <c r="H13" s="55"/>
      <c r="I13" s="78"/>
      <c r="J13" s="55"/>
      <c r="K13" s="55"/>
      <c r="L13" s="55"/>
      <c r="M13" s="81"/>
      <c r="N13" s="81"/>
      <c r="O13" s="81"/>
      <c r="P13" s="81"/>
      <c r="Q13" s="85"/>
      <c r="R13" s="55"/>
      <c r="S13" s="55"/>
      <c r="T13" s="55"/>
      <c r="U13" s="55"/>
    </row>
    <row r="14" spans="1:21" ht="19.899999999999999" customHeight="1">
      <c r="A14" s="405"/>
      <c r="B14" s="52" t="s">
        <v>25</v>
      </c>
      <c r="C14" s="63" t="s">
        <v>41</v>
      </c>
      <c r="D14" s="56" t="s">
        <v>19</v>
      </c>
      <c r="E14" s="52" t="s">
        <v>19</v>
      </c>
      <c r="F14" s="52" t="s">
        <v>19</v>
      </c>
      <c r="G14" s="52" t="s">
        <v>19</v>
      </c>
      <c r="H14" s="55"/>
      <c r="I14" s="55"/>
      <c r="J14" s="78"/>
      <c r="K14" s="78"/>
      <c r="L14" s="78"/>
      <c r="M14" s="78"/>
      <c r="N14" s="78"/>
      <c r="O14" s="44"/>
      <c r="P14" s="44"/>
      <c r="Q14" s="44"/>
      <c r="R14" s="75"/>
      <c r="S14" s="55"/>
      <c r="T14" s="55"/>
      <c r="U14" s="55"/>
    </row>
    <row r="15" spans="1:21">
      <c r="A15" s="405"/>
      <c r="B15" s="52">
        <v>8</v>
      </c>
      <c r="C15" s="63" t="s">
        <v>42</v>
      </c>
      <c r="D15" s="56"/>
      <c r="E15" s="52"/>
      <c r="F15" s="52"/>
      <c r="G15" s="52"/>
      <c r="H15" s="55"/>
      <c r="I15" s="55"/>
      <c r="J15" s="78"/>
      <c r="K15" s="78"/>
      <c r="L15" s="78"/>
      <c r="M15" s="78"/>
      <c r="N15" s="78"/>
      <c r="O15" s="77"/>
      <c r="P15" s="81"/>
      <c r="Q15" s="81"/>
      <c r="R15" s="81"/>
      <c r="S15" s="85"/>
      <c r="T15" s="85"/>
      <c r="U15" s="75"/>
    </row>
    <row r="16" spans="1:21" ht="24" customHeight="1">
      <c r="A16" s="66" t="s">
        <v>43</v>
      </c>
      <c r="B16" s="67" t="s">
        <v>18</v>
      </c>
      <c r="C16" s="68" t="s">
        <v>44</v>
      </c>
      <c r="D16" s="56" t="s">
        <v>19</v>
      </c>
      <c r="E16" s="52" t="s">
        <v>19</v>
      </c>
      <c r="F16" s="52" t="s">
        <v>19</v>
      </c>
      <c r="G16" s="57" t="s">
        <v>19</v>
      </c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</row>
    <row r="17" spans="1:21" ht="28.15" customHeight="1">
      <c r="A17" s="69" t="s">
        <v>45</v>
      </c>
      <c r="B17" s="67">
        <v>1</v>
      </c>
      <c r="C17" s="68" t="s">
        <v>46</v>
      </c>
      <c r="D17" s="56" t="s">
        <v>19</v>
      </c>
      <c r="E17" s="52" t="s">
        <v>19</v>
      </c>
      <c r="F17" s="52" t="s">
        <v>19</v>
      </c>
      <c r="G17" s="52" t="s">
        <v>19</v>
      </c>
      <c r="H17" s="55"/>
      <c r="I17" s="55"/>
      <c r="J17" s="55"/>
      <c r="K17" s="55"/>
      <c r="L17" s="55"/>
      <c r="M17" s="55"/>
      <c r="N17" s="55"/>
      <c r="O17" s="55"/>
      <c r="P17" s="82"/>
      <c r="Q17" s="82"/>
      <c r="R17" s="82"/>
      <c r="S17" s="82"/>
      <c r="T17" s="82"/>
      <c r="U17" s="82"/>
    </row>
    <row r="18" spans="1:21" s="47" customFormat="1" ht="31.9" customHeight="1">
      <c r="A18" s="52" t="s">
        <v>19</v>
      </c>
      <c r="B18" s="70"/>
      <c r="C18" s="71" t="s">
        <v>47</v>
      </c>
      <c r="D18" s="59" t="s">
        <v>19</v>
      </c>
      <c r="E18" s="399" t="s">
        <v>48</v>
      </c>
      <c r="F18" s="400"/>
      <c r="G18" s="401"/>
      <c r="H18" s="57" t="s">
        <v>19</v>
      </c>
      <c r="I18" s="399" t="s">
        <v>49</v>
      </c>
      <c r="J18" s="401"/>
      <c r="K18" s="56"/>
      <c r="L18" s="83"/>
      <c r="M18" s="83"/>
      <c r="N18" s="399" t="s">
        <v>50</v>
      </c>
      <c r="O18" s="401"/>
      <c r="P18" s="84"/>
      <c r="Q18" s="84"/>
      <c r="R18" s="84"/>
      <c r="S18" s="84"/>
      <c r="T18" s="84"/>
      <c r="U18" s="84"/>
    </row>
  </sheetData>
  <mergeCells count="11">
    <mergeCell ref="A3:A4"/>
    <mergeCell ref="A5:A7"/>
    <mergeCell ref="A8:A15"/>
    <mergeCell ref="A1:C2"/>
    <mergeCell ref="D1:G1"/>
    <mergeCell ref="H1:L1"/>
    <mergeCell ref="M1:P1"/>
    <mergeCell ref="Q1:U1"/>
    <mergeCell ref="E18:G18"/>
    <mergeCell ref="I18:J18"/>
    <mergeCell ref="N18:O18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D60"/>
  <sheetViews>
    <sheetView workbookViewId="0">
      <selection activeCell="B50" sqref="B50"/>
    </sheetView>
  </sheetViews>
  <sheetFormatPr defaultRowHeight="15"/>
  <cols>
    <col min="1" max="1" width="26.140625" bestFit="1" customWidth="1"/>
    <col min="2" max="2" width="13.28515625" bestFit="1" customWidth="1"/>
    <col min="3" max="3" width="15.7109375" bestFit="1" customWidth="1"/>
    <col min="4" max="4" width="14.7109375" bestFit="1" customWidth="1"/>
    <col min="5" max="653" width="16.5703125" bestFit="1" customWidth="1"/>
    <col min="654" max="654" width="11" bestFit="1" customWidth="1"/>
  </cols>
  <sheetData>
    <row r="3" spans="1:4">
      <c r="B3" s="87" t="s">
        <v>883</v>
      </c>
    </row>
    <row r="4" spans="1:4">
      <c r="A4" s="87" t="s">
        <v>60</v>
      </c>
      <c r="B4" t="s">
        <v>879</v>
      </c>
      <c r="C4" t="s">
        <v>881</v>
      </c>
      <c r="D4" t="s">
        <v>880</v>
      </c>
    </row>
    <row r="5" spans="1:4">
      <c r="A5" s="160" t="s">
        <v>835</v>
      </c>
      <c r="B5" s="159">
        <v>10</v>
      </c>
      <c r="C5" s="159">
        <v>3</v>
      </c>
      <c r="D5" s="159">
        <v>2</v>
      </c>
    </row>
    <row r="6" spans="1:4">
      <c r="A6" s="160" t="s">
        <v>836</v>
      </c>
      <c r="B6" s="159">
        <v>1</v>
      </c>
      <c r="C6" s="159"/>
      <c r="D6" s="159"/>
    </row>
    <row r="7" spans="1:4">
      <c r="A7" s="160" t="s">
        <v>837</v>
      </c>
      <c r="B7" s="159">
        <v>7</v>
      </c>
      <c r="C7" s="159">
        <v>2</v>
      </c>
      <c r="D7" s="159">
        <v>2</v>
      </c>
    </row>
    <row r="8" spans="1:4">
      <c r="A8" s="160" t="s">
        <v>838</v>
      </c>
      <c r="B8" s="159">
        <v>2</v>
      </c>
      <c r="C8" s="159"/>
      <c r="D8" s="159"/>
    </row>
    <row r="9" spans="1:4">
      <c r="A9" s="160" t="s">
        <v>839</v>
      </c>
      <c r="B9" s="159">
        <v>12</v>
      </c>
      <c r="C9" s="159">
        <v>3</v>
      </c>
      <c r="D9" s="159">
        <v>2</v>
      </c>
    </row>
    <row r="10" spans="1:4">
      <c r="A10" s="160" t="s">
        <v>840</v>
      </c>
      <c r="B10" s="159">
        <v>9</v>
      </c>
      <c r="C10" s="159">
        <v>1</v>
      </c>
      <c r="D10" s="159"/>
    </row>
    <row r="11" spans="1:4">
      <c r="A11" s="160" t="s">
        <v>841</v>
      </c>
      <c r="B11" s="159">
        <v>17</v>
      </c>
      <c r="C11" s="159">
        <v>3</v>
      </c>
      <c r="D11" s="159">
        <v>3</v>
      </c>
    </row>
    <row r="12" spans="1:4">
      <c r="A12" s="160" t="s">
        <v>842</v>
      </c>
      <c r="B12" s="159">
        <v>15</v>
      </c>
      <c r="C12" s="159">
        <v>1</v>
      </c>
      <c r="D12" s="159">
        <v>1</v>
      </c>
    </row>
    <row r="13" spans="1:4">
      <c r="A13" s="160" t="s">
        <v>843</v>
      </c>
      <c r="B13" s="159">
        <v>15</v>
      </c>
      <c r="C13" s="159">
        <v>3</v>
      </c>
      <c r="D13" s="159">
        <v>2</v>
      </c>
    </row>
    <row r="14" spans="1:4">
      <c r="A14" s="160" t="s">
        <v>844</v>
      </c>
      <c r="B14" s="159">
        <v>17</v>
      </c>
      <c r="C14" s="159">
        <v>4</v>
      </c>
      <c r="D14" s="159">
        <v>2</v>
      </c>
    </row>
    <row r="15" spans="1:4">
      <c r="A15" s="160" t="s">
        <v>263</v>
      </c>
      <c r="B15" s="159">
        <v>8</v>
      </c>
      <c r="C15" s="159">
        <v>1</v>
      </c>
      <c r="D15" s="159">
        <v>1</v>
      </c>
    </row>
    <row r="16" spans="1:4">
      <c r="A16" s="160" t="s">
        <v>845</v>
      </c>
      <c r="B16" s="159">
        <v>18</v>
      </c>
      <c r="C16" s="159">
        <v>3</v>
      </c>
      <c r="D16" s="159">
        <v>3</v>
      </c>
    </row>
    <row r="17" spans="1:4">
      <c r="A17" s="160" t="s">
        <v>846</v>
      </c>
      <c r="B17" s="159">
        <v>14</v>
      </c>
      <c r="C17" s="159"/>
      <c r="D17" s="159"/>
    </row>
    <row r="18" spans="1:4">
      <c r="A18" s="160" t="s">
        <v>847</v>
      </c>
      <c r="B18" s="159">
        <v>14</v>
      </c>
      <c r="C18" s="159">
        <v>2</v>
      </c>
      <c r="D18" s="159">
        <v>2</v>
      </c>
    </row>
    <row r="19" spans="1:4">
      <c r="A19" s="160" t="s">
        <v>848</v>
      </c>
      <c r="B19" s="159">
        <v>12</v>
      </c>
      <c r="C19" s="159">
        <v>2</v>
      </c>
      <c r="D19" s="159">
        <v>1</v>
      </c>
    </row>
    <row r="20" spans="1:4">
      <c r="A20" s="160" t="s">
        <v>829</v>
      </c>
      <c r="B20" s="159">
        <v>3</v>
      </c>
      <c r="C20" s="159"/>
      <c r="D20" s="159"/>
    </row>
    <row r="21" spans="1:4">
      <c r="A21" s="160" t="s">
        <v>849</v>
      </c>
      <c r="B21" s="159">
        <v>117</v>
      </c>
      <c r="C21" s="159">
        <v>10</v>
      </c>
      <c r="D21" s="159">
        <v>8</v>
      </c>
    </row>
    <row r="22" spans="1:4">
      <c r="A22" s="160" t="s">
        <v>850</v>
      </c>
      <c r="B22" s="159">
        <v>5</v>
      </c>
      <c r="C22" s="159">
        <v>1</v>
      </c>
      <c r="D22" s="159">
        <v>1</v>
      </c>
    </row>
    <row r="23" spans="1:4">
      <c r="A23" s="160" t="s">
        <v>851</v>
      </c>
      <c r="B23" s="159">
        <v>5</v>
      </c>
      <c r="C23" s="159"/>
      <c r="D23" s="159"/>
    </row>
    <row r="24" spans="1:4">
      <c r="A24" s="160" t="s">
        <v>852</v>
      </c>
      <c r="B24" s="159">
        <v>5</v>
      </c>
      <c r="C24" s="159"/>
      <c r="D24" s="159"/>
    </row>
    <row r="25" spans="1:4">
      <c r="A25" s="160" t="s">
        <v>853</v>
      </c>
      <c r="B25" s="159">
        <v>20</v>
      </c>
      <c r="C25" s="159">
        <v>1</v>
      </c>
      <c r="D25" s="159">
        <v>1</v>
      </c>
    </row>
    <row r="26" spans="1:4">
      <c r="A26" s="160" t="s">
        <v>216</v>
      </c>
      <c r="B26" s="159">
        <v>49</v>
      </c>
      <c r="C26" s="159">
        <v>4</v>
      </c>
      <c r="D26" s="159">
        <v>3</v>
      </c>
    </row>
    <row r="27" spans="1:4">
      <c r="A27" s="160" t="s">
        <v>854</v>
      </c>
      <c r="B27" s="159">
        <v>5</v>
      </c>
      <c r="C27" s="159">
        <v>2</v>
      </c>
      <c r="D27" s="159"/>
    </row>
    <row r="28" spans="1:4">
      <c r="A28" s="160" t="s">
        <v>268</v>
      </c>
      <c r="B28" s="159">
        <v>9</v>
      </c>
      <c r="C28" s="159">
        <v>3</v>
      </c>
      <c r="D28" s="159">
        <v>3</v>
      </c>
    </row>
    <row r="29" spans="1:4">
      <c r="A29" s="160" t="s">
        <v>855</v>
      </c>
      <c r="B29" s="159">
        <v>7</v>
      </c>
      <c r="C29" s="159"/>
      <c r="D29" s="159"/>
    </row>
    <row r="30" spans="1:4">
      <c r="A30" s="160" t="s">
        <v>856</v>
      </c>
      <c r="B30" s="159">
        <v>5</v>
      </c>
      <c r="C30" s="159">
        <v>1</v>
      </c>
      <c r="D30" s="159"/>
    </row>
    <row r="31" spans="1:4">
      <c r="A31" s="160" t="s">
        <v>51</v>
      </c>
      <c r="B31" s="159">
        <v>19</v>
      </c>
      <c r="C31" s="159">
        <v>2</v>
      </c>
      <c r="D31" s="159">
        <v>2</v>
      </c>
    </row>
    <row r="32" spans="1:4">
      <c r="A32" s="160" t="s">
        <v>857</v>
      </c>
      <c r="B32" s="159">
        <v>21</v>
      </c>
      <c r="C32" s="159">
        <v>1</v>
      </c>
      <c r="D32" s="159">
        <v>1</v>
      </c>
    </row>
    <row r="33" spans="1:4">
      <c r="A33" s="160" t="s">
        <v>57</v>
      </c>
      <c r="B33" s="159">
        <v>21</v>
      </c>
      <c r="C33" s="159">
        <v>2</v>
      </c>
      <c r="D33" s="159">
        <v>2</v>
      </c>
    </row>
    <row r="34" spans="1:4">
      <c r="A34" s="160" t="s">
        <v>858</v>
      </c>
      <c r="B34" s="159">
        <v>28</v>
      </c>
      <c r="C34" s="159">
        <v>2</v>
      </c>
      <c r="D34" s="159">
        <v>1</v>
      </c>
    </row>
    <row r="35" spans="1:4">
      <c r="A35" s="160" t="s">
        <v>859</v>
      </c>
      <c r="B35" s="159">
        <v>5</v>
      </c>
      <c r="C35" s="159">
        <v>1</v>
      </c>
      <c r="D35" s="159">
        <v>1</v>
      </c>
    </row>
    <row r="36" spans="1:4">
      <c r="A36" s="160" t="s">
        <v>860</v>
      </c>
      <c r="B36" s="159">
        <v>4</v>
      </c>
      <c r="C36" s="159"/>
      <c r="D36" s="159"/>
    </row>
    <row r="37" spans="1:4">
      <c r="A37" s="160" t="s">
        <v>861</v>
      </c>
      <c r="B37" s="159">
        <v>4</v>
      </c>
      <c r="C37" s="159"/>
      <c r="D37" s="159"/>
    </row>
    <row r="38" spans="1:4">
      <c r="A38" s="160" t="s">
        <v>862</v>
      </c>
      <c r="B38" s="159">
        <v>3</v>
      </c>
      <c r="C38" s="159"/>
      <c r="D38" s="159"/>
    </row>
    <row r="39" spans="1:4">
      <c r="A39" s="160" t="s">
        <v>863</v>
      </c>
      <c r="B39" s="159">
        <v>10</v>
      </c>
      <c r="C39" s="159"/>
      <c r="D39" s="159"/>
    </row>
    <row r="40" spans="1:4">
      <c r="A40" s="160" t="s">
        <v>864</v>
      </c>
      <c r="B40" s="159">
        <v>9</v>
      </c>
      <c r="C40" s="159">
        <v>1</v>
      </c>
      <c r="D40" s="159">
        <v>1</v>
      </c>
    </row>
    <row r="41" spans="1:4">
      <c r="A41" s="160" t="s">
        <v>865</v>
      </c>
      <c r="B41" s="159">
        <v>5</v>
      </c>
      <c r="C41" s="159"/>
      <c r="D41" s="159"/>
    </row>
    <row r="42" spans="1:4">
      <c r="A42" s="160" t="s">
        <v>866</v>
      </c>
      <c r="B42" s="159">
        <v>49</v>
      </c>
      <c r="C42" s="159">
        <v>8</v>
      </c>
      <c r="D42" s="159">
        <v>7</v>
      </c>
    </row>
    <row r="43" spans="1:4">
      <c r="A43" s="160" t="s">
        <v>867</v>
      </c>
      <c r="B43" s="159">
        <v>9</v>
      </c>
      <c r="C43" s="159">
        <v>1</v>
      </c>
      <c r="D43" s="159"/>
    </row>
    <row r="44" spans="1:4">
      <c r="A44" s="160" t="s">
        <v>868</v>
      </c>
      <c r="B44" s="159">
        <v>8</v>
      </c>
      <c r="C44" s="159">
        <v>3</v>
      </c>
      <c r="D44" s="159">
        <v>3</v>
      </c>
    </row>
    <row r="45" spans="1:4">
      <c r="A45" s="160" t="s">
        <v>869</v>
      </c>
      <c r="B45" s="159">
        <v>3</v>
      </c>
      <c r="C45" s="159">
        <v>1</v>
      </c>
      <c r="D45" s="159"/>
    </row>
    <row r="46" spans="1:4">
      <c r="A46" s="160" t="s">
        <v>870</v>
      </c>
      <c r="B46" s="159">
        <v>9</v>
      </c>
      <c r="C46" s="159">
        <v>1</v>
      </c>
      <c r="D46" s="159">
        <v>1</v>
      </c>
    </row>
    <row r="47" spans="1:4">
      <c r="A47" s="160" t="s">
        <v>871</v>
      </c>
      <c r="B47" s="159">
        <v>3</v>
      </c>
      <c r="C47" s="159"/>
      <c r="D47" s="159"/>
    </row>
    <row r="48" spans="1:4">
      <c r="A48" s="160" t="s">
        <v>872</v>
      </c>
      <c r="B48" s="159">
        <v>8</v>
      </c>
      <c r="C48" s="159"/>
      <c r="D48" s="159"/>
    </row>
    <row r="49" spans="1:4">
      <c r="A49" s="160" t="s">
        <v>873</v>
      </c>
      <c r="B49" s="159">
        <v>7</v>
      </c>
      <c r="C49" s="159">
        <v>1</v>
      </c>
      <c r="D49" s="159"/>
    </row>
    <row r="50" spans="1:4">
      <c r="A50" s="160" t="s">
        <v>874</v>
      </c>
      <c r="B50" s="159">
        <v>18</v>
      </c>
      <c r="C50" s="159">
        <v>1</v>
      </c>
      <c r="D50" s="159">
        <v>1</v>
      </c>
    </row>
    <row r="51" spans="1:4">
      <c r="A51" s="160" t="s">
        <v>875</v>
      </c>
      <c r="B51" s="159">
        <v>38</v>
      </c>
      <c r="C51" s="159">
        <v>3</v>
      </c>
      <c r="D51" s="159">
        <v>2</v>
      </c>
    </row>
    <row r="52" spans="1:4">
      <c r="A52" s="160" t="s">
        <v>876</v>
      </c>
      <c r="B52" s="159">
        <v>13</v>
      </c>
      <c r="C52" s="159">
        <v>2</v>
      </c>
      <c r="D52" s="159">
        <v>1</v>
      </c>
    </row>
    <row r="53" spans="1:4">
      <c r="A53" s="160" t="s">
        <v>877</v>
      </c>
      <c r="B53" s="159">
        <v>4</v>
      </c>
      <c r="C53" s="159"/>
      <c r="D53" s="159"/>
    </row>
    <row r="54" spans="1:4">
      <c r="A54" s="160" t="s">
        <v>882</v>
      </c>
      <c r="B54" s="159">
        <v>7</v>
      </c>
      <c r="C54" s="159">
        <v>1</v>
      </c>
      <c r="D54" s="159">
        <v>1</v>
      </c>
    </row>
    <row r="55" spans="1:4">
      <c r="A55" t="s">
        <v>7810</v>
      </c>
      <c r="B55" s="159">
        <v>6</v>
      </c>
      <c r="C55" s="159"/>
      <c r="D55" s="159"/>
    </row>
    <row r="56" spans="1:4">
      <c r="A56" t="s">
        <v>7992</v>
      </c>
      <c r="B56" s="159"/>
      <c r="C56" s="159"/>
      <c r="D56" s="159"/>
    </row>
    <row r="57" spans="1:4">
      <c r="A57" t="s">
        <v>1541</v>
      </c>
      <c r="B57" s="159">
        <v>34</v>
      </c>
      <c r="C57" s="159">
        <v>2</v>
      </c>
      <c r="D57" s="159">
        <v>1</v>
      </c>
    </row>
    <row r="58" spans="1:4">
      <c r="A58" t="s">
        <v>7818</v>
      </c>
      <c r="B58" s="159">
        <v>12</v>
      </c>
      <c r="C58" s="159">
        <v>1</v>
      </c>
      <c r="D58" s="159">
        <v>1</v>
      </c>
    </row>
    <row r="59" spans="1:4">
      <c r="A59" t="s">
        <v>895</v>
      </c>
      <c r="B59" s="159">
        <v>2</v>
      </c>
      <c r="C59" s="159"/>
      <c r="D59" s="159"/>
    </row>
    <row r="60" spans="1:4">
      <c r="A60" s="160" t="s">
        <v>878</v>
      </c>
      <c r="B60" s="159">
        <v>760</v>
      </c>
      <c r="C60" s="159">
        <v>84</v>
      </c>
      <c r="D60" s="159">
        <v>63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99"/>
  <sheetViews>
    <sheetView zoomScaleNormal="100" workbookViewId="0">
      <pane ySplit="1" topLeftCell="A2" activePane="bottomLeft" state="frozen"/>
      <selection pane="bottomLeft" activeCell="G10" sqref="A1:N791"/>
    </sheetView>
  </sheetViews>
  <sheetFormatPr defaultColWidth="9" defaultRowHeight="15.75"/>
  <cols>
    <col min="1" max="1" width="9" style="92"/>
    <col min="2" max="2" width="10.85546875" style="103" hidden="1" customWidth="1"/>
    <col min="3" max="4" width="29" style="104" customWidth="1"/>
    <col min="5" max="6" width="19" style="92" customWidth="1"/>
    <col min="7" max="7" width="24.5703125" style="92" bestFit="1" customWidth="1"/>
    <col min="8" max="8" width="14.28515625" style="92" customWidth="1"/>
    <col min="9" max="9" width="19" style="105" customWidth="1"/>
    <col min="10" max="11" width="19" style="125" customWidth="1"/>
    <col min="12" max="12" width="19.7109375" style="125" customWidth="1"/>
    <col min="13" max="13" width="13.7109375" style="92" customWidth="1"/>
    <col min="14" max="14" width="20" style="92" customWidth="1"/>
    <col min="15" max="16384" width="9" style="92"/>
  </cols>
  <sheetData>
    <row r="1" spans="1:14" s="311" customFormat="1">
      <c r="A1" s="312" t="s">
        <v>58</v>
      </c>
      <c r="B1" s="313" t="s">
        <v>59</v>
      </c>
      <c r="C1" s="314" t="s">
        <v>60</v>
      </c>
      <c r="D1" s="314" t="s">
        <v>885</v>
      </c>
      <c r="E1" s="315" t="s">
        <v>61</v>
      </c>
      <c r="F1" s="316" t="s">
        <v>62</v>
      </c>
      <c r="G1" s="316" t="s">
        <v>8814</v>
      </c>
      <c r="H1" s="316" t="s">
        <v>63</v>
      </c>
      <c r="I1" s="317" t="s">
        <v>64</v>
      </c>
      <c r="J1" s="317" t="s">
        <v>819</v>
      </c>
      <c r="K1" s="317" t="s">
        <v>820</v>
      </c>
      <c r="L1" s="317" t="s">
        <v>8381</v>
      </c>
      <c r="M1" s="318" t="s">
        <v>65</v>
      </c>
      <c r="N1" s="318" t="s">
        <v>8813</v>
      </c>
    </row>
    <row r="2" spans="1:14">
      <c r="A2" s="93">
        <v>1</v>
      </c>
      <c r="B2" s="94">
        <v>1</v>
      </c>
      <c r="C2" s="40" t="s">
        <v>7925</v>
      </c>
      <c r="D2" s="40" t="str">
        <f>VLOOKUP(E2,Sheet3!$A$2:$D$6338,2,0)</f>
        <v>Lê Kim Cường</v>
      </c>
      <c r="E2" s="44" t="s">
        <v>66</v>
      </c>
      <c r="F2" s="44" t="str">
        <f t="shared" ref="F2:F45" si="0">"VN"&amp;RIGHT(E2,5)</f>
        <v>VN10437</v>
      </c>
      <c r="G2" s="295"/>
      <c r="H2" s="41" t="s">
        <v>67</v>
      </c>
      <c r="I2" s="95">
        <v>45415</v>
      </c>
      <c r="J2" s="122">
        <v>45806</v>
      </c>
      <c r="K2" s="122">
        <v>45806</v>
      </c>
      <c r="L2" s="147" t="e">
        <f>VLOOKUP(E2,DS!$A$2:$E$4398, 5, 0)</f>
        <v>#N/A</v>
      </c>
      <c r="M2" s="148"/>
    </row>
    <row r="3" spans="1:14">
      <c r="A3" s="93">
        <v>2</v>
      </c>
      <c r="B3" s="94">
        <v>2</v>
      </c>
      <c r="C3" s="40" t="s">
        <v>7925</v>
      </c>
      <c r="D3" s="40" t="str">
        <f>VLOOKUP(E3,Sheet3!$A$2:$D$6338,2,0)</f>
        <v>Nguyễn Thị Thu Hương</v>
      </c>
      <c r="E3" s="44" t="s">
        <v>68</v>
      </c>
      <c r="F3" s="44" t="str">
        <f t="shared" si="0"/>
        <v>VN00328</v>
      </c>
      <c r="G3" s="295"/>
      <c r="H3" s="41" t="s">
        <v>67</v>
      </c>
      <c r="I3" s="95">
        <v>45415</v>
      </c>
      <c r="J3" s="122"/>
      <c r="K3" s="122"/>
      <c r="L3" s="147" t="str">
        <f>VLOOKUP(E3,DS!$A$2:$E$4398, 5, 0)</f>
        <v>QLSX</v>
      </c>
      <c r="M3" s="148"/>
      <c r="N3" s="92" t="e">
        <f>VLOOKUP(Table1[[#This Row],[USER]],[1]!Table145678910111213141545678910111213146[[#All],[No.]:[Delete]],2,0)</f>
        <v>#N/A</v>
      </c>
    </row>
    <row r="4" spans="1:14">
      <c r="A4" s="93">
        <v>3</v>
      </c>
      <c r="B4" s="94">
        <v>3</v>
      </c>
      <c r="C4" s="40" t="s">
        <v>7925</v>
      </c>
      <c r="D4" s="40" t="str">
        <f>VLOOKUP(E4,Sheet3!$A$2:$D$6338,2,0)</f>
        <v>Nguyễn Tuấn Anh</v>
      </c>
      <c r="E4" s="44" t="s">
        <v>69</v>
      </c>
      <c r="F4" s="44" t="str">
        <f t="shared" si="0"/>
        <v>VN00527</v>
      </c>
      <c r="G4" s="295"/>
      <c r="H4" s="41" t="s">
        <v>67</v>
      </c>
      <c r="I4" s="95">
        <v>45415</v>
      </c>
      <c r="J4" s="122">
        <v>45530</v>
      </c>
      <c r="K4" s="122">
        <v>45530</v>
      </c>
      <c r="L4" s="147" t="e">
        <f>VLOOKUP(E4,DS!$A$2:$E$4398, 5, 0)</f>
        <v>#N/A</v>
      </c>
      <c r="M4" s="148"/>
      <c r="N4" s="92" t="e">
        <f>VLOOKUP(Table1[[#This Row],[USER]],[1]!Table145678910111213141545678910111213146[[#All],[No.]:[Delete]],2,0)</f>
        <v>#N/A</v>
      </c>
    </row>
    <row r="5" spans="1:14">
      <c r="A5" s="93">
        <v>4</v>
      </c>
      <c r="B5" s="94">
        <v>4</v>
      </c>
      <c r="C5" s="40" t="s">
        <v>7925</v>
      </c>
      <c r="D5" s="40" t="str">
        <f>VLOOKUP(E5,Sheet3!$A$2:$D$6338,2,0)</f>
        <v>Nguyễn Công Chính</v>
      </c>
      <c r="E5" s="44" t="s">
        <v>7808</v>
      </c>
      <c r="F5" s="44" t="str">
        <f>"VN"&amp;RIGHT(E5,5)</f>
        <v>VN00854</v>
      </c>
      <c r="G5" s="295"/>
      <c r="H5" s="41" t="s">
        <v>67</v>
      </c>
      <c r="I5" s="95">
        <v>45530</v>
      </c>
      <c r="J5" s="122"/>
      <c r="K5" s="122"/>
      <c r="L5" s="147" t="str">
        <f>VLOOKUP(E5,DS!$A$2:$E$4398, 5, 0)</f>
        <v>QLSX</v>
      </c>
      <c r="M5" s="148"/>
      <c r="N5" s="92" t="e">
        <f>VLOOKUP(Table1[[#This Row],[USER]],[1]!Table145678910111213141545678910111213146[[#All],[No.]:[Delete]],2,0)</f>
        <v>#N/A</v>
      </c>
    </row>
    <row r="6" spans="1:14">
      <c r="A6" s="93">
        <v>5</v>
      </c>
      <c r="B6" s="94">
        <v>5</v>
      </c>
      <c r="C6" s="40" t="s">
        <v>7925</v>
      </c>
      <c r="D6" s="40" t="str">
        <f>VLOOKUP(E6,Sheet3!$A$2:$D$6338,2,0)</f>
        <v>Kiều Văn Hiên</v>
      </c>
      <c r="E6" s="44" t="s">
        <v>70</v>
      </c>
      <c r="F6" s="44" t="str">
        <f t="shared" si="0"/>
        <v>VN04202</v>
      </c>
      <c r="G6" s="295"/>
      <c r="H6" s="41" t="s">
        <v>67</v>
      </c>
      <c r="I6" s="95">
        <v>45415</v>
      </c>
      <c r="J6" s="122"/>
      <c r="K6" s="122"/>
      <c r="L6" s="147" t="str">
        <f>VLOOKUP(E6,DS!$A$2:$E$4398, 5, 0)</f>
        <v>QLSX</v>
      </c>
      <c r="M6" s="148"/>
      <c r="N6" s="92" t="e">
        <f>VLOOKUP(Table1[[#This Row],[USER]],[1]!Table145678910111213141545678910111213146[[#All],[No.]:[Delete]],2,0)</f>
        <v>#N/A</v>
      </c>
    </row>
    <row r="7" spans="1:14">
      <c r="A7" s="93">
        <v>6</v>
      </c>
      <c r="B7" s="94">
        <v>6</v>
      </c>
      <c r="C7" s="40" t="s">
        <v>7925</v>
      </c>
      <c r="D7" s="40" t="str">
        <f>VLOOKUP(E7,Sheet3!$A$2:$D$6338,2,0)</f>
        <v>Nguyễn Thị Thịnh</v>
      </c>
      <c r="E7" s="44" t="s">
        <v>71</v>
      </c>
      <c r="F7" s="44" t="str">
        <f t="shared" si="0"/>
        <v>VN07789</v>
      </c>
      <c r="G7" s="295"/>
      <c r="H7" s="41" t="s">
        <v>67</v>
      </c>
      <c r="I7" s="95">
        <v>45415</v>
      </c>
      <c r="J7" s="122"/>
      <c r="K7" s="122"/>
      <c r="L7" s="147" t="str">
        <f>VLOOKUP(E7,DS!$A$2:$E$4398, 5, 0)</f>
        <v>QLSX</v>
      </c>
      <c r="M7" s="148"/>
      <c r="N7" s="92" t="e">
        <f>VLOOKUP(Table1[[#This Row],[USER]],[1]!Table145678910111213141545678910111213146[[#All],[No.]:[Delete]],2,0)</f>
        <v>#N/A</v>
      </c>
    </row>
    <row r="8" spans="1:14">
      <c r="A8" s="93">
        <v>7</v>
      </c>
      <c r="B8" s="94">
        <v>7</v>
      </c>
      <c r="C8" s="40" t="s">
        <v>7925</v>
      </c>
      <c r="D8" s="40" t="str">
        <f>VLOOKUP(E8,Sheet3!$A$2:$D$6338,2,0)</f>
        <v>Phan Thị Phượng</v>
      </c>
      <c r="E8" s="44" t="s">
        <v>72</v>
      </c>
      <c r="F8" s="44" t="str">
        <f t="shared" si="0"/>
        <v>VN13582</v>
      </c>
      <c r="G8" s="295"/>
      <c r="H8" s="41" t="s">
        <v>67</v>
      </c>
      <c r="I8" s="95">
        <v>45415</v>
      </c>
      <c r="J8" s="122"/>
      <c r="K8" s="122"/>
      <c r="L8" s="147" t="str">
        <f>VLOOKUP(E8,DS!$A$2:$E$4398, 5, 0)</f>
        <v>QLSX</v>
      </c>
      <c r="M8" s="148"/>
      <c r="N8" s="92" t="e">
        <f>VLOOKUP(Table1[[#This Row],[USER]],[1]!Table145678910111213141545678910111213146[[#All],[No.]:[Delete]],2,0)</f>
        <v>#N/A</v>
      </c>
    </row>
    <row r="9" spans="1:14">
      <c r="A9" s="93">
        <v>8</v>
      </c>
      <c r="B9" s="94">
        <v>8</v>
      </c>
      <c r="C9" s="40" t="s">
        <v>7925</v>
      </c>
      <c r="D9" s="40" t="str">
        <f>VLOOKUP(E9,Sheet3!$A$2:$D$6338,2,0)</f>
        <v>Bùi Thị Thanh</v>
      </c>
      <c r="E9" s="44" t="s">
        <v>73</v>
      </c>
      <c r="F9" s="44" t="str">
        <f t="shared" si="0"/>
        <v>VN08550</v>
      </c>
      <c r="G9" s="295"/>
      <c r="H9" s="41" t="s">
        <v>67</v>
      </c>
      <c r="I9" s="95">
        <v>45415</v>
      </c>
      <c r="J9" s="122"/>
      <c r="K9" s="122"/>
      <c r="L9" s="147" t="str">
        <f>VLOOKUP(E9,DS!$A$2:$E$4398, 5, 0)</f>
        <v>QLSX</v>
      </c>
      <c r="M9" s="148"/>
      <c r="N9" s="92" t="e">
        <f>VLOOKUP(Table1[[#This Row],[USER]],[1]!Table145678910111213141545678910111213146[[#All],[No.]:[Delete]],2,0)</f>
        <v>#N/A</v>
      </c>
    </row>
    <row r="10" spans="1:14">
      <c r="A10" s="93">
        <v>9</v>
      </c>
      <c r="B10" s="94">
        <v>9</v>
      </c>
      <c r="C10" s="40" t="s">
        <v>7925</v>
      </c>
      <c r="D10" s="40" t="str">
        <f>VLOOKUP(E10,Sheet3!$A$2:$D$6338,2,0)</f>
        <v>Nguyễn Thành Đồng</v>
      </c>
      <c r="E10" s="44" t="s">
        <v>74</v>
      </c>
      <c r="F10" s="44" t="str">
        <f t="shared" si="0"/>
        <v>VN07290</v>
      </c>
      <c r="G10" s="295"/>
      <c r="H10" s="41" t="s">
        <v>67</v>
      </c>
      <c r="I10" s="95">
        <v>45415</v>
      </c>
      <c r="J10" s="122"/>
      <c r="K10" s="122"/>
      <c r="L10" s="147" t="str">
        <f>VLOOKUP(E10,DS!$A$2:$E$4398, 5, 0)</f>
        <v>QLSX</v>
      </c>
      <c r="M10" s="148"/>
      <c r="N10" s="92" t="e">
        <f>VLOOKUP(Table1[[#This Row],[USER]],[1]!Table145678910111213141545678910111213146[[#All],[No.]:[Delete]],2,0)</f>
        <v>#N/A</v>
      </c>
    </row>
    <row r="11" spans="1:14">
      <c r="A11" s="93">
        <v>10</v>
      </c>
      <c r="B11" s="94">
        <v>10</v>
      </c>
      <c r="C11" s="40" t="s">
        <v>7925</v>
      </c>
      <c r="D11" s="40" t="str">
        <f>VLOOKUP(E11,Sheet3!$A$2:$D$6338,2,0)</f>
        <v>Nguyễn Thị Minh Yến</v>
      </c>
      <c r="E11" s="44" t="s">
        <v>75</v>
      </c>
      <c r="F11" s="44" t="str">
        <f t="shared" si="0"/>
        <v>VN08759</v>
      </c>
      <c r="G11" s="295"/>
      <c r="H11" s="41" t="s">
        <v>67</v>
      </c>
      <c r="I11" s="95">
        <v>45415</v>
      </c>
      <c r="J11" s="122">
        <v>45876</v>
      </c>
      <c r="K11" s="122">
        <v>45876</v>
      </c>
      <c r="L11" s="147" t="e">
        <f>VLOOKUP(E11,DS!$A$2:$E$4398, 5, 0)</f>
        <v>#N/A</v>
      </c>
      <c r="M11" s="148"/>
      <c r="N11" s="92" t="e">
        <f>VLOOKUP(Table1[[#This Row],[USER]],[1]!Table145678910111213141545678910111213146[[#All],[No.]:[Delete]],2,0)</f>
        <v>#N/A</v>
      </c>
    </row>
    <row r="12" spans="1:14">
      <c r="A12" s="93">
        <v>11</v>
      </c>
      <c r="B12" s="94">
        <v>11</v>
      </c>
      <c r="C12" s="40" t="s">
        <v>7925</v>
      </c>
      <c r="D12" s="40" t="str">
        <f>VLOOKUP(E12,Sheet3!$A$2:$D$6338,2,0)</f>
        <v>Lê Văn Bình</v>
      </c>
      <c r="E12" s="44" t="s">
        <v>76</v>
      </c>
      <c r="F12" s="44" t="str">
        <f t="shared" si="0"/>
        <v>VN02245</v>
      </c>
      <c r="G12" s="295"/>
      <c r="H12" s="41" t="s">
        <v>67</v>
      </c>
      <c r="I12" s="95">
        <v>45415</v>
      </c>
      <c r="J12" s="122">
        <v>45530</v>
      </c>
      <c r="K12" s="122">
        <v>45806</v>
      </c>
      <c r="L12" s="147" t="e">
        <f>VLOOKUP(E12,DS!$A$2:$E$4398, 5, 0)</f>
        <v>#N/A</v>
      </c>
      <c r="M12" s="148"/>
      <c r="N12" s="92" t="e">
        <f>VLOOKUP(Table1[[#This Row],[USER]],[1]!Table145678910111213141545678910111213146[[#All],[No.]:[Delete]],2,0)</f>
        <v>#N/A</v>
      </c>
    </row>
    <row r="13" spans="1:14">
      <c r="A13" s="93">
        <v>12</v>
      </c>
      <c r="B13" s="94">
        <v>12</v>
      </c>
      <c r="C13" s="40" t="s">
        <v>7925</v>
      </c>
      <c r="D13" s="40" t="str">
        <f>VLOOKUP(E13,Sheet3!$A$2:$D$6338,2,0)</f>
        <v>Nguyễn Thị Mai</v>
      </c>
      <c r="E13" s="44" t="s">
        <v>77</v>
      </c>
      <c r="F13" s="44" t="str">
        <f t="shared" si="0"/>
        <v>VN15884</v>
      </c>
      <c r="G13" s="295"/>
      <c r="H13" s="41" t="s">
        <v>67</v>
      </c>
      <c r="I13" s="95">
        <v>45415</v>
      </c>
      <c r="J13" s="122"/>
      <c r="K13" s="122"/>
      <c r="L13" s="147" t="str">
        <f>VLOOKUP(E13,DS!$A$2:$E$4398, 5, 0)</f>
        <v>QLSX</v>
      </c>
      <c r="M13" s="148"/>
      <c r="N13" s="92" t="e">
        <f>VLOOKUP(Table1[[#This Row],[USER]],[1]!Table145678910111213141545678910111213146[[#All],[No.]:[Delete]],2,0)</f>
        <v>#N/A</v>
      </c>
    </row>
    <row r="14" spans="1:14">
      <c r="A14" s="93">
        <v>13</v>
      </c>
      <c r="B14" s="94">
        <v>13</v>
      </c>
      <c r="C14" s="40" t="s">
        <v>7925</v>
      </c>
      <c r="D14" s="40" t="str">
        <f>VLOOKUP(E14,Sheet3!$A$2:$D$6338,2,0)</f>
        <v>Nguyễn Đình Tuấn</v>
      </c>
      <c r="E14" s="44" t="s">
        <v>78</v>
      </c>
      <c r="F14" s="44" t="str">
        <f t="shared" si="0"/>
        <v>VN00665</v>
      </c>
      <c r="G14" s="295"/>
      <c r="H14" s="41" t="s">
        <v>67</v>
      </c>
      <c r="I14" s="95">
        <v>45415</v>
      </c>
      <c r="J14" s="122"/>
      <c r="K14" s="122"/>
      <c r="L14" s="147" t="str">
        <f>VLOOKUP(E14,DS!$A$2:$E$4398, 5, 0)</f>
        <v>QLSX</v>
      </c>
      <c r="M14" s="148"/>
      <c r="N14" s="92" t="e">
        <f>VLOOKUP(Table1[[#This Row],[USER]],[1]!Table145678910111213141545678910111213146[[#All],[No.]:[Delete]],2,0)</f>
        <v>#N/A</v>
      </c>
    </row>
    <row r="15" spans="1:14">
      <c r="A15" s="93">
        <v>14</v>
      </c>
      <c r="B15" s="94">
        <v>14</v>
      </c>
      <c r="C15" s="40" t="s">
        <v>7925</v>
      </c>
      <c r="D15" s="40" t="str">
        <f>VLOOKUP(E15,Sheet3!$A$2:$D$6338,2,0)</f>
        <v>Nguyễn Văn Mạnh</v>
      </c>
      <c r="E15" s="44" t="s">
        <v>79</v>
      </c>
      <c r="F15" s="44" t="str">
        <f t="shared" si="0"/>
        <v>VN06748</v>
      </c>
      <c r="G15" s="295"/>
      <c r="H15" s="41" t="s">
        <v>67</v>
      </c>
      <c r="I15" s="95">
        <v>45415</v>
      </c>
      <c r="J15" s="122"/>
      <c r="K15" s="122"/>
      <c r="L15" s="147" t="str">
        <f>VLOOKUP(E15,DS!$A$2:$E$4398, 5, 0)</f>
        <v>QLSX</v>
      </c>
      <c r="M15" s="148"/>
      <c r="N15" s="92" t="e">
        <f>VLOOKUP(Table1[[#This Row],[USER]],[1]!Table145678910111213141545678910111213146[[#All],[No.]:[Delete]],2,0)</f>
        <v>#N/A</v>
      </c>
    </row>
    <row r="16" spans="1:14">
      <c r="A16" s="93">
        <v>15</v>
      </c>
      <c r="B16" s="94">
        <v>15</v>
      </c>
      <c r="C16" s="40" t="s">
        <v>7925</v>
      </c>
      <c r="D16" s="40" t="str">
        <f>VLOOKUP(E16,Sheet3!$A$2:$D$6338,2,0)</f>
        <v>Nguyễn Văn Thắng</v>
      </c>
      <c r="E16" s="44" t="s">
        <v>822</v>
      </c>
      <c r="F16" s="44" t="str">
        <f t="shared" si="0"/>
        <v>VN03500</v>
      </c>
      <c r="G16" s="295"/>
      <c r="H16" s="41" t="s">
        <v>67</v>
      </c>
      <c r="I16" s="95">
        <v>45415</v>
      </c>
      <c r="J16" s="122">
        <v>45950</v>
      </c>
      <c r="K16" s="122">
        <v>45960</v>
      </c>
      <c r="L16" s="147" t="str">
        <f>VLOOKUP(E16,DS!$A$2:$E$4398, 5, 0)</f>
        <v>QLSX</v>
      </c>
      <c r="M16" s="149"/>
      <c r="N16" s="92" t="e">
        <f>VLOOKUP(Table1[[#This Row],[USER]],[1]!Table145678910111213141545678910111213146[[#All],[No.]:[Delete]],2,0)</f>
        <v>#N/A</v>
      </c>
    </row>
    <row r="17" spans="1:14">
      <c r="A17" s="93">
        <v>16</v>
      </c>
      <c r="B17" s="94">
        <v>16</v>
      </c>
      <c r="C17" s="40" t="s">
        <v>7925</v>
      </c>
      <c r="D17" s="40" t="str">
        <f>VLOOKUP(E17,Sheet3!$A$2:$D$6338,2,0)</f>
        <v>Đỗ Minh Hải</v>
      </c>
      <c r="E17" s="44" t="s">
        <v>821</v>
      </c>
      <c r="F17" s="44" t="str">
        <f>"VN"&amp;RIGHT(E17,5)</f>
        <v>VN15725</v>
      </c>
      <c r="G17" s="295"/>
      <c r="H17" s="41" t="s">
        <v>67</v>
      </c>
      <c r="I17" s="95">
        <v>45415</v>
      </c>
      <c r="J17" s="122"/>
      <c r="K17" s="122"/>
      <c r="L17" s="147" t="str">
        <f>VLOOKUP(E17,DS!$A$2:$E$4398, 5, 0)</f>
        <v>QLSX</v>
      </c>
      <c r="M17" s="149"/>
      <c r="N17" s="92" t="e">
        <f>VLOOKUP(Table1[[#This Row],[USER]],[1]!Table145678910111213141545678910111213146[[#All],[No.]:[Delete]],2,0)</f>
        <v>#N/A</v>
      </c>
    </row>
    <row r="18" spans="1:14">
      <c r="A18" s="93">
        <v>17</v>
      </c>
      <c r="B18" s="94">
        <v>17</v>
      </c>
      <c r="C18" s="40" t="s">
        <v>7925</v>
      </c>
      <c r="D18" s="40" t="str">
        <f>VLOOKUP(E18,Sheet3!$A$2:$D$6338,2,0)</f>
        <v>Lê Văn Bảo</v>
      </c>
      <c r="E18" s="44" t="s">
        <v>80</v>
      </c>
      <c r="F18" s="44" t="str">
        <f t="shared" si="0"/>
        <v>VN00186</v>
      </c>
      <c r="G18" s="295"/>
      <c r="H18" s="41" t="s">
        <v>67</v>
      </c>
      <c r="I18" s="95">
        <v>45415</v>
      </c>
      <c r="J18" s="122"/>
      <c r="K18" s="122"/>
      <c r="L18" s="147" t="str">
        <f>VLOOKUP(E18,DS!$A$2:$E$4398, 5, 0)</f>
        <v>QLSX</v>
      </c>
      <c r="M18" s="148"/>
      <c r="N18" s="92" t="e">
        <f>VLOOKUP(Table1[[#This Row],[USER]],[1]!Table145678910111213141545678910111213146[[#All],[No.]:[Delete]],2,0)</f>
        <v>#N/A</v>
      </c>
    </row>
    <row r="19" spans="1:14">
      <c r="A19" s="93">
        <v>18</v>
      </c>
      <c r="B19" s="94">
        <v>18</v>
      </c>
      <c r="C19" s="40" t="s">
        <v>7925</v>
      </c>
      <c r="D19" s="40" t="str">
        <f>VLOOKUP(E19,Sheet3!$A$2:$D$6338,2,0)</f>
        <v>Nguyễn Văn Nghiêm</v>
      </c>
      <c r="E19" s="44" t="s">
        <v>823</v>
      </c>
      <c r="F19" s="44" t="str">
        <f t="shared" si="0"/>
        <v>VN04427</v>
      </c>
      <c r="G19" s="295"/>
      <c r="H19" s="41" t="s">
        <v>67</v>
      </c>
      <c r="I19" s="95">
        <v>45415</v>
      </c>
      <c r="J19" s="122"/>
      <c r="K19" s="122"/>
      <c r="L19" s="147" t="str">
        <f>VLOOKUP(E19,DS!$A$2:$E$4398, 5, 0)</f>
        <v>QLSX</v>
      </c>
      <c r="M19" s="149"/>
      <c r="N19" s="92" t="e">
        <f>VLOOKUP(Table1[[#This Row],[USER]],[1]!Table145678910111213141545678910111213146[[#All],[No.]:[Delete]],2,0)</f>
        <v>#N/A</v>
      </c>
    </row>
    <row r="20" spans="1:14">
      <c r="A20" s="93">
        <v>19</v>
      </c>
      <c r="B20" s="94">
        <v>19</v>
      </c>
      <c r="C20" s="40" t="s">
        <v>7925</v>
      </c>
      <c r="D20" s="40" t="str">
        <f>VLOOKUP(E20,Sheet3!$A$2:$D$6338,2,0)</f>
        <v>Nguyễn Thế Mạnh</v>
      </c>
      <c r="E20" s="44" t="s">
        <v>824</v>
      </c>
      <c r="F20" s="44" t="str">
        <f>"VN"&amp;RIGHT(E20,5)</f>
        <v>VN01534</v>
      </c>
      <c r="G20" s="295"/>
      <c r="H20" s="41" t="s">
        <v>67</v>
      </c>
      <c r="I20" s="95">
        <v>45415</v>
      </c>
      <c r="J20" s="122"/>
      <c r="K20" s="122"/>
      <c r="L20" s="147" t="str">
        <f>VLOOKUP(E20,DS!$A$2:$E$4398, 5, 0)</f>
        <v>QLSX</v>
      </c>
      <c r="M20" s="149"/>
      <c r="N20" s="92" t="e">
        <f>VLOOKUP(Table1[[#This Row],[USER]],[1]!Table145678910111213141545678910111213146[[#All],[No.]:[Delete]],2,0)</f>
        <v>#N/A</v>
      </c>
    </row>
    <row r="21" spans="1:14">
      <c r="A21" s="93">
        <v>20</v>
      </c>
      <c r="B21" s="94">
        <v>20</v>
      </c>
      <c r="C21" s="40" t="s">
        <v>7925</v>
      </c>
      <c r="D21" s="40" t="str">
        <f>VLOOKUP(E21,Sheet3!$A$2:$D$6338,2,0)</f>
        <v>Nguyễn Tùng Lâm</v>
      </c>
      <c r="E21" s="44" t="s">
        <v>81</v>
      </c>
      <c r="F21" s="44" t="str">
        <f t="shared" si="0"/>
        <v>VN15726</v>
      </c>
      <c r="G21" s="295"/>
      <c r="H21" s="41" t="s">
        <v>67</v>
      </c>
      <c r="I21" s="95">
        <v>45415</v>
      </c>
      <c r="J21" s="122"/>
      <c r="K21" s="122"/>
      <c r="L21" s="147" t="str">
        <f>VLOOKUP(E21,DS!$A$2:$E$4398, 5, 0)</f>
        <v>QLSX</v>
      </c>
      <c r="M21" s="148"/>
      <c r="N21" s="92" t="e">
        <f>VLOOKUP(Table1[[#This Row],[USER]],[1]!Table145678910111213141545678910111213146[[#All],[No.]:[Delete]],2,0)</f>
        <v>#N/A</v>
      </c>
    </row>
    <row r="22" spans="1:14">
      <c r="A22" s="93">
        <v>21</v>
      </c>
      <c r="B22" s="94">
        <v>21</v>
      </c>
      <c r="C22" s="40" t="s">
        <v>7925</v>
      </c>
      <c r="D22" s="40" t="str">
        <f>VLOOKUP(E22,Sheet3!$A$2:$D$6338,2,0)</f>
        <v>Nguyễn Trung Hiếu</v>
      </c>
      <c r="E22" s="44" t="s">
        <v>82</v>
      </c>
      <c r="F22" s="44" t="str">
        <f t="shared" si="0"/>
        <v>VN09145</v>
      </c>
      <c r="G22" s="295"/>
      <c r="H22" s="41" t="s">
        <v>67</v>
      </c>
      <c r="I22" s="95">
        <v>45415</v>
      </c>
      <c r="J22" s="122"/>
      <c r="K22" s="122"/>
      <c r="L22" s="147" t="str">
        <f>VLOOKUP(E22,DS!$A$2:$E$4398, 5, 0)</f>
        <v>QLSX</v>
      </c>
      <c r="M22" s="148"/>
      <c r="N22" s="92" t="e">
        <f>VLOOKUP(Table1[[#This Row],[USER]],[1]!Table145678910111213141545678910111213146[[#All],[No.]:[Delete]],2,0)</f>
        <v>#N/A</v>
      </c>
    </row>
    <row r="23" spans="1:14">
      <c r="A23" s="93">
        <v>22</v>
      </c>
      <c r="B23" s="94">
        <v>22</v>
      </c>
      <c r="C23" s="40" t="s">
        <v>7925</v>
      </c>
      <c r="D23" s="40" t="str">
        <f>VLOOKUP(E23,Sheet3!$A$2:$D$6338,2,0)</f>
        <v>Lò Duy Chính</v>
      </c>
      <c r="E23" s="44" t="s">
        <v>826</v>
      </c>
      <c r="F23" s="44" t="str">
        <f t="shared" si="0"/>
        <v>VN24335</v>
      </c>
      <c r="G23" s="295"/>
      <c r="H23" s="41" t="s">
        <v>67</v>
      </c>
      <c r="I23" s="95">
        <v>45442</v>
      </c>
      <c r="J23" s="122"/>
      <c r="K23" s="122"/>
      <c r="L23" s="147" t="str">
        <f>VLOOKUP(E23,DS!$A$2:$E$4398, 5, 0)</f>
        <v>QLSX</v>
      </c>
      <c r="M23" s="149"/>
      <c r="N23" s="92" t="e">
        <f>VLOOKUP(Table1[[#This Row],[USER]],[1]!Table145678910111213141545678910111213146[[#All],[No.]:[Delete]],2,0)</f>
        <v>#N/A</v>
      </c>
    </row>
    <row r="24" spans="1:14">
      <c r="A24" s="93">
        <v>23</v>
      </c>
      <c r="B24" s="94">
        <v>23</v>
      </c>
      <c r="C24" s="40" t="s">
        <v>7925</v>
      </c>
      <c r="D24" s="40" t="str">
        <f>VLOOKUP(E24,Sheet3!$A$2:$D$6338,2,0)</f>
        <v>Trần Văn Nam</v>
      </c>
      <c r="E24" s="44" t="s">
        <v>825</v>
      </c>
      <c r="F24" s="44" t="str">
        <f>"VN"&amp;RIGHT(E24,5)</f>
        <v>VN24687</v>
      </c>
      <c r="G24" s="295"/>
      <c r="H24" s="41" t="s">
        <v>67</v>
      </c>
      <c r="I24" s="95">
        <v>45442</v>
      </c>
      <c r="J24" s="122">
        <v>45806</v>
      </c>
      <c r="K24" s="122">
        <v>45806</v>
      </c>
      <c r="L24" s="147" t="e">
        <f>VLOOKUP(E24,DS!$A$2:$E$4398, 5, 0)</f>
        <v>#N/A</v>
      </c>
      <c r="M24" s="149"/>
      <c r="N24" s="92" t="e">
        <f>VLOOKUP(Table1[[#This Row],[USER]],[1]!Table145678910111213141545678910111213146[[#All],[No.]:[Delete]],2,0)</f>
        <v>#N/A</v>
      </c>
    </row>
    <row r="25" spans="1:14">
      <c r="A25" s="93">
        <v>24</v>
      </c>
      <c r="B25" s="94">
        <v>24</v>
      </c>
      <c r="C25" s="40" t="s">
        <v>7925</v>
      </c>
      <c r="D25" s="40" t="str">
        <f>VLOOKUP(E25,Sheet3!$A$2:$D$6338,2,0)</f>
        <v>Nguyễn Mạnh Toàn</v>
      </c>
      <c r="E25" s="44" t="s">
        <v>83</v>
      </c>
      <c r="F25" s="44" t="str">
        <f t="shared" si="0"/>
        <v>VN03747</v>
      </c>
      <c r="G25" s="295"/>
      <c r="H25" s="41" t="s">
        <v>67</v>
      </c>
      <c r="I25" s="95">
        <v>45415</v>
      </c>
      <c r="J25" s="122"/>
      <c r="K25" s="122"/>
      <c r="L25" s="147" t="str">
        <f>VLOOKUP(E25,DS!$A$2:$E$4398, 5, 0)</f>
        <v>QLSX</v>
      </c>
      <c r="M25" s="148"/>
      <c r="N25" s="92" t="e">
        <f>VLOOKUP(Table1[[#This Row],[USER]],[1]!Table145678910111213141545678910111213146[[#All],[No.]:[Delete]],2,0)</f>
        <v>#N/A</v>
      </c>
    </row>
    <row r="26" spans="1:14">
      <c r="A26" s="93">
        <v>25</v>
      </c>
      <c r="B26" s="94">
        <v>25</v>
      </c>
      <c r="C26" s="40" t="s">
        <v>7925</v>
      </c>
      <c r="D26" s="40" t="str">
        <f>VLOOKUP(E26,Sheet3!$A$2:$D$6338,2,0)</f>
        <v>Nguyễn Văn Mỹ</v>
      </c>
      <c r="E26" s="44" t="s">
        <v>84</v>
      </c>
      <c r="F26" s="44" t="str">
        <f t="shared" si="0"/>
        <v>VN04428</v>
      </c>
      <c r="G26" s="295"/>
      <c r="H26" s="41" t="s">
        <v>67</v>
      </c>
      <c r="I26" s="95">
        <v>45415</v>
      </c>
      <c r="J26" s="122"/>
      <c r="K26" s="122"/>
      <c r="L26" s="147" t="str">
        <f>VLOOKUP(E26,DS!$A$2:$E$4398, 5, 0)</f>
        <v>QLSX</v>
      </c>
      <c r="M26" s="148"/>
      <c r="N26" s="92" t="e">
        <f>VLOOKUP(Table1[[#This Row],[USER]],[1]!Table145678910111213141545678910111213146[[#All],[No.]:[Delete]],2,0)</f>
        <v>#N/A</v>
      </c>
    </row>
    <row r="27" spans="1:14">
      <c r="A27" s="93">
        <v>26</v>
      </c>
      <c r="B27" s="94">
        <v>26</v>
      </c>
      <c r="C27" s="40" t="s">
        <v>7925</v>
      </c>
      <c r="D27" s="40" t="str">
        <f>VLOOKUP(E27,Sheet3!$A$2:$D$6338,2,0)</f>
        <v>Bùi Thị Xuyến</v>
      </c>
      <c r="E27" s="44" t="s">
        <v>85</v>
      </c>
      <c r="F27" s="44" t="str">
        <f t="shared" si="0"/>
        <v>VN20328</v>
      </c>
      <c r="G27" s="295"/>
      <c r="H27" s="41" t="s">
        <v>67</v>
      </c>
      <c r="I27" s="95">
        <v>45415</v>
      </c>
      <c r="J27" s="122"/>
      <c r="K27" s="122"/>
      <c r="L27" s="147" t="str">
        <f>VLOOKUP(E27,DS!$A$2:$E$4398, 5, 0)</f>
        <v>QLSX</v>
      </c>
      <c r="M27" s="148"/>
      <c r="N27" s="92" t="e">
        <f>VLOOKUP(Table1[[#This Row],[USER]],[1]!Table145678910111213141545678910111213146[[#All],[No.]:[Delete]],2,0)</f>
        <v>#N/A</v>
      </c>
    </row>
    <row r="28" spans="1:14">
      <c r="A28" s="93">
        <v>27</v>
      </c>
      <c r="B28" s="94">
        <v>27</v>
      </c>
      <c r="C28" s="40" t="s">
        <v>7925</v>
      </c>
      <c r="D28" s="40" t="str">
        <f>VLOOKUP(E28,Sheet3!$A$2:$D$6338,2,0)</f>
        <v>Nguyễn Đức Thịnh</v>
      </c>
      <c r="E28" s="44" t="s">
        <v>86</v>
      </c>
      <c r="F28" s="44" t="str">
        <f t="shared" si="0"/>
        <v>VN03613</v>
      </c>
      <c r="G28" s="295"/>
      <c r="H28" s="41" t="s">
        <v>67</v>
      </c>
      <c r="I28" s="95">
        <v>45415</v>
      </c>
      <c r="J28" s="122"/>
      <c r="K28" s="122"/>
      <c r="L28" s="147" t="str">
        <f>VLOOKUP(E28,DS!$A$2:$E$4398, 5, 0)</f>
        <v>QLSX</v>
      </c>
      <c r="M28" s="148"/>
      <c r="N28" s="92" t="e">
        <f>VLOOKUP(Table1[[#This Row],[USER]],[1]!Table145678910111213141545678910111213146[[#All],[No.]:[Delete]],2,0)</f>
        <v>#N/A</v>
      </c>
    </row>
    <row r="29" spans="1:14">
      <c r="A29" s="93">
        <v>28</v>
      </c>
      <c r="B29" s="94">
        <v>28</v>
      </c>
      <c r="C29" s="40" t="s">
        <v>7925</v>
      </c>
      <c r="D29" s="40" t="str">
        <f>VLOOKUP(E29,Sheet3!$A$2:$D$6338,2,0)</f>
        <v>Nguyễn Duy Tiến</v>
      </c>
      <c r="E29" s="44" t="s">
        <v>87</v>
      </c>
      <c r="F29" s="44" t="str">
        <f t="shared" si="0"/>
        <v>VN06908</v>
      </c>
      <c r="G29" s="295"/>
      <c r="H29" s="41" t="s">
        <v>67</v>
      </c>
      <c r="I29" s="95">
        <v>45415</v>
      </c>
      <c r="J29" s="122"/>
      <c r="K29" s="122"/>
      <c r="L29" s="147" t="str">
        <f>VLOOKUP(E29,DS!$A$2:$E$4398, 5, 0)</f>
        <v>QLSX</v>
      </c>
      <c r="M29" s="148"/>
      <c r="N29" s="92" t="e">
        <f>VLOOKUP(Table1[[#This Row],[USER]],[1]!Table145678910111213141545678910111213146[[#All],[No.]:[Delete]],2,0)</f>
        <v>#N/A</v>
      </c>
    </row>
    <row r="30" spans="1:14">
      <c r="A30" s="93">
        <v>29</v>
      </c>
      <c r="B30" s="94">
        <v>29</v>
      </c>
      <c r="C30" s="40" t="s">
        <v>7925</v>
      </c>
      <c r="D30" s="40" t="str">
        <f>VLOOKUP(E30,Sheet3!$A$2:$D$6338,2,0)</f>
        <v>Nguyễn Thế Anh Tùng</v>
      </c>
      <c r="E30" s="44" t="s">
        <v>88</v>
      </c>
      <c r="F30" s="44" t="str">
        <f t="shared" si="0"/>
        <v>VN19767</v>
      </c>
      <c r="G30" s="295"/>
      <c r="H30" s="41" t="s">
        <v>67</v>
      </c>
      <c r="I30" s="95">
        <v>45415</v>
      </c>
      <c r="J30" s="122">
        <v>45839</v>
      </c>
      <c r="K30" s="122">
        <v>45839</v>
      </c>
      <c r="L30" s="147" t="e">
        <f>VLOOKUP(E30,DS!$A$2:$E$4398, 5, 0)</f>
        <v>#N/A</v>
      </c>
      <c r="M30" s="148"/>
      <c r="N30" s="92" t="e">
        <f>VLOOKUP(Table1[[#This Row],[USER]],[1]!Table145678910111213141545678910111213146[[#All],[No.]:[Delete]],2,0)</f>
        <v>#N/A</v>
      </c>
    </row>
    <row r="31" spans="1:14">
      <c r="A31" s="93">
        <v>30</v>
      </c>
      <c r="B31" s="94">
        <v>30</v>
      </c>
      <c r="C31" s="40" t="s">
        <v>895</v>
      </c>
      <c r="D31" s="40" t="str">
        <f>VLOOKUP(E31,Sheet3!$A$2:$D$6338,2,0)</f>
        <v>Phạm Quốc Doanh</v>
      </c>
      <c r="E31" s="44" t="s">
        <v>89</v>
      </c>
      <c r="F31" s="44" t="str">
        <f t="shared" si="0"/>
        <v>VN12694</v>
      </c>
      <c r="G31" s="295"/>
      <c r="H31" s="41" t="s">
        <v>67</v>
      </c>
      <c r="I31" s="95">
        <v>45415</v>
      </c>
      <c r="J31" s="122"/>
      <c r="K31" s="122"/>
      <c r="L31" s="147" t="str">
        <f>VLOOKUP(E31,DS!$A$2:$E$4398, 5, 0)</f>
        <v>QLK</v>
      </c>
      <c r="M31" s="148"/>
      <c r="N31" s="92" t="e">
        <f>VLOOKUP(Table1[[#This Row],[USER]],[1]!Table145678910111213141545678910111213146[[#All],[No.]:[Delete]],2,0)</f>
        <v>#N/A</v>
      </c>
    </row>
    <row r="32" spans="1:14">
      <c r="A32" s="93">
        <v>31</v>
      </c>
      <c r="B32" s="94">
        <v>31</v>
      </c>
      <c r="C32" s="40" t="s">
        <v>7925</v>
      </c>
      <c r="D32" s="40" t="str">
        <f>VLOOKUP(E32,Sheet3!$A$2:$D$6338,2,0)</f>
        <v>Đỗ Mai Thoan</v>
      </c>
      <c r="E32" s="44" t="s">
        <v>90</v>
      </c>
      <c r="F32" s="44" t="str">
        <f t="shared" si="0"/>
        <v>VN01232</v>
      </c>
      <c r="G32" s="295"/>
      <c r="H32" s="41" t="s">
        <v>67</v>
      </c>
      <c r="I32" s="95">
        <v>45415</v>
      </c>
      <c r="J32" s="122"/>
      <c r="K32" s="122"/>
      <c r="L32" s="147" t="str">
        <f>VLOOKUP(E32,DS!$A$2:$E$4398, 5, 0)</f>
        <v>QLSX</v>
      </c>
      <c r="M32" s="148"/>
      <c r="N32" s="92" t="e">
        <f>VLOOKUP(Table1[[#This Row],[USER]],[1]!Table145678910111213141545678910111213146[[#All],[No.]:[Delete]],2,0)</f>
        <v>#N/A</v>
      </c>
    </row>
    <row r="33" spans="1:14">
      <c r="A33" s="93">
        <v>32</v>
      </c>
      <c r="B33" s="94">
        <v>32</v>
      </c>
      <c r="C33" s="40" t="s">
        <v>7925</v>
      </c>
      <c r="D33" s="40" t="str">
        <f>VLOOKUP(E33,Sheet3!$A$2:$D$6338,2,0)</f>
        <v>Lê Thị Huyền</v>
      </c>
      <c r="E33" s="44" t="s">
        <v>91</v>
      </c>
      <c r="F33" s="44" t="str">
        <f t="shared" si="0"/>
        <v>VN10788</v>
      </c>
      <c r="G33" s="295"/>
      <c r="H33" s="41" t="s">
        <v>67</v>
      </c>
      <c r="I33" s="95">
        <v>45415</v>
      </c>
      <c r="J33" s="122"/>
      <c r="K33" s="122"/>
      <c r="L33" s="147" t="str">
        <f>VLOOKUP(E33,DS!$A$2:$E$4398, 5, 0)</f>
        <v>Thu mua</v>
      </c>
      <c r="M33" s="148"/>
      <c r="N33" s="92" t="e">
        <f>VLOOKUP(Table1[[#This Row],[USER]],[1]!Table145678910111213141545678910111213146[[#All],[No.]:[Delete]],2,0)</f>
        <v>#N/A</v>
      </c>
    </row>
    <row r="34" spans="1:14">
      <c r="A34" s="93">
        <v>33</v>
      </c>
      <c r="B34" s="94">
        <v>33</v>
      </c>
      <c r="C34" s="40" t="s">
        <v>7925</v>
      </c>
      <c r="D34" s="40" t="str">
        <f>VLOOKUP(E34,Sheet3!$A$2:$D$6338,2,0)</f>
        <v>Phạm Minh Tuấn</v>
      </c>
      <c r="E34" s="44" t="s">
        <v>92</v>
      </c>
      <c r="F34" s="44" t="str">
        <f t="shared" si="0"/>
        <v>VN10029</v>
      </c>
      <c r="G34" s="295"/>
      <c r="H34" s="41" t="s">
        <v>67</v>
      </c>
      <c r="I34" s="95">
        <v>45415</v>
      </c>
      <c r="J34" s="122"/>
      <c r="K34" s="122"/>
      <c r="L34" s="147" t="str">
        <f>VLOOKUP(E34,DS!$A$2:$E$4398, 5, 0)</f>
        <v>QLSX</v>
      </c>
      <c r="M34" s="148"/>
      <c r="N34" s="92" t="e">
        <f>VLOOKUP(Table1[[#This Row],[USER]],[1]!Table145678910111213141545678910111213146[[#All],[No.]:[Delete]],2,0)</f>
        <v>#N/A</v>
      </c>
    </row>
    <row r="35" spans="1:14">
      <c r="A35" s="93">
        <v>34</v>
      </c>
      <c r="B35" s="94">
        <v>34</v>
      </c>
      <c r="C35" s="40" t="s">
        <v>7925</v>
      </c>
      <c r="D35" s="40" t="str">
        <f>VLOOKUP(E35,Sheet3!$A$2:$D$6338,2,0)</f>
        <v>Nguyễn Thị Lữ</v>
      </c>
      <c r="E35" s="44" t="s">
        <v>93</v>
      </c>
      <c r="F35" s="44" t="str">
        <f t="shared" si="0"/>
        <v>VN00767</v>
      </c>
      <c r="G35" s="295"/>
      <c r="H35" s="41" t="s">
        <v>67</v>
      </c>
      <c r="I35" s="95">
        <v>45415</v>
      </c>
      <c r="J35" s="122"/>
      <c r="K35" s="122"/>
      <c r="L35" s="147" t="str">
        <f>VLOOKUP(E35,DS!$A$2:$E$4398, 5, 0)</f>
        <v>QLSX</v>
      </c>
      <c r="M35" s="148"/>
      <c r="N35" s="92" t="e">
        <f>VLOOKUP(Table1[[#This Row],[USER]],[1]!Table145678910111213141545678910111213146[[#All],[No.]:[Delete]],2,0)</f>
        <v>#N/A</v>
      </c>
    </row>
    <row r="36" spans="1:14">
      <c r="A36" s="93">
        <v>35</v>
      </c>
      <c r="B36" s="94">
        <v>35</v>
      </c>
      <c r="C36" s="40" t="s">
        <v>7925</v>
      </c>
      <c r="D36" s="40" t="str">
        <f>VLOOKUP(E36,Sheet3!$A$2:$D$6338,2,0)</f>
        <v>Dương Văn Chiến</v>
      </c>
      <c r="E36" s="44" t="s">
        <v>94</v>
      </c>
      <c r="F36" s="44" t="str">
        <f t="shared" si="0"/>
        <v>VN11937</v>
      </c>
      <c r="G36" s="295"/>
      <c r="H36" s="41" t="s">
        <v>67</v>
      </c>
      <c r="I36" s="95">
        <v>45415</v>
      </c>
      <c r="J36" s="122"/>
      <c r="K36" s="122"/>
      <c r="L36" s="147" t="str">
        <f>VLOOKUP(E36,DS!$A$2:$E$4398, 5, 0)</f>
        <v>QLSX</v>
      </c>
      <c r="M36" s="148"/>
      <c r="N36" s="92" t="e">
        <f>VLOOKUP(Table1[[#This Row],[USER]],[1]!Table145678910111213141545678910111213146[[#All],[No.]:[Delete]],2,0)</f>
        <v>#N/A</v>
      </c>
    </row>
    <row r="37" spans="1:14">
      <c r="A37" s="93">
        <v>36</v>
      </c>
      <c r="B37" s="94">
        <v>36</v>
      </c>
      <c r="C37" s="40" t="s">
        <v>870</v>
      </c>
      <c r="D37" s="40" t="str">
        <f>VLOOKUP(E37,Sheet3!$A$2:$D$6338,2,0)</f>
        <v>Nguyễn Văn Tùng</v>
      </c>
      <c r="E37" s="44" t="s">
        <v>95</v>
      </c>
      <c r="F37" s="44" t="str">
        <f t="shared" si="0"/>
        <v>VN24016</v>
      </c>
      <c r="G37" s="295"/>
      <c r="H37" s="41" t="s">
        <v>67</v>
      </c>
      <c r="I37" s="95">
        <v>45443</v>
      </c>
      <c r="J37" s="122"/>
      <c r="K37" s="122"/>
      <c r="L37" s="147" t="str">
        <f>VLOOKUP(E37,DS!$A$2:$E$4398, 5, 0)</f>
        <v>Sơn X1</v>
      </c>
      <c r="M37" s="148"/>
      <c r="N37" s="92" t="e">
        <f>VLOOKUP(Table1[[#This Row],[USER]],[1]!Table145678910111213141545678910111213146[[#All],[No.]:[Delete]],2,0)</f>
        <v>#N/A</v>
      </c>
    </row>
    <row r="38" spans="1:14">
      <c r="A38" s="93">
        <v>37</v>
      </c>
      <c r="B38" s="94">
        <v>37</v>
      </c>
      <c r="C38" s="40" t="s">
        <v>7925</v>
      </c>
      <c r="D38" s="40" t="str">
        <f>VLOOKUP(E38,Sheet3!$A$2:$D$6338,2,0)</f>
        <v>Đỗ Thanh Tùng</v>
      </c>
      <c r="E38" s="44" t="s">
        <v>96</v>
      </c>
      <c r="F38" s="44" t="str">
        <f t="shared" si="0"/>
        <v>VN24009</v>
      </c>
      <c r="G38" s="295"/>
      <c r="H38" s="41" t="s">
        <v>67</v>
      </c>
      <c r="I38" s="95">
        <v>45415</v>
      </c>
      <c r="J38" s="122"/>
      <c r="K38" s="122"/>
      <c r="L38" s="147" t="str">
        <f>VLOOKUP(E38,DS!$A$2:$E$4398, 5, 0)</f>
        <v>QLSX</v>
      </c>
      <c r="M38" s="148"/>
      <c r="N38" s="92" t="e">
        <f>VLOOKUP(Table1[[#This Row],[USER]],[1]!Table145678910111213141545678910111213146[[#All],[No.]:[Delete]],2,0)</f>
        <v>#N/A</v>
      </c>
    </row>
    <row r="39" spans="1:14">
      <c r="A39" s="93">
        <v>38</v>
      </c>
      <c r="B39" s="94">
        <v>38</v>
      </c>
      <c r="C39" s="40" t="s">
        <v>7925</v>
      </c>
      <c r="D39" s="40" t="str">
        <f>VLOOKUP(E39,Sheet3!$A$2:$D$6338,2,0)</f>
        <v>Nguyễn Duy Hiển</v>
      </c>
      <c r="E39" s="44" t="s">
        <v>97</v>
      </c>
      <c r="F39" s="44" t="str">
        <f t="shared" si="0"/>
        <v>VN19909</v>
      </c>
      <c r="G39" s="295"/>
      <c r="H39" s="41" t="s">
        <v>67</v>
      </c>
      <c r="I39" s="95">
        <v>45415</v>
      </c>
      <c r="J39" s="122"/>
      <c r="K39" s="122"/>
      <c r="L39" s="147" t="str">
        <f>VLOOKUP(E39,DS!$A$2:$E$4398, 5, 0)</f>
        <v>QLSX</v>
      </c>
      <c r="M39" s="148"/>
      <c r="N39" s="92" t="e">
        <f>VLOOKUP(Table1[[#This Row],[USER]],[1]!Table145678910111213141545678910111213146[[#All],[No.]:[Delete]],2,0)</f>
        <v>#N/A</v>
      </c>
    </row>
    <row r="40" spans="1:14">
      <c r="A40" s="93">
        <v>39</v>
      </c>
      <c r="B40" s="94">
        <v>39</v>
      </c>
      <c r="C40" s="40" t="s">
        <v>7925</v>
      </c>
      <c r="D40" s="40" t="str">
        <f>VLOOKUP(E40,Sheet3!$A$2:$D$6338,2,0)</f>
        <v>Nguyễn Minh Tuân</v>
      </c>
      <c r="E40" s="44" t="s">
        <v>98</v>
      </c>
      <c r="F40" s="44" t="str">
        <f t="shared" si="0"/>
        <v>VN02547</v>
      </c>
      <c r="G40" s="295"/>
      <c r="H40" s="41" t="s">
        <v>67</v>
      </c>
      <c r="I40" s="95">
        <v>45415</v>
      </c>
      <c r="J40" s="122"/>
      <c r="K40" s="122"/>
      <c r="L40" s="147" t="str">
        <f>VLOOKUP(E40,DS!$A$2:$E$4398, 5, 0)</f>
        <v>QLSX</v>
      </c>
      <c r="M40" s="148"/>
      <c r="N40" s="92" t="e">
        <f>VLOOKUP(Table1[[#This Row],[USER]],[1]!Table145678910111213141545678910111213146[[#All],[No.]:[Delete]],2,0)</f>
        <v>#N/A</v>
      </c>
    </row>
    <row r="41" spans="1:14">
      <c r="A41" s="93">
        <v>40</v>
      </c>
      <c r="B41" s="94">
        <v>40</v>
      </c>
      <c r="C41" s="40" t="s">
        <v>7925</v>
      </c>
      <c r="D41" s="40" t="str">
        <f>VLOOKUP(E41,Sheet3!$A$2:$D$6338,2,0)</f>
        <v>Nguyễn Ngọc Minh</v>
      </c>
      <c r="E41" s="44" t="s">
        <v>99</v>
      </c>
      <c r="F41" s="44" t="str">
        <f t="shared" si="0"/>
        <v>VN23921</v>
      </c>
      <c r="G41" s="295"/>
      <c r="H41" s="41" t="s">
        <v>67</v>
      </c>
      <c r="I41" s="95">
        <v>45415</v>
      </c>
      <c r="J41" s="122">
        <v>45806</v>
      </c>
      <c r="K41" s="122">
        <v>45806</v>
      </c>
      <c r="L41" s="147" t="e">
        <f>VLOOKUP(E41,DS!$A$2:$E$4398, 5, 0)</f>
        <v>#N/A</v>
      </c>
      <c r="M41" s="148"/>
      <c r="N41" s="92" t="e">
        <f>VLOOKUP(Table1[[#This Row],[USER]],[1]!Table145678910111213141545678910111213146[[#All],[No.]:[Delete]],2,0)</f>
        <v>#N/A</v>
      </c>
    </row>
    <row r="42" spans="1:14">
      <c r="A42" s="93">
        <v>41</v>
      </c>
      <c r="B42" s="94">
        <v>41</v>
      </c>
      <c r="C42" s="40" t="s">
        <v>895</v>
      </c>
      <c r="D42" s="40" t="str">
        <f>VLOOKUP(E42,Sheet3!$A$2:$D$6338,2,0)</f>
        <v>Vũ Huy Chung</v>
      </c>
      <c r="E42" s="44" t="s">
        <v>100</v>
      </c>
      <c r="F42" s="44" t="str">
        <f t="shared" si="0"/>
        <v>VN00116</v>
      </c>
      <c r="G42" s="295"/>
      <c r="H42" s="41" t="s">
        <v>67</v>
      </c>
      <c r="I42" s="95">
        <v>45415</v>
      </c>
      <c r="J42" s="122"/>
      <c r="K42" s="122"/>
      <c r="L42" s="147" t="str">
        <f>VLOOKUP(E42,DS!$A$2:$E$4398, 5, 0)</f>
        <v>QLK</v>
      </c>
      <c r="M42" s="148"/>
      <c r="N42" s="92" t="e">
        <f>VLOOKUP(Table1[[#This Row],[USER]],[1]!Table145678910111213141545678910111213146[[#All],[No.]:[Delete]],2,0)</f>
        <v>#N/A</v>
      </c>
    </row>
    <row r="43" spans="1:14">
      <c r="A43" s="93">
        <v>42</v>
      </c>
      <c r="B43" s="94">
        <v>42</v>
      </c>
      <c r="C43" s="40" t="s">
        <v>7925</v>
      </c>
      <c r="D43" s="40" t="str">
        <f>VLOOKUP(E43,Sheet3!$A$2:$D$6338,2,0)</f>
        <v>Nguyễn Văn Bảy</v>
      </c>
      <c r="E43" s="44" t="s">
        <v>101</v>
      </c>
      <c r="F43" s="44" t="str">
        <f t="shared" si="0"/>
        <v>VN00637</v>
      </c>
      <c r="G43" s="295"/>
      <c r="H43" s="41" t="s">
        <v>67</v>
      </c>
      <c r="I43" s="95">
        <v>45415</v>
      </c>
      <c r="J43" s="122"/>
      <c r="K43" s="122"/>
      <c r="L43" s="147" t="str">
        <f>VLOOKUP(E43,DS!$A$2:$E$4398, 5, 0)</f>
        <v>QLSX</v>
      </c>
      <c r="M43" s="148"/>
      <c r="N43" s="92" t="e">
        <f>VLOOKUP(Table1[[#This Row],[USER]],[1]!Table145678910111213141545678910111213146[[#All],[No.]:[Delete]],2,0)</f>
        <v>#N/A</v>
      </c>
    </row>
    <row r="44" spans="1:14">
      <c r="A44" s="93">
        <v>43</v>
      </c>
      <c r="B44" s="94">
        <v>43</v>
      </c>
      <c r="C44" s="40" t="s">
        <v>7925</v>
      </c>
      <c r="D44" s="40" t="str">
        <f>VLOOKUP(E44,Sheet3!$A$2:$D$6338,2,0)</f>
        <v>Trần Đức Quang</v>
      </c>
      <c r="E44" s="44" t="s">
        <v>102</v>
      </c>
      <c r="F44" s="44" t="str">
        <f t="shared" si="0"/>
        <v>VN00072</v>
      </c>
      <c r="G44" s="295"/>
      <c r="H44" s="41" t="s">
        <v>67</v>
      </c>
      <c r="I44" s="95">
        <v>45415</v>
      </c>
      <c r="J44" s="122"/>
      <c r="K44" s="122"/>
      <c r="L44" s="147" t="str">
        <f>VLOOKUP(E44,DS!$A$2:$E$4398, 5, 0)</f>
        <v>QLSX</v>
      </c>
      <c r="M44" s="148"/>
      <c r="N44" s="92" t="e">
        <f>VLOOKUP(Table1[[#This Row],[USER]],[1]!Table145678910111213141545678910111213146[[#All],[No.]:[Delete]],2,0)</f>
        <v>#N/A</v>
      </c>
    </row>
    <row r="45" spans="1:14">
      <c r="A45" s="93">
        <v>44</v>
      </c>
      <c r="B45" s="94">
        <v>44</v>
      </c>
      <c r="C45" s="40" t="s">
        <v>7925</v>
      </c>
      <c r="D45" s="40" t="str">
        <f>VLOOKUP(E45,Sheet3!$A$2:$D$6338,2,0)</f>
        <v>Nguyễn Văn Nam</v>
      </c>
      <c r="E45" s="44" t="s">
        <v>103</v>
      </c>
      <c r="F45" s="44" t="str">
        <f t="shared" si="0"/>
        <v>VN08886</v>
      </c>
      <c r="G45" s="295"/>
      <c r="H45" s="41" t="s">
        <v>67</v>
      </c>
      <c r="I45" s="95">
        <v>45415</v>
      </c>
      <c r="J45" s="122"/>
      <c r="K45" s="122"/>
      <c r="L45" s="147" t="str">
        <f>VLOOKUP(E45,DS!$A$2:$E$4398, 5, 0)</f>
        <v>QLSX</v>
      </c>
      <c r="M45" s="148"/>
      <c r="N45" s="92" t="e">
        <f>VLOOKUP(Table1[[#This Row],[USER]],[1]!Table145678910111213141545678910111213146[[#All],[No.]:[Delete]],2,0)</f>
        <v>#N/A</v>
      </c>
    </row>
    <row r="46" spans="1:14">
      <c r="A46" s="93">
        <v>45</v>
      </c>
      <c r="B46" s="94">
        <v>45</v>
      </c>
      <c r="C46" s="40" t="s">
        <v>7925</v>
      </c>
      <c r="D46" s="40" t="e">
        <f>VLOOKUP(E46,Sheet3!$A$2:$D$6338,2,0)</f>
        <v>#N/A</v>
      </c>
      <c r="E46" s="44" t="s">
        <v>104</v>
      </c>
      <c r="F46" s="44" t="s">
        <v>105</v>
      </c>
      <c r="G46" s="295"/>
      <c r="H46" s="41" t="s">
        <v>67</v>
      </c>
      <c r="I46" s="95">
        <v>45415</v>
      </c>
      <c r="J46" s="122"/>
      <c r="K46" s="122"/>
      <c r="L46" s="147" t="e">
        <f>VLOOKUP(E46,DS!$A$2:$E$4398, 5, 0)</f>
        <v>#N/A</v>
      </c>
      <c r="M46" s="148"/>
      <c r="N46" s="92" t="e">
        <f>VLOOKUP(Table1[[#This Row],[USER]],[1]!Table145678910111213141545678910111213146[[#All],[No.]:[Delete]],2,0)</f>
        <v>#N/A</v>
      </c>
    </row>
    <row r="47" spans="1:14">
      <c r="A47" s="93">
        <v>46</v>
      </c>
      <c r="B47" s="94">
        <v>46</v>
      </c>
      <c r="C47" s="40" t="s">
        <v>7925</v>
      </c>
      <c r="D47" s="40" t="e">
        <f>VLOOKUP(E47,Sheet3!$A$2:$D$6338,2,0)</f>
        <v>#N/A</v>
      </c>
      <c r="E47" s="44" t="s">
        <v>106</v>
      </c>
      <c r="F47" s="44" t="s">
        <v>106</v>
      </c>
      <c r="G47" s="295"/>
      <c r="H47" s="41" t="s">
        <v>67</v>
      </c>
      <c r="I47" s="95">
        <v>45415</v>
      </c>
      <c r="J47" s="122"/>
      <c r="K47" s="122"/>
      <c r="L47" s="147" t="e">
        <f>VLOOKUP(E47,DS!$A$2:$E$4398, 5, 0)</f>
        <v>#N/A</v>
      </c>
      <c r="M47" s="148"/>
      <c r="N47" s="92" t="e">
        <f>VLOOKUP(Table1[[#This Row],[USER]],[1]!Table145678910111213141545678910111213146[[#All],[No.]:[Delete]],2,0)</f>
        <v>#N/A</v>
      </c>
    </row>
    <row r="48" spans="1:14">
      <c r="A48" s="93">
        <v>47</v>
      </c>
      <c r="B48" s="111">
        <v>47</v>
      </c>
      <c r="C48" s="40" t="s">
        <v>7925</v>
      </c>
      <c r="D48" s="40" t="str">
        <f>VLOOKUP(E48,Sheet3!$A$2:$D$6338,2,0)</f>
        <v>Nguyễn Quang Huy</v>
      </c>
      <c r="E48" s="44" t="s">
        <v>8380</v>
      </c>
      <c r="F48" s="112" t="str">
        <f>"VN"&amp;RIGHT(E48,5)</f>
        <v>VN25374</v>
      </c>
      <c r="G48" s="277"/>
      <c r="H48" s="41" t="s">
        <v>67</v>
      </c>
      <c r="I48" s="113">
        <v>45621</v>
      </c>
      <c r="J48" s="122"/>
      <c r="K48" s="122"/>
      <c r="L48" s="147" t="str">
        <f>VLOOKUP(E48,DS!$A$2:$E$4398, 5, 0)</f>
        <v>QLSX</v>
      </c>
      <c r="M48" s="150"/>
      <c r="N48" s="92" t="e">
        <f>VLOOKUP(Table1[[#This Row],[USER]],[1]!Table145678910111213141545678910111213146[[#All],[No.]:[Delete]],2,0)</f>
        <v>#N/A</v>
      </c>
    </row>
    <row r="49" spans="1:14">
      <c r="A49" s="93">
        <v>48</v>
      </c>
      <c r="B49" s="94">
        <v>48</v>
      </c>
      <c r="C49" s="40" t="s">
        <v>7925</v>
      </c>
      <c r="D49" s="40" t="str">
        <f>VLOOKUP(E49,Sheet3!$A$2:$D$6338,2,0)</f>
        <v>Nguyễn Thị Soan</v>
      </c>
      <c r="E49" s="167" t="s">
        <v>8398</v>
      </c>
      <c r="F49" s="167" t="str">
        <f>"VN"&amp;RIGHT(E49,5)</f>
        <v>VN26005</v>
      </c>
      <c r="G49" s="296"/>
      <c r="H49" s="41" t="s">
        <v>67</v>
      </c>
      <c r="I49" s="168">
        <v>45825</v>
      </c>
      <c r="J49" s="169"/>
      <c r="K49" s="169"/>
      <c r="L49" s="169" t="str">
        <f>VLOOKUP(E49,DS!$A$2:$E$4398, 5, 0)</f>
        <v>QLSX</v>
      </c>
      <c r="M49" s="170"/>
      <c r="N49" s="92" t="e">
        <f>VLOOKUP(Table1[[#This Row],[USER]],[1]!Table145678910111213141545678910111213146[[#All],[No.]:[Delete]],2,0)</f>
        <v>#N/A</v>
      </c>
    </row>
    <row r="50" spans="1:14">
      <c r="A50" s="93">
        <v>49</v>
      </c>
      <c r="B50" s="156"/>
      <c r="C50" s="161" t="s">
        <v>866</v>
      </c>
      <c r="D50" s="40" t="str">
        <f>VLOOKUP(E50,Sheet3!$A$2:$D$6338,2,0)</f>
        <v>Nguyễn Anh Dũng</v>
      </c>
      <c r="E50" s="157" t="s">
        <v>8387</v>
      </c>
      <c r="F50" s="157" t="str">
        <f>"VN"&amp;RIGHT(E50,5)</f>
        <v>VN25783</v>
      </c>
      <c r="G50" s="297"/>
      <c r="H50" s="41" t="s">
        <v>67</v>
      </c>
      <c r="I50" s="162">
        <v>45807</v>
      </c>
      <c r="J50" s="122"/>
      <c r="K50" s="158"/>
      <c r="L50" s="147" t="str">
        <f>VLOOKUP(E50,DS!$A$2:$E$4398, 5, 0)</f>
        <v>QLSX</v>
      </c>
      <c r="M50" s="154"/>
      <c r="N50" s="92" t="e">
        <f>VLOOKUP(Table1[[#This Row],[USER]],[1]!Table145678910111213141545678910111213146[[#All],[No.]:[Delete]],2,0)</f>
        <v>#N/A</v>
      </c>
    </row>
    <row r="51" spans="1:14">
      <c r="A51" s="93">
        <v>50</v>
      </c>
      <c r="B51" s="174"/>
      <c r="C51" s="161" t="s">
        <v>866</v>
      </c>
      <c r="D51" s="40" t="str">
        <f>VLOOKUP(E51,Sheet3!$A$2:$D$6338,2,0)</f>
        <v>Nguyễn Tuấn Anh</v>
      </c>
      <c r="E51" s="163" t="s">
        <v>8652</v>
      </c>
      <c r="F51" s="175" t="str">
        <f>"VN"&amp;RIGHT(E51,5)</f>
        <v>VN26025</v>
      </c>
      <c r="G51" s="298"/>
      <c r="H51" s="41" t="s">
        <v>67</v>
      </c>
      <c r="I51" s="176">
        <v>45839</v>
      </c>
      <c r="J51" s="177"/>
      <c r="K51" s="177"/>
      <c r="L51" s="177" t="str">
        <f>VLOOKUP(E51,DS!$A$2:$E$4398, 5, 0)</f>
        <v>QLSX</v>
      </c>
      <c r="M51" s="178"/>
      <c r="N51" s="92" t="e">
        <f>VLOOKUP(Table1[[#This Row],[USER]],[1]!Table145678910111213141545678910111213146[[#All],[No.]:[Delete]],2,0)</f>
        <v>#N/A</v>
      </c>
    </row>
    <row r="52" spans="1:14">
      <c r="A52" s="93">
        <v>51</v>
      </c>
      <c r="B52" s="172"/>
      <c r="C52" s="161" t="s">
        <v>866</v>
      </c>
      <c r="D52" s="40" t="str">
        <f>VLOOKUP(E52,Sheet3!$A$2:$D$6338,2,0)</f>
        <v>Nguyễn Quý Trọng</v>
      </c>
      <c r="E52" s="163" t="s">
        <v>8639</v>
      </c>
      <c r="F52" s="163" t="str">
        <f>"VN"&amp;RIGHT(E52,5)</f>
        <v>VN26309</v>
      </c>
      <c r="G52" s="295"/>
      <c r="H52" s="41" t="s">
        <v>67</v>
      </c>
      <c r="I52" s="176">
        <v>45933</v>
      </c>
      <c r="J52" s="147"/>
      <c r="K52" s="147"/>
      <c r="L52" s="147" t="str">
        <f>VLOOKUP(E52,DS!$A$2:$E$4398, 5, 0)</f>
        <v>QLSX</v>
      </c>
      <c r="M52" s="148"/>
      <c r="N52" s="92" t="e">
        <f>VLOOKUP(Table1[[#This Row],[USER]],[1]!Table145678910111213141545678910111213146[[#All],[No.]:[Delete]],2,0)</f>
        <v>#N/A</v>
      </c>
    </row>
    <row r="53" spans="1:14">
      <c r="A53" s="93">
        <v>51</v>
      </c>
      <c r="B53" s="94">
        <v>1</v>
      </c>
      <c r="C53" s="40" t="s">
        <v>7926</v>
      </c>
      <c r="D53" s="40" t="str">
        <f>VLOOKUP(E53,Sheet3!$A$2:$D$6338,2,0)</f>
        <v>Nguyễn Văn Phương</v>
      </c>
      <c r="E53" s="44" t="s">
        <v>107</v>
      </c>
      <c r="F53" s="44" t="str">
        <f t="shared" ref="F53:F72" si="1">"VN"&amp;RIGHT(E53,5)</f>
        <v>VN00990</v>
      </c>
      <c r="G53" s="295"/>
      <c r="H53" s="41" t="s">
        <v>67</v>
      </c>
      <c r="I53" s="95">
        <v>45421</v>
      </c>
      <c r="J53" s="122"/>
      <c r="K53" s="122"/>
      <c r="L53" s="147" t="str">
        <f>VLOOKUP(E53,DS!$A$2:$E$4398, 5, 0)</f>
        <v>QC</v>
      </c>
      <c r="M53" s="148"/>
      <c r="N53" s="92" t="e">
        <f>VLOOKUP(Table1[[#This Row],[USER]],[1]!Table145678910111213141545678910111213146[[#All],[No.]:[Delete]],2,0)</f>
        <v>#N/A</v>
      </c>
    </row>
    <row r="54" spans="1:14">
      <c r="A54" s="93">
        <v>52</v>
      </c>
      <c r="B54" s="94">
        <v>2</v>
      </c>
      <c r="C54" s="40" t="s">
        <v>7926</v>
      </c>
      <c r="D54" s="40" t="str">
        <f>VLOOKUP(E54,Sheet3!$A$2:$D$6338,2,0)</f>
        <v>Lê Xuân Trường</v>
      </c>
      <c r="E54" s="44" t="s">
        <v>108</v>
      </c>
      <c r="F54" s="44" t="str">
        <f t="shared" si="1"/>
        <v>VN01960</v>
      </c>
      <c r="G54" s="295"/>
      <c r="H54" s="41" t="s">
        <v>67</v>
      </c>
      <c r="I54" s="95">
        <v>45421</v>
      </c>
      <c r="J54" s="122"/>
      <c r="K54" s="122"/>
      <c r="L54" s="147" t="str">
        <f>VLOOKUP(E54,DS!$A$2:$E$4398, 5, 0)</f>
        <v>QC</v>
      </c>
      <c r="M54" s="148"/>
      <c r="N54" s="92" t="e">
        <f>VLOOKUP(Table1[[#This Row],[USER]],[1]!Table145678910111213141545678910111213146[[#All],[No.]:[Delete]],2,0)</f>
        <v>#N/A</v>
      </c>
    </row>
    <row r="55" spans="1:14">
      <c r="A55" s="93">
        <v>53</v>
      </c>
      <c r="B55" s="94">
        <v>3</v>
      </c>
      <c r="C55" s="40" t="s">
        <v>7926</v>
      </c>
      <c r="D55" s="40" t="str">
        <f>VLOOKUP(E55,Sheet3!$A$2:$D$6338,2,0)</f>
        <v>Nguyễn Văn Quyền</v>
      </c>
      <c r="E55" s="44" t="s">
        <v>109</v>
      </c>
      <c r="F55" s="44" t="str">
        <f t="shared" si="1"/>
        <v>VN11403</v>
      </c>
      <c r="G55" s="295"/>
      <c r="H55" s="41" t="s">
        <v>67</v>
      </c>
      <c r="I55" s="95">
        <v>45421</v>
      </c>
      <c r="J55" s="122">
        <v>45806</v>
      </c>
      <c r="K55" s="122">
        <v>45806</v>
      </c>
      <c r="L55" s="147" t="e">
        <f>VLOOKUP(E55,DS!$A$2:$E$4398, 5, 0)</f>
        <v>#N/A</v>
      </c>
      <c r="M55" s="148"/>
      <c r="N55" s="92" t="e">
        <f>VLOOKUP(Table1[[#This Row],[USER]],[1]!Table145678910111213141545678910111213146[[#All],[No.]:[Delete]],2,0)</f>
        <v>#N/A</v>
      </c>
    </row>
    <row r="56" spans="1:14">
      <c r="A56" s="93">
        <v>54</v>
      </c>
      <c r="B56" s="94">
        <v>4</v>
      </c>
      <c r="C56" s="40" t="s">
        <v>7926</v>
      </c>
      <c r="D56" s="40" t="str">
        <f>VLOOKUP(E56,Sheet3!$A$2:$D$6338,2,0)</f>
        <v>Nguyễn Đức Tuấn</v>
      </c>
      <c r="E56" s="44" t="s">
        <v>110</v>
      </c>
      <c r="F56" s="44" t="str">
        <f t="shared" si="1"/>
        <v>VN02684</v>
      </c>
      <c r="G56" s="295"/>
      <c r="H56" s="41" t="s">
        <v>67</v>
      </c>
      <c r="I56" s="95">
        <v>45421</v>
      </c>
      <c r="J56" s="122"/>
      <c r="K56" s="122"/>
      <c r="L56" s="147" t="str">
        <f>VLOOKUP(E56,DS!$A$2:$E$4398, 5, 0)</f>
        <v>QC</v>
      </c>
      <c r="M56" s="148"/>
      <c r="N56" s="92" t="e">
        <f>VLOOKUP(Table1[[#This Row],[USER]],[1]!Table145678910111213141545678910111213146[[#All],[No.]:[Delete]],2,0)</f>
        <v>#N/A</v>
      </c>
    </row>
    <row r="57" spans="1:14">
      <c r="A57" s="93">
        <v>55</v>
      </c>
      <c r="B57" s="94">
        <v>5</v>
      </c>
      <c r="C57" s="40" t="s">
        <v>7926</v>
      </c>
      <c r="D57" s="40" t="str">
        <f>VLOOKUP(E57,Sheet3!$A$2:$D$6338,2,0)</f>
        <v>Đào Tuấn Hưng</v>
      </c>
      <c r="E57" s="44" t="s">
        <v>111</v>
      </c>
      <c r="F57" s="44" t="str">
        <f t="shared" si="1"/>
        <v>VN00683</v>
      </c>
      <c r="G57" s="295"/>
      <c r="H57" s="41" t="s">
        <v>67</v>
      </c>
      <c r="I57" s="95">
        <v>45421</v>
      </c>
      <c r="J57" s="122"/>
      <c r="K57" s="122"/>
      <c r="L57" s="147" t="str">
        <f>VLOOKUP(E57,DS!$A$2:$E$4398, 5, 0)</f>
        <v>QC</v>
      </c>
      <c r="M57" s="148"/>
      <c r="N57" s="92" t="e">
        <f>VLOOKUP(Table1[[#This Row],[USER]],[1]!Table145678910111213141545678910111213146[[#All],[No.]:[Delete]],2,0)</f>
        <v>#N/A</v>
      </c>
    </row>
    <row r="58" spans="1:14">
      <c r="A58" s="93">
        <v>56</v>
      </c>
      <c r="B58" s="94">
        <v>6</v>
      </c>
      <c r="C58" s="40" t="s">
        <v>7926</v>
      </c>
      <c r="D58" s="40" t="str">
        <f>VLOOKUP(E58,Sheet3!$A$2:$D$6338,2,0)</f>
        <v>Nguyễn Văn Dũng</v>
      </c>
      <c r="E58" s="44" t="s">
        <v>112</v>
      </c>
      <c r="F58" s="44" t="str">
        <f t="shared" si="1"/>
        <v>VN00883</v>
      </c>
      <c r="G58" s="295"/>
      <c r="H58" s="41" t="s">
        <v>67</v>
      </c>
      <c r="I58" s="95">
        <v>45421</v>
      </c>
      <c r="J58" s="122"/>
      <c r="K58" s="122"/>
      <c r="L58" s="147" t="str">
        <f>VLOOKUP(E58,DS!$A$2:$E$4398, 5, 0)</f>
        <v>QC</v>
      </c>
      <c r="M58" s="148"/>
      <c r="N58" s="92" t="e">
        <f>VLOOKUP(Table1[[#This Row],[USER]],[1]!Table145678910111213141545678910111213146[[#All],[No.]:[Delete]],2,0)</f>
        <v>#N/A</v>
      </c>
    </row>
    <row r="59" spans="1:14">
      <c r="A59" s="93">
        <v>57</v>
      </c>
      <c r="B59" s="94">
        <v>7</v>
      </c>
      <c r="C59" s="40" t="s">
        <v>7926</v>
      </c>
      <c r="D59" s="40" t="str">
        <f>VLOOKUP(E59,Sheet3!$A$2:$D$6338,2,0)</f>
        <v>Nguyễn Thị Thuý Nga</v>
      </c>
      <c r="E59" s="44" t="s">
        <v>113</v>
      </c>
      <c r="F59" s="44" t="str">
        <f t="shared" si="1"/>
        <v>VN01214</v>
      </c>
      <c r="G59" s="295"/>
      <c r="H59" s="41" t="s">
        <v>67</v>
      </c>
      <c r="I59" s="95">
        <v>45421</v>
      </c>
      <c r="J59" s="122"/>
      <c r="K59" s="122"/>
      <c r="L59" s="147" t="str">
        <f>VLOOKUP(E59,DS!$A$2:$E$4398, 5, 0)</f>
        <v>QC</v>
      </c>
      <c r="M59" s="148"/>
      <c r="N59" s="92" t="e">
        <f>VLOOKUP(Table1[[#This Row],[USER]],[1]!Table145678910111213141545678910111213146[[#All],[No.]:[Delete]],2,0)</f>
        <v>#N/A</v>
      </c>
    </row>
    <row r="60" spans="1:14">
      <c r="A60" s="93">
        <v>58</v>
      </c>
      <c r="B60" s="94">
        <v>8</v>
      </c>
      <c r="C60" s="40" t="s">
        <v>7926</v>
      </c>
      <c r="D60" s="40" t="str">
        <f>VLOOKUP(E60,Sheet3!$A$2:$D$6338,2,0)</f>
        <v>Vũ Thị Thanh Tú</v>
      </c>
      <c r="E60" s="44" t="s">
        <v>114</v>
      </c>
      <c r="F60" s="44" t="str">
        <f t="shared" si="1"/>
        <v>VN01285</v>
      </c>
      <c r="G60" s="295"/>
      <c r="H60" s="41" t="s">
        <v>67</v>
      </c>
      <c r="I60" s="95">
        <v>45421</v>
      </c>
      <c r="J60" s="122"/>
      <c r="K60" s="122"/>
      <c r="L60" s="147" t="str">
        <f>VLOOKUP(E60,DS!$A$2:$E$4398, 5, 0)</f>
        <v>QC</v>
      </c>
      <c r="M60" s="148"/>
      <c r="N60" s="92" t="e">
        <f>VLOOKUP(Table1[[#This Row],[USER]],[1]!Table145678910111213141545678910111213146[[#All],[No.]:[Delete]],2,0)</f>
        <v>#N/A</v>
      </c>
    </row>
    <row r="61" spans="1:14">
      <c r="A61" s="93">
        <v>59</v>
      </c>
      <c r="B61" s="94">
        <v>9</v>
      </c>
      <c r="C61" s="40" t="s">
        <v>7926</v>
      </c>
      <c r="D61" s="40" t="str">
        <f>VLOOKUP(E61,Sheet3!$A$2:$D$6338,2,0)</f>
        <v>Chu Văn Trường</v>
      </c>
      <c r="E61" s="44" t="s">
        <v>115</v>
      </c>
      <c r="F61" s="44" t="str">
        <f t="shared" si="1"/>
        <v>VN11798</v>
      </c>
      <c r="G61" s="295"/>
      <c r="H61" s="41" t="s">
        <v>67</v>
      </c>
      <c r="I61" s="95">
        <v>45421</v>
      </c>
      <c r="J61" s="122"/>
      <c r="K61" s="122"/>
      <c r="L61" s="147" t="str">
        <f>VLOOKUP(E61,DS!$A$2:$E$4398, 5, 0)</f>
        <v>QC</v>
      </c>
      <c r="M61" s="148"/>
      <c r="N61" s="92" t="e">
        <f>VLOOKUP(Table1[[#This Row],[USER]],[1]!Table145678910111213141545678910111213146[[#All],[No.]:[Delete]],2,0)</f>
        <v>#N/A</v>
      </c>
    </row>
    <row r="62" spans="1:14">
      <c r="A62" s="93">
        <v>60</v>
      </c>
      <c r="B62" s="94">
        <v>10</v>
      </c>
      <c r="C62" s="40" t="s">
        <v>7926</v>
      </c>
      <c r="D62" s="40" t="str">
        <f>VLOOKUP(E62,Sheet3!$A$2:$D$6338,2,0)</f>
        <v>Trần Văn Tuân</v>
      </c>
      <c r="E62" s="44" t="s">
        <v>116</v>
      </c>
      <c r="F62" s="44" t="str">
        <f t="shared" si="1"/>
        <v>VN13743</v>
      </c>
      <c r="G62" s="295"/>
      <c r="H62" s="41" t="s">
        <v>67</v>
      </c>
      <c r="I62" s="95">
        <v>45421</v>
      </c>
      <c r="J62" s="122"/>
      <c r="K62" s="122"/>
      <c r="L62" s="147" t="str">
        <f>VLOOKUP(E62,DS!$A$2:$E$4398, 5, 0)</f>
        <v>QC</v>
      </c>
      <c r="M62" s="148"/>
      <c r="N62" s="92" t="e">
        <f>VLOOKUP(Table1[[#This Row],[USER]],[1]!Table145678910111213141545678910111213146[[#All],[No.]:[Delete]],2,0)</f>
        <v>#N/A</v>
      </c>
    </row>
    <row r="63" spans="1:14">
      <c r="A63" s="93">
        <v>61</v>
      </c>
      <c r="B63" s="94">
        <v>11</v>
      </c>
      <c r="C63" s="40" t="s">
        <v>7926</v>
      </c>
      <c r="D63" s="40" t="str">
        <f>VLOOKUP(E63,Sheet3!$A$2:$D$6338,2,0)</f>
        <v>Phan Kim Thái</v>
      </c>
      <c r="E63" s="44" t="s">
        <v>117</v>
      </c>
      <c r="F63" s="44" t="str">
        <f t="shared" si="1"/>
        <v>VN15940</v>
      </c>
      <c r="G63" s="295"/>
      <c r="H63" s="41" t="s">
        <v>67</v>
      </c>
      <c r="I63" s="95">
        <v>45421</v>
      </c>
      <c r="J63" s="122"/>
      <c r="K63" s="122"/>
      <c r="L63" s="147" t="str">
        <f>VLOOKUP(E63,DS!$A$2:$E$4398, 5, 0)</f>
        <v>QC</v>
      </c>
      <c r="M63" s="148"/>
      <c r="N63" s="92" t="e">
        <f>VLOOKUP(Table1[[#This Row],[USER]],[1]!Table145678910111213141545678910111213146[[#All],[No.]:[Delete]],2,0)</f>
        <v>#N/A</v>
      </c>
    </row>
    <row r="64" spans="1:14">
      <c r="A64" s="93">
        <v>62</v>
      </c>
      <c r="B64" s="94">
        <v>12</v>
      </c>
      <c r="C64" s="40" t="s">
        <v>7926</v>
      </c>
      <c r="D64" s="40" t="str">
        <f>VLOOKUP(E64,Sheet3!$A$2:$D$6338,2,0)</f>
        <v>Chu Thị Hạnh</v>
      </c>
      <c r="E64" s="44" t="s">
        <v>118</v>
      </c>
      <c r="F64" s="44" t="str">
        <f t="shared" si="1"/>
        <v>VN12095</v>
      </c>
      <c r="G64" s="295"/>
      <c r="H64" s="41" t="s">
        <v>67</v>
      </c>
      <c r="I64" s="95">
        <v>45421</v>
      </c>
      <c r="J64" s="122"/>
      <c r="K64" s="122"/>
      <c r="L64" s="147" t="str">
        <f>VLOOKUP(E64,DS!$A$2:$E$4398, 5, 0)</f>
        <v>QC</v>
      </c>
      <c r="M64" s="148"/>
      <c r="N64" s="92" t="e">
        <f>VLOOKUP(Table1[[#This Row],[USER]],[1]!Table145678910111213141545678910111213146[[#All],[No.]:[Delete]],2,0)</f>
        <v>#N/A</v>
      </c>
    </row>
    <row r="65" spans="1:14">
      <c r="A65" s="93">
        <v>63</v>
      </c>
      <c r="B65" s="94">
        <v>13</v>
      </c>
      <c r="C65" s="40" t="s">
        <v>7926</v>
      </c>
      <c r="D65" s="40" t="str">
        <f>VLOOKUP(E65,Sheet3!$A$2:$D$6338,2,0)</f>
        <v>Đỗ Thị Kim Thu</v>
      </c>
      <c r="E65" s="44" t="s">
        <v>119</v>
      </c>
      <c r="F65" s="44" t="str">
        <f t="shared" si="1"/>
        <v>VN20906</v>
      </c>
      <c r="G65" s="295"/>
      <c r="H65" s="41" t="s">
        <v>67</v>
      </c>
      <c r="I65" s="95">
        <v>45421</v>
      </c>
      <c r="J65" s="122"/>
      <c r="K65" s="122"/>
      <c r="L65" s="147" t="str">
        <f>VLOOKUP(E65,DS!$A$2:$E$4398, 5, 0)</f>
        <v>QC</v>
      </c>
      <c r="M65" s="148"/>
      <c r="N65" s="92" t="e">
        <f>VLOOKUP(Table1[[#This Row],[USER]],[1]!Table145678910111213141545678910111213146[[#All],[No.]:[Delete]],2,0)</f>
        <v>#N/A</v>
      </c>
    </row>
    <row r="66" spans="1:14">
      <c r="A66" s="93">
        <v>64</v>
      </c>
      <c r="B66" s="94">
        <v>14</v>
      </c>
      <c r="C66" s="40" t="s">
        <v>7926</v>
      </c>
      <c r="D66" s="40" t="str">
        <f>VLOOKUP(E66,Sheet3!$A$2:$D$6338,2,0)</f>
        <v>Nguyễn Văn Lân</v>
      </c>
      <c r="E66" s="44" t="s">
        <v>120</v>
      </c>
      <c r="F66" s="44" t="str">
        <f t="shared" si="1"/>
        <v>VN09442</v>
      </c>
      <c r="G66" s="295"/>
      <c r="H66" s="41" t="s">
        <v>67</v>
      </c>
      <c r="I66" s="95">
        <v>45421</v>
      </c>
      <c r="J66" s="122"/>
      <c r="K66" s="122"/>
      <c r="L66" s="147" t="str">
        <f>VLOOKUP(E66,DS!$A$2:$E$4398, 5, 0)</f>
        <v>QC</v>
      </c>
      <c r="M66" s="148"/>
      <c r="N66" s="92" t="e">
        <f>VLOOKUP(Table1[[#This Row],[USER]],[1]!Table145678910111213141545678910111213146[[#All],[No.]:[Delete]],2,0)</f>
        <v>#N/A</v>
      </c>
    </row>
    <row r="67" spans="1:14">
      <c r="A67" s="93">
        <v>65</v>
      </c>
      <c r="B67" s="94">
        <v>15</v>
      </c>
      <c r="C67" s="40" t="s">
        <v>7926</v>
      </c>
      <c r="D67" s="40" t="str">
        <f>VLOOKUP(E67,Sheet3!$A$2:$D$6338,2,0)</f>
        <v>Bùi Quang Toàn</v>
      </c>
      <c r="E67" s="44" t="s">
        <v>121</v>
      </c>
      <c r="F67" s="44" t="str">
        <f t="shared" si="1"/>
        <v>VN03037</v>
      </c>
      <c r="G67" s="295"/>
      <c r="H67" s="41" t="s">
        <v>67</v>
      </c>
      <c r="I67" s="95">
        <v>45421</v>
      </c>
      <c r="J67" s="122"/>
      <c r="K67" s="122"/>
      <c r="L67" s="147" t="str">
        <f>VLOOKUP(E67,DS!$A$2:$E$4398, 5, 0)</f>
        <v>QC</v>
      </c>
      <c r="M67" s="148"/>
      <c r="N67" s="92" t="e">
        <f>VLOOKUP(Table1[[#This Row],[USER]],[1]!Table145678910111213141545678910111213146[[#All],[No.]:[Delete]],2,0)</f>
        <v>#N/A</v>
      </c>
    </row>
    <row r="68" spans="1:14">
      <c r="A68" s="93">
        <v>66</v>
      </c>
      <c r="B68" s="94">
        <v>16</v>
      </c>
      <c r="C68" s="40" t="s">
        <v>7926</v>
      </c>
      <c r="D68" s="40" t="str">
        <f>VLOOKUP(E68,Sheet3!$A$2:$D$6338,2,0)</f>
        <v>Nguyễn Thị Bích Liên</v>
      </c>
      <c r="E68" s="44" t="s">
        <v>122</v>
      </c>
      <c r="F68" s="44" t="str">
        <f t="shared" si="1"/>
        <v>VN24110</v>
      </c>
      <c r="G68" s="295"/>
      <c r="H68" s="41" t="s">
        <v>67</v>
      </c>
      <c r="I68" s="95">
        <v>45421</v>
      </c>
      <c r="J68" s="122"/>
      <c r="K68" s="122"/>
      <c r="L68" s="147" t="str">
        <f>VLOOKUP(E68,DS!$A$2:$E$4398, 5, 0)</f>
        <v>QC</v>
      </c>
      <c r="M68" s="148"/>
      <c r="N68" s="92" t="e">
        <f>VLOOKUP(Table1[[#This Row],[USER]],[1]!Table145678910111213141545678910111213146[[#All],[No.]:[Delete]],2,0)</f>
        <v>#N/A</v>
      </c>
    </row>
    <row r="69" spans="1:14">
      <c r="A69" s="93">
        <v>67</v>
      </c>
      <c r="B69" s="94">
        <v>17</v>
      </c>
      <c r="C69" s="40" t="s">
        <v>7926</v>
      </c>
      <c r="D69" s="40" t="str">
        <f>VLOOKUP(E69,Sheet3!$A$2:$D$6338,2,0)</f>
        <v>Hoàng Thị Thắm</v>
      </c>
      <c r="E69" s="44" t="s">
        <v>123</v>
      </c>
      <c r="F69" s="44" t="str">
        <f t="shared" si="1"/>
        <v>VN09755</v>
      </c>
      <c r="G69" s="295"/>
      <c r="H69" s="41" t="s">
        <v>67</v>
      </c>
      <c r="I69" s="95">
        <v>45421</v>
      </c>
      <c r="J69" s="122"/>
      <c r="K69" s="122"/>
      <c r="L69" s="147" t="str">
        <f>VLOOKUP(E69,DS!$A$2:$E$4398, 5, 0)</f>
        <v>QC</v>
      </c>
      <c r="M69" s="148"/>
      <c r="N69" s="92" t="e">
        <f>VLOOKUP(Table1[[#This Row],[USER]],[1]!Table145678910111213141545678910111213146[[#All],[No.]:[Delete]],2,0)</f>
        <v>#N/A</v>
      </c>
    </row>
    <row r="70" spans="1:14">
      <c r="A70" s="93">
        <v>68</v>
      </c>
      <c r="B70" s="94">
        <v>18</v>
      </c>
      <c r="C70" s="40" t="s">
        <v>7926</v>
      </c>
      <c r="D70" s="40" t="str">
        <f>VLOOKUP(E70,Sheet3!$A$2:$D$6338,2,0)</f>
        <v>Nguyễn Văn Minh</v>
      </c>
      <c r="E70" s="44" t="s">
        <v>124</v>
      </c>
      <c r="F70" s="44" t="str">
        <f t="shared" si="1"/>
        <v>VN00039</v>
      </c>
      <c r="G70" s="295"/>
      <c r="H70" s="41" t="s">
        <v>67</v>
      </c>
      <c r="I70" s="95">
        <v>45421</v>
      </c>
      <c r="J70" s="122"/>
      <c r="K70" s="122"/>
      <c r="L70" s="147" t="str">
        <f>VLOOKUP(E70,DS!$A$2:$E$4398, 5, 0)</f>
        <v>QC</v>
      </c>
      <c r="M70" s="148"/>
      <c r="N70" s="92" t="e">
        <f>VLOOKUP(Table1[[#This Row],[USER]],[1]!Table145678910111213141545678910111213146[[#All],[No.]:[Delete]],2,0)</f>
        <v>#N/A</v>
      </c>
    </row>
    <row r="71" spans="1:14">
      <c r="A71" s="93">
        <v>69</v>
      </c>
      <c r="B71" s="94">
        <v>19</v>
      </c>
      <c r="C71" s="40" t="s">
        <v>7926</v>
      </c>
      <c r="D71" s="40" t="str">
        <f>VLOOKUP(E71,Sheet3!$A$2:$D$6338,2,0)</f>
        <v>Ngọ Tuấn Anh</v>
      </c>
      <c r="E71" s="44" t="s">
        <v>125</v>
      </c>
      <c r="F71" s="44" t="str">
        <f t="shared" si="1"/>
        <v>VN10186</v>
      </c>
      <c r="G71" s="295"/>
      <c r="H71" s="41" t="s">
        <v>67</v>
      </c>
      <c r="I71" s="95">
        <v>45421</v>
      </c>
      <c r="J71" s="122"/>
      <c r="K71" s="122"/>
      <c r="L71" s="147" t="str">
        <f>VLOOKUP(E71,DS!$A$2:$E$4398, 5, 0)</f>
        <v>QC</v>
      </c>
      <c r="M71" s="148"/>
      <c r="N71" s="92" t="e">
        <f>VLOOKUP(Table1[[#This Row],[USER]],[1]!Table145678910111213141545678910111213146[[#All],[No.]:[Delete]],2,0)</f>
        <v>#N/A</v>
      </c>
    </row>
    <row r="72" spans="1:14">
      <c r="A72" s="93">
        <v>70</v>
      </c>
      <c r="B72" s="94">
        <v>20</v>
      </c>
      <c r="C72" s="40" t="s">
        <v>7926</v>
      </c>
      <c r="D72" s="40" t="str">
        <f>VLOOKUP(E72,Sheet3!$A$2:$D$6338,2,0)</f>
        <v>Hà Trọng Lợi</v>
      </c>
      <c r="E72" s="44" t="s">
        <v>126</v>
      </c>
      <c r="F72" s="44" t="str">
        <f t="shared" si="1"/>
        <v>VN02972</v>
      </c>
      <c r="G72" s="295"/>
      <c r="H72" s="41" t="s">
        <v>67</v>
      </c>
      <c r="I72" s="95">
        <v>45421</v>
      </c>
      <c r="J72" s="122"/>
      <c r="K72" s="122"/>
      <c r="L72" s="147" t="str">
        <f>VLOOKUP(E72,DS!$A$2:$E$4398, 5, 0)</f>
        <v>QC</v>
      </c>
      <c r="M72" s="148"/>
      <c r="N72" s="92" t="e">
        <f>VLOOKUP(Table1[[#This Row],[USER]],[1]!Table145678910111213141545678910111213146[[#All],[No.]:[Delete]],2,0)</f>
        <v>#N/A</v>
      </c>
    </row>
    <row r="73" spans="1:14">
      <c r="A73" s="93">
        <v>71</v>
      </c>
      <c r="B73" s="94">
        <v>22</v>
      </c>
      <c r="C73" s="40" t="s">
        <v>7926</v>
      </c>
      <c r="D73" s="40" t="str">
        <f>VLOOKUP(E73,Sheet3!$A$2:$D$6338,2,0)</f>
        <v>Hà Đức Chính</v>
      </c>
      <c r="E73" s="44" t="s">
        <v>128</v>
      </c>
      <c r="F73" s="44" t="str">
        <f t="shared" ref="F73:F138" si="2">"VN"&amp;RIGHT(E73,5)</f>
        <v>VN00602</v>
      </c>
      <c r="G73" s="295"/>
      <c r="H73" s="41" t="s">
        <v>67</v>
      </c>
      <c r="I73" s="95">
        <v>45421</v>
      </c>
      <c r="J73" s="122"/>
      <c r="K73" s="122"/>
      <c r="L73" s="147" t="str">
        <f>VLOOKUP(E73,DS!$A$2:$E$4398, 5, 0)</f>
        <v>QC</v>
      </c>
      <c r="M73" s="148"/>
      <c r="N73" s="92" t="e">
        <f>VLOOKUP(Table1[[#This Row],[USER]],[1]!Table145678910111213141545678910111213146[[#All],[No.]:[Delete]],2,0)</f>
        <v>#N/A</v>
      </c>
    </row>
    <row r="74" spans="1:14">
      <c r="A74" s="93">
        <v>72</v>
      </c>
      <c r="B74" s="94">
        <v>23</v>
      </c>
      <c r="C74" s="40" t="s">
        <v>7926</v>
      </c>
      <c r="D74" s="40" t="str">
        <f>VLOOKUP(E74,Sheet3!$A$2:$D$6338,2,0)</f>
        <v>Trần Văn Thuỳ</v>
      </c>
      <c r="E74" s="44" t="s">
        <v>129</v>
      </c>
      <c r="F74" s="44" t="str">
        <f t="shared" si="2"/>
        <v>VN03359</v>
      </c>
      <c r="G74" s="295"/>
      <c r="H74" s="41" t="s">
        <v>67</v>
      </c>
      <c r="I74" s="95">
        <v>45421</v>
      </c>
      <c r="J74" s="122"/>
      <c r="K74" s="122"/>
      <c r="L74" s="147" t="str">
        <f>VLOOKUP(E74,DS!$A$2:$E$4398, 5, 0)</f>
        <v>QC</v>
      </c>
      <c r="M74" s="148"/>
      <c r="N74" s="92" t="e">
        <f>VLOOKUP(Table1[[#This Row],[USER]],[1]!Table145678910111213141545678910111213146[[#All],[No.]:[Delete]],2,0)</f>
        <v>#N/A</v>
      </c>
    </row>
    <row r="75" spans="1:14">
      <c r="A75" s="93">
        <v>73</v>
      </c>
      <c r="B75" s="94">
        <v>24</v>
      </c>
      <c r="C75" s="40" t="s">
        <v>7926</v>
      </c>
      <c r="D75" s="40" t="str">
        <f>VLOOKUP(E75,Sheet3!$A$2:$D$6338,2,0)</f>
        <v>Phùng Phi Sơn</v>
      </c>
      <c r="E75" s="44" t="s">
        <v>130</v>
      </c>
      <c r="F75" s="44" t="str">
        <f t="shared" si="2"/>
        <v>VN04843</v>
      </c>
      <c r="G75" s="295"/>
      <c r="H75" s="41" t="s">
        <v>67</v>
      </c>
      <c r="I75" s="95">
        <v>45421</v>
      </c>
      <c r="J75" s="122"/>
      <c r="K75" s="122"/>
      <c r="L75" s="147" t="str">
        <f>VLOOKUP(E75,DS!$A$2:$E$4398, 5, 0)</f>
        <v>QC</v>
      </c>
      <c r="M75" s="148"/>
      <c r="N75" s="92" t="e">
        <f>VLOOKUP(Table1[[#This Row],[USER]],[1]!Table145678910111213141545678910111213146[[#All],[No.]:[Delete]],2,0)</f>
        <v>#N/A</v>
      </c>
    </row>
    <row r="76" spans="1:14">
      <c r="A76" s="93">
        <v>74</v>
      </c>
      <c r="B76" s="94">
        <v>25</v>
      </c>
      <c r="C76" s="40" t="s">
        <v>7926</v>
      </c>
      <c r="D76" s="40" t="str">
        <f>VLOOKUP(E76,Sheet3!$A$2:$D$6338,2,0)</f>
        <v>Đào Mạnh Cường</v>
      </c>
      <c r="E76" s="44" t="s">
        <v>131</v>
      </c>
      <c r="F76" s="44" t="str">
        <f t="shared" si="2"/>
        <v>VN24007</v>
      </c>
      <c r="G76" s="295"/>
      <c r="H76" s="41" t="s">
        <v>67</v>
      </c>
      <c r="I76" s="95">
        <v>45421</v>
      </c>
      <c r="J76" s="122"/>
      <c r="K76" s="122"/>
      <c r="L76" s="147" t="str">
        <f>VLOOKUP(E76,DS!$A$2:$E$4398, 5, 0)</f>
        <v>QC</v>
      </c>
      <c r="M76" s="148"/>
      <c r="N76" s="92" t="e">
        <f>VLOOKUP(Table1[[#This Row],[USER]],[1]!Table145678910111213141545678910111213146[[#All],[No.]:[Delete]],2,0)</f>
        <v>#N/A</v>
      </c>
    </row>
    <row r="77" spans="1:14">
      <c r="A77" s="93">
        <v>75</v>
      </c>
      <c r="B77" s="94">
        <v>26</v>
      </c>
      <c r="C77" s="40" t="s">
        <v>7926</v>
      </c>
      <c r="D77" s="40" t="str">
        <f>VLOOKUP(E77,Sheet3!$A$2:$D$6338,2,0)</f>
        <v>Nguyễn Văn Hậu</v>
      </c>
      <c r="E77" s="106" t="s">
        <v>7972</v>
      </c>
      <c r="F77" s="106" t="str">
        <f>"VN"&amp;RIGHT(E77,5)</f>
        <v>VN10188</v>
      </c>
      <c r="G77" s="299"/>
      <c r="H77" s="41" t="s">
        <v>67</v>
      </c>
      <c r="I77" s="107">
        <v>45574</v>
      </c>
      <c r="J77" s="122"/>
      <c r="K77" s="122"/>
      <c r="L77" s="147" t="str">
        <f>VLOOKUP(E77,DS!$A$2:$E$4398, 5, 0)</f>
        <v>QC</v>
      </c>
      <c r="M77" s="151"/>
      <c r="N77" s="92" t="e">
        <f>VLOOKUP(Table1[[#This Row],[USER]],[1]!Table145678910111213141545678910111213146[[#All],[No.]:[Delete]],2,0)</f>
        <v>#N/A</v>
      </c>
    </row>
    <row r="78" spans="1:14">
      <c r="A78" s="93">
        <v>76</v>
      </c>
      <c r="B78" s="94">
        <v>27</v>
      </c>
      <c r="C78" s="108" t="s">
        <v>858</v>
      </c>
      <c r="D78" s="40" t="str">
        <f>VLOOKUP(E78,Sheet3!$A$2:$D$6338,2,0)</f>
        <v>Bùi Văn Nhã</v>
      </c>
      <c r="E78" s="106" t="s">
        <v>7974</v>
      </c>
      <c r="F78" s="106" t="str">
        <f>"VN"&amp;RIGHT(E78,5)</f>
        <v>VN24996</v>
      </c>
      <c r="G78" s="299"/>
      <c r="H78" s="41" t="s">
        <v>67</v>
      </c>
      <c r="I78" s="107">
        <v>45598</v>
      </c>
      <c r="J78" s="122">
        <v>45950</v>
      </c>
      <c r="K78" s="122">
        <v>45960</v>
      </c>
      <c r="L78" s="147" t="str">
        <f>VLOOKUP(E78,DS!$A$2:$E$4398, 5, 0)</f>
        <v>QC</v>
      </c>
      <c r="M78" s="151"/>
      <c r="N78" s="92" t="e">
        <f>VLOOKUP(Table1[[#This Row],[USER]],[1]!Table145678910111213141545678910111213146[[#All],[No.]:[Delete]],2,0)</f>
        <v>#N/A</v>
      </c>
    </row>
    <row r="79" spans="1:14">
      <c r="A79" s="93">
        <v>76</v>
      </c>
      <c r="B79" s="94">
        <v>27</v>
      </c>
      <c r="C79" s="108" t="s">
        <v>858</v>
      </c>
      <c r="D79" s="40" t="str">
        <f>VLOOKUP(E79,Sheet3!$A$2:$D$6338,2,0)</f>
        <v>Nguyễn Văn Nguyên</v>
      </c>
      <c r="E79" s="218" t="s">
        <v>8672</v>
      </c>
      <c r="F79" s="218" t="str">
        <f>"VN"&amp;RIGHT(E79,5)</f>
        <v>VN19779</v>
      </c>
      <c r="G79" s="300"/>
      <c r="H79" s="41" t="s">
        <v>67</v>
      </c>
      <c r="I79" s="219">
        <v>45486</v>
      </c>
      <c r="J79" s="220"/>
      <c r="K79" s="220"/>
      <c r="L79" s="220" t="str">
        <f>VLOOKUP(E79,DS!$A$2:$E$4398, 5, 0)</f>
        <v>QC</v>
      </c>
      <c r="M79" s="221"/>
      <c r="N79" s="92" t="e">
        <f>VLOOKUP(Table1[[#This Row],[USER]],[1]!Table145678910111213141545678910111213146[[#All],[No.]:[Delete]],2,0)</f>
        <v>#N/A</v>
      </c>
    </row>
    <row r="80" spans="1:14">
      <c r="A80" s="93">
        <v>77</v>
      </c>
      <c r="B80" s="94">
        <v>1</v>
      </c>
      <c r="C80" s="40" t="s">
        <v>7927</v>
      </c>
      <c r="D80" s="40" t="str">
        <f>VLOOKUP(E80,Sheet3!$A$2:$D$6338,2,0)</f>
        <v>Nguyễn Thị Vân Anh</v>
      </c>
      <c r="E80" s="44" t="s">
        <v>132</v>
      </c>
      <c r="F80" s="44" t="str">
        <f t="shared" si="2"/>
        <v>VN10324</v>
      </c>
      <c r="G80" s="295"/>
      <c r="H80" s="41" t="s">
        <v>67</v>
      </c>
      <c r="I80" s="95">
        <v>45421</v>
      </c>
      <c r="J80" s="122"/>
      <c r="K80" s="122"/>
      <c r="L80" s="147" t="str">
        <f>VLOOKUP(E80,DS!$A$2:$E$4398, 5, 0)</f>
        <v>Hàn X1</v>
      </c>
      <c r="M80" s="148"/>
      <c r="N80" s="92" t="e">
        <f>VLOOKUP(Table1[[#This Row],[USER]],[1]!Table145678910111213141545678910111213146[[#All],[No.]:[Delete]],2,0)</f>
        <v>#N/A</v>
      </c>
    </row>
    <row r="81" spans="1:14">
      <c r="A81" s="93">
        <v>78</v>
      </c>
      <c r="B81" s="94">
        <v>2</v>
      </c>
      <c r="C81" s="40" t="s">
        <v>7927</v>
      </c>
      <c r="D81" s="40" t="str">
        <f>VLOOKUP(E81,Sheet3!$A$2:$D$6338,2,0)</f>
        <v>Lương Trọng Đoàn</v>
      </c>
      <c r="E81" s="44" t="s">
        <v>133</v>
      </c>
      <c r="F81" s="44" t="str">
        <f t="shared" si="2"/>
        <v>VN00138</v>
      </c>
      <c r="G81" s="295"/>
      <c r="H81" s="41" t="s">
        <v>67</v>
      </c>
      <c r="I81" s="95">
        <v>45421</v>
      </c>
      <c r="J81" s="122"/>
      <c r="K81" s="122"/>
      <c r="L81" s="147" t="str">
        <f>VLOOKUP(E81,DS!$A$2:$E$4398, 5, 0)</f>
        <v>Hàn X1</v>
      </c>
      <c r="M81" s="148"/>
      <c r="N81" s="92" t="e">
        <f>VLOOKUP(Table1[[#This Row],[USER]],[1]!Table145678910111213141545678910111213146[[#All],[No.]:[Delete]],2,0)</f>
        <v>#N/A</v>
      </c>
    </row>
    <row r="82" spans="1:14">
      <c r="A82" s="93">
        <v>79</v>
      </c>
      <c r="B82" s="94">
        <v>3</v>
      </c>
      <c r="C82" s="40" t="s">
        <v>7927</v>
      </c>
      <c r="D82" s="40" t="str">
        <f>VLOOKUP(E82,Sheet3!$A$2:$D$6338,2,0)</f>
        <v>Nguyễn Thị Huyền</v>
      </c>
      <c r="E82" s="44" t="s">
        <v>134</v>
      </c>
      <c r="F82" s="44" t="str">
        <f t="shared" si="2"/>
        <v>VN01566</v>
      </c>
      <c r="G82" s="295"/>
      <c r="H82" s="41" t="s">
        <v>67</v>
      </c>
      <c r="I82" s="95">
        <v>45421</v>
      </c>
      <c r="J82" s="122"/>
      <c r="K82" s="122"/>
      <c r="L82" s="147" t="str">
        <f>VLOOKUP(E82,DS!$A$2:$E$4398, 5, 0)</f>
        <v>Hàn X1</v>
      </c>
      <c r="M82" s="148"/>
      <c r="N82" s="92" t="e">
        <f>VLOOKUP(Table1[[#This Row],[USER]],[1]!Table145678910111213141545678910111213146[[#All],[No.]:[Delete]],2,0)</f>
        <v>#N/A</v>
      </c>
    </row>
    <row r="83" spans="1:14">
      <c r="A83" s="93">
        <v>80</v>
      </c>
      <c r="B83" s="94">
        <v>4</v>
      </c>
      <c r="C83" s="40" t="s">
        <v>7927</v>
      </c>
      <c r="D83" s="40" t="str">
        <f>VLOOKUP(E83,Sheet3!$A$2:$D$6338,2,0)</f>
        <v>Trần Thị Hương</v>
      </c>
      <c r="E83" s="44" t="s">
        <v>135</v>
      </c>
      <c r="F83" s="44" t="str">
        <f t="shared" si="2"/>
        <v>VN02322</v>
      </c>
      <c r="G83" s="295"/>
      <c r="H83" s="41" t="s">
        <v>67</v>
      </c>
      <c r="I83" s="95">
        <v>45421</v>
      </c>
      <c r="J83" s="122"/>
      <c r="K83" s="122"/>
      <c r="L83" s="147" t="str">
        <f>VLOOKUP(E83,DS!$A$2:$E$4398, 5, 0)</f>
        <v>Hàn X1</v>
      </c>
      <c r="M83" s="148"/>
      <c r="N83" s="92" t="e">
        <f>VLOOKUP(Table1[[#This Row],[USER]],[1]!Table145678910111213141545678910111213146[[#All],[No.]:[Delete]],2,0)</f>
        <v>#N/A</v>
      </c>
    </row>
    <row r="84" spans="1:14">
      <c r="A84" s="93">
        <v>81</v>
      </c>
      <c r="B84" s="94">
        <v>5</v>
      </c>
      <c r="C84" s="40" t="s">
        <v>7927</v>
      </c>
      <c r="D84" s="40" t="str">
        <f>VLOOKUP(E84,Sheet3!$A$2:$D$6338,2,0)</f>
        <v>Nguyễn Thị Thìn</v>
      </c>
      <c r="E84" s="44" t="s">
        <v>136</v>
      </c>
      <c r="F84" s="44" t="str">
        <f t="shared" si="2"/>
        <v>VN07269</v>
      </c>
      <c r="G84" s="295"/>
      <c r="H84" s="41" t="s">
        <v>67</v>
      </c>
      <c r="I84" s="95">
        <v>45421</v>
      </c>
      <c r="J84" s="122"/>
      <c r="K84" s="122"/>
      <c r="L84" s="147" t="str">
        <f>VLOOKUP(E84,DS!$A$2:$E$4398, 5, 0)</f>
        <v>Hàn X1</v>
      </c>
      <c r="M84" s="148"/>
      <c r="N84" s="92" t="e">
        <f>VLOOKUP(Table1[[#This Row],[USER]],[1]!Table145678910111213141545678910111213146[[#All],[No.]:[Delete]],2,0)</f>
        <v>#N/A</v>
      </c>
    </row>
    <row r="85" spans="1:14">
      <c r="A85" s="93">
        <v>82</v>
      </c>
      <c r="B85" s="94">
        <v>6</v>
      </c>
      <c r="C85" s="40" t="s">
        <v>7927</v>
      </c>
      <c r="D85" s="40" t="str">
        <f>VLOOKUP(E85,Sheet3!$A$2:$D$6338,2,0)</f>
        <v>Trần Văn Sơn</v>
      </c>
      <c r="E85" s="44" t="s">
        <v>137</v>
      </c>
      <c r="F85" s="44" t="str">
        <f t="shared" si="2"/>
        <v>VN00470</v>
      </c>
      <c r="G85" s="295"/>
      <c r="H85" s="41" t="s">
        <v>67</v>
      </c>
      <c r="I85" s="95">
        <v>45421</v>
      </c>
      <c r="J85" s="122"/>
      <c r="K85" s="122"/>
      <c r="L85" s="147" t="str">
        <f>VLOOKUP(E85,DS!$A$2:$E$4398, 5, 0)</f>
        <v>Hàn X1</v>
      </c>
      <c r="M85" s="148"/>
      <c r="N85" s="92" t="e">
        <f>VLOOKUP(Table1[[#This Row],[USER]],[1]!Table145678910111213141545678910111213146[[#All],[No.]:[Delete]],2,0)</f>
        <v>#N/A</v>
      </c>
    </row>
    <row r="86" spans="1:14">
      <c r="A86" s="93">
        <v>83</v>
      </c>
      <c r="B86" s="94">
        <v>7</v>
      </c>
      <c r="C86" s="40" t="s">
        <v>7927</v>
      </c>
      <c r="D86" s="40" t="str">
        <f>VLOOKUP(E86,Sheet3!$A$2:$D$6338,2,0)</f>
        <v>Vũ Ngọc Quang</v>
      </c>
      <c r="E86" s="44" t="s">
        <v>138</v>
      </c>
      <c r="F86" s="44" t="str">
        <f t="shared" si="2"/>
        <v>VN03481</v>
      </c>
      <c r="G86" s="295"/>
      <c r="H86" s="41" t="s">
        <v>67</v>
      </c>
      <c r="I86" s="95">
        <v>45421</v>
      </c>
      <c r="J86" s="122"/>
      <c r="K86" s="122"/>
      <c r="L86" s="147" t="str">
        <f>VLOOKUP(E86,DS!$A$2:$E$4398, 5, 0)</f>
        <v>Hàn X1</v>
      </c>
      <c r="M86" s="148"/>
      <c r="N86" s="92" t="e">
        <f>VLOOKUP(Table1[[#This Row],[USER]],[1]!Table145678910111213141545678910111213146[[#All],[No.]:[Delete]],2,0)</f>
        <v>#N/A</v>
      </c>
    </row>
    <row r="87" spans="1:14">
      <c r="A87" s="93">
        <v>84</v>
      </c>
      <c r="B87" s="94">
        <v>8</v>
      </c>
      <c r="C87" s="40" t="s">
        <v>7927</v>
      </c>
      <c r="D87" s="40" t="str">
        <f>VLOOKUP(E87,Sheet3!$A$2:$D$6338,2,0)</f>
        <v>Lê Văn Trưởng</v>
      </c>
      <c r="E87" s="44" t="s">
        <v>139</v>
      </c>
      <c r="F87" s="44" t="str">
        <f t="shared" si="2"/>
        <v>VN00038</v>
      </c>
      <c r="G87" s="295"/>
      <c r="H87" s="41" t="s">
        <v>67</v>
      </c>
      <c r="I87" s="95">
        <v>45421</v>
      </c>
      <c r="J87" s="122"/>
      <c r="K87" s="122"/>
      <c r="L87" s="147" t="str">
        <f>VLOOKUP(E87,DS!$A$2:$E$4398, 5, 0)</f>
        <v>Hàn X1</v>
      </c>
      <c r="M87" s="148"/>
      <c r="N87" s="92" t="e">
        <f>VLOOKUP(Table1[[#This Row],[USER]],[1]!Table145678910111213141545678910111213146[[#All],[No.]:[Delete]],2,0)</f>
        <v>#N/A</v>
      </c>
    </row>
    <row r="88" spans="1:14">
      <c r="A88" s="93">
        <v>85</v>
      </c>
      <c r="B88" s="94">
        <v>9</v>
      </c>
      <c r="C88" s="40" t="s">
        <v>7927</v>
      </c>
      <c r="D88" s="40" t="str">
        <f>VLOOKUP(E88,Sheet3!$A$2:$D$6338,2,0)</f>
        <v>Trần Thị Liên</v>
      </c>
      <c r="E88" s="44" t="s">
        <v>140</v>
      </c>
      <c r="F88" s="44" t="str">
        <f t="shared" si="2"/>
        <v>VN07228</v>
      </c>
      <c r="G88" s="295"/>
      <c r="H88" s="41" t="s">
        <v>67</v>
      </c>
      <c r="I88" s="95">
        <v>45421</v>
      </c>
      <c r="J88" s="122"/>
      <c r="K88" s="122"/>
      <c r="L88" s="147" t="str">
        <f>VLOOKUP(E88,DS!$A$2:$E$4398, 5, 0)</f>
        <v>CNC X1</v>
      </c>
      <c r="M88" s="148"/>
      <c r="N88" s="92" t="e">
        <f>VLOOKUP(Table1[[#This Row],[USER]],[1]!Table145678910111213141545678910111213146[[#All],[No.]:[Delete]],2,0)</f>
        <v>#N/A</v>
      </c>
    </row>
    <row r="89" spans="1:14">
      <c r="A89" s="93">
        <v>86</v>
      </c>
      <c r="B89" s="94">
        <v>10</v>
      </c>
      <c r="C89" s="40" t="s">
        <v>7927</v>
      </c>
      <c r="D89" s="40" t="str">
        <f>VLOOKUP(E89,Sheet3!$A$2:$D$6338,2,0)</f>
        <v>Kiều Mạnh Dũng</v>
      </c>
      <c r="E89" s="44" t="s">
        <v>141</v>
      </c>
      <c r="F89" s="44" t="str">
        <f t="shared" si="2"/>
        <v>VN00798</v>
      </c>
      <c r="G89" s="295"/>
      <c r="H89" s="41" t="s">
        <v>67</v>
      </c>
      <c r="I89" s="95">
        <v>45421</v>
      </c>
      <c r="J89" s="122"/>
      <c r="K89" s="122"/>
      <c r="L89" s="147" t="str">
        <f>VLOOKUP(E89,DS!$A$2:$E$4398, 5, 0)</f>
        <v>Hàn X1</v>
      </c>
      <c r="M89" s="148"/>
      <c r="N89" s="92" t="e">
        <f>VLOOKUP(Table1[[#This Row],[USER]],[1]!Table145678910111213141545678910111213146[[#All],[No.]:[Delete]],2,0)</f>
        <v>#N/A</v>
      </c>
    </row>
    <row r="90" spans="1:14">
      <c r="A90" s="93">
        <v>87</v>
      </c>
      <c r="B90" s="94">
        <v>11</v>
      </c>
      <c r="C90" s="40" t="s">
        <v>7927</v>
      </c>
      <c r="D90" s="40" t="str">
        <f>VLOOKUP(E90,Sheet3!$A$2:$D$6338,2,0)</f>
        <v>Đinh Trung Kiên</v>
      </c>
      <c r="E90" s="44" t="s">
        <v>142</v>
      </c>
      <c r="F90" s="44" t="str">
        <f t="shared" si="2"/>
        <v>VN00832</v>
      </c>
      <c r="G90" s="295"/>
      <c r="H90" s="41" t="s">
        <v>67</v>
      </c>
      <c r="I90" s="95">
        <v>45421</v>
      </c>
      <c r="J90" s="122"/>
      <c r="K90" s="122"/>
      <c r="L90" s="147" t="str">
        <f>VLOOKUP(E90,DS!$A$2:$E$4398, 5, 0)</f>
        <v>Hàn X1</v>
      </c>
      <c r="M90" s="148"/>
      <c r="N90" s="92" t="e">
        <f>VLOOKUP(Table1[[#This Row],[USER]],[1]!Table145678910111213141545678910111213146[[#All],[No.]:[Delete]],2,0)</f>
        <v>#N/A</v>
      </c>
    </row>
    <row r="91" spans="1:14">
      <c r="A91" s="93">
        <v>86</v>
      </c>
      <c r="B91" s="94">
        <v>10</v>
      </c>
      <c r="C91" s="40" t="s">
        <v>7927</v>
      </c>
      <c r="D91" s="40" t="str">
        <f>VLOOKUP(E91,Sheet3!$A$2:$D$6338,2,0)</f>
        <v>Nguyễn Tiến Thành</v>
      </c>
      <c r="E91" s="163" t="s">
        <v>8656</v>
      </c>
      <c r="F91" s="163" t="str">
        <f>"VN"&amp;RIGHT(E91,5)</f>
        <v>VN01177</v>
      </c>
      <c r="G91" s="295"/>
      <c r="H91" s="41" t="s">
        <v>67</v>
      </c>
      <c r="I91" s="164">
        <v>45437</v>
      </c>
      <c r="J91" s="147"/>
      <c r="K91" s="147"/>
      <c r="L91" s="147" t="str">
        <f>VLOOKUP(E91,DS!$A$2:$E$4398, 5, 0)</f>
        <v>Hàn X1</v>
      </c>
      <c r="M91" s="148"/>
      <c r="N91" s="92" t="e">
        <f>VLOOKUP(Table1[[#This Row],[USER]],[1]!Table145678910111213141545678910111213146[[#All],[No.]:[Delete]],2,0)</f>
        <v>#N/A</v>
      </c>
    </row>
    <row r="92" spans="1:14">
      <c r="A92" s="93">
        <v>87</v>
      </c>
      <c r="B92" s="94">
        <v>11</v>
      </c>
      <c r="C92" s="40" t="s">
        <v>7927</v>
      </c>
      <c r="D92" s="40" t="str">
        <f>VLOOKUP(E92,Sheet3!$A$2:$D$6338,2,0)</f>
        <v>Lê Duy Tân</v>
      </c>
      <c r="E92" s="163" t="s">
        <v>8657</v>
      </c>
      <c r="F92" s="163" t="str">
        <f>"VN"&amp;RIGHT(E92,5)</f>
        <v>VN00886</v>
      </c>
      <c r="G92" s="295"/>
      <c r="H92" s="41" t="s">
        <v>67</v>
      </c>
      <c r="I92" s="164">
        <v>45454</v>
      </c>
      <c r="J92" s="147"/>
      <c r="K92" s="147"/>
      <c r="L92" s="147" t="str">
        <f>VLOOKUP(E92,DS!$A$2:$E$4398, 5, 0)</f>
        <v>Hàn X1</v>
      </c>
      <c r="M92" s="148"/>
      <c r="N92" s="92" t="e">
        <f>VLOOKUP(Table1[[#This Row],[USER]],[1]!Table145678910111213141545678910111213146[[#All],[No.]:[Delete]],2,0)</f>
        <v>#N/A</v>
      </c>
    </row>
    <row r="93" spans="1:14">
      <c r="A93" s="93">
        <v>89</v>
      </c>
      <c r="B93" s="94">
        <v>1</v>
      </c>
      <c r="C93" s="40" t="s">
        <v>7928</v>
      </c>
      <c r="D93" s="40" t="str">
        <f>VLOOKUP(E93,Sheet3!$A$2:$D$6338,2,0)</f>
        <v>Đỗ Tiến Dương</v>
      </c>
      <c r="E93" s="44" t="s">
        <v>143</v>
      </c>
      <c r="F93" s="44" t="str">
        <f t="shared" si="2"/>
        <v>VN07039</v>
      </c>
      <c r="G93" s="295"/>
      <c r="H93" s="41" t="s">
        <v>67</v>
      </c>
      <c r="I93" s="95">
        <v>45421</v>
      </c>
      <c r="J93" s="122"/>
      <c r="K93" s="122"/>
      <c r="L93" s="147" t="str">
        <f>VLOOKUP(E93,DS!$A$2:$E$4398, 5, 0)</f>
        <v>QLK</v>
      </c>
      <c r="M93" s="148"/>
      <c r="N93" s="92" t="e">
        <f>VLOOKUP(Table1[[#This Row],[USER]],[1]!Table145678910111213141545678910111213146[[#All],[No.]:[Delete]],2,0)</f>
        <v>#N/A</v>
      </c>
    </row>
    <row r="94" spans="1:14">
      <c r="A94" s="93">
        <v>90</v>
      </c>
      <c r="B94" s="94">
        <v>2</v>
      </c>
      <c r="C94" s="40" t="s">
        <v>7928</v>
      </c>
      <c r="D94" s="40" t="str">
        <f>VLOOKUP(E94,Sheet3!$A$2:$D$6338,2,0)</f>
        <v>Trần Thị Thu Hiền</v>
      </c>
      <c r="E94" s="44" t="s">
        <v>144</v>
      </c>
      <c r="F94" s="44" t="str">
        <f t="shared" si="2"/>
        <v>VN21343</v>
      </c>
      <c r="G94" s="295"/>
      <c r="H94" s="41" t="s">
        <v>67</v>
      </c>
      <c r="I94" s="95">
        <v>45421</v>
      </c>
      <c r="J94" s="122"/>
      <c r="K94" s="122"/>
      <c r="L94" s="147" t="str">
        <f>VLOOKUP(E94,DS!$A$2:$E$4398, 5, 0)</f>
        <v>QLK</v>
      </c>
      <c r="M94" s="148"/>
      <c r="N94" s="92" t="e">
        <f>VLOOKUP(Table1[[#This Row],[USER]],[1]!Table145678910111213141545678910111213146[[#All],[No.]:[Delete]],2,0)</f>
        <v>#N/A</v>
      </c>
    </row>
    <row r="95" spans="1:14">
      <c r="A95" s="93">
        <v>91</v>
      </c>
      <c r="B95" s="94">
        <v>3</v>
      </c>
      <c r="C95" s="40" t="s">
        <v>7928</v>
      </c>
      <c r="D95" s="40" t="str">
        <f>VLOOKUP(E95,Sheet3!$A$2:$D$6338,2,0)</f>
        <v>Dương Văn Hải</v>
      </c>
      <c r="E95" s="44" t="s">
        <v>145</v>
      </c>
      <c r="F95" s="44" t="str">
        <f t="shared" si="2"/>
        <v>VN00400</v>
      </c>
      <c r="G95" s="295"/>
      <c r="H95" s="41" t="s">
        <v>67</v>
      </c>
      <c r="I95" s="95">
        <v>45421</v>
      </c>
      <c r="J95" s="122"/>
      <c r="K95" s="122"/>
      <c r="L95" s="147" t="str">
        <f>VLOOKUP(E95,DS!$A$2:$E$4398, 5, 0)</f>
        <v>QLK</v>
      </c>
      <c r="M95" s="148"/>
      <c r="N95" s="92" t="e">
        <f>VLOOKUP(Table1[[#This Row],[USER]],[1]!Table145678910111213141545678910111213146[[#All],[No.]:[Delete]],2,0)</f>
        <v>#N/A</v>
      </c>
    </row>
    <row r="96" spans="1:14">
      <c r="A96" s="93">
        <v>92</v>
      </c>
      <c r="B96" s="94">
        <v>4</v>
      </c>
      <c r="C96" s="40" t="s">
        <v>7928</v>
      </c>
      <c r="D96" s="40" t="str">
        <f>VLOOKUP(E96,Sheet3!$A$2:$D$6338,2,0)</f>
        <v>Ngô Mạnh Cường</v>
      </c>
      <c r="E96" s="44" t="s">
        <v>147</v>
      </c>
      <c r="F96" s="44" t="str">
        <f t="shared" si="2"/>
        <v>VN02183</v>
      </c>
      <c r="G96" s="295"/>
      <c r="H96" s="41" t="s">
        <v>67</v>
      </c>
      <c r="I96" s="95">
        <v>45421</v>
      </c>
      <c r="J96" s="122"/>
      <c r="K96" s="122"/>
      <c r="L96" s="147" t="str">
        <f>VLOOKUP(E96,DS!$A$2:$E$4398, 5, 0)</f>
        <v>QLK</v>
      </c>
      <c r="M96" s="148"/>
      <c r="N96" s="92" t="e">
        <f>VLOOKUP(Table1[[#This Row],[USER]],[1]!Table145678910111213141545678910111213146[[#All],[No.]:[Delete]],2,0)</f>
        <v>#N/A</v>
      </c>
    </row>
    <row r="97" spans="1:14">
      <c r="A97" s="93">
        <v>93</v>
      </c>
      <c r="B97" s="94">
        <v>5</v>
      </c>
      <c r="C97" s="40" t="s">
        <v>852</v>
      </c>
      <c r="D97" s="40" t="str">
        <f>VLOOKUP(E97,Sheet3!$A$2:$D$6338,2,0)</f>
        <v>Đỗ Quốc Tuấn</v>
      </c>
      <c r="E97" s="44" t="s">
        <v>7809</v>
      </c>
      <c r="F97" s="44" t="str">
        <f>"VN"&amp;RIGHT(E97,5)</f>
        <v>VN09040</v>
      </c>
      <c r="G97" s="295"/>
      <c r="H97" s="41" t="s">
        <v>67</v>
      </c>
      <c r="I97" s="95">
        <v>45528</v>
      </c>
      <c r="J97" s="122"/>
      <c r="K97" s="122"/>
      <c r="L97" s="147" t="str">
        <f>VLOOKUP(E97,DS!$A$2:$E$4398, 5, 0)</f>
        <v>QLK</v>
      </c>
      <c r="M97" s="148"/>
      <c r="N97" s="92" t="e">
        <f>VLOOKUP(Table1[[#This Row],[USER]],[1]!Table145678910111213141545678910111213146[[#All],[No.]:[Delete]],2,0)</f>
        <v>#N/A</v>
      </c>
    </row>
    <row r="98" spans="1:14">
      <c r="A98" s="93">
        <v>94</v>
      </c>
      <c r="B98" s="94">
        <v>1</v>
      </c>
      <c r="C98" s="40" t="s">
        <v>7929</v>
      </c>
      <c r="D98" s="40" t="str">
        <f>VLOOKUP(E98,Sheet3!$A$2:$D$6338,2,0)</f>
        <v>Trần Ngọc Mạnh</v>
      </c>
      <c r="E98" s="96" t="s">
        <v>148</v>
      </c>
      <c r="F98" s="44" t="str">
        <f t="shared" si="2"/>
        <v>VN07790</v>
      </c>
      <c r="G98" s="295"/>
      <c r="H98" s="41" t="s">
        <v>67</v>
      </c>
      <c r="I98" s="97">
        <v>45421</v>
      </c>
      <c r="J98" s="122"/>
      <c r="K98" s="122"/>
      <c r="L98" s="147" t="str">
        <f>VLOOKUP(E98,DS!$A$2:$E$4398, 5, 0)</f>
        <v>Dập X1</v>
      </c>
      <c r="M98" s="148"/>
      <c r="N98" s="92" t="e">
        <f>VLOOKUP(Table1[[#This Row],[USER]],[1]!Table145678910111213141545678910111213146[[#All],[No.]:[Delete]],2,0)</f>
        <v>#N/A</v>
      </c>
    </row>
    <row r="99" spans="1:14">
      <c r="A99" s="93">
        <v>95</v>
      </c>
      <c r="B99" s="94">
        <v>2</v>
      </c>
      <c r="C99" s="40" t="s">
        <v>7929</v>
      </c>
      <c r="D99" s="40" t="str">
        <f>VLOOKUP(E99,Sheet3!$A$2:$D$6338,2,0)</f>
        <v>Nguyễn Thị Thanh Hương</v>
      </c>
      <c r="E99" s="44" t="s">
        <v>149</v>
      </c>
      <c r="F99" s="44" t="str">
        <f t="shared" si="2"/>
        <v>VN16479</v>
      </c>
      <c r="G99" s="295"/>
      <c r="H99" s="41" t="s">
        <v>67</v>
      </c>
      <c r="I99" s="97">
        <v>45421</v>
      </c>
      <c r="J99" s="122">
        <v>45876</v>
      </c>
      <c r="K99" s="122">
        <v>45876</v>
      </c>
      <c r="L99" s="147" t="e">
        <f>VLOOKUP(E99,DS!$A$2:$E$4398, 5, 0)</f>
        <v>#N/A</v>
      </c>
      <c r="M99" s="148"/>
      <c r="N99" s="92" t="e">
        <f>VLOOKUP(Table1[[#This Row],[USER]],[1]!Table145678910111213141545678910111213146[[#All],[No.]:[Delete]],2,0)</f>
        <v>#N/A</v>
      </c>
    </row>
    <row r="100" spans="1:14">
      <c r="A100" s="93">
        <v>96</v>
      </c>
      <c r="B100" s="94">
        <v>3</v>
      </c>
      <c r="C100" s="40" t="s">
        <v>7929</v>
      </c>
      <c r="D100" s="40" t="str">
        <f>VLOOKUP(E100,Sheet3!$A$2:$D$6338,2,0)</f>
        <v>Nguyễn Văn Thiệu</v>
      </c>
      <c r="E100" s="44" t="s">
        <v>150</v>
      </c>
      <c r="F100" s="44" t="str">
        <f t="shared" si="2"/>
        <v>VN10988</v>
      </c>
      <c r="G100" s="295"/>
      <c r="H100" s="41" t="s">
        <v>67</v>
      </c>
      <c r="I100" s="97">
        <v>45421</v>
      </c>
      <c r="J100" s="122">
        <v>45929</v>
      </c>
      <c r="K100" s="122">
        <v>45960</v>
      </c>
      <c r="L100" s="147" t="e">
        <f>VLOOKUP(E100,DS!$A$2:$E$4398, 5, 0)</f>
        <v>#N/A</v>
      </c>
      <c r="M100" s="148"/>
      <c r="N100" s="92" t="e">
        <f>VLOOKUP(Table1[[#This Row],[USER]],[1]!Table145678910111213141545678910111213146[[#All],[No.]:[Delete]],2,0)</f>
        <v>#N/A</v>
      </c>
    </row>
    <row r="101" spans="1:14">
      <c r="A101" s="93">
        <v>97</v>
      </c>
      <c r="B101" s="94">
        <v>4</v>
      </c>
      <c r="C101" s="40" t="s">
        <v>7929</v>
      </c>
      <c r="D101" s="40" t="str">
        <f>VLOOKUP(E101,Sheet3!$A$2:$D$6338,2,0)</f>
        <v>Đỗ Thị Hoa</v>
      </c>
      <c r="E101" s="44" t="s">
        <v>151</v>
      </c>
      <c r="F101" s="44" t="str">
        <f t="shared" si="2"/>
        <v>VN03439</v>
      </c>
      <c r="G101" s="295"/>
      <c r="H101" s="41" t="s">
        <v>67</v>
      </c>
      <c r="I101" s="97">
        <v>45421</v>
      </c>
      <c r="J101" s="122"/>
      <c r="K101" s="122"/>
      <c r="L101" s="147" t="str">
        <f>VLOOKUP(E101,DS!$A$2:$E$4398, 5, 0)</f>
        <v>Dập X1</v>
      </c>
      <c r="M101" s="148"/>
      <c r="N101" s="92" t="e">
        <f>VLOOKUP(Table1[[#This Row],[USER]],[1]!Table145678910111213141545678910111213146[[#All],[No.]:[Delete]],2,0)</f>
        <v>#N/A</v>
      </c>
    </row>
    <row r="102" spans="1:14">
      <c r="A102" s="93">
        <v>98</v>
      </c>
      <c r="B102" s="94">
        <v>5</v>
      </c>
      <c r="C102" s="40" t="s">
        <v>7929</v>
      </c>
      <c r="D102" s="40" t="str">
        <f>VLOOKUP(E102,Sheet3!$A$2:$D$6338,2,0)</f>
        <v>Trần Thị Thu Thuỷ</v>
      </c>
      <c r="E102" s="44" t="s">
        <v>152</v>
      </c>
      <c r="F102" s="44" t="str">
        <f t="shared" si="2"/>
        <v>VN03094</v>
      </c>
      <c r="G102" s="295"/>
      <c r="H102" s="41" t="s">
        <v>67</v>
      </c>
      <c r="I102" s="97">
        <v>45421</v>
      </c>
      <c r="J102" s="122"/>
      <c r="K102" s="122"/>
      <c r="L102" s="147" t="str">
        <f>VLOOKUP(E102,DS!$A$2:$E$4398, 5, 0)</f>
        <v>Dập X1</v>
      </c>
      <c r="M102" s="148"/>
      <c r="N102" s="92" t="e">
        <f>VLOOKUP(Table1[[#This Row],[USER]],[1]!Table145678910111213141545678910111213146[[#All],[No.]:[Delete]],2,0)</f>
        <v>#N/A</v>
      </c>
    </row>
    <row r="103" spans="1:14">
      <c r="A103" s="93">
        <v>99</v>
      </c>
      <c r="B103" s="94">
        <v>6</v>
      </c>
      <c r="C103" s="40" t="s">
        <v>7929</v>
      </c>
      <c r="D103" s="40" t="str">
        <f>VLOOKUP(E103,Sheet3!$A$2:$D$6338,2,0)</f>
        <v>Đỗ Thị Thanh</v>
      </c>
      <c r="E103" s="44" t="s">
        <v>153</v>
      </c>
      <c r="F103" s="44" t="str">
        <f t="shared" si="2"/>
        <v>VN17617</v>
      </c>
      <c r="G103" s="295"/>
      <c r="H103" s="41" t="s">
        <v>67</v>
      </c>
      <c r="I103" s="97">
        <v>45421</v>
      </c>
      <c r="J103" s="122"/>
      <c r="K103" s="122"/>
      <c r="L103" s="147" t="str">
        <f>VLOOKUP(E103,DS!$A$2:$E$4398, 5, 0)</f>
        <v>Dập X1</v>
      </c>
      <c r="M103" s="148"/>
      <c r="N103" s="92" t="e">
        <f>VLOOKUP(Table1[[#This Row],[USER]],[1]!Table145678910111213141545678910111213146[[#All],[No.]:[Delete]],2,0)</f>
        <v>#N/A</v>
      </c>
    </row>
    <row r="104" spans="1:14">
      <c r="A104" s="93">
        <v>100</v>
      </c>
      <c r="B104" s="94">
        <v>7</v>
      </c>
      <c r="C104" s="40" t="s">
        <v>7929</v>
      </c>
      <c r="D104" s="40" t="str">
        <f>VLOOKUP(E104,Sheet3!$A$2:$D$6338,2,0)</f>
        <v>Tạ Hữu Bằng</v>
      </c>
      <c r="E104" s="44" t="s">
        <v>154</v>
      </c>
      <c r="F104" s="44" t="str">
        <f t="shared" si="2"/>
        <v>VN00998</v>
      </c>
      <c r="G104" s="295"/>
      <c r="H104" s="41" t="s">
        <v>67</v>
      </c>
      <c r="I104" s="97">
        <v>45421</v>
      </c>
      <c r="J104" s="122"/>
      <c r="K104" s="122"/>
      <c r="L104" s="147" t="str">
        <f>VLOOKUP(E104,DS!$A$2:$E$4398, 5, 0)</f>
        <v>Dập X1</v>
      </c>
      <c r="M104" s="148"/>
      <c r="N104" s="92" t="e">
        <f>VLOOKUP(Table1[[#This Row],[USER]],[1]!Table145678910111213141545678910111213146[[#All],[No.]:[Delete]],2,0)</f>
        <v>#N/A</v>
      </c>
    </row>
    <row r="105" spans="1:14">
      <c r="A105" s="93">
        <v>101</v>
      </c>
      <c r="B105" s="94">
        <v>8</v>
      </c>
      <c r="C105" s="40" t="s">
        <v>7929</v>
      </c>
      <c r="D105" s="40" t="str">
        <f>VLOOKUP(E105,Sheet3!$A$2:$D$6338,2,0)</f>
        <v>Dương Văn Tường</v>
      </c>
      <c r="E105" s="44" t="s">
        <v>156</v>
      </c>
      <c r="F105" s="44" t="str">
        <f t="shared" si="2"/>
        <v>VN00254</v>
      </c>
      <c r="G105" s="295"/>
      <c r="H105" s="41" t="s">
        <v>67</v>
      </c>
      <c r="I105" s="97">
        <v>45421</v>
      </c>
      <c r="J105" s="122"/>
      <c r="K105" s="122"/>
      <c r="L105" s="147" t="str">
        <f>VLOOKUP(E105,DS!$A$2:$E$4398, 5, 0)</f>
        <v>Dập X1</v>
      </c>
      <c r="M105" s="148"/>
      <c r="N105" s="92" t="e">
        <f>VLOOKUP(Table1[[#This Row],[USER]],[1]!Table145678910111213141545678910111213146[[#All],[No.]:[Delete]],2,0)</f>
        <v>#N/A</v>
      </c>
    </row>
    <row r="106" spans="1:14">
      <c r="A106" s="93">
        <v>102</v>
      </c>
      <c r="B106" s="94">
        <v>9</v>
      </c>
      <c r="C106" s="40" t="s">
        <v>839</v>
      </c>
      <c r="D106" s="40" t="str">
        <f>VLOOKUP(E106,Sheet3!$A$2:$D$6338,2,0)</f>
        <v>Bùi Đình Tuyên</v>
      </c>
      <c r="E106" s="44" t="s">
        <v>7800</v>
      </c>
      <c r="F106" s="44" t="str">
        <f>"VN"&amp;RIGHT(E106,5)</f>
        <v>VN00765</v>
      </c>
      <c r="G106" s="295"/>
      <c r="H106" s="41" t="s">
        <v>67</v>
      </c>
      <c r="I106" s="97">
        <v>45421</v>
      </c>
      <c r="J106" s="122">
        <v>45806</v>
      </c>
      <c r="K106" s="122">
        <v>45806</v>
      </c>
      <c r="L106" s="147" t="e">
        <f>VLOOKUP(E106,DS!$A$2:$E$4398, 5, 0)</f>
        <v>#N/A</v>
      </c>
      <c r="M106" s="148"/>
      <c r="N106" s="92" t="e">
        <f>VLOOKUP(Table1[[#This Row],[USER]],[1]!Table145678910111213141545678910111213146[[#All],[No.]:[Delete]],2,0)</f>
        <v>#N/A</v>
      </c>
    </row>
    <row r="107" spans="1:14">
      <c r="A107" s="93">
        <v>103</v>
      </c>
      <c r="B107" s="94">
        <v>10</v>
      </c>
      <c r="C107" s="40" t="s">
        <v>839</v>
      </c>
      <c r="D107" s="40" t="str">
        <f>VLOOKUP(E107,Sheet3!$A$2:$D$6338,2,0)</f>
        <v>Phan Bá Tước</v>
      </c>
      <c r="E107" s="98" t="s">
        <v>7816</v>
      </c>
      <c r="F107" s="98" t="str">
        <f>"VN"&amp;RIGHT(E107,5)</f>
        <v>VN00487</v>
      </c>
      <c r="G107" s="98"/>
      <c r="H107" s="41" t="s">
        <v>67</v>
      </c>
      <c r="I107" s="95">
        <v>45562</v>
      </c>
      <c r="J107" s="122"/>
      <c r="K107" s="122"/>
      <c r="L107" s="147" t="str">
        <f>VLOOKUP(E107,DS!$A$2:$E$4398, 5, 0)</f>
        <v>Dập X1</v>
      </c>
      <c r="M107" s="148"/>
      <c r="N107" s="92" t="e">
        <f>VLOOKUP(Table1[[#This Row],[USER]],[1]!Table145678910111213141545678910111213146[[#All],[No.]:[Delete]],2,0)</f>
        <v>#N/A</v>
      </c>
    </row>
    <row r="108" spans="1:14">
      <c r="A108" s="93">
        <v>104</v>
      </c>
      <c r="B108" s="94">
        <v>11</v>
      </c>
      <c r="C108" s="40" t="s">
        <v>839</v>
      </c>
      <c r="D108" s="40" t="str">
        <f>VLOOKUP(E108,Sheet3!$A$2:$D$6338,2,0)</f>
        <v>Lương Văn Giang</v>
      </c>
      <c r="E108" s="44" t="s">
        <v>8003</v>
      </c>
      <c r="F108" s="44" t="str">
        <f>"VN"&amp;RIGHT(E108,5)</f>
        <v>VN00860</v>
      </c>
      <c r="G108" s="295"/>
      <c r="H108" s="41" t="s">
        <v>67</v>
      </c>
      <c r="I108" s="95">
        <v>45741</v>
      </c>
      <c r="J108" s="122"/>
      <c r="K108" s="122"/>
      <c r="L108" s="147" t="str">
        <f>VLOOKUP(E108,DS!$A$2:$E$4398, 5, 0)</f>
        <v>Dập X1</v>
      </c>
      <c r="M108" s="148"/>
      <c r="N108" s="92" t="e">
        <f>VLOOKUP(Table1[[#This Row],[USER]],[1]!Table145678910111213141545678910111213146[[#All],[No.]:[Delete]],2,0)</f>
        <v>#N/A</v>
      </c>
    </row>
    <row r="109" spans="1:14">
      <c r="A109" s="93">
        <v>105</v>
      </c>
      <c r="B109" s="156"/>
      <c r="C109" s="161" t="s">
        <v>839</v>
      </c>
      <c r="D109" s="40" t="str">
        <f>VLOOKUP(E109,Sheet3!$A$2:$D$6338,2,0)</f>
        <v>Nguyễn Thị Minh Huệ</v>
      </c>
      <c r="E109" s="157" t="s">
        <v>8388</v>
      </c>
      <c r="F109" s="157" t="str">
        <f>"VN"&amp;RIGHT(E109,5)</f>
        <v>VN06955</v>
      </c>
      <c r="G109" s="297"/>
      <c r="H109" s="41" t="s">
        <v>67</v>
      </c>
      <c r="I109" s="162">
        <v>45807</v>
      </c>
      <c r="J109" s="158"/>
      <c r="K109" s="158"/>
      <c r="L109" s="147" t="str">
        <f>VLOOKUP(E109,DS!$A$2:$E$4398, 5, 0)</f>
        <v>Dập X1</v>
      </c>
      <c r="M109" s="154"/>
      <c r="N109" s="92" t="e">
        <f>VLOOKUP(Table1[[#This Row],[USER]],[1]!Table145678910111213141545678910111213146[[#All],[No.]:[Delete]],2,0)</f>
        <v>#N/A</v>
      </c>
    </row>
    <row r="110" spans="1:14">
      <c r="A110" s="93">
        <v>106</v>
      </c>
      <c r="B110" s="94">
        <v>1</v>
      </c>
      <c r="C110" s="40" t="s">
        <v>7930</v>
      </c>
      <c r="D110" s="40" t="e">
        <f>VLOOKUP(E110,Sheet3!$A$2:$D$6338,2,0)</f>
        <v>#N/A</v>
      </c>
      <c r="E110" s="44" t="s">
        <v>8673</v>
      </c>
      <c r="F110" s="44" t="str">
        <f t="shared" si="2"/>
        <v>VN00862</v>
      </c>
      <c r="G110" s="295"/>
      <c r="H110" s="41" t="s">
        <v>67</v>
      </c>
      <c r="I110" s="95">
        <v>45421</v>
      </c>
      <c r="J110" s="122">
        <v>45951</v>
      </c>
      <c r="K110" s="122">
        <v>45960</v>
      </c>
      <c r="L110" s="147" t="e">
        <f>VLOOKUP(E110,DS!$A$2:$E$4398, 5, 0)</f>
        <v>#N/A</v>
      </c>
      <c r="M110" s="148"/>
      <c r="N110" s="92" t="e">
        <f>VLOOKUP(Table1[[#This Row],[USER]],[1]!Table145678910111213141545678910111213146[[#All],[No.]:[Delete]],2,0)</f>
        <v>#N/A</v>
      </c>
    </row>
    <row r="111" spans="1:14">
      <c r="A111" s="93">
        <v>107</v>
      </c>
      <c r="B111" s="94">
        <v>2</v>
      </c>
      <c r="C111" s="40" t="s">
        <v>7930</v>
      </c>
      <c r="D111" s="40" t="str">
        <f>VLOOKUP(E111,Sheet3!$A$2:$D$6338,2,0)</f>
        <v>Dương Hùng Mạnh</v>
      </c>
      <c r="E111" s="44" t="s">
        <v>157</v>
      </c>
      <c r="F111" s="44" t="str">
        <f t="shared" si="2"/>
        <v>VN11553</v>
      </c>
      <c r="G111" s="295"/>
      <c r="H111" s="41" t="s">
        <v>67</v>
      </c>
      <c r="I111" s="95">
        <v>45421</v>
      </c>
      <c r="J111" s="122"/>
      <c r="K111" s="122"/>
      <c r="L111" s="147" t="str">
        <f>VLOOKUP(E111,DS!$A$2:$E$4398, 5, 0)</f>
        <v>Sơn X1</v>
      </c>
      <c r="M111" s="148"/>
      <c r="N111" s="92" t="e">
        <f>VLOOKUP(Table1[[#This Row],[USER]],[1]!Table145678910111213141545678910111213146[[#All],[No.]:[Delete]],2,0)</f>
        <v>#N/A</v>
      </c>
    </row>
    <row r="112" spans="1:14">
      <c r="A112" s="93">
        <v>108</v>
      </c>
      <c r="B112" s="94">
        <v>3</v>
      </c>
      <c r="C112" s="40" t="s">
        <v>7930</v>
      </c>
      <c r="D112" s="40" t="str">
        <f>VLOOKUP(E112,Sheet3!$A$2:$D$6338,2,0)</f>
        <v>Nguyễn Thị Trang</v>
      </c>
      <c r="E112" s="44" t="s">
        <v>158</v>
      </c>
      <c r="F112" s="44" t="str">
        <f t="shared" si="2"/>
        <v>VN11064</v>
      </c>
      <c r="G112" s="295"/>
      <c r="H112" s="41" t="s">
        <v>67</v>
      </c>
      <c r="I112" s="95">
        <v>45421</v>
      </c>
      <c r="J112" s="122"/>
      <c r="K112" s="122"/>
      <c r="L112" s="147" t="str">
        <f>VLOOKUP(E112,DS!$A$2:$E$4398, 5, 0)</f>
        <v>Sơn X1</v>
      </c>
      <c r="M112" s="148"/>
      <c r="N112" s="92" t="e">
        <f>VLOOKUP(Table1[[#This Row],[USER]],[1]!Table145678910111213141545678910111213146[[#All],[No.]:[Delete]],2,0)</f>
        <v>#N/A</v>
      </c>
    </row>
    <row r="113" spans="1:14">
      <c r="A113" s="93">
        <v>109</v>
      </c>
      <c r="B113" s="94">
        <v>4</v>
      </c>
      <c r="C113" s="40" t="s">
        <v>7930</v>
      </c>
      <c r="D113" s="40" t="str">
        <f>VLOOKUP(E113,Sheet3!$A$2:$D$6338,2,0)</f>
        <v>Trần Mạnh Tiến</v>
      </c>
      <c r="E113" s="44" t="s">
        <v>159</v>
      </c>
      <c r="F113" s="44" t="str">
        <f t="shared" si="2"/>
        <v>VN09567</v>
      </c>
      <c r="G113" s="295"/>
      <c r="H113" s="41" t="s">
        <v>67</v>
      </c>
      <c r="I113" s="95">
        <v>45421</v>
      </c>
      <c r="J113" s="122"/>
      <c r="K113" s="122"/>
      <c r="L113" s="147" t="str">
        <f>VLOOKUP(E113,DS!$A$2:$E$4398, 5, 0)</f>
        <v>Sơn X1</v>
      </c>
      <c r="M113" s="148"/>
      <c r="N113" s="92" t="e">
        <f>VLOOKUP(Table1[[#This Row],[USER]],[1]!Table145678910111213141545678910111213146[[#All],[No.]:[Delete]],2,0)</f>
        <v>#N/A</v>
      </c>
    </row>
    <row r="114" spans="1:14">
      <c r="A114" s="93">
        <v>109</v>
      </c>
      <c r="B114" s="94">
        <v>4</v>
      </c>
      <c r="C114" s="40" t="s">
        <v>7930</v>
      </c>
      <c r="D114" s="40" t="str">
        <f>VLOOKUP(E114,Sheet3!$A$2:$D$6338,2,0)</f>
        <v>Hoàng Văn Hà</v>
      </c>
      <c r="E114" s="218" t="s">
        <v>8674</v>
      </c>
      <c r="F114" s="218" t="str">
        <f>"VN"&amp;RIGHT(E114,5)</f>
        <v>VN11367</v>
      </c>
      <c r="G114" s="300"/>
      <c r="H114" s="41" t="s">
        <v>67</v>
      </c>
      <c r="I114" s="219">
        <v>45919</v>
      </c>
      <c r="J114" s="220"/>
      <c r="K114" s="220"/>
      <c r="L114" s="220" t="str">
        <f>VLOOKUP(E114,DS!$A$2:$E$4398, 5, 0)</f>
        <v>Sơn X1</v>
      </c>
      <c r="M114" s="221"/>
      <c r="N114" s="92" t="e">
        <f>VLOOKUP(Table1[[#This Row],[USER]],[1]!Table145678910111213141545678910111213146[[#All],[No.]:[Delete]],2,0)</f>
        <v>#N/A</v>
      </c>
    </row>
    <row r="115" spans="1:14">
      <c r="A115" s="93">
        <v>110</v>
      </c>
      <c r="B115" s="94">
        <v>5</v>
      </c>
      <c r="C115" s="40" t="s">
        <v>7930</v>
      </c>
      <c r="D115" s="40" t="e">
        <f>VLOOKUP(E115,Sheet3!$A$2:$D$6338,2,0)</f>
        <v>#N/A</v>
      </c>
      <c r="E115" s="44" t="s">
        <v>160</v>
      </c>
      <c r="F115" s="44" t="s">
        <v>161</v>
      </c>
      <c r="G115" s="295"/>
      <c r="H115" s="41" t="s">
        <v>67</v>
      </c>
      <c r="I115" s="95">
        <v>45421</v>
      </c>
      <c r="J115" s="122"/>
      <c r="K115" s="122"/>
      <c r="L115" s="147" t="e">
        <f>VLOOKUP(E115,DS!$A$2:$E$4398, 5, 0)</f>
        <v>#N/A</v>
      </c>
      <c r="M115" s="148"/>
      <c r="N115" s="92" t="e">
        <f>VLOOKUP(Table1[[#This Row],[USER]],[1]!Table145678910111213141545678910111213146[[#All],[No.]:[Delete]],2,0)</f>
        <v>#N/A</v>
      </c>
    </row>
    <row r="116" spans="1:14">
      <c r="A116" s="93">
        <v>111</v>
      </c>
      <c r="B116" s="94">
        <v>6</v>
      </c>
      <c r="C116" s="40" t="s">
        <v>7930</v>
      </c>
      <c r="D116" s="40" t="str">
        <f>VLOOKUP(E116,Sheet3!$A$2:$D$6338,2,0)</f>
        <v>Nguyễn Văn Thịnh</v>
      </c>
      <c r="E116" s="44" t="s">
        <v>162</v>
      </c>
      <c r="F116" s="44" t="str">
        <f t="shared" si="2"/>
        <v>VN20055</v>
      </c>
      <c r="G116" s="295"/>
      <c r="H116" s="41" t="s">
        <v>67</v>
      </c>
      <c r="I116" s="95">
        <v>45421</v>
      </c>
      <c r="J116" s="122">
        <v>45806</v>
      </c>
      <c r="K116" s="122">
        <v>45806</v>
      </c>
      <c r="L116" s="147" t="e">
        <f>VLOOKUP(E116,DS!$A$2:$E$4398, 5, 0)</f>
        <v>#N/A</v>
      </c>
      <c r="M116" s="148"/>
      <c r="N116" s="92" t="e">
        <f>VLOOKUP(Table1[[#This Row],[USER]],[1]!Table145678910111213141545678910111213146[[#All],[No.]:[Delete]],2,0)</f>
        <v>#N/A</v>
      </c>
    </row>
    <row r="117" spans="1:14">
      <c r="A117" s="93">
        <v>112</v>
      </c>
      <c r="B117" s="94">
        <v>7</v>
      </c>
      <c r="C117" s="40" t="s">
        <v>7810</v>
      </c>
      <c r="D117" s="40" t="str">
        <f>VLOOKUP(E117,Sheet3!$A$2:$D$6338,2,0)</f>
        <v>Nguyễn Văn Tùng</v>
      </c>
      <c r="E117" s="44" t="s">
        <v>163</v>
      </c>
      <c r="F117" s="44" t="str">
        <f t="shared" si="2"/>
        <v>VN08605</v>
      </c>
      <c r="G117" s="295"/>
      <c r="H117" s="41" t="s">
        <v>67</v>
      </c>
      <c r="I117" s="95">
        <v>45421</v>
      </c>
      <c r="J117" s="122"/>
      <c r="K117" s="122"/>
      <c r="L117" s="147" t="str">
        <f>VLOOKUP(E117,DS!$A$2:$E$4398, 5, 0)</f>
        <v>Xi mạ</v>
      </c>
      <c r="M117" s="148"/>
      <c r="N117" s="92" t="e">
        <f>VLOOKUP(Table1[[#This Row],[USER]],[1]!Table145678910111213141545678910111213146[[#All],[No.]:[Delete]],2,0)</f>
        <v>#N/A</v>
      </c>
    </row>
    <row r="118" spans="1:14">
      <c r="A118" s="93">
        <v>113</v>
      </c>
      <c r="B118" s="94">
        <v>1</v>
      </c>
      <c r="C118" s="40" t="s">
        <v>7931</v>
      </c>
      <c r="D118" s="40" t="str">
        <f>VLOOKUP(E118,Sheet3!$A$2:$D$6338,2,0)</f>
        <v>Đỗ Văn Hạnh</v>
      </c>
      <c r="E118" s="44" t="s">
        <v>164</v>
      </c>
      <c r="F118" s="44" t="str">
        <f t="shared" si="2"/>
        <v>VN00125</v>
      </c>
      <c r="G118" s="295"/>
      <c r="H118" s="41" t="s">
        <v>67</v>
      </c>
      <c r="I118" s="95">
        <v>45421</v>
      </c>
      <c r="J118" s="122"/>
      <c r="K118" s="122"/>
      <c r="L118" s="147" t="str">
        <f>VLOOKUP(E118,DS!$A$2:$E$4398, 5, 0)</f>
        <v>QLK</v>
      </c>
      <c r="M118" s="148"/>
      <c r="N118" s="92" t="e">
        <f>VLOOKUP(Table1[[#This Row],[USER]],[1]!Table145678910111213141545678910111213146[[#All],[No.]:[Delete]],2,0)</f>
        <v>#N/A</v>
      </c>
    </row>
    <row r="119" spans="1:14">
      <c r="A119" s="93">
        <v>114</v>
      </c>
      <c r="B119" s="94">
        <v>2</v>
      </c>
      <c r="C119" s="40" t="s">
        <v>7931</v>
      </c>
      <c r="D119" s="40" t="str">
        <f>VLOOKUP(E119,Sheet3!$A$2:$D$6338,2,0)</f>
        <v>Đặng Thị Ánh Sao</v>
      </c>
      <c r="E119" s="44" t="s">
        <v>165</v>
      </c>
      <c r="F119" s="44" t="str">
        <f t="shared" si="2"/>
        <v>VN00807</v>
      </c>
      <c r="G119" s="295"/>
      <c r="H119" s="41" t="s">
        <v>67</v>
      </c>
      <c r="I119" s="95">
        <v>45421</v>
      </c>
      <c r="J119" s="122"/>
      <c r="K119" s="122"/>
      <c r="L119" s="147" t="str">
        <f>VLOOKUP(E119,DS!$A$2:$E$4398, 5, 0)</f>
        <v>QLK</v>
      </c>
      <c r="M119" s="148"/>
      <c r="N119" s="92" t="e">
        <f>VLOOKUP(Table1[[#This Row],[USER]],[1]!Table145678910111213141545678910111213146[[#All],[No.]:[Delete]],2,0)</f>
        <v>#N/A</v>
      </c>
    </row>
    <row r="120" spans="1:14">
      <c r="A120" s="93">
        <v>115</v>
      </c>
      <c r="B120" s="94">
        <v>3</v>
      </c>
      <c r="C120" s="40" t="s">
        <v>7931</v>
      </c>
      <c r="D120" s="40" t="str">
        <f>VLOOKUP(E120,Sheet3!$A$2:$D$6338,2,0)</f>
        <v>Nguyễn Văn Minh</v>
      </c>
      <c r="E120" s="44" t="s">
        <v>8382</v>
      </c>
      <c r="F120" s="44" t="str">
        <f t="shared" si="2"/>
        <v>VN17908</v>
      </c>
      <c r="G120" s="295"/>
      <c r="H120" s="41" t="s">
        <v>67</v>
      </c>
      <c r="I120" s="95">
        <v>45421</v>
      </c>
      <c r="J120" s="122">
        <v>45876</v>
      </c>
      <c r="K120" s="122">
        <v>45876</v>
      </c>
      <c r="L120" s="147" t="e">
        <f>VLOOKUP(E120,DS!$A$2:$E$4398, 5, 0)</f>
        <v>#N/A</v>
      </c>
      <c r="M120" s="148"/>
      <c r="N120" s="92" t="e">
        <f>VLOOKUP(Table1[[#This Row],[USER]],[1]!Table145678910111213141545678910111213146[[#All],[No.]:[Delete]],2,0)</f>
        <v>#N/A</v>
      </c>
    </row>
    <row r="121" spans="1:14">
      <c r="A121" s="93">
        <v>116</v>
      </c>
      <c r="B121" s="94">
        <v>4</v>
      </c>
      <c r="C121" s="40" t="s">
        <v>7931</v>
      </c>
      <c r="D121" s="40" t="str">
        <f>VLOOKUP(E121,Sheet3!$A$2:$D$6338,2,0)</f>
        <v>Nguyễn Thị Loan</v>
      </c>
      <c r="E121" s="44" t="s">
        <v>7802</v>
      </c>
      <c r="F121" s="44" t="str">
        <f t="shared" si="2"/>
        <v>VN03042</v>
      </c>
      <c r="G121" s="295"/>
      <c r="H121" s="41" t="s">
        <v>67</v>
      </c>
      <c r="I121" s="95">
        <v>45421</v>
      </c>
      <c r="J121" s="122"/>
      <c r="K121" s="122"/>
      <c r="L121" s="147" t="str">
        <f>VLOOKUP(E121,DS!$A$2:$E$4398, 5, 0)</f>
        <v>QLK</v>
      </c>
      <c r="M121" s="148"/>
      <c r="N121" s="92" t="e">
        <f>VLOOKUP(Table1[[#This Row],[USER]],[1]!Table145678910111213141545678910111213146[[#All],[No.]:[Delete]],2,0)</f>
        <v>#N/A</v>
      </c>
    </row>
    <row r="122" spans="1:14">
      <c r="A122" s="93">
        <v>117</v>
      </c>
      <c r="B122" s="94">
        <v>1</v>
      </c>
      <c r="C122" s="40" t="s">
        <v>7932</v>
      </c>
      <c r="D122" s="40" t="str">
        <f>VLOOKUP(E122,Sheet3!$A$2:$D$6338,2,0)</f>
        <v>Nguyễn Thị Thanh Huyền</v>
      </c>
      <c r="E122" s="44" t="s">
        <v>167</v>
      </c>
      <c r="F122" s="44" t="str">
        <f t="shared" si="2"/>
        <v>VN00987</v>
      </c>
      <c r="G122" s="295"/>
      <c r="H122" s="41" t="s">
        <v>67</v>
      </c>
      <c r="I122" s="95">
        <v>45432</v>
      </c>
      <c r="J122" s="122"/>
      <c r="K122" s="122"/>
      <c r="L122" s="147" t="str">
        <f>VLOOKUP(E122,DS!$A$2:$E$4398, 5, 0)</f>
        <v>Sơn X3</v>
      </c>
      <c r="M122" s="148"/>
      <c r="N122" s="92" t="e">
        <f>VLOOKUP(Table1[[#This Row],[USER]],[1]!Table145678910111213141545678910111213146[[#All],[No.]:[Delete]],2,0)</f>
        <v>#N/A</v>
      </c>
    </row>
    <row r="123" spans="1:14">
      <c r="A123" s="93">
        <v>118</v>
      </c>
      <c r="B123" s="94">
        <v>2</v>
      </c>
      <c r="C123" s="40" t="s">
        <v>7932</v>
      </c>
      <c r="D123" s="40" t="str">
        <f>VLOOKUP(E123,Sheet3!$A$2:$D$6338,2,0)</f>
        <v>Đỗ Thị Liên</v>
      </c>
      <c r="E123" s="44" t="s">
        <v>168</v>
      </c>
      <c r="F123" s="44" t="str">
        <f t="shared" si="2"/>
        <v>VN05539</v>
      </c>
      <c r="G123" s="295"/>
      <c r="H123" s="41" t="s">
        <v>67</v>
      </c>
      <c r="I123" s="95">
        <v>45432</v>
      </c>
      <c r="J123" s="122"/>
      <c r="K123" s="122"/>
      <c r="L123" s="147" t="str">
        <f>VLOOKUP(E123,DS!$A$2:$E$4398, 5, 0)</f>
        <v>Sơn ED</v>
      </c>
      <c r="M123" s="148"/>
      <c r="N123" s="92" t="e">
        <f>VLOOKUP(Table1[[#This Row],[USER]],[1]!Table145678910111213141545678910111213146[[#All],[No.]:[Delete]],2,0)</f>
        <v>#N/A</v>
      </c>
    </row>
    <row r="124" spans="1:14">
      <c r="A124" s="93">
        <v>119</v>
      </c>
      <c r="B124" s="94">
        <v>3</v>
      </c>
      <c r="C124" s="40" t="s">
        <v>7932</v>
      </c>
      <c r="D124" s="40" t="str">
        <f>VLOOKUP(E124,Sheet3!$A$2:$D$6338,2,0)</f>
        <v>Trần Thị Hà</v>
      </c>
      <c r="E124" s="44" t="s">
        <v>169</v>
      </c>
      <c r="F124" s="44" t="str">
        <f t="shared" si="2"/>
        <v>VN09592</v>
      </c>
      <c r="G124" s="295"/>
      <c r="H124" s="41" t="s">
        <v>67</v>
      </c>
      <c r="I124" s="95">
        <v>45432</v>
      </c>
      <c r="J124" s="122"/>
      <c r="K124" s="122"/>
      <c r="L124" s="147" t="str">
        <f>VLOOKUP(E124,DS!$A$2:$E$4398, 5, 0)</f>
        <v>Sơn ED</v>
      </c>
      <c r="M124" s="148"/>
      <c r="N124" s="92" t="e">
        <f>VLOOKUP(Table1[[#This Row],[USER]],[1]!Table145678910111213141545678910111213146[[#All],[No.]:[Delete]],2,0)</f>
        <v>#N/A</v>
      </c>
    </row>
    <row r="125" spans="1:14">
      <c r="A125" s="93">
        <v>120</v>
      </c>
      <c r="B125" s="94">
        <v>4</v>
      </c>
      <c r="C125" s="40" t="s">
        <v>7932</v>
      </c>
      <c r="D125" s="40" t="str">
        <f>VLOOKUP(E125,Sheet3!$A$2:$D$6338,2,0)</f>
        <v>Trịnh Thị Thoa</v>
      </c>
      <c r="E125" s="44" t="s">
        <v>170</v>
      </c>
      <c r="F125" s="44" t="str">
        <f t="shared" si="2"/>
        <v>VN10613</v>
      </c>
      <c r="G125" s="295"/>
      <c r="H125" s="41" t="s">
        <v>67</v>
      </c>
      <c r="I125" s="95">
        <v>45432</v>
      </c>
      <c r="J125" s="122"/>
      <c r="K125" s="122"/>
      <c r="L125" s="147" t="str">
        <f>VLOOKUP(E125,DS!$A$2:$E$4398, 5, 0)</f>
        <v>Sơn X3</v>
      </c>
      <c r="M125" s="148"/>
      <c r="N125" s="92" t="e">
        <f>VLOOKUP(Table1[[#This Row],[USER]],[1]!Table145678910111213141545678910111213146[[#All],[No.]:[Delete]],2,0)</f>
        <v>#N/A</v>
      </c>
    </row>
    <row r="126" spans="1:14">
      <c r="A126" s="93">
        <v>121</v>
      </c>
      <c r="B126" s="94">
        <v>5</v>
      </c>
      <c r="C126" s="40" t="s">
        <v>7932</v>
      </c>
      <c r="D126" s="40" t="str">
        <f>VLOOKUP(E126,Sheet3!$A$2:$D$6338,2,0)</f>
        <v>Trần Thị Thuý</v>
      </c>
      <c r="E126" s="44" t="s">
        <v>171</v>
      </c>
      <c r="F126" s="44" t="str">
        <f t="shared" si="2"/>
        <v>VN01187</v>
      </c>
      <c r="G126" s="295"/>
      <c r="H126" s="41" t="s">
        <v>67</v>
      </c>
      <c r="I126" s="95">
        <v>45432</v>
      </c>
      <c r="J126" s="122"/>
      <c r="K126" s="122"/>
      <c r="L126" s="147" t="str">
        <f>VLOOKUP(E126,DS!$A$2:$E$4398, 5, 0)</f>
        <v>Sơn X3</v>
      </c>
      <c r="M126" s="148"/>
      <c r="N126" s="92" t="e">
        <f>VLOOKUP(Table1[[#This Row],[USER]],[1]!Table145678910111213141545678910111213146[[#All],[No.]:[Delete]],2,0)</f>
        <v>#N/A</v>
      </c>
    </row>
    <row r="127" spans="1:14">
      <c r="A127" s="93">
        <v>122</v>
      </c>
      <c r="B127" s="94">
        <v>6</v>
      </c>
      <c r="C127" s="40" t="s">
        <v>7932</v>
      </c>
      <c r="D127" s="40" t="str">
        <f>VLOOKUP(E127,Sheet3!$A$2:$D$6338,2,0)</f>
        <v>Phùng Thị Hà</v>
      </c>
      <c r="E127" s="44" t="s">
        <v>172</v>
      </c>
      <c r="F127" s="44" t="str">
        <f t="shared" si="2"/>
        <v>VN00811</v>
      </c>
      <c r="G127" s="295"/>
      <c r="H127" s="41" t="s">
        <v>67</v>
      </c>
      <c r="I127" s="95">
        <v>45432</v>
      </c>
      <c r="J127" s="122"/>
      <c r="K127" s="122"/>
      <c r="L127" s="147" t="str">
        <f>VLOOKUP(E127,DS!$A$2:$E$4398, 5, 0)</f>
        <v>Sơn X3</v>
      </c>
      <c r="M127" s="148"/>
      <c r="N127" s="92" t="e">
        <f>VLOOKUP(Table1[[#This Row],[USER]],[1]!Table145678910111213141545678910111213146[[#All],[No.]:[Delete]],2,0)</f>
        <v>#N/A</v>
      </c>
    </row>
    <row r="128" spans="1:14">
      <c r="A128" s="93">
        <v>123</v>
      </c>
      <c r="B128" s="94">
        <v>7</v>
      </c>
      <c r="C128" s="40" t="s">
        <v>7932</v>
      </c>
      <c r="D128" s="40" t="str">
        <f>VLOOKUP(E128,Sheet3!$A$2:$D$6338,2,0)</f>
        <v>Bùi Văn Việt</v>
      </c>
      <c r="E128" s="44" t="s">
        <v>173</v>
      </c>
      <c r="F128" s="44" t="str">
        <f t="shared" si="2"/>
        <v>VN00895</v>
      </c>
      <c r="G128" s="295"/>
      <c r="H128" s="41" t="s">
        <v>67</v>
      </c>
      <c r="I128" s="95">
        <v>45432</v>
      </c>
      <c r="J128" s="122"/>
      <c r="K128" s="122"/>
      <c r="L128" s="147" t="str">
        <f>VLOOKUP(E128,DS!$A$2:$E$4398, 5, 0)</f>
        <v>Sơn X3</v>
      </c>
      <c r="M128" s="148"/>
      <c r="N128" s="92" t="e">
        <f>VLOOKUP(Table1[[#This Row],[USER]],[1]!Table145678910111213141545678910111213146[[#All],[No.]:[Delete]],2,0)</f>
        <v>#N/A</v>
      </c>
    </row>
    <row r="129" spans="1:14">
      <c r="A129" s="93">
        <v>124</v>
      </c>
      <c r="B129" s="94">
        <v>8</v>
      </c>
      <c r="C129" s="40" t="s">
        <v>7932</v>
      </c>
      <c r="D129" s="40" t="str">
        <f>VLOOKUP(E129,Sheet3!$A$2:$D$6338,2,0)</f>
        <v>Bùi Văn Tuấn</v>
      </c>
      <c r="E129" s="44" t="s">
        <v>816</v>
      </c>
      <c r="F129" s="44" t="str">
        <f>"VN"&amp;RIGHT(E129,5)</f>
        <v>VN04254</v>
      </c>
      <c r="G129" s="295"/>
      <c r="H129" s="41" t="s">
        <v>67</v>
      </c>
      <c r="I129" s="95">
        <v>45457</v>
      </c>
      <c r="J129" s="122"/>
      <c r="K129" s="122"/>
      <c r="L129" s="147" t="str">
        <f>VLOOKUP(E129,DS!$A$2:$E$4398, 5, 0)</f>
        <v>Sơn ED</v>
      </c>
      <c r="M129" s="148"/>
      <c r="N129" s="92" t="e">
        <f>VLOOKUP(Table1[[#This Row],[USER]],[1]!Table145678910111213141545678910111213146[[#All],[No.]:[Delete]],2,0)</f>
        <v>#N/A</v>
      </c>
    </row>
    <row r="130" spans="1:14">
      <c r="A130" s="93">
        <v>125</v>
      </c>
      <c r="B130" s="94">
        <v>1</v>
      </c>
      <c r="C130" s="40" t="s">
        <v>7933</v>
      </c>
      <c r="D130" s="40" t="str">
        <f>VLOOKUP(E130,Sheet3!$A$2:$D$6338,2,0)</f>
        <v>Nguyễn Thế Anh</v>
      </c>
      <c r="E130" s="44" t="s">
        <v>166</v>
      </c>
      <c r="F130" s="44" t="str">
        <f t="shared" si="2"/>
        <v>VN00844</v>
      </c>
      <c r="G130" s="295"/>
      <c r="H130" s="41" t="s">
        <v>67</v>
      </c>
      <c r="I130" s="95">
        <v>45421</v>
      </c>
      <c r="J130" s="122"/>
      <c r="K130" s="122"/>
      <c r="L130" s="147" t="str">
        <f>VLOOKUP(E130,DS!$A$2:$E$4398, 5, 0)</f>
        <v>QLK</v>
      </c>
      <c r="M130" s="148"/>
      <c r="N130" s="92" t="e">
        <f>VLOOKUP(Table1[[#This Row],[USER]],[1]!Table145678910111213141545678910111213146[[#All],[No.]:[Delete]],2,0)</f>
        <v>#N/A</v>
      </c>
    </row>
    <row r="131" spans="1:14">
      <c r="A131" s="93">
        <v>126</v>
      </c>
      <c r="B131" s="94">
        <v>2</v>
      </c>
      <c r="C131" s="40" t="s">
        <v>7933</v>
      </c>
      <c r="D131" s="40" t="str">
        <f>VLOOKUP(E131,Sheet3!$A$2:$D$6338,2,0)</f>
        <v>Lê Thị Thuý</v>
      </c>
      <c r="E131" s="44" t="s">
        <v>814</v>
      </c>
      <c r="F131" s="44" t="str">
        <f t="shared" si="2"/>
        <v>VN05077</v>
      </c>
      <c r="G131" s="295"/>
      <c r="H131" s="41" t="s">
        <v>67</v>
      </c>
      <c r="I131" s="95">
        <v>45421</v>
      </c>
      <c r="J131" s="122"/>
      <c r="K131" s="122"/>
      <c r="L131" s="147" t="str">
        <f>VLOOKUP(E131,DS!$A$2:$E$4398, 5, 0)</f>
        <v>QLK</v>
      </c>
      <c r="M131" s="148"/>
      <c r="N131" s="92" t="e">
        <f>VLOOKUP(Table1[[#This Row],[USER]],[1]!Table145678910111213141545678910111213146[[#All],[No.]:[Delete]],2,0)</f>
        <v>#N/A</v>
      </c>
    </row>
    <row r="132" spans="1:14">
      <c r="A132" s="93">
        <v>127</v>
      </c>
      <c r="B132" s="94">
        <v>3</v>
      </c>
      <c r="C132" s="40" t="s">
        <v>7933</v>
      </c>
      <c r="D132" s="40" t="str">
        <f>VLOOKUP(E132,Sheet3!$A$2:$D$6338,2,0)</f>
        <v>Dư Văn Hùng</v>
      </c>
      <c r="E132" s="44" t="s">
        <v>811</v>
      </c>
      <c r="F132" s="44" t="str">
        <f t="shared" si="2"/>
        <v>VN03387</v>
      </c>
      <c r="G132" s="295"/>
      <c r="H132" s="41" t="s">
        <v>67</v>
      </c>
      <c r="I132" s="95">
        <v>45432</v>
      </c>
      <c r="J132" s="122"/>
      <c r="K132" s="122"/>
      <c r="L132" s="147" t="str">
        <f>VLOOKUP(E132,DS!$A$2:$E$4398, 5, 0)</f>
        <v>QLK</v>
      </c>
      <c r="M132" s="148"/>
      <c r="N132" s="92" t="e">
        <f>VLOOKUP(Table1[[#This Row],[USER]],[1]!Table145678910111213141545678910111213146[[#All],[No.]:[Delete]],2,0)</f>
        <v>#N/A</v>
      </c>
    </row>
    <row r="133" spans="1:14">
      <c r="A133" s="93">
        <v>128</v>
      </c>
      <c r="B133" s="94">
        <v>4</v>
      </c>
      <c r="C133" s="40" t="s">
        <v>7933</v>
      </c>
      <c r="D133" s="40" t="str">
        <f>VLOOKUP(E133,Sheet3!$A$2:$D$6338,2,0)</f>
        <v>Lê Thị Thuỳ</v>
      </c>
      <c r="E133" s="44" t="s">
        <v>176</v>
      </c>
      <c r="F133" s="44" t="str">
        <f t="shared" si="2"/>
        <v>VN02630</v>
      </c>
      <c r="G133" s="295"/>
      <c r="H133" s="41" t="s">
        <v>67</v>
      </c>
      <c r="I133" s="95">
        <v>45432</v>
      </c>
      <c r="J133" s="122"/>
      <c r="K133" s="122"/>
      <c r="L133" s="147" t="str">
        <f>VLOOKUP(E133,DS!$A$2:$E$4398, 5, 0)</f>
        <v>QLK</v>
      </c>
      <c r="M133" s="148"/>
      <c r="N133" s="92" t="e">
        <f>VLOOKUP(Table1[[#This Row],[USER]],[1]!Table145678910111213141545678910111213146[[#All],[No.]:[Delete]],2,0)</f>
        <v>#N/A</v>
      </c>
    </row>
    <row r="134" spans="1:14">
      <c r="A134" s="93">
        <v>129</v>
      </c>
      <c r="B134" s="94">
        <v>5</v>
      </c>
      <c r="C134" s="40" t="s">
        <v>7933</v>
      </c>
      <c r="D134" s="40" t="str">
        <f>VLOOKUP(E134,Sheet3!$A$2:$D$6338,2,0)</f>
        <v>Nguyễn Hữu Đoàn</v>
      </c>
      <c r="E134" s="44" t="s">
        <v>175</v>
      </c>
      <c r="F134" s="44" t="str">
        <f t="shared" si="2"/>
        <v>VN01787</v>
      </c>
      <c r="G134" s="295"/>
      <c r="H134" s="41" t="s">
        <v>67</v>
      </c>
      <c r="I134" s="95">
        <v>45437</v>
      </c>
      <c r="J134" s="122"/>
      <c r="K134" s="122"/>
      <c r="L134" s="147" t="str">
        <f>VLOOKUP(E134,DS!$A$2:$E$4398, 5, 0)</f>
        <v>QLK</v>
      </c>
      <c r="M134" s="148"/>
      <c r="N134" s="92" t="e">
        <f>VLOOKUP(Table1[[#This Row],[USER]],[1]!Table145678910111213141545678910111213146[[#All],[No.]:[Delete]],2,0)</f>
        <v>#N/A</v>
      </c>
    </row>
    <row r="135" spans="1:14">
      <c r="A135" s="222">
        <v>129</v>
      </c>
      <c r="B135" s="172">
        <v>5</v>
      </c>
      <c r="C135" s="223" t="s">
        <v>7933</v>
      </c>
      <c r="D135" s="40" t="str">
        <f>VLOOKUP(E135,Sheet3!$A$2:$D$6338,2,0)</f>
        <v>Chu Thị Mến</v>
      </c>
      <c r="E135" s="218" t="s">
        <v>8662</v>
      </c>
      <c r="F135" s="218" t="str">
        <f>"VN"&amp;RIGHT(E135,5)</f>
        <v>VN24123</v>
      </c>
      <c r="G135" s="300"/>
      <c r="H135" s="41" t="s">
        <v>67</v>
      </c>
      <c r="I135" s="225">
        <v>45456</v>
      </c>
      <c r="J135" s="220"/>
      <c r="K135" s="220"/>
      <c r="L135" s="220" t="str">
        <f>VLOOKUP(E135,DS!$A$2:$E$4398, 5, 0)</f>
        <v>QLK</v>
      </c>
      <c r="M135" s="221"/>
      <c r="N135" s="92" t="e">
        <f>VLOOKUP(Table1[[#This Row],[USER]],[1]!Table145678910111213141545678910111213146[[#All],[No.]:[Delete]],2,0)</f>
        <v>#N/A</v>
      </c>
    </row>
    <row r="136" spans="1:14">
      <c r="A136" s="93">
        <v>131</v>
      </c>
      <c r="B136" s="94">
        <v>1</v>
      </c>
      <c r="C136" s="40" t="s">
        <v>856</v>
      </c>
      <c r="D136" s="40" t="str">
        <f>VLOOKUP(E136,Sheet3!$A$2:$D$6338,2,0)</f>
        <v>Khổng Thị Thanh Tú</v>
      </c>
      <c r="E136" s="44" t="s">
        <v>179</v>
      </c>
      <c r="F136" s="44" t="str">
        <f t="shared" si="2"/>
        <v>VN03441</v>
      </c>
      <c r="G136" s="295"/>
      <c r="H136" s="41" t="s">
        <v>67</v>
      </c>
      <c r="I136" s="95">
        <v>45432</v>
      </c>
      <c r="J136" s="122"/>
      <c r="K136" s="122"/>
      <c r="L136" s="147" t="str">
        <f>VLOOKUP(E136,DS!$A$2:$E$4398, 5, 0)</f>
        <v>Lắp ráp</v>
      </c>
      <c r="M136" s="148"/>
      <c r="N136" s="92" t="e">
        <f>VLOOKUP(Table1[[#This Row],[USER]],[1]!Table145678910111213141545678910111213146[[#All],[No.]:[Delete]],2,0)</f>
        <v>#N/A</v>
      </c>
    </row>
    <row r="137" spans="1:14">
      <c r="A137" s="93">
        <v>132</v>
      </c>
      <c r="B137" s="94">
        <v>2</v>
      </c>
      <c r="C137" s="40" t="s">
        <v>7934</v>
      </c>
      <c r="D137" s="40" t="str">
        <f>VLOOKUP(E137,Sheet3!$A$2:$D$6338,2,0)</f>
        <v>Nguyễn Thị Thuận</v>
      </c>
      <c r="E137" s="44" t="s">
        <v>181</v>
      </c>
      <c r="F137" s="44" t="str">
        <f t="shared" si="2"/>
        <v>VN19230</v>
      </c>
      <c r="G137" s="295"/>
      <c r="H137" s="41" t="s">
        <v>67</v>
      </c>
      <c r="I137" s="95">
        <v>45432</v>
      </c>
      <c r="J137" s="122"/>
      <c r="K137" s="122"/>
      <c r="L137" s="147" t="str">
        <f>VLOOKUP(E137,DS!$A$2:$E$4398, 5, 0)</f>
        <v>Cắt X3</v>
      </c>
      <c r="M137" s="148"/>
      <c r="N137" s="92" t="e">
        <f>VLOOKUP(Table1[[#This Row],[USER]],[1]!Table145678910111213141545678910111213146[[#All],[No.]:[Delete]],2,0)</f>
        <v>#N/A</v>
      </c>
    </row>
    <row r="138" spans="1:14">
      <c r="A138" s="93">
        <v>133</v>
      </c>
      <c r="B138" s="94">
        <v>3</v>
      </c>
      <c r="C138" s="40" t="s">
        <v>7934</v>
      </c>
      <c r="D138" s="40" t="str">
        <f>VLOOKUP(E138,Sheet3!$A$2:$D$6338,2,0)</f>
        <v>Nguyễn Văn Sơn</v>
      </c>
      <c r="E138" s="44" t="s">
        <v>182</v>
      </c>
      <c r="F138" s="44" t="str">
        <f t="shared" si="2"/>
        <v>VN08917</v>
      </c>
      <c r="G138" s="295"/>
      <c r="H138" s="41" t="s">
        <v>67</v>
      </c>
      <c r="I138" s="95">
        <v>45432</v>
      </c>
      <c r="J138" s="122"/>
      <c r="K138" s="122"/>
      <c r="L138" s="147" t="str">
        <f>VLOOKUP(E138,DS!$A$2:$E$4398, 5, 0)</f>
        <v>Cắt X3</v>
      </c>
      <c r="M138" s="148"/>
      <c r="N138" s="92" t="e">
        <f>VLOOKUP(Table1[[#This Row],[USER]],[1]!Table145678910111213141545678910111213146[[#All],[No.]:[Delete]],2,0)</f>
        <v>#N/A</v>
      </c>
    </row>
    <row r="139" spans="1:14">
      <c r="A139" s="93">
        <v>134</v>
      </c>
      <c r="B139" s="94">
        <v>4</v>
      </c>
      <c r="C139" s="40" t="s">
        <v>7934</v>
      </c>
      <c r="D139" s="40" t="str">
        <f>VLOOKUP(E139,Sheet3!$A$2:$D$6338,2,0)</f>
        <v>Lâm Thị Hiền</v>
      </c>
      <c r="E139" s="44" t="s">
        <v>183</v>
      </c>
      <c r="F139" s="44" t="str">
        <f t="shared" ref="F139:F174" si="3">"VN"&amp;RIGHT(E139,5)</f>
        <v>VN02857</v>
      </c>
      <c r="G139" s="295"/>
      <c r="H139" s="41" t="s">
        <v>67</v>
      </c>
      <c r="I139" s="95">
        <v>45432</v>
      </c>
      <c r="J139" s="122"/>
      <c r="K139" s="122"/>
      <c r="L139" s="147" t="str">
        <f>VLOOKUP(E139,DS!$A$2:$E$4398, 5, 0)</f>
        <v>Cắt X3</v>
      </c>
      <c r="M139" s="148"/>
      <c r="N139" s="92" t="e">
        <f>VLOOKUP(Table1[[#This Row],[USER]],[1]!Table145678910111213141545678910111213146[[#All],[No.]:[Delete]],2,0)</f>
        <v>#N/A</v>
      </c>
    </row>
    <row r="140" spans="1:14">
      <c r="A140" s="93">
        <v>135</v>
      </c>
      <c r="B140" s="156"/>
      <c r="C140" s="40" t="s">
        <v>7931</v>
      </c>
      <c r="D140" s="40" t="str">
        <f>VLOOKUP(E140,Sheet3!$A$2:$D$6338,2,0)</f>
        <v>Trần Ngọc Đức</v>
      </c>
      <c r="E140" s="157" t="s">
        <v>8383</v>
      </c>
      <c r="F140" s="157" t="str">
        <f>"VN"&amp;RIGHT(E140,5)</f>
        <v>VN08553</v>
      </c>
      <c r="G140" s="297"/>
      <c r="H140" s="41" t="s">
        <v>67</v>
      </c>
      <c r="I140" s="95">
        <v>45421</v>
      </c>
      <c r="J140" s="158"/>
      <c r="K140" s="158"/>
      <c r="L140" s="147" t="str">
        <f>VLOOKUP(E140,DS!$A$2:$E$4398, 5, 0)</f>
        <v>QLK</v>
      </c>
      <c r="M140" s="154"/>
      <c r="N140" s="92" t="e">
        <f>VLOOKUP(Table1[[#This Row],[USER]],[1]!Table145678910111213141545678910111213146[[#All],[No.]:[Delete]],2,0)</f>
        <v>#N/A</v>
      </c>
    </row>
    <row r="141" spans="1:14">
      <c r="A141" s="93">
        <v>136</v>
      </c>
      <c r="B141" s="94">
        <v>5</v>
      </c>
      <c r="C141" s="40" t="s">
        <v>7934</v>
      </c>
      <c r="D141" s="40" t="str">
        <f>VLOOKUP(E141,Sheet3!$A$2:$D$6338,2,0)</f>
        <v>Trần Văn Dũng</v>
      </c>
      <c r="E141" s="96" t="s">
        <v>184</v>
      </c>
      <c r="F141" s="44" t="str">
        <f t="shared" si="3"/>
        <v>VN15502</v>
      </c>
      <c r="G141" s="295"/>
      <c r="H141" s="41" t="s">
        <v>67</v>
      </c>
      <c r="I141" s="95">
        <v>45432</v>
      </c>
      <c r="J141" s="122">
        <v>45806</v>
      </c>
      <c r="K141" s="122">
        <v>45807</v>
      </c>
      <c r="L141" s="147" t="e">
        <f>VLOOKUP(E141,DS!$A$2:$E$4398, 5, 0)</f>
        <v>#N/A</v>
      </c>
      <c r="M141" s="148"/>
      <c r="N141" s="92" t="e">
        <f>VLOOKUP(Table1[[#This Row],[USER]],[1]!Table145678910111213141545678910111213146[[#All],[No.]:[Delete]],2,0)</f>
        <v>#N/A</v>
      </c>
    </row>
    <row r="142" spans="1:14">
      <c r="A142" s="93">
        <v>137</v>
      </c>
      <c r="B142" s="94">
        <v>6</v>
      </c>
      <c r="C142" s="40" t="s">
        <v>7934</v>
      </c>
      <c r="D142" s="40" t="str">
        <f>VLOOKUP(E142,Sheet3!$A$2:$D$6338,2,0)</f>
        <v>Nguyễn Thị Phương Thảo</v>
      </c>
      <c r="E142" s="44" t="s">
        <v>185</v>
      </c>
      <c r="F142" s="44" t="str">
        <f t="shared" si="3"/>
        <v>VN07839</v>
      </c>
      <c r="G142" s="295"/>
      <c r="H142" s="41" t="s">
        <v>67</v>
      </c>
      <c r="I142" s="95">
        <v>45432</v>
      </c>
      <c r="J142" s="122">
        <v>45806</v>
      </c>
      <c r="K142" s="122">
        <v>45807</v>
      </c>
      <c r="L142" s="147" t="e">
        <f>VLOOKUP(E142,DS!$A$2:$E$4398, 5, 0)</f>
        <v>#N/A</v>
      </c>
      <c r="M142" s="148"/>
      <c r="N142" s="92" t="e">
        <f>VLOOKUP(Table1[[#This Row],[USER]],[1]!Table145678910111213141545678910111213146[[#All],[No.]:[Delete]],2,0)</f>
        <v>#N/A</v>
      </c>
    </row>
    <row r="143" spans="1:14">
      <c r="A143" s="93">
        <v>138</v>
      </c>
      <c r="B143" s="94">
        <v>7</v>
      </c>
      <c r="C143" s="40" t="s">
        <v>7934</v>
      </c>
      <c r="D143" s="40" t="str">
        <f>VLOOKUP(E143,Sheet3!$A$2:$D$6338,2,0)</f>
        <v>Đường Văn Mạnh</v>
      </c>
      <c r="E143" s="44" t="s">
        <v>186</v>
      </c>
      <c r="F143" s="44" t="str">
        <f t="shared" si="3"/>
        <v>VN00868</v>
      </c>
      <c r="G143" s="295"/>
      <c r="H143" s="41" t="s">
        <v>67</v>
      </c>
      <c r="I143" s="95">
        <v>45432</v>
      </c>
      <c r="J143" s="122"/>
      <c r="K143" s="122"/>
      <c r="L143" s="147" t="str">
        <f>VLOOKUP(E143,DS!$A$2:$E$4398, 5, 0)</f>
        <v>Cắt X3</v>
      </c>
      <c r="M143" s="148"/>
      <c r="N143" s="92" t="e">
        <f>VLOOKUP(Table1[[#This Row],[USER]],[1]!Table145678910111213141545678910111213146[[#All],[No.]:[Delete]],2,0)</f>
        <v>#N/A</v>
      </c>
    </row>
    <row r="144" spans="1:14">
      <c r="A144" s="93">
        <v>139</v>
      </c>
      <c r="B144" s="94">
        <v>8</v>
      </c>
      <c r="C144" s="40" t="s">
        <v>7934</v>
      </c>
      <c r="D144" s="40" t="str">
        <f>VLOOKUP(E144,Sheet3!$A$2:$D$6338,2,0)</f>
        <v>Chu Văn Tư</v>
      </c>
      <c r="E144" s="44" t="s">
        <v>187</v>
      </c>
      <c r="F144" s="44" t="str">
        <f t="shared" si="3"/>
        <v>VN07286</v>
      </c>
      <c r="G144" s="295"/>
      <c r="H144" s="41" t="s">
        <v>67</v>
      </c>
      <c r="I144" s="95">
        <v>45432</v>
      </c>
      <c r="J144" s="122"/>
      <c r="K144" s="122"/>
      <c r="L144" s="147" t="str">
        <f>VLOOKUP(E144,DS!$A$2:$E$4398, 5, 0)</f>
        <v>Cắt Laser</v>
      </c>
      <c r="M144" s="148"/>
      <c r="N144" s="92" t="e">
        <f>VLOOKUP(Table1[[#This Row],[USER]],[1]!Table145678910111213141545678910111213146[[#All],[No.]:[Delete]],2,0)</f>
        <v>#N/A</v>
      </c>
    </row>
    <row r="145" spans="1:14">
      <c r="A145" s="93">
        <v>140</v>
      </c>
      <c r="B145" s="94">
        <v>1</v>
      </c>
      <c r="C145" s="40" t="s">
        <v>7935</v>
      </c>
      <c r="D145" s="40" t="str">
        <f>VLOOKUP(E145,Sheet3!$A$2:$D$6338,2,0)</f>
        <v>Hà Thị Thu Hà</v>
      </c>
      <c r="E145" s="44" t="s">
        <v>188</v>
      </c>
      <c r="F145" s="44" t="str">
        <f t="shared" si="3"/>
        <v>VN21906</v>
      </c>
      <c r="G145" s="295"/>
      <c r="H145" s="41" t="s">
        <v>67</v>
      </c>
      <c r="I145" s="95">
        <v>45432</v>
      </c>
      <c r="J145" s="122">
        <v>45929</v>
      </c>
      <c r="K145" s="122">
        <v>45929</v>
      </c>
      <c r="L145" s="147" t="e">
        <f>VLOOKUP(E145,DS!$A$2:$E$4398, 5, 0)</f>
        <v>#N/A</v>
      </c>
      <c r="M145" s="148"/>
      <c r="N145" s="92" t="e">
        <f>VLOOKUP(Table1[[#This Row],[USER]],[1]!Table145678910111213141545678910111213146[[#All],[No.]:[Delete]],2,0)</f>
        <v>#N/A</v>
      </c>
    </row>
    <row r="146" spans="1:14">
      <c r="A146" s="93">
        <v>141</v>
      </c>
      <c r="B146" s="94">
        <v>2</v>
      </c>
      <c r="C146" s="40" t="s">
        <v>7935</v>
      </c>
      <c r="D146" s="40" t="str">
        <f>VLOOKUP(E146,Sheet3!$A$2:$D$6338,2,0)</f>
        <v>Trần Thị Thu Hằng</v>
      </c>
      <c r="E146" s="44" t="s">
        <v>189</v>
      </c>
      <c r="F146" s="44" t="str">
        <f t="shared" si="3"/>
        <v>VN10368</v>
      </c>
      <c r="G146" s="295"/>
      <c r="H146" s="41" t="s">
        <v>67</v>
      </c>
      <c r="I146" s="95">
        <v>45432</v>
      </c>
      <c r="J146" s="122"/>
      <c r="K146" s="122"/>
      <c r="L146" s="147" t="str">
        <f>VLOOKUP(E146,DS!$A$2:$E$4398, 5, 0)</f>
        <v>Dập X3</v>
      </c>
      <c r="M146" s="148"/>
      <c r="N146" s="92" t="e">
        <f>VLOOKUP(Table1[[#This Row],[USER]],[1]!Table145678910111213141545678910111213146[[#All],[No.]:[Delete]],2,0)</f>
        <v>#N/A</v>
      </c>
    </row>
    <row r="147" spans="1:14">
      <c r="A147" s="93">
        <v>142</v>
      </c>
      <c r="B147" s="94">
        <v>3</v>
      </c>
      <c r="C147" s="40" t="s">
        <v>856</v>
      </c>
      <c r="D147" s="40" t="str">
        <f>VLOOKUP(E147,Sheet3!$A$2:$D$6338,2,0)</f>
        <v>Đỗ Thị Thương</v>
      </c>
      <c r="E147" s="96" t="s">
        <v>815</v>
      </c>
      <c r="F147" s="44" t="str">
        <f t="shared" si="3"/>
        <v>VN11422</v>
      </c>
      <c r="G147" s="295"/>
      <c r="H147" s="41" t="s">
        <v>67</v>
      </c>
      <c r="I147" s="95">
        <v>45432</v>
      </c>
      <c r="J147" s="122"/>
      <c r="K147" s="122"/>
      <c r="L147" s="147" t="str">
        <f>VLOOKUP(E147,DS!$A$2:$E$4398, 5, 0)</f>
        <v>Lắp ráp</v>
      </c>
      <c r="M147" s="148"/>
      <c r="N147" s="92" t="e">
        <f>VLOOKUP(Table1[[#This Row],[USER]],[1]!Table145678910111213141545678910111213146[[#All],[No.]:[Delete]],2,0)</f>
        <v>#N/A</v>
      </c>
    </row>
    <row r="148" spans="1:14">
      <c r="A148" s="93">
        <v>143</v>
      </c>
      <c r="B148" s="94">
        <v>4</v>
      </c>
      <c r="C148" s="40" t="s">
        <v>7935</v>
      </c>
      <c r="D148" s="40" t="str">
        <f>VLOOKUP(E148,Sheet3!$A$2:$D$6338,2,0)</f>
        <v>Nguyễn Thị Phượng</v>
      </c>
      <c r="E148" s="44" t="s">
        <v>190</v>
      </c>
      <c r="F148" s="44" t="str">
        <f t="shared" si="3"/>
        <v>VN09866</v>
      </c>
      <c r="G148" s="295"/>
      <c r="H148" s="41" t="s">
        <v>67</v>
      </c>
      <c r="I148" s="95">
        <v>45432</v>
      </c>
      <c r="J148" s="122"/>
      <c r="K148" s="122"/>
      <c r="L148" s="147" t="str">
        <f>VLOOKUP(E148,DS!$A$2:$E$4398, 5, 0)</f>
        <v>Dập X3</v>
      </c>
      <c r="M148" s="148"/>
      <c r="N148" s="92" t="e">
        <f>VLOOKUP(Table1[[#This Row],[USER]],[1]!Table145678910111213141545678910111213146[[#All],[No.]:[Delete]],2,0)</f>
        <v>#N/A</v>
      </c>
    </row>
    <row r="149" spans="1:14">
      <c r="A149" s="93">
        <v>144</v>
      </c>
      <c r="B149" s="94">
        <v>5</v>
      </c>
      <c r="C149" s="40" t="s">
        <v>7935</v>
      </c>
      <c r="D149" s="40" t="str">
        <f>VLOOKUP(E149,Sheet3!$A$2:$D$6338,2,0)</f>
        <v>Nguyễn Thị Liêm</v>
      </c>
      <c r="E149" s="44" t="s">
        <v>192</v>
      </c>
      <c r="F149" s="44" t="str">
        <f t="shared" si="3"/>
        <v>VN10367</v>
      </c>
      <c r="G149" s="295"/>
      <c r="H149" s="41" t="s">
        <v>67</v>
      </c>
      <c r="I149" s="95">
        <v>45432</v>
      </c>
      <c r="J149" s="122"/>
      <c r="K149" s="122"/>
      <c r="L149" s="147" t="str">
        <f>VLOOKUP(E149,DS!$A$2:$E$4398, 5, 0)</f>
        <v>Dập X3</v>
      </c>
      <c r="M149" s="148"/>
      <c r="N149" s="92" t="e">
        <f>VLOOKUP(Table1[[#This Row],[USER]],[1]!Table145678910111213141545678910111213146[[#All],[No.]:[Delete]],2,0)</f>
        <v>#N/A</v>
      </c>
    </row>
    <row r="150" spans="1:14">
      <c r="A150" s="93">
        <v>145</v>
      </c>
      <c r="B150" s="94">
        <v>6</v>
      </c>
      <c r="C150" s="40" t="s">
        <v>7935</v>
      </c>
      <c r="D150" s="40" t="str">
        <f>VLOOKUP(E150,Sheet3!$A$2:$D$6338,2,0)</f>
        <v>Nguyễn Thị Kim Thoa</v>
      </c>
      <c r="E150" s="44" t="s">
        <v>191</v>
      </c>
      <c r="F150" s="44" t="str">
        <f t="shared" si="3"/>
        <v>VN17741</v>
      </c>
      <c r="G150" s="295"/>
      <c r="H150" s="41" t="s">
        <v>67</v>
      </c>
      <c r="I150" s="95">
        <v>45432</v>
      </c>
      <c r="J150" s="122"/>
      <c r="K150" s="122"/>
      <c r="L150" s="147" t="str">
        <f>VLOOKUP(E150,DS!$A$2:$E$4398, 5, 0)</f>
        <v>Dập X3</v>
      </c>
      <c r="M150" s="148"/>
      <c r="N150" s="92" t="e">
        <f>VLOOKUP(Table1[[#This Row],[USER]],[1]!Table145678910111213141545678910111213146[[#All],[No.]:[Delete]],2,0)</f>
        <v>#N/A</v>
      </c>
    </row>
    <row r="151" spans="1:14">
      <c r="A151" s="93">
        <v>146</v>
      </c>
      <c r="B151" s="94">
        <v>7</v>
      </c>
      <c r="C151" s="40" t="s">
        <v>7935</v>
      </c>
      <c r="D151" s="40" t="str">
        <f>VLOOKUP(E151,Sheet3!$A$2:$D$6338,2,0)</f>
        <v>Dương Đức Thắng</v>
      </c>
      <c r="E151" s="44" t="s">
        <v>193</v>
      </c>
      <c r="F151" s="44" t="str">
        <f t="shared" si="3"/>
        <v>VN00677</v>
      </c>
      <c r="G151" s="295"/>
      <c r="H151" s="41" t="s">
        <v>67</v>
      </c>
      <c r="I151" s="95">
        <v>45432</v>
      </c>
      <c r="J151" s="122"/>
      <c r="K151" s="122"/>
      <c r="L151" s="147" t="str">
        <f>VLOOKUP(E151,DS!$A$2:$E$4398, 5, 0)</f>
        <v>Dập X3</v>
      </c>
      <c r="M151" s="148"/>
      <c r="N151" s="92" t="e">
        <f>VLOOKUP(Table1[[#This Row],[USER]],[1]!Table145678910111213141545678910111213146[[#All],[No.]:[Delete]],2,0)</f>
        <v>#N/A</v>
      </c>
    </row>
    <row r="152" spans="1:14">
      <c r="A152" s="93">
        <v>147</v>
      </c>
      <c r="B152" s="94">
        <v>8</v>
      </c>
      <c r="C152" s="40" t="s">
        <v>7935</v>
      </c>
      <c r="D152" s="40" t="str">
        <f>VLOOKUP(E152,Sheet3!$A$2:$D$6338,2,0)</f>
        <v>Vũ Văn Thành</v>
      </c>
      <c r="E152" s="44" t="s">
        <v>672</v>
      </c>
      <c r="F152" s="44" t="str">
        <f>"VN"&amp;RIGHT(E152,5)</f>
        <v>VN00172</v>
      </c>
      <c r="G152" s="295"/>
      <c r="H152" s="41" t="s">
        <v>67</v>
      </c>
      <c r="I152" s="95">
        <v>45399</v>
      </c>
      <c r="J152" s="122"/>
      <c r="K152" s="122"/>
      <c r="L152" s="147" t="str">
        <f>VLOOKUP(E152,DS!$A$2:$E$4398, 5, 0)</f>
        <v>Dập X3</v>
      </c>
      <c r="M152" s="148"/>
      <c r="N152" s="92" t="e">
        <f>VLOOKUP(Table1[[#This Row],[USER]],[1]!Table145678910111213141545678910111213146[[#All],[No.]:[Delete]],2,0)</f>
        <v>#N/A</v>
      </c>
    </row>
    <row r="153" spans="1:14">
      <c r="A153" s="93">
        <v>148</v>
      </c>
      <c r="B153" s="174"/>
      <c r="C153" s="179" t="s">
        <v>840</v>
      </c>
      <c r="D153" s="40" t="str">
        <f>VLOOKUP(E153,Sheet3!$A$2:$D$6338,2,0)</f>
        <v>Nguyễn Trọng Hải Anh</v>
      </c>
      <c r="E153" s="175" t="s">
        <v>8400</v>
      </c>
      <c r="F153" s="175" t="str">
        <f>"VN"&amp;RIGHT(E153,5)</f>
        <v>VN26001</v>
      </c>
      <c r="G153" s="298"/>
      <c r="H153" s="41" t="s">
        <v>67</v>
      </c>
      <c r="I153" s="176">
        <v>45839</v>
      </c>
      <c r="J153" s="177"/>
      <c r="K153" s="177"/>
      <c r="L153" s="177" t="str">
        <f>VLOOKUP(E153,DS!$A$2:$E$4398, 5, 0)</f>
        <v>Lắp ráp</v>
      </c>
      <c r="M153" s="178"/>
      <c r="N153" s="92" t="e">
        <f>VLOOKUP(Table1[[#This Row],[USER]],[1]!Table145678910111213141545678910111213146[[#All],[No.]:[Delete]],2,0)</f>
        <v>#N/A</v>
      </c>
    </row>
    <row r="154" spans="1:14">
      <c r="A154" s="93">
        <v>149</v>
      </c>
      <c r="B154" s="189"/>
      <c r="C154" s="190" t="s">
        <v>840</v>
      </c>
      <c r="D154" s="40" t="str">
        <f>VLOOKUP(E154,Sheet3!$A$2:$D$6338,2,0)</f>
        <v>Vũ Mạnh Hùng</v>
      </c>
      <c r="E154" s="191" t="s">
        <v>8537</v>
      </c>
      <c r="F154" s="191" t="str">
        <f>"VN"&amp;RIGHT(E154,5)</f>
        <v>VN03229</v>
      </c>
      <c r="G154" s="301"/>
      <c r="H154" s="195" t="s">
        <v>67</v>
      </c>
      <c r="I154" s="192">
        <v>45882</v>
      </c>
      <c r="J154" s="193"/>
      <c r="K154" s="193"/>
      <c r="L154" s="193" t="str">
        <f>VLOOKUP(E154,DS!$A$2:$E$4398, 5, 0)</f>
        <v>Dập X3</v>
      </c>
      <c r="M154" s="194"/>
      <c r="N154" s="92" t="e">
        <f>VLOOKUP(Table1[[#This Row],[USER]],[1]!Table145678910111213141545678910111213146[[#All],[No.]:[Delete]],2,0)</f>
        <v>#N/A</v>
      </c>
    </row>
    <row r="155" spans="1:14">
      <c r="A155" s="93">
        <v>150</v>
      </c>
      <c r="B155" s="94">
        <v>1</v>
      </c>
      <c r="C155" s="40" t="s">
        <v>7936</v>
      </c>
      <c r="D155" s="40" t="str">
        <f>VLOOKUP(E155,Sheet3!$A$2:$D$6338,2,0)</f>
        <v>Nguyễn Thị Hoa</v>
      </c>
      <c r="E155" s="44" t="s">
        <v>194</v>
      </c>
      <c r="F155" s="44" t="str">
        <f t="shared" si="3"/>
        <v>VN13581</v>
      </c>
      <c r="G155" s="295"/>
      <c r="H155" s="41" t="s">
        <v>67</v>
      </c>
      <c r="I155" s="95">
        <v>45432</v>
      </c>
      <c r="J155" s="122"/>
      <c r="K155" s="122"/>
      <c r="L155" s="147" t="str">
        <f>VLOOKUP(E155,DS!$A$2:$E$4398, 5, 0)</f>
        <v>Lắp ráp</v>
      </c>
      <c r="M155" s="148"/>
      <c r="N155" s="92" t="e">
        <f>VLOOKUP(Table1[[#This Row],[USER]],[1]!Table145678910111213141545678910111213146[[#All],[No.]:[Delete]],2,0)</f>
        <v>#N/A</v>
      </c>
    </row>
    <row r="156" spans="1:14">
      <c r="A156" s="93">
        <v>151</v>
      </c>
      <c r="B156" s="94">
        <v>2</v>
      </c>
      <c r="C156" s="40" t="s">
        <v>7936</v>
      </c>
      <c r="D156" s="40" t="str">
        <f>VLOOKUP(E156,Sheet3!$A$2:$D$6338,2,0)</f>
        <v>Nguyễn Thị Huyền</v>
      </c>
      <c r="E156" s="44" t="s">
        <v>195</v>
      </c>
      <c r="F156" s="44" t="str">
        <f t="shared" si="3"/>
        <v>VN01266</v>
      </c>
      <c r="G156" s="295"/>
      <c r="H156" s="41" t="s">
        <v>67</v>
      </c>
      <c r="I156" s="95">
        <v>45432</v>
      </c>
      <c r="J156" s="122">
        <v>45929</v>
      </c>
      <c r="K156" s="122">
        <v>45960</v>
      </c>
      <c r="L156" s="147" t="e">
        <f>VLOOKUP(E156,DS!$A$2:$E$4398, 5, 0)</f>
        <v>#N/A</v>
      </c>
      <c r="M156" s="148"/>
      <c r="N156" s="92" t="e">
        <f>VLOOKUP(Table1[[#This Row],[USER]],[1]!Table145678910111213141545678910111213146[[#All],[No.]:[Delete]],2,0)</f>
        <v>#N/A</v>
      </c>
    </row>
    <row r="157" spans="1:14">
      <c r="A157" s="93">
        <v>152</v>
      </c>
      <c r="B157" s="94">
        <v>3</v>
      </c>
      <c r="C157" s="40" t="s">
        <v>7810</v>
      </c>
      <c r="D157" s="40" t="str">
        <f>VLOOKUP(E157,Sheet3!$A$2:$D$6338,2,0)</f>
        <v>Nguyễn Hải Đăng</v>
      </c>
      <c r="E157" s="44" t="s">
        <v>196</v>
      </c>
      <c r="F157" s="44" t="str">
        <f t="shared" si="3"/>
        <v>VN09568</v>
      </c>
      <c r="G157" s="295"/>
      <c r="H157" s="41" t="s">
        <v>67</v>
      </c>
      <c r="I157" s="95">
        <v>45432</v>
      </c>
      <c r="J157" s="122"/>
      <c r="K157" s="122"/>
      <c r="L157" s="147" t="str">
        <f>VLOOKUP(E157,DS!$A$2:$E$4398, 5, 0)</f>
        <v>Xi mạ</v>
      </c>
      <c r="M157" s="148"/>
      <c r="N157" s="92" t="e">
        <f>VLOOKUP(Table1[[#This Row],[USER]],[1]!Table145678910111213141545678910111213146[[#All],[No.]:[Delete]],2,0)</f>
        <v>#N/A</v>
      </c>
    </row>
    <row r="158" spans="1:14">
      <c r="A158" s="93">
        <v>153</v>
      </c>
      <c r="B158" s="94">
        <v>4</v>
      </c>
      <c r="C158" s="40" t="s">
        <v>7810</v>
      </c>
      <c r="D158" s="40" t="str">
        <f>VLOOKUP(E158,Sheet3!$A$2:$D$6338,2,0)</f>
        <v>Dương Thị Phương Thu</v>
      </c>
      <c r="E158" s="44" t="s">
        <v>197</v>
      </c>
      <c r="F158" s="44" t="str">
        <f t="shared" si="3"/>
        <v>VN01034</v>
      </c>
      <c r="G158" s="295"/>
      <c r="H158" s="41" t="s">
        <v>67</v>
      </c>
      <c r="I158" s="95">
        <v>45432</v>
      </c>
      <c r="J158" s="122"/>
      <c r="K158" s="122"/>
      <c r="L158" s="147" t="str">
        <f>VLOOKUP(E158,DS!$A$2:$E$4398, 5, 0)</f>
        <v>Xi mạ</v>
      </c>
      <c r="M158" s="148"/>
      <c r="N158" s="92" t="e">
        <f>VLOOKUP(Table1[[#This Row],[USER]],[1]!Table145678910111213141545678910111213146[[#All],[No.]:[Delete]],2,0)</f>
        <v>#N/A</v>
      </c>
    </row>
    <row r="159" spans="1:14">
      <c r="A159" s="93">
        <v>154</v>
      </c>
      <c r="B159" s="94">
        <v>5</v>
      </c>
      <c r="C159" s="40" t="s">
        <v>7810</v>
      </c>
      <c r="D159" s="40" t="str">
        <f>VLOOKUP(E159,Sheet3!$A$2:$D$6338,2,0)</f>
        <v>Trần Thị Thu Phương</v>
      </c>
      <c r="E159" s="44" t="s">
        <v>198</v>
      </c>
      <c r="F159" s="44" t="str">
        <f t="shared" si="3"/>
        <v>VN10495</v>
      </c>
      <c r="G159" s="295"/>
      <c r="H159" s="41" t="s">
        <v>67</v>
      </c>
      <c r="I159" s="95">
        <v>45432</v>
      </c>
      <c r="J159" s="122"/>
      <c r="K159" s="122"/>
      <c r="L159" s="147" t="str">
        <f>VLOOKUP(E159,DS!$A$2:$E$4398, 5, 0)</f>
        <v>Xi mạ</v>
      </c>
      <c r="M159" s="148"/>
      <c r="N159" s="92" t="e">
        <f>VLOOKUP(Table1[[#This Row],[USER]],[1]!Table145678910111213141545678910111213146[[#All],[No.]:[Delete]],2,0)</f>
        <v>#N/A</v>
      </c>
    </row>
    <row r="160" spans="1:14">
      <c r="A160" s="93">
        <v>155</v>
      </c>
      <c r="B160" s="94">
        <v>6</v>
      </c>
      <c r="C160" s="40" t="s">
        <v>7936</v>
      </c>
      <c r="D160" s="40" t="str">
        <f>VLOOKUP(E160,Sheet3!$A$2:$D$6338,2,0)</f>
        <v>Nguyễn Phú Hà</v>
      </c>
      <c r="E160" s="44" t="s">
        <v>199</v>
      </c>
      <c r="F160" s="44" t="str">
        <f t="shared" si="3"/>
        <v>VN03299</v>
      </c>
      <c r="G160" s="295"/>
      <c r="H160" s="41" t="s">
        <v>67</v>
      </c>
      <c r="I160" s="95">
        <v>45432</v>
      </c>
      <c r="J160" s="122"/>
      <c r="K160" s="122"/>
      <c r="L160" s="147" t="str">
        <f>VLOOKUP(E160,DS!$A$2:$E$4398, 5, 0)</f>
        <v>Lắp ráp</v>
      </c>
      <c r="M160" s="148"/>
      <c r="N160" s="92" t="e">
        <f>VLOOKUP(Table1[[#This Row],[USER]],[1]!Table145678910111213141545678910111213146[[#All],[No.]:[Delete]],2,0)</f>
        <v>#N/A</v>
      </c>
    </row>
    <row r="161" spans="1:14">
      <c r="A161" s="93">
        <v>156</v>
      </c>
      <c r="B161" s="94">
        <v>7</v>
      </c>
      <c r="C161" s="40" t="s">
        <v>870</v>
      </c>
      <c r="D161" s="40" t="str">
        <f>VLOOKUP(E161,Sheet3!$A$2:$D$6338,2,0)</f>
        <v>Nguyễn Văn Trung</v>
      </c>
      <c r="E161" s="44" t="s">
        <v>200</v>
      </c>
      <c r="F161" s="44" t="str">
        <f t="shared" si="3"/>
        <v>VN01644</v>
      </c>
      <c r="G161" s="295"/>
      <c r="H161" s="41" t="s">
        <v>67</v>
      </c>
      <c r="I161" s="95">
        <v>45432</v>
      </c>
      <c r="J161" s="122"/>
      <c r="K161" s="122"/>
      <c r="L161" s="147" t="str">
        <f>VLOOKUP(E161,DS!$A$2:$E$4398, 5, 0)</f>
        <v>Sơn X1</v>
      </c>
      <c r="M161" s="148"/>
      <c r="N161" s="92" t="e">
        <f>VLOOKUP(Table1[[#This Row],[USER]],[1]!Table145678910111213141545678910111213146[[#All],[No.]:[Delete]],2,0)</f>
        <v>#N/A</v>
      </c>
    </row>
    <row r="162" spans="1:14">
      <c r="A162" s="93">
        <v>157</v>
      </c>
      <c r="B162" s="94">
        <v>1</v>
      </c>
      <c r="C162" s="40" t="s">
        <v>7937</v>
      </c>
      <c r="D162" s="40" t="str">
        <f>VLOOKUP(E162,Sheet3!$A$2:$D$6338,2,0)</f>
        <v>Đỗ Văn Hưng</v>
      </c>
      <c r="E162" s="44" t="s">
        <v>201</v>
      </c>
      <c r="F162" s="44" t="str">
        <f t="shared" si="3"/>
        <v>VN09055</v>
      </c>
      <c r="G162" s="295"/>
      <c r="H162" s="41" t="s">
        <v>67</v>
      </c>
      <c r="I162" s="95">
        <v>45432</v>
      </c>
      <c r="J162" s="122">
        <v>45771</v>
      </c>
      <c r="K162" s="122">
        <v>45771</v>
      </c>
      <c r="L162" s="147" t="e">
        <f>VLOOKUP(E162,DS!$A$2:$E$4398, 5, 0)</f>
        <v>#N/A</v>
      </c>
      <c r="M162" s="148"/>
      <c r="N162" s="92" t="e">
        <f>VLOOKUP(Table1[[#This Row],[USER]],[1]!Table145678910111213141545678910111213146[[#All],[No.]:[Delete]],2,0)</f>
        <v>#N/A</v>
      </c>
    </row>
    <row r="163" spans="1:14">
      <c r="A163" s="93">
        <v>158</v>
      </c>
      <c r="B163" s="94">
        <v>2</v>
      </c>
      <c r="C163" s="40" t="s">
        <v>7937</v>
      </c>
      <c r="D163" s="40" t="str">
        <f>VLOOKUP(E163,Sheet3!$A$2:$D$6338,2,0)</f>
        <v>Nguyễn Văn Long</v>
      </c>
      <c r="E163" s="44" t="s">
        <v>202</v>
      </c>
      <c r="F163" s="44" t="str">
        <f t="shared" si="3"/>
        <v>VN02260</v>
      </c>
      <c r="G163" s="295"/>
      <c r="H163" s="41" t="s">
        <v>67</v>
      </c>
      <c r="I163" s="95">
        <v>45432</v>
      </c>
      <c r="J163" s="122"/>
      <c r="K163" s="122"/>
      <c r="L163" s="147" t="str">
        <f>VLOOKUP(E163,DS!$A$2:$E$4398, 5, 0)</f>
        <v>Hàn X3</v>
      </c>
      <c r="M163" s="148"/>
      <c r="N163" s="92" t="e">
        <f>VLOOKUP(Table1[[#This Row],[USER]],[1]!Table145678910111213141545678910111213146[[#All],[No.]:[Delete]],2,0)</f>
        <v>#N/A</v>
      </c>
    </row>
    <row r="164" spans="1:14">
      <c r="A164" s="93">
        <v>159</v>
      </c>
      <c r="B164" s="94">
        <v>3</v>
      </c>
      <c r="C164" s="40" t="s">
        <v>7937</v>
      </c>
      <c r="D164" s="40" t="str">
        <f>VLOOKUP(E164,Sheet3!$A$2:$D$6338,2,0)</f>
        <v>Bùi Ngọc Anh</v>
      </c>
      <c r="E164" s="44" t="s">
        <v>177</v>
      </c>
      <c r="F164" s="44" t="str">
        <f t="shared" si="3"/>
        <v>VN19163</v>
      </c>
      <c r="G164" s="295"/>
      <c r="H164" s="41" t="s">
        <v>67</v>
      </c>
      <c r="I164" s="95">
        <v>45432</v>
      </c>
      <c r="J164" s="122"/>
      <c r="K164" s="122"/>
      <c r="L164" s="147" t="str">
        <f>VLOOKUP(E164,DS!$A$2:$E$4398, 5, 0)</f>
        <v>Hàn X3</v>
      </c>
      <c r="M164" s="148"/>
      <c r="N164" s="92" t="e">
        <f>VLOOKUP(Table1[[#This Row],[USER]],[1]!Table145678910111213141545678910111213146[[#All],[No.]:[Delete]],2,0)</f>
        <v>#N/A</v>
      </c>
    </row>
    <row r="165" spans="1:14">
      <c r="A165" s="93">
        <v>160</v>
      </c>
      <c r="B165" s="94">
        <v>4</v>
      </c>
      <c r="C165" s="40" t="s">
        <v>7937</v>
      </c>
      <c r="D165" s="40" t="str">
        <f>VLOOKUP(E165,Sheet3!$A$2:$D$6338,2,0)</f>
        <v>Phan Văn Giang</v>
      </c>
      <c r="E165" s="44" t="s">
        <v>827</v>
      </c>
      <c r="F165" s="44" t="str">
        <f>"VN"&amp;RIGHT(E165,5)</f>
        <v>VN07844</v>
      </c>
      <c r="G165" s="295"/>
      <c r="H165" s="41" t="s">
        <v>67</v>
      </c>
      <c r="I165" s="95">
        <v>45432</v>
      </c>
      <c r="J165" s="122"/>
      <c r="K165" s="122"/>
      <c r="L165" s="147" t="str">
        <f>VLOOKUP(E165,DS!$A$2:$E$4398, 5, 0)</f>
        <v>Hàn X3</v>
      </c>
      <c r="M165" s="148"/>
      <c r="N165" s="92" t="e">
        <f>VLOOKUP(Table1[[#This Row],[USER]],[1]!Table145678910111213141545678910111213146[[#All],[No.]:[Delete]],2,0)</f>
        <v>#N/A</v>
      </c>
    </row>
    <row r="166" spans="1:14">
      <c r="A166" s="93">
        <v>161</v>
      </c>
      <c r="B166" s="94">
        <v>5</v>
      </c>
      <c r="C166" s="40" t="s">
        <v>7937</v>
      </c>
      <c r="D166" s="40" t="str">
        <f>VLOOKUP(E166,Sheet3!$A$2:$D$6338,2,0)</f>
        <v>Nguyễn Anh Tuấn</v>
      </c>
      <c r="E166" s="44" t="s">
        <v>203</v>
      </c>
      <c r="F166" s="44" t="str">
        <f t="shared" si="3"/>
        <v>VN01240</v>
      </c>
      <c r="G166" s="295"/>
      <c r="H166" s="41" t="s">
        <v>67</v>
      </c>
      <c r="I166" s="95">
        <v>45432</v>
      </c>
      <c r="J166" s="122"/>
      <c r="K166" s="122"/>
      <c r="L166" s="147" t="str">
        <f>VLOOKUP(E166,DS!$A$2:$E$4398, 5, 0)</f>
        <v>Hàn X3</v>
      </c>
      <c r="M166" s="148"/>
      <c r="N166" s="92" t="e">
        <f>VLOOKUP(Table1[[#This Row],[USER]],[1]!Table145678910111213141545678910111213146[[#All],[No.]:[Delete]],2,0)</f>
        <v>#N/A</v>
      </c>
    </row>
    <row r="167" spans="1:14">
      <c r="A167" s="93">
        <v>162</v>
      </c>
      <c r="B167" s="94">
        <v>6</v>
      </c>
      <c r="C167" s="40" t="s">
        <v>7937</v>
      </c>
      <c r="D167" s="40" t="str">
        <f>VLOOKUP(E167,Sheet3!$A$2:$D$6338,2,0)</f>
        <v>Nguyễn Thị Nhã</v>
      </c>
      <c r="E167" s="44" t="s">
        <v>204</v>
      </c>
      <c r="F167" s="44" t="str">
        <f t="shared" si="3"/>
        <v>VN15895</v>
      </c>
      <c r="G167" s="295"/>
      <c r="H167" s="41" t="s">
        <v>67</v>
      </c>
      <c r="I167" s="95">
        <v>45432</v>
      </c>
      <c r="J167" s="122"/>
      <c r="K167" s="122"/>
      <c r="L167" s="147" t="str">
        <f>VLOOKUP(E167,DS!$A$2:$E$4398, 5, 0)</f>
        <v>Hàn X3</v>
      </c>
      <c r="M167" s="148"/>
      <c r="N167" s="92" t="e">
        <f>VLOOKUP(Table1[[#This Row],[USER]],[1]!Table145678910111213141545678910111213146[[#All],[No.]:[Delete]],2,0)</f>
        <v>#N/A</v>
      </c>
    </row>
    <row r="168" spans="1:14">
      <c r="A168" s="93">
        <v>163</v>
      </c>
      <c r="B168" s="94">
        <v>7</v>
      </c>
      <c r="C168" s="40" t="s">
        <v>7937</v>
      </c>
      <c r="D168" s="40" t="str">
        <f>VLOOKUP(E168,Sheet3!$A$2:$D$6338,2,0)</f>
        <v>Đặng Quốc Hùng</v>
      </c>
      <c r="E168" s="44" t="s">
        <v>205</v>
      </c>
      <c r="F168" s="44" t="str">
        <f t="shared" si="3"/>
        <v>VN03554</v>
      </c>
      <c r="G168" s="295"/>
      <c r="H168" s="41" t="s">
        <v>67</v>
      </c>
      <c r="I168" s="95">
        <v>45432</v>
      </c>
      <c r="J168" s="122"/>
      <c r="K168" s="122"/>
      <c r="L168" s="147" t="str">
        <f>VLOOKUP(E168,DS!$A$2:$E$4398, 5, 0)</f>
        <v>Hàn X3</v>
      </c>
      <c r="M168" s="148"/>
      <c r="N168" s="92" t="e">
        <f>VLOOKUP(Table1[[#This Row],[USER]],[1]!Table145678910111213141545678910111213146[[#All],[No.]:[Delete]],2,0)</f>
        <v>#N/A</v>
      </c>
    </row>
    <row r="169" spans="1:14">
      <c r="A169" s="93">
        <v>164</v>
      </c>
      <c r="B169" s="94">
        <v>8</v>
      </c>
      <c r="C169" s="40" t="s">
        <v>7937</v>
      </c>
      <c r="D169" s="40" t="str">
        <f>VLOOKUP(E169,Sheet3!$A$2:$D$6338,2,0)</f>
        <v>Dương Thị Thoả</v>
      </c>
      <c r="E169" s="44" t="s">
        <v>206</v>
      </c>
      <c r="F169" s="44" t="str">
        <f t="shared" si="3"/>
        <v>VN00288</v>
      </c>
      <c r="G169" s="295"/>
      <c r="H169" s="41" t="s">
        <v>67</v>
      </c>
      <c r="I169" s="95">
        <v>45432</v>
      </c>
      <c r="J169" s="122"/>
      <c r="K169" s="122"/>
      <c r="L169" s="147" t="str">
        <f>VLOOKUP(E169,DS!$A$2:$E$4398, 5, 0)</f>
        <v>Hàn X3</v>
      </c>
      <c r="M169" s="148"/>
      <c r="N169" s="92" t="e">
        <f>VLOOKUP(Table1[[#This Row],[USER]],[1]!Table145678910111213141545678910111213146[[#All],[No.]:[Delete]],2,0)</f>
        <v>#N/A</v>
      </c>
    </row>
    <row r="170" spans="1:14">
      <c r="A170" s="93">
        <v>165</v>
      </c>
      <c r="B170" s="94">
        <v>9</v>
      </c>
      <c r="C170" s="40" t="s">
        <v>7937</v>
      </c>
      <c r="D170" s="40" t="str">
        <f>VLOOKUP(E170,Sheet3!$A$2:$D$6338,2,0)</f>
        <v>Trần Xuân Quý</v>
      </c>
      <c r="E170" s="44" t="s">
        <v>207</v>
      </c>
      <c r="F170" s="44" t="str">
        <f t="shared" si="3"/>
        <v>VN00624</v>
      </c>
      <c r="G170" s="295"/>
      <c r="H170" s="41" t="s">
        <v>67</v>
      </c>
      <c r="I170" s="95">
        <v>45432</v>
      </c>
      <c r="J170" s="122"/>
      <c r="K170" s="122"/>
      <c r="L170" s="147" t="str">
        <f>VLOOKUP(E170,DS!$A$2:$E$4398, 5, 0)</f>
        <v>Hàn X3</v>
      </c>
      <c r="M170" s="148"/>
      <c r="N170" s="92" t="e">
        <f>VLOOKUP(Table1[[#This Row],[USER]],[1]!Table145678910111213141545678910111213146[[#All],[No.]:[Delete]],2,0)</f>
        <v>#N/A</v>
      </c>
    </row>
    <row r="171" spans="1:14">
      <c r="A171" s="93">
        <v>166</v>
      </c>
      <c r="B171" s="94">
        <v>10</v>
      </c>
      <c r="C171" s="40" t="s">
        <v>7937</v>
      </c>
      <c r="D171" s="40" t="str">
        <f>VLOOKUP(E171,Sheet3!$A$2:$D$6338,2,0)</f>
        <v>Nguyễn Thị Huyền Trang</v>
      </c>
      <c r="E171" s="44" t="s">
        <v>208</v>
      </c>
      <c r="F171" s="44" t="str">
        <f t="shared" si="3"/>
        <v>VN09096</v>
      </c>
      <c r="G171" s="295"/>
      <c r="H171" s="41" t="s">
        <v>67</v>
      </c>
      <c r="I171" s="95">
        <v>45432</v>
      </c>
      <c r="J171" s="122"/>
      <c r="K171" s="122"/>
      <c r="L171" s="147" t="str">
        <f>VLOOKUP(E171,DS!$A$2:$E$4398, 5, 0)</f>
        <v>Hàn X3</v>
      </c>
      <c r="M171" s="148"/>
      <c r="N171" s="92" t="e">
        <f>VLOOKUP(Table1[[#This Row],[USER]],[1]!Table145678910111213141545678910111213146[[#All],[No.]:[Delete]],2,0)</f>
        <v>#N/A</v>
      </c>
    </row>
    <row r="172" spans="1:14">
      <c r="A172" s="93">
        <v>167</v>
      </c>
      <c r="B172" s="94">
        <v>11</v>
      </c>
      <c r="C172" s="40" t="s">
        <v>7937</v>
      </c>
      <c r="D172" s="40" t="str">
        <f>VLOOKUP(E172,Sheet3!$A$2:$D$6338,2,0)</f>
        <v>Ngô Tất Đoàn</v>
      </c>
      <c r="E172" s="44" t="s">
        <v>209</v>
      </c>
      <c r="F172" s="44" t="str">
        <f t="shared" si="3"/>
        <v>VN00884</v>
      </c>
      <c r="G172" s="295"/>
      <c r="H172" s="41" t="s">
        <v>67</v>
      </c>
      <c r="I172" s="95">
        <v>45432</v>
      </c>
      <c r="J172" s="122"/>
      <c r="K172" s="122"/>
      <c r="L172" s="147" t="str">
        <f>VLOOKUP(E172,DS!$A$2:$E$4398, 5, 0)</f>
        <v>Hàn X3</v>
      </c>
      <c r="M172" s="148"/>
      <c r="N172" s="92" t="e">
        <f>VLOOKUP(Table1[[#This Row],[USER]],[1]!Table145678910111213141545678910111213146[[#All],[No.]:[Delete]],2,0)</f>
        <v>#N/A</v>
      </c>
    </row>
    <row r="173" spans="1:14">
      <c r="A173" s="93">
        <v>168</v>
      </c>
      <c r="B173" s="94">
        <v>12</v>
      </c>
      <c r="C173" s="40" t="s">
        <v>7937</v>
      </c>
      <c r="D173" s="40" t="e">
        <f>VLOOKUP(E173,Sheet3!$A$2:$D$6338,2,0)</f>
        <v>#N/A</v>
      </c>
      <c r="E173" s="44" t="s">
        <v>210</v>
      </c>
      <c r="F173" s="44" t="str">
        <f t="shared" si="3"/>
        <v>VN14201</v>
      </c>
      <c r="G173" s="295"/>
      <c r="H173" s="41" t="s">
        <v>67</v>
      </c>
      <c r="I173" s="95">
        <v>45432</v>
      </c>
      <c r="J173" s="122">
        <v>45806</v>
      </c>
      <c r="K173" s="122">
        <v>45806</v>
      </c>
      <c r="L173" s="147" t="e">
        <f>VLOOKUP(E173,DS!$A$2:$E$4398, 5, 0)</f>
        <v>#N/A</v>
      </c>
      <c r="M173" s="148"/>
      <c r="N173" s="92" t="e">
        <f>VLOOKUP(Table1[[#This Row],[USER]],[1]!Table145678910111213141545678910111213146[[#All],[No.]:[Delete]],2,0)</f>
        <v>#N/A</v>
      </c>
    </row>
    <row r="174" spans="1:14">
      <c r="A174" s="93">
        <v>169</v>
      </c>
      <c r="B174" s="94">
        <v>13</v>
      </c>
      <c r="C174" s="40" t="s">
        <v>268</v>
      </c>
      <c r="D174" s="40" t="str">
        <f>VLOOKUP(E174,Sheet3!$A$2:$D$6338,2,0)</f>
        <v>Bùi Thị Hồng Nhung</v>
      </c>
      <c r="E174" s="44" t="s">
        <v>211</v>
      </c>
      <c r="F174" s="44" t="str">
        <f t="shared" si="3"/>
        <v>VN19617</v>
      </c>
      <c r="G174" s="295"/>
      <c r="H174" s="41" t="s">
        <v>67</v>
      </c>
      <c r="I174" s="95">
        <v>45432</v>
      </c>
      <c r="J174" s="122"/>
      <c r="K174" s="122"/>
      <c r="L174" s="147" t="str">
        <f>VLOOKUP(E174,DS!$A$2:$E$4398, 5, 0)</f>
        <v>KTSX</v>
      </c>
      <c r="M174" s="148"/>
      <c r="N174" s="92" t="e">
        <f>VLOOKUP(Table1[[#This Row],[USER]],[1]!Table145678910111213141545678910111213146[[#All],[No.]:[Delete]],2,0)</f>
        <v>#N/A</v>
      </c>
    </row>
    <row r="175" spans="1:14">
      <c r="A175" s="93">
        <v>170</v>
      </c>
      <c r="B175" s="94">
        <v>14</v>
      </c>
      <c r="C175" s="40" t="s">
        <v>7937</v>
      </c>
      <c r="D175" s="40" t="str">
        <f>VLOOKUP(E175,Sheet3!$A$2:$D$6338,2,0)</f>
        <v>Uông Sỹ Phú</v>
      </c>
      <c r="E175" s="44" t="s">
        <v>8004</v>
      </c>
      <c r="F175" s="44" t="str">
        <f>"VN"&amp;RIGHT(E175,5)</f>
        <v>VN00293</v>
      </c>
      <c r="G175" s="295"/>
      <c r="H175" s="41" t="s">
        <v>67</v>
      </c>
      <c r="I175" s="95">
        <v>45736</v>
      </c>
      <c r="J175" s="122"/>
      <c r="K175" s="122"/>
      <c r="L175" s="147" t="str">
        <f>VLOOKUP(E175,DS!$A$2:$E$4398, 5, 0)</f>
        <v>Hàn X3</v>
      </c>
      <c r="M175" s="148"/>
      <c r="N175" s="92" t="e">
        <f>VLOOKUP(Table1[[#This Row],[USER]],[1]!Table145678910111213141545678910111213146[[#All],[No.]:[Delete]],2,0)</f>
        <v>#N/A</v>
      </c>
    </row>
    <row r="176" spans="1:14">
      <c r="A176" s="93">
        <v>171</v>
      </c>
      <c r="B176" s="94">
        <v>15</v>
      </c>
      <c r="C176" s="40" t="s">
        <v>7937</v>
      </c>
      <c r="D176" s="40" t="str">
        <f>VLOOKUP(E176,Sheet3!$A$2:$D$6338,2,0)</f>
        <v>Đặng Thị Hoan</v>
      </c>
      <c r="E176" s="44" t="s">
        <v>8023</v>
      </c>
      <c r="F176" s="44" t="str">
        <f>"VN"&amp;RIGHT(E176,5)</f>
        <v>VN16118</v>
      </c>
      <c r="G176" s="295"/>
      <c r="H176" s="41" t="s">
        <v>67</v>
      </c>
      <c r="I176" s="95">
        <v>45771</v>
      </c>
      <c r="J176" s="122"/>
      <c r="K176" s="122"/>
      <c r="L176" s="147" t="str">
        <f>VLOOKUP(E176,DS!$A$2:$E$4398, 5, 0)</f>
        <v>Hàn X3</v>
      </c>
      <c r="M176" s="148"/>
      <c r="N176" s="92" t="e">
        <f>VLOOKUP(Table1[[#This Row],[USER]],[1]!Table145678910111213141545678910111213146[[#All],[No.]:[Delete]],2,0)</f>
        <v>#N/A</v>
      </c>
    </row>
    <row r="177" spans="1:14">
      <c r="A177" s="93">
        <v>172</v>
      </c>
      <c r="B177" s="94">
        <v>1</v>
      </c>
      <c r="C177" s="40" t="s">
        <v>7938</v>
      </c>
      <c r="D177" s="40" t="str">
        <f>VLOOKUP(E177,Sheet3!$A$2:$D$6338,2,0)</f>
        <v>Trịnh Thị Tĩnh</v>
      </c>
      <c r="E177" s="44" t="s">
        <v>212</v>
      </c>
      <c r="F177" s="44" t="str">
        <f t="shared" ref="F177:F222" si="4">"VN"&amp;RIGHT(E177,5)</f>
        <v>VN08954</v>
      </c>
      <c r="G177" s="295"/>
      <c r="H177" s="41" t="s">
        <v>67</v>
      </c>
      <c r="I177" s="95">
        <v>45415</v>
      </c>
      <c r="J177" s="122"/>
      <c r="K177" s="122"/>
      <c r="L177" s="147" t="str">
        <f>VLOOKUP(E177,DS!$A$2:$E$4398, 5, 0)</f>
        <v>Kinh doanh NĐ</v>
      </c>
      <c r="M177" s="148"/>
      <c r="N177" s="92" t="e">
        <f>VLOOKUP(Table1[[#This Row],[USER]],[1]!Table145678910111213141545678910111213146[[#All],[No.]:[Delete]],2,0)</f>
        <v>#N/A</v>
      </c>
    </row>
    <row r="178" spans="1:14">
      <c r="A178" s="93">
        <v>173</v>
      </c>
      <c r="B178" s="94">
        <v>2</v>
      </c>
      <c r="C178" s="40" t="s">
        <v>7938</v>
      </c>
      <c r="D178" s="40" t="str">
        <f>VLOOKUP(E178,Sheet3!$A$2:$D$6338,2,0)</f>
        <v>Nguyễn Thị Hương Lan</v>
      </c>
      <c r="E178" s="44" t="s">
        <v>213</v>
      </c>
      <c r="F178" s="44" t="str">
        <f t="shared" si="4"/>
        <v>VN00766</v>
      </c>
      <c r="G178" s="295"/>
      <c r="H178" s="41" t="s">
        <v>67</v>
      </c>
      <c r="I178" s="95">
        <v>45415</v>
      </c>
      <c r="J178" s="122"/>
      <c r="K178" s="122"/>
      <c r="L178" s="147" t="str">
        <f>VLOOKUP(E178,DS!$A$2:$E$4398, 5, 0)</f>
        <v>Kinh doanh NĐ</v>
      </c>
      <c r="M178" s="148"/>
      <c r="N178" s="92" t="e">
        <f>VLOOKUP(Table1[[#This Row],[USER]],[1]!Table145678910111213141545678910111213146[[#All],[No.]:[Delete]],2,0)</f>
        <v>#N/A</v>
      </c>
    </row>
    <row r="179" spans="1:14">
      <c r="A179" s="93">
        <v>174</v>
      </c>
      <c r="B179" s="94">
        <v>3</v>
      </c>
      <c r="C179" s="40" t="s">
        <v>7938</v>
      </c>
      <c r="D179" s="40" t="str">
        <f>VLOOKUP(E179,Sheet3!$A$2:$D$6338,2,0)</f>
        <v>Nông Thị Bích Diệp</v>
      </c>
      <c r="E179" s="44" t="s">
        <v>214</v>
      </c>
      <c r="F179" s="44" t="str">
        <f t="shared" si="4"/>
        <v>VN01014</v>
      </c>
      <c r="G179" s="295"/>
      <c r="H179" s="41" t="s">
        <v>67</v>
      </c>
      <c r="I179" s="95">
        <v>45415</v>
      </c>
      <c r="J179" s="122"/>
      <c r="K179" s="122"/>
      <c r="L179" s="147" t="str">
        <f>VLOOKUP(E179,DS!$A$2:$E$4398, 5, 0)</f>
        <v>Kinh doanh NĐ</v>
      </c>
      <c r="M179" s="148"/>
      <c r="N179" s="92" t="e">
        <f>VLOOKUP(Table1[[#This Row],[USER]],[1]!Table145678910111213141545678910111213146[[#All],[No.]:[Delete]],2,0)</f>
        <v>#N/A</v>
      </c>
    </row>
    <row r="180" spans="1:14">
      <c r="A180" s="93">
        <v>175</v>
      </c>
      <c r="B180" s="94">
        <v>4</v>
      </c>
      <c r="C180" s="40" t="s">
        <v>7938</v>
      </c>
      <c r="D180" s="40" t="str">
        <f>VLOOKUP(E180,Sheet3!$A$2:$D$6338,2,0)</f>
        <v>Lưu Thu Hương</v>
      </c>
      <c r="E180" s="44" t="s">
        <v>220</v>
      </c>
      <c r="F180" s="44" t="str">
        <f t="shared" si="4"/>
        <v>VN16629</v>
      </c>
      <c r="G180" s="295"/>
      <c r="H180" s="41" t="s">
        <v>67</v>
      </c>
      <c r="I180" s="95">
        <v>45415</v>
      </c>
      <c r="J180" s="122"/>
      <c r="K180" s="122"/>
      <c r="L180" s="147" t="str">
        <f>VLOOKUP(E180,DS!$A$2:$E$4398, 5, 0)</f>
        <v>Kinh doanh NĐ</v>
      </c>
      <c r="M180" s="148"/>
      <c r="N180" s="92" t="e">
        <f>VLOOKUP(Table1[[#This Row],[USER]],[1]!Table145678910111213141545678910111213146[[#All],[No.]:[Delete]],2,0)</f>
        <v>#N/A</v>
      </c>
    </row>
    <row r="181" spans="1:14">
      <c r="A181" s="93">
        <v>176</v>
      </c>
      <c r="B181" s="94">
        <v>5</v>
      </c>
      <c r="C181" s="40" t="s">
        <v>7938</v>
      </c>
      <c r="D181" s="40" t="str">
        <f>VLOOKUP(E181,Sheet3!$A$2:$D$6338,2,0)</f>
        <v>Bùi Kim Dung</v>
      </c>
      <c r="E181" s="44" t="s">
        <v>242</v>
      </c>
      <c r="F181" s="44" t="str">
        <f t="shared" si="4"/>
        <v>VN10839</v>
      </c>
      <c r="G181" s="295"/>
      <c r="H181" s="41" t="s">
        <v>67</v>
      </c>
      <c r="I181" s="95">
        <v>45415</v>
      </c>
      <c r="J181" s="122"/>
      <c r="K181" s="122"/>
      <c r="L181" s="147" t="str">
        <f>VLOOKUP(E181,DS!$A$2:$E$4398, 5, 0)</f>
        <v>Kinh doanh XK1</v>
      </c>
      <c r="M181" s="148"/>
      <c r="N181" s="92" t="e">
        <f>VLOOKUP(Table1[[#This Row],[USER]],[1]!Table145678910111213141545678910111213146[[#All],[No.]:[Delete]],2,0)</f>
        <v>#N/A</v>
      </c>
    </row>
    <row r="182" spans="1:14">
      <c r="A182" s="93">
        <v>177</v>
      </c>
      <c r="B182" s="94">
        <v>6</v>
      </c>
      <c r="C182" s="40" t="s">
        <v>7938</v>
      </c>
      <c r="D182" s="40" t="str">
        <f>VLOOKUP(E182,Sheet3!$A$2:$D$6338,2,0)</f>
        <v>Nghiêm Duy Anh</v>
      </c>
      <c r="E182" s="44" t="s">
        <v>222</v>
      </c>
      <c r="F182" s="44" t="str">
        <f t="shared" si="4"/>
        <v>VN11287</v>
      </c>
      <c r="G182" s="295"/>
      <c r="H182" s="41" t="s">
        <v>67</v>
      </c>
      <c r="I182" s="95">
        <v>45415</v>
      </c>
      <c r="J182" s="122"/>
      <c r="K182" s="122"/>
      <c r="L182" s="147" t="str">
        <f>VLOOKUP(E182,DS!$A$2:$E$4398, 5, 0)</f>
        <v>Kinh doanh NĐ</v>
      </c>
      <c r="M182" s="148"/>
      <c r="N182" s="92" t="e">
        <f>VLOOKUP(Table1[[#This Row],[USER]],[1]!Table145678910111213141545678910111213146[[#All],[No.]:[Delete]],2,0)</f>
        <v>#N/A</v>
      </c>
    </row>
    <row r="183" spans="1:14">
      <c r="A183" s="93">
        <v>178</v>
      </c>
      <c r="B183" s="94">
        <v>7</v>
      </c>
      <c r="C183" s="40" t="s">
        <v>7938</v>
      </c>
      <c r="D183" s="40" t="str">
        <f>VLOOKUP(E183,Sheet3!$A$2:$D$6338,2,0)</f>
        <v>Đỗ Thị Duyên</v>
      </c>
      <c r="E183" s="44" t="s">
        <v>237</v>
      </c>
      <c r="F183" s="44" t="str">
        <f t="shared" si="4"/>
        <v>VN23987</v>
      </c>
      <c r="G183" s="295"/>
      <c r="H183" s="41" t="s">
        <v>67</v>
      </c>
      <c r="I183" s="95">
        <v>45415</v>
      </c>
      <c r="J183" s="122"/>
      <c r="K183" s="122"/>
      <c r="L183" s="147" t="str">
        <f>VLOOKUP(E183,DS!$A$2:$E$4398, 5, 0)</f>
        <v>Kinh doanh XK1</v>
      </c>
      <c r="M183" s="148"/>
      <c r="N183" s="92" t="e">
        <f>VLOOKUP(Table1[[#This Row],[USER]],[1]!Table145678910111213141545678910111213146[[#All],[No.]:[Delete]],2,0)</f>
        <v>#N/A</v>
      </c>
    </row>
    <row r="184" spans="1:14">
      <c r="A184" s="93">
        <v>179</v>
      </c>
      <c r="B184" s="94">
        <v>8</v>
      </c>
      <c r="C184" s="40" t="s">
        <v>7938</v>
      </c>
      <c r="D184" s="40" t="str">
        <f>VLOOKUP(E184,Sheet3!$A$2:$D$6338,2,0)</f>
        <v>Đinh Thị Ngọc Dung</v>
      </c>
      <c r="E184" s="44" t="s">
        <v>226</v>
      </c>
      <c r="F184" s="44" t="str">
        <f t="shared" si="4"/>
        <v>VN11581</v>
      </c>
      <c r="G184" s="295"/>
      <c r="H184" s="41" t="s">
        <v>67</v>
      </c>
      <c r="I184" s="95">
        <v>45415</v>
      </c>
      <c r="J184" s="122"/>
      <c r="K184" s="122"/>
      <c r="L184" s="147" t="str">
        <f>VLOOKUP(E184,DS!$A$2:$E$4398, 5, 0)</f>
        <v>Kinh doanh NĐ</v>
      </c>
      <c r="M184" s="148"/>
      <c r="N184" s="92" t="e">
        <f>VLOOKUP(Table1[[#This Row],[USER]],[1]!Table145678910111213141545678910111213146[[#All],[No.]:[Delete]],2,0)</f>
        <v>#N/A</v>
      </c>
    </row>
    <row r="185" spans="1:14">
      <c r="A185" s="93">
        <v>180</v>
      </c>
      <c r="B185" s="94">
        <v>9</v>
      </c>
      <c r="C185" s="40" t="s">
        <v>7938</v>
      </c>
      <c r="D185" s="40" t="str">
        <f>VLOOKUP(E185,Sheet3!$A$2:$D$6338,2,0)</f>
        <v>Tạ Lệ Hằng</v>
      </c>
      <c r="E185" s="44" t="s">
        <v>218</v>
      </c>
      <c r="F185" s="44" t="str">
        <f t="shared" si="4"/>
        <v>VN11288</v>
      </c>
      <c r="G185" s="295"/>
      <c r="H185" s="41" t="s">
        <v>67</v>
      </c>
      <c r="I185" s="95">
        <v>45415</v>
      </c>
      <c r="J185" s="122"/>
      <c r="K185" s="122"/>
      <c r="L185" s="147" t="str">
        <f>VLOOKUP(E185,DS!$A$2:$E$4398, 5, 0)</f>
        <v>Kinh doanh XK1</v>
      </c>
      <c r="M185" s="148"/>
      <c r="N185" s="92" t="e">
        <f>VLOOKUP(Table1[[#This Row],[USER]],[1]!Table145678910111213141545678910111213146[[#All],[No.]:[Delete]],2,0)</f>
        <v>#N/A</v>
      </c>
    </row>
    <row r="186" spans="1:14">
      <c r="A186" s="93">
        <v>181</v>
      </c>
      <c r="B186" s="94">
        <v>10</v>
      </c>
      <c r="C186" s="40" t="s">
        <v>7938</v>
      </c>
      <c r="D186" s="40" t="str">
        <f>VLOOKUP(E186,Sheet3!$A$2:$D$6338,2,0)</f>
        <v>Ngô Thị Phương Hạnh</v>
      </c>
      <c r="E186" s="44" t="s">
        <v>247</v>
      </c>
      <c r="F186" s="44" t="str">
        <f t="shared" si="4"/>
        <v>VN01777</v>
      </c>
      <c r="G186" s="295"/>
      <c r="H186" s="41" t="s">
        <v>67</v>
      </c>
      <c r="I186" s="95">
        <v>45415</v>
      </c>
      <c r="J186" s="122"/>
      <c r="K186" s="122"/>
      <c r="L186" s="147" t="str">
        <f>VLOOKUP(E186,DS!$A$2:$E$4398, 5, 0)</f>
        <v>Kinh doanh XK2</v>
      </c>
      <c r="M186" s="148"/>
      <c r="N186" s="92" t="e">
        <f>VLOOKUP(Table1[[#This Row],[USER]],[1]!Table145678910111213141545678910111213146[[#All],[No.]:[Delete]],2,0)</f>
        <v>#N/A</v>
      </c>
    </row>
    <row r="187" spans="1:14">
      <c r="A187" s="93">
        <v>182</v>
      </c>
      <c r="B187" s="94">
        <v>11</v>
      </c>
      <c r="C187" s="40" t="s">
        <v>7938</v>
      </c>
      <c r="D187" s="40" t="str">
        <f>VLOOKUP(E187,Sheet3!$A$2:$D$6338,2,0)</f>
        <v>Bạch Văn Hậu</v>
      </c>
      <c r="E187" s="44" t="s">
        <v>227</v>
      </c>
      <c r="F187" s="44" t="str">
        <f t="shared" si="4"/>
        <v>VN08787</v>
      </c>
      <c r="G187" s="295"/>
      <c r="H187" s="41" t="s">
        <v>67</v>
      </c>
      <c r="I187" s="95">
        <v>45415</v>
      </c>
      <c r="J187" s="122"/>
      <c r="K187" s="122"/>
      <c r="L187" s="147" t="str">
        <f>VLOOKUP(E187,DS!$A$2:$E$4398, 5, 0)</f>
        <v>Kinh doanh NĐ</v>
      </c>
      <c r="M187" s="148"/>
      <c r="N187" s="92" t="e">
        <f>VLOOKUP(Table1[[#This Row],[USER]],[1]!Table145678910111213141545678910111213146[[#All],[No.]:[Delete]],2,0)</f>
        <v>#N/A</v>
      </c>
    </row>
    <row r="188" spans="1:14">
      <c r="A188" s="93">
        <v>183</v>
      </c>
      <c r="B188" s="94">
        <v>12</v>
      </c>
      <c r="C188" s="40" t="s">
        <v>7938</v>
      </c>
      <c r="D188" s="40" t="str">
        <f>VLOOKUP(E188,Sheet3!$A$2:$D$6338,2,0)</f>
        <v>Đỗ Văn Tuấn</v>
      </c>
      <c r="E188" s="44" t="s">
        <v>232</v>
      </c>
      <c r="F188" s="44" t="str">
        <f t="shared" si="4"/>
        <v>VN10507</v>
      </c>
      <c r="G188" s="295"/>
      <c r="H188" s="41" t="s">
        <v>67</v>
      </c>
      <c r="I188" s="95">
        <v>45415</v>
      </c>
      <c r="J188" s="122">
        <v>45806</v>
      </c>
      <c r="K188" s="122">
        <v>45806</v>
      </c>
      <c r="L188" s="147" t="e">
        <f>VLOOKUP(E188,DS!$A$2:$E$4398, 5, 0)</f>
        <v>#N/A</v>
      </c>
      <c r="M188" s="148"/>
      <c r="N188" s="92" t="e">
        <f>VLOOKUP(Table1[[#This Row],[USER]],[1]!Table145678910111213141545678910111213146[[#All],[No.]:[Delete]],2,0)</f>
        <v>#N/A</v>
      </c>
    </row>
    <row r="189" spans="1:14">
      <c r="A189" s="93">
        <v>184</v>
      </c>
      <c r="B189" s="94">
        <v>13</v>
      </c>
      <c r="C189" s="40" t="s">
        <v>216</v>
      </c>
      <c r="D189" s="40" t="str">
        <f>VLOOKUP(E189,Sheet3!$A$2:$D$6338,2,0)</f>
        <v>Nguyễn Thu Hoài</v>
      </c>
      <c r="E189" s="44" t="s">
        <v>217</v>
      </c>
      <c r="F189" s="44" t="str">
        <f t="shared" si="4"/>
        <v>VN24870</v>
      </c>
      <c r="G189" s="295"/>
      <c r="H189" s="41" t="s">
        <v>67</v>
      </c>
      <c r="I189" s="95">
        <v>45444</v>
      </c>
      <c r="J189" s="122"/>
      <c r="K189" s="122"/>
      <c r="L189" s="147" t="str">
        <f>VLOOKUP(E189,DS!$A$2:$E$4398, 5, 0)</f>
        <v>Kinh doanh XK1</v>
      </c>
      <c r="M189" s="148"/>
      <c r="N189" s="92" t="e">
        <f>VLOOKUP(Table1[[#This Row],[USER]],[1]!Table145678910111213141545678910111213146[[#All],[No.]:[Delete]],2,0)</f>
        <v>#N/A</v>
      </c>
    </row>
    <row r="190" spans="1:14">
      <c r="A190" s="93">
        <v>185</v>
      </c>
      <c r="B190" s="94">
        <v>14</v>
      </c>
      <c r="C190" s="40" t="s">
        <v>7938</v>
      </c>
      <c r="D190" s="40" t="str">
        <f>VLOOKUP(E190,Sheet3!$A$2:$D$6338,2,0)</f>
        <v>Đoàn Xuân Hiệp</v>
      </c>
      <c r="E190" s="44" t="s">
        <v>221</v>
      </c>
      <c r="F190" s="44" t="str">
        <f t="shared" si="4"/>
        <v>VN04844</v>
      </c>
      <c r="G190" s="295"/>
      <c r="H190" s="41" t="s">
        <v>67</v>
      </c>
      <c r="I190" s="95">
        <v>45415</v>
      </c>
      <c r="J190" s="122"/>
      <c r="K190" s="122"/>
      <c r="L190" s="147" t="str">
        <f>VLOOKUP(E190,DS!$A$2:$E$4398, 5, 0)</f>
        <v>Kinh doanh NĐ</v>
      </c>
      <c r="M190" s="148"/>
      <c r="N190" s="92" t="e">
        <f>VLOOKUP(Table1[[#This Row],[USER]],[1]!Table145678910111213141545678910111213146[[#All],[No.]:[Delete]],2,0)</f>
        <v>#N/A</v>
      </c>
    </row>
    <row r="191" spans="1:14">
      <c r="A191" s="93">
        <v>186</v>
      </c>
      <c r="B191" s="94">
        <v>15</v>
      </c>
      <c r="C191" s="40" t="s">
        <v>7938</v>
      </c>
      <c r="D191" s="40" t="str">
        <f>VLOOKUP(E191,Sheet3!$A$2:$D$6338,2,0)</f>
        <v>Đoàn Duy Hoàng</v>
      </c>
      <c r="E191" s="44" t="s">
        <v>244</v>
      </c>
      <c r="F191" s="44" t="str">
        <f t="shared" si="4"/>
        <v>VN13855</v>
      </c>
      <c r="G191" s="295"/>
      <c r="H191" s="41" t="s">
        <v>67</v>
      </c>
      <c r="I191" s="95">
        <v>45415</v>
      </c>
      <c r="J191" s="122"/>
      <c r="K191" s="122"/>
      <c r="L191" s="147" t="str">
        <f>VLOOKUP(E191,DS!$A$2:$E$4398, 5, 0)</f>
        <v>Kinh doanh XK2</v>
      </c>
      <c r="M191" s="148"/>
      <c r="N191" s="92" t="e">
        <f>VLOOKUP(Table1[[#This Row],[USER]],[1]!Table145678910111213141545678910111213146[[#All],[No.]:[Delete]],2,0)</f>
        <v>#N/A</v>
      </c>
    </row>
    <row r="192" spans="1:14">
      <c r="A192" s="93">
        <v>187</v>
      </c>
      <c r="B192" s="94">
        <v>16</v>
      </c>
      <c r="C192" s="40" t="s">
        <v>7938</v>
      </c>
      <c r="D192" s="40" t="str">
        <f>VLOOKUP(E192,Sheet3!$A$2:$D$6338,2,0)</f>
        <v>Đặng Hoàng Yến</v>
      </c>
      <c r="E192" s="44" t="s">
        <v>224</v>
      </c>
      <c r="F192" s="44" t="str">
        <f t="shared" si="4"/>
        <v>VN24409</v>
      </c>
      <c r="G192" s="295"/>
      <c r="H192" s="41" t="s">
        <v>67</v>
      </c>
      <c r="I192" s="95">
        <v>45415</v>
      </c>
      <c r="J192" s="122"/>
      <c r="K192" s="122"/>
      <c r="L192" s="147" t="str">
        <f>VLOOKUP(E192,DS!$A$2:$E$4398, 5, 0)</f>
        <v>Kinh doanh XK2</v>
      </c>
      <c r="M192" s="148"/>
      <c r="N192" s="92" t="e">
        <f>VLOOKUP(Table1[[#This Row],[USER]],[1]!Table145678910111213141545678910111213146[[#All],[No.]:[Delete]],2,0)</f>
        <v>#N/A</v>
      </c>
    </row>
    <row r="193" spans="1:14">
      <c r="A193" s="93">
        <v>188</v>
      </c>
      <c r="B193" s="94">
        <v>17</v>
      </c>
      <c r="C193" s="40" t="s">
        <v>7938</v>
      </c>
      <c r="D193" s="40" t="str">
        <f>VLOOKUP(E193,Sheet3!$A$2:$D$6338,2,0)</f>
        <v>Ngô Thị Minh Huế</v>
      </c>
      <c r="E193" s="44" t="s">
        <v>235</v>
      </c>
      <c r="F193" s="44" t="str">
        <f t="shared" si="4"/>
        <v>VN24010</v>
      </c>
      <c r="G193" s="295"/>
      <c r="H193" s="41" t="s">
        <v>67</v>
      </c>
      <c r="I193" s="95">
        <v>45415</v>
      </c>
      <c r="J193" s="122">
        <v>45925</v>
      </c>
      <c r="K193" s="122">
        <v>45960</v>
      </c>
      <c r="L193" s="147" t="e">
        <f>VLOOKUP(E193,DS!$A$2:$E$4398, 5, 0)</f>
        <v>#N/A</v>
      </c>
      <c r="M193" s="148"/>
      <c r="N193" s="92" t="e">
        <f>VLOOKUP(Table1[[#This Row],[USER]],[1]!Table145678910111213141545678910111213146[[#All],[No.]:[Delete]],2,0)</f>
        <v>#N/A</v>
      </c>
    </row>
    <row r="194" spans="1:14">
      <c r="A194" s="93">
        <v>189</v>
      </c>
      <c r="B194" s="94">
        <v>18</v>
      </c>
      <c r="C194" s="40" t="s">
        <v>7938</v>
      </c>
      <c r="D194" s="40" t="str">
        <f>VLOOKUP(E194,Sheet3!$A$2:$D$6338,2,0)</f>
        <v>Đinh Thị Giáng Hương</v>
      </c>
      <c r="E194" s="44" t="s">
        <v>238</v>
      </c>
      <c r="F194" s="44" t="str">
        <f t="shared" si="4"/>
        <v>VN03423</v>
      </c>
      <c r="G194" s="295"/>
      <c r="H194" s="41" t="s">
        <v>67</v>
      </c>
      <c r="I194" s="95">
        <v>45415</v>
      </c>
      <c r="J194" s="122"/>
      <c r="K194" s="122"/>
      <c r="L194" s="147" t="str">
        <f>VLOOKUP(E194,DS!$A$2:$E$4398, 5, 0)</f>
        <v>Kinh doanh XK1</v>
      </c>
      <c r="M194" s="148"/>
      <c r="N194" s="92" t="e">
        <f>VLOOKUP(Table1[[#This Row],[USER]],[1]!Table145678910111213141545678910111213146[[#All],[No.]:[Delete]],2,0)</f>
        <v>#N/A</v>
      </c>
    </row>
    <row r="195" spans="1:14">
      <c r="A195" s="93">
        <v>190</v>
      </c>
      <c r="B195" s="94">
        <v>19</v>
      </c>
      <c r="C195" s="40" t="s">
        <v>7938</v>
      </c>
      <c r="D195" s="40" t="str">
        <f>VLOOKUP(E195,Sheet3!$A$2:$D$6338,2,0)</f>
        <v>Lương Thị Thanh Huyền</v>
      </c>
      <c r="E195" s="44" t="s">
        <v>248</v>
      </c>
      <c r="F195" s="44" t="str">
        <f t="shared" si="4"/>
        <v>VN01204</v>
      </c>
      <c r="G195" s="295"/>
      <c r="H195" s="41" t="s">
        <v>67</v>
      </c>
      <c r="I195" s="95">
        <v>45415</v>
      </c>
      <c r="J195" s="122"/>
      <c r="K195" s="122"/>
      <c r="L195" s="147" t="str">
        <f>VLOOKUP(E195,DS!$A$2:$E$4398, 5, 0)</f>
        <v>Kinh doanh XK1</v>
      </c>
      <c r="M195" s="148"/>
      <c r="N195" s="92" t="e">
        <f>VLOOKUP(Table1[[#This Row],[USER]],[1]!Table145678910111213141545678910111213146[[#All],[No.]:[Delete]],2,0)</f>
        <v>#N/A</v>
      </c>
    </row>
    <row r="196" spans="1:14">
      <c r="A196" s="93">
        <v>191</v>
      </c>
      <c r="B196" s="94">
        <v>20</v>
      </c>
      <c r="C196" s="40" t="s">
        <v>7938</v>
      </c>
      <c r="D196" s="40" t="str">
        <f>VLOOKUP(E196,Sheet3!$A$2:$D$6338,2,0)</f>
        <v>Nguyễn Khánh Huyền</v>
      </c>
      <c r="E196" s="44" t="s">
        <v>254</v>
      </c>
      <c r="F196" s="44" t="str">
        <f t="shared" si="4"/>
        <v>VN24329</v>
      </c>
      <c r="G196" s="295"/>
      <c r="H196" s="41" t="s">
        <v>67</v>
      </c>
      <c r="I196" s="95">
        <v>45415</v>
      </c>
      <c r="J196" s="122"/>
      <c r="K196" s="122"/>
      <c r="L196" s="147" t="str">
        <f>VLOOKUP(E196,DS!$A$2:$E$4398, 5, 0)</f>
        <v>Kinh doanh XK1</v>
      </c>
      <c r="M196" s="148"/>
      <c r="N196" s="92" t="e">
        <f>VLOOKUP(Table1[[#This Row],[USER]],[1]!Table145678910111213141545678910111213146[[#All],[No.]:[Delete]],2,0)</f>
        <v>#N/A</v>
      </c>
    </row>
    <row r="197" spans="1:14">
      <c r="A197" s="93">
        <v>192</v>
      </c>
      <c r="B197" s="94">
        <v>21</v>
      </c>
      <c r="C197" s="40" t="s">
        <v>7938</v>
      </c>
      <c r="D197" s="40" t="str">
        <f>VLOOKUP(E197,Sheet3!$A$2:$D$6338,2,0)</f>
        <v>Nguyễn Thị Huệ</v>
      </c>
      <c r="E197" s="44" t="s">
        <v>233</v>
      </c>
      <c r="F197" s="44" t="str">
        <f t="shared" si="4"/>
        <v>VN03550</v>
      </c>
      <c r="G197" s="295"/>
      <c r="H197" s="41" t="s">
        <v>67</v>
      </c>
      <c r="I197" s="95">
        <v>45415</v>
      </c>
      <c r="J197" s="122"/>
      <c r="K197" s="122"/>
      <c r="L197" s="147" t="str">
        <f>VLOOKUP(E197,DS!$A$2:$E$4398, 5, 0)</f>
        <v>Kinh doanh NĐ</v>
      </c>
      <c r="M197" s="148"/>
      <c r="N197" s="92" t="e">
        <f>VLOOKUP(Table1[[#This Row],[USER]],[1]!Table145678910111213141545678910111213146[[#All],[No.]:[Delete]],2,0)</f>
        <v>#N/A</v>
      </c>
    </row>
    <row r="198" spans="1:14">
      <c r="A198" s="93">
        <v>193</v>
      </c>
      <c r="B198" s="94">
        <v>22</v>
      </c>
      <c r="C198" s="40" t="s">
        <v>7938</v>
      </c>
      <c r="D198" s="40" t="str">
        <f>VLOOKUP(E198,Sheet3!$A$2:$D$6338,2,0)</f>
        <v>Nguyễn Thị Khuyên</v>
      </c>
      <c r="E198" s="44" t="s">
        <v>249</v>
      </c>
      <c r="F198" s="44" t="str">
        <f t="shared" si="4"/>
        <v>VN14394</v>
      </c>
      <c r="G198" s="295"/>
      <c r="H198" s="41" t="s">
        <v>67</v>
      </c>
      <c r="I198" s="95">
        <v>45415</v>
      </c>
      <c r="J198" s="122"/>
      <c r="K198" s="122"/>
      <c r="L198" s="147" t="str">
        <f>VLOOKUP(E198,DS!$A$2:$E$4398, 5, 0)</f>
        <v>Kinh doanh XK2</v>
      </c>
      <c r="M198" s="148"/>
      <c r="N198" s="92" t="e">
        <f>VLOOKUP(Table1[[#This Row],[USER]],[1]!Table145678910111213141545678910111213146[[#All],[No.]:[Delete]],2,0)</f>
        <v>#N/A</v>
      </c>
    </row>
    <row r="199" spans="1:14">
      <c r="A199" s="93">
        <v>194</v>
      </c>
      <c r="B199" s="94">
        <v>23</v>
      </c>
      <c r="C199" s="40" t="s">
        <v>7938</v>
      </c>
      <c r="D199" s="40" t="str">
        <f>VLOOKUP(E199,Sheet3!$A$2:$D$6338,2,0)</f>
        <v>Nguyễn Thị Thùy Linh</v>
      </c>
      <c r="E199" s="44" t="s">
        <v>256</v>
      </c>
      <c r="F199" s="44" t="str">
        <f t="shared" si="4"/>
        <v>VN19818</v>
      </c>
      <c r="G199" s="295"/>
      <c r="H199" s="41" t="s">
        <v>67</v>
      </c>
      <c r="I199" s="95">
        <v>45415</v>
      </c>
      <c r="J199" s="122"/>
      <c r="K199" s="122"/>
      <c r="L199" s="147" t="str">
        <f>VLOOKUP(E199,DS!$A$2:$E$4398, 5, 0)</f>
        <v>Kinh doanh XK1</v>
      </c>
      <c r="M199" s="148"/>
      <c r="N199" s="92" t="e">
        <f>VLOOKUP(Table1[[#This Row],[USER]],[1]!Table145678910111213141545678910111213146[[#All],[No.]:[Delete]],2,0)</f>
        <v>#N/A</v>
      </c>
    </row>
    <row r="200" spans="1:14">
      <c r="A200" s="93">
        <v>195</v>
      </c>
      <c r="B200" s="94">
        <v>24</v>
      </c>
      <c r="C200" s="40" t="s">
        <v>7938</v>
      </c>
      <c r="D200" s="40" t="str">
        <f>VLOOKUP(E200,Sheet3!$A$2:$D$6338,2,0)</f>
        <v>Trần Minh Nguyệt</v>
      </c>
      <c r="E200" s="44" t="s">
        <v>240</v>
      </c>
      <c r="F200" s="44" t="str">
        <f t="shared" si="4"/>
        <v>VN10704</v>
      </c>
      <c r="G200" s="295"/>
      <c r="H200" s="41" t="s">
        <v>67</v>
      </c>
      <c r="I200" s="95">
        <v>45415</v>
      </c>
      <c r="J200" s="122"/>
      <c r="K200" s="122"/>
      <c r="L200" s="147" t="str">
        <f>VLOOKUP(E200,DS!$A$2:$E$4398, 5, 0)</f>
        <v>Kinh doanh XK1</v>
      </c>
      <c r="M200" s="148"/>
      <c r="N200" s="92" t="e">
        <f>VLOOKUP(Table1[[#This Row],[USER]],[1]!Table145678910111213141545678910111213146[[#All],[No.]:[Delete]],2,0)</f>
        <v>#N/A</v>
      </c>
    </row>
    <row r="201" spans="1:14">
      <c r="A201" s="93">
        <v>196</v>
      </c>
      <c r="B201" s="94">
        <v>25</v>
      </c>
      <c r="C201" s="40" t="s">
        <v>7938</v>
      </c>
      <c r="D201" s="40" t="str">
        <f>VLOOKUP(E201,Sheet3!$A$2:$D$6338,2,0)</f>
        <v>Lê Thị Quỳnh Mai</v>
      </c>
      <c r="E201" s="44" t="s">
        <v>255</v>
      </c>
      <c r="F201" s="44" t="str">
        <f t="shared" si="4"/>
        <v>VN24338</v>
      </c>
      <c r="G201" s="295"/>
      <c r="H201" s="41" t="s">
        <v>67</v>
      </c>
      <c r="I201" s="95">
        <v>45415</v>
      </c>
      <c r="J201" s="122"/>
      <c r="K201" s="122"/>
      <c r="L201" s="147" t="str">
        <f>VLOOKUP(E201,DS!$A$2:$E$4398, 5, 0)</f>
        <v>Kinh doanh XK2</v>
      </c>
      <c r="M201" s="148"/>
      <c r="N201" s="92" t="e">
        <f>VLOOKUP(Table1[[#This Row],[USER]],[1]!Table145678910111213141545678910111213146[[#All],[No.]:[Delete]],2,0)</f>
        <v>#N/A</v>
      </c>
    </row>
    <row r="202" spans="1:14">
      <c r="A202" s="93">
        <v>197</v>
      </c>
      <c r="B202" s="94">
        <v>26</v>
      </c>
      <c r="C202" s="40" t="s">
        <v>7938</v>
      </c>
      <c r="D202" s="40" t="str">
        <f>VLOOKUP(E202,Sheet3!$A$2:$D$6338,2,0)</f>
        <v>Lê Thị Ngân</v>
      </c>
      <c r="E202" s="44" t="s">
        <v>246</v>
      </c>
      <c r="F202" s="44" t="str">
        <f t="shared" si="4"/>
        <v>VN11458</v>
      </c>
      <c r="G202" s="295"/>
      <c r="H202" s="41" t="s">
        <v>67</v>
      </c>
      <c r="I202" s="95">
        <v>45415</v>
      </c>
      <c r="J202" s="122"/>
      <c r="K202" s="122"/>
      <c r="L202" s="147" t="str">
        <f>VLOOKUP(E202,DS!$A$2:$E$4398, 5, 0)</f>
        <v>Kinh doanh XK2</v>
      </c>
      <c r="M202" s="148"/>
      <c r="N202" s="92" t="e">
        <f>VLOOKUP(Table1[[#This Row],[USER]],[1]!Table145678910111213141545678910111213146[[#All],[No.]:[Delete]],2,0)</f>
        <v>#N/A</v>
      </c>
    </row>
    <row r="203" spans="1:14">
      <c r="A203" s="93">
        <v>198</v>
      </c>
      <c r="B203" s="94">
        <v>27</v>
      </c>
      <c r="C203" s="40" t="s">
        <v>7938</v>
      </c>
      <c r="D203" s="40" t="str">
        <f>VLOOKUP(E203,Sheet3!$A$2:$D$6338,2,0)</f>
        <v>Nguyễn Trung Nguyên</v>
      </c>
      <c r="E203" s="44" t="s">
        <v>257</v>
      </c>
      <c r="F203" s="44" t="str">
        <f t="shared" si="4"/>
        <v>VN20230</v>
      </c>
      <c r="G203" s="295"/>
      <c r="H203" s="41" t="s">
        <v>67</v>
      </c>
      <c r="I203" s="95">
        <v>45415</v>
      </c>
      <c r="J203" s="122">
        <v>45806</v>
      </c>
      <c r="K203" s="122">
        <v>45806</v>
      </c>
      <c r="L203" s="147" t="e">
        <f>VLOOKUP(E203,DS!$A$2:$E$4398, 5, 0)</f>
        <v>#N/A</v>
      </c>
      <c r="M203" s="148"/>
      <c r="N203" s="92" t="e">
        <f>VLOOKUP(Table1[[#This Row],[USER]],[1]!Table145678910111213141545678910111213146[[#All],[No.]:[Delete]],2,0)</f>
        <v>#N/A</v>
      </c>
    </row>
    <row r="204" spans="1:14">
      <c r="A204" s="93">
        <v>199</v>
      </c>
      <c r="B204" s="94">
        <v>28</v>
      </c>
      <c r="C204" s="40" t="s">
        <v>7938</v>
      </c>
      <c r="D204" s="40" t="str">
        <f>VLOOKUP(E204,Sheet3!$A$2:$D$6338,2,0)</f>
        <v>Phạm Quang Nhật</v>
      </c>
      <c r="E204" s="44" t="s">
        <v>225</v>
      </c>
      <c r="F204" s="44" t="str">
        <f t="shared" si="4"/>
        <v>VN14377</v>
      </c>
      <c r="G204" s="295"/>
      <c r="H204" s="41" t="s">
        <v>67</v>
      </c>
      <c r="I204" s="95">
        <v>45415</v>
      </c>
      <c r="J204" s="122"/>
      <c r="K204" s="122"/>
      <c r="L204" s="147" t="str">
        <f>VLOOKUP(E204,DS!$A$2:$E$4398, 5, 0)</f>
        <v>Kinh doanh XK2</v>
      </c>
      <c r="M204" s="148"/>
      <c r="N204" s="92" t="e">
        <f>VLOOKUP(Table1[[#This Row],[USER]],[1]!Table145678910111213141545678910111213146[[#All],[No.]:[Delete]],2,0)</f>
        <v>#N/A</v>
      </c>
    </row>
    <row r="205" spans="1:14">
      <c r="A205" s="93">
        <v>200</v>
      </c>
      <c r="B205" s="94">
        <v>29</v>
      </c>
      <c r="C205" s="40" t="s">
        <v>7938</v>
      </c>
      <c r="D205" s="40" t="str">
        <f>VLOOKUP(E205,Sheet3!$A$2:$D$6338,2,0)</f>
        <v>Nguyễn Hồng Nhung</v>
      </c>
      <c r="E205" s="44" t="s">
        <v>809</v>
      </c>
      <c r="F205" s="44" t="str">
        <f t="shared" si="4"/>
        <v>VN24324</v>
      </c>
      <c r="G205" s="295"/>
      <c r="H205" s="41" t="s">
        <v>67</v>
      </c>
      <c r="I205" s="95">
        <v>45415</v>
      </c>
      <c r="J205" s="122"/>
      <c r="K205" s="122"/>
      <c r="L205" s="147" t="str">
        <f>VLOOKUP(E205,DS!$A$2:$E$4398, 5, 0)</f>
        <v>Kinh doanh XK1</v>
      </c>
      <c r="M205" s="148"/>
      <c r="N205" s="92" t="e">
        <f>VLOOKUP(Table1[[#This Row],[USER]],[1]!Table145678910111213141545678910111213146[[#All],[No.]:[Delete]],2,0)</f>
        <v>#N/A</v>
      </c>
    </row>
    <row r="206" spans="1:14">
      <c r="A206" s="93">
        <v>201</v>
      </c>
      <c r="B206" s="94">
        <v>30</v>
      </c>
      <c r="C206" s="40" t="s">
        <v>7938</v>
      </c>
      <c r="D206" s="40" t="str">
        <f>VLOOKUP(E206,Sheet3!$A$2:$D$6338,2,0)</f>
        <v>Phạm Thị Kiều Oanh</v>
      </c>
      <c r="E206" s="44" t="s">
        <v>236</v>
      </c>
      <c r="F206" s="44" t="str">
        <f t="shared" si="4"/>
        <v>VN11799</v>
      </c>
      <c r="G206" s="295"/>
      <c r="H206" s="41" t="s">
        <v>67</v>
      </c>
      <c r="I206" s="95">
        <v>45415</v>
      </c>
      <c r="J206" s="122"/>
      <c r="K206" s="122"/>
      <c r="L206" s="147" t="str">
        <f>VLOOKUP(E206,DS!$A$2:$E$4398, 5, 0)</f>
        <v>Kinh doanh XK2</v>
      </c>
      <c r="M206" s="148"/>
      <c r="N206" s="92" t="e">
        <f>VLOOKUP(Table1[[#This Row],[USER]],[1]!Table145678910111213141545678910111213146[[#All],[No.]:[Delete]],2,0)</f>
        <v>#N/A</v>
      </c>
    </row>
    <row r="207" spans="1:14">
      <c r="A207" s="93">
        <v>202</v>
      </c>
      <c r="B207" s="94">
        <v>31</v>
      </c>
      <c r="C207" s="40" t="s">
        <v>7938</v>
      </c>
      <c r="D207" s="40" t="str">
        <f>VLOOKUP(E207,Sheet3!$A$2:$D$6338,2,0)</f>
        <v>Hà Thị Bích Phương</v>
      </c>
      <c r="E207" s="44" t="s">
        <v>219</v>
      </c>
      <c r="F207" s="44" t="str">
        <f t="shared" si="4"/>
        <v>VN14517</v>
      </c>
      <c r="G207" s="295"/>
      <c r="H207" s="41" t="s">
        <v>67</v>
      </c>
      <c r="I207" s="95">
        <v>45415</v>
      </c>
      <c r="J207" s="122"/>
      <c r="K207" s="122"/>
      <c r="L207" s="147" t="str">
        <f>VLOOKUP(E207,DS!$A$2:$E$4398, 5, 0)</f>
        <v>Kinh doanh NĐ</v>
      </c>
      <c r="M207" s="148"/>
      <c r="N207" s="92" t="e">
        <f>VLOOKUP(Table1[[#This Row],[USER]],[1]!Table145678910111213141545678910111213146[[#All],[No.]:[Delete]],2,0)</f>
        <v>#N/A</v>
      </c>
    </row>
    <row r="208" spans="1:14">
      <c r="A208" s="93">
        <v>203</v>
      </c>
      <c r="B208" s="94">
        <v>32</v>
      </c>
      <c r="C208" s="40" t="s">
        <v>7938</v>
      </c>
      <c r="D208" s="40" t="str">
        <f>VLOOKUP(E208,Sheet3!$A$2:$D$6338,2,0)</f>
        <v>Nguyễn Thị Thu Phương</v>
      </c>
      <c r="E208" s="44" t="s">
        <v>251</v>
      </c>
      <c r="F208" s="44" t="str">
        <f t="shared" si="4"/>
        <v>VN07918</v>
      </c>
      <c r="G208" s="295"/>
      <c r="H208" s="41" t="s">
        <v>67</v>
      </c>
      <c r="I208" s="95">
        <v>45415</v>
      </c>
      <c r="J208" s="122"/>
      <c r="K208" s="122"/>
      <c r="L208" s="147" t="str">
        <f>VLOOKUP(E208,DS!$A$2:$E$4398, 5, 0)</f>
        <v>Kinh doanh NĐ</v>
      </c>
      <c r="M208" s="148"/>
      <c r="N208" s="92" t="e">
        <f>VLOOKUP(Table1[[#This Row],[USER]],[1]!Table145678910111213141545678910111213146[[#All],[No.]:[Delete]],2,0)</f>
        <v>#N/A</v>
      </c>
    </row>
    <row r="209" spans="1:14">
      <c r="A209" s="93">
        <v>204</v>
      </c>
      <c r="B209" s="94">
        <v>33</v>
      </c>
      <c r="C209" s="40" t="s">
        <v>7938</v>
      </c>
      <c r="D209" s="40" t="str">
        <f>VLOOKUP(E209,Sheet3!$A$2:$D$6338,2,0)</f>
        <v>Nguyễn Thị Nga</v>
      </c>
      <c r="E209" s="44" t="s">
        <v>250</v>
      </c>
      <c r="F209" s="44" t="str">
        <f t="shared" si="4"/>
        <v>VN10369</v>
      </c>
      <c r="G209" s="295"/>
      <c r="H209" s="41" t="s">
        <v>67</v>
      </c>
      <c r="I209" s="95">
        <v>45415</v>
      </c>
      <c r="J209" s="122"/>
      <c r="K209" s="122"/>
      <c r="L209" s="147" t="str">
        <f>VLOOKUP(E209,DS!$A$2:$E$4398, 5, 0)</f>
        <v>Kinh doanh XK2</v>
      </c>
      <c r="M209" s="148"/>
      <c r="N209" s="92" t="e">
        <f>VLOOKUP(Table1[[#This Row],[USER]],[1]!Table145678910111213141545678910111213146[[#All],[No.]:[Delete]],2,0)</f>
        <v>#N/A</v>
      </c>
    </row>
    <row r="210" spans="1:14">
      <c r="A210" s="93">
        <v>205</v>
      </c>
      <c r="B210" s="94">
        <v>34</v>
      </c>
      <c r="C210" s="40" t="s">
        <v>7938</v>
      </c>
      <c r="D210" s="40" t="str">
        <f>VLOOKUP(E210,Sheet3!$A$2:$D$6338,2,0)</f>
        <v>Trần Thị Hậu</v>
      </c>
      <c r="E210" s="44" t="s">
        <v>228</v>
      </c>
      <c r="F210" s="44" t="str">
        <f t="shared" si="4"/>
        <v>VN14150</v>
      </c>
      <c r="G210" s="295"/>
      <c r="H210" s="41" t="s">
        <v>67</v>
      </c>
      <c r="I210" s="95">
        <v>45415</v>
      </c>
      <c r="J210" s="122"/>
      <c r="K210" s="122"/>
      <c r="L210" s="147" t="str">
        <f>VLOOKUP(E210,DS!$A$2:$E$4398, 5, 0)</f>
        <v>Kinh doanh XK1</v>
      </c>
      <c r="M210" s="148"/>
      <c r="N210" s="92" t="e">
        <f>VLOOKUP(Table1[[#This Row],[USER]],[1]!Table145678910111213141545678910111213146[[#All],[No.]:[Delete]],2,0)</f>
        <v>#N/A</v>
      </c>
    </row>
    <row r="211" spans="1:14">
      <c r="A211" s="93">
        <v>206</v>
      </c>
      <c r="B211" s="94">
        <v>35</v>
      </c>
      <c r="C211" s="40" t="s">
        <v>7938</v>
      </c>
      <c r="D211" s="40" t="str">
        <f>VLOOKUP(E211,Sheet3!$A$2:$D$6338,2,0)</f>
        <v>Nguyễn Thị Thu Thanh</v>
      </c>
      <c r="E211" s="44" t="s">
        <v>252</v>
      </c>
      <c r="F211" s="44" t="str">
        <f t="shared" si="4"/>
        <v>VN19423</v>
      </c>
      <c r="G211" s="295"/>
      <c r="H211" s="41" t="s">
        <v>67</v>
      </c>
      <c r="I211" s="95">
        <v>45415</v>
      </c>
      <c r="J211" s="122"/>
      <c r="K211" s="122"/>
      <c r="L211" s="147" t="str">
        <f>VLOOKUP(E211,DS!$A$2:$E$4398, 5, 0)</f>
        <v>Kinh doanh XK1</v>
      </c>
      <c r="M211" s="148"/>
      <c r="N211" s="92" t="e">
        <f>VLOOKUP(Table1[[#This Row],[USER]],[1]!Table145678910111213141545678910111213146[[#All],[No.]:[Delete]],2,0)</f>
        <v>#N/A</v>
      </c>
    </row>
    <row r="212" spans="1:14">
      <c r="A212" s="93">
        <v>207</v>
      </c>
      <c r="B212" s="94">
        <v>36</v>
      </c>
      <c r="C212" s="40" t="s">
        <v>7938</v>
      </c>
      <c r="D212" s="40" t="str">
        <f>VLOOKUP(E212,Sheet3!$A$2:$D$6338,2,0)</f>
        <v>Đoàn Văn Thế</v>
      </c>
      <c r="E212" s="44" t="s">
        <v>229</v>
      </c>
      <c r="F212" s="44" t="str">
        <f t="shared" si="4"/>
        <v>VN24014</v>
      </c>
      <c r="G212" s="295"/>
      <c r="H212" s="41" t="s">
        <v>67</v>
      </c>
      <c r="I212" s="95">
        <v>45415</v>
      </c>
      <c r="J212" s="122">
        <v>45806</v>
      </c>
      <c r="K212" s="122">
        <v>45806</v>
      </c>
      <c r="L212" s="147" t="e">
        <f>VLOOKUP(E212,DS!$A$2:$E$4398, 5, 0)</f>
        <v>#N/A</v>
      </c>
      <c r="M212" s="148"/>
      <c r="N212" s="92" t="e">
        <f>VLOOKUP(Table1[[#This Row],[USER]],[1]!Table145678910111213141545678910111213146[[#All],[No.]:[Delete]],2,0)</f>
        <v>#N/A</v>
      </c>
    </row>
    <row r="213" spans="1:14">
      <c r="A213" s="93">
        <v>208</v>
      </c>
      <c r="B213" s="94">
        <v>37</v>
      </c>
      <c r="C213" s="40" t="s">
        <v>7938</v>
      </c>
      <c r="D213" s="40" t="str">
        <f>VLOOKUP(E213,Sheet3!$A$2:$D$6338,2,0)</f>
        <v>Nguyễn Minh Thu</v>
      </c>
      <c r="E213" s="44" t="s">
        <v>234</v>
      </c>
      <c r="F213" s="44" t="str">
        <f t="shared" si="4"/>
        <v>VN24570</v>
      </c>
      <c r="G213" s="295"/>
      <c r="H213" s="41" t="s">
        <v>67</v>
      </c>
      <c r="I213" s="95">
        <v>45415</v>
      </c>
      <c r="J213" s="122"/>
      <c r="K213" s="122"/>
      <c r="L213" s="147" t="str">
        <f>VLOOKUP(E213,DS!$A$2:$E$4398, 5, 0)</f>
        <v>Kinh doanh XK1</v>
      </c>
      <c r="M213" s="148"/>
      <c r="N213" s="92" t="e">
        <f>VLOOKUP(Table1[[#This Row],[USER]],[1]!Table145678910111213141545678910111213146[[#All],[No.]:[Delete]],2,0)</f>
        <v>#N/A</v>
      </c>
    </row>
    <row r="214" spans="1:14">
      <c r="A214" s="93">
        <v>209</v>
      </c>
      <c r="B214" s="94">
        <v>38</v>
      </c>
      <c r="C214" s="40" t="s">
        <v>7938</v>
      </c>
      <c r="D214" s="40" t="str">
        <f>VLOOKUP(E214,Sheet3!$A$2:$D$6338,2,0)</f>
        <v>Phùng Thị Thúy</v>
      </c>
      <c r="E214" s="44" t="s">
        <v>241</v>
      </c>
      <c r="F214" s="44" t="str">
        <f t="shared" si="4"/>
        <v>VN10951</v>
      </c>
      <c r="G214" s="295"/>
      <c r="H214" s="41" t="s">
        <v>67</v>
      </c>
      <c r="I214" s="95">
        <v>45415</v>
      </c>
      <c r="J214" s="122"/>
      <c r="K214" s="122"/>
      <c r="L214" s="147" t="str">
        <f>VLOOKUP(E214,DS!$A$2:$E$4398, 5, 0)</f>
        <v>Kinh doanh XK1</v>
      </c>
      <c r="M214" s="148"/>
      <c r="N214" s="92" t="e">
        <f>VLOOKUP(Table1[[#This Row],[USER]],[1]!Table145678910111213141545678910111213146[[#All],[No.]:[Delete]],2,0)</f>
        <v>#N/A</v>
      </c>
    </row>
    <row r="215" spans="1:14">
      <c r="A215" s="93">
        <v>210</v>
      </c>
      <c r="B215" s="94">
        <v>39</v>
      </c>
      <c r="C215" s="40" t="s">
        <v>7938</v>
      </c>
      <c r="D215" s="40" t="str">
        <f>VLOOKUP(E215,Sheet3!$A$2:$D$6338,2,0)</f>
        <v>Nguyễn Thị Thúy</v>
      </c>
      <c r="E215" s="44" t="s">
        <v>230</v>
      </c>
      <c r="F215" s="44" t="str">
        <f t="shared" si="4"/>
        <v>VN15628</v>
      </c>
      <c r="G215" s="295"/>
      <c r="H215" s="41" t="s">
        <v>67</v>
      </c>
      <c r="I215" s="95">
        <v>45415</v>
      </c>
      <c r="J215" s="122"/>
      <c r="K215" s="122"/>
      <c r="L215" s="147" t="str">
        <f>VLOOKUP(E215,DS!$A$2:$E$4398, 5, 0)</f>
        <v>Kinh doanh XK2</v>
      </c>
      <c r="M215" s="148"/>
      <c r="N215" s="92" t="e">
        <f>VLOOKUP(Table1[[#This Row],[USER]],[1]!Table145678910111213141545678910111213146[[#All],[No.]:[Delete]],2,0)</f>
        <v>#N/A</v>
      </c>
    </row>
    <row r="216" spans="1:14">
      <c r="A216" s="93">
        <v>211</v>
      </c>
      <c r="B216" s="94">
        <v>40</v>
      </c>
      <c r="C216" s="40" t="s">
        <v>7938</v>
      </c>
      <c r="D216" s="40" t="str">
        <f>VLOOKUP(E216,Sheet3!$A$2:$D$6338,2,0)</f>
        <v>Đặng Thùy Trang</v>
      </c>
      <c r="E216" s="44" t="s">
        <v>223</v>
      </c>
      <c r="F216" s="44" t="str">
        <f t="shared" si="4"/>
        <v>VN14516</v>
      </c>
      <c r="G216" s="295"/>
      <c r="H216" s="41" t="s">
        <v>67</v>
      </c>
      <c r="I216" s="95">
        <v>45415</v>
      </c>
      <c r="J216" s="122"/>
      <c r="K216" s="122"/>
      <c r="L216" s="147" t="str">
        <f>VLOOKUP(E216,DS!$A$2:$E$4398, 5, 0)</f>
        <v>Kinh doanh NĐ</v>
      </c>
      <c r="M216" s="148"/>
      <c r="N216" s="92" t="e">
        <f>VLOOKUP(Table1[[#This Row],[USER]],[1]!Table145678910111213141545678910111213146[[#All],[No.]:[Delete]],2,0)</f>
        <v>#N/A</v>
      </c>
    </row>
    <row r="217" spans="1:14">
      <c r="A217" s="93">
        <v>212</v>
      </c>
      <c r="B217" s="94">
        <v>41</v>
      </c>
      <c r="C217" s="40" t="s">
        <v>7938</v>
      </c>
      <c r="D217" s="40" t="str">
        <f>VLOOKUP(E217,Sheet3!$A$2:$D$6338,2,0)</f>
        <v>Ngô Văn Trường</v>
      </c>
      <c r="E217" s="44" t="s">
        <v>245</v>
      </c>
      <c r="F217" s="44" t="str">
        <f t="shared" si="4"/>
        <v>VN11593</v>
      </c>
      <c r="G217" s="295"/>
      <c r="H217" s="41" t="s">
        <v>67</v>
      </c>
      <c r="I217" s="95">
        <v>45415</v>
      </c>
      <c r="J217" s="122"/>
      <c r="K217" s="122"/>
      <c r="L217" s="147" t="str">
        <f>VLOOKUP(E217,DS!$A$2:$E$4398, 5, 0)</f>
        <v>Kinh doanh XK2</v>
      </c>
      <c r="M217" s="148"/>
      <c r="N217" s="92" t="e">
        <f>VLOOKUP(Table1[[#This Row],[USER]],[1]!Table145678910111213141545678910111213146[[#All],[No.]:[Delete]],2,0)</f>
        <v>#N/A</v>
      </c>
    </row>
    <row r="218" spans="1:14">
      <c r="A218" s="93">
        <v>213</v>
      </c>
      <c r="B218" s="94">
        <v>42</v>
      </c>
      <c r="C218" s="40" t="s">
        <v>7938</v>
      </c>
      <c r="D218" s="40" t="str">
        <f>VLOOKUP(E218,Sheet3!$A$2:$D$6338,2,0)</f>
        <v>Phạm Xuân Trường</v>
      </c>
      <c r="E218" s="44" t="s">
        <v>243</v>
      </c>
      <c r="F218" s="44" t="str">
        <f t="shared" si="4"/>
        <v>VN09441</v>
      </c>
      <c r="G218" s="295"/>
      <c r="H218" s="41" t="s">
        <v>67</v>
      </c>
      <c r="I218" s="95">
        <v>45415</v>
      </c>
      <c r="J218" s="122"/>
      <c r="K218" s="122"/>
      <c r="L218" s="147" t="str">
        <f>VLOOKUP(E218,DS!$A$2:$E$4398, 5, 0)</f>
        <v>Kinh doanh XK1</v>
      </c>
      <c r="M218" s="148"/>
      <c r="N218" s="92" t="e">
        <f>VLOOKUP(Table1[[#This Row],[USER]],[1]!Table145678910111213141545678910111213146[[#All],[No.]:[Delete]],2,0)</f>
        <v>#N/A</v>
      </c>
    </row>
    <row r="219" spans="1:14">
      <c r="A219" s="93">
        <v>214</v>
      </c>
      <c r="B219" s="94">
        <v>43</v>
      </c>
      <c r="C219" s="40" t="s">
        <v>7938</v>
      </c>
      <c r="D219" s="40" t="str">
        <f>VLOOKUP(E219,Sheet3!$A$2:$D$6338,2,0)</f>
        <v>Bạch Hồng Văn</v>
      </c>
      <c r="E219" s="44" t="s">
        <v>258</v>
      </c>
      <c r="F219" s="44" t="str">
        <f t="shared" si="4"/>
        <v>VN18500</v>
      </c>
      <c r="G219" s="295"/>
      <c r="H219" s="41" t="s">
        <v>67</v>
      </c>
      <c r="I219" s="95">
        <v>45415</v>
      </c>
      <c r="J219" s="122"/>
      <c r="K219" s="122"/>
      <c r="L219" s="147" t="str">
        <f>VLOOKUP(E219,DS!$A$2:$E$4398, 5, 0)</f>
        <v>Kinh doanh XK1</v>
      </c>
      <c r="M219" s="148"/>
      <c r="N219" s="92" t="e">
        <f>VLOOKUP(Table1[[#This Row],[USER]],[1]!Table145678910111213141545678910111213146[[#All],[No.]:[Delete]],2,0)</f>
        <v>#N/A</v>
      </c>
    </row>
    <row r="220" spans="1:14">
      <c r="A220" s="93">
        <v>215</v>
      </c>
      <c r="B220" s="94">
        <v>44</v>
      </c>
      <c r="C220" s="40" t="s">
        <v>7938</v>
      </c>
      <c r="D220" s="40" t="str">
        <f>VLOOKUP(E220,Sheet3!$A$2:$D$6338,2,0)</f>
        <v>Lê Thị Nguyệt</v>
      </c>
      <c r="E220" s="44" t="s">
        <v>215</v>
      </c>
      <c r="F220" s="44" t="str">
        <f t="shared" si="4"/>
        <v>VN07119</v>
      </c>
      <c r="G220" s="295"/>
      <c r="H220" s="41" t="s">
        <v>67</v>
      </c>
      <c r="I220" s="95">
        <v>45415</v>
      </c>
      <c r="J220" s="122"/>
      <c r="K220" s="122"/>
      <c r="L220" s="147" t="str">
        <f>VLOOKUP(E220,DS!$A$2:$E$4398, 5, 0)</f>
        <v>Kinh doanh NĐ</v>
      </c>
      <c r="M220" s="148"/>
      <c r="N220" s="92" t="e">
        <f>VLOOKUP(Table1[[#This Row],[USER]],[1]!Table145678910111213141545678910111213146[[#All],[No.]:[Delete]],2,0)</f>
        <v>#N/A</v>
      </c>
    </row>
    <row r="221" spans="1:14">
      <c r="A221" s="93">
        <v>216</v>
      </c>
      <c r="B221" s="94">
        <v>45</v>
      </c>
      <c r="C221" s="40" t="s">
        <v>7938</v>
      </c>
      <c r="D221" s="40" t="str">
        <f>VLOOKUP(E221,Sheet3!$A$2:$D$6338,2,0)</f>
        <v>Phạm Ngọc Thanh</v>
      </c>
      <c r="E221" s="44" t="s">
        <v>253</v>
      </c>
      <c r="F221" s="44" t="str">
        <f t="shared" si="4"/>
        <v>VN16363</v>
      </c>
      <c r="G221" s="295"/>
      <c r="H221" s="41" t="s">
        <v>67</v>
      </c>
      <c r="I221" s="95">
        <v>45415</v>
      </c>
      <c r="J221" s="122"/>
      <c r="K221" s="122"/>
      <c r="L221" s="147" t="str">
        <f>VLOOKUP(E221,DS!$A$2:$E$4398, 5, 0)</f>
        <v>Kinh doanh XK2</v>
      </c>
      <c r="M221" s="148"/>
      <c r="N221" s="92" t="e">
        <f>VLOOKUP(Table1[[#This Row],[USER]],[1]!Table145678910111213141545678910111213146[[#All],[No.]:[Delete]],2,0)</f>
        <v>#N/A</v>
      </c>
    </row>
    <row r="222" spans="1:14">
      <c r="A222" s="93">
        <v>217</v>
      </c>
      <c r="B222" s="94">
        <v>46</v>
      </c>
      <c r="C222" s="40" t="s">
        <v>7938</v>
      </c>
      <c r="D222" s="40" t="str">
        <f>VLOOKUP(E222,Sheet3!$A$2:$D$6338,2,0)</f>
        <v>Nguyễn Huy Hưng</v>
      </c>
      <c r="E222" s="44" t="s">
        <v>231</v>
      </c>
      <c r="F222" s="44" t="str">
        <f t="shared" si="4"/>
        <v>VN22391</v>
      </c>
      <c r="G222" s="295"/>
      <c r="H222" s="41" t="s">
        <v>67</v>
      </c>
      <c r="I222" s="95">
        <v>45415</v>
      </c>
      <c r="J222" s="122"/>
      <c r="K222" s="122"/>
      <c r="L222" s="147" t="str">
        <f>VLOOKUP(E222,DS!$A$2:$E$4398, 5, 0)</f>
        <v>Kinh doanh XK1</v>
      </c>
      <c r="M222" s="148"/>
      <c r="N222" s="92" t="e">
        <f>VLOOKUP(Table1[[#This Row],[USER]],[1]!Table145678910111213141545678910111213146[[#All],[No.]:[Delete]],2,0)</f>
        <v>#N/A</v>
      </c>
    </row>
    <row r="223" spans="1:14">
      <c r="A223" s="93">
        <v>218</v>
      </c>
      <c r="B223" s="94">
        <v>47</v>
      </c>
      <c r="C223" s="40" t="s">
        <v>7938</v>
      </c>
      <c r="D223" s="40" t="str">
        <f>VLOOKUP(E223,Sheet3!$A$2:$D$6338,2,0)</f>
        <v>Nghiêm Thị Phương Thảo</v>
      </c>
      <c r="E223" s="128" t="s">
        <v>8014</v>
      </c>
      <c r="F223" s="128" t="str">
        <f>"VN"&amp;RIGHT(E223,5)</f>
        <v>VN25842</v>
      </c>
      <c r="G223" s="302"/>
      <c r="H223" s="41" t="s">
        <v>67</v>
      </c>
      <c r="I223" s="129">
        <v>45764</v>
      </c>
      <c r="J223" s="130"/>
      <c r="K223" s="130"/>
      <c r="L223" s="147" t="str">
        <f>VLOOKUP(E223,DS!$A$2:$E$4398, 5, 0)</f>
        <v>Kinh doanh NĐ</v>
      </c>
      <c r="M223" s="152"/>
      <c r="N223" s="92" t="e">
        <f>VLOOKUP(Table1[[#This Row],[USER]],[1]!Table145678910111213141545678910111213146[[#All],[No.]:[Delete]],2,0)</f>
        <v>#N/A</v>
      </c>
    </row>
    <row r="224" spans="1:14">
      <c r="A224" s="93">
        <v>218</v>
      </c>
      <c r="B224" s="94">
        <v>47</v>
      </c>
      <c r="C224" s="40" t="s">
        <v>7938</v>
      </c>
      <c r="D224" s="40" t="str">
        <f>VLOOKUP(E224,Sheet3!$A$2:$D$6338,2,0)</f>
        <v>Lê Phương Thanh</v>
      </c>
      <c r="E224" s="218" t="s">
        <v>8665</v>
      </c>
      <c r="F224" s="218" t="str">
        <f>"VN"&amp;RIGHT(E224,5)</f>
        <v>VN26344</v>
      </c>
      <c r="G224" s="300"/>
      <c r="H224" s="41" t="s">
        <v>67</v>
      </c>
      <c r="I224" s="219">
        <v>45924</v>
      </c>
      <c r="J224" s="220"/>
      <c r="K224" s="220"/>
      <c r="L224" s="220" t="str">
        <f>VLOOKUP(E224,DS!$A$2:$E$4398, 5, 0)</f>
        <v>Kinh doanh XK2</v>
      </c>
      <c r="M224" s="221"/>
      <c r="N224" s="92" t="e">
        <f>VLOOKUP(Table1[[#This Row],[USER]],[1]!Table145678910111213141545678910111213146[[#All],[No.]:[Delete]],2,0)</f>
        <v>#N/A</v>
      </c>
    </row>
    <row r="225" spans="1:14">
      <c r="A225" s="93">
        <v>219</v>
      </c>
      <c r="B225" s="94">
        <v>48</v>
      </c>
      <c r="C225" s="40" t="s">
        <v>7938</v>
      </c>
      <c r="D225" s="40" t="e">
        <f>VLOOKUP(E225,Sheet3!$A$2:$D$6338,2,0)</f>
        <v>#N/A</v>
      </c>
      <c r="E225" s="44" t="s">
        <v>259</v>
      </c>
      <c r="F225" s="44" t="s">
        <v>260</v>
      </c>
      <c r="G225" s="295"/>
      <c r="H225" s="41" t="s">
        <v>67</v>
      </c>
      <c r="I225" s="95">
        <v>45415</v>
      </c>
      <c r="J225" s="122"/>
      <c r="K225" s="122"/>
      <c r="L225" s="147" t="e">
        <f>VLOOKUP(E225,DS!$A$2:$E$4398, 5, 0)</f>
        <v>#N/A</v>
      </c>
      <c r="M225" s="148"/>
      <c r="N225" s="92" t="e">
        <f>VLOOKUP(Table1[[#This Row],[USER]],[1]!Table145678910111213141545678910111213146[[#All],[No.]:[Delete]],2,0)</f>
        <v>#N/A</v>
      </c>
    </row>
    <row r="226" spans="1:14">
      <c r="A226" s="93">
        <v>220</v>
      </c>
      <c r="B226" s="94">
        <v>49</v>
      </c>
      <c r="C226" s="40" t="s">
        <v>7938</v>
      </c>
      <c r="D226" s="40" t="e">
        <f>VLOOKUP(E226,Sheet3!$A$2:$D$6338,2,0)</f>
        <v>#N/A</v>
      </c>
      <c r="E226" s="44" t="s">
        <v>261</v>
      </c>
      <c r="F226" s="44" t="s">
        <v>262</v>
      </c>
      <c r="G226" s="295"/>
      <c r="H226" s="41" t="s">
        <v>67</v>
      </c>
      <c r="I226" s="95">
        <v>45415</v>
      </c>
      <c r="J226" s="122"/>
      <c r="K226" s="122"/>
      <c r="L226" s="147" t="e">
        <f>VLOOKUP(E226,DS!$A$2:$E$4398, 5, 0)</f>
        <v>#N/A</v>
      </c>
      <c r="M226" s="148"/>
      <c r="N226" s="92" t="e">
        <f>VLOOKUP(Table1[[#This Row],[USER]],[1]!Table145678910111213141545678910111213146[[#All],[No.]:[Delete]],2,0)</f>
        <v>#N/A</v>
      </c>
    </row>
    <row r="227" spans="1:14">
      <c r="A227" s="93">
        <v>221</v>
      </c>
      <c r="B227" s="94">
        <v>1</v>
      </c>
      <c r="C227" s="40" t="s">
        <v>263</v>
      </c>
      <c r="D227" s="40" t="str">
        <f>VLOOKUP(E227,Sheet3!$A$2:$D$6338,2,0)</f>
        <v>Trần Thị Thu Hương</v>
      </c>
      <c r="E227" s="44" t="s">
        <v>264</v>
      </c>
      <c r="F227" s="44" t="str">
        <f t="shared" ref="F227:F276" si="5">"VN"&amp;RIGHT(E227,5)</f>
        <v>VN12122</v>
      </c>
      <c r="G227" s="295"/>
      <c r="H227" s="41" t="s">
        <v>67</v>
      </c>
      <c r="I227" s="95">
        <v>45408</v>
      </c>
      <c r="J227" s="122">
        <v>45546</v>
      </c>
      <c r="K227" s="122">
        <v>45546</v>
      </c>
      <c r="L227" s="147" t="e">
        <f>VLOOKUP(E227,DS!$A$2:$E$4398, 5, 0)</f>
        <v>#N/A</v>
      </c>
      <c r="M227" s="148"/>
      <c r="N227" s="92" t="e">
        <f>VLOOKUP(Table1[[#This Row],[USER]],[1]!Table145678910111213141545678910111213146[[#All],[No.]:[Delete]],2,0)</f>
        <v>#N/A</v>
      </c>
    </row>
    <row r="228" spans="1:14">
      <c r="A228" s="93">
        <v>222</v>
      </c>
      <c r="B228" s="94">
        <v>2</v>
      </c>
      <c r="C228" s="40" t="s">
        <v>263</v>
      </c>
      <c r="D228" s="40" t="str">
        <f>VLOOKUP(E228,Sheet3!$A$2:$D$6338,2,0)</f>
        <v>Nguyễn Việt Đức</v>
      </c>
      <c r="E228" s="44" t="s">
        <v>265</v>
      </c>
      <c r="F228" s="44" t="str">
        <f t="shared" si="5"/>
        <v>VN17577</v>
      </c>
      <c r="G228" s="295"/>
      <c r="H228" s="41" t="s">
        <v>67</v>
      </c>
      <c r="I228" s="95">
        <v>45408</v>
      </c>
      <c r="J228" s="122"/>
      <c r="K228" s="122"/>
      <c r="L228" s="147" t="str">
        <f>VLOOKUP(E228,DS!$A$2:$E$4398, 5, 0)</f>
        <v xml:space="preserve">VP.TGĐ </v>
      </c>
      <c r="M228" s="148"/>
      <c r="N228" s="92" t="e">
        <f>VLOOKUP(Table1[[#This Row],[USER]],[1]!Table145678910111213141545678910111213146[[#All],[No.]:[Delete]],2,0)</f>
        <v>#N/A</v>
      </c>
    </row>
    <row r="229" spans="1:14">
      <c r="A229" s="93">
        <v>223</v>
      </c>
      <c r="B229" s="94">
        <v>3</v>
      </c>
      <c r="C229" s="40" t="s">
        <v>263</v>
      </c>
      <c r="D229" s="40" t="str">
        <f>VLOOKUP(E229,Sheet3!$A$2:$D$6338,2,0)</f>
        <v>Đỗ Thị Yến</v>
      </c>
      <c r="E229" s="44" t="s">
        <v>266</v>
      </c>
      <c r="F229" s="44" t="str">
        <f t="shared" si="5"/>
        <v>VN09245</v>
      </c>
      <c r="G229" s="295"/>
      <c r="H229" s="41" t="s">
        <v>67</v>
      </c>
      <c r="I229" s="95">
        <v>45408</v>
      </c>
      <c r="J229" s="122"/>
      <c r="K229" s="122"/>
      <c r="L229" s="147" t="str">
        <f>VLOOKUP(E229,DS!$A$2:$E$4398, 5, 0)</f>
        <v>Đánh bóng</v>
      </c>
      <c r="M229" s="148"/>
      <c r="N229" s="92" t="e">
        <f>VLOOKUP(Table1[[#This Row],[USER]],[1]!Table145678910111213141545678910111213146[[#All],[No.]:[Delete]],2,0)</f>
        <v>#N/A</v>
      </c>
    </row>
    <row r="230" spans="1:14">
      <c r="A230" s="93">
        <v>224</v>
      </c>
      <c r="B230" s="94">
        <v>4</v>
      </c>
      <c r="C230" s="40" t="s">
        <v>263</v>
      </c>
      <c r="D230" s="40" t="str">
        <f>VLOOKUP(E230,Sheet3!$A$2:$D$6338,2,0)</f>
        <v>Ngô Văn Tuấn</v>
      </c>
      <c r="E230" s="44" t="s">
        <v>267</v>
      </c>
      <c r="F230" s="44" t="str">
        <f t="shared" si="5"/>
        <v>VN00661</v>
      </c>
      <c r="G230" s="295"/>
      <c r="H230" s="41" t="s">
        <v>67</v>
      </c>
      <c r="I230" s="95">
        <v>45408</v>
      </c>
      <c r="J230" s="122"/>
      <c r="K230" s="122"/>
      <c r="L230" s="147" t="str">
        <f>VLOOKUP(E230,DS!$A$2:$E$4398, 5, 0)</f>
        <v xml:space="preserve">VP.TGĐ </v>
      </c>
      <c r="M230" s="148"/>
      <c r="N230" s="92" t="e">
        <f>VLOOKUP(Table1[[#This Row],[USER]],[1]!Table145678910111213141545678910111213146[[#All],[No.]:[Delete]],2,0)</f>
        <v>#N/A</v>
      </c>
    </row>
    <row r="231" spans="1:14">
      <c r="A231" s="93">
        <v>225</v>
      </c>
      <c r="B231" s="197"/>
      <c r="C231" s="40" t="s">
        <v>263</v>
      </c>
      <c r="D231" s="40" t="str">
        <f>VLOOKUP(E231,Sheet3!$A$2:$D$6338,2,0)</f>
        <v>Nguyễn Thị Mỹ Linh</v>
      </c>
      <c r="E231" s="44" t="s">
        <v>8649</v>
      </c>
      <c r="F231" s="44" t="str">
        <f>"VN"&amp;RIGHT(E231,5)</f>
        <v>VN25149</v>
      </c>
      <c r="G231" s="295"/>
      <c r="H231" s="41" t="s">
        <v>67</v>
      </c>
      <c r="I231" s="95">
        <v>45546</v>
      </c>
      <c r="J231" s="122"/>
      <c r="K231" s="122"/>
      <c r="L231" s="147" t="str">
        <f>VLOOKUP(E231,DS!$A$2:$E$4398, 5, 0)</f>
        <v xml:space="preserve">VP.TGĐ </v>
      </c>
      <c r="M231" s="148"/>
      <c r="N231" s="92" t="e">
        <f>VLOOKUP(Table1[[#This Row],[USER]],[1]!Table145678910111213141545678910111213146[[#All],[No.]:[Delete]],2,0)</f>
        <v>#N/A</v>
      </c>
    </row>
    <row r="232" spans="1:14">
      <c r="A232" s="93">
        <v>226</v>
      </c>
      <c r="B232" s="94">
        <v>5</v>
      </c>
      <c r="C232" s="40" t="s">
        <v>263</v>
      </c>
      <c r="D232" s="40" t="str">
        <f>VLOOKUP(E232,Sheet3!$A$2:$D$6338,2,0)</f>
        <v>Phùng Thị Khánh Huyền</v>
      </c>
      <c r="E232" s="44" t="s">
        <v>8549</v>
      </c>
      <c r="F232" s="44" t="str">
        <f>"VN"&amp;RIGHT(E232,5)</f>
        <v>VN26345</v>
      </c>
      <c r="G232" s="295"/>
      <c r="H232" s="41" t="s">
        <v>67</v>
      </c>
      <c r="I232" s="95">
        <v>45918</v>
      </c>
      <c r="J232" s="122"/>
      <c r="K232" s="122"/>
      <c r="L232" s="147" t="str">
        <f>VLOOKUP(E232,DS!$A$2:$E$4398, 5, 0)</f>
        <v xml:space="preserve">VP.TGĐ </v>
      </c>
      <c r="M232" s="148"/>
      <c r="N232" s="92" t="e">
        <f>VLOOKUP(Table1[[#This Row],[USER]],[1]!Table145678910111213141545678910111213146[[#All],[No.]:[Delete]],2,0)</f>
        <v>#N/A</v>
      </c>
    </row>
    <row r="233" spans="1:14">
      <c r="A233" s="93">
        <v>226</v>
      </c>
      <c r="B233" s="94">
        <v>5</v>
      </c>
      <c r="C233" s="40" t="s">
        <v>263</v>
      </c>
      <c r="D233" s="40" t="str">
        <f>VLOOKUP(E233,Sheet3!$A$2:$D$6338,2,0)</f>
        <v>Lê Thị Thanh Thủy</v>
      </c>
      <c r="E233" s="214" t="s">
        <v>8650</v>
      </c>
      <c r="F233" s="214" t="str">
        <f>"VN"&amp;RIGHT(E233,5)</f>
        <v>VN26157</v>
      </c>
      <c r="G233" s="303"/>
      <c r="H233" s="41" t="s">
        <v>67</v>
      </c>
      <c r="I233" s="217">
        <v>45852</v>
      </c>
      <c r="J233" s="215"/>
      <c r="K233" s="215"/>
      <c r="L233" s="215" t="str">
        <f>VLOOKUP(E233,DS!$A$2:$E$4398, 5, 0)</f>
        <v xml:space="preserve">VP.TGĐ </v>
      </c>
      <c r="M233" s="216"/>
      <c r="N233" s="92" t="e">
        <f>VLOOKUP(Table1[[#This Row],[USER]],[1]!Table145678910111213141545678910111213146[[#All],[No.]:[Delete]],2,0)</f>
        <v>#N/A</v>
      </c>
    </row>
    <row r="234" spans="1:14">
      <c r="A234" s="93">
        <v>227</v>
      </c>
      <c r="B234" s="94">
        <v>1</v>
      </c>
      <c r="C234" s="40" t="s">
        <v>268</v>
      </c>
      <c r="D234" s="40" t="str">
        <f>VLOOKUP(E234,Sheet3!$A$2:$D$6338,2,0)</f>
        <v>Hà Thị Chung</v>
      </c>
      <c r="E234" s="44" t="s">
        <v>269</v>
      </c>
      <c r="F234" s="44" t="str">
        <f t="shared" si="5"/>
        <v>VN16143</v>
      </c>
      <c r="G234" s="295"/>
      <c r="H234" s="41" t="s">
        <v>67</v>
      </c>
      <c r="I234" s="95">
        <v>45405</v>
      </c>
      <c r="J234" s="122"/>
      <c r="K234" s="122"/>
      <c r="L234" s="147" t="str">
        <f>VLOOKUP(E234,DS!$A$2:$E$4398, 5, 0)</f>
        <v>KTSX</v>
      </c>
      <c r="M234" s="148"/>
      <c r="N234" s="92" t="e">
        <f>VLOOKUP(Table1[[#This Row],[USER]],[1]!Table145678910111213141545678910111213146[[#All],[No.]:[Delete]],2,0)</f>
        <v>#N/A</v>
      </c>
    </row>
    <row r="235" spans="1:14">
      <c r="A235" s="93">
        <v>228</v>
      </c>
      <c r="B235" s="94">
        <v>2</v>
      </c>
      <c r="C235" s="40" t="s">
        <v>268</v>
      </c>
      <c r="D235" s="40" t="str">
        <f>VLOOKUP(E235,Sheet3!$A$2:$D$6338,2,0)</f>
        <v>Nguyễn Đại Dương</v>
      </c>
      <c r="E235" s="44" t="s">
        <v>270</v>
      </c>
      <c r="F235" s="44" t="str">
        <f t="shared" si="5"/>
        <v>VN17925</v>
      </c>
      <c r="G235" s="295"/>
      <c r="H235" s="41" t="s">
        <v>67</v>
      </c>
      <c r="I235" s="95">
        <v>45405</v>
      </c>
      <c r="J235" s="122">
        <v>45461</v>
      </c>
      <c r="K235" s="122">
        <v>45461</v>
      </c>
      <c r="L235" s="147" t="e">
        <f>VLOOKUP(E235,DS!$A$2:$E$4398, 5, 0)</f>
        <v>#N/A</v>
      </c>
      <c r="M235" s="148"/>
      <c r="N235" s="92" t="e">
        <f>VLOOKUP(Table1[[#This Row],[USER]],[1]!Table145678910111213141545678910111213146[[#All],[No.]:[Delete]],2,0)</f>
        <v>#N/A</v>
      </c>
    </row>
    <row r="236" spans="1:14">
      <c r="A236" s="93">
        <v>229</v>
      </c>
      <c r="B236" s="94">
        <v>3</v>
      </c>
      <c r="C236" s="40" t="s">
        <v>866</v>
      </c>
      <c r="D236" s="40" t="str">
        <f>VLOOKUP(E236,Sheet3!$A$2:$D$6338,2,0)</f>
        <v>Nguyễn Thị Yến</v>
      </c>
      <c r="E236" s="44" t="s">
        <v>271</v>
      </c>
      <c r="F236" s="44" t="str">
        <f t="shared" si="5"/>
        <v>VN23862</v>
      </c>
      <c r="G236" s="295"/>
      <c r="H236" s="41" t="s">
        <v>67</v>
      </c>
      <c r="I236" s="95">
        <v>45405</v>
      </c>
      <c r="J236" s="122"/>
      <c r="K236" s="122"/>
      <c r="L236" s="147" t="str">
        <f>VLOOKUP(E236,DS!$A$2:$E$4398, 5, 0)</f>
        <v>QLSX</v>
      </c>
      <c r="M236" s="148"/>
      <c r="N236" s="92" t="e">
        <f>VLOOKUP(Table1[[#This Row],[USER]],[1]!Table145678910111213141545678910111213146[[#All],[No.]:[Delete]],2,0)</f>
        <v>#N/A</v>
      </c>
    </row>
    <row r="237" spans="1:14">
      <c r="A237" s="93">
        <v>230</v>
      </c>
      <c r="B237" s="94">
        <v>4</v>
      </c>
      <c r="C237" s="40" t="s">
        <v>268</v>
      </c>
      <c r="D237" s="40" t="str">
        <f>VLOOKUP(E237,Sheet3!$A$2:$D$6338,2,0)</f>
        <v>Thiều Đức Lâm</v>
      </c>
      <c r="E237" s="44" t="s">
        <v>272</v>
      </c>
      <c r="F237" s="44" t="str">
        <f t="shared" si="5"/>
        <v>VN24328</v>
      </c>
      <c r="G237" s="295"/>
      <c r="H237" s="41" t="s">
        <v>67</v>
      </c>
      <c r="I237" s="95">
        <v>45405</v>
      </c>
      <c r="J237" s="122">
        <v>45806</v>
      </c>
      <c r="K237" s="122">
        <v>45806</v>
      </c>
      <c r="L237" s="147" t="e">
        <f>VLOOKUP(E237,DS!$A$2:$E$4398, 5, 0)</f>
        <v>#N/A</v>
      </c>
      <c r="M237" s="148"/>
      <c r="N237" s="92" t="e">
        <f>VLOOKUP(Table1[[#This Row],[USER]],[1]!Table145678910111213141545678910111213146[[#All],[No.]:[Delete]],2,0)</f>
        <v>#N/A</v>
      </c>
    </row>
    <row r="238" spans="1:14">
      <c r="A238" s="93">
        <v>231</v>
      </c>
      <c r="B238" s="94">
        <v>5</v>
      </c>
      <c r="C238" s="40" t="s">
        <v>268</v>
      </c>
      <c r="D238" s="40" t="str">
        <f>VLOOKUP(E238,Sheet3!$A$2:$D$6338,2,0)</f>
        <v>Nguyễn Văn Tiến</v>
      </c>
      <c r="E238" s="44" t="s">
        <v>273</v>
      </c>
      <c r="F238" s="44" t="str">
        <f t="shared" si="5"/>
        <v>VN23793</v>
      </c>
      <c r="G238" s="295"/>
      <c r="H238" s="41" t="s">
        <v>67</v>
      </c>
      <c r="I238" s="95">
        <v>45405</v>
      </c>
      <c r="J238" s="122"/>
      <c r="K238" s="122"/>
      <c r="L238" s="147" t="str">
        <f>VLOOKUP(E238,DS!$A$2:$E$4398, 5, 0)</f>
        <v>KTSX</v>
      </c>
      <c r="M238" s="148"/>
      <c r="N238" s="92" t="e">
        <f>VLOOKUP(Table1[[#This Row],[USER]],[1]!Table145678910111213141545678910111213146[[#All],[No.]:[Delete]],2,0)</f>
        <v>#N/A</v>
      </c>
    </row>
    <row r="239" spans="1:14">
      <c r="A239" s="93">
        <v>232</v>
      </c>
      <c r="B239" s="94">
        <v>6</v>
      </c>
      <c r="C239" s="40" t="s">
        <v>268</v>
      </c>
      <c r="D239" s="40" t="str">
        <f>VLOOKUP(E239,Sheet3!$A$2:$D$6338,2,0)</f>
        <v>Chu Quang Linh</v>
      </c>
      <c r="E239" s="44" t="s">
        <v>274</v>
      </c>
      <c r="F239" s="44" t="str">
        <f t="shared" si="5"/>
        <v>VN23792</v>
      </c>
      <c r="G239" s="295"/>
      <c r="H239" s="41" t="s">
        <v>67</v>
      </c>
      <c r="I239" s="95">
        <v>45405</v>
      </c>
      <c r="J239" s="122"/>
      <c r="K239" s="122"/>
      <c r="L239" s="147" t="str">
        <f>VLOOKUP(E239,DS!$A$2:$E$4398, 5, 0)</f>
        <v>KTSX</v>
      </c>
      <c r="M239" s="148"/>
      <c r="N239" s="92" t="e">
        <f>VLOOKUP(Table1[[#This Row],[USER]],[1]!Table145678910111213141545678910111213146[[#All],[No.]:[Delete]],2,0)</f>
        <v>#N/A</v>
      </c>
    </row>
    <row r="240" spans="1:14">
      <c r="A240" s="93">
        <v>233</v>
      </c>
      <c r="B240" s="94">
        <v>7</v>
      </c>
      <c r="C240" s="40" t="s">
        <v>268</v>
      </c>
      <c r="D240" s="40" t="str">
        <f>VLOOKUP(E240,Sheet3!$A$2:$D$6338,2,0)</f>
        <v>Dương Đức Giang</v>
      </c>
      <c r="E240" s="44" t="s">
        <v>275</v>
      </c>
      <c r="F240" s="44" t="str">
        <f t="shared" si="5"/>
        <v>VN00127</v>
      </c>
      <c r="G240" s="295"/>
      <c r="H240" s="41" t="s">
        <v>67</v>
      </c>
      <c r="I240" s="95">
        <v>45405</v>
      </c>
      <c r="J240" s="122"/>
      <c r="K240" s="122"/>
      <c r="L240" s="147" t="str">
        <f>VLOOKUP(E240,DS!$A$2:$E$4398, 5, 0)</f>
        <v>KTSX</v>
      </c>
      <c r="M240" s="148"/>
      <c r="N240" s="92" t="e">
        <f>VLOOKUP(Table1[[#This Row],[USER]],[1]!Table145678910111213141545678910111213146[[#All],[No.]:[Delete]],2,0)</f>
        <v>#N/A</v>
      </c>
    </row>
    <row r="241" spans="1:14">
      <c r="A241" s="93">
        <v>234</v>
      </c>
      <c r="B241" s="94">
        <v>8</v>
      </c>
      <c r="C241" s="40" t="s">
        <v>268</v>
      </c>
      <c r="D241" s="40" t="str">
        <f>VLOOKUP(E241,Sheet3!$A$2:$D$6338,2,0)</f>
        <v>Đường Khương Duy</v>
      </c>
      <c r="E241" s="44" t="s">
        <v>7789</v>
      </c>
      <c r="F241" s="44" t="str">
        <f>"VN"&amp;RIGHT(E241,5)</f>
        <v>VN24900</v>
      </c>
      <c r="G241" s="295"/>
      <c r="H241" s="41" t="s">
        <v>67</v>
      </c>
      <c r="I241" s="95">
        <v>45462</v>
      </c>
      <c r="J241" s="122"/>
      <c r="K241" s="122"/>
      <c r="L241" s="147" t="str">
        <f>VLOOKUP(E241,DS!$A$2:$E$4398, 5, 0)</f>
        <v>KTSX</v>
      </c>
      <c r="M241" s="148"/>
      <c r="N241" s="92" t="e">
        <f>VLOOKUP(Table1[[#This Row],[USER]],[1]!Table145678910111213141545678910111213146[[#All],[No.]:[Delete]],2,0)</f>
        <v>#N/A</v>
      </c>
    </row>
    <row r="242" spans="1:14">
      <c r="A242" s="93">
        <v>235</v>
      </c>
      <c r="B242" s="94">
        <v>9</v>
      </c>
      <c r="C242" s="40" t="s">
        <v>268</v>
      </c>
      <c r="D242" s="40" t="str">
        <f>VLOOKUP(E242,Sheet3!$A$2:$D$6338,2,0)</f>
        <v>Đào Hoàng Nam</v>
      </c>
      <c r="E242" s="44" t="s">
        <v>8002</v>
      </c>
      <c r="F242" s="44" t="str">
        <f>"VN"&amp;RIGHT(E242,5)</f>
        <v>VN25768</v>
      </c>
      <c r="G242" s="295"/>
      <c r="H242" s="41" t="s">
        <v>67</v>
      </c>
      <c r="I242" s="95">
        <v>45736</v>
      </c>
      <c r="J242" s="122">
        <v>45876</v>
      </c>
      <c r="K242" s="122">
        <v>45876</v>
      </c>
      <c r="L242" s="147" t="e">
        <f>VLOOKUP(E242,DS!$A$2:$E$4398, 5, 0)</f>
        <v>#N/A</v>
      </c>
      <c r="M242" s="148"/>
      <c r="N242" s="92" t="e">
        <f>VLOOKUP(Table1[[#This Row],[USER]],[1]!Table145678910111213141545678910111213146[[#All],[No.]:[Delete]],2,0)</f>
        <v>#N/A</v>
      </c>
    </row>
    <row r="243" spans="1:14">
      <c r="A243" s="93">
        <v>236</v>
      </c>
      <c r="B243" s="94">
        <v>9</v>
      </c>
      <c r="C243" s="40" t="s">
        <v>268</v>
      </c>
      <c r="D243" s="40" t="str">
        <f>VLOOKUP(E243,Sheet3!$A$2:$D$6338,2,0)</f>
        <v>Nguyễn Thị Anh Đông</v>
      </c>
      <c r="E243" s="163" t="s">
        <v>8679</v>
      </c>
      <c r="F243" s="163" t="str">
        <f>"VN"&amp;RIGHT(E243,5)</f>
        <v>VN26415</v>
      </c>
      <c r="G243" s="295"/>
      <c r="H243" s="41" t="s">
        <v>67</v>
      </c>
      <c r="I243" s="164">
        <v>45968</v>
      </c>
      <c r="J243" s="147"/>
      <c r="K243" s="147"/>
      <c r="L243" s="147" t="str">
        <f>VLOOKUP(E243,DS!$A$2:$E$4398, 5, 0)</f>
        <v>KTSX</v>
      </c>
      <c r="M243" s="148"/>
      <c r="N243" s="92" t="e">
        <f>VLOOKUP(Table1[[#This Row],[USER]],[1]!Table145678910111213141545678910111213146[[#All],[No.]:[Delete]],2,0)</f>
        <v>#N/A</v>
      </c>
    </row>
    <row r="244" spans="1:14">
      <c r="A244" s="93">
        <v>237</v>
      </c>
      <c r="B244" s="94">
        <v>1</v>
      </c>
      <c r="C244" s="40" t="s">
        <v>7939</v>
      </c>
      <c r="D244" s="40" t="str">
        <f>VLOOKUP(E244,Sheet3!$A$2:$D$6338,2,0)</f>
        <v>Nguyễn Thị Vân</v>
      </c>
      <c r="E244" s="44" t="s">
        <v>276</v>
      </c>
      <c r="F244" s="44" t="str">
        <f t="shared" si="5"/>
        <v>VN24337</v>
      </c>
      <c r="G244" s="295"/>
      <c r="H244" s="41" t="s">
        <v>67</v>
      </c>
      <c r="I244" s="95">
        <v>45415</v>
      </c>
      <c r="J244" s="122"/>
      <c r="K244" s="122"/>
      <c r="L244" s="147" t="str">
        <f>VLOOKUP(E244,DS!$A$2:$E$4398, 5, 0)</f>
        <v>Thu mua</v>
      </c>
      <c r="M244" s="148"/>
      <c r="N244" s="92" t="e">
        <f>VLOOKUP(Table1[[#This Row],[USER]],[1]!Table145678910111213141545678910111213146[[#All],[No.]:[Delete]],2,0)</f>
        <v>#N/A</v>
      </c>
    </row>
    <row r="245" spans="1:14">
      <c r="A245" s="93">
        <v>238</v>
      </c>
      <c r="B245" s="94">
        <v>2</v>
      </c>
      <c r="C245" s="40" t="s">
        <v>7939</v>
      </c>
      <c r="D245" s="40" t="str">
        <f>VLOOKUP(E245,Sheet3!$A$2:$D$6338,2,0)</f>
        <v>Bùi Thị Mai</v>
      </c>
      <c r="E245" s="44" t="s">
        <v>277</v>
      </c>
      <c r="F245" s="44" t="str">
        <f t="shared" si="5"/>
        <v>VN10949</v>
      </c>
      <c r="G245" s="295"/>
      <c r="H245" s="41" t="s">
        <v>67</v>
      </c>
      <c r="I245" s="95">
        <v>45415</v>
      </c>
      <c r="J245" s="122"/>
      <c r="K245" s="122"/>
      <c r="L245" s="147" t="str">
        <f>VLOOKUP(E245,DS!$A$2:$E$4398, 5, 0)</f>
        <v>Thu mua</v>
      </c>
      <c r="M245" s="148"/>
      <c r="N245" s="92" t="e">
        <f>VLOOKUP(Table1[[#This Row],[USER]],[1]!Table145678910111213141545678910111213146[[#All],[No.]:[Delete]],2,0)</f>
        <v>#N/A</v>
      </c>
    </row>
    <row r="246" spans="1:14">
      <c r="A246" s="93">
        <v>239</v>
      </c>
      <c r="B246" s="94">
        <v>3</v>
      </c>
      <c r="C246" s="40" t="s">
        <v>7939</v>
      </c>
      <c r="D246" s="40" t="str">
        <f>VLOOKUP(E246,Sheet3!$A$2:$D$6338,2,0)</f>
        <v>Phan Như Quỳnh</v>
      </c>
      <c r="E246" s="44" t="s">
        <v>278</v>
      </c>
      <c r="F246" s="44" t="str">
        <f t="shared" si="5"/>
        <v>VN17064</v>
      </c>
      <c r="G246" s="295"/>
      <c r="H246" s="41" t="s">
        <v>67</v>
      </c>
      <c r="I246" s="95">
        <v>45415</v>
      </c>
      <c r="J246" s="122"/>
      <c r="K246" s="122"/>
      <c r="L246" s="147" t="str">
        <f>VLOOKUP(E246,DS!$A$2:$E$4398, 5, 0)</f>
        <v>Thu mua</v>
      </c>
      <c r="M246" s="148"/>
      <c r="N246" s="92" t="e">
        <f>VLOOKUP(Table1[[#This Row],[USER]],[1]!Table145678910111213141545678910111213146[[#All],[No.]:[Delete]],2,0)</f>
        <v>#N/A</v>
      </c>
    </row>
    <row r="247" spans="1:14">
      <c r="A247" s="93">
        <v>240</v>
      </c>
      <c r="B247" s="94">
        <v>4</v>
      </c>
      <c r="C247" s="40" t="s">
        <v>7939</v>
      </c>
      <c r="D247" s="40" t="str">
        <f>VLOOKUP(E247,Sheet3!$A$2:$D$6338,2,0)</f>
        <v>Trần Thị Hương</v>
      </c>
      <c r="E247" s="44" t="s">
        <v>279</v>
      </c>
      <c r="F247" s="44" t="str">
        <f t="shared" si="5"/>
        <v>VN17952</v>
      </c>
      <c r="G247" s="295"/>
      <c r="H247" s="41" t="s">
        <v>67</v>
      </c>
      <c r="I247" s="95">
        <v>45415</v>
      </c>
      <c r="J247" s="122"/>
      <c r="K247" s="122"/>
      <c r="L247" s="147" t="str">
        <f>VLOOKUP(E247,DS!$A$2:$E$4398, 5, 0)</f>
        <v>Thu mua</v>
      </c>
      <c r="M247" s="148"/>
      <c r="N247" s="92" t="e">
        <f>VLOOKUP(Table1[[#This Row],[USER]],[1]!Table145678910111213141545678910111213146[[#All],[No.]:[Delete]],2,0)</f>
        <v>#N/A</v>
      </c>
    </row>
    <row r="248" spans="1:14">
      <c r="A248" s="93">
        <v>241</v>
      </c>
      <c r="B248" s="94">
        <v>5</v>
      </c>
      <c r="C248" s="40" t="s">
        <v>7939</v>
      </c>
      <c r="D248" s="40" t="str">
        <f>VLOOKUP(E248,Sheet3!$A$2:$D$6338,2,0)</f>
        <v>Đỗ Thị Sang</v>
      </c>
      <c r="E248" s="44" t="s">
        <v>280</v>
      </c>
      <c r="F248" s="44" t="str">
        <f t="shared" si="5"/>
        <v>VN16743</v>
      </c>
      <c r="G248" s="295"/>
      <c r="H248" s="41" t="s">
        <v>67</v>
      </c>
      <c r="I248" s="95">
        <v>45415</v>
      </c>
      <c r="J248" s="122"/>
      <c r="K248" s="122"/>
      <c r="L248" s="147" t="str">
        <f>VLOOKUP(E248,DS!$A$2:$E$4398, 5, 0)</f>
        <v>Thu mua</v>
      </c>
      <c r="M248" s="148"/>
      <c r="N248" s="92" t="e">
        <f>VLOOKUP(Table1[[#This Row],[USER]],[1]!Table145678910111213141545678910111213146[[#All],[No.]:[Delete]],2,0)</f>
        <v>#N/A</v>
      </c>
    </row>
    <row r="249" spans="1:14">
      <c r="A249" s="93">
        <v>242</v>
      </c>
      <c r="B249" s="94">
        <v>6</v>
      </c>
      <c r="C249" s="40" t="s">
        <v>7939</v>
      </c>
      <c r="D249" s="40" t="str">
        <f>VLOOKUP(E249,Sheet3!$A$2:$D$6338,2,0)</f>
        <v>Nguyễn Tuấn Cường</v>
      </c>
      <c r="E249" s="44" t="s">
        <v>281</v>
      </c>
      <c r="F249" s="44" t="str">
        <f t="shared" si="5"/>
        <v>VN18155</v>
      </c>
      <c r="G249" s="295"/>
      <c r="H249" s="41" t="s">
        <v>67</v>
      </c>
      <c r="I249" s="95">
        <v>45415</v>
      </c>
      <c r="J249" s="122"/>
      <c r="K249" s="122"/>
      <c r="L249" s="147" t="str">
        <f>VLOOKUP(E249,DS!$A$2:$E$4398, 5, 0)</f>
        <v>Thu mua</v>
      </c>
      <c r="M249" s="148"/>
      <c r="N249" s="92" t="e">
        <f>VLOOKUP(Table1[[#This Row],[USER]],[1]!Table145678910111213141545678910111213146[[#All],[No.]:[Delete]],2,0)</f>
        <v>#N/A</v>
      </c>
    </row>
    <row r="250" spans="1:14">
      <c r="A250" s="93">
        <v>243</v>
      </c>
      <c r="B250" s="94">
        <v>7</v>
      </c>
      <c r="C250" s="40" t="s">
        <v>7939</v>
      </c>
      <c r="D250" s="40" t="str">
        <f>VLOOKUP(E250,Sheet3!$A$2:$D$6338,2,0)</f>
        <v>Nguyễn Thu Huyền</v>
      </c>
      <c r="E250" s="44" t="s">
        <v>282</v>
      </c>
      <c r="F250" s="44" t="str">
        <f t="shared" si="5"/>
        <v>VN19343</v>
      </c>
      <c r="G250" s="295"/>
      <c r="H250" s="41" t="s">
        <v>67</v>
      </c>
      <c r="I250" s="95">
        <v>45415</v>
      </c>
      <c r="J250" s="122"/>
      <c r="K250" s="122"/>
      <c r="L250" s="147" t="str">
        <f>VLOOKUP(E250,DS!$A$2:$E$4398, 5, 0)</f>
        <v>Thu mua</v>
      </c>
      <c r="M250" s="148"/>
      <c r="N250" s="92" t="e">
        <f>VLOOKUP(Table1[[#This Row],[USER]],[1]!Table145678910111213141545678910111213146[[#All],[No.]:[Delete]],2,0)</f>
        <v>#N/A</v>
      </c>
    </row>
    <row r="251" spans="1:14">
      <c r="A251" s="93">
        <v>244</v>
      </c>
      <c r="B251" s="94">
        <v>8</v>
      </c>
      <c r="C251" s="40" t="s">
        <v>7939</v>
      </c>
      <c r="D251" s="40" t="str">
        <f>VLOOKUP(E251,Sheet3!$A$2:$D$6338,2,0)</f>
        <v>Nguyễn Thị Châm</v>
      </c>
      <c r="E251" s="44" t="s">
        <v>283</v>
      </c>
      <c r="F251" s="44" t="str">
        <f t="shared" si="5"/>
        <v>VN01574</v>
      </c>
      <c r="G251" s="295"/>
      <c r="H251" s="41" t="s">
        <v>67</v>
      </c>
      <c r="I251" s="95">
        <v>45415</v>
      </c>
      <c r="J251" s="122"/>
      <c r="K251" s="122"/>
      <c r="L251" s="147" t="str">
        <f>VLOOKUP(E251,DS!$A$2:$E$4398, 5, 0)</f>
        <v>Thu mua</v>
      </c>
      <c r="M251" s="148"/>
      <c r="N251" s="92" t="e">
        <f>VLOOKUP(Table1[[#This Row],[USER]],[1]!Table145678910111213141545678910111213146[[#All],[No.]:[Delete]],2,0)</f>
        <v>#N/A</v>
      </c>
    </row>
    <row r="252" spans="1:14">
      <c r="A252" s="93">
        <v>245</v>
      </c>
      <c r="B252" s="94">
        <v>9</v>
      </c>
      <c r="C252" s="40" t="s">
        <v>7939</v>
      </c>
      <c r="D252" s="40" t="str">
        <f>VLOOKUP(E252,Sheet3!$A$2:$D$6338,2,0)</f>
        <v>Phùng Đức Kiên</v>
      </c>
      <c r="E252" s="44" t="s">
        <v>284</v>
      </c>
      <c r="F252" s="44" t="str">
        <f t="shared" si="5"/>
        <v>VN22259</v>
      </c>
      <c r="G252" s="295"/>
      <c r="H252" s="41" t="s">
        <v>67</v>
      </c>
      <c r="I252" s="95">
        <v>45415</v>
      </c>
      <c r="J252" s="122"/>
      <c r="K252" s="122"/>
      <c r="L252" s="147" t="str">
        <f>VLOOKUP(E252,DS!$A$2:$E$4398, 5, 0)</f>
        <v>Thu mua</v>
      </c>
      <c r="M252" s="148"/>
      <c r="N252" s="92" t="e">
        <f>VLOOKUP(Table1[[#This Row],[USER]],[1]!Table145678910111213141545678910111213146[[#All],[No.]:[Delete]],2,0)</f>
        <v>#N/A</v>
      </c>
    </row>
    <row r="253" spans="1:14">
      <c r="A253" s="93">
        <v>246</v>
      </c>
      <c r="B253" s="94">
        <v>10</v>
      </c>
      <c r="C253" s="40" t="s">
        <v>7939</v>
      </c>
      <c r="D253" s="40" t="str">
        <f>VLOOKUP(E253,Sheet3!$A$2:$D$6338,2,0)</f>
        <v>Nguyễn Thị Minh Phượng</v>
      </c>
      <c r="E253" s="44" t="s">
        <v>285</v>
      </c>
      <c r="F253" s="44" t="str">
        <f t="shared" si="5"/>
        <v>VN24569</v>
      </c>
      <c r="G253" s="295"/>
      <c r="H253" s="41" t="s">
        <v>67</v>
      </c>
      <c r="I253" s="95">
        <v>45415</v>
      </c>
      <c r="J253" s="122"/>
      <c r="K253" s="122"/>
      <c r="L253" s="147" t="str">
        <f>VLOOKUP(E253,DS!$A$2:$E$4398, 5, 0)</f>
        <v>Thu mua</v>
      </c>
      <c r="M253" s="148"/>
      <c r="N253" s="92" t="e">
        <f>VLOOKUP(Table1[[#This Row],[USER]],[1]!Table145678910111213141545678910111213146[[#All],[No.]:[Delete]],2,0)</f>
        <v>#N/A</v>
      </c>
    </row>
    <row r="254" spans="1:14">
      <c r="A254" s="93">
        <v>247</v>
      </c>
      <c r="B254" s="94">
        <v>11</v>
      </c>
      <c r="C254" s="40" t="s">
        <v>7939</v>
      </c>
      <c r="D254" s="40" t="str">
        <f>VLOOKUP(E254,Sheet3!$A$2:$D$6338,2,0)</f>
        <v>Trịnh Quang Sơn</v>
      </c>
      <c r="E254" s="44" t="s">
        <v>286</v>
      </c>
      <c r="F254" s="44" t="str">
        <f t="shared" si="5"/>
        <v>VN24295</v>
      </c>
      <c r="G254" s="295"/>
      <c r="H254" s="41" t="s">
        <v>67</v>
      </c>
      <c r="I254" s="95">
        <v>45415</v>
      </c>
      <c r="J254" s="122">
        <v>45806</v>
      </c>
      <c r="K254" s="122">
        <v>45806</v>
      </c>
      <c r="L254" s="147" t="e">
        <f>VLOOKUP(E254,DS!$A$2:$E$4398, 5, 0)</f>
        <v>#N/A</v>
      </c>
      <c r="M254" s="148"/>
      <c r="N254" s="92" t="e">
        <f>VLOOKUP(Table1[[#This Row],[USER]],[1]!Table145678910111213141545678910111213146[[#All],[No.]:[Delete]],2,0)</f>
        <v>#N/A</v>
      </c>
    </row>
    <row r="255" spans="1:14">
      <c r="A255" s="93">
        <v>248</v>
      </c>
      <c r="B255" s="94">
        <v>12</v>
      </c>
      <c r="C255" s="40" t="s">
        <v>7939</v>
      </c>
      <c r="D255" s="40" t="str">
        <f>VLOOKUP(E255,Sheet3!$A$2:$D$6338,2,0)</f>
        <v>Nguyễn Thị Vân</v>
      </c>
      <c r="E255" s="44" t="s">
        <v>287</v>
      </c>
      <c r="F255" s="44" t="str">
        <f t="shared" si="5"/>
        <v>VN08898</v>
      </c>
      <c r="G255" s="295"/>
      <c r="H255" s="41" t="s">
        <v>67</v>
      </c>
      <c r="I255" s="95">
        <v>45415</v>
      </c>
      <c r="J255" s="122"/>
      <c r="K255" s="122"/>
      <c r="L255" s="147" t="str">
        <f>VLOOKUP(E255,DS!$A$2:$E$4398, 5, 0)</f>
        <v>Thu mua</v>
      </c>
      <c r="M255" s="148"/>
      <c r="N255" s="92" t="e">
        <f>VLOOKUP(Table1[[#This Row],[USER]],[1]!Table145678910111213141545678910111213146[[#All],[No.]:[Delete]],2,0)</f>
        <v>#N/A</v>
      </c>
    </row>
    <row r="256" spans="1:14">
      <c r="A256" s="93">
        <v>249</v>
      </c>
      <c r="B256" s="94">
        <v>13</v>
      </c>
      <c r="C256" s="40" t="s">
        <v>7939</v>
      </c>
      <c r="D256" s="40" t="str">
        <f>VLOOKUP(E256,Sheet3!$A$2:$D$6338,2,0)</f>
        <v>Vũ Thị Hà</v>
      </c>
      <c r="E256" s="44" t="s">
        <v>288</v>
      </c>
      <c r="F256" s="44" t="str">
        <f t="shared" si="5"/>
        <v>VN08755</v>
      </c>
      <c r="G256" s="295"/>
      <c r="H256" s="41" t="s">
        <v>67</v>
      </c>
      <c r="I256" s="95">
        <v>45415</v>
      </c>
      <c r="J256" s="122"/>
      <c r="K256" s="122"/>
      <c r="L256" s="147" t="str">
        <f>VLOOKUP(E256,DS!$A$2:$E$4398, 5, 0)</f>
        <v>Thu mua</v>
      </c>
      <c r="M256" s="148"/>
      <c r="N256" s="92" t="e">
        <f>VLOOKUP(Table1[[#This Row],[USER]],[1]!Table145678910111213141545678910111213146[[#All],[No.]:[Delete]],2,0)</f>
        <v>#N/A</v>
      </c>
    </row>
    <row r="257" spans="1:14">
      <c r="A257" s="93">
        <v>250</v>
      </c>
      <c r="B257" s="94">
        <v>14</v>
      </c>
      <c r="C257" s="40" t="s">
        <v>7939</v>
      </c>
      <c r="D257" s="40" t="str">
        <f>VLOOKUP(E257,Sheet3!$A$2:$D$6338,2,0)</f>
        <v>Nguyễn Thị Thùy Linh</v>
      </c>
      <c r="E257" s="44" t="s">
        <v>289</v>
      </c>
      <c r="F257" s="44" t="str">
        <f t="shared" si="5"/>
        <v>VN19766</v>
      </c>
      <c r="G257" s="295"/>
      <c r="H257" s="41" t="s">
        <v>67</v>
      </c>
      <c r="I257" s="95">
        <v>45415</v>
      </c>
      <c r="J257" s="122"/>
      <c r="K257" s="122"/>
      <c r="L257" s="147" t="str">
        <f>VLOOKUP(E257,DS!$A$2:$E$4398, 5, 0)</f>
        <v>Thu mua</v>
      </c>
      <c r="M257" s="148"/>
      <c r="N257" s="92" t="e">
        <f>VLOOKUP(Table1[[#This Row],[USER]],[1]!Table145678910111213141545678910111213146[[#All],[No.]:[Delete]],2,0)</f>
        <v>#N/A</v>
      </c>
    </row>
    <row r="258" spans="1:14">
      <c r="A258" s="93">
        <v>251</v>
      </c>
      <c r="B258" s="94">
        <v>15</v>
      </c>
      <c r="C258" s="40" t="s">
        <v>7939</v>
      </c>
      <c r="D258" s="40" t="str">
        <f>VLOOKUP(E258,Sheet3!$A$2:$D$6338,2,0)</f>
        <v>Nguyễn Thị Giang</v>
      </c>
      <c r="E258" s="44" t="s">
        <v>290</v>
      </c>
      <c r="F258" s="44" t="str">
        <f t="shared" si="5"/>
        <v>VN13167</v>
      </c>
      <c r="G258" s="295"/>
      <c r="H258" s="41" t="s">
        <v>67</v>
      </c>
      <c r="I258" s="95">
        <v>45415</v>
      </c>
      <c r="J258" s="122"/>
      <c r="K258" s="122"/>
      <c r="L258" s="147" t="str">
        <f>VLOOKUP(E258,DS!$A$2:$E$4398, 5, 0)</f>
        <v>Thu mua</v>
      </c>
      <c r="M258" s="148"/>
      <c r="N258" s="92" t="e">
        <f>VLOOKUP(Table1[[#This Row],[USER]],[1]!Table145678910111213141545678910111213146[[#All],[No.]:[Delete]],2,0)</f>
        <v>#N/A</v>
      </c>
    </row>
    <row r="259" spans="1:14">
      <c r="A259" s="93">
        <v>252</v>
      </c>
      <c r="B259" s="94">
        <v>16</v>
      </c>
      <c r="C259" s="40" t="s">
        <v>7939</v>
      </c>
      <c r="D259" s="40" t="str">
        <f>VLOOKUP(E259,Sheet3!$A$2:$D$6338,2,0)</f>
        <v>Phạm Thị Thanh Huyền</v>
      </c>
      <c r="E259" s="44" t="s">
        <v>291</v>
      </c>
      <c r="F259" s="44" t="str">
        <f t="shared" si="5"/>
        <v>VN08894</v>
      </c>
      <c r="G259" s="295"/>
      <c r="H259" s="41" t="s">
        <v>67</v>
      </c>
      <c r="I259" s="95">
        <v>45415</v>
      </c>
      <c r="J259" s="122"/>
      <c r="K259" s="122"/>
      <c r="L259" s="147" t="str">
        <f>VLOOKUP(E259,DS!$A$2:$E$4398, 5, 0)</f>
        <v>Thu mua</v>
      </c>
      <c r="M259" s="148"/>
      <c r="N259" s="92" t="e">
        <f>VLOOKUP(Table1[[#This Row],[USER]],[1]!Table145678910111213141545678910111213146[[#All],[No.]:[Delete]],2,0)</f>
        <v>#N/A</v>
      </c>
    </row>
    <row r="260" spans="1:14">
      <c r="A260" s="93">
        <v>253</v>
      </c>
      <c r="B260" s="94">
        <v>17</v>
      </c>
      <c r="C260" s="40" t="s">
        <v>7939</v>
      </c>
      <c r="D260" s="40" t="str">
        <f>VLOOKUP(E260,Sheet3!$A$2:$D$6338,2,0)</f>
        <v>Nguyễn Thị Ngọc Ánh</v>
      </c>
      <c r="E260" s="44" t="s">
        <v>292</v>
      </c>
      <c r="F260" s="44" t="str">
        <f t="shared" si="5"/>
        <v>VN16669</v>
      </c>
      <c r="G260" s="295"/>
      <c r="H260" s="41" t="s">
        <v>67</v>
      </c>
      <c r="I260" s="95">
        <v>45415</v>
      </c>
      <c r="J260" s="122"/>
      <c r="K260" s="122"/>
      <c r="L260" s="147" t="str">
        <f>VLOOKUP(E260,DS!$A$2:$E$4398, 5, 0)</f>
        <v>Thu mua</v>
      </c>
      <c r="M260" s="148"/>
      <c r="N260" s="92" t="e">
        <f>VLOOKUP(Table1[[#This Row],[USER]],[1]!Table145678910111213141545678910111213146[[#All],[No.]:[Delete]],2,0)</f>
        <v>#N/A</v>
      </c>
    </row>
    <row r="261" spans="1:14">
      <c r="A261" s="93">
        <v>254</v>
      </c>
      <c r="B261" s="94">
        <v>18</v>
      </c>
      <c r="C261" s="40" t="s">
        <v>7939</v>
      </c>
      <c r="D261" s="40" t="str">
        <f>VLOOKUP(E261,Sheet3!$A$2:$D$6338,2,0)</f>
        <v>Nguyễn Thị Phương</v>
      </c>
      <c r="E261" s="44" t="s">
        <v>293</v>
      </c>
      <c r="F261" s="44" t="str">
        <f t="shared" si="5"/>
        <v>VN14595</v>
      </c>
      <c r="G261" s="295"/>
      <c r="H261" s="41" t="s">
        <v>67</v>
      </c>
      <c r="I261" s="95">
        <v>45415</v>
      </c>
      <c r="J261" s="122">
        <v>46024</v>
      </c>
      <c r="K261" s="122">
        <v>46024</v>
      </c>
      <c r="L261" s="147" t="str">
        <f>VLOOKUP(E261,DS!$A$2:$E$4398, 5, 0)</f>
        <v>Thu mua</v>
      </c>
      <c r="M261" s="148"/>
      <c r="N261" s="92" t="e">
        <f>VLOOKUP(Table1[[#This Row],[USER]],[1]!Table145678910111213141545678910111213146[[#All],[No.]:[Delete]],2,0)</f>
        <v>#N/A</v>
      </c>
    </row>
    <row r="262" spans="1:14">
      <c r="A262" s="93">
        <v>255</v>
      </c>
      <c r="B262" s="94">
        <v>19</v>
      </c>
      <c r="C262" s="40" t="s">
        <v>7939</v>
      </c>
      <c r="D262" s="40" t="str">
        <f>VLOOKUP(E262,Sheet3!$A$2:$D$6338,2,0)</f>
        <v>Nguyễn Thị Đan Quế</v>
      </c>
      <c r="E262" s="261" t="s">
        <v>8803</v>
      </c>
      <c r="F262" s="261" t="str">
        <f>"VN"&amp;RIGHT(E262,5)</f>
        <v>VN26471</v>
      </c>
      <c r="G262" s="261"/>
      <c r="H262" s="264" t="s">
        <v>67</v>
      </c>
      <c r="I262" s="265">
        <v>46024</v>
      </c>
      <c r="J262" s="262"/>
      <c r="K262" s="262"/>
      <c r="L262" s="262" t="str">
        <f>VLOOKUP(E262,DS!$A$2:$E$4398, 5, 0)</f>
        <v>Thu mua</v>
      </c>
      <c r="M262" s="263"/>
      <c r="N262" s="92" t="e">
        <f>VLOOKUP(Table1[[#This Row],[USER]],[1]!Table145678910111213141545678910111213146[[#All],[No.]:[Delete]],2,0)</f>
        <v>#N/A</v>
      </c>
    </row>
    <row r="263" spans="1:14">
      <c r="A263" s="93">
        <v>255</v>
      </c>
      <c r="B263" s="94">
        <v>19</v>
      </c>
      <c r="C263" s="40" t="s">
        <v>7939</v>
      </c>
      <c r="D263" s="40" t="str">
        <f>VLOOKUP(E263,Sheet3!$A$2:$D$6338,2,0)</f>
        <v>Đào Thị Hoan</v>
      </c>
      <c r="E263" s="44" t="s">
        <v>294</v>
      </c>
      <c r="F263" s="44" t="str">
        <f t="shared" si="5"/>
        <v>VN22756</v>
      </c>
      <c r="G263" s="295"/>
      <c r="H263" s="41" t="s">
        <v>67</v>
      </c>
      <c r="I263" s="95">
        <v>45415</v>
      </c>
      <c r="J263" s="122"/>
      <c r="K263" s="122"/>
      <c r="L263" s="147" t="str">
        <f>VLOOKUP(E263,DS!$A$2:$E$4398, 5, 0)</f>
        <v>Thu mua</v>
      </c>
      <c r="M263" s="148"/>
      <c r="N263" s="92" t="e">
        <f>VLOOKUP(Table1[[#This Row],[USER]],[1]!Table145678910111213141545678910111213146[[#All],[No.]:[Delete]],2,0)</f>
        <v>#N/A</v>
      </c>
    </row>
    <row r="264" spans="1:14">
      <c r="A264" s="93">
        <v>256</v>
      </c>
      <c r="B264" s="94">
        <v>20</v>
      </c>
      <c r="C264" s="40" t="s">
        <v>7939</v>
      </c>
      <c r="D264" s="40" t="str">
        <f>VLOOKUP(E264,Sheet3!$A$2:$D$6338,2,0)</f>
        <v>Nguyễn Thùy Linh</v>
      </c>
      <c r="E264" s="44" t="s">
        <v>295</v>
      </c>
      <c r="F264" s="44" t="str">
        <f t="shared" si="5"/>
        <v>VN24642</v>
      </c>
      <c r="G264" s="295"/>
      <c r="H264" s="41" t="s">
        <v>67</v>
      </c>
      <c r="I264" s="95">
        <v>45415</v>
      </c>
      <c r="J264" s="122"/>
      <c r="K264" s="122"/>
      <c r="L264" s="147" t="str">
        <f>VLOOKUP(E264,DS!$A$2:$E$4398, 5, 0)</f>
        <v>Thu mua</v>
      </c>
      <c r="M264" s="148"/>
      <c r="N264" s="92" t="e">
        <f>VLOOKUP(Table1[[#This Row],[USER]],[1]!Table145678910111213141545678910111213146[[#All],[No.]:[Delete]],2,0)</f>
        <v>#N/A</v>
      </c>
    </row>
    <row r="265" spans="1:14">
      <c r="A265" s="93">
        <v>257</v>
      </c>
      <c r="B265" s="94">
        <v>21</v>
      </c>
      <c r="C265" s="40" t="s">
        <v>7939</v>
      </c>
      <c r="D265" s="40" t="str">
        <f>VLOOKUP(E265,Sheet3!$A$2:$D$6338,2,0)</f>
        <v>Trần Văn Tuấn</v>
      </c>
      <c r="E265" s="44" t="s">
        <v>296</v>
      </c>
      <c r="F265" s="44" t="str">
        <f t="shared" si="5"/>
        <v>VN17578</v>
      </c>
      <c r="G265" s="295"/>
      <c r="H265" s="41" t="s">
        <v>67</v>
      </c>
      <c r="I265" s="95">
        <v>45415</v>
      </c>
      <c r="J265" s="122"/>
      <c r="K265" s="122"/>
      <c r="L265" s="147" t="str">
        <f>VLOOKUP(E265,DS!$A$2:$E$4398, 5, 0)</f>
        <v>Thu mua</v>
      </c>
      <c r="M265" s="148"/>
      <c r="N265" s="92" t="e">
        <f>VLOOKUP(Table1[[#This Row],[USER]],[1]!Table145678910111213141545678910111213146[[#All],[No.]:[Delete]],2,0)</f>
        <v>#N/A</v>
      </c>
    </row>
    <row r="266" spans="1:14">
      <c r="A266" s="93">
        <v>258</v>
      </c>
      <c r="B266" s="94">
        <v>22</v>
      </c>
      <c r="C266" s="40" t="s">
        <v>7939</v>
      </c>
      <c r="D266" s="40" t="str">
        <f>VLOOKUP(E266,Sheet3!$A$2:$D$6338,2,0)</f>
        <v>Đào Lê Nhật Hậu</v>
      </c>
      <c r="E266" s="44" t="s">
        <v>297</v>
      </c>
      <c r="F266" s="44" t="str">
        <f t="shared" si="5"/>
        <v>VN24336</v>
      </c>
      <c r="G266" s="295"/>
      <c r="H266" s="41" t="s">
        <v>67</v>
      </c>
      <c r="I266" s="95">
        <v>45415</v>
      </c>
      <c r="J266" s="122">
        <v>45806</v>
      </c>
      <c r="K266" s="122"/>
      <c r="L266" s="147" t="e">
        <f>VLOOKUP(E266,DS!$A$2:$E$4398, 5, 0)</f>
        <v>#N/A</v>
      </c>
      <c r="M266" s="148"/>
      <c r="N266" s="92" t="e">
        <f>VLOOKUP(Table1[[#This Row],[USER]],[1]!Table145678910111213141545678910111213146[[#All],[No.]:[Delete]],2,0)</f>
        <v>#N/A</v>
      </c>
    </row>
    <row r="267" spans="1:14">
      <c r="A267" s="93">
        <v>259</v>
      </c>
      <c r="B267" s="94">
        <v>23</v>
      </c>
      <c r="C267" s="40" t="s">
        <v>7939</v>
      </c>
      <c r="D267" s="40" t="str">
        <f>VLOOKUP(E267,Sheet3!$A$2:$D$6338,2,0)</f>
        <v>Chu Thị Yến Ngân</v>
      </c>
      <c r="E267" s="44" t="s">
        <v>298</v>
      </c>
      <c r="F267" s="44" t="str">
        <f t="shared" si="5"/>
        <v>VN14376</v>
      </c>
      <c r="G267" s="295"/>
      <c r="H267" s="41" t="s">
        <v>67</v>
      </c>
      <c r="I267" s="95">
        <v>45415</v>
      </c>
      <c r="J267" s="122"/>
      <c r="K267" s="122"/>
      <c r="L267" s="147" t="str">
        <f>VLOOKUP(E267,DS!$A$2:$E$4398, 5, 0)</f>
        <v>Thu mua</v>
      </c>
      <c r="M267" s="148"/>
      <c r="N267" s="92" t="e">
        <f>VLOOKUP(Table1[[#This Row],[USER]],[1]!Table145678910111213141545678910111213146[[#All],[No.]:[Delete]],2,0)</f>
        <v>#N/A</v>
      </c>
    </row>
    <row r="268" spans="1:14">
      <c r="A268" s="93">
        <v>260</v>
      </c>
      <c r="B268" s="94">
        <v>24</v>
      </c>
      <c r="C268" s="40" t="s">
        <v>7939</v>
      </c>
      <c r="D268" s="40" t="str">
        <f>VLOOKUP(E268,Sheet3!$A$2:$D$6338,2,0)</f>
        <v>Đỗ Thị Thùy</v>
      </c>
      <c r="E268" s="44" t="s">
        <v>299</v>
      </c>
      <c r="F268" s="44" t="str">
        <f t="shared" si="5"/>
        <v>VN17646</v>
      </c>
      <c r="G268" s="295"/>
      <c r="H268" s="41" t="s">
        <v>67</v>
      </c>
      <c r="I268" s="95">
        <v>45415</v>
      </c>
      <c r="J268" s="122"/>
      <c r="K268" s="122"/>
      <c r="L268" s="147" t="str">
        <f>VLOOKUP(E268,DS!$A$2:$E$4398, 5, 0)</f>
        <v>Thu mua</v>
      </c>
      <c r="M268" s="148"/>
      <c r="N268" s="92" t="e">
        <f>VLOOKUP(Table1[[#This Row],[USER]],[1]!Table145678910111213141545678910111213146[[#All],[No.]:[Delete]],2,0)</f>
        <v>#N/A</v>
      </c>
    </row>
    <row r="269" spans="1:14">
      <c r="A269" s="93">
        <v>261</v>
      </c>
      <c r="B269" s="94">
        <v>25</v>
      </c>
      <c r="C269" s="40" t="s">
        <v>7939</v>
      </c>
      <c r="D269" s="40" t="str">
        <f>VLOOKUP(E269,Sheet3!$A$2:$D$6338,2,0)</f>
        <v>Vũ Thị Bích Lợi</v>
      </c>
      <c r="E269" s="44" t="s">
        <v>300</v>
      </c>
      <c r="F269" s="44" t="str">
        <f t="shared" si="5"/>
        <v>VN13750</v>
      </c>
      <c r="G269" s="295"/>
      <c r="H269" s="41" t="s">
        <v>67</v>
      </c>
      <c r="I269" s="95">
        <v>45415</v>
      </c>
      <c r="J269" s="122"/>
      <c r="K269" s="122"/>
      <c r="L269" s="147" t="str">
        <f>VLOOKUP(E269,DS!$A$2:$E$4398, 5, 0)</f>
        <v>Thu mua</v>
      </c>
      <c r="M269" s="148"/>
      <c r="N269" s="92" t="e">
        <f>VLOOKUP(Table1[[#This Row],[USER]],[1]!Table145678910111213141545678910111213146[[#All],[No.]:[Delete]],2,0)</f>
        <v>#N/A</v>
      </c>
    </row>
    <row r="270" spans="1:14">
      <c r="A270" s="93">
        <v>262</v>
      </c>
      <c r="B270" s="94">
        <v>26</v>
      </c>
      <c r="C270" s="40" t="s">
        <v>7939</v>
      </c>
      <c r="D270" s="40" t="str">
        <f>VLOOKUP(E270,Sheet3!$A$2:$D$6338,2,0)</f>
        <v>Nguyễn Thị Chinh</v>
      </c>
      <c r="E270" s="44" t="s">
        <v>301</v>
      </c>
      <c r="F270" s="44" t="str">
        <f t="shared" si="5"/>
        <v>VN21835</v>
      </c>
      <c r="G270" s="295"/>
      <c r="H270" s="41" t="s">
        <v>67</v>
      </c>
      <c r="I270" s="95">
        <v>45415</v>
      </c>
      <c r="J270" s="122"/>
      <c r="K270" s="122"/>
      <c r="L270" s="147" t="str">
        <f>VLOOKUP(E270,DS!$A$2:$E$4398, 5, 0)</f>
        <v>Thu mua</v>
      </c>
      <c r="M270" s="148"/>
      <c r="N270" s="92" t="e">
        <f>VLOOKUP(Table1[[#This Row],[USER]],[1]!Table145678910111213141545678910111213146[[#All],[No.]:[Delete]],2,0)</f>
        <v>#N/A</v>
      </c>
    </row>
    <row r="271" spans="1:14">
      <c r="A271" s="93">
        <v>263</v>
      </c>
      <c r="B271" s="94">
        <v>27</v>
      </c>
      <c r="C271" s="40" t="s">
        <v>7939</v>
      </c>
      <c r="D271" s="40" t="str">
        <f>VLOOKUP(E271,Sheet3!$A$2:$D$6338,2,0)</f>
        <v>Trần Văn Nghĩa</v>
      </c>
      <c r="E271" s="44" t="s">
        <v>302</v>
      </c>
      <c r="F271" s="44" t="str">
        <f t="shared" si="5"/>
        <v>VN08756</v>
      </c>
      <c r="G271" s="295"/>
      <c r="H271" s="41" t="s">
        <v>67</v>
      </c>
      <c r="I271" s="95">
        <v>45415</v>
      </c>
      <c r="J271" s="122"/>
      <c r="K271" s="122"/>
      <c r="L271" s="147" t="str">
        <f>VLOOKUP(E271,DS!$A$2:$E$4398, 5, 0)</f>
        <v>Thu mua</v>
      </c>
      <c r="M271" s="148"/>
      <c r="N271" s="92" t="e">
        <f>VLOOKUP(Table1[[#This Row],[USER]],[1]!Table145678910111213141545678910111213146[[#All],[No.]:[Delete]],2,0)</f>
        <v>#N/A</v>
      </c>
    </row>
    <row r="272" spans="1:14">
      <c r="A272" s="93">
        <v>264</v>
      </c>
      <c r="B272" s="94">
        <v>28</v>
      </c>
      <c r="C272" s="40" t="s">
        <v>7939</v>
      </c>
      <c r="D272" s="40" t="str">
        <f>VLOOKUP(E272,Sheet3!$A$2:$D$6338,2,0)</f>
        <v>Lê Thị Hải Yến</v>
      </c>
      <c r="E272" s="44" t="s">
        <v>303</v>
      </c>
      <c r="F272" s="44" t="str">
        <f t="shared" si="5"/>
        <v>VN00658</v>
      </c>
      <c r="G272" s="295"/>
      <c r="H272" s="41" t="s">
        <v>67</v>
      </c>
      <c r="I272" s="95">
        <v>45415</v>
      </c>
      <c r="J272" s="122"/>
      <c r="K272" s="122"/>
      <c r="L272" s="147" t="str">
        <f>VLOOKUP(E272,DS!$A$2:$E$4398, 5, 0)</f>
        <v>Thu mua</v>
      </c>
      <c r="M272" s="148"/>
      <c r="N272" s="92" t="e">
        <f>VLOOKUP(Table1[[#This Row],[USER]],[1]!Table145678910111213141545678910111213146[[#All],[No.]:[Delete]],2,0)</f>
        <v>#N/A</v>
      </c>
    </row>
    <row r="273" spans="1:14">
      <c r="A273" s="93">
        <v>265</v>
      </c>
      <c r="B273" s="94">
        <v>29</v>
      </c>
      <c r="C273" s="40" t="s">
        <v>7939</v>
      </c>
      <c r="D273" s="40" t="str">
        <f>VLOOKUP(E273,Sheet3!$A$2:$D$6338,2,0)</f>
        <v>Trần Thị Hằng</v>
      </c>
      <c r="E273" s="44" t="s">
        <v>304</v>
      </c>
      <c r="F273" s="44" t="str">
        <f t="shared" si="5"/>
        <v>VN18013</v>
      </c>
      <c r="G273" s="295"/>
      <c r="H273" s="41" t="s">
        <v>67</v>
      </c>
      <c r="I273" s="95">
        <v>45415</v>
      </c>
      <c r="J273" s="122">
        <v>45876</v>
      </c>
      <c r="K273" s="122">
        <v>45876</v>
      </c>
      <c r="L273" s="147" t="e">
        <f>VLOOKUP(E273,DS!$A$2:$E$4398, 5, 0)</f>
        <v>#N/A</v>
      </c>
      <c r="M273" s="148"/>
      <c r="N273" s="92" t="e">
        <f>VLOOKUP(Table1[[#This Row],[USER]],[1]!Table145678910111213141545678910111213146[[#All],[No.]:[Delete]],2,0)</f>
        <v>#N/A</v>
      </c>
    </row>
    <row r="274" spans="1:14">
      <c r="A274" s="93">
        <v>266</v>
      </c>
      <c r="B274" s="94">
        <v>30</v>
      </c>
      <c r="C274" s="40" t="s">
        <v>7939</v>
      </c>
      <c r="D274" s="40" t="str">
        <f>VLOOKUP(E274,Sheet3!$A$2:$D$6338,2,0)</f>
        <v>Phạm Văn Toàn</v>
      </c>
      <c r="E274" s="44" t="s">
        <v>305</v>
      </c>
      <c r="F274" s="44" t="str">
        <f t="shared" si="5"/>
        <v>VN09590</v>
      </c>
      <c r="G274" s="295"/>
      <c r="H274" s="41" t="s">
        <v>67</v>
      </c>
      <c r="I274" s="95">
        <v>45415</v>
      </c>
      <c r="J274" s="122"/>
      <c r="K274" s="122"/>
      <c r="L274" s="147" t="str">
        <f>VLOOKUP(E274,DS!$A$2:$E$4398, 5, 0)</f>
        <v>Thu mua</v>
      </c>
      <c r="M274" s="148"/>
      <c r="N274" s="92" t="e">
        <f>VLOOKUP(Table1[[#This Row],[USER]],[1]!Table145678910111213141545678910111213146[[#All],[No.]:[Delete]],2,0)</f>
        <v>#N/A</v>
      </c>
    </row>
    <row r="275" spans="1:14">
      <c r="A275" s="93">
        <v>267</v>
      </c>
      <c r="B275" s="94">
        <v>31</v>
      </c>
      <c r="C275" s="40" t="s">
        <v>7939</v>
      </c>
      <c r="D275" s="40" t="str">
        <f>VLOOKUP(E275,Sheet3!$A$2:$D$6338,2,0)</f>
        <v>Nguyễn Minh Thành</v>
      </c>
      <c r="E275" s="44" t="s">
        <v>306</v>
      </c>
      <c r="F275" s="44" t="str">
        <f t="shared" si="5"/>
        <v>VN09244</v>
      </c>
      <c r="G275" s="295"/>
      <c r="H275" s="41" t="s">
        <v>67</v>
      </c>
      <c r="I275" s="95">
        <v>45415</v>
      </c>
      <c r="J275" s="122"/>
      <c r="K275" s="122"/>
      <c r="L275" s="147" t="str">
        <f>VLOOKUP(E275,DS!$A$2:$E$4398, 5, 0)</f>
        <v>Thu mua</v>
      </c>
      <c r="M275" s="148"/>
      <c r="N275" s="92" t="e">
        <f>VLOOKUP(Table1[[#This Row],[USER]],[1]!Table145678910111213141545678910111213146[[#All],[No.]:[Delete]],2,0)</f>
        <v>#N/A</v>
      </c>
    </row>
    <row r="276" spans="1:14">
      <c r="A276" s="93">
        <v>268</v>
      </c>
      <c r="B276" s="94">
        <v>32</v>
      </c>
      <c r="C276" s="40" t="s">
        <v>7939</v>
      </c>
      <c r="D276" s="40" t="str">
        <f>VLOOKUP(E276,Sheet3!$A$2:$D$6338,2,0)</f>
        <v>Trần Duy Bình</v>
      </c>
      <c r="E276" s="44" t="s">
        <v>307</v>
      </c>
      <c r="F276" s="44" t="str">
        <f t="shared" si="5"/>
        <v>VN01737</v>
      </c>
      <c r="G276" s="295"/>
      <c r="H276" s="41" t="s">
        <v>67</v>
      </c>
      <c r="I276" s="95">
        <v>45415</v>
      </c>
      <c r="J276" s="122"/>
      <c r="K276" s="122"/>
      <c r="L276" s="147" t="str">
        <f>VLOOKUP(E276,DS!$A$2:$E$4398, 5, 0)</f>
        <v>Thu mua</v>
      </c>
      <c r="M276" s="148"/>
      <c r="N276" s="92" t="e">
        <f>VLOOKUP(Table1[[#This Row],[USER]],[1]!Table145678910111213141545678910111213146[[#All],[No.]:[Delete]],2,0)</f>
        <v>#N/A</v>
      </c>
    </row>
    <row r="277" spans="1:14">
      <c r="A277" s="93">
        <v>269</v>
      </c>
      <c r="B277" s="94">
        <v>33</v>
      </c>
      <c r="C277" s="40" t="s">
        <v>7939</v>
      </c>
      <c r="D277" s="40" t="str">
        <f>VLOOKUP(E277,Sheet3!$A$2:$D$6338,2,0)</f>
        <v>Trần Thế Hùng</v>
      </c>
      <c r="E277" s="44" t="s">
        <v>308</v>
      </c>
      <c r="F277" s="44" t="str">
        <f t="shared" ref="F277:F350" si="6">"VN"&amp;RIGHT(E277,5)</f>
        <v>VN01656</v>
      </c>
      <c r="G277" s="295"/>
      <c r="H277" s="41" t="s">
        <v>67</v>
      </c>
      <c r="I277" s="95">
        <v>45415</v>
      </c>
      <c r="J277" s="122"/>
      <c r="K277" s="122"/>
      <c r="L277" s="147" t="str">
        <f>VLOOKUP(E277,DS!$A$2:$E$4398, 5, 0)</f>
        <v>Thu mua</v>
      </c>
      <c r="M277" s="148"/>
      <c r="N277" s="92" t="e">
        <f>VLOOKUP(Table1[[#This Row],[USER]],[1]!Table145678910111213141545678910111213146[[#All],[No.]:[Delete]],2,0)</f>
        <v>#N/A</v>
      </c>
    </row>
    <row r="278" spans="1:14">
      <c r="A278" s="93">
        <v>270</v>
      </c>
      <c r="B278" s="94">
        <v>34</v>
      </c>
      <c r="C278" s="40" t="s">
        <v>7939</v>
      </c>
      <c r="D278" s="40" t="str">
        <f>VLOOKUP(E278,Sheet3!$A$2:$D$6338,2,0)</f>
        <v>Nguyễn Hồng Đông</v>
      </c>
      <c r="E278" s="44" t="s">
        <v>309</v>
      </c>
      <c r="F278" s="44" t="str">
        <f t="shared" si="6"/>
        <v>VN01914</v>
      </c>
      <c r="G278" s="295"/>
      <c r="H278" s="41" t="s">
        <v>67</v>
      </c>
      <c r="I278" s="95">
        <v>45415</v>
      </c>
      <c r="J278" s="122"/>
      <c r="K278" s="122"/>
      <c r="L278" s="147" t="str">
        <f>VLOOKUP(E278,DS!$A$2:$E$4398, 5, 0)</f>
        <v>Thu mua</v>
      </c>
      <c r="M278" s="148"/>
      <c r="N278" s="92" t="e">
        <f>VLOOKUP(Table1[[#This Row],[USER]],[1]!Table145678910111213141545678910111213146[[#All],[No.]:[Delete]],2,0)</f>
        <v>#N/A</v>
      </c>
    </row>
    <row r="279" spans="1:14">
      <c r="A279" s="93">
        <v>271</v>
      </c>
      <c r="B279" s="94">
        <v>35</v>
      </c>
      <c r="C279" s="40" t="s">
        <v>57</v>
      </c>
      <c r="D279" s="40" t="str">
        <f>VLOOKUP(E279,Sheet3!$A$2:$D$6338,2,0)</f>
        <v>Nguyễn Quang Trung</v>
      </c>
      <c r="E279" s="44" t="s">
        <v>310</v>
      </c>
      <c r="F279" s="44" t="str">
        <f t="shared" si="6"/>
        <v>VN00993</v>
      </c>
      <c r="G279" s="295"/>
      <c r="H279" s="41" t="s">
        <v>67</v>
      </c>
      <c r="I279" s="95">
        <v>45415</v>
      </c>
      <c r="J279" s="122"/>
      <c r="K279" s="122"/>
      <c r="L279" s="147" t="str">
        <f>VLOOKUP(E279,DS!$A$2:$E$4398, 5, 0)</f>
        <v>QC</v>
      </c>
      <c r="M279" s="148"/>
      <c r="N279" s="92" t="e">
        <f>VLOOKUP(Table1[[#This Row],[USER]],[1]!Table145678910111213141545678910111213146[[#All],[No.]:[Delete]],2,0)</f>
        <v>#N/A</v>
      </c>
    </row>
    <row r="280" spans="1:14">
      <c r="A280" s="93">
        <v>272</v>
      </c>
      <c r="B280" s="94">
        <v>36</v>
      </c>
      <c r="C280" s="40" t="s">
        <v>7939</v>
      </c>
      <c r="D280" s="40" t="str">
        <f>VLOOKUP(E280,Sheet3!$A$2:$D$6338,2,0)</f>
        <v>Nghiêm Xuân Thế</v>
      </c>
      <c r="E280" s="44" t="s">
        <v>311</v>
      </c>
      <c r="F280" s="44" t="str">
        <f t="shared" si="6"/>
        <v>VN08889</v>
      </c>
      <c r="G280" s="295"/>
      <c r="H280" s="41" t="s">
        <v>67</v>
      </c>
      <c r="I280" s="95">
        <v>45415</v>
      </c>
      <c r="J280" s="122"/>
      <c r="K280" s="122"/>
      <c r="L280" s="147" t="str">
        <f>VLOOKUP(E280,DS!$A$2:$E$4398, 5, 0)</f>
        <v>Thu mua</v>
      </c>
      <c r="M280" s="148"/>
      <c r="N280" s="92" t="e">
        <f>VLOOKUP(Table1[[#This Row],[USER]],[1]!Table145678910111213141545678910111213146[[#All],[No.]:[Delete]],2,0)</f>
        <v>#N/A</v>
      </c>
    </row>
    <row r="281" spans="1:14">
      <c r="A281" s="93">
        <v>273</v>
      </c>
      <c r="B281" s="94">
        <v>37</v>
      </c>
      <c r="C281" s="40" t="s">
        <v>7939</v>
      </c>
      <c r="D281" s="40" t="str">
        <f>VLOOKUP(E281,Sheet3!$A$2:$D$6338,2,0)</f>
        <v>Nguyễn Thị Diệu Linh</v>
      </c>
      <c r="E281" s="44" t="s">
        <v>312</v>
      </c>
      <c r="F281" s="44" t="str">
        <f t="shared" si="6"/>
        <v>VN24509</v>
      </c>
      <c r="G281" s="295"/>
      <c r="H281" s="41" t="s">
        <v>67</v>
      </c>
      <c r="I281" s="95">
        <v>45415</v>
      </c>
      <c r="J281" s="122"/>
      <c r="K281" s="122"/>
      <c r="L281" s="147" t="str">
        <f>VLOOKUP(E281,DS!$A$2:$E$4398, 5, 0)</f>
        <v>Thu mua</v>
      </c>
      <c r="M281" s="148"/>
      <c r="N281" s="92" t="e">
        <f>VLOOKUP(Table1[[#This Row],[USER]],[1]!Table145678910111213141545678910111213146[[#All],[No.]:[Delete]],2,0)</f>
        <v>#N/A</v>
      </c>
    </row>
    <row r="282" spans="1:14">
      <c r="A282" s="93">
        <v>274</v>
      </c>
      <c r="B282" s="156"/>
      <c r="C282" s="40" t="s">
        <v>7939</v>
      </c>
      <c r="D282" s="40" t="str">
        <f>VLOOKUP(E282,Sheet3!$A$2:$D$6338,2,0)</f>
        <v>Nguyễn Thị Huyền</v>
      </c>
      <c r="E282" s="157" t="s">
        <v>8389</v>
      </c>
      <c r="F282" s="157" t="str">
        <f>"VN"&amp;RIGHT(E282,5)</f>
        <v>VN25757</v>
      </c>
      <c r="G282" s="297"/>
      <c r="H282" s="41" t="s">
        <v>67</v>
      </c>
      <c r="I282" s="162">
        <v>45810</v>
      </c>
      <c r="J282" s="158"/>
      <c r="K282" s="158"/>
      <c r="L282" s="147" t="str">
        <f>VLOOKUP(E282,DS!$A$2:$E$4398, 5, 0)</f>
        <v>Thu mua</v>
      </c>
      <c r="M282" s="154"/>
      <c r="N282" s="92" t="e">
        <f>VLOOKUP(Table1[[#This Row],[USER]],[1]!Table145678910111213141545678910111213146[[#All],[No.]:[Delete]],2,0)</f>
        <v>#N/A</v>
      </c>
    </row>
    <row r="283" spans="1:14">
      <c r="A283" s="93">
        <v>275</v>
      </c>
      <c r="B283" s="94">
        <v>1</v>
      </c>
      <c r="C283" s="40" t="s">
        <v>7940</v>
      </c>
      <c r="D283" s="40" t="str">
        <f>VLOOKUP(E283,Sheet3!$A$2:$D$6338,2,0)</f>
        <v>Hoàng Thị Hoa</v>
      </c>
      <c r="E283" s="44" t="s">
        <v>313</v>
      </c>
      <c r="F283" s="44" t="str">
        <f t="shared" si="6"/>
        <v>VN02824</v>
      </c>
      <c r="G283" s="295"/>
      <c r="H283" s="41" t="s">
        <v>67</v>
      </c>
      <c r="I283" s="95">
        <v>45408</v>
      </c>
      <c r="J283" s="122"/>
      <c r="K283" s="122"/>
      <c r="L283" s="147" t="str">
        <f>VLOOKUP(E283,DS!$A$2:$E$4398, 5, 0)</f>
        <v>Tổng vụ</v>
      </c>
      <c r="M283" s="148"/>
      <c r="N283" s="92" t="e">
        <f>VLOOKUP(Table1[[#This Row],[USER]],[1]!Table145678910111213141545678910111213146[[#All],[No.]:[Delete]],2,0)</f>
        <v>#N/A</v>
      </c>
    </row>
    <row r="284" spans="1:14">
      <c r="A284" s="93">
        <v>276</v>
      </c>
      <c r="B284" s="94">
        <v>2</v>
      </c>
      <c r="C284" s="40" t="s">
        <v>7940</v>
      </c>
      <c r="D284" s="40" t="str">
        <f>VLOOKUP(E284,Sheet3!$A$2:$D$6338,2,0)</f>
        <v>Nguyễn Thị Hằng</v>
      </c>
      <c r="E284" s="44" t="s">
        <v>314</v>
      </c>
      <c r="F284" s="44" t="str">
        <f t="shared" si="6"/>
        <v>VN18258</v>
      </c>
      <c r="G284" s="295"/>
      <c r="H284" s="41" t="s">
        <v>67</v>
      </c>
      <c r="I284" s="95">
        <v>45408</v>
      </c>
      <c r="J284" s="122"/>
      <c r="K284" s="122"/>
      <c r="L284" s="147" t="str">
        <f>VLOOKUP(E284,DS!$A$2:$E$4398, 5, 0)</f>
        <v>Nhân sự</v>
      </c>
      <c r="M284" s="148"/>
      <c r="N284" s="92" t="e">
        <f>VLOOKUP(Table1[[#This Row],[USER]],[1]!Table145678910111213141545678910111213146[[#All],[No.]:[Delete]],2,0)</f>
        <v>#N/A</v>
      </c>
    </row>
    <row r="285" spans="1:14">
      <c r="A285" s="93">
        <v>277</v>
      </c>
      <c r="B285" s="94">
        <v>3</v>
      </c>
      <c r="C285" s="40" t="s">
        <v>7940</v>
      </c>
      <c r="D285" s="40" t="str">
        <f>VLOOKUP(E285,Sheet3!$A$2:$D$6338,2,0)</f>
        <v>Trần Thị Thu Hường</v>
      </c>
      <c r="E285" s="44" t="s">
        <v>315</v>
      </c>
      <c r="F285" s="44" t="str">
        <f t="shared" si="6"/>
        <v>VN00740</v>
      </c>
      <c r="G285" s="295"/>
      <c r="H285" s="41" t="s">
        <v>67</v>
      </c>
      <c r="I285" s="95">
        <v>45408</v>
      </c>
      <c r="J285" s="122"/>
      <c r="K285" s="122"/>
      <c r="L285" s="147" t="str">
        <f>VLOOKUP(E285,DS!$A$2:$E$4398, 5, 0)</f>
        <v>Nhân sự</v>
      </c>
      <c r="M285" s="148"/>
      <c r="N285" s="92" t="e">
        <f>VLOOKUP(Table1[[#This Row],[USER]],[1]!Table145678910111213141545678910111213146[[#All],[No.]:[Delete]],2,0)</f>
        <v>#N/A</v>
      </c>
    </row>
    <row r="286" spans="1:14">
      <c r="A286" s="93">
        <v>278</v>
      </c>
      <c r="B286" s="94">
        <v>4</v>
      </c>
      <c r="C286" s="40" t="s">
        <v>7940</v>
      </c>
      <c r="D286" s="40" t="str">
        <f>VLOOKUP(E286,Sheet3!$A$2:$D$6338,2,0)</f>
        <v>Vũ Thị Nhinh</v>
      </c>
      <c r="E286" s="44" t="s">
        <v>316</v>
      </c>
      <c r="F286" s="44" t="str">
        <f t="shared" si="6"/>
        <v>VN00336</v>
      </c>
      <c r="G286" s="295"/>
      <c r="H286" s="41" t="s">
        <v>67</v>
      </c>
      <c r="I286" s="95">
        <v>45408</v>
      </c>
      <c r="J286" s="122"/>
      <c r="K286" s="122"/>
      <c r="L286" s="147" t="str">
        <f>VLOOKUP(E286,DS!$A$2:$E$4398, 5, 0)</f>
        <v>Nhân sự</v>
      </c>
      <c r="M286" s="148"/>
      <c r="N286" s="92" t="e">
        <f>VLOOKUP(Table1[[#This Row],[USER]],[1]!Table145678910111213141545678910111213146[[#All],[No.]:[Delete]],2,0)</f>
        <v>#N/A</v>
      </c>
    </row>
    <row r="287" spans="1:14">
      <c r="A287" s="93">
        <v>279</v>
      </c>
      <c r="B287" s="94">
        <v>5</v>
      </c>
      <c r="C287" s="40" t="s">
        <v>7940</v>
      </c>
      <c r="D287" s="40" t="str">
        <f>VLOOKUP(E287,Sheet3!$A$2:$D$6338,2,0)</f>
        <v>Bùi Thị Hồng Nhung</v>
      </c>
      <c r="E287" s="44" t="s">
        <v>317</v>
      </c>
      <c r="F287" s="44" t="str">
        <f t="shared" si="6"/>
        <v>VN03489</v>
      </c>
      <c r="G287" s="295"/>
      <c r="H287" s="41" t="s">
        <v>67</v>
      </c>
      <c r="I287" s="95">
        <v>45408</v>
      </c>
      <c r="J287" s="122"/>
      <c r="K287" s="122"/>
      <c r="L287" s="147" t="str">
        <f>VLOOKUP(E287,DS!$A$2:$E$4398, 5, 0)</f>
        <v>Nhân sự</v>
      </c>
      <c r="M287" s="148"/>
      <c r="N287" s="92" t="e">
        <f>VLOOKUP(Table1[[#This Row],[USER]],[1]!Table145678910111213141545678910111213146[[#All],[No.]:[Delete]],2,0)</f>
        <v>#N/A</v>
      </c>
    </row>
    <row r="288" spans="1:14">
      <c r="A288" s="93">
        <v>280</v>
      </c>
      <c r="B288" s="94">
        <v>6</v>
      </c>
      <c r="C288" s="40" t="s">
        <v>7940</v>
      </c>
      <c r="D288" s="40" t="str">
        <f>VLOOKUP(E288,Sheet3!$A$2:$D$6338,2,0)</f>
        <v>Nông Thị Hợp</v>
      </c>
      <c r="E288" s="44" t="s">
        <v>318</v>
      </c>
      <c r="F288" s="44" t="str">
        <f t="shared" si="6"/>
        <v>VN01188</v>
      </c>
      <c r="G288" s="295"/>
      <c r="H288" s="41" t="s">
        <v>67</v>
      </c>
      <c r="I288" s="95">
        <v>45408</v>
      </c>
      <c r="J288" s="122"/>
      <c r="K288" s="122"/>
      <c r="L288" s="147" t="str">
        <f>VLOOKUP(E288,DS!$A$2:$E$4398, 5, 0)</f>
        <v>Nhân sự</v>
      </c>
      <c r="M288" s="148"/>
      <c r="N288" s="92" t="e">
        <f>VLOOKUP(Table1[[#This Row],[USER]],[1]!Table145678910111213141545678910111213146[[#All],[No.]:[Delete]],2,0)</f>
        <v>#N/A</v>
      </c>
    </row>
    <row r="289" spans="1:14">
      <c r="A289" s="93">
        <v>281</v>
      </c>
      <c r="B289" s="94">
        <v>7</v>
      </c>
      <c r="C289" s="40" t="s">
        <v>7940</v>
      </c>
      <c r="D289" s="40" t="str">
        <f>VLOOKUP(E289,Sheet3!$A$2:$D$6338,2,0)</f>
        <v>Nguyễn Thúy Hà</v>
      </c>
      <c r="E289" s="44" t="s">
        <v>319</v>
      </c>
      <c r="F289" s="44" t="str">
        <f t="shared" si="6"/>
        <v>VN00369</v>
      </c>
      <c r="G289" s="295"/>
      <c r="H289" s="41" t="s">
        <v>67</v>
      </c>
      <c r="I289" s="95">
        <v>45408</v>
      </c>
      <c r="J289" s="122"/>
      <c r="K289" s="122"/>
      <c r="L289" s="147" t="str">
        <f>VLOOKUP(E289,DS!$A$2:$E$4398, 5, 0)</f>
        <v>Tổng vụ</v>
      </c>
      <c r="M289" s="148"/>
      <c r="N289" s="92" t="e">
        <f>VLOOKUP(Table1[[#This Row],[USER]],[1]!Table145678910111213141545678910111213146[[#All],[No.]:[Delete]],2,0)</f>
        <v>#N/A</v>
      </c>
    </row>
    <row r="290" spans="1:14">
      <c r="A290" s="93">
        <v>282</v>
      </c>
      <c r="B290" s="94">
        <v>8</v>
      </c>
      <c r="C290" s="40" t="s">
        <v>7940</v>
      </c>
      <c r="D290" s="40" t="str">
        <f>VLOOKUP(E290,Sheet3!$A$2:$D$6338,2,0)</f>
        <v>Nguyễn Thị Nhâm Tý</v>
      </c>
      <c r="E290" s="44" t="s">
        <v>320</v>
      </c>
      <c r="F290" s="44" t="str">
        <f t="shared" si="6"/>
        <v>VN01162</v>
      </c>
      <c r="G290" s="295"/>
      <c r="H290" s="41" t="s">
        <v>67</v>
      </c>
      <c r="I290" s="95">
        <v>45408</v>
      </c>
      <c r="J290" s="122"/>
      <c r="K290" s="122"/>
      <c r="L290" s="147" t="str">
        <f>VLOOKUP(E290,DS!$A$2:$E$4398, 5, 0)</f>
        <v>Tổng vụ</v>
      </c>
      <c r="M290" s="148"/>
      <c r="N290" s="92" t="e">
        <f>VLOOKUP(Table1[[#This Row],[USER]],[1]!Table145678910111213141545678910111213146[[#All],[No.]:[Delete]],2,0)</f>
        <v>#N/A</v>
      </c>
    </row>
    <row r="291" spans="1:14">
      <c r="A291" s="93">
        <v>283</v>
      </c>
      <c r="B291" s="94">
        <v>9</v>
      </c>
      <c r="C291" s="40" t="s">
        <v>7940</v>
      </c>
      <c r="D291" s="40" t="str">
        <f>VLOOKUP(E291,Sheet3!$A$2:$D$6338,2,0)</f>
        <v>Nguyễn Thị Sinh</v>
      </c>
      <c r="E291" s="44" t="s">
        <v>321</v>
      </c>
      <c r="F291" s="44" t="str">
        <f t="shared" si="6"/>
        <v>VN03499</v>
      </c>
      <c r="G291" s="295"/>
      <c r="H291" s="41" t="s">
        <v>67</v>
      </c>
      <c r="I291" s="95">
        <v>45408</v>
      </c>
      <c r="J291" s="122"/>
      <c r="K291" s="122"/>
      <c r="L291" s="147" t="str">
        <f>VLOOKUP(E291,DS!$A$2:$E$4398, 5, 0)</f>
        <v>Nhân sự</v>
      </c>
      <c r="M291" s="148"/>
      <c r="N291" s="92" t="e">
        <f>VLOOKUP(Table1[[#This Row],[USER]],[1]!Table145678910111213141545678910111213146[[#All],[No.]:[Delete]],2,0)</f>
        <v>#N/A</v>
      </c>
    </row>
    <row r="292" spans="1:14">
      <c r="A292" s="93">
        <v>284</v>
      </c>
      <c r="B292" s="94">
        <v>10</v>
      </c>
      <c r="C292" s="40" t="s">
        <v>7940</v>
      </c>
      <c r="D292" s="40" t="str">
        <f>VLOOKUP(E292,Sheet3!$A$2:$D$6338,2,0)</f>
        <v>Nguyễn Thị Hồng Hạnh</v>
      </c>
      <c r="E292" s="44" t="s">
        <v>322</v>
      </c>
      <c r="F292" s="44" t="str">
        <f t="shared" si="6"/>
        <v>VN17645</v>
      </c>
      <c r="G292" s="295"/>
      <c r="H292" s="41" t="s">
        <v>67</v>
      </c>
      <c r="I292" s="95">
        <v>45408</v>
      </c>
      <c r="J292" s="122"/>
      <c r="K292" s="122"/>
      <c r="L292" s="147" t="str">
        <f>VLOOKUP(E292,DS!$A$2:$E$4398, 5, 0)</f>
        <v>Nhân sự</v>
      </c>
      <c r="M292" s="148"/>
      <c r="N292" s="92" t="e">
        <f>VLOOKUP(Table1[[#This Row],[USER]],[1]!Table145678910111213141545678910111213146[[#All],[No.]:[Delete]],2,0)</f>
        <v>#N/A</v>
      </c>
    </row>
    <row r="293" spans="1:14">
      <c r="A293" s="93">
        <v>285</v>
      </c>
      <c r="B293" s="94">
        <v>11</v>
      </c>
      <c r="C293" s="40" t="s">
        <v>7940</v>
      </c>
      <c r="D293" s="40" t="str">
        <f>VLOOKUP(E293,Sheet3!$A$2:$D$6338,2,0)</f>
        <v>Nguyễn Thị Hồng Yến</v>
      </c>
      <c r="E293" s="44" t="s">
        <v>323</v>
      </c>
      <c r="F293" s="44" t="str">
        <f t="shared" si="6"/>
        <v>VN09870</v>
      </c>
      <c r="G293" s="295"/>
      <c r="H293" s="41" t="s">
        <v>67</v>
      </c>
      <c r="I293" s="95">
        <v>45408</v>
      </c>
      <c r="J293" s="122"/>
      <c r="K293" s="122"/>
      <c r="L293" s="147" t="str">
        <f>VLOOKUP(E293,DS!$A$2:$E$4398, 5, 0)</f>
        <v>Tổng vụ</v>
      </c>
      <c r="M293" s="148"/>
      <c r="N293" s="92" t="e">
        <f>VLOOKUP(Table1[[#This Row],[USER]],[1]!Table145678910111213141545678910111213146[[#All],[No.]:[Delete]],2,0)</f>
        <v>#N/A</v>
      </c>
    </row>
    <row r="294" spans="1:14">
      <c r="A294" s="93">
        <v>286</v>
      </c>
      <c r="B294" s="94">
        <v>12</v>
      </c>
      <c r="C294" s="40" t="s">
        <v>7940</v>
      </c>
      <c r="D294" s="40" t="str">
        <f>VLOOKUP(E294,Sheet3!$A$2:$D$6338,2,0)</f>
        <v>Dương Thị Phương</v>
      </c>
      <c r="E294" s="44" t="s">
        <v>324</v>
      </c>
      <c r="F294" s="44" t="str">
        <f t="shared" si="6"/>
        <v>VN20019</v>
      </c>
      <c r="G294" s="295"/>
      <c r="H294" s="41" t="s">
        <v>67</v>
      </c>
      <c r="I294" s="95">
        <v>45408</v>
      </c>
      <c r="J294" s="122"/>
      <c r="K294" s="122"/>
      <c r="L294" s="147" t="str">
        <f>VLOOKUP(E294,DS!$A$2:$E$4398, 5, 0)</f>
        <v>Nhân sự</v>
      </c>
      <c r="M294" s="148"/>
      <c r="N294" s="92" t="e">
        <f>VLOOKUP(Table1[[#This Row],[USER]],[1]!Table145678910111213141545678910111213146[[#All],[No.]:[Delete]],2,0)</f>
        <v>#N/A</v>
      </c>
    </row>
    <row r="295" spans="1:14">
      <c r="A295" s="93">
        <v>287</v>
      </c>
      <c r="B295" s="94">
        <v>13</v>
      </c>
      <c r="C295" s="40" t="s">
        <v>7940</v>
      </c>
      <c r="D295" s="40" t="str">
        <f>VLOOKUP(E295,Sheet3!$A$2:$D$6338,2,0)</f>
        <v>Bùi Thị Hương Giang</v>
      </c>
      <c r="E295" s="44" t="s">
        <v>325</v>
      </c>
      <c r="F295" s="44" t="str">
        <f t="shared" si="6"/>
        <v>VN20907</v>
      </c>
      <c r="G295" s="295"/>
      <c r="H295" s="41" t="s">
        <v>67</v>
      </c>
      <c r="I295" s="95">
        <v>45408</v>
      </c>
      <c r="J295" s="122"/>
      <c r="K295" s="122"/>
      <c r="L295" s="147" t="str">
        <f>VLOOKUP(E295,DS!$A$2:$E$4398, 5, 0)</f>
        <v>Nhân sự</v>
      </c>
      <c r="M295" s="148"/>
      <c r="N295" s="92" t="e">
        <f>VLOOKUP(Table1[[#This Row],[USER]],[1]!Table145678910111213141545678910111213146[[#All],[No.]:[Delete]],2,0)</f>
        <v>#N/A</v>
      </c>
    </row>
    <row r="296" spans="1:14">
      <c r="A296" s="93">
        <v>288</v>
      </c>
      <c r="B296" s="94">
        <v>14</v>
      </c>
      <c r="C296" s="40" t="s">
        <v>7940</v>
      </c>
      <c r="D296" s="40" t="e">
        <f>VLOOKUP(E296,Sheet3!$A$2:$D$6338,2,0)</f>
        <v>#N/A</v>
      </c>
      <c r="E296" s="44" t="s">
        <v>326</v>
      </c>
      <c r="F296" s="44" t="s">
        <v>326</v>
      </c>
      <c r="G296" s="295"/>
      <c r="H296" s="41" t="s">
        <v>67</v>
      </c>
      <c r="I296" s="95">
        <v>45408</v>
      </c>
      <c r="J296" s="122"/>
      <c r="K296" s="122"/>
      <c r="L296" s="147" t="e">
        <f>VLOOKUP(E296,DS!$A$2:$E$4398, 5, 0)</f>
        <v>#N/A</v>
      </c>
      <c r="M296" s="148"/>
      <c r="N296" s="92" t="e">
        <f>VLOOKUP(Table1[[#This Row],[USER]],[1]!Table145678910111213141545678910111213146[[#All],[No.]:[Delete]],2,0)</f>
        <v>#N/A</v>
      </c>
    </row>
    <row r="297" spans="1:14">
      <c r="A297" s="93">
        <v>289</v>
      </c>
      <c r="B297" s="94">
        <v>15</v>
      </c>
      <c r="C297" s="40" t="s">
        <v>7940</v>
      </c>
      <c r="D297" s="40" t="str">
        <f>VLOOKUP(E297,Sheet3!$A$2:$D$6338,2,0)</f>
        <v>Nguyễn Thị Thêm</v>
      </c>
      <c r="E297" s="44" t="s">
        <v>833</v>
      </c>
      <c r="F297" s="44" t="str">
        <f t="shared" si="6"/>
        <v>VN24333</v>
      </c>
      <c r="G297" s="295"/>
      <c r="H297" s="41" t="s">
        <v>67</v>
      </c>
      <c r="I297" s="95">
        <v>45408</v>
      </c>
      <c r="J297" s="122">
        <v>45876</v>
      </c>
      <c r="K297" s="122">
        <v>45876</v>
      </c>
      <c r="L297" s="147" t="e">
        <f>VLOOKUP(E297,DS!$A$2:$E$4398, 5, 0)</f>
        <v>#N/A</v>
      </c>
      <c r="M297" s="148"/>
      <c r="N297" s="92" t="e">
        <f>VLOOKUP(Table1[[#This Row],[USER]],[1]!Table145678910111213141545678910111213146[[#All],[No.]:[Delete]],2,0)</f>
        <v>#N/A</v>
      </c>
    </row>
    <row r="298" spans="1:14">
      <c r="A298" s="93">
        <v>290</v>
      </c>
      <c r="B298" s="94">
        <v>16</v>
      </c>
      <c r="C298" s="40" t="s">
        <v>7940</v>
      </c>
      <c r="D298" s="40" t="str">
        <f>VLOOKUP(E298,Sheet3!$A$2:$D$6338,2,0)</f>
        <v>Trần Thị Hiền</v>
      </c>
      <c r="E298" s="44" t="s">
        <v>327</v>
      </c>
      <c r="F298" s="44" t="str">
        <f t="shared" si="6"/>
        <v>VN10294</v>
      </c>
      <c r="G298" s="295"/>
      <c r="H298" s="41" t="s">
        <v>67</v>
      </c>
      <c r="I298" s="95">
        <v>45408</v>
      </c>
      <c r="J298" s="122"/>
      <c r="K298" s="122"/>
      <c r="L298" s="147" t="str">
        <f>VLOOKUP(E298,DS!$A$2:$E$4398, 5, 0)</f>
        <v>Tổng vụ</v>
      </c>
      <c r="M298" s="148"/>
      <c r="N298" s="92" t="e">
        <f>VLOOKUP(Table1[[#This Row],[USER]],[1]!Table145678910111213141545678910111213146[[#All],[No.]:[Delete]],2,0)</f>
        <v>#N/A</v>
      </c>
    </row>
    <row r="299" spans="1:14">
      <c r="A299" s="93">
        <v>291</v>
      </c>
      <c r="B299" s="94">
        <v>17</v>
      </c>
      <c r="C299" s="40" t="s">
        <v>7940</v>
      </c>
      <c r="D299" s="40" t="str">
        <f>VLOOKUP(E299,Sheet3!$A$2:$D$6338,2,0)</f>
        <v>Dương Ngọc Phương</v>
      </c>
      <c r="E299" s="44" t="s">
        <v>328</v>
      </c>
      <c r="F299" s="44" t="str">
        <f t="shared" si="6"/>
        <v>VN20194</v>
      </c>
      <c r="G299" s="295"/>
      <c r="H299" s="41" t="s">
        <v>67</v>
      </c>
      <c r="I299" s="95">
        <v>45408</v>
      </c>
      <c r="J299" s="122"/>
      <c r="K299" s="122"/>
      <c r="L299" s="147" t="str">
        <f>VLOOKUP(E299,DS!$A$2:$E$4398, 5, 0)</f>
        <v>Tổng vụ</v>
      </c>
      <c r="M299" s="148"/>
      <c r="N299" s="92" t="e">
        <f>VLOOKUP(Table1[[#This Row],[USER]],[1]!Table145678910111213141545678910111213146[[#All],[No.]:[Delete]],2,0)</f>
        <v>#N/A</v>
      </c>
    </row>
    <row r="300" spans="1:14">
      <c r="A300" s="93">
        <v>292</v>
      </c>
      <c r="B300" s="94">
        <v>18</v>
      </c>
      <c r="C300" s="40" t="s">
        <v>7940</v>
      </c>
      <c r="D300" s="40" t="str">
        <f>VLOOKUP(E300,Sheet3!$A$2:$D$6338,2,0)</f>
        <v>Đường Thị Hoa</v>
      </c>
      <c r="E300" s="44" t="s">
        <v>329</v>
      </c>
      <c r="F300" s="44" t="str">
        <f t="shared" si="6"/>
        <v>VN09481</v>
      </c>
      <c r="G300" s="295"/>
      <c r="H300" s="41" t="s">
        <v>67</v>
      </c>
      <c r="I300" s="95">
        <v>45408</v>
      </c>
      <c r="J300" s="122"/>
      <c r="K300" s="122"/>
      <c r="L300" s="147" t="str">
        <f>VLOOKUP(E300,DS!$A$2:$E$4398, 5, 0)</f>
        <v>Tổng vụ</v>
      </c>
      <c r="M300" s="148"/>
      <c r="N300" s="92" t="e">
        <f>VLOOKUP(Table1[[#This Row],[USER]],[1]!Table145678910111213141545678910111213146[[#All],[No.]:[Delete]],2,0)</f>
        <v>#N/A</v>
      </c>
    </row>
    <row r="301" spans="1:14">
      <c r="A301" s="93">
        <v>293</v>
      </c>
      <c r="B301" s="94">
        <v>19</v>
      </c>
      <c r="C301" s="40" t="s">
        <v>7940</v>
      </c>
      <c r="D301" s="40" t="str">
        <f>VLOOKUP(E301,Sheet3!$A$2:$D$6338,2,0)</f>
        <v>Trần Thùy Trang</v>
      </c>
      <c r="E301" s="115" t="s">
        <v>7984</v>
      </c>
      <c r="F301" s="115" t="str">
        <f>"VN"&amp;RIGHT(E301,5)</f>
        <v>VN25319</v>
      </c>
      <c r="G301" s="304"/>
      <c r="H301" s="41" t="s">
        <v>67</v>
      </c>
      <c r="I301" s="95">
        <v>45712</v>
      </c>
      <c r="J301" s="122"/>
      <c r="K301" s="122"/>
      <c r="L301" s="147" t="str">
        <f>VLOOKUP(E301,DS!$A$2:$E$4398, 5, 0)</f>
        <v>Nhân sự</v>
      </c>
      <c r="M301" s="153"/>
      <c r="N301" s="92" t="e">
        <f>VLOOKUP(Table1[[#This Row],[USER]],[1]!Table145678910111213141545678910111213146[[#All],[No.]:[Delete]],2,0)</f>
        <v>#N/A</v>
      </c>
    </row>
    <row r="302" spans="1:14">
      <c r="A302" s="93">
        <v>294</v>
      </c>
      <c r="B302" s="94">
        <v>20</v>
      </c>
      <c r="C302" s="40" t="s">
        <v>7940</v>
      </c>
      <c r="D302" s="40" t="e">
        <f>VLOOKUP(E302,Sheet3!$A$2:$D$6338,2,0)</f>
        <v>#N/A</v>
      </c>
      <c r="E302" s="44" t="s">
        <v>8016</v>
      </c>
      <c r="F302" s="44" t="s">
        <v>8016</v>
      </c>
      <c r="G302" s="295"/>
      <c r="H302" s="41" t="s">
        <v>67</v>
      </c>
      <c r="I302" s="95">
        <v>45765</v>
      </c>
      <c r="J302" s="122"/>
      <c r="K302" s="122"/>
      <c r="L302" s="147" t="e">
        <f>VLOOKUP(E302,DS!$A$2:$E$4398, 5, 0)</f>
        <v>#N/A</v>
      </c>
      <c r="M302" s="153"/>
      <c r="N302" s="92" t="e">
        <f>VLOOKUP(Table1[[#This Row],[USER]],[1]!Table145678910111213141545678910111213146[[#All],[No.]:[Delete]],2,0)</f>
        <v>#N/A</v>
      </c>
    </row>
    <row r="303" spans="1:14">
      <c r="A303" s="93">
        <v>295</v>
      </c>
      <c r="B303" s="208"/>
      <c r="C303" s="40" t="s">
        <v>7940</v>
      </c>
      <c r="D303" s="40" t="str">
        <f>VLOOKUP(E303,Sheet3!$A$2:$D$6338,2,0)</f>
        <v>Đỗ Thị Lệ Thu</v>
      </c>
      <c r="E303" s="209" t="s">
        <v>8638</v>
      </c>
      <c r="F303" s="209" t="str">
        <f>"VN"&amp;RIGHT(E303,5)</f>
        <v>VN17574</v>
      </c>
      <c r="G303" s="305"/>
      <c r="H303" s="41" t="s">
        <v>67</v>
      </c>
      <c r="I303" s="210">
        <v>45938</v>
      </c>
      <c r="J303" s="211"/>
      <c r="K303" s="211"/>
      <c r="L303" s="211" t="str">
        <f>VLOOKUP(E303,DS!$A$2:$E$4398, 5, 0)</f>
        <v>Tổng vụ</v>
      </c>
      <c r="M303" s="212"/>
      <c r="N303" s="92" t="e">
        <f>VLOOKUP(Table1[[#This Row],[USER]],[1]!Table145678910111213141545678910111213146[[#All],[No.]:[Delete]],2,0)</f>
        <v>#N/A</v>
      </c>
    </row>
    <row r="304" spans="1:14">
      <c r="A304" s="93">
        <v>296</v>
      </c>
      <c r="B304" s="208"/>
      <c r="C304" s="40" t="s">
        <v>7940</v>
      </c>
      <c r="D304" s="40" t="str">
        <f>VLOOKUP(E304,Sheet3!$A$2:$D$6338,2,0)</f>
        <v>Nguyễn Thị Thơm</v>
      </c>
      <c r="E304" s="218" t="s">
        <v>8668</v>
      </c>
      <c r="F304" s="218" t="str">
        <f>"VN"&amp;RIGHT(E304,5)</f>
        <v>VN06682</v>
      </c>
      <c r="G304" s="300"/>
      <c r="H304" s="41" t="s">
        <v>67</v>
      </c>
      <c r="I304" s="219">
        <v>45458</v>
      </c>
      <c r="J304" s="220"/>
      <c r="K304" s="220"/>
      <c r="L304" s="220" t="str">
        <f>VLOOKUP(E304,DS!$A$2:$E$4398, 5, 0)</f>
        <v>Tổng vụ</v>
      </c>
      <c r="M304" s="221"/>
      <c r="N304" s="92" t="e">
        <f>VLOOKUP(Table1[[#This Row],[USER]],[1]!Table145678910111213141545678910111213146[[#All],[No.]:[Delete]],2,0)</f>
        <v>#N/A</v>
      </c>
    </row>
    <row r="305" spans="1:14">
      <c r="A305" s="93">
        <v>297</v>
      </c>
      <c r="B305" s="208"/>
      <c r="C305" s="40" t="s">
        <v>7940</v>
      </c>
      <c r="D305" s="40" t="str">
        <f>VLOOKUP(E305,Sheet3!$A$2:$D$6338,2,0)</f>
        <v>Lê Minh Phương</v>
      </c>
      <c r="E305" s="218" t="s">
        <v>8677</v>
      </c>
      <c r="F305" s="218" t="str">
        <f>"VN"&amp;RIGHT(E305,5)</f>
        <v>VN26363</v>
      </c>
      <c r="G305" s="300"/>
      <c r="H305" s="41" t="s">
        <v>67</v>
      </c>
      <c r="I305" s="219">
        <v>45961</v>
      </c>
      <c r="J305" s="220"/>
      <c r="K305" s="220"/>
      <c r="L305" s="220" t="str">
        <f>VLOOKUP(E305,DS!$A$2:$E$4398, 5, 0)</f>
        <v>Nhân sự</v>
      </c>
      <c r="M305" s="221"/>
      <c r="N305" s="92" t="e">
        <f>VLOOKUP(Table1[[#This Row],[USER]],[1]!Table145678910111213141545678910111213146[[#All],[No.]:[Delete]],2,0)</f>
        <v>#N/A</v>
      </c>
    </row>
    <row r="306" spans="1:14">
      <c r="A306" s="93">
        <v>298</v>
      </c>
      <c r="B306" s="94">
        <v>1</v>
      </c>
      <c r="C306" s="40" t="s">
        <v>7941</v>
      </c>
      <c r="D306" s="40" t="str">
        <f>VLOOKUP(E306,Sheet3!$A$2:$D$6338,2,0)</f>
        <v>Nguyễn Minh Tâm</v>
      </c>
      <c r="E306" s="44" t="s">
        <v>330</v>
      </c>
      <c r="F306" s="44" t="str">
        <f t="shared" si="6"/>
        <v>VN01443</v>
      </c>
      <c r="G306" s="295"/>
      <c r="H306" s="41" t="s">
        <v>67</v>
      </c>
      <c r="I306" s="95">
        <v>45404</v>
      </c>
      <c r="J306" s="122"/>
      <c r="K306" s="122"/>
      <c r="L306" s="147" t="str">
        <f>VLOOKUP(E306,DS!$A$2:$E$4398, 5, 0)</f>
        <v>ATMT</v>
      </c>
      <c r="M306" s="148"/>
      <c r="N306" s="92" t="e">
        <f>VLOOKUP(Table1[[#This Row],[USER]],[1]!Table145678910111213141545678910111213146[[#All],[No.]:[Delete]],2,0)</f>
        <v>#N/A</v>
      </c>
    </row>
    <row r="307" spans="1:14">
      <c r="A307" s="93">
        <v>299</v>
      </c>
      <c r="B307" s="94">
        <v>2</v>
      </c>
      <c r="C307" s="40" t="s">
        <v>7941</v>
      </c>
      <c r="D307" s="40" t="str">
        <f>VLOOKUP(E307,Sheet3!$A$2:$D$6338,2,0)</f>
        <v>Bùi Thị Nguyên</v>
      </c>
      <c r="E307" s="44" t="s">
        <v>331</v>
      </c>
      <c r="F307" s="44" t="str">
        <f t="shared" si="6"/>
        <v>VN03502</v>
      </c>
      <c r="G307" s="295"/>
      <c r="H307" s="41" t="s">
        <v>67</v>
      </c>
      <c r="I307" s="95">
        <v>45404</v>
      </c>
      <c r="J307" s="122"/>
      <c r="K307" s="122"/>
      <c r="L307" s="147" t="str">
        <f>VLOOKUP(E307,DS!$A$2:$E$4398, 5, 0)</f>
        <v>ATMT</v>
      </c>
      <c r="M307" s="148"/>
      <c r="N307" s="92" t="e">
        <f>VLOOKUP(Table1[[#This Row],[USER]],[1]!Table145678910111213141545678910111213146[[#All],[No.]:[Delete]],2,0)</f>
        <v>#N/A</v>
      </c>
    </row>
    <row r="308" spans="1:14">
      <c r="A308" s="93">
        <v>300</v>
      </c>
      <c r="B308" s="94">
        <v>3</v>
      </c>
      <c r="C308" s="40" t="s">
        <v>7941</v>
      </c>
      <c r="D308" s="40" t="str">
        <f>VLOOKUP(E308,Sheet3!$A$2:$D$6338,2,0)</f>
        <v>Hà Trung Kiên</v>
      </c>
      <c r="E308" s="44" t="s">
        <v>332</v>
      </c>
      <c r="F308" s="44" t="str">
        <f t="shared" si="6"/>
        <v>VN15950</v>
      </c>
      <c r="G308" s="295"/>
      <c r="H308" s="41" t="s">
        <v>67</v>
      </c>
      <c r="I308" s="95">
        <v>45404</v>
      </c>
      <c r="J308" s="122"/>
      <c r="K308" s="122"/>
      <c r="L308" s="147" t="str">
        <f>VLOOKUP(E308,DS!$A$2:$E$4398, 5, 0)</f>
        <v>ATMT</v>
      </c>
      <c r="M308" s="148"/>
      <c r="N308" s="92" t="e">
        <f>VLOOKUP(Table1[[#This Row],[USER]],[1]!Table145678910111213141545678910111213146[[#All],[No.]:[Delete]],2,0)</f>
        <v>#N/A</v>
      </c>
    </row>
    <row r="309" spans="1:14">
      <c r="A309" s="93">
        <v>301</v>
      </c>
      <c r="B309" s="94">
        <v>4</v>
      </c>
      <c r="C309" s="40" t="s">
        <v>7941</v>
      </c>
      <c r="D309" s="40" t="e">
        <f>VLOOKUP(E309,Sheet3!$A$2:$D$6338,2,0)</f>
        <v>#N/A</v>
      </c>
      <c r="E309" s="44" t="s">
        <v>333</v>
      </c>
      <c r="F309" s="44" t="str">
        <f t="shared" si="6"/>
        <v>VN16850</v>
      </c>
      <c r="G309" s="295"/>
      <c r="H309" s="41" t="s">
        <v>67</v>
      </c>
      <c r="I309" s="95">
        <v>45404</v>
      </c>
      <c r="J309" s="122">
        <v>45729</v>
      </c>
      <c r="K309" s="122">
        <v>45729</v>
      </c>
      <c r="L309" s="147" t="e">
        <f>VLOOKUP(E309,DS!$A$2:$E$4398, 5, 0)</f>
        <v>#N/A</v>
      </c>
      <c r="M309" s="148"/>
      <c r="N309" s="92" t="e">
        <f>VLOOKUP(Table1[[#This Row],[USER]],[1]!Table145678910111213141545678910111213146[[#All],[No.]:[Delete]],2,0)</f>
        <v>#N/A</v>
      </c>
    </row>
    <row r="310" spans="1:14">
      <c r="A310" s="93">
        <v>302</v>
      </c>
      <c r="B310" s="94">
        <v>5</v>
      </c>
      <c r="C310" s="40" t="s">
        <v>7941</v>
      </c>
      <c r="D310" s="40" t="str">
        <f>VLOOKUP(E310,Sheet3!$A$2:$D$6338,2,0)</f>
        <v>Nguyễn Văn Kiên</v>
      </c>
      <c r="E310" s="44" t="s">
        <v>334</v>
      </c>
      <c r="F310" s="44" t="str">
        <f t="shared" si="6"/>
        <v>VN24122</v>
      </c>
      <c r="G310" s="295"/>
      <c r="H310" s="41" t="s">
        <v>67</v>
      </c>
      <c r="I310" s="95">
        <v>45404</v>
      </c>
      <c r="J310" s="122">
        <v>45806</v>
      </c>
      <c r="K310" s="122">
        <v>45806</v>
      </c>
      <c r="L310" s="147" t="e">
        <f>VLOOKUP(E310,DS!$A$2:$E$4398, 5, 0)</f>
        <v>#N/A</v>
      </c>
      <c r="M310" s="148"/>
      <c r="N310" s="92" t="e">
        <f>VLOOKUP(Table1[[#This Row],[USER]],[1]!Table145678910111213141545678910111213146[[#All],[No.]:[Delete]],2,0)</f>
        <v>#N/A</v>
      </c>
    </row>
    <row r="311" spans="1:14">
      <c r="A311" s="93">
        <v>303</v>
      </c>
      <c r="B311" s="94">
        <v>6</v>
      </c>
      <c r="C311" s="40" t="s">
        <v>7941</v>
      </c>
      <c r="D311" s="40" t="str">
        <f>VLOOKUP(E311,Sheet3!$A$2:$D$6338,2,0)</f>
        <v>Nguyễn Anh Tuấn</v>
      </c>
      <c r="E311" s="44" t="s">
        <v>335</v>
      </c>
      <c r="F311" s="44" t="str">
        <f t="shared" si="6"/>
        <v>VN03618</v>
      </c>
      <c r="G311" s="295"/>
      <c r="H311" s="41" t="s">
        <v>67</v>
      </c>
      <c r="I311" s="95">
        <v>45404</v>
      </c>
      <c r="J311" s="122"/>
      <c r="K311" s="122"/>
      <c r="L311" s="147" t="str">
        <f>VLOOKUP(E311,DS!$A$2:$E$4398, 5, 0)</f>
        <v>ATMT</v>
      </c>
      <c r="M311" s="148"/>
      <c r="N311" s="92" t="e">
        <f>VLOOKUP(Table1[[#This Row],[USER]],[1]!Table145678910111213141545678910111213146[[#All],[No.]:[Delete]],2,0)</f>
        <v>#N/A</v>
      </c>
    </row>
    <row r="312" spans="1:14">
      <c r="A312" s="93">
        <v>304</v>
      </c>
      <c r="B312" s="94">
        <v>7</v>
      </c>
      <c r="C312" s="40" t="s">
        <v>835</v>
      </c>
      <c r="D312" s="40" t="str">
        <f>VLOOKUP(E312,Sheet3!$A$2:$D$6338,2,0)</f>
        <v>Trần Văn Sơn</v>
      </c>
      <c r="E312" s="44" t="s">
        <v>336</v>
      </c>
      <c r="F312" s="44" t="str">
        <f>"VN"&amp;RIGHT(E312,5)</f>
        <v>VN22261</v>
      </c>
      <c r="G312" s="295"/>
      <c r="H312" s="41" t="s">
        <v>67</v>
      </c>
      <c r="I312" s="95">
        <v>45404</v>
      </c>
      <c r="J312" s="122">
        <v>45432</v>
      </c>
      <c r="K312" s="122">
        <v>45481</v>
      </c>
      <c r="L312" s="147" t="e">
        <f>VLOOKUP(E312,DS!$A$2:$E$4398, 5, 0)</f>
        <v>#N/A</v>
      </c>
      <c r="M312" s="148"/>
      <c r="N312" s="92" t="e">
        <f>VLOOKUP(Table1[[#This Row],[USER]],[1]!Table145678910111213141545678910111213146[[#All],[No.]:[Delete]],2,0)</f>
        <v>#N/A</v>
      </c>
    </row>
    <row r="313" spans="1:14">
      <c r="A313" s="93">
        <v>305</v>
      </c>
      <c r="B313" s="94">
        <v>8</v>
      </c>
      <c r="C313" s="40" t="s">
        <v>835</v>
      </c>
      <c r="D313" s="40" t="str">
        <f>VLOOKUP(E313,Sheet3!$A$2:$D$6338,2,0)</f>
        <v>Chu Thanh Sơn</v>
      </c>
      <c r="E313" s="44" t="s">
        <v>7806</v>
      </c>
      <c r="F313" s="44" t="str">
        <f>"VN"&amp;RIGHT(E313,5)</f>
        <v>VN25127</v>
      </c>
      <c r="G313" s="295"/>
      <c r="H313" s="41" t="s">
        <v>67</v>
      </c>
      <c r="I313" s="95">
        <v>45509</v>
      </c>
      <c r="J313" s="122"/>
      <c r="K313" s="122"/>
      <c r="L313" s="147" t="str">
        <f>VLOOKUP(E313,DS!$A$2:$E$4398, 5, 0)</f>
        <v>ATMT</v>
      </c>
      <c r="M313" s="148"/>
      <c r="N313" s="92" t="e">
        <f>VLOOKUP(Table1[[#This Row],[USER]],[1]!Table145678910111213141545678910111213146[[#All],[No.]:[Delete]],2,0)</f>
        <v>#N/A</v>
      </c>
    </row>
    <row r="314" spans="1:14">
      <c r="A314" s="93">
        <v>306</v>
      </c>
      <c r="B314" s="94">
        <v>8</v>
      </c>
      <c r="C314" s="40" t="s">
        <v>835</v>
      </c>
      <c r="D314" s="40" t="str">
        <f>VLOOKUP(E314,Sheet3!$A$2:$D$6338,2,0)</f>
        <v>Tạ Hải Anh</v>
      </c>
      <c r="E314" s="214" t="s">
        <v>8651</v>
      </c>
      <c r="F314" s="214" t="str">
        <f>"VN"&amp;RIGHT(E314,5)</f>
        <v>VN25148</v>
      </c>
      <c r="G314" s="303"/>
      <c r="H314" s="41" t="s">
        <v>67</v>
      </c>
      <c r="I314" s="217">
        <v>45807</v>
      </c>
      <c r="J314" s="215"/>
      <c r="K314" s="215"/>
      <c r="L314" s="215" t="str">
        <f>VLOOKUP(E314,DS!$A$2:$E$4398, 5, 0)</f>
        <v>ATMT</v>
      </c>
      <c r="M314" s="216"/>
      <c r="N314" s="92" t="e">
        <f>VLOOKUP(Table1[[#This Row],[USER]],[1]!Table145678910111213141545678910111213146[[#All],[No.]:[Delete]],2,0)</f>
        <v>#N/A</v>
      </c>
    </row>
    <row r="315" spans="1:14">
      <c r="A315" s="93">
        <v>307</v>
      </c>
      <c r="B315" s="117">
        <v>9</v>
      </c>
      <c r="C315" s="118" t="s">
        <v>835</v>
      </c>
      <c r="D315" s="40" t="str">
        <f>VLOOKUP(E315,Sheet3!$A$2:$D$6338,2,0)</f>
        <v>Nguyễn Huỳnh Đức</v>
      </c>
      <c r="E315" s="115" t="s">
        <v>8001</v>
      </c>
      <c r="F315" s="115" t="str">
        <f>"VN"&amp;RIGHT(E315,5)</f>
        <v>VN25678</v>
      </c>
      <c r="G315" s="304"/>
      <c r="H315" s="41" t="s">
        <v>67</v>
      </c>
      <c r="I315" s="116">
        <v>45729</v>
      </c>
      <c r="J315" s="122"/>
      <c r="K315" s="122"/>
      <c r="L315" s="147" t="str">
        <f>VLOOKUP(E315,DS!$A$2:$E$4398, 5, 0)</f>
        <v>ATMT</v>
      </c>
      <c r="M315" s="153"/>
      <c r="N315" s="92" t="e">
        <f>VLOOKUP(Table1[[#This Row],[USER]],[1]!Table145678910111213141545678910111213146[[#All],[No.]:[Delete]],2,0)</f>
        <v>#N/A</v>
      </c>
    </row>
    <row r="316" spans="1:14">
      <c r="A316" s="93">
        <v>308</v>
      </c>
      <c r="B316" s="94">
        <v>1</v>
      </c>
      <c r="C316" s="40" t="s">
        <v>7969</v>
      </c>
      <c r="D316" s="40" t="str">
        <f>VLOOKUP(E316,Sheet3!$A$2:$D$6338,2,0)</f>
        <v>Phùng Thị Mai Phương</v>
      </c>
      <c r="E316" s="44" t="s">
        <v>337</v>
      </c>
      <c r="F316" s="44" t="str">
        <f t="shared" si="6"/>
        <v>VN00610</v>
      </c>
      <c r="G316" s="295"/>
      <c r="H316" s="41" t="s">
        <v>67</v>
      </c>
      <c r="I316" s="95">
        <v>45408</v>
      </c>
      <c r="J316" s="122"/>
      <c r="K316" s="122"/>
      <c r="L316" s="147" t="str">
        <f>VLOOKUP(E316,DS!$A$2:$E$4398, 5, 0)</f>
        <v>XNK</v>
      </c>
      <c r="M316" s="148"/>
      <c r="N316" s="92" t="e">
        <f>VLOOKUP(Table1[[#This Row],[USER]],[1]!Table145678910111213141545678910111213146[[#All],[No.]:[Delete]],2,0)</f>
        <v>#N/A</v>
      </c>
    </row>
    <row r="317" spans="1:14">
      <c r="A317" s="93">
        <v>309</v>
      </c>
      <c r="B317" s="94">
        <v>2</v>
      </c>
      <c r="C317" s="40" t="s">
        <v>7969</v>
      </c>
      <c r="D317" s="40" t="str">
        <f>VLOOKUP(E317,Sheet3!$A$2:$D$6338,2,0)</f>
        <v>Đặng Thị Phượng</v>
      </c>
      <c r="E317" s="44" t="s">
        <v>338</v>
      </c>
      <c r="F317" s="44" t="str">
        <f t="shared" si="6"/>
        <v>VN04036</v>
      </c>
      <c r="G317" s="295"/>
      <c r="H317" s="41" t="s">
        <v>67</v>
      </c>
      <c r="I317" s="95">
        <v>45408</v>
      </c>
      <c r="J317" s="122"/>
      <c r="K317" s="122"/>
      <c r="L317" s="147" t="str">
        <f>VLOOKUP(E317,DS!$A$2:$E$4398, 5, 0)</f>
        <v>XNK</v>
      </c>
      <c r="M317" s="148"/>
      <c r="N317" s="92" t="e">
        <f>VLOOKUP(Table1[[#This Row],[USER]],[1]!Table145678910111213141545678910111213146[[#All],[No.]:[Delete]],2,0)</f>
        <v>#N/A</v>
      </c>
    </row>
    <row r="318" spans="1:14">
      <c r="A318" s="93">
        <v>310</v>
      </c>
      <c r="B318" s="94">
        <v>3</v>
      </c>
      <c r="C318" s="40" t="s">
        <v>7969</v>
      </c>
      <c r="D318" s="40" t="str">
        <f>VLOOKUP(E318,Sheet3!$A$2:$D$6338,2,0)</f>
        <v>Nguyễn Bá Dũng</v>
      </c>
      <c r="E318" s="44" t="s">
        <v>339</v>
      </c>
      <c r="F318" s="44" t="str">
        <f t="shared" si="6"/>
        <v>VN09527</v>
      </c>
      <c r="G318" s="295"/>
      <c r="H318" s="41" t="s">
        <v>67</v>
      </c>
      <c r="I318" s="95">
        <v>45408</v>
      </c>
      <c r="J318" s="122"/>
      <c r="K318" s="122"/>
      <c r="L318" s="147" t="str">
        <f>VLOOKUP(E318,DS!$A$2:$E$4398, 5, 0)</f>
        <v>XNK</v>
      </c>
      <c r="M318" s="148"/>
      <c r="N318" s="92" t="e">
        <f>VLOOKUP(Table1[[#This Row],[USER]],[1]!Table145678910111213141545678910111213146[[#All],[No.]:[Delete]],2,0)</f>
        <v>#N/A</v>
      </c>
    </row>
    <row r="319" spans="1:14">
      <c r="A319" s="93">
        <v>311</v>
      </c>
      <c r="B319" s="94">
        <v>4</v>
      </c>
      <c r="C319" s="40" t="s">
        <v>7969</v>
      </c>
      <c r="D319" s="40" t="str">
        <f>VLOOKUP(E319,Sheet3!$A$2:$D$6338,2,0)</f>
        <v>Dương Thị Thu Giang</v>
      </c>
      <c r="E319" s="44" t="s">
        <v>340</v>
      </c>
      <c r="F319" s="44" t="str">
        <f t="shared" si="6"/>
        <v>VN08941</v>
      </c>
      <c r="G319" s="295"/>
      <c r="H319" s="41" t="s">
        <v>67</v>
      </c>
      <c r="I319" s="95">
        <v>45408</v>
      </c>
      <c r="J319" s="122"/>
      <c r="K319" s="122"/>
      <c r="L319" s="147" t="str">
        <f>VLOOKUP(E319,DS!$A$2:$E$4398, 5, 0)</f>
        <v>XNK</v>
      </c>
      <c r="M319" s="148"/>
      <c r="N319" s="92" t="e">
        <f>VLOOKUP(Table1[[#This Row],[USER]],[1]!Table145678910111213141545678910111213146[[#All],[No.]:[Delete]],2,0)</f>
        <v>#N/A</v>
      </c>
    </row>
    <row r="320" spans="1:14">
      <c r="A320" s="93">
        <v>312</v>
      </c>
      <c r="B320" s="94">
        <v>5</v>
      </c>
      <c r="C320" s="40" t="s">
        <v>7969</v>
      </c>
      <c r="D320" s="40" t="str">
        <f>VLOOKUP(E320,Sheet3!$A$2:$D$6338,2,0)</f>
        <v>Đỗ Trung Nghĩa</v>
      </c>
      <c r="E320" s="44" t="s">
        <v>341</v>
      </c>
      <c r="F320" s="44" t="str">
        <f t="shared" si="6"/>
        <v>VN10480</v>
      </c>
      <c r="G320" s="295"/>
      <c r="H320" s="41" t="s">
        <v>67</v>
      </c>
      <c r="I320" s="95">
        <v>45408</v>
      </c>
      <c r="J320" s="122"/>
      <c r="K320" s="122"/>
      <c r="L320" s="147" t="str">
        <f>VLOOKUP(E320,DS!$A$2:$E$4398, 5, 0)</f>
        <v>XNK</v>
      </c>
      <c r="M320" s="148"/>
      <c r="N320" s="92" t="e">
        <f>VLOOKUP(Table1[[#This Row],[USER]],[1]!Table145678910111213141545678910111213146[[#All],[No.]:[Delete]],2,0)</f>
        <v>#N/A</v>
      </c>
    </row>
    <row r="321" spans="1:14">
      <c r="A321" s="93">
        <v>313</v>
      </c>
      <c r="B321" s="94">
        <v>6</v>
      </c>
      <c r="C321" s="40" t="s">
        <v>7969</v>
      </c>
      <c r="D321" s="40" t="str">
        <f>VLOOKUP(E321,Sheet3!$A$2:$D$6338,2,0)</f>
        <v>Trần Thị Thùy Linh</v>
      </c>
      <c r="E321" s="44" t="s">
        <v>342</v>
      </c>
      <c r="F321" s="44" t="str">
        <f t="shared" si="6"/>
        <v>VN22147</v>
      </c>
      <c r="G321" s="295"/>
      <c r="H321" s="41" t="s">
        <v>67</v>
      </c>
      <c r="I321" s="95">
        <v>45408</v>
      </c>
      <c r="J321" s="122"/>
      <c r="K321" s="122"/>
      <c r="L321" s="147" t="str">
        <f>VLOOKUP(E321,DS!$A$2:$E$4398, 5, 0)</f>
        <v>XNK</v>
      </c>
      <c r="M321" s="148"/>
      <c r="N321" s="92" t="e">
        <f>VLOOKUP(Table1[[#This Row],[USER]],[1]!Table145678910111213141545678910111213146[[#All],[No.]:[Delete]],2,0)</f>
        <v>#N/A</v>
      </c>
    </row>
    <row r="322" spans="1:14">
      <c r="A322" s="93">
        <v>314</v>
      </c>
      <c r="B322" s="94">
        <v>7</v>
      </c>
      <c r="C322" s="40" t="s">
        <v>7969</v>
      </c>
      <c r="D322" s="40" t="str">
        <f>VLOOKUP(E322,Sheet3!$A$2:$D$6338,2,0)</f>
        <v>Dương Đức Chí</v>
      </c>
      <c r="E322" s="44" t="s">
        <v>343</v>
      </c>
      <c r="F322" s="44" t="str">
        <f t="shared" si="6"/>
        <v>VN13986</v>
      </c>
      <c r="G322" s="295"/>
      <c r="H322" s="41" t="s">
        <v>67</v>
      </c>
      <c r="I322" s="95">
        <v>45408</v>
      </c>
      <c r="J322" s="122"/>
      <c r="K322" s="122"/>
      <c r="L322" s="147" t="str">
        <f>VLOOKUP(E322,DS!$A$2:$E$4398, 5, 0)</f>
        <v>XNK</v>
      </c>
      <c r="M322" s="148"/>
      <c r="N322" s="92" t="e">
        <f>VLOOKUP(Table1[[#This Row],[USER]],[1]!Table145678910111213141545678910111213146[[#All],[No.]:[Delete]],2,0)</f>
        <v>#N/A</v>
      </c>
    </row>
    <row r="323" spans="1:14">
      <c r="A323" s="93">
        <v>315</v>
      </c>
      <c r="B323" s="94">
        <v>8</v>
      </c>
      <c r="C323" s="40" t="s">
        <v>7969</v>
      </c>
      <c r="D323" s="40" t="str">
        <f>VLOOKUP(E323,Sheet3!$A$2:$D$6338,2,0)</f>
        <v>Nguyễn Thị Ngân</v>
      </c>
      <c r="E323" s="44" t="s">
        <v>344</v>
      </c>
      <c r="F323" s="44" t="str">
        <f t="shared" si="6"/>
        <v>VN09878</v>
      </c>
      <c r="G323" s="295"/>
      <c r="H323" s="41" t="s">
        <v>67</v>
      </c>
      <c r="I323" s="95">
        <v>45408</v>
      </c>
      <c r="J323" s="122"/>
      <c r="K323" s="122"/>
      <c r="L323" s="147" t="str">
        <f>VLOOKUP(E323,DS!$A$2:$E$4398, 5, 0)</f>
        <v>XNK</v>
      </c>
      <c r="M323" s="148"/>
      <c r="N323" s="92" t="e">
        <f>VLOOKUP(Table1[[#This Row],[USER]],[1]!Table145678910111213141545678910111213146[[#All],[No.]:[Delete]],2,0)</f>
        <v>#N/A</v>
      </c>
    </row>
    <row r="324" spans="1:14">
      <c r="A324" s="93">
        <v>316</v>
      </c>
      <c r="B324" s="94">
        <v>9</v>
      </c>
      <c r="C324" s="40" t="s">
        <v>7969</v>
      </c>
      <c r="D324" s="40" t="str">
        <f>VLOOKUP(E324,Sheet3!$A$2:$D$6338,2,0)</f>
        <v>Dương Quốc Phi</v>
      </c>
      <c r="E324" s="44" t="s">
        <v>345</v>
      </c>
      <c r="F324" s="44" t="str">
        <f t="shared" si="6"/>
        <v>VN01790</v>
      </c>
      <c r="G324" s="295"/>
      <c r="H324" s="41" t="s">
        <v>67</v>
      </c>
      <c r="I324" s="95">
        <v>45408</v>
      </c>
      <c r="J324" s="122">
        <v>45813</v>
      </c>
      <c r="K324" s="122">
        <v>45813</v>
      </c>
      <c r="L324" s="147" t="e">
        <f>VLOOKUP(E324,DS!$A$2:$E$4398, 5, 0)</f>
        <v>#N/A</v>
      </c>
      <c r="M324" s="148"/>
      <c r="N324" s="92" t="e">
        <f>VLOOKUP(Table1[[#This Row],[USER]],[1]!Table145678910111213141545678910111213146[[#All],[No.]:[Delete]],2,0)</f>
        <v>#N/A</v>
      </c>
    </row>
    <row r="325" spans="1:14">
      <c r="A325" s="93">
        <v>317</v>
      </c>
      <c r="B325" s="94">
        <v>10</v>
      </c>
      <c r="C325" s="40" t="s">
        <v>7969</v>
      </c>
      <c r="D325" s="40" t="str">
        <f>VLOOKUP(E325,Sheet3!$A$2:$D$6338,2,0)</f>
        <v>Vũ Đức Duy</v>
      </c>
      <c r="E325" s="112" t="s">
        <v>7979</v>
      </c>
      <c r="F325" s="112" t="str">
        <f>"VN"&amp;RIGHT(E325,5)</f>
        <v>VN25354</v>
      </c>
      <c r="G325" s="277"/>
      <c r="H325" s="41" t="s">
        <v>67</v>
      </c>
      <c r="I325" s="113">
        <v>45633</v>
      </c>
      <c r="J325" s="122"/>
      <c r="K325" s="122"/>
      <c r="L325" s="147" t="str">
        <f>VLOOKUP(E325,DS!$A$2:$E$4398, 5, 0)</f>
        <v>XNK</v>
      </c>
      <c r="M325" s="150"/>
      <c r="N325" s="92" t="e">
        <f>VLOOKUP(Table1[[#This Row],[USER]],[1]!Table145678910111213141545678910111213146[[#All],[No.]:[Delete]],2,0)</f>
        <v>#N/A</v>
      </c>
    </row>
    <row r="326" spans="1:14">
      <c r="A326" s="93">
        <v>318</v>
      </c>
      <c r="B326" s="94">
        <v>11</v>
      </c>
      <c r="C326" s="40" t="s">
        <v>7969</v>
      </c>
      <c r="D326" s="40" t="e">
        <f>VLOOKUP(E326,Sheet3!$A$2:$D$6338,2,0)</f>
        <v>#N/A</v>
      </c>
      <c r="E326" s="44" t="s">
        <v>828</v>
      </c>
      <c r="F326" s="44" t="s">
        <v>346</v>
      </c>
      <c r="G326" s="295"/>
      <c r="H326" s="41" t="s">
        <v>67</v>
      </c>
      <c r="I326" s="95">
        <v>45408</v>
      </c>
      <c r="J326" s="122">
        <v>45813</v>
      </c>
      <c r="K326" s="122"/>
      <c r="L326" s="147" t="e">
        <f>VLOOKUP(E326,DS!$A$2:$E$4398, 5, 0)</f>
        <v>#N/A</v>
      </c>
      <c r="M326" s="148"/>
      <c r="N326" s="92" t="e">
        <f>VLOOKUP(Table1[[#This Row],[USER]],[1]!Table145678910111213141545678910111213146[[#All],[No.]:[Delete]],2,0)</f>
        <v>#N/A</v>
      </c>
    </row>
    <row r="327" spans="1:14">
      <c r="A327" s="93">
        <v>319</v>
      </c>
      <c r="B327" s="94">
        <v>12</v>
      </c>
      <c r="C327" s="40" t="s">
        <v>7969</v>
      </c>
      <c r="D327" s="40" t="e">
        <f>VLOOKUP(E327,Sheet3!$A$2:$D$6338,2,0)</f>
        <v>#N/A</v>
      </c>
      <c r="E327" s="44" t="s">
        <v>347</v>
      </c>
      <c r="F327" s="44" t="s">
        <v>347</v>
      </c>
      <c r="G327" s="295"/>
      <c r="H327" s="41" t="s">
        <v>67</v>
      </c>
      <c r="I327" s="95">
        <v>45408</v>
      </c>
      <c r="J327" s="122"/>
      <c r="K327" s="122"/>
      <c r="L327" s="147" t="e">
        <f>VLOOKUP(E327,DS!$A$2:$E$4398, 5, 0)</f>
        <v>#N/A</v>
      </c>
      <c r="M327" s="148"/>
      <c r="N327" s="92" t="e">
        <f>VLOOKUP(Table1[[#This Row],[USER]],[1]!Table145678910111213141545678910111213146[[#All],[No.]:[Delete]],2,0)</f>
        <v>#N/A</v>
      </c>
    </row>
    <row r="328" spans="1:14">
      <c r="A328" s="93">
        <v>320</v>
      </c>
      <c r="B328" s="94">
        <v>13</v>
      </c>
      <c r="C328" s="40" t="s">
        <v>7969</v>
      </c>
      <c r="D328" s="40" t="str">
        <f>VLOOKUP(E328,Sheet3!$A$2:$D$6338,2,0)</f>
        <v>Nguyễn Thi Hải Châu</v>
      </c>
      <c r="E328" s="167" t="s">
        <v>8393</v>
      </c>
      <c r="F328" s="167" t="str">
        <f>"VN"&amp;RIGHT(E328,5)</f>
        <v>VN26027</v>
      </c>
      <c r="G328" s="296"/>
      <c r="H328" s="41" t="s">
        <v>67</v>
      </c>
      <c r="I328" s="168">
        <v>45813</v>
      </c>
      <c r="J328" s="169"/>
      <c r="K328" s="169"/>
      <c r="L328" s="147" t="str">
        <f>VLOOKUP(E328,DS!$A$2:$E$4398, 5, 0)</f>
        <v>XNK</v>
      </c>
      <c r="M328" s="170"/>
      <c r="N328" s="92" t="e">
        <f>VLOOKUP(Table1[[#This Row],[USER]],[1]!Table145678910111213141545678910111213146[[#All],[No.]:[Delete]],2,0)</f>
        <v>#N/A</v>
      </c>
    </row>
    <row r="329" spans="1:14">
      <c r="A329" s="93">
        <v>321</v>
      </c>
      <c r="B329" s="94">
        <v>1</v>
      </c>
      <c r="C329" s="40" t="s">
        <v>7942</v>
      </c>
      <c r="D329" s="40" t="str">
        <f>VLOOKUP(E329,Sheet3!$A$2:$D$6338,2,0)</f>
        <v>Nguyễn Thị Vân Anh</v>
      </c>
      <c r="E329" s="44" t="s">
        <v>348</v>
      </c>
      <c r="F329" s="44" t="str">
        <f t="shared" si="6"/>
        <v>VN24294</v>
      </c>
      <c r="G329" s="295"/>
      <c r="H329" s="41" t="s">
        <v>67</v>
      </c>
      <c r="I329" s="95">
        <v>45408</v>
      </c>
      <c r="J329" s="122"/>
      <c r="K329" s="122"/>
      <c r="L329" s="147" t="str">
        <f>VLOOKUP(E329,DS!$A$2:$E$4398, 5, 0)</f>
        <v>KSNB</v>
      </c>
      <c r="M329" s="148"/>
      <c r="N329" s="92" t="e">
        <f>VLOOKUP(Table1[[#This Row],[USER]],[1]!Table145678910111213141545678910111213146[[#All],[No.]:[Delete]],2,0)</f>
        <v>#N/A</v>
      </c>
    </row>
    <row r="330" spans="1:14">
      <c r="A330" s="93">
        <v>322</v>
      </c>
      <c r="B330" s="94">
        <v>2</v>
      </c>
      <c r="C330" s="40" t="s">
        <v>7942</v>
      </c>
      <c r="D330" s="40" t="str">
        <f>VLOOKUP(E330,Sheet3!$A$2:$D$6338,2,0)</f>
        <v>Phùng Tuấn Hùng</v>
      </c>
      <c r="E330" s="44" t="s">
        <v>349</v>
      </c>
      <c r="F330" s="44" t="str">
        <f t="shared" si="6"/>
        <v>VN00720</v>
      </c>
      <c r="G330" s="295"/>
      <c r="H330" s="41" t="s">
        <v>67</v>
      </c>
      <c r="I330" s="95">
        <v>45408</v>
      </c>
      <c r="J330" s="122"/>
      <c r="K330" s="122"/>
      <c r="L330" s="147" t="str">
        <f>VLOOKUP(E330,DS!$A$2:$E$4398, 5, 0)</f>
        <v>KSNB</v>
      </c>
      <c r="M330" s="148"/>
      <c r="N330" s="92" t="e">
        <f>VLOOKUP(Table1[[#This Row],[USER]],[1]!Table145678910111213141545678910111213146[[#All],[No.]:[Delete]],2,0)</f>
        <v>#N/A</v>
      </c>
    </row>
    <row r="331" spans="1:14">
      <c r="A331" s="93">
        <v>323</v>
      </c>
      <c r="B331" s="94">
        <v>3</v>
      </c>
      <c r="C331" s="40" t="s">
        <v>7942</v>
      </c>
      <c r="D331" s="40" t="str">
        <f>VLOOKUP(E331,Sheet3!$A$2:$D$6338,2,0)</f>
        <v>Nguyễn Thị Khánh Linh</v>
      </c>
      <c r="E331" s="44" t="s">
        <v>8539</v>
      </c>
      <c r="F331" s="44" t="str">
        <f t="shared" si="6"/>
        <v>VN26277</v>
      </c>
      <c r="G331" s="295"/>
      <c r="H331" s="41" t="s">
        <v>67</v>
      </c>
      <c r="I331" s="95">
        <v>45408</v>
      </c>
      <c r="J331" s="122">
        <v>45461</v>
      </c>
      <c r="K331" s="122"/>
      <c r="L331" s="147" t="str">
        <f>VLOOKUP(E331,DS!$A$2:$E$4398, 5, 0)</f>
        <v>KSNB</v>
      </c>
      <c r="M331" s="148"/>
      <c r="N331" s="92" t="e">
        <f>VLOOKUP(Table1[[#This Row],[USER]],[1]!Table145678910111213141545678910111213146[[#All],[No.]:[Delete]],2,0)</f>
        <v>#N/A</v>
      </c>
    </row>
    <row r="332" spans="1:14">
      <c r="A332" s="93">
        <v>324</v>
      </c>
      <c r="B332" s="94">
        <v>4</v>
      </c>
      <c r="C332" s="40" t="s">
        <v>7942</v>
      </c>
      <c r="D332" s="40" t="str">
        <f>VLOOKUP(E332,Sheet3!$A$2:$D$6338,2,0)</f>
        <v>Nguyễn Ngọc Cương</v>
      </c>
      <c r="E332" s="44" t="s">
        <v>884</v>
      </c>
      <c r="F332" s="44" t="str">
        <f>"VN"&amp;RIGHT(E332,5)</f>
        <v>VN24901</v>
      </c>
      <c r="G332" s="295"/>
      <c r="H332" s="41" t="s">
        <v>67</v>
      </c>
      <c r="I332" s="95">
        <v>45461</v>
      </c>
      <c r="J332" s="122"/>
      <c r="K332" s="122"/>
      <c r="L332" s="147" t="str">
        <f>VLOOKUP(E332,DS!$A$2:$E$4398, 5, 0)</f>
        <v>KSNB</v>
      </c>
      <c r="M332" s="148"/>
      <c r="N332" s="92" t="e">
        <f>VLOOKUP(Table1[[#This Row],[USER]],[1]!Table145678910111213141545678910111213146[[#All],[No.]:[Delete]],2,0)</f>
        <v>#N/A</v>
      </c>
    </row>
    <row r="333" spans="1:14">
      <c r="A333" s="93">
        <v>325</v>
      </c>
      <c r="B333" s="94">
        <v>5</v>
      </c>
      <c r="C333" s="40" t="s">
        <v>7942</v>
      </c>
      <c r="D333" s="40" t="str">
        <f>VLOOKUP(E333,Sheet3!$A$2:$D$6338,2,0)</f>
        <v>Bùi Lương Tâm</v>
      </c>
      <c r="E333" s="44" t="s">
        <v>7805</v>
      </c>
      <c r="F333" s="44" t="str">
        <f>"VN"&amp;RIGHT(E333,5)</f>
        <v>VN25126</v>
      </c>
      <c r="G333" s="295"/>
      <c r="H333" s="41" t="s">
        <v>67</v>
      </c>
      <c r="I333" s="95">
        <v>45506</v>
      </c>
      <c r="J333" s="122">
        <v>45887</v>
      </c>
      <c r="K333" s="122">
        <v>45960</v>
      </c>
      <c r="L333" s="147" t="e">
        <f>VLOOKUP(E333,DS!$A$2:$E$4398, 5, 0)</f>
        <v>#N/A</v>
      </c>
      <c r="M333" s="148"/>
      <c r="N333" s="92" t="e">
        <f>VLOOKUP(Table1[[#This Row],[USER]],[1]!Table145678910111213141545678910111213146[[#All],[No.]:[Delete]],2,0)</f>
        <v>#N/A</v>
      </c>
    </row>
    <row r="334" spans="1:14">
      <c r="A334" s="93">
        <v>326</v>
      </c>
      <c r="B334" s="94">
        <v>1</v>
      </c>
      <c r="C334" s="40" t="s">
        <v>7943</v>
      </c>
      <c r="D334" s="40" t="str">
        <f>VLOOKUP(E334,Sheet3!$A$2:$D$6338,2,0)</f>
        <v>Nguyễn Bích Thủy</v>
      </c>
      <c r="E334" s="44" t="s">
        <v>350</v>
      </c>
      <c r="F334" s="44" t="str">
        <f t="shared" si="6"/>
        <v>VN00376</v>
      </c>
      <c r="G334" s="295"/>
      <c r="H334" s="41" t="s">
        <v>67</v>
      </c>
      <c r="I334" s="95">
        <v>45408</v>
      </c>
      <c r="J334" s="122"/>
      <c r="K334" s="122"/>
      <c r="L334" s="147" t="str">
        <f>VLOOKUP(E334,DS!$A$2:$E$4398, 5, 0)</f>
        <v>Y tế</v>
      </c>
      <c r="M334" s="148"/>
      <c r="N334" s="92" t="e">
        <f>VLOOKUP(Table1[[#This Row],[USER]],[1]!Table145678910111213141545678910111213146[[#All],[No.]:[Delete]],2,0)</f>
        <v>#N/A</v>
      </c>
    </row>
    <row r="335" spans="1:14">
      <c r="A335" s="93">
        <v>327</v>
      </c>
      <c r="B335" s="94">
        <v>2</v>
      </c>
      <c r="C335" s="40" t="s">
        <v>7943</v>
      </c>
      <c r="D335" s="40" t="str">
        <f>VLOOKUP(E335,Sheet3!$A$2:$D$6338,2,0)</f>
        <v>Kiều Lương Trần</v>
      </c>
      <c r="E335" s="44" t="s">
        <v>351</v>
      </c>
      <c r="F335" s="44" t="str">
        <f t="shared" si="6"/>
        <v>VN05074</v>
      </c>
      <c r="G335" s="295"/>
      <c r="H335" s="41" t="s">
        <v>67</v>
      </c>
      <c r="I335" s="95">
        <v>45428</v>
      </c>
      <c r="J335" s="122"/>
      <c r="K335" s="122"/>
      <c r="L335" s="147" t="str">
        <f>VLOOKUP(E335,DS!$A$2:$E$4398, 5, 0)</f>
        <v>Y tế</v>
      </c>
      <c r="M335" s="148"/>
      <c r="N335" s="92" t="e">
        <f>VLOOKUP(Table1[[#This Row],[USER]],[1]!Table145678910111213141545678910111213146[[#All],[No.]:[Delete]],2,0)</f>
        <v>#N/A</v>
      </c>
    </row>
    <row r="336" spans="1:14">
      <c r="A336" s="93">
        <v>328</v>
      </c>
      <c r="B336" s="94">
        <v>3</v>
      </c>
      <c r="C336" s="40" t="s">
        <v>7943</v>
      </c>
      <c r="D336" s="40" t="str">
        <f>VLOOKUP(E336,Sheet3!$A$2:$D$6338,2,0)</f>
        <v>Nguyễn Thiều Bạch</v>
      </c>
      <c r="E336" s="44" t="s">
        <v>352</v>
      </c>
      <c r="F336" s="44" t="str">
        <f t="shared" si="6"/>
        <v>VN01967</v>
      </c>
      <c r="G336" s="295"/>
      <c r="H336" s="41" t="s">
        <v>67</v>
      </c>
      <c r="I336" s="95">
        <v>45428</v>
      </c>
      <c r="J336" s="122"/>
      <c r="K336" s="122"/>
      <c r="L336" s="147" t="str">
        <f>VLOOKUP(E336,DS!$A$2:$E$4398, 5, 0)</f>
        <v>Y tế</v>
      </c>
      <c r="M336" s="148"/>
      <c r="N336" s="92" t="e">
        <f>VLOOKUP(Table1[[#This Row],[USER]],[1]!Table145678910111213141545678910111213146[[#All],[No.]:[Delete]],2,0)</f>
        <v>#N/A</v>
      </c>
    </row>
    <row r="337" spans="1:14">
      <c r="A337" s="93">
        <v>329</v>
      </c>
      <c r="B337" s="94">
        <v>4</v>
      </c>
      <c r="C337" s="40" t="s">
        <v>7943</v>
      </c>
      <c r="D337" s="40" t="str">
        <f>VLOOKUP(E337,Sheet3!$A$2:$D$6338,2,0)</f>
        <v>Nguyễn Thị Thu Hiền</v>
      </c>
      <c r="E337" s="44" t="s">
        <v>353</v>
      </c>
      <c r="F337" s="44" t="str">
        <f t="shared" si="6"/>
        <v>VN01742</v>
      </c>
      <c r="G337" s="295"/>
      <c r="H337" s="41" t="s">
        <v>67</v>
      </c>
      <c r="I337" s="95">
        <v>45408</v>
      </c>
      <c r="J337" s="122"/>
      <c r="K337" s="122"/>
      <c r="L337" s="147" t="str">
        <f>VLOOKUP(E337,DS!$A$2:$E$4398, 5, 0)</f>
        <v>Y tế</v>
      </c>
      <c r="M337" s="148"/>
      <c r="N337" s="92" t="e">
        <f>VLOOKUP(Table1[[#This Row],[USER]],[1]!Table145678910111213141545678910111213146[[#All],[No.]:[Delete]],2,0)</f>
        <v>#N/A</v>
      </c>
    </row>
    <row r="338" spans="1:14">
      <c r="A338" s="93">
        <v>330</v>
      </c>
      <c r="B338" s="94">
        <v>1</v>
      </c>
      <c r="C338" s="40" t="s">
        <v>7944</v>
      </c>
      <c r="D338" s="40" t="e">
        <f>VLOOKUP(E338,Sheet3!$A$2:$D$6338,2,0)</f>
        <v>#N/A</v>
      </c>
      <c r="E338" s="44" t="s">
        <v>354</v>
      </c>
      <c r="F338" s="44" t="str">
        <f t="shared" si="6"/>
        <v>VN19409</v>
      </c>
      <c r="G338" s="295"/>
      <c r="H338" s="41" t="s">
        <v>67</v>
      </c>
      <c r="I338" s="95">
        <v>45440</v>
      </c>
      <c r="J338" s="122">
        <v>45806</v>
      </c>
      <c r="K338" s="122">
        <v>45806</v>
      </c>
      <c r="L338" s="147" t="e">
        <f>VLOOKUP(E338,DS!$A$2:$E$4398, 5, 0)</f>
        <v>#N/A</v>
      </c>
      <c r="M338" s="148"/>
      <c r="N338" s="92" t="e">
        <f>VLOOKUP(Table1[[#This Row],[USER]],[1]!Table145678910111213141545678910111213146[[#All],[No.]:[Delete]],2,0)</f>
        <v>#N/A</v>
      </c>
    </row>
    <row r="339" spans="1:14">
      <c r="A339" s="93">
        <v>331</v>
      </c>
      <c r="B339" s="94">
        <v>2</v>
      </c>
      <c r="C339" s="40" t="s">
        <v>7944</v>
      </c>
      <c r="D339" s="40" t="str">
        <f>VLOOKUP(E339,Sheet3!$A$2:$D$6338,2,0)</f>
        <v>Phạm Đức Tấn</v>
      </c>
      <c r="E339" s="44" t="s">
        <v>355</v>
      </c>
      <c r="F339" s="44" t="str">
        <f t="shared" si="6"/>
        <v>VN15626</v>
      </c>
      <c r="G339" s="295"/>
      <c r="H339" s="41" t="s">
        <v>67</v>
      </c>
      <c r="I339" s="95">
        <v>45440</v>
      </c>
      <c r="J339" s="122"/>
      <c r="K339" s="122"/>
      <c r="L339" s="147" t="str">
        <f>VLOOKUP(E339,DS!$A$2:$E$4398, 5, 0)</f>
        <v>Kaifa</v>
      </c>
      <c r="M339" s="148"/>
      <c r="N339" s="92" t="e">
        <f>VLOOKUP(Table1[[#This Row],[USER]],[1]!Table145678910111213141545678910111213146[[#All],[No.]:[Delete]],2,0)</f>
        <v>#N/A</v>
      </c>
    </row>
    <row r="340" spans="1:14">
      <c r="A340" s="93">
        <v>332</v>
      </c>
      <c r="B340" s="94">
        <v>3</v>
      </c>
      <c r="C340" s="40" t="s">
        <v>7944</v>
      </c>
      <c r="D340" s="40" t="str">
        <f>VLOOKUP(E340,Sheet3!$A$2:$D$6338,2,0)</f>
        <v>Phan Văn Hợi</v>
      </c>
      <c r="E340" s="44" t="s">
        <v>356</v>
      </c>
      <c r="F340" s="44" t="str">
        <f t="shared" si="6"/>
        <v>VN12760</v>
      </c>
      <c r="G340" s="295"/>
      <c r="H340" s="41" t="s">
        <v>67</v>
      </c>
      <c r="I340" s="95">
        <v>45440</v>
      </c>
      <c r="J340" s="122"/>
      <c r="K340" s="122"/>
      <c r="L340" s="147" t="str">
        <f>VLOOKUP(E340,DS!$A$2:$E$4398, 5, 0)</f>
        <v>Kaifa</v>
      </c>
      <c r="M340" s="148"/>
      <c r="N340" s="92" t="e">
        <f>VLOOKUP(Table1[[#This Row],[USER]],[1]!Table145678910111213141545678910111213146[[#All],[No.]:[Delete]],2,0)</f>
        <v>#N/A</v>
      </c>
    </row>
    <row r="341" spans="1:14">
      <c r="A341" s="93">
        <v>333</v>
      </c>
      <c r="B341" s="94">
        <v>4</v>
      </c>
      <c r="C341" s="40" t="s">
        <v>7944</v>
      </c>
      <c r="D341" s="40" t="str">
        <f>VLOOKUP(E341,Sheet3!$A$2:$D$6338,2,0)</f>
        <v>Trần Anh Hoàn</v>
      </c>
      <c r="E341" s="44" t="s">
        <v>357</v>
      </c>
      <c r="F341" s="44" t="str">
        <f t="shared" si="6"/>
        <v>VN11725</v>
      </c>
      <c r="G341" s="295"/>
      <c r="H341" s="41" t="s">
        <v>67</v>
      </c>
      <c r="I341" s="95">
        <v>45440</v>
      </c>
      <c r="J341" s="122"/>
      <c r="K341" s="122"/>
      <c r="L341" s="147" t="str">
        <f>VLOOKUP(E341,DS!$A$2:$E$4398, 5, 0)</f>
        <v>Kaifa</v>
      </c>
      <c r="M341" s="148"/>
      <c r="N341" s="92" t="e">
        <f>VLOOKUP(Table1[[#This Row],[USER]],[1]!Table145678910111213141545678910111213146[[#All],[No.]:[Delete]],2,0)</f>
        <v>#N/A</v>
      </c>
    </row>
    <row r="342" spans="1:14">
      <c r="A342" s="93">
        <v>334</v>
      </c>
      <c r="B342" s="94">
        <v>5</v>
      </c>
      <c r="C342" s="40" t="s">
        <v>7944</v>
      </c>
      <c r="D342" s="40" t="str">
        <f>VLOOKUP(E342,Sheet3!$A$2:$D$6338,2,0)</f>
        <v>Nguyễn Đức Trường</v>
      </c>
      <c r="E342" s="44" t="s">
        <v>358</v>
      </c>
      <c r="F342" s="44" t="str">
        <f t="shared" si="6"/>
        <v>VN11132</v>
      </c>
      <c r="G342" s="295"/>
      <c r="H342" s="41" t="s">
        <v>67</v>
      </c>
      <c r="I342" s="95">
        <v>45440</v>
      </c>
      <c r="J342" s="122"/>
      <c r="K342" s="122"/>
      <c r="L342" s="147" t="str">
        <f>VLOOKUP(E342,DS!$A$2:$E$4398, 5, 0)</f>
        <v>Kaifa</v>
      </c>
      <c r="M342" s="148"/>
      <c r="N342" s="92" t="e">
        <f>VLOOKUP(Table1[[#This Row],[USER]],[1]!Table145678910111213141545678910111213146[[#All],[No.]:[Delete]],2,0)</f>
        <v>#N/A</v>
      </c>
    </row>
    <row r="343" spans="1:14">
      <c r="A343" s="93">
        <v>335</v>
      </c>
      <c r="B343" s="94">
        <v>6</v>
      </c>
      <c r="C343" s="40" t="s">
        <v>7944</v>
      </c>
      <c r="D343" s="40" t="str">
        <f>VLOOKUP(E343,Sheet3!$A$2:$D$6338,2,0)</f>
        <v>Trịnh Văn Nam</v>
      </c>
      <c r="E343" s="44" t="s">
        <v>359</v>
      </c>
      <c r="F343" s="44" t="str">
        <f t="shared" si="6"/>
        <v>VN13852</v>
      </c>
      <c r="G343" s="295"/>
      <c r="H343" s="41" t="s">
        <v>67</v>
      </c>
      <c r="I343" s="95">
        <v>45440</v>
      </c>
      <c r="J343" s="122"/>
      <c r="K343" s="122"/>
      <c r="L343" s="147" t="str">
        <f>VLOOKUP(E343,DS!$A$2:$E$4398, 5, 0)</f>
        <v>Kaifa</v>
      </c>
      <c r="M343" s="148"/>
      <c r="N343" s="92" t="e">
        <f>VLOOKUP(Table1[[#This Row],[USER]],[1]!Table145678910111213141545678910111213146[[#All],[No.]:[Delete]],2,0)</f>
        <v>#N/A</v>
      </c>
    </row>
    <row r="344" spans="1:14">
      <c r="A344" s="93">
        <v>336</v>
      </c>
      <c r="B344" s="94">
        <v>7</v>
      </c>
      <c r="C344" s="40" t="s">
        <v>7944</v>
      </c>
      <c r="D344" s="40" t="str">
        <f>VLOOKUP(E344,Sheet3!$A$2:$D$6338,2,0)</f>
        <v>Lại Xuân Dương</v>
      </c>
      <c r="E344" s="44" t="s">
        <v>360</v>
      </c>
      <c r="F344" s="44" t="str">
        <f t="shared" si="6"/>
        <v>VN11723</v>
      </c>
      <c r="G344" s="295"/>
      <c r="H344" s="41" t="s">
        <v>67</v>
      </c>
      <c r="I344" s="95">
        <v>45440</v>
      </c>
      <c r="J344" s="122"/>
      <c r="K344" s="122"/>
      <c r="L344" s="147" t="str">
        <f>VLOOKUP(E344,DS!$A$2:$E$4398, 5, 0)</f>
        <v>Kaifa</v>
      </c>
      <c r="M344" s="148"/>
      <c r="N344" s="92" t="e">
        <f>VLOOKUP(Table1[[#This Row],[USER]],[1]!Table145678910111213141545678910111213146[[#All],[No.]:[Delete]],2,0)</f>
        <v>#N/A</v>
      </c>
    </row>
    <row r="345" spans="1:14">
      <c r="A345" s="93">
        <v>337</v>
      </c>
      <c r="B345" s="94">
        <v>8</v>
      </c>
      <c r="C345" s="40" t="s">
        <v>7944</v>
      </c>
      <c r="D345" s="40" t="str">
        <f>VLOOKUP(E345,Sheet3!$A$2:$D$6338,2,0)</f>
        <v>Đàm Thị Kim Liên</v>
      </c>
      <c r="E345" s="44" t="s">
        <v>361</v>
      </c>
      <c r="F345" s="44" t="str">
        <f t="shared" si="6"/>
        <v>VN00285</v>
      </c>
      <c r="G345" s="295"/>
      <c r="H345" s="41" t="s">
        <v>67</v>
      </c>
      <c r="I345" s="95">
        <v>45440</v>
      </c>
      <c r="J345" s="122"/>
      <c r="K345" s="122"/>
      <c r="L345" s="147" t="str">
        <f>VLOOKUP(E345,DS!$A$2:$E$4398, 5, 0)</f>
        <v>Kaifa</v>
      </c>
      <c r="M345" s="148"/>
      <c r="N345" s="92" t="e">
        <f>VLOOKUP(Table1[[#This Row],[USER]],[1]!Table145678910111213141545678910111213146[[#All],[No.]:[Delete]],2,0)</f>
        <v>#N/A</v>
      </c>
    </row>
    <row r="346" spans="1:14">
      <c r="A346" s="93">
        <v>338</v>
      </c>
      <c r="B346" s="94">
        <v>9</v>
      </c>
      <c r="C346" s="40" t="s">
        <v>7944</v>
      </c>
      <c r="D346" s="40" t="e">
        <f>VLOOKUP(E346,Sheet3!$A$2:$D$6338,2,0)</f>
        <v>#N/A</v>
      </c>
      <c r="E346" s="44" t="s">
        <v>362</v>
      </c>
      <c r="F346" s="44" t="str">
        <f t="shared" si="6"/>
        <v>VN03798</v>
      </c>
      <c r="G346" s="295"/>
      <c r="H346" s="41" t="s">
        <v>67</v>
      </c>
      <c r="I346" s="95">
        <v>45440</v>
      </c>
      <c r="J346" s="122"/>
      <c r="K346" s="122"/>
      <c r="L346" s="147" t="str">
        <f>VLOOKUP(E346,DS!$A$2:$E$4398, 5, 0)</f>
        <v>Kaifa</v>
      </c>
      <c r="M346" s="148"/>
      <c r="N346" s="92" t="e">
        <f>VLOOKUP(Table1[[#This Row],[USER]],[1]!Table145678910111213141545678910111213146[[#All],[No.]:[Delete]],2,0)</f>
        <v>#N/A</v>
      </c>
    </row>
    <row r="347" spans="1:14">
      <c r="A347" s="93">
        <v>339</v>
      </c>
      <c r="B347" s="94">
        <v>10</v>
      </c>
      <c r="C347" s="40" t="s">
        <v>7944</v>
      </c>
      <c r="D347" s="40" t="str">
        <f>VLOOKUP(E347,Sheet3!$A$2:$D$6338,2,0)</f>
        <v>Trần Thị Thu Nga</v>
      </c>
      <c r="E347" s="44" t="s">
        <v>810</v>
      </c>
      <c r="F347" s="44" t="str">
        <f t="shared" si="6"/>
        <v>VN24851</v>
      </c>
      <c r="G347" s="295"/>
      <c r="H347" s="41" t="s">
        <v>67</v>
      </c>
      <c r="I347" s="95">
        <v>45440</v>
      </c>
      <c r="J347" s="122">
        <v>45749</v>
      </c>
      <c r="K347" s="122">
        <v>45749</v>
      </c>
      <c r="L347" s="147" t="e">
        <f>VLOOKUP(E347,DS!$A$2:$E$4398, 5, 0)</f>
        <v>#N/A</v>
      </c>
      <c r="M347" s="148"/>
      <c r="N347" s="92" t="e">
        <f>VLOOKUP(Table1[[#This Row],[USER]],[1]!Table145678910111213141545678910111213146[[#All],[No.]:[Delete]],2,0)</f>
        <v>#N/A</v>
      </c>
    </row>
    <row r="348" spans="1:14">
      <c r="A348" s="93">
        <v>340</v>
      </c>
      <c r="B348" s="94">
        <v>11</v>
      </c>
      <c r="C348" s="40" t="s">
        <v>7944</v>
      </c>
      <c r="D348" s="40" t="e">
        <f>VLOOKUP(E348,Sheet3!$A$2:$D$6338,2,0)</f>
        <v>#N/A</v>
      </c>
      <c r="E348" s="44" t="s">
        <v>364</v>
      </c>
      <c r="F348" s="44" t="str">
        <f t="shared" si="6"/>
        <v>VN18143</v>
      </c>
      <c r="G348" s="295"/>
      <c r="H348" s="41" t="s">
        <v>67</v>
      </c>
      <c r="I348" s="95">
        <v>45440</v>
      </c>
      <c r="J348" s="122"/>
      <c r="K348" s="122"/>
      <c r="L348" s="147" t="str">
        <f>VLOOKUP(E348,DS!$A$2:$E$4398, 5, 0)</f>
        <v>Kaifa</v>
      </c>
      <c r="M348" s="148"/>
      <c r="N348" s="92" t="e">
        <f>VLOOKUP(Table1[[#This Row],[USER]],[1]!Table145678910111213141545678910111213146[[#All],[No.]:[Delete]],2,0)</f>
        <v>#N/A</v>
      </c>
    </row>
    <row r="349" spans="1:14">
      <c r="A349" s="93">
        <v>341</v>
      </c>
      <c r="B349" s="94">
        <v>12</v>
      </c>
      <c r="C349" s="40" t="s">
        <v>7944</v>
      </c>
      <c r="D349" s="40" t="str">
        <f>VLOOKUP(E349,Sheet3!$A$2:$D$6338,2,0)</f>
        <v>Nguyễn Đình Đường</v>
      </c>
      <c r="E349" s="44" t="s">
        <v>365</v>
      </c>
      <c r="F349" s="44" t="str">
        <f t="shared" si="6"/>
        <v>VN03487</v>
      </c>
      <c r="G349" s="295"/>
      <c r="H349" s="41" t="s">
        <v>67</v>
      </c>
      <c r="I349" s="95">
        <v>45440</v>
      </c>
      <c r="J349" s="122"/>
      <c r="K349" s="122"/>
      <c r="L349" s="147" t="str">
        <f>VLOOKUP(E349,DS!$A$2:$E$4398, 5, 0)</f>
        <v>Kaifa</v>
      </c>
      <c r="M349" s="148"/>
      <c r="N349" s="92" t="e">
        <f>VLOOKUP(Table1[[#This Row],[USER]],[1]!Table145678910111213141545678910111213146[[#All],[No.]:[Delete]],2,0)</f>
        <v>#N/A</v>
      </c>
    </row>
    <row r="350" spans="1:14">
      <c r="A350" s="93">
        <v>342</v>
      </c>
      <c r="B350" s="94">
        <v>13</v>
      </c>
      <c r="C350" s="40" t="s">
        <v>7944</v>
      </c>
      <c r="D350" s="40" t="e">
        <f>VLOOKUP(E350,Sheet3!$A$2:$D$6338,2,0)</f>
        <v>#N/A</v>
      </c>
      <c r="E350" s="44" t="s">
        <v>366</v>
      </c>
      <c r="F350" s="44" t="str">
        <f t="shared" si="6"/>
        <v>VN17912</v>
      </c>
      <c r="G350" s="295"/>
      <c r="H350" s="41" t="s">
        <v>67</v>
      </c>
      <c r="I350" s="95">
        <v>45440</v>
      </c>
      <c r="J350" s="122"/>
      <c r="K350" s="122"/>
      <c r="L350" s="147" t="str">
        <f>VLOOKUP(E350,DS!$A$2:$E$4398, 5, 0)</f>
        <v>Kaifa</v>
      </c>
      <c r="M350" s="148"/>
      <c r="N350" s="92" t="e">
        <f>VLOOKUP(Table1[[#This Row],[USER]],[1]!Table145678910111213141545678910111213146[[#All],[No.]:[Delete]],2,0)</f>
        <v>#N/A</v>
      </c>
    </row>
    <row r="351" spans="1:14">
      <c r="A351" s="93">
        <v>343</v>
      </c>
      <c r="B351" s="94">
        <v>14</v>
      </c>
      <c r="C351" s="40" t="s">
        <v>7944</v>
      </c>
      <c r="D351" s="40" t="e">
        <f>VLOOKUP(E351,Sheet3!$A$2:$D$6338,2,0)</f>
        <v>#N/A</v>
      </c>
      <c r="E351" s="44" t="s">
        <v>367</v>
      </c>
      <c r="F351" s="44" t="str">
        <f t="shared" ref="F351:F407" si="7">"VN"&amp;RIGHT(E351,5)</f>
        <v>VN10953</v>
      </c>
      <c r="G351" s="295"/>
      <c r="H351" s="41" t="s">
        <v>67</v>
      </c>
      <c r="I351" s="95">
        <v>45440</v>
      </c>
      <c r="J351" s="122">
        <v>45806</v>
      </c>
      <c r="K351" s="122"/>
      <c r="L351" s="147" t="e">
        <f>VLOOKUP(E351,DS!$A$2:$E$4398, 5, 0)</f>
        <v>#N/A</v>
      </c>
      <c r="M351" s="148"/>
      <c r="N351" s="92" t="e">
        <f>VLOOKUP(Table1[[#This Row],[USER]],[1]!Table145678910111213141545678910111213146[[#All],[No.]:[Delete]],2,0)</f>
        <v>#N/A</v>
      </c>
    </row>
    <row r="352" spans="1:14">
      <c r="A352" s="93">
        <v>344</v>
      </c>
      <c r="B352" s="94">
        <v>15</v>
      </c>
      <c r="C352" s="40" t="s">
        <v>7944</v>
      </c>
      <c r="D352" s="40" t="str">
        <f>VLOOKUP(E352,Sheet3!$A$2:$D$6338,2,0)</f>
        <v>Hạ Trọng Lực</v>
      </c>
      <c r="E352" s="44" t="s">
        <v>368</v>
      </c>
      <c r="F352" s="44" t="str">
        <f t="shared" si="7"/>
        <v>VN04751</v>
      </c>
      <c r="G352" s="295"/>
      <c r="H352" s="41" t="s">
        <v>67</v>
      </c>
      <c r="I352" s="95">
        <v>45440</v>
      </c>
      <c r="J352" s="122"/>
      <c r="K352" s="122"/>
      <c r="L352" s="147" t="str">
        <f>VLOOKUP(E352,DS!$A$2:$E$4398, 5, 0)</f>
        <v>Kaifa</v>
      </c>
      <c r="M352" s="148"/>
      <c r="N352" s="92" t="e">
        <f>VLOOKUP(Table1[[#This Row],[USER]],[1]!Table145678910111213141545678910111213146[[#All],[No.]:[Delete]],2,0)</f>
        <v>#N/A</v>
      </c>
    </row>
    <row r="353" spans="1:14">
      <c r="A353" s="93">
        <v>345</v>
      </c>
      <c r="B353" s="94">
        <v>16</v>
      </c>
      <c r="C353" s="40" t="s">
        <v>7944</v>
      </c>
      <c r="D353" s="40" t="str">
        <f>VLOOKUP(E353,Sheet3!$A$2:$D$6338,2,0)</f>
        <v>Trần Lâm Anh</v>
      </c>
      <c r="E353" s="44" t="s">
        <v>369</v>
      </c>
      <c r="F353" s="44" t="str">
        <f t="shared" si="7"/>
        <v>VN09587</v>
      </c>
      <c r="G353" s="295"/>
      <c r="H353" s="41" t="s">
        <v>67</v>
      </c>
      <c r="I353" s="95">
        <v>45440</v>
      </c>
      <c r="J353" s="122"/>
      <c r="K353" s="122"/>
      <c r="L353" s="147" t="str">
        <f>VLOOKUP(E353,DS!$A$2:$E$4398, 5, 0)</f>
        <v>Kaifa</v>
      </c>
      <c r="M353" s="148"/>
      <c r="N353" s="92" t="e">
        <f>VLOOKUP(Table1[[#This Row],[USER]],[1]!Table145678910111213141545678910111213146[[#All],[No.]:[Delete]],2,0)</f>
        <v>#N/A</v>
      </c>
    </row>
    <row r="354" spans="1:14">
      <c r="A354" s="93">
        <v>346</v>
      </c>
      <c r="B354" s="94">
        <v>17</v>
      </c>
      <c r="C354" s="40" t="s">
        <v>7944</v>
      </c>
      <c r="D354" s="40" t="e">
        <f>VLOOKUP(E354,Sheet3!$A$2:$D$6338,2,0)</f>
        <v>#N/A</v>
      </c>
      <c r="E354" s="44" t="s">
        <v>370</v>
      </c>
      <c r="F354" s="44" t="str">
        <f t="shared" si="7"/>
        <v>VN12582</v>
      </c>
      <c r="G354" s="295"/>
      <c r="H354" s="41" t="s">
        <v>67</v>
      </c>
      <c r="I354" s="95">
        <v>45440</v>
      </c>
      <c r="J354" s="122"/>
      <c r="K354" s="122"/>
      <c r="L354" s="147" t="str">
        <f>VLOOKUP(E354,DS!$A$2:$E$4398, 5, 0)</f>
        <v>Kaifa</v>
      </c>
      <c r="M354" s="148"/>
      <c r="N354" s="92" t="e">
        <f>VLOOKUP(Table1[[#This Row],[USER]],[1]!Table145678910111213141545678910111213146[[#All],[No.]:[Delete]],2,0)</f>
        <v>#N/A</v>
      </c>
    </row>
    <row r="355" spans="1:14">
      <c r="A355" s="93">
        <v>347</v>
      </c>
      <c r="B355" s="94">
        <v>18</v>
      </c>
      <c r="C355" s="40" t="s">
        <v>7944</v>
      </c>
      <c r="D355" s="40" t="str">
        <f>VLOOKUP(E355,Sheet3!$A$2:$D$6338,2,0)</f>
        <v>Phùng Văn Quyền</v>
      </c>
      <c r="E355" s="44" t="s">
        <v>371</v>
      </c>
      <c r="F355" s="44" t="str">
        <f t="shared" si="7"/>
        <v>VN07179</v>
      </c>
      <c r="G355" s="295"/>
      <c r="H355" s="41" t="s">
        <v>67</v>
      </c>
      <c r="I355" s="95">
        <v>45440</v>
      </c>
      <c r="J355" s="122"/>
      <c r="K355" s="122"/>
      <c r="L355" s="147" t="str">
        <f>VLOOKUP(E355,DS!$A$2:$E$4398, 5, 0)</f>
        <v>Kaifa</v>
      </c>
      <c r="M355" s="148"/>
      <c r="N355" s="92" t="e">
        <f>VLOOKUP(Table1[[#This Row],[USER]],[1]!Table145678910111213141545678910111213146[[#All],[No.]:[Delete]],2,0)</f>
        <v>#N/A</v>
      </c>
    </row>
    <row r="356" spans="1:14">
      <c r="A356" s="93">
        <v>348</v>
      </c>
      <c r="B356" s="94">
        <v>19</v>
      </c>
      <c r="C356" s="40" t="s">
        <v>7944</v>
      </c>
      <c r="D356" s="40" t="str">
        <f>VLOOKUP(E356,Sheet3!$A$2:$D$6338,2,0)</f>
        <v>Vũ Thanh Hương</v>
      </c>
      <c r="E356" s="44" t="s">
        <v>372</v>
      </c>
      <c r="F356" s="44" t="str">
        <f t="shared" si="7"/>
        <v>VN05224</v>
      </c>
      <c r="G356" s="295"/>
      <c r="H356" s="41" t="s">
        <v>67</v>
      </c>
      <c r="I356" s="95">
        <v>45440</v>
      </c>
      <c r="J356" s="122"/>
      <c r="K356" s="122"/>
      <c r="L356" s="147" t="str">
        <f>VLOOKUP(E356,DS!$A$2:$E$4398, 5, 0)</f>
        <v>Kaifa</v>
      </c>
      <c r="M356" s="148"/>
      <c r="N356" s="92" t="e">
        <f>VLOOKUP(Table1[[#This Row],[USER]],[1]!Table145678910111213141545678910111213146[[#All],[No.]:[Delete]],2,0)</f>
        <v>#N/A</v>
      </c>
    </row>
    <row r="357" spans="1:14">
      <c r="A357" s="93">
        <v>349</v>
      </c>
      <c r="B357" s="94">
        <v>20</v>
      </c>
      <c r="C357" s="40" t="s">
        <v>7944</v>
      </c>
      <c r="D357" s="40" t="str">
        <f>VLOOKUP(E357,Sheet3!$A$2:$D$6338,2,0)</f>
        <v>Nguyễn Nam Cao</v>
      </c>
      <c r="E357" s="44" t="s">
        <v>373</v>
      </c>
      <c r="F357" s="44" t="str">
        <f t="shared" si="7"/>
        <v>VN17794</v>
      </c>
      <c r="G357" s="295"/>
      <c r="H357" s="41" t="s">
        <v>67</v>
      </c>
      <c r="I357" s="95">
        <v>45440</v>
      </c>
      <c r="J357" s="122"/>
      <c r="K357" s="122"/>
      <c r="L357" s="147" t="str">
        <f>VLOOKUP(E357,DS!$A$2:$E$4398, 5, 0)</f>
        <v>Kaifa</v>
      </c>
      <c r="M357" s="148"/>
      <c r="N357" s="92" t="e">
        <f>VLOOKUP(Table1[[#This Row],[USER]],[1]!Table145678910111213141545678910111213146[[#All],[No.]:[Delete]],2,0)</f>
        <v>#N/A</v>
      </c>
    </row>
    <row r="358" spans="1:14">
      <c r="A358" s="93">
        <v>350</v>
      </c>
      <c r="B358" s="94">
        <v>21</v>
      </c>
      <c r="C358" s="40" t="s">
        <v>7944</v>
      </c>
      <c r="D358" s="40" t="str">
        <f>VLOOKUP(E358,Sheet3!$A$2:$D$6338,2,0)</f>
        <v>Bùi Hồng Hưng</v>
      </c>
      <c r="E358" s="44" t="s">
        <v>374</v>
      </c>
      <c r="F358" s="44" t="str">
        <f t="shared" si="7"/>
        <v>VN10864</v>
      </c>
      <c r="G358" s="295"/>
      <c r="H358" s="41" t="s">
        <v>67</v>
      </c>
      <c r="I358" s="95">
        <v>45440</v>
      </c>
      <c r="J358" s="122"/>
      <c r="K358" s="122"/>
      <c r="L358" s="147" t="str">
        <f>VLOOKUP(E358,DS!$A$2:$E$4398, 5, 0)</f>
        <v>Kaifa</v>
      </c>
      <c r="M358" s="148"/>
      <c r="N358" s="92" t="e">
        <f>VLOOKUP(Table1[[#This Row],[USER]],[1]!Table145678910111213141545678910111213146[[#All],[No.]:[Delete]],2,0)</f>
        <v>#N/A</v>
      </c>
    </row>
    <row r="359" spans="1:14">
      <c r="A359" s="93">
        <v>351</v>
      </c>
      <c r="B359" s="94">
        <v>22</v>
      </c>
      <c r="C359" s="40" t="s">
        <v>7944</v>
      </c>
      <c r="D359" s="40" t="str">
        <f>VLOOKUP(E359,Sheet3!$A$2:$D$6338,2,0)</f>
        <v>Phạm Văn Thực</v>
      </c>
      <c r="E359" s="44" t="s">
        <v>375</v>
      </c>
      <c r="F359" s="44" t="str">
        <f t="shared" si="7"/>
        <v>VN08232</v>
      </c>
      <c r="G359" s="295"/>
      <c r="H359" s="41" t="s">
        <v>67</v>
      </c>
      <c r="I359" s="95">
        <v>45440</v>
      </c>
      <c r="J359" s="122"/>
      <c r="K359" s="122"/>
      <c r="L359" s="147" t="str">
        <f>VLOOKUP(E359,DS!$A$2:$E$4398, 5, 0)</f>
        <v>Kaifa</v>
      </c>
      <c r="M359" s="148"/>
      <c r="N359" s="92" t="e">
        <f>VLOOKUP(Table1[[#This Row],[USER]],[1]!Table145678910111213141545678910111213146[[#All],[No.]:[Delete]],2,0)</f>
        <v>#N/A</v>
      </c>
    </row>
    <row r="360" spans="1:14">
      <c r="A360" s="93">
        <v>352</v>
      </c>
      <c r="B360" s="94">
        <v>23</v>
      </c>
      <c r="C360" s="40" t="s">
        <v>7944</v>
      </c>
      <c r="D360" s="40" t="str">
        <f>VLOOKUP(E360,Sheet3!$A$2:$D$6338,2,0)</f>
        <v>Lê Hoài Nam</v>
      </c>
      <c r="E360" s="44" t="s">
        <v>376</v>
      </c>
      <c r="F360" s="44" t="str">
        <f t="shared" si="7"/>
        <v>VN17589</v>
      </c>
      <c r="G360" s="295"/>
      <c r="H360" s="41" t="s">
        <v>67</v>
      </c>
      <c r="I360" s="95">
        <v>45440</v>
      </c>
      <c r="J360" s="122"/>
      <c r="K360" s="122"/>
      <c r="L360" s="147" t="str">
        <f>VLOOKUP(E360,DS!$A$2:$E$4398, 5, 0)</f>
        <v>Kaifa</v>
      </c>
      <c r="M360" s="148"/>
      <c r="N360" s="92" t="e">
        <f>VLOOKUP(Table1[[#This Row],[USER]],[1]!Table145678910111213141545678910111213146[[#All],[No.]:[Delete]],2,0)</f>
        <v>#N/A</v>
      </c>
    </row>
    <row r="361" spans="1:14">
      <c r="A361" s="93">
        <v>353</v>
      </c>
      <c r="B361" s="94">
        <v>24</v>
      </c>
      <c r="C361" s="40" t="s">
        <v>7944</v>
      </c>
      <c r="D361" s="40" t="str">
        <f>VLOOKUP(E361,Sheet3!$A$2:$D$6338,2,0)</f>
        <v>Lê Bá Trường</v>
      </c>
      <c r="E361" s="44" t="s">
        <v>377</v>
      </c>
      <c r="F361" s="44" t="str">
        <f t="shared" si="7"/>
        <v>VN15625</v>
      </c>
      <c r="G361" s="295"/>
      <c r="H361" s="41" t="s">
        <v>67</v>
      </c>
      <c r="I361" s="95">
        <v>45440</v>
      </c>
      <c r="J361" s="122"/>
      <c r="K361" s="122"/>
      <c r="L361" s="147" t="str">
        <f>VLOOKUP(E361,DS!$A$2:$E$4398, 5, 0)</f>
        <v>Kaifa</v>
      </c>
      <c r="M361" s="148"/>
      <c r="N361" s="92" t="e">
        <f>VLOOKUP(Table1[[#This Row],[USER]],[1]!Table145678910111213141545678910111213146[[#All],[No.]:[Delete]],2,0)</f>
        <v>#N/A</v>
      </c>
    </row>
    <row r="362" spans="1:14">
      <c r="A362" s="93">
        <v>354</v>
      </c>
      <c r="B362" s="94">
        <v>25</v>
      </c>
      <c r="C362" s="40" t="s">
        <v>7944</v>
      </c>
      <c r="D362" s="40" t="str">
        <f>VLOOKUP(E362,Sheet3!$A$2:$D$6338,2,0)</f>
        <v>Phạm Văn Thắng</v>
      </c>
      <c r="E362" s="44" t="s">
        <v>378</v>
      </c>
      <c r="F362" s="44" t="str">
        <f t="shared" si="7"/>
        <v>VN13165</v>
      </c>
      <c r="G362" s="295"/>
      <c r="H362" s="41" t="s">
        <v>67</v>
      </c>
      <c r="I362" s="95">
        <v>45440</v>
      </c>
      <c r="J362" s="122"/>
      <c r="K362" s="122"/>
      <c r="L362" s="147" t="str">
        <f>VLOOKUP(E362,DS!$A$2:$E$4398, 5, 0)</f>
        <v>Kaifa</v>
      </c>
      <c r="M362" s="148"/>
      <c r="N362" s="92" t="e">
        <f>VLOOKUP(Table1[[#This Row],[USER]],[1]!Table145678910111213141545678910111213146[[#All],[No.]:[Delete]],2,0)</f>
        <v>#N/A</v>
      </c>
    </row>
    <row r="363" spans="1:14">
      <c r="A363" s="93">
        <v>355</v>
      </c>
      <c r="B363" s="94">
        <v>26</v>
      </c>
      <c r="C363" s="40" t="s">
        <v>7944</v>
      </c>
      <c r="D363" s="40" t="str">
        <f>VLOOKUP(E363,Sheet3!$A$2:$D$6338,2,0)</f>
        <v>Đỗ Minh Tuấn</v>
      </c>
      <c r="E363" s="44" t="s">
        <v>379</v>
      </c>
      <c r="F363" s="44" t="str">
        <f t="shared" si="7"/>
        <v>VN09586</v>
      </c>
      <c r="G363" s="295"/>
      <c r="H363" s="41" t="s">
        <v>67</v>
      </c>
      <c r="I363" s="95">
        <v>45440</v>
      </c>
      <c r="J363" s="122"/>
      <c r="K363" s="122"/>
      <c r="L363" s="147" t="str">
        <f>VLOOKUP(E363,DS!$A$2:$E$4398, 5, 0)</f>
        <v>Kaifa</v>
      </c>
      <c r="M363" s="148"/>
      <c r="N363" s="92" t="e">
        <f>VLOOKUP(Table1[[#This Row],[USER]],[1]!Table145678910111213141545678910111213146[[#All],[No.]:[Delete]],2,0)</f>
        <v>#N/A</v>
      </c>
    </row>
    <row r="364" spans="1:14">
      <c r="A364" s="93">
        <v>356</v>
      </c>
      <c r="B364" s="94">
        <v>27</v>
      </c>
      <c r="C364" s="40" t="s">
        <v>7944</v>
      </c>
      <c r="D364" s="40" t="str">
        <f>VLOOKUP(E364,Sheet3!$A$2:$D$6338,2,0)</f>
        <v>Kim Văn Ngọc</v>
      </c>
      <c r="E364" s="44" t="s">
        <v>380</v>
      </c>
      <c r="F364" s="44" t="str">
        <f t="shared" si="7"/>
        <v>VN17573</v>
      </c>
      <c r="G364" s="295"/>
      <c r="H364" s="41" t="s">
        <v>67</v>
      </c>
      <c r="I364" s="95">
        <v>45440</v>
      </c>
      <c r="J364" s="122"/>
      <c r="K364" s="122"/>
      <c r="L364" s="147" t="str">
        <f>VLOOKUP(E364,DS!$A$2:$E$4398, 5, 0)</f>
        <v>Kaifa</v>
      </c>
      <c r="M364" s="148"/>
      <c r="N364" s="92" t="e">
        <f>VLOOKUP(Table1[[#This Row],[USER]],[1]!Table145678910111213141545678910111213146[[#All],[No.]:[Delete]],2,0)</f>
        <v>#N/A</v>
      </c>
    </row>
    <row r="365" spans="1:14">
      <c r="A365" s="93">
        <v>357</v>
      </c>
      <c r="B365" s="94">
        <v>28</v>
      </c>
      <c r="C365" s="40" t="s">
        <v>7944</v>
      </c>
      <c r="D365" s="40" t="str">
        <f>VLOOKUP(E365,Sheet3!$A$2:$D$6338,2,0)</f>
        <v>Trần Xuân Tiến</v>
      </c>
      <c r="E365" s="44" t="s">
        <v>381</v>
      </c>
      <c r="F365" s="44" t="str">
        <f t="shared" si="7"/>
        <v>VN16002</v>
      </c>
      <c r="G365" s="295"/>
      <c r="H365" s="41" t="s">
        <v>67</v>
      </c>
      <c r="I365" s="95">
        <v>45440</v>
      </c>
      <c r="J365" s="122"/>
      <c r="K365" s="122"/>
      <c r="L365" s="147" t="str">
        <f>VLOOKUP(E365,DS!$A$2:$E$4398, 5, 0)</f>
        <v>Kaifa</v>
      </c>
      <c r="M365" s="148"/>
      <c r="N365" s="92" t="e">
        <f>VLOOKUP(Table1[[#This Row],[USER]],[1]!Table145678910111213141545678910111213146[[#All],[No.]:[Delete]],2,0)</f>
        <v>#N/A</v>
      </c>
    </row>
    <row r="366" spans="1:14">
      <c r="A366" s="93">
        <v>358</v>
      </c>
      <c r="B366" s="94">
        <v>29</v>
      </c>
      <c r="C366" s="40" t="s">
        <v>7944</v>
      </c>
      <c r="D366" s="40" t="str">
        <f>VLOOKUP(E366,Sheet3!$A$2:$D$6338,2,0)</f>
        <v>Nghiêm Hữu Phương Tuân</v>
      </c>
      <c r="E366" s="44" t="s">
        <v>382</v>
      </c>
      <c r="F366" s="44" t="str">
        <f t="shared" si="7"/>
        <v>VN10785</v>
      </c>
      <c r="G366" s="295"/>
      <c r="H366" s="41" t="s">
        <v>67</v>
      </c>
      <c r="I366" s="95">
        <v>45440</v>
      </c>
      <c r="J366" s="122"/>
      <c r="K366" s="122"/>
      <c r="L366" s="147" t="str">
        <f>VLOOKUP(E366,DS!$A$2:$E$4398, 5, 0)</f>
        <v>Kaifa</v>
      </c>
      <c r="M366" s="148"/>
      <c r="N366" s="92" t="e">
        <f>VLOOKUP(Table1[[#This Row],[USER]],[1]!Table145678910111213141545678910111213146[[#All],[No.]:[Delete]],2,0)</f>
        <v>#N/A</v>
      </c>
    </row>
    <row r="367" spans="1:14">
      <c r="A367" s="93">
        <v>359</v>
      </c>
      <c r="B367" s="94">
        <v>30</v>
      </c>
      <c r="C367" s="40" t="s">
        <v>7944</v>
      </c>
      <c r="D367" s="40" t="str">
        <f>VLOOKUP(E367,Sheet3!$A$2:$D$6338,2,0)</f>
        <v>Đường Văn Định</v>
      </c>
      <c r="E367" s="44" t="s">
        <v>383</v>
      </c>
      <c r="F367" s="44" t="str">
        <f t="shared" si="7"/>
        <v>VN17356</v>
      </c>
      <c r="G367" s="295"/>
      <c r="H367" s="41" t="s">
        <v>67</v>
      </c>
      <c r="I367" s="95">
        <v>45440</v>
      </c>
      <c r="J367" s="122"/>
      <c r="K367" s="122"/>
      <c r="L367" s="147" t="str">
        <f>VLOOKUP(E367,DS!$A$2:$E$4398, 5, 0)</f>
        <v>Kaifa</v>
      </c>
      <c r="M367" s="148"/>
      <c r="N367" s="92" t="e">
        <f>VLOOKUP(Table1[[#This Row],[USER]],[1]!Table145678910111213141545678910111213146[[#All],[No.]:[Delete]],2,0)</f>
        <v>#N/A</v>
      </c>
    </row>
    <row r="368" spans="1:14">
      <c r="A368" s="93">
        <v>360</v>
      </c>
      <c r="B368" s="94">
        <v>31</v>
      </c>
      <c r="C368" s="40" t="s">
        <v>7944</v>
      </c>
      <c r="D368" s="40" t="str">
        <f>VLOOKUP(E368,Sheet3!$A$2:$D$6338,2,0)</f>
        <v>Đào Văn Chiến</v>
      </c>
      <c r="E368" s="44" t="s">
        <v>384</v>
      </c>
      <c r="F368" s="44" t="str">
        <f t="shared" si="7"/>
        <v>VN12584</v>
      </c>
      <c r="G368" s="295"/>
      <c r="H368" s="41" t="s">
        <v>67</v>
      </c>
      <c r="I368" s="95">
        <v>45440</v>
      </c>
      <c r="J368" s="122"/>
      <c r="K368" s="122"/>
      <c r="L368" s="147" t="str">
        <f>VLOOKUP(E368,DS!$A$2:$E$4398, 5, 0)</f>
        <v>Kaifa</v>
      </c>
      <c r="M368" s="148"/>
      <c r="N368" s="92" t="e">
        <f>VLOOKUP(Table1[[#This Row],[USER]],[1]!Table145678910111213141545678910111213146[[#All],[No.]:[Delete]],2,0)</f>
        <v>#N/A</v>
      </c>
    </row>
    <row r="369" spans="1:14">
      <c r="A369" s="93">
        <v>361</v>
      </c>
      <c r="B369" s="94">
        <v>32</v>
      </c>
      <c r="C369" s="40" t="s">
        <v>7944</v>
      </c>
      <c r="D369" s="40" t="e">
        <f>VLOOKUP(E369,Sheet3!$A$2:$D$6338,2,0)</f>
        <v>#N/A</v>
      </c>
      <c r="E369" s="44" t="s">
        <v>385</v>
      </c>
      <c r="F369" s="44" t="str">
        <f t="shared" si="7"/>
        <v>VN17886</v>
      </c>
      <c r="G369" s="295"/>
      <c r="H369" s="41" t="s">
        <v>67</v>
      </c>
      <c r="I369" s="95">
        <v>45440</v>
      </c>
      <c r="J369" s="122"/>
      <c r="K369" s="122"/>
      <c r="L369" s="147" t="str">
        <f>VLOOKUP(E369,DS!$A$2:$E$4398, 5, 0)</f>
        <v>Kaifa</v>
      </c>
      <c r="M369" s="148"/>
      <c r="N369" s="92" t="e">
        <f>VLOOKUP(Table1[[#This Row],[USER]],[1]!Table145678910111213141545678910111213146[[#All],[No.]:[Delete]],2,0)</f>
        <v>#N/A</v>
      </c>
    </row>
    <row r="370" spans="1:14">
      <c r="A370" s="93">
        <v>362</v>
      </c>
      <c r="B370" s="94">
        <v>33</v>
      </c>
      <c r="C370" s="40" t="s">
        <v>7944</v>
      </c>
      <c r="D370" s="40" t="e">
        <f>VLOOKUP(E370,Sheet3!$A$2:$D$6338,2,0)</f>
        <v>#N/A</v>
      </c>
      <c r="E370" s="44" t="s">
        <v>386</v>
      </c>
      <c r="F370" s="44" t="str">
        <f t="shared" si="7"/>
        <v>VN12580</v>
      </c>
      <c r="G370" s="295"/>
      <c r="H370" s="41" t="s">
        <v>67</v>
      </c>
      <c r="I370" s="95">
        <v>45440</v>
      </c>
      <c r="J370" s="122"/>
      <c r="K370" s="122"/>
      <c r="L370" s="147" t="str">
        <f>VLOOKUP(E370,DS!$A$2:$E$4398, 5, 0)</f>
        <v>Kaifa</v>
      </c>
      <c r="M370" s="148"/>
      <c r="N370" s="92" t="e">
        <f>VLOOKUP(Table1[[#This Row],[USER]],[1]!Table145678910111213141545678910111213146[[#All],[No.]:[Delete]],2,0)</f>
        <v>#N/A</v>
      </c>
    </row>
    <row r="371" spans="1:14">
      <c r="A371" s="93">
        <v>363</v>
      </c>
      <c r="B371" s="94">
        <v>34</v>
      </c>
      <c r="C371" s="40" t="s">
        <v>7944</v>
      </c>
      <c r="D371" s="40" t="str">
        <f>VLOOKUP(E371,Sheet3!$A$2:$D$6338,2,0)</f>
        <v>Đỗ Trung Sơn</v>
      </c>
      <c r="E371" s="44" t="s">
        <v>387</v>
      </c>
      <c r="F371" s="44" t="str">
        <f t="shared" si="7"/>
        <v>VN10879</v>
      </c>
      <c r="G371" s="295"/>
      <c r="H371" s="41" t="s">
        <v>67</v>
      </c>
      <c r="I371" s="95">
        <v>45440</v>
      </c>
      <c r="J371" s="122"/>
      <c r="K371" s="122"/>
      <c r="L371" s="147" t="str">
        <f>VLOOKUP(E371,DS!$A$2:$E$4398, 5, 0)</f>
        <v>Kaifa</v>
      </c>
      <c r="M371" s="148"/>
      <c r="N371" s="92" t="e">
        <f>VLOOKUP(Table1[[#This Row],[USER]],[1]!Table145678910111213141545678910111213146[[#All],[No.]:[Delete]],2,0)</f>
        <v>#N/A</v>
      </c>
    </row>
    <row r="372" spans="1:14">
      <c r="A372" s="93">
        <v>364</v>
      </c>
      <c r="B372" s="94">
        <v>35</v>
      </c>
      <c r="C372" s="40" t="s">
        <v>7944</v>
      </c>
      <c r="D372" s="40" t="e">
        <f>VLOOKUP(E372,Sheet3!$A$2:$D$6338,2,0)</f>
        <v>#N/A</v>
      </c>
      <c r="E372" s="44" t="s">
        <v>388</v>
      </c>
      <c r="F372" s="44" t="str">
        <f t="shared" si="7"/>
        <v>VN16290</v>
      </c>
      <c r="G372" s="295"/>
      <c r="H372" s="41" t="s">
        <v>67</v>
      </c>
      <c r="I372" s="95">
        <v>45440</v>
      </c>
      <c r="J372" s="122"/>
      <c r="K372" s="122"/>
      <c r="L372" s="147" t="str">
        <f>VLOOKUP(E372,DS!$A$2:$E$4398, 5, 0)</f>
        <v>Kaifa</v>
      </c>
      <c r="M372" s="148"/>
      <c r="N372" s="92" t="e">
        <f>VLOOKUP(Table1[[#This Row],[USER]],[1]!Table145678910111213141545678910111213146[[#All],[No.]:[Delete]],2,0)</f>
        <v>#REF!</v>
      </c>
    </row>
    <row r="373" spans="1:14">
      <c r="A373" s="93">
        <v>365</v>
      </c>
      <c r="B373" s="94">
        <v>36</v>
      </c>
      <c r="C373" s="40" t="s">
        <v>7944</v>
      </c>
      <c r="D373" s="40" t="e">
        <f>VLOOKUP(E373,Sheet3!$A$2:$D$6338,2,0)</f>
        <v>#N/A</v>
      </c>
      <c r="E373" s="44" t="s">
        <v>389</v>
      </c>
      <c r="F373" s="44" t="str">
        <f t="shared" si="7"/>
        <v>VN15629</v>
      </c>
      <c r="G373" s="295"/>
      <c r="H373" s="41" t="s">
        <v>67</v>
      </c>
      <c r="I373" s="95">
        <v>45440</v>
      </c>
      <c r="J373" s="122"/>
      <c r="K373" s="122"/>
      <c r="L373" s="147" t="str">
        <f>VLOOKUP(E373,DS!$A$2:$E$4398, 5, 0)</f>
        <v>Kaifa</v>
      </c>
      <c r="M373" s="148"/>
      <c r="N373" s="92" t="e">
        <f>VLOOKUP(Table1[[#This Row],[USER]],[1]!Table145678910111213141545678910111213146[[#All],[No.]:[Delete]],2,0)</f>
        <v>#N/A</v>
      </c>
    </row>
    <row r="374" spans="1:14">
      <c r="A374" s="93">
        <v>366</v>
      </c>
      <c r="B374" s="94">
        <v>37</v>
      </c>
      <c r="C374" s="40" t="s">
        <v>7944</v>
      </c>
      <c r="D374" s="40" t="e">
        <f>VLOOKUP(E374,Sheet3!$A$2:$D$6338,2,0)</f>
        <v>#N/A</v>
      </c>
      <c r="E374" s="44" t="s">
        <v>390</v>
      </c>
      <c r="F374" s="44" t="str">
        <f t="shared" si="7"/>
        <v>VN17474</v>
      </c>
      <c r="G374" s="295"/>
      <c r="H374" s="41" t="s">
        <v>67</v>
      </c>
      <c r="I374" s="95">
        <v>45440</v>
      </c>
      <c r="J374" s="122"/>
      <c r="K374" s="122"/>
      <c r="L374" s="147" t="str">
        <f>VLOOKUP(E374,DS!$A$2:$E$4398, 5, 0)</f>
        <v>Kaifa</v>
      </c>
      <c r="M374" s="148"/>
      <c r="N374" s="92" t="e">
        <f>VLOOKUP(Table1[[#This Row],[USER]],[1]!Table145678910111213141545678910111213146[[#All],[No.]:[Delete]],2,0)</f>
        <v>#N/A</v>
      </c>
    </row>
    <row r="375" spans="1:14">
      <c r="A375" s="93">
        <v>367</v>
      </c>
      <c r="B375" s="94">
        <v>38</v>
      </c>
      <c r="C375" s="40" t="s">
        <v>7944</v>
      </c>
      <c r="D375" s="40" t="str">
        <f>VLOOKUP(E375,Sheet3!$A$2:$D$6338,2,0)</f>
        <v>Đỗ Đoan Trang</v>
      </c>
      <c r="E375" s="44" t="s">
        <v>391</v>
      </c>
      <c r="F375" s="44" t="str">
        <f t="shared" si="7"/>
        <v>VN13668</v>
      </c>
      <c r="G375" s="295"/>
      <c r="H375" s="41" t="s">
        <v>67</v>
      </c>
      <c r="I375" s="95">
        <v>45440</v>
      </c>
      <c r="J375" s="122"/>
      <c r="K375" s="122"/>
      <c r="L375" s="147" t="str">
        <f>VLOOKUP(E375,DS!$A$2:$E$4398, 5, 0)</f>
        <v>Kaifa</v>
      </c>
      <c r="M375" s="148"/>
      <c r="N375" s="92" t="e">
        <f>VLOOKUP(Table1[[#This Row],[USER]],[1]!Table145678910111213141545678910111213146[[#All],[No.]:[Delete]],2,0)</f>
        <v>#N/A</v>
      </c>
    </row>
    <row r="376" spans="1:14">
      <c r="A376" s="93">
        <v>368</v>
      </c>
      <c r="B376" s="94">
        <v>39</v>
      </c>
      <c r="C376" s="40" t="s">
        <v>7944</v>
      </c>
      <c r="D376" s="40" t="str">
        <f>VLOOKUP(E376,Sheet3!$A$2:$D$6338,2,0)</f>
        <v>Phùng Trọng Hiếu</v>
      </c>
      <c r="E376" s="44" t="s">
        <v>392</v>
      </c>
      <c r="F376" s="44" t="str">
        <f t="shared" si="7"/>
        <v>VN21398</v>
      </c>
      <c r="G376" s="295"/>
      <c r="H376" s="41" t="s">
        <v>67</v>
      </c>
      <c r="I376" s="95">
        <v>45440</v>
      </c>
      <c r="J376" s="122"/>
      <c r="K376" s="122"/>
      <c r="L376" s="147" t="str">
        <f>VLOOKUP(E376,DS!$A$2:$E$4398, 5, 0)</f>
        <v>Kaifa</v>
      </c>
      <c r="M376" s="148"/>
      <c r="N376" s="92" t="e">
        <f>VLOOKUP(Table1[[#This Row],[USER]],[1]!Table145678910111213141545678910111213146[[#All],[No.]:[Delete]],2,0)</f>
        <v>#N/A</v>
      </c>
    </row>
    <row r="377" spans="1:14">
      <c r="A377" s="93">
        <v>369</v>
      </c>
      <c r="B377" s="94">
        <v>40</v>
      </c>
      <c r="C377" s="40" t="s">
        <v>7944</v>
      </c>
      <c r="D377" s="40" t="str">
        <f>VLOOKUP(E377,Sheet3!$A$2:$D$6338,2,0)</f>
        <v>Lưu Quốc Tuấn</v>
      </c>
      <c r="E377" s="44" t="s">
        <v>393</v>
      </c>
      <c r="F377" s="44" t="str">
        <f t="shared" si="7"/>
        <v>VN12404</v>
      </c>
      <c r="G377" s="295"/>
      <c r="H377" s="41" t="s">
        <v>67</v>
      </c>
      <c r="I377" s="95">
        <v>45440</v>
      </c>
      <c r="J377" s="122">
        <v>45919</v>
      </c>
      <c r="K377" s="122">
        <v>45919</v>
      </c>
      <c r="L377" s="147" t="e">
        <f>VLOOKUP(E377,DS!$A$2:$E$4398, 5, 0)</f>
        <v>#N/A</v>
      </c>
      <c r="M377" s="148"/>
      <c r="N377" s="92" t="e">
        <f>VLOOKUP(Table1[[#This Row],[USER]],[1]!Table145678910111213141545678910111213146[[#All],[No.]:[Delete]],2,0)</f>
        <v>#N/A</v>
      </c>
    </row>
    <row r="378" spans="1:14">
      <c r="A378" s="93">
        <v>370</v>
      </c>
      <c r="B378" s="94">
        <v>41</v>
      </c>
      <c r="C378" s="40" t="s">
        <v>7944</v>
      </c>
      <c r="D378" s="40" t="str">
        <f>VLOOKUP(E378,Sheet3!$A$2:$D$6338,2,0)</f>
        <v>Lương Văn Thường</v>
      </c>
      <c r="E378" s="44" t="s">
        <v>394</v>
      </c>
      <c r="F378" s="44" t="str">
        <f t="shared" si="7"/>
        <v>VN04750</v>
      </c>
      <c r="G378" s="295"/>
      <c r="H378" s="41" t="s">
        <v>67</v>
      </c>
      <c r="I378" s="95">
        <v>45440</v>
      </c>
      <c r="J378" s="122"/>
      <c r="K378" s="122"/>
      <c r="L378" s="147" t="str">
        <f>VLOOKUP(E378,DS!$A$2:$E$4398, 5, 0)</f>
        <v>Kaifa</v>
      </c>
      <c r="M378" s="148"/>
      <c r="N378" s="92" t="e">
        <f>VLOOKUP(Table1[[#This Row],[USER]],[1]!Table145678910111213141545678910111213146[[#All],[No.]:[Delete]],2,0)</f>
        <v>#N/A</v>
      </c>
    </row>
    <row r="379" spans="1:14">
      <c r="A379" s="93">
        <v>371</v>
      </c>
      <c r="B379" s="94">
        <v>42</v>
      </c>
      <c r="C379" s="40" t="s">
        <v>7944</v>
      </c>
      <c r="D379" s="40" t="str">
        <f>VLOOKUP(E379,Sheet3!$A$2:$D$6338,2,0)</f>
        <v>Ngô Công Đoàn</v>
      </c>
      <c r="E379" s="44" t="s">
        <v>395</v>
      </c>
      <c r="F379" s="44" t="str">
        <f t="shared" si="7"/>
        <v>VN12761</v>
      </c>
      <c r="G379" s="295"/>
      <c r="H379" s="41" t="s">
        <v>67</v>
      </c>
      <c r="I379" s="95">
        <v>45440</v>
      </c>
      <c r="J379" s="122"/>
      <c r="K379" s="122"/>
      <c r="L379" s="147" t="str">
        <f>VLOOKUP(E379,DS!$A$2:$E$4398, 5, 0)</f>
        <v>Kaifa</v>
      </c>
      <c r="M379" s="148"/>
      <c r="N379" s="92" t="e">
        <f>VLOOKUP(Table1[[#This Row],[USER]],[1]!Table145678910111213141545678910111213146[[#All],[No.]:[Delete]],2,0)</f>
        <v>#N/A</v>
      </c>
    </row>
    <row r="380" spans="1:14">
      <c r="A380" s="93">
        <v>372</v>
      </c>
      <c r="B380" s="94">
        <v>43</v>
      </c>
      <c r="C380" s="40" t="s">
        <v>7944</v>
      </c>
      <c r="D380" s="40" t="str">
        <f>VLOOKUP(E380,Sheet3!$A$2:$D$6338,2,0)</f>
        <v>Phùng Văn Hưng</v>
      </c>
      <c r="E380" s="44" t="s">
        <v>396</v>
      </c>
      <c r="F380" s="44" t="str">
        <f t="shared" si="7"/>
        <v>VN17732</v>
      </c>
      <c r="G380" s="295"/>
      <c r="H380" s="41" t="s">
        <v>67</v>
      </c>
      <c r="I380" s="95">
        <v>45440</v>
      </c>
      <c r="J380" s="122">
        <v>45761</v>
      </c>
      <c r="K380" s="122">
        <v>45761</v>
      </c>
      <c r="L380" s="147" t="e">
        <f>VLOOKUP(E380,DS!$A$2:$E$4398, 5, 0)</f>
        <v>#N/A</v>
      </c>
      <c r="M380" s="148"/>
      <c r="N380" s="92" t="e">
        <f>VLOOKUP(Table1[[#This Row],[USER]],[1]!Table145678910111213141545678910111213146[[#All],[No.]:[Delete]],2,0)</f>
        <v>#N/A</v>
      </c>
    </row>
    <row r="381" spans="1:14">
      <c r="A381" s="93">
        <v>373</v>
      </c>
      <c r="B381" s="94">
        <v>44</v>
      </c>
      <c r="C381" s="40" t="s">
        <v>7944</v>
      </c>
      <c r="D381" s="40" t="e">
        <f>VLOOKUP(E381,Sheet3!$A$2:$D$6338,2,0)</f>
        <v>#N/A</v>
      </c>
      <c r="E381" s="44" t="s">
        <v>397</v>
      </c>
      <c r="F381" s="44" t="str">
        <f t="shared" si="7"/>
        <v>VN17795</v>
      </c>
      <c r="G381" s="295"/>
      <c r="H381" s="41" t="s">
        <v>67</v>
      </c>
      <c r="I381" s="95">
        <v>45440</v>
      </c>
      <c r="J381" s="122"/>
      <c r="K381" s="122"/>
      <c r="L381" s="147" t="str">
        <f>VLOOKUP(E381,DS!$A$2:$E$4398, 5, 0)</f>
        <v>Kaifa</v>
      </c>
      <c r="M381" s="148"/>
      <c r="N381" s="92" t="e">
        <f>VLOOKUP(Table1[[#This Row],[USER]],[1]!Table145678910111213141545678910111213146[[#All],[No.]:[Delete]],2,0)</f>
        <v>#N/A</v>
      </c>
    </row>
    <row r="382" spans="1:14">
      <c r="A382" s="93">
        <v>374</v>
      </c>
      <c r="B382" s="94">
        <v>45</v>
      </c>
      <c r="C382" s="40" t="s">
        <v>7944</v>
      </c>
      <c r="D382" s="40" t="str">
        <f>VLOOKUP(E382,Sheet3!$A$2:$D$6338,2,0)</f>
        <v>Đỗ Việt Đức</v>
      </c>
      <c r="E382" s="44" t="s">
        <v>398</v>
      </c>
      <c r="F382" s="44" t="str">
        <f t="shared" si="7"/>
        <v>VN12403</v>
      </c>
      <c r="G382" s="295"/>
      <c r="H382" s="41" t="s">
        <v>67</v>
      </c>
      <c r="I382" s="95">
        <v>45440</v>
      </c>
      <c r="J382" s="122"/>
      <c r="K382" s="122"/>
      <c r="L382" s="147" t="str">
        <f>VLOOKUP(E382,DS!$A$2:$E$4398, 5, 0)</f>
        <v>Kaifa</v>
      </c>
      <c r="M382" s="148"/>
      <c r="N382" s="92" t="e">
        <f>VLOOKUP(Table1[[#This Row],[USER]],[1]!Table145678910111213141545678910111213146[[#All],[No.]:[Delete]],2,0)</f>
        <v>#N/A</v>
      </c>
    </row>
    <row r="383" spans="1:14">
      <c r="A383" s="93">
        <v>375</v>
      </c>
      <c r="B383" s="94">
        <v>46</v>
      </c>
      <c r="C383" s="40" t="s">
        <v>7944</v>
      </c>
      <c r="D383" s="40" t="str">
        <f>VLOOKUP(E383,Sheet3!$A$2:$D$6338,2,0)</f>
        <v>Triệu Đức Kỳ</v>
      </c>
      <c r="E383" s="44" t="s">
        <v>399</v>
      </c>
      <c r="F383" s="44" t="str">
        <f t="shared" si="7"/>
        <v>VN16003</v>
      </c>
      <c r="G383" s="295"/>
      <c r="H383" s="41" t="s">
        <v>67</v>
      </c>
      <c r="I383" s="95">
        <v>45440</v>
      </c>
      <c r="J383" s="122">
        <v>45803</v>
      </c>
      <c r="K383" s="122">
        <v>45960</v>
      </c>
      <c r="L383" s="147" t="e">
        <f>VLOOKUP(E383,DS!$A$2:$E$4398, 5, 0)</f>
        <v>#N/A</v>
      </c>
      <c r="M383" s="148"/>
      <c r="N383" s="92" t="e">
        <f>VLOOKUP(Table1[[#This Row],[USER]],[1]!Table145678910111213141545678910111213146[[#All],[No.]:[Delete]],2,0)</f>
        <v>#N/A</v>
      </c>
    </row>
    <row r="384" spans="1:14">
      <c r="A384" s="93">
        <v>376</v>
      </c>
      <c r="B384" s="94">
        <v>47</v>
      </c>
      <c r="C384" s="40" t="s">
        <v>7944</v>
      </c>
      <c r="D384" s="40" t="str">
        <f>VLOOKUP(E384,Sheet3!$A$2:$D$6338,2,0)</f>
        <v>Trần Mạnh</v>
      </c>
      <c r="E384" s="44" t="s">
        <v>400</v>
      </c>
      <c r="F384" s="44" t="str">
        <f t="shared" si="7"/>
        <v>VN10955</v>
      </c>
      <c r="G384" s="295"/>
      <c r="H384" s="41" t="s">
        <v>67</v>
      </c>
      <c r="I384" s="95">
        <v>45440</v>
      </c>
      <c r="J384" s="122"/>
      <c r="K384" s="122"/>
      <c r="L384" s="147" t="str">
        <f>VLOOKUP(E384,DS!$A$2:$E$4398, 5, 0)</f>
        <v>Kaifa</v>
      </c>
      <c r="M384" s="148"/>
      <c r="N384" s="92" t="e">
        <f>VLOOKUP(Table1[[#This Row],[USER]],[1]!Table145678910111213141545678910111213146[[#All],[No.]:[Delete]],2,0)</f>
        <v>#N/A</v>
      </c>
    </row>
    <row r="385" spans="1:14">
      <c r="A385" s="93">
        <v>377</v>
      </c>
      <c r="B385" s="94">
        <v>48</v>
      </c>
      <c r="C385" s="40" t="s">
        <v>7944</v>
      </c>
      <c r="D385" s="40" t="str">
        <f>VLOOKUP(E385,Sheet3!$A$2:$D$6338,2,0)</f>
        <v>Ngô Văn Hiền</v>
      </c>
      <c r="E385" s="44" t="s">
        <v>401</v>
      </c>
      <c r="F385" s="44" t="str">
        <f t="shared" si="7"/>
        <v>VN13090</v>
      </c>
      <c r="G385" s="295"/>
      <c r="H385" s="41" t="s">
        <v>67</v>
      </c>
      <c r="I385" s="95">
        <v>45440</v>
      </c>
      <c r="J385" s="122"/>
      <c r="K385" s="122"/>
      <c r="L385" s="147" t="str">
        <f>VLOOKUP(E385,DS!$A$2:$E$4398, 5, 0)</f>
        <v>Kaifa</v>
      </c>
      <c r="M385" s="148"/>
      <c r="N385" s="92" t="e">
        <f>VLOOKUP(Table1[[#This Row],[USER]],[1]!Table145678910111213141545678910111213146[[#All],[No.]:[Delete]],2,0)</f>
        <v>#N/A</v>
      </c>
    </row>
    <row r="386" spans="1:14">
      <c r="A386" s="93">
        <v>378</v>
      </c>
      <c r="B386" s="94">
        <v>49</v>
      </c>
      <c r="C386" s="40" t="s">
        <v>7944</v>
      </c>
      <c r="D386" s="40" t="str">
        <f>VLOOKUP(E386,Sheet3!$A$2:$D$6338,2,0)</f>
        <v>Đào Duy Thanh</v>
      </c>
      <c r="E386" s="44" t="s">
        <v>403</v>
      </c>
      <c r="F386" s="44" t="str">
        <f t="shared" si="7"/>
        <v>VN13672</v>
      </c>
      <c r="G386" s="295"/>
      <c r="H386" s="41" t="s">
        <v>67</v>
      </c>
      <c r="I386" s="95">
        <v>45440</v>
      </c>
      <c r="J386" s="122"/>
      <c r="K386" s="122"/>
      <c r="L386" s="147" t="str">
        <f>VLOOKUP(E386,DS!$A$2:$E$4398, 5, 0)</f>
        <v>Kaifa</v>
      </c>
      <c r="M386" s="148"/>
      <c r="N386" s="92" t="e">
        <f>VLOOKUP(Table1[[#This Row],[USER]],[1]!Table145678910111213141545678910111213146[[#All],[No.]:[Delete]],2,0)</f>
        <v>#N/A</v>
      </c>
    </row>
    <row r="387" spans="1:14">
      <c r="A387" s="93">
        <v>379</v>
      </c>
      <c r="B387" s="94">
        <v>50</v>
      </c>
      <c r="C387" s="40" t="s">
        <v>7944</v>
      </c>
      <c r="D387" s="40" t="str">
        <f>VLOOKUP(E387,Sheet3!$A$2:$D$6338,2,0)</f>
        <v>Trần Đức Hoàn</v>
      </c>
      <c r="E387" s="44" t="s">
        <v>405</v>
      </c>
      <c r="F387" s="44" t="str">
        <f t="shared" si="7"/>
        <v>VN10954</v>
      </c>
      <c r="G387" s="295"/>
      <c r="H387" s="41" t="s">
        <v>67</v>
      </c>
      <c r="I387" s="95">
        <v>45440</v>
      </c>
      <c r="J387" s="122"/>
      <c r="K387" s="122"/>
      <c r="L387" s="147" t="str">
        <f>VLOOKUP(E387,DS!$A$2:$E$4398, 5, 0)</f>
        <v>Kaifa</v>
      </c>
      <c r="M387" s="148"/>
      <c r="N387" s="92" t="e">
        <f>VLOOKUP(Table1[[#This Row],[USER]],[1]!Table145678910111213141545678910111213146[[#All],[No.]:[Delete]],2,0)</f>
        <v>#N/A</v>
      </c>
    </row>
    <row r="388" spans="1:14">
      <c r="A388" s="93">
        <v>380</v>
      </c>
      <c r="B388" s="94">
        <v>51</v>
      </c>
      <c r="C388" s="40" t="s">
        <v>7944</v>
      </c>
      <c r="D388" s="40" t="str">
        <f>VLOOKUP(E388,Sheet3!$A$2:$D$6338,2,0)</f>
        <v>Hoàng Thị Thu Phương</v>
      </c>
      <c r="E388" s="44" t="s">
        <v>406</v>
      </c>
      <c r="F388" s="44" t="str">
        <f t="shared" si="7"/>
        <v>VN10945</v>
      </c>
      <c r="G388" s="295"/>
      <c r="H388" s="41" t="s">
        <v>67</v>
      </c>
      <c r="I388" s="95">
        <v>45440</v>
      </c>
      <c r="J388" s="122"/>
      <c r="K388" s="122"/>
      <c r="L388" s="147" t="str">
        <f>VLOOKUP(E388,DS!$A$2:$E$4398, 5, 0)</f>
        <v>Kaifa</v>
      </c>
      <c r="M388" s="148"/>
      <c r="N388" s="92" t="e">
        <f>VLOOKUP(Table1[[#This Row],[USER]],[1]!Table145678910111213141545678910111213146[[#All],[No.]:[Delete]],2,0)</f>
        <v>#N/A</v>
      </c>
    </row>
    <row r="389" spans="1:14">
      <c r="A389" s="93">
        <v>381</v>
      </c>
      <c r="B389" s="94">
        <v>52</v>
      </c>
      <c r="C389" s="40" t="s">
        <v>7944</v>
      </c>
      <c r="D389" s="40" t="str">
        <f>VLOOKUP(E389,Sheet3!$A$2:$D$6338,2,0)</f>
        <v>Nguyễn Văn Biên</v>
      </c>
      <c r="E389" s="44" t="s">
        <v>407</v>
      </c>
      <c r="F389" s="44" t="str">
        <f t="shared" si="7"/>
        <v>VN09589</v>
      </c>
      <c r="G389" s="295"/>
      <c r="H389" s="41" t="s">
        <v>67</v>
      </c>
      <c r="I389" s="95">
        <v>45440</v>
      </c>
      <c r="J389" s="122"/>
      <c r="K389" s="122"/>
      <c r="L389" s="147" t="str">
        <f>VLOOKUP(E389,DS!$A$2:$E$4398, 5, 0)</f>
        <v>Kaifa</v>
      </c>
      <c r="M389" s="148"/>
      <c r="N389" s="92" t="e">
        <f>VLOOKUP(Table1[[#This Row],[USER]],[1]!Table145678910111213141545678910111213146[[#All],[No.]:[Delete]],2,0)</f>
        <v>#N/A</v>
      </c>
    </row>
    <row r="390" spans="1:14">
      <c r="A390" s="93">
        <v>382</v>
      </c>
      <c r="B390" s="94">
        <v>53</v>
      </c>
      <c r="C390" s="40" t="s">
        <v>7944</v>
      </c>
      <c r="D390" s="40" t="str">
        <f>VLOOKUP(E390,Sheet3!$A$2:$D$6338,2,0)</f>
        <v>Phùng Hồng Sơn</v>
      </c>
      <c r="E390" s="96" t="s">
        <v>408</v>
      </c>
      <c r="F390" s="44" t="str">
        <f t="shared" si="7"/>
        <v>VN19129</v>
      </c>
      <c r="G390" s="295"/>
      <c r="H390" s="41" t="s">
        <v>67</v>
      </c>
      <c r="I390" s="95">
        <v>45440</v>
      </c>
      <c r="J390" s="122"/>
      <c r="K390" s="122"/>
      <c r="L390" s="147" t="str">
        <f>VLOOKUP(E390,DS!$A$2:$E$4398, 5, 0)</f>
        <v>Kaifa</v>
      </c>
      <c r="M390" s="148"/>
      <c r="N390" s="92" t="e">
        <f>VLOOKUP(Table1[[#This Row],[USER]],[1]!Table145678910111213141545678910111213146[[#All],[No.]:[Delete]],2,0)</f>
        <v>#N/A</v>
      </c>
    </row>
    <row r="391" spans="1:14">
      <c r="A391" s="93">
        <v>383</v>
      </c>
      <c r="B391" s="94">
        <v>54</v>
      </c>
      <c r="C391" s="40" t="s">
        <v>7944</v>
      </c>
      <c r="D391" s="40" t="e">
        <f>VLOOKUP(E391,Sheet3!$A$2:$D$6338,2,0)</f>
        <v>#N/A</v>
      </c>
      <c r="E391" s="44" t="s">
        <v>410</v>
      </c>
      <c r="F391" s="44" t="s">
        <v>411</v>
      </c>
      <c r="G391" s="295"/>
      <c r="H391" s="41" t="s">
        <v>67</v>
      </c>
      <c r="I391" s="95">
        <v>45440</v>
      </c>
      <c r="J391" s="122"/>
      <c r="K391" s="122"/>
      <c r="L391" s="147" t="e">
        <f>VLOOKUP(E391,DS!$A$2:$E$4398, 5, 0)</f>
        <v>#N/A</v>
      </c>
      <c r="M391" s="148"/>
      <c r="N391" s="92" t="e">
        <f>VLOOKUP(Table1[[#This Row],[USER]],[1]!Table145678910111213141545678910111213146[[#All],[No.]:[Delete]],2,0)</f>
        <v>#N/A</v>
      </c>
    </row>
    <row r="392" spans="1:14">
      <c r="A392" s="93">
        <v>384</v>
      </c>
      <c r="B392" s="94">
        <v>55</v>
      </c>
      <c r="C392" s="40" t="s">
        <v>7944</v>
      </c>
      <c r="D392" s="40" t="e">
        <f>VLOOKUP(E392,Sheet3!$A$2:$D$6338,2,0)</f>
        <v>#N/A</v>
      </c>
      <c r="E392" s="44" t="s">
        <v>412</v>
      </c>
      <c r="F392" s="44" t="str">
        <f t="shared" si="7"/>
        <v>VN17582</v>
      </c>
      <c r="G392" s="295"/>
      <c r="H392" s="41" t="s">
        <v>67</v>
      </c>
      <c r="I392" s="95">
        <v>45440</v>
      </c>
      <c r="J392" s="122"/>
      <c r="K392" s="122"/>
      <c r="L392" s="147" t="str">
        <f>VLOOKUP(E392,DS!$A$2:$E$4398, 5, 0)</f>
        <v>Kaifa</v>
      </c>
      <c r="M392" s="148"/>
      <c r="N392" s="92" t="e">
        <f>VLOOKUP(Table1[[#This Row],[USER]],[1]!Table145678910111213141545678910111213146[[#All],[No.]:[Delete]],2,0)</f>
        <v>#N/A</v>
      </c>
    </row>
    <row r="393" spans="1:14">
      <c r="A393" s="93">
        <v>385</v>
      </c>
      <c r="B393" s="94">
        <v>56</v>
      </c>
      <c r="C393" s="40" t="s">
        <v>7944</v>
      </c>
      <c r="D393" s="40" t="e">
        <f>VLOOKUP(E393,Sheet3!$A$2:$D$6338,2,0)</f>
        <v>#N/A</v>
      </c>
      <c r="E393" s="44" t="s">
        <v>413</v>
      </c>
      <c r="F393" s="44" t="str">
        <f t="shared" si="7"/>
        <v>VN15627</v>
      </c>
      <c r="G393" s="295"/>
      <c r="H393" s="41" t="s">
        <v>67</v>
      </c>
      <c r="I393" s="95">
        <v>45440</v>
      </c>
      <c r="J393" s="122"/>
      <c r="K393" s="122"/>
      <c r="L393" s="147" t="str">
        <f>VLOOKUP(E393,DS!$A$2:$E$4398, 5, 0)</f>
        <v>Kaifa</v>
      </c>
      <c r="M393" s="148"/>
      <c r="N393" s="92" t="e">
        <f>VLOOKUP(Table1[[#This Row],[USER]],[1]!Table145678910111213141545678910111213146[[#All],[No.]:[Delete]],2,0)</f>
        <v>#N/A</v>
      </c>
    </row>
    <row r="394" spans="1:14">
      <c r="A394" s="93">
        <v>386</v>
      </c>
      <c r="B394" s="94">
        <v>57</v>
      </c>
      <c r="C394" s="40" t="s">
        <v>7944</v>
      </c>
      <c r="D394" s="40" t="e">
        <f>VLOOKUP(E394,Sheet3!$A$2:$D$6338,2,0)</f>
        <v>#N/A</v>
      </c>
      <c r="E394" s="96" t="s">
        <v>414</v>
      </c>
      <c r="F394" s="44" t="str">
        <f t="shared" si="7"/>
        <v>VN12038</v>
      </c>
      <c r="G394" s="295"/>
      <c r="H394" s="41" t="s">
        <v>67</v>
      </c>
      <c r="I394" s="95">
        <v>45440</v>
      </c>
      <c r="J394" s="122"/>
      <c r="K394" s="122"/>
      <c r="L394" s="147" t="str">
        <f>VLOOKUP(E394,DS!$A$2:$E$4398, 5, 0)</f>
        <v>Kaifa</v>
      </c>
      <c r="M394" s="148"/>
      <c r="N394" s="92" t="e">
        <f>VLOOKUP(Table1[[#This Row],[USER]],[1]!Table145678910111213141545678910111213146[[#All],[No.]:[Delete]],2,0)</f>
        <v>#N/A</v>
      </c>
    </row>
    <row r="395" spans="1:14">
      <c r="A395" s="93">
        <v>387</v>
      </c>
      <c r="B395" s="94">
        <v>58</v>
      </c>
      <c r="C395" s="40" t="s">
        <v>7944</v>
      </c>
      <c r="D395" s="40" t="str">
        <f>VLOOKUP(E395,Sheet3!$A$2:$D$6338,2,0)</f>
        <v>Nguyễn Văn Dậu</v>
      </c>
      <c r="E395" s="44" t="s">
        <v>415</v>
      </c>
      <c r="F395" s="44" t="str">
        <f t="shared" si="7"/>
        <v>VN12808</v>
      </c>
      <c r="G395" s="295"/>
      <c r="H395" s="41" t="s">
        <v>67</v>
      </c>
      <c r="I395" s="95">
        <v>45440</v>
      </c>
      <c r="J395" s="122"/>
      <c r="K395" s="122"/>
      <c r="L395" s="147" t="str">
        <f>VLOOKUP(E395,DS!$A$2:$E$4398, 5, 0)</f>
        <v>Kaifa</v>
      </c>
      <c r="M395" s="148"/>
      <c r="N395" s="92" t="e">
        <f>VLOOKUP(Table1[[#This Row],[USER]],[1]!Table145678910111213141545678910111213146[[#All],[No.]:[Delete]],2,0)</f>
        <v>#N/A</v>
      </c>
    </row>
    <row r="396" spans="1:14">
      <c r="A396" s="93">
        <v>388</v>
      </c>
      <c r="B396" s="94">
        <v>59</v>
      </c>
      <c r="C396" s="40" t="s">
        <v>7944</v>
      </c>
      <c r="D396" s="40" t="str">
        <f>VLOOKUP(E396,Sheet3!$A$2:$D$6338,2,0)</f>
        <v>Nguyễn Văn Tú</v>
      </c>
      <c r="E396" s="44" t="s">
        <v>416</v>
      </c>
      <c r="F396" s="44" t="str">
        <f t="shared" si="7"/>
        <v>VN10784</v>
      </c>
      <c r="G396" s="295"/>
      <c r="H396" s="41" t="s">
        <v>67</v>
      </c>
      <c r="I396" s="95">
        <v>45440</v>
      </c>
      <c r="J396" s="122"/>
      <c r="K396" s="122"/>
      <c r="L396" s="147" t="str">
        <f>VLOOKUP(E396,DS!$A$2:$E$4398, 5, 0)</f>
        <v>Kaifa</v>
      </c>
      <c r="M396" s="148"/>
      <c r="N396" s="92" t="e">
        <f>VLOOKUP(Table1[[#This Row],[USER]],[1]!Table145678910111213141545678910111213146[[#All],[No.]:[Delete]],2,0)</f>
        <v>#N/A</v>
      </c>
    </row>
    <row r="397" spans="1:14">
      <c r="A397" s="93">
        <v>389</v>
      </c>
      <c r="B397" s="94">
        <v>60</v>
      </c>
      <c r="C397" s="40" t="s">
        <v>7944</v>
      </c>
      <c r="D397" s="40" t="str">
        <f>VLOOKUP(E397,Sheet3!$A$2:$D$6338,2,0)</f>
        <v>Nguyễn Anh Công</v>
      </c>
      <c r="E397" s="44" t="s">
        <v>418</v>
      </c>
      <c r="F397" s="44" t="str">
        <f t="shared" si="7"/>
        <v>VN17730</v>
      </c>
      <c r="G397" s="295"/>
      <c r="H397" s="41" t="s">
        <v>67</v>
      </c>
      <c r="I397" s="95">
        <v>45440</v>
      </c>
      <c r="J397" s="122"/>
      <c r="K397" s="122"/>
      <c r="L397" s="147" t="str">
        <f>VLOOKUP(E397,DS!$A$2:$E$4398, 5, 0)</f>
        <v>Kaifa</v>
      </c>
      <c r="M397" s="148"/>
      <c r="N397" s="92" t="e">
        <f>VLOOKUP(Table1[[#This Row],[USER]],[1]!Table145678910111213141545678910111213146[[#All],[No.]:[Delete]],2,0)</f>
        <v>#N/A</v>
      </c>
    </row>
    <row r="398" spans="1:14">
      <c r="A398" s="93">
        <v>390</v>
      </c>
      <c r="B398" s="94">
        <v>61</v>
      </c>
      <c r="C398" s="40" t="s">
        <v>7944</v>
      </c>
      <c r="D398" s="40" t="str">
        <f>VLOOKUP(E398,Sheet3!$A$2:$D$6338,2,0)</f>
        <v>Nguyễn Văn Long</v>
      </c>
      <c r="E398" s="44" t="s">
        <v>419</v>
      </c>
      <c r="F398" s="44" t="str">
        <f t="shared" si="7"/>
        <v>VN10863</v>
      </c>
      <c r="G398" s="295"/>
      <c r="H398" s="41" t="s">
        <v>67</v>
      </c>
      <c r="I398" s="95">
        <v>45440</v>
      </c>
      <c r="J398" s="122"/>
      <c r="K398" s="122"/>
      <c r="L398" s="147" t="str">
        <f>VLOOKUP(E398,DS!$A$2:$E$4398, 5, 0)</f>
        <v>Kaifa</v>
      </c>
      <c r="M398" s="148"/>
      <c r="N398" s="92" t="e">
        <f>VLOOKUP(Table1[[#This Row],[USER]],[1]!Table145678910111213141545678910111213146[[#All],[No.]:[Delete]],2,0)</f>
        <v>#N/A</v>
      </c>
    </row>
    <row r="399" spans="1:14">
      <c r="A399" s="93">
        <v>391</v>
      </c>
      <c r="B399" s="94">
        <v>62</v>
      </c>
      <c r="C399" s="40" t="s">
        <v>7944</v>
      </c>
      <c r="D399" s="40" t="e">
        <f>VLOOKUP(E399,Sheet3!$A$2:$D$6338,2,0)</f>
        <v>#N/A</v>
      </c>
      <c r="E399" s="44" t="s">
        <v>420</v>
      </c>
      <c r="F399" s="44" t="str">
        <f t="shared" si="7"/>
        <v>VN16289</v>
      </c>
      <c r="G399" s="295"/>
      <c r="H399" s="41" t="s">
        <v>67</v>
      </c>
      <c r="I399" s="95">
        <v>45440</v>
      </c>
      <c r="J399" s="122"/>
      <c r="K399" s="122"/>
      <c r="L399" s="147" t="str">
        <f>VLOOKUP(E399,DS!$A$2:$E$4398, 5, 0)</f>
        <v>Kaifa</v>
      </c>
      <c r="M399" s="148"/>
      <c r="N399" s="92" t="e">
        <f>VLOOKUP(Table1[[#This Row],[USER]],[1]!Table145678910111213141545678910111213146[[#All],[No.]:[Delete]],2,0)</f>
        <v>#N/A</v>
      </c>
    </row>
    <row r="400" spans="1:14">
      <c r="A400" s="93">
        <v>392</v>
      </c>
      <c r="B400" s="94">
        <v>63</v>
      </c>
      <c r="C400" s="40" t="s">
        <v>7944</v>
      </c>
      <c r="D400" s="40" t="e">
        <f>VLOOKUP(E400,Sheet3!$A$2:$D$6338,2,0)</f>
        <v>#N/A</v>
      </c>
      <c r="E400" s="44" t="s">
        <v>421</v>
      </c>
      <c r="F400" s="44" t="str">
        <f t="shared" si="7"/>
        <v>VN17911</v>
      </c>
      <c r="G400" s="295"/>
      <c r="H400" s="41" t="s">
        <v>67</v>
      </c>
      <c r="I400" s="95">
        <v>45440</v>
      </c>
      <c r="J400" s="122"/>
      <c r="K400" s="122"/>
      <c r="L400" s="147" t="str">
        <f>VLOOKUP(E400,DS!$A$2:$E$4398, 5, 0)</f>
        <v>Kaifa</v>
      </c>
      <c r="M400" s="148"/>
      <c r="N400" s="92" t="e">
        <f>VLOOKUP(Table1[[#This Row],[USER]],[1]!Table145678910111213141545678910111213146[[#All],[No.]:[Delete]],2,0)</f>
        <v>#N/A</v>
      </c>
    </row>
    <row r="401" spans="1:14">
      <c r="A401" s="93">
        <v>393</v>
      </c>
      <c r="B401" s="94">
        <v>64</v>
      </c>
      <c r="C401" s="40" t="s">
        <v>7944</v>
      </c>
      <c r="D401" s="40" t="e">
        <f>VLOOKUP(E401,Sheet3!$A$2:$D$6338,2,0)</f>
        <v>#N/A</v>
      </c>
      <c r="E401" s="44" t="s">
        <v>422</v>
      </c>
      <c r="F401" s="44" t="str">
        <f t="shared" si="7"/>
        <v>VN10610</v>
      </c>
      <c r="G401" s="295"/>
      <c r="H401" s="41" t="s">
        <v>67</v>
      </c>
      <c r="I401" s="95">
        <v>45440</v>
      </c>
      <c r="J401" s="122"/>
      <c r="K401" s="122"/>
      <c r="L401" s="147" t="str">
        <f>VLOOKUP(E401,DS!$A$2:$E$4398, 5, 0)</f>
        <v>Kaifa</v>
      </c>
      <c r="M401" s="148"/>
      <c r="N401" s="92" t="e">
        <f>VLOOKUP(Table1[[#This Row],[USER]],[1]!Table145678910111213141545678910111213146[[#All],[No.]:[Delete]],2,0)</f>
        <v>#N/A</v>
      </c>
    </row>
    <row r="402" spans="1:14">
      <c r="A402" s="93">
        <v>394</v>
      </c>
      <c r="B402" s="94">
        <v>65</v>
      </c>
      <c r="C402" s="40" t="s">
        <v>7944</v>
      </c>
      <c r="D402" s="40" t="str">
        <f>VLOOKUP(E402,Sheet3!$A$2:$D$6338,2,0)</f>
        <v>Nguyễn Văn Khai</v>
      </c>
      <c r="E402" s="44" t="s">
        <v>8653</v>
      </c>
      <c r="F402" s="44" t="str">
        <f t="shared" si="7"/>
        <v>VN12806</v>
      </c>
      <c r="G402" s="295"/>
      <c r="H402" s="41" t="s">
        <v>67</v>
      </c>
      <c r="I402" s="95">
        <v>45440</v>
      </c>
      <c r="J402" s="122"/>
      <c r="K402" s="122"/>
      <c r="L402" s="147" t="str">
        <f>VLOOKUP(E402,DS!$A$2:$E$4398, 5, 0)</f>
        <v>Kaifa</v>
      </c>
      <c r="M402" s="148"/>
      <c r="N402" s="92" t="e">
        <f>VLOOKUP(Table1[[#This Row],[USER]],[1]!Table145678910111213141545678910111213146[[#All],[No.]:[Delete]],2,0)</f>
        <v>#N/A</v>
      </c>
    </row>
    <row r="403" spans="1:14">
      <c r="A403" s="93">
        <v>395</v>
      </c>
      <c r="B403" s="94">
        <v>66</v>
      </c>
      <c r="C403" s="40" t="s">
        <v>7944</v>
      </c>
      <c r="D403" s="40" t="str">
        <f>VLOOKUP(E403,Sheet3!$A$2:$D$6338,2,0)</f>
        <v>Lê Văn Tĩnh</v>
      </c>
      <c r="E403" s="44" t="s">
        <v>423</v>
      </c>
      <c r="F403" s="44" t="str">
        <f t="shared" si="7"/>
        <v>VN11131</v>
      </c>
      <c r="G403" s="295"/>
      <c r="H403" s="41" t="s">
        <v>67</v>
      </c>
      <c r="I403" s="95">
        <v>45440</v>
      </c>
      <c r="J403" s="122"/>
      <c r="K403" s="122"/>
      <c r="L403" s="147" t="str">
        <f>VLOOKUP(E403,DS!$A$2:$E$4398, 5, 0)</f>
        <v>Kaifa</v>
      </c>
      <c r="M403" s="148"/>
      <c r="N403" s="92" t="e">
        <f>VLOOKUP(Table1[[#This Row],[USER]],[1]!Table145678910111213141545678910111213146[[#All],[No.]:[Delete]],2,0)</f>
        <v>#N/A</v>
      </c>
    </row>
    <row r="404" spans="1:14">
      <c r="A404" s="93">
        <v>396</v>
      </c>
      <c r="B404" s="94">
        <v>67</v>
      </c>
      <c r="C404" s="40" t="s">
        <v>7944</v>
      </c>
      <c r="D404" s="40" t="str">
        <f>VLOOKUP(E404,Sheet3!$A$2:$D$6338,2,0)</f>
        <v>Hạ Văn Duy</v>
      </c>
      <c r="E404" s="44" t="s">
        <v>424</v>
      </c>
      <c r="F404" s="44" t="str">
        <f t="shared" si="7"/>
        <v>VN17731</v>
      </c>
      <c r="G404" s="295"/>
      <c r="H404" s="41" t="s">
        <v>67</v>
      </c>
      <c r="I404" s="95">
        <v>45440</v>
      </c>
      <c r="J404" s="122"/>
      <c r="K404" s="122"/>
      <c r="L404" s="147" t="str">
        <f>VLOOKUP(E404,DS!$A$2:$E$4398, 5, 0)</f>
        <v>Kaifa</v>
      </c>
      <c r="M404" s="148"/>
      <c r="N404" s="92" t="e">
        <f>VLOOKUP(Table1[[#This Row],[USER]],[1]!Table145678910111213141545678910111213146[[#All],[No.]:[Delete]],2,0)</f>
        <v>#N/A</v>
      </c>
    </row>
    <row r="405" spans="1:14">
      <c r="A405" s="93">
        <v>397</v>
      </c>
      <c r="B405" s="94">
        <v>68</v>
      </c>
      <c r="C405" s="40" t="s">
        <v>7944</v>
      </c>
      <c r="D405" s="40" t="str">
        <f>VLOOKUP(E405,Sheet3!$A$2:$D$6338,2,0)</f>
        <v>Trần Hà Phương</v>
      </c>
      <c r="E405" s="44" t="s">
        <v>425</v>
      </c>
      <c r="F405" s="44" t="str">
        <f t="shared" si="7"/>
        <v>VN10878</v>
      </c>
      <c r="G405" s="295"/>
      <c r="H405" s="41" t="s">
        <v>67</v>
      </c>
      <c r="I405" s="95">
        <v>45440</v>
      </c>
      <c r="J405" s="122"/>
      <c r="K405" s="122"/>
      <c r="L405" s="147" t="str">
        <f>VLOOKUP(E405,DS!$A$2:$E$4398, 5, 0)</f>
        <v>Kaifa</v>
      </c>
      <c r="M405" s="148"/>
      <c r="N405" s="92" t="e">
        <f>VLOOKUP(Table1[[#This Row],[USER]],[1]!Table145678910111213141545678910111213146[[#All],[No.]:[Delete]],2,0)</f>
        <v>#N/A</v>
      </c>
    </row>
    <row r="406" spans="1:14">
      <c r="A406" s="93">
        <v>398</v>
      </c>
      <c r="B406" s="94">
        <v>69</v>
      </c>
      <c r="C406" s="40" t="s">
        <v>7944</v>
      </c>
      <c r="D406" s="40" t="str">
        <f>VLOOKUP(E406,Sheet3!$A$2:$D$6338,2,0)</f>
        <v>Trần Văn Hoàng</v>
      </c>
      <c r="E406" s="44" t="s">
        <v>426</v>
      </c>
      <c r="F406" s="44" t="str">
        <f t="shared" si="7"/>
        <v>VN12405</v>
      </c>
      <c r="G406" s="295"/>
      <c r="H406" s="41" t="s">
        <v>67</v>
      </c>
      <c r="I406" s="95">
        <v>45440</v>
      </c>
      <c r="J406" s="122"/>
      <c r="K406" s="122"/>
      <c r="L406" s="147" t="str">
        <f>VLOOKUP(E406,DS!$A$2:$E$4398, 5, 0)</f>
        <v>Kaifa</v>
      </c>
      <c r="M406" s="148"/>
      <c r="N406" s="92" t="e">
        <f>VLOOKUP(Table1[[#This Row],[USER]],[1]!Table145678910111213141545678910111213146[[#All],[No.]:[Delete]],2,0)</f>
        <v>#N/A</v>
      </c>
    </row>
    <row r="407" spans="1:14">
      <c r="A407" s="93">
        <v>399</v>
      </c>
      <c r="B407" s="94">
        <v>70</v>
      </c>
      <c r="C407" s="40" t="s">
        <v>7944</v>
      </c>
      <c r="D407" s="40" t="str">
        <f>VLOOKUP(E407,Sheet3!$A$2:$D$6338,2,0)</f>
        <v>Nguyễn Văn Nam</v>
      </c>
      <c r="E407" s="44" t="s">
        <v>427</v>
      </c>
      <c r="F407" s="44" t="str">
        <f t="shared" si="7"/>
        <v>VN11724</v>
      </c>
      <c r="G407" s="295"/>
      <c r="H407" s="41" t="s">
        <v>67</v>
      </c>
      <c r="I407" s="95">
        <v>45440</v>
      </c>
      <c r="J407" s="122"/>
      <c r="K407" s="122"/>
      <c r="L407" s="147" t="str">
        <f>VLOOKUP(E407,DS!$A$2:$E$4398, 5, 0)</f>
        <v>Kaifa</v>
      </c>
      <c r="M407" s="148"/>
      <c r="N407" s="92" t="e">
        <f>VLOOKUP(Table1[[#This Row],[USER]],[1]!Table145678910111213141545678910111213146[[#All],[No.]:[Delete]],2,0)</f>
        <v>#N/A</v>
      </c>
    </row>
    <row r="408" spans="1:14">
      <c r="A408" s="93">
        <v>400</v>
      </c>
      <c r="B408" s="94">
        <v>71</v>
      </c>
      <c r="C408" s="40" t="s">
        <v>7944</v>
      </c>
      <c r="D408" s="40" t="e">
        <f>VLOOKUP(E408,Sheet3!$A$2:$D$6338,2,0)</f>
        <v>#N/A</v>
      </c>
      <c r="E408" s="44" t="s">
        <v>428</v>
      </c>
      <c r="F408" s="44" t="str">
        <f t="shared" ref="F408:F483" si="8">"VN"&amp;RIGHT(E408,5)</f>
        <v>VN01057</v>
      </c>
      <c r="G408" s="295"/>
      <c r="H408" s="41" t="s">
        <v>67</v>
      </c>
      <c r="I408" s="95">
        <v>45440</v>
      </c>
      <c r="J408" s="122"/>
      <c r="K408" s="122"/>
      <c r="L408" s="147" t="str">
        <f>VLOOKUP(E408,DS!$A$2:$E$4398, 5, 0)</f>
        <v>Kaifa</v>
      </c>
      <c r="M408" s="148"/>
      <c r="N408" s="92" t="e">
        <f>VLOOKUP(Table1[[#This Row],[USER]],[1]!Table145678910111213141545678910111213146[[#All],[No.]:[Delete]],2,0)</f>
        <v>#N/A</v>
      </c>
    </row>
    <row r="409" spans="1:14">
      <c r="A409" s="93">
        <v>401</v>
      </c>
      <c r="B409" s="94">
        <v>72</v>
      </c>
      <c r="C409" s="40" t="s">
        <v>7944</v>
      </c>
      <c r="D409" s="40" t="e">
        <f>VLOOKUP(E409,Sheet3!$A$2:$D$6338,2,0)</f>
        <v>#N/A</v>
      </c>
      <c r="E409" s="44" t="s">
        <v>429</v>
      </c>
      <c r="F409" s="44" t="str">
        <f t="shared" si="8"/>
        <v>VN08552</v>
      </c>
      <c r="G409" s="295"/>
      <c r="H409" s="41" t="s">
        <v>67</v>
      </c>
      <c r="I409" s="95">
        <v>45440</v>
      </c>
      <c r="J409" s="122"/>
      <c r="K409" s="122"/>
      <c r="L409" s="147" t="str">
        <f>VLOOKUP(E409,DS!$A$2:$E$4398, 5, 0)</f>
        <v>Kaifa</v>
      </c>
      <c r="M409" s="148"/>
      <c r="N409" s="92" t="e">
        <f>VLOOKUP(Table1[[#This Row],[USER]],[1]!Table145678910111213141545678910111213146[[#All],[No.]:[Delete]],2,0)</f>
        <v>#N/A</v>
      </c>
    </row>
    <row r="410" spans="1:14">
      <c r="A410" s="93">
        <v>402</v>
      </c>
      <c r="B410" s="94">
        <v>73</v>
      </c>
      <c r="C410" s="40" t="s">
        <v>7944</v>
      </c>
      <c r="D410" s="40" t="e">
        <f>VLOOKUP(E410,Sheet3!$A$2:$D$6338,2,0)</f>
        <v>#N/A</v>
      </c>
      <c r="E410" s="44" t="s">
        <v>430</v>
      </c>
      <c r="F410" s="44" t="str">
        <f t="shared" si="8"/>
        <v>VN12583</v>
      </c>
      <c r="G410" s="295"/>
      <c r="H410" s="41" t="s">
        <v>67</v>
      </c>
      <c r="I410" s="95">
        <v>45440</v>
      </c>
      <c r="J410" s="122"/>
      <c r="K410" s="122"/>
      <c r="L410" s="147" t="str">
        <f>VLOOKUP(E410,DS!$A$2:$E$4398, 5, 0)</f>
        <v>Kaifa</v>
      </c>
      <c r="M410" s="148"/>
      <c r="N410" s="92" t="e">
        <f>VLOOKUP(Table1[[#This Row],[USER]],[1]!Table145678910111213141545678910111213146[[#All],[No.]:[Delete]],2,0)</f>
        <v>#N/A</v>
      </c>
    </row>
    <row r="411" spans="1:14">
      <c r="A411" s="93">
        <v>403</v>
      </c>
      <c r="B411" s="94">
        <v>74</v>
      </c>
      <c r="C411" s="40" t="s">
        <v>7944</v>
      </c>
      <c r="D411" s="40" t="e">
        <f>VLOOKUP(E411,Sheet3!$A$2:$D$6338,2,0)</f>
        <v>#N/A</v>
      </c>
      <c r="E411" s="44" t="s">
        <v>409</v>
      </c>
      <c r="F411" s="44" t="str">
        <f t="shared" si="8"/>
        <v>VN08128</v>
      </c>
      <c r="G411" s="295"/>
      <c r="H411" s="41" t="s">
        <v>67</v>
      </c>
      <c r="I411" s="95">
        <v>45440</v>
      </c>
      <c r="J411" s="122"/>
      <c r="K411" s="122"/>
      <c r="L411" s="147" t="str">
        <f>VLOOKUP(E411,DS!$A$2:$E$4398, 5, 0)</f>
        <v>Kaifa</v>
      </c>
      <c r="M411" s="148"/>
      <c r="N411" s="92" t="e">
        <f>VLOOKUP(Table1[[#This Row],[USER]],[1]!Table145678910111213141545678910111213146[[#All],[No.]:[Delete]],2,0)</f>
        <v>#N/A</v>
      </c>
    </row>
    <row r="412" spans="1:14">
      <c r="A412" s="93">
        <v>404</v>
      </c>
      <c r="B412" s="94">
        <v>75</v>
      </c>
      <c r="C412" s="40" t="s">
        <v>7944</v>
      </c>
      <c r="D412" s="40" t="str">
        <f>VLOOKUP(E412,Sheet3!$A$2:$D$6338,2,0)</f>
        <v>Sái Hồng Quân</v>
      </c>
      <c r="E412" s="44" t="s">
        <v>431</v>
      </c>
      <c r="F412" s="44" t="str">
        <f t="shared" si="8"/>
        <v>VN18062</v>
      </c>
      <c r="G412" s="295"/>
      <c r="H412" s="41" t="s">
        <v>67</v>
      </c>
      <c r="I412" s="95">
        <v>45440</v>
      </c>
      <c r="J412" s="122"/>
      <c r="K412" s="122"/>
      <c r="L412" s="147" t="str">
        <f>VLOOKUP(E412,DS!$A$2:$E$4398, 5, 0)</f>
        <v>Kaifa</v>
      </c>
      <c r="M412" s="148"/>
      <c r="N412" s="92" t="e">
        <f>VLOOKUP(Table1[[#This Row],[USER]],[1]!Table145678910111213141545678910111213146[[#All],[No.]:[Delete]],2,0)</f>
        <v>#N/A</v>
      </c>
    </row>
    <row r="413" spans="1:14">
      <c r="A413" s="93">
        <v>405</v>
      </c>
      <c r="B413" s="94">
        <v>76</v>
      </c>
      <c r="C413" s="40" t="s">
        <v>7944</v>
      </c>
      <c r="D413" s="40" t="str">
        <f>VLOOKUP(E413,Sheet3!$A$2:$D$6338,2,0)</f>
        <v>Đỗ Đình Nam</v>
      </c>
      <c r="E413" s="44" t="s">
        <v>432</v>
      </c>
      <c r="F413" s="44" t="str">
        <f t="shared" si="8"/>
        <v>VN17581</v>
      </c>
      <c r="G413" s="295"/>
      <c r="H413" s="41" t="s">
        <v>67</v>
      </c>
      <c r="I413" s="95">
        <v>45440</v>
      </c>
      <c r="J413" s="122"/>
      <c r="K413" s="122"/>
      <c r="L413" s="147" t="str">
        <f>VLOOKUP(E413,DS!$A$2:$E$4398, 5, 0)</f>
        <v>Kaifa</v>
      </c>
      <c r="M413" s="148"/>
      <c r="N413" s="92" t="e">
        <f>VLOOKUP(Table1[[#This Row],[USER]],[1]!Table145678910111213141545678910111213146[[#All],[No.]:[Delete]],2,0)</f>
        <v>#N/A</v>
      </c>
    </row>
    <row r="414" spans="1:14">
      <c r="A414" s="93">
        <v>406</v>
      </c>
      <c r="B414" s="94">
        <v>77</v>
      </c>
      <c r="C414" s="40" t="s">
        <v>7944</v>
      </c>
      <c r="D414" s="40" t="e">
        <f>VLOOKUP(E414,Sheet3!$A$2:$D$6338,2,0)</f>
        <v>#N/A</v>
      </c>
      <c r="E414" s="44" t="s">
        <v>433</v>
      </c>
      <c r="F414" s="44" t="str">
        <f t="shared" si="8"/>
        <v>VN13321</v>
      </c>
      <c r="G414" s="295"/>
      <c r="H414" s="41" t="s">
        <v>67</v>
      </c>
      <c r="I414" s="95">
        <v>45440</v>
      </c>
      <c r="J414" s="122"/>
      <c r="K414" s="122"/>
      <c r="L414" s="147" t="str">
        <f>VLOOKUP(E414,DS!$A$2:$E$4398, 5, 0)</f>
        <v>Kaifa</v>
      </c>
      <c r="M414" s="148"/>
      <c r="N414" s="92" t="e">
        <f>VLOOKUP(Table1[[#This Row],[USER]],[1]!Table145678910111213141545678910111213146[[#All],[No.]:[Delete]],2,0)</f>
        <v>#N/A</v>
      </c>
    </row>
    <row r="415" spans="1:14">
      <c r="A415" s="93">
        <v>407</v>
      </c>
      <c r="B415" s="94">
        <v>78</v>
      </c>
      <c r="C415" s="40" t="s">
        <v>7944</v>
      </c>
      <c r="D415" s="40" t="str">
        <f>VLOOKUP(E415,Sheet3!$A$2:$D$6338,2,0)</f>
        <v>Kim Văn Đạt</v>
      </c>
      <c r="E415" s="44" t="s">
        <v>434</v>
      </c>
      <c r="F415" s="44" t="str">
        <f t="shared" si="8"/>
        <v>VN16851</v>
      </c>
      <c r="G415" s="295"/>
      <c r="H415" s="41" t="s">
        <v>67</v>
      </c>
      <c r="I415" s="95">
        <v>45440</v>
      </c>
      <c r="J415" s="122"/>
      <c r="K415" s="122"/>
      <c r="L415" s="147" t="str">
        <f>VLOOKUP(E415,DS!$A$2:$E$4398, 5, 0)</f>
        <v>Kaifa</v>
      </c>
      <c r="M415" s="148"/>
      <c r="N415" s="92" t="e">
        <f>VLOOKUP(Table1[[#This Row],[USER]],[1]!Table145678910111213141545678910111213146[[#All],[No.]:[Delete]],2,0)</f>
        <v>#N/A</v>
      </c>
    </row>
    <row r="416" spans="1:14">
      <c r="A416" s="93">
        <v>408</v>
      </c>
      <c r="B416" s="94">
        <v>79</v>
      </c>
      <c r="C416" s="40" t="s">
        <v>7944</v>
      </c>
      <c r="D416" s="40" t="str">
        <f>VLOOKUP(E416,Sheet3!$A$2:$D$6338,2,0)</f>
        <v>Thiều Đức Hiếu</v>
      </c>
      <c r="E416" s="44" t="s">
        <v>435</v>
      </c>
      <c r="F416" s="44" t="str">
        <f t="shared" si="8"/>
        <v>VN17913</v>
      </c>
      <c r="G416" s="295"/>
      <c r="H416" s="41" t="s">
        <v>67</v>
      </c>
      <c r="I416" s="95">
        <v>45440</v>
      </c>
      <c r="J416" s="122"/>
      <c r="K416" s="122"/>
      <c r="L416" s="147" t="str">
        <f>VLOOKUP(E416,DS!$A$2:$E$4398, 5, 0)</f>
        <v>Kaifa</v>
      </c>
      <c r="M416" s="148"/>
      <c r="N416" s="92" t="e">
        <f>VLOOKUP(Table1[[#This Row],[USER]],[1]!Table145678910111213141545678910111213146[[#All],[No.]:[Delete]],2,0)</f>
        <v>#N/A</v>
      </c>
    </row>
    <row r="417" spans="1:14">
      <c r="A417" s="93">
        <v>409</v>
      </c>
      <c r="B417" s="94">
        <v>80</v>
      </c>
      <c r="C417" s="40" t="s">
        <v>7944</v>
      </c>
      <c r="D417" s="40" t="str">
        <f>VLOOKUP(E417,Sheet3!$A$2:$D$6338,2,0)</f>
        <v>Nguyễn Xuân Chung</v>
      </c>
      <c r="E417" s="44" t="s">
        <v>436</v>
      </c>
      <c r="F417" s="44" t="str">
        <f t="shared" si="8"/>
        <v>VN17647</v>
      </c>
      <c r="G417" s="295"/>
      <c r="H417" s="41" t="s">
        <v>67</v>
      </c>
      <c r="I417" s="95">
        <v>45440</v>
      </c>
      <c r="J417" s="122">
        <v>45806</v>
      </c>
      <c r="K417" s="122">
        <v>45806</v>
      </c>
      <c r="L417" s="147" t="e">
        <f>VLOOKUP(E417,DS!$A$2:$E$4398, 5, 0)</f>
        <v>#N/A</v>
      </c>
      <c r="M417" s="148"/>
      <c r="N417" s="92" t="e">
        <f>VLOOKUP(Table1[[#This Row],[USER]],[1]!Table145678910111213141545678910111213146[[#All],[No.]:[Delete]],2,0)</f>
        <v>#N/A</v>
      </c>
    </row>
    <row r="418" spans="1:14">
      <c r="A418" s="93">
        <v>410</v>
      </c>
      <c r="B418" s="94">
        <v>81</v>
      </c>
      <c r="C418" s="40" t="s">
        <v>7944</v>
      </c>
      <c r="D418" s="40" t="e">
        <f>VLOOKUP(E418,Sheet3!$A$2:$D$6338,2,0)</f>
        <v>#N/A</v>
      </c>
      <c r="E418" s="44" t="s">
        <v>437</v>
      </c>
      <c r="F418" s="44" t="str">
        <f t="shared" si="8"/>
        <v>VN10611</v>
      </c>
      <c r="G418" s="295"/>
      <c r="H418" s="41" t="s">
        <v>67</v>
      </c>
      <c r="I418" s="95">
        <v>45440</v>
      </c>
      <c r="J418" s="122"/>
      <c r="K418" s="122"/>
      <c r="L418" s="147" t="str">
        <f>VLOOKUP(E418,DS!$A$2:$E$4398, 5, 0)</f>
        <v>Kaifa</v>
      </c>
      <c r="M418" s="148"/>
      <c r="N418" s="92" t="e">
        <f>VLOOKUP(Table1[[#This Row],[USER]],[1]!Table145678910111213141545678910111213146[[#All],[No.]:[Delete]],2,0)</f>
        <v>#N/A</v>
      </c>
    </row>
    <row r="419" spans="1:14">
      <c r="A419" s="93">
        <v>411</v>
      </c>
      <c r="B419" s="94">
        <v>82</v>
      </c>
      <c r="C419" s="40" t="s">
        <v>7944</v>
      </c>
      <c r="D419" s="40" t="str">
        <f>VLOOKUP(E419,Sheet3!$A$2:$D$6338,2,0)</f>
        <v>Lê Văn Tuấn</v>
      </c>
      <c r="E419" s="44" t="s">
        <v>438</v>
      </c>
      <c r="F419" s="44" t="str">
        <f t="shared" si="8"/>
        <v>VN18468</v>
      </c>
      <c r="G419" s="295"/>
      <c r="H419" s="41" t="s">
        <v>67</v>
      </c>
      <c r="I419" s="95">
        <v>45440</v>
      </c>
      <c r="J419" s="122">
        <v>45806</v>
      </c>
      <c r="K419" s="122">
        <v>45806</v>
      </c>
      <c r="L419" s="147" t="e">
        <f>VLOOKUP(E419,DS!$A$2:$E$4398, 5, 0)</f>
        <v>#N/A</v>
      </c>
      <c r="M419" s="148"/>
      <c r="N419" s="92" t="e">
        <f>VLOOKUP(Table1[[#This Row],[USER]],[1]!Table145678910111213141545678910111213146[[#All],[No.]:[Delete]],2,0)</f>
        <v>#N/A</v>
      </c>
    </row>
    <row r="420" spans="1:14">
      <c r="A420" s="93">
        <v>412</v>
      </c>
      <c r="B420" s="94">
        <v>83</v>
      </c>
      <c r="C420" s="40" t="s">
        <v>7944</v>
      </c>
      <c r="D420" s="40" t="str">
        <f>VLOOKUP(E420,Sheet3!$A$2:$D$6338,2,0)</f>
        <v>Nguyễn Thanh Tùng</v>
      </c>
      <c r="E420" s="44" t="s">
        <v>439</v>
      </c>
      <c r="F420" s="44" t="str">
        <f t="shared" si="8"/>
        <v>VN19545</v>
      </c>
      <c r="G420" s="295"/>
      <c r="H420" s="41" t="s">
        <v>67</v>
      </c>
      <c r="I420" s="95">
        <v>45440</v>
      </c>
      <c r="J420" s="122"/>
      <c r="K420" s="122"/>
      <c r="L420" s="147" t="str">
        <f>VLOOKUP(E420,DS!$A$2:$E$4398, 5, 0)</f>
        <v>Kaifa</v>
      </c>
      <c r="M420" s="148"/>
      <c r="N420" s="92" t="e">
        <f>VLOOKUP(Table1[[#This Row],[USER]],[1]!Table145678910111213141545678910111213146[[#All],[No.]:[Delete]],2,0)</f>
        <v>#N/A</v>
      </c>
    </row>
    <row r="421" spans="1:14">
      <c r="A421" s="93">
        <v>413</v>
      </c>
      <c r="B421" s="94">
        <v>84</v>
      </c>
      <c r="C421" s="40" t="s">
        <v>7944</v>
      </c>
      <c r="D421" s="40" t="e">
        <f>VLOOKUP(E421,Sheet3!$A$2:$D$6338,2,0)</f>
        <v>#N/A</v>
      </c>
      <c r="E421" s="44" t="s">
        <v>440</v>
      </c>
      <c r="F421" s="44" t="str">
        <f t="shared" si="8"/>
        <v>VN13669</v>
      </c>
      <c r="G421" s="295"/>
      <c r="H421" s="41" t="s">
        <v>67</v>
      </c>
      <c r="I421" s="95">
        <v>45440</v>
      </c>
      <c r="J421" s="122"/>
      <c r="K421" s="122"/>
      <c r="L421" s="147" t="str">
        <f>VLOOKUP(E421,DS!$A$2:$E$4398, 5, 0)</f>
        <v>Kaifa</v>
      </c>
      <c r="M421" s="148"/>
      <c r="N421" s="92" t="e">
        <f>VLOOKUP(Table1[[#This Row],[USER]],[1]!Table145678910111213141545678910111213146[[#All],[No.]:[Delete]],2,0)</f>
        <v>#N/A</v>
      </c>
    </row>
    <row r="422" spans="1:14">
      <c r="A422" s="93">
        <v>414</v>
      </c>
      <c r="B422" s="94">
        <v>85</v>
      </c>
      <c r="C422" s="40" t="s">
        <v>7944</v>
      </c>
      <c r="D422" s="40" t="str">
        <f>VLOOKUP(E422,Sheet3!$A$2:$D$6338,2,0)</f>
        <v>Nguyễn Việt Hà</v>
      </c>
      <c r="E422" s="44" t="s">
        <v>441</v>
      </c>
      <c r="F422" s="44" t="str">
        <f t="shared" si="8"/>
        <v>VN19753</v>
      </c>
      <c r="G422" s="295"/>
      <c r="H422" s="41" t="s">
        <v>67</v>
      </c>
      <c r="I422" s="95">
        <v>45440</v>
      </c>
      <c r="J422" s="122">
        <v>45806</v>
      </c>
      <c r="K422" s="122">
        <v>45806</v>
      </c>
      <c r="L422" s="147" t="e">
        <f>VLOOKUP(E422,DS!$A$2:$E$4398, 5, 0)</f>
        <v>#N/A</v>
      </c>
      <c r="M422" s="148"/>
      <c r="N422" s="92" t="e">
        <f>VLOOKUP(Table1[[#This Row],[USER]],[1]!Table145678910111213141545678910111213146[[#All],[No.]:[Delete]],2,0)</f>
        <v>#N/A</v>
      </c>
    </row>
    <row r="423" spans="1:14">
      <c r="A423" s="93">
        <v>415</v>
      </c>
      <c r="B423" s="94">
        <v>86</v>
      </c>
      <c r="C423" s="40" t="s">
        <v>7944</v>
      </c>
      <c r="D423" s="40" t="e">
        <f>VLOOKUP(E423,Sheet3!$A$2:$D$6338,2,0)</f>
        <v>#N/A</v>
      </c>
      <c r="E423" s="44" t="s">
        <v>442</v>
      </c>
      <c r="F423" s="44" t="str">
        <f t="shared" si="8"/>
        <v>VN11658</v>
      </c>
      <c r="G423" s="295"/>
      <c r="H423" s="41" t="s">
        <v>67</v>
      </c>
      <c r="I423" s="95">
        <v>45440</v>
      </c>
      <c r="J423" s="122"/>
      <c r="K423" s="122"/>
      <c r="L423" s="147" t="str">
        <f>VLOOKUP(E423,DS!$A$2:$E$4398, 5, 0)</f>
        <v>Kaifa</v>
      </c>
      <c r="M423" s="148"/>
      <c r="N423" s="92" t="e">
        <f>VLOOKUP(Table1[[#This Row],[USER]],[1]!Table145678910111213141545678910111213146[[#All],[No.]:[Delete]],2,0)</f>
        <v>#N/A</v>
      </c>
    </row>
    <row r="424" spans="1:14">
      <c r="A424" s="93">
        <v>416</v>
      </c>
      <c r="B424" s="94">
        <v>87</v>
      </c>
      <c r="C424" s="40" t="s">
        <v>7944</v>
      </c>
      <c r="D424" s="40" t="e">
        <f>VLOOKUP(E424,Sheet3!$A$2:$D$6338,2,0)</f>
        <v>#N/A</v>
      </c>
      <c r="E424" s="44" t="s">
        <v>443</v>
      </c>
      <c r="F424" s="44" t="str">
        <f t="shared" si="8"/>
        <v>VN11632</v>
      </c>
      <c r="G424" s="295"/>
      <c r="H424" s="41" t="s">
        <v>67</v>
      </c>
      <c r="I424" s="95">
        <v>45440</v>
      </c>
      <c r="J424" s="122"/>
      <c r="K424" s="122"/>
      <c r="L424" s="147" t="str">
        <f>VLOOKUP(E424,DS!$A$2:$E$4398, 5, 0)</f>
        <v>Kaifa</v>
      </c>
      <c r="M424" s="148"/>
      <c r="N424" s="92" t="e">
        <f>VLOOKUP(Table1[[#This Row],[USER]],[1]!Table145678910111213141545678910111213146[[#All],[No.]:[Delete]],2,0)</f>
        <v>#N/A</v>
      </c>
    </row>
    <row r="425" spans="1:14">
      <c r="A425" s="93">
        <v>417</v>
      </c>
      <c r="B425" s="94">
        <v>88</v>
      </c>
      <c r="C425" s="40" t="s">
        <v>7944</v>
      </c>
      <c r="D425" s="40" t="e">
        <f>VLOOKUP(E425,Sheet3!$A$2:$D$6338,2,0)</f>
        <v>#N/A</v>
      </c>
      <c r="E425" s="44" t="s">
        <v>444</v>
      </c>
      <c r="F425" s="44" t="str">
        <f t="shared" si="8"/>
        <v>VN20149</v>
      </c>
      <c r="G425" s="295"/>
      <c r="H425" s="41" t="s">
        <v>67</v>
      </c>
      <c r="I425" s="95">
        <v>45440</v>
      </c>
      <c r="J425" s="122"/>
      <c r="K425" s="122"/>
      <c r="L425" s="147" t="str">
        <f>VLOOKUP(E425,DS!$A$2:$E$4398, 5, 0)</f>
        <v>Kaifa</v>
      </c>
      <c r="M425" s="148"/>
      <c r="N425" s="92" t="e">
        <f>VLOOKUP(Table1[[#This Row],[USER]],[1]!Table145678910111213141545678910111213146[[#All],[No.]:[Delete]],2,0)</f>
        <v>#N/A</v>
      </c>
    </row>
    <row r="426" spans="1:14">
      <c r="A426" s="93">
        <v>418</v>
      </c>
      <c r="B426" s="94">
        <v>89</v>
      </c>
      <c r="C426" s="40" t="s">
        <v>7944</v>
      </c>
      <c r="D426" s="40" t="str">
        <f>VLOOKUP(E426,Sheet3!$A$2:$D$6338,2,0)</f>
        <v>Hạ Văn Lợi</v>
      </c>
      <c r="E426" s="44" t="s">
        <v>402</v>
      </c>
      <c r="F426" s="44" t="str">
        <f t="shared" si="8"/>
        <v>VN00490</v>
      </c>
      <c r="G426" s="295"/>
      <c r="H426" s="41" t="s">
        <v>67</v>
      </c>
      <c r="I426" s="95">
        <v>45440</v>
      </c>
      <c r="J426" s="122"/>
      <c r="K426" s="122"/>
      <c r="L426" s="147" t="str">
        <f>VLOOKUP(E426,DS!$A$2:$E$4398, 5, 0)</f>
        <v>Kaifa</v>
      </c>
      <c r="M426" s="148"/>
      <c r="N426" s="92" t="e">
        <f>VLOOKUP(Table1[[#This Row],[USER]],[1]!Table145678910111213141545678910111213146[[#All],[No.]:[Delete]],2,0)</f>
        <v>#N/A</v>
      </c>
    </row>
    <row r="427" spans="1:14">
      <c r="A427" s="93">
        <v>419</v>
      </c>
      <c r="B427" s="94">
        <v>90</v>
      </c>
      <c r="C427" s="40" t="s">
        <v>7944</v>
      </c>
      <c r="D427" s="40" t="str">
        <f>VLOOKUP(E427,Sheet3!$A$2:$D$6338,2,0)</f>
        <v>Đặng Minh Thắng</v>
      </c>
      <c r="E427" s="44" t="s">
        <v>363</v>
      </c>
      <c r="F427" s="44" t="str">
        <f t="shared" si="8"/>
        <v>VN10783</v>
      </c>
      <c r="G427" s="295"/>
      <c r="H427" s="41" t="s">
        <v>67</v>
      </c>
      <c r="I427" s="95">
        <v>45440</v>
      </c>
      <c r="J427" s="122"/>
      <c r="K427" s="122"/>
      <c r="L427" s="147" t="str">
        <f>VLOOKUP(E427,DS!$A$2:$E$4398, 5, 0)</f>
        <v>Kaifa</v>
      </c>
      <c r="M427" s="148"/>
      <c r="N427" s="92" t="e">
        <f>VLOOKUP(Table1[[#This Row],[USER]],[1]!Table145678910111213141545678910111213146[[#All],[No.]:[Delete]],2,0)</f>
        <v>#N/A</v>
      </c>
    </row>
    <row r="428" spans="1:14">
      <c r="A428" s="93">
        <v>420</v>
      </c>
      <c r="B428" s="94">
        <v>91</v>
      </c>
      <c r="C428" s="40" t="s">
        <v>1541</v>
      </c>
      <c r="D428" s="40" t="e">
        <f>VLOOKUP(E428,Sheet3!$A$2:$D$6338,2,0)</f>
        <v>#N/A</v>
      </c>
      <c r="E428" s="44" t="s">
        <v>445</v>
      </c>
      <c r="F428" s="44" t="str">
        <f t="shared" si="8"/>
        <v>VN14081</v>
      </c>
      <c r="G428" s="295"/>
      <c r="H428" s="41" t="s">
        <v>67</v>
      </c>
      <c r="I428" s="95">
        <v>45440</v>
      </c>
      <c r="J428" s="122">
        <v>45950</v>
      </c>
      <c r="K428" s="122">
        <v>45960</v>
      </c>
      <c r="L428" s="147" t="e">
        <f>VLOOKUP(E428,DS!$A$2:$E$4398, 5, 0)</f>
        <v>#N/A</v>
      </c>
      <c r="M428" s="148"/>
      <c r="N428" s="92" t="e">
        <f>VLOOKUP(Table1[[#This Row],[USER]],[1]!Table145678910111213141545678910111213146[[#All],[No.]:[Delete]],2,0)</f>
        <v>#N/A</v>
      </c>
    </row>
    <row r="429" spans="1:14">
      <c r="A429" s="93">
        <v>421</v>
      </c>
      <c r="B429" s="94">
        <v>92</v>
      </c>
      <c r="C429" s="40" t="s">
        <v>7944</v>
      </c>
      <c r="D429" s="40" t="str">
        <f>VLOOKUP(E429,Sheet3!$A$2:$D$6338,2,0)</f>
        <v>Hoàng Văn Hải</v>
      </c>
      <c r="E429" s="44" t="s">
        <v>446</v>
      </c>
      <c r="F429" s="44" t="str">
        <f t="shared" si="8"/>
        <v>VN02543</v>
      </c>
      <c r="G429" s="295"/>
      <c r="H429" s="41" t="s">
        <v>67</v>
      </c>
      <c r="I429" s="95">
        <v>45440</v>
      </c>
      <c r="J429" s="122"/>
      <c r="K429" s="122"/>
      <c r="L429" s="147" t="str">
        <f>VLOOKUP(E429,DS!$A$2:$E$4398, 5, 0)</f>
        <v>Kaifa</v>
      </c>
      <c r="M429" s="148"/>
      <c r="N429" s="92" t="e">
        <f>VLOOKUP(Table1[[#This Row],[USER]],[1]!Table145678910111213141545678910111213146[[#All],[No.]:[Delete]],2,0)</f>
        <v>#N/A</v>
      </c>
    </row>
    <row r="430" spans="1:14">
      <c r="A430" s="93">
        <v>422</v>
      </c>
      <c r="B430" s="94">
        <v>93</v>
      </c>
      <c r="C430" s="40" t="s">
        <v>7944</v>
      </c>
      <c r="D430" s="40" t="str">
        <f>VLOOKUP(E430,Sheet3!$A$2:$D$6338,2,0)</f>
        <v>Dương Đức Sơn</v>
      </c>
      <c r="E430" s="44" t="s">
        <v>404</v>
      </c>
      <c r="F430" s="44" t="str">
        <f t="shared" si="8"/>
        <v>VN01955</v>
      </c>
      <c r="G430" s="295"/>
      <c r="H430" s="41" t="s">
        <v>67</v>
      </c>
      <c r="I430" s="95">
        <v>45440</v>
      </c>
      <c r="J430" s="122"/>
      <c r="K430" s="122"/>
      <c r="L430" s="147" t="str">
        <f>VLOOKUP(E430,DS!$A$2:$E$4398, 5, 0)</f>
        <v>Kaifa</v>
      </c>
      <c r="M430" s="148"/>
      <c r="N430" s="92" t="e">
        <f>VLOOKUP(Table1[[#This Row],[USER]],[1]!Table145678910111213141545678910111213146[[#All],[No.]:[Delete]],2,0)</f>
        <v>#N/A</v>
      </c>
    </row>
    <row r="431" spans="1:14">
      <c r="A431" s="93">
        <v>423</v>
      </c>
      <c r="B431" s="94">
        <v>94</v>
      </c>
      <c r="C431" s="40" t="s">
        <v>7944</v>
      </c>
      <c r="D431" s="40" t="str">
        <f>VLOOKUP(E431,Sheet3!$A$2:$D$6338,2,0)</f>
        <v>Phạm Văn Vẽ</v>
      </c>
      <c r="E431" s="44" t="s">
        <v>447</v>
      </c>
      <c r="F431" s="44" t="str">
        <f t="shared" si="8"/>
        <v>VN02642</v>
      </c>
      <c r="G431" s="295"/>
      <c r="H431" s="41" t="s">
        <v>67</v>
      </c>
      <c r="I431" s="95">
        <v>45440</v>
      </c>
      <c r="J431" s="122"/>
      <c r="K431" s="122"/>
      <c r="L431" s="147" t="str">
        <f>VLOOKUP(E431,DS!$A$2:$E$4398, 5, 0)</f>
        <v>Kaifa</v>
      </c>
      <c r="M431" s="148"/>
      <c r="N431" s="92" t="e">
        <f>VLOOKUP(Table1[[#This Row],[USER]],[1]!Table145678910111213141545678910111213146[[#All],[No.]:[Delete]],2,0)</f>
        <v>#N/A</v>
      </c>
    </row>
    <row r="432" spans="1:14">
      <c r="A432" s="93">
        <v>424</v>
      </c>
      <c r="B432" s="94">
        <v>95</v>
      </c>
      <c r="C432" s="40" t="s">
        <v>7944</v>
      </c>
      <c r="D432" s="40" t="str">
        <f>VLOOKUP(E432,Sheet3!$A$2:$D$6338,2,0)</f>
        <v>Nguyễn Thục Anh</v>
      </c>
      <c r="E432" s="44" t="s">
        <v>448</v>
      </c>
      <c r="F432" s="44" t="str">
        <f t="shared" si="8"/>
        <v>VN21265</v>
      </c>
      <c r="G432" s="295"/>
      <c r="H432" s="41" t="s">
        <v>67</v>
      </c>
      <c r="I432" s="95">
        <v>45440</v>
      </c>
      <c r="J432" s="122"/>
      <c r="K432" s="122"/>
      <c r="L432" s="147" t="str">
        <f>VLOOKUP(E432,DS!$A$2:$E$4398, 5, 0)</f>
        <v>Kaifa</v>
      </c>
      <c r="M432" s="148"/>
      <c r="N432" s="92" t="e">
        <f>VLOOKUP(Table1[[#This Row],[USER]],[1]!Table145678910111213141545678910111213146[[#All],[No.]:[Delete]],2,0)</f>
        <v>#N/A</v>
      </c>
    </row>
    <row r="433" spans="1:14">
      <c r="A433" s="93">
        <v>425</v>
      </c>
      <c r="B433" s="94">
        <v>96</v>
      </c>
      <c r="C433" s="40" t="s">
        <v>7944</v>
      </c>
      <c r="D433" s="40" t="str">
        <f>VLOOKUP(E433,Sheet3!$A$2:$D$6338,2,0)</f>
        <v>Đào Thị Huế</v>
      </c>
      <c r="E433" s="44" t="s">
        <v>449</v>
      </c>
      <c r="F433" s="44" t="str">
        <f t="shared" si="8"/>
        <v>VN13074</v>
      </c>
      <c r="G433" s="295"/>
      <c r="H433" s="41" t="s">
        <v>67</v>
      </c>
      <c r="I433" s="95">
        <v>45440</v>
      </c>
      <c r="J433" s="122">
        <v>45876</v>
      </c>
      <c r="K433" s="122">
        <v>45876</v>
      </c>
      <c r="L433" s="147" t="e">
        <f>VLOOKUP(E433,DS!$A$2:$E$4398, 5, 0)</f>
        <v>#N/A</v>
      </c>
      <c r="M433" s="148"/>
      <c r="N433" s="92" t="e">
        <f>VLOOKUP(Table1[[#This Row],[USER]],[1]!Table145678910111213141545678910111213146[[#All],[No.]:[Delete]],2,0)</f>
        <v>#N/A</v>
      </c>
    </row>
    <row r="434" spans="1:14">
      <c r="A434" s="93">
        <v>426</v>
      </c>
      <c r="B434" s="94">
        <v>97</v>
      </c>
      <c r="C434" s="40" t="s">
        <v>7944</v>
      </c>
      <c r="D434" s="40" t="str">
        <f>VLOOKUP(E434,Sheet3!$A$2:$D$6338,2,0)</f>
        <v>Đỗ Tiến Mạnh</v>
      </c>
      <c r="E434" s="44" t="s">
        <v>417</v>
      </c>
      <c r="F434" s="44" t="str">
        <f t="shared" si="8"/>
        <v>VN03889</v>
      </c>
      <c r="G434" s="295"/>
      <c r="H434" s="41" t="s">
        <v>67</v>
      </c>
      <c r="I434" s="95">
        <v>45440</v>
      </c>
      <c r="J434" s="122"/>
      <c r="K434" s="122"/>
      <c r="L434" s="147" t="str">
        <f>VLOOKUP(E434,DS!$A$2:$E$4398, 5, 0)</f>
        <v>Kaifa</v>
      </c>
      <c r="M434" s="148"/>
      <c r="N434" s="92" t="e">
        <f>VLOOKUP(Table1[[#This Row],[USER]],[1]!Table145678910111213141545678910111213146[[#All],[No.]:[Delete]],2,0)</f>
        <v>#N/A</v>
      </c>
    </row>
    <row r="435" spans="1:14">
      <c r="A435" s="93">
        <v>427</v>
      </c>
      <c r="B435" s="94">
        <v>98</v>
      </c>
      <c r="C435" s="40" t="s">
        <v>7944</v>
      </c>
      <c r="D435" s="40" t="e">
        <f>VLOOKUP(E435,Sheet3!$A$2:$D$6338,2,0)</f>
        <v>#N/A</v>
      </c>
      <c r="E435" s="44" t="s">
        <v>450</v>
      </c>
      <c r="F435" s="44" t="str">
        <f t="shared" si="8"/>
        <v>VN00799</v>
      </c>
      <c r="G435" s="295"/>
      <c r="H435" s="41" t="s">
        <v>67</v>
      </c>
      <c r="I435" s="95">
        <v>45435</v>
      </c>
      <c r="J435" s="122"/>
      <c r="K435" s="122"/>
      <c r="L435" s="147" t="str">
        <f>VLOOKUP(E435,DS!$A$2:$E$4398, 5, 0)</f>
        <v>Kaifa</v>
      </c>
      <c r="M435" s="148"/>
      <c r="N435" s="92" t="e">
        <f>VLOOKUP(Table1[[#This Row],[USER]],[1]!Table145678910111213141545678910111213146[[#All],[No.]:[Delete]],2,0)</f>
        <v>#N/A</v>
      </c>
    </row>
    <row r="436" spans="1:14">
      <c r="A436" s="93">
        <v>428</v>
      </c>
      <c r="B436" s="94">
        <v>99</v>
      </c>
      <c r="C436" s="40" t="s">
        <v>7944</v>
      </c>
      <c r="D436" s="40" t="str">
        <f>VLOOKUP(E436,Sheet3!$A$2:$D$6338,2,0)</f>
        <v>Nguyễn Thị Hồng Phương</v>
      </c>
      <c r="E436" s="44" t="s">
        <v>451</v>
      </c>
      <c r="F436" s="44" t="str">
        <f t="shared" si="8"/>
        <v>VN20024</v>
      </c>
      <c r="G436" s="295"/>
      <c r="H436" s="41" t="s">
        <v>67</v>
      </c>
      <c r="I436" s="95">
        <v>45440</v>
      </c>
      <c r="J436" s="122"/>
      <c r="K436" s="122"/>
      <c r="L436" s="147" t="str">
        <f>VLOOKUP(E436,DS!$A$2:$E$4398, 5, 0)</f>
        <v>Kaifa</v>
      </c>
      <c r="M436" s="148"/>
      <c r="N436" s="92" t="e">
        <f>VLOOKUP(Table1[[#This Row],[USER]],[1]!Table145678910111213141545678910111213146[[#All],[No.]:[Delete]],2,0)</f>
        <v>#N/A</v>
      </c>
    </row>
    <row r="437" spans="1:14">
      <c r="A437" s="93">
        <v>429</v>
      </c>
      <c r="B437" s="94">
        <v>100</v>
      </c>
      <c r="C437" s="40" t="s">
        <v>7944</v>
      </c>
      <c r="D437" s="40" t="str">
        <f>VLOOKUP(E437,Sheet3!$A$2:$D$6338,2,0)</f>
        <v>Nguyễn Thị Thủy</v>
      </c>
      <c r="E437" s="44" t="s">
        <v>452</v>
      </c>
      <c r="F437" s="44" t="str">
        <f t="shared" si="8"/>
        <v>VN18082</v>
      </c>
      <c r="G437" s="295"/>
      <c r="H437" s="41" t="s">
        <v>67</v>
      </c>
      <c r="I437" s="95">
        <v>45440</v>
      </c>
      <c r="J437" s="122"/>
      <c r="K437" s="122"/>
      <c r="L437" s="147" t="str">
        <f>VLOOKUP(E437,DS!$A$2:$E$4398, 5, 0)</f>
        <v>Kaifa</v>
      </c>
      <c r="M437" s="148"/>
      <c r="N437" s="92" t="e">
        <f>VLOOKUP(Table1[[#This Row],[USER]],[1]!Table145678910111213141545678910111213146[[#All],[No.]:[Delete]],2,0)</f>
        <v>#N/A</v>
      </c>
    </row>
    <row r="438" spans="1:14">
      <c r="A438" s="93">
        <v>430</v>
      </c>
      <c r="B438" s="94">
        <v>101</v>
      </c>
      <c r="C438" s="40" t="s">
        <v>7944</v>
      </c>
      <c r="D438" s="40" t="str">
        <f>VLOOKUP(E438,Sheet3!$A$2:$D$6338,2,0)</f>
        <v>Nguyễn Thị Thúy Hồng</v>
      </c>
      <c r="E438" s="44" t="s">
        <v>453</v>
      </c>
      <c r="F438" s="44" t="str">
        <f t="shared" si="8"/>
        <v>VN10861</v>
      </c>
      <c r="G438" s="295"/>
      <c r="H438" s="41" t="s">
        <v>67</v>
      </c>
      <c r="I438" s="95">
        <v>45440</v>
      </c>
      <c r="J438" s="122"/>
      <c r="K438" s="122"/>
      <c r="L438" s="147" t="str">
        <f>VLOOKUP(E438,DS!$A$2:$E$4398, 5, 0)</f>
        <v>Kaifa</v>
      </c>
      <c r="M438" s="148"/>
      <c r="N438" s="92" t="e">
        <f>VLOOKUP(Table1[[#This Row],[USER]],[1]!Table145678910111213141545678910111213146[[#All],[No.]:[Delete]],2,0)</f>
        <v>#N/A</v>
      </c>
    </row>
    <row r="439" spans="1:14">
      <c r="A439" s="93">
        <v>431</v>
      </c>
      <c r="B439" s="94">
        <v>102</v>
      </c>
      <c r="C439" s="40" t="s">
        <v>7944</v>
      </c>
      <c r="D439" s="40" t="e">
        <f>VLOOKUP(E439,Sheet3!$A$2:$D$6338,2,0)</f>
        <v>#N/A</v>
      </c>
      <c r="E439" s="44" t="s">
        <v>239</v>
      </c>
      <c r="F439" s="44" t="str">
        <f t="shared" si="8"/>
        <v>VN24323</v>
      </c>
      <c r="G439" s="295"/>
      <c r="H439" s="41" t="s">
        <v>67</v>
      </c>
      <c r="I439" s="95">
        <v>45440</v>
      </c>
      <c r="J439" s="122"/>
      <c r="K439" s="122"/>
      <c r="L439" s="147" t="str">
        <f>VLOOKUP(E439,DS!$A$2:$E$4398, 5, 0)</f>
        <v>Kaifa</v>
      </c>
      <c r="M439" s="148"/>
      <c r="N439" s="92" t="e">
        <f>VLOOKUP(Table1[[#This Row],[USER]],[1]!Table145678910111213141545678910111213146[[#All],[No.]:[Delete]],2,0)</f>
        <v>#N/A</v>
      </c>
    </row>
    <row r="440" spans="1:14">
      <c r="A440" s="93">
        <v>432</v>
      </c>
      <c r="B440" s="94">
        <v>103</v>
      </c>
      <c r="C440" s="40" t="s">
        <v>7944</v>
      </c>
      <c r="D440" s="40" t="e">
        <f>VLOOKUP(E440,Sheet3!$A$2:$D$6338,2,0)</f>
        <v>#N/A</v>
      </c>
      <c r="E440" s="44" t="s">
        <v>454</v>
      </c>
      <c r="F440" s="44" t="str">
        <f t="shared" si="8"/>
        <v>VN17885</v>
      </c>
      <c r="G440" s="295"/>
      <c r="H440" s="41" t="s">
        <v>67</v>
      </c>
      <c r="I440" s="95">
        <v>45440</v>
      </c>
      <c r="J440" s="122"/>
      <c r="K440" s="122"/>
      <c r="L440" s="147" t="str">
        <f>VLOOKUP(E440,DS!$A$2:$E$4398, 5, 0)</f>
        <v>Kaifa</v>
      </c>
      <c r="M440" s="148"/>
      <c r="N440" s="92" t="e">
        <f>VLOOKUP(Table1[[#This Row],[USER]],[1]!Table145678910111213141545678910111213146[[#All],[No.]:[Delete]],2,0)</f>
        <v>#N/A</v>
      </c>
    </row>
    <row r="441" spans="1:14">
      <c r="A441" s="93">
        <v>433</v>
      </c>
      <c r="B441" s="94">
        <v>104</v>
      </c>
      <c r="C441" s="40" t="s">
        <v>7944</v>
      </c>
      <c r="D441" s="40" t="str">
        <f>VLOOKUP(E441,Sheet3!$A$2:$D$6338,2,0)</f>
        <v>Lê Văn Châm</v>
      </c>
      <c r="E441" s="44" t="s">
        <v>455</v>
      </c>
      <c r="F441" s="44" t="str">
        <f t="shared" si="8"/>
        <v>VN06382</v>
      </c>
      <c r="G441" s="295"/>
      <c r="H441" s="41" t="s">
        <v>67</v>
      </c>
      <c r="I441" s="95">
        <v>45435</v>
      </c>
      <c r="J441" s="122"/>
      <c r="K441" s="122"/>
      <c r="L441" s="147" t="str">
        <f>VLOOKUP(E441,DS!$A$2:$E$4398, 5, 0)</f>
        <v>Kaifa</v>
      </c>
      <c r="M441" s="148"/>
      <c r="N441" s="92" t="e">
        <f>VLOOKUP(Table1[[#This Row],[USER]],[1]!Table145678910111213141545678910111213146[[#All],[No.]:[Delete]],2,0)</f>
        <v>#N/A</v>
      </c>
    </row>
    <row r="442" spans="1:14">
      <c r="A442" s="93">
        <v>434</v>
      </c>
      <c r="B442" s="94">
        <v>105</v>
      </c>
      <c r="C442" s="40" t="s">
        <v>7944</v>
      </c>
      <c r="D442" s="40" t="e">
        <f>VLOOKUP(E442,Sheet3!$A$2:$D$6338,2,0)</f>
        <v>#N/A</v>
      </c>
      <c r="E442" s="44" t="s">
        <v>7814</v>
      </c>
      <c r="F442" s="44" t="str">
        <f t="shared" ref="F442:F447" si="9">"VN"&amp;RIGHT(E442,5)</f>
        <v>VN25150</v>
      </c>
      <c r="G442" s="295"/>
      <c r="H442" s="41" t="s">
        <v>67</v>
      </c>
      <c r="I442" s="95">
        <v>45553</v>
      </c>
      <c r="J442" s="122"/>
      <c r="K442" s="122"/>
      <c r="L442" s="147" t="str">
        <f>VLOOKUP(E442,DS!$A$2:$E$4398, 5, 0)</f>
        <v>Kaifa</v>
      </c>
      <c r="M442" s="148"/>
      <c r="N442" s="92" t="e">
        <f>VLOOKUP(Table1[[#This Row],[USER]],[1]!Table145678910111213141545678910111213146[[#All],[No.]:[Delete]],2,0)</f>
        <v>#N/A</v>
      </c>
    </row>
    <row r="443" spans="1:14">
      <c r="A443" s="93">
        <v>435</v>
      </c>
      <c r="B443" s="94">
        <v>106</v>
      </c>
      <c r="C443" s="40" t="s">
        <v>7944</v>
      </c>
      <c r="D443" s="40" t="str">
        <f>VLOOKUP(E443,Sheet3!$A$2:$D$6338,2,0)</f>
        <v>Lương Hồng Phúc</v>
      </c>
      <c r="E443" s="115" t="s">
        <v>7988</v>
      </c>
      <c r="F443" s="115" t="str">
        <f t="shared" si="9"/>
        <v>VN25658</v>
      </c>
      <c r="G443" s="304"/>
      <c r="H443" s="41" t="s">
        <v>67</v>
      </c>
      <c r="I443" s="95">
        <v>45719</v>
      </c>
      <c r="J443" s="122"/>
      <c r="K443" s="122"/>
      <c r="L443" s="147" t="str">
        <f>VLOOKUP(E443,DS!$A$2:$E$4398, 5, 0)</f>
        <v>Kaifa</v>
      </c>
      <c r="M443" s="153"/>
      <c r="N443" s="92" t="e">
        <f>VLOOKUP(Table1[[#This Row],[USER]],[1]!Table145678910111213141545678910111213146[[#All],[No.]:[Delete]],2,0)</f>
        <v>#N/A</v>
      </c>
    </row>
    <row r="444" spans="1:14">
      <c r="A444" s="93">
        <v>436</v>
      </c>
      <c r="B444" s="94">
        <v>107</v>
      </c>
      <c r="C444" s="40" t="s">
        <v>7944</v>
      </c>
      <c r="D444" s="40" t="str">
        <f>VLOOKUP(E444,Sheet3!$A$2:$D$6338,2,0)</f>
        <v>Phùng Quốc Huy</v>
      </c>
      <c r="E444" s="115" t="s">
        <v>7989</v>
      </c>
      <c r="F444" s="115" t="str">
        <f t="shared" si="9"/>
        <v>VN25659</v>
      </c>
      <c r="G444" s="304"/>
      <c r="H444" s="41" t="s">
        <v>67</v>
      </c>
      <c r="I444" s="95">
        <v>45719</v>
      </c>
      <c r="J444" s="122"/>
      <c r="K444" s="122"/>
      <c r="L444" s="147" t="str">
        <f>VLOOKUP(E444,DS!$A$2:$E$4398, 5, 0)</f>
        <v>Kaifa</v>
      </c>
      <c r="M444" s="153"/>
      <c r="N444" s="92" t="e">
        <f>VLOOKUP(Table1[[#This Row],[USER]],[1]!Table145678910111213141545678910111213146[[#All],[No.]:[Delete]],2,0)</f>
        <v>#N/A</v>
      </c>
    </row>
    <row r="445" spans="1:14">
      <c r="A445" s="93">
        <v>437</v>
      </c>
      <c r="B445" s="94">
        <v>108</v>
      </c>
      <c r="C445" s="40" t="s">
        <v>7944</v>
      </c>
      <c r="D445" s="40" t="str">
        <f>VLOOKUP(E445,Sheet3!$A$2:$D$6338,2,0)</f>
        <v>Trần Hải Đăng</v>
      </c>
      <c r="E445" s="115" t="s">
        <v>7995</v>
      </c>
      <c r="F445" s="115" t="str">
        <f t="shared" si="9"/>
        <v>VN25724</v>
      </c>
      <c r="G445" s="304"/>
      <c r="H445" s="41" t="s">
        <v>67</v>
      </c>
      <c r="I445" s="95">
        <v>45729</v>
      </c>
      <c r="J445" s="122"/>
      <c r="K445" s="122"/>
      <c r="L445" s="147" t="str">
        <f>VLOOKUP(E445,DS!$A$2:$E$4398, 5, 0)</f>
        <v>Kaifa</v>
      </c>
      <c r="M445" s="153"/>
      <c r="N445" s="92" t="e">
        <f>VLOOKUP(Table1[[#This Row],[USER]],[1]!Table145678910111213141545678910111213146[[#All],[No.]:[Delete]],2,0)</f>
        <v>#N/A</v>
      </c>
    </row>
    <row r="446" spans="1:14">
      <c r="A446" s="93">
        <v>438</v>
      </c>
      <c r="B446" s="94">
        <v>109</v>
      </c>
      <c r="C446" s="40" t="s">
        <v>7944</v>
      </c>
      <c r="D446" s="40" t="str">
        <f>VLOOKUP(E446,Sheet3!$A$2:$D$6338,2,0)</f>
        <v>Dương Công Thành</v>
      </c>
      <c r="E446" s="115" t="s">
        <v>7996</v>
      </c>
      <c r="F446" s="115" t="str">
        <f t="shared" si="9"/>
        <v>VN25725</v>
      </c>
      <c r="G446" s="304"/>
      <c r="H446" s="41" t="s">
        <v>67</v>
      </c>
      <c r="I446" s="95">
        <v>45729</v>
      </c>
      <c r="J446" s="122"/>
      <c r="K446" s="122"/>
      <c r="L446" s="147" t="str">
        <f>VLOOKUP(E446,DS!$A$2:$E$4398, 5, 0)</f>
        <v>Kaifa</v>
      </c>
      <c r="M446" s="153"/>
      <c r="N446" s="92" t="e">
        <f>VLOOKUP(Table1[[#This Row],[USER]],[1]!Table145678910111213141545678910111213146[[#All],[No.]:[Delete]],2,0)</f>
        <v>#N/A</v>
      </c>
    </row>
    <row r="447" spans="1:14">
      <c r="A447" s="93">
        <v>439</v>
      </c>
      <c r="B447" s="132">
        <v>110</v>
      </c>
      <c r="C447" s="40" t="s">
        <v>7944</v>
      </c>
      <c r="D447" s="40" t="str">
        <f>VLOOKUP(E447,Sheet3!$A$2:$D$6338,2,0)</f>
        <v>Đào Quang Linh</v>
      </c>
      <c r="E447" s="133" t="s">
        <v>8026</v>
      </c>
      <c r="F447" s="133" t="str">
        <f t="shared" si="9"/>
        <v>VN25956</v>
      </c>
      <c r="G447" s="297"/>
      <c r="H447" s="41" t="s">
        <v>67</v>
      </c>
      <c r="I447" s="95">
        <v>45799</v>
      </c>
      <c r="J447" s="134"/>
      <c r="K447" s="134"/>
      <c r="L447" s="147" t="str">
        <f>VLOOKUP(E447,DS!$A$2:$E$4398, 5, 0)</f>
        <v>Kaifa</v>
      </c>
      <c r="M447" s="154"/>
      <c r="N447" s="92" t="e">
        <f>VLOOKUP(Table1[[#This Row],[USER]],[1]!Table145678910111213141545678910111213146[[#All],[No.]:[Delete]],2,0)</f>
        <v>#N/A</v>
      </c>
    </row>
    <row r="448" spans="1:14">
      <c r="A448" s="93">
        <v>440</v>
      </c>
      <c r="B448" s="94">
        <v>111</v>
      </c>
      <c r="C448" s="40" t="s">
        <v>7944</v>
      </c>
      <c r="D448" s="40" t="str">
        <f>VLOOKUP(E448,Sheet3!$A$2:$D$6338,2,0)</f>
        <v>Nguyễn Phú Tĩnh</v>
      </c>
      <c r="E448" s="133" t="s">
        <v>8028</v>
      </c>
      <c r="F448" s="133" t="str">
        <f>"VN"&amp;RIGHT(E448,5)</f>
        <v>VN25957</v>
      </c>
      <c r="G448" s="297"/>
      <c r="H448" s="41" t="s">
        <v>67</v>
      </c>
      <c r="I448" s="136">
        <v>45803</v>
      </c>
      <c r="J448" s="134"/>
      <c r="K448" s="134"/>
      <c r="L448" s="147" t="str">
        <f>VLOOKUP(E448,DS!$A$2:$E$4398, 5, 0)</f>
        <v>Kaifa</v>
      </c>
      <c r="M448" s="154"/>
      <c r="N448" s="92" t="e">
        <f>VLOOKUP(Table1[[#This Row],[USER]],[1]!Table145678910111213141545678910111213146[[#All],[No.]:[Delete]],2,0)</f>
        <v>#N/A</v>
      </c>
    </row>
    <row r="449" spans="1:14">
      <c r="A449" s="93">
        <v>441</v>
      </c>
      <c r="B449" s="174"/>
      <c r="C449" s="179" t="s">
        <v>849</v>
      </c>
      <c r="D449" s="40" t="str">
        <f>VLOOKUP(E449,Sheet3!$A$2:$D$6338,2,0)</f>
        <v>Trần Minh Hiệp</v>
      </c>
      <c r="E449" s="175" t="s">
        <v>8404</v>
      </c>
      <c r="F449" s="175" t="str">
        <f>"VN"&amp;RIGHT(E449,5)</f>
        <v>VN26092</v>
      </c>
      <c r="G449" s="298"/>
      <c r="H449" s="41" t="s">
        <v>67</v>
      </c>
      <c r="I449" s="176">
        <v>45847</v>
      </c>
      <c r="J449" s="177"/>
      <c r="K449" s="177"/>
      <c r="L449" s="177" t="str">
        <f>VLOOKUP(E449,DS!$A$2:$E$4398, 5, 0)</f>
        <v>Kaifa</v>
      </c>
      <c r="M449" s="178"/>
      <c r="N449" s="92" t="e">
        <f>VLOOKUP(Table1[[#This Row],[USER]],[1]!Table145678910111213141545678910111213146[[#All],[No.]:[Delete]],2,0)</f>
        <v>#N/A</v>
      </c>
    </row>
    <row r="450" spans="1:14">
      <c r="A450" s="93">
        <v>442</v>
      </c>
      <c r="B450" s="94">
        <v>112</v>
      </c>
      <c r="C450" s="40" t="s">
        <v>7944</v>
      </c>
      <c r="D450" s="40" t="str">
        <f>VLOOKUP(E450,Sheet3!$A$2:$D$6338,2,0)</f>
        <v>Nguyễn Minh Đăng</v>
      </c>
      <c r="E450" s="203" t="s">
        <v>8545</v>
      </c>
      <c r="F450" s="199" t="s">
        <v>8547</v>
      </c>
      <c r="G450" s="306"/>
      <c r="H450" s="41" t="s">
        <v>67</v>
      </c>
      <c r="I450" s="200">
        <v>45919</v>
      </c>
      <c r="J450" s="201"/>
      <c r="K450" s="201"/>
      <c r="L450" s="201" t="str">
        <f>VLOOKUP(E450,DS!$A$2:$E$4398, 5, 0)</f>
        <v>Kaifa</v>
      </c>
      <c r="M450" s="202"/>
      <c r="N450" s="92" t="e">
        <f>VLOOKUP(Table1[[#This Row],[USER]],[1]!Table145678910111213141545678910111213146[[#All],[No.]:[Delete]],2,0)</f>
        <v>#N/A</v>
      </c>
    </row>
    <row r="451" spans="1:14">
      <c r="A451" s="93">
        <v>443</v>
      </c>
      <c r="B451" s="174"/>
      <c r="C451" s="179" t="s">
        <v>849</v>
      </c>
      <c r="D451" s="40" t="str">
        <f>VLOOKUP(E451,Sheet3!$A$2:$D$6338,2,0)</f>
        <v>Nguyễn Hữu Trường</v>
      </c>
      <c r="E451" s="203" t="s">
        <v>8546</v>
      </c>
      <c r="F451" s="199" t="s">
        <v>8548</v>
      </c>
      <c r="G451" s="306"/>
      <c r="H451" s="41" t="s">
        <v>67</v>
      </c>
      <c r="I451" s="200">
        <v>45919</v>
      </c>
      <c r="J451" s="201"/>
      <c r="K451" s="201"/>
      <c r="L451" s="201" t="str">
        <f>VLOOKUP(E451,DS!$A$2:$E$4398, 5, 0)</f>
        <v>Kaifa</v>
      </c>
      <c r="M451" s="202"/>
      <c r="N451" s="92" t="e">
        <f>VLOOKUP(Table1[[#This Row],[USER]],[1]!Table145678910111213141545678910111213146[[#All],[No.]:[Delete]],2,0)</f>
        <v>#N/A</v>
      </c>
    </row>
    <row r="452" spans="1:14">
      <c r="A452" s="93">
        <v>444</v>
      </c>
      <c r="B452" s="172">
        <v>111</v>
      </c>
      <c r="C452" s="223" t="s">
        <v>7944</v>
      </c>
      <c r="D452" s="40" t="str">
        <f>VLOOKUP(E452,Sheet3!$A$2:$D$6338,2,0)</f>
        <v>Hà Tiến Trung</v>
      </c>
      <c r="E452" s="224" t="s">
        <v>8658</v>
      </c>
      <c r="F452" s="218" t="str">
        <f>"VN"&amp;RIGHT(E452,5)</f>
        <v>VN10953</v>
      </c>
      <c r="G452" s="300"/>
      <c r="H452" s="41" t="s">
        <v>67</v>
      </c>
      <c r="I452" s="225">
        <v>45440</v>
      </c>
      <c r="J452" s="220"/>
      <c r="K452" s="220"/>
      <c r="L452" s="220" t="str">
        <f>VLOOKUP(E452,DS!$A$2:$E$4398, 5, 0)</f>
        <v>Kaifa</v>
      </c>
      <c r="M452" s="221"/>
      <c r="N452" s="92" t="e">
        <f>VLOOKUP(Table1[[#This Row],[USER]],[1]!Table145678910111213141545678910111213146[[#All],[No.]:[Delete]],2,0)</f>
        <v>#N/A</v>
      </c>
    </row>
    <row r="453" spans="1:14">
      <c r="A453" s="93">
        <v>445</v>
      </c>
      <c r="B453" s="172"/>
      <c r="C453" s="223" t="s">
        <v>849</v>
      </c>
      <c r="D453" s="40" t="str">
        <f>VLOOKUP(E453,Sheet3!$A$2:$D$6338,2,0)</f>
        <v>Phùng Thị Vân</v>
      </c>
      <c r="E453" s="224" t="s">
        <v>8659</v>
      </c>
      <c r="F453" s="218" t="str">
        <f>"VN"&amp;RIGHT(E453,5)</f>
        <v>VN26040</v>
      </c>
      <c r="G453" s="300"/>
      <c r="H453" s="41" t="s">
        <v>67</v>
      </c>
      <c r="I453" s="225">
        <v>45817</v>
      </c>
      <c r="J453" s="220"/>
      <c r="K453" s="220"/>
      <c r="L453" s="220" t="str">
        <f>VLOOKUP(E453,DS!$A$2:$E$4398, 5, 0)</f>
        <v>Kaifa</v>
      </c>
      <c r="M453" s="221"/>
      <c r="N453" s="92" t="e">
        <f>VLOOKUP(Table1[[#This Row],[USER]],[1]!Table145678910111213141545678910111213146[[#All],[No.]:[Delete]],2,0)</f>
        <v>#N/A</v>
      </c>
    </row>
    <row r="454" spans="1:14">
      <c r="A454" s="93">
        <v>446</v>
      </c>
      <c r="B454" s="172">
        <v>112</v>
      </c>
      <c r="C454" s="223" t="s">
        <v>7944</v>
      </c>
      <c r="D454" s="40" t="str">
        <f>VLOOKUP(E454,Sheet3!$A$2:$D$6338,2,0)</f>
        <v>Trần Mạnh Cường</v>
      </c>
      <c r="E454" s="224" t="s">
        <v>8660</v>
      </c>
      <c r="F454" s="218" t="str">
        <f>"VN"&amp;RIGHT(E454,5)</f>
        <v>VN26038</v>
      </c>
      <c r="G454" s="300"/>
      <c r="H454" s="41" t="s">
        <v>67</v>
      </c>
      <c r="I454" s="225">
        <v>45820</v>
      </c>
      <c r="J454" s="220"/>
      <c r="K454" s="220"/>
      <c r="L454" s="220" t="str">
        <f>VLOOKUP(E454,DS!$A$2:$E$4398, 5, 0)</f>
        <v>Kaifa</v>
      </c>
      <c r="M454" s="221"/>
      <c r="N454" s="92" t="e">
        <f>VLOOKUP(Table1[[#This Row],[USER]],[1]!Table145678910111213141545678910111213146[[#All],[No.]:[Delete]],2,0)</f>
        <v>#N/A</v>
      </c>
    </row>
    <row r="455" spans="1:14">
      <c r="A455" s="93">
        <v>447</v>
      </c>
      <c r="B455" s="172"/>
      <c r="C455" s="223" t="s">
        <v>849</v>
      </c>
      <c r="D455" s="40" t="str">
        <f>VLOOKUP(E455,Sheet3!$A$2:$D$6338,2,0)</f>
        <v>Bùi Mạnh Cầm</v>
      </c>
      <c r="E455" s="224" t="s">
        <v>8661</v>
      </c>
      <c r="F455" s="218" t="str">
        <f>"VN"&amp;RIGHT(E455,5)</f>
        <v>VN24410</v>
      </c>
      <c r="G455" s="300"/>
      <c r="H455" s="41" t="s">
        <v>67</v>
      </c>
      <c r="I455" s="225">
        <v>45896</v>
      </c>
      <c r="J455" s="220"/>
      <c r="K455" s="220"/>
      <c r="L455" s="220" t="str">
        <f>VLOOKUP(E455,DS!$A$2:$E$4398, 5, 0)</f>
        <v>Kaifa</v>
      </c>
      <c r="M455" s="221"/>
      <c r="N455" s="92" t="e">
        <f>VLOOKUP(Table1[[#This Row],[USER]],[1]!Table145678910111213141545678910111213146[[#All],[No.]:[Delete]],2,0)</f>
        <v>#N/A</v>
      </c>
    </row>
    <row r="456" spans="1:14">
      <c r="A456" s="93">
        <v>448</v>
      </c>
      <c r="B456" s="94">
        <v>1</v>
      </c>
      <c r="C456" s="40" t="s">
        <v>7945</v>
      </c>
      <c r="D456" s="40" t="str">
        <f>VLOOKUP(E456,Sheet3!$A$2:$D$6338,2,0)</f>
        <v>Nguyễn Đình Thi</v>
      </c>
      <c r="E456" s="44" t="s">
        <v>456</v>
      </c>
      <c r="F456" s="44" t="str">
        <f t="shared" si="8"/>
        <v>VN01066</v>
      </c>
      <c r="G456" s="295"/>
      <c r="H456" s="41" t="s">
        <v>67</v>
      </c>
      <c r="I456" s="95">
        <v>45439</v>
      </c>
      <c r="J456" s="122"/>
      <c r="K456" s="122"/>
      <c r="L456" s="147" t="str">
        <f>VLOOKUP(E456,DS!$A$2:$E$4398, 5, 0)</f>
        <v>Khuôn mẫu</v>
      </c>
      <c r="M456" s="148"/>
      <c r="N456" s="92" t="e">
        <f>VLOOKUP(Table1[[#This Row],[USER]],[1]!Table145678910111213141545678910111213146[[#All],[No.]:[Delete]],2,0)</f>
        <v>#N/A</v>
      </c>
    </row>
    <row r="457" spans="1:14">
      <c r="A457" s="93">
        <v>449</v>
      </c>
      <c r="B457" s="94">
        <v>2</v>
      </c>
      <c r="C457" s="40" t="s">
        <v>7945</v>
      </c>
      <c r="D457" s="40" t="str">
        <f>VLOOKUP(E457,Sheet3!$A$2:$D$6338,2,0)</f>
        <v>Nguyễn Văn Trúc</v>
      </c>
      <c r="E457" s="44" t="s">
        <v>457</v>
      </c>
      <c r="F457" s="44" t="str">
        <f t="shared" si="8"/>
        <v>VN00640</v>
      </c>
      <c r="G457" s="295"/>
      <c r="H457" s="41" t="s">
        <v>67</v>
      </c>
      <c r="I457" s="95">
        <v>45439</v>
      </c>
      <c r="J457" s="122"/>
      <c r="K457" s="122"/>
      <c r="L457" s="147" t="str">
        <f>VLOOKUP(E457,DS!$A$2:$E$4398, 5, 0)</f>
        <v>Khuôn mẫu</v>
      </c>
      <c r="M457" s="148"/>
      <c r="N457" s="92" t="e">
        <f>VLOOKUP(Table1[[#This Row],[USER]],[1]!Table145678910111213141545678910111213146[[#All],[No.]:[Delete]],2,0)</f>
        <v>#N/A</v>
      </c>
    </row>
    <row r="458" spans="1:14">
      <c r="A458" s="93">
        <v>450</v>
      </c>
      <c r="B458" s="94">
        <v>3</v>
      </c>
      <c r="C458" s="40" t="s">
        <v>7945</v>
      </c>
      <c r="D458" s="40" t="str">
        <f>VLOOKUP(E458,Sheet3!$A$2:$D$6338,2,0)</f>
        <v>Nguyễn Văn Hạnh</v>
      </c>
      <c r="E458" s="44" t="s">
        <v>458</v>
      </c>
      <c r="F458" s="44" t="str">
        <f t="shared" si="8"/>
        <v>VN10605</v>
      </c>
      <c r="G458" s="295"/>
      <c r="H458" s="41" t="s">
        <v>67</v>
      </c>
      <c r="I458" s="95">
        <v>45439</v>
      </c>
      <c r="J458" s="122"/>
      <c r="K458" s="122"/>
      <c r="L458" s="147" t="str">
        <f>VLOOKUP(E458,DS!$A$2:$E$4398, 5, 0)</f>
        <v>Khuôn mẫu</v>
      </c>
      <c r="M458" s="148"/>
      <c r="N458" s="92" t="e">
        <f>VLOOKUP(Table1[[#This Row],[USER]],[1]!Table145678910111213141545678910111213146[[#All],[No.]:[Delete]],2,0)</f>
        <v>#N/A</v>
      </c>
    </row>
    <row r="459" spans="1:14">
      <c r="A459" s="93">
        <v>451</v>
      </c>
      <c r="B459" s="94">
        <v>4</v>
      </c>
      <c r="C459" s="40" t="s">
        <v>7945</v>
      </c>
      <c r="D459" s="40" t="str">
        <f>VLOOKUP(E459,Sheet3!$A$2:$D$6338,2,0)</f>
        <v>Hà Nam</v>
      </c>
      <c r="E459" s="44" t="s">
        <v>459</v>
      </c>
      <c r="F459" s="44" t="str">
        <f t="shared" si="8"/>
        <v>VN11706</v>
      </c>
      <c r="G459" s="295"/>
      <c r="H459" s="41" t="s">
        <v>67</v>
      </c>
      <c r="I459" s="95">
        <v>45439</v>
      </c>
      <c r="J459" s="122"/>
      <c r="K459" s="122"/>
      <c r="L459" s="147" t="str">
        <f>VLOOKUP(E459,DS!$A$2:$E$4398, 5, 0)</f>
        <v>Khuôn mẫu</v>
      </c>
      <c r="M459" s="148"/>
      <c r="N459" s="92" t="e">
        <f>VLOOKUP(Table1[[#This Row],[USER]],[1]!Table145678910111213141545678910111213146[[#All],[No.]:[Delete]],2,0)</f>
        <v>#N/A</v>
      </c>
    </row>
    <row r="460" spans="1:14">
      <c r="A460" s="93">
        <v>452</v>
      </c>
      <c r="B460" s="94">
        <v>5</v>
      </c>
      <c r="C460" s="40" t="s">
        <v>7945</v>
      </c>
      <c r="D460" s="40" t="str">
        <f>VLOOKUP(E460,Sheet3!$A$2:$D$6338,2,0)</f>
        <v>Nguyễn Đại Dương</v>
      </c>
      <c r="E460" s="44" t="s">
        <v>460</v>
      </c>
      <c r="F460" s="44" t="str">
        <f t="shared" si="8"/>
        <v>VN08904</v>
      </c>
      <c r="G460" s="295"/>
      <c r="H460" s="41" t="s">
        <v>67</v>
      </c>
      <c r="I460" s="95">
        <v>45439</v>
      </c>
      <c r="J460" s="122">
        <v>45876</v>
      </c>
      <c r="K460" s="122">
        <v>45876</v>
      </c>
      <c r="L460" s="147" t="e">
        <f>VLOOKUP(E460,DS!$A$2:$E$4398, 5, 0)</f>
        <v>#N/A</v>
      </c>
      <c r="M460" s="148"/>
      <c r="N460" s="92" t="e">
        <f>VLOOKUP(Table1[[#This Row],[USER]],[1]!Table145678910111213141545678910111213146[[#All],[No.]:[Delete]],2,0)</f>
        <v>#N/A</v>
      </c>
    </row>
    <row r="461" spans="1:14">
      <c r="A461" s="93">
        <v>453</v>
      </c>
      <c r="B461" s="94">
        <v>6</v>
      </c>
      <c r="C461" s="40" t="s">
        <v>7945</v>
      </c>
      <c r="D461" s="40" t="str">
        <f>VLOOKUP(E461,Sheet3!$A$2:$D$6338,2,0)</f>
        <v>Nguyễn Quang Vinh</v>
      </c>
      <c r="E461" s="44" t="s">
        <v>461</v>
      </c>
      <c r="F461" s="44" t="str">
        <f t="shared" si="8"/>
        <v>VN01705</v>
      </c>
      <c r="G461" s="295"/>
      <c r="H461" s="41" t="s">
        <v>67</v>
      </c>
      <c r="I461" s="95">
        <v>45439</v>
      </c>
      <c r="J461" s="122"/>
      <c r="K461" s="122"/>
      <c r="L461" s="147" t="str">
        <f>VLOOKUP(E461,DS!$A$2:$E$4398, 5, 0)</f>
        <v>Khuôn mẫu</v>
      </c>
      <c r="M461" s="148"/>
      <c r="N461" s="92" t="e">
        <f>VLOOKUP(Table1[[#This Row],[USER]],[1]!Table145678910111213141545678910111213146[[#All],[No.]:[Delete]],2,0)</f>
        <v>#N/A</v>
      </c>
    </row>
    <row r="462" spans="1:14">
      <c r="A462" s="93">
        <v>454</v>
      </c>
      <c r="B462" s="94">
        <v>7</v>
      </c>
      <c r="C462" s="40" t="s">
        <v>7945</v>
      </c>
      <c r="D462" s="40" t="str">
        <f>VLOOKUP(E462,Sheet3!$A$2:$D$6338,2,0)</f>
        <v>Phạm Văn Đức</v>
      </c>
      <c r="E462" s="44" t="s">
        <v>462</v>
      </c>
      <c r="F462" s="44" t="str">
        <f t="shared" si="8"/>
        <v>VN10567</v>
      </c>
      <c r="G462" s="295"/>
      <c r="H462" s="41" t="s">
        <v>67</v>
      </c>
      <c r="I462" s="95">
        <v>45439</v>
      </c>
      <c r="J462" s="122"/>
      <c r="K462" s="122"/>
      <c r="L462" s="147" t="str">
        <f>VLOOKUP(E462,DS!$A$2:$E$4398, 5, 0)</f>
        <v>Khuôn mẫu</v>
      </c>
      <c r="M462" s="148"/>
      <c r="N462" s="92" t="e">
        <f>VLOOKUP(Table1[[#This Row],[USER]],[1]!Table145678910111213141545678910111213146[[#All],[No.]:[Delete]],2,0)</f>
        <v>#N/A</v>
      </c>
    </row>
    <row r="463" spans="1:14">
      <c r="A463" s="93">
        <v>455</v>
      </c>
      <c r="B463" s="94">
        <v>8</v>
      </c>
      <c r="C463" s="40" t="s">
        <v>7945</v>
      </c>
      <c r="D463" s="40" t="str">
        <f>VLOOKUP(E463,Sheet3!$A$2:$D$6338,2,0)</f>
        <v>Nguyễn Văn Kiên</v>
      </c>
      <c r="E463" s="44" t="s">
        <v>463</v>
      </c>
      <c r="F463" s="44" t="str">
        <f t="shared" si="8"/>
        <v>VN07702</v>
      </c>
      <c r="G463" s="295"/>
      <c r="H463" s="41" t="s">
        <v>67</v>
      </c>
      <c r="I463" s="95">
        <v>45439</v>
      </c>
      <c r="J463" s="122"/>
      <c r="K463" s="122"/>
      <c r="L463" s="147" t="str">
        <f>VLOOKUP(E463,DS!$A$2:$E$4398, 5, 0)</f>
        <v>Khuôn mẫu</v>
      </c>
      <c r="M463" s="148"/>
      <c r="N463" s="92" t="e">
        <f>VLOOKUP(Table1[[#This Row],[USER]],[1]!Table145678910111213141545678910111213146[[#All],[No.]:[Delete]],2,0)</f>
        <v>#N/A</v>
      </c>
    </row>
    <row r="464" spans="1:14">
      <c r="A464" s="93">
        <v>456</v>
      </c>
      <c r="B464" s="94">
        <v>9</v>
      </c>
      <c r="C464" s="40" t="s">
        <v>7945</v>
      </c>
      <c r="D464" s="40" t="str">
        <f>VLOOKUP(E464,Sheet3!$A$2:$D$6338,2,0)</f>
        <v>Lê Văn Điệp</v>
      </c>
      <c r="E464" s="44" t="s">
        <v>464</v>
      </c>
      <c r="F464" s="44" t="str">
        <f t="shared" si="8"/>
        <v>VN07153</v>
      </c>
      <c r="G464" s="295"/>
      <c r="H464" s="41" t="s">
        <v>67</v>
      </c>
      <c r="I464" s="95">
        <v>45439</v>
      </c>
      <c r="J464" s="122"/>
      <c r="K464" s="122"/>
      <c r="L464" s="147" t="str">
        <f>VLOOKUP(E464,DS!$A$2:$E$4398, 5, 0)</f>
        <v>Khuôn mẫu</v>
      </c>
      <c r="M464" s="148"/>
      <c r="N464" s="92" t="e">
        <f>VLOOKUP(Table1[[#This Row],[USER]],[1]!Table145678910111213141545678910111213146[[#All],[No.]:[Delete]],2,0)</f>
        <v>#N/A</v>
      </c>
    </row>
    <row r="465" spans="1:14">
      <c r="A465" s="93">
        <v>457</v>
      </c>
      <c r="B465" s="94">
        <v>10</v>
      </c>
      <c r="C465" s="40" t="s">
        <v>7945</v>
      </c>
      <c r="D465" s="40" t="str">
        <f>VLOOKUP(E465,Sheet3!$A$2:$D$6338,2,0)</f>
        <v>Nguyễn Văn Long</v>
      </c>
      <c r="E465" s="44" t="s">
        <v>465</v>
      </c>
      <c r="F465" s="44" t="str">
        <f t="shared" si="8"/>
        <v>VN01465</v>
      </c>
      <c r="G465" s="295"/>
      <c r="H465" s="41" t="s">
        <v>67</v>
      </c>
      <c r="I465" s="95">
        <v>45439</v>
      </c>
      <c r="J465" s="122"/>
      <c r="K465" s="122"/>
      <c r="L465" s="147" t="str">
        <f>VLOOKUP(E465,DS!$A$2:$E$4398, 5, 0)</f>
        <v>Khuôn mẫu</v>
      </c>
      <c r="M465" s="148"/>
      <c r="N465" s="92" t="e">
        <f>VLOOKUP(Table1[[#This Row],[USER]],[1]!Table145678910111213141545678910111213146[[#All],[No.]:[Delete]],2,0)</f>
        <v>#N/A</v>
      </c>
    </row>
    <row r="466" spans="1:14">
      <c r="A466" s="93">
        <v>458</v>
      </c>
      <c r="B466" s="94">
        <v>11</v>
      </c>
      <c r="C466" s="40" t="s">
        <v>7945</v>
      </c>
      <c r="D466" s="40" t="str">
        <f>VLOOKUP(E466,Sheet3!$A$2:$D$6338,2,0)</f>
        <v>Nguyễn Văn Kiên</v>
      </c>
      <c r="E466" s="44" t="s">
        <v>466</v>
      </c>
      <c r="F466" s="44" t="str">
        <f t="shared" si="8"/>
        <v>VN10406</v>
      </c>
      <c r="G466" s="295"/>
      <c r="H466" s="41" t="s">
        <v>67</v>
      </c>
      <c r="I466" s="95">
        <v>45439</v>
      </c>
      <c r="J466" s="122"/>
      <c r="K466" s="122"/>
      <c r="L466" s="147" t="str">
        <f>VLOOKUP(E466,DS!$A$2:$E$4398, 5, 0)</f>
        <v>Khuôn mẫu</v>
      </c>
      <c r="M466" s="148"/>
      <c r="N466" s="92" t="e">
        <f>VLOOKUP(Table1[[#This Row],[USER]],[1]!Table145678910111213141545678910111213146[[#All],[No.]:[Delete]],2,0)</f>
        <v>#N/A</v>
      </c>
    </row>
    <row r="467" spans="1:14">
      <c r="A467" s="93">
        <v>459</v>
      </c>
      <c r="B467" s="94">
        <v>12</v>
      </c>
      <c r="C467" s="40" t="s">
        <v>7945</v>
      </c>
      <c r="D467" s="40" t="str">
        <f>VLOOKUP(E467,Sheet3!$A$2:$D$6338,2,0)</f>
        <v>Bùi Tiến Thành</v>
      </c>
      <c r="E467" s="44" t="s">
        <v>467</v>
      </c>
      <c r="F467" s="44" t="str">
        <f t="shared" si="8"/>
        <v>VN16198</v>
      </c>
      <c r="G467" s="295"/>
      <c r="H467" s="41" t="s">
        <v>67</v>
      </c>
      <c r="I467" s="95">
        <v>45439</v>
      </c>
      <c r="J467" s="122"/>
      <c r="K467" s="122"/>
      <c r="L467" s="147" t="str">
        <f>VLOOKUP(E467,DS!$A$2:$E$4398, 5, 0)</f>
        <v>Khuôn mẫu</v>
      </c>
      <c r="M467" s="148"/>
      <c r="N467" s="92" t="e">
        <f>VLOOKUP(Table1[[#This Row],[USER]],[1]!Table145678910111213141545678910111213146[[#All],[No.]:[Delete]],2,0)</f>
        <v>#N/A</v>
      </c>
    </row>
    <row r="468" spans="1:14">
      <c r="A468" s="93">
        <v>460</v>
      </c>
      <c r="B468" s="94">
        <v>13</v>
      </c>
      <c r="C468" s="40" t="s">
        <v>7945</v>
      </c>
      <c r="D468" s="40" t="str">
        <f>VLOOKUP(E468,Sheet3!$A$2:$D$6338,2,0)</f>
        <v>Nguyễn Thị Thuỳ Linh</v>
      </c>
      <c r="E468" s="44" t="s">
        <v>468</v>
      </c>
      <c r="F468" s="44" t="str">
        <f t="shared" si="8"/>
        <v>VN03048</v>
      </c>
      <c r="G468" s="295"/>
      <c r="H468" s="41" t="s">
        <v>67</v>
      </c>
      <c r="I468" s="95">
        <v>45439</v>
      </c>
      <c r="J468" s="122"/>
      <c r="K468" s="122"/>
      <c r="L468" s="147" t="str">
        <f>VLOOKUP(E468,DS!$A$2:$E$4398, 5, 0)</f>
        <v>Khuôn mẫu</v>
      </c>
      <c r="M468" s="148"/>
      <c r="N468" s="92" t="e">
        <f>VLOOKUP(Table1[[#This Row],[USER]],[1]!Table145678910111213141545678910111213146[[#All],[No.]:[Delete]],2,0)</f>
        <v>#N/A</v>
      </c>
    </row>
    <row r="469" spans="1:14">
      <c r="A469" s="93">
        <v>461</v>
      </c>
      <c r="B469" s="94">
        <v>14</v>
      </c>
      <c r="C469" s="40" t="s">
        <v>7945</v>
      </c>
      <c r="D469" s="40" t="str">
        <f>VLOOKUP(E469,Sheet3!$A$2:$D$6338,2,0)</f>
        <v>Nguyễn Bảo Khanh</v>
      </c>
      <c r="E469" s="44" t="s">
        <v>469</v>
      </c>
      <c r="F469" s="44" t="str">
        <f t="shared" si="8"/>
        <v>VN18894</v>
      </c>
      <c r="G469" s="295"/>
      <c r="H469" s="41" t="s">
        <v>67</v>
      </c>
      <c r="I469" s="95">
        <v>45439</v>
      </c>
      <c r="J469" s="122"/>
      <c r="K469" s="122"/>
      <c r="L469" s="147" t="str">
        <f>VLOOKUP(E469,DS!$A$2:$E$4398, 5, 0)</f>
        <v>Khuôn mẫu</v>
      </c>
      <c r="M469" s="148"/>
      <c r="N469" s="92" t="e">
        <f>VLOOKUP(Table1[[#This Row],[USER]],[1]!Table145678910111213141545678910111213146[[#All],[No.]:[Delete]],2,0)</f>
        <v>#N/A</v>
      </c>
    </row>
    <row r="470" spans="1:14">
      <c r="A470" s="93">
        <v>462</v>
      </c>
      <c r="B470" s="94">
        <v>15</v>
      </c>
      <c r="C470" s="40" t="s">
        <v>7945</v>
      </c>
      <c r="D470" s="40" t="str">
        <f>VLOOKUP(E470,Sheet3!$A$2:$D$6338,2,0)</f>
        <v>Vũ Văn Giang</v>
      </c>
      <c r="E470" s="44" t="s">
        <v>470</v>
      </c>
      <c r="F470" s="44" t="str">
        <f t="shared" si="8"/>
        <v>VN06436</v>
      </c>
      <c r="G470" s="295"/>
      <c r="H470" s="41" t="s">
        <v>67</v>
      </c>
      <c r="I470" s="95">
        <v>45434</v>
      </c>
      <c r="J470" s="122"/>
      <c r="K470" s="122"/>
      <c r="L470" s="147" t="str">
        <f>VLOOKUP(E470,DS!$A$2:$E$4398, 5, 0)</f>
        <v>Khuôn mẫu</v>
      </c>
      <c r="M470" s="148"/>
      <c r="N470" s="92" t="e">
        <f>VLOOKUP(Table1[[#This Row],[USER]],[1]!Table145678910111213141545678910111213146[[#All],[No.]:[Delete]],2,0)</f>
        <v>#N/A</v>
      </c>
    </row>
    <row r="471" spans="1:14">
      <c r="A471" s="93">
        <v>463</v>
      </c>
      <c r="B471" s="94">
        <v>16</v>
      </c>
      <c r="C471" s="40" t="s">
        <v>7945</v>
      </c>
      <c r="D471" s="40" t="str">
        <f>VLOOKUP(E471,Sheet3!$A$2:$D$6338,2,0)</f>
        <v>Phùng Văn Việt</v>
      </c>
      <c r="E471" s="44" t="s">
        <v>471</v>
      </c>
      <c r="F471" s="44" t="str">
        <f t="shared" si="8"/>
        <v>VN01706</v>
      </c>
      <c r="G471" s="295"/>
      <c r="H471" s="41" t="s">
        <v>67</v>
      </c>
      <c r="I471" s="95">
        <v>45439</v>
      </c>
      <c r="J471" s="122"/>
      <c r="K471" s="122"/>
      <c r="L471" s="147" t="str">
        <f>VLOOKUP(E471,DS!$A$2:$E$4398, 5, 0)</f>
        <v>Khuôn mẫu</v>
      </c>
      <c r="M471" s="148"/>
      <c r="N471" s="92" t="e">
        <f>VLOOKUP(Table1[[#This Row],[USER]],[1]!Table145678910111213141545678910111213146[[#All],[No.]:[Delete]],2,0)</f>
        <v>#N/A</v>
      </c>
    </row>
    <row r="472" spans="1:14">
      <c r="A472" s="93">
        <v>464</v>
      </c>
      <c r="B472" s="94">
        <v>17</v>
      </c>
      <c r="C472" s="40" t="s">
        <v>7945</v>
      </c>
      <c r="D472" s="40" t="str">
        <f>VLOOKUP(E472,Sheet3!$A$2:$D$6338,2,0)</f>
        <v>Nguyễn Văn Tĩnh</v>
      </c>
      <c r="E472" s="44" t="s">
        <v>472</v>
      </c>
      <c r="F472" s="44" t="str">
        <f t="shared" si="8"/>
        <v>VN09787</v>
      </c>
      <c r="G472" s="295"/>
      <c r="H472" s="41" t="s">
        <v>67</v>
      </c>
      <c r="I472" s="95">
        <v>45439</v>
      </c>
      <c r="J472" s="122"/>
      <c r="K472" s="122"/>
      <c r="L472" s="147" t="str">
        <f>VLOOKUP(E472,DS!$A$2:$E$4398, 5, 0)</f>
        <v>Khuôn mẫu</v>
      </c>
      <c r="M472" s="148"/>
      <c r="N472" s="92" t="e">
        <f>VLOOKUP(Table1[[#This Row],[USER]],[1]!Table145678910111213141545678910111213146[[#All],[No.]:[Delete]],2,0)</f>
        <v>#N/A</v>
      </c>
    </row>
    <row r="473" spans="1:14">
      <c r="A473" s="93">
        <v>465</v>
      </c>
      <c r="B473" s="94">
        <v>18</v>
      </c>
      <c r="C473" s="40" t="s">
        <v>7945</v>
      </c>
      <c r="D473" s="40" t="str">
        <f>VLOOKUP(E473,Sheet3!$A$2:$D$6338,2,0)</f>
        <v>Bùi Tất Thành</v>
      </c>
      <c r="E473" s="44" t="s">
        <v>473</v>
      </c>
      <c r="F473" s="44" t="str">
        <f t="shared" si="8"/>
        <v>VN00606</v>
      </c>
      <c r="G473" s="295"/>
      <c r="H473" s="41" t="s">
        <v>67</v>
      </c>
      <c r="I473" s="95">
        <v>45439</v>
      </c>
      <c r="J473" s="122"/>
      <c r="K473" s="122"/>
      <c r="L473" s="147" t="str">
        <f>VLOOKUP(E473,DS!$A$2:$E$4398, 5, 0)</f>
        <v>Khuôn mẫu</v>
      </c>
      <c r="M473" s="148"/>
      <c r="N473" s="92" t="e">
        <f>VLOOKUP(Table1[[#This Row],[USER]],[1]!Table145678910111213141545678910111213146[[#All],[No.]:[Delete]],2,0)</f>
        <v>#N/A</v>
      </c>
    </row>
    <row r="474" spans="1:14">
      <c r="A474" s="93">
        <v>466</v>
      </c>
      <c r="B474" s="94">
        <v>19</v>
      </c>
      <c r="C474" s="40" t="s">
        <v>7945</v>
      </c>
      <c r="D474" s="40" t="e">
        <f>VLOOKUP(E474,Sheet3!$A$2:$D$6338,2,0)</f>
        <v>#N/A</v>
      </c>
      <c r="E474" s="115" t="s">
        <v>7987</v>
      </c>
      <c r="F474" s="44" t="s">
        <v>7987</v>
      </c>
      <c r="G474" s="295"/>
      <c r="H474" s="41" t="s">
        <v>67</v>
      </c>
      <c r="I474" s="95">
        <v>45713</v>
      </c>
      <c r="J474" s="122"/>
      <c r="K474" s="122"/>
      <c r="L474" s="147" t="e">
        <f>VLOOKUP(E474,DS!$A$2:$E$4398, 5, 0)</f>
        <v>#N/A</v>
      </c>
      <c r="M474" s="153"/>
      <c r="N474" s="92" t="e">
        <f>VLOOKUP(Table1[[#This Row],[USER]],[1]!Table145678910111213141545678910111213146[[#All],[No.]:[Delete]],2,0)</f>
        <v>#N/A</v>
      </c>
    </row>
    <row r="475" spans="1:14">
      <c r="A475" s="93">
        <v>467</v>
      </c>
      <c r="B475" s="132">
        <v>20</v>
      </c>
      <c r="C475" s="40" t="s">
        <v>7945</v>
      </c>
      <c r="D475" s="40" t="str">
        <f>VLOOKUP(E475,Sheet3!$A$2:$D$6338,2,0)</f>
        <v>Ngô Văn Ơn</v>
      </c>
      <c r="E475" s="133" t="s">
        <v>8032</v>
      </c>
      <c r="F475" s="133" t="str">
        <f>"VN"&amp;RIGHT(E475,5)</f>
        <v>VN00264</v>
      </c>
      <c r="G475" s="297"/>
      <c r="H475" s="41" t="s">
        <v>7985</v>
      </c>
      <c r="I475" s="95">
        <v>45803</v>
      </c>
      <c r="J475" s="134"/>
      <c r="K475" s="134"/>
      <c r="L475" s="147" t="str">
        <f>VLOOKUP(E475,DS!$A$2:$E$4398, 5, 0)</f>
        <v>Khuôn mẫu</v>
      </c>
      <c r="M475" s="154"/>
      <c r="N475" s="92" t="e">
        <f>VLOOKUP(Table1[[#This Row],[USER]],[1]!Table145678910111213141545678910111213146[[#All],[No.]:[Delete]],2,0)</f>
        <v>#N/A</v>
      </c>
    </row>
    <row r="476" spans="1:14">
      <c r="A476" s="93">
        <v>468</v>
      </c>
      <c r="B476" s="94">
        <v>1</v>
      </c>
      <c r="C476" s="40" t="s">
        <v>57</v>
      </c>
      <c r="D476" s="40" t="str">
        <f>VLOOKUP(E476,Sheet3!$A$2:$D$6338,2,0)</f>
        <v>Vũ Thị Ngọc Anh</v>
      </c>
      <c r="E476" s="44" t="s">
        <v>474</v>
      </c>
      <c r="F476" s="44" t="str">
        <f t="shared" si="8"/>
        <v>VN00259</v>
      </c>
      <c r="G476" s="295"/>
      <c r="H476" s="41" t="s">
        <v>67</v>
      </c>
      <c r="I476" s="95">
        <v>45439</v>
      </c>
      <c r="J476" s="122"/>
      <c r="K476" s="122"/>
      <c r="L476" s="147" t="str">
        <f>VLOOKUP(E476,DS!$A$2:$E$4398, 5, 0)</f>
        <v>QC</v>
      </c>
      <c r="M476" s="148"/>
      <c r="N476" s="92" t="e">
        <f>VLOOKUP(Table1[[#This Row],[USER]],[1]!Table145678910111213141545678910111213146[[#All],[No.]:[Delete]],2,0)</f>
        <v>#N/A</v>
      </c>
    </row>
    <row r="477" spans="1:14">
      <c r="A477" s="93">
        <v>469</v>
      </c>
      <c r="B477" s="94">
        <v>2</v>
      </c>
      <c r="C477" s="99" t="s">
        <v>57</v>
      </c>
      <c r="D477" s="40" t="str">
        <f>VLOOKUP(E477,Sheet3!$A$2:$D$6338,2,0)</f>
        <v>Nguyễn Hải Hậu</v>
      </c>
      <c r="E477" s="96" t="s">
        <v>475</v>
      </c>
      <c r="F477" s="44" t="str">
        <f t="shared" si="8"/>
        <v>VN11714</v>
      </c>
      <c r="G477" s="295"/>
      <c r="H477" s="41" t="s">
        <v>67</v>
      </c>
      <c r="I477" s="95">
        <v>45439</v>
      </c>
      <c r="J477" s="122"/>
      <c r="K477" s="122"/>
      <c r="L477" s="147" t="str">
        <f>VLOOKUP(E477,DS!$A$2:$E$4398, 5, 0)</f>
        <v>QC</v>
      </c>
      <c r="M477" s="148"/>
      <c r="N477" s="92" t="e">
        <f>VLOOKUP(Table1[[#This Row],[USER]],[1]!Table145678910111213141545678910111213146[[#All],[No.]:[Delete]],2,0)</f>
        <v>#N/A</v>
      </c>
    </row>
    <row r="478" spans="1:14">
      <c r="A478" s="93">
        <v>470</v>
      </c>
      <c r="B478" s="94">
        <v>3</v>
      </c>
      <c r="C478" s="40" t="s">
        <v>57</v>
      </c>
      <c r="D478" s="40" t="str">
        <f>VLOOKUP(E478,Sheet3!$A$2:$D$6338,2,0)</f>
        <v>Nguyễn Ngọc Hoàn</v>
      </c>
      <c r="E478" s="44" t="s">
        <v>476</v>
      </c>
      <c r="F478" s="44" t="str">
        <f t="shared" si="8"/>
        <v>VN19425</v>
      </c>
      <c r="G478" s="295"/>
      <c r="H478" s="41" t="s">
        <v>67</v>
      </c>
      <c r="I478" s="95">
        <v>45439</v>
      </c>
      <c r="J478" s="122"/>
      <c r="K478" s="122"/>
      <c r="L478" s="147" t="str">
        <f>VLOOKUP(E478,DS!$A$2:$E$4398, 5, 0)</f>
        <v>QC</v>
      </c>
      <c r="M478" s="148"/>
      <c r="N478" s="92" t="e">
        <f>VLOOKUP(Table1[[#This Row],[USER]],[1]!Table145678910111213141545678910111213146[[#All],[No.]:[Delete]],2,0)</f>
        <v>#N/A</v>
      </c>
    </row>
    <row r="479" spans="1:14">
      <c r="A479" s="93">
        <v>471</v>
      </c>
      <c r="B479" s="94">
        <v>4</v>
      </c>
      <c r="C479" s="40" t="s">
        <v>57</v>
      </c>
      <c r="D479" s="40" t="str">
        <f>VLOOKUP(E479,Sheet3!$A$2:$D$6338,2,0)</f>
        <v>Nguyễn Duy Tiến</v>
      </c>
      <c r="E479" s="44" t="s">
        <v>477</v>
      </c>
      <c r="F479" s="44" t="str">
        <f t="shared" si="8"/>
        <v>VN24125</v>
      </c>
      <c r="G479" s="295"/>
      <c r="H479" s="41" t="s">
        <v>67</v>
      </c>
      <c r="I479" s="95">
        <v>45439</v>
      </c>
      <c r="J479" s="122"/>
      <c r="K479" s="122"/>
      <c r="L479" s="147" t="str">
        <f>VLOOKUP(E479,DS!$A$2:$E$4398, 5, 0)</f>
        <v>QC</v>
      </c>
      <c r="M479" s="148"/>
      <c r="N479" s="92" t="e">
        <f>VLOOKUP(Table1[[#This Row],[USER]],[1]!Table145678910111213141545678910111213146[[#All],[No.]:[Delete]],2,0)</f>
        <v>#N/A</v>
      </c>
    </row>
    <row r="480" spans="1:14">
      <c r="A480" s="93">
        <v>472</v>
      </c>
      <c r="B480" s="94">
        <v>5</v>
      </c>
      <c r="C480" s="40" t="s">
        <v>57</v>
      </c>
      <c r="D480" s="40" t="str">
        <f>VLOOKUP(E480,Sheet3!$A$2:$D$6338,2,0)</f>
        <v>Nguyễn Thành Thoại</v>
      </c>
      <c r="E480" s="44" t="s">
        <v>479</v>
      </c>
      <c r="F480" s="44" t="str">
        <f t="shared" si="8"/>
        <v>VN20193</v>
      </c>
      <c r="G480" s="295"/>
      <c r="H480" s="41" t="s">
        <v>67</v>
      </c>
      <c r="I480" s="95">
        <v>45439</v>
      </c>
      <c r="J480" s="122">
        <v>45806</v>
      </c>
      <c r="K480" s="122">
        <v>45806</v>
      </c>
      <c r="L480" s="147" t="e">
        <f>VLOOKUP(E480,DS!$A$2:$E$4398, 5, 0)</f>
        <v>#N/A</v>
      </c>
      <c r="M480" s="148"/>
      <c r="N480" s="92" t="e">
        <f>VLOOKUP(Table1[[#This Row],[USER]],[1]!Table145678910111213141545678910111213146[[#All],[No.]:[Delete]],2,0)</f>
        <v>#N/A</v>
      </c>
    </row>
    <row r="481" spans="1:14">
      <c r="A481" s="93">
        <v>473</v>
      </c>
      <c r="B481" s="94">
        <v>6</v>
      </c>
      <c r="C481" s="40" t="s">
        <v>57</v>
      </c>
      <c r="D481" s="40" t="str">
        <f>VLOOKUP(E481,Sheet3!$A$2:$D$6338,2,0)</f>
        <v>Phạm Thị Hồng Việt</v>
      </c>
      <c r="E481" s="44" t="s">
        <v>480</v>
      </c>
      <c r="F481" s="44" t="str">
        <f t="shared" si="8"/>
        <v>VN00079</v>
      </c>
      <c r="G481" s="295"/>
      <c r="H481" s="41" t="s">
        <v>67</v>
      </c>
      <c r="I481" s="95">
        <v>45439</v>
      </c>
      <c r="J481" s="122"/>
      <c r="K481" s="122"/>
      <c r="L481" s="147" t="str">
        <f>VLOOKUP(E481,DS!$A$2:$E$4398, 5, 0)</f>
        <v>QC</v>
      </c>
      <c r="M481" s="148"/>
      <c r="N481" s="92" t="e">
        <f>VLOOKUP(Table1[[#This Row],[USER]],[1]!Table145678910111213141545678910111213146[[#All],[No.]:[Delete]],2,0)</f>
        <v>#N/A</v>
      </c>
    </row>
    <row r="482" spans="1:14">
      <c r="A482" s="93">
        <v>474</v>
      </c>
      <c r="B482" s="94">
        <v>7</v>
      </c>
      <c r="C482" s="40" t="s">
        <v>57</v>
      </c>
      <c r="D482" s="40" t="str">
        <f>VLOOKUP(E482,Sheet3!$A$2:$D$6338,2,0)</f>
        <v>Trần Ngọc Mạnh</v>
      </c>
      <c r="E482" s="44" t="s">
        <v>481</v>
      </c>
      <c r="F482" s="44" t="str">
        <f t="shared" si="8"/>
        <v>VN04104</v>
      </c>
      <c r="G482" s="295"/>
      <c r="H482" s="41" t="s">
        <v>67</v>
      </c>
      <c r="I482" s="95">
        <v>45439</v>
      </c>
      <c r="J482" s="122"/>
      <c r="K482" s="122"/>
      <c r="L482" s="147" t="str">
        <f>VLOOKUP(E482,DS!$A$2:$E$4398, 5, 0)</f>
        <v>QC</v>
      </c>
      <c r="M482" s="148"/>
      <c r="N482" s="92" t="e">
        <f>VLOOKUP(Table1[[#This Row],[USER]],[1]!Table145678910111213141545678910111213146[[#All],[No.]:[Delete]],2,0)</f>
        <v>#N/A</v>
      </c>
    </row>
    <row r="483" spans="1:14">
      <c r="A483" s="93">
        <v>475</v>
      </c>
      <c r="B483" s="94">
        <v>8</v>
      </c>
      <c r="C483" s="40" t="s">
        <v>57</v>
      </c>
      <c r="D483" s="40" t="str">
        <f>VLOOKUP(E483,Sheet3!$A$2:$D$6338,2,0)</f>
        <v>Phan Anh Sáng</v>
      </c>
      <c r="E483" s="44" t="s">
        <v>482</v>
      </c>
      <c r="F483" s="44" t="str">
        <f t="shared" si="8"/>
        <v>VN24525</v>
      </c>
      <c r="G483" s="295"/>
      <c r="H483" s="41" t="s">
        <v>67</v>
      </c>
      <c r="I483" s="95">
        <v>45439</v>
      </c>
      <c r="J483" s="122">
        <v>45806</v>
      </c>
      <c r="K483" s="122">
        <v>45806</v>
      </c>
      <c r="L483" s="147" t="e">
        <f>VLOOKUP(E483,DS!$A$2:$E$4398, 5, 0)</f>
        <v>#N/A</v>
      </c>
      <c r="M483" s="148"/>
      <c r="N483" s="92" t="e">
        <f>VLOOKUP(Table1[[#This Row],[USER]],[1]!Table145678910111213141545678910111213146[[#All],[No.]:[Delete]],2,0)</f>
        <v>#N/A</v>
      </c>
    </row>
    <row r="484" spans="1:14">
      <c r="A484" s="93">
        <v>476</v>
      </c>
      <c r="B484" s="94">
        <v>9</v>
      </c>
      <c r="C484" s="40" t="s">
        <v>57</v>
      </c>
      <c r="D484" s="40" t="str">
        <f>VLOOKUP(E484,Sheet3!$A$2:$D$6338,2,0)</f>
        <v>Đào Duy Hậu</v>
      </c>
      <c r="E484" s="44" t="s">
        <v>483</v>
      </c>
      <c r="F484" s="44" t="str">
        <f t="shared" ref="F484:F543" si="10">"VN"&amp;RIGHT(E484,5)</f>
        <v>VN10693</v>
      </c>
      <c r="G484" s="295"/>
      <c r="H484" s="41" t="s">
        <v>67</v>
      </c>
      <c r="I484" s="95">
        <v>45439</v>
      </c>
      <c r="J484" s="122"/>
      <c r="K484" s="122"/>
      <c r="L484" s="147" t="str">
        <f>VLOOKUP(E484,DS!$A$2:$E$4398, 5, 0)</f>
        <v>QC</v>
      </c>
      <c r="M484" s="148"/>
      <c r="N484" s="92" t="e">
        <f>VLOOKUP(Table1[[#This Row],[USER]],[1]!Table145678910111213141545678910111213146[[#All],[No.]:[Delete]],2,0)</f>
        <v>#N/A</v>
      </c>
    </row>
    <row r="485" spans="1:14">
      <c r="A485" s="93">
        <v>477</v>
      </c>
      <c r="B485" s="94">
        <v>10</v>
      </c>
      <c r="C485" s="40" t="s">
        <v>57</v>
      </c>
      <c r="D485" s="40" t="str">
        <f>VLOOKUP(E485,Sheet3!$A$2:$D$6338,2,0)</f>
        <v>Nguyễn Hồng Phi</v>
      </c>
      <c r="E485" s="44" t="s">
        <v>484</v>
      </c>
      <c r="F485" s="44" t="str">
        <f t="shared" si="10"/>
        <v>VN24081</v>
      </c>
      <c r="G485" s="295"/>
      <c r="H485" s="41" t="s">
        <v>67</v>
      </c>
      <c r="I485" s="95">
        <v>45439</v>
      </c>
      <c r="J485" s="122"/>
      <c r="K485" s="122"/>
      <c r="L485" s="147" t="str">
        <f>VLOOKUP(E485,DS!$A$2:$E$4398, 5, 0)</f>
        <v>QC</v>
      </c>
      <c r="M485" s="148"/>
      <c r="N485" s="92" t="e">
        <f>VLOOKUP(Table1[[#This Row],[USER]],[1]!Table145678910111213141545678910111213146[[#All],[No.]:[Delete]],2,0)</f>
        <v>#N/A</v>
      </c>
    </row>
    <row r="486" spans="1:14">
      <c r="A486" s="93">
        <v>478</v>
      </c>
      <c r="B486" s="94">
        <v>11</v>
      </c>
      <c r="C486" s="40" t="s">
        <v>57</v>
      </c>
      <c r="D486" s="40" t="str">
        <f>VLOOKUP(E486,Sheet3!$A$2:$D$6338,2,0)</f>
        <v>Lê Chung</v>
      </c>
      <c r="E486" s="44" t="s">
        <v>486</v>
      </c>
      <c r="F486" s="44" t="str">
        <f t="shared" si="10"/>
        <v>VN11402</v>
      </c>
      <c r="G486" s="295"/>
      <c r="H486" s="41" t="s">
        <v>67</v>
      </c>
      <c r="I486" s="95">
        <v>45439</v>
      </c>
      <c r="J486" s="122"/>
      <c r="K486" s="122"/>
      <c r="L486" s="147" t="str">
        <f>VLOOKUP(E486,DS!$A$2:$E$4398, 5, 0)</f>
        <v>QC</v>
      </c>
      <c r="M486" s="148"/>
      <c r="N486" s="92" t="e">
        <f>VLOOKUP(Table1[[#This Row],[USER]],[1]!Table145678910111213141545678910111213146[[#All],[No.]:[Delete]],2,0)</f>
        <v>#N/A</v>
      </c>
    </row>
    <row r="487" spans="1:14">
      <c r="A487" s="93">
        <v>479</v>
      </c>
      <c r="B487" s="94">
        <v>12</v>
      </c>
      <c r="C487" s="40" t="s">
        <v>57</v>
      </c>
      <c r="D487" s="40" t="str">
        <f>VLOOKUP(E487,Sheet3!$A$2:$D$6338,2,0)</f>
        <v>Trần Đại Nghĩa</v>
      </c>
      <c r="E487" s="44" t="s">
        <v>487</v>
      </c>
      <c r="F487" s="44" t="str">
        <f t="shared" si="10"/>
        <v>VN06237</v>
      </c>
      <c r="G487" s="295"/>
      <c r="H487" s="41" t="s">
        <v>67</v>
      </c>
      <c r="I487" s="95">
        <v>45439</v>
      </c>
      <c r="J487" s="122"/>
      <c r="K487" s="122"/>
      <c r="L487" s="147" t="str">
        <f>VLOOKUP(E487,DS!$A$2:$E$4398, 5, 0)</f>
        <v>QC</v>
      </c>
      <c r="M487" s="148"/>
      <c r="N487" s="92" t="e">
        <f>VLOOKUP(Table1[[#This Row],[USER]],[1]!Table145678910111213141545678910111213146[[#All],[No.]:[Delete]],2,0)</f>
        <v>#N/A</v>
      </c>
    </row>
    <row r="488" spans="1:14">
      <c r="A488" s="93">
        <v>480</v>
      </c>
      <c r="B488" s="94">
        <v>13</v>
      </c>
      <c r="C488" s="40" t="s">
        <v>57</v>
      </c>
      <c r="D488" s="40" t="str">
        <f>VLOOKUP(E488,Sheet3!$A$2:$D$6338,2,0)</f>
        <v>Phạm Văn An</v>
      </c>
      <c r="E488" s="44" t="s">
        <v>488</v>
      </c>
      <c r="F488" s="44" t="str">
        <f t="shared" si="10"/>
        <v>VN03480</v>
      </c>
      <c r="G488" s="295"/>
      <c r="H488" s="41" t="s">
        <v>67</v>
      </c>
      <c r="I488" s="95">
        <v>45439</v>
      </c>
      <c r="J488" s="122"/>
      <c r="K488" s="122"/>
      <c r="L488" s="147" t="str">
        <f>VLOOKUP(E488,DS!$A$2:$E$4398, 5, 0)</f>
        <v>QC</v>
      </c>
      <c r="M488" s="148"/>
      <c r="N488" s="92" t="e">
        <f>VLOOKUP(Table1[[#This Row],[USER]],[1]!Table145678910111213141545678910111213146[[#All],[No.]:[Delete]],2,0)</f>
        <v>#N/A</v>
      </c>
    </row>
    <row r="489" spans="1:14">
      <c r="A489" s="93">
        <v>481</v>
      </c>
      <c r="B489" s="94">
        <v>14</v>
      </c>
      <c r="C489" s="40" t="s">
        <v>57</v>
      </c>
      <c r="D489" s="40" t="str">
        <f>VLOOKUP(E489,Sheet3!$A$2:$D$6338,2,0)</f>
        <v>Đỗ Thị Lan Phương</v>
      </c>
      <c r="E489" s="44" t="s">
        <v>489</v>
      </c>
      <c r="F489" s="44" t="str">
        <f t="shared" si="10"/>
        <v>VN17025</v>
      </c>
      <c r="G489" s="295"/>
      <c r="H489" s="41" t="s">
        <v>67</v>
      </c>
      <c r="I489" s="95">
        <v>45439</v>
      </c>
      <c r="J489" s="122"/>
      <c r="K489" s="122"/>
      <c r="L489" s="147" t="str">
        <f>VLOOKUP(E489,DS!$A$2:$E$4398, 5, 0)</f>
        <v>QC</v>
      </c>
      <c r="M489" s="148"/>
      <c r="N489" s="92" t="e">
        <f>VLOOKUP(Table1[[#This Row],[USER]],[1]!Table145678910111213141545678910111213146[[#All],[No.]:[Delete]],2,0)</f>
        <v>#N/A</v>
      </c>
    </row>
    <row r="490" spans="1:14">
      <c r="A490" s="93">
        <v>482</v>
      </c>
      <c r="B490" s="94">
        <v>15</v>
      </c>
      <c r="C490" s="40" t="s">
        <v>57</v>
      </c>
      <c r="D490" s="40" t="str">
        <f>VLOOKUP(E490,Sheet3!$A$2:$D$6338,2,0)</f>
        <v>Nguyễn Quốc Anh</v>
      </c>
      <c r="E490" s="44" t="s">
        <v>490</v>
      </c>
      <c r="F490" s="44" t="str">
        <f t="shared" si="10"/>
        <v>VN24084</v>
      </c>
      <c r="G490" s="295"/>
      <c r="H490" s="41" t="s">
        <v>67</v>
      </c>
      <c r="I490" s="95">
        <v>45439</v>
      </c>
      <c r="J490" s="122"/>
      <c r="K490" s="122"/>
      <c r="L490" s="147" t="str">
        <f>VLOOKUP(E490,DS!$A$2:$E$4398, 5, 0)</f>
        <v>QC</v>
      </c>
      <c r="M490" s="148"/>
      <c r="N490" s="92" t="e">
        <f>VLOOKUP(Table1[[#This Row],[USER]],[1]!Table145678910111213141545678910111213146[[#All],[No.]:[Delete]],2,0)</f>
        <v>#N/A</v>
      </c>
    </row>
    <row r="491" spans="1:14">
      <c r="A491" s="93">
        <v>483</v>
      </c>
      <c r="B491" s="94">
        <v>16</v>
      </c>
      <c r="C491" s="40" t="s">
        <v>57</v>
      </c>
      <c r="D491" s="40" t="str">
        <f>VLOOKUP(E491,Sheet3!$A$2:$D$6338,2,0)</f>
        <v>Phan Hải Hà</v>
      </c>
      <c r="E491" s="44" t="s">
        <v>485</v>
      </c>
      <c r="F491" s="44" t="str">
        <f t="shared" si="10"/>
        <v>VN00913</v>
      </c>
      <c r="G491" s="295"/>
      <c r="H491" s="41" t="s">
        <v>67</v>
      </c>
      <c r="I491" s="95">
        <v>45439</v>
      </c>
      <c r="J491" s="122"/>
      <c r="K491" s="122"/>
      <c r="L491" s="147" t="str">
        <f>VLOOKUP(E491,DS!$A$2:$E$4398, 5, 0)</f>
        <v>QC</v>
      </c>
      <c r="M491" s="148"/>
      <c r="N491" s="92" t="e">
        <f>VLOOKUP(Table1[[#This Row],[USER]],[1]!Table145678910111213141545678910111213146[[#All],[No.]:[Delete]],2,0)</f>
        <v>#N/A</v>
      </c>
    </row>
    <row r="492" spans="1:14">
      <c r="A492" s="93">
        <v>484</v>
      </c>
      <c r="B492" s="94">
        <v>17</v>
      </c>
      <c r="C492" s="40" t="s">
        <v>57</v>
      </c>
      <c r="D492" s="40" t="str">
        <f>VLOOKUP(E492,Sheet3!$A$2:$D$6338,2,0)</f>
        <v>Phạm Văn Hưng</v>
      </c>
      <c r="E492" s="44" t="s">
        <v>491</v>
      </c>
      <c r="F492" s="44" t="str">
        <f t="shared" si="10"/>
        <v>VN19777</v>
      </c>
      <c r="G492" s="295"/>
      <c r="H492" s="41" t="s">
        <v>67</v>
      </c>
      <c r="I492" s="95">
        <v>45439</v>
      </c>
      <c r="J492" s="122"/>
      <c r="K492" s="122"/>
      <c r="L492" s="147" t="str">
        <f>VLOOKUP(E492,DS!$A$2:$E$4398, 5, 0)</f>
        <v>QC</v>
      </c>
      <c r="M492" s="148"/>
      <c r="N492" s="92" t="e">
        <f>VLOOKUP(Table1[[#This Row],[USER]],[1]!Table145678910111213141545678910111213146[[#All],[No.]:[Delete]],2,0)</f>
        <v>#N/A</v>
      </c>
    </row>
    <row r="493" spans="1:14">
      <c r="A493" s="93">
        <v>485</v>
      </c>
      <c r="B493" s="94">
        <v>18</v>
      </c>
      <c r="C493" s="40" t="s">
        <v>57</v>
      </c>
      <c r="D493" s="40" t="str">
        <f>VLOOKUP(E493,Sheet3!$A$2:$D$6338,2,0)</f>
        <v>Nguyễn Ngọc Thanh</v>
      </c>
      <c r="E493" s="44" t="s">
        <v>492</v>
      </c>
      <c r="F493" s="44" t="str">
        <f t="shared" si="10"/>
        <v>VN13847</v>
      </c>
      <c r="G493" s="295"/>
      <c r="H493" s="41" t="s">
        <v>67</v>
      </c>
      <c r="I493" s="95">
        <v>45439</v>
      </c>
      <c r="J493" s="122"/>
      <c r="K493" s="122"/>
      <c r="L493" s="147" t="str">
        <f>VLOOKUP(E493,DS!$A$2:$E$4398, 5, 0)</f>
        <v>QC</v>
      </c>
      <c r="M493" s="148"/>
      <c r="N493" s="92" t="e">
        <f>VLOOKUP(Table1[[#This Row],[USER]],[1]!Table145678910111213141545678910111213146[[#All],[No.]:[Delete]],2,0)</f>
        <v>#N/A</v>
      </c>
    </row>
    <row r="494" spans="1:14">
      <c r="A494" s="93">
        <v>486</v>
      </c>
      <c r="B494" s="94">
        <v>19</v>
      </c>
      <c r="C494" s="40" t="s">
        <v>57</v>
      </c>
      <c r="D494" s="40" t="str">
        <f>VLOOKUP(E494,Sheet3!$A$2:$D$6338,2,0)</f>
        <v>Nguyễn Văn Hải</v>
      </c>
      <c r="E494" s="44" t="s">
        <v>478</v>
      </c>
      <c r="F494" s="44" t="str">
        <f t="shared" si="10"/>
        <v>VN03408</v>
      </c>
      <c r="G494" s="295"/>
      <c r="H494" s="41" t="s">
        <v>67</v>
      </c>
      <c r="I494" s="95">
        <v>45439</v>
      </c>
      <c r="J494" s="122"/>
      <c r="K494" s="122"/>
      <c r="L494" s="147" t="str">
        <f>VLOOKUP(E494,DS!$A$2:$E$4398, 5, 0)</f>
        <v>QC</v>
      </c>
      <c r="M494" s="148"/>
      <c r="N494" s="92" t="e">
        <f>VLOOKUP(Table1[[#This Row],[USER]],[1]!Table145678910111213141545678910111213146[[#All],[No.]:[Delete]],2,0)</f>
        <v>#N/A</v>
      </c>
    </row>
    <row r="495" spans="1:14">
      <c r="A495" s="93">
        <v>487</v>
      </c>
      <c r="B495" s="94">
        <v>20</v>
      </c>
      <c r="C495" s="40" t="s">
        <v>57</v>
      </c>
      <c r="D495" s="40" t="str">
        <f>VLOOKUP(E495,Sheet3!$A$2:$D$6338,2,0)</f>
        <v>Nguyễn Văn Thái</v>
      </c>
      <c r="E495" s="163" t="s">
        <v>8391</v>
      </c>
      <c r="F495" s="163" t="str">
        <f>"VN"&amp;RIGHT(E495,5)</f>
        <v>VN26003</v>
      </c>
      <c r="G495" s="295"/>
      <c r="H495" s="41" t="s">
        <v>67</v>
      </c>
      <c r="I495" s="164">
        <v>45812</v>
      </c>
      <c r="J495" s="147"/>
      <c r="K495" s="147"/>
      <c r="L495" s="147" t="str">
        <f>VLOOKUP(E495,DS!$A$2:$E$4398, 5, 0)</f>
        <v>QC</v>
      </c>
      <c r="M495" s="148"/>
      <c r="N495" s="92" t="e">
        <f>VLOOKUP(Table1[[#This Row],[USER]],[1]!Table145678910111213141545678910111213146[[#All],[No.]:[Delete]],2,0)</f>
        <v>#N/A</v>
      </c>
    </row>
    <row r="496" spans="1:14">
      <c r="A496" s="93">
        <v>488</v>
      </c>
      <c r="B496" s="94">
        <v>19</v>
      </c>
      <c r="C496" s="40" t="s">
        <v>57</v>
      </c>
      <c r="D496" s="40" t="str">
        <f>VLOOKUP(E496,Sheet3!$A$2:$D$6338,2,0)</f>
        <v>Nguyễn Văn Khánh</v>
      </c>
      <c r="E496" s="218" t="s">
        <v>8670</v>
      </c>
      <c r="F496" s="218" t="str">
        <f>"VN"&amp;RIGHT(E496,5)</f>
        <v>VN25894</v>
      </c>
      <c r="G496" s="300"/>
      <c r="H496" s="41" t="s">
        <v>67</v>
      </c>
      <c r="I496" s="225">
        <v>45909</v>
      </c>
      <c r="J496" s="220"/>
      <c r="K496" s="220"/>
      <c r="L496" s="220" t="str">
        <f>VLOOKUP(E496,DS!$A$2:$E$4398, 5, 0)</f>
        <v>QC</v>
      </c>
      <c r="M496" s="221"/>
      <c r="N496" s="92" t="e">
        <f>VLOOKUP(Table1[[#This Row],[USER]],[1]!Table145678910111213141545678910111213146[[#All],[No.]:[Delete]],2,0)</f>
        <v>#N/A</v>
      </c>
    </row>
    <row r="497" spans="1:14">
      <c r="A497" s="93">
        <v>489</v>
      </c>
      <c r="B497" s="94">
        <v>20</v>
      </c>
      <c r="C497" s="40" t="s">
        <v>57</v>
      </c>
      <c r="D497" s="40" t="str">
        <f>VLOOKUP(E497,Sheet3!$A$2:$D$6338,2,0)</f>
        <v>Hoàng Văn Sáng</v>
      </c>
      <c r="E497" s="218" t="s">
        <v>8671</v>
      </c>
      <c r="F497" s="218" t="str">
        <f>"VN"&amp;RIGHT(E497,5)</f>
        <v>VN13073</v>
      </c>
      <c r="G497" s="300"/>
      <c r="H497" s="41" t="s">
        <v>67</v>
      </c>
      <c r="I497" s="225">
        <v>45435</v>
      </c>
      <c r="J497" s="220"/>
      <c r="K497" s="220"/>
      <c r="L497" s="220" t="str">
        <f>VLOOKUP(E497,DS!$A$2:$E$4398, 5, 0)</f>
        <v>QC</v>
      </c>
      <c r="M497" s="221"/>
      <c r="N497" s="92" t="e">
        <f>VLOOKUP(Table1[[#This Row],[USER]],[1]!Table145678910111213141545678910111213146[[#All],[No.]:[Delete]],2,0)</f>
        <v>#N/A</v>
      </c>
    </row>
    <row r="498" spans="1:14">
      <c r="A498" s="93">
        <v>490</v>
      </c>
      <c r="B498" s="94">
        <v>1</v>
      </c>
      <c r="C498" s="40" t="s">
        <v>7946</v>
      </c>
      <c r="D498" s="40" t="str">
        <f>VLOOKUP(E498,Sheet3!$A$2:$D$6338,2,0)</f>
        <v>Phạm Thị Hằng</v>
      </c>
      <c r="E498" s="44" t="s">
        <v>493</v>
      </c>
      <c r="F498" s="44" t="str">
        <f t="shared" si="10"/>
        <v>VN15704</v>
      </c>
      <c r="G498" s="295"/>
      <c r="H498" s="41" t="s">
        <v>67</v>
      </c>
      <c r="I498" s="95">
        <v>45437</v>
      </c>
      <c r="J498" s="122"/>
      <c r="K498" s="122"/>
      <c r="L498" s="147" t="str">
        <f>VLOOKUP(E498,DS!$A$2:$E$4398, 5, 0)</f>
        <v>Dập X4</v>
      </c>
      <c r="M498" s="148"/>
      <c r="N498" s="92" t="e">
        <f>VLOOKUP(Table1[[#This Row],[USER]],[1]!Table145678910111213141545678910111213146[[#All],[No.]:[Delete]],2,0)</f>
        <v>#N/A</v>
      </c>
    </row>
    <row r="499" spans="1:14">
      <c r="A499" s="93">
        <v>491</v>
      </c>
      <c r="B499" s="94">
        <v>2</v>
      </c>
      <c r="C499" s="40" t="s">
        <v>7946</v>
      </c>
      <c r="D499" s="40" t="str">
        <f>VLOOKUP(E499,Sheet3!$A$2:$D$6338,2,0)</f>
        <v>Lưu Văn Sơn</v>
      </c>
      <c r="E499" s="44" t="s">
        <v>496</v>
      </c>
      <c r="F499" s="44" t="str">
        <f t="shared" si="10"/>
        <v>VN01413</v>
      </c>
      <c r="G499" s="295"/>
      <c r="H499" s="41" t="s">
        <v>67</v>
      </c>
      <c r="I499" s="95">
        <v>45437</v>
      </c>
      <c r="J499" s="122"/>
      <c r="K499" s="122"/>
      <c r="L499" s="147" t="str">
        <f>VLOOKUP(E499,DS!$A$2:$E$4398, 5, 0)</f>
        <v>Dập X4</v>
      </c>
      <c r="M499" s="148"/>
      <c r="N499" s="92" t="e">
        <f>VLOOKUP(Table1[[#This Row],[USER]],[1]!Table145678910111213141545678910111213146[[#All],[No.]:[Delete]],2,0)</f>
        <v>#N/A</v>
      </c>
    </row>
    <row r="500" spans="1:14">
      <c r="A500" s="93">
        <v>492</v>
      </c>
      <c r="B500" s="94">
        <v>3</v>
      </c>
      <c r="C500" s="40" t="s">
        <v>7946</v>
      </c>
      <c r="D500" s="40" t="str">
        <f>VLOOKUP(E500,Sheet3!$A$2:$D$6338,2,0)</f>
        <v>Dương Thị Hương</v>
      </c>
      <c r="E500" s="44" t="s">
        <v>497</v>
      </c>
      <c r="F500" s="44" t="str">
        <f t="shared" si="10"/>
        <v>VN10636</v>
      </c>
      <c r="G500" s="295"/>
      <c r="H500" s="41" t="s">
        <v>67</v>
      </c>
      <c r="I500" s="95">
        <v>45437</v>
      </c>
      <c r="J500" s="122"/>
      <c r="K500" s="122"/>
      <c r="L500" s="147" t="str">
        <f>VLOOKUP(E500,DS!$A$2:$E$4398, 5, 0)</f>
        <v>Dập X4</v>
      </c>
      <c r="M500" s="148"/>
      <c r="N500" s="92" t="e">
        <f>VLOOKUP(Table1[[#This Row],[USER]],[1]!Table145678910111213141545678910111213146[[#All],[No.]:[Delete]],2,0)</f>
        <v>#N/A</v>
      </c>
    </row>
    <row r="501" spans="1:14">
      <c r="A501" s="93">
        <v>493</v>
      </c>
      <c r="B501" s="94">
        <v>4</v>
      </c>
      <c r="C501" s="40" t="s">
        <v>7946</v>
      </c>
      <c r="D501" s="40" t="str">
        <f>VLOOKUP(E501,Sheet3!$A$2:$D$6338,2,0)</f>
        <v>Nguyễn Thị Soan</v>
      </c>
      <c r="E501" s="44" t="s">
        <v>498</v>
      </c>
      <c r="F501" s="44" t="str">
        <f t="shared" si="10"/>
        <v>VN15705</v>
      </c>
      <c r="G501" s="295"/>
      <c r="H501" s="41" t="s">
        <v>67</v>
      </c>
      <c r="I501" s="95">
        <v>45437</v>
      </c>
      <c r="J501" s="122">
        <v>45806</v>
      </c>
      <c r="K501" s="122">
        <v>45806</v>
      </c>
      <c r="L501" s="147" t="e">
        <f>VLOOKUP(E501,DS!$A$2:$E$4398, 5, 0)</f>
        <v>#N/A</v>
      </c>
      <c r="M501" s="148"/>
      <c r="N501" s="92" t="e">
        <f>VLOOKUP(Table1[[#This Row],[USER]],[1]!Table145678910111213141545678910111213146[[#All],[No.]:[Delete]],2,0)</f>
        <v>#N/A</v>
      </c>
    </row>
    <row r="502" spans="1:14">
      <c r="A502" s="93">
        <v>494</v>
      </c>
      <c r="B502" s="94">
        <v>5</v>
      </c>
      <c r="C502" s="40" t="s">
        <v>7946</v>
      </c>
      <c r="D502" s="40" t="e">
        <f>VLOOKUP(E502,Sheet3!$A$2:$D$6338,2,0)</f>
        <v>#N/A</v>
      </c>
      <c r="E502" s="44" t="s">
        <v>499</v>
      </c>
      <c r="F502" s="44" t="s">
        <v>834</v>
      </c>
      <c r="G502" s="295"/>
      <c r="H502" s="41" t="s">
        <v>67</v>
      </c>
      <c r="I502" s="95">
        <v>45437</v>
      </c>
      <c r="J502" s="122"/>
      <c r="K502" s="122"/>
      <c r="L502" s="147" t="e">
        <f>VLOOKUP(E502,DS!$A$2:$E$4398, 5, 0)</f>
        <v>#N/A</v>
      </c>
      <c r="M502" s="148"/>
      <c r="N502" s="92" t="e">
        <f>VLOOKUP(Table1[[#This Row],[USER]],[1]!Table145678910111213141545678910111213146[[#All],[No.]:[Delete]],2,0)</f>
        <v>#N/A</v>
      </c>
    </row>
    <row r="503" spans="1:14">
      <c r="A503" s="93">
        <v>495</v>
      </c>
      <c r="B503" s="94">
        <v>6</v>
      </c>
      <c r="C503" s="40" t="s">
        <v>7946</v>
      </c>
      <c r="D503" s="40" t="str">
        <f>VLOOKUP(E503,Sheet3!$A$2:$D$6338,2,0)</f>
        <v>Nguyễn Thị Thu Hà</v>
      </c>
      <c r="E503" s="44" t="s">
        <v>500</v>
      </c>
      <c r="F503" s="44" t="str">
        <f t="shared" si="10"/>
        <v>VN10595</v>
      </c>
      <c r="G503" s="295"/>
      <c r="H503" s="41" t="s">
        <v>67</v>
      </c>
      <c r="I503" s="95">
        <v>45437</v>
      </c>
      <c r="J503" s="122"/>
      <c r="K503" s="122"/>
      <c r="L503" s="147" t="str">
        <f>VLOOKUP(E503,DS!$A$2:$E$4398, 5, 0)</f>
        <v>Dập X4</v>
      </c>
      <c r="M503" s="148"/>
      <c r="N503" s="92" t="e">
        <f>VLOOKUP(Table1[[#This Row],[USER]],[1]!Table145678910111213141545678910111213146[[#All],[No.]:[Delete]],2,0)</f>
        <v>#N/A</v>
      </c>
    </row>
    <row r="504" spans="1:14">
      <c r="A504" s="93">
        <v>496</v>
      </c>
      <c r="B504" s="94">
        <v>7</v>
      </c>
      <c r="C504" s="40" t="s">
        <v>7946</v>
      </c>
      <c r="D504" s="40" t="str">
        <f>VLOOKUP(E504,Sheet3!$A$2:$D$6338,2,0)</f>
        <v>Phan Thị Loan</v>
      </c>
      <c r="E504" s="44" t="s">
        <v>501</v>
      </c>
      <c r="F504" s="44" t="str">
        <f t="shared" si="10"/>
        <v>VN16434</v>
      </c>
      <c r="G504" s="295"/>
      <c r="H504" s="41" t="s">
        <v>67</v>
      </c>
      <c r="I504" s="95">
        <v>45434</v>
      </c>
      <c r="J504" s="122"/>
      <c r="K504" s="122"/>
      <c r="L504" s="147" t="str">
        <f>VLOOKUP(E504,DS!$A$2:$E$4398, 5, 0)</f>
        <v>Dập X4</v>
      </c>
      <c r="M504" s="148"/>
      <c r="N504" s="92" t="e">
        <f>VLOOKUP(Table1[[#This Row],[USER]],[1]!Table145678910111213141545678910111213146[[#All],[No.]:[Delete]],2,0)</f>
        <v>#N/A</v>
      </c>
    </row>
    <row r="505" spans="1:14">
      <c r="A505" s="93">
        <v>497</v>
      </c>
      <c r="B505" s="94">
        <v>8</v>
      </c>
      <c r="C505" s="40" t="s">
        <v>7946</v>
      </c>
      <c r="D505" s="40" t="str">
        <f>VLOOKUP(E505,Sheet3!$A$2:$D$6338,2,0)</f>
        <v>Hoàng Thị Chung</v>
      </c>
      <c r="E505" s="44" t="s">
        <v>494</v>
      </c>
      <c r="F505" s="44" t="str">
        <f t="shared" si="10"/>
        <v>VN12014</v>
      </c>
      <c r="G505" s="295"/>
      <c r="H505" s="41" t="s">
        <v>67</v>
      </c>
      <c r="I505" s="95">
        <v>45437</v>
      </c>
      <c r="J505" s="122">
        <v>45806</v>
      </c>
      <c r="K505" s="122">
        <v>45806</v>
      </c>
      <c r="L505" s="147" t="e">
        <f>VLOOKUP(E505,DS!$A$2:$E$4398, 5, 0)</f>
        <v>#N/A</v>
      </c>
      <c r="M505" s="148"/>
      <c r="N505" s="92" t="e">
        <f>VLOOKUP(Table1[[#This Row],[USER]],[1]!Table145678910111213141545678910111213146[[#All],[No.]:[Delete]],2,0)</f>
        <v>#N/A</v>
      </c>
    </row>
    <row r="506" spans="1:14">
      <c r="A506" s="93">
        <v>498</v>
      </c>
      <c r="B506" s="94">
        <v>9</v>
      </c>
      <c r="C506" s="40" t="s">
        <v>7946</v>
      </c>
      <c r="D506" s="40" t="str">
        <f>VLOOKUP(E506,Sheet3!$A$2:$D$6338,2,0)</f>
        <v>Dương Thị Thu Nga</v>
      </c>
      <c r="E506" s="44" t="s">
        <v>495</v>
      </c>
      <c r="F506" s="44" t="str">
        <f t="shared" si="10"/>
        <v>VN11901</v>
      </c>
      <c r="G506" s="295"/>
      <c r="H506" s="41" t="s">
        <v>67</v>
      </c>
      <c r="I506" s="95">
        <v>45437</v>
      </c>
      <c r="J506" s="122"/>
      <c r="K506" s="122"/>
      <c r="L506" s="147" t="str">
        <f>VLOOKUP(E506,DS!$A$2:$E$4398, 5, 0)</f>
        <v>Dập X4</v>
      </c>
      <c r="M506" s="148"/>
      <c r="N506" s="92" t="e">
        <f>VLOOKUP(Table1[[#This Row],[USER]],[1]!Table145678910111213141545678910111213146[[#All],[No.]:[Delete]],2,0)</f>
        <v>#N/A</v>
      </c>
    </row>
    <row r="507" spans="1:14">
      <c r="A507" s="93">
        <v>499</v>
      </c>
      <c r="B507" s="94">
        <v>10</v>
      </c>
      <c r="C507" s="40" t="s">
        <v>7946</v>
      </c>
      <c r="D507" s="40" t="str">
        <f>VLOOKUP(E507,Sheet3!$A$2:$D$6338,2,0)</f>
        <v>Hoàng Văn Toán</v>
      </c>
      <c r="E507" s="44" t="s">
        <v>502</v>
      </c>
      <c r="F507" s="44" t="str">
        <f t="shared" si="10"/>
        <v>VN04708</v>
      </c>
      <c r="G507" s="295"/>
      <c r="H507" s="41" t="s">
        <v>67</v>
      </c>
      <c r="I507" s="95">
        <v>45437</v>
      </c>
      <c r="J507" s="122">
        <v>45919</v>
      </c>
      <c r="K507" s="122">
        <v>45919</v>
      </c>
      <c r="L507" s="147" t="e">
        <f>VLOOKUP(E507,DS!$A$2:$E$4398, 5, 0)</f>
        <v>#N/A</v>
      </c>
      <c r="M507" s="148"/>
      <c r="N507" s="92" t="e">
        <f>VLOOKUP(Table1[[#This Row],[USER]],[1]!Table145678910111213141545678910111213146[[#All],[No.]:[Delete]],2,0)</f>
        <v>#N/A</v>
      </c>
    </row>
    <row r="508" spans="1:14">
      <c r="A508" s="93">
        <v>500</v>
      </c>
      <c r="B508" s="94">
        <v>11</v>
      </c>
      <c r="C508" s="40" t="s">
        <v>841</v>
      </c>
      <c r="D508" s="40" t="str">
        <f>VLOOKUP(E508,Sheet3!$A$2:$D$6338,2,0)</f>
        <v>Nguyễn Thị Huyền</v>
      </c>
      <c r="E508" s="44" t="s">
        <v>7797</v>
      </c>
      <c r="F508" s="44" t="str">
        <f>"VN"&amp;RIGHT(E508,5)</f>
        <v>VN08352</v>
      </c>
      <c r="G508" s="295"/>
      <c r="H508" s="41" t="s">
        <v>67</v>
      </c>
      <c r="I508" s="95">
        <v>45469</v>
      </c>
      <c r="J508" s="122"/>
      <c r="K508" s="122"/>
      <c r="L508" s="147" t="str">
        <f>VLOOKUP(E508,DS!$A$2:$E$4398, 5, 0)</f>
        <v>Dập X4</v>
      </c>
      <c r="M508" s="148"/>
      <c r="N508" s="92" t="e">
        <f>VLOOKUP(Table1[[#This Row],[USER]],[1]!Table145678910111213141545678910111213146[[#All],[No.]:[Delete]],2,0)</f>
        <v>#N/A</v>
      </c>
    </row>
    <row r="509" spans="1:14">
      <c r="A509" s="93">
        <v>501</v>
      </c>
      <c r="B509" s="94">
        <v>12</v>
      </c>
      <c r="C509" s="40" t="s">
        <v>841</v>
      </c>
      <c r="D509" s="40" t="str">
        <f>VLOOKUP(E509,Sheet3!$A$2:$D$6338,2,0)</f>
        <v>Bùi Thị Hồng Hoài</v>
      </c>
      <c r="E509" s="44" t="s">
        <v>8005</v>
      </c>
      <c r="F509" s="44" t="str">
        <f>"VN"&amp;RIGHT(E509,5)</f>
        <v>VN04365</v>
      </c>
      <c r="G509" s="295"/>
      <c r="H509" s="41" t="s">
        <v>67</v>
      </c>
      <c r="I509" s="95">
        <v>45736</v>
      </c>
      <c r="J509" s="122"/>
      <c r="K509" s="122"/>
      <c r="L509" s="147" t="str">
        <f>VLOOKUP(E509,DS!$A$2:$E$4398, 5, 0)</f>
        <v>Dập X4</v>
      </c>
      <c r="M509" s="148"/>
      <c r="N509" s="92" t="e">
        <f>VLOOKUP(Table1[[#This Row],[USER]],[1]!Table145678910111213141545678910111213146[[#All],[No.]:[Delete]],2,0)</f>
        <v>#N/A</v>
      </c>
    </row>
    <row r="510" spans="1:14">
      <c r="A510" s="93">
        <v>502</v>
      </c>
      <c r="B510" s="94">
        <v>13</v>
      </c>
      <c r="C510" s="40" t="s">
        <v>841</v>
      </c>
      <c r="D510" s="40" t="str">
        <f>VLOOKUP(E510,Sheet3!$A$2:$D$6338,2,0)</f>
        <v>Hoàng Thị Chung</v>
      </c>
      <c r="E510" s="163" t="s">
        <v>8390</v>
      </c>
      <c r="F510" s="163" t="str">
        <f>"VN"&amp;RIGHT(E510,5)</f>
        <v>VN25918</v>
      </c>
      <c r="G510" s="295"/>
      <c r="H510" s="41" t="s">
        <v>67</v>
      </c>
      <c r="I510" s="164">
        <v>45811</v>
      </c>
      <c r="J510" s="147"/>
      <c r="K510" s="147"/>
      <c r="L510" s="147" t="str">
        <f>VLOOKUP(E510,DS!$A$2:$E$4398, 5, 0)</f>
        <v>Dập X4</v>
      </c>
      <c r="M510" s="148"/>
      <c r="N510" s="92" t="e">
        <f>VLOOKUP(Table1[[#This Row],[USER]],[1]!Table145678910111213141545678910111213146[[#All],[No.]:[Delete]],2,0)</f>
        <v>#N/A</v>
      </c>
    </row>
    <row r="511" spans="1:14">
      <c r="A511" s="93">
        <v>503</v>
      </c>
      <c r="B511" s="94">
        <v>14</v>
      </c>
      <c r="C511" s="40" t="s">
        <v>841</v>
      </c>
      <c r="D511" s="40" t="str">
        <f>VLOOKUP(E511,Sheet3!$A$2:$D$6338,2,0)</f>
        <v>Đào Thị Giang</v>
      </c>
      <c r="E511" s="167" t="s">
        <v>8394</v>
      </c>
      <c r="F511" s="167" t="str">
        <f>"VN"&amp;RIGHT(E511,5)</f>
        <v>VN10199</v>
      </c>
      <c r="G511" s="296"/>
      <c r="H511" s="41" t="s">
        <v>67</v>
      </c>
      <c r="I511" s="168">
        <v>45813</v>
      </c>
      <c r="J511" s="169"/>
      <c r="K511" s="169"/>
      <c r="L511" s="147" t="str">
        <f>VLOOKUP(E511,DS!$A$2:$E$4398, 5, 0)</f>
        <v>Dập X4</v>
      </c>
      <c r="M511" s="170"/>
      <c r="N511" s="92" t="e">
        <f>VLOOKUP(Table1[[#This Row],[USER]],[1]!Table145678910111213141545678910111213146[[#All],[No.]:[Delete]],2,0)</f>
        <v>#N/A</v>
      </c>
    </row>
    <row r="512" spans="1:14">
      <c r="A512" s="93">
        <v>504</v>
      </c>
      <c r="B512" s="94">
        <v>1</v>
      </c>
      <c r="C512" s="40" t="s">
        <v>7947</v>
      </c>
      <c r="D512" s="40" t="str">
        <f>VLOOKUP(E512,Sheet3!$A$2:$D$6338,2,0)</f>
        <v>Nguyễn Tuấn Quyền</v>
      </c>
      <c r="E512" s="44" t="s">
        <v>503</v>
      </c>
      <c r="F512" s="44" t="str">
        <f t="shared" si="10"/>
        <v>VN00758</v>
      </c>
      <c r="G512" s="295"/>
      <c r="H512" s="41" t="s">
        <v>67</v>
      </c>
      <c r="I512" s="95">
        <v>45437</v>
      </c>
      <c r="J512" s="122"/>
      <c r="K512" s="122"/>
      <c r="L512" s="147" t="str">
        <f>VLOOKUP(E512,DS!$A$2:$E$4398, 5, 0)</f>
        <v>QLK</v>
      </c>
      <c r="M512" s="148"/>
      <c r="N512" s="92" t="e">
        <f>VLOOKUP(Table1[[#This Row],[USER]],[1]!Table145678910111213141545678910111213146[[#All],[No.]:[Delete]],2,0)</f>
        <v>#N/A</v>
      </c>
    </row>
    <row r="513" spans="1:14">
      <c r="A513" s="93">
        <v>505</v>
      </c>
      <c r="B513" s="94">
        <v>2</v>
      </c>
      <c r="C513" s="40" t="s">
        <v>7947</v>
      </c>
      <c r="D513" s="40" t="str">
        <f>VLOOKUP(E513,Sheet3!$A$2:$D$6338,2,0)</f>
        <v>Nguyễn Phong Vũ</v>
      </c>
      <c r="E513" s="44" t="s">
        <v>504</v>
      </c>
      <c r="F513" s="44" t="str">
        <f t="shared" si="10"/>
        <v>VN00405</v>
      </c>
      <c r="G513" s="295"/>
      <c r="H513" s="41" t="s">
        <v>67</v>
      </c>
      <c r="I513" s="95">
        <v>45437</v>
      </c>
      <c r="J513" s="122"/>
      <c r="K513" s="122"/>
      <c r="L513" s="147" t="str">
        <f>VLOOKUP(E513,DS!$A$2:$E$4398, 5, 0)</f>
        <v>QLK</v>
      </c>
      <c r="M513" s="148"/>
      <c r="N513" s="92" t="e">
        <f>VLOOKUP(Table1[[#This Row],[USER]],[1]!Table145678910111213141545678910111213146[[#All],[No.]:[Delete]],2,0)</f>
        <v>#N/A</v>
      </c>
    </row>
    <row r="514" spans="1:14">
      <c r="A514" s="93">
        <v>506</v>
      </c>
      <c r="B514" s="94">
        <v>3</v>
      </c>
      <c r="C514" s="40" t="s">
        <v>7947</v>
      </c>
      <c r="D514" s="40" t="str">
        <f>VLOOKUP(E514,Sheet3!$A$2:$D$6338,2,0)</f>
        <v>Bùi Thị Lan Hương</v>
      </c>
      <c r="E514" s="44" t="s">
        <v>505</v>
      </c>
      <c r="F514" s="44" t="str">
        <f t="shared" si="10"/>
        <v>VN08949</v>
      </c>
      <c r="G514" s="295"/>
      <c r="H514" s="41" t="s">
        <v>67</v>
      </c>
      <c r="I514" s="95">
        <v>45437</v>
      </c>
      <c r="J514" s="122"/>
      <c r="K514" s="122"/>
      <c r="L514" s="147" t="str">
        <f>VLOOKUP(E514,DS!$A$2:$E$4398, 5, 0)</f>
        <v>QLK</v>
      </c>
      <c r="M514" s="148"/>
      <c r="N514" s="92" t="e">
        <f>VLOOKUP(Table1[[#This Row],[USER]],[1]!Table145678910111213141545678910111213146[[#All],[No.]:[Delete]],2,0)</f>
        <v>#N/A</v>
      </c>
    </row>
    <row r="515" spans="1:14">
      <c r="A515" s="93">
        <v>507</v>
      </c>
      <c r="B515" s="94">
        <v>4</v>
      </c>
      <c r="C515" s="40" t="s">
        <v>7947</v>
      </c>
      <c r="D515" s="40" t="str">
        <f>VLOOKUP(E515,Sheet3!$A$2:$D$6338,2,0)</f>
        <v>Lâm Quang Hải</v>
      </c>
      <c r="E515" s="44" t="s">
        <v>506</v>
      </c>
      <c r="F515" s="44" t="str">
        <f t="shared" si="10"/>
        <v>VN00231</v>
      </c>
      <c r="G515" s="295"/>
      <c r="H515" s="41" t="s">
        <v>67</v>
      </c>
      <c r="I515" s="95">
        <v>45437</v>
      </c>
      <c r="J515" s="122"/>
      <c r="K515" s="122"/>
      <c r="L515" s="147" t="str">
        <f>VLOOKUP(E515,DS!$A$2:$E$4398, 5, 0)</f>
        <v>QLK</v>
      </c>
      <c r="M515" s="148"/>
      <c r="N515" s="92" t="e">
        <f>VLOOKUP(Table1[[#This Row],[USER]],[1]!Table145678910111213141545678910111213146[[#All],[No.]:[Delete]],2,0)</f>
        <v>#N/A</v>
      </c>
    </row>
    <row r="516" spans="1:14">
      <c r="A516" s="93">
        <v>508</v>
      </c>
      <c r="B516" s="94">
        <v>5</v>
      </c>
      <c r="C516" s="40" t="s">
        <v>7947</v>
      </c>
      <c r="D516" s="40" t="str">
        <f>VLOOKUP(E516,Sheet3!$A$2:$D$6338,2,0)</f>
        <v>Nguyễn Thị Phượng</v>
      </c>
      <c r="E516" s="44" t="s">
        <v>507</v>
      </c>
      <c r="F516" s="44" t="str">
        <f t="shared" si="10"/>
        <v>VN02295</v>
      </c>
      <c r="G516" s="295"/>
      <c r="H516" s="41" t="s">
        <v>67</v>
      </c>
      <c r="I516" s="95">
        <v>45437</v>
      </c>
      <c r="J516" s="122"/>
      <c r="K516" s="122"/>
      <c r="L516" s="147" t="str">
        <f>VLOOKUP(E516,DS!$A$2:$E$4398, 5, 0)</f>
        <v>QLK</v>
      </c>
      <c r="M516" s="148"/>
      <c r="N516" s="92" t="e">
        <f>VLOOKUP(Table1[[#This Row],[USER]],[1]!Table145678910111213141545678910111213146[[#All],[No.]:[Delete]],2,0)</f>
        <v>#N/A</v>
      </c>
    </row>
    <row r="517" spans="1:14">
      <c r="A517" s="93">
        <v>509</v>
      </c>
      <c r="B517" s="94">
        <v>6</v>
      </c>
      <c r="C517" s="40" t="s">
        <v>7947</v>
      </c>
      <c r="D517" s="40" t="str">
        <f>VLOOKUP(E517,Sheet3!$A$2:$D$6338,2,0)</f>
        <v>Phạm Tiến Dũng</v>
      </c>
      <c r="E517" s="44" t="s">
        <v>509</v>
      </c>
      <c r="F517" s="44" t="str">
        <f t="shared" si="10"/>
        <v>VN24199</v>
      </c>
      <c r="G517" s="295"/>
      <c r="H517" s="41" t="s">
        <v>67</v>
      </c>
      <c r="I517" s="95">
        <v>45437</v>
      </c>
      <c r="J517" s="122">
        <v>45976</v>
      </c>
      <c r="K517" s="122">
        <v>45976</v>
      </c>
      <c r="L517" s="147" t="e">
        <f>VLOOKUP(E517,DS!$A$2:$E$4398, 5, 0)</f>
        <v>#N/A</v>
      </c>
      <c r="M517" s="148"/>
      <c r="N517" s="92" t="e">
        <f>VLOOKUP(Table1[[#This Row],[USER]],[1]!Table145678910111213141545678910111213146[[#All],[No.]:[Delete]],2,0)</f>
        <v>#N/A</v>
      </c>
    </row>
    <row r="518" spans="1:14">
      <c r="A518" s="93">
        <v>510</v>
      </c>
      <c r="B518" s="94">
        <v>7</v>
      </c>
      <c r="C518" s="40" t="s">
        <v>7947</v>
      </c>
      <c r="D518" s="40" t="str">
        <f>VLOOKUP(E518,Sheet3!$A$2:$D$6338,2,0)</f>
        <v>Nguyễn Thị Hoa</v>
      </c>
      <c r="E518" s="44" t="s">
        <v>510</v>
      </c>
      <c r="F518" s="44" t="str">
        <f t="shared" si="10"/>
        <v>VN00379</v>
      </c>
      <c r="G518" s="295"/>
      <c r="H518" s="41" t="s">
        <v>67</v>
      </c>
      <c r="I518" s="95">
        <v>45437</v>
      </c>
      <c r="J518" s="122"/>
      <c r="K518" s="122"/>
      <c r="L518" s="147" t="str">
        <f>VLOOKUP(E518,DS!$A$2:$E$4398, 5, 0)</f>
        <v>QLK</v>
      </c>
      <c r="M518" s="148"/>
      <c r="N518" s="92" t="e">
        <f>VLOOKUP(Table1[[#This Row],[USER]],[1]!Table145678910111213141545678910111213146[[#All],[No.]:[Delete]],2,0)</f>
        <v>#N/A</v>
      </c>
    </row>
    <row r="519" spans="1:14">
      <c r="A519" s="93">
        <v>511</v>
      </c>
      <c r="B519" s="94">
        <v>8</v>
      </c>
      <c r="C519" s="40" t="s">
        <v>7947</v>
      </c>
      <c r="D519" s="40" t="str">
        <f>VLOOKUP(E519,Sheet3!$A$2:$D$6338,2,0)</f>
        <v>Ngô Thị Thu Hằng</v>
      </c>
      <c r="E519" s="44" t="s">
        <v>146</v>
      </c>
      <c r="F519" s="44" t="str">
        <f>"VN"&amp;RIGHT(E519,5)</f>
        <v>VN02419</v>
      </c>
      <c r="G519" s="295"/>
      <c r="H519" s="41" t="s">
        <v>67</v>
      </c>
      <c r="I519" s="95">
        <v>45437</v>
      </c>
      <c r="J519" s="122"/>
      <c r="K519" s="122"/>
      <c r="L519" s="147" t="str">
        <f>VLOOKUP(E519,DS!$A$2:$E$4398, 5, 0)</f>
        <v>QLK</v>
      </c>
      <c r="M519" s="148"/>
      <c r="N519" s="92" t="e">
        <f>VLOOKUP(Table1[[#This Row],[USER]],[1]!Table145678910111213141545678910111213146[[#All],[No.]:[Delete]],2,0)</f>
        <v>#N/A</v>
      </c>
    </row>
    <row r="520" spans="1:14">
      <c r="A520" s="93">
        <v>512</v>
      </c>
      <c r="B520" s="94">
        <v>9</v>
      </c>
      <c r="C520" s="40" t="s">
        <v>7947</v>
      </c>
      <c r="D520" s="40" t="str">
        <f>VLOOKUP(E520,Sheet3!$A$2:$D$6338,2,0)</f>
        <v>Vũ Huy Hà</v>
      </c>
      <c r="E520" s="44" t="s">
        <v>178</v>
      </c>
      <c r="F520" s="44" t="str">
        <f t="shared" si="10"/>
        <v>VN01936</v>
      </c>
      <c r="G520" s="295"/>
      <c r="H520" s="41" t="s">
        <v>67</v>
      </c>
      <c r="I520" s="95">
        <v>45437</v>
      </c>
      <c r="J520" s="122"/>
      <c r="K520" s="122"/>
      <c r="L520" s="147" t="str">
        <f>VLOOKUP(E520,DS!$A$2:$E$4398, 5, 0)</f>
        <v>QLK</v>
      </c>
      <c r="M520" s="148"/>
      <c r="N520" s="92" t="e">
        <f>VLOOKUP(Table1[[#This Row],[USER]],[1]!Table145678910111213141545678910111213146[[#All],[No.]:[Delete]],2,0)</f>
        <v>#N/A</v>
      </c>
    </row>
    <row r="521" spans="1:14">
      <c r="A521" s="93">
        <v>513</v>
      </c>
      <c r="B521" s="94">
        <v>10</v>
      </c>
      <c r="C521" s="40" t="s">
        <v>7947</v>
      </c>
      <c r="D521" s="40" t="str">
        <f>VLOOKUP(E521,Sheet3!$A$2:$D$6338,2,0)</f>
        <v>Trần Anh Đoàn</v>
      </c>
      <c r="E521" s="44" t="s">
        <v>508</v>
      </c>
      <c r="F521" s="44" t="str">
        <f t="shared" si="10"/>
        <v>VN02196</v>
      </c>
      <c r="G521" s="295"/>
      <c r="H521" s="41" t="s">
        <v>67</v>
      </c>
      <c r="I521" s="95">
        <v>45437</v>
      </c>
      <c r="J521" s="122"/>
      <c r="K521" s="122"/>
      <c r="L521" s="147" t="str">
        <f>VLOOKUP(E521,DS!$A$2:$E$4398, 5, 0)</f>
        <v>QLK</v>
      </c>
      <c r="M521" s="148"/>
      <c r="N521" s="92" t="e">
        <f>VLOOKUP(Table1[[#This Row],[USER]],[1]!Table145678910111213141545678910111213146[[#All],[No.]:[Delete]],2,0)</f>
        <v>#N/A</v>
      </c>
    </row>
    <row r="522" spans="1:14">
      <c r="A522" s="93">
        <v>514</v>
      </c>
      <c r="B522" s="172">
        <v>10</v>
      </c>
      <c r="C522" s="223" t="s">
        <v>7947</v>
      </c>
      <c r="D522" s="40" t="str">
        <f>VLOOKUP(E522,Sheet3!$A$2:$D$6338,2,0)</f>
        <v>Phạm Thùy Linh</v>
      </c>
      <c r="E522" s="218" t="s">
        <v>8663</v>
      </c>
      <c r="F522" s="218" t="str">
        <f>"VN"&amp;RIGHT(E522,5)</f>
        <v>VN19908</v>
      </c>
      <c r="G522" s="300"/>
      <c r="H522" s="41" t="s">
        <v>67</v>
      </c>
      <c r="I522" s="219">
        <v>45737</v>
      </c>
      <c r="J522" s="220"/>
      <c r="K522" s="220"/>
      <c r="L522" s="220" t="str">
        <f>VLOOKUP(E522,DS!$A$2:$E$4398, 5, 0)</f>
        <v>QLK</v>
      </c>
      <c r="M522" s="221"/>
      <c r="N522" s="92" t="e">
        <f>VLOOKUP(Table1[[#This Row],[USER]],[1]!Table145678910111213141545678910111213146[[#All],[No.]:[Delete]],2,0)</f>
        <v>#N/A</v>
      </c>
    </row>
    <row r="523" spans="1:14">
      <c r="A523" s="93">
        <v>515</v>
      </c>
      <c r="B523" s="172">
        <v>10</v>
      </c>
      <c r="C523" s="223" t="s">
        <v>7947</v>
      </c>
      <c r="D523" s="40" t="str">
        <f>VLOOKUP(E523,Sheet3!$A$2:$D$6338,2,0)</f>
        <v>Nguyễn Văn Dương</v>
      </c>
      <c r="E523" s="218" t="s">
        <v>8664</v>
      </c>
      <c r="F523" s="218" t="str">
        <f>"VN"&amp;RIGHT(E523,5)</f>
        <v>VN06654</v>
      </c>
      <c r="G523" s="300"/>
      <c r="H523" s="41" t="s">
        <v>67</v>
      </c>
      <c r="I523" s="219">
        <v>45471</v>
      </c>
      <c r="J523" s="220"/>
      <c r="K523" s="220"/>
      <c r="L523" s="220" t="str">
        <f>VLOOKUP(E523,DS!$A$2:$E$4398, 5, 0)</f>
        <v>QLK</v>
      </c>
      <c r="M523" s="221"/>
      <c r="N523" s="92" t="e">
        <f>VLOOKUP(Table1[[#This Row],[USER]],[1]!Table145678910111213141545678910111213146[[#All],[No.]:[Delete]],2,0)</f>
        <v>#N/A</v>
      </c>
    </row>
    <row r="524" spans="1:14">
      <c r="A524" s="93">
        <v>516</v>
      </c>
      <c r="B524" s="172">
        <v>10</v>
      </c>
      <c r="C524" s="223" t="s">
        <v>7947</v>
      </c>
      <c r="D524" s="40" t="str">
        <f>VLOOKUP(E524,Sheet3!$A$2:$D$6338,2,0)</f>
        <v>Dương Văn Công</v>
      </c>
      <c r="E524" s="163" t="s">
        <v>8680</v>
      </c>
      <c r="F524" s="163" t="str">
        <f>"VN"&amp;RIGHT(E524,5)</f>
        <v>VN26286</v>
      </c>
      <c r="G524" s="295"/>
      <c r="H524" s="41" t="s">
        <v>67</v>
      </c>
      <c r="I524" s="164">
        <v>45976</v>
      </c>
      <c r="J524" s="147"/>
      <c r="K524" s="147"/>
      <c r="L524" s="147" t="str">
        <f>VLOOKUP(E524,DS!$A$2:$E$4398, 5, 0)</f>
        <v>QLK</v>
      </c>
      <c r="M524" s="148"/>
      <c r="N524" s="92" t="e">
        <f>VLOOKUP(Table1[[#This Row],[USER]],[1]!Table145678910111213141545678910111213146[[#All],[No.]:[Delete]],2,0)</f>
        <v>#N/A</v>
      </c>
    </row>
    <row r="525" spans="1:14">
      <c r="A525" s="93">
        <v>517</v>
      </c>
      <c r="B525" s="94">
        <v>1</v>
      </c>
      <c r="C525" s="40" t="s">
        <v>7948</v>
      </c>
      <c r="D525" s="40" t="str">
        <f>VLOOKUP(E525,Sheet3!$A$2:$D$6338,2,0)</f>
        <v>Vũ Thanh Tùng</v>
      </c>
      <c r="E525" s="44" t="s">
        <v>511</v>
      </c>
      <c r="F525" s="44" t="str">
        <f t="shared" si="10"/>
        <v>VN00213</v>
      </c>
      <c r="G525" s="295"/>
      <c r="H525" s="41" t="s">
        <v>67</v>
      </c>
      <c r="I525" s="95">
        <v>45437</v>
      </c>
      <c r="J525" s="122"/>
      <c r="K525" s="122"/>
      <c r="L525" s="147" t="str">
        <f>VLOOKUP(E525,DS!$A$2:$E$4398, 5, 0)</f>
        <v>Công vụ</v>
      </c>
      <c r="M525" s="148"/>
      <c r="N525" s="92" t="e">
        <f>VLOOKUP(Table1[[#This Row],[USER]],[1]!Table145678910111213141545678910111213146[[#All],[No.]:[Delete]],2,0)</f>
        <v>#N/A</v>
      </c>
    </row>
    <row r="526" spans="1:14">
      <c r="A526" s="93">
        <v>518</v>
      </c>
      <c r="B526" s="94">
        <v>2</v>
      </c>
      <c r="C526" s="40" t="s">
        <v>7948</v>
      </c>
      <c r="D526" s="40" t="str">
        <f>VLOOKUP(E526,Sheet3!$A$2:$D$6338,2,0)</f>
        <v>Vũ Trường Giang</v>
      </c>
      <c r="E526" s="44" t="s">
        <v>512</v>
      </c>
      <c r="F526" s="44" t="str">
        <f t="shared" si="10"/>
        <v>VN07948</v>
      </c>
      <c r="G526" s="295"/>
      <c r="H526" s="41" t="s">
        <v>67</v>
      </c>
      <c r="I526" s="95">
        <v>45437</v>
      </c>
      <c r="J526" s="122"/>
      <c r="K526" s="122"/>
      <c r="L526" s="147" t="str">
        <f>VLOOKUP(E526,DS!$A$2:$E$4398, 5, 0)</f>
        <v>Công vụ</v>
      </c>
      <c r="M526" s="148"/>
      <c r="N526" s="92" t="e">
        <f>VLOOKUP(Table1[[#This Row],[USER]],[1]!Table145678910111213141545678910111213146[[#All],[No.]:[Delete]],2,0)</f>
        <v>#N/A</v>
      </c>
    </row>
    <row r="527" spans="1:14">
      <c r="A527" s="93">
        <v>519</v>
      </c>
      <c r="B527" s="94">
        <v>1</v>
      </c>
      <c r="C527" s="40" t="s">
        <v>7949</v>
      </c>
      <c r="D527" s="40" t="str">
        <f>VLOOKUP(E527,Sheet3!$A$2:$D$6338,2,0)</f>
        <v>Nguyễn Văn Mạnh</v>
      </c>
      <c r="E527" s="44" t="s">
        <v>513</v>
      </c>
      <c r="F527" s="44" t="str">
        <f t="shared" si="10"/>
        <v>VN07281</v>
      </c>
      <c r="G527" s="295"/>
      <c r="H527" s="41" t="s">
        <v>67</v>
      </c>
      <c r="I527" s="95">
        <v>45432</v>
      </c>
      <c r="J527" s="122"/>
      <c r="K527" s="122"/>
      <c r="L527" s="147" t="str">
        <f>VLOOKUP(E527,DS!$A$2:$E$4398, 5, 0)</f>
        <v>QLTB</v>
      </c>
      <c r="M527" s="148"/>
      <c r="N527" s="92" t="e">
        <f>VLOOKUP(Table1[[#This Row],[USER]],[1]!Table145678910111213141545678910111213146[[#All],[No.]:[Delete]],2,0)</f>
        <v>#N/A</v>
      </c>
    </row>
    <row r="528" spans="1:14">
      <c r="A528" s="93">
        <v>520</v>
      </c>
      <c r="B528" s="94">
        <v>2</v>
      </c>
      <c r="C528" s="40" t="s">
        <v>7949</v>
      </c>
      <c r="D528" s="40" t="str">
        <f>VLOOKUP(E528,Sheet3!$A$2:$D$6338,2,0)</f>
        <v>Dương Quốc Toản</v>
      </c>
      <c r="E528" s="44" t="s">
        <v>514</v>
      </c>
      <c r="F528" s="44" t="str">
        <f t="shared" si="10"/>
        <v>VN00334</v>
      </c>
      <c r="G528" s="295"/>
      <c r="H528" s="41" t="s">
        <v>67</v>
      </c>
      <c r="I528" s="95">
        <v>45432</v>
      </c>
      <c r="J528" s="122"/>
      <c r="K528" s="122"/>
      <c r="L528" s="147" t="str">
        <f>VLOOKUP(E528,DS!$A$2:$E$4398, 5, 0)</f>
        <v>QLTB</v>
      </c>
      <c r="M528" s="148"/>
      <c r="N528" s="92" t="e">
        <f>VLOOKUP(Table1[[#This Row],[USER]],[1]!Table145678910111213141545678910111213146[[#All],[No.]:[Delete]],2,0)</f>
        <v>#N/A</v>
      </c>
    </row>
    <row r="529" spans="1:14">
      <c r="A529" s="93">
        <v>521</v>
      </c>
      <c r="B529" s="94">
        <v>3</v>
      </c>
      <c r="C529" s="40" t="s">
        <v>7949</v>
      </c>
      <c r="D529" s="40" t="str">
        <f>VLOOKUP(E529,Sheet3!$A$2:$D$6338,2,0)</f>
        <v>Lưu Thành Đức</v>
      </c>
      <c r="E529" s="44" t="s">
        <v>515</v>
      </c>
      <c r="F529" s="44" t="str">
        <f t="shared" si="10"/>
        <v>VN04015</v>
      </c>
      <c r="G529" s="295"/>
      <c r="H529" s="41" t="s">
        <v>67</v>
      </c>
      <c r="I529" s="95">
        <v>45432</v>
      </c>
      <c r="J529" s="122">
        <v>45950</v>
      </c>
      <c r="K529" s="122"/>
      <c r="L529" s="147" t="str">
        <f>VLOOKUP(E529,DS!$A$2:$E$4398, 5, 0)</f>
        <v>QLTB</v>
      </c>
      <c r="M529" s="148"/>
      <c r="N529" s="92" t="e">
        <f>VLOOKUP(Table1[[#This Row],[USER]],[1]!Table145678910111213141545678910111213146[[#All],[No.]:[Delete]],2,0)</f>
        <v>#N/A</v>
      </c>
    </row>
    <row r="530" spans="1:14">
      <c r="A530" s="93">
        <v>522</v>
      </c>
      <c r="B530" s="94">
        <v>1</v>
      </c>
      <c r="C530" s="99" t="s">
        <v>874</v>
      </c>
      <c r="D530" s="40" t="str">
        <f>VLOOKUP(E530,Sheet3!$A$2:$D$6338,2,0)</f>
        <v>Lê Minh Quyết</v>
      </c>
      <c r="E530" s="96" t="s">
        <v>516</v>
      </c>
      <c r="F530" s="96" t="str">
        <f t="shared" si="10"/>
        <v>VN01919</v>
      </c>
      <c r="G530" s="307"/>
      <c r="H530" s="126" t="s">
        <v>67</v>
      </c>
      <c r="I530" s="97">
        <v>45434</v>
      </c>
      <c r="J530" s="122">
        <v>45803</v>
      </c>
      <c r="K530" s="122">
        <v>45803</v>
      </c>
      <c r="L530" s="147" t="e">
        <f>VLOOKUP(E530,DS!$A$2:$E$4398, 5, 0)</f>
        <v>#N/A</v>
      </c>
      <c r="M530" s="148"/>
      <c r="N530" s="92" t="e">
        <f>VLOOKUP(Table1[[#This Row],[USER]],[1]!Table145678910111213141545678910111213146[[#All],[No.]:[Delete]],2,0)</f>
        <v>#N/A</v>
      </c>
    </row>
    <row r="531" spans="1:14">
      <c r="A531" s="93">
        <v>523</v>
      </c>
      <c r="B531" s="94">
        <v>2</v>
      </c>
      <c r="C531" s="40" t="s">
        <v>7950</v>
      </c>
      <c r="D531" s="40" t="str">
        <f>VLOOKUP(E531,Sheet3!$A$2:$D$6338,2,0)</f>
        <v>Vũ Thị Kim Anh</v>
      </c>
      <c r="E531" s="44" t="s">
        <v>517</v>
      </c>
      <c r="F531" s="44" t="str">
        <f t="shared" si="10"/>
        <v>VN00464</v>
      </c>
      <c r="G531" s="295"/>
      <c r="H531" s="41" t="s">
        <v>67</v>
      </c>
      <c r="I531" s="95">
        <v>45434</v>
      </c>
      <c r="J531" s="122"/>
      <c r="K531" s="122"/>
      <c r="L531" s="147" t="str">
        <f>VLOOKUP(E531,DS!$A$2:$E$4398, 5, 0)</f>
        <v>Tài vụ</v>
      </c>
      <c r="M531" s="148"/>
      <c r="N531" s="92" t="e">
        <f>VLOOKUP(Table1[[#This Row],[USER]],[1]!Table145678910111213141545678910111213146[[#All],[No.]:[Delete]],2,0)</f>
        <v>#N/A</v>
      </c>
    </row>
    <row r="532" spans="1:14">
      <c r="A532" s="93">
        <v>524</v>
      </c>
      <c r="B532" s="94">
        <v>3</v>
      </c>
      <c r="C532" s="40" t="s">
        <v>7950</v>
      </c>
      <c r="D532" s="40" t="str">
        <f>VLOOKUP(E532,Sheet3!$A$2:$D$6338,2,0)</f>
        <v>Phạm Hồng Hải</v>
      </c>
      <c r="E532" s="44" t="s">
        <v>518</v>
      </c>
      <c r="F532" s="44" t="str">
        <f t="shared" si="10"/>
        <v>VN09879</v>
      </c>
      <c r="G532" s="295"/>
      <c r="H532" s="41" t="s">
        <v>67</v>
      </c>
      <c r="I532" s="95">
        <v>45434</v>
      </c>
      <c r="J532" s="122"/>
      <c r="K532" s="122"/>
      <c r="L532" s="147" t="str">
        <f>VLOOKUP(E532,DS!$A$2:$E$4398, 5, 0)</f>
        <v>Tài vụ</v>
      </c>
      <c r="M532" s="148"/>
      <c r="N532" s="92" t="e">
        <f>VLOOKUP(Table1[[#This Row],[USER]],[1]!Table145678910111213141545678910111213146[[#All],[No.]:[Delete]],2,0)</f>
        <v>#N/A</v>
      </c>
    </row>
    <row r="533" spans="1:14">
      <c r="A533" s="93">
        <v>525</v>
      </c>
      <c r="B533" s="94">
        <v>4</v>
      </c>
      <c r="C533" s="40" t="s">
        <v>7950</v>
      </c>
      <c r="D533" s="40" t="str">
        <f>VLOOKUP(E533,Sheet3!$A$2:$D$6338,2,0)</f>
        <v>Nguyễn Thị Bảo Phương</v>
      </c>
      <c r="E533" s="44" t="s">
        <v>519</v>
      </c>
      <c r="F533" s="44" t="str">
        <f t="shared" si="10"/>
        <v>VN01386</v>
      </c>
      <c r="G533" s="295"/>
      <c r="H533" s="41" t="s">
        <v>67</v>
      </c>
      <c r="I533" s="95">
        <v>45434</v>
      </c>
      <c r="J533" s="122"/>
      <c r="K533" s="122"/>
      <c r="L533" s="147" t="str">
        <f>VLOOKUP(E533,DS!$A$2:$E$4398, 5, 0)</f>
        <v>Tài vụ</v>
      </c>
      <c r="M533" s="148"/>
      <c r="N533" s="92" t="e">
        <f>VLOOKUP(Table1[[#This Row],[USER]],[1]!Table145678910111213141545678910111213146[[#All],[No.]:[Delete]],2,0)</f>
        <v>#N/A</v>
      </c>
    </row>
    <row r="534" spans="1:14">
      <c r="A534" s="93">
        <v>526</v>
      </c>
      <c r="B534" s="94">
        <v>5</v>
      </c>
      <c r="C534" s="40" t="s">
        <v>7950</v>
      </c>
      <c r="D534" s="40" t="str">
        <f>VLOOKUP(E534,Sheet3!$A$2:$D$6338,2,0)</f>
        <v>Nguyễn Thị Hồng Nhung</v>
      </c>
      <c r="E534" s="44" t="s">
        <v>520</v>
      </c>
      <c r="F534" s="44" t="str">
        <f t="shared" si="10"/>
        <v>VN14021</v>
      </c>
      <c r="G534" s="295"/>
      <c r="H534" s="41" t="s">
        <v>67</v>
      </c>
      <c r="I534" s="95">
        <v>45434</v>
      </c>
      <c r="J534" s="122"/>
      <c r="K534" s="122"/>
      <c r="L534" s="147" t="str">
        <f>VLOOKUP(E534,DS!$A$2:$E$4398, 5, 0)</f>
        <v>Tài vụ</v>
      </c>
      <c r="M534" s="148"/>
      <c r="N534" s="92" t="e">
        <f>VLOOKUP(Table1[[#This Row],[USER]],[1]!Table145678910111213141545678910111213146[[#All],[No.]:[Delete]],2,0)</f>
        <v>#N/A</v>
      </c>
    </row>
    <row r="535" spans="1:14">
      <c r="A535" s="93">
        <v>527</v>
      </c>
      <c r="B535" s="94">
        <v>6</v>
      </c>
      <c r="C535" s="40" t="s">
        <v>7950</v>
      </c>
      <c r="D535" s="40" t="str">
        <f>VLOOKUP(E535,Sheet3!$A$2:$D$6338,2,0)</f>
        <v>Thiều Thị Mến</v>
      </c>
      <c r="E535" s="44" t="s">
        <v>521</v>
      </c>
      <c r="F535" s="44" t="str">
        <f t="shared" si="10"/>
        <v>VN07843</v>
      </c>
      <c r="G535" s="295"/>
      <c r="H535" s="41" t="s">
        <v>67</v>
      </c>
      <c r="I535" s="95">
        <v>45434</v>
      </c>
      <c r="J535" s="122"/>
      <c r="K535" s="122"/>
      <c r="L535" s="147" t="str">
        <f>VLOOKUP(E535,DS!$A$2:$E$4398, 5, 0)</f>
        <v>Tài vụ</v>
      </c>
      <c r="M535" s="148"/>
      <c r="N535" s="92" t="e">
        <f>VLOOKUP(Table1[[#This Row],[USER]],[1]!Table145678910111213141545678910111213146[[#All],[No.]:[Delete]],2,0)</f>
        <v>#N/A</v>
      </c>
    </row>
    <row r="536" spans="1:14">
      <c r="A536" s="93">
        <v>528</v>
      </c>
      <c r="B536" s="94">
        <v>7</v>
      </c>
      <c r="C536" s="40" t="s">
        <v>7950</v>
      </c>
      <c r="D536" s="40" t="str">
        <f>VLOOKUP(E536,Sheet3!$A$2:$D$6338,2,0)</f>
        <v>Trần Thị Lê Hoàn</v>
      </c>
      <c r="E536" s="44" t="s">
        <v>522</v>
      </c>
      <c r="F536" s="44" t="str">
        <f t="shared" si="10"/>
        <v>VN01527</v>
      </c>
      <c r="G536" s="295"/>
      <c r="H536" s="41" t="s">
        <v>67</v>
      </c>
      <c r="I536" s="95">
        <v>45434</v>
      </c>
      <c r="J536" s="122"/>
      <c r="K536" s="122"/>
      <c r="L536" s="147" t="str">
        <f>VLOOKUP(E536,DS!$A$2:$E$4398, 5, 0)</f>
        <v>Tài vụ</v>
      </c>
      <c r="M536" s="148"/>
      <c r="N536" s="92" t="e">
        <f>VLOOKUP(Table1[[#This Row],[USER]],[1]!Table145678910111213141545678910111213146[[#All],[No.]:[Delete]],2,0)</f>
        <v>#N/A</v>
      </c>
    </row>
    <row r="537" spans="1:14">
      <c r="A537" s="93">
        <v>529</v>
      </c>
      <c r="B537" s="94">
        <v>8</v>
      </c>
      <c r="C537" s="40" t="s">
        <v>7950</v>
      </c>
      <c r="D537" s="40" t="str">
        <f>VLOOKUP(E537,Sheet3!$A$2:$D$6338,2,0)</f>
        <v>Nguyễn Thị Thu Hà</v>
      </c>
      <c r="E537" s="44" t="s">
        <v>523</v>
      </c>
      <c r="F537" s="44" t="str">
        <f t="shared" si="10"/>
        <v>VN01015</v>
      </c>
      <c r="G537" s="295"/>
      <c r="H537" s="41" t="s">
        <v>67</v>
      </c>
      <c r="I537" s="95">
        <v>45434</v>
      </c>
      <c r="J537" s="122"/>
      <c r="K537" s="122"/>
      <c r="L537" s="147" t="str">
        <f>VLOOKUP(E537,DS!$A$2:$E$4398, 5, 0)</f>
        <v>Tài vụ</v>
      </c>
      <c r="M537" s="148"/>
      <c r="N537" s="92" t="e">
        <f>VLOOKUP(Table1[[#This Row],[USER]],[1]!Table145678910111213141545678910111213146[[#All],[No.]:[Delete]],2,0)</f>
        <v>#N/A</v>
      </c>
    </row>
    <row r="538" spans="1:14">
      <c r="A538" s="93">
        <v>530</v>
      </c>
      <c r="B538" s="94">
        <v>9</v>
      </c>
      <c r="C538" s="40" t="s">
        <v>7950</v>
      </c>
      <c r="D538" s="40" t="str">
        <f>VLOOKUP(E538,Sheet3!$A$2:$D$6338,2,0)</f>
        <v>Trần Ngọc Kim</v>
      </c>
      <c r="E538" s="44" t="s">
        <v>524</v>
      </c>
      <c r="F538" s="44" t="str">
        <f t="shared" si="10"/>
        <v>VN04197</v>
      </c>
      <c r="G538" s="295"/>
      <c r="H538" s="41" t="s">
        <v>67</v>
      </c>
      <c r="I538" s="95">
        <v>45434</v>
      </c>
      <c r="J538" s="122"/>
      <c r="K538" s="122"/>
      <c r="L538" s="147" t="str">
        <f>VLOOKUP(E538,DS!$A$2:$E$4398, 5, 0)</f>
        <v>Tài vụ</v>
      </c>
      <c r="M538" s="148"/>
      <c r="N538" s="92" t="e">
        <f>VLOOKUP(Table1[[#This Row],[USER]],[1]!Table145678910111213141545678910111213146[[#All],[No.]:[Delete]],2,0)</f>
        <v>#N/A</v>
      </c>
    </row>
    <row r="539" spans="1:14">
      <c r="A539" s="93">
        <v>531</v>
      </c>
      <c r="B539" s="94">
        <v>10</v>
      </c>
      <c r="C539" s="40" t="s">
        <v>7950</v>
      </c>
      <c r="D539" s="40" t="str">
        <f>VLOOKUP(E539,Sheet3!$A$2:$D$6338,2,0)</f>
        <v>Trần Thị Ánh Thu</v>
      </c>
      <c r="E539" s="44" t="s">
        <v>526</v>
      </c>
      <c r="F539" s="44" t="str">
        <f t="shared" si="10"/>
        <v>VN00662</v>
      </c>
      <c r="G539" s="295"/>
      <c r="H539" s="41" t="s">
        <v>67</v>
      </c>
      <c r="I539" s="95">
        <v>45434</v>
      </c>
      <c r="J539" s="122"/>
      <c r="K539" s="122"/>
      <c r="L539" s="147" t="str">
        <f>VLOOKUP(E539,DS!$A$2:$E$4398, 5, 0)</f>
        <v>Tài vụ</v>
      </c>
      <c r="M539" s="148"/>
      <c r="N539" s="92" t="e">
        <f>VLOOKUP(Table1[[#This Row],[USER]],[1]!Table145678910111213141545678910111213146[[#All],[No.]:[Delete]],2,0)</f>
        <v>#N/A</v>
      </c>
    </row>
    <row r="540" spans="1:14">
      <c r="A540" s="93">
        <v>532</v>
      </c>
      <c r="B540" s="94">
        <v>11</v>
      </c>
      <c r="C540" s="40" t="s">
        <v>7950</v>
      </c>
      <c r="D540" s="40" t="str">
        <f>VLOOKUP(E540,Sheet3!$A$2:$D$6338,2,0)</f>
        <v>Nguyễn Thị Thơm</v>
      </c>
      <c r="E540" s="44" t="s">
        <v>527</v>
      </c>
      <c r="F540" s="44" t="str">
        <f t="shared" si="10"/>
        <v>VN01294</v>
      </c>
      <c r="G540" s="295"/>
      <c r="H540" s="41" t="s">
        <v>67</v>
      </c>
      <c r="I540" s="95">
        <v>45434</v>
      </c>
      <c r="J540" s="122"/>
      <c r="K540" s="122"/>
      <c r="L540" s="147" t="str">
        <f>VLOOKUP(E540,DS!$A$2:$E$4398, 5, 0)</f>
        <v>Tài vụ</v>
      </c>
      <c r="M540" s="148"/>
      <c r="N540" s="92" t="e">
        <f>VLOOKUP(Table1[[#This Row],[USER]],[1]!Table145678910111213141545678910111213146[[#All],[No.]:[Delete]],2,0)</f>
        <v>#N/A</v>
      </c>
    </row>
    <row r="541" spans="1:14">
      <c r="A541" s="93">
        <v>533</v>
      </c>
      <c r="B541" s="94">
        <v>12</v>
      </c>
      <c r="C541" s="40" t="s">
        <v>7950</v>
      </c>
      <c r="D541" s="40" t="str">
        <f>VLOOKUP(E541,Sheet3!$A$2:$D$6338,2,0)</f>
        <v>Chu Thị Kiều Trang</v>
      </c>
      <c r="E541" s="44" t="s">
        <v>528</v>
      </c>
      <c r="F541" s="44" t="str">
        <f t="shared" si="10"/>
        <v>VN23102</v>
      </c>
      <c r="G541" s="295"/>
      <c r="H541" s="41" t="s">
        <v>67</v>
      </c>
      <c r="I541" s="95">
        <v>45434</v>
      </c>
      <c r="J541" s="122"/>
      <c r="K541" s="122"/>
      <c r="L541" s="147" t="str">
        <f>VLOOKUP(E541,DS!$A$2:$E$4398, 5, 0)</f>
        <v>Tài vụ</v>
      </c>
      <c r="M541" s="148"/>
      <c r="N541" s="92" t="e">
        <f>VLOOKUP(Table1[[#This Row],[USER]],[1]!Table145678910111213141545678910111213146[[#All],[No.]:[Delete]],2,0)</f>
        <v>#N/A</v>
      </c>
    </row>
    <row r="542" spans="1:14">
      <c r="A542" s="93">
        <v>534</v>
      </c>
      <c r="B542" s="94">
        <v>13</v>
      </c>
      <c r="C542" s="40" t="s">
        <v>7950</v>
      </c>
      <c r="D542" s="40" t="str">
        <f>VLOOKUP(E542,Sheet3!$A$2:$D$6338,2,0)</f>
        <v>Ngô Đình Hoàng</v>
      </c>
      <c r="E542" s="44" t="s">
        <v>529</v>
      </c>
      <c r="F542" s="44" t="str">
        <f t="shared" si="10"/>
        <v>VN02646</v>
      </c>
      <c r="G542" s="295"/>
      <c r="H542" s="41" t="s">
        <v>67</v>
      </c>
      <c r="I542" s="95">
        <v>45434</v>
      </c>
      <c r="J542" s="122"/>
      <c r="K542" s="122"/>
      <c r="L542" s="147" t="str">
        <f>VLOOKUP(E542,DS!$A$2:$E$4398, 5, 0)</f>
        <v>Tài vụ</v>
      </c>
      <c r="M542" s="148"/>
      <c r="N542" s="92" t="e">
        <f>VLOOKUP(Table1[[#This Row],[USER]],[1]!Table145678910111213141545678910111213146[[#All],[No.]:[Delete]],2,0)</f>
        <v>#N/A</v>
      </c>
    </row>
    <row r="543" spans="1:14">
      <c r="A543" s="93">
        <v>535</v>
      </c>
      <c r="B543" s="94">
        <v>14</v>
      </c>
      <c r="C543" s="40" t="s">
        <v>7950</v>
      </c>
      <c r="D543" s="40" t="str">
        <f>VLOOKUP(E543,Sheet3!$A$2:$D$6338,2,0)</f>
        <v>Phạm Ngọc Thiện</v>
      </c>
      <c r="E543" s="44" t="s">
        <v>530</v>
      </c>
      <c r="F543" s="44" t="str">
        <f t="shared" si="10"/>
        <v>VN03615</v>
      </c>
      <c r="G543" s="295"/>
      <c r="H543" s="41" t="s">
        <v>67</v>
      </c>
      <c r="I543" s="95">
        <v>45434</v>
      </c>
      <c r="J543" s="122"/>
      <c r="K543" s="122"/>
      <c r="L543" s="147" t="str">
        <f>VLOOKUP(E543,DS!$A$2:$E$4398, 5, 0)</f>
        <v>Tài vụ</v>
      </c>
      <c r="M543" s="148"/>
      <c r="N543" s="92" t="e">
        <f>VLOOKUP(Table1[[#This Row],[USER]],[1]!Table145678910111213141545678910111213146[[#All],[No.]:[Delete]],2,0)</f>
        <v>#N/A</v>
      </c>
    </row>
    <row r="544" spans="1:14">
      <c r="A544" s="93">
        <v>536</v>
      </c>
      <c r="B544" s="94">
        <v>15</v>
      </c>
      <c r="C544" s="40" t="s">
        <v>7950</v>
      </c>
      <c r="D544" s="40" t="e">
        <f>VLOOKUP(E544,Sheet3!$A$2:$D$6338,2,0)</f>
        <v>#N/A</v>
      </c>
      <c r="E544" s="44" t="s">
        <v>531</v>
      </c>
      <c r="F544" s="44" t="s">
        <v>532</v>
      </c>
      <c r="G544" s="295"/>
      <c r="H544" s="41" t="s">
        <v>67</v>
      </c>
      <c r="I544" s="95">
        <v>45434</v>
      </c>
      <c r="J544" s="122"/>
      <c r="K544" s="122"/>
      <c r="L544" s="147" t="e">
        <f>VLOOKUP(E544,DS!$A$2:$E$4398, 5, 0)</f>
        <v>#N/A</v>
      </c>
      <c r="M544" s="148"/>
      <c r="N544" s="92" t="e">
        <f>VLOOKUP(Table1[[#This Row],[USER]],[1]!Table145678910111213141545678910111213146[[#All],[No.]:[Delete]],2,0)</f>
        <v>#N/A</v>
      </c>
    </row>
    <row r="545" spans="1:14">
      <c r="A545" s="93">
        <v>537</v>
      </c>
      <c r="B545" s="94">
        <v>16</v>
      </c>
      <c r="C545" s="40" t="s">
        <v>7950</v>
      </c>
      <c r="D545" s="40" t="str">
        <f>VLOOKUP(E545,Sheet3!$A$2:$D$6338,2,0)</f>
        <v>Khổng Dương</v>
      </c>
      <c r="E545" s="44" t="s">
        <v>533</v>
      </c>
      <c r="F545" s="44" t="str">
        <f t="shared" ref="F545:F600" si="11">"VN"&amp;RIGHT(E545,5)</f>
        <v>VN01525</v>
      </c>
      <c r="G545" s="295"/>
      <c r="H545" s="41" t="s">
        <v>67</v>
      </c>
      <c r="I545" s="95">
        <v>45434</v>
      </c>
      <c r="J545" s="122"/>
      <c r="K545" s="122"/>
      <c r="L545" s="147" t="str">
        <f>VLOOKUP(E545,DS!$A$2:$E$4398, 5, 0)</f>
        <v>Tài vụ</v>
      </c>
      <c r="M545" s="148"/>
      <c r="N545" s="92" t="e">
        <f>VLOOKUP(Table1[[#This Row],[USER]],[1]!Table145678910111213141545678910111213146[[#All],[No.]:[Delete]],2,0)</f>
        <v>#N/A</v>
      </c>
    </row>
    <row r="546" spans="1:14">
      <c r="A546" s="93">
        <v>538</v>
      </c>
      <c r="B546" s="94">
        <v>17</v>
      </c>
      <c r="C546" s="40" t="s">
        <v>7950</v>
      </c>
      <c r="D546" s="40" t="str">
        <f>VLOOKUP(E546,Sheet3!$A$2:$D$6338,2,0)</f>
        <v>Nguyễn Ngọc Cảnh</v>
      </c>
      <c r="E546" s="44" t="s">
        <v>525</v>
      </c>
      <c r="F546" s="44" t="str">
        <f t="shared" si="11"/>
        <v>VN01555</v>
      </c>
      <c r="G546" s="295"/>
      <c r="H546" s="41" t="s">
        <v>67</v>
      </c>
      <c r="I546" s="95">
        <v>45434</v>
      </c>
      <c r="J546" s="122"/>
      <c r="K546" s="122"/>
      <c r="L546" s="147" t="str">
        <f>VLOOKUP(E546,DS!$A$2:$E$4398, 5, 0)</f>
        <v>Tài vụ</v>
      </c>
      <c r="M546" s="148"/>
      <c r="N546" s="92" t="e">
        <f>VLOOKUP(Table1[[#This Row],[USER]],[1]!Table145678910111213141545678910111213146[[#All],[No.]:[Delete]],2,0)</f>
        <v>#N/A</v>
      </c>
    </row>
    <row r="547" spans="1:14">
      <c r="A547" s="93">
        <v>539</v>
      </c>
      <c r="B547" s="132">
        <v>18</v>
      </c>
      <c r="C547" s="135" t="s">
        <v>874</v>
      </c>
      <c r="D547" s="40" t="str">
        <f>VLOOKUP(E547,Sheet3!$A$2:$D$6338,2,0)</f>
        <v>Khổng Việt Vương</v>
      </c>
      <c r="E547" s="133" t="s">
        <v>8027</v>
      </c>
      <c r="F547" s="133" t="str">
        <f>"VN"&amp;RIGHT(E547,5)</f>
        <v>VN25677</v>
      </c>
      <c r="G547" s="297"/>
      <c r="H547" s="41" t="s">
        <v>67</v>
      </c>
      <c r="I547" s="136">
        <v>45803</v>
      </c>
      <c r="J547" s="134"/>
      <c r="K547" s="134"/>
      <c r="L547" s="147" t="str">
        <f>VLOOKUP(E547,DS!$A$2:$E$4398, 5, 0)</f>
        <v>Tài vụ</v>
      </c>
      <c r="M547" s="154"/>
      <c r="N547" s="92" t="e">
        <f>VLOOKUP(Table1[[#This Row],[USER]],[1]!Table145678910111213141545678910111213146[[#All],[No.]:[Delete]],2,0)</f>
        <v>#N/A</v>
      </c>
    </row>
    <row r="548" spans="1:14">
      <c r="A548" s="93">
        <v>540</v>
      </c>
      <c r="B548" s="94">
        <v>1</v>
      </c>
      <c r="C548" s="40" t="s">
        <v>7951</v>
      </c>
      <c r="D548" s="40" t="str">
        <f>VLOOKUP(E548,Sheet3!$A$2:$D$6338,2,0)</f>
        <v>Nguyễn Mạnh Tú</v>
      </c>
      <c r="E548" s="44" t="s">
        <v>534</v>
      </c>
      <c r="F548" s="44" t="str">
        <f t="shared" si="11"/>
        <v>VN01436</v>
      </c>
      <c r="G548" s="295"/>
      <c r="H548" s="41" t="s">
        <v>67</v>
      </c>
      <c r="I548" s="95">
        <v>45434</v>
      </c>
      <c r="J548" s="122"/>
      <c r="K548" s="122"/>
      <c r="L548" s="147" t="str">
        <f>VLOOKUP(E548,DS!$A$2:$E$4398, 5, 0)</f>
        <v>Đúc</v>
      </c>
      <c r="M548" s="148"/>
      <c r="N548" s="92" t="e">
        <f>VLOOKUP(Table1[[#This Row],[USER]],[1]!Table145678910111213141545678910111213146[[#All],[No.]:[Delete]],2,0)</f>
        <v>#N/A</v>
      </c>
    </row>
    <row r="549" spans="1:14">
      <c r="A549" s="93">
        <v>541</v>
      </c>
      <c r="B549" s="94">
        <v>2</v>
      </c>
      <c r="C549" s="40" t="s">
        <v>7951</v>
      </c>
      <c r="D549" s="40" t="str">
        <f>VLOOKUP(E549,Sheet3!$A$2:$D$6338,2,0)</f>
        <v>Trần Việt Long</v>
      </c>
      <c r="E549" s="44" t="s">
        <v>536</v>
      </c>
      <c r="F549" s="44" t="str">
        <f t="shared" si="11"/>
        <v>VN02611</v>
      </c>
      <c r="G549" s="295"/>
      <c r="H549" s="41" t="s">
        <v>67</v>
      </c>
      <c r="I549" s="95">
        <v>45434</v>
      </c>
      <c r="J549" s="122">
        <v>45950</v>
      </c>
      <c r="K549" s="122">
        <v>45960</v>
      </c>
      <c r="L549" s="147" t="str">
        <f>VLOOKUP(E549,DS!$A$2:$E$4398, 5, 0)</f>
        <v>Đúc</v>
      </c>
      <c r="M549" s="148"/>
      <c r="N549" s="92" t="e">
        <f>VLOOKUP(Table1[[#This Row],[USER]],[1]!Table145678910111213141545678910111213146[[#All],[No.]:[Delete]],2,0)</f>
        <v>#N/A</v>
      </c>
    </row>
    <row r="550" spans="1:14">
      <c r="A550" s="93">
        <v>542</v>
      </c>
      <c r="B550" s="94">
        <v>3</v>
      </c>
      <c r="C550" s="40" t="s">
        <v>7951</v>
      </c>
      <c r="D550" s="40" t="str">
        <f>VLOOKUP(E550,Sheet3!$A$2:$D$6338,2,0)</f>
        <v>Dương Thị Thu Thủy</v>
      </c>
      <c r="E550" s="44" t="s">
        <v>537</v>
      </c>
      <c r="F550" s="44" t="str">
        <f t="shared" si="11"/>
        <v>VN01373</v>
      </c>
      <c r="G550" s="295"/>
      <c r="H550" s="41" t="s">
        <v>67</v>
      </c>
      <c r="I550" s="95">
        <v>45434</v>
      </c>
      <c r="J550" s="122"/>
      <c r="K550" s="122"/>
      <c r="L550" s="147" t="str">
        <f>VLOOKUP(E550,DS!$A$2:$E$4398, 5, 0)</f>
        <v>Đúc</v>
      </c>
      <c r="M550" s="148"/>
      <c r="N550" s="92" t="e">
        <f>VLOOKUP(Table1[[#This Row],[USER]],[1]!Table145678910111213141545678910111213146[[#All],[No.]:[Delete]],2,0)</f>
        <v>#N/A</v>
      </c>
    </row>
    <row r="551" spans="1:14">
      <c r="A551" s="93">
        <v>543</v>
      </c>
      <c r="B551" s="94">
        <v>4</v>
      </c>
      <c r="C551" s="40" t="s">
        <v>7951</v>
      </c>
      <c r="D551" s="40" t="str">
        <f>VLOOKUP(E551,Sheet3!$A$2:$D$6338,2,0)</f>
        <v>Nguyễn Thị Luyến</v>
      </c>
      <c r="E551" s="44" t="s">
        <v>538</v>
      </c>
      <c r="F551" s="44" t="str">
        <f t="shared" si="11"/>
        <v>VN00917</v>
      </c>
      <c r="G551" s="295"/>
      <c r="H551" s="41" t="s">
        <v>67</v>
      </c>
      <c r="I551" s="95">
        <v>45434</v>
      </c>
      <c r="J551" s="122"/>
      <c r="K551" s="122"/>
      <c r="L551" s="147" t="str">
        <f>VLOOKUP(E551,DS!$A$2:$E$4398, 5, 0)</f>
        <v>Đúc</v>
      </c>
      <c r="M551" s="148"/>
      <c r="N551" s="92" t="e">
        <f>VLOOKUP(Table1[[#This Row],[USER]],[1]!Table145678910111213141545678910111213146[[#All],[No.]:[Delete]],2,0)</f>
        <v>#N/A</v>
      </c>
    </row>
    <row r="552" spans="1:14">
      <c r="A552" s="93">
        <v>544</v>
      </c>
      <c r="B552" s="94">
        <v>5</v>
      </c>
      <c r="C552" s="40" t="s">
        <v>7951</v>
      </c>
      <c r="D552" s="40" t="str">
        <f>VLOOKUP(E552,Sheet3!$A$2:$D$6338,2,0)</f>
        <v>Nguyễn Thị Thuý Minh</v>
      </c>
      <c r="E552" s="44" t="s">
        <v>539</v>
      </c>
      <c r="F552" s="44" t="str">
        <f t="shared" si="11"/>
        <v>VN01198</v>
      </c>
      <c r="G552" s="295"/>
      <c r="H552" s="41" t="s">
        <v>67</v>
      </c>
      <c r="I552" s="95">
        <v>45434</v>
      </c>
      <c r="J552" s="122"/>
      <c r="K552" s="122"/>
      <c r="L552" s="147" t="str">
        <f>VLOOKUP(E552,DS!$A$2:$E$4398, 5, 0)</f>
        <v>Đúc</v>
      </c>
      <c r="M552" s="148"/>
      <c r="N552" s="92" t="e">
        <f>VLOOKUP(Table1[[#This Row],[USER]],[1]!Table145678910111213141545678910111213146[[#All],[No.]:[Delete]],2,0)</f>
        <v>#N/A</v>
      </c>
    </row>
    <row r="553" spans="1:14">
      <c r="A553" s="93">
        <v>545</v>
      </c>
      <c r="B553" s="94">
        <v>6</v>
      </c>
      <c r="C553" s="40" t="s">
        <v>7951</v>
      </c>
      <c r="D553" s="40" t="str">
        <f>VLOOKUP(E553,Sheet3!$A$2:$D$6338,2,0)</f>
        <v>Lê Thị Thu</v>
      </c>
      <c r="E553" s="44" t="s">
        <v>540</v>
      </c>
      <c r="F553" s="44" t="str">
        <f t="shared" si="11"/>
        <v>VN16878</v>
      </c>
      <c r="G553" s="295"/>
      <c r="H553" s="41" t="s">
        <v>67</v>
      </c>
      <c r="I553" s="95">
        <v>45434</v>
      </c>
      <c r="J553" s="122"/>
      <c r="K553" s="122"/>
      <c r="L553" s="147" t="str">
        <f>VLOOKUP(E553,DS!$A$2:$E$4398, 5, 0)</f>
        <v>Đúc</v>
      </c>
      <c r="M553" s="148"/>
      <c r="N553" s="92" t="e">
        <f>VLOOKUP(Table1[[#This Row],[USER]],[1]!Table145678910111213141545678910111213146[[#All],[No.]:[Delete]],2,0)</f>
        <v>#N/A</v>
      </c>
    </row>
    <row r="554" spans="1:14">
      <c r="A554" s="93">
        <v>546</v>
      </c>
      <c r="B554" s="94">
        <v>7</v>
      </c>
      <c r="C554" s="40" t="s">
        <v>7951</v>
      </c>
      <c r="D554" s="40" t="str">
        <f>VLOOKUP(E554,Sheet3!$A$2:$D$6338,2,0)</f>
        <v>Bùi Việt Anh</v>
      </c>
      <c r="E554" s="44" t="s">
        <v>541</v>
      </c>
      <c r="F554" s="44" t="str">
        <f t="shared" si="11"/>
        <v>VN01021</v>
      </c>
      <c r="G554" s="295"/>
      <c r="H554" s="41" t="s">
        <v>67</v>
      </c>
      <c r="I554" s="95">
        <v>45434</v>
      </c>
      <c r="J554" s="122"/>
      <c r="K554" s="122"/>
      <c r="L554" s="147" t="str">
        <f>VLOOKUP(E554,DS!$A$2:$E$4398, 5, 0)</f>
        <v>Đánh bóng</v>
      </c>
      <c r="M554" s="148"/>
      <c r="N554" s="92" t="e">
        <f>VLOOKUP(Table1[[#This Row],[USER]],[1]!Table145678910111213141545678910111213146[[#All],[No.]:[Delete]],2,0)</f>
        <v>#N/A</v>
      </c>
    </row>
    <row r="555" spans="1:14">
      <c r="A555" s="93">
        <v>547</v>
      </c>
      <c r="B555" s="94">
        <v>8</v>
      </c>
      <c r="C555" s="40" t="s">
        <v>7951</v>
      </c>
      <c r="D555" s="40" t="str">
        <f>VLOOKUP(E555,Sheet3!$A$2:$D$6338,2,0)</f>
        <v>Phạm Thị Ngọc Hà</v>
      </c>
      <c r="E555" s="44" t="s">
        <v>542</v>
      </c>
      <c r="F555" s="44" t="str">
        <f t="shared" si="11"/>
        <v>VN09194</v>
      </c>
      <c r="G555" s="295"/>
      <c r="H555" s="41" t="s">
        <v>67</v>
      </c>
      <c r="I555" s="95">
        <v>45434</v>
      </c>
      <c r="J555" s="122"/>
      <c r="K555" s="122"/>
      <c r="L555" s="147" t="str">
        <f>VLOOKUP(E555,DS!$A$2:$E$4398, 5, 0)</f>
        <v>Đúc</v>
      </c>
      <c r="M555" s="148"/>
      <c r="N555" s="92" t="e">
        <f>VLOOKUP(Table1[[#This Row],[USER]],[1]!Table145678910111213141545678910111213146[[#All],[No.]:[Delete]],2,0)</f>
        <v>#N/A</v>
      </c>
    </row>
    <row r="556" spans="1:14">
      <c r="A556" s="93">
        <v>548</v>
      </c>
      <c r="B556" s="94">
        <v>9</v>
      </c>
      <c r="C556" s="40" t="s">
        <v>7951</v>
      </c>
      <c r="D556" s="40" t="str">
        <f>VLOOKUP(E556,Sheet3!$A$2:$D$6338,2,0)</f>
        <v>Bùi Thị Minh</v>
      </c>
      <c r="E556" s="44" t="s">
        <v>543</v>
      </c>
      <c r="F556" s="44" t="str">
        <f t="shared" si="11"/>
        <v>VN19005</v>
      </c>
      <c r="G556" s="295"/>
      <c r="H556" s="41" t="s">
        <v>67</v>
      </c>
      <c r="I556" s="95">
        <v>45434</v>
      </c>
      <c r="J556" s="122"/>
      <c r="K556" s="122"/>
      <c r="L556" s="147" t="str">
        <f>VLOOKUP(E556,DS!$A$2:$E$4398, 5, 0)</f>
        <v>Đúc</v>
      </c>
      <c r="M556" s="148"/>
      <c r="N556" s="92" t="e">
        <f>VLOOKUP(Table1[[#This Row],[USER]],[1]!Table145678910111213141545678910111213146[[#All],[No.]:[Delete]],2,0)</f>
        <v>#N/A</v>
      </c>
    </row>
    <row r="557" spans="1:14">
      <c r="A557" s="93">
        <v>549</v>
      </c>
      <c r="B557" s="94">
        <v>10</v>
      </c>
      <c r="C557" s="40" t="s">
        <v>7951</v>
      </c>
      <c r="D557" s="40" t="str">
        <f>VLOOKUP(E557,Sheet3!$A$2:$D$6338,2,0)</f>
        <v>Đặng Văn Thái</v>
      </c>
      <c r="E557" s="44" t="s">
        <v>7801</v>
      </c>
      <c r="F557" s="44" t="str">
        <f t="shared" si="11"/>
        <v>VN09155</v>
      </c>
      <c r="G557" s="295"/>
      <c r="H557" s="41" t="s">
        <v>67</v>
      </c>
      <c r="I557" s="95">
        <v>45500</v>
      </c>
      <c r="J557" s="122"/>
      <c r="K557" s="122"/>
      <c r="L557" s="147" t="str">
        <f>VLOOKUP(E557,DS!$A$2:$E$4398, 5, 0)</f>
        <v>Đánh bóng</v>
      </c>
      <c r="M557" s="148"/>
      <c r="N557" s="92" t="e">
        <f>VLOOKUP(Table1[[#This Row],[USER]],[1]!Table145678910111213141545678910111213146[[#All],[No.]:[Delete]],2,0)</f>
        <v>#N/A</v>
      </c>
    </row>
    <row r="558" spans="1:14">
      <c r="A558" s="93">
        <v>550</v>
      </c>
      <c r="B558" s="94">
        <v>11</v>
      </c>
      <c r="C558" s="40" t="s">
        <v>7951</v>
      </c>
      <c r="D558" s="40" t="e">
        <f>VLOOKUP(E558,Sheet3!$A$2:$D$6338,2,0)</f>
        <v>#N/A</v>
      </c>
      <c r="E558" s="44" t="s">
        <v>544</v>
      </c>
      <c r="F558" s="44" t="str">
        <f t="shared" si="11"/>
        <v>VN00167</v>
      </c>
      <c r="G558" s="295"/>
      <c r="H558" s="41" t="s">
        <v>67</v>
      </c>
      <c r="I558" s="95">
        <v>45434</v>
      </c>
      <c r="J558" s="122">
        <v>45806</v>
      </c>
      <c r="K558" s="122">
        <v>45806</v>
      </c>
      <c r="L558" s="147" t="e">
        <f>VLOOKUP(E558,DS!$A$2:$E$4398, 5, 0)</f>
        <v>#N/A</v>
      </c>
      <c r="M558" s="148"/>
      <c r="N558" s="92" t="e">
        <f>VLOOKUP(Table1[[#This Row],[USER]],[1]!Table145678910111213141545678910111213146[[#All],[No.]:[Delete]],2,0)</f>
        <v>#N/A</v>
      </c>
    </row>
    <row r="559" spans="1:14">
      <c r="A559" s="93">
        <v>551</v>
      </c>
      <c r="B559" s="94">
        <v>12</v>
      </c>
      <c r="C559" s="40" t="s">
        <v>7951</v>
      </c>
      <c r="D559" s="40" t="str">
        <f>VLOOKUP(E559,Sheet3!$A$2:$D$6338,2,0)</f>
        <v>Lê Phương Quỳnh</v>
      </c>
      <c r="E559" s="44" t="s">
        <v>535</v>
      </c>
      <c r="F559" s="44" t="str">
        <f t="shared" si="11"/>
        <v>VN00776</v>
      </c>
      <c r="G559" s="295"/>
      <c r="H559" s="41" t="s">
        <v>67</v>
      </c>
      <c r="I559" s="95">
        <v>45434</v>
      </c>
      <c r="J559" s="122"/>
      <c r="K559" s="122"/>
      <c r="L559" s="147" t="str">
        <f>VLOOKUP(E559,DS!$A$2:$E$4398, 5, 0)</f>
        <v>Đúc</v>
      </c>
      <c r="M559" s="148"/>
      <c r="N559" s="92" t="e">
        <f>VLOOKUP(Table1[[#This Row],[USER]],[1]!Table145678910111213141545678910111213146[[#All],[No.]:[Delete]],2,0)</f>
        <v>#N/A</v>
      </c>
    </row>
    <row r="560" spans="1:14">
      <c r="A560" s="93">
        <v>552</v>
      </c>
      <c r="B560" s="94">
        <v>13</v>
      </c>
      <c r="C560" s="40" t="s">
        <v>7951</v>
      </c>
      <c r="D560" s="40" t="str">
        <f>VLOOKUP(E560,Sheet3!$A$2:$D$6338,2,0)</f>
        <v>Đặng Duy Tôn</v>
      </c>
      <c r="E560" s="44" t="s">
        <v>7791</v>
      </c>
      <c r="F560" s="44" t="str">
        <f t="shared" si="11"/>
        <v>VN06000</v>
      </c>
      <c r="G560" s="295"/>
      <c r="H560" s="41" t="s">
        <v>67</v>
      </c>
      <c r="I560" s="95">
        <v>45434</v>
      </c>
      <c r="J560" s="122"/>
      <c r="K560" s="122"/>
      <c r="L560" s="147" t="str">
        <f>VLOOKUP(E560,DS!$A$2:$E$4398, 5, 0)</f>
        <v>Đánh bóng</v>
      </c>
      <c r="M560" s="148"/>
      <c r="N560" s="92" t="e">
        <f>VLOOKUP(Table1[[#This Row],[USER]],[1]!Table145678910111213141545678910111213146[[#All],[No.]:[Delete]],2,0)</f>
        <v>#N/A</v>
      </c>
    </row>
    <row r="561" spans="1:14">
      <c r="A561" s="93">
        <v>553</v>
      </c>
      <c r="B561" s="94">
        <v>14</v>
      </c>
      <c r="C561" s="40" t="s">
        <v>7951</v>
      </c>
      <c r="D561" s="40" t="str">
        <f>VLOOKUP(E561,Sheet3!$A$2:$D$6338,2,0)</f>
        <v>Nguyễn Hải Yến</v>
      </c>
      <c r="E561" s="44" t="s">
        <v>545</v>
      </c>
      <c r="F561" s="44" t="str">
        <f t="shared" si="11"/>
        <v>VN22029</v>
      </c>
      <c r="G561" s="295"/>
      <c r="H561" s="41" t="s">
        <v>67</v>
      </c>
      <c r="I561" s="95">
        <v>45434</v>
      </c>
      <c r="J561" s="122">
        <v>45806</v>
      </c>
      <c r="K561" s="122">
        <v>45806</v>
      </c>
      <c r="L561" s="147" t="e">
        <f>VLOOKUP(E561,DS!$A$2:$E$4398, 5, 0)</f>
        <v>#N/A</v>
      </c>
      <c r="M561" s="148"/>
      <c r="N561" s="92" t="e">
        <f>VLOOKUP(Table1[[#This Row],[USER]],[1]!Table145678910111213141545678910111213146[[#All],[No.]:[Delete]],2,0)</f>
        <v>#N/A</v>
      </c>
    </row>
    <row r="562" spans="1:14">
      <c r="A562" s="93">
        <v>554</v>
      </c>
      <c r="B562" s="94">
        <v>15</v>
      </c>
      <c r="C562" s="40" t="s">
        <v>844</v>
      </c>
      <c r="D562" s="40" t="str">
        <f>VLOOKUP(E562,Sheet3!$A$2:$D$6338,2,0)</f>
        <v>Nguyễn Thị Lê</v>
      </c>
      <c r="E562" s="44" t="s">
        <v>7792</v>
      </c>
      <c r="F562" s="44" t="str">
        <f>"VN"&amp;RIGHT(E562,5)</f>
        <v>VN05479</v>
      </c>
      <c r="G562" s="295"/>
      <c r="H562" s="41" t="s">
        <v>67</v>
      </c>
      <c r="I562" s="95">
        <v>45464</v>
      </c>
      <c r="J562" s="122">
        <v>45950</v>
      </c>
      <c r="K562" s="122">
        <v>45960</v>
      </c>
      <c r="L562" s="147" t="str">
        <f>VLOOKUP(E562,DS!$A$2:$E$4398, 5, 0)</f>
        <v>Đúc</v>
      </c>
      <c r="M562" s="148"/>
      <c r="N562" s="92" t="e">
        <f>VLOOKUP(Table1[[#This Row],[USER]],[1]!Table145678910111213141545678910111213146[[#All],[No.]:[Delete]],2,0)</f>
        <v>#N/A</v>
      </c>
    </row>
    <row r="563" spans="1:14">
      <c r="A563" s="93">
        <v>555</v>
      </c>
      <c r="B563" s="94">
        <v>16</v>
      </c>
      <c r="C563" s="40" t="s">
        <v>844</v>
      </c>
      <c r="D563" s="40" t="str">
        <f>VLOOKUP(E563,Sheet3!$A$2:$D$6338,2,0)</f>
        <v>Đặng Bình Minh</v>
      </c>
      <c r="E563" s="44" t="s">
        <v>7793</v>
      </c>
      <c r="F563" s="44" t="str">
        <f>"VN"&amp;RIGHT(E563,5)</f>
        <v>VN04914</v>
      </c>
      <c r="G563" s="295"/>
      <c r="H563" s="41" t="s">
        <v>67</v>
      </c>
      <c r="I563" s="95">
        <v>45464</v>
      </c>
      <c r="J563" s="122"/>
      <c r="K563" s="122"/>
      <c r="L563" s="147" t="str">
        <f>VLOOKUP(E563,DS!$A$2:$E$4398, 5, 0)</f>
        <v>Đánh bóng</v>
      </c>
      <c r="M563" s="148"/>
      <c r="N563" s="92" t="e">
        <f>VLOOKUP(Table1[[#This Row],[USER]],[1]!Table145678910111213141545678910111213146[[#All],[No.]:[Delete]],2,0)</f>
        <v>#N/A</v>
      </c>
    </row>
    <row r="564" spans="1:14">
      <c r="A564" s="93">
        <v>556</v>
      </c>
      <c r="B564" s="94">
        <v>1</v>
      </c>
      <c r="C564" s="40" t="s">
        <v>1541</v>
      </c>
      <c r="D564" s="40" t="str">
        <f>VLOOKUP(E564,Sheet3!$A$2:$D$6338,2,0)</f>
        <v>Phùng Khánh</v>
      </c>
      <c r="E564" s="44" t="s">
        <v>546</v>
      </c>
      <c r="F564" s="44" t="str">
        <f t="shared" si="11"/>
        <v>VN01906</v>
      </c>
      <c r="G564" s="295"/>
      <c r="H564" s="41" t="s">
        <v>67</v>
      </c>
      <c r="I564" s="95">
        <v>45434</v>
      </c>
      <c r="J564" s="122"/>
      <c r="K564" s="122"/>
      <c r="L564" s="147" t="str">
        <f>VLOOKUP(E564,DS!$A$2:$E$4398, 5, 0)</f>
        <v>KTKP</v>
      </c>
      <c r="M564" s="148"/>
      <c r="N564" s="92" t="e">
        <f>VLOOKUP(Table1[[#This Row],[USER]],[1]!Table145678910111213141545678910111213146[[#All],[No.]:[Delete]],2,0)</f>
        <v>#N/A</v>
      </c>
    </row>
    <row r="565" spans="1:14">
      <c r="A565" s="93">
        <v>557</v>
      </c>
      <c r="B565" s="94">
        <v>2</v>
      </c>
      <c r="C565" s="40" t="s">
        <v>7952</v>
      </c>
      <c r="D565" s="40" t="str">
        <f>VLOOKUP(E565,Sheet3!$A$2:$D$6338,2,0)</f>
        <v>Trần Thị Thắm</v>
      </c>
      <c r="E565" s="44" t="s">
        <v>547</v>
      </c>
      <c r="F565" s="44" t="str">
        <f t="shared" si="11"/>
        <v>VN01376</v>
      </c>
      <c r="G565" s="295"/>
      <c r="H565" s="41" t="s">
        <v>67</v>
      </c>
      <c r="I565" s="95">
        <v>45434</v>
      </c>
      <c r="J565" s="122">
        <v>45806</v>
      </c>
      <c r="K565" s="122">
        <v>45806</v>
      </c>
      <c r="L565" s="147" t="e">
        <f>VLOOKUP(E565,DS!$A$2:$E$4398, 5, 0)</f>
        <v>#N/A</v>
      </c>
      <c r="M565" s="148"/>
      <c r="N565" s="92" t="e">
        <f>VLOOKUP(Table1[[#This Row],[USER]],[1]!Table145678910111213141545678910111213146[[#All],[No.]:[Delete]],2,0)</f>
        <v>#N/A</v>
      </c>
    </row>
    <row r="566" spans="1:14">
      <c r="A566" s="93">
        <v>558</v>
      </c>
      <c r="B566" s="94">
        <v>3</v>
      </c>
      <c r="C566" s="40" t="s">
        <v>7952</v>
      </c>
      <c r="D566" s="40" t="str">
        <f>VLOOKUP(E566,Sheet3!$A$2:$D$6338,2,0)</f>
        <v>Ngô Thị Dung</v>
      </c>
      <c r="E566" s="44" t="s">
        <v>548</v>
      </c>
      <c r="F566" s="44" t="str">
        <f t="shared" si="11"/>
        <v>VN01911</v>
      </c>
      <c r="G566" s="295"/>
      <c r="H566" s="41" t="s">
        <v>67</v>
      </c>
      <c r="I566" s="95">
        <v>45434</v>
      </c>
      <c r="J566" s="122"/>
      <c r="K566" s="122"/>
      <c r="L566" s="147" t="str">
        <f>VLOOKUP(E566,DS!$A$2:$E$4398, 5, 0)</f>
        <v>Gia công</v>
      </c>
      <c r="M566" s="148"/>
      <c r="N566" s="92" t="e">
        <f>VLOOKUP(Table1[[#This Row],[USER]],[1]!Table145678910111213141545678910111213146[[#All],[No.]:[Delete]],2,0)</f>
        <v>#N/A</v>
      </c>
    </row>
    <row r="567" spans="1:14">
      <c r="A567" s="93">
        <v>559</v>
      </c>
      <c r="B567" s="94">
        <v>4</v>
      </c>
      <c r="C567" s="40" t="s">
        <v>7952</v>
      </c>
      <c r="D567" s="40" t="str">
        <f>VLOOKUP(E567,Sheet3!$A$2:$D$6338,2,0)</f>
        <v>Phan Thị Thu Hiền</v>
      </c>
      <c r="E567" s="44" t="s">
        <v>8384</v>
      </c>
      <c r="F567" s="44" t="str">
        <f t="shared" si="11"/>
        <v>VN01134</v>
      </c>
      <c r="G567" s="295"/>
      <c r="H567" s="41" t="s">
        <v>67</v>
      </c>
      <c r="I567" s="95">
        <v>45434</v>
      </c>
      <c r="J567" s="122"/>
      <c r="K567" s="122"/>
      <c r="L567" s="147" t="str">
        <f>VLOOKUP(E567,DS!$A$2:$E$4398, 5, 0)</f>
        <v>Gia công</v>
      </c>
      <c r="M567" s="148"/>
      <c r="N567" s="92" t="e">
        <f>VLOOKUP(Table1[[#This Row],[USER]],[1]!Table145678910111213141545678910111213146[[#All],[No.]:[Delete]],2,0)</f>
        <v>#N/A</v>
      </c>
    </row>
    <row r="568" spans="1:14">
      <c r="A568" s="93">
        <v>560</v>
      </c>
      <c r="B568" s="94">
        <v>5</v>
      </c>
      <c r="C568" s="40" t="s">
        <v>1541</v>
      </c>
      <c r="D568" s="40" t="str">
        <f>VLOOKUP(E568,Sheet3!$A$2:$D$6338,2,0)</f>
        <v>Phan Thị Thúy Hằng</v>
      </c>
      <c r="E568" s="44" t="s">
        <v>549</v>
      </c>
      <c r="F568" s="44" t="str">
        <f t="shared" si="11"/>
        <v>VN18616</v>
      </c>
      <c r="G568" s="295"/>
      <c r="H568" s="41" t="s">
        <v>67</v>
      </c>
      <c r="I568" s="95">
        <v>45428</v>
      </c>
      <c r="J568" s="122"/>
      <c r="K568" s="122"/>
      <c r="L568" s="147" t="str">
        <f>VLOOKUP(E568,DS!$A$2:$E$4398, 5, 0)</f>
        <v>KTKP</v>
      </c>
      <c r="M568" s="148"/>
      <c r="N568" s="92" t="e">
        <f>VLOOKUP(Table1[[#This Row],[USER]],[1]!Table145678910111213141545678910111213146[[#All],[No.]:[Delete]],2,0)</f>
        <v>#N/A</v>
      </c>
    </row>
    <row r="569" spans="1:14">
      <c r="A569" s="93">
        <v>561</v>
      </c>
      <c r="B569" s="94">
        <v>6</v>
      </c>
      <c r="C569" s="40" t="s">
        <v>7952</v>
      </c>
      <c r="D569" s="40" t="str">
        <f>VLOOKUP(E569,Sheet3!$A$2:$D$6338,2,0)</f>
        <v>Nguyễn Duy Khánh</v>
      </c>
      <c r="E569" s="44" t="s">
        <v>550</v>
      </c>
      <c r="F569" s="44" t="str">
        <f t="shared" si="11"/>
        <v>VN01167</v>
      </c>
      <c r="G569" s="295"/>
      <c r="H569" s="41" t="s">
        <v>67</v>
      </c>
      <c r="I569" s="95">
        <v>45434</v>
      </c>
      <c r="J569" s="122"/>
      <c r="K569" s="122"/>
      <c r="L569" s="147" t="str">
        <f>VLOOKUP(E569,DS!$A$2:$E$4398, 5, 0)</f>
        <v>Gia công</v>
      </c>
      <c r="M569" s="148"/>
      <c r="N569" s="92" t="e">
        <f>VLOOKUP(Table1[[#This Row],[USER]],[1]!Table145678910111213141545678910111213146[[#All],[No.]:[Delete]],2,0)</f>
        <v>#N/A</v>
      </c>
    </row>
    <row r="570" spans="1:14">
      <c r="A570" s="93">
        <v>562</v>
      </c>
      <c r="B570" s="94">
        <v>7</v>
      </c>
      <c r="C570" s="40" t="s">
        <v>7952</v>
      </c>
      <c r="D570" s="40" t="str">
        <f>VLOOKUP(E570,Sheet3!$A$2:$D$6338,2,0)</f>
        <v>Nguyễn Thị Lan</v>
      </c>
      <c r="E570" s="96" t="s">
        <v>551</v>
      </c>
      <c r="F570" s="44" t="str">
        <f t="shared" si="11"/>
        <v>VN11988</v>
      </c>
      <c r="G570" s="295"/>
      <c r="H570" s="41" t="s">
        <v>67</v>
      </c>
      <c r="I570" s="95">
        <v>45434</v>
      </c>
      <c r="J570" s="122"/>
      <c r="K570" s="122"/>
      <c r="L570" s="147" t="str">
        <f>VLOOKUP(E570,DS!$A$2:$E$4398, 5, 0)</f>
        <v>Gia công</v>
      </c>
      <c r="M570" s="148"/>
      <c r="N570" s="92" t="e">
        <f>VLOOKUP(Table1[[#This Row],[USER]],[1]!Table145678910111213141545678910111213146[[#All],[No.]:[Delete]],2,0)</f>
        <v>#N/A</v>
      </c>
    </row>
    <row r="571" spans="1:14">
      <c r="A571" s="93">
        <v>563</v>
      </c>
      <c r="B571" s="94">
        <v>8</v>
      </c>
      <c r="C571" s="40" t="s">
        <v>1541</v>
      </c>
      <c r="D571" s="40" t="str">
        <f>VLOOKUP(E571,Sheet3!$A$2:$D$6338,2,0)</f>
        <v>Nguyễn Chiến</v>
      </c>
      <c r="E571" s="44" t="s">
        <v>552</v>
      </c>
      <c r="F571" s="44" t="str">
        <f t="shared" si="11"/>
        <v>VN09784</v>
      </c>
      <c r="G571" s="295"/>
      <c r="H571" s="41" t="s">
        <v>67</v>
      </c>
      <c r="I571" s="95">
        <v>45434</v>
      </c>
      <c r="J571" s="122"/>
      <c r="K571" s="122"/>
      <c r="L571" s="147" t="str">
        <f>VLOOKUP(E571,DS!$A$2:$E$4398, 5, 0)</f>
        <v>KTKP</v>
      </c>
      <c r="M571" s="148"/>
      <c r="N571" s="92" t="e">
        <f>VLOOKUP(Table1[[#This Row],[USER]],[1]!Table145678910111213141545678910111213146[[#All],[No.]:[Delete]],2,0)</f>
        <v>#N/A</v>
      </c>
    </row>
    <row r="572" spans="1:14">
      <c r="A572" s="93">
        <v>564</v>
      </c>
      <c r="B572" s="94">
        <v>9</v>
      </c>
      <c r="C572" s="40" t="s">
        <v>1541</v>
      </c>
      <c r="D572" s="40" t="str">
        <f>VLOOKUP(E572,Sheet3!$A$2:$D$6338,2,0)</f>
        <v>Phạm Văn Hiếu</v>
      </c>
      <c r="E572" s="44" t="s">
        <v>553</v>
      </c>
      <c r="F572" s="44" t="str">
        <f t="shared" si="11"/>
        <v>VN19427</v>
      </c>
      <c r="G572" s="295"/>
      <c r="H572" s="41" t="s">
        <v>67</v>
      </c>
      <c r="I572" s="95">
        <v>45434</v>
      </c>
      <c r="J572" s="122"/>
      <c r="K572" s="122"/>
      <c r="L572" s="147" t="str">
        <f>VLOOKUP(E572,DS!$A$2:$E$4398, 5, 0)</f>
        <v>KTKP</v>
      </c>
      <c r="M572" s="148"/>
      <c r="N572" s="92" t="e">
        <f>VLOOKUP(Table1[[#This Row],[USER]],[1]!Table145678910111213141545678910111213146[[#All],[No.]:[Delete]],2,0)</f>
        <v>#N/A</v>
      </c>
    </row>
    <row r="573" spans="1:14">
      <c r="A573" s="93">
        <v>565</v>
      </c>
      <c r="B573" s="94">
        <v>10</v>
      </c>
      <c r="C573" s="40" t="s">
        <v>1541</v>
      </c>
      <c r="D573" s="40" t="str">
        <f>VLOOKUP(E573,Sheet3!$A$2:$D$6338,2,0)</f>
        <v>Đặng Ngọc Vương</v>
      </c>
      <c r="E573" s="44" t="s">
        <v>554</v>
      </c>
      <c r="F573" s="44" t="str">
        <f t="shared" si="11"/>
        <v>VN14019</v>
      </c>
      <c r="G573" s="295"/>
      <c r="H573" s="41" t="s">
        <v>67</v>
      </c>
      <c r="I573" s="95">
        <v>45434</v>
      </c>
      <c r="J573" s="122"/>
      <c r="K573" s="122"/>
      <c r="L573" s="147" t="str">
        <f>VLOOKUP(E573,DS!$A$2:$E$4398, 5, 0)</f>
        <v>KTKP</v>
      </c>
      <c r="M573" s="148"/>
      <c r="N573" s="92" t="e">
        <f>VLOOKUP(Table1[[#This Row],[USER]],[1]!Table145678910111213141545678910111213146[[#All],[No.]:[Delete]],2,0)</f>
        <v>#N/A</v>
      </c>
    </row>
    <row r="574" spans="1:14">
      <c r="A574" s="93">
        <v>566</v>
      </c>
      <c r="B574" s="94">
        <v>11</v>
      </c>
      <c r="C574" s="40" t="s">
        <v>7952</v>
      </c>
      <c r="D574" s="40" t="str">
        <f>VLOOKUP(E574,Sheet3!$A$2:$D$6338,2,0)</f>
        <v>Nguyễn Văn Hiếu</v>
      </c>
      <c r="E574" s="44" t="s">
        <v>555</v>
      </c>
      <c r="F574" s="44" t="str">
        <f t="shared" si="11"/>
        <v>VN00234</v>
      </c>
      <c r="G574" s="295"/>
      <c r="H574" s="41" t="s">
        <v>67</v>
      </c>
      <c r="I574" s="95">
        <v>45434</v>
      </c>
      <c r="J574" s="122"/>
      <c r="K574" s="122"/>
      <c r="L574" s="147" t="str">
        <f>VLOOKUP(E574,DS!$A$2:$E$4398, 5, 0)</f>
        <v>Gia công</v>
      </c>
      <c r="M574" s="148"/>
      <c r="N574" s="92" t="e">
        <f>VLOOKUP(Table1[[#This Row],[USER]],[1]!Table145678910111213141545678910111213146[[#All],[No.]:[Delete]],2,0)</f>
        <v>#N/A</v>
      </c>
    </row>
    <row r="575" spans="1:14">
      <c r="A575" s="93">
        <v>567</v>
      </c>
      <c r="B575" s="94">
        <v>12</v>
      </c>
      <c r="C575" s="40" t="s">
        <v>7952</v>
      </c>
      <c r="D575" s="40" t="str">
        <f>VLOOKUP(E575,Sheet3!$A$2:$D$6338,2,0)</f>
        <v>Chu Văn Lượng</v>
      </c>
      <c r="E575" s="44" t="s">
        <v>7796</v>
      </c>
      <c r="F575" s="44" t="str">
        <f t="shared" si="11"/>
        <v>VN01795</v>
      </c>
      <c r="G575" s="295"/>
      <c r="H575" s="41" t="s">
        <v>67</v>
      </c>
      <c r="I575" s="95">
        <v>45467</v>
      </c>
      <c r="J575" s="122"/>
      <c r="K575" s="122"/>
      <c r="L575" s="147" t="str">
        <f>VLOOKUP(E575,DS!$A$2:$E$4398, 5, 0)</f>
        <v>Gia công</v>
      </c>
      <c r="M575" s="148"/>
      <c r="N575" s="92" t="e">
        <f>VLOOKUP(Table1[[#This Row],[USER]],[1]!Table145678910111213141545678910111213146[[#All],[No.]:[Delete]],2,0)</f>
        <v>#N/A</v>
      </c>
    </row>
    <row r="576" spans="1:14">
      <c r="A576" s="93">
        <v>568</v>
      </c>
      <c r="B576" s="94">
        <v>12</v>
      </c>
      <c r="C576" s="40" t="s">
        <v>7952</v>
      </c>
      <c r="D576" s="40" t="str">
        <f>VLOOKUP(E576,Sheet3!$A$2:$D$6338,2,0)</f>
        <v>Trần Quốc Tuấn</v>
      </c>
      <c r="E576" s="163" t="s">
        <v>8655</v>
      </c>
      <c r="F576" s="163" t="str">
        <f>"VN"&amp;RIGHT(E576,5)</f>
        <v>VN21803</v>
      </c>
      <c r="G576" s="295"/>
      <c r="H576" s="41" t="s">
        <v>67</v>
      </c>
      <c r="I576" s="95">
        <v>45467</v>
      </c>
      <c r="J576" s="147"/>
      <c r="K576" s="147"/>
      <c r="L576" s="147" t="str">
        <f>VLOOKUP(E576,DS!$A$2:$E$4398, 5, 0)</f>
        <v>Gia công</v>
      </c>
      <c r="M576" s="148"/>
      <c r="N576" s="92" t="e">
        <f>VLOOKUP(Table1[[#This Row],[USER]],[1]!Table145678910111213141545678910111213146[[#All],[No.]:[Delete]],2,0)</f>
        <v>#N/A</v>
      </c>
    </row>
    <row r="577" spans="1:14">
      <c r="A577" s="93">
        <v>569</v>
      </c>
      <c r="B577" s="94">
        <v>13</v>
      </c>
      <c r="C577" s="40" t="s">
        <v>1541</v>
      </c>
      <c r="D577" s="40" t="str">
        <f>VLOOKUP(E577,Sheet3!$A$2:$D$6338,2,0)</f>
        <v>Trần Văn Ngọc</v>
      </c>
      <c r="E577" s="44" t="s">
        <v>558</v>
      </c>
      <c r="F577" s="44" t="str">
        <f t="shared" si="11"/>
        <v>VN16577</v>
      </c>
      <c r="G577" s="295"/>
      <c r="H577" s="41" t="s">
        <v>67</v>
      </c>
      <c r="I577" s="95">
        <v>45434</v>
      </c>
      <c r="J577" s="122"/>
      <c r="K577" s="122"/>
      <c r="L577" s="147" t="str">
        <f>VLOOKUP(E577,DS!$A$2:$E$4398, 5, 0)</f>
        <v>KTKP</v>
      </c>
      <c r="M577" s="148"/>
      <c r="N577" s="92" t="e">
        <f>VLOOKUP(Table1[[#This Row],[USER]],[1]!Table145678910111213141545678910111213146[[#All],[No.]:[Delete]],2,0)</f>
        <v>#N/A</v>
      </c>
    </row>
    <row r="578" spans="1:14">
      <c r="A578" s="93">
        <v>570</v>
      </c>
      <c r="B578" s="94">
        <v>14</v>
      </c>
      <c r="C578" s="40" t="s">
        <v>7952</v>
      </c>
      <c r="D578" s="40" t="str">
        <f>VLOOKUP(E578,Sheet3!$A$2:$D$6338,2,0)</f>
        <v>Thái Thị Hạnh</v>
      </c>
      <c r="E578" s="44" t="s">
        <v>559</v>
      </c>
      <c r="F578" s="44" t="str">
        <f t="shared" si="11"/>
        <v>VN16917</v>
      </c>
      <c r="G578" s="295"/>
      <c r="H578" s="41" t="s">
        <v>67</v>
      </c>
      <c r="I578" s="95">
        <v>45434</v>
      </c>
      <c r="J578" s="122"/>
      <c r="K578" s="122"/>
      <c r="L578" s="147" t="str">
        <f>VLOOKUP(E578,DS!$A$2:$E$4398, 5, 0)</f>
        <v>Gia công</v>
      </c>
      <c r="M578" s="148"/>
      <c r="N578" s="92" t="e">
        <f>VLOOKUP(Table1[[#This Row],[USER]],[1]!Table145678910111213141545678910111213146[[#All],[No.]:[Delete]],2,0)</f>
        <v>#N/A</v>
      </c>
    </row>
    <row r="579" spans="1:14">
      <c r="A579" s="93">
        <v>571</v>
      </c>
      <c r="B579" s="94">
        <v>15</v>
      </c>
      <c r="C579" s="40" t="s">
        <v>7952</v>
      </c>
      <c r="D579" s="40" t="str">
        <f>VLOOKUP(E579,Sheet3!$A$2:$D$6338,2,0)</f>
        <v>Nguyễn Văn Quân</v>
      </c>
      <c r="E579" s="44" t="s">
        <v>560</v>
      </c>
      <c r="F579" s="44" t="str">
        <f t="shared" si="11"/>
        <v>VN02131</v>
      </c>
      <c r="G579" s="295"/>
      <c r="H579" s="41" t="s">
        <v>67</v>
      </c>
      <c r="I579" s="95">
        <v>45434</v>
      </c>
      <c r="J579" s="122"/>
      <c r="K579" s="122"/>
      <c r="L579" s="147" t="str">
        <f>VLOOKUP(E579,DS!$A$2:$E$4398, 5, 0)</f>
        <v>Gia công</v>
      </c>
      <c r="M579" s="148"/>
      <c r="N579" s="92" t="e">
        <f>VLOOKUP(Table1[[#This Row],[USER]],[1]!Table145678910111213141545678910111213146[[#All],[No.]:[Delete]],2,0)</f>
        <v>#N/A</v>
      </c>
    </row>
    <row r="580" spans="1:14">
      <c r="A580" s="93">
        <v>572</v>
      </c>
      <c r="B580" s="94">
        <v>16</v>
      </c>
      <c r="C580" s="40" t="s">
        <v>1541</v>
      </c>
      <c r="D580" s="40" t="str">
        <f>VLOOKUP(E580,Sheet3!$A$2:$D$6338,2,0)</f>
        <v>Bùi Quang Doanh</v>
      </c>
      <c r="E580" s="44" t="s">
        <v>817</v>
      </c>
      <c r="F580" s="44" t="str">
        <f t="shared" si="11"/>
        <v>VN24332</v>
      </c>
      <c r="G580" s="295"/>
      <c r="H580" s="41" t="s">
        <v>67</v>
      </c>
      <c r="I580" s="95">
        <v>45434</v>
      </c>
      <c r="J580" s="122"/>
      <c r="K580" s="122"/>
      <c r="L580" s="147" t="str">
        <f>VLOOKUP(E580,DS!$A$2:$E$4398, 5, 0)</f>
        <v>KTKP</v>
      </c>
      <c r="M580" s="148"/>
      <c r="N580" s="92" t="e">
        <f>VLOOKUP(Table1[[#This Row],[USER]],[1]!Table145678910111213141545678910111213146[[#All],[No.]:[Delete]],2,0)</f>
        <v>#N/A</v>
      </c>
    </row>
    <row r="581" spans="1:14">
      <c r="A581" s="93">
        <v>573</v>
      </c>
      <c r="B581" s="94">
        <v>17</v>
      </c>
      <c r="C581" s="40" t="s">
        <v>1541</v>
      </c>
      <c r="D581" s="40" t="str">
        <f>VLOOKUP(E581,Sheet3!$A$2:$D$6338,2,0)</f>
        <v>Phạm Quốc Trượng</v>
      </c>
      <c r="E581" s="44" t="s">
        <v>562</v>
      </c>
      <c r="F581" s="44" t="str">
        <f t="shared" si="11"/>
        <v>VN16439</v>
      </c>
      <c r="G581" s="295"/>
      <c r="H581" s="41" t="s">
        <v>67</v>
      </c>
      <c r="I581" s="95">
        <v>45434</v>
      </c>
      <c r="J581" s="122"/>
      <c r="K581" s="122"/>
      <c r="L581" s="147" t="str">
        <f>VLOOKUP(E581,DS!$A$2:$E$4398, 5, 0)</f>
        <v>KTKP</v>
      </c>
      <c r="M581" s="148"/>
      <c r="N581" s="92" t="e">
        <f>VLOOKUP(Table1[[#This Row],[USER]],[1]!Table145678910111213141545678910111213146[[#All],[No.]:[Delete]],2,0)</f>
        <v>#N/A</v>
      </c>
    </row>
    <row r="582" spans="1:14">
      <c r="A582" s="93">
        <v>574</v>
      </c>
      <c r="B582" s="94">
        <v>18</v>
      </c>
      <c r="C582" s="40" t="s">
        <v>844</v>
      </c>
      <c r="D582" s="40" t="str">
        <f>VLOOKUP(E582,Sheet3!$A$2:$D$6338,2,0)</f>
        <v>Nguyễn Thành Quyết</v>
      </c>
      <c r="E582" s="44" t="s">
        <v>564</v>
      </c>
      <c r="F582" s="44" t="str">
        <f t="shared" si="11"/>
        <v>VN00930</v>
      </c>
      <c r="G582" s="295"/>
      <c r="H582" s="41" t="s">
        <v>67</v>
      </c>
      <c r="I582" s="95">
        <v>45434</v>
      </c>
      <c r="J582" s="122"/>
      <c r="K582" s="122"/>
      <c r="L582" s="147" t="str">
        <f>VLOOKUP(E582,DS!$A$2:$E$4398, 5, 0)</f>
        <v>Đúc</v>
      </c>
      <c r="M582" s="148"/>
      <c r="N582" s="92" t="e">
        <f>VLOOKUP(Table1[[#This Row],[USER]],[1]!Table145678910111213141545678910111213146[[#All],[No.]:[Delete]],2,0)</f>
        <v>#N/A</v>
      </c>
    </row>
    <row r="583" spans="1:14">
      <c r="A583" s="93">
        <v>575</v>
      </c>
      <c r="B583" s="94">
        <v>19</v>
      </c>
      <c r="C583" s="40" t="s">
        <v>1541</v>
      </c>
      <c r="D583" s="40" t="str">
        <f>VLOOKUP(E583,Sheet3!$A$2:$D$6338,2,0)</f>
        <v>Trần Anh Thế</v>
      </c>
      <c r="E583" s="44" t="s">
        <v>566</v>
      </c>
      <c r="F583" s="44" t="str">
        <f t="shared" si="11"/>
        <v>VN01434</v>
      </c>
      <c r="G583" s="295"/>
      <c r="H583" s="41" t="s">
        <v>67</v>
      </c>
      <c r="I583" s="95">
        <v>45434</v>
      </c>
      <c r="J583" s="122"/>
      <c r="K583" s="122"/>
      <c r="L583" s="147" t="str">
        <f>VLOOKUP(E583,DS!$A$2:$E$4398, 5, 0)</f>
        <v>KTKP</v>
      </c>
      <c r="M583" s="148"/>
      <c r="N583" s="92" t="e">
        <f>VLOOKUP(Table1[[#This Row],[USER]],[1]!Table145678910111213141545678910111213146[[#All],[No.]:[Delete]],2,0)</f>
        <v>#N/A</v>
      </c>
    </row>
    <row r="584" spans="1:14">
      <c r="A584" s="93">
        <v>576</v>
      </c>
      <c r="B584" s="94">
        <v>20</v>
      </c>
      <c r="C584" s="40" t="s">
        <v>1541</v>
      </c>
      <c r="D584" s="40" t="str">
        <f>VLOOKUP(E584,Sheet3!$A$2:$D$6338,2,0)</f>
        <v>Nguyễn Thị Minh Anh</v>
      </c>
      <c r="E584" s="44" t="s">
        <v>567</v>
      </c>
      <c r="F584" s="44" t="str">
        <f t="shared" si="11"/>
        <v>VN18327</v>
      </c>
      <c r="G584" s="295"/>
      <c r="H584" s="41" t="s">
        <v>67</v>
      </c>
      <c r="I584" s="95">
        <v>45434</v>
      </c>
      <c r="J584" s="122"/>
      <c r="K584" s="122"/>
      <c r="L584" s="147" t="str">
        <f>VLOOKUP(E584,DS!$A$2:$E$4398, 5, 0)</f>
        <v>KTKP</v>
      </c>
      <c r="M584" s="148"/>
      <c r="N584" s="92" t="e">
        <f>VLOOKUP(Table1[[#This Row],[USER]],[1]!Table145678910111213141545678910111213146[[#All],[No.]:[Delete]],2,0)</f>
        <v>#N/A</v>
      </c>
    </row>
    <row r="585" spans="1:14">
      <c r="A585" s="93">
        <v>577</v>
      </c>
      <c r="B585" s="94">
        <v>21</v>
      </c>
      <c r="C585" s="40" t="s">
        <v>7952</v>
      </c>
      <c r="D585" s="40" t="str">
        <f>VLOOKUP(E585,Sheet3!$A$2:$D$6338,2,0)</f>
        <v>Nguyễn Ngọc Tuấn</v>
      </c>
      <c r="E585" s="44" t="s">
        <v>568</v>
      </c>
      <c r="F585" s="44" t="str">
        <f t="shared" si="11"/>
        <v>VN02985</v>
      </c>
      <c r="G585" s="295"/>
      <c r="H585" s="41" t="s">
        <v>67</v>
      </c>
      <c r="I585" s="95">
        <v>45434</v>
      </c>
      <c r="J585" s="122"/>
      <c r="K585" s="122"/>
      <c r="L585" s="147" t="str">
        <f>VLOOKUP(E585,DS!$A$2:$E$4398, 5, 0)</f>
        <v>Gia công</v>
      </c>
      <c r="M585" s="148"/>
      <c r="N585" s="92" t="e">
        <f>VLOOKUP(Table1[[#This Row],[USER]],[1]!Table145678910111213141545678910111213146[[#All],[No.]:[Delete]],2,0)</f>
        <v>#N/A</v>
      </c>
    </row>
    <row r="586" spans="1:14">
      <c r="A586" s="93">
        <v>578</v>
      </c>
      <c r="B586" s="94">
        <v>22</v>
      </c>
      <c r="C586" s="40" t="s">
        <v>7952</v>
      </c>
      <c r="D586" s="40" t="str">
        <f>VLOOKUP(E586,Sheet3!$A$2:$D$6338,2,0)</f>
        <v>Nguyễn Duy Hữu</v>
      </c>
      <c r="E586" s="44" t="s">
        <v>557</v>
      </c>
      <c r="F586" s="44" t="str">
        <f t="shared" si="11"/>
        <v>VN01309</v>
      </c>
      <c r="G586" s="295"/>
      <c r="H586" s="41" t="s">
        <v>67</v>
      </c>
      <c r="I586" s="95">
        <v>45434</v>
      </c>
      <c r="J586" s="122"/>
      <c r="K586" s="122"/>
      <c r="L586" s="147" t="str">
        <f>VLOOKUP(E586,DS!$A$2:$E$4398, 5, 0)</f>
        <v>Gia công</v>
      </c>
      <c r="M586" s="148"/>
      <c r="N586" s="92" t="e">
        <f>VLOOKUP(Table1[[#This Row],[USER]],[1]!Table145678910111213141545678910111213146[[#All],[No.]:[Delete]],2,0)</f>
        <v>#N/A</v>
      </c>
    </row>
    <row r="587" spans="1:14">
      <c r="A587" s="93">
        <v>579</v>
      </c>
      <c r="B587" s="94">
        <v>23</v>
      </c>
      <c r="C587" s="40" t="s">
        <v>1541</v>
      </c>
      <c r="D587" s="40" t="str">
        <f>VLOOKUP(E587,Sheet3!$A$2:$D$6338,2,0)</f>
        <v>Vũ Duy Đức</v>
      </c>
      <c r="E587" s="44" t="s">
        <v>569</v>
      </c>
      <c r="F587" s="44" t="str">
        <f t="shared" si="11"/>
        <v>VN17213</v>
      </c>
      <c r="G587" s="295"/>
      <c r="H587" s="41" t="s">
        <v>67</v>
      </c>
      <c r="I587" s="95">
        <v>45435</v>
      </c>
      <c r="J587" s="122"/>
      <c r="K587" s="122"/>
      <c r="L587" s="147" t="str">
        <f>VLOOKUP(E587,DS!$A$2:$E$4398, 5, 0)</f>
        <v>KTKP</v>
      </c>
      <c r="M587" s="148"/>
      <c r="N587" s="92" t="e">
        <f>VLOOKUP(Table1[[#This Row],[USER]],[1]!Table145678910111213141545678910111213146[[#All],[No.]:[Delete]],2,0)</f>
        <v>#N/A</v>
      </c>
    </row>
    <row r="588" spans="1:14">
      <c r="A588" s="93">
        <v>580</v>
      </c>
      <c r="B588" s="94">
        <v>24</v>
      </c>
      <c r="C588" s="40" t="s">
        <v>1541</v>
      </c>
      <c r="D588" s="40" t="str">
        <f>VLOOKUP(E588,Sheet3!$A$2:$D$6338,2,0)</f>
        <v>Chu Đức Tùng</v>
      </c>
      <c r="E588" s="44" t="s">
        <v>818</v>
      </c>
      <c r="F588" s="44" t="str">
        <f t="shared" si="11"/>
        <v>VN24124</v>
      </c>
      <c r="G588" s="295"/>
      <c r="H588" s="41" t="s">
        <v>67</v>
      </c>
      <c r="I588" s="95">
        <v>45435</v>
      </c>
      <c r="J588" s="122"/>
      <c r="K588" s="122"/>
      <c r="L588" s="147" t="str">
        <f>VLOOKUP(E588,DS!$A$2:$E$4398, 5, 0)</f>
        <v>KTKP</v>
      </c>
      <c r="M588" s="148"/>
      <c r="N588" s="92" t="e">
        <f>VLOOKUP(Table1[[#This Row],[USER]],[1]!Table145678910111213141545678910111213146[[#All],[No.]:[Delete]],2,0)</f>
        <v>#N/A</v>
      </c>
    </row>
    <row r="589" spans="1:14">
      <c r="A589" s="93">
        <v>581</v>
      </c>
      <c r="B589" s="94">
        <v>25</v>
      </c>
      <c r="C589" s="40" t="s">
        <v>1541</v>
      </c>
      <c r="D589" s="40" t="str">
        <f>VLOOKUP(E589,Sheet3!$A$2:$D$6338,2,0)</f>
        <v>Nguyễn Thị Hồng</v>
      </c>
      <c r="E589" s="44" t="s">
        <v>572</v>
      </c>
      <c r="F589" s="44" t="str">
        <f t="shared" si="11"/>
        <v>VN23101</v>
      </c>
      <c r="G589" s="295"/>
      <c r="H589" s="41" t="s">
        <v>67</v>
      </c>
      <c r="I589" s="95">
        <v>45435</v>
      </c>
      <c r="J589" s="122"/>
      <c r="K589" s="122"/>
      <c r="L589" s="147" t="str">
        <f>VLOOKUP(E589,DS!$A$2:$E$4398, 5, 0)</f>
        <v>KTKP</v>
      </c>
      <c r="M589" s="148"/>
      <c r="N589" s="92" t="e">
        <f>VLOOKUP(Table1[[#This Row],[USER]],[1]!Table145678910111213141545678910111213146[[#All],[No.]:[Delete]],2,0)</f>
        <v>#N/A</v>
      </c>
    </row>
    <row r="590" spans="1:14">
      <c r="A590" s="93">
        <v>582</v>
      </c>
      <c r="B590" s="94">
        <v>26</v>
      </c>
      <c r="C590" s="40" t="s">
        <v>1541</v>
      </c>
      <c r="D590" s="40" t="str">
        <f>VLOOKUP(E590,Sheet3!$A$2:$D$6338,2,0)</f>
        <v>Đinh Công Việt</v>
      </c>
      <c r="E590" s="44" t="s">
        <v>563</v>
      </c>
      <c r="F590" s="44" t="str">
        <f t="shared" si="11"/>
        <v>VN20363</v>
      </c>
      <c r="G590" s="295"/>
      <c r="H590" s="41" t="s">
        <v>67</v>
      </c>
      <c r="I590" s="95">
        <v>45435</v>
      </c>
      <c r="J590" s="122"/>
      <c r="K590" s="122"/>
      <c r="L590" s="147" t="str">
        <f>VLOOKUP(E590,DS!$A$2:$E$4398, 5, 0)</f>
        <v>KTKP</v>
      </c>
      <c r="M590" s="148"/>
      <c r="N590" s="92" t="e">
        <f>VLOOKUP(Table1[[#This Row],[USER]],[1]!Table145678910111213141545678910111213146[[#All],[No.]:[Delete]],2,0)</f>
        <v>#N/A</v>
      </c>
    </row>
    <row r="591" spans="1:14">
      <c r="A591" s="93">
        <v>583</v>
      </c>
      <c r="B591" s="94">
        <v>27</v>
      </c>
      <c r="C591" s="40" t="s">
        <v>1541</v>
      </c>
      <c r="D591" s="40" t="str">
        <f>VLOOKUP(E591,Sheet3!$A$2:$D$6338,2,0)</f>
        <v>Vũ Đức Cảnh</v>
      </c>
      <c r="E591" s="44" t="s">
        <v>570</v>
      </c>
      <c r="F591" s="44" t="str">
        <f t="shared" si="11"/>
        <v>VN22881</v>
      </c>
      <c r="G591" s="295"/>
      <c r="H591" s="41" t="s">
        <v>67</v>
      </c>
      <c r="I591" s="95">
        <v>45435</v>
      </c>
      <c r="J591" s="122"/>
      <c r="K591" s="122"/>
      <c r="L591" s="147" t="str">
        <f>VLOOKUP(E591,DS!$A$2:$E$4398, 5, 0)</f>
        <v>KTKP</v>
      </c>
      <c r="M591" s="148"/>
      <c r="N591" s="92" t="e">
        <f>VLOOKUP(Table1[[#This Row],[USER]],[1]!Table145678910111213141545678910111213146[[#All],[No.]:[Delete]],2,0)</f>
        <v>#N/A</v>
      </c>
    </row>
    <row r="592" spans="1:14">
      <c r="A592" s="93">
        <v>584</v>
      </c>
      <c r="B592" s="94">
        <v>28</v>
      </c>
      <c r="C592" s="40" t="s">
        <v>1541</v>
      </c>
      <c r="D592" s="40" t="str">
        <f>VLOOKUP(E592,Sheet3!$A$2:$D$6338,2,0)</f>
        <v>Dương Mạnh Quang</v>
      </c>
      <c r="E592" s="44" t="s">
        <v>573</v>
      </c>
      <c r="F592" s="44" t="str">
        <f t="shared" si="11"/>
        <v>VN24325</v>
      </c>
      <c r="G592" s="295"/>
      <c r="H592" s="41" t="s">
        <v>67</v>
      </c>
      <c r="I592" s="95">
        <v>45435</v>
      </c>
      <c r="J592" s="122"/>
      <c r="K592" s="122"/>
      <c r="L592" s="147" t="str">
        <f>VLOOKUP(E592,DS!$A$2:$E$4398, 5, 0)</f>
        <v>KTKP</v>
      </c>
      <c r="M592" s="148"/>
      <c r="N592" s="92" t="e">
        <f>VLOOKUP(Table1[[#This Row],[USER]],[1]!Table145678910111213141545678910111213146[[#All],[No.]:[Delete]],2,0)</f>
        <v>#N/A</v>
      </c>
    </row>
    <row r="593" spans="1:14">
      <c r="A593" s="93">
        <v>585</v>
      </c>
      <c r="B593" s="94">
        <v>29</v>
      </c>
      <c r="C593" s="40" t="s">
        <v>1541</v>
      </c>
      <c r="D593" s="40" t="str">
        <f>VLOOKUP(E593,Sheet3!$A$2:$D$6338,2,0)</f>
        <v>Trần Trung Đức</v>
      </c>
      <c r="E593" s="44" t="s">
        <v>571</v>
      </c>
      <c r="F593" s="44" t="str">
        <f t="shared" si="11"/>
        <v>VN23748</v>
      </c>
      <c r="G593" s="295"/>
      <c r="H593" s="41" t="s">
        <v>67</v>
      </c>
      <c r="I593" s="95">
        <v>45435</v>
      </c>
      <c r="J593" s="122"/>
      <c r="K593" s="122"/>
      <c r="L593" s="147" t="str">
        <f>VLOOKUP(E593,DS!$A$2:$E$4398, 5, 0)</f>
        <v>KTKP</v>
      </c>
      <c r="M593" s="148"/>
      <c r="N593" s="92" t="e">
        <f>VLOOKUP(Table1[[#This Row],[USER]],[1]!Table145678910111213141545678910111213146[[#All],[No.]:[Delete]],2,0)</f>
        <v>#N/A</v>
      </c>
    </row>
    <row r="594" spans="1:14">
      <c r="A594" s="93">
        <v>586</v>
      </c>
      <c r="B594" s="94">
        <v>30</v>
      </c>
      <c r="C594" s="40" t="s">
        <v>7952</v>
      </c>
      <c r="D594" s="40" t="str">
        <f>VLOOKUP(E594,Sheet3!$A$2:$D$6338,2,0)</f>
        <v>Ngô Quang Vinh</v>
      </c>
      <c r="E594" s="44" t="s">
        <v>574</v>
      </c>
      <c r="F594" s="44" t="str">
        <f t="shared" si="11"/>
        <v>VN24327</v>
      </c>
      <c r="G594" s="295"/>
      <c r="H594" s="41" t="s">
        <v>67</v>
      </c>
      <c r="I594" s="95">
        <v>45435</v>
      </c>
      <c r="J594" s="122">
        <v>45806</v>
      </c>
      <c r="K594" s="122">
        <v>45806</v>
      </c>
      <c r="L594" s="147" t="e">
        <f>VLOOKUP(E594,DS!$A$2:$E$4398, 5, 0)</f>
        <v>#N/A</v>
      </c>
      <c r="M594" s="148"/>
      <c r="N594" s="92" t="e">
        <f>VLOOKUP(Table1[[#This Row],[USER]],[1]!Table145678910111213141545678910111213146[[#All],[No.]:[Delete]],2,0)</f>
        <v>#N/A</v>
      </c>
    </row>
    <row r="595" spans="1:14">
      <c r="A595" s="93">
        <v>587</v>
      </c>
      <c r="B595" s="94">
        <v>31</v>
      </c>
      <c r="C595" s="40" t="s">
        <v>1541</v>
      </c>
      <c r="D595" s="40" t="str">
        <f>VLOOKUP(E595,Sheet3!$A$2:$D$6338,2,0)</f>
        <v>Nguyễn Phúc Tam</v>
      </c>
      <c r="E595" s="44" t="s">
        <v>565</v>
      </c>
      <c r="F595" s="44" t="str">
        <f t="shared" si="11"/>
        <v>VN15378</v>
      </c>
      <c r="G595" s="295"/>
      <c r="H595" s="41" t="s">
        <v>67</v>
      </c>
      <c r="I595" s="95">
        <v>45435</v>
      </c>
      <c r="J595" s="122">
        <v>45876</v>
      </c>
      <c r="K595" s="122">
        <v>45876</v>
      </c>
      <c r="L595" s="147" t="e">
        <f>VLOOKUP(E595,DS!$A$2:$E$4398, 5, 0)</f>
        <v>#N/A</v>
      </c>
      <c r="M595" s="148"/>
      <c r="N595" s="92" t="e">
        <f>VLOOKUP(Table1[[#This Row],[USER]],[1]!Table145678910111213141545678910111213146[[#All],[No.]:[Delete]],2,0)</f>
        <v>#N/A</v>
      </c>
    </row>
    <row r="596" spans="1:14">
      <c r="A596" s="93">
        <v>588</v>
      </c>
      <c r="B596" s="94">
        <v>32</v>
      </c>
      <c r="C596" s="40" t="s">
        <v>7952</v>
      </c>
      <c r="D596" s="40" t="str">
        <f>VLOOKUP(E596,Sheet3!$A$2:$D$6338,2,0)</f>
        <v>Nguyễn Văn Đạo</v>
      </c>
      <c r="E596" s="44" t="s">
        <v>575</v>
      </c>
      <c r="F596" s="44" t="str">
        <f t="shared" si="11"/>
        <v>VN24330</v>
      </c>
      <c r="G596" s="295"/>
      <c r="H596" s="41" t="s">
        <v>67</v>
      </c>
      <c r="I596" s="95">
        <v>45435</v>
      </c>
      <c r="J596" s="122">
        <v>45806</v>
      </c>
      <c r="K596" s="122">
        <v>45806</v>
      </c>
      <c r="L596" s="147" t="e">
        <f>VLOOKUP(E596,DS!$A$2:$E$4398, 5, 0)</f>
        <v>#N/A</v>
      </c>
      <c r="M596" s="148"/>
      <c r="N596" s="92" t="e">
        <f>VLOOKUP(Table1[[#This Row],[USER]],[1]!Table145678910111213141545678910111213146[[#All],[No.]:[Delete]],2,0)</f>
        <v>#N/A</v>
      </c>
    </row>
    <row r="597" spans="1:14">
      <c r="A597" s="93">
        <v>589</v>
      </c>
      <c r="B597" s="94">
        <v>33</v>
      </c>
      <c r="C597" s="40" t="s">
        <v>1541</v>
      </c>
      <c r="D597" s="40" t="str">
        <f>VLOOKUP(E597,Sheet3!$A$2:$D$6338,2,0)</f>
        <v>Nguyễn Anh Quân</v>
      </c>
      <c r="E597" s="44" t="s">
        <v>561</v>
      </c>
      <c r="F597" s="44" t="str">
        <f t="shared" si="11"/>
        <v>VN21794</v>
      </c>
      <c r="G597" s="295"/>
      <c r="H597" s="41" t="s">
        <v>67</v>
      </c>
      <c r="I597" s="95">
        <v>45435</v>
      </c>
      <c r="J597" s="122"/>
      <c r="K597" s="122"/>
      <c r="L597" s="147" t="str">
        <f>VLOOKUP(E597,DS!$A$2:$E$4398, 5, 0)</f>
        <v>KTKP</v>
      </c>
      <c r="M597" s="148"/>
      <c r="N597" s="92" t="e">
        <f>VLOOKUP(Table1[[#This Row],[USER]],[1]!Table145678910111213141545678910111213146[[#All],[No.]:[Delete]],2,0)</f>
        <v>#N/A</v>
      </c>
    </row>
    <row r="598" spans="1:14">
      <c r="A598" s="93">
        <v>590</v>
      </c>
      <c r="B598" s="94">
        <v>34</v>
      </c>
      <c r="C598" s="40" t="s">
        <v>1541</v>
      </c>
      <c r="D598" s="40" t="str">
        <f>VLOOKUP(E598,Sheet3!$A$2:$D$6338,2,0)</f>
        <v>Nguyễn Hữu Bửu</v>
      </c>
      <c r="E598" s="44" t="s">
        <v>576</v>
      </c>
      <c r="F598" s="44" t="str">
        <f t="shared" si="11"/>
        <v>VN24326</v>
      </c>
      <c r="G598" s="295"/>
      <c r="H598" s="41" t="s">
        <v>67</v>
      </c>
      <c r="I598" s="95">
        <v>45435</v>
      </c>
      <c r="J598" s="122"/>
      <c r="K598" s="122"/>
      <c r="L598" s="147" t="str">
        <f>VLOOKUP(E598,DS!$A$2:$E$4398, 5, 0)</f>
        <v>KTKP</v>
      </c>
      <c r="M598" s="148"/>
      <c r="N598" s="92" t="e">
        <f>VLOOKUP(Table1[[#This Row],[USER]],[1]!Table145678910111213141545678910111213146[[#All],[No.]:[Delete]],2,0)</f>
        <v>#N/A</v>
      </c>
    </row>
    <row r="599" spans="1:14">
      <c r="A599" s="93">
        <v>591</v>
      </c>
      <c r="B599" s="94">
        <v>35</v>
      </c>
      <c r="C599" s="40" t="s">
        <v>7952</v>
      </c>
      <c r="D599" s="40" t="e">
        <f>VLOOKUP(E599,Sheet3!$A$2:$D$6338,2,0)</f>
        <v>#N/A</v>
      </c>
      <c r="E599" s="44" t="s">
        <v>577</v>
      </c>
      <c r="F599" s="44" t="s">
        <v>578</v>
      </c>
      <c r="G599" s="295"/>
      <c r="H599" s="41" t="s">
        <v>67</v>
      </c>
      <c r="I599" s="95">
        <v>45435</v>
      </c>
      <c r="J599" s="122"/>
      <c r="K599" s="122"/>
      <c r="L599" s="147" t="e">
        <f>VLOOKUP(E599,DS!$A$2:$E$4398, 5, 0)</f>
        <v>#N/A</v>
      </c>
      <c r="M599" s="148"/>
      <c r="N599" s="92" t="e">
        <f>VLOOKUP(Table1[[#This Row],[USER]],[1]!Table145678910111213141545678910111213146[[#All],[No.]:[Delete]],2,0)</f>
        <v>#N/A</v>
      </c>
    </row>
    <row r="600" spans="1:14">
      <c r="A600" s="93">
        <v>592</v>
      </c>
      <c r="B600" s="94">
        <v>36</v>
      </c>
      <c r="C600" s="40" t="s">
        <v>1541</v>
      </c>
      <c r="D600" s="40" t="str">
        <f>VLOOKUP(E600,Sheet3!$A$2:$D$6338,2,0)</f>
        <v>Nguyễn Tiến Dũng</v>
      </c>
      <c r="E600" s="44" t="s">
        <v>579</v>
      </c>
      <c r="F600" s="44" t="str">
        <f t="shared" si="11"/>
        <v>VN17950</v>
      </c>
      <c r="G600" s="295"/>
      <c r="H600" s="41" t="s">
        <v>67</v>
      </c>
      <c r="I600" s="95">
        <v>45435</v>
      </c>
      <c r="J600" s="122"/>
      <c r="K600" s="122"/>
      <c r="L600" s="147" t="str">
        <f>VLOOKUP(E600,DS!$A$2:$E$4398, 5, 0)</f>
        <v>KTKP</v>
      </c>
      <c r="M600" s="148"/>
      <c r="N600" s="92" t="e">
        <f>VLOOKUP(Table1[[#This Row],[USER]],[1]!Table145678910111213141545678910111213146[[#All],[No.]:[Delete]],2,0)</f>
        <v>#N/A</v>
      </c>
    </row>
    <row r="601" spans="1:14">
      <c r="A601" s="93">
        <v>593</v>
      </c>
      <c r="B601" s="94">
        <v>37</v>
      </c>
      <c r="C601" s="40" t="s">
        <v>1541</v>
      </c>
      <c r="D601" s="40" t="str">
        <f>VLOOKUP(E601,Sheet3!$A$2:$D$6338,2,0)</f>
        <v>Nguyễn Văn Hưng</v>
      </c>
      <c r="E601" s="44" t="s">
        <v>580</v>
      </c>
      <c r="F601" s="44" t="str">
        <f t="shared" ref="F601:F675" si="12">"VN"&amp;RIGHT(E601,5)</f>
        <v>VN11314</v>
      </c>
      <c r="G601" s="295"/>
      <c r="H601" s="41" t="s">
        <v>67</v>
      </c>
      <c r="I601" s="95">
        <v>45435</v>
      </c>
      <c r="J601" s="122"/>
      <c r="K601" s="122"/>
      <c r="L601" s="147" t="str">
        <f>VLOOKUP(E601,DS!$A$2:$E$4398, 5, 0)</f>
        <v>KTKP</v>
      </c>
      <c r="M601" s="148"/>
      <c r="N601" s="92" t="e">
        <f>VLOOKUP(Table1[[#This Row],[USER]],[1]!Table145678910111213141545678910111213146[[#All],[No.]:[Delete]],2,0)</f>
        <v>#N/A</v>
      </c>
    </row>
    <row r="602" spans="1:14">
      <c r="A602" s="93">
        <v>594</v>
      </c>
      <c r="B602" s="94">
        <v>38</v>
      </c>
      <c r="C602" s="40" t="s">
        <v>1541</v>
      </c>
      <c r="D602" s="40" t="str">
        <f>VLOOKUP(E602,Sheet3!$A$2:$D$6338,2,0)</f>
        <v>Ngô Thị Chung</v>
      </c>
      <c r="E602" s="44" t="s">
        <v>581</v>
      </c>
      <c r="F602" s="44" t="str">
        <f t="shared" si="12"/>
        <v>VN09655</v>
      </c>
      <c r="G602" s="295"/>
      <c r="H602" s="41" t="s">
        <v>67</v>
      </c>
      <c r="I602" s="95">
        <v>45435</v>
      </c>
      <c r="J602" s="122"/>
      <c r="K602" s="122"/>
      <c r="L602" s="147" t="str">
        <f>VLOOKUP(E602,DS!$A$2:$E$4398, 5, 0)</f>
        <v>KTKP</v>
      </c>
      <c r="M602" s="148"/>
      <c r="N602" s="92" t="e">
        <f>VLOOKUP(Table1[[#This Row],[USER]],[1]!Table145678910111213141545678910111213146[[#All],[No.]:[Delete]],2,0)</f>
        <v>#N/A</v>
      </c>
    </row>
    <row r="603" spans="1:14">
      <c r="A603" s="93">
        <v>595</v>
      </c>
      <c r="B603" s="94">
        <v>39</v>
      </c>
      <c r="C603" s="40" t="s">
        <v>1541</v>
      </c>
      <c r="D603" s="40" t="str">
        <f>VLOOKUP(E603,Sheet3!$A$2:$D$6338,2,0)</f>
        <v>Phan Văn Hậu</v>
      </c>
      <c r="E603" s="44" t="s">
        <v>556</v>
      </c>
      <c r="F603" s="44" t="str">
        <f t="shared" si="12"/>
        <v>VN10140</v>
      </c>
      <c r="G603" s="295"/>
      <c r="H603" s="41" t="s">
        <v>67</v>
      </c>
      <c r="I603" s="95">
        <v>45435</v>
      </c>
      <c r="J603" s="122"/>
      <c r="K603" s="122"/>
      <c r="L603" s="147" t="str">
        <f>VLOOKUP(E603,DS!$A$2:$E$4398, 5, 0)</f>
        <v>KTKP</v>
      </c>
      <c r="M603" s="148"/>
      <c r="N603" s="92" t="e">
        <f>VLOOKUP(Table1[[#This Row],[USER]],[1]!Table145678910111213141545678910111213146[[#All],[No.]:[Delete]],2,0)</f>
        <v>#N/A</v>
      </c>
    </row>
    <row r="604" spans="1:14">
      <c r="A604" s="93">
        <v>596</v>
      </c>
      <c r="B604" s="94">
        <v>40</v>
      </c>
      <c r="C604" s="40" t="s">
        <v>1541</v>
      </c>
      <c r="D604" s="40" t="str">
        <f>VLOOKUP(E604,Sheet3!$A$2:$D$6338,2,0)</f>
        <v>Nguyễn Thị Như</v>
      </c>
      <c r="E604" s="128" t="s">
        <v>8017</v>
      </c>
      <c r="F604" s="128" t="str">
        <f t="shared" ref="F604:F613" si="13">"VN"&amp;RIGHT(E604,5)</f>
        <v>VN25843</v>
      </c>
      <c r="G604" s="302"/>
      <c r="H604" s="41" t="s">
        <v>67</v>
      </c>
      <c r="I604" s="95">
        <v>45768</v>
      </c>
      <c r="J604" s="130"/>
      <c r="K604" s="130"/>
      <c r="L604" s="147" t="str">
        <f>VLOOKUP(E604,DS!$A$2:$E$4398, 5, 0)</f>
        <v>KTKP</v>
      </c>
      <c r="M604" s="152"/>
      <c r="N604" s="92" t="e">
        <f>VLOOKUP(Table1[[#This Row],[USER]],[1]!Table145678910111213141545678910111213146[[#All],[No.]:[Delete]],2,0)</f>
        <v>#N/A</v>
      </c>
    </row>
    <row r="605" spans="1:14">
      <c r="A605" s="93">
        <v>597</v>
      </c>
      <c r="B605" s="94">
        <v>41</v>
      </c>
      <c r="C605" s="40" t="s">
        <v>1541</v>
      </c>
      <c r="D605" s="40" t="str">
        <f>VLOOKUP(E605,Sheet3!$A$2:$D$6338,2,0)</f>
        <v>Trần Việt Hưng</v>
      </c>
      <c r="E605" s="128" t="s">
        <v>8018</v>
      </c>
      <c r="F605" s="128" t="str">
        <f t="shared" si="13"/>
        <v>VN25860</v>
      </c>
      <c r="G605" s="302"/>
      <c r="H605" s="41" t="s">
        <v>67</v>
      </c>
      <c r="I605" s="95">
        <v>45768</v>
      </c>
      <c r="J605" s="130"/>
      <c r="K605" s="130"/>
      <c r="L605" s="147" t="str">
        <f>VLOOKUP(E605,DS!$A$2:$E$4398, 5, 0)</f>
        <v>KTKP</v>
      </c>
      <c r="M605" s="152"/>
      <c r="N605" s="92" t="e">
        <f>VLOOKUP(Table1[[#This Row],[USER]],[1]!Table145678910111213141545678910111213146[[#All],[No.]:[Delete]],2,0)</f>
        <v>#N/A</v>
      </c>
    </row>
    <row r="606" spans="1:14">
      <c r="A606" s="93">
        <v>598</v>
      </c>
      <c r="B606" s="132"/>
      <c r="C606" s="40" t="s">
        <v>7952</v>
      </c>
      <c r="D606" s="40" t="str">
        <f>VLOOKUP(E606,Sheet3!$A$2:$D$6338,2,0)</f>
        <v>Nguyễn Văn Lâm</v>
      </c>
      <c r="E606" s="133" t="s">
        <v>8024</v>
      </c>
      <c r="F606" s="133" t="str">
        <f t="shared" si="13"/>
        <v>VN01876</v>
      </c>
      <c r="G606" s="297"/>
      <c r="H606" s="41" t="s">
        <v>67</v>
      </c>
      <c r="I606" s="95">
        <v>45790</v>
      </c>
      <c r="J606" s="134"/>
      <c r="K606" s="134"/>
      <c r="L606" s="147" t="str">
        <f>VLOOKUP(E606,DS!$A$2:$E$4398, 5, 0)</f>
        <v>Gia công</v>
      </c>
      <c r="M606" s="154"/>
      <c r="N606" s="92" t="e">
        <f>VLOOKUP(Table1[[#This Row],[USER]],[1]!Table145678910111213141545678910111213146[[#All],[No.]:[Delete]],2,0)</f>
        <v>#N/A</v>
      </c>
    </row>
    <row r="607" spans="1:14">
      <c r="A607" s="93">
        <v>599</v>
      </c>
      <c r="B607" s="213"/>
      <c r="C607" s="40" t="s">
        <v>1541</v>
      </c>
      <c r="D607" s="40" t="str">
        <f>VLOOKUP(E607,Sheet3!$A$2:$D$6338,2,0)</f>
        <v>Hà Thị Vân</v>
      </c>
      <c r="E607" s="214" t="s">
        <v>8642</v>
      </c>
      <c r="F607" s="214" t="str">
        <f t="shared" si="13"/>
        <v>VN26368</v>
      </c>
      <c r="G607" s="303"/>
      <c r="H607" s="41" t="s">
        <v>67</v>
      </c>
      <c r="I607" s="95">
        <v>45943</v>
      </c>
      <c r="J607" s="215"/>
      <c r="K607" s="215"/>
      <c r="L607" s="215" t="str">
        <f>VLOOKUP(E607,DS!$A$2:$E$4398, 5, 0)</f>
        <v>KTKP</v>
      </c>
      <c r="M607" s="216"/>
      <c r="N607" s="92" t="e">
        <f>VLOOKUP(Table1[[#This Row],[USER]],[1]!Table145678910111213141545678910111213146[[#All],[No.]:[Delete]],2,0)</f>
        <v>#N/A</v>
      </c>
    </row>
    <row r="608" spans="1:14">
      <c r="A608" s="93">
        <v>600</v>
      </c>
      <c r="B608" s="114"/>
      <c r="C608" s="40" t="s">
        <v>1541</v>
      </c>
      <c r="D608" s="40" t="str">
        <f>VLOOKUP(E608,Sheet3!$A$2:$D$6338,2,0)</f>
        <v>Nguyễn Khắc Tuyển</v>
      </c>
      <c r="E608" s="44" t="s">
        <v>8643</v>
      </c>
      <c r="F608" s="112" t="str">
        <f t="shared" si="13"/>
        <v>VN25978</v>
      </c>
      <c r="G608" s="277"/>
      <c r="H608" s="41" t="s">
        <v>67</v>
      </c>
      <c r="I608" s="113">
        <v>45946</v>
      </c>
      <c r="J608" s="122"/>
      <c r="K608" s="122"/>
      <c r="L608" s="147" t="str">
        <f>VLOOKUP(E608,DS!$A$2:$E$4398, 5, 0)</f>
        <v>KTKP</v>
      </c>
      <c r="M608" s="150"/>
      <c r="N608" s="92" t="e">
        <f>VLOOKUP(Table1[[#This Row],[USER]],[1]!Table145678910111213141545678910111213146[[#All],[No.]:[Delete]],2,0)</f>
        <v>#N/A</v>
      </c>
    </row>
    <row r="609" spans="1:14">
      <c r="A609" s="93">
        <v>601</v>
      </c>
      <c r="B609" s="114"/>
      <c r="C609" s="40" t="s">
        <v>1541</v>
      </c>
      <c r="D609" s="40" t="str">
        <f>VLOOKUP(E609,Sheet3!$A$2:$D$6338,2,0)</f>
        <v>Lê Văn Tuấn</v>
      </c>
      <c r="E609" s="44" t="s">
        <v>8644</v>
      </c>
      <c r="F609" s="112" t="str">
        <f t="shared" si="13"/>
        <v>VN25844</v>
      </c>
      <c r="G609" s="277"/>
      <c r="H609" s="41" t="s">
        <v>67</v>
      </c>
      <c r="I609" s="113">
        <v>45946</v>
      </c>
      <c r="J609" s="122"/>
      <c r="K609" s="122"/>
      <c r="L609" s="147" t="str">
        <f>VLOOKUP(E609,DS!$A$2:$E$4398, 5, 0)</f>
        <v>KTKP</v>
      </c>
      <c r="M609" s="150"/>
      <c r="N609" s="92" t="e">
        <f>VLOOKUP(Table1[[#This Row],[USER]],[1]!Table145678910111213141545678910111213146[[#All],[No.]:[Delete]],2,0)</f>
        <v>#N/A</v>
      </c>
    </row>
    <row r="610" spans="1:14">
      <c r="A610" s="93">
        <v>602</v>
      </c>
      <c r="B610" s="114"/>
      <c r="C610" s="40" t="s">
        <v>1541</v>
      </c>
      <c r="D610" s="40" t="str">
        <f>VLOOKUP(E610,Sheet3!$A$2:$D$6338,2,0)</f>
        <v>Đinh Khánh Toàn</v>
      </c>
      <c r="E610" s="44" t="s">
        <v>8645</v>
      </c>
      <c r="F610" s="112" t="str">
        <f t="shared" si="13"/>
        <v>VN26285</v>
      </c>
      <c r="G610" s="277"/>
      <c r="H610" s="41" t="s">
        <v>67</v>
      </c>
      <c r="I610" s="113">
        <v>45946</v>
      </c>
      <c r="J610" s="122"/>
      <c r="K610" s="122"/>
      <c r="L610" s="147" t="str">
        <f>VLOOKUP(E610,DS!$A$2:$E$4398, 5, 0)</f>
        <v>KTKP</v>
      </c>
      <c r="M610" s="150"/>
      <c r="N610" s="92" t="e">
        <f>VLOOKUP(Table1[[#This Row],[USER]],[1]!Table145678910111213141545678910111213146[[#All],[No.]:[Delete]],2,0)</f>
        <v>#N/A</v>
      </c>
    </row>
    <row r="611" spans="1:14">
      <c r="A611" s="93">
        <v>603</v>
      </c>
      <c r="B611" s="114"/>
      <c r="C611" s="40" t="s">
        <v>1541</v>
      </c>
      <c r="D611" s="40" t="str">
        <f>VLOOKUP(E611,Sheet3!$A$2:$D$6338,2,0)</f>
        <v>Lê Mạnh Cường</v>
      </c>
      <c r="E611" s="44" t="s">
        <v>8646</v>
      </c>
      <c r="F611" s="112" t="str">
        <f t="shared" si="13"/>
        <v>VN26183</v>
      </c>
      <c r="G611" s="277"/>
      <c r="H611" s="41" t="s">
        <v>67</v>
      </c>
      <c r="I611" s="113">
        <v>45946</v>
      </c>
      <c r="J611" s="122"/>
      <c r="K611" s="122"/>
      <c r="L611" s="147" t="str">
        <f>VLOOKUP(E611,DS!$A$2:$E$4398, 5, 0)</f>
        <v>KTKP</v>
      </c>
      <c r="M611" s="150"/>
      <c r="N611" s="92" t="e">
        <f>VLOOKUP(Table1[[#This Row],[USER]],[1]!Table145678910111213141545678910111213146[[#All],[No.]:[Delete]],2,0)</f>
        <v>#N/A</v>
      </c>
    </row>
    <row r="612" spans="1:14">
      <c r="A612" s="93">
        <v>604</v>
      </c>
      <c r="B612" s="114"/>
      <c r="C612" s="40" t="s">
        <v>1541</v>
      </c>
      <c r="D612" s="40" t="str">
        <f>VLOOKUP(E612,Sheet3!$A$2:$D$6338,2,0)</f>
        <v>Nguyễn Mạnh Quỳnh Anh</v>
      </c>
      <c r="E612" s="44" t="s">
        <v>8647</v>
      </c>
      <c r="F612" s="112" t="str">
        <f t="shared" si="13"/>
        <v>VN24995</v>
      </c>
      <c r="G612" s="277"/>
      <c r="H612" s="41" t="s">
        <v>67</v>
      </c>
      <c r="I612" s="113">
        <v>45946</v>
      </c>
      <c r="J612" s="122"/>
      <c r="K612" s="122"/>
      <c r="L612" s="147" t="str">
        <f>VLOOKUP(E612,DS!$A$2:$E$4398, 5, 0)</f>
        <v>KTKP</v>
      </c>
      <c r="M612" s="150"/>
      <c r="N612" s="92" t="e">
        <f>VLOOKUP(Table1[[#This Row],[USER]],[1]!Table145678910111213141545678910111213146[[#All],[No.]:[Delete]],2,0)</f>
        <v>#N/A</v>
      </c>
    </row>
    <row r="613" spans="1:14">
      <c r="A613" s="93">
        <v>605</v>
      </c>
      <c r="B613" s="114"/>
      <c r="C613" s="40" t="s">
        <v>1541</v>
      </c>
      <c r="D613" s="40" t="str">
        <f>VLOOKUP(E613,Sheet3!$A$2:$D$6338,2,0)</f>
        <v>Lê Văn Vịnh</v>
      </c>
      <c r="E613" s="44" t="s">
        <v>8648</v>
      </c>
      <c r="F613" s="112" t="str">
        <f t="shared" si="13"/>
        <v>VN26204</v>
      </c>
      <c r="G613" s="277"/>
      <c r="H613" s="41" t="s">
        <v>67</v>
      </c>
      <c r="I613" s="113">
        <v>45946</v>
      </c>
      <c r="J613" s="122"/>
      <c r="K613" s="122"/>
      <c r="L613" s="147" t="str">
        <f>VLOOKUP(E613,DS!$A$2:$E$4398, 5, 0)</f>
        <v>KTKP</v>
      </c>
      <c r="M613" s="150"/>
      <c r="N613" s="92" t="e">
        <f>VLOOKUP(Table1[[#This Row],[USER]],[1]!Table145678910111213141545678910111213146[[#All],[No.]:[Delete]],2,0)</f>
        <v>#N/A</v>
      </c>
    </row>
    <row r="614" spans="1:14">
      <c r="A614" s="93">
        <v>606</v>
      </c>
      <c r="B614" s="114"/>
      <c r="C614" s="40" t="s">
        <v>1541</v>
      </c>
      <c r="D614" s="40" t="str">
        <f>VLOOKUP(E614,Sheet3!$A$2:$D$6338,2,0)</f>
        <v>Đỗ Văn Thức</v>
      </c>
      <c r="E614" s="218" t="s">
        <v>8666</v>
      </c>
      <c r="F614" s="218" t="str">
        <f t="shared" ref="F614:F619" si="14">"VN"&amp;RIGHT(E614,5)</f>
        <v>VN24203</v>
      </c>
      <c r="G614" s="300"/>
      <c r="H614" s="41" t="s">
        <v>67</v>
      </c>
      <c r="I614" s="219">
        <v>45461</v>
      </c>
      <c r="J614" s="220"/>
      <c r="K614" s="220"/>
      <c r="L614" s="220" t="str">
        <f>VLOOKUP(E614,DS!$A$2:$E$4398, 5, 0)</f>
        <v>KTKP</v>
      </c>
      <c r="M614" s="221"/>
      <c r="N614" s="92" t="e">
        <f>VLOOKUP(Table1[[#This Row],[USER]],[1]!Table145678910111213141545678910111213146[[#All],[No.]:[Delete]],2,0)</f>
        <v>#N/A</v>
      </c>
    </row>
    <row r="615" spans="1:14">
      <c r="A615" s="93">
        <v>607</v>
      </c>
      <c r="B615" s="114"/>
      <c r="C615" s="40" t="s">
        <v>1541</v>
      </c>
      <c r="D615" s="40" t="str">
        <f>VLOOKUP(E615,Sheet3!$A$2:$D$6338,2,0)</f>
        <v>Phan Văn Nam</v>
      </c>
      <c r="E615" s="218" t="s">
        <v>8667</v>
      </c>
      <c r="F615" s="218" t="str">
        <f t="shared" si="14"/>
        <v>VN23055</v>
      </c>
      <c r="G615" s="300"/>
      <c r="H615" s="41" t="s">
        <v>67</v>
      </c>
      <c r="I615" s="219">
        <v>45461</v>
      </c>
      <c r="J615" s="220"/>
      <c r="K615" s="220"/>
      <c r="L615" s="220" t="str">
        <f>VLOOKUP(E615,DS!$A$2:$E$4398, 5, 0)</f>
        <v>KTKP</v>
      </c>
      <c r="M615" s="221"/>
      <c r="N615" s="92" t="e">
        <f>VLOOKUP(Table1[[#This Row],[USER]],[1]!Table145678910111213141545678910111213146[[#All],[No.]:[Delete]],2,0)</f>
        <v>#N/A</v>
      </c>
    </row>
    <row r="616" spans="1:14">
      <c r="A616" s="93">
        <v>608</v>
      </c>
      <c r="B616" s="93">
        <v>608</v>
      </c>
      <c r="C616" s="40" t="s">
        <v>1541</v>
      </c>
      <c r="D616" s="40" t="str">
        <f>VLOOKUP(E616,Sheet3!$A$2:$D$6338,2,0)</f>
        <v>Nguyễn Thị Huyền Chang</v>
      </c>
      <c r="E616" s="261" t="s">
        <v>8802</v>
      </c>
      <c r="F616" s="261" t="str">
        <f t="shared" si="14"/>
        <v>VN26067</v>
      </c>
      <c r="G616" s="261"/>
      <c r="H616" s="41" t="s">
        <v>67</v>
      </c>
      <c r="I616" s="219">
        <v>46024</v>
      </c>
      <c r="J616" s="262"/>
      <c r="K616" s="262"/>
      <c r="L616" s="262" t="str">
        <f>VLOOKUP(E616,DS!$A$2:$E$4398, 5, 0)</f>
        <v>KTKP</v>
      </c>
      <c r="M616" s="263"/>
      <c r="N616" s="92" t="e">
        <f>VLOOKUP(Table1[[#This Row],[USER]],[1]!Table145678910111213141545678910111213146[[#All],[No.]:[Delete]],2,0)</f>
        <v>#N/A</v>
      </c>
    </row>
    <row r="617" spans="1:14">
      <c r="A617" s="93">
        <v>609</v>
      </c>
      <c r="B617" s="93">
        <v>609</v>
      </c>
      <c r="C617" s="287" t="s">
        <v>1541</v>
      </c>
      <c r="D617" s="40" t="str">
        <f>VLOOKUP(E617,Sheet3!$A$2:$D$6338,2,0)</f>
        <v>Khổng Đình Dũng</v>
      </c>
      <c r="E617" s="288" t="s">
        <v>8810</v>
      </c>
      <c r="F617" s="288" t="str">
        <f t="shared" si="14"/>
        <v>VN26349</v>
      </c>
      <c r="G617" s="288"/>
      <c r="H617" s="41" t="s">
        <v>67</v>
      </c>
      <c r="I617" s="289">
        <v>46029</v>
      </c>
      <c r="J617" s="290"/>
      <c r="K617" s="290"/>
      <c r="L617" s="290" t="str">
        <f>VLOOKUP(E617,DS!$A$2:$E$4398, 5, 0)</f>
        <v>KTKP</v>
      </c>
      <c r="M617" s="291"/>
      <c r="N617" s="92" t="e">
        <f>VLOOKUP(Table1[[#This Row],[USER]],[1]!Table145678910111213141545678910111213146[[#All],[No.]:[Delete]],2,0)</f>
        <v>#N/A</v>
      </c>
    </row>
    <row r="618" spans="1:14">
      <c r="A618" s="93">
        <v>610</v>
      </c>
      <c r="B618" s="93">
        <v>610</v>
      </c>
      <c r="C618" s="287" t="s">
        <v>1541</v>
      </c>
      <c r="D618" s="40" t="str">
        <f>VLOOKUP(E618,Sheet3!$A$2:$D$6338,2,0)</f>
        <v>Dương Hoàng Sang</v>
      </c>
      <c r="E618" s="288" t="s">
        <v>8811</v>
      </c>
      <c r="F618" s="288" t="str">
        <f t="shared" si="14"/>
        <v>VN26379</v>
      </c>
      <c r="G618" s="288"/>
      <c r="H618" s="41" t="s">
        <v>67</v>
      </c>
      <c r="I618" s="289">
        <v>46029</v>
      </c>
      <c r="J618" s="290"/>
      <c r="K618" s="290"/>
      <c r="L618" s="290" t="str">
        <f>VLOOKUP(E618,DS!$A$2:$E$4398, 5, 0)</f>
        <v>KTKP</v>
      </c>
      <c r="M618" s="291"/>
      <c r="N618" s="92" t="e">
        <f>VLOOKUP(Table1[[#This Row],[USER]],[1]!Table145678910111213141545678910111213146[[#All],[No.]:[Delete]],2,0)</f>
        <v>#N/A</v>
      </c>
    </row>
    <row r="619" spans="1:14">
      <c r="A619" s="93">
        <v>611</v>
      </c>
      <c r="B619" s="93">
        <v>611</v>
      </c>
      <c r="C619" s="287" t="s">
        <v>1541</v>
      </c>
      <c r="D619" s="40" t="str">
        <f>VLOOKUP(E619,Sheet3!$A$2:$D$6338,2,0)</f>
        <v>Nghiêm Hồng Quân</v>
      </c>
      <c r="E619" s="288" t="s">
        <v>8812</v>
      </c>
      <c r="F619" s="288" t="str">
        <f t="shared" si="14"/>
        <v>VN26367</v>
      </c>
      <c r="G619" s="288"/>
      <c r="H619" s="41" t="s">
        <v>67</v>
      </c>
      <c r="I619" s="289">
        <v>46029</v>
      </c>
      <c r="J619" s="290"/>
      <c r="K619" s="290"/>
      <c r="L619" s="290" t="str">
        <f>VLOOKUP(E619,DS!$A$2:$E$4398, 5, 0)</f>
        <v>KTKP</v>
      </c>
      <c r="M619" s="291"/>
      <c r="N619" s="92" t="e">
        <f>VLOOKUP(Table1[[#This Row],[USER]],[1]!Table145678910111213141545678910111213146[[#All],[No.]:[Delete]],2,0)</f>
        <v>#N/A</v>
      </c>
    </row>
    <row r="620" spans="1:14">
      <c r="A620" s="93">
        <v>612</v>
      </c>
      <c r="B620" s="94">
        <v>1</v>
      </c>
      <c r="C620" s="40" t="s">
        <v>7953</v>
      </c>
      <c r="D620" s="40" t="str">
        <f>VLOOKUP(E620,Sheet3!$A$2:$D$6338,2,0)</f>
        <v>Nguyễn Thị Tuyết Mai</v>
      </c>
      <c r="E620" s="44" t="s">
        <v>582</v>
      </c>
      <c r="F620" s="44" t="str">
        <f t="shared" si="12"/>
        <v>VN06831</v>
      </c>
      <c r="G620" s="295"/>
      <c r="H620" s="41" t="s">
        <v>67</v>
      </c>
      <c r="I620" s="95">
        <v>45434</v>
      </c>
      <c r="J620" s="122"/>
      <c r="K620" s="122"/>
      <c r="L620" s="147" t="str">
        <f>VLOOKUP(E620,DS!$A$2:$E$4398, 5, 0)</f>
        <v>QC</v>
      </c>
      <c r="M620" s="148"/>
      <c r="N620" s="92" t="e">
        <f>VLOOKUP(Table1[[#This Row],[USER]],[1]!Table145678910111213141545678910111213146[[#All],[No.]:[Delete]],2,0)</f>
        <v>#N/A</v>
      </c>
    </row>
    <row r="621" spans="1:14">
      <c r="A621" s="93">
        <v>613</v>
      </c>
      <c r="B621" s="94">
        <v>2</v>
      </c>
      <c r="C621" s="40" t="s">
        <v>7953</v>
      </c>
      <c r="D621" s="40" t="str">
        <f>VLOOKUP(E621,Sheet3!$A$2:$D$6338,2,0)</f>
        <v>Phan Hải Ba</v>
      </c>
      <c r="E621" s="44" t="s">
        <v>584</v>
      </c>
      <c r="F621" s="44" t="str">
        <f t="shared" si="12"/>
        <v>VN02261</v>
      </c>
      <c r="G621" s="295"/>
      <c r="H621" s="41" t="s">
        <v>67</v>
      </c>
      <c r="I621" s="95">
        <v>45434</v>
      </c>
      <c r="J621" s="122"/>
      <c r="K621" s="122"/>
      <c r="L621" s="147" t="str">
        <f>VLOOKUP(E621,DS!$A$2:$E$4398, 5, 0)</f>
        <v>QC</v>
      </c>
      <c r="M621" s="148"/>
      <c r="N621" s="92" t="e">
        <f>VLOOKUP(Table1[[#This Row],[USER]],[1]!Table145678910111213141545678910111213146[[#All],[No.]:[Delete]],2,0)</f>
        <v>#N/A</v>
      </c>
    </row>
    <row r="622" spans="1:14">
      <c r="A622" s="93">
        <v>614</v>
      </c>
      <c r="B622" s="94">
        <v>2</v>
      </c>
      <c r="C622" s="40" t="s">
        <v>7953</v>
      </c>
      <c r="D622" s="40" t="str">
        <f>VLOOKUP(E622,Sheet3!$A$2:$D$6338,2,0)</f>
        <v>Nguyễn Văn Quyền</v>
      </c>
      <c r="E622" s="218" t="s">
        <v>8669</v>
      </c>
      <c r="F622" s="218" t="str">
        <f>"VN"&amp;RIGHT(E622,5)</f>
        <v>VN11366</v>
      </c>
      <c r="G622" s="300"/>
      <c r="H622" s="41" t="s">
        <v>67</v>
      </c>
      <c r="I622" s="219">
        <v>45725</v>
      </c>
      <c r="J622" s="220"/>
      <c r="K622" s="220"/>
      <c r="L622" s="220" t="str">
        <f>VLOOKUP(E622,DS!$A$2:$E$4398, 5, 0)</f>
        <v>QC</v>
      </c>
      <c r="M622" s="221"/>
      <c r="N622" s="92" t="e">
        <f>VLOOKUP(Table1[[#This Row],[USER]],[1]!Table145678910111213141545678910111213146[[#All],[No.]:[Delete]],2,0)</f>
        <v>#N/A</v>
      </c>
    </row>
    <row r="623" spans="1:14">
      <c r="A623" s="93">
        <v>615</v>
      </c>
      <c r="B623" s="94">
        <v>3</v>
      </c>
      <c r="C623" s="40" t="s">
        <v>7953</v>
      </c>
      <c r="D623" s="40" t="str">
        <f>VLOOKUP(E623,Sheet3!$A$2:$D$6338,2,0)</f>
        <v>Nguyễn Trọng Đặng</v>
      </c>
      <c r="E623" s="44" t="s">
        <v>585</v>
      </c>
      <c r="F623" s="44" t="str">
        <f t="shared" si="12"/>
        <v>VN08753</v>
      </c>
      <c r="G623" s="295"/>
      <c r="H623" s="41" t="s">
        <v>67</v>
      </c>
      <c r="I623" s="95">
        <v>45434</v>
      </c>
      <c r="J623" s="122">
        <v>45806</v>
      </c>
      <c r="K623" s="122">
        <v>45806</v>
      </c>
      <c r="L623" s="147" t="e">
        <f>VLOOKUP(E623,DS!$A$2:$E$4398, 5, 0)</f>
        <v>#N/A</v>
      </c>
      <c r="M623" s="148"/>
      <c r="N623" s="92" t="e">
        <f>VLOOKUP(Table1[[#This Row],[USER]],[1]!Table145678910111213141545678910111213146[[#All],[No.]:[Delete]],2,0)</f>
        <v>#N/A</v>
      </c>
    </row>
    <row r="624" spans="1:14">
      <c r="A624" s="93">
        <v>616</v>
      </c>
      <c r="B624" s="94">
        <v>4</v>
      </c>
      <c r="C624" s="40" t="s">
        <v>7953</v>
      </c>
      <c r="D624" s="40" t="str">
        <f>VLOOKUP(E624,Sheet3!$A$2:$D$6338,2,0)</f>
        <v>Trần Xuân Đông</v>
      </c>
      <c r="E624" s="44" t="s">
        <v>583</v>
      </c>
      <c r="F624" s="44" t="str">
        <f t="shared" si="12"/>
        <v>VN00931</v>
      </c>
      <c r="G624" s="295"/>
      <c r="H624" s="41" t="s">
        <v>67</v>
      </c>
      <c r="I624" s="95">
        <v>45434</v>
      </c>
      <c r="J624" s="122"/>
      <c r="K624" s="122"/>
      <c r="L624" s="147" t="str">
        <f>VLOOKUP(E624,DS!$A$2:$E$4398, 5, 0)</f>
        <v>QC</v>
      </c>
      <c r="M624" s="148"/>
      <c r="N624" s="92" t="e">
        <f>VLOOKUP(Table1[[#This Row],[USER]],[1]!Table145678910111213141545678910111213146[[#All],[No.]:[Delete]],2,0)</f>
        <v>#N/A</v>
      </c>
    </row>
    <row r="625" spans="1:14">
      <c r="A625" s="93">
        <v>617</v>
      </c>
      <c r="B625" s="94">
        <v>5</v>
      </c>
      <c r="C625" s="40" t="s">
        <v>7953</v>
      </c>
      <c r="D625" s="40" t="str">
        <f>VLOOKUP(E625,Sheet3!$A$2:$D$6338,2,0)</f>
        <v>Nguyễn Văn Cường</v>
      </c>
      <c r="E625" s="44" t="s">
        <v>586</v>
      </c>
      <c r="F625" s="44" t="str">
        <f t="shared" si="12"/>
        <v>VN08555</v>
      </c>
      <c r="G625" s="295"/>
      <c r="H625" s="41" t="s">
        <v>67</v>
      </c>
      <c r="I625" s="95">
        <v>45434</v>
      </c>
      <c r="J625" s="122"/>
      <c r="K625" s="122"/>
      <c r="L625" s="147" t="str">
        <f>VLOOKUP(E625,DS!$A$2:$E$4398, 5, 0)</f>
        <v>QC</v>
      </c>
      <c r="M625" s="148"/>
      <c r="N625" s="92" t="e">
        <f>VLOOKUP(Table1[[#This Row],[USER]],[1]!Table145678910111213141545678910111213146[[#All],[No.]:[Delete]],2,0)</f>
        <v>#N/A</v>
      </c>
    </row>
    <row r="626" spans="1:14">
      <c r="A626" s="93">
        <v>618</v>
      </c>
      <c r="B626" s="94">
        <v>1</v>
      </c>
      <c r="C626" s="40" t="s">
        <v>7954</v>
      </c>
      <c r="D626" s="40" t="str">
        <f>VLOOKUP(E626,Sheet3!$A$2:$D$6338,2,0)</f>
        <v>Hoàng Thị Giang</v>
      </c>
      <c r="E626" s="44" t="s">
        <v>587</v>
      </c>
      <c r="F626" s="44" t="str">
        <f t="shared" si="12"/>
        <v>VN14121</v>
      </c>
      <c r="G626" s="295"/>
      <c r="H626" s="41" t="s">
        <v>67</v>
      </c>
      <c r="I626" s="95">
        <v>45432</v>
      </c>
      <c r="J626" s="122"/>
      <c r="K626" s="122"/>
      <c r="L626" s="147" t="str">
        <f>VLOOKUP(E626,DS!$A$2:$E$4398, 5, 0)</f>
        <v>Sơn X2</v>
      </c>
      <c r="M626" s="148"/>
      <c r="N626" s="92" t="e">
        <f>VLOOKUP(Table1[[#This Row],[USER]],[1]!Table145678910111213141545678910111213146[[#All],[No.]:[Delete]],2,0)</f>
        <v>#N/A</v>
      </c>
    </row>
    <row r="627" spans="1:14">
      <c r="A627" s="93">
        <v>619</v>
      </c>
      <c r="B627" s="94">
        <v>2</v>
      </c>
      <c r="C627" s="40" t="s">
        <v>7954</v>
      </c>
      <c r="D627" s="40" t="str">
        <f>VLOOKUP(E627,Sheet3!$A$2:$D$6338,2,0)</f>
        <v>Nguyễn Thị Bắc Hà</v>
      </c>
      <c r="E627" s="44" t="s">
        <v>588</v>
      </c>
      <c r="F627" s="44" t="str">
        <f t="shared" si="12"/>
        <v>VN00806</v>
      </c>
      <c r="G627" s="295"/>
      <c r="H627" s="41" t="s">
        <v>67</v>
      </c>
      <c r="I627" s="95">
        <v>45432</v>
      </c>
      <c r="J627" s="122"/>
      <c r="K627" s="122"/>
      <c r="L627" s="147" t="str">
        <f>VLOOKUP(E627,DS!$A$2:$E$4398, 5, 0)</f>
        <v>Sơn X2</v>
      </c>
      <c r="M627" s="148"/>
      <c r="N627" s="92" t="e">
        <f>VLOOKUP(Table1[[#This Row],[USER]],[1]!Table145678910111213141545678910111213146[[#All],[No.]:[Delete]],2,0)</f>
        <v>#N/A</v>
      </c>
    </row>
    <row r="628" spans="1:14">
      <c r="A628" s="93">
        <v>620</v>
      </c>
      <c r="B628" s="94">
        <v>3</v>
      </c>
      <c r="C628" s="40" t="s">
        <v>7954</v>
      </c>
      <c r="D628" s="40" t="str">
        <f>VLOOKUP(E628,Sheet3!$A$2:$D$6338,2,0)</f>
        <v>Nguyễn Trọng Hùng</v>
      </c>
      <c r="E628" s="44" t="s">
        <v>589</v>
      </c>
      <c r="F628" s="44" t="str">
        <f t="shared" si="12"/>
        <v>VN09253</v>
      </c>
      <c r="G628" s="295"/>
      <c r="H628" s="41" t="s">
        <v>67</v>
      </c>
      <c r="I628" s="95">
        <v>45432</v>
      </c>
      <c r="J628" s="122"/>
      <c r="K628" s="122"/>
      <c r="L628" s="147" t="str">
        <f>VLOOKUP(E628,DS!$A$2:$E$4398, 5, 0)</f>
        <v>Sơn X2</v>
      </c>
      <c r="M628" s="148"/>
      <c r="N628" s="92" t="e">
        <f>VLOOKUP(Table1[[#This Row],[USER]],[1]!Table145678910111213141545678910111213146[[#All],[No.]:[Delete]],2,0)</f>
        <v>#N/A</v>
      </c>
    </row>
    <row r="629" spans="1:14">
      <c r="A629" s="93">
        <v>621</v>
      </c>
      <c r="B629" s="94">
        <v>2</v>
      </c>
      <c r="C629" s="40" t="s">
        <v>7954</v>
      </c>
      <c r="D629" s="40" t="str">
        <f>VLOOKUP(E629,Sheet3!$A$2:$D$6338,2,0)</f>
        <v>Nguyễn Thị Mùi</v>
      </c>
      <c r="E629" s="218" t="s">
        <v>8675</v>
      </c>
      <c r="F629" s="218" t="str">
        <f>"VN"&amp;RIGHT(E629,5)</f>
        <v>VN01122</v>
      </c>
      <c r="G629" s="300"/>
      <c r="H629" s="41" t="s">
        <v>67</v>
      </c>
      <c r="I629" s="225">
        <v>45455</v>
      </c>
      <c r="J629" s="220"/>
      <c r="K629" s="220"/>
      <c r="L629" s="220" t="str">
        <f>VLOOKUP(E629,DS!$A$2:$E$4398, 5, 0)</f>
        <v>Sơn X2</v>
      </c>
      <c r="M629" s="221"/>
      <c r="N629" s="92" t="e">
        <f>VLOOKUP(Table1[[#This Row],[USER]],[1]!Table145678910111213141545678910111213146[[#All],[No.]:[Delete]],2,0)</f>
        <v>#N/A</v>
      </c>
    </row>
    <row r="630" spans="1:14">
      <c r="A630" s="93">
        <v>622</v>
      </c>
      <c r="B630" s="94">
        <v>3</v>
      </c>
      <c r="C630" s="40" t="s">
        <v>7954</v>
      </c>
      <c r="D630" s="40" t="str">
        <f>VLOOKUP(E630,Sheet3!$A$2:$D$6338,2,0)</f>
        <v>Hoàng Thị Diệu Hương</v>
      </c>
      <c r="E630" s="218" t="s">
        <v>8676</v>
      </c>
      <c r="F630" s="218" t="str">
        <f>"VN"&amp;RIGHT(E630,5)</f>
        <v>VN20718</v>
      </c>
      <c r="G630" s="300"/>
      <c r="H630" s="41" t="s">
        <v>67</v>
      </c>
      <c r="I630" s="225">
        <v>45531</v>
      </c>
      <c r="J630" s="220"/>
      <c r="K630" s="220"/>
      <c r="L630" s="220" t="str">
        <f>VLOOKUP(E630,DS!$A$2:$E$4398, 5, 0)</f>
        <v>Sơn X2</v>
      </c>
      <c r="M630" s="221"/>
      <c r="N630" s="92" t="e">
        <f>VLOOKUP(Table1[[#This Row],[USER]],[1]!Table145678910111213141545678910111213146[[#All],[No.]:[Delete]],2,0)</f>
        <v>#N/A</v>
      </c>
    </row>
    <row r="631" spans="1:14">
      <c r="A631" s="93">
        <v>623</v>
      </c>
      <c r="B631" s="94">
        <v>4</v>
      </c>
      <c r="C631" s="40" t="s">
        <v>870</v>
      </c>
      <c r="D631" s="40" t="str">
        <f>VLOOKUP(E631,Sheet3!$A$2:$D$6338,2,0)</f>
        <v>Phùng Văn Hà</v>
      </c>
      <c r="E631" s="44" t="s">
        <v>590</v>
      </c>
      <c r="F631" s="44" t="str">
        <f t="shared" si="12"/>
        <v>VN01614</v>
      </c>
      <c r="G631" s="295"/>
      <c r="H631" s="41" t="s">
        <v>67</v>
      </c>
      <c r="I631" s="95">
        <v>45432</v>
      </c>
      <c r="J631" s="122"/>
      <c r="K631" s="122"/>
      <c r="L631" s="147" t="str">
        <f>VLOOKUP(E631,DS!$A$2:$E$4398, 5, 0)</f>
        <v>Sơn X1</v>
      </c>
      <c r="M631" s="148"/>
      <c r="N631" s="92" t="e">
        <f>VLOOKUP(Table1[[#This Row],[USER]],[1]!Table145678910111213141545678910111213146[[#All],[No.]:[Delete]],2,0)</f>
        <v>#N/A</v>
      </c>
    </row>
    <row r="632" spans="1:14">
      <c r="A632" s="93">
        <v>624</v>
      </c>
      <c r="B632" s="94">
        <v>1</v>
      </c>
      <c r="C632" s="40" t="s">
        <v>7955</v>
      </c>
      <c r="D632" s="40" t="str">
        <f>VLOOKUP(E632,Sheet3!$A$2:$D$6338,2,0)</f>
        <v>Thiều Thị Quỳnh</v>
      </c>
      <c r="E632" s="44" t="s">
        <v>591</v>
      </c>
      <c r="F632" s="44" t="str">
        <f t="shared" si="12"/>
        <v>VN01662</v>
      </c>
      <c r="G632" s="295"/>
      <c r="H632" s="41" t="s">
        <v>67</v>
      </c>
      <c r="I632" s="95">
        <v>45434</v>
      </c>
      <c r="J632" s="122"/>
      <c r="K632" s="122"/>
      <c r="L632" s="147" t="str">
        <f>VLOOKUP(E632,DS!$A$2:$E$4398, 5, 0)</f>
        <v>QLK</v>
      </c>
      <c r="M632" s="148"/>
      <c r="N632" s="92" t="e">
        <f>VLOOKUP(Table1[[#This Row],[USER]],[1]!Table145678910111213141545678910111213146[[#All],[No.]:[Delete]],2,0)</f>
        <v>#N/A</v>
      </c>
    </row>
    <row r="633" spans="1:14">
      <c r="A633" s="93">
        <v>625</v>
      </c>
      <c r="B633" s="94">
        <v>2</v>
      </c>
      <c r="C633" s="40" t="s">
        <v>7955</v>
      </c>
      <c r="D633" s="40" t="str">
        <f>VLOOKUP(E633,Sheet3!$A$2:$D$6338,2,0)</f>
        <v>Hoàng Tiến Hưng</v>
      </c>
      <c r="E633" s="96" t="s">
        <v>592</v>
      </c>
      <c r="F633" s="44" t="str">
        <f t="shared" si="12"/>
        <v>VN01932</v>
      </c>
      <c r="G633" s="295"/>
      <c r="H633" s="41" t="s">
        <v>67</v>
      </c>
      <c r="I633" s="95">
        <v>45434</v>
      </c>
      <c r="J633" s="122"/>
      <c r="K633" s="122"/>
      <c r="L633" s="147" t="str">
        <f>VLOOKUP(E633,DS!$A$2:$E$4398, 5, 0)</f>
        <v>QLK</v>
      </c>
      <c r="M633" s="148"/>
      <c r="N633" s="92" t="e">
        <f>VLOOKUP(Table1[[#This Row],[USER]],[1]!Table145678910111213141545678910111213146[[#All],[No.]:[Delete]],2,0)</f>
        <v>#N/A</v>
      </c>
    </row>
    <row r="634" spans="1:14">
      <c r="A634" s="93">
        <v>626</v>
      </c>
      <c r="B634" s="94">
        <v>3</v>
      </c>
      <c r="C634" s="40" t="s">
        <v>7955</v>
      </c>
      <c r="D634" s="40" t="str">
        <f>VLOOKUP(E634,Sheet3!$A$2:$D$6338,2,0)</f>
        <v>Bùi Quang Trung</v>
      </c>
      <c r="E634" s="44" t="s">
        <v>593</v>
      </c>
      <c r="F634" s="44" t="str">
        <f t="shared" si="12"/>
        <v>VN15573</v>
      </c>
      <c r="G634" s="295"/>
      <c r="H634" s="41" t="s">
        <v>67</v>
      </c>
      <c r="I634" s="95">
        <v>45434</v>
      </c>
      <c r="J634" s="122"/>
      <c r="K634" s="122"/>
      <c r="L634" s="147" t="str">
        <f>VLOOKUP(E634,DS!$A$2:$E$4398, 5, 0)</f>
        <v>QLK</v>
      </c>
      <c r="M634" s="148"/>
      <c r="N634" s="92" t="e">
        <f>VLOOKUP(Table1[[#This Row],[USER]],[1]!Table145678910111213141545678910111213146[[#All],[No.]:[Delete]],2,0)</f>
        <v>#N/A</v>
      </c>
    </row>
    <row r="635" spans="1:14">
      <c r="A635" s="93">
        <v>627</v>
      </c>
      <c r="B635" s="94">
        <v>1</v>
      </c>
      <c r="C635" s="40" t="s">
        <v>7956</v>
      </c>
      <c r="D635" s="40" t="str">
        <f>VLOOKUP(E635,Sheet3!$A$2:$D$6338,2,0)</f>
        <v>Vũ Thị Hoa</v>
      </c>
      <c r="E635" s="44" t="s">
        <v>594</v>
      </c>
      <c r="F635" s="44" t="str">
        <f t="shared" si="12"/>
        <v>VN01233</v>
      </c>
      <c r="G635" s="295"/>
      <c r="H635" s="41" t="s">
        <v>67</v>
      </c>
      <c r="I635" s="95">
        <v>45434</v>
      </c>
      <c r="J635" s="122"/>
      <c r="K635" s="122"/>
      <c r="L635" s="147" t="str">
        <f>VLOOKUP(E635,DS!$A$2:$E$4398, 5, 0)</f>
        <v>QLSX</v>
      </c>
      <c r="M635" s="148"/>
      <c r="N635" s="92" t="e">
        <f>VLOOKUP(Table1[[#This Row],[USER]],[1]!Table145678910111213141545678910111213146[[#All],[No.]:[Delete]],2,0)</f>
        <v>#N/A</v>
      </c>
    </row>
    <row r="636" spans="1:14">
      <c r="A636" s="93">
        <v>628</v>
      </c>
      <c r="B636" s="94">
        <v>2</v>
      </c>
      <c r="C636" s="40" t="s">
        <v>7956</v>
      </c>
      <c r="D636" s="40" t="str">
        <f>VLOOKUP(E636,Sheet3!$A$2:$D$6338,2,0)</f>
        <v>Nguyễn Thị Hiền</v>
      </c>
      <c r="E636" s="44" t="s">
        <v>595</v>
      </c>
      <c r="F636" s="44" t="str">
        <f t="shared" si="12"/>
        <v>VN02421</v>
      </c>
      <c r="G636" s="295"/>
      <c r="H636" s="41" t="s">
        <v>67</v>
      </c>
      <c r="I636" s="95">
        <v>45434</v>
      </c>
      <c r="J636" s="122"/>
      <c r="K636" s="122"/>
      <c r="L636" s="147" t="str">
        <f>VLOOKUP(E636,DS!$A$2:$E$4398, 5, 0)</f>
        <v>QLSX</v>
      </c>
      <c r="M636" s="148"/>
      <c r="N636" s="92" t="e">
        <f>VLOOKUP(Table1[[#This Row],[USER]],[1]!Table145678910111213141545678910111213146[[#All],[No.]:[Delete]],2,0)</f>
        <v>#N/A</v>
      </c>
    </row>
    <row r="637" spans="1:14">
      <c r="A637" s="93">
        <v>629</v>
      </c>
      <c r="B637" s="94">
        <v>3</v>
      </c>
      <c r="C637" s="40" t="s">
        <v>7956</v>
      </c>
      <c r="D637" s="40" t="str">
        <f>VLOOKUP(E637,Sheet3!$A$2:$D$6338,2,0)</f>
        <v>Nguyễn Văn Đông</v>
      </c>
      <c r="E637" s="96" t="s">
        <v>596</v>
      </c>
      <c r="F637" s="44" t="str">
        <f t="shared" si="12"/>
        <v>VN04267</v>
      </c>
      <c r="G637" s="295"/>
      <c r="H637" s="41" t="s">
        <v>67</v>
      </c>
      <c r="I637" s="95">
        <v>45434</v>
      </c>
      <c r="J637" s="122"/>
      <c r="K637" s="122"/>
      <c r="L637" s="147" t="str">
        <f>VLOOKUP(E637,DS!$A$2:$E$4398, 5, 0)</f>
        <v>QLSX</v>
      </c>
      <c r="M637" s="148"/>
      <c r="N637" s="92" t="e">
        <f>VLOOKUP(Table1[[#This Row],[USER]],[1]!Table145678910111213141545678910111213146[[#All],[No.]:[Delete]],2,0)</f>
        <v>#N/A</v>
      </c>
    </row>
    <row r="638" spans="1:14">
      <c r="A638" s="93">
        <v>630</v>
      </c>
      <c r="B638" s="94">
        <v>4</v>
      </c>
      <c r="C638" s="40" t="s">
        <v>7956</v>
      </c>
      <c r="D638" s="40" t="str">
        <f>VLOOKUP(E638,Sheet3!$A$2:$D$6338,2,0)</f>
        <v>Kiều Trọng Minh Hiếu</v>
      </c>
      <c r="E638" s="44" t="s">
        <v>597</v>
      </c>
      <c r="F638" s="44" t="str">
        <f t="shared" si="12"/>
        <v>VN21090</v>
      </c>
      <c r="G638" s="295"/>
      <c r="H638" s="41" t="s">
        <v>67</v>
      </c>
      <c r="I638" s="95">
        <v>45434</v>
      </c>
      <c r="J638" s="122"/>
      <c r="K638" s="122"/>
      <c r="L638" s="147" t="str">
        <f>VLOOKUP(E638,DS!$A$2:$E$4398, 5, 0)</f>
        <v>QLSX</v>
      </c>
      <c r="M638" s="148"/>
      <c r="N638" s="92" t="e">
        <f>VLOOKUP(Table1[[#This Row],[USER]],[1]!Table145678910111213141545678910111213146[[#All],[No.]:[Delete]],2,0)</f>
        <v>#N/A</v>
      </c>
    </row>
    <row r="639" spans="1:14">
      <c r="A639" s="93">
        <v>631</v>
      </c>
      <c r="B639" s="94">
        <v>5</v>
      </c>
      <c r="C639" s="40" t="s">
        <v>7956</v>
      </c>
      <c r="D639" s="40" t="str">
        <f>VLOOKUP(E639,Sheet3!$A$2:$D$6338,2,0)</f>
        <v>Kiều Mạnh Toàn</v>
      </c>
      <c r="E639" s="44" t="s">
        <v>598</v>
      </c>
      <c r="F639" s="44" t="str">
        <f t="shared" si="12"/>
        <v>VN04268</v>
      </c>
      <c r="G639" s="295"/>
      <c r="H639" s="41" t="s">
        <v>67</v>
      </c>
      <c r="I639" s="95">
        <v>45434</v>
      </c>
      <c r="J639" s="122"/>
      <c r="K639" s="122"/>
      <c r="L639" s="147" t="str">
        <f>VLOOKUP(E639,DS!$A$2:$E$4398, 5, 0)</f>
        <v>QLSX</v>
      </c>
      <c r="M639" s="148"/>
      <c r="N639" s="92" t="e">
        <f>VLOOKUP(Table1[[#This Row],[USER]],[1]!Table145678910111213141545678910111213146[[#All],[No.]:[Delete]],2,0)</f>
        <v>#N/A</v>
      </c>
    </row>
    <row r="640" spans="1:14">
      <c r="A640" s="93">
        <v>632</v>
      </c>
      <c r="B640" s="94">
        <v>6</v>
      </c>
      <c r="C640" s="40" t="s">
        <v>7956</v>
      </c>
      <c r="D640" s="40" t="str">
        <f>VLOOKUP(E640,Sheet3!$A$2:$D$6338,2,0)</f>
        <v>Hà Thị Thuỳ Linh</v>
      </c>
      <c r="E640" s="96" t="s">
        <v>599</v>
      </c>
      <c r="F640" s="44" t="str">
        <f t="shared" si="12"/>
        <v>VN06492</v>
      </c>
      <c r="G640" s="295"/>
      <c r="H640" s="41" t="s">
        <v>67</v>
      </c>
      <c r="I640" s="95">
        <v>45434</v>
      </c>
      <c r="J640" s="122"/>
      <c r="K640" s="122"/>
      <c r="L640" s="147" t="str">
        <f>VLOOKUP(E640,DS!$A$2:$E$4398, 5, 0)</f>
        <v>QLSX</v>
      </c>
      <c r="M640" s="148"/>
      <c r="N640" s="92" t="e">
        <f>VLOOKUP(Table1[[#This Row],[USER]],[1]!Table145678910111213141545678910111213146[[#All],[No.]:[Delete]],2,0)</f>
        <v>#N/A</v>
      </c>
    </row>
    <row r="641" spans="1:14">
      <c r="A641" s="93">
        <v>633</v>
      </c>
      <c r="B641" s="94">
        <v>7</v>
      </c>
      <c r="C641" s="40" t="s">
        <v>7956</v>
      </c>
      <c r="D641" s="40" t="str">
        <f>VLOOKUP(E641,Sheet3!$A$2:$D$6338,2,0)</f>
        <v>Lê Khánh Toàn</v>
      </c>
      <c r="E641" s="44" t="s">
        <v>600</v>
      </c>
      <c r="F641" s="44" t="str">
        <f t="shared" si="12"/>
        <v>VN01273</v>
      </c>
      <c r="G641" s="295"/>
      <c r="H641" s="41" t="s">
        <v>67</v>
      </c>
      <c r="I641" s="95">
        <v>45434</v>
      </c>
      <c r="J641" s="122"/>
      <c r="K641" s="122"/>
      <c r="L641" s="147" t="str">
        <f>VLOOKUP(E641,DS!$A$2:$E$4398, 5, 0)</f>
        <v>QLSX</v>
      </c>
      <c r="M641" s="148"/>
      <c r="N641" s="92" t="e">
        <f>VLOOKUP(Table1[[#This Row],[USER]],[1]!Table145678910111213141545678910111213146[[#All],[No.]:[Delete]],2,0)</f>
        <v>#N/A</v>
      </c>
    </row>
    <row r="642" spans="1:14">
      <c r="A642" s="93">
        <v>634</v>
      </c>
      <c r="B642" s="94">
        <v>8</v>
      </c>
      <c r="C642" s="40" t="s">
        <v>7956</v>
      </c>
      <c r="D642" s="40" t="str">
        <f>VLOOKUP(E642,Sheet3!$A$2:$D$6338,2,0)</f>
        <v>Nguyễn Văn Quang</v>
      </c>
      <c r="E642" s="44" t="s">
        <v>601</v>
      </c>
      <c r="F642" s="44" t="str">
        <f t="shared" si="12"/>
        <v>VN00433</v>
      </c>
      <c r="G642" s="295"/>
      <c r="H642" s="41" t="s">
        <v>67</v>
      </c>
      <c r="I642" s="95">
        <v>45434</v>
      </c>
      <c r="J642" s="122">
        <v>45950</v>
      </c>
      <c r="K642" s="122">
        <v>45960</v>
      </c>
      <c r="L642" s="147" t="str">
        <f>VLOOKUP(E642,DS!$A$2:$E$4398, 5, 0)</f>
        <v>QLSX</v>
      </c>
      <c r="M642" s="148"/>
      <c r="N642" s="92" t="e">
        <f>VLOOKUP(Table1[[#This Row],[USER]],[1]!Table145678910111213141545678910111213146[[#All],[No.]:[Delete]],2,0)</f>
        <v>#N/A</v>
      </c>
    </row>
    <row r="643" spans="1:14">
      <c r="A643" s="93">
        <v>635</v>
      </c>
      <c r="B643" s="94">
        <v>9</v>
      </c>
      <c r="C643" s="40" t="s">
        <v>7956</v>
      </c>
      <c r="D643" s="40" t="str">
        <f>VLOOKUP(E643,Sheet3!$A$2:$D$6338,2,0)</f>
        <v>Phí Quang Huy</v>
      </c>
      <c r="E643" s="44" t="s">
        <v>602</v>
      </c>
      <c r="F643" s="44" t="str">
        <f t="shared" si="12"/>
        <v>VN22094</v>
      </c>
      <c r="G643" s="295"/>
      <c r="H643" s="41" t="s">
        <v>67</v>
      </c>
      <c r="I643" s="95">
        <v>45434</v>
      </c>
      <c r="J643" s="122"/>
      <c r="K643" s="122"/>
      <c r="L643" s="147" t="str">
        <f>VLOOKUP(E643,DS!$A$2:$E$4398, 5, 0)</f>
        <v>QLSX</v>
      </c>
      <c r="M643" s="148"/>
      <c r="N643" s="92" t="e">
        <f>VLOOKUP(Table1[[#This Row],[USER]],[1]!Table145678910111213141545678910111213146[[#All],[No.]:[Delete]],2,0)</f>
        <v>#N/A</v>
      </c>
    </row>
    <row r="644" spans="1:14">
      <c r="A644" s="93">
        <v>636</v>
      </c>
      <c r="B644" s="94">
        <v>1</v>
      </c>
      <c r="C644" s="40" t="s">
        <v>7957</v>
      </c>
      <c r="D644" s="40" t="str">
        <f>VLOOKUP(E644,Sheet3!$A$2:$D$6338,2,0)</f>
        <v>Trần Hữu Hoàn</v>
      </c>
      <c r="E644" s="44" t="s">
        <v>603</v>
      </c>
      <c r="F644" s="44" t="str">
        <f t="shared" si="12"/>
        <v>VN15013</v>
      </c>
      <c r="G644" s="295"/>
      <c r="H644" s="41" t="s">
        <v>67</v>
      </c>
      <c r="I644" s="97">
        <v>45435</v>
      </c>
      <c r="J644" s="122"/>
      <c r="K644" s="122"/>
      <c r="L644" s="147" t="str">
        <f>VLOOKUP(E644,DS!$A$2:$E$4398, 5, 0)</f>
        <v>Cán ống</v>
      </c>
      <c r="M644" s="148"/>
      <c r="N644" s="92" t="e">
        <f>VLOOKUP(Table1[[#This Row],[USER]],[1]!Table145678910111213141545678910111213146[[#All],[No.]:[Delete]],2,0)</f>
        <v>#N/A</v>
      </c>
    </row>
    <row r="645" spans="1:14">
      <c r="A645" s="93">
        <v>637</v>
      </c>
      <c r="B645" s="94">
        <v>2</v>
      </c>
      <c r="C645" s="40" t="s">
        <v>882</v>
      </c>
      <c r="D645" s="40" t="str">
        <f>VLOOKUP(E645,Sheet3!$A$2:$D$6338,2,0)</f>
        <v>Nguyễn Khắc Huy</v>
      </c>
      <c r="E645" s="44" t="s">
        <v>604</v>
      </c>
      <c r="F645" s="44" t="str">
        <f t="shared" si="12"/>
        <v>VN03562</v>
      </c>
      <c r="G645" s="295"/>
      <c r="H645" s="41" t="s">
        <v>67</v>
      </c>
      <c r="I645" s="97">
        <v>45435</v>
      </c>
      <c r="J645" s="122"/>
      <c r="K645" s="122"/>
      <c r="L645" s="147" t="str">
        <f>VLOOKUP(E645,DS!$A$2:$E$4398, 5, 0)</f>
        <v>Hàn X5</v>
      </c>
      <c r="M645" s="148"/>
      <c r="N645" s="92" t="e">
        <f>VLOOKUP(Table1[[#This Row],[USER]],[1]!Table145678910111213141545678910111213146[[#All],[No.]:[Delete]],2,0)</f>
        <v>#N/A</v>
      </c>
    </row>
    <row r="646" spans="1:14">
      <c r="A646" s="93">
        <v>638</v>
      </c>
      <c r="B646" s="94">
        <v>1</v>
      </c>
      <c r="C646" s="40" t="s">
        <v>7958</v>
      </c>
      <c r="D646" s="40" t="str">
        <f>VLOOKUP(E646,Sheet3!$A$2:$D$6338,2,0)</f>
        <v>Nguyễn Văn Nghĩa</v>
      </c>
      <c r="E646" s="96" t="s">
        <v>605</v>
      </c>
      <c r="F646" s="44" t="str">
        <f t="shared" si="12"/>
        <v>VN06747</v>
      </c>
      <c r="G646" s="295"/>
      <c r="H646" s="41" t="s">
        <v>67</v>
      </c>
      <c r="I646" s="97">
        <v>45435</v>
      </c>
      <c r="J646" s="122">
        <v>45464</v>
      </c>
      <c r="K646" s="122">
        <v>45464</v>
      </c>
      <c r="L646" s="147" t="e">
        <f>VLOOKUP(E646,DS!$A$2:$E$4398, 5, 0)</f>
        <v>#N/A</v>
      </c>
      <c r="M646" s="148"/>
      <c r="N646" s="92" t="e">
        <f>VLOOKUP(Table1[[#This Row],[USER]],[1]!Table145678910111213141545678910111213146[[#All],[No.]:[Delete]],2,0)</f>
        <v>#N/A</v>
      </c>
    </row>
    <row r="647" spans="1:14">
      <c r="A647" s="93">
        <v>639</v>
      </c>
      <c r="B647" s="94">
        <v>2</v>
      </c>
      <c r="C647" s="40" t="s">
        <v>7958</v>
      </c>
      <c r="D647" s="40" t="str">
        <f>VLOOKUP(E647,Sheet3!$A$2:$D$6338,2,0)</f>
        <v>Đỗ Tiến Quang</v>
      </c>
      <c r="E647" s="44" t="s">
        <v>832</v>
      </c>
      <c r="F647" s="44" t="str">
        <f t="shared" si="12"/>
        <v>VN03671</v>
      </c>
      <c r="G647" s="295"/>
      <c r="H647" s="41" t="s">
        <v>67</v>
      </c>
      <c r="I647" s="97">
        <v>45435</v>
      </c>
      <c r="J647" s="122"/>
      <c r="K647" s="122"/>
      <c r="L647" s="147" t="str">
        <f>VLOOKUP(E647,DS!$A$2:$E$4398, 5, 0)</f>
        <v>QLK</v>
      </c>
      <c r="M647" s="148"/>
      <c r="N647" s="92" t="e">
        <f>VLOOKUP(Table1[[#This Row],[USER]],[1]!Table145678910111213141545678910111213146[[#All],[No.]:[Delete]],2,0)</f>
        <v>#N/A</v>
      </c>
    </row>
    <row r="648" spans="1:14">
      <c r="A648" s="93">
        <v>640</v>
      </c>
      <c r="B648" s="94">
        <v>3</v>
      </c>
      <c r="C648" s="40" t="s">
        <v>7958</v>
      </c>
      <c r="D648" s="40" t="str">
        <f>VLOOKUP(E648,Sheet3!$A$2:$D$6338,2,0)</f>
        <v>Nguyễn Hữu Sơn</v>
      </c>
      <c r="E648" s="44" t="s">
        <v>606</v>
      </c>
      <c r="F648" s="44" t="str">
        <f t="shared" si="12"/>
        <v>VN09077</v>
      </c>
      <c r="G648" s="295"/>
      <c r="H648" s="41" t="s">
        <v>67</v>
      </c>
      <c r="I648" s="97">
        <v>45435</v>
      </c>
      <c r="J648" s="122"/>
      <c r="K648" s="122"/>
      <c r="L648" s="147" t="str">
        <f>VLOOKUP(E648,DS!$A$2:$E$4398, 5, 0)</f>
        <v>QLK</v>
      </c>
      <c r="M648" s="148"/>
      <c r="N648" s="92" t="e">
        <f>VLOOKUP(Table1[[#This Row],[USER]],[1]!Table145678910111213141545678910111213146[[#All],[No.]:[Delete]],2,0)</f>
        <v>#N/A</v>
      </c>
    </row>
    <row r="649" spans="1:14">
      <c r="A649" s="93">
        <v>641</v>
      </c>
      <c r="B649" s="94">
        <v>4</v>
      </c>
      <c r="C649" s="40" t="s">
        <v>7958</v>
      </c>
      <c r="D649" s="40" t="str">
        <f>VLOOKUP(E649,Sheet3!$A$2:$D$6338,2,0)</f>
        <v>Trần Văn Đạt</v>
      </c>
      <c r="E649" s="44" t="s">
        <v>607</v>
      </c>
      <c r="F649" s="44" t="str">
        <f t="shared" si="12"/>
        <v>VN07966</v>
      </c>
      <c r="G649" s="295"/>
      <c r="H649" s="41" t="s">
        <v>67</v>
      </c>
      <c r="I649" s="97">
        <v>45435</v>
      </c>
      <c r="J649" s="122"/>
      <c r="K649" s="122"/>
      <c r="L649" s="147" t="str">
        <f>VLOOKUP(E649,DS!$A$2:$E$4398, 5, 0)</f>
        <v>QLK</v>
      </c>
      <c r="M649" s="148"/>
      <c r="N649" s="92" t="e">
        <f>VLOOKUP(Table1[[#This Row],[USER]],[1]!Table145678910111213141545678910111213146[[#All],[No.]:[Delete]],2,0)</f>
        <v>#N/A</v>
      </c>
    </row>
    <row r="650" spans="1:14">
      <c r="A650" s="93">
        <v>642</v>
      </c>
      <c r="B650" s="94">
        <v>5</v>
      </c>
      <c r="C650" s="40" t="s">
        <v>7958</v>
      </c>
      <c r="D650" s="40" t="str">
        <f>VLOOKUP(E650,Sheet3!$A$2:$D$6338,2,0)</f>
        <v>Nguyễn Thị Hạnh Hằng</v>
      </c>
      <c r="E650" s="44" t="s">
        <v>608</v>
      </c>
      <c r="F650" s="44" t="str">
        <f t="shared" si="12"/>
        <v>VN02420</v>
      </c>
      <c r="G650" s="295"/>
      <c r="H650" s="41" t="s">
        <v>67</v>
      </c>
      <c r="I650" s="97">
        <v>45435</v>
      </c>
      <c r="J650" s="122"/>
      <c r="K650" s="122"/>
      <c r="L650" s="147" t="str">
        <f>VLOOKUP(E650,DS!$A$2:$E$4398, 5, 0)</f>
        <v>QLK</v>
      </c>
      <c r="M650" s="148"/>
      <c r="N650" s="92" t="e">
        <f>VLOOKUP(Table1[[#This Row],[USER]],[1]!Table145678910111213141545678910111213146[[#All],[No.]:[Delete]],2,0)</f>
        <v>#N/A</v>
      </c>
    </row>
    <row r="651" spans="1:14">
      <c r="A651" s="93">
        <v>643</v>
      </c>
      <c r="B651" s="94">
        <v>6</v>
      </c>
      <c r="C651" s="40" t="s">
        <v>7958</v>
      </c>
      <c r="D651" s="40" t="str">
        <f>VLOOKUP(E651,Sheet3!$A$2:$D$6338,2,0)</f>
        <v>Lê Văn Chiến</v>
      </c>
      <c r="E651" s="44" t="s">
        <v>8386</v>
      </c>
      <c r="F651" s="44" t="str">
        <f>"VN"&amp;RIGHT(E651,5)</f>
        <v>VN09000</v>
      </c>
      <c r="G651" s="295"/>
      <c r="H651" s="41" t="s">
        <v>67</v>
      </c>
      <c r="I651" s="97">
        <v>45435</v>
      </c>
      <c r="J651" s="122"/>
      <c r="K651" s="122"/>
      <c r="L651" s="147" t="str">
        <f>VLOOKUP(E651,DS!$A$2:$E$4398, 5, 0)</f>
        <v>QLK</v>
      </c>
      <c r="M651" s="148"/>
      <c r="N651" s="92" t="e">
        <f>VLOOKUP(Table1[[#This Row],[USER]],[1]!Table145678910111213141545678910111213146[[#All],[No.]:[Delete]],2,0)</f>
        <v>#N/A</v>
      </c>
    </row>
    <row r="652" spans="1:14">
      <c r="A652" s="93">
        <v>644</v>
      </c>
      <c r="B652" s="94">
        <v>7</v>
      </c>
      <c r="C652" s="40" t="s">
        <v>7958</v>
      </c>
      <c r="D652" s="40" t="str">
        <f>VLOOKUP(E652,Sheet3!$A$2:$D$6338,2,0)</f>
        <v>Phan Huy Quốc</v>
      </c>
      <c r="E652" s="44" t="s">
        <v>609</v>
      </c>
      <c r="F652" s="44" t="str">
        <f t="shared" si="12"/>
        <v>VN04029</v>
      </c>
      <c r="G652" s="295"/>
      <c r="H652" s="41" t="s">
        <v>67</v>
      </c>
      <c r="I652" s="97">
        <v>45435</v>
      </c>
      <c r="J652" s="122"/>
      <c r="K652" s="122"/>
      <c r="L652" s="147" t="str">
        <f>VLOOKUP(E652,DS!$A$2:$E$4398, 5, 0)</f>
        <v>QLK</v>
      </c>
      <c r="M652" s="148"/>
      <c r="N652" s="92" t="e">
        <f>VLOOKUP(Table1[[#This Row],[USER]],[1]!Table145678910111213141545678910111213146[[#All],[No.]:[Delete]],2,0)</f>
        <v>#N/A</v>
      </c>
    </row>
    <row r="653" spans="1:14">
      <c r="A653" s="93">
        <v>645</v>
      </c>
      <c r="B653" s="94">
        <v>8</v>
      </c>
      <c r="C653" s="40" t="s">
        <v>7958</v>
      </c>
      <c r="D653" s="40" t="str">
        <f>VLOOKUP(E653,Sheet3!$A$2:$D$6338,2,0)</f>
        <v>Nguyễn Viết Tú</v>
      </c>
      <c r="E653" s="44" t="s">
        <v>7795</v>
      </c>
      <c r="F653" s="44" t="str">
        <f t="shared" si="12"/>
        <v>VN20793</v>
      </c>
      <c r="G653" s="295"/>
      <c r="H653" s="41" t="s">
        <v>67</v>
      </c>
      <c r="I653" s="97">
        <v>45464</v>
      </c>
      <c r="J653" s="122"/>
      <c r="K653" s="122"/>
      <c r="L653" s="147" t="str">
        <f>VLOOKUP(E653,DS!$A$2:$E$4398, 5, 0)</f>
        <v>QLK</v>
      </c>
      <c r="M653" s="148"/>
      <c r="N653" s="92" t="e">
        <f>VLOOKUP(Table1[[#This Row],[USER]],[1]!Table145678910111213141545678910111213146[[#All],[No.]:[Delete]],2,0)</f>
        <v>#N/A</v>
      </c>
    </row>
    <row r="654" spans="1:14">
      <c r="A654" s="93">
        <v>646</v>
      </c>
      <c r="B654" s="94">
        <v>9</v>
      </c>
      <c r="C654" s="40" t="s">
        <v>7958</v>
      </c>
      <c r="D654" s="40" t="str">
        <f>VLOOKUP(E654,Sheet3!$A$2:$D$6338,2,0)</f>
        <v>Nguyễn Tiến Hải</v>
      </c>
      <c r="E654" s="44" t="s">
        <v>610</v>
      </c>
      <c r="F654" s="44" t="str">
        <f t="shared" si="12"/>
        <v>VN02529</v>
      </c>
      <c r="G654" s="295"/>
      <c r="H654" s="41" t="s">
        <v>67</v>
      </c>
      <c r="I654" s="97">
        <v>45435</v>
      </c>
      <c r="J654" s="122"/>
      <c r="K654" s="122"/>
      <c r="L654" s="147" t="str">
        <f>VLOOKUP(E654,DS!$A$2:$E$4398, 5, 0)</f>
        <v>QLK</v>
      </c>
      <c r="M654" s="148"/>
      <c r="N654" s="92" t="e">
        <f>VLOOKUP(Table1[[#This Row],[USER]],[1]!Table145678910111213141545678910111213146[[#All],[No.]:[Delete]],2,0)</f>
        <v>#N/A</v>
      </c>
    </row>
    <row r="655" spans="1:14">
      <c r="A655" s="93">
        <v>647</v>
      </c>
      <c r="B655" s="94">
        <v>1</v>
      </c>
      <c r="C655" s="40" t="s">
        <v>7959</v>
      </c>
      <c r="D655" s="40" t="str">
        <f>VLOOKUP(E655,Sheet3!$A$2:$D$6338,2,0)</f>
        <v>Nguyễn Thị Giang</v>
      </c>
      <c r="E655" s="44" t="s">
        <v>611</v>
      </c>
      <c r="F655" s="44" t="str">
        <f t="shared" si="12"/>
        <v>VN09759</v>
      </c>
      <c r="G655" s="295"/>
      <c r="H655" s="41" t="s">
        <v>67</v>
      </c>
      <c r="I655" s="95">
        <v>45435</v>
      </c>
      <c r="J655" s="122"/>
      <c r="K655" s="122"/>
      <c r="L655" s="147" t="str">
        <f>VLOOKUP(E655,DS!$A$2:$E$4398, 5, 0)</f>
        <v>QC</v>
      </c>
      <c r="M655" s="148"/>
      <c r="N655" s="92" t="e">
        <f>VLOOKUP(Table1[[#This Row],[USER]],[1]!Table145678910111213141545678910111213146[[#All],[No.]:[Delete]],2,0)</f>
        <v>#N/A</v>
      </c>
    </row>
    <row r="656" spans="1:14">
      <c r="A656" s="93">
        <v>648</v>
      </c>
      <c r="B656" s="94">
        <v>2</v>
      </c>
      <c r="C656" s="40" t="s">
        <v>7959</v>
      </c>
      <c r="D656" s="40" t="str">
        <f>VLOOKUP(E656,Sheet3!$A$2:$D$6338,2,0)</f>
        <v>Nguyễn Minh Thông</v>
      </c>
      <c r="E656" s="44" t="s">
        <v>612</v>
      </c>
      <c r="F656" s="44" t="str">
        <f t="shared" si="12"/>
        <v>VN07279</v>
      </c>
      <c r="G656" s="295"/>
      <c r="H656" s="41" t="s">
        <v>67</v>
      </c>
      <c r="I656" s="95">
        <v>45435</v>
      </c>
      <c r="J656" s="122"/>
      <c r="K656" s="122"/>
      <c r="L656" s="147" t="str">
        <f>VLOOKUP(E656,DS!$A$2:$E$4398, 5, 0)</f>
        <v>QC</v>
      </c>
      <c r="M656" s="148"/>
      <c r="N656" s="92" t="e">
        <f>VLOOKUP(Table1[[#This Row],[USER]],[1]!Table145678910111213141545678910111213146[[#All],[No.]:[Delete]],2,0)</f>
        <v>#N/A</v>
      </c>
    </row>
    <row r="657" spans="1:14">
      <c r="A657" s="93">
        <v>649</v>
      </c>
      <c r="B657" s="94">
        <v>3</v>
      </c>
      <c r="C657" s="40" t="s">
        <v>7959</v>
      </c>
      <c r="D657" s="40" t="str">
        <f>VLOOKUP(E657,Sheet3!$A$2:$D$6338,2,0)</f>
        <v>Nguyễn Mạnh Toàn</v>
      </c>
      <c r="E657" s="44" t="s">
        <v>613</v>
      </c>
      <c r="F657" s="44" t="str">
        <f t="shared" si="12"/>
        <v>VN04021</v>
      </c>
      <c r="G657" s="295"/>
      <c r="H657" s="41" t="s">
        <v>67</v>
      </c>
      <c r="I657" s="95">
        <v>45435</v>
      </c>
      <c r="J657" s="122"/>
      <c r="K657" s="122"/>
      <c r="L657" s="147" t="str">
        <f>VLOOKUP(E657,DS!$A$2:$E$4398, 5, 0)</f>
        <v>QC</v>
      </c>
      <c r="M657" s="148"/>
      <c r="N657" s="92" t="e">
        <f>VLOOKUP(Table1[[#This Row],[USER]],[1]!Table145678910111213141545678910111213146[[#All],[No.]:[Delete]],2,0)</f>
        <v>#N/A</v>
      </c>
    </row>
    <row r="658" spans="1:14">
      <c r="A658" s="93">
        <v>650</v>
      </c>
      <c r="B658" s="94">
        <v>4</v>
      </c>
      <c r="C658" s="40" t="s">
        <v>7959</v>
      </c>
      <c r="D658" s="40" t="str">
        <f>VLOOKUP(E658,Sheet3!$A$2:$D$6338,2,0)</f>
        <v>Nguyễn Minh Đức</v>
      </c>
      <c r="E658" s="44" t="s">
        <v>614</v>
      </c>
      <c r="F658" s="44" t="str">
        <f t="shared" si="12"/>
        <v>VN19426</v>
      </c>
      <c r="G658" s="295"/>
      <c r="H658" s="41" t="s">
        <v>67</v>
      </c>
      <c r="I658" s="95">
        <v>45435</v>
      </c>
      <c r="J658" s="122"/>
      <c r="K658" s="122"/>
      <c r="L658" s="147" t="str">
        <f>VLOOKUP(E658,DS!$A$2:$E$4398, 5, 0)</f>
        <v>QC</v>
      </c>
      <c r="M658" s="148"/>
      <c r="N658" s="92" t="e">
        <f>VLOOKUP(Table1[[#This Row],[USER]],[1]!Table145678910111213141545678910111213146[[#All],[No.]:[Delete]],2,0)</f>
        <v>#N/A</v>
      </c>
    </row>
    <row r="659" spans="1:14">
      <c r="A659" s="93">
        <v>651</v>
      </c>
      <c r="B659" s="94">
        <v>1</v>
      </c>
      <c r="C659" s="40" t="s">
        <v>7818</v>
      </c>
      <c r="D659" s="40" t="str">
        <f>VLOOKUP(E659,Sheet3!$A$2:$D$6338,2,0)</f>
        <v>Nguyễn Minh Tuyên</v>
      </c>
      <c r="E659" s="44" t="s">
        <v>615</v>
      </c>
      <c r="F659" s="44" t="str">
        <f t="shared" si="12"/>
        <v>VN03790</v>
      </c>
      <c r="G659" s="295"/>
      <c r="H659" s="41" t="s">
        <v>67</v>
      </c>
      <c r="I659" s="95">
        <v>45435</v>
      </c>
      <c r="J659" s="122"/>
      <c r="K659" s="122"/>
      <c r="L659" s="147" t="str">
        <f>VLOOKUP(E659,DS!$A$2:$E$4398, 5, 0)</f>
        <v>Hàn X5A</v>
      </c>
      <c r="M659" s="148"/>
      <c r="N659" s="92" t="e">
        <f>VLOOKUP(Table1[[#This Row],[USER]],[1]!Table145678910111213141545678910111213146[[#All],[No.]:[Delete]],2,0)</f>
        <v>#N/A</v>
      </c>
    </row>
    <row r="660" spans="1:14">
      <c r="A660" s="93">
        <v>652</v>
      </c>
      <c r="B660" s="94">
        <v>2</v>
      </c>
      <c r="C660" s="40" t="s">
        <v>7818</v>
      </c>
      <c r="D660" s="40" t="str">
        <f>VLOOKUP(E660,Sheet3!$A$2:$D$6338,2,0)</f>
        <v>Trần Thị Liên</v>
      </c>
      <c r="E660" s="44" t="s">
        <v>616</v>
      </c>
      <c r="F660" s="44" t="str">
        <f t="shared" si="12"/>
        <v>VN10979</v>
      </c>
      <c r="G660" s="295"/>
      <c r="H660" s="41" t="s">
        <v>67</v>
      </c>
      <c r="I660" s="95">
        <v>45435</v>
      </c>
      <c r="J660" s="122">
        <v>45806</v>
      </c>
      <c r="K660" s="122">
        <v>45806</v>
      </c>
      <c r="L660" s="147" t="e">
        <f>VLOOKUP(E660,DS!$A$2:$E$4398, 5, 0)</f>
        <v>#N/A</v>
      </c>
      <c r="M660" s="148"/>
      <c r="N660" s="92" t="e">
        <f>VLOOKUP(Table1[[#This Row],[USER]],[1]!Table145678910111213141545678910111213146[[#All],[No.]:[Delete]],2,0)</f>
        <v>#N/A</v>
      </c>
    </row>
    <row r="661" spans="1:14">
      <c r="A661" s="93">
        <v>653</v>
      </c>
      <c r="B661" s="94">
        <v>3</v>
      </c>
      <c r="C661" s="40" t="s">
        <v>7818</v>
      </c>
      <c r="D661" s="40" t="str">
        <f>VLOOKUP(E661,Sheet3!$A$2:$D$6338,2,0)</f>
        <v>Nguyễn Mạnh Cường</v>
      </c>
      <c r="E661" s="44" t="s">
        <v>617</v>
      </c>
      <c r="F661" s="44" t="str">
        <f t="shared" si="12"/>
        <v>VN01235</v>
      </c>
      <c r="G661" s="295"/>
      <c r="H661" s="41" t="s">
        <v>67</v>
      </c>
      <c r="I661" s="95">
        <v>45435</v>
      </c>
      <c r="J661" s="122"/>
      <c r="K661" s="122"/>
      <c r="L661" s="147" t="str">
        <f>VLOOKUP(E661,DS!$A$2:$E$4398, 5, 0)</f>
        <v>Hàn X5A</v>
      </c>
      <c r="M661" s="148"/>
      <c r="N661" s="92" t="e">
        <f>VLOOKUP(Table1[[#This Row],[USER]],[1]!Table145678910111213141545678910111213146[[#All],[No.]:[Delete]],2,0)</f>
        <v>#N/A</v>
      </c>
    </row>
    <row r="662" spans="1:14">
      <c r="A662" s="93">
        <v>654</v>
      </c>
      <c r="B662" s="94">
        <v>4</v>
      </c>
      <c r="C662" s="40" t="s">
        <v>7818</v>
      </c>
      <c r="D662" s="40" t="str">
        <f>VLOOKUP(E662,Sheet3!$A$2:$D$6338,2,0)</f>
        <v>Đào Thị Huyền</v>
      </c>
      <c r="E662" s="44" t="s">
        <v>619</v>
      </c>
      <c r="F662" s="44" t="str">
        <f t="shared" si="12"/>
        <v>VN03168</v>
      </c>
      <c r="G662" s="295"/>
      <c r="H662" s="41" t="s">
        <v>67</v>
      </c>
      <c r="I662" s="95">
        <v>45435</v>
      </c>
      <c r="J662" s="122"/>
      <c r="K662" s="122"/>
      <c r="L662" s="147" t="str">
        <f>VLOOKUP(E662,DS!$A$2:$E$4398, 5, 0)</f>
        <v>Hàn X5A</v>
      </c>
      <c r="M662" s="148"/>
      <c r="N662" s="92" t="e">
        <f>VLOOKUP(Table1[[#This Row],[USER]],[1]!Table145678910111213141545678910111213146[[#All],[No.]:[Delete]],2,0)</f>
        <v>#N/A</v>
      </c>
    </row>
    <row r="663" spans="1:14">
      <c r="A663" s="93">
        <v>655</v>
      </c>
      <c r="B663" s="94">
        <v>5</v>
      </c>
      <c r="C663" s="40" t="s">
        <v>7818</v>
      </c>
      <c r="D663" s="40" t="str">
        <f>VLOOKUP(E663,Sheet3!$A$2:$D$6338,2,0)</f>
        <v>Nguyễn Thị Thu Phương</v>
      </c>
      <c r="E663" s="44" t="s">
        <v>620</v>
      </c>
      <c r="F663" s="44" t="str">
        <f t="shared" si="12"/>
        <v>VN10070</v>
      </c>
      <c r="G663" s="295"/>
      <c r="H663" s="41" t="s">
        <v>67</v>
      </c>
      <c r="I663" s="95">
        <v>45435</v>
      </c>
      <c r="J663" s="122"/>
      <c r="K663" s="122"/>
      <c r="L663" s="147" t="str">
        <f>VLOOKUP(E663,DS!$A$2:$E$4398, 5, 0)</f>
        <v>Hàn X5A</v>
      </c>
      <c r="M663" s="148"/>
      <c r="N663" s="92" t="e">
        <f>VLOOKUP(Table1[[#This Row],[USER]],[1]!Table145678910111213141545678910111213146[[#All],[No.]:[Delete]],2,0)</f>
        <v>#N/A</v>
      </c>
    </row>
    <row r="664" spans="1:14">
      <c r="A664" s="93">
        <v>656</v>
      </c>
      <c r="B664" s="94">
        <v>6</v>
      </c>
      <c r="C664" s="40" t="s">
        <v>7818</v>
      </c>
      <c r="D664" s="40" t="str">
        <f>VLOOKUP(E664,Sheet3!$A$2:$D$6338,2,0)</f>
        <v>Lăng Thị Xuân Thương</v>
      </c>
      <c r="E664" s="44" t="s">
        <v>621</v>
      </c>
      <c r="F664" s="44" t="str">
        <f t="shared" si="12"/>
        <v>VN00269</v>
      </c>
      <c r="G664" s="295"/>
      <c r="H664" s="41" t="s">
        <v>67</v>
      </c>
      <c r="I664" s="95">
        <v>45435</v>
      </c>
      <c r="J664" s="122"/>
      <c r="K664" s="122"/>
      <c r="L664" s="147" t="str">
        <f>VLOOKUP(E664,DS!$A$2:$E$4398, 5, 0)</f>
        <v>Hàn X5A</v>
      </c>
      <c r="M664" s="148"/>
      <c r="N664" s="92" t="e">
        <f>VLOOKUP(Table1[[#This Row],[USER]],[1]!Table145678910111213141545678910111213146[[#All],[No.]:[Delete]],2,0)</f>
        <v>#N/A</v>
      </c>
    </row>
    <row r="665" spans="1:14">
      <c r="A665" s="93">
        <v>657</v>
      </c>
      <c r="B665" s="94">
        <v>7</v>
      </c>
      <c r="C665" s="40" t="s">
        <v>7818</v>
      </c>
      <c r="D665" s="40" t="str">
        <f>VLOOKUP(E665,Sheet3!$A$2:$D$6338,2,0)</f>
        <v>Nguyễn Thị Thân Thương</v>
      </c>
      <c r="E665" s="44" t="s">
        <v>618</v>
      </c>
      <c r="F665" s="44" t="str">
        <f t="shared" si="12"/>
        <v>VN06404</v>
      </c>
      <c r="G665" s="295"/>
      <c r="H665" s="41" t="s">
        <v>67</v>
      </c>
      <c r="I665" s="95">
        <v>45435</v>
      </c>
      <c r="J665" s="122"/>
      <c r="K665" s="122"/>
      <c r="L665" s="147" t="str">
        <f>VLOOKUP(E665,DS!$A$2:$E$4398, 5, 0)</f>
        <v>Hàn X5A</v>
      </c>
      <c r="M665" s="148"/>
      <c r="N665" s="92" t="e">
        <f>VLOOKUP(Table1[[#This Row],[USER]],[1]!Table145678910111213141545678910111213146[[#All],[No.]:[Delete]],2,0)</f>
        <v>#N/A</v>
      </c>
    </row>
    <row r="666" spans="1:14">
      <c r="A666" s="93">
        <v>658</v>
      </c>
      <c r="B666" s="94">
        <v>8</v>
      </c>
      <c r="C666" s="40" t="s">
        <v>7818</v>
      </c>
      <c r="D666" s="40" t="str">
        <f>VLOOKUP(E666,Sheet3!$A$2:$D$6338,2,0)</f>
        <v>Nguyễn Hải Tuân</v>
      </c>
      <c r="E666" s="128" t="s">
        <v>8011</v>
      </c>
      <c r="F666" s="128" t="str">
        <f>"VN"&amp;RIGHT(E666,5)</f>
        <v>VN06311</v>
      </c>
      <c r="G666" s="302"/>
      <c r="H666" s="41" t="s">
        <v>67</v>
      </c>
      <c r="I666" s="129">
        <v>45755</v>
      </c>
      <c r="J666" s="130"/>
      <c r="K666" s="130"/>
      <c r="L666" s="147" t="str">
        <f>VLOOKUP(E666,DS!$A$2:$E$4398, 5, 0)</f>
        <v>Hàn X5A</v>
      </c>
      <c r="M666" s="152"/>
      <c r="N666" s="92" t="e">
        <f>VLOOKUP(Table1[[#This Row],[USER]],[1]!Table145678910111213141545678910111213146[[#All],[No.]:[Delete]],2,0)</f>
        <v>#N/A</v>
      </c>
    </row>
    <row r="667" spans="1:14">
      <c r="A667" s="93">
        <v>659</v>
      </c>
      <c r="B667" s="94">
        <v>9</v>
      </c>
      <c r="C667" s="40" t="s">
        <v>7818</v>
      </c>
      <c r="D667" s="40" t="str">
        <f>VLOOKUP(E667,Sheet3!$A$2:$D$6338,2,0)</f>
        <v>Nguyễn Văn Lực</v>
      </c>
      <c r="E667" s="44" t="s">
        <v>622</v>
      </c>
      <c r="F667" s="44" t="str">
        <f t="shared" si="12"/>
        <v>VN00256</v>
      </c>
      <c r="G667" s="295"/>
      <c r="H667" s="41" t="s">
        <v>67</v>
      </c>
      <c r="I667" s="95">
        <v>45435</v>
      </c>
      <c r="J667" s="122"/>
      <c r="K667" s="122"/>
      <c r="L667" s="147" t="str">
        <f>VLOOKUP(E667,DS!$A$2:$E$4398, 5, 0)</f>
        <v>Hàn X5A</v>
      </c>
      <c r="M667" s="148"/>
      <c r="N667" s="92" t="e">
        <f>VLOOKUP(Table1[[#This Row],[USER]],[1]!Table145678910111213141545678910111213146[[#All],[No.]:[Delete]],2,0)</f>
        <v>#N/A</v>
      </c>
    </row>
    <row r="668" spans="1:14">
      <c r="A668" s="93">
        <v>660</v>
      </c>
      <c r="B668" s="156"/>
      <c r="C668" s="161" t="s">
        <v>7818</v>
      </c>
      <c r="D668" s="40" t="str">
        <f>VLOOKUP(E668,Sheet3!$A$2:$D$6338,2,0)</f>
        <v>Trần Văn Cường</v>
      </c>
      <c r="E668" s="157" t="s">
        <v>8385</v>
      </c>
      <c r="F668" s="157" t="str">
        <f>"VN"&amp;RIGHT(E668,5)</f>
        <v>VN06762</v>
      </c>
      <c r="G668" s="297"/>
      <c r="H668" s="41" t="s">
        <v>67</v>
      </c>
      <c r="I668" s="162">
        <v>45807</v>
      </c>
      <c r="J668" s="158"/>
      <c r="K668" s="158"/>
      <c r="L668" s="147" t="str">
        <f>VLOOKUP(E668,DS!$A$2:$E$4398, 5, 0)</f>
        <v>Hàn X5A</v>
      </c>
      <c r="M668" s="154"/>
      <c r="N668" s="92" t="e">
        <f>VLOOKUP(Table1[[#This Row],[USER]],[1]!Table145678910111213141545678910111213146[[#All],[No.]:[Delete]],2,0)</f>
        <v>#N/A</v>
      </c>
    </row>
    <row r="669" spans="1:14">
      <c r="A669" s="93">
        <v>661</v>
      </c>
      <c r="B669" s="172"/>
      <c r="C669" s="161" t="s">
        <v>7818</v>
      </c>
      <c r="D669" s="40" t="str">
        <f>VLOOKUP(E669,Sheet3!$A$2:$D$6338,2,0)</f>
        <v>Nguyễn Thị Thu Hà</v>
      </c>
      <c r="E669" s="163" t="s">
        <v>8551</v>
      </c>
      <c r="F669" s="163" t="s">
        <v>8550</v>
      </c>
      <c r="G669" s="295"/>
      <c r="H669" s="41" t="s">
        <v>7985</v>
      </c>
      <c r="I669" s="164">
        <v>45925</v>
      </c>
      <c r="J669" s="147"/>
      <c r="K669" s="147"/>
      <c r="L669" s="147" t="str">
        <f>VLOOKUP(E669,DS!$A$2:$E$4398, 5, 0)</f>
        <v>Hàn X5A</v>
      </c>
      <c r="M669" s="148"/>
      <c r="N669" s="92" t="e">
        <f>VLOOKUP(Table1[[#This Row],[USER]],[1]!Table145678910111213141545678910111213146[[#All],[No.]:[Delete]],2,0)</f>
        <v>#N/A</v>
      </c>
    </row>
    <row r="670" spans="1:14">
      <c r="A670" s="93">
        <v>662</v>
      </c>
      <c r="B670" s="94">
        <v>1</v>
      </c>
      <c r="C670" s="40" t="s">
        <v>7960</v>
      </c>
      <c r="D670" s="40" t="str">
        <f>VLOOKUP(E670,Sheet3!$A$2:$D$6338,2,0)</f>
        <v>Dương Thị Như Quỳnh</v>
      </c>
      <c r="E670" s="44" t="s">
        <v>623</v>
      </c>
      <c r="F670" s="44" t="str">
        <f t="shared" si="12"/>
        <v>VN14798</v>
      </c>
      <c r="G670" s="295"/>
      <c r="H670" s="41" t="s">
        <v>67</v>
      </c>
      <c r="I670" s="95">
        <v>45435</v>
      </c>
      <c r="J670" s="122"/>
      <c r="K670" s="122"/>
      <c r="L670" s="147" t="str">
        <f>VLOOKUP(E670,DS!$A$2:$E$4398, 5, 0)</f>
        <v>Dập X5</v>
      </c>
      <c r="M670" s="148"/>
      <c r="N670" s="92" t="e">
        <f>VLOOKUP(Table1[[#This Row],[USER]],[1]!Table145678910111213141545678910111213146[[#All],[No.]:[Delete]],2,0)</f>
        <v>#N/A</v>
      </c>
    </row>
    <row r="671" spans="1:14">
      <c r="A671" s="93">
        <v>663</v>
      </c>
      <c r="B671" s="94">
        <v>2</v>
      </c>
      <c r="C671" s="207" t="s">
        <v>841</v>
      </c>
      <c r="D671" s="40" t="str">
        <f>VLOOKUP(E671,Sheet3!$A$2:$D$6338,2,0)</f>
        <v>Đinh Thị Thuý Hồng</v>
      </c>
      <c r="E671" s="44" t="s">
        <v>624</v>
      </c>
      <c r="F671" s="44" t="str">
        <f t="shared" si="12"/>
        <v>VN05225</v>
      </c>
      <c r="G671" s="295"/>
      <c r="H671" s="41" t="s">
        <v>67</v>
      </c>
      <c r="I671" s="95">
        <v>45435</v>
      </c>
      <c r="J671" s="122"/>
      <c r="K671" s="122"/>
      <c r="L671" s="147" t="str">
        <f>VLOOKUP(E671,DS!$A$2:$E$4398, 5, 0)</f>
        <v>Dập X1</v>
      </c>
      <c r="M671" s="148"/>
      <c r="N671" s="92" t="e">
        <f>VLOOKUP(Table1[[#This Row],[USER]],[1]!Table145678910111213141545678910111213146[[#All],[No.]:[Delete]],2,0)</f>
        <v>#N/A</v>
      </c>
    </row>
    <row r="672" spans="1:14">
      <c r="A672" s="93">
        <v>664</v>
      </c>
      <c r="B672" s="94">
        <v>3</v>
      </c>
      <c r="C672" s="40" t="s">
        <v>7960</v>
      </c>
      <c r="D672" s="40" t="str">
        <f>VLOOKUP(E672,Sheet3!$A$2:$D$6338,2,0)</f>
        <v>Lương Thị Thanh Tâm</v>
      </c>
      <c r="E672" s="44" t="s">
        <v>626</v>
      </c>
      <c r="F672" s="44" t="str">
        <f t="shared" si="12"/>
        <v>VN07195</v>
      </c>
      <c r="G672" s="295"/>
      <c r="H672" s="41" t="s">
        <v>67</v>
      </c>
      <c r="I672" s="95">
        <v>45428</v>
      </c>
      <c r="J672" s="122"/>
      <c r="K672" s="122"/>
      <c r="L672" s="147" t="str">
        <f>VLOOKUP(E672,DS!$A$2:$E$4398, 5, 0)</f>
        <v>Dập X5</v>
      </c>
      <c r="M672" s="148"/>
      <c r="N672" s="92" t="e">
        <f>VLOOKUP(Table1[[#This Row],[USER]],[1]!Table145678910111213141545678910111213146[[#All],[No.]:[Delete]],2,0)</f>
        <v>#N/A</v>
      </c>
    </row>
    <row r="673" spans="1:14">
      <c r="A673" s="93">
        <v>665</v>
      </c>
      <c r="B673" s="94">
        <v>4</v>
      </c>
      <c r="C673" s="40" t="s">
        <v>841</v>
      </c>
      <c r="D673" s="40" t="str">
        <f>VLOOKUP(E673,Sheet3!$A$2:$D$6338,2,0)</f>
        <v>Phạm Thị Huệ</v>
      </c>
      <c r="E673" s="44" t="s">
        <v>627</v>
      </c>
      <c r="F673" s="44" t="str">
        <f t="shared" si="12"/>
        <v>VN02696</v>
      </c>
      <c r="G673" s="295"/>
      <c r="H673" s="41" t="s">
        <v>67</v>
      </c>
      <c r="I673" s="95">
        <v>45435</v>
      </c>
      <c r="J673" s="122"/>
      <c r="K673" s="122"/>
      <c r="L673" s="147" t="str">
        <f>VLOOKUP(E673,DS!$A$2:$E$4398, 5, 0)</f>
        <v>Dập X4</v>
      </c>
      <c r="M673" s="148"/>
      <c r="N673" s="92" t="e">
        <f>VLOOKUP(Table1[[#This Row],[USER]],[1]!Table145678910111213141545678910111213146[[#All],[No.]:[Delete]],2,0)</f>
        <v>#N/A</v>
      </c>
    </row>
    <row r="674" spans="1:14">
      <c r="A674" s="93">
        <v>666</v>
      </c>
      <c r="B674" s="94">
        <v>5</v>
      </c>
      <c r="C674" s="40" t="s">
        <v>7960</v>
      </c>
      <c r="D674" s="40" t="str">
        <f>VLOOKUP(E674,Sheet3!$A$2:$D$6338,2,0)</f>
        <v>Phan Văn Toàn</v>
      </c>
      <c r="E674" s="44" t="s">
        <v>628</v>
      </c>
      <c r="F674" s="44" t="str">
        <f t="shared" si="12"/>
        <v>VN02413</v>
      </c>
      <c r="G674" s="295"/>
      <c r="H674" s="41" t="s">
        <v>67</v>
      </c>
      <c r="I674" s="95">
        <v>45435</v>
      </c>
      <c r="J674" s="122"/>
      <c r="K674" s="122"/>
      <c r="L674" s="147" t="str">
        <f>VLOOKUP(E674,DS!$A$2:$E$4398, 5, 0)</f>
        <v>Dập X5</v>
      </c>
      <c r="M674" s="148"/>
      <c r="N674" s="92" t="e">
        <f>VLOOKUP(Table1[[#This Row],[USER]],[1]!Table145678910111213141545678910111213146[[#All],[No.]:[Delete]],2,0)</f>
        <v>#N/A</v>
      </c>
    </row>
    <row r="675" spans="1:14">
      <c r="A675" s="93">
        <v>667</v>
      </c>
      <c r="B675" s="94">
        <v>6</v>
      </c>
      <c r="C675" s="40" t="s">
        <v>7960</v>
      </c>
      <c r="D675" s="40" t="str">
        <f>VLOOKUP(E675,Sheet3!$A$2:$D$6338,2,0)</f>
        <v>Nguyễn Thị Ninh Nhâm</v>
      </c>
      <c r="E675" s="44" t="s">
        <v>629</v>
      </c>
      <c r="F675" s="44" t="str">
        <f t="shared" si="12"/>
        <v>VN15388</v>
      </c>
      <c r="G675" s="295"/>
      <c r="H675" s="41" t="s">
        <v>67</v>
      </c>
      <c r="I675" s="95">
        <v>45435</v>
      </c>
      <c r="J675" s="122"/>
      <c r="K675" s="122"/>
      <c r="L675" s="147" t="str">
        <f>VLOOKUP(E675,DS!$A$2:$E$4398, 5, 0)</f>
        <v>Dập X5</v>
      </c>
      <c r="M675" s="148"/>
      <c r="N675" s="92" t="e">
        <f>VLOOKUP(Table1[[#This Row],[USER]],[1]!Table145678910111213141545678910111213146[[#All],[No.]:[Delete]],2,0)</f>
        <v>#N/A</v>
      </c>
    </row>
    <row r="676" spans="1:14">
      <c r="A676" s="93">
        <v>668</v>
      </c>
      <c r="B676" s="94">
        <v>7</v>
      </c>
      <c r="C676" s="40" t="s">
        <v>7960</v>
      </c>
      <c r="D676" s="40" t="str">
        <f>VLOOKUP(E676,Sheet3!$A$2:$D$6338,2,0)</f>
        <v>Lê Thị Thanh Thuý</v>
      </c>
      <c r="E676" s="44" t="s">
        <v>7794</v>
      </c>
      <c r="F676" s="44" t="str">
        <f t="shared" ref="F676:F758" si="15">"VN"&amp;RIGHT(E676,5)</f>
        <v>VN01874</v>
      </c>
      <c r="G676" s="295"/>
      <c r="H676" s="41" t="s">
        <v>67</v>
      </c>
      <c r="I676" s="95">
        <v>45435</v>
      </c>
      <c r="J676" s="122"/>
      <c r="K676" s="122"/>
      <c r="L676" s="147" t="str">
        <f>VLOOKUP(E676,DS!$A$2:$E$4398, 5, 0)</f>
        <v>Dập X5</v>
      </c>
      <c r="M676" s="148"/>
      <c r="N676" s="92" t="e">
        <f>VLOOKUP(Table1[[#This Row],[USER]],[1]!Table145678910111213141545678910111213146[[#All],[No.]:[Delete]],2,0)</f>
        <v>#N/A</v>
      </c>
    </row>
    <row r="677" spans="1:14">
      <c r="A677" s="93">
        <v>669</v>
      </c>
      <c r="B677" s="94">
        <v>8</v>
      </c>
      <c r="C677" s="40" t="s">
        <v>842</v>
      </c>
      <c r="D677" s="40" t="e">
        <f>VLOOKUP(E677,Sheet3!$A$2:$D$6338,2,0)</f>
        <v>#N/A</v>
      </c>
      <c r="E677" s="44" t="s">
        <v>630</v>
      </c>
      <c r="F677" s="44" t="str">
        <f>"VN"&amp;RIGHT(E677,5)</f>
        <v>VN01267</v>
      </c>
      <c r="G677" s="295"/>
      <c r="H677" s="41" t="s">
        <v>67</v>
      </c>
      <c r="I677" s="95">
        <v>45435</v>
      </c>
      <c r="J677" s="122">
        <v>45464</v>
      </c>
      <c r="K677" s="122">
        <v>45464</v>
      </c>
      <c r="L677" s="147" t="e">
        <f>VLOOKUP(E677,DS!$A$2:$E$4398, 5, 0)</f>
        <v>#N/A</v>
      </c>
      <c r="M677" s="148"/>
      <c r="N677" s="92" t="e">
        <f>VLOOKUP(Table1[[#This Row],[USER]],[1]!Table145678910111213141545678910111213146[[#All],[No.]:[Delete]],2,0)</f>
        <v>#N/A</v>
      </c>
    </row>
    <row r="678" spans="1:14">
      <c r="A678" s="93">
        <v>670</v>
      </c>
      <c r="B678" s="94">
        <v>9</v>
      </c>
      <c r="C678" s="40" t="s">
        <v>7960</v>
      </c>
      <c r="D678" s="40" t="e">
        <f>VLOOKUP(E678,Sheet3!$A$2:$D$6338,2,0)</f>
        <v>#N/A</v>
      </c>
      <c r="E678" s="44" t="s">
        <v>631</v>
      </c>
      <c r="F678" s="44" t="s">
        <v>632</v>
      </c>
      <c r="G678" s="295"/>
      <c r="H678" s="41" t="s">
        <v>67</v>
      </c>
      <c r="I678" s="95">
        <v>45435</v>
      </c>
      <c r="J678" s="122"/>
      <c r="K678" s="122"/>
      <c r="L678" s="147" t="e">
        <f>VLOOKUP(E678,DS!$A$2:$E$4398, 5, 0)</f>
        <v>#N/A</v>
      </c>
      <c r="M678" s="148"/>
      <c r="N678" s="92" t="e">
        <f>VLOOKUP(Table1[[#This Row],[USER]],[1]!Table145678910111213141545678910111213146[[#All],[No.]:[Delete]],2,0)</f>
        <v>#N/A</v>
      </c>
    </row>
    <row r="679" spans="1:14">
      <c r="A679" s="93">
        <v>671</v>
      </c>
      <c r="B679" s="94">
        <v>10</v>
      </c>
      <c r="C679" s="40" t="s">
        <v>7960</v>
      </c>
      <c r="D679" s="40" t="str">
        <f>VLOOKUP(E679,Sheet3!$A$2:$D$6338,2,0)</f>
        <v>Phùng Thị Nga</v>
      </c>
      <c r="E679" s="44" t="s">
        <v>633</v>
      </c>
      <c r="F679" s="44" t="str">
        <f t="shared" si="15"/>
        <v>VN10828</v>
      </c>
      <c r="G679" s="295"/>
      <c r="H679" s="41" t="s">
        <v>67</v>
      </c>
      <c r="I679" s="95">
        <v>45435</v>
      </c>
      <c r="J679" s="122"/>
      <c r="K679" s="122"/>
      <c r="L679" s="147" t="str">
        <f>VLOOKUP(E679,DS!$A$2:$E$4398, 5, 0)</f>
        <v>Dập X5</v>
      </c>
      <c r="M679" s="148"/>
      <c r="N679" s="92" t="e">
        <f>VLOOKUP(Table1[[#This Row],[USER]],[1]!Table145678910111213141545678910111213146[[#All],[No.]:[Delete]],2,0)</f>
        <v>#N/A</v>
      </c>
    </row>
    <row r="680" spans="1:14">
      <c r="A680" s="93">
        <v>672</v>
      </c>
      <c r="B680" s="94">
        <v>11</v>
      </c>
      <c r="C680" s="40" t="s">
        <v>7960</v>
      </c>
      <c r="D680" s="40" t="str">
        <f>VLOOKUP(E680,Sheet3!$A$2:$D$6338,2,0)</f>
        <v>Văn Khắc Tùng</v>
      </c>
      <c r="E680" s="44" t="s">
        <v>634</v>
      </c>
      <c r="F680" s="44" t="str">
        <f t="shared" si="15"/>
        <v>VN08561</v>
      </c>
      <c r="G680" s="295"/>
      <c r="H680" s="41" t="s">
        <v>67</v>
      </c>
      <c r="I680" s="95">
        <v>45435</v>
      </c>
      <c r="J680" s="122"/>
      <c r="K680" s="122"/>
      <c r="L680" s="147" t="str">
        <f>VLOOKUP(E680,DS!$A$2:$E$4398, 5, 0)</f>
        <v>Dập X5</v>
      </c>
      <c r="M680" s="148"/>
      <c r="N680" s="92" t="e">
        <f>VLOOKUP(Table1[[#This Row],[USER]],[1]!Table145678910111213141545678910111213146[[#All],[No.]:[Delete]],2,0)</f>
        <v>#N/A</v>
      </c>
    </row>
    <row r="681" spans="1:14">
      <c r="A681" s="93">
        <v>673</v>
      </c>
      <c r="B681" s="94">
        <v>12</v>
      </c>
      <c r="C681" s="40" t="s">
        <v>7960</v>
      </c>
      <c r="D681" s="40" t="str">
        <f>VLOOKUP(E681,Sheet3!$A$2:$D$6338,2,0)</f>
        <v>Phùng Thị Ngọc</v>
      </c>
      <c r="E681" s="44" t="s">
        <v>625</v>
      </c>
      <c r="F681" s="44" t="str">
        <f t="shared" si="15"/>
        <v>VN11364</v>
      </c>
      <c r="G681" s="295"/>
      <c r="H681" s="41" t="s">
        <v>67</v>
      </c>
      <c r="I681" s="95">
        <v>45435</v>
      </c>
      <c r="J681" s="122"/>
      <c r="K681" s="122"/>
      <c r="L681" s="147" t="str">
        <f>VLOOKUP(E681,DS!$A$2:$E$4398, 5, 0)</f>
        <v>Dập X5</v>
      </c>
      <c r="M681" s="148"/>
      <c r="N681" s="92" t="e">
        <f>VLOOKUP(Table1[[#This Row],[USER]],[1]!Table145678910111213141545678910111213146[[#All],[No.]:[Delete]],2,0)</f>
        <v>#N/A</v>
      </c>
    </row>
    <row r="682" spans="1:14">
      <c r="A682" s="93">
        <v>674</v>
      </c>
      <c r="B682" s="94">
        <v>13</v>
      </c>
      <c r="C682" s="40" t="s">
        <v>7960</v>
      </c>
      <c r="D682" s="40" t="str">
        <f>VLOOKUP(E682,Sheet3!$A$2:$D$6338,2,0)</f>
        <v>Dương Đức Kiên</v>
      </c>
      <c r="E682" s="44" t="s">
        <v>635</v>
      </c>
      <c r="F682" s="44" t="str">
        <f t="shared" si="15"/>
        <v>VN00576</v>
      </c>
      <c r="G682" s="295"/>
      <c r="H682" s="41" t="s">
        <v>67</v>
      </c>
      <c r="I682" s="95">
        <v>45435</v>
      </c>
      <c r="J682" s="122"/>
      <c r="K682" s="122"/>
      <c r="L682" s="147" t="str">
        <f>VLOOKUP(E682,DS!$A$2:$E$4398, 5, 0)</f>
        <v>Dập X4</v>
      </c>
      <c r="M682" s="148"/>
      <c r="N682" s="92" t="e">
        <f>VLOOKUP(Table1[[#This Row],[USER]],[1]!Table145678910111213141545678910111213146[[#All],[No.]:[Delete]],2,0)</f>
        <v>#N/A</v>
      </c>
    </row>
    <row r="683" spans="1:14">
      <c r="A683" s="93">
        <v>675</v>
      </c>
      <c r="B683" s="94">
        <v>14</v>
      </c>
      <c r="C683" s="40" t="s">
        <v>842</v>
      </c>
      <c r="D683" s="40" t="str">
        <f>VLOOKUP(E683,Sheet3!$A$2:$D$6338,2,0)</f>
        <v>Phạm Thị Lan Anh</v>
      </c>
      <c r="E683" s="44" t="s">
        <v>7790</v>
      </c>
      <c r="F683" s="44" t="str">
        <f>"VN"&amp;RIGHT(E683,5)</f>
        <v>VN14920</v>
      </c>
      <c r="G683" s="295"/>
      <c r="H683" s="41" t="s">
        <v>67</v>
      </c>
      <c r="I683" s="95">
        <v>45463</v>
      </c>
      <c r="J683" s="122"/>
      <c r="K683" s="122"/>
      <c r="L683" s="147" t="str">
        <f>VLOOKUP(E683,DS!$A$2:$E$4398, 5, 0)</f>
        <v>Dập X5</v>
      </c>
      <c r="M683" s="148"/>
      <c r="N683" s="92" t="e">
        <f>VLOOKUP(Table1[[#This Row],[USER]],[1]!Table145678910111213141545678910111213146[[#All],[No.]:[Delete]],2,0)</f>
        <v>#N/A</v>
      </c>
    </row>
    <row r="684" spans="1:14">
      <c r="A684" s="93">
        <v>676</v>
      </c>
      <c r="B684" s="127">
        <v>15</v>
      </c>
      <c r="C684" s="40" t="s">
        <v>842</v>
      </c>
      <c r="D684" s="40" t="str">
        <f>VLOOKUP(E684,Sheet3!$A$2:$D$6338,2,0)</f>
        <v>Dương Đức Kiểm</v>
      </c>
      <c r="E684" s="128" t="s">
        <v>8012</v>
      </c>
      <c r="F684" s="128" t="str">
        <f>"VN"&amp;RIGHT(E684,5)</f>
        <v>VN10034</v>
      </c>
      <c r="G684" s="302"/>
      <c r="H684" s="41" t="s">
        <v>67</v>
      </c>
      <c r="I684" s="129">
        <v>45755</v>
      </c>
      <c r="J684" s="130"/>
      <c r="K684" s="130"/>
      <c r="L684" s="147" t="str">
        <f>VLOOKUP(E684,DS!$A$2:$E$4398, 5, 0)</f>
        <v>Dập X5</v>
      </c>
      <c r="M684" s="152"/>
      <c r="N684" s="92" t="e">
        <f>VLOOKUP(Table1[[#This Row],[USER]],[1]!Table145678910111213141545678910111213146[[#All],[No.]:[Delete]],2,0)</f>
        <v>#N/A</v>
      </c>
    </row>
    <row r="685" spans="1:14">
      <c r="A685" s="93">
        <v>677</v>
      </c>
      <c r="B685" s="94">
        <v>16</v>
      </c>
      <c r="C685" s="40" t="s">
        <v>842</v>
      </c>
      <c r="D685" s="40" t="str">
        <f>VLOOKUP(E685,Sheet3!$A$2:$D$6338,2,0)</f>
        <v>Nguyễn Tiến Dũng</v>
      </c>
      <c r="E685" s="44" t="s">
        <v>155</v>
      </c>
      <c r="F685" s="44" t="str">
        <f>"VN"&amp;RIGHT(E685,5)</f>
        <v>VN00279</v>
      </c>
      <c r="G685" s="295"/>
      <c r="H685" s="41" t="s">
        <v>67</v>
      </c>
      <c r="I685" s="97">
        <v>45421</v>
      </c>
      <c r="J685" s="122"/>
      <c r="K685" s="122"/>
      <c r="L685" s="147" t="str">
        <f>VLOOKUP(E685,DS!$A$2:$E$4398, 5, 0)</f>
        <v>Dập X5</v>
      </c>
      <c r="M685" s="148"/>
      <c r="N685" s="92" t="e">
        <f>VLOOKUP(Table1[[#This Row],[USER]],[1]!Table145678910111213141545678910111213146[[#All],[No.]:[Delete]],2,0)</f>
        <v>#N/A</v>
      </c>
    </row>
    <row r="686" spans="1:14">
      <c r="A686" s="93">
        <v>678</v>
      </c>
      <c r="B686" s="94">
        <v>1</v>
      </c>
      <c r="C686" s="40" t="s">
        <v>7961</v>
      </c>
      <c r="D686" s="40" t="str">
        <f>VLOOKUP(E686,Sheet3!$A$2:$D$6338,2,0)</f>
        <v>Nguyễn Thị Tin</v>
      </c>
      <c r="E686" s="44" t="s">
        <v>636</v>
      </c>
      <c r="F686" s="44" t="str">
        <f t="shared" si="15"/>
        <v>VN06994</v>
      </c>
      <c r="G686" s="295"/>
      <c r="H686" s="41" t="s">
        <v>67</v>
      </c>
      <c r="I686" s="95">
        <v>45435</v>
      </c>
      <c r="J686" s="122">
        <v>45806</v>
      </c>
      <c r="K686" s="122">
        <v>45806</v>
      </c>
      <c r="L686" s="147" t="e">
        <f>VLOOKUP(E686,DS!$A$2:$E$4398, 5, 0)</f>
        <v>#N/A</v>
      </c>
      <c r="M686" s="148"/>
      <c r="N686" s="92" t="e">
        <f>VLOOKUP(Table1[[#This Row],[USER]],[1]!Table145678910111213141545678910111213146[[#All],[No.]:[Delete]],2,0)</f>
        <v>#N/A</v>
      </c>
    </row>
    <row r="687" spans="1:14">
      <c r="A687" s="93">
        <v>679</v>
      </c>
      <c r="B687" s="94">
        <v>2</v>
      </c>
      <c r="C687" s="40" t="s">
        <v>7961</v>
      </c>
      <c r="D687" s="40" t="str">
        <f>VLOOKUP(E687,Sheet3!$A$2:$D$6338,2,0)</f>
        <v>Đinh Thị Ngọc</v>
      </c>
      <c r="E687" s="44" t="s">
        <v>637</v>
      </c>
      <c r="F687" s="44" t="str">
        <f t="shared" si="15"/>
        <v>VN13456</v>
      </c>
      <c r="G687" s="295"/>
      <c r="H687" s="41" t="s">
        <v>67</v>
      </c>
      <c r="I687" s="95">
        <v>45435</v>
      </c>
      <c r="J687" s="122"/>
      <c r="K687" s="122"/>
      <c r="L687" s="147" t="str">
        <f>VLOOKUP(E687,DS!$A$2:$E$4398, 5, 0)</f>
        <v>Hàn X5</v>
      </c>
      <c r="M687" s="148"/>
      <c r="N687" s="92" t="e">
        <f>VLOOKUP(Table1[[#This Row],[USER]],[1]!Table145678910111213141545678910111213146[[#All],[No.]:[Delete]],2,0)</f>
        <v>#N/A</v>
      </c>
    </row>
    <row r="688" spans="1:14">
      <c r="A688" s="93">
        <v>680</v>
      </c>
      <c r="B688" s="94">
        <v>3</v>
      </c>
      <c r="C688" s="40" t="s">
        <v>7961</v>
      </c>
      <c r="D688" s="40" t="str">
        <f>VLOOKUP(E688,Sheet3!$A$2:$D$6338,2,0)</f>
        <v>Đồng Thị Mai Hương</v>
      </c>
      <c r="E688" s="44" t="s">
        <v>638</v>
      </c>
      <c r="F688" s="44" t="str">
        <f t="shared" si="15"/>
        <v>VN11580</v>
      </c>
      <c r="G688" s="295"/>
      <c r="H688" s="41" t="s">
        <v>67</v>
      </c>
      <c r="I688" s="95">
        <v>45435</v>
      </c>
      <c r="J688" s="122"/>
      <c r="K688" s="122"/>
      <c r="L688" s="147" t="str">
        <f>VLOOKUP(E688,DS!$A$2:$E$4398, 5, 0)</f>
        <v>Hàn X5</v>
      </c>
      <c r="M688" s="148"/>
      <c r="N688" s="92" t="e">
        <f>VLOOKUP(Table1[[#This Row],[USER]],[1]!Table145678910111213141545678910111213146[[#All],[No.]:[Delete]],2,0)</f>
        <v>#N/A</v>
      </c>
    </row>
    <row r="689" spans="1:14">
      <c r="A689" s="93">
        <v>681</v>
      </c>
      <c r="B689" s="94">
        <v>4</v>
      </c>
      <c r="C689" s="40" t="s">
        <v>7961</v>
      </c>
      <c r="D689" s="40" t="str">
        <f>VLOOKUP(E689,Sheet3!$A$2:$D$6338,2,0)</f>
        <v>Tô Thị Trang</v>
      </c>
      <c r="E689" s="44" t="s">
        <v>639</v>
      </c>
      <c r="F689" s="44" t="str">
        <f t="shared" si="15"/>
        <v>VN16268</v>
      </c>
      <c r="G689" s="295"/>
      <c r="H689" s="41" t="s">
        <v>67</v>
      </c>
      <c r="I689" s="95">
        <v>45435</v>
      </c>
      <c r="J689" s="122"/>
      <c r="K689" s="122"/>
      <c r="L689" s="147" t="str">
        <f>VLOOKUP(E689,DS!$A$2:$E$4398, 5, 0)</f>
        <v>Hàn X5</v>
      </c>
      <c r="M689" s="148"/>
      <c r="N689" s="92" t="e">
        <f>VLOOKUP(Table1[[#This Row],[USER]],[1]!Table145678910111213141545678910111213146[[#All],[No.]:[Delete]],2,0)</f>
        <v>#N/A</v>
      </c>
    </row>
    <row r="690" spans="1:14">
      <c r="A690" s="93">
        <v>682</v>
      </c>
      <c r="B690" s="94">
        <v>5</v>
      </c>
      <c r="C690" s="40" t="s">
        <v>7961</v>
      </c>
      <c r="D690" s="40" t="str">
        <f>VLOOKUP(E690,Sheet3!$A$2:$D$6338,2,0)</f>
        <v>Nguyễn Văn Dũng</v>
      </c>
      <c r="E690" s="44" t="s">
        <v>640</v>
      </c>
      <c r="F690" s="44" t="str">
        <f t="shared" si="15"/>
        <v>VN00462</v>
      </c>
      <c r="G690" s="295"/>
      <c r="H690" s="41" t="s">
        <v>67</v>
      </c>
      <c r="I690" s="95">
        <v>45435</v>
      </c>
      <c r="J690" s="122"/>
      <c r="K690" s="122"/>
      <c r="L690" s="147" t="str">
        <f>VLOOKUP(E690,DS!$A$2:$E$4398, 5, 0)</f>
        <v>Hàn X5</v>
      </c>
      <c r="M690" s="148"/>
      <c r="N690" s="92" t="e">
        <f>VLOOKUP(Table1[[#This Row],[USER]],[1]!Table145678910111213141545678910111213146[[#All],[No.]:[Delete]],2,0)</f>
        <v>#N/A</v>
      </c>
    </row>
    <row r="691" spans="1:14">
      <c r="A691" s="93">
        <v>683</v>
      </c>
      <c r="B691" s="165"/>
      <c r="C691" s="166" t="s">
        <v>882</v>
      </c>
      <c r="D691" s="40" t="str">
        <f>VLOOKUP(E691,Sheet3!$A$2:$D$6338,2,0)</f>
        <v>Nguyễn Hồng Đức</v>
      </c>
      <c r="E691" s="167" t="s">
        <v>8392</v>
      </c>
      <c r="F691" s="167" t="str">
        <f>"VN"&amp;RIGHT(E691,5)</f>
        <v>VN25606</v>
      </c>
      <c r="G691" s="296"/>
      <c r="H691" s="41" t="s">
        <v>67</v>
      </c>
      <c r="I691" s="168">
        <v>45811</v>
      </c>
      <c r="J691" s="169"/>
      <c r="K691" s="169"/>
      <c r="L691" s="147" t="str">
        <f>VLOOKUP(E691,DS!$A$2:$E$4398, 5, 0)</f>
        <v>Hàn X5</v>
      </c>
      <c r="M691" s="170"/>
      <c r="N691" s="92" t="e">
        <f>VLOOKUP(Table1[[#This Row],[USER]],[1]!Table145678910111213141545678910111213146[[#All],[No.]:[Delete]],2,0)</f>
        <v>#N/A</v>
      </c>
    </row>
    <row r="692" spans="1:14">
      <c r="A692" s="93">
        <v>684</v>
      </c>
      <c r="B692" s="94">
        <v>1</v>
      </c>
      <c r="C692" s="40" t="s">
        <v>829</v>
      </c>
      <c r="D692" s="40" t="str">
        <f>VLOOKUP(E692,Sheet3!$A$2:$D$6338,2,0)</f>
        <v>Nguyễn Thị Lan</v>
      </c>
      <c r="E692" s="44" t="s">
        <v>641</v>
      </c>
      <c r="F692" s="44" t="str">
        <f t="shared" si="15"/>
        <v>VN24210</v>
      </c>
      <c r="G692" s="295"/>
      <c r="H692" s="44" t="s">
        <v>642</v>
      </c>
      <c r="I692" s="95">
        <v>45404</v>
      </c>
      <c r="J692" s="122"/>
      <c r="K692" s="122"/>
      <c r="L692" s="147" t="str">
        <f>VLOOKUP(E692,DS!$A$2:$E$4398, 5, 0)</f>
        <v>Văn phòng IS</v>
      </c>
      <c r="M692" s="148"/>
      <c r="N692" s="92" t="e">
        <f>VLOOKUP(Table1[[#This Row],[USER]],[1]!Table145678910111213141545678910111213146[[#All],[No.]:[Delete]],2,0)</f>
        <v>#N/A</v>
      </c>
    </row>
    <row r="693" spans="1:14">
      <c r="A693" s="93">
        <v>685</v>
      </c>
      <c r="B693" s="94">
        <v>2</v>
      </c>
      <c r="C693" s="40" t="s">
        <v>51</v>
      </c>
      <c r="D693" s="40" t="str">
        <f>VLOOKUP(E693,Sheet3!$A$2:$D$6338,2,0)</f>
        <v>Nguyễn Thị Hiền</v>
      </c>
      <c r="E693" s="44" t="s">
        <v>643</v>
      </c>
      <c r="F693" s="44" t="str">
        <f t="shared" si="15"/>
        <v>VN22028</v>
      </c>
      <c r="G693" s="295"/>
      <c r="H693" s="44" t="s">
        <v>642</v>
      </c>
      <c r="I693" s="95">
        <v>45404</v>
      </c>
      <c r="J693" s="122"/>
      <c r="K693" s="122"/>
      <c r="L693" s="147" t="str">
        <f>VLOOKUP(E693,DS!$A$2:$E$4398, 5, 0)</f>
        <v>Máy tính</v>
      </c>
      <c r="M693" s="148"/>
      <c r="N693" s="92" t="e">
        <f>VLOOKUP(Table1[[#This Row],[USER]],[1]!Table145678910111213141545678910111213146[[#All],[No.]:[Delete]],2,0)</f>
        <v>#N/A</v>
      </c>
    </row>
    <row r="694" spans="1:14">
      <c r="A694" s="93">
        <v>686</v>
      </c>
      <c r="B694" s="94">
        <v>3</v>
      </c>
      <c r="C694" s="40" t="s">
        <v>51</v>
      </c>
      <c r="D694" s="40" t="str">
        <f>VLOOKUP(E694,Sheet3!$A$2:$D$6338,2,0)</f>
        <v>Nguyễn Thị Thanh Hải</v>
      </c>
      <c r="E694" s="44" t="s">
        <v>644</v>
      </c>
      <c r="F694" s="44" t="str">
        <f t="shared" si="15"/>
        <v>VN16138</v>
      </c>
      <c r="G694" s="295"/>
      <c r="H694" s="44" t="s">
        <v>642</v>
      </c>
      <c r="I694" s="95">
        <v>45404</v>
      </c>
      <c r="J694" s="122"/>
      <c r="K694" s="122"/>
      <c r="L694" s="147" t="str">
        <f>VLOOKUP(E694,DS!$A$2:$E$4398, 5, 0)</f>
        <v>Máy tính</v>
      </c>
      <c r="M694" s="148"/>
      <c r="N694" s="92" t="e">
        <f>VLOOKUP(Table1[[#This Row],[USER]],[1]!Table145678910111213141545678910111213146[[#All],[No.]:[Delete]],2,0)</f>
        <v>#N/A</v>
      </c>
    </row>
    <row r="695" spans="1:14">
      <c r="A695" s="93">
        <v>687</v>
      </c>
      <c r="B695" s="94">
        <v>4</v>
      </c>
      <c r="C695" s="40" t="s">
        <v>51</v>
      </c>
      <c r="D695" s="40" t="str">
        <f>VLOOKUP(E695,Sheet3!$A$2:$D$6338,2,0)</f>
        <v>Nguyễn Mạnh Hoàn</v>
      </c>
      <c r="E695" s="44" t="s">
        <v>54</v>
      </c>
      <c r="F695" s="44" t="str">
        <f t="shared" si="15"/>
        <v>VN20021</v>
      </c>
      <c r="G695" s="295"/>
      <c r="H695" s="44" t="s">
        <v>642</v>
      </c>
      <c r="I695" s="95">
        <v>45404</v>
      </c>
      <c r="J695" s="122"/>
      <c r="K695" s="122"/>
      <c r="L695" s="147" t="str">
        <f>VLOOKUP(E695,DS!$A$2:$E$4398, 5, 0)</f>
        <v>Máy tính</v>
      </c>
      <c r="M695" s="148"/>
      <c r="N695" s="92" t="e">
        <f>VLOOKUP(Table1[[#This Row],[USER]],[1]!Table145678910111213141545678910111213146[[#All],[No.]:[Delete]],2,0)</f>
        <v>#N/A</v>
      </c>
    </row>
    <row r="696" spans="1:14">
      <c r="A696" s="93">
        <v>688</v>
      </c>
      <c r="B696" s="94">
        <v>5</v>
      </c>
      <c r="C696" s="40" t="s">
        <v>51</v>
      </c>
      <c r="D696" s="40" t="str">
        <f>VLOOKUP(E696,Sheet3!$A$2:$D$6338,2,0)</f>
        <v>Phạm Thế Hưng</v>
      </c>
      <c r="E696" s="44" t="s">
        <v>56</v>
      </c>
      <c r="F696" s="44" t="str">
        <f t="shared" si="15"/>
        <v>VN17655</v>
      </c>
      <c r="G696" s="295"/>
      <c r="H696" s="44" t="s">
        <v>642</v>
      </c>
      <c r="I696" s="95">
        <v>45404</v>
      </c>
      <c r="J696" s="122"/>
      <c r="K696" s="122"/>
      <c r="L696" s="147" t="str">
        <f>VLOOKUP(E696,DS!$A$2:$E$4398, 5, 0)</f>
        <v>Máy tính</v>
      </c>
      <c r="M696" s="148"/>
      <c r="N696" s="92" t="e">
        <f>VLOOKUP(Table1[[#This Row],[USER]],[1]!Table145678910111213141545678910111213146[[#All],[No.]:[Delete]],2,0)</f>
        <v>#N/A</v>
      </c>
    </row>
    <row r="697" spans="1:14">
      <c r="A697" s="93">
        <v>689</v>
      </c>
      <c r="B697" s="94">
        <v>6</v>
      </c>
      <c r="C697" s="40" t="s">
        <v>51</v>
      </c>
      <c r="D697" s="40" t="str">
        <f>VLOOKUP(E697,Sheet3!$A$2:$D$6338,2,0)</f>
        <v>Nguyễn Mạnh Trường</v>
      </c>
      <c r="E697" s="44" t="s">
        <v>53</v>
      </c>
      <c r="F697" s="44" t="str">
        <f t="shared" si="15"/>
        <v>VN23169</v>
      </c>
      <c r="G697" s="295"/>
      <c r="H697" s="44" t="s">
        <v>642</v>
      </c>
      <c r="I697" s="95">
        <v>45404</v>
      </c>
      <c r="J697" s="122">
        <v>45839</v>
      </c>
      <c r="K697" s="122">
        <v>45876</v>
      </c>
      <c r="L697" s="147" t="e">
        <f>VLOOKUP(E697,DS!$A$2:$E$4398, 5, 0)</f>
        <v>#N/A</v>
      </c>
      <c r="M697" s="148"/>
      <c r="N697" s="92" t="e">
        <f>VLOOKUP(Table1[[#This Row],[USER]],[1]!Table145678910111213141545678910111213146[[#All],[No.]:[Delete]],2,0)</f>
        <v>#N/A</v>
      </c>
    </row>
    <row r="698" spans="1:14">
      <c r="A698" s="93">
        <v>690</v>
      </c>
      <c r="B698" s="94">
        <v>7</v>
      </c>
      <c r="C698" s="40" t="s">
        <v>51</v>
      </c>
      <c r="D698" s="40" t="str">
        <f>VLOOKUP(E698,Sheet3!$A$2:$D$6338,2,0)</f>
        <v>Sái Vĩnh Hanh</v>
      </c>
      <c r="E698" s="44" t="s">
        <v>55</v>
      </c>
      <c r="F698" s="44" t="str">
        <f t="shared" si="15"/>
        <v>VN15060</v>
      </c>
      <c r="G698" s="295"/>
      <c r="H698" s="44" t="s">
        <v>642</v>
      </c>
      <c r="I698" s="95">
        <v>45404</v>
      </c>
      <c r="J698" s="122"/>
      <c r="K698" s="122"/>
      <c r="L698" s="147" t="str">
        <f>VLOOKUP(E698,DS!$A$2:$E$4398, 5, 0)</f>
        <v>Máy tính</v>
      </c>
      <c r="M698" s="148"/>
      <c r="N698" s="92" t="e">
        <f>VLOOKUP(Table1[[#This Row],[USER]],[1]!Table145678910111213141545678910111213146[[#All],[No.]:[Delete]],2,0)</f>
        <v>#N/A</v>
      </c>
    </row>
    <row r="699" spans="1:14">
      <c r="A699" s="93">
        <v>691</v>
      </c>
      <c r="B699" s="94">
        <v>8</v>
      </c>
      <c r="C699" s="40" t="s">
        <v>51</v>
      </c>
      <c r="D699" s="40" t="str">
        <f>VLOOKUP(E699,Sheet3!$A$2:$D$6338,2,0)</f>
        <v>Nguyễn Kiên Cương</v>
      </c>
      <c r="E699" s="44" t="s">
        <v>645</v>
      </c>
      <c r="F699" s="44" t="str">
        <f t="shared" si="15"/>
        <v>VN24085</v>
      </c>
      <c r="G699" s="295"/>
      <c r="H699" s="44" t="s">
        <v>642</v>
      </c>
      <c r="I699" s="95">
        <v>45404</v>
      </c>
      <c r="J699" s="122"/>
      <c r="K699" s="122"/>
      <c r="L699" s="147" t="str">
        <f>VLOOKUP(E699,DS!$A$2:$E$4398, 5, 0)</f>
        <v>Máy tính</v>
      </c>
      <c r="M699" s="148"/>
      <c r="N699" s="92" t="e">
        <f>VLOOKUP(Table1[[#This Row],[USER]],[1]!Table145678910111213141545678910111213146[[#All],[No.]:[Delete]],2,0)</f>
        <v>#N/A</v>
      </c>
    </row>
    <row r="700" spans="1:14">
      <c r="A700" s="93">
        <v>692</v>
      </c>
      <c r="B700" s="94">
        <v>9</v>
      </c>
      <c r="C700" s="40" t="s">
        <v>51</v>
      </c>
      <c r="D700" s="40" t="str">
        <f>VLOOKUP(E700,Sheet3!$A$2:$D$6338,2,0)</f>
        <v>Hoàng Diệu Linh</v>
      </c>
      <c r="E700" s="44" t="s">
        <v>648</v>
      </c>
      <c r="F700" s="44" t="str">
        <f t="shared" si="15"/>
        <v>VN24320</v>
      </c>
      <c r="G700" s="295"/>
      <c r="H700" s="44" t="s">
        <v>642</v>
      </c>
      <c r="I700" s="95">
        <v>45404</v>
      </c>
      <c r="J700" s="122"/>
      <c r="K700" s="122"/>
      <c r="L700" s="147" t="str">
        <f>VLOOKUP(E700,DS!$A$2:$E$4398, 5, 0)</f>
        <v>Máy tính</v>
      </c>
      <c r="M700" s="148"/>
      <c r="N700" s="92" t="e">
        <f>VLOOKUP(Table1[[#This Row],[USER]],[1]!Table145678910111213141545678910111213146[[#All],[No.]:[Delete]],2,0)</f>
        <v>#N/A</v>
      </c>
    </row>
    <row r="701" spans="1:14">
      <c r="A701" s="93">
        <v>693</v>
      </c>
      <c r="B701" s="94">
        <v>11</v>
      </c>
      <c r="C701" s="40" t="s">
        <v>51</v>
      </c>
      <c r="D701" s="40" t="e">
        <f>VLOOKUP(E701,Sheet3!$A$2:$D$6338,2,0)</f>
        <v>#N/A</v>
      </c>
      <c r="E701" s="44" t="s">
        <v>649</v>
      </c>
      <c r="F701" s="44" t="s">
        <v>650</v>
      </c>
      <c r="G701" s="295"/>
      <c r="H701" s="41" t="s">
        <v>67</v>
      </c>
      <c r="I701" s="95">
        <v>45404</v>
      </c>
      <c r="J701" s="122"/>
      <c r="K701" s="122"/>
      <c r="L701" s="147" t="e">
        <f>VLOOKUP(E701,DS!$A$2:$E$4398, 5, 0)</f>
        <v>#N/A</v>
      </c>
      <c r="M701" s="148"/>
      <c r="N701" s="92" t="e">
        <f>VLOOKUP(Table1[[#This Row],[USER]],[1]!Table145678910111213141545678910111213146[[#All],[No.]:[Delete]],2,0)</f>
        <v>#N/A</v>
      </c>
    </row>
    <row r="702" spans="1:14">
      <c r="A702" s="93">
        <v>694</v>
      </c>
      <c r="B702" s="94">
        <v>12</v>
      </c>
      <c r="C702" s="40" t="s">
        <v>51</v>
      </c>
      <c r="D702" s="40" t="str">
        <f>VLOOKUP(E702,Sheet3!$A$2:$D$6338,2,0)</f>
        <v>Đàm Đức Hải</v>
      </c>
      <c r="E702" s="44" t="s">
        <v>651</v>
      </c>
      <c r="F702" s="44" t="str">
        <f t="shared" si="15"/>
        <v>VN01959</v>
      </c>
      <c r="G702" s="295"/>
      <c r="H702" s="44" t="s">
        <v>642</v>
      </c>
      <c r="I702" s="95">
        <v>45404</v>
      </c>
      <c r="J702" s="122"/>
      <c r="K702" s="122"/>
      <c r="L702" s="147" t="str">
        <f>VLOOKUP(E702,DS!$A$2:$E$4398, 5, 0)</f>
        <v>Máy tính</v>
      </c>
      <c r="M702" s="148"/>
      <c r="N702" s="92" t="e">
        <f>VLOOKUP(Table1[[#This Row],[USER]],[1]!Table145678910111213141545678910111213146[[#All],[No.]:[Delete]],2,0)</f>
        <v>#N/A</v>
      </c>
    </row>
    <row r="703" spans="1:14">
      <c r="A703" s="93">
        <v>695</v>
      </c>
      <c r="B703" s="94">
        <v>13</v>
      </c>
      <c r="C703" s="40" t="s">
        <v>51</v>
      </c>
      <c r="D703" s="40" t="str">
        <f>VLOOKUP(E703,Sheet3!$A$2:$D$6338,2,0)</f>
        <v>Đỗ Trọng Trân</v>
      </c>
      <c r="E703" s="44" t="s">
        <v>652</v>
      </c>
      <c r="F703" s="44" t="str">
        <f t="shared" si="15"/>
        <v>VN18119</v>
      </c>
      <c r="G703" s="295"/>
      <c r="H703" s="44" t="s">
        <v>642</v>
      </c>
      <c r="I703" s="95">
        <v>45404</v>
      </c>
      <c r="J703" s="122"/>
      <c r="K703" s="122"/>
      <c r="L703" s="147" t="str">
        <f>VLOOKUP(E703,DS!$A$2:$E$4398, 5, 0)</f>
        <v>Máy tính</v>
      </c>
      <c r="M703" s="148"/>
      <c r="N703" s="92" t="e">
        <f>VLOOKUP(Table1[[#This Row],[USER]],[1]!Table145678910111213141545678910111213146[[#All],[No.]:[Delete]],2,0)</f>
        <v>#N/A</v>
      </c>
    </row>
    <row r="704" spans="1:14">
      <c r="A704" s="93">
        <v>696</v>
      </c>
      <c r="B704" s="94">
        <v>14</v>
      </c>
      <c r="C704" s="40" t="s">
        <v>51</v>
      </c>
      <c r="D704" s="40" t="str">
        <f>VLOOKUP(E704,Sheet3!$A$2:$D$6338,2,0)</f>
        <v>Lê Kiên Trung</v>
      </c>
      <c r="E704" s="44" t="s">
        <v>52</v>
      </c>
      <c r="F704" s="44" t="str">
        <f t="shared" ref="F704:F711" si="16">"VN"&amp;RIGHT(E704,5)</f>
        <v>VN18499</v>
      </c>
      <c r="G704" s="295"/>
      <c r="H704" s="41" t="s">
        <v>642</v>
      </c>
      <c r="I704" s="95">
        <v>45404</v>
      </c>
      <c r="J704" s="122"/>
      <c r="K704" s="122"/>
      <c r="L704" s="147" t="str">
        <f>VLOOKUP(E704,DS!$A$2:$E$4398, 5, 0)</f>
        <v>Máy tính</v>
      </c>
      <c r="M704" s="148"/>
      <c r="N704" s="92" t="e">
        <f>VLOOKUP(Table1[[#This Row],[USER]],[1]!Table145678910111213141545678910111213146[[#All],[No.]:[Delete]],2,0)</f>
        <v>#N/A</v>
      </c>
    </row>
    <row r="705" spans="1:14">
      <c r="A705" s="93">
        <v>697</v>
      </c>
      <c r="B705" s="94">
        <v>17</v>
      </c>
      <c r="C705" s="40" t="s">
        <v>51</v>
      </c>
      <c r="D705" s="40" t="str">
        <f>VLOOKUP(E705,Sheet3!$A$2:$D$6338,2,0)</f>
        <v>Lê Chí Duy</v>
      </c>
      <c r="E705" s="44" t="s">
        <v>7981</v>
      </c>
      <c r="F705" s="106" t="str">
        <f>"VN"&amp;RIGHT(E705,5)</f>
        <v>VN25575</v>
      </c>
      <c r="G705" s="299"/>
      <c r="H705" s="41" t="s">
        <v>642</v>
      </c>
      <c r="I705" s="107">
        <v>45708</v>
      </c>
      <c r="J705" s="122"/>
      <c r="K705" s="122"/>
      <c r="L705" s="147" t="str">
        <f>VLOOKUP(E705,DS!$A$2:$E$4398, 5, 0)</f>
        <v>Máy tính</v>
      </c>
      <c r="M705" s="151"/>
      <c r="N705" s="92" t="e">
        <f>VLOOKUP(Table1[[#This Row],[USER]],[1]!Table145678910111213141545678910111213146[[#All],[No.]:[Delete]],2,0)</f>
        <v>#N/A</v>
      </c>
    </row>
    <row r="706" spans="1:14">
      <c r="A706" s="93">
        <v>698</v>
      </c>
      <c r="B706" s="119">
        <v>18</v>
      </c>
      <c r="C706" s="123" t="s">
        <v>51</v>
      </c>
      <c r="D706" s="40" t="str">
        <f>VLOOKUP(E706,Sheet3!$A$2:$D$6338,2,0)</f>
        <v>Bạch Thị Hồng Nga</v>
      </c>
      <c r="E706" s="120" t="s">
        <v>8007</v>
      </c>
      <c r="F706" s="120" t="str">
        <f>"VN"&amp;RIGHT(E706,5)</f>
        <v>VN25758</v>
      </c>
      <c r="G706" s="308"/>
      <c r="H706" s="41" t="s">
        <v>642</v>
      </c>
      <c r="I706" s="121">
        <v>45749</v>
      </c>
      <c r="J706" s="122"/>
      <c r="K706" s="122"/>
      <c r="L706" s="147" t="str">
        <f>VLOOKUP(E706,DS!$A$2:$E$4398, 5, 0)</f>
        <v>Máy tính</v>
      </c>
      <c r="M706" s="155"/>
      <c r="N706" s="92" t="e">
        <f>VLOOKUP(Table1[[#This Row],[USER]],[1]!Table145678910111213141545678910111213146[[#All],[No.]:[Delete]],2,0)</f>
        <v>#N/A</v>
      </c>
    </row>
    <row r="707" spans="1:14">
      <c r="A707" s="93">
        <v>699</v>
      </c>
      <c r="B707" s="172"/>
      <c r="C707" s="173" t="s">
        <v>51</v>
      </c>
      <c r="D707" s="40" t="e">
        <f>VLOOKUP(E707,Sheet3!$A$2:$D$6338,2,0)</f>
        <v>#N/A</v>
      </c>
      <c r="E707" s="163" t="s">
        <v>8399</v>
      </c>
      <c r="F707" s="163" t="str">
        <f>"VN"&amp;RIGHT(E707,5)</f>
        <v>VN26094</v>
      </c>
      <c r="G707" s="295"/>
      <c r="H707" s="41" t="s">
        <v>67</v>
      </c>
      <c r="I707" s="164">
        <v>45831</v>
      </c>
      <c r="J707" s="147">
        <v>45834</v>
      </c>
      <c r="K707" s="147">
        <v>45834</v>
      </c>
      <c r="L707" s="147" t="e">
        <f>VLOOKUP(E707,DS!$A$2:$E$4398, 5, 0)</f>
        <v>#N/A</v>
      </c>
      <c r="M707" s="148"/>
      <c r="N707" s="92" t="e">
        <f>VLOOKUP(Table1[[#This Row],[USER]],[1]!Table145678910111213141545678910111213146[[#All],[No.]:[Delete]],2,0)</f>
        <v>#N/A</v>
      </c>
    </row>
    <row r="708" spans="1:14">
      <c r="A708" s="93">
        <v>700</v>
      </c>
      <c r="B708" s="172"/>
      <c r="C708" s="173" t="s">
        <v>51</v>
      </c>
      <c r="D708" s="40" t="str">
        <f>VLOOKUP(E708,Sheet3!$A$2:$D$6338,2,0)</f>
        <v>Trần Văn Trường</v>
      </c>
      <c r="E708" s="163" t="s">
        <v>8636</v>
      </c>
      <c r="F708" s="163" t="str">
        <f>"VN"&amp;RIGHT(E708,5)</f>
        <v>VN26350</v>
      </c>
      <c r="G708" s="295"/>
      <c r="H708" s="41" t="s">
        <v>67</v>
      </c>
      <c r="I708" s="164">
        <v>45924</v>
      </c>
      <c r="J708" s="147">
        <v>45973</v>
      </c>
      <c r="K708" s="147"/>
      <c r="L708" s="147" t="e">
        <f>VLOOKUP(E708,DS!$A$2:$E$4398, 5, 0)</f>
        <v>#N/A</v>
      </c>
      <c r="M708" s="148"/>
      <c r="N708" s="92" t="e">
        <f>VLOOKUP(Table1[[#This Row],[USER]],[1]!Table145678910111213141545678910111213146[[#All],[No.]:[Delete]],2,0)</f>
        <v>#N/A</v>
      </c>
    </row>
    <row r="709" spans="1:14">
      <c r="A709" s="93">
        <v>701</v>
      </c>
      <c r="B709" s="172"/>
      <c r="C709" s="173" t="s">
        <v>51</v>
      </c>
      <c r="D709" s="40" t="str">
        <f>VLOOKUP(E709,Sheet3!$A$2:$D$6338,2,0)</f>
        <v>Phùng Thị Dung</v>
      </c>
      <c r="E709" s="163" t="s">
        <v>8637</v>
      </c>
      <c r="F709" s="163" t="str">
        <f>"VN"&amp;RIGHT(E709,5)</f>
        <v>VN26315</v>
      </c>
      <c r="G709" s="295"/>
      <c r="H709" s="41" t="s">
        <v>67</v>
      </c>
      <c r="I709" s="164">
        <v>45924</v>
      </c>
      <c r="J709" s="147"/>
      <c r="K709" s="147"/>
      <c r="L709" s="147" t="str">
        <f>VLOOKUP(E709,DS!$A$2:$E$4398, 5, 0)</f>
        <v>Máy tính</v>
      </c>
      <c r="M709" s="148"/>
      <c r="N709" s="92" t="e">
        <f>VLOOKUP(Table1[[#This Row],[USER]],[1]!Table145678910111213141545678910111213146[[#All],[No.]:[Delete]],2,0)</f>
        <v>#N/A</v>
      </c>
    </row>
    <row r="710" spans="1:14">
      <c r="A710" s="93">
        <v>702</v>
      </c>
      <c r="B710" s="94">
        <v>1</v>
      </c>
      <c r="C710" s="40" t="s">
        <v>829</v>
      </c>
      <c r="D710" s="40" t="str">
        <f>VLOOKUP(E710,Sheet3!$A$2:$D$6338,2,0)</f>
        <v>Nguyễn Thị Thơm</v>
      </c>
      <c r="E710" s="44" t="s">
        <v>646</v>
      </c>
      <c r="F710" s="44" t="str">
        <f t="shared" si="16"/>
        <v>VN24112</v>
      </c>
      <c r="G710" s="295"/>
      <c r="H710" s="41" t="s">
        <v>642</v>
      </c>
      <c r="I710" s="95">
        <v>45404</v>
      </c>
      <c r="J710" s="122"/>
      <c r="K710" s="122"/>
      <c r="L710" s="147" t="str">
        <f>VLOOKUP(E710,DS!$A$2:$E$4398, 5, 0)</f>
        <v>Văn phòng IS</v>
      </c>
      <c r="M710" s="148"/>
      <c r="N710" s="92" t="e">
        <f>VLOOKUP(Table1[[#This Row],[USER]],[1]!Table145678910111213141545678910111213146[[#All],[No.]:[Delete]],2,0)</f>
        <v>#N/A</v>
      </c>
    </row>
    <row r="711" spans="1:14">
      <c r="A711" s="93">
        <v>703</v>
      </c>
      <c r="B711" s="94">
        <v>2</v>
      </c>
      <c r="C711" s="40" t="s">
        <v>51</v>
      </c>
      <c r="D711" s="40" t="str">
        <f>VLOOKUP(E711,Sheet3!$A$2:$D$6338,2,0)</f>
        <v>Đặng Thị Thanh Huệ</v>
      </c>
      <c r="E711" s="44" t="s">
        <v>647</v>
      </c>
      <c r="F711" s="44" t="str">
        <f t="shared" si="16"/>
        <v>VN24322</v>
      </c>
      <c r="G711" s="295"/>
      <c r="H711" s="41" t="s">
        <v>642</v>
      </c>
      <c r="I711" s="95">
        <v>45404</v>
      </c>
      <c r="J711" s="122"/>
      <c r="K711" s="122"/>
      <c r="L711" s="147" t="str">
        <f>VLOOKUP(E711,DS!$A$2:$E$4398, 5, 0)</f>
        <v>Máy tính</v>
      </c>
      <c r="M711" s="148"/>
      <c r="N711" s="92" t="e">
        <f>VLOOKUP(Table1[[#This Row],[USER]],[1]!Table145678910111213141545678910111213146[[#All],[No.]:[Delete]],2,0)</f>
        <v>#N/A</v>
      </c>
    </row>
    <row r="712" spans="1:14">
      <c r="A712" s="93">
        <v>704</v>
      </c>
      <c r="B712" s="109">
        <v>3</v>
      </c>
      <c r="C712" s="108" t="s">
        <v>829</v>
      </c>
      <c r="D712" s="40" t="str">
        <f>VLOOKUP(E712,Sheet3!$A$2:$D$6338,2,0)</f>
        <v>Phùng Thị Sen</v>
      </c>
      <c r="E712" s="106" t="s">
        <v>7975</v>
      </c>
      <c r="F712" s="106" t="str">
        <f>"VN"&amp;RIGHT(E712,5)</f>
        <v>VN24918</v>
      </c>
      <c r="G712" s="299"/>
      <c r="H712" s="41" t="s">
        <v>642</v>
      </c>
      <c r="I712" s="107">
        <v>45486</v>
      </c>
      <c r="J712" s="122"/>
      <c r="K712" s="122"/>
      <c r="L712" s="147" t="str">
        <f>VLOOKUP(E712,DS!$A$2:$E$4398, 5, 0)</f>
        <v>Văn phòng IS</v>
      </c>
      <c r="M712" s="151"/>
      <c r="N712" s="92" t="e">
        <f>VLOOKUP(Table1[[#This Row],[USER]],[1]!Table145678910111213141545678910111213146[[#All],[No.]:[Delete]],2,0)</f>
        <v>#N/A</v>
      </c>
    </row>
    <row r="713" spans="1:14">
      <c r="A713" s="93">
        <v>705</v>
      </c>
      <c r="B713" s="94">
        <v>1</v>
      </c>
      <c r="C713" s="42" t="s">
        <v>7962</v>
      </c>
      <c r="D713" s="40" t="str">
        <f>VLOOKUP(E713,Sheet3!$A$2:$D$6338,2,0)</f>
        <v>Trần Trọng Nhân</v>
      </c>
      <c r="E713" s="44" t="s">
        <v>653</v>
      </c>
      <c r="F713" s="44" t="str">
        <f t="shared" si="15"/>
        <v>VN01653</v>
      </c>
      <c r="G713" s="295"/>
      <c r="H713" s="41" t="s">
        <v>67</v>
      </c>
      <c r="I713" s="95">
        <v>45405</v>
      </c>
      <c r="J713" s="122"/>
      <c r="K713" s="122"/>
      <c r="L713" s="147" t="str">
        <f>VLOOKUP(E713,DS!$A$2:$E$4398, 5, 0)</f>
        <v>QLK</v>
      </c>
      <c r="M713" s="148"/>
      <c r="N713" s="92" t="e">
        <f>VLOOKUP(Table1[[#This Row],[USER]],[1]!Table145678910111213141545678910111213146[[#All],[No.]:[Delete]],2,0)</f>
        <v>#N/A</v>
      </c>
    </row>
    <row r="714" spans="1:14">
      <c r="A714" s="93">
        <v>706</v>
      </c>
      <c r="B714" s="94">
        <v>2</v>
      </c>
      <c r="C714" s="42" t="s">
        <v>7962</v>
      </c>
      <c r="D714" s="40" t="str">
        <f>VLOOKUP(E714,Sheet3!$A$2:$D$6338,2,0)</f>
        <v>Hoàng Ngọc Thắng</v>
      </c>
      <c r="E714" s="44" t="s">
        <v>654</v>
      </c>
      <c r="F714" s="44" t="str">
        <f t="shared" si="15"/>
        <v>VN03027</v>
      </c>
      <c r="G714" s="295"/>
      <c r="H714" s="41" t="s">
        <v>67</v>
      </c>
      <c r="I714" s="95">
        <v>45405</v>
      </c>
      <c r="J714" s="122"/>
      <c r="K714" s="122"/>
      <c r="L714" s="147" t="str">
        <f>VLOOKUP(E714,DS!$A$2:$E$4398, 5, 0)</f>
        <v>QLK</v>
      </c>
      <c r="M714" s="148"/>
      <c r="N714" s="92" t="e">
        <f>VLOOKUP(Table1[[#This Row],[USER]],[1]!Table145678910111213141545678910111213146[[#All],[No.]:[Delete]],2,0)</f>
        <v>#N/A</v>
      </c>
    </row>
    <row r="715" spans="1:14">
      <c r="A715" s="93">
        <v>707</v>
      </c>
      <c r="B715" s="94">
        <v>3</v>
      </c>
      <c r="C715" s="42" t="s">
        <v>7962</v>
      </c>
      <c r="D715" s="40" t="str">
        <f>VLOOKUP(E715,Sheet3!$A$2:$D$6338,2,0)</f>
        <v>Vương Thị Cúc</v>
      </c>
      <c r="E715" s="44" t="s">
        <v>655</v>
      </c>
      <c r="F715" s="44" t="str">
        <f t="shared" si="15"/>
        <v>VN02692</v>
      </c>
      <c r="G715" s="295"/>
      <c r="H715" s="41" t="s">
        <v>67</v>
      </c>
      <c r="I715" s="95">
        <v>45405</v>
      </c>
      <c r="J715" s="122"/>
      <c r="K715" s="122"/>
      <c r="L715" s="147" t="str">
        <f>VLOOKUP(E715,DS!$A$2:$E$4398, 5, 0)</f>
        <v>QLK</v>
      </c>
      <c r="M715" s="148"/>
      <c r="N715" s="92" t="e">
        <f>VLOOKUP(Table1[[#This Row],[USER]],[1]!Table145678910111213141545678910111213146[[#All],[No.]:[Delete]],2,0)</f>
        <v>#N/A</v>
      </c>
    </row>
    <row r="716" spans="1:14">
      <c r="A716" s="93">
        <v>708</v>
      </c>
      <c r="B716" s="94">
        <v>3</v>
      </c>
      <c r="C716" s="42" t="s">
        <v>7962</v>
      </c>
      <c r="D716" s="40" t="str">
        <f>VLOOKUP(E716,Sheet3!$A$2:$D$6338,2,0)</f>
        <v>Lưu Văn Tư</v>
      </c>
      <c r="E716" s="214" t="s">
        <v>8654</v>
      </c>
      <c r="F716" s="214" t="str">
        <f>"VN"&amp;RIGHT(E716,5)</f>
        <v>VN02954</v>
      </c>
      <c r="G716" s="303"/>
      <c r="H716" s="41" t="s">
        <v>67</v>
      </c>
      <c r="I716" s="95">
        <v>45405</v>
      </c>
      <c r="J716" s="215"/>
      <c r="K716" s="215"/>
      <c r="L716" s="215" t="str">
        <f>VLOOKUP(E716,DS!$A$2:$E$4398, 5, 0)</f>
        <v>QLK</v>
      </c>
      <c r="M716" s="216"/>
      <c r="N716" s="92" t="e">
        <f>VLOOKUP(Table1[[#This Row],[USER]],[1]!Table145678910111213141545678910111213146[[#All],[No.]:[Delete]],2,0)</f>
        <v>#N/A</v>
      </c>
    </row>
    <row r="717" spans="1:14">
      <c r="A717" s="93">
        <v>709</v>
      </c>
      <c r="B717" s="94">
        <v>4</v>
      </c>
      <c r="C717" s="42" t="s">
        <v>7963</v>
      </c>
      <c r="D717" s="40" t="str">
        <f>VLOOKUP(E717,Sheet3!$A$2:$D$6338,2,0)</f>
        <v>Trần Ngọc Hoàng</v>
      </c>
      <c r="E717" s="44" t="s">
        <v>656</v>
      </c>
      <c r="F717" s="44" t="str">
        <f t="shared" si="15"/>
        <v>VN24206</v>
      </c>
      <c r="G717" s="295"/>
      <c r="H717" s="41" t="s">
        <v>67</v>
      </c>
      <c r="I717" s="95">
        <v>45405</v>
      </c>
      <c r="J717" s="122"/>
      <c r="K717" s="122"/>
      <c r="L717" s="147" t="str">
        <f>VLOOKUP(E717,DS!$A$2:$E$4398, 5, 0)</f>
        <v>QC</v>
      </c>
      <c r="M717" s="148"/>
      <c r="N717" s="92" t="e">
        <f>VLOOKUP(Table1[[#This Row],[USER]],[1]!Table145678910111213141545678910111213146[[#All],[No.]:[Delete]],2,0)</f>
        <v>#N/A</v>
      </c>
    </row>
    <row r="718" spans="1:14">
      <c r="A718" s="93">
        <v>710</v>
      </c>
      <c r="B718" s="94">
        <v>5</v>
      </c>
      <c r="C718" s="42" t="s">
        <v>7962</v>
      </c>
      <c r="D718" s="40" t="str">
        <f>VLOOKUP(E718,Sheet3!$A$2:$D$6338,2,0)</f>
        <v>Đại Tiến Quân</v>
      </c>
      <c r="E718" s="44" t="s">
        <v>657</v>
      </c>
      <c r="F718" s="44" t="str">
        <f t="shared" si="15"/>
        <v>VN17175</v>
      </c>
      <c r="G718" s="295"/>
      <c r="H718" s="41" t="s">
        <v>67</v>
      </c>
      <c r="I718" s="95">
        <v>45405</v>
      </c>
      <c r="J718" s="122"/>
      <c r="K718" s="122"/>
      <c r="L718" s="147" t="str">
        <f>VLOOKUP(E718,DS!$A$2:$E$4398, 5, 0)</f>
        <v>QLK</v>
      </c>
      <c r="M718" s="148"/>
      <c r="N718" s="92" t="e">
        <f>VLOOKUP(Table1[[#This Row],[USER]],[1]!Table145678910111213141545678910111213146[[#All],[No.]:[Delete]],2,0)</f>
        <v>#N/A</v>
      </c>
    </row>
    <row r="719" spans="1:14">
      <c r="A719" s="93">
        <v>711</v>
      </c>
      <c r="B719" s="94">
        <v>1</v>
      </c>
      <c r="C719" s="42" t="s">
        <v>858</v>
      </c>
      <c r="D719" s="40" t="str">
        <f>VLOOKUP(E719,Sheet3!$A$2:$D$6338,2,0)</f>
        <v>Nguyễn Hồng Quân</v>
      </c>
      <c r="E719" s="44" t="s">
        <v>658</v>
      </c>
      <c r="F719" s="44" t="str">
        <f t="shared" si="15"/>
        <v>VN00952</v>
      </c>
      <c r="G719" s="295"/>
      <c r="H719" s="41" t="s">
        <v>67</v>
      </c>
      <c r="I719" s="95">
        <v>45405</v>
      </c>
      <c r="J719" s="122"/>
      <c r="K719" s="122"/>
      <c r="L719" s="147" t="str">
        <f>VLOOKUP(E719,DS!$A$2:$E$4398, 5, 0)</f>
        <v>QC</v>
      </c>
      <c r="M719" s="148"/>
      <c r="N719" s="92" t="e">
        <f>VLOOKUP(Table1[[#This Row],[USER]],[1]!Table145678910111213141545678910111213146[[#All],[No.]:[Delete]],2,0)</f>
        <v>#N/A</v>
      </c>
    </row>
    <row r="720" spans="1:14">
      <c r="A720" s="93">
        <v>712</v>
      </c>
      <c r="B720" s="94">
        <v>2</v>
      </c>
      <c r="C720" s="42" t="s">
        <v>7963</v>
      </c>
      <c r="D720" s="40" t="str">
        <f>VLOOKUP(E720,Sheet3!$A$2:$D$6338,2,0)</f>
        <v>Trần Thị Linh</v>
      </c>
      <c r="E720" s="44" t="s">
        <v>659</v>
      </c>
      <c r="F720" s="44" t="str">
        <f t="shared" si="15"/>
        <v>VN09482</v>
      </c>
      <c r="G720" s="295"/>
      <c r="H720" s="41" t="s">
        <v>67</v>
      </c>
      <c r="I720" s="95">
        <v>45405</v>
      </c>
      <c r="J720" s="122"/>
      <c r="K720" s="122"/>
      <c r="L720" s="147" t="str">
        <f>VLOOKUP(E720,DS!$A$2:$E$4398, 5, 0)</f>
        <v>QC</v>
      </c>
      <c r="M720" s="148"/>
      <c r="N720" s="92" t="e">
        <f>VLOOKUP(Table1[[#This Row],[USER]],[1]!Table145678910111213141545678910111213146[[#All],[No.]:[Delete]],2,0)</f>
        <v>#N/A</v>
      </c>
    </row>
    <row r="721" spans="1:14">
      <c r="A721" s="93">
        <v>713</v>
      </c>
      <c r="B721" s="94">
        <v>3</v>
      </c>
      <c r="C721" s="42" t="s">
        <v>858</v>
      </c>
      <c r="D721" s="40" t="str">
        <f>VLOOKUP(E721,Sheet3!$A$2:$D$6338,2,0)</f>
        <v>Nguyễn Văn Tuấn</v>
      </c>
      <c r="E721" s="44" t="s">
        <v>660</v>
      </c>
      <c r="F721" s="44" t="str">
        <f t="shared" si="15"/>
        <v>VN19164</v>
      </c>
      <c r="G721" s="295"/>
      <c r="H721" s="41" t="s">
        <v>67</v>
      </c>
      <c r="I721" s="95">
        <v>45405</v>
      </c>
      <c r="J721" s="122"/>
      <c r="K721" s="122"/>
      <c r="L721" s="147" t="str">
        <f>VLOOKUP(E721,DS!$A$2:$E$4398, 5, 0)</f>
        <v>QC</v>
      </c>
      <c r="M721" s="148"/>
      <c r="N721" s="92" t="e">
        <f>VLOOKUP(Table1[[#This Row],[USER]],[1]!Table145678910111213141545678910111213146[[#All],[No.]:[Delete]],2,0)</f>
        <v>#N/A</v>
      </c>
    </row>
    <row r="722" spans="1:14">
      <c r="A722" s="93">
        <v>714</v>
      </c>
      <c r="B722" s="94">
        <v>4</v>
      </c>
      <c r="C722" s="131" t="s">
        <v>861</v>
      </c>
      <c r="D722" s="40" t="str">
        <f>VLOOKUP(E722,Sheet3!$A$2:$D$6338,2,0)</f>
        <v>Đặng Văn Bách</v>
      </c>
      <c r="E722" s="128" t="s">
        <v>8013</v>
      </c>
      <c r="F722" s="128" t="str">
        <f>"VN"&amp;RIGHT(E722,5)</f>
        <v>VN11457</v>
      </c>
      <c r="G722" s="302"/>
      <c r="H722" s="41" t="s">
        <v>67</v>
      </c>
      <c r="I722" s="129">
        <v>45756</v>
      </c>
      <c r="J722" s="130"/>
      <c r="K722" s="130"/>
      <c r="L722" s="147" t="str">
        <f>VLOOKUP(E722,DS!$A$2:$E$4398, 5, 0)</f>
        <v>QC</v>
      </c>
      <c r="M722" s="152"/>
      <c r="N722" s="92" t="e">
        <f>VLOOKUP(Table1[[#This Row],[USER]],[1]!Table145678910111213141545678910111213146[[#All],[No.]:[Delete]],2,0)</f>
        <v>#N/A</v>
      </c>
    </row>
    <row r="723" spans="1:14">
      <c r="A723" s="93">
        <v>715</v>
      </c>
      <c r="B723" s="94">
        <v>5</v>
      </c>
      <c r="C723" s="42" t="s">
        <v>7963</v>
      </c>
      <c r="D723" s="40" t="str">
        <f>VLOOKUP(E723,Sheet3!$A$2:$D$6338,2,0)</f>
        <v>Nguyễn Văn Cường</v>
      </c>
      <c r="E723" s="44" t="s">
        <v>661</v>
      </c>
      <c r="F723" s="44" t="str">
        <f t="shared" si="15"/>
        <v>VN00235</v>
      </c>
      <c r="G723" s="295"/>
      <c r="H723" s="41" t="s">
        <v>67</v>
      </c>
      <c r="I723" s="95">
        <v>45405</v>
      </c>
      <c r="J723" s="122"/>
      <c r="K723" s="122"/>
      <c r="L723" s="147" t="str">
        <f>VLOOKUP(E723,DS!$A$2:$E$4398, 5, 0)</f>
        <v>QC</v>
      </c>
      <c r="M723" s="148"/>
      <c r="N723" s="92" t="e">
        <f>VLOOKUP(Table1[[#This Row],[USER]],[1]!Table145678910111213141545678910111213146[[#All],[No.]:[Delete]],2,0)</f>
        <v>#N/A</v>
      </c>
    </row>
    <row r="724" spans="1:14">
      <c r="A724" s="93">
        <v>716</v>
      </c>
      <c r="B724" s="94">
        <v>1</v>
      </c>
      <c r="C724" s="43" t="s">
        <v>7964</v>
      </c>
      <c r="D724" s="40" t="e">
        <f>VLOOKUP(E724,Sheet3!$A$2:$D$6338,2,0)</f>
        <v>#N/A</v>
      </c>
      <c r="E724" s="44" t="s">
        <v>662</v>
      </c>
      <c r="F724" s="44" t="s">
        <v>663</v>
      </c>
      <c r="G724" s="295"/>
      <c r="H724" s="41" t="s">
        <v>67</v>
      </c>
      <c r="I724" s="95">
        <v>45399</v>
      </c>
      <c r="J724" s="122"/>
      <c r="K724" s="122"/>
      <c r="L724" s="147" t="e">
        <f>VLOOKUP(E724,DS!$A$2:$E$4398, 5, 0)</f>
        <v>#N/A</v>
      </c>
      <c r="M724" s="148"/>
      <c r="N724" s="92" t="e">
        <f>VLOOKUP(Table1[[#This Row],[USER]],[1]!Table145678910111213141545678910111213146[[#All],[No.]:[Delete]],2,0)</f>
        <v>#N/A</v>
      </c>
    </row>
    <row r="725" spans="1:14" ht="18" customHeight="1">
      <c r="A725" s="93">
        <v>717</v>
      </c>
      <c r="B725" s="94">
        <v>3</v>
      </c>
      <c r="C725" s="43" t="s">
        <v>7964</v>
      </c>
      <c r="D725" s="40" t="str">
        <f>VLOOKUP(E725,Sheet3!$A$2:$D$6338,2,0)</f>
        <v>Nguyễn Thị Thanh Thảo</v>
      </c>
      <c r="E725" s="44" t="s">
        <v>664</v>
      </c>
      <c r="F725" s="44" t="str">
        <f t="shared" si="15"/>
        <v>VN18660</v>
      </c>
      <c r="G725" s="295"/>
      <c r="H725" s="41" t="s">
        <v>67</v>
      </c>
      <c r="I725" s="95">
        <v>45399</v>
      </c>
      <c r="J725" s="122">
        <v>45481</v>
      </c>
      <c r="K725" s="122">
        <v>45481</v>
      </c>
      <c r="L725" s="147" t="e">
        <f>VLOOKUP(E725,DS!$A$2:$E$4398, 5, 0)</f>
        <v>#N/A</v>
      </c>
      <c r="M725" s="148"/>
      <c r="N725" s="92" t="e">
        <f>VLOOKUP(Table1[[#This Row],[USER]],[1]!Table145678910111213141545678910111213146[[#All],[No.]:[Delete]],2,0)</f>
        <v>#N/A</v>
      </c>
    </row>
    <row r="726" spans="1:14">
      <c r="A726" s="93">
        <v>718</v>
      </c>
      <c r="B726" s="94">
        <v>4</v>
      </c>
      <c r="C726" s="43" t="s">
        <v>7964</v>
      </c>
      <c r="D726" s="40" t="str">
        <f>VLOOKUP(E726,Sheet3!$A$2:$D$6338,2,0)</f>
        <v>Hoàng Thị Mơ</v>
      </c>
      <c r="E726" s="44" t="s">
        <v>665</v>
      </c>
      <c r="F726" s="44" t="str">
        <f t="shared" si="15"/>
        <v>VN20599</v>
      </c>
      <c r="G726" s="295"/>
      <c r="H726" s="41" t="s">
        <v>67</v>
      </c>
      <c r="I726" s="95">
        <v>45399</v>
      </c>
      <c r="J726" s="122"/>
      <c r="K726" s="122"/>
      <c r="L726" s="147" t="str">
        <f>VLOOKUP(E726,DS!$A$2:$E$4398, 5, 0)</f>
        <v>Dập X6</v>
      </c>
      <c r="M726" s="148"/>
      <c r="N726" s="92" t="e">
        <f>VLOOKUP(Table1[[#This Row],[USER]],[1]!Table145678910111213141545678910111213146[[#All],[No.]:[Delete]],2,0)</f>
        <v>#N/A</v>
      </c>
    </row>
    <row r="727" spans="1:14">
      <c r="A727" s="93">
        <v>719</v>
      </c>
      <c r="B727" s="94">
        <v>5</v>
      </c>
      <c r="C727" s="43" t="s">
        <v>7964</v>
      </c>
      <c r="D727" s="40" t="str">
        <f>VLOOKUP(E727,Sheet3!$A$2:$D$6338,2,0)</f>
        <v>Bùi Thị Bình</v>
      </c>
      <c r="E727" s="44" t="s">
        <v>666</v>
      </c>
      <c r="F727" s="44" t="str">
        <f t="shared" si="15"/>
        <v>VN24508</v>
      </c>
      <c r="G727" s="295"/>
      <c r="H727" s="41" t="s">
        <v>67</v>
      </c>
      <c r="I727" s="95">
        <v>45399</v>
      </c>
      <c r="J727" s="122">
        <v>45792</v>
      </c>
      <c r="K727" s="122">
        <v>45792</v>
      </c>
      <c r="L727" s="147" t="e">
        <f>VLOOKUP(E727,DS!$A$2:$E$4398, 5, 0)</f>
        <v>#N/A</v>
      </c>
      <c r="M727" s="148"/>
      <c r="N727" s="92" t="e">
        <f>VLOOKUP(Table1[[#This Row],[USER]],[1]!Table145678910111213141545678910111213146[[#All],[No.]:[Delete]],2,0)</f>
        <v>#N/A</v>
      </c>
    </row>
    <row r="728" spans="1:14">
      <c r="A728" s="93">
        <v>720</v>
      </c>
      <c r="B728" s="94">
        <v>6</v>
      </c>
      <c r="C728" s="43" t="s">
        <v>7964</v>
      </c>
      <c r="D728" s="40" t="str">
        <f>VLOOKUP(E728,Sheet3!$A$2:$D$6338,2,0)</f>
        <v>Nguyễn Thị Hiền</v>
      </c>
      <c r="E728" s="44" t="s">
        <v>667</v>
      </c>
      <c r="F728" s="44" t="str">
        <f t="shared" si="15"/>
        <v>VN21313</v>
      </c>
      <c r="G728" s="295"/>
      <c r="H728" s="41" t="s">
        <v>67</v>
      </c>
      <c r="I728" s="95">
        <v>45399</v>
      </c>
      <c r="J728" s="122"/>
      <c r="K728" s="122"/>
      <c r="L728" s="147" t="str">
        <f>VLOOKUP(E728,DS!$A$2:$E$4398, 5, 0)</f>
        <v>Dập X6</v>
      </c>
      <c r="M728" s="148"/>
      <c r="N728" s="92" t="e">
        <f>VLOOKUP(Table1[[#This Row],[USER]],[1]!Table145678910111213141545678910111213146[[#All],[No.]:[Delete]],2,0)</f>
        <v>#N/A</v>
      </c>
    </row>
    <row r="729" spans="1:14">
      <c r="A729" s="93">
        <v>721</v>
      </c>
      <c r="B729" s="94">
        <v>7</v>
      </c>
      <c r="C729" s="43" t="s">
        <v>7964</v>
      </c>
      <c r="D729" s="40" t="str">
        <f>VLOOKUP(E729,Sheet3!$A$2:$D$6338,2,0)</f>
        <v>Trần Thị Duyên</v>
      </c>
      <c r="E729" s="44" t="s">
        <v>668</v>
      </c>
      <c r="F729" s="44" t="str">
        <f t="shared" si="15"/>
        <v>VN21137</v>
      </c>
      <c r="G729" s="295"/>
      <c r="H729" s="41" t="s">
        <v>67</v>
      </c>
      <c r="I729" s="95">
        <v>45399</v>
      </c>
      <c r="J729" s="122"/>
      <c r="K729" s="122"/>
      <c r="L729" s="147" t="str">
        <f>VLOOKUP(E729,DS!$A$2:$E$4398, 5, 0)</f>
        <v>Cắt X6</v>
      </c>
      <c r="M729" s="148"/>
      <c r="N729" s="92" t="e">
        <f>VLOOKUP(Table1[[#This Row],[USER]],[1]!Table145678910111213141545678910111213146[[#All],[No.]:[Delete]],2,0)</f>
        <v>#N/A</v>
      </c>
    </row>
    <row r="730" spans="1:14">
      <c r="A730" s="93">
        <v>722</v>
      </c>
      <c r="B730" s="94">
        <v>8</v>
      </c>
      <c r="C730" s="43" t="s">
        <v>7964</v>
      </c>
      <c r="D730" s="40" t="str">
        <f>VLOOKUP(E730,Sheet3!$A$2:$D$6338,2,0)</f>
        <v>Phan Thị Vân</v>
      </c>
      <c r="E730" s="44" t="s">
        <v>669</v>
      </c>
      <c r="F730" s="44" t="str">
        <f t="shared" si="15"/>
        <v>VN21314</v>
      </c>
      <c r="G730" s="295"/>
      <c r="H730" s="41" t="s">
        <v>67</v>
      </c>
      <c r="I730" s="95">
        <v>45399</v>
      </c>
      <c r="J730" s="122"/>
      <c r="K730" s="122"/>
      <c r="L730" s="147" t="str">
        <f>VLOOKUP(E730,DS!$A$2:$E$4398, 5, 0)</f>
        <v>Dập X6</v>
      </c>
      <c r="M730" s="148"/>
      <c r="N730" s="92" t="e">
        <f>VLOOKUP(Table1[[#This Row],[USER]],[1]!Table145678910111213141545678910111213146[[#All],[No.]:[Delete]],2,0)</f>
        <v>#N/A</v>
      </c>
    </row>
    <row r="731" spans="1:14">
      <c r="A731" s="93">
        <v>723</v>
      </c>
      <c r="B731" s="94">
        <v>9</v>
      </c>
      <c r="C731" s="43" t="s">
        <v>7964</v>
      </c>
      <c r="D731" s="40" t="str">
        <f>VLOOKUP(E731,Sheet3!$A$2:$D$6338,2,0)</f>
        <v>Đường Thị Hoà</v>
      </c>
      <c r="E731" s="44" t="s">
        <v>670</v>
      </c>
      <c r="F731" s="44" t="str">
        <f t="shared" si="15"/>
        <v>VN01909</v>
      </c>
      <c r="G731" s="295"/>
      <c r="H731" s="41" t="s">
        <v>67</v>
      </c>
      <c r="I731" s="95">
        <v>45399</v>
      </c>
      <c r="J731" s="122"/>
      <c r="K731" s="122"/>
      <c r="L731" s="147" t="str">
        <f>VLOOKUP(E731,DS!$A$2:$E$4398, 5, 0)</f>
        <v>Cắt X6</v>
      </c>
      <c r="M731" s="148"/>
      <c r="N731" s="92" t="e">
        <f>VLOOKUP(Table1[[#This Row],[USER]],[1]!Table145678910111213141545678910111213146[[#All],[No.]:[Delete]],2,0)</f>
        <v>#N/A</v>
      </c>
    </row>
    <row r="732" spans="1:14">
      <c r="A732" s="93">
        <v>724</v>
      </c>
      <c r="B732" s="94">
        <v>10</v>
      </c>
      <c r="C732" s="43" t="s">
        <v>7964</v>
      </c>
      <c r="D732" s="40" t="str">
        <f>VLOOKUP(E732,Sheet3!$A$2:$D$6338,2,0)</f>
        <v>Nguyễn Văn Tâm</v>
      </c>
      <c r="E732" s="44" t="s">
        <v>671</v>
      </c>
      <c r="F732" s="44" t="str">
        <f t="shared" si="15"/>
        <v>VN03282</v>
      </c>
      <c r="G732" s="295"/>
      <c r="H732" s="41" t="s">
        <v>67</v>
      </c>
      <c r="I732" s="95">
        <v>45399</v>
      </c>
      <c r="J732" s="122"/>
      <c r="K732" s="122"/>
      <c r="L732" s="147" t="str">
        <f>VLOOKUP(E732,DS!$A$2:$E$4398, 5, 0)</f>
        <v>Dập X6</v>
      </c>
      <c r="M732" s="148"/>
      <c r="N732" s="92" t="e">
        <f>VLOOKUP(Table1[[#This Row],[USER]],[1]!Table145678910111213141545678910111213146[[#All],[No.]:[Delete]],2,0)</f>
        <v>#N/A</v>
      </c>
    </row>
    <row r="733" spans="1:14">
      <c r="A733" s="93">
        <v>725</v>
      </c>
      <c r="B733" s="94">
        <v>11</v>
      </c>
      <c r="C733" s="43" t="s">
        <v>7964</v>
      </c>
      <c r="D733" s="40" t="str">
        <f>VLOOKUP(E733,Sheet3!$A$2:$D$6338,2,0)</f>
        <v>Nguyễn Văn Thìn</v>
      </c>
      <c r="E733" s="44" t="s">
        <v>813</v>
      </c>
      <c r="F733" s="44" t="str">
        <f>"VN"&amp;RIGHT(E733,5)</f>
        <v>VN09874</v>
      </c>
      <c r="G733" s="295"/>
      <c r="H733" s="41" t="s">
        <v>67</v>
      </c>
      <c r="I733" s="95">
        <v>45456</v>
      </c>
      <c r="J733" s="122"/>
      <c r="K733" s="122"/>
      <c r="L733" s="147" t="str">
        <f>VLOOKUP(E733,DS!$A$2:$E$4398, 5, 0)</f>
        <v>Cắt X6</v>
      </c>
      <c r="M733" s="148"/>
      <c r="N733" s="92" t="e">
        <f>VLOOKUP(Table1[[#This Row],[USER]],[1]!Table145678910111213141545678910111213146[[#All],[No.]:[Delete]],2,0)</f>
        <v>#N/A</v>
      </c>
    </row>
    <row r="734" spans="1:14">
      <c r="A734" s="93">
        <v>726</v>
      </c>
      <c r="B734" s="94">
        <v>12</v>
      </c>
      <c r="C734" s="43" t="s">
        <v>7964</v>
      </c>
      <c r="D734" s="40" t="str">
        <f>VLOOKUP(E734,Sheet3!$A$2:$D$6338,2,0)</f>
        <v>Đỗ Văn Tuấn</v>
      </c>
      <c r="E734" s="44" t="s">
        <v>830</v>
      </c>
      <c r="F734" s="44" t="str">
        <f t="shared" si="15"/>
        <v>VN19951</v>
      </c>
      <c r="G734" s="295"/>
      <c r="H734" s="41" t="s">
        <v>67</v>
      </c>
      <c r="I734" s="95">
        <v>45399</v>
      </c>
      <c r="J734" s="122">
        <v>45950</v>
      </c>
      <c r="K734" s="122"/>
      <c r="L734" s="147" t="str">
        <f>VLOOKUP(E734,DS!$A$2:$E$4398, 5, 0)</f>
        <v>Cắt X6</v>
      </c>
      <c r="M734" s="148"/>
      <c r="N734" s="92" t="e">
        <f>VLOOKUP(Table1[[#This Row],[USER]],[1]!Table145678910111213141545678910111213146[[#All],[No.]:[Delete]],2,0)</f>
        <v>#N/A</v>
      </c>
    </row>
    <row r="735" spans="1:14">
      <c r="A735" s="93">
        <v>727</v>
      </c>
      <c r="B735" s="94">
        <v>13</v>
      </c>
      <c r="C735" s="43" t="s">
        <v>7964</v>
      </c>
      <c r="D735" s="40" t="str">
        <f>VLOOKUP(E735,Sheet3!$A$2:$D$6338,2,0)</f>
        <v>Trần Văn Đức</v>
      </c>
      <c r="E735" s="44" t="s">
        <v>831</v>
      </c>
      <c r="F735" s="44" t="str">
        <f>"VN"&amp;RIGHT(E735,5)</f>
        <v>VN20612</v>
      </c>
      <c r="G735" s="295"/>
      <c r="H735" s="41" t="s">
        <v>67</v>
      </c>
      <c r="I735" s="95">
        <v>45399</v>
      </c>
      <c r="J735" s="122"/>
      <c r="K735" s="122"/>
      <c r="L735" s="147" t="str">
        <f>VLOOKUP(E735,DS!$A$2:$E$4398, 5, 0)</f>
        <v>Cắt X6</v>
      </c>
      <c r="M735" s="148"/>
      <c r="N735" s="92" t="e">
        <f>VLOOKUP(Table1[[#This Row],[USER]],[1]!Table145678910111213141545678910111213146[[#All],[No.]:[Delete]],2,0)</f>
        <v>#N/A</v>
      </c>
    </row>
    <row r="736" spans="1:14">
      <c r="A736" s="93">
        <v>728</v>
      </c>
      <c r="B736" s="94">
        <v>14</v>
      </c>
      <c r="C736" s="43" t="s">
        <v>7964</v>
      </c>
      <c r="D736" s="40" t="str">
        <f>VLOOKUP(E736,Sheet3!$A$2:$D$6338,2,0)</f>
        <v>Đoàn Văn Hiền</v>
      </c>
      <c r="E736" s="44" t="s">
        <v>7817</v>
      </c>
      <c r="F736" s="44" t="str">
        <f>"VN"&amp;RIGHT(E736,5)</f>
        <v>VN00431</v>
      </c>
      <c r="G736" s="295"/>
      <c r="H736" s="41" t="s">
        <v>67</v>
      </c>
      <c r="I736" s="95">
        <v>45561</v>
      </c>
      <c r="J736" s="122"/>
      <c r="K736" s="122"/>
      <c r="L736" s="147" t="str">
        <f>VLOOKUP(E736,DS!$A$2:$E$4398, 5, 0)</f>
        <v>Dập X6</v>
      </c>
      <c r="M736" s="148"/>
      <c r="N736" s="92" t="e">
        <f>VLOOKUP(Table1[[#This Row],[USER]],[1]!Table145678910111213141545678910111213146[[#All],[No.]:[Delete]],2,0)</f>
        <v>#N/A</v>
      </c>
    </row>
    <row r="737" spans="1:14">
      <c r="A737" s="93">
        <v>729</v>
      </c>
      <c r="B737" s="94">
        <v>15</v>
      </c>
      <c r="C737" s="43" t="s">
        <v>7964</v>
      </c>
      <c r="D737" s="40" t="str">
        <f>VLOOKUP(E737,Sheet3!$A$2:$D$6338,2,0)</f>
        <v>Ngô Thị Kim Dung</v>
      </c>
      <c r="E737" s="44" t="s">
        <v>7980</v>
      </c>
      <c r="F737" s="44" t="str">
        <f>"VN"&amp;RIGHT(E737,5)</f>
        <v>VN24002</v>
      </c>
      <c r="G737" s="295"/>
      <c r="H737" s="41" t="s">
        <v>67</v>
      </c>
      <c r="I737" s="95">
        <v>45665</v>
      </c>
      <c r="J737" s="122"/>
      <c r="K737" s="122"/>
      <c r="L737" s="147" t="str">
        <f>VLOOKUP(E737,DS!$A$2:$E$4398, 5, 0)</f>
        <v>Dập X6</v>
      </c>
      <c r="M737" s="148"/>
      <c r="N737" s="92" t="e">
        <f>VLOOKUP(Table1[[#This Row],[USER]],[1]!Table145678910111213141545678910111213146[[#All],[No.]:[Delete]],2,0)</f>
        <v>#N/A</v>
      </c>
    </row>
    <row r="738" spans="1:14">
      <c r="A738" s="93">
        <v>730</v>
      </c>
      <c r="B738" s="189"/>
      <c r="C738" s="196" t="s">
        <v>843</v>
      </c>
      <c r="D738" s="40" t="str">
        <f>VLOOKUP(E738,Sheet3!$A$2:$D$6338,2,0)</f>
        <v>Nguyễn Thị Kim Phượng</v>
      </c>
      <c r="E738" s="191" t="s">
        <v>8538</v>
      </c>
      <c r="F738" s="191" t="str">
        <f>"VN"&amp;RIGHT(E738,5)</f>
        <v>VN26166</v>
      </c>
      <c r="G738" s="301"/>
      <c r="H738" s="41" t="s">
        <v>67</v>
      </c>
      <c r="I738" s="192">
        <v>45887</v>
      </c>
      <c r="J738" s="193"/>
      <c r="K738" s="193"/>
      <c r="L738" s="193" t="str">
        <f>VLOOKUP(E738,DS!$A$2:$E$4398, 5, 0)</f>
        <v>Dập X6</v>
      </c>
      <c r="M738" s="194"/>
      <c r="N738" s="92" t="e">
        <f>VLOOKUP(Table1[[#This Row],[USER]],[1]!Table145678910111213141545678910111213146[[#All],[No.]:[Delete]],2,0)</f>
        <v>#N/A</v>
      </c>
    </row>
    <row r="739" spans="1:14">
      <c r="A739" s="93">
        <v>731</v>
      </c>
      <c r="B739" s="94">
        <v>1</v>
      </c>
      <c r="C739" s="43" t="s">
        <v>7965</v>
      </c>
      <c r="D739" s="40" t="str">
        <f>VLOOKUP(E739,Sheet3!$A$2:$D$6338,2,0)</f>
        <v>Nguyễn Thị Nga</v>
      </c>
      <c r="E739" s="44" t="s">
        <v>673</v>
      </c>
      <c r="F739" s="44" t="str">
        <f t="shared" si="15"/>
        <v>VN12804</v>
      </c>
      <c r="G739" s="295"/>
      <c r="H739" s="41" t="s">
        <v>67</v>
      </c>
      <c r="I739" s="95">
        <v>45402</v>
      </c>
      <c r="J739" s="122"/>
      <c r="K739" s="122"/>
      <c r="L739" s="147" t="str">
        <f>VLOOKUP(E739,DS!$A$2:$E$4398, 5, 0)</f>
        <v>Hàn X6</v>
      </c>
      <c r="M739" s="148"/>
      <c r="N739" s="92" t="e">
        <f>VLOOKUP(Table1[[#This Row],[USER]],[1]!Table145678910111213141545678910111213146[[#All],[No.]:[Delete]],2,0)</f>
        <v>#N/A</v>
      </c>
    </row>
    <row r="740" spans="1:14">
      <c r="A740" s="93">
        <v>732</v>
      </c>
      <c r="B740" s="94">
        <v>2</v>
      </c>
      <c r="C740" s="43" t="s">
        <v>7965</v>
      </c>
      <c r="D740" s="40" t="str">
        <f>VLOOKUP(E740,Sheet3!$A$2:$D$6338,2,0)</f>
        <v>Dương Xuân Trường</v>
      </c>
      <c r="E740" s="44" t="s">
        <v>674</v>
      </c>
      <c r="F740" s="44" t="str">
        <f t="shared" si="15"/>
        <v>VN10109</v>
      </c>
      <c r="G740" s="295"/>
      <c r="H740" s="41" t="s">
        <v>67</v>
      </c>
      <c r="I740" s="95">
        <v>45402</v>
      </c>
      <c r="J740" s="122"/>
      <c r="K740" s="122"/>
      <c r="L740" s="147" t="str">
        <f>VLOOKUP(E740,DS!$A$2:$E$4398, 5, 0)</f>
        <v>Hàn X6</v>
      </c>
      <c r="M740" s="148"/>
      <c r="N740" s="92" t="e">
        <f>VLOOKUP(Table1[[#This Row],[USER]],[1]!Table145678910111213141545678910111213146[[#All],[No.]:[Delete]],2,0)</f>
        <v>#N/A</v>
      </c>
    </row>
    <row r="741" spans="1:14">
      <c r="A741" s="93">
        <v>733</v>
      </c>
      <c r="B741" s="94">
        <v>3</v>
      </c>
      <c r="C741" s="43" t="s">
        <v>7965</v>
      </c>
      <c r="D741" s="40" t="str">
        <f>VLOOKUP(E741,Sheet3!$A$2:$D$6338,2,0)</f>
        <v>Đào Duy Đức</v>
      </c>
      <c r="E741" s="44" t="s">
        <v>675</v>
      </c>
      <c r="F741" s="44" t="str">
        <f t="shared" si="15"/>
        <v>VN19546</v>
      </c>
      <c r="G741" s="295"/>
      <c r="H741" s="41" t="s">
        <v>67</v>
      </c>
      <c r="I741" s="95">
        <v>45402</v>
      </c>
      <c r="J741" s="122"/>
      <c r="K741" s="122"/>
      <c r="L741" s="147" t="str">
        <f>VLOOKUP(E741,DS!$A$2:$E$4398, 5, 0)</f>
        <v>Hàn X6</v>
      </c>
      <c r="M741" s="148"/>
      <c r="N741" s="92" t="e">
        <f>VLOOKUP(Table1[[#This Row],[USER]],[1]!Table145678910111213141545678910111213146[[#All],[No.]:[Delete]],2,0)</f>
        <v>#N/A</v>
      </c>
    </row>
    <row r="742" spans="1:14">
      <c r="A742" s="93">
        <v>734</v>
      </c>
      <c r="B742" s="94">
        <v>4</v>
      </c>
      <c r="C742" s="43" t="s">
        <v>7965</v>
      </c>
      <c r="D742" s="40" t="str">
        <f>VLOOKUP(E742,Sheet3!$A$2:$D$6338,2,0)</f>
        <v>Tạ Thị Lương Duyên</v>
      </c>
      <c r="E742" s="44" t="s">
        <v>676</v>
      </c>
      <c r="F742" s="44" t="str">
        <f t="shared" si="15"/>
        <v>VN22077</v>
      </c>
      <c r="G742" s="295"/>
      <c r="H742" s="41" t="s">
        <v>67</v>
      </c>
      <c r="I742" s="95">
        <v>45402</v>
      </c>
      <c r="J742" s="122"/>
      <c r="K742" s="122"/>
      <c r="L742" s="147" t="str">
        <f>VLOOKUP(E742,DS!$A$2:$E$4398, 5, 0)</f>
        <v>Hàn X6</v>
      </c>
      <c r="M742" s="148"/>
      <c r="N742" s="92" t="e">
        <f>VLOOKUP(Table1[[#This Row],[USER]],[1]!Table145678910111213141545678910111213146[[#All],[No.]:[Delete]],2,0)</f>
        <v>#N/A</v>
      </c>
    </row>
    <row r="743" spans="1:14">
      <c r="A743" s="93">
        <v>735</v>
      </c>
      <c r="B743" s="94">
        <v>5</v>
      </c>
      <c r="C743" s="43" t="s">
        <v>7965</v>
      </c>
      <c r="D743" s="40" t="str">
        <f>VLOOKUP(E743,Sheet3!$A$2:$D$6338,2,0)</f>
        <v>Hà Văn Dũng</v>
      </c>
      <c r="E743" s="96" t="s">
        <v>677</v>
      </c>
      <c r="F743" s="96" t="str">
        <f t="shared" si="15"/>
        <v>VN02257</v>
      </c>
      <c r="G743" s="307"/>
      <c r="H743" s="126" t="s">
        <v>67</v>
      </c>
      <c r="I743" s="97">
        <v>45402</v>
      </c>
      <c r="J743" s="122">
        <v>45749</v>
      </c>
      <c r="K743" s="122">
        <v>45749</v>
      </c>
      <c r="L743" s="147" t="e">
        <f>VLOOKUP(E743,DS!$A$2:$E$4398, 5, 0)</f>
        <v>#N/A</v>
      </c>
      <c r="M743" s="148"/>
      <c r="N743" s="92" t="e">
        <f>VLOOKUP(Table1[[#This Row],[USER]],[1]!Table145678910111213141545678910111213146[[#All],[No.]:[Delete]],2,0)</f>
        <v>#N/A</v>
      </c>
    </row>
    <row r="744" spans="1:14">
      <c r="A744" s="93">
        <v>736</v>
      </c>
      <c r="B744" s="94">
        <v>6</v>
      </c>
      <c r="C744" s="43" t="s">
        <v>7965</v>
      </c>
      <c r="D744" s="40" t="str">
        <f>VLOOKUP(E744,Sheet3!$A$2:$D$6338,2,0)</f>
        <v>Hoàng Hữu Thủy</v>
      </c>
      <c r="E744" s="44" t="s">
        <v>7799</v>
      </c>
      <c r="F744" s="44" t="str">
        <f t="shared" ref="F744:F749" si="17">"VN"&amp;RIGHT(E744,5)</f>
        <v>VN03699</v>
      </c>
      <c r="G744" s="295"/>
      <c r="H744" s="41" t="s">
        <v>67</v>
      </c>
      <c r="I744" s="95">
        <v>45475</v>
      </c>
      <c r="J744" s="122"/>
      <c r="K744" s="122"/>
      <c r="L744" s="147" t="str">
        <f>VLOOKUP(E744,DS!$A$2:$E$4398, 5, 0)</f>
        <v>Hàn X6</v>
      </c>
      <c r="M744" s="148"/>
      <c r="N744" s="92" t="e">
        <f>VLOOKUP(Table1[[#This Row],[USER]],[1]!Table145678910111213141545678910111213146[[#All],[No.]:[Delete]],2,0)</f>
        <v>#N/A</v>
      </c>
    </row>
    <row r="745" spans="1:14">
      <c r="A745" s="93">
        <v>737</v>
      </c>
      <c r="B745" s="94">
        <v>7</v>
      </c>
      <c r="C745" s="43" t="s">
        <v>7965</v>
      </c>
      <c r="D745" s="40" t="str">
        <f>VLOOKUP(E745,Sheet3!$A$2:$D$6338,2,0)</f>
        <v>Chu Viết Hưng</v>
      </c>
      <c r="E745" s="44" t="s">
        <v>7807</v>
      </c>
      <c r="F745" s="44" t="str">
        <f t="shared" si="17"/>
        <v>VN09262</v>
      </c>
      <c r="G745" s="295"/>
      <c r="H745" s="41" t="s">
        <v>67</v>
      </c>
      <c r="I745" s="95">
        <v>45518</v>
      </c>
      <c r="J745" s="122">
        <v>45572</v>
      </c>
      <c r="K745" s="122">
        <v>45572</v>
      </c>
      <c r="L745" s="147" t="str">
        <f>VLOOKUP(E745,DS!$A$2:$E$4398, 5, 0)</f>
        <v>Hàn X6</v>
      </c>
      <c r="M745" s="148"/>
      <c r="N745" s="92" t="e">
        <f>VLOOKUP(Table1[[#This Row],[USER]],[1]!Table145678910111213141545678910111213146[[#All],[No.]:[Delete]],2,0)</f>
        <v>#N/A</v>
      </c>
    </row>
    <row r="746" spans="1:14">
      <c r="A746" s="93">
        <v>738</v>
      </c>
      <c r="B746" s="94">
        <v>8</v>
      </c>
      <c r="C746" s="43" t="s">
        <v>7965</v>
      </c>
      <c r="D746" s="40" t="str">
        <f>VLOOKUP(E746,Sheet3!$A$2:$D$6338,2,0)</f>
        <v>Trần Thị Hải</v>
      </c>
      <c r="E746" s="44" t="s">
        <v>7970</v>
      </c>
      <c r="F746" s="44" t="str">
        <f t="shared" si="17"/>
        <v>VN25156</v>
      </c>
      <c r="G746" s="295"/>
      <c r="H746" s="41" t="s">
        <v>67</v>
      </c>
      <c r="I746" s="95">
        <v>45572</v>
      </c>
      <c r="J746" s="122"/>
      <c r="K746" s="122"/>
      <c r="L746" s="147" t="str">
        <f>VLOOKUP(E746,DS!$A$2:$E$4398, 5, 0)</f>
        <v>Hàn X6</v>
      </c>
      <c r="M746" s="148"/>
      <c r="N746" s="92" t="e">
        <f>VLOOKUP(Table1[[#This Row],[USER]],[1]!Table145678910111213141545678910111213146[[#All],[No.]:[Delete]],2,0)</f>
        <v>#N/A</v>
      </c>
    </row>
    <row r="747" spans="1:14">
      <c r="A747" s="93">
        <v>739</v>
      </c>
      <c r="B747" s="119">
        <v>9</v>
      </c>
      <c r="C747" s="43" t="s">
        <v>7965</v>
      </c>
      <c r="D747" s="40" t="str">
        <f>VLOOKUP(E747,Sheet3!$A$2:$D$6338,2,0)</f>
        <v>Chu Văn Sang</v>
      </c>
      <c r="E747" s="120" t="s">
        <v>8006</v>
      </c>
      <c r="F747" s="120" t="str">
        <f t="shared" si="17"/>
        <v>VN00413</v>
      </c>
      <c r="G747" s="308"/>
      <c r="H747" s="41" t="s">
        <v>67</v>
      </c>
      <c r="I747" s="121">
        <v>45743</v>
      </c>
      <c r="J747" s="122"/>
      <c r="K747" s="122"/>
      <c r="L747" s="147" t="str">
        <f>VLOOKUP(E747,DS!$A$2:$E$4398, 5, 0)</f>
        <v>Hàn X6</v>
      </c>
      <c r="M747" s="155"/>
      <c r="N747" s="92" t="e">
        <f>VLOOKUP(Table1[[#This Row],[USER]],[1]!Table145678910111213141545678910111213146[[#All],[No.]:[Delete]],2,0)</f>
        <v>#N/A</v>
      </c>
    </row>
    <row r="748" spans="1:14">
      <c r="A748" s="93">
        <v>740</v>
      </c>
      <c r="B748" s="132">
        <v>10</v>
      </c>
      <c r="C748" s="137" t="s">
        <v>848</v>
      </c>
      <c r="D748" s="40" t="str">
        <f>VLOOKUP(E748,Sheet3!$A$2:$D$6338,2,0)</f>
        <v>Lưu Thị Hải</v>
      </c>
      <c r="E748" s="133" t="s">
        <v>8033</v>
      </c>
      <c r="F748" s="133" t="str">
        <f t="shared" si="17"/>
        <v>VN25906</v>
      </c>
      <c r="G748" s="297"/>
      <c r="H748" s="41" t="s">
        <v>67</v>
      </c>
      <c r="I748" s="136">
        <v>45806</v>
      </c>
      <c r="J748" s="134"/>
      <c r="K748" s="134"/>
      <c r="L748" s="147" t="str">
        <f>VLOOKUP(E748,DS!$A$2:$E$4398, 5, 0)</f>
        <v>Hàn X6</v>
      </c>
      <c r="M748" s="154"/>
      <c r="N748" s="92" t="e">
        <f>VLOOKUP(Table1[[#This Row],[USER]],[1]!Table145678910111213141545678910111213146[[#All],[No.]:[Delete]],2,0)</f>
        <v>#N/A</v>
      </c>
    </row>
    <row r="749" spans="1:14">
      <c r="A749" s="93">
        <v>741</v>
      </c>
      <c r="B749" s="94">
        <v>11</v>
      </c>
      <c r="C749" s="43" t="s">
        <v>7965</v>
      </c>
      <c r="D749" s="40" t="str">
        <f>VLOOKUP(E749,Sheet3!$A$2:$D$6338,2,0)</f>
        <v>Phạm Đức Trung</v>
      </c>
      <c r="E749" s="44" t="s">
        <v>127</v>
      </c>
      <c r="F749" s="44" t="str">
        <f t="shared" si="17"/>
        <v>VN00941</v>
      </c>
      <c r="G749" s="295"/>
      <c r="H749" s="41" t="s">
        <v>67</v>
      </c>
      <c r="I749" s="95">
        <v>45421</v>
      </c>
      <c r="J749" s="122"/>
      <c r="K749" s="122"/>
      <c r="L749" s="147" t="str">
        <f>VLOOKUP(E749,DS!$A$2:$E$4398, 5, 0)</f>
        <v>Hàn X6</v>
      </c>
      <c r="M749" s="148"/>
      <c r="N749" s="92" t="e">
        <f>VLOOKUP(Table1[[#This Row],[USER]],[1]!Table145678910111213141545678910111213146[[#All],[No.]:[Delete]],2,0)</f>
        <v>#N/A</v>
      </c>
    </row>
    <row r="750" spans="1:14">
      <c r="A750" s="93">
        <v>742</v>
      </c>
      <c r="B750" s="94">
        <v>1</v>
      </c>
      <c r="C750" s="42" t="s">
        <v>7966</v>
      </c>
      <c r="D750" s="40" t="str">
        <f>VLOOKUP(E750,Sheet3!$A$2:$D$6338,2,0)</f>
        <v>Vũ Thị Huyền</v>
      </c>
      <c r="E750" s="44" t="s">
        <v>678</v>
      </c>
      <c r="F750" s="44" t="str">
        <f t="shared" si="15"/>
        <v>VN22410</v>
      </c>
      <c r="G750" s="295"/>
      <c r="H750" s="41" t="s">
        <v>67</v>
      </c>
      <c r="I750" s="95">
        <v>45402</v>
      </c>
      <c r="J750" s="122"/>
      <c r="K750" s="122"/>
      <c r="L750" s="147" t="str">
        <f>VLOOKUP(E750,DS!$A$2:$E$4398, 5, 0)</f>
        <v>Lắp ráp X6</v>
      </c>
      <c r="M750" s="148"/>
      <c r="N750" s="92" t="e">
        <f>VLOOKUP(Table1[[#This Row],[USER]],[1]!Table145678910111213141545678910111213146[[#All],[No.]:[Delete]],2,0)</f>
        <v>#N/A</v>
      </c>
    </row>
    <row r="751" spans="1:14">
      <c r="A751" s="93">
        <v>743</v>
      </c>
      <c r="B751" s="94">
        <v>2</v>
      </c>
      <c r="C751" s="42" t="s">
        <v>7966</v>
      </c>
      <c r="D751" s="40" t="str">
        <f>VLOOKUP(E751,Sheet3!$A$2:$D$6338,2,0)</f>
        <v>Thiều Tô Hoàng</v>
      </c>
      <c r="E751" s="44" t="s">
        <v>679</v>
      </c>
      <c r="F751" s="44" t="str">
        <f t="shared" si="15"/>
        <v>VN01268</v>
      </c>
      <c r="G751" s="295"/>
      <c r="H751" s="41" t="s">
        <v>67</v>
      </c>
      <c r="I751" s="95">
        <v>45402</v>
      </c>
      <c r="J751" s="122"/>
      <c r="K751" s="122"/>
      <c r="L751" s="147" t="str">
        <f>VLOOKUP(E751,DS!$A$2:$E$4398, 5, 0)</f>
        <v>Lắp ráp X6</v>
      </c>
      <c r="M751" s="148"/>
      <c r="N751" s="92" t="e">
        <f>VLOOKUP(Table1[[#This Row],[USER]],[1]!Table145678910111213141545678910111213146[[#All],[No.]:[Delete]],2,0)</f>
        <v>#N/A</v>
      </c>
    </row>
    <row r="752" spans="1:14">
      <c r="A752" s="93">
        <v>744</v>
      </c>
      <c r="B752" s="94">
        <v>3</v>
      </c>
      <c r="C752" s="42" t="s">
        <v>7966</v>
      </c>
      <c r="D752" s="40" t="str">
        <f>VLOOKUP(E752,Sheet3!$A$2:$D$6338,2,0)</f>
        <v>Trịnh Thị Xoan</v>
      </c>
      <c r="E752" s="44" t="s">
        <v>680</v>
      </c>
      <c r="F752" s="44" t="str">
        <f t="shared" si="15"/>
        <v>VN22409</v>
      </c>
      <c r="G752" s="295"/>
      <c r="H752" s="41" t="s">
        <v>67</v>
      </c>
      <c r="I752" s="95">
        <v>45402</v>
      </c>
      <c r="J752" s="122"/>
      <c r="K752" s="122"/>
      <c r="L752" s="147" t="str">
        <f>VLOOKUP(E752,DS!$A$2:$E$4398, 5, 0)</f>
        <v>Lắp ráp X6</v>
      </c>
      <c r="M752" s="148"/>
      <c r="N752" s="92" t="e">
        <f>VLOOKUP(Table1[[#This Row],[USER]],[1]!Table145678910111213141545678910111213146[[#All],[No.]:[Delete]],2,0)</f>
        <v>#N/A</v>
      </c>
    </row>
    <row r="753" spans="1:14">
      <c r="A753" s="93">
        <v>745</v>
      </c>
      <c r="B753" s="94">
        <v>4</v>
      </c>
      <c r="C753" s="42" t="s">
        <v>7966</v>
      </c>
      <c r="D753" s="40" t="str">
        <f>VLOOKUP(E753,Sheet3!$A$2:$D$6338,2,0)</f>
        <v>Trần Đình Tài</v>
      </c>
      <c r="E753" s="44" t="s">
        <v>681</v>
      </c>
      <c r="F753" s="44" t="str">
        <f t="shared" si="15"/>
        <v>VN01543</v>
      </c>
      <c r="G753" s="295"/>
      <c r="H753" s="41" t="s">
        <v>67</v>
      </c>
      <c r="I753" s="95">
        <v>45402</v>
      </c>
      <c r="J753" s="122"/>
      <c r="K753" s="122"/>
      <c r="L753" s="147" t="str">
        <f>VLOOKUP(E753,DS!$A$2:$E$4398, 5, 0)</f>
        <v>Lắp ráp X6</v>
      </c>
      <c r="M753" s="148"/>
      <c r="N753" s="92" t="e">
        <f>VLOOKUP(Table1[[#This Row],[USER]],[1]!Table145678910111213141545678910111213146[[#All],[No.]:[Delete]],2,0)</f>
        <v>#N/A</v>
      </c>
    </row>
    <row r="754" spans="1:14">
      <c r="A754" s="93">
        <v>746</v>
      </c>
      <c r="B754" s="94">
        <v>5</v>
      </c>
      <c r="C754" s="42" t="s">
        <v>7966</v>
      </c>
      <c r="D754" s="40" t="str">
        <f>VLOOKUP(E754,Sheet3!$A$2:$D$6338,2,0)</f>
        <v>Nguyễn Thị Hạnh</v>
      </c>
      <c r="E754" s="44" t="s">
        <v>682</v>
      </c>
      <c r="F754" s="44" t="str">
        <f t="shared" si="15"/>
        <v>VN06887</v>
      </c>
      <c r="G754" s="295"/>
      <c r="H754" s="41" t="s">
        <v>67</v>
      </c>
      <c r="I754" s="95">
        <v>45402</v>
      </c>
      <c r="J754" s="122"/>
      <c r="K754" s="122"/>
      <c r="L754" s="147" t="str">
        <f>VLOOKUP(E754,DS!$A$2:$E$4398, 5, 0)</f>
        <v>Lắp ráp X6</v>
      </c>
      <c r="M754" s="148"/>
      <c r="N754" s="92" t="e">
        <f>VLOOKUP(Table1[[#This Row],[USER]],[1]!Table145678910111213141545678910111213146[[#All],[No.]:[Delete]],2,0)</f>
        <v>#N/A</v>
      </c>
    </row>
    <row r="755" spans="1:14">
      <c r="A755" s="93">
        <v>747</v>
      </c>
      <c r="B755" s="94">
        <v>6</v>
      </c>
      <c r="C755" s="42" t="s">
        <v>7966</v>
      </c>
      <c r="D755" s="40" t="str">
        <f>VLOOKUP(E755,Sheet3!$A$2:$D$6338,2,0)</f>
        <v>Nguyễn Thị Hồng Nhung</v>
      </c>
      <c r="E755" s="44" t="s">
        <v>683</v>
      </c>
      <c r="F755" s="44" t="str">
        <f t="shared" si="15"/>
        <v>VN24765</v>
      </c>
      <c r="G755" s="309"/>
      <c r="H755" s="45" t="s">
        <v>67</v>
      </c>
      <c r="I755" s="95">
        <v>45402</v>
      </c>
      <c r="J755" s="122"/>
      <c r="K755" s="122"/>
      <c r="L755" s="147" t="str">
        <f>VLOOKUP(E755,DS!$A$2:$E$4398, 5, 0)</f>
        <v>Lắp ráp X6</v>
      </c>
      <c r="M755" s="148"/>
      <c r="N755" s="92" t="e">
        <f>VLOOKUP(Table1[[#This Row],[USER]],[1]!Table145678910111213141545678910111213146[[#All],[No.]:[Delete]],2,0)</f>
        <v>#N/A</v>
      </c>
    </row>
    <row r="756" spans="1:14">
      <c r="A756" s="93">
        <v>748</v>
      </c>
      <c r="B756" s="94">
        <v>2</v>
      </c>
      <c r="C756" s="42" t="s">
        <v>7966</v>
      </c>
      <c r="D756" s="40" t="str">
        <f>VLOOKUP(E756,Sheet3!$A$2:$D$6338,2,0)</f>
        <v>Lăng Thị Ngọc Lan</v>
      </c>
      <c r="E756" s="96" t="s">
        <v>8401</v>
      </c>
      <c r="F756" s="96" t="str">
        <f>"VN"&amp;RIGHT(E756,5)</f>
        <v>VN26068</v>
      </c>
      <c r="G756" s="307"/>
      <c r="H756" s="126" t="s">
        <v>67</v>
      </c>
      <c r="I756" s="97">
        <v>45831</v>
      </c>
      <c r="J756" s="122">
        <v>45978</v>
      </c>
      <c r="K756" s="122"/>
      <c r="L756" s="147" t="e">
        <f>VLOOKUP(E756,DS!$A$2:$E$4398, 5, 0)</f>
        <v>#N/A</v>
      </c>
      <c r="M756" s="148"/>
      <c r="N756" s="92" t="e">
        <f>VLOOKUP(Table1[[#This Row],[USER]],[1]!Table145678910111213141545678910111213146[[#All],[No.]:[Delete]],2,0)</f>
        <v>#N/A</v>
      </c>
    </row>
    <row r="757" spans="1:14">
      <c r="A757" s="93">
        <v>749</v>
      </c>
      <c r="B757" s="94">
        <v>1</v>
      </c>
      <c r="C757" s="42" t="s">
        <v>7967</v>
      </c>
      <c r="D757" s="40" t="str">
        <f>VLOOKUP(E757,Sheet3!$A$2:$D$6338,2,0)</f>
        <v>Phạm Ngọc Hoà</v>
      </c>
      <c r="E757" s="44" t="s">
        <v>684</v>
      </c>
      <c r="F757" s="44" t="str">
        <f t="shared" si="15"/>
        <v>VN00533</v>
      </c>
      <c r="G757" s="295"/>
      <c r="H757" s="41" t="s">
        <v>67</v>
      </c>
      <c r="I757" s="95">
        <v>45405</v>
      </c>
      <c r="J757" s="122"/>
      <c r="K757" s="122"/>
      <c r="L757" s="147" t="str">
        <f>VLOOKUP(E757,DS!$A$2:$E$4398, 5, 0)</f>
        <v>QLSX</v>
      </c>
      <c r="M757" s="148"/>
      <c r="N757" s="92" t="e">
        <f>VLOOKUP(Table1[[#This Row],[USER]],[1]!Table145678910111213141545678910111213146[[#All],[No.]:[Delete]],2,0)</f>
        <v>#N/A</v>
      </c>
    </row>
    <row r="758" spans="1:14">
      <c r="A758" s="93">
        <v>750</v>
      </c>
      <c r="B758" s="94">
        <v>2</v>
      </c>
      <c r="C758" s="42" t="s">
        <v>7967</v>
      </c>
      <c r="D758" s="40" t="str">
        <f>VLOOKUP(E758,Sheet3!$A$2:$D$6338,2,0)</f>
        <v>Nguyễn Văn Phương Anh</v>
      </c>
      <c r="E758" s="96" t="s">
        <v>685</v>
      </c>
      <c r="F758" s="96" t="str">
        <f t="shared" si="15"/>
        <v>VN20292</v>
      </c>
      <c r="G758" s="307"/>
      <c r="H758" s="126" t="s">
        <v>67</v>
      </c>
      <c r="I758" s="97">
        <v>45405</v>
      </c>
      <c r="J758" s="122">
        <v>45819</v>
      </c>
      <c r="K758" s="122">
        <v>45819</v>
      </c>
      <c r="L758" s="147" t="e">
        <f>VLOOKUP(E758,DS!$A$2:$E$4398, 5, 0)</f>
        <v>#N/A</v>
      </c>
      <c r="M758" s="148"/>
      <c r="N758" s="92" t="e">
        <f>VLOOKUP(Table1[[#This Row],[USER]],[1]!Table145678910111213141545678910111213146[[#All],[No.]:[Delete]],2,0)</f>
        <v>#N/A</v>
      </c>
    </row>
    <row r="759" spans="1:14">
      <c r="A759" s="93">
        <v>751</v>
      </c>
      <c r="B759" s="94">
        <v>3</v>
      </c>
      <c r="C759" s="42" t="s">
        <v>7967</v>
      </c>
      <c r="D759" s="40" t="str">
        <f>VLOOKUP(E759,Sheet3!$A$2:$D$6338,2,0)</f>
        <v>Ngô Hương Trang</v>
      </c>
      <c r="E759" s="44" t="s">
        <v>686</v>
      </c>
      <c r="F759" s="44" t="str">
        <f t="shared" ref="F759:F770" si="18">"VN"&amp;RIGHT(E759,5)</f>
        <v>VN22095</v>
      </c>
      <c r="G759" s="295"/>
      <c r="H759" s="41" t="s">
        <v>67</v>
      </c>
      <c r="I759" s="95">
        <v>45405</v>
      </c>
      <c r="J759" s="122"/>
      <c r="K759" s="122"/>
      <c r="L759" s="147" t="str">
        <f>VLOOKUP(E759,DS!$A$2:$E$4398, 5, 0)</f>
        <v>QLSX</v>
      </c>
      <c r="M759" s="148"/>
      <c r="N759" s="92" t="e">
        <f>VLOOKUP(Table1[[#This Row],[USER]],[1]!Table145678910111213141545678910111213146[[#All],[No.]:[Delete]],2,0)</f>
        <v>#N/A</v>
      </c>
    </row>
    <row r="760" spans="1:14">
      <c r="A760" s="93">
        <v>752</v>
      </c>
      <c r="B760" s="94">
        <v>4</v>
      </c>
      <c r="C760" s="42" t="s">
        <v>7967</v>
      </c>
      <c r="D760" s="40" t="str">
        <f>VLOOKUP(E760,Sheet3!$A$2:$D$6338,2,0)</f>
        <v>Nguyễn Văn Quang</v>
      </c>
      <c r="E760" s="44" t="s">
        <v>687</v>
      </c>
      <c r="F760" s="44" t="str">
        <f t="shared" si="18"/>
        <v>VN19406</v>
      </c>
      <c r="G760" s="295"/>
      <c r="H760" s="41" t="s">
        <v>67</v>
      </c>
      <c r="I760" s="95">
        <v>45405</v>
      </c>
      <c r="J760" s="122"/>
      <c r="K760" s="122"/>
      <c r="L760" s="147" t="str">
        <f>VLOOKUP(E760,DS!$A$2:$E$4398, 5, 0)</f>
        <v>QLSX</v>
      </c>
      <c r="M760" s="148"/>
      <c r="N760" s="92" t="e">
        <f>VLOOKUP(Table1[[#This Row],[USER]],[1]!Table145678910111213141545678910111213146[[#All],[No.]:[Delete]],2,0)</f>
        <v>#N/A</v>
      </c>
    </row>
    <row r="761" spans="1:14">
      <c r="A761" s="93">
        <v>753</v>
      </c>
      <c r="B761" s="94">
        <v>5</v>
      </c>
      <c r="C761" s="42" t="s">
        <v>7967</v>
      </c>
      <c r="D761" s="40" t="str">
        <f>VLOOKUP(E761,Sheet3!$A$2:$D$6338,2,0)</f>
        <v>Nguyễn Văn Thiện</v>
      </c>
      <c r="E761" s="44" t="s">
        <v>688</v>
      </c>
      <c r="F761" s="44" t="str">
        <f t="shared" si="18"/>
        <v>VN24751</v>
      </c>
      <c r="G761" s="295"/>
      <c r="H761" s="41" t="s">
        <v>67</v>
      </c>
      <c r="I761" s="95">
        <v>45423</v>
      </c>
      <c r="J761" s="122">
        <v>45474</v>
      </c>
      <c r="K761" s="122">
        <v>45474</v>
      </c>
      <c r="L761" s="147" t="e">
        <f>VLOOKUP(E761,DS!$A$2:$E$4398, 5, 0)</f>
        <v>#N/A</v>
      </c>
      <c r="M761" s="148"/>
      <c r="N761" s="92" t="e">
        <f>VLOOKUP(Table1[[#This Row],[USER]],[1]!Table145678910111213141545678910111213146[[#All],[No.]:[Delete]],2,0)</f>
        <v>#N/A</v>
      </c>
    </row>
    <row r="762" spans="1:14">
      <c r="A762" s="93">
        <v>754</v>
      </c>
      <c r="B762" s="94">
        <v>6</v>
      </c>
      <c r="C762" s="42" t="s">
        <v>7967</v>
      </c>
      <c r="D762" s="40" t="str">
        <f>VLOOKUP(E762,Sheet3!$A$2:$D$6338,2,0)</f>
        <v>Nguyễn Lê Hoàng</v>
      </c>
      <c r="E762" s="44" t="s">
        <v>7803</v>
      </c>
      <c r="F762" s="44" t="str">
        <f>"VN"&amp;RIGHT(E762,5)</f>
        <v>VN24871</v>
      </c>
      <c r="G762" s="295"/>
      <c r="H762" s="41" t="s">
        <v>67</v>
      </c>
      <c r="I762" s="95">
        <v>45504</v>
      </c>
      <c r="J762" s="122"/>
      <c r="K762" s="122"/>
      <c r="L762" s="147" t="str">
        <f>VLOOKUP(E762,DS!$A$2:$E$4398, 5, 0)</f>
        <v>QLSX</v>
      </c>
      <c r="M762" s="148"/>
      <c r="N762" s="92" t="e">
        <f>VLOOKUP(Table1[[#This Row],[USER]],[1]!Table145678910111213141545678910111213146[[#All],[No.]:[Delete]],2,0)</f>
        <v>#N/A</v>
      </c>
    </row>
    <row r="763" spans="1:14">
      <c r="A763" s="93">
        <v>755</v>
      </c>
      <c r="B763" s="197"/>
      <c r="C763" s="198" t="s">
        <v>868</v>
      </c>
      <c r="D763" s="40" t="e">
        <f>VLOOKUP(E763,Sheet3!$A$2:$D$6338,2,0)</f>
        <v>#N/A</v>
      </c>
      <c r="E763" s="199" t="s">
        <v>8543</v>
      </c>
      <c r="F763" s="199" t="str">
        <f>"VN"&amp;RIGHT(E763,5)</f>
        <v>VN26158</v>
      </c>
      <c r="G763" s="306"/>
      <c r="H763" s="41" t="s">
        <v>67</v>
      </c>
      <c r="I763" s="200">
        <v>45911</v>
      </c>
      <c r="J763" s="201"/>
      <c r="K763" s="201"/>
      <c r="L763" s="201" t="str">
        <f>VLOOKUP(E763,DS!$A$2:$E$4398, 5, 0)</f>
        <v>QLSX</v>
      </c>
      <c r="M763" s="202"/>
      <c r="N763" s="92" t="e">
        <f>VLOOKUP(Table1[[#This Row],[USER]],[1]!Table145678910111213141545678910111213146[[#All],[No.]:[Delete]],2,0)</f>
        <v>#N/A</v>
      </c>
    </row>
    <row r="764" spans="1:14">
      <c r="A764" s="93">
        <v>756</v>
      </c>
      <c r="B764" s="94">
        <v>7</v>
      </c>
      <c r="C764" s="42" t="s">
        <v>7967</v>
      </c>
      <c r="D764" s="40" t="str">
        <f>VLOOKUP(E764,Sheet3!$A$2:$D$6338,2,0)</f>
        <v>Phan Kiên Cường</v>
      </c>
      <c r="E764" s="44" t="s">
        <v>689</v>
      </c>
      <c r="F764" s="44" t="str">
        <f t="shared" si="18"/>
        <v>VN24318</v>
      </c>
      <c r="G764" s="295"/>
      <c r="H764" s="41" t="s">
        <v>67</v>
      </c>
      <c r="I764" s="95">
        <v>45405</v>
      </c>
      <c r="J764" s="122">
        <v>45474</v>
      </c>
      <c r="K764" s="122">
        <v>45474</v>
      </c>
      <c r="L764" s="147" t="e">
        <f>VLOOKUP(E764,DS!$A$2:$E$4398, 5, 0)</f>
        <v>#N/A</v>
      </c>
      <c r="M764" s="148"/>
      <c r="N764" s="92" t="e">
        <f>VLOOKUP(Table1[[#This Row],[USER]],[1]!Table145678910111213141545678910111213146[[#All],[No.]:[Delete]],2,0)</f>
        <v>#N/A</v>
      </c>
    </row>
    <row r="765" spans="1:14">
      <c r="A765" s="93">
        <v>757</v>
      </c>
      <c r="B765" s="94">
        <v>1</v>
      </c>
      <c r="C765" s="43" t="s">
        <v>7968</v>
      </c>
      <c r="D765" s="40" t="str">
        <f>VLOOKUP(E765,Sheet3!$A$2:$D$6338,2,0)</f>
        <v>Vũ Văn Long</v>
      </c>
      <c r="E765" s="44" t="s">
        <v>690</v>
      </c>
      <c r="F765" s="44" t="str">
        <f t="shared" si="18"/>
        <v>VN18433</v>
      </c>
      <c r="G765" s="295"/>
      <c r="H765" s="41" t="s">
        <v>67</v>
      </c>
      <c r="I765" s="95">
        <v>45402</v>
      </c>
      <c r="J765" s="122">
        <v>45580</v>
      </c>
      <c r="K765" s="122"/>
      <c r="L765" s="147" t="e">
        <f>VLOOKUP(E765,DS!$A$2:$E$4398, 5, 0)</f>
        <v>#N/A</v>
      </c>
      <c r="M765" s="148"/>
      <c r="N765" s="92" t="e">
        <f>VLOOKUP(Table1[[#This Row],[USER]],[1]!Table145678910111213141545678910111213146[[#All],[No.]:[Delete]],2,0)</f>
        <v>#N/A</v>
      </c>
    </row>
    <row r="766" spans="1:14">
      <c r="A766" s="93">
        <v>758</v>
      </c>
      <c r="B766" s="94">
        <v>2</v>
      </c>
      <c r="C766" s="43" t="s">
        <v>7968</v>
      </c>
      <c r="D766" s="40" t="str">
        <f>VLOOKUP(E766,Sheet3!$A$2:$D$6338,2,0)</f>
        <v>Cao Văn Cường</v>
      </c>
      <c r="E766" s="44" t="s">
        <v>691</v>
      </c>
      <c r="F766" s="44" t="str">
        <f t="shared" si="18"/>
        <v>VN10452</v>
      </c>
      <c r="G766" s="295"/>
      <c r="H766" s="41" t="s">
        <v>67</v>
      </c>
      <c r="I766" s="95">
        <v>45402</v>
      </c>
      <c r="J766" s="122"/>
      <c r="K766" s="122"/>
      <c r="L766" s="147" t="str">
        <f>VLOOKUP(E766,DS!$A$2:$E$4398, 5, 0)</f>
        <v>Sơn ED X6</v>
      </c>
      <c r="M766" s="148"/>
      <c r="N766" s="92" t="e">
        <f>VLOOKUP(Table1[[#This Row],[USER]],[1]!Table145678910111213141545678910111213146[[#All],[No.]:[Delete]],2,0)</f>
        <v>#N/A</v>
      </c>
    </row>
    <row r="767" spans="1:14">
      <c r="A767" s="93">
        <v>759</v>
      </c>
      <c r="B767" s="94">
        <v>3</v>
      </c>
      <c r="C767" s="43" t="s">
        <v>7968</v>
      </c>
      <c r="D767" s="40" t="str">
        <f>VLOOKUP(E767,Sheet3!$A$2:$D$6338,2,0)</f>
        <v>Đỗ Thị Mai Phương</v>
      </c>
      <c r="E767" s="44" t="s">
        <v>692</v>
      </c>
      <c r="F767" s="44" t="str">
        <f t="shared" si="18"/>
        <v>VN22757</v>
      </c>
      <c r="G767" s="295"/>
      <c r="H767" s="41" t="s">
        <v>67</v>
      </c>
      <c r="I767" s="95">
        <v>45402</v>
      </c>
      <c r="J767" s="122"/>
      <c r="K767" s="122"/>
      <c r="L767" s="147" t="str">
        <f>VLOOKUP(E767,DS!$A$2:$E$4398, 5, 0)</f>
        <v>Sơn X6</v>
      </c>
      <c r="M767" s="148"/>
      <c r="N767" s="92" t="e">
        <f>VLOOKUP(Table1[[#This Row],[USER]],[1]!Table145678910111213141545678910111213146[[#All],[No.]:[Delete]],2,0)</f>
        <v>#N/A</v>
      </c>
    </row>
    <row r="768" spans="1:14">
      <c r="A768" s="93">
        <v>760</v>
      </c>
      <c r="B768" s="94">
        <v>4</v>
      </c>
      <c r="C768" s="43" t="s">
        <v>7968</v>
      </c>
      <c r="D768" s="40" t="str">
        <f>VLOOKUP(E768,Sheet3!$A$2:$D$6338,2,0)</f>
        <v>Lê Văn Duy</v>
      </c>
      <c r="E768" s="44" t="s">
        <v>693</v>
      </c>
      <c r="F768" s="44" t="str">
        <f t="shared" ref="F768" si="19">"VN"&amp;RIGHT(E768,5)</f>
        <v>VN00082</v>
      </c>
      <c r="G768" s="295"/>
      <c r="H768" s="41" t="s">
        <v>67</v>
      </c>
      <c r="I768" s="95">
        <v>45402</v>
      </c>
      <c r="J768" s="122"/>
      <c r="K768" s="122"/>
      <c r="L768" s="147" t="str">
        <f>VLOOKUP(E768,DS!$A$2:$E$4398, 5, 0)</f>
        <v>Sơn X6</v>
      </c>
      <c r="M768" s="148"/>
      <c r="N768" s="92" t="e">
        <f>VLOOKUP(Table1[[#This Row],[USER]],[1]!Table145678910111213141545678910111213146[[#All],[No.]:[Delete]],2,0)</f>
        <v>#N/A</v>
      </c>
    </row>
    <row r="769" spans="1:14">
      <c r="A769" s="93">
        <v>761</v>
      </c>
      <c r="B769" s="94">
        <v>5</v>
      </c>
      <c r="C769" s="43" t="s">
        <v>848</v>
      </c>
      <c r="D769" s="40" t="str">
        <f>VLOOKUP(E769,Sheet3!$A$2:$D$6338,2,0)</f>
        <v>Nguyễn Quốc Hoàn</v>
      </c>
      <c r="E769" s="44" t="s">
        <v>812</v>
      </c>
      <c r="F769" s="44" t="str">
        <f>"VN"&amp;RIGHT(E769,5)</f>
        <v>VN00046</v>
      </c>
      <c r="G769" s="295"/>
      <c r="H769" s="41" t="s">
        <v>67</v>
      </c>
      <c r="I769" s="95">
        <v>45432</v>
      </c>
      <c r="J769" s="122"/>
      <c r="K769" s="122"/>
      <c r="L769" s="147" t="str">
        <f>VLOOKUP(E769,DS!$A$2:$E$4398, 5, 0)</f>
        <v>Hàn X6</v>
      </c>
      <c r="M769" s="148"/>
      <c r="N769" s="92" t="e">
        <f>VLOOKUP(Table1[[#This Row],[USER]],[1]!Table145678910111213141545678910111213146[[#All],[No.]:[Delete]],2,0)</f>
        <v>#N/A</v>
      </c>
    </row>
    <row r="770" spans="1:14">
      <c r="A770" s="93">
        <v>762</v>
      </c>
      <c r="B770" s="100">
        <v>6</v>
      </c>
      <c r="C770" s="90" t="s">
        <v>7968</v>
      </c>
      <c r="D770" s="40" t="str">
        <f>VLOOKUP(E770,Sheet3!$A$2:$D$6338,2,0)</f>
        <v>Đại Thị Hạnh</v>
      </c>
      <c r="E770" s="98" t="s">
        <v>7798</v>
      </c>
      <c r="F770" s="98" t="str">
        <f t="shared" si="18"/>
        <v>VN20977</v>
      </c>
      <c r="G770" s="98"/>
      <c r="H770" s="91" t="s">
        <v>67</v>
      </c>
      <c r="I770" s="101">
        <v>45474</v>
      </c>
      <c r="J770" s="124"/>
      <c r="K770" s="124"/>
      <c r="L770" s="147" t="str">
        <f>VLOOKUP(E770,DS!$A$2:$E$4398, 5, 0)</f>
        <v>Sơn X6</v>
      </c>
      <c r="M770" s="148"/>
      <c r="N770" s="92" t="e">
        <f>VLOOKUP(Table1[[#This Row],[USER]],[1]!Table145678910111213141545678910111213146[[#All],[No.]:[Delete]],2,0)</f>
        <v>#N/A</v>
      </c>
    </row>
    <row r="771" spans="1:14">
      <c r="A771" s="93">
        <v>763</v>
      </c>
      <c r="B771" s="100">
        <v>7</v>
      </c>
      <c r="C771" s="90" t="s">
        <v>7968</v>
      </c>
      <c r="D771" s="40" t="str">
        <f>VLOOKUP(E771,Sheet3!$A$2:$D$6338,2,0)</f>
        <v>Nguyễn Thúy Vân</v>
      </c>
      <c r="E771" s="98" t="s">
        <v>7973</v>
      </c>
      <c r="F771" s="98" t="str">
        <f>"VN"&amp;RIGHT(E771,5)</f>
        <v>VN12479</v>
      </c>
      <c r="G771" s="98"/>
      <c r="H771" s="91" t="s">
        <v>67</v>
      </c>
      <c r="I771" s="101">
        <v>45580</v>
      </c>
      <c r="J771" s="124"/>
      <c r="K771" s="124"/>
      <c r="L771" s="147" t="str">
        <f>VLOOKUP(E771,DS!$A$2:$E$4398, 5, 0)</f>
        <v>Sơn X6</v>
      </c>
      <c r="M771" s="148"/>
      <c r="N771" s="92" t="e">
        <f>VLOOKUP(Table1[[#This Row],[USER]],[1]!Table145678910111213141545678910111213146[[#All],[No.]:[Delete]],2,0)</f>
        <v>#N/A</v>
      </c>
    </row>
    <row r="772" spans="1:14">
      <c r="A772" s="93">
        <v>764</v>
      </c>
      <c r="B772" s="94">
        <v>8</v>
      </c>
      <c r="C772" s="90" t="s">
        <v>7968</v>
      </c>
      <c r="D772" s="40" t="str">
        <f>VLOOKUP(E772,Sheet3!$A$2:$D$6338,2,0)</f>
        <v>Nguyễn Gia Quỳnh</v>
      </c>
      <c r="E772" s="44" t="s">
        <v>180</v>
      </c>
      <c r="F772" s="44" t="str">
        <f>"VN"&amp;RIGHT(E772,5)</f>
        <v>VN00834</v>
      </c>
      <c r="G772" s="295"/>
      <c r="H772" s="41" t="s">
        <v>67</v>
      </c>
      <c r="I772" s="95">
        <v>45432</v>
      </c>
      <c r="J772" s="122"/>
      <c r="K772" s="122"/>
      <c r="L772" s="147" t="str">
        <f>VLOOKUP(E772,DS!$A$2:$E$4398, 5, 0)</f>
        <v>Sơn X6</v>
      </c>
      <c r="M772" s="148"/>
      <c r="N772" s="92" t="e">
        <f>VLOOKUP(Table1[[#This Row],[USER]],[1]!Table145678910111213141545678910111213146[[#All],[No.]:[Delete]],2,0)</f>
        <v>#N/A</v>
      </c>
    </row>
    <row r="773" spans="1:14">
      <c r="A773" s="226"/>
      <c r="B773" s="227"/>
      <c r="C773" s="90" t="s">
        <v>7968</v>
      </c>
      <c r="D773" s="40" t="str">
        <f>VLOOKUP(E773,Sheet3!$A$2:$D$6338,2,0)</f>
        <v>Vũ Thị Ánh</v>
      </c>
      <c r="E773" s="228" t="s">
        <v>8681</v>
      </c>
      <c r="F773" s="228" t="str">
        <f>"VN"&amp;RIGHT(E773,5)</f>
        <v>VN26470</v>
      </c>
      <c r="G773" s="310"/>
      <c r="H773" s="41" t="s">
        <v>67</v>
      </c>
      <c r="I773" s="229">
        <v>46002</v>
      </c>
      <c r="J773" s="230"/>
      <c r="K773" s="230"/>
      <c r="L773" s="230" t="e">
        <f>VLOOKUP(E773,DS!$A$2:$E$4398, 5, 0)</f>
        <v>#N/A</v>
      </c>
      <c r="M773" s="231"/>
      <c r="N773" s="92" t="e">
        <f>VLOOKUP(Table1[[#This Row],[USER]],[1]!Table145678910111213141545678910111213146[[#All],[No.]:[Delete]],2,0)</f>
        <v>#N/A</v>
      </c>
    </row>
    <row r="774" spans="1:14">
      <c r="A774" s="93">
        <v>761</v>
      </c>
      <c r="B774" s="102">
        <v>1</v>
      </c>
      <c r="C774" s="40" t="s">
        <v>7810</v>
      </c>
      <c r="D774" s="40" t="str">
        <f>VLOOKUP(E774,Sheet3!$A$2:$D$6338,2,0)</f>
        <v>Lê Thanh Bình</v>
      </c>
      <c r="E774" s="44" t="s">
        <v>7811</v>
      </c>
      <c r="F774" s="44" t="str">
        <f>"VN"&amp;RIGHT(E774,5)</f>
        <v>VN24919</v>
      </c>
      <c r="G774" s="295"/>
      <c r="H774" s="41" t="s">
        <v>67</v>
      </c>
      <c r="I774" s="95" t="s">
        <v>7812</v>
      </c>
      <c r="J774" s="122"/>
      <c r="K774" s="122"/>
      <c r="L774" s="147" t="str">
        <f>VLOOKUP(E774,DS!$A$2:$E$4398, 5, 0)</f>
        <v>Xi mạ</v>
      </c>
      <c r="M774" s="148"/>
      <c r="N774" s="92" t="e">
        <f>VLOOKUP(Table1[[#This Row],[USER]],[1]!Table145678910111213141545678910111213146[[#All],[No.]:[Delete]],2,0)</f>
        <v>#N/A</v>
      </c>
    </row>
    <row r="775" spans="1:14">
      <c r="A775" s="93">
        <v>762</v>
      </c>
      <c r="B775" s="102">
        <v>2</v>
      </c>
      <c r="C775" s="40" t="s">
        <v>7810</v>
      </c>
      <c r="D775" s="40" t="str">
        <f>VLOOKUP(E775,Sheet3!$A$2:$D$6338,2,0)</f>
        <v>Nguyễn Văn An</v>
      </c>
      <c r="E775" s="44" t="s">
        <v>7813</v>
      </c>
      <c r="F775" s="44" t="str">
        <f>"VN"&amp;RIGHT(E775,5)</f>
        <v>VN24789</v>
      </c>
      <c r="G775" s="295"/>
      <c r="H775" s="41" t="s">
        <v>67</v>
      </c>
      <c r="I775" s="95" t="s">
        <v>7812</v>
      </c>
      <c r="J775" s="122"/>
      <c r="K775" s="122"/>
      <c r="L775" s="147" t="str">
        <f>VLOOKUP(E775,DS!$A$2:$E$4398, 5, 0)</f>
        <v>Xi mạ</v>
      </c>
      <c r="M775" s="148"/>
      <c r="N775" s="92" t="e">
        <f>VLOOKUP(Table1[[#This Row],[USER]],[1]!Table145678910111213141545678910111213146[[#All],[No.]:[Delete]],2,0)</f>
        <v>#N/A</v>
      </c>
    </row>
    <row r="776" spans="1:14">
      <c r="A776" s="93">
        <v>763</v>
      </c>
      <c r="B776" s="102">
        <v>1</v>
      </c>
      <c r="C776" s="40" t="s">
        <v>845</v>
      </c>
      <c r="D776" s="40" t="str">
        <f>VLOOKUP(E776,Sheet3!$A$2:$D$6338,2,0)</f>
        <v>Lê Duy Long</v>
      </c>
      <c r="E776" s="44" t="s">
        <v>7976</v>
      </c>
      <c r="F776" s="44" t="str">
        <f t="shared" ref="F776:F783" si="20">"VN"&amp;RIGHT(E776,5)</f>
        <v>VN24994</v>
      </c>
      <c r="G776" s="295"/>
      <c r="H776" s="41" t="s">
        <v>67</v>
      </c>
      <c r="I776" s="95">
        <v>45602</v>
      </c>
      <c r="J776" s="122"/>
      <c r="K776" s="122"/>
      <c r="L776" s="147" t="str">
        <f>VLOOKUP(E776,DS!$A$2:$E$4398, 5, 0)</f>
        <v>KTKP</v>
      </c>
      <c r="M776" s="148"/>
      <c r="N776" s="92" t="e">
        <f>VLOOKUP(Table1[[#This Row],[USER]],[1]!Table145678910111213141545678910111213146[[#All],[No.]:[Delete]],2,0)</f>
        <v>#N/A</v>
      </c>
    </row>
    <row r="777" spans="1:14">
      <c r="A777" s="93">
        <v>764</v>
      </c>
      <c r="B777" s="102">
        <v>2</v>
      </c>
      <c r="C777" s="40" t="s">
        <v>845</v>
      </c>
      <c r="D777" s="40" t="str">
        <f>VLOOKUP(E777,Sheet3!$A$2:$D$6338,2,0)</f>
        <v>Nguyễn Viết Việt</v>
      </c>
      <c r="E777" s="44" t="s">
        <v>7977</v>
      </c>
      <c r="F777" s="44" t="str">
        <f t="shared" si="20"/>
        <v>VN25022</v>
      </c>
      <c r="G777" s="295"/>
      <c r="H777" s="41" t="s">
        <v>67</v>
      </c>
      <c r="I777" s="95">
        <v>45602</v>
      </c>
      <c r="J777" s="122">
        <v>45980</v>
      </c>
      <c r="K777" s="122"/>
      <c r="L777" s="147" t="e">
        <f>VLOOKUP(E777,DS!$A$2:$E$4398, 5, 0)</f>
        <v>#N/A</v>
      </c>
      <c r="M777" s="148"/>
      <c r="N777" s="92" t="e">
        <f>VLOOKUP(Table1[[#This Row],[USER]],[1]!Table145678910111213141545678910111213146[[#All],[No.]:[Delete]],2,0)</f>
        <v>#N/A</v>
      </c>
    </row>
    <row r="778" spans="1:14">
      <c r="A778" s="93">
        <v>765</v>
      </c>
      <c r="B778" s="102">
        <v>1</v>
      </c>
      <c r="C778" s="40" t="s">
        <v>263</v>
      </c>
      <c r="D778" s="40" t="str">
        <f>VLOOKUP(E778,Sheet3!$A$2:$D$6338,2,0)</f>
        <v>Nguyễn Thanh Xuân</v>
      </c>
      <c r="E778" s="44" t="s">
        <v>8008</v>
      </c>
      <c r="F778" s="44" t="str">
        <f t="shared" si="20"/>
        <v>VN25814</v>
      </c>
      <c r="G778" s="295"/>
      <c r="H778" s="41" t="s">
        <v>67</v>
      </c>
      <c r="I778" s="95">
        <v>45720</v>
      </c>
      <c r="J778" s="122"/>
      <c r="K778" s="122"/>
      <c r="L778" s="147" t="str">
        <f>VLOOKUP(E778,DS!$A$2:$E$4398, 5, 0)</f>
        <v xml:space="preserve">VP.TGĐ </v>
      </c>
      <c r="M778" s="148"/>
      <c r="N778" s="92" t="e">
        <f>VLOOKUP(Table1[[#This Row],[USER]],[1]!Table145678910111213141545678910111213146[[#All],[No.]:[Delete]],2,0)</f>
        <v>#N/A</v>
      </c>
    </row>
    <row r="779" spans="1:14">
      <c r="A779" s="93">
        <v>766</v>
      </c>
      <c r="B779" s="102"/>
      <c r="C779" s="90" t="s">
        <v>842</v>
      </c>
      <c r="D779" s="40" t="str">
        <f>VLOOKUP(E779,Sheet3!$A$2:$D$6338,2,0)</f>
        <v>Phùng Thị Thúy Hạnh</v>
      </c>
      <c r="E779" s="44" t="s">
        <v>8395</v>
      </c>
      <c r="F779" s="44" t="str">
        <f t="shared" si="20"/>
        <v>VN26041</v>
      </c>
      <c r="G779" s="295"/>
      <c r="H779" s="41" t="s">
        <v>67</v>
      </c>
      <c r="I779" s="95">
        <v>45821</v>
      </c>
      <c r="J779" s="122"/>
      <c r="K779" s="122"/>
      <c r="L779" s="147" t="str">
        <f>VLOOKUP(E779,DS!$A$2:$E$4398, 5, 0)</f>
        <v>Dập X5</v>
      </c>
      <c r="M779" s="148"/>
      <c r="N779" s="92" t="e">
        <f>VLOOKUP(Table1[[#This Row],[USER]],[1]!Table145678910111213141545678910111213146[[#All],[No.]:[Delete]],2,0)</f>
        <v>#N/A</v>
      </c>
    </row>
    <row r="780" spans="1:14">
      <c r="A780" s="93">
        <v>767</v>
      </c>
      <c r="B780" s="102"/>
      <c r="C780" s="40" t="s">
        <v>7927</v>
      </c>
      <c r="D780" s="40" t="str">
        <f>VLOOKUP(E780,Sheet3!$A$2:$D$6338,2,0)</f>
        <v>Chu Ngọc Lư</v>
      </c>
      <c r="E780" s="44" t="s">
        <v>8403</v>
      </c>
      <c r="F780" s="44" t="str">
        <f>"VN"&amp;RIGHT(E780,5)</f>
        <v>VN02716</v>
      </c>
      <c r="G780" s="295"/>
      <c r="H780" s="180" t="s">
        <v>642</v>
      </c>
      <c r="I780" s="95">
        <v>45841</v>
      </c>
      <c r="J780" s="122"/>
      <c r="K780" s="122"/>
      <c r="L780" s="147" t="s">
        <v>8402</v>
      </c>
      <c r="M780" s="148"/>
      <c r="N780" s="92" t="e">
        <f>VLOOKUP(Table1[[#This Row],[USER]],[1]!Table145678910111213141545678910111213146[[#All],[No.]:[Delete]],2,0)</f>
        <v>#N/A</v>
      </c>
    </row>
    <row r="781" spans="1:14">
      <c r="A781" s="93">
        <v>768</v>
      </c>
      <c r="B781" s="102"/>
      <c r="C781" s="40" t="s">
        <v>875</v>
      </c>
      <c r="D781" s="40" t="str">
        <f>VLOOKUP(E781,Sheet3!$A$2:$D$6338,2,0)</f>
        <v>Trần Thị Phương Huyền</v>
      </c>
      <c r="E781" s="44" t="s">
        <v>8484</v>
      </c>
      <c r="F781" s="44" t="str">
        <f t="shared" si="20"/>
        <v>VN26156</v>
      </c>
      <c r="G781" s="295"/>
      <c r="H781" s="41" t="s">
        <v>67</v>
      </c>
      <c r="I781" s="95">
        <v>45870</v>
      </c>
      <c r="J781" s="122"/>
      <c r="K781" s="122"/>
      <c r="L781" s="147" t="str">
        <f>VLOOKUP(E781,DS!$A$2:$E$4398, 5, 0)</f>
        <v>Thu mua</v>
      </c>
      <c r="M781" s="148"/>
      <c r="N781" s="92" t="e">
        <f>VLOOKUP(Table1[[#This Row],[USER]],[1]!Table145678910111213141545678910111213146[[#All],[No.]:[Delete]],2,0)</f>
        <v>#N/A</v>
      </c>
    </row>
    <row r="782" spans="1:14">
      <c r="A782" s="93">
        <v>769</v>
      </c>
      <c r="B782" s="102"/>
      <c r="C782" s="40" t="s">
        <v>51</v>
      </c>
      <c r="D782" s="40" t="str">
        <f>VLOOKUP(E782,Sheet3!$A$2:$D$6338,2,0)</f>
        <v>Lê Minh Kiên</v>
      </c>
      <c r="E782" s="44" t="s">
        <v>8485</v>
      </c>
      <c r="F782" s="44" t="str">
        <f t="shared" si="20"/>
        <v>VN26223</v>
      </c>
      <c r="G782" s="295"/>
      <c r="H782" s="180" t="s">
        <v>642</v>
      </c>
      <c r="I782" s="95">
        <v>45875</v>
      </c>
      <c r="J782" s="122"/>
      <c r="K782" s="122"/>
      <c r="L782" s="147" t="str">
        <f>VLOOKUP(E782,DS!$A$2:$E$4398, 5, 0)</f>
        <v>Máy tính</v>
      </c>
      <c r="M782" s="148"/>
      <c r="N782" s="92" t="e">
        <f>VLOOKUP(Table1[[#This Row],[USER]],[1]!Table145678910111213141545678910111213146[[#All],[No.]:[Delete]],2,0)</f>
        <v>#N/A</v>
      </c>
    </row>
    <row r="783" spans="1:14">
      <c r="A783" s="93">
        <v>770</v>
      </c>
      <c r="B783" s="102"/>
      <c r="C783" s="40" t="s">
        <v>841</v>
      </c>
      <c r="D783" s="40" t="str">
        <f>VLOOKUP(E783,Sheet3!$A$2:$D$6338,2,0)</f>
        <v>Kim Thị Dung</v>
      </c>
      <c r="E783" s="44" t="s">
        <v>8540</v>
      </c>
      <c r="F783" s="44" t="str">
        <f t="shared" si="20"/>
        <v>VN26071</v>
      </c>
      <c r="G783" s="295"/>
      <c r="H783" s="180" t="s">
        <v>8541</v>
      </c>
      <c r="I783" s="95">
        <v>45889</v>
      </c>
      <c r="J783" s="122"/>
      <c r="K783" s="122"/>
      <c r="L783" s="147" t="str">
        <f>VLOOKUP(E783,DS!$A$2:$E$4398, 5, 0)</f>
        <v>Dập X4</v>
      </c>
      <c r="M783" s="148"/>
      <c r="N783" s="92" t="e">
        <f>VLOOKUP(Table1[[#This Row],[USER]],[1]!Table145678910111213141545678910111213146[[#All],[No.]:[Delete]],2,0)</f>
        <v>#N/A</v>
      </c>
    </row>
    <row r="784" spans="1:14">
      <c r="A784" s="93">
        <v>771</v>
      </c>
      <c r="B784" s="114"/>
      <c r="C784" s="161" t="s">
        <v>7818</v>
      </c>
      <c r="D784" s="40" t="str">
        <f>VLOOKUP(E784,Sheet3!$A$2:$D$6338,2,0)</f>
        <v>Nguyễn Văn Tấn</v>
      </c>
      <c r="E784" s="44" t="s">
        <v>8542</v>
      </c>
      <c r="F784" s="112" t="str">
        <f t="shared" ref="F784:F791" si="21">"VN"&amp;RIGHT(E784,5)</f>
        <v>VN07045</v>
      </c>
      <c r="G784" s="277"/>
      <c r="H784" s="180" t="s">
        <v>8541</v>
      </c>
      <c r="I784" s="95">
        <v>45889</v>
      </c>
      <c r="J784" s="122"/>
      <c r="K784" s="122"/>
      <c r="L784" s="147" t="str">
        <f>VLOOKUP(E784,DS!$A$2:$E$4398, 5, 0)</f>
        <v>Hàn X5A</v>
      </c>
      <c r="M784" s="150"/>
      <c r="N784" s="92" t="e">
        <f>VLOOKUP(Table1[[#This Row],[USER]],[1]!Table145678910111213141545678910111213146[[#All],[No.]:[Delete]],2,0)</f>
        <v>#N/A</v>
      </c>
    </row>
    <row r="785" spans="1:14">
      <c r="A785" s="93">
        <v>772</v>
      </c>
      <c r="C785" s="292" t="s">
        <v>7929</v>
      </c>
      <c r="D785" s="40" t="str">
        <f>VLOOKUP(E785,Sheet3!$A$2:$D$6338,2,0)</f>
        <v>Đào Văn Thanh</v>
      </c>
      <c r="E785" s="282" t="s">
        <v>8805</v>
      </c>
      <c r="F785" s="283" t="s">
        <v>8806</v>
      </c>
      <c r="G785" s="283"/>
      <c r="H785" s="283" t="s">
        <v>67</v>
      </c>
      <c r="I785" s="284" t="s">
        <v>8807</v>
      </c>
      <c r="J785" s="285"/>
      <c r="K785" s="285"/>
      <c r="L785" s="285" t="s">
        <v>985</v>
      </c>
      <c r="M785" s="272"/>
      <c r="N785" s="92" t="e">
        <f>VLOOKUP(Table1[[#This Row],[USER]],[1]!Table145678910111213141545678910111213146[[#All],[No.]:[Delete]],2,0)</f>
        <v>#N/A</v>
      </c>
    </row>
    <row r="786" spans="1:14">
      <c r="A786" s="93">
        <v>773</v>
      </c>
      <c r="C786" s="292" t="s">
        <v>849</v>
      </c>
      <c r="D786" s="40" t="e">
        <f>VLOOKUP(E786,Sheet3!$A$2:$D$6338,2,0)</f>
        <v>#N/A</v>
      </c>
      <c r="E786" s="282" t="s">
        <v>17232</v>
      </c>
      <c r="F786" s="283" t="s">
        <v>8808</v>
      </c>
      <c r="G786" s="283"/>
      <c r="H786" s="286" t="s">
        <v>67</v>
      </c>
      <c r="I786" s="284" t="s">
        <v>8809</v>
      </c>
      <c r="J786" s="285"/>
      <c r="K786" s="285"/>
      <c r="L786" s="285" t="s">
        <v>1004</v>
      </c>
      <c r="M786" s="272"/>
      <c r="N786" s="92" t="e">
        <f>VLOOKUP(Table1[[#This Row],[USER]],[1]!Table145678910111213141545678910111213146[[#All],[No.]:[Delete]],2,0)</f>
        <v>#REF!</v>
      </c>
    </row>
    <row r="787" spans="1:14">
      <c r="C787" s="271"/>
      <c r="D787" s="271"/>
      <c r="E787" s="272"/>
      <c r="F787" s="272"/>
      <c r="G787" s="272"/>
      <c r="H787" s="272"/>
      <c r="I787" s="273"/>
      <c r="J787" s="274"/>
      <c r="K787" s="274"/>
      <c r="L787" s="274"/>
      <c r="M787" s="272"/>
      <c r="N787" s="92" t="e">
        <f>VLOOKUP(Table1[[#This Row],[USER]],[1]!Table145678910111213141545678910111213146[[#All],[No.]:[Delete]],2,0)</f>
        <v>#N/A</v>
      </c>
    </row>
    <row r="788" spans="1:14">
      <c r="C788" s="271"/>
      <c r="D788" s="271"/>
      <c r="E788" s="272"/>
      <c r="F788" s="272"/>
      <c r="G788" s="272"/>
      <c r="H788" s="272"/>
      <c r="I788" s="273"/>
      <c r="J788" s="274"/>
      <c r="K788" s="274"/>
      <c r="L788" s="274"/>
      <c r="M788" s="272"/>
      <c r="N788" s="92" t="e">
        <f>VLOOKUP(Table1[[#This Row],[USER]],[1]!Table145678910111213141545678910111213146[[#All],[No.]:[Delete]],2,0)</f>
        <v>#N/A</v>
      </c>
    </row>
    <row r="789" spans="1:14">
      <c r="C789" s="271"/>
      <c r="D789" s="271"/>
      <c r="E789" s="272"/>
      <c r="F789" s="272"/>
      <c r="G789" s="272"/>
      <c r="H789" s="272"/>
      <c r="I789" s="273"/>
      <c r="J789" s="274"/>
      <c r="K789" s="274"/>
      <c r="L789" s="274"/>
      <c r="M789" s="272"/>
      <c r="N789" s="92" t="e">
        <f>VLOOKUP(Table1[[#This Row],[USER]],[1]!Table145678910111213141545678910111213146[[#All],[No.]:[Delete]],2,0)</f>
        <v>#N/A</v>
      </c>
    </row>
    <row r="790" spans="1:14">
      <c r="C790" s="271"/>
      <c r="D790" s="271"/>
      <c r="E790" s="272"/>
      <c r="F790" s="272"/>
      <c r="G790" s="272"/>
      <c r="H790" s="272"/>
      <c r="I790" s="273"/>
      <c r="J790" s="274"/>
      <c r="K790" s="274"/>
      <c r="L790" s="274"/>
      <c r="M790" s="272"/>
      <c r="N790" s="92" t="e">
        <f>VLOOKUP(Table1[[#This Row],[USER]],[1]!Table145678910111213141545678910111213146[[#All],[No.]:[Delete]],2,0)</f>
        <v>#N/A</v>
      </c>
    </row>
    <row r="791" spans="1:14">
      <c r="A791" s="93">
        <v>753</v>
      </c>
      <c r="B791" s="269"/>
      <c r="C791" s="275"/>
      <c r="D791" s="276" t="e">
        <f>VLOOKUP(E791,DS!$A$2:$D$4398,3,0)</f>
        <v>#N/A</v>
      </c>
      <c r="E791" s="277"/>
      <c r="F791" s="277" t="str">
        <f t="shared" si="21"/>
        <v>VN</v>
      </c>
      <c r="G791" s="277"/>
      <c r="H791" s="278"/>
      <c r="I791" s="279"/>
      <c r="J791" s="280"/>
      <c r="K791" s="280"/>
      <c r="L791" s="280" t="e">
        <f>VLOOKUP(E791,DS!$A$2:$E$4398, 5, 0)</f>
        <v>#N/A</v>
      </c>
      <c r="M791" s="281"/>
      <c r="N791" s="92" t="e">
        <f>VLOOKUP(Table1[[#This Row],[USER]],[1]!Table145678910111213141545678910111213146[[#All],[No.]:[Delete]],2,0)</f>
        <v>#N/A</v>
      </c>
    </row>
    <row r="792" spans="1:14">
      <c r="A792" s="110"/>
      <c r="B792" s="270"/>
      <c r="C792" s="271"/>
      <c r="D792" s="271"/>
      <c r="E792" s="272"/>
      <c r="F792" s="272"/>
      <c r="G792" s="272"/>
      <c r="H792" s="272"/>
      <c r="I792" s="273"/>
      <c r="J792" s="274"/>
      <c r="K792" s="274"/>
      <c r="L792" s="274"/>
      <c r="M792" s="272"/>
    </row>
    <row r="793" spans="1:14">
      <c r="A793" s="110"/>
      <c r="B793" s="270"/>
      <c r="C793" s="271"/>
      <c r="D793" s="271"/>
      <c r="E793" s="272"/>
      <c r="F793" s="272"/>
      <c r="G793" s="272"/>
      <c r="H793" s="272"/>
      <c r="I793" s="273"/>
      <c r="J793" s="274"/>
      <c r="K793" s="274"/>
      <c r="L793" s="274"/>
      <c r="M793" s="272"/>
    </row>
    <row r="794" spans="1:14">
      <c r="A794" s="110"/>
      <c r="B794" s="270"/>
      <c r="C794" s="271"/>
      <c r="D794" s="271"/>
      <c r="E794" s="272"/>
      <c r="F794" s="272"/>
      <c r="G794" s="272"/>
      <c r="H794" s="272"/>
      <c r="I794" s="273"/>
      <c r="J794" s="274"/>
      <c r="K794" s="274"/>
      <c r="L794" s="274"/>
      <c r="M794" s="272"/>
    </row>
    <row r="795" spans="1:14">
      <c r="A795" s="110"/>
      <c r="B795" s="270"/>
      <c r="C795" s="271"/>
      <c r="D795" s="271"/>
      <c r="E795" s="272"/>
      <c r="F795" s="272"/>
      <c r="G795" s="272"/>
      <c r="H795" s="272"/>
      <c r="I795" s="273"/>
      <c r="J795" s="274"/>
      <c r="K795" s="274"/>
      <c r="L795" s="274"/>
      <c r="M795" s="272"/>
    </row>
    <row r="796" spans="1:14">
      <c r="A796" s="110"/>
      <c r="B796" s="270"/>
      <c r="C796" s="271"/>
      <c r="D796" s="271"/>
      <c r="E796" s="272"/>
      <c r="F796" s="272"/>
      <c r="G796" s="272"/>
      <c r="H796" s="272"/>
      <c r="I796" s="273"/>
      <c r="J796" s="274"/>
      <c r="K796" s="274"/>
      <c r="L796" s="274"/>
      <c r="M796" s="272"/>
    </row>
    <row r="797" spans="1:14">
      <c r="A797" s="110"/>
      <c r="B797" s="270"/>
      <c r="C797" s="271"/>
      <c r="D797" s="271"/>
      <c r="E797" s="272"/>
      <c r="F797" s="272"/>
      <c r="G797" s="272"/>
      <c r="H797" s="272"/>
      <c r="I797" s="273"/>
      <c r="J797" s="274"/>
      <c r="K797" s="274"/>
      <c r="L797" s="274"/>
      <c r="M797" s="272"/>
    </row>
    <row r="798" spans="1:14">
      <c r="A798" s="110"/>
      <c r="B798" s="270"/>
      <c r="C798" s="271"/>
      <c r="D798" s="271"/>
      <c r="E798" s="272"/>
      <c r="F798" s="272"/>
      <c r="G798" s="272"/>
      <c r="H798" s="272"/>
      <c r="I798" s="273"/>
      <c r="J798" s="274"/>
      <c r="K798" s="274"/>
      <c r="L798" s="274"/>
      <c r="M798" s="272"/>
    </row>
    <row r="799" spans="1:14">
      <c r="A799" s="110"/>
      <c r="B799" s="270"/>
      <c r="C799" s="271"/>
      <c r="D799" s="271"/>
      <c r="E799" s="272"/>
      <c r="F799" s="272"/>
      <c r="G799" s="272"/>
      <c r="H799" s="272"/>
      <c r="I799" s="273"/>
      <c r="J799" s="274"/>
      <c r="K799" s="274"/>
      <c r="L799" s="274"/>
      <c r="M799" s="272"/>
    </row>
  </sheetData>
  <phoneticPr fontId="26" type="noConversion"/>
  <conditionalFormatting sqref="E107:E109">
    <cfRule type="duplicateValues" dxfId="64" priority="3"/>
  </conditionalFormatting>
  <conditionalFormatting sqref="E134:E135">
    <cfRule type="duplicateValues" dxfId="63" priority="5"/>
  </conditionalFormatting>
  <conditionalFormatting sqref="E704:E709">
    <cfRule type="duplicateValues" dxfId="62" priority="19"/>
  </conditionalFormatting>
  <conditionalFormatting sqref="E768:E769">
    <cfRule type="duplicateValues" dxfId="61" priority="4"/>
  </conditionalFormatting>
  <conditionalFormatting sqref="E785:E786">
    <cfRule type="duplicateValues" dxfId="60" priority="1"/>
  </conditionalFormatting>
  <conditionalFormatting sqref="E791:E1048576 E770:E784 E1:E106 E110:E133 E710:E767 E456:E703 E136:E449">
    <cfRule type="duplicateValues" dxfId="59" priority="9"/>
  </conditionalFormatting>
  <conditionalFormatting sqref="F302:G305">
    <cfRule type="duplicateValues" dxfId="58" priority="2"/>
  </conditionalFormatting>
  <hyperlinks>
    <hyperlink ref="H333" r:id="rId1" xr:uid="{00000000-0004-0000-0100-000000000000}"/>
    <hyperlink ref="H776" r:id="rId2" xr:uid="{00000000-0004-0000-0100-000001000000}"/>
    <hyperlink ref="H777" r:id="rId3" xr:uid="{00000000-0004-0000-0100-000002000000}"/>
    <hyperlink ref="H778" r:id="rId4" xr:uid="{00000000-0004-0000-0100-000003000000}"/>
    <hyperlink ref="H781" r:id="rId5" xr:uid="{00000000-0004-0000-0100-000004000000}"/>
    <hyperlink ref="H780" r:id="rId6" xr:uid="{4EBAFDB4-6E85-4BA4-B36B-AF8781E7336F}"/>
    <hyperlink ref="H779" r:id="rId7" xr:uid="{B11A5C37-9A49-499A-BC9C-9A741EDA7712}"/>
    <hyperlink ref="H782" r:id="rId8" xr:uid="{4D5F0662-005B-49F3-ACD0-BE94C4D20F04}"/>
    <hyperlink ref="H154" r:id="rId9" xr:uid="{BB0CC141-090F-41CB-BA6D-B85710E27F04}"/>
    <hyperlink ref="H783" r:id="rId10" xr:uid="{421A7CE1-67E1-41CE-9F47-889849E87E59}"/>
    <hyperlink ref="H784" r:id="rId11" xr:uid="{FDE74590-2773-4281-A0AB-9D111A56EB6B}"/>
    <hyperlink ref="H786" r:id="rId12" xr:uid="{6E69C5B4-B28F-4A4D-8C7E-B58AB3DFB584}"/>
  </hyperlinks>
  <pageMargins left="0.7" right="0.7" top="0.75" bottom="0.75" header="0.3" footer="0.3"/>
  <pageSetup paperSize="9" orientation="portrait" r:id="rId13"/>
  <tableParts count="1"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F91B4-B492-4305-83DE-F19D56BE8AC2}">
  <dimension ref="A1:B6338"/>
  <sheetViews>
    <sheetView topLeftCell="A6312" workbookViewId="0">
      <selection activeCell="D15" sqref="D15"/>
    </sheetView>
  </sheetViews>
  <sheetFormatPr defaultRowHeight="15"/>
  <cols>
    <col min="1" max="1" width="9.140625" style="387"/>
    <col min="2" max="2" width="24" style="387" customWidth="1"/>
    <col min="3" max="16384" width="9.140625" style="387"/>
  </cols>
  <sheetData>
    <row r="1" spans="1:2">
      <c r="A1" s="387" t="s">
        <v>10852</v>
      </c>
      <c r="B1" s="387" t="s">
        <v>10853</v>
      </c>
    </row>
    <row r="2" spans="1:2">
      <c r="A2" s="387" t="s">
        <v>749</v>
      </c>
      <c r="B2" s="387" t="s">
        <v>750</v>
      </c>
    </row>
    <row r="3" spans="1:2">
      <c r="A3" s="387" t="s">
        <v>699</v>
      </c>
      <c r="B3" s="387" t="s">
        <v>700</v>
      </c>
    </row>
    <row r="4" spans="1:2">
      <c r="A4" s="387" t="s">
        <v>706</v>
      </c>
      <c r="B4" s="387" t="s">
        <v>707</v>
      </c>
    </row>
    <row r="5" spans="1:2">
      <c r="A5" s="387" t="s">
        <v>316</v>
      </c>
      <c r="B5" s="387" t="s">
        <v>1027</v>
      </c>
    </row>
    <row r="6" spans="1:2">
      <c r="A6" s="387" t="s">
        <v>10854</v>
      </c>
      <c r="B6" s="387" t="s">
        <v>1109</v>
      </c>
    </row>
    <row r="7" spans="1:2">
      <c r="A7" s="387" t="s">
        <v>10855</v>
      </c>
      <c r="B7" s="387" t="s">
        <v>10856</v>
      </c>
    </row>
    <row r="8" spans="1:2">
      <c r="A8" s="387" t="s">
        <v>10857</v>
      </c>
      <c r="B8" s="387" t="s">
        <v>1761</v>
      </c>
    </row>
    <row r="9" spans="1:2">
      <c r="A9" s="387" t="s">
        <v>10858</v>
      </c>
      <c r="B9" s="387" t="s">
        <v>2551</v>
      </c>
    </row>
    <row r="10" spans="1:2">
      <c r="A10" s="387" t="s">
        <v>10859</v>
      </c>
      <c r="B10" s="387" t="s">
        <v>2348</v>
      </c>
    </row>
    <row r="11" spans="1:2">
      <c r="A11" s="387" t="s">
        <v>10860</v>
      </c>
      <c r="B11" s="387" t="s">
        <v>6216</v>
      </c>
    </row>
    <row r="12" spans="1:2">
      <c r="A12" s="387" t="s">
        <v>10861</v>
      </c>
      <c r="B12" s="387" t="s">
        <v>6557</v>
      </c>
    </row>
    <row r="13" spans="1:2">
      <c r="A13" s="387" t="s">
        <v>10862</v>
      </c>
      <c r="B13" s="387" t="s">
        <v>1645</v>
      </c>
    </row>
    <row r="14" spans="1:2">
      <c r="A14" s="387" t="s">
        <v>10863</v>
      </c>
      <c r="B14" s="387" t="s">
        <v>8085</v>
      </c>
    </row>
    <row r="15" spans="1:2">
      <c r="A15" s="387" t="s">
        <v>10864</v>
      </c>
      <c r="B15" s="387" t="s">
        <v>949</v>
      </c>
    </row>
    <row r="16" spans="1:2">
      <c r="A16" s="387" t="s">
        <v>10865</v>
      </c>
      <c r="B16" s="387" t="s">
        <v>1273</v>
      </c>
    </row>
    <row r="17" spans="1:2">
      <c r="A17" s="387" t="s">
        <v>10866</v>
      </c>
      <c r="B17" s="387" t="s">
        <v>1661</v>
      </c>
    </row>
    <row r="18" spans="1:2">
      <c r="A18" s="387" t="s">
        <v>10867</v>
      </c>
      <c r="B18" s="387" t="s">
        <v>2132</v>
      </c>
    </row>
    <row r="19" spans="1:2">
      <c r="A19" s="387" t="s">
        <v>10868</v>
      </c>
      <c r="B19" s="387" t="s">
        <v>932</v>
      </c>
    </row>
    <row r="20" spans="1:2">
      <c r="A20" s="387" t="s">
        <v>10869</v>
      </c>
      <c r="B20" s="387" t="s">
        <v>1035</v>
      </c>
    </row>
    <row r="21" spans="1:2">
      <c r="A21" s="387" t="s">
        <v>10870</v>
      </c>
      <c r="B21" s="387" t="s">
        <v>996</v>
      </c>
    </row>
    <row r="22" spans="1:2">
      <c r="A22" s="387" t="s">
        <v>328</v>
      </c>
      <c r="B22" s="387" t="s">
        <v>6515</v>
      </c>
    </row>
    <row r="23" spans="1:2">
      <c r="A23" s="387" t="s">
        <v>10871</v>
      </c>
      <c r="B23" s="387" t="s">
        <v>7765</v>
      </c>
    </row>
    <row r="24" spans="1:2">
      <c r="A24" s="387" t="s">
        <v>319</v>
      </c>
      <c r="B24" s="387" t="s">
        <v>1046</v>
      </c>
    </row>
    <row r="25" spans="1:2">
      <c r="A25" s="387" t="s">
        <v>313</v>
      </c>
      <c r="B25" s="387" t="s">
        <v>1985</v>
      </c>
    </row>
    <row r="26" spans="1:2">
      <c r="A26" s="387" t="s">
        <v>329</v>
      </c>
      <c r="B26" s="387" t="s">
        <v>3836</v>
      </c>
    </row>
    <row r="27" spans="1:2">
      <c r="A27" s="387" t="s">
        <v>323</v>
      </c>
      <c r="B27" s="387" t="s">
        <v>3981</v>
      </c>
    </row>
    <row r="28" spans="1:2">
      <c r="A28" s="387" t="s">
        <v>8638</v>
      </c>
      <c r="B28" s="387" t="s">
        <v>5756</v>
      </c>
    </row>
    <row r="29" spans="1:2">
      <c r="A29" s="387" t="s">
        <v>10872</v>
      </c>
      <c r="B29" s="387" t="s">
        <v>3570</v>
      </c>
    </row>
    <row r="30" spans="1:2">
      <c r="A30" s="387" t="s">
        <v>320</v>
      </c>
      <c r="B30" s="387" t="s">
        <v>1430</v>
      </c>
    </row>
    <row r="31" spans="1:2">
      <c r="A31" s="387" t="s">
        <v>8668</v>
      </c>
      <c r="B31" s="387" t="s">
        <v>1500</v>
      </c>
    </row>
    <row r="32" spans="1:2">
      <c r="A32" s="387" t="s">
        <v>327</v>
      </c>
      <c r="B32" s="387" t="s">
        <v>4094</v>
      </c>
    </row>
    <row r="33" spans="1:2">
      <c r="A33" s="387" t="s">
        <v>8686</v>
      </c>
      <c r="B33" s="387" t="s">
        <v>8687</v>
      </c>
    </row>
    <row r="34" spans="1:2">
      <c r="A34" s="387" t="s">
        <v>316</v>
      </c>
      <c r="B34" s="387" t="s">
        <v>1027</v>
      </c>
    </row>
    <row r="35" spans="1:2">
      <c r="A35" s="387" t="s">
        <v>315</v>
      </c>
      <c r="B35" s="387" t="s">
        <v>1237</v>
      </c>
    </row>
    <row r="36" spans="1:2">
      <c r="A36" s="387" t="s">
        <v>318</v>
      </c>
      <c r="B36" s="387" t="s">
        <v>1440</v>
      </c>
    </row>
    <row r="37" spans="1:2">
      <c r="A37" s="387" t="s">
        <v>317</v>
      </c>
      <c r="B37" s="387" t="s">
        <v>2244</v>
      </c>
    </row>
    <row r="38" spans="1:2">
      <c r="A38" s="387" t="s">
        <v>321</v>
      </c>
      <c r="B38" s="387" t="s">
        <v>2246</v>
      </c>
    </row>
    <row r="39" spans="1:2">
      <c r="A39" s="387" t="s">
        <v>322</v>
      </c>
      <c r="B39" s="387" t="s">
        <v>5782</v>
      </c>
    </row>
    <row r="40" spans="1:2">
      <c r="A40" s="387" t="s">
        <v>314</v>
      </c>
      <c r="B40" s="387" t="s">
        <v>4665</v>
      </c>
    </row>
    <row r="41" spans="1:2">
      <c r="A41" s="387" t="s">
        <v>324</v>
      </c>
      <c r="B41" s="387" t="s">
        <v>4790</v>
      </c>
    </row>
    <row r="42" spans="1:2">
      <c r="A42" s="387" t="s">
        <v>325</v>
      </c>
      <c r="B42" s="387" t="s">
        <v>6676</v>
      </c>
    </row>
    <row r="43" spans="1:2">
      <c r="A43" s="387" t="s">
        <v>833</v>
      </c>
      <c r="B43" s="387" t="s">
        <v>8170</v>
      </c>
    </row>
    <row r="44" spans="1:2">
      <c r="A44" s="387" t="s">
        <v>7984</v>
      </c>
      <c r="B44" s="387" t="s">
        <v>8098</v>
      </c>
    </row>
    <row r="45" spans="1:2">
      <c r="A45" s="387" t="s">
        <v>10873</v>
      </c>
      <c r="B45" s="387" t="s">
        <v>10874</v>
      </c>
    </row>
    <row r="46" spans="1:2">
      <c r="A46" s="387" t="s">
        <v>8677</v>
      </c>
      <c r="B46" s="387" t="s">
        <v>8687</v>
      </c>
    </row>
    <row r="47" spans="1:2">
      <c r="A47" s="387" t="s">
        <v>10875</v>
      </c>
      <c r="B47" s="387" t="s">
        <v>10876</v>
      </c>
    </row>
    <row r="48" spans="1:2">
      <c r="A48" s="387" t="s">
        <v>10877</v>
      </c>
      <c r="B48" s="387" t="s">
        <v>3039</v>
      </c>
    </row>
    <row r="49" spans="1:2">
      <c r="A49" s="387" t="s">
        <v>10878</v>
      </c>
      <c r="B49" s="387" t="s">
        <v>1442</v>
      </c>
    </row>
    <row r="50" spans="1:2">
      <c r="A50" s="387" t="s">
        <v>330</v>
      </c>
      <c r="B50" s="387" t="s">
        <v>1546</v>
      </c>
    </row>
    <row r="51" spans="1:2">
      <c r="A51" s="387" t="s">
        <v>331</v>
      </c>
      <c r="B51" s="387" t="s">
        <v>2250</v>
      </c>
    </row>
    <row r="52" spans="1:2">
      <c r="A52" s="387" t="s">
        <v>335</v>
      </c>
      <c r="B52" s="387" t="s">
        <v>1407</v>
      </c>
    </row>
    <row r="53" spans="1:2">
      <c r="A53" s="387" t="s">
        <v>10879</v>
      </c>
      <c r="B53" s="387" t="s">
        <v>5016</v>
      </c>
    </row>
    <row r="54" spans="1:2">
      <c r="A54" s="387" t="s">
        <v>332</v>
      </c>
      <c r="B54" s="387" t="s">
        <v>5413</v>
      </c>
    </row>
    <row r="55" spans="1:2">
      <c r="A55" s="387" t="s">
        <v>10880</v>
      </c>
      <c r="B55" s="387" t="s">
        <v>6313</v>
      </c>
    </row>
    <row r="56" spans="1:2">
      <c r="A56" s="387" t="s">
        <v>336</v>
      </c>
      <c r="B56" s="387" t="s">
        <v>1088</v>
      </c>
    </row>
    <row r="57" spans="1:2">
      <c r="A57" s="387" t="s">
        <v>334</v>
      </c>
      <c r="B57" s="387" t="s">
        <v>3254</v>
      </c>
    </row>
    <row r="58" spans="1:2">
      <c r="A58" s="387" t="s">
        <v>10881</v>
      </c>
      <c r="B58" s="387" t="s">
        <v>10882</v>
      </c>
    </row>
    <row r="59" spans="1:2">
      <c r="A59" s="387" t="s">
        <v>10883</v>
      </c>
      <c r="B59" s="387" t="s">
        <v>10884</v>
      </c>
    </row>
    <row r="60" spans="1:2">
      <c r="A60" s="387" t="s">
        <v>10885</v>
      </c>
      <c r="B60" s="387" t="s">
        <v>10886</v>
      </c>
    </row>
    <row r="61" spans="1:2">
      <c r="A61" s="387" t="s">
        <v>10887</v>
      </c>
      <c r="B61" s="387" t="s">
        <v>7537</v>
      </c>
    </row>
    <row r="62" spans="1:2">
      <c r="A62" s="387" t="s">
        <v>7806</v>
      </c>
      <c r="B62" s="387" t="s">
        <v>7909</v>
      </c>
    </row>
    <row r="63" spans="1:2">
      <c r="A63" s="387" t="s">
        <v>8651</v>
      </c>
      <c r="B63" s="387" t="s">
        <v>7921</v>
      </c>
    </row>
    <row r="64" spans="1:2">
      <c r="A64" s="387" t="s">
        <v>10888</v>
      </c>
      <c r="B64" s="387" t="s">
        <v>8162</v>
      </c>
    </row>
    <row r="65" spans="1:2">
      <c r="A65" s="387" t="s">
        <v>10889</v>
      </c>
      <c r="B65" s="387" t="s">
        <v>1175</v>
      </c>
    </row>
    <row r="66" spans="1:2">
      <c r="A66" s="387" t="s">
        <v>8001</v>
      </c>
      <c r="B66" s="387" t="s">
        <v>6293</v>
      </c>
    </row>
    <row r="67" spans="1:2">
      <c r="A67" s="387" t="s">
        <v>350</v>
      </c>
      <c r="B67" s="387" t="s">
        <v>1050</v>
      </c>
    </row>
    <row r="68" spans="1:2">
      <c r="A68" s="387" t="s">
        <v>353</v>
      </c>
      <c r="B68" s="387" t="s">
        <v>1659</v>
      </c>
    </row>
    <row r="69" spans="1:2">
      <c r="A69" s="387" t="s">
        <v>352</v>
      </c>
      <c r="B69" s="387" t="s">
        <v>1739</v>
      </c>
    </row>
    <row r="70" spans="1:2">
      <c r="A70" s="387" t="s">
        <v>351</v>
      </c>
      <c r="B70" s="387" t="s">
        <v>2633</v>
      </c>
    </row>
    <row r="71" spans="1:2">
      <c r="A71" s="387" t="s">
        <v>10890</v>
      </c>
      <c r="B71" s="387" t="s">
        <v>5152</v>
      </c>
    </row>
    <row r="72" spans="1:2">
      <c r="A72" s="387" t="s">
        <v>10891</v>
      </c>
      <c r="B72" s="387" t="s">
        <v>2084</v>
      </c>
    </row>
    <row r="73" spans="1:2">
      <c r="A73" s="387" t="s">
        <v>10892</v>
      </c>
      <c r="B73" s="387" t="s">
        <v>6275</v>
      </c>
    </row>
    <row r="74" spans="1:2">
      <c r="A74" s="387" t="s">
        <v>10893</v>
      </c>
      <c r="B74" s="387" t="s">
        <v>6267</v>
      </c>
    </row>
    <row r="75" spans="1:2">
      <c r="A75" s="387" t="s">
        <v>10894</v>
      </c>
      <c r="B75" s="387" t="s">
        <v>10895</v>
      </c>
    </row>
    <row r="76" spans="1:2">
      <c r="A76" s="387" t="s">
        <v>760</v>
      </c>
      <c r="B76" s="387" t="s">
        <v>761</v>
      </c>
    </row>
    <row r="77" spans="1:2">
      <c r="A77" s="387" t="s">
        <v>533</v>
      </c>
      <c r="B77" s="387" t="s">
        <v>1574</v>
      </c>
    </row>
    <row r="78" spans="1:2">
      <c r="A78" s="387" t="s">
        <v>10896</v>
      </c>
      <c r="B78" s="387" t="s">
        <v>10897</v>
      </c>
    </row>
    <row r="79" spans="1:2">
      <c r="A79" s="387" t="s">
        <v>527</v>
      </c>
      <c r="B79" s="387" t="s">
        <v>1500</v>
      </c>
    </row>
    <row r="80" spans="1:2">
      <c r="A80" s="387" t="s">
        <v>516</v>
      </c>
      <c r="B80" s="387" t="s">
        <v>9429</v>
      </c>
    </row>
    <row r="81" spans="1:2">
      <c r="A81" s="387" t="s">
        <v>528</v>
      </c>
      <c r="B81" s="387" t="s">
        <v>7215</v>
      </c>
    </row>
    <row r="82" spans="1:2">
      <c r="A82" s="387" t="s">
        <v>8027</v>
      </c>
      <c r="B82" s="387" t="s">
        <v>8226</v>
      </c>
    </row>
    <row r="83" spans="1:2">
      <c r="A83" s="387" t="s">
        <v>523</v>
      </c>
      <c r="B83" s="387" t="s">
        <v>1372</v>
      </c>
    </row>
    <row r="84" spans="1:2">
      <c r="A84" s="387" t="s">
        <v>522</v>
      </c>
      <c r="B84" s="387" t="s">
        <v>1576</v>
      </c>
    </row>
    <row r="85" spans="1:2">
      <c r="A85" s="387" t="s">
        <v>521</v>
      </c>
      <c r="B85" s="387" t="s">
        <v>3410</v>
      </c>
    </row>
    <row r="86" spans="1:2">
      <c r="A86" s="387" t="s">
        <v>526</v>
      </c>
      <c r="B86" s="387" t="s">
        <v>10898</v>
      </c>
    </row>
    <row r="87" spans="1:2">
      <c r="A87" s="387" t="s">
        <v>525</v>
      </c>
      <c r="B87" s="387" t="s">
        <v>1586</v>
      </c>
    </row>
    <row r="88" spans="1:2">
      <c r="A88" s="387" t="s">
        <v>529</v>
      </c>
      <c r="B88" s="387" t="s">
        <v>1939</v>
      </c>
    </row>
    <row r="89" spans="1:2">
      <c r="A89" s="387" t="s">
        <v>530</v>
      </c>
      <c r="B89" s="387" t="s">
        <v>2286</v>
      </c>
    </row>
    <row r="90" spans="1:2">
      <c r="A90" s="387" t="s">
        <v>524</v>
      </c>
      <c r="B90" s="387" t="s">
        <v>2411</v>
      </c>
    </row>
    <row r="91" spans="1:2">
      <c r="A91" s="387" t="s">
        <v>520</v>
      </c>
      <c r="B91" s="387" t="s">
        <v>3857</v>
      </c>
    </row>
    <row r="92" spans="1:2">
      <c r="A92" s="387" t="s">
        <v>10899</v>
      </c>
      <c r="B92" s="387" t="s">
        <v>7827</v>
      </c>
    </row>
    <row r="93" spans="1:2">
      <c r="A93" s="387" t="s">
        <v>517</v>
      </c>
      <c r="B93" s="387" t="s">
        <v>1086</v>
      </c>
    </row>
    <row r="94" spans="1:2">
      <c r="A94" s="387" t="s">
        <v>518</v>
      </c>
      <c r="B94" s="387" t="s">
        <v>3988</v>
      </c>
    </row>
    <row r="95" spans="1:2">
      <c r="A95" s="387" t="s">
        <v>519</v>
      </c>
      <c r="B95" s="387" t="s">
        <v>1530</v>
      </c>
    </row>
    <row r="96" spans="1:2">
      <c r="A96" s="387" t="s">
        <v>10900</v>
      </c>
      <c r="B96" s="387" t="s">
        <v>10901</v>
      </c>
    </row>
    <row r="97" spans="1:2">
      <c r="A97" s="387" t="s">
        <v>10902</v>
      </c>
      <c r="B97" s="387" t="s">
        <v>10903</v>
      </c>
    </row>
    <row r="98" spans="1:2">
      <c r="A98" s="387" t="s">
        <v>646</v>
      </c>
      <c r="B98" s="387" t="s">
        <v>1500</v>
      </c>
    </row>
    <row r="99" spans="1:2">
      <c r="A99" s="387" t="s">
        <v>641</v>
      </c>
      <c r="B99" s="387" t="s">
        <v>2112</v>
      </c>
    </row>
    <row r="100" spans="1:2">
      <c r="A100" s="387" t="s">
        <v>7975</v>
      </c>
      <c r="B100" s="387" t="s">
        <v>7784</v>
      </c>
    </row>
    <row r="101" spans="1:2">
      <c r="A101" s="387" t="s">
        <v>774</v>
      </c>
      <c r="B101" s="387" t="s">
        <v>775</v>
      </c>
    </row>
    <row r="102" spans="1:2">
      <c r="A102" s="387" t="s">
        <v>651</v>
      </c>
      <c r="B102" s="387" t="s">
        <v>1733</v>
      </c>
    </row>
    <row r="103" spans="1:2">
      <c r="A103" s="387" t="s">
        <v>644</v>
      </c>
      <c r="B103" s="387" t="s">
        <v>5451</v>
      </c>
    </row>
    <row r="104" spans="1:2">
      <c r="A104" s="387" t="s">
        <v>643</v>
      </c>
      <c r="B104" s="387" t="s">
        <v>1852</v>
      </c>
    </row>
    <row r="105" spans="1:2">
      <c r="A105" s="387" t="s">
        <v>645</v>
      </c>
      <c r="B105" s="387" t="s">
        <v>7438</v>
      </c>
    </row>
    <row r="106" spans="1:2">
      <c r="A106" s="387" t="s">
        <v>10904</v>
      </c>
      <c r="B106" s="387" t="s">
        <v>2340</v>
      </c>
    </row>
    <row r="107" spans="1:2">
      <c r="A107" s="387" t="s">
        <v>7981</v>
      </c>
      <c r="B107" s="387" t="s">
        <v>7983</v>
      </c>
    </row>
    <row r="108" spans="1:2">
      <c r="A108" s="387" t="s">
        <v>8485</v>
      </c>
      <c r="B108" s="387" t="s">
        <v>8530</v>
      </c>
    </row>
    <row r="109" spans="1:2">
      <c r="A109" s="387" t="s">
        <v>56</v>
      </c>
      <c r="B109" s="387" t="s">
        <v>5788</v>
      </c>
    </row>
    <row r="110" spans="1:2">
      <c r="A110" s="387" t="s">
        <v>652</v>
      </c>
      <c r="B110" s="387" t="s">
        <v>5949</v>
      </c>
    </row>
    <row r="111" spans="1:2">
      <c r="A111" s="387" t="s">
        <v>52</v>
      </c>
      <c r="B111" s="387" t="s">
        <v>6026</v>
      </c>
    </row>
    <row r="112" spans="1:2">
      <c r="A112" s="387" t="s">
        <v>648</v>
      </c>
      <c r="B112" s="387" t="s">
        <v>7515</v>
      </c>
    </row>
    <row r="113" spans="1:2">
      <c r="A113" s="387" t="s">
        <v>10904</v>
      </c>
      <c r="B113" s="387" t="s">
        <v>2340</v>
      </c>
    </row>
    <row r="114" spans="1:2">
      <c r="A114" s="387" t="s">
        <v>648</v>
      </c>
      <c r="B114" s="387" t="s">
        <v>7515</v>
      </c>
    </row>
    <row r="115" spans="1:2">
      <c r="A115" s="387" t="s">
        <v>8637</v>
      </c>
      <c r="B115" s="387" t="s">
        <v>8603</v>
      </c>
    </row>
    <row r="116" spans="1:2">
      <c r="A116" s="387" t="s">
        <v>647</v>
      </c>
      <c r="B116" s="387" t="s">
        <v>7517</v>
      </c>
    </row>
    <row r="117" spans="1:2">
      <c r="A117" s="387" t="s">
        <v>10905</v>
      </c>
      <c r="B117" s="387" t="s">
        <v>3197</v>
      </c>
    </row>
    <row r="118" spans="1:2">
      <c r="A118" s="387" t="s">
        <v>8007</v>
      </c>
      <c r="B118" s="387" t="s">
        <v>8260</v>
      </c>
    </row>
    <row r="119" spans="1:2">
      <c r="A119" s="387" t="s">
        <v>651</v>
      </c>
      <c r="B119" s="387" t="s">
        <v>1733</v>
      </c>
    </row>
    <row r="120" spans="1:2">
      <c r="A120" s="387" t="s">
        <v>55</v>
      </c>
      <c r="B120" s="387" t="s">
        <v>5187</v>
      </c>
    </row>
    <row r="121" spans="1:2">
      <c r="A121" s="387" t="s">
        <v>56</v>
      </c>
      <c r="B121" s="387" t="s">
        <v>5788</v>
      </c>
    </row>
    <row r="122" spans="1:2">
      <c r="A122" s="387" t="s">
        <v>54</v>
      </c>
      <c r="B122" s="387" t="s">
        <v>6457</v>
      </c>
    </row>
    <row r="123" spans="1:2">
      <c r="A123" s="387" t="s">
        <v>53</v>
      </c>
      <c r="B123" s="387" t="s">
        <v>2455</v>
      </c>
    </row>
    <row r="124" spans="1:2">
      <c r="A124" s="387" t="s">
        <v>8636</v>
      </c>
      <c r="B124" s="387" t="s">
        <v>1690</v>
      </c>
    </row>
    <row r="125" spans="1:2">
      <c r="A125" s="387" t="s">
        <v>652</v>
      </c>
      <c r="B125" s="387" t="s">
        <v>5949</v>
      </c>
    </row>
    <row r="126" spans="1:2">
      <c r="A126" s="387" t="s">
        <v>52</v>
      </c>
      <c r="B126" s="387" t="s">
        <v>6026</v>
      </c>
    </row>
    <row r="127" spans="1:2">
      <c r="A127" s="387" t="s">
        <v>10906</v>
      </c>
      <c r="B127" s="387" t="s">
        <v>10907</v>
      </c>
    </row>
    <row r="128" spans="1:2">
      <c r="A128" s="387" t="s">
        <v>10908</v>
      </c>
      <c r="B128" s="387" t="s">
        <v>4237</v>
      </c>
    </row>
    <row r="129" spans="1:2">
      <c r="A129" s="387" t="s">
        <v>789</v>
      </c>
      <c r="B129" s="387" t="s">
        <v>790</v>
      </c>
    </row>
    <row r="130" spans="1:2">
      <c r="A130" s="387" t="s">
        <v>753</v>
      </c>
      <c r="B130" s="387" t="s">
        <v>754</v>
      </c>
    </row>
    <row r="131" spans="1:2">
      <c r="A131" s="387" t="s">
        <v>337</v>
      </c>
      <c r="B131" s="387" t="s">
        <v>1166</v>
      </c>
    </row>
    <row r="132" spans="1:2">
      <c r="A132" s="387" t="s">
        <v>345</v>
      </c>
      <c r="B132" s="387" t="s">
        <v>9331</v>
      </c>
    </row>
    <row r="133" spans="1:2">
      <c r="A133" s="387" t="s">
        <v>338</v>
      </c>
      <c r="B133" s="387" t="s">
        <v>2403</v>
      </c>
    </row>
    <row r="134" spans="1:2">
      <c r="A134" s="387" t="s">
        <v>340</v>
      </c>
      <c r="B134" s="387" t="s">
        <v>3682</v>
      </c>
    </row>
    <row r="135" spans="1:2">
      <c r="A135" s="387" t="s">
        <v>339</v>
      </c>
      <c r="B135" s="387" t="s">
        <v>3867</v>
      </c>
    </row>
    <row r="136" spans="1:2">
      <c r="A136" s="387" t="s">
        <v>344</v>
      </c>
      <c r="B136" s="387" t="s">
        <v>2716</v>
      </c>
    </row>
    <row r="137" spans="1:2">
      <c r="A137" s="387" t="s">
        <v>341</v>
      </c>
      <c r="B137" s="387" t="s">
        <v>4146</v>
      </c>
    </row>
    <row r="138" spans="1:2">
      <c r="A138" s="387" t="s">
        <v>343</v>
      </c>
      <c r="B138" s="387" t="s">
        <v>4990</v>
      </c>
    </row>
    <row r="139" spans="1:2">
      <c r="A139" s="387" t="s">
        <v>342</v>
      </c>
      <c r="B139" s="387" t="s">
        <v>7001</v>
      </c>
    </row>
    <row r="140" spans="1:2">
      <c r="A140" s="387" t="s">
        <v>10909</v>
      </c>
      <c r="B140" s="387" t="s">
        <v>10910</v>
      </c>
    </row>
    <row r="141" spans="1:2">
      <c r="A141" s="387" t="s">
        <v>7979</v>
      </c>
      <c r="B141" s="387" t="s">
        <v>7978</v>
      </c>
    </row>
    <row r="142" spans="1:2">
      <c r="A142" s="387" t="s">
        <v>8393</v>
      </c>
      <c r="B142" s="387" t="s">
        <v>10911</v>
      </c>
    </row>
    <row r="143" spans="1:2">
      <c r="A143" s="387" t="s">
        <v>91</v>
      </c>
      <c r="B143" s="387" t="s">
        <v>2444</v>
      </c>
    </row>
    <row r="144" spans="1:2">
      <c r="A144" s="387" t="s">
        <v>310</v>
      </c>
      <c r="B144" s="387" t="s">
        <v>1364</v>
      </c>
    </row>
    <row r="145" spans="1:2">
      <c r="A145" s="387" t="s">
        <v>308</v>
      </c>
      <c r="B145" s="387" t="s">
        <v>1629</v>
      </c>
    </row>
    <row r="146" spans="1:2">
      <c r="A146" s="387" t="s">
        <v>309</v>
      </c>
      <c r="B146" s="387" t="s">
        <v>1721</v>
      </c>
    </row>
    <row r="147" spans="1:2">
      <c r="A147" s="387" t="s">
        <v>302</v>
      </c>
      <c r="B147" s="387" t="s">
        <v>3640</v>
      </c>
    </row>
    <row r="148" spans="1:2">
      <c r="A148" s="387" t="s">
        <v>311</v>
      </c>
      <c r="B148" s="387" t="s">
        <v>3664</v>
      </c>
    </row>
    <row r="149" spans="1:2">
      <c r="A149" s="387" t="s">
        <v>8671</v>
      </c>
      <c r="B149" s="387" t="s">
        <v>4782</v>
      </c>
    </row>
    <row r="150" spans="1:2">
      <c r="A150" s="387" t="s">
        <v>282</v>
      </c>
      <c r="B150" s="387" t="s">
        <v>6263</v>
      </c>
    </row>
    <row r="151" spans="1:2">
      <c r="A151" s="387" t="s">
        <v>276</v>
      </c>
      <c r="B151" s="387" t="s">
        <v>3668</v>
      </c>
    </row>
    <row r="152" spans="1:2">
      <c r="A152" s="387" t="s">
        <v>312</v>
      </c>
      <c r="B152" s="387" t="s">
        <v>5088</v>
      </c>
    </row>
    <row r="153" spans="1:2">
      <c r="A153" s="387" t="s">
        <v>303</v>
      </c>
      <c r="B153" s="387" t="s">
        <v>1189</v>
      </c>
    </row>
    <row r="154" spans="1:2">
      <c r="A154" s="387" t="s">
        <v>307</v>
      </c>
      <c r="B154" s="387" t="s">
        <v>1655</v>
      </c>
    </row>
    <row r="155" spans="1:2">
      <c r="A155" s="387" t="s">
        <v>288</v>
      </c>
      <c r="B155" s="387" t="s">
        <v>3638</v>
      </c>
    </row>
    <row r="156" spans="1:2">
      <c r="A156" s="387" t="s">
        <v>10912</v>
      </c>
      <c r="B156" s="387" t="s">
        <v>9379</v>
      </c>
    </row>
    <row r="157" spans="1:2">
      <c r="A157" s="387" t="s">
        <v>293</v>
      </c>
      <c r="B157" s="387" t="s">
        <v>5092</v>
      </c>
    </row>
    <row r="158" spans="1:2">
      <c r="A158" s="387" t="s">
        <v>280</v>
      </c>
      <c r="B158" s="387" t="s">
        <v>5565</v>
      </c>
    </row>
    <row r="159" spans="1:2">
      <c r="A159" s="387" t="s">
        <v>279</v>
      </c>
      <c r="B159" s="387" t="s">
        <v>1818</v>
      </c>
    </row>
    <row r="160" spans="1:2">
      <c r="A160" s="387" t="s">
        <v>304</v>
      </c>
      <c r="B160" s="387" t="s">
        <v>3548</v>
      </c>
    </row>
    <row r="161" spans="1:2">
      <c r="A161" s="387" t="s">
        <v>282</v>
      </c>
      <c r="B161" s="387" t="s">
        <v>6263</v>
      </c>
    </row>
    <row r="162" spans="1:2">
      <c r="A162" s="387" t="s">
        <v>301</v>
      </c>
      <c r="B162" s="387" t="s">
        <v>6888</v>
      </c>
    </row>
    <row r="163" spans="1:2">
      <c r="A163" s="387" t="s">
        <v>297</v>
      </c>
      <c r="B163" s="387" t="s">
        <v>9408</v>
      </c>
    </row>
    <row r="164" spans="1:2">
      <c r="A164" s="387" t="s">
        <v>8389</v>
      </c>
      <c r="B164" s="387" t="s">
        <v>1327</v>
      </c>
    </row>
    <row r="165" spans="1:2">
      <c r="A165" s="387" t="s">
        <v>8484</v>
      </c>
      <c r="B165" s="387" t="s">
        <v>8483</v>
      </c>
    </row>
    <row r="166" spans="1:2">
      <c r="A166" s="387" t="s">
        <v>8803</v>
      </c>
      <c r="B166" s="387" t="s">
        <v>8804</v>
      </c>
    </row>
    <row r="167" spans="1:2">
      <c r="A167" s="387" t="s">
        <v>10913</v>
      </c>
      <c r="B167" s="387" t="s">
        <v>10914</v>
      </c>
    </row>
    <row r="168" spans="1:2">
      <c r="A168" s="387" t="s">
        <v>286</v>
      </c>
      <c r="B168" s="387" t="s">
        <v>10915</v>
      </c>
    </row>
    <row r="169" spans="1:2">
      <c r="A169" s="387" t="s">
        <v>307</v>
      </c>
      <c r="B169" s="387" t="s">
        <v>1655</v>
      </c>
    </row>
    <row r="170" spans="1:2">
      <c r="A170" s="387" t="s">
        <v>287</v>
      </c>
      <c r="B170" s="387" t="s">
        <v>3668</v>
      </c>
    </row>
    <row r="171" spans="1:2">
      <c r="A171" s="387" t="s">
        <v>305</v>
      </c>
      <c r="B171" s="387" t="s">
        <v>3899</v>
      </c>
    </row>
    <row r="172" spans="1:2">
      <c r="A172" s="387" t="s">
        <v>300</v>
      </c>
      <c r="B172" s="387" t="s">
        <v>4938</v>
      </c>
    </row>
    <row r="173" spans="1:2">
      <c r="A173" s="387" t="s">
        <v>289</v>
      </c>
      <c r="B173" s="387" t="s">
        <v>6356</v>
      </c>
    </row>
    <row r="174" spans="1:2">
      <c r="A174" s="387" t="s">
        <v>10916</v>
      </c>
      <c r="B174" s="387" t="s">
        <v>7657</v>
      </c>
    </row>
    <row r="175" spans="1:2">
      <c r="A175" s="387" t="s">
        <v>285</v>
      </c>
      <c r="B175" s="387" t="s">
        <v>6945</v>
      </c>
    </row>
    <row r="176" spans="1:2">
      <c r="A176" s="387" t="s">
        <v>295</v>
      </c>
      <c r="B176" s="387" t="s">
        <v>7701</v>
      </c>
    </row>
    <row r="177" spans="1:2">
      <c r="A177" s="387" t="s">
        <v>781</v>
      </c>
      <c r="B177" s="387" t="s">
        <v>782</v>
      </c>
    </row>
    <row r="178" spans="1:2">
      <c r="A178" s="387" t="s">
        <v>283</v>
      </c>
      <c r="B178" s="387" t="s">
        <v>1595</v>
      </c>
    </row>
    <row r="179" spans="1:2">
      <c r="A179" s="387" t="s">
        <v>291</v>
      </c>
      <c r="B179" s="387" t="s">
        <v>3666</v>
      </c>
    </row>
    <row r="180" spans="1:2">
      <c r="A180" s="387" t="s">
        <v>306</v>
      </c>
      <c r="B180" s="387" t="s">
        <v>3768</v>
      </c>
    </row>
    <row r="181" spans="1:2">
      <c r="A181" s="387" t="s">
        <v>277</v>
      </c>
      <c r="B181" s="387" t="s">
        <v>4320</v>
      </c>
    </row>
    <row r="182" spans="1:2">
      <c r="A182" s="387" t="s">
        <v>290</v>
      </c>
      <c r="B182" s="387" t="s">
        <v>3951</v>
      </c>
    </row>
    <row r="183" spans="1:2">
      <c r="A183" s="387" t="s">
        <v>298</v>
      </c>
      <c r="B183" s="387" t="s">
        <v>5057</v>
      </c>
    </row>
    <row r="184" spans="1:2">
      <c r="A184" s="387" t="s">
        <v>292</v>
      </c>
      <c r="B184" s="387" t="s">
        <v>4924</v>
      </c>
    </row>
    <row r="185" spans="1:2">
      <c r="A185" s="387" t="s">
        <v>278</v>
      </c>
      <c r="B185" s="387" t="s">
        <v>5621</v>
      </c>
    </row>
    <row r="186" spans="1:2">
      <c r="A186" s="387" t="s">
        <v>296</v>
      </c>
      <c r="B186" s="387" t="s">
        <v>2761</v>
      </c>
    </row>
    <row r="187" spans="1:2">
      <c r="A187" s="387" t="s">
        <v>299</v>
      </c>
      <c r="B187" s="387" t="s">
        <v>5784</v>
      </c>
    </row>
    <row r="188" spans="1:2">
      <c r="A188" s="387" t="s">
        <v>281</v>
      </c>
      <c r="B188" s="387" t="s">
        <v>5963</v>
      </c>
    </row>
    <row r="189" spans="1:2">
      <c r="A189" s="387" t="s">
        <v>284</v>
      </c>
      <c r="B189" s="387" t="s">
        <v>7034</v>
      </c>
    </row>
    <row r="190" spans="1:2">
      <c r="A190" s="387" t="s">
        <v>294</v>
      </c>
      <c r="B190" s="387" t="s">
        <v>7144</v>
      </c>
    </row>
    <row r="191" spans="1:2">
      <c r="A191" s="387" t="s">
        <v>10073</v>
      </c>
      <c r="B191" s="387" t="s">
        <v>10917</v>
      </c>
    </row>
    <row r="192" spans="1:2">
      <c r="A192" s="387" t="s">
        <v>8008</v>
      </c>
      <c r="B192" s="387" t="s">
        <v>8010</v>
      </c>
    </row>
    <row r="193" spans="1:2">
      <c r="A193" s="387" t="s">
        <v>256</v>
      </c>
      <c r="B193" s="387" t="s">
        <v>6356</v>
      </c>
    </row>
    <row r="194" spans="1:2">
      <c r="A194" s="387" t="s">
        <v>10078</v>
      </c>
      <c r="B194" s="387" t="s">
        <v>10918</v>
      </c>
    </row>
    <row r="195" spans="1:2">
      <c r="A195" s="387" t="s">
        <v>749</v>
      </c>
      <c r="B195" s="387" t="s">
        <v>750</v>
      </c>
    </row>
    <row r="196" spans="1:2">
      <c r="A196" s="387" t="s">
        <v>756</v>
      </c>
      <c r="B196" s="387" t="s">
        <v>757</v>
      </c>
    </row>
    <row r="197" spans="1:2">
      <c r="A197" s="387" t="s">
        <v>511</v>
      </c>
      <c r="B197" s="387" t="s">
        <v>970</v>
      </c>
    </row>
    <row r="198" spans="1:2">
      <c r="A198" s="387" t="s">
        <v>10919</v>
      </c>
      <c r="B198" s="387" t="s">
        <v>1075</v>
      </c>
    </row>
    <row r="199" spans="1:2">
      <c r="A199" s="387" t="s">
        <v>10920</v>
      </c>
      <c r="B199" s="387" t="s">
        <v>1407</v>
      </c>
    </row>
    <row r="200" spans="1:2">
      <c r="A200" s="387" t="s">
        <v>10921</v>
      </c>
      <c r="B200" s="387" t="s">
        <v>1409</v>
      </c>
    </row>
    <row r="201" spans="1:2">
      <c r="A201" s="387" t="s">
        <v>10922</v>
      </c>
      <c r="B201" s="387" t="s">
        <v>1512</v>
      </c>
    </row>
    <row r="202" spans="1:2">
      <c r="A202" s="387" t="s">
        <v>10923</v>
      </c>
      <c r="B202" s="387" t="s">
        <v>1566</v>
      </c>
    </row>
    <row r="203" spans="1:2">
      <c r="A203" s="387" t="s">
        <v>10924</v>
      </c>
      <c r="B203" s="387" t="s">
        <v>1617</v>
      </c>
    </row>
    <row r="204" spans="1:2">
      <c r="A204" s="387" t="s">
        <v>10925</v>
      </c>
      <c r="B204" s="387" t="s">
        <v>1619</v>
      </c>
    </row>
    <row r="205" spans="1:2">
      <c r="A205" s="387" t="s">
        <v>10926</v>
      </c>
      <c r="B205" s="387" t="s">
        <v>1623</v>
      </c>
    </row>
    <row r="206" spans="1:2">
      <c r="A206" s="387" t="s">
        <v>10927</v>
      </c>
      <c r="B206" s="387" t="s">
        <v>1692</v>
      </c>
    </row>
    <row r="207" spans="1:2">
      <c r="A207" s="387" t="s">
        <v>10928</v>
      </c>
      <c r="B207" s="387" t="s">
        <v>1694</v>
      </c>
    </row>
    <row r="208" spans="1:2">
      <c r="A208" s="387" t="s">
        <v>10929</v>
      </c>
      <c r="B208" s="387" t="s">
        <v>1696</v>
      </c>
    </row>
    <row r="209" spans="1:2">
      <c r="A209" s="387" t="s">
        <v>10930</v>
      </c>
      <c r="B209" s="387" t="s">
        <v>1867</v>
      </c>
    </row>
    <row r="210" spans="1:2">
      <c r="A210" s="387" t="s">
        <v>10931</v>
      </c>
      <c r="B210" s="387" t="s">
        <v>2026</v>
      </c>
    </row>
    <row r="211" spans="1:2">
      <c r="A211" s="387" t="s">
        <v>10932</v>
      </c>
      <c r="B211" s="387" t="s">
        <v>2176</v>
      </c>
    </row>
    <row r="212" spans="1:2">
      <c r="A212" s="387" t="s">
        <v>10933</v>
      </c>
      <c r="B212" s="387" t="s">
        <v>2390</v>
      </c>
    </row>
    <row r="213" spans="1:2">
      <c r="A213" s="387" t="s">
        <v>10934</v>
      </c>
      <c r="B213" s="387" t="s">
        <v>2392</v>
      </c>
    </row>
    <row r="214" spans="1:2">
      <c r="A214" s="387" t="s">
        <v>10935</v>
      </c>
      <c r="B214" s="387" t="s">
        <v>2394</v>
      </c>
    </row>
    <row r="215" spans="1:2">
      <c r="A215" s="387" t="s">
        <v>10936</v>
      </c>
      <c r="B215" s="387" t="s">
        <v>2514</v>
      </c>
    </row>
    <row r="216" spans="1:2">
      <c r="A216" s="387" t="s">
        <v>10937</v>
      </c>
      <c r="B216" s="387" t="s">
        <v>2516</v>
      </c>
    </row>
    <row r="217" spans="1:2">
      <c r="A217" s="387" t="s">
        <v>10938</v>
      </c>
      <c r="B217" s="387" t="s">
        <v>2533</v>
      </c>
    </row>
    <row r="218" spans="1:2">
      <c r="A218" s="387" t="s">
        <v>10939</v>
      </c>
      <c r="B218" s="387" t="s">
        <v>2535</v>
      </c>
    </row>
    <row r="219" spans="1:2">
      <c r="A219" s="387" t="s">
        <v>10940</v>
      </c>
      <c r="B219" s="387" t="s">
        <v>2541</v>
      </c>
    </row>
    <row r="220" spans="1:2">
      <c r="A220" s="387" t="s">
        <v>10941</v>
      </c>
      <c r="B220" s="387" t="s">
        <v>10942</v>
      </c>
    </row>
    <row r="221" spans="1:2">
      <c r="A221" s="387" t="s">
        <v>10943</v>
      </c>
      <c r="B221" s="387" t="s">
        <v>2955</v>
      </c>
    </row>
    <row r="222" spans="1:2">
      <c r="A222" s="387" t="s">
        <v>10944</v>
      </c>
      <c r="B222" s="387" t="s">
        <v>3429</v>
      </c>
    </row>
    <row r="223" spans="1:2">
      <c r="A223" s="387" t="s">
        <v>10945</v>
      </c>
      <c r="B223" s="387" t="s">
        <v>1356</v>
      </c>
    </row>
    <row r="224" spans="1:2">
      <c r="A224" s="387" t="s">
        <v>512</v>
      </c>
      <c r="B224" s="387" t="s">
        <v>3451</v>
      </c>
    </row>
    <row r="225" spans="1:2">
      <c r="A225" s="387" t="s">
        <v>10946</v>
      </c>
      <c r="B225" s="387" t="s">
        <v>3804</v>
      </c>
    </row>
    <row r="226" spans="1:2">
      <c r="A226" s="387" t="s">
        <v>10947</v>
      </c>
      <c r="B226" s="387" t="s">
        <v>3806</v>
      </c>
    </row>
    <row r="227" spans="1:2">
      <c r="A227" s="387" t="s">
        <v>10948</v>
      </c>
      <c r="B227" s="387" t="s">
        <v>3901</v>
      </c>
    </row>
    <row r="228" spans="1:2">
      <c r="A228" s="387" t="s">
        <v>10949</v>
      </c>
      <c r="B228" s="387" t="s">
        <v>10950</v>
      </c>
    </row>
    <row r="229" spans="1:2">
      <c r="A229" s="387" t="s">
        <v>10951</v>
      </c>
      <c r="B229" s="387" t="s">
        <v>6461</v>
      </c>
    </row>
    <row r="230" spans="1:2">
      <c r="A230" s="387" t="s">
        <v>756</v>
      </c>
      <c r="B230" s="387" t="s">
        <v>757</v>
      </c>
    </row>
    <row r="231" spans="1:2">
      <c r="A231" s="387" t="s">
        <v>514</v>
      </c>
      <c r="B231" s="387" t="s">
        <v>1025</v>
      </c>
    </row>
    <row r="232" spans="1:2">
      <c r="A232" s="387" t="s">
        <v>10952</v>
      </c>
      <c r="B232" s="387" t="s">
        <v>1136</v>
      </c>
    </row>
    <row r="233" spans="1:2">
      <c r="A233" s="387" t="s">
        <v>10953</v>
      </c>
      <c r="B233" s="387" t="s">
        <v>1225</v>
      </c>
    </row>
    <row r="234" spans="1:2">
      <c r="A234" s="387" t="s">
        <v>10954</v>
      </c>
      <c r="B234" s="387" t="s">
        <v>1227</v>
      </c>
    </row>
    <row r="235" spans="1:2">
      <c r="A235" s="387" t="s">
        <v>10955</v>
      </c>
      <c r="B235" s="387" t="s">
        <v>1411</v>
      </c>
    </row>
    <row r="236" spans="1:2">
      <c r="A236" s="387" t="s">
        <v>10956</v>
      </c>
      <c r="B236" s="387" t="s">
        <v>1625</v>
      </c>
    </row>
    <row r="237" spans="1:2">
      <c r="A237" s="387" t="s">
        <v>10957</v>
      </c>
      <c r="B237" s="387" t="s">
        <v>1684</v>
      </c>
    </row>
    <row r="238" spans="1:2">
      <c r="A238" s="387" t="s">
        <v>515</v>
      </c>
      <c r="B238" s="387" t="s">
        <v>2396</v>
      </c>
    </row>
    <row r="239" spans="1:2">
      <c r="A239" s="387" t="s">
        <v>10958</v>
      </c>
      <c r="B239" s="387" t="s">
        <v>1735</v>
      </c>
    </row>
    <row r="240" spans="1:2">
      <c r="A240" s="387" t="s">
        <v>513</v>
      </c>
      <c r="B240" s="387" t="s">
        <v>1502</v>
      </c>
    </row>
    <row r="241" spans="1:2">
      <c r="A241" s="387" t="s">
        <v>10959</v>
      </c>
      <c r="B241" s="387" t="s">
        <v>4404</v>
      </c>
    </row>
    <row r="242" spans="1:2">
      <c r="A242" s="387" t="s">
        <v>10960</v>
      </c>
      <c r="B242" s="387" t="s">
        <v>4814</v>
      </c>
    </row>
    <row r="243" spans="1:2">
      <c r="A243" s="387" t="s">
        <v>10961</v>
      </c>
      <c r="B243" s="387" t="s">
        <v>4816</v>
      </c>
    </row>
    <row r="244" spans="1:2">
      <c r="A244" s="387" t="s">
        <v>10962</v>
      </c>
      <c r="B244" s="387" t="s">
        <v>6261</v>
      </c>
    </row>
    <row r="245" spans="1:2">
      <c r="A245" s="387" t="s">
        <v>10963</v>
      </c>
      <c r="B245" s="387" t="s">
        <v>10964</v>
      </c>
    </row>
    <row r="246" spans="1:2">
      <c r="A246" s="387" t="s">
        <v>10965</v>
      </c>
      <c r="B246" s="387" t="s">
        <v>1146</v>
      </c>
    </row>
    <row r="247" spans="1:2">
      <c r="A247" s="387" t="s">
        <v>10966</v>
      </c>
      <c r="B247" s="387" t="s">
        <v>6465</v>
      </c>
    </row>
    <row r="248" spans="1:2">
      <c r="A248" s="387" t="s">
        <v>10967</v>
      </c>
      <c r="B248" s="387" t="s">
        <v>3484</v>
      </c>
    </row>
    <row r="249" spans="1:2">
      <c r="A249" s="387" t="s">
        <v>10968</v>
      </c>
      <c r="B249" s="387" t="s">
        <v>10969</v>
      </c>
    </row>
    <row r="250" spans="1:2">
      <c r="A250" s="387" t="s">
        <v>10970</v>
      </c>
      <c r="B250" s="387" t="s">
        <v>6663</v>
      </c>
    </row>
    <row r="251" spans="1:2">
      <c r="A251" s="387" t="s">
        <v>10971</v>
      </c>
      <c r="B251" s="387" t="s">
        <v>10972</v>
      </c>
    </row>
    <row r="252" spans="1:2">
      <c r="A252" s="387" t="s">
        <v>10973</v>
      </c>
      <c r="B252" s="387" t="s">
        <v>7434</v>
      </c>
    </row>
    <row r="253" spans="1:2">
      <c r="A253" s="387" t="s">
        <v>10974</v>
      </c>
      <c r="B253" s="387" t="s">
        <v>10975</v>
      </c>
    </row>
    <row r="254" spans="1:2">
      <c r="A254" s="387" t="s">
        <v>10976</v>
      </c>
      <c r="B254" s="387" t="s">
        <v>7506</v>
      </c>
    </row>
    <row r="255" spans="1:2">
      <c r="A255" s="387" t="s">
        <v>10977</v>
      </c>
      <c r="B255" s="387" t="s">
        <v>10978</v>
      </c>
    </row>
    <row r="256" spans="1:2">
      <c r="A256" s="387" t="s">
        <v>10979</v>
      </c>
      <c r="B256" s="387" t="s">
        <v>4797</v>
      </c>
    </row>
    <row r="257" spans="1:2">
      <c r="A257" s="387" t="s">
        <v>264</v>
      </c>
      <c r="B257" s="387" t="s">
        <v>9924</v>
      </c>
    </row>
    <row r="258" spans="1:2">
      <c r="A258" s="387" t="s">
        <v>756</v>
      </c>
      <c r="B258" s="387" t="s">
        <v>757</v>
      </c>
    </row>
    <row r="259" spans="1:2">
      <c r="A259" s="387" t="s">
        <v>267</v>
      </c>
      <c r="B259" s="387" t="s">
        <v>1192</v>
      </c>
    </row>
    <row r="260" spans="1:2">
      <c r="A260" s="387" t="s">
        <v>265</v>
      </c>
      <c r="B260" s="387" t="s">
        <v>5758</v>
      </c>
    </row>
    <row r="261" spans="1:2">
      <c r="A261" s="387" t="s">
        <v>8649</v>
      </c>
      <c r="B261" s="387" t="s">
        <v>5035</v>
      </c>
    </row>
    <row r="262" spans="1:2">
      <c r="A262" s="387" t="s">
        <v>8008</v>
      </c>
      <c r="B262" s="387" t="s">
        <v>8010</v>
      </c>
    </row>
    <row r="263" spans="1:2">
      <c r="A263" s="387" t="s">
        <v>8549</v>
      </c>
      <c r="B263" s="387" t="s">
        <v>10980</v>
      </c>
    </row>
    <row r="264" spans="1:2">
      <c r="A264" s="387" t="s">
        <v>10069</v>
      </c>
      <c r="B264" s="387" t="s">
        <v>10981</v>
      </c>
    </row>
    <row r="265" spans="1:2">
      <c r="A265" s="387" t="s">
        <v>8650</v>
      </c>
      <c r="B265" s="387" t="s">
        <v>8497</v>
      </c>
    </row>
    <row r="266" spans="1:2">
      <c r="A266" s="387" t="s">
        <v>793</v>
      </c>
      <c r="B266" s="387" t="s">
        <v>794</v>
      </c>
    </row>
    <row r="267" spans="1:2">
      <c r="A267" s="387" t="s">
        <v>349</v>
      </c>
      <c r="B267" s="387" t="s">
        <v>1223</v>
      </c>
    </row>
    <row r="268" spans="1:2">
      <c r="A268" s="387" t="s">
        <v>348</v>
      </c>
      <c r="B268" s="387" t="s">
        <v>4106</v>
      </c>
    </row>
    <row r="269" spans="1:2">
      <c r="A269" s="387" t="s">
        <v>884</v>
      </c>
      <c r="B269" s="387" t="s">
        <v>886</v>
      </c>
    </row>
    <row r="270" spans="1:2">
      <c r="A270" s="387" t="s">
        <v>7805</v>
      </c>
      <c r="B270" s="387" t="s">
        <v>7804</v>
      </c>
    </row>
    <row r="271" spans="1:2">
      <c r="A271" s="387" t="s">
        <v>8539</v>
      </c>
      <c r="B271" s="387" t="s">
        <v>5751</v>
      </c>
    </row>
    <row r="272" spans="1:2">
      <c r="A272" s="387" t="s">
        <v>763</v>
      </c>
      <c r="B272" s="387" t="s">
        <v>764</v>
      </c>
    </row>
    <row r="273" spans="1:2">
      <c r="A273" s="387" t="s">
        <v>733</v>
      </c>
      <c r="B273" s="387" t="s">
        <v>734</v>
      </c>
    </row>
    <row r="274" spans="1:2">
      <c r="A274" s="387" t="s">
        <v>101</v>
      </c>
      <c r="B274" s="387" t="s">
        <v>1177</v>
      </c>
    </row>
    <row r="275" spans="1:2">
      <c r="A275" s="387" t="s">
        <v>10982</v>
      </c>
      <c r="B275" s="387" t="s">
        <v>8046</v>
      </c>
    </row>
    <row r="276" spans="1:2">
      <c r="A276" s="387" t="s">
        <v>102</v>
      </c>
      <c r="B276" s="387" t="s">
        <v>909</v>
      </c>
    </row>
    <row r="277" spans="1:2">
      <c r="A277" s="387" t="s">
        <v>68</v>
      </c>
      <c r="B277" s="387" t="s">
        <v>1023</v>
      </c>
    </row>
    <row r="278" spans="1:2">
      <c r="A278" s="387" t="s">
        <v>90</v>
      </c>
      <c r="B278" s="387" t="s">
        <v>1462</v>
      </c>
    </row>
    <row r="279" spans="1:2">
      <c r="A279" s="387" t="s">
        <v>83</v>
      </c>
      <c r="B279" s="387" t="s">
        <v>2320</v>
      </c>
    </row>
    <row r="280" spans="1:2">
      <c r="A280" s="387" t="s">
        <v>79</v>
      </c>
      <c r="B280" s="387" t="s">
        <v>1502</v>
      </c>
    </row>
    <row r="281" spans="1:2">
      <c r="A281" s="387" t="s">
        <v>73</v>
      </c>
      <c r="B281" s="387" t="s">
        <v>3585</v>
      </c>
    </row>
    <row r="282" spans="1:2">
      <c r="A282" s="387" t="s">
        <v>103</v>
      </c>
      <c r="B282" s="387" t="s">
        <v>2647</v>
      </c>
    </row>
    <row r="283" spans="1:2">
      <c r="A283" s="387" t="s">
        <v>82</v>
      </c>
      <c r="B283" s="387" t="s">
        <v>3743</v>
      </c>
    </row>
    <row r="284" spans="1:2">
      <c r="A284" s="387" t="s">
        <v>66</v>
      </c>
      <c r="B284" s="387" t="s">
        <v>9824</v>
      </c>
    </row>
    <row r="285" spans="1:2">
      <c r="A285" s="387" t="s">
        <v>94</v>
      </c>
      <c r="B285" s="387" t="s">
        <v>4574</v>
      </c>
    </row>
    <row r="286" spans="1:2">
      <c r="A286" s="387" t="s">
        <v>97</v>
      </c>
      <c r="B286" s="387" t="s">
        <v>6415</v>
      </c>
    </row>
    <row r="287" spans="1:2">
      <c r="A287" s="387" t="s">
        <v>96</v>
      </c>
      <c r="B287" s="387" t="s">
        <v>7409</v>
      </c>
    </row>
    <row r="288" spans="1:2">
      <c r="A288" s="387" t="s">
        <v>8380</v>
      </c>
      <c r="B288" s="387" t="s">
        <v>1309</v>
      </c>
    </row>
    <row r="289" spans="1:2">
      <c r="A289" s="387" t="s">
        <v>102</v>
      </c>
      <c r="B289" s="387" t="s">
        <v>909</v>
      </c>
    </row>
    <row r="290" spans="1:2">
      <c r="A290" s="387" t="s">
        <v>71</v>
      </c>
      <c r="B290" s="387" t="s">
        <v>3394</v>
      </c>
    </row>
    <row r="291" spans="1:2">
      <c r="A291" s="387" t="s">
        <v>271</v>
      </c>
      <c r="B291" s="387" t="s">
        <v>1325</v>
      </c>
    </row>
    <row r="292" spans="1:2">
      <c r="A292" s="387" t="s">
        <v>102</v>
      </c>
      <c r="B292" s="387" t="s">
        <v>909</v>
      </c>
    </row>
    <row r="293" spans="1:2">
      <c r="A293" s="387" t="s">
        <v>80</v>
      </c>
      <c r="B293" s="387" t="s">
        <v>958</v>
      </c>
    </row>
    <row r="294" spans="1:2">
      <c r="A294" s="387" t="s">
        <v>69</v>
      </c>
      <c r="B294" s="387" t="s">
        <v>1128</v>
      </c>
    </row>
    <row r="295" spans="1:2">
      <c r="A295" s="387" t="s">
        <v>78</v>
      </c>
      <c r="B295" s="387" t="s">
        <v>1198</v>
      </c>
    </row>
    <row r="296" spans="1:2">
      <c r="A296" s="387" t="s">
        <v>93</v>
      </c>
      <c r="B296" s="387" t="s">
        <v>1256</v>
      </c>
    </row>
    <row r="297" spans="1:2">
      <c r="A297" s="387" t="s">
        <v>7808</v>
      </c>
      <c r="B297" s="387" t="s">
        <v>1292</v>
      </c>
    </row>
    <row r="298" spans="1:2">
      <c r="A298" s="387" t="s">
        <v>600</v>
      </c>
      <c r="B298" s="387" t="s">
        <v>1492</v>
      </c>
    </row>
    <row r="299" spans="1:2">
      <c r="A299" s="387" t="s">
        <v>822</v>
      </c>
      <c r="B299" s="387" t="s">
        <v>2248</v>
      </c>
    </row>
    <row r="300" spans="1:2">
      <c r="A300" s="387" t="s">
        <v>86</v>
      </c>
      <c r="B300" s="387" t="s">
        <v>2284</v>
      </c>
    </row>
    <row r="301" spans="1:2">
      <c r="A301" s="387" t="s">
        <v>10983</v>
      </c>
      <c r="B301" s="387" t="s">
        <v>10984</v>
      </c>
    </row>
    <row r="302" spans="1:2">
      <c r="A302" s="387" t="s">
        <v>75</v>
      </c>
      <c r="B302" s="387" t="s">
        <v>9836</v>
      </c>
    </row>
    <row r="303" spans="1:2">
      <c r="A303" s="387" t="s">
        <v>92</v>
      </c>
      <c r="B303" s="387" t="s">
        <v>4029</v>
      </c>
    </row>
    <row r="304" spans="1:2">
      <c r="A304" s="387" t="s">
        <v>821</v>
      </c>
      <c r="B304" s="387" t="s">
        <v>4012</v>
      </c>
    </row>
    <row r="305" spans="1:2">
      <c r="A305" s="387" t="s">
        <v>88</v>
      </c>
      <c r="B305" s="387" t="s">
        <v>9876</v>
      </c>
    </row>
    <row r="306" spans="1:2">
      <c r="A306" s="387" t="s">
        <v>8652</v>
      </c>
      <c r="B306" s="387" t="s">
        <v>1128</v>
      </c>
    </row>
    <row r="307" spans="1:2">
      <c r="A307" s="387" t="s">
        <v>10985</v>
      </c>
      <c r="B307" s="387" t="s">
        <v>4425</v>
      </c>
    </row>
    <row r="308" spans="1:2">
      <c r="A308" s="387" t="s">
        <v>8639</v>
      </c>
      <c r="B308" s="387" t="s">
        <v>8599</v>
      </c>
    </row>
    <row r="309" spans="1:2">
      <c r="A309" s="387" t="s">
        <v>10986</v>
      </c>
      <c r="B309" s="387" t="s">
        <v>8615</v>
      </c>
    </row>
    <row r="310" spans="1:2">
      <c r="A310" s="387" t="s">
        <v>102</v>
      </c>
      <c r="B310" s="387" t="s">
        <v>909</v>
      </c>
    </row>
    <row r="311" spans="1:2">
      <c r="A311" s="387" t="s">
        <v>601</v>
      </c>
      <c r="B311" s="387" t="s">
        <v>990</v>
      </c>
    </row>
    <row r="312" spans="1:2">
      <c r="A312" s="387" t="s">
        <v>594</v>
      </c>
      <c r="B312" s="387" t="s">
        <v>1464</v>
      </c>
    </row>
    <row r="313" spans="1:2">
      <c r="A313" s="387" t="s">
        <v>600</v>
      </c>
      <c r="B313" s="387" t="s">
        <v>1492</v>
      </c>
    </row>
    <row r="314" spans="1:2">
      <c r="A314" s="387" t="s">
        <v>596</v>
      </c>
      <c r="B314" s="387" t="s">
        <v>2346</v>
      </c>
    </row>
    <row r="315" spans="1:2">
      <c r="A315" s="387" t="s">
        <v>598</v>
      </c>
      <c r="B315" s="387" t="s">
        <v>2447</v>
      </c>
    </row>
    <row r="316" spans="1:2">
      <c r="A316" s="387" t="s">
        <v>597</v>
      </c>
      <c r="B316" s="387" t="s">
        <v>6726</v>
      </c>
    </row>
    <row r="317" spans="1:2">
      <c r="A317" s="387" t="s">
        <v>602</v>
      </c>
      <c r="B317" s="387" t="s">
        <v>6981</v>
      </c>
    </row>
    <row r="318" spans="1:2">
      <c r="A318" s="387" t="s">
        <v>826</v>
      </c>
      <c r="B318" s="387" t="s">
        <v>7532</v>
      </c>
    </row>
    <row r="319" spans="1:2">
      <c r="A319" s="387" t="s">
        <v>10987</v>
      </c>
      <c r="B319" s="387" t="s">
        <v>3857</v>
      </c>
    </row>
    <row r="320" spans="1:2">
      <c r="A320" s="387" t="s">
        <v>10988</v>
      </c>
      <c r="B320" s="387" t="s">
        <v>3568</v>
      </c>
    </row>
    <row r="321" spans="1:2">
      <c r="A321" s="387" t="s">
        <v>10989</v>
      </c>
      <c r="B321" s="387" t="s">
        <v>981</v>
      </c>
    </row>
    <row r="322" spans="1:2">
      <c r="A322" s="387" t="s">
        <v>8398</v>
      </c>
      <c r="B322" s="387" t="s">
        <v>5357</v>
      </c>
    </row>
    <row r="323" spans="1:2">
      <c r="A323" s="387" t="s">
        <v>684</v>
      </c>
      <c r="B323" s="387" t="s">
        <v>1129</v>
      </c>
    </row>
    <row r="324" spans="1:2">
      <c r="A324" s="387" t="s">
        <v>687</v>
      </c>
      <c r="B324" s="387" t="s">
        <v>990</v>
      </c>
    </row>
    <row r="325" spans="1:2">
      <c r="A325" s="387" t="s">
        <v>685</v>
      </c>
      <c r="B325" s="387" t="s">
        <v>9858</v>
      </c>
    </row>
    <row r="326" spans="1:2">
      <c r="A326" s="387" t="s">
        <v>686</v>
      </c>
      <c r="B326" s="387" t="s">
        <v>6983</v>
      </c>
    </row>
    <row r="327" spans="1:2">
      <c r="A327" s="387" t="s">
        <v>10990</v>
      </c>
      <c r="B327" s="387" t="s">
        <v>9864</v>
      </c>
    </row>
    <row r="328" spans="1:2">
      <c r="A328" s="387" t="s">
        <v>689</v>
      </c>
      <c r="B328" s="387" t="s">
        <v>9868</v>
      </c>
    </row>
    <row r="329" spans="1:2">
      <c r="A329" s="387" t="s">
        <v>688</v>
      </c>
      <c r="B329" s="387" t="s">
        <v>9885</v>
      </c>
    </row>
    <row r="330" spans="1:2">
      <c r="A330" s="387" t="s">
        <v>7803</v>
      </c>
      <c r="B330" s="387" t="s">
        <v>7777</v>
      </c>
    </row>
    <row r="331" spans="1:2">
      <c r="A331" s="387" t="s">
        <v>102</v>
      </c>
      <c r="B331" s="387" t="s">
        <v>909</v>
      </c>
    </row>
    <row r="332" spans="1:2">
      <c r="A332" s="387" t="s">
        <v>824</v>
      </c>
      <c r="B332" s="387" t="s">
        <v>1578</v>
      </c>
    </row>
    <row r="333" spans="1:2">
      <c r="A333" s="387" t="s">
        <v>595</v>
      </c>
      <c r="B333" s="387" t="s">
        <v>1852</v>
      </c>
    </row>
    <row r="334" spans="1:2">
      <c r="A334" s="387" t="s">
        <v>823</v>
      </c>
      <c r="B334" s="387" t="s">
        <v>2489</v>
      </c>
    </row>
    <row r="335" spans="1:2">
      <c r="A335" s="387" t="s">
        <v>599</v>
      </c>
      <c r="B335" s="387" t="s">
        <v>2897</v>
      </c>
    </row>
    <row r="336" spans="1:2">
      <c r="A336" s="387" t="s">
        <v>103</v>
      </c>
      <c r="B336" s="387" t="s">
        <v>2647</v>
      </c>
    </row>
    <row r="337" spans="1:2">
      <c r="A337" s="387" t="s">
        <v>72</v>
      </c>
      <c r="B337" s="387" t="s">
        <v>4881</v>
      </c>
    </row>
    <row r="338" spans="1:2">
      <c r="A338" s="387" t="s">
        <v>81</v>
      </c>
      <c r="B338" s="387" t="s">
        <v>3427</v>
      </c>
    </row>
    <row r="339" spans="1:2">
      <c r="A339" s="387" t="s">
        <v>76</v>
      </c>
      <c r="B339" s="387" t="s">
        <v>10991</v>
      </c>
    </row>
    <row r="340" spans="1:2">
      <c r="A340" s="387" t="s">
        <v>98</v>
      </c>
      <c r="B340" s="387" t="s">
        <v>1908</v>
      </c>
    </row>
    <row r="341" spans="1:2">
      <c r="A341" s="387" t="s">
        <v>70</v>
      </c>
      <c r="B341" s="387" t="s">
        <v>2416</v>
      </c>
    </row>
    <row r="342" spans="1:2">
      <c r="A342" s="387" t="s">
        <v>84</v>
      </c>
      <c r="B342" s="387" t="s">
        <v>2491</v>
      </c>
    </row>
    <row r="343" spans="1:2">
      <c r="A343" s="387" t="s">
        <v>87</v>
      </c>
      <c r="B343" s="387" t="s">
        <v>3064</v>
      </c>
    </row>
    <row r="344" spans="1:2">
      <c r="A344" s="387" t="s">
        <v>74</v>
      </c>
      <c r="B344" s="387" t="s">
        <v>3232</v>
      </c>
    </row>
    <row r="345" spans="1:2">
      <c r="A345" s="387" t="s">
        <v>10992</v>
      </c>
      <c r="B345" s="387" t="s">
        <v>9828</v>
      </c>
    </row>
    <row r="346" spans="1:2">
      <c r="A346" s="387" t="s">
        <v>77</v>
      </c>
      <c r="B346" s="387" t="s">
        <v>2474</v>
      </c>
    </row>
    <row r="347" spans="1:2">
      <c r="A347" s="387" t="s">
        <v>10993</v>
      </c>
      <c r="B347" s="387" t="s">
        <v>1432</v>
      </c>
    </row>
    <row r="348" spans="1:2">
      <c r="A348" s="387" t="s">
        <v>85</v>
      </c>
      <c r="B348" s="387" t="s">
        <v>6540</v>
      </c>
    </row>
    <row r="349" spans="1:2">
      <c r="A349" s="387" t="s">
        <v>99</v>
      </c>
      <c r="B349" s="387" t="s">
        <v>1481</v>
      </c>
    </row>
    <row r="350" spans="1:2">
      <c r="A350" s="387" t="s">
        <v>10994</v>
      </c>
      <c r="B350" s="387" t="s">
        <v>2647</v>
      </c>
    </row>
    <row r="351" spans="1:2">
      <c r="A351" s="387" t="s">
        <v>10995</v>
      </c>
      <c r="B351" s="387" t="s">
        <v>10996</v>
      </c>
    </row>
    <row r="352" spans="1:2">
      <c r="A352" s="387" t="s">
        <v>825</v>
      </c>
      <c r="B352" s="387" t="s">
        <v>2912</v>
      </c>
    </row>
    <row r="353" spans="1:2">
      <c r="A353" s="387" t="s">
        <v>8387</v>
      </c>
      <c r="B353" s="387" t="s">
        <v>8274</v>
      </c>
    </row>
    <row r="354" spans="1:2">
      <c r="A354" s="387" t="s">
        <v>10997</v>
      </c>
      <c r="B354" s="387" t="s">
        <v>5325</v>
      </c>
    </row>
    <row r="355" spans="1:2">
      <c r="A355" s="387" t="s">
        <v>10998</v>
      </c>
      <c r="B355" s="387" t="s">
        <v>8305</v>
      </c>
    </row>
    <row r="356" spans="1:2">
      <c r="A356" s="387" t="s">
        <v>101</v>
      </c>
      <c r="B356" s="387" t="s">
        <v>1177</v>
      </c>
    </row>
    <row r="357" spans="1:2">
      <c r="A357" s="387" t="s">
        <v>10999</v>
      </c>
      <c r="B357" s="387" t="s">
        <v>9010</v>
      </c>
    </row>
    <row r="358" spans="1:2">
      <c r="A358" s="387" t="s">
        <v>11000</v>
      </c>
      <c r="B358" s="387" t="s">
        <v>8263</v>
      </c>
    </row>
    <row r="359" spans="1:2">
      <c r="A359" s="387" t="s">
        <v>100</v>
      </c>
      <c r="B359" s="387" t="s">
        <v>920</v>
      </c>
    </row>
    <row r="360" spans="1:2">
      <c r="A360" s="387" t="s">
        <v>653</v>
      </c>
      <c r="B360" s="387" t="s">
        <v>1627</v>
      </c>
    </row>
    <row r="361" spans="1:2">
      <c r="A361" s="387" t="s">
        <v>655</v>
      </c>
      <c r="B361" s="387" t="s">
        <v>1950</v>
      </c>
    </row>
    <row r="362" spans="1:2">
      <c r="A362" s="387" t="s">
        <v>654</v>
      </c>
      <c r="B362" s="387" t="s">
        <v>2064</v>
      </c>
    </row>
    <row r="363" spans="1:2">
      <c r="A363" s="387" t="s">
        <v>164</v>
      </c>
      <c r="B363" s="387" t="s">
        <v>928</v>
      </c>
    </row>
    <row r="364" spans="1:2">
      <c r="A364" s="387" t="s">
        <v>506</v>
      </c>
      <c r="B364" s="387" t="s">
        <v>974</v>
      </c>
    </row>
    <row r="365" spans="1:2">
      <c r="A365" s="387" t="s">
        <v>145</v>
      </c>
      <c r="B365" s="387" t="s">
        <v>1057</v>
      </c>
    </row>
    <row r="366" spans="1:2">
      <c r="A366" s="387" t="s">
        <v>101</v>
      </c>
      <c r="B366" s="387" t="s">
        <v>1177</v>
      </c>
    </row>
    <row r="367" spans="1:2">
      <c r="A367" s="387" t="s">
        <v>166</v>
      </c>
      <c r="B367" s="387" t="s">
        <v>1241</v>
      </c>
    </row>
    <row r="368" spans="1:2">
      <c r="A368" s="387" t="s">
        <v>592</v>
      </c>
      <c r="B368" s="387" t="s">
        <v>1725</v>
      </c>
    </row>
    <row r="369" spans="1:2">
      <c r="A369" s="387" t="s">
        <v>147</v>
      </c>
      <c r="B369" s="387" t="s">
        <v>1776</v>
      </c>
    </row>
    <row r="370" spans="1:2">
      <c r="A370" s="387" t="s">
        <v>146</v>
      </c>
      <c r="B370" s="387" t="s">
        <v>1848</v>
      </c>
    </row>
    <row r="371" spans="1:2">
      <c r="A371" s="387" t="s">
        <v>89</v>
      </c>
      <c r="B371" s="387" t="s">
        <v>4728</v>
      </c>
    </row>
    <row r="372" spans="1:2">
      <c r="A372" s="387" t="s">
        <v>510</v>
      </c>
      <c r="B372" s="387" t="s">
        <v>1053</v>
      </c>
    </row>
    <row r="373" spans="1:2">
      <c r="A373" s="387" t="s">
        <v>165</v>
      </c>
      <c r="B373" s="387" t="s">
        <v>9092</v>
      </c>
    </row>
    <row r="374" spans="1:2">
      <c r="A374" s="387" t="s">
        <v>178</v>
      </c>
      <c r="B374" s="387" t="s">
        <v>1727</v>
      </c>
    </row>
    <row r="375" spans="1:2">
      <c r="A375" s="387" t="s">
        <v>507</v>
      </c>
      <c r="B375" s="387" t="s">
        <v>1804</v>
      </c>
    </row>
    <row r="376" spans="1:2">
      <c r="A376" s="387" t="s">
        <v>608</v>
      </c>
      <c r="B376" s="387" t="s">
        <v>1850</v>
      </c>
    </row>
    <row r="377" spans="1:2">
      <c r="A377" s="387" t="s">
        <v>176</v>
      </c>
      <c r="B377" s="387" t="s">
        <v>1927</v>
      </c>
    </row>
    <row r="378" spans="1:2">
      <c r="A378" s="387" t="s">
        <v>143</v>
      </c>
      <c r="B378" s="387" t="s">
        <v>3113</v>
      </c>
    </row>
    <row r="379" spans="1:2">
      <c r="A379" s="387" t="s">
        <v>593</v>
      </c>
      <c r="B379" s="387" t="s">
        <v>5319</v>
      </c>
    </row>
    <row r="380" spans="1:2">
      <c r="A380" s="387" t="s">
        <v>8663</v>
      </c>
      <c r="B380" s="387" t="s">
        <v>6413</v>
      </c>
    </row>
    <row r="381" spans="1:2">
      <c r="A381" s="387" t="s">
        <v>508</v>
      </c>
      <c r="B381" s="387" t="s">
        <v>1778</v>
      </c>
    </row>
    <row r="382" spans="1:2">
      <c r="A382" s="387" t="s">
        <v>606</v>
      </c>
      <c r="B382" s="387" t="s">
        <v>3721</v>
      </c>
    </row>
    <row r="383" spans="1:2">
      <c r="A383" s="387" t="s">
        <v>144</v>
      </c>
      <c r="B383" s="387" t="s">
        <v>6788</v>
      </c>
    </row>
    <row r="384" spans="1:2">
      <c r="A384" s="387" t="s">
        <v>11001</v>
      </c>
      <c r="B384" s="387" t="s">
        <v>7407</v>
      </c>
    </row>
    <row r="385" spans="1:2">
      <c r="A385" s="387" t="s">
        <v>591</v>
      </c>
      <c r="B385" s="387" t="s">
        <v>1631</v>
      </c>
    </row>
    <row r="386" spans="1:2">
      <c r="A386" s="387" t="s">
        <v>610</v>
      </c>
      <c r="B386" s="387" t="s">
        <v>1904</v>
      </c>
    </row>
    <row r="387" spans="1:2">
      <c r="A387" s="387" t="s">
        <v>8383</v>
      </c>
      <c r="B387" s="387" t="s">
        <v>3589</v>
      </c>
    </row>
    <row r="388" spans="1:2">
      <c r="A388" s="387" t="s">
        <v>505</v>
      </c>
      <c r="B388" s="387" t="s">
        <v>3686</v>
      </c>
    </row>
    <row r="389" spans="1:2">
      <c r="A389" s="387" t="s">
        <v>8662</v>
      </c>
      <c r="B389" s="387" t="s">
        <v>7451</v>
      </c>
    </row>
    <row r="390" spans="1:2">
      <c r="A390" s="387" t="s">
        <v>146</v>
      </c>
      <c r="B390" s="387" t="s">
        <v>1848</v>
      </c>
    </row>
    <row r="391" spans="1:2">
      <c r="A391" s="387" t="s">
        <v>89</v>
      </c>
      <c r="B391" s="387" t="s">
        <v>4728</v>
      </c>
    </row>
    <row r="392" spans="1:2">
      <c r="A392" s="387" t="s">
        <v>11002</v>
      </c>
      <c r="B392" s="387" t="s">
        <v>11003</v>
      </c>
    </row>
    <row r="393" spans="1:2">
      <c r="A393" s="387" t="s">
        <v>591</v>
      </c>
      <c r="B393" s="387" t="s">
        <v>1631</v>
      </c>
    </row>
    <row r="394" spans="1:2">
      <c r="A394" s="387" t="s">
        <v>606</v>
      </c>
      <c r="B394" s="387" t="s">
        <v>3721</v>
      </c>
    </row>
    <row r="395" spans="1:2">
      <c r="A395" s="387" t="s">
        <v>144</v>
      </c>
      <c r="B395" s="387" t="s">
        <v>6788</v>
      </c>
    </row>
    <row r="396" spans="1:2">
      <c r="A396" s="387" t="s">
        <v>11001</v>
      </c>
      <c r="B396" s="387" t="s">
        <v>7407</v>
      </c>
    </row>
    <row r="397" spans="1:2">
      <c r="A397" s="387" t="s">
        <v>11004</v>
      </c>
      <c r="B397" s="387" t="s">
        <v>6564</v>
      </c>
    </row>
    <row r="398" spans="1:2">
      <c r="A398" s="387" t="s">
        <v>11005</v>
      </c>
      <c r="B398" s="387" t="s">
        <v>1514</v>
      </c>
    </row>
    <row r="399" spans="1:2">
      <c r="A399" s="387" t="s">
        <v>175</v>
      </c>
      <c r="B399" s="387" t="s">
        <v>1676</v>
      </c>
    </row>
    <row r="400" spans="1:2">
      <c r="A400" s="387" t="s">
        <v>508</v>
      </c>
      <c r="B400" s="387" t="s">
        <v>1778</v>
      </c>
    </row>
    <row r="401" spans="1:2">
      <c r="A401" s="387" t="s">
        <v>11006</v>
      </c>
      <c r="B401" s="387" t="s">
        <v>2196</v>
      </c>
    </row>
    <row r="402" spans="1:2">
      <c r="A402" s="387" t="s">
        <v>811</v>
      </c>
      <c r="B402" s="387" t="s">
        <v>2198</v>
      </c>
    </row>
    <row r="403" spans="1:2">
      <c r="A403" s="387" t="s">
        <v>11007</v>
      </c>
      <c r="B403" s="387" t="s">
        <v>2344</v>
      </c>
    </row>
    <row r="404" spans="1:2">
      <c r="A404" s="387" t="s">
        <v>11008</v>
      </c>
      <c r="B404" s="387" t="s">
        <v>11009</v>
      </c>
    </row>
    <row r="405" spans="1:2">
      <c r="A405" s="387" t="s">
        <v>11010</v>
      </c>
      <c r="B405" s="387" t="s">
        <v>3144</v>
      </c>
    </row>
    <row r="406" spans="1:2">
      <c r="A406" s="387" t="s">
        <v>11011</v>
      </c>
      <c r="B406" s="387" t="s">
        <v>3691</v>
      </c>
    </row>
    <row r="407" spans="1:2">
      <c r="A407" s="387" t="s">
        <v>11012</v>
      </c>
      <c r="B407" s="387" t="s">
        <v>3693</v>
      </c>
    </row>
    <row r="408" spans="1:2">
      <c r="A408" s="387" t="s">
        <v>11013</v>
      </c>
      <c r="B408" s="387" t="s">
        <v>4231</v>
      </c>
    </row>
    <row r="409" spans="1:2">
      <c r="A409" s="387" t="s">
        <v>11014</v>
      </c>
      <c r="B409" s="387" t="s">
        <v>11015</v>
      </c>
    </row>
    <row r="410" spans="1:2">
      <c r="A410" s="387" t="s">
        <v>11016</v>
      </c>
      <c r="B410" s="387" t="s">
        <v>5437</v>
      </c>
    </row>
    <row r="411" spans="1:2">
      <c r="A411" s="387" t="s">
        <v>11017</v>
      </c>
      <c r="B411" s="387" t="s">
        <v>4741</v>
      </c>
    </row>
    <row r="412" spans="1:2">
      <c r="A412" s="387" t="s">
        <v>11018</v>
      </c>
      <c r="B412" s="387" t="s">
        <v>11019</v>
      </c>
    </row>
    <row r="413" spans="1:2">
      <c r="A413" s="387" t="s">
        <v>11020</v>
      </c>
      <c r="B413" s="387" t="s">
        <v>970</v>
      </c>
    </row>
    <row r="414" spans="1:2">
      <c r="A414" s="387" t="s">
        <v>11021</v>
      </c>
      <c r="B414" s="387" t="s">
        <v>1774</v>
      </c>
    </row>
    <row r="415" spans="1:2">
      <c r="A415" s="387" t="s">
        <v>11022</v>
      </c>
      <c r="B415" s="387" t="s">
        <v>11023</v>
      </c>
    </row>
    <row r="416" spans="1:2">
      <c r="A416" s="387" t="s">
        <v>11024</v>
      </c>
      <c r="B416" s="387" t="s">
        <v>11025</v>
      </c>
    </row>
    <row r="417" spans="1:2">
      <c r="A417" s="387" t="s">
        <v>11026</v>
      </c>
      <c r="B417" s="387" t="s">
        <v>7650</v>
      </c>
    </row>
    <row r="418" spans="1:2">
      <c r="A418" s="387" t="s">
        <v>11027</v>
      </c>
      <c r="B418" s="387" t="s">
        <v>7678</v>
      </c>
    </row>
    <row r="419" spans="1:2">
      <c r="A419" s="387" t="s">
        <v>11028</v>
      </c>
      <c r="B419" s="387" t="s">
        <v>7680</v>
      </c>
    </row>
    <row r="420" spans="1:2">
      <c r="A420" s="387" t="s">
        <v>11029</v>
      </c>
      <c r="B420" s="387" t="s">
        <v>3568</v>
      </c>
    </row>
    <row r="421" spans="1:2">
      <c r="A421" s="387" t="s">
        <v>164</v>
      </c>
      <c r="B421" s="387" t="s">
        <v>928</v>
      </c>
    </row>
    <row r="422" spans="1:2">
      <c r="A422" s="387" t="s">
        <v>508</v>
      </c>
      <c r="B422" s="387" t="s">
        <v>1778</v>
      </c>
    </row>
    <row r="423" spans="1:2">
      <c r="A423" s="387" t="s">
        <v>11030</v>
      </c>
      <c r="B423" s="387" t="s">
        <v>2828</v>
      </c>
    </row>
    <row r="424" spans="1:2">
      <c r="A424" s="387" t="s">
        <v>11031</v>
      </c>
      <c r="B424" s="387" t="s">
        <v>3351</v>
      </c>
    </row>
    <row r="425" spans="1:2">
      <c r="A425" s="387" t="s">
        <v>11032</v>
      </c>
      <c r="B425" s="387" t="s">
        <v>5081</v>
      </c>
    </row>
    <row r="426" spans="1:2">
      <c r="A426" s="387" t="s">
        <v>11033</v>
      </c>
      <c r="B426" s="387" t="s">
        <v>11034</v>
      </c>
    </row>
    <row r="427" spans="1:2">
      <c r="A427" s="387" t="s">
        <v>503</v>
      </c>
      <c r="B427" s="387" t="s">
        <v>1247</v>
      </c>
    </row>
    <row r="428" spans="1:2">
      <c r="A428" s="387" t="s">
        <v>508</v>
      </c>
      <c r="B428" s="387" t="s">
        <v>1778</v>
      </c>
    </row>
    <row r="429" spans="1:2">
      <c r="A429" s="387" t="s">
        <v>11035</v>
      </c>
      <c r="B429" s="387" t="s">
        <v>1979</v>
      </c>
    </row>
    <row r="430" spans="1:2">
      <c r="A430" s="387" t="s">
        <v>11036</v>
      </c>
      <c r="B430" s="387" t="s">
        <v>2276</v>
      </c>
    </row>
    <row r="431" spans="1:2">
      <c r="A431" s="387" t="s">
        <v>11037</v>
      </c>
      <c r="B431" s="387" t="s">
        <v>2384</v>
      </c>
    </row>
    <row r="432" spans="1:2">
      <c r="A432" s="387" t="s">
        <v>11038</v>
      </c>
      <c r="B432" s="387" t="s">
        <v>2726</v>
      </c>
    </row>
    <row r="433" spans="1:2">
      <c r="A433" s="387" t="s">
        <v>11039</v>
      </c>
      <c r="B433" s="387" t="s">
        <v>1765</v>
      </c>
    </row>
    <row r="434" spans="1:2">
      <c r="A434" s="387" t="s">
        <v>11040</v>
      </c>
      <c r="B434" s="387" t="s">
        <v>11041</v>
      </c>
    </row>
    <row r="435" spans="1:2">
      <c r="A435" s="387" t="s">
        <v>11042</v>
      </c>
      <c r="B435" s="387" t="s">
        <v>2150</v>
      </c>
    </row>
    <row r="436" spans="1:2">
      <c r="A436" s="387" t="s">
        <v>11043</v>
      </c>
      <c r="B436" s="387" t="s">
        <v>11044</v>
      </c>
    </row>
    <row r="437" spans="1:2">
      <c r="A437" s="387" t="s">
        <v>11045</v>
      </c>
      <c r="B437" s="387" t="s">
        <v>11046</v>
      </c>
    </row>
    <row r="438" spans="1:2">
      <c r="A438" s="387" t="s">
        <v>508</v>
      </c>
      <c r="B438" s="387" t="s">
        <v>1778</v>
      </c>
    </row>
    <row r="439" spans="1:2">
      <c r="A439" s="387" t="s">
        <v>11047</v>
      </c>
      <c r="B439" s="387" t="s">
        <v>2086</v>
      </c>
    </row>
    <row r="440" spans="1:2">
      <c r="A440" s="387" t="s">
        <v>11048</v>
      </c>
      <c r="B440" s="387" t="s">
        <v>1645</v>
      </c>
    </row>
    <row r="441" spans="1:2">
      <c r="A441" s="387" t="s">
        <v>11049</v>
      </c>
      <c r="B441" s="387" t="s">
        <v>2421</v>
      </c>
    </row>
    <row r="442" spans="1:2">
      <c r="A442" s="387" t="s">
        <v>11050</v>
      </c>
      <c r="B442" s="387" t="s">
        <v>2487</v>
      </c>
    </row>
    <row r="443" spans="1:2">
      <c r="A443" s="387" t="s">
        <v>814</v>
      </c>
      <c r="B443" s="387" t="s">
        <v>2635</v>
      </c>
    </row>
    <row r="444" spans="1:2">
      <c r="A444" s="387" t="s">
        <v>11051</v>
      </c>
      <c r="B444" s="387" t="s">
        <v>2961</v>
      </c>
    </row>
    <row r="445" spans="1:2">
      <c r="A445" s="387" t="s">
        <v>11052</v>
      </c>
      <c r="B445" s="387" t="s">
        <v>3374</v>
      </c>
    </row>
    <row r="446" spans="1:2">
      <c r="A446" s="387" t="s">
        <v>11053</v>
      </c>
      <c r="B446" s="387" t="s">
        <v>3715</v>
      </c>
    </row>
    <row r="447" spans="1:2">
      <c r="A447" s="387" t="s">
        <v>11054</v>
      </c>
      <c r="B447" s="387" t="s">
        <v>3785</v>
      </c>
    </row>
    <row r="448" spans="1:2">
      <c r="A448" s="387" t="s">
        <v>11055</v>
      </c>
      <c r="B448" s="387" t="s">
        <v>3871</v>
      </c>
    </row>
    <row r="449" spans="1:2">
      <c r="A449" s="387" t="s">
        <v>11056</v>
      </c>
      <c r="B449" s="387" t="s">
        <v>2168</v>
      </c>
    </row>
    <row r="450" spans="1:2">
      <c r="A450" s="387" t="s">
        <v>11057</v>
      </c>
      <c r="B450" s="387" t="s">
        <v>1621</v>
      </c>
    </row>
    <row r="451" spans="1:2">
      <c r="A451" s="387" t="s">
        <v>11058</v>
      </c>
      <c r="B451" s="387" t="s">
        <v>6349</v>
      </c>
    </row>
    <row r="452" spans="1:2">
      <c r="A452" s="387" t="s">
        <v>11059</v>
      </c>
      <c r="B452" s="387" t="s">
        <v>6495</v>
      </c>
    </row>
    <row r="453" spans="1:2">
      <c r="A453" s="387" t="s">
        <v>11060</v>
      </c>
      <c r="B453" s="387" t="s">
        <v>11061</v>
      </c>
    </row>
    <row r="454" spans="1:2">
      <c r="A454" s="387" t="s">
        <v>11062</v>
      </c>
      <c r="B454" s="387" t="s">
        <v>11063</v>
      </c>
    </row>
    <row r="455" spans="1:2">
      <c r="A455" s="387" t="s">
        <v>11064</v>
      </c>
      <c r="B455" s="387" t="s">
        <v>11065</v>
      </c>
    </row>
    <row r="456" spans="1:2">
      <c r="A456" s="387" t="s">
        <v>11066</v>
      </c>
      <c r="B456" s="387" t="s">
        <v>2737</v>
      </c>
    </row>
    <row r="457" spans="1:2">
      <c r="A457" s="387" t="s">
        <v>11067</v>
      </c>
      <c r="B457" s="387" t="s">
        <v>7418</v>
      </c>
    </row>
    <row r="458" spans="1:2">
      <c r="A458" s="387" t="s">
        <v>11068</v>
      </c>
      <c r="B458" s="387" t="s">
        <v>893</v>
      </c>
    </row>
    <row r="459" spans="1:2">
      <c r="A459" s="387" t="s">
        <v>11069</v>
      </c>
      <c r="B459" s="387" t="s">
        <v>907</v>
      </c>
    </row>
    <row r="460" spans="1:2">
      <c r="A460" s="387" t="s">
        <v>506</v>
      </c>
      <c r="B460" s="387" t="s">
        <v>974</v>
      </c>
    </row>
    <row r="461" spans="1:2">
      <c r="A461" s="387" t="s">
        <v>11070</v>
      </c>
      <c r="B461" s="387" t="s">
        <v>1134</v>
      </c>
    </row>
    <row r="462" spans="1:2">
      <c r="A462" s="387" t="s">
        <v>11071</v>
      </c>
      <c r="B462" s="387" t="s">
        <v>1258</v>
      </c>
    </row>
    <row r="463" spans="1:2">
      <c r="A463" s="387" t="s">
        <v>11072</v>
      </c>
      <c r="B463" s="387" t="s">
        <v>1315</v>
      </c>
    </row>
    <row r="464" spans="1:2">
      <c r="A464" s="387" t="s">
        <v>11073</v>
      </c>
      <c r="B464" s="387" t="s">
        <v>1356</v>
      </c>
    </row>
    <row r="465" spans="1:2">
      <c r="A465" s="387" t="s">
        <v>11074</v>
      </c>
      <c r="B465" s="387" t="s">
        <v>1424</v>
      </c>
    </row>
    <row r="466" spans="1:2">
      <c r="A466" s="387" t="s">
        <v>11075</v>
      </c>
      <c r="B466" s="387" t="s">
        <v>1428</v>
      </c>
    </row>
    <row r="467" spans="1:2">
      <c r="A467" s="387" t="s">
        <v>11076</v>
      </c>
      <c r="B467" s="387" t="s">
        <v>1613</v>
      </c>
    </row>
    <row r="468" spans="1:2">
      <c r="A468" s="387" t="s">
        <v>508</v>
      </c>
      <c r="B468" s="387" t="s">
        <v>1778</v>
      </c>
    </row>
    <row r="469" spans="1:2">
      <c r="A469" s="387" t="s">
        <v>11077</v>
      </c>
      <c r="B469" s="387" t="s">
        <v>1241</v>
      </c>
    </row>
    <row r="470" spans="1:2">
      <c r="A470" s="387" t="s">
        <v>11078</v>
      </c>
      <c r="B470" s="387" t="s">
        <v>1873</v>
      </c>
    </row>
    <row r="471" spans="1:2">
      <c r="A471" s="387" t="s">
        <v>11079</v>
      </c>
      <c r="B471" s="387" t="s">
        <v>1912</v>
      </c>
    </row>
    <row r="472" spans="1:2">
      <c r="A472" s="387" t="s">
        <v>11080</v>
      </c>
      <c r="B472" s="387" t="s">
        <v>1914</v>
      </c>
    </row>
    <row r="473" spans="1:2">
      <c r="A473" s="387" t="s">
        <v>11081</v>
      </c>
      <c r="B473" s="387" t="s">
        <v>2090</v>
      </c>
    </row>
    <row r="474" spans="1:2">
      <c r="A474" s="387" t="s">
        <v>11082</v>
      </c>
      <c r="B474" s="387" t="s">
        <v>2134</v>
      </c>
    </row>
    <row r="475" spans="1:2">
      <c r="A475" s="387" t="s">
        <v>11083</v>
      </c>
      <c r="B475" s="387" t="s">
        <v>2136</v>
      </c>
    </row>
    <row r="476" spans="1:2">
      <c r="A476" s="387" t="s">
        <v>11084</v>
      </c>
      <c r="B476" s="387" t="s">
        <v>2465</v>
      </c>
    </row>
    <row r="477" spans="1:2">
      <c r="A477" s="387" t="s">
        <v>11085</v>
      </c>
      <c r="B477" s="387" t="s">
        <v>1309</v>
      </c>
    </row>
    <row r="478" spans="1:2">
      <c r="A478" s="387" t="s">
        <v>11086</v>
      </c>
      <c r="B478" s="387" t="s">
        <v>2580</v>
      </c>
    </row>
    <row r="479" spans="1:2">
      <c r="A479" s="387" t="s">
        <v>11087</v>
      </c>
      <c r="B479" s="387" t="s">
        <v>2982</v>
      </c>
    </row>
    <row r="480" spans="1:2">
      <c r="A480" s="387" t="s">
        <v>11088</v>
      </c>
      <c r="B480" s="387" t="s">
        <v>3079</v>
      </c>
    </row>
    <row r="481" spans="1:2">
      <c r="A481" s="387" t="s">
        <v>11089</v>
      </c>
      <c r="B481" s="387" t="s">
        <v>3010</v>
      </c>
    </row>
    <row r="482" spans="1:2">
      <c r="A482" s="387" t="s">
        <v>11090</v>
      </c>
      <c r="B482" s="387" t="s">
        <v>3156</v>
      </c>
    </row>
    <row r="483" spans="1:2">
      <c r="A483" s="387" t="s">
        <v>11091</v>
      </c>
      <c r="B483" s="387" t="s">
        <v>996</v>
      </c>
    </row>
    <row r="484" spans="1:2">
      <c r="A484" s="387" t="s">
        <v>11092</v>
      </c>
      <c r="B484" s="387" t="s">
        <v>3772</v>
      </c>
    </row>
    <row r="485" spans="1:2">
      <c r="A485" s="387" t="s">
        <v>11093</v>
      </c>
      <c r="B485" s="387" t="s">
        <v>3730</v>
      </c>
    </row>
    <row r="486" spans="1:2">
      <c r="A486" s="387" t="s">
        <v>11094</v>
      </c>
      <c r="B486" s="387" t="s">
        <v>1023</v>
      </c>
    </row>
    <row r="487" spans="1:2">
      <c r="A487" s="387" t="s">
        <v>11095</v>
      </c>
      <c r="B487" s="387" t="s">
        <v>4985</v>
      </c>
    </row>
    <row r="488" spans="1:2">
      <c r="A488" s="387" t="s">
        <v>11096</v>
      </c>
      <c r="B488" s="387" t="s">
        <v>5411</v>
      </c>
    </row>
    <row r="489" spans="1:2">
      <c r="A489" s="387" t="s">
        <v>11097</v>
      </c>
      <c r="B489" s="387" t="s">
        <v>4496</v>
      </c>
    </row>
    <row r="490" spans="1:2">
      <c r="A490" s="387" t="s">
        <v>11098</v>
      </c>
      <c r="B490" s="387" t="s">
        <v>6041</v>
      </c>
    </row>
    <row r="491" spans="1:2">
      <c r="A491" s="387" t="s">
        <v>11099</v>
      </c>
      <c r="B491" s="387" t="s">
        <v>6768</v>
      </c>
    </row>
    <row r="492" spans="1:2">
      <c r="A492" s="387" t="s">
        <v>11100</v>
      </c>
      <c r="B492" s="387" t="s">
        <v>11101</v>
      </c>
    </row>
    <row r="493" spans="1:2">
      <c r="A493" s="387" t="s">
        <v>11102</v>
      </c>
      <c r="B493" s="387" t="s">
        <v>7335</v>
      </c>
    </row>
    <row r="494" spans="1:2">
      <c r="A494" s="387" t="s">
        <v>11103</v>
      </c>
      <c r="B494" s="387" t="s">
        <v>7366</v>
      </c>
    </row>
    <row r="495" spans="1:2">
      <c r="A495" s="387" t="s">
        <v>510</v>
      </c>
      <c r="B495" s="387" t="s">
        <v>1053</v>
      </c>
    </row>
    <row r="496" spans="1:2">
      <c r="A496" s="387" t="s">
        <v>504</v>
      </c>
      <c r="B496" s="387" t="s">
        <v>1064</v>
      </c>
    </row>
    <row r="497" spans="1:2">
      <c r="A497" s="387" t="s">
        <v>165</v>
      </c>
      <c r="B497" s="387" t="s">
        <v>9092</v>
      </c>
    </row>
    <row r="498" spans="1:2">
      <c r="A498" s="387" t="s">
        <v>508</v>
      </c>
      <c r="B498" s="387" t="s">
        <v>1778</v>
      </c>
    </row>
    <row r="499" spans="1:2">
      <c r="A499" s="387" t="s">
        <v>507</v>
      </c>
      <c r="B499" s="387" t="s">
        <v>1804</v>
      </c>
    </row>
    <row r="500" spans="1:2">
      <c r="A500" s="387" t="s">
        <v>608</v>
      </c>
      <c r="B500" s="387" t="s">
        <v>1850</v>
      </c>
    </row>
    <row r="501" spans="1:2">
      <c r="A501" s="387" t="s">
        <v>176</v>
      </c>
      <c r="B501" s="387" t="s">
        <v>1927</v>
      </c>
    </row>
    <row r="502" spans="1:2">
      <c r="A502" s="387" t="s">
        <v>7802</v>
      </c>
      <c r="B502" s="387" t="s">
        <v>1442</v>
      </c>
    </row>
    <row r="503" spans="1:2">
      <c r="A503" s="387" t="s">
        <v>605</v>
      </c>
      <c r="B503" s="387" t="s">
        <v>5918</v>
      </c>
    </row>
    <row r="504" spans="1:2">
      <c r="A504" s="387" t="s">
        <v>143</v>
      </c>
      <c r="B504" s="387" t="s">
        <v>3113</v>
      </c>
    </row>
    <row r="505" spans="1:2">
      <c r="A505" s="387" t="s">
        <v>827</v>
      </c>
      <c r="B505" s="387" t="s">
        <v>3412</v>
      </c>
    </row>
    <row r="506" spans="1:2">
      <c r="A506" s="387" t="s">
        <v>8383</v>
      </c>
      <c r="B506" s="387" t="s">
        <v>3589</v>
      </c>
    </row>
    <row r="507" spans="1:2">
      <c r="A507" s="387" t="s">
        <v>505</v>
      </c>
      <c r="B507" s="387" t="s">
        <v>3686</v>
      </c>
    </row>
    <row r="508" spans="1:2">
      <c r="A508" s="387" t="s">
        <v>593</v>
      </c>
      <c r="B508" s="387" t="s">
        <v>5319</v>
      </c>
    </row>
    <row r="509" spans="1:2">
      <c r="A509" s="387" t="s">
        <v>8382</v>
      </c>
      <c r="B509" s="387" t="s">
        <v>891</v>
      </c>
    </row>
    <row r="510" spans="1:2">
      <c r="A510" s="387" t="s">
        <v>8663</v>
      </c>
      <c r="B510" s="387" t="s">
        <v>6413</v>
      </c>
    </row>
    <row r="511" spans="1:2">
      <c r="A511" s="387" t="s">
        <v>8662</v>
      </c>
      <c r="B511" s="387" t="s">
        <v>7451</v>
      </c>
    </row>
    <row r="512" spans="1:2">
      <c r="A512" s="387" t="s">
        <v>509</v>
      </c>
      <c r="B512" s="387" t="s">
        <v>3913</v>
      </c>
    </row>
    <row r="513" spans="1:2">
      <c r="A513" s="387" t="s">
        <v>11104</v>
      </c>
      <c r="B513" s="387" t="s">
        <v>7714</v>
      </c>
    </row>
    <row r="514" spans="1:2">
      <c r="A514" s="387" t="s">
        <v>11105</v>
      </c>
      <c r="B514" s="387" t="s">
        <v>7915</v>
      </c>
    </row>
    <row r="515" spans="1:2">
      <c r="A515" s="387" t="s">
        <v>11106</v>
      </c>
      <c r="B515" s="387" t="s">
        <v>11107</v>
      </c>
    </row>
    <row r="516" spans="1:2">
      <c r="A516" s="387" t="s">
        <v>11108</v>
      </c>
      <c r="B516" s="387" t="s">
        <v>11109</v>
      </c>
    </row>
    <row r="517" spans="1:2">
      <c r="A517" s="387" t="s">
        <v>11110</v>
      </c>
      <c r="B517" s="387" t="s">
        <v>8189</v>
      </c>
    </row>
    <row r="518" spans="1:2">
      <c r="A518" s="387" t="s">
        <v>11111</v>
      </c>
      <c r="B518" s="387" t="s">
        <v>5092</v>
      </c>
    </row>
    <row r="519" spans="1:2">
      <c r="A519" s="387" t="s">
        <v>11112</v>
      </c>
      <c r="B519" s="387" t="s">
        <v>6084</v>
      </c>
    </row>
    <row r="520" spans="1:2">
      <c r="A520" s="387" t="s">
        <v>11113</v>
      </c>
      <c r="B520" s="387" t="s">
        <v>8253</v>
      </c>
    </row>
    <row r="521" spans="1:2">
      <c r="A521" s="387" t="s">
        <v>11114</v>
      </c>
      <c r="B521" s="387" t="s">
        <v>1704</v>
      </c>
    </row>
    <row r="522" spans="1:2">
      <c r="A522" s="387" t="s">
        <v>11115</v>
      </c>
      <c r="B522" s="387" t="s">
        <v>8283</v>
      </c>
    </row>
    <row r="523" spans="1:2">
      <c r="A523" s="387" t="s">
        <v>11116</v>
      </c>
      <c r="B523" s="387" t="s">
        <v>11117</v>
      </c>
    </row>
    <row r="524" spans="1:2">
      <c r="A524" s="387" t="s">
        <v>11118</v>
      </c>
      <c r="B524" s="387" t="s">
        <v>8331</v>
      </c>
    </row>
    <row r="525" spans="1:2">
      <c r="A525" s="387" t="s">
        <v>145</v>
      </c>
      <c r="B525" s="387" t="s">
        <v>1057</v>
      </c>
    </row>
    <row r="526" spans="1:2">
      <c r="A526" s="387" t="s">
        <v>11119</v>
      </c>
      <c r="B526" s="387" t="s">
        <v>1146</v>
      </c>
    </row>
    <row r="527" spans="1:2">
      <c r="A527" s="387" t="s">
        <v>166</v>
      </c>
      <c r="B527" s="387" t="s">
        <v>1241</v>
      </c>
    </row>
    <row r="528" spans="1:2">
      <c r="A528" s="387" t="s">
        <v>11120</v>
      </c>
      <c r="B528" s="387" t="s">
        <v>1657</v>
      </c>
    </row>
    <row r="529" spans="1:2">
      <c r="A529" s="387" t="s">
        <v>11121</v>
      </c>
      <c r="B529" s="387" t="s">
        <v>1933</v>
      </c>
    </row>
    <row r="530" spans="1:2">
      <c r="A530" s="387" t="s">
        <v>11122</v>
      </c>
      <c r="B530" s="387" t="s">
        <v>2092</v>
      </c>
    </row>
    <row r="531" spans="1:2">
      <c r="A531" s="387" t="s">
        <v>11123</v>
      </c>
      <c r="B531" s="387" t="s">
        <v>2106</v>
      </c>
    </row>
    <row r="532" spans="1:2">
      <c r="A532" s="387" t="s">
        <v>11124</v>
      </c>
      <c r="B532" s="387" t="s">
        <v>2202</v>
      </c>
    </row>
    <row r="533" spans="1:2">
      <c r="A533" s="387" t="s">
        <v>11125</v>
      </c>
      <c r="B533" s="387" t="s">
        <v>1704</v>
      </c>
    </row>
    <row r="534" spans="1:2">
      <c r="A534" s="387" t="s">
        <v>11126</v>
      </c>
      <c r="B534" s="387" t="s">
        <v>5648</v>
      </c>
    </row>
    <row r="535" spans="1:2">
      <c r="A535" s="387" t="s">
        <v>11127</v>
      </c>
      <c r="B535" s="387" t="s">
        <v>4076</v>
      </c>
    </row>
    <row r="536" spans="1:2">
      <c r="A536" s="387" t="s">
        <v>11128</v>
      </c>
      <c r="B536" s="387" t="s">
        <v>11129</v>
      </c>
    </row>
    <row r="537" spans="1:2">
      <c r="A537" s="387" t="s">
        <v>11130</v>
      </c>
      <c r="B537" s="387" t="s">
        <v>11131</v>
      </c>
    </row>
    <row r="538" spans="1:2">
      <c r="A538" s="387" t="s">
        <v>11132</v>
      </c>
      <c r="B538" s="387" t="s">
        <v>7150</v>
      </c>
    </row>
    <row r="539" spans="1:2">
      <c r="A539" s="387" t="s">
        <v>11133</v>
      </c>
      <c r="B539" s="387" t="s">
        <v>7614</v>
      </c>
    </row>
    <row r="540" spans="1:2">
      <c r="A540" s="387" t="s">
        <v>11134</v>
      </c>
      <c r="B540" s="387" t="s">
        <v>7618</v>
      </c>
    </row>
    <row r="541" spans="1:2">
      <c r="A541" s="387" t="s">
        <v>11135</v>
      </c>
      <c r="B541" s="387" t="s">
        <v>996</v>
      </c>
    </row>
    <row r="542" spans="1:2">
      <c r="A542" s="387" t="s">
        <v>11136</v>
      </c>
      <c r="B542" s="387" t="s">
        <v>7625</v>
      </c>
    </row>
    <row r="543" spans="1:2">
      <c r="A543" s="387" t="s">
        <v>11137</v>
      </c>
      <c r="B543" s="387" t="s">
        <v>11138</v>
      </c>
    </row>
    <row r="544" spans="1:2">
      <c r="A544" s="387" t="s">
        <v>145</v>
      </c>
      <c r="B544" s="387" t="s">
        <v>1057</v>
      </c>
    </row>
    <row r="545" spans="1:2">
      <c r="A545" s="387" t="s">
        <v>11139</v>
      </c>
      <c r="B545" s="387" t="s">
        <v>2602</v>
      </c>
    </row>
    <row r="546" spans="1:2">
      <c r="A546" s="387" t="s">
        <v>11140</v>
      </c>
      <c r="B546" s="387" t="s">
        <v>2674</v>
      </c>
    </row>
    <row r="547" spans="1:2">
      <c r="A547" s="387" t="s">
        <v>8664</v>
      </c>
      <c r="B547" s="387" t="s">
        <v>2739</v>
      </c>
    </row>
    <row r="548" spans="1:2">
      <c r="A548" s="387" t="s">
        <v>11141</v>
      </c>
      <c r="B548" s="387" t="s">
        <v>3486</v>
      </c>
    </row>
    <row r="549" spans="1:2">
      <c r="A549" s="387" t="s">
        <v>7809</v>
      </c>
      <c r="B549" s="387" t="s">
        <v>3705</v>
      </c>
    </row>
    <row r="550" spans="1:2">
      <c r="A550" s="387" t="s">
        <v>11142</v>
      </c>
      <c r="B550" s="387" t="s">
        <v>11143</v>
      </c>
    </row>
    <row r="551" spans="1:2">
      <c r="A551" s="387" t="s">
        <v>11144</v>
      </c>
      <c r="B551" s="387" t="s">
        <v>6022</v>
      </c>
    </row>
    <row r="552" spans="1:2">
      <c r="A552" s="387" t="s">
        <v>11145</v>
      </c>
      <c r="B552" s="387" t="s">
        <v>11138</v>
      </c>
    </row>
    <row r="553" spans="1:2">
      <c r="A553" s="387" t="s">
        <v>11146</v>
      </c>
      <c r="B553" s="387" t="s">
        <v>3670</v>
      </c>
    </row>
    <row r="554" spans="1:2">
      <c r="A554" s="387" t="s">
        <v>11147</v>
      </c>
      <c r="B554" s="387" t="s">
        <v>11148</v>
      </c>
    </row>
    <row r="555" spans="1:2">
      <c r="A555" s="387" t="s">
        <v>11149</v>
      </c>
      <c r="B555" s="387" t="s">
        <v>1719</v>
      </c>
    </row>
    <row r="556" spans="1:2">
      <c r="A556" s="387" t="s">
        <v>11150</v>
      </c>
      <c r="B556" s="387" t="s">
        <v>7845</v>
      </c>
    </row>
    <row r="557" spans="1:2">
      <c r="A557" s="387" t="s">
        <v>11151</v>
      </c>
      <c r="B557" s="387" t="s">
        <v>11152</v>
      </c>
    </row>
    <row r="558" spans="1:2">
      <c r="A558" s="387" t="s">
        <v>11153</v>
      </c>
      <c r="B558" s="387" t="s">
        <v>3728</v>
      </c>
    </row>
    <row r="559" spans="1:2">
      <c r="A559" s="387" t="s">
        <v>11154</v>
      </c>
      <c r="B559" s="387" t="s">
        <v>11155</v>
      </c>
    </row>
    <row r="560" spans="1:2">
      <c r="A560" s="387" t="s">
        <v>11156</v>
      </c>
      <c r="B560" s="387" t="s">
        <v>8475</v>
      </c>
    </row>
    <row r="561" spans="1:2">
      <c r="A561" s="387" t="s">
        <v>11157</v>
      </c>
      <c r="B561" s="387" t="s">
        <v>8480</v>
      </c>
    </row>
    <row r="562" spans="1:2">
      <c r="A562" s="387" t="s">
        <v>11158</v>
      </c>
      <c r="B562" s="387" t="s">
        <v>1175</v>
      </c>
    </row>
    <row r="563" spans="1:2">
      <c r="A563" s="387" t="s">
        <v>11159</v>
      </c>
      <c r="B563" s="387" t="s">
        <v>8519</v>
      </c>
    </row>
    <row r="564" spans="1:2">
      <c r="A564" s="387" t="s">
        <v>11160</v>
      </c>
      <c r="B564" s="387" t="s">
        <v>2248</v>
      </c>
    </row>
    <row r="565" spans="1:2">
      <c r="A565" s="387" t="s">
        <v>11161</v>
      </c>
      <c r="B565" s="387" t="s">
        <v>5558</v>
      </c>
    </row>
    <row r="566" spans="1:2">
      <c r="A566" s="387" t="s">
        <v>11162</v>
      </c>
      <c r="B566" s="387" t="s">
        <v>7458</v>
      </c>
    </row>
    <row r="567" spans="1:2">
      <c r="A567" s="387" t="s">
        <v>8680</v>
      </c>
      <c r="B567" s="387" t="s">
        <v>8584</v>
      </c>
    </row>
    <row r="568" spans="1:2">
      <c r="A568" s="387" t="s">
        <v>11163</v>
      </c>
      <c r="B568" s="387" t="s">
        <v>4634</v>
      </c>
    </row>
    <row r="569" spans="1:2">
      <c r="A569" s="387" t="s">
        <v>11164</v>
      </c>
      <c r="B569" s="387" t="s">
        <v>8609</v>
      </c>
    </row>
    <row r="570" spans="1:2">
      <c r="A570" s="387" t="s">
        <v>11165</v>
      </c>
      <c r="B570" s="387" t="s">
        <v>11166</v>
      </c>
    </row>
    <row r="571" spans="1:2">
      <c r="A571" s="387" t="s">
        <v>11167</v>
      </c>
      <c r="B571" s="387" t="s">
        <v>1816</v>
      </c>
    </row>
    <row r="572" spans="1:2">
      <c r="A572" s="387" t="s">
        <v>11168</v>
      </c>
      <c r="B572" s="387" t="s">
        <v>8720</v>
      </c>
    </row>
    <row r="573" spans="1:2">
      <c r="A573" s="387" t="s">
        <v>11169</v>
      </c>
      <c r="B573" s="387" t="s">
        <v>8745</v>
      </c>
    </row>
    <row r="574" spans="1:2">
      <c r="A574" s="387" t="s">
        <v>145</v>
      </c>
      <c r="B574" s="387" t="s">
        <v>1057</v>
      </c>
    </row>
    <row r="575" spans="1:2">
      <c r="A575" s="387" t="s">
        <v>147</v>
      </c>
      <c r="B575" s="387" t="s">
        <v>1776</v>
      </c>
    </row>
    <row r="576" spans="1:2">
      <c r="A576" s="387" t="s">
        <v>11170</v>
      </c>
      <c r="B576" s="387" t="s">
        <v>11171</v>
      </c>
    </row>
    <row r="577" spans="1:2">
      <c r="A577" s="387" t="s">
        <v>11172</v>
      </c>
      <c r="B577" s="387" t="s">
        <v>3546</v>
      </c>
    </row>
    <row r="578" spans="1:2">
      <c r="A578" s="387" t="s">
        <v>11173</v>
      </c>
      <c r="B578" s="387" t="s">
        <v>2146</v>
      </c>
    </row>
    <row r="579" spans="1:2">
      <c r="A579" s="387" t="s">
        <v>11174</v>
      </c>
      <c r="B579" s="387" t="s">
        <v>4721</v>
      </c>
    </row>
    <row r="580" spans="1:2">
      <c r="A580" s="387" t="s">
        <v>11175</v>
      </c>
      <c r="B580" s="387" t="s">
        <v>4810</v>
      </c>
    </row>
    <row r="581" spans="1:2">
      <c r="A581" s="387" t="s">
        <v>11176</v>
      </c>
      <c r="B581" s="387" t="s">
        <v>4667</v>
      </c>
    </row>
    <row r="582" spans="1:2">
      <c r="A582" s="387" t="s">
        <v>11177</v>
      </c>
      <c r="B582" s="387" t="s">
        <v>6979</v>
      </c>
    </row>
    <row r="583" spans="1:2">
      <c r="A583" s="387" t="s">
        <v>11178</v>
      </c>
      <c r="B583" s="387" t="s">
        <v>1667</v>
      </c>
    </row>
    <row r="584" spans="1:2">
      <c r="A584" s="387" t="s">
        <v>592</v>
      </c>
      <c r="B584" s="387" t="s">
        <v>1725</v>
      </c>
    </row>
    <row r="585" spans="1:2">
      <c r="A585" s="387" t="s">
        <v>11179</v>
      </c>
      <c r="B585" s="387" t="s">
        <v>1800</v>
      </c>
    </row>
    <row r="586" spans="1:2">
      <c r="A586" s="387" t="s">
        <v>610</v>
      </c>
      <c r="B586" s="387" t="s">
        <v>1904</v>
      </c>
    </row>
    <row r="587" spans="1:2">
      <c r="A587" s="387" t="s">
        <v>11180</v>
      </c>
      <c r="B587" s="387" t="s">
        <v>2200</v>
      </c>
    </row>
    <row r="588" spans="1:2">
      <c r="A588" s="387" t="s">
        <v>11181</v>
      </c>
      <c r="B588" s="387" t="s">
        <v>976</v>
      </c>
    </row>
    <row r="589" spans="1:2">
      <c r="A589" s="387" t="s">
        <v>11182</v>
      </c>
      <c r="B589" s="387" t="s">
        <v>2578</v>
      </c>
    </row>
    <row r="590" spans="1:2">
      <c r="A590" s="387" t="s">
        <v>11183</v>
      </c>
      <c r="B590" s="387" t="s">
        <v>2710</v>
      </c>
    </row>
    <row r="591" spans="1:2">
      <c r="A591" s="387" t="s">
        <v>11184</v>
      </c>
      <c r="B591" s="387" t="s">
        <v>11185</v>
      </c>
    </row>
    <row r="592" spans="1:2">
      <c r="A592" s="387" t="s">
        <v>11186</v>
      </c>
      <c r="B592" s="387" t="s">
        <v>5386</v>
      </c>
    </row>
    <row r="593" spans="1:2">
      <c r="A593" s="387" t="s">
        <v>11187</v>
      </c>
      <c r="B593" s="387" t="s">
        <v>5666</v>
      </c>
    </row>
    <row r="594" spans="1:2">
      <c r="A594" s="387" t="s">
        <v>11188</v>
      </c>
      <c r="B594" s="387" t="s">
        <v>5744</v>
      </c>
    </row>
    <row r="595" spans="1:2">
      <c r="A595" s="387" t="s">
        <v>11189</v>
      </c>
      <c r="B595" s="387" t="s">
        <v>3705</v>
      </c>
    </row>
    <row r="596" spans="1:2">
      <c r="A596" s="387" t="s">
        <v>11190</v>
      </c>
      <c r="B596" s="387" t="s">
        <v>6200</v>
      </c>
    </row>
    <row r="597" spans="1:2">
      <c r="A597" s="387" t="s">
        <v>11191</v>
      </c>
      <c r="B597" s="387" t="s">
        <v>6530</v>
      </c>
    </row>
    <row r="598" spans="1:2">
      <c r="A598" s="387" t="s">
        <v>7795</v>
      </c>
      <c r="B598" s="387" t="s">
        <v>11192</v>
      </c>
    </row>
    <row r="599" spans="1:2">
      <c r="A599" s="387" t="s">
        <v>11193</v>
      </c>
      <c r="B599" s="387" t="s">
        <v>2647</v>
      </c>
    </row>
    <row r="600" spans="1:2">
      <c r="A600" s="387" t="s">
        <v>11194</v>
      </c>
      <c r="B600" s="387" t="s">
        <v>7616</v>
      </c>
    </row>
    <row r="601" spans="1:2">
      <c r="A601" s="387" t="s">
        <v>11195</v>
      </c>
      <c r="B601" s="387" t="s">
        <v>11196</v>
      </c>
    </row>
    <row r="602" spans="1:2">
      <c r="A602" s="387" t="s">
        <v>11197</v>
      </c>
      <c r="B602" s="387" t="s">
        <v>7109</v>
      </c>
    </row>
    <row r="603" spans="1:2">
      <c r="A603" s="387" t="s">
        <v>11198</v>
      </c>
      <c r="B603" s="387" t="s">
        <v>7627</v>
      </c>
    </row>
    <row r="604" spans="1:2">
      <c r="A604" s="387" t="s">
        <v>11199</v>
      </c>
      <c r="B604" s="387" t="s">
        <v>11200</v>
      </c>
    </row>
    <row r="605" spans="1:2">
      <c r="A605" s="387" t="s">
        <v>11201</v>
      </c>
      <c r="B605" s="387" t="s">
        <v>7632</v>
      </c>
    </row>
    <row r="606" spans="1:2">
      <c r="A606" s="387" t="s">
        <v>11202</v>
      </c>
      <c r="B606" s="387" t="s">
        <v>11203</v>
      </c>
    </row>
    <row r="607" spans="1:2">
      <c r="A607" s="387" t="s">
        <v>11204</v>
      </c>
      <c r="B607" s="387" t="s">
        <v>1719</v>
      </c>
    </row>
    <row r="608" spans="1:2">
      <c r="A608" s="387" t="s">
        <v>11205</v>
      </c>
      <c r="B608" s="387" t="s">
        <v>1892</v>
      </c>
    </row>
    <row r="609" spans="1:2">
      <c r="A609" s="387" t="s">
        <v>610</v>
      </c>
      <c r="B609" s="387" t="s">
        <v>1904</v>
      </c>
    </row>
    <row r="610" spans="1:2">
      <c r="A610" s="387" t="s">
        <v>832</v>
      </c>
      <c r="B610" s="387" t="s">
        <v>2295</v>
      </c>
    </row>
    <row r="611" spans="1:2">
      <c r="A611" s="387" t="s">
        <v>11206</v>
      </c>
      <c r="B611" s="387" t="s">
        <v>2318</v>
      </c>
    </row>
    <row r="612" spans="1:2">
      <c r="A612" s="387" t="s">
        <v>609</v>
      </c>
      <c r="B612" s="387" t="s">
        <v>2399</v>
      </c>
    </row>
    <row r="613" spans="1:2">
      <c r="A613" s="387" t="s">
        <v>11207</v>
      </c>
      <c r="B613" s="387" t="s">
        <v>11208</v>
      </c>
    </row>
    <row r="614" spans="1:2">
      <c r="A614" s="387" t="s">
        <v>11209</v>
      </c>
      <c r="B614" s="387" t="s">
        <v>1774</v>
      </c>
    </row>
    <row r="615" spans="1:2">
      <c r="A615" s="387" t="s">
        <v>11210</v>
      </c>
      <c r="B615" s="387" t="s">
        <v>2957</v>
      </c>
    </row>
    <row r="616" spans="1:2">
      <c r="A616" s="387" t="s">
        <v>11211</v>
      </c>
      <c r="B616" s="387" t="s">
        <v>3461</v>
      </c>
    </row>
    <row r="617" spans="1:2">
      <c r="A617" s="387" t="s">
        <v>11212</v>
      </c>
      <c r="B617" s="387" t="s">
        <v>3636</v>
      </c>
    </row>
    <row r="618" spans="1:2">
      <c r="A618" s="387" t="s">
        <v>11213</v>
      </c>
      <c r="B618" s="387" t="s">
        <v>2348</v>
      </c>
    </row>
    <row r="619" spans="1:2">
      <c r="A619" s="387" t="s">
        <v>8386</v>
      </c>
      <c r="B619" s="387" t="s">
        <v>2084</v>
      </c>
    </row>
    <row r="620" spans="1:2">
      <c r="A620" s="387" t="s">
        <v>11214</v>
      </c>
      <c r="B620" s="387" t="s">
        <v>4016</v>
      </c>
    </row>
    <row r="621" spans="1:2">
      <c r="A621" s="387" t="s">
        <v>11215</v>
      </c>
      <c r="B621" s="387" t="s">
        <v>11216</v>
      </c>
    </row>
    <row r="622" spans="1:2">
      <c r="A622" s="387" t="s">
        <v>11217</v>
      </c>
      <c r="B622" s="387" t="s">
        <v>4726</v>
      </c>
    </row>
    <row r="623" spans="1:2">
      <c r="A623" s="387" t="s">
        <v>11218</v>
      </c>
      <c r="B623" s="387" t="s">
        <v>5321</v>
      </c>
    </row>
    <row r="624" spans="1:2">
      <c r="A624" s="387" t="s">
        <v>11219</v>
      </c>
      <c r="B624" s="387" t="s">
        <v>3516</v>
      </c>
    </row>
    <row r="625" spans="1:2">
      <c r="A625" s="387" t="s">
        <v>11220</v>
      </c>
      <c r="B625" s="387" t="s">
        <v>11221</v>
      </c>
    </row>
    <row r="626" spans="1:2">
      <c r="A626" s="387" t="s">
        <v>11222</v>
      </c>
      <c r="B626" s="387" t="s">
        <v>5634</v>
      </c>
    </row>
    <row r="627" spans="1:2">
      <c r="A627" s="387" t="s">
        <v>11223</v>
      </c>
      <c r="B627" s="387" t="s">
        <v>5644</v>
      </c>
    </row>
    <row r="628" spans="1:2">
      <c r="A628" s="387" t="s">
        <v>11224</v>
      </c>
      <c r="B628" s="387" t="s">
        <v>8725</v>
      </c>
    </row>
    <row r="629" spans="1:2">
      <c r="A629" s="387" t="s">
        <v>11225</v>
      </c>
      <c r="B629" s="387" t="s">
        <v>2371</v>
      </c>
    </row>
    <row r="630" spans="1:2">
      <c r="A630" s="387" t="s">
        <v>11226</v>
      </c>
      <c r="B630" s="387" t="s">
        <v>6770</v>
      </c>
    </row>
    <row r="631" spans="1:2">
      <c r="A631" s="387" t="s">
        <v>11227</v>
      </c>
      <c r="B631" s="387" t="s">
        <v>11228</v>
      </c>
    </row>
    <row r="632" spans="1:2">
      <c r="A632" s="387" t="s">
        <v>610</v>
      </c>
      <c r="B632" s="387" t="s">
        <v>1904</v>
      </c>
    </row>
    <row r="633" spans="1:2">
      <c r="A633" s="387" t="s">
        <v>11229</v>
      </c>
      <c r="B633" s="387" t="s">
        <v>2336</v>
      </c>
    </row>
    <row r="634" spans="1:2">
      <c r="A634" s="387" t="s">
        <v>607</v>
      </c>
      <c r="B634" s="387" t="s">
        <v>3455</v>
      </c>
    </row>
    <row r="635" spans="1:2">
      <c r="A635" s="387" t="s">
        <v>11230</v>
      </c>
      <c r="B635" s="387" t="s">
        <v>5076</v>
      </c>
    </row>
    <row r="636" spans="1:2">
      <c r="A636" s="387" t="s">
        <v>11231</v>
      </c>
      <c r="B636" s="387" t="s">
        <v>4003</v>
      </c>
    </row>
    <row r="637" spans="1:2">
      <c r="A637" s="387" t="s">
        <v>11232</v>
      </c>
      <c r="B637" s="387" t="s">
        <v>5191</v>
      </c>
    </row>
    <row r="638" spans="1:2">
      <c r="A638" s="387" t="s">
        <v>11233</v>
      </c>
      <c r="B638" s="387" t="s">
        <v>5751</v>
      </c>
    </row>
    <row r="639" spans="1:2">
      <c r="A639" s="387" t="s">
        <v>11234</v>
      </c>
      <c r="B639" s="387" t="s">
        <v>11235</v>
      </c>
    </row>
    <row r="640" spans="1:2">
      <c r="A640" s="387" t="s">
        <v>100</v>
      </c>
      <c r="B640" s="387" t="s">
        <v>920</v>
      </c>
    </row>
    <row r="641" spans="1:2">
      <c r="A641" s="387" t="s">
        <v>11236</v>
      </c>
      <c r="B641" s="387" t="s">
        <v>964</v>
      </c>
    </row>
    <row r="642" spans="1:2">
      <c r="A642" s="387" t="s">
        <v>11237</v>
      </c>
      <c r="B642" s="387" t="s">
        <v>1068</v>
      </c>
    </row>
    <row r="643" spans="1:2">
      <c r="A643" s="387" t="s">
        <v>653</v>
      </c>
      <c r="B643" s="387" t="s">
        <v>1627</v>
      </c>
    </row>
    <row r="644" spans="1:2">
      <c r="A644" s="387" t="s">
        <v>11238</v>
      </c>
      <c r="B644" s="387" t="s">
        <v>1323</v>
      </c>
    </row>
    <row r="645" spans="1:2">
      <c r="A645" s="387" t="s">
        <v>11239</v>
      </c>
      <c r="B645" s="387" t="s">
        <v>1834</v>
      </c>
    </row>
    <row r="646" spans="1:2">
      <c r="A646" s="387" t="s">
        <v>655</v>
      </c>
      <c r="B646" s="387" t="s">
        <v>1950</v>
      </c>
    </row>
    <row r="647" spans="1:2">
      <c r="A647" s="387" t="s">
        <v>8654</v>
      </c>
      <c r="B647" s="387" t="s">
        <v>2039</v>
      </c>
    </row>
    <row r="648" spans="1:2">
      <c r="A648" s="387" t="s">
        <v>654</v>
      </c>
      <c r="B648" s="387" t="s">
        <v>2064</v>
      </c>
    </row>
    <row r="649" spans="1:2">
      <c r="A649" s="387" t="s">
        <v>11240</v>
      </c>
      <c r="B649" s="387" t="s">
        <v>2442</v>
      </c>
    </row>
    <row r="650" spans="1:2">
      <c r="A650" s="387" t="s">
        <v>11241</v>
      </c>
      <c r="B650" s="387" t="s">
        <v>2753</v>
      </c>
    </row>
    <row r="651" spans="1:2">
      <c r="A651" s="387" t="s">
        <v>11242</v>
      </c>
      <c r="B651" s="387" t="s">
        <v>1943</v>
      </c>
    </row>
    <row r="652" spans="1:2">
      <c r="A652" s="387" t="s">
        <v>657</v>
      </c>
      <c r="B652" s="387" t="s">
        <v>5646</v>
      </c>
    </row>
    <row r="653" spans="1:2">
      <c r="A653" s="387" t="s">
        <v>11243</v>
      </c>
      <c r="B653" s="387" t="s">
        <v>11244</v>
      </c>
    </row>
    <row r="654" spans="1:2">
      <c r="A654" s="387" t="s">
        <v>11245</v>
      </c>
      <c r="B654" s="387" t="s">
        <v>6505</v>
      </c>
    </row>
    <row r="655" spans="1:2">
      <c r="A655" s="387" t="s">
        <v>11246</v>
      </c>
      <c r="B655" s="387" t="s">
        <v>1128</v>
      </c>
    </row>
    <row r="656" spans="1:2">
      <c r="A656" s="387" t="s">
        <v>10061</v>
      </c>
      <c r="B656" s="387" t="s">
        <v>11247</v>
      </c>
    </row>
    <row r="657" spans="1:2">
      <c r="A657" s="387" t="s">
        <v>200</v>
      </c>
      <c r="B657" s="387" t="s">
        <v>1621</v>
      </c>
    </row>
    <row r="658" spans="1:2">
      <c r="A658" s="387" t="s">
        <v>163</v>
      </c>
      <c r="B658" s="387" t="s">
        <v>3407</v>
      </c>
    </row>
    <row r="659" spans="1:2">
      <c r="A659" s="387" t="s">
        <v>11248</v>
      </c>
      <c r="B659" s="387" t="s">
        <v>6631</v>
      </c>
    </row>
    <row r="660" spans="1:2">
      <c r="A660" s="387" t="s">
        <v>11249</v>
      </c>
      <c r="B660" s="387" t="s">
        <v>2780</v>
      </c>
    </row>
    <row r="661" spans="1:2">
      <c r="A661" s="387" t="s">
        <v>11250</v>
      </c>
      <c r="B661" s="387" t="s">
        <v>11251</v>
      </c>
    </row>
    <row r="662" spans="1:2">
      <c r="A662" s="387" t="s">
        <v>163</v>
      </c>
      <c r="B662" s="387" t="s">
        <v>3407</v>
      </c>
    </row>
    <row r="663" spans="1:2">
      <c r="A663" s="387" t="s">
        <v>589</v>
      </c>
      <c r="B663" s="387" t="s">
        <v>3778</v>
      </c>
    </row>
    <row r="664" spans="1:2">
      <c r="A664" s="387" t="s">
        <v>11252</v>
      </c>
      <c r="B664" s="387" t="s">
        <v>3924</v>
      </c>
    </row>
    <row r="665" spans="1:2">
      <c r="A665" s="387" t="s">
        <v>11253</v>
      </c>
      <c r="B665" s="387" t="s">
        <v>1152</v>
      </c>
    </row>
    <row r="666" spans="1:2">
      <c r="A666" s="387" t="s">
        <v>163</v>
      </c>
      <c r="B666" s="387" t="s">
        <v>3407</v>
      </c>
    </row>
    <row r="667" spans="1:2">
      <c r="A667" s="387" t="s">
        <v>11254</v>
      </c>
      <c r="B667" s="387" t="s">
        <v>7338</v>
      </c>
    </row>
    <row r="668" spans="1:2">
      <c r="A668" s="387" t="s">
        <v>11255</v>
      </c>
      <c r="B668" s="387" t="s">
        <v>2528</v>
      </c>
    </row>
    <row r="669" spans="1:2">
      <c r="A669" s="387" t="s">
        <v>163</v>
      </c>
      <c r="B669" s="387" t="s">
        <v>3407</v>
      </c>
    </row>
    <row r="670" spans="1:2">
      <c r="A670" s="387" t="s">
        <v>7811</v>
      </c>
      <c r="B670" s="387" t="s">
        <v>7786</v>
      </c>
    </row>
    <row r="671" spans="1:2">
      <c r="A671" s="387" t="s">
        <v>197</v>
      </c>
      <c r="B671" s="387" t="s">
        <v>1378</v>
      </c>
    </row>
    <row r="672" spans="1:2">
      <c r="A672" s="387" t="s">
        <v>163</v>
      </c>
      <c r="B672" s="387" t="s">
        <v>3407</v>
      </c>
    </row>
    <row r="673" spans="1:2">
      <c r="A673" s="387" t="s">
        <v>196</v>
      </c>
      <c r="B673" s="387" t="s">
        <v>3881</v>
      </c>
    </row>
    <row r="674" spans="1:2">
      <c r="A674" s="387" t="s">
        <v>198</v>
      </c>
      <c r="B674" s="387" t="s">
        <v>4152</v>
      </c>
    </row>
    <row r="675" spans="1:2">
      <c r="A675" s="387" t="s">
        <v>11256</v>
      </c>
      <c r="B675" s="387" t="s">
        <v>3427</v>
      </c>
    </row>
    <row r="676" spans="1:2">
      <c r="A676" s="387" t="s">
        <v>163</v>
      </c>
      <c r="B676" s="387" t="s">
        <v>3407</v>
      </c>
    </row>
    <row r="677" spans="1:2">
      <c r="A677" s="387" t="s">
        <v>163</v>
      </c>
      <c r="B677" s="387" t="s">
        <v>3407</v>
      </c>
    </row>
    <row r="678" spans="1:2">
      <c r="A678" s="387" t="s">
        <v>7811</v>
      </c>
      <c r="B678" s="387" t="s">
        <v>7786</v>
      </c>
    </row>
    <row r="679" spans="1:2">
      <c r="A679" s="387" t="s">
        <v>11257</v>
      </c>
      <c r="B679" s="387" t="s">
        <v>7829</v>
      </c>
    </row>
    <row r="680" spans="1:2">
      <c r="A680" s="387" t="s">
        <v>11258</v>
      </c>
      <c r="B680" s="387" t="s">
        <v>1088</v>
      </c>
    </row>
    <row r="681" spans="1:2">
      <c r="A681" s="387" t="s">
        <v>11259</v>
      </c>
      <c r="B681" s="387" t="s">
        <v>7829</v>
      </c>
    </row>
    <row r="682" spans="1:2">
      <c r="A682" s="387" t="s">
        <v>11260</v>
      </c>
      <c r="B682" s="387" t="s">
        <v>7913</v>
      </c>
    </row>
    <row r="683" spans="1:2">
      <c r="A683" s="387" t="s">
        <v>11261</v>
      </c>
      <c r="B683" s="387" t="s">
        <v>11262</v>
      </c>
    </row>
    <row r="684" spans="1:2">
      <c r="A684" s="387" t="s">
        <v>11263</v>
      </c>
      <c r="B684" s="387" t="s">
        <v>11264</v>
      </c>
    </row>
    <row r="685" spans="1:2">
      <c r="A685" s="387" t="s">
        <v>11265</v>
      </c>
      <c r="B685" s="387" t="s">
        <v>7917</v>
      </c>
    </row>
    <row r="686" spans="1:2">
      <c r="A686" s="387" t="s">
        <v>11266</v>
      </c>
      <c r="B686" s="387" t="s">
        <v>8075</v>
      </c>
    </row>
    <row r="687" spans="1:2">
      <c r="A687" s="387" t="s">
        <v>11267</v>
      </c>
      <c r="B687" s="387" t="s">
        <v>1360</v>
      </c>
    </row>
    <row r="688" spans="1:2">
      <c r="A688" s="387" t="s">
        <v>11268</v>
      </c>
      <c r="B688" s="387" t="s">
        <v>8081</v>
      </c>
    </row>
    <row r="689" spans="1:2">
      <c r="A689" s="387" t="s">
        <v>11269</v>
      </c>
      <c r="B689" s="387" t="s">
        <v>11270</v>
      </c>
    </row>
    <row r="690" spans="1:2">
      <c r="A690" s="387" t="s">
        <v>11271</v>
      </c>
      <c r="B690" s="387" t="s">
        <v>2802</v>
      </c>
    </row>
    <row r="691" spans="1:2">
      <c r="A691" s="387" t="s">
        <v>11272</v>
      </c>
      <c r="B691" s="387" t="s">
        <v>11273</v>
      </c>
    </row>
    <row r="692" spans="1:2">
      <c r="A692" s="387" t="s">
        <v>11274</v>
      </c>
      <c r="B692" s="387" t="s">
        <v>8285</v>
      </c>
    </row>
    <row r="693" spans="1:2">
      <c r="A693" s="387" t="s">
        <v>11275</v>
      </c>
      <c r="B693" s="387" t="s">
        <v>8312</v>
      </c>
    </row>
    <row r="694" spans="1:2">
      <c r="A694" s="387" t="s">
        <v>11276</v>
      </c>
      <c r="B694" s="387" t="s">
        <v>8321</v>
      </c>
    </row>
    <row r="695" spans="1:2">
      <c r="A695" s="387" t="s">
        <v>163</v>
      </c>
      <c r="B695" s="387" t="s">
        <v>3407</v>
      </c>
    </row>
    <row r="696" spans="1:2">
      <c r="A696" s="387" t="s">
        <v>7811</v>
      </c>
      <c r="B696" s="387" t="s">
        <v>7786</v>
      </c>
    </row>
    <row r="697" spans="1:2">
      <c r="A697" s="387" t="s">
        <v>745</v>
      </c>
      <c r="B697" s="387" t="s">
        <v>746</v>
      </c>
    </row>
    <row r="698" spans="1:2">
      <c r="A698" s="387" t="s">
        <v>139</v>
      </c>
      <c r="B698" s="387" t="s">
        <v>888</v>
      </c>
    </row>
    <row r="699" spans="1:2">
      <c r="A699" s="387" t="s">
        <v>11277</v>
      </c>
      <c r="B699" s="387" t="s">
        <v>922</v>
      </c>
    </row>
    <row r="700" spans="1:2">
      <c r="A700" s="387" t="s">
        <v>11278</v>
      </c>
      <c r="B700" s="387" t="s">
        <v>951</v>
      </c>
    </row>
    <row r="701" spans="1:2">
      <c r="A701" s="387" t="s">
        <v>156</v>
      </c>
      <c r="B701" s="387" t="s">
        <v>983</v>
      </c>
    </row>
    <row r="702" spans="1:2">
      <c r="A702" s="387" t="s">
        <v>11279</v>
      </c>
      <c r="B702" s="387" t="s">
        <v>1175</v>
      </c>
    </row>
    <row r="703" spans="1:2">
      <c r="A703" s="387" t="s">
        <v>141</v>
      </c>
      <c r="B703" s="387" t="s">
        <v>1269</v>
      </c>
    </row>
    <row r="704" spans="1:2">
      <c r="A704" s="387" t="s">
        <v>142</v>
      </c>
      <c r="B704" s="387" t="s">
        <v>1283</v>
      </c>
    </row>
    <row r="705" spans="1:2">
      <c r="A705" s="387" t="s">
        <v>11280</v>
      </c>
      <c r="B705" s="387" t="s">
        <v>1522</v>
      </c>
    </row>
    <row r="706" spans="1:2">
      <c r="A706" s="387" t="s">
        <v>134</v>
      </c>
      <c r="B706" s="387" t="s">
        <v>1327</v>
      </c>
    </row>
    <row r="707" spans="1:2">
      <c r="A707" s="387" t="s">
        <v>135</v>
      </c>
      <c r="B707" s="387" t="s">
        <v>1818</v>
      </c>
    </row>
    <row r="708" spans="1:2">
      <c r="A708" s="387" t="s">
        <v>11281</v>
      </c>
      <c r="B708" s="387" t="s">
        <v>1832</v>
      </c>
    </row>
    <row r="709" spans="1:2">
      <c r="A709" s="387" t="s">
        <v>11282</v>
      </c>
      <c r="B709" s="387" t="s">
        <v>1836</v>
      </c>
    </row>
    <row r="710" spans="1:2">
      <c r="A710" s="387" t="s">
        <v>11283</v>
      </c>
      <c r="B710" s="387" t="s">
        <v>1861</v>
      </c>
    </row>
    <row r="711" spans="1:2">
      <c r="A711" s="387" t="s">
        <v>11284</v>
      </c>
      <c r="B711" s="387" t="s">
        <v>1959</v>
      </c>
    </row>
    <row r="712" spans="1:2">
      <c r="A712" s="387" t="s">
        <v>11285</v>
      </c>
      <c r="B712" s="387" t="s">
        <v>2222</v>
      </c>
    </row>
    <row r="713" spans="1:2">
      <c r="A713" s="387" t="s">
        <v>11286</v>
      </c>
      <c r="B713" s="387" t="s">
        <v>2483</v>
      </c>
    </row>
    <row r="714" spans="1:2">
      <c r="A714" s="387" t="s">
        <v>11287</v>
      </c>
      <c r="B714" s="387" t="s">
        <v>2503</v>
      </c>
    </row>
    <row r="715" spans="1:2">
      <c r="A715" s="387" t="s">
        <v>11288</v>
      </c>
      <c r="B715" s="387" t="s">
        <v>2576</v>
      </c>
    </row>
    <row r="716" spans="1:2">
      <c r="A716" s="387" t="s">
        <v>11289</v>
      </c>
      <c r="B716" s="387" t="s">
        <v>2625</v>
      </c>
    </row>
    <row r="717" spans="1:2">
      <c r="A717" s="387" t="s">
        <v>11290</v>
      </c>
      <c r="B717" s="387" t="s">
        <v>1852</v>
      </c>
    </row>
    <row r="718" spans="1:2">
      <c r="A718" s="387" t="s">
        <v>11291</v>
      </c>
      <c r="B718" s="387" t="s">
        <v>3014</v>
      </c>
    </row>
    <row r="719" spans="1:2">
      <c r="A719" s="387" t="s">
        <v>11292</v>
      </c>
      <c r="B719" s="387" t="s">
        <v>3211</v>
      </c>
    </row>
    <row r="720" spans="1:2">
      <c r="A720" s="387" t="s">
        <v>11293</v>
      </c>
      <c r="B720" s="387" t="s">
        <v>11294</v>
      </c>
    </row>
    <row r="721" spans="1:2">
      <c r="A721" s="387" t="s">
        <v>11295</v>
      </c>
      <c r="B721" s="387" t="s">
        <v>11296</v>
      </c>
    </row>
    <row r="722" spans="1:2">
      <c r="A722" s="387" t="s">
        <v>11297</v>
      </c>
      <c r="B722" s="387" t="s">
        <v>3534</v>
      </c>
    </row>
    <row r="723" spans="1:2">
      <c r="A723" s="387" t="s">
        <v>11298</v>
      </c>
      <c r="B723" s="387" t="s">
        <v>3794</v>
      </c>
    </row>
    <row r="724" spans="1:2">
      <c r="A724" s="387" t="s">
        <v>11299</v>
      </c>
      <c r="B724" s="387" t="s">
        <v>3796</v>
      </c>
    </row>
    <row r="725" spans="1:2">
      <c r="A725" s="387" t="s">
        <v>11300</v>
      </c>
      <c r="B725" s="387" t="s">
        <v>2495</v>
      </c>
    </row>
    <row r="726" spans="1:2">
      <c r="A726" s="387" t="s">
        <v>11301</v>
      </c>
      <c r="B726" s="387" t="s">
        <v>4003</v>
      </c>
    </row>
    <row r="727" spans="1:2">
      <c r="A727" s="387" t="s">
        <v>11302</v>
      </c>
      <c r="B727" s="387" t="s">
        <v>4083</v>
      </c>
    </row>
    <row r="728" spans="1:2">
      <c r="A728" s="387" t="s">
        <v>11303</v>
      </c>
      <c r="B728" s="387" t="s">
        <v>4358</v>
      </c>
    </row>
    <row r="729" spans="1:2">
      <c r="A729" s="387" t="s">
        <v>11304</v>
      </c>
      <c r="B729" s="387" t="s">
        <v>2819</v>
      </c>
    </row>
    <row r="730" spans="1:2">
      <c r="A730" s="387" t="s">
        <v>11305</v>
      </c>
      <c r="B730" s="387" t="s">
        <v>4620</v>
      </c>
    </row>
    <row r="731" spans="1:2">
      <c r="A731" s="387" t="s">
        <v>11306</v>
      </c>
      <c r="B731" s="387" t="s">
        <v>2467</v>
      </c>
    </row>
    <row r="732" spans="1:2">
      <c r="A732" s="387" t="s">
        <v>11307</v>
      </c>
      <c r="B732" s="387" t="s">
        <v>11308</v>
      </c>
    </row>
    <row r="733" spans="1:2">
      <c r="A733" s="387" t="s">
        <v>11309</v>
      </c>
      <c r="B733" s="387" t="s">
        <v>11310</v>
      </c>
    </row>
    <row r="734" spans="1:2">
      <c r="A734" s="387" t="s">
        <v>11311</v>
      </c>
      <c r="B734" s="387" t="s">
        <v>8467</v>
      </c>
    </row>
    <row r="735" spans="1:2">
      <c r="A735" s="387" t="s">
        <v>11312</v>
      </c>
      <c r="B735" s="387" t="s">
        <v>11313</v>
      </c>
    </row>
    <row r="736" spans="1:2">
      <c r="A736" s="387" t="s">
        <v>11314</v>
      </c>
      <c r="B736" s="387" t="s">
        <v>11315</v>
      </c>
    </row>
    <row r="737" spans="1:2">
      <c r="A737" s="387" t="s">
        <v>11316</v>
      </c>
      <c r="B737" s="387" t="s">
        <v>4827</v>
      </c>
    </row>
    <row r="738" spans="1:2">
      <c r="A738" s="387" t="s">
        <v>11317</v>
      </c>
      <c r="B738" s="387" t="s">
        <v>4994</v>
      </c>
    </row>
    <row r="739" spans="1:2">
      <c r="A739" s="387" t="s">
        <v>11318</v>
      </c>
      <c r="B739" s="387" t="s">
        <v>5027</v>
      </c>
    </row>
    <row r="740" spans="1:2">
      <c r="A740" s="387" t="s">
        <v>11319</v>
      </c>
      <c r="B740" s="387" t="s">
        <v>5037</v>
      </c>
    </row>
    <row r="741" spans="1:2">
      <c r="A741" s="387" t="s">
        <v>11320</v>
      </c>
      <c r="B741" s="387" t="s">
        <v>5044</v>
      </c>
    </row>
    <row r="742" spans="1:2">
      <c r="A742" s="387" t="s">
        <v>11321</v>
      </c>
      <c r="B742" s="387" t="s">
        <v>2643</v>
      </c>
    </row>
    <row r="743" spans="1:2">
      <c r="A743" s="387" t="s">
        <v>11322</v>
      </c>
      <c r="B743" s="387" t="s">
        <v>5071</v>
      </c>
    </row>
    <row r="744" spans="1:2">
      <c r="A744" s="387" t="s">
        <v>11323</v>
      </c>
      <c r="B744" s="387" t="s">
        <v>5117</v>
      </c>
    </row>
    <row r="745" spans="1:2">
      <c r="A745" s="387" t="s">
        <v>11324</v>
      </c>
      <c r="B745" s="387" t="s">
        <v>5119</v>
      </c>
    </row>
    <row r="746" spans="1:2">
      <c r="A746" s="387" t="s">
        <v>11325</v>
      </c>
      <c r="B746" s="387" t="s">
        <v>5127</v>
      </c>
    </row>
    <row r="747" spans="1:2">
      <c r="A747" s="387" t="s">
        <v>11326</v>
      </c>
      <c r="B747" s="387" t="s">
        <v>3621</v>
      </c>
    </row>
    <row r="748" spans="1:2">
      <c r="A748" s="387" t="s">
        <v>11327</v>
      </c>
      <c r="B748" s="387" t="s">
        <v>5173</v>
      </c>
    </row>
    <row r="749" spans="1:2">
      <c r="A749" s="387" t="s">
        <v>11328</v>
      </c>
      <c r="B749" s="387" t="s">
        <v>5229</v>
      </c>
    </row>
    <row r="750" spans="1:2">
      <c r="A750" s="387" t="s">
        <v>11329</v>
      </c>
      <c r="B750" s="387" t="s">
        <v>11330</v>
      </c>
    </row>
    <row r="751" spans="1:2">
      <c r="A751" s="387" t="s">
        <v>11331</v>
      </c>
      <c r="B751" s="387" t="s">
        <v>5293</v>
      </c>
    </row>
    <row r="752" spans="1:2">
      <c r="A752" s="387" t="s">
        <v>11332</v>
      </c>
      <c r="B752" s="387" t="s">
        <v>2945</v>
      </c>
    </row>
    <row r="753" spans="1:2">
      <c r="A753" s="387" t="s">
        <v>11333</v>
      </c>
      <c r="B753" s="387" t="s">
        <v>5393</v>
      </c>
    </row>
    <row r="754" spans="1:2">
      <c r="A754" s="387" t="s">
        <v>11334</v>
      </c>
      <c r="B754" s="387" t="s">
        <v>5405</v>
      </c>
    </row>
    <row r="755" spans="1:2">
      <c r="A755" s="387" t="s">
        <v>11335</v>
      </c>
      <c r="B755" s="387" t="s">
        <v>1407</v>
      </c>
    </row>
    <row r="756" spans="1:2">
      <c r="A756" s="387" t="s">
        <v>11336</v>
      </c>
      <c r="B756" s="387" t="s">
        <v>5466</v>
      </c>
    </row>
    <row r="757" spans="1:2">
      <c r="A757" s="387" t="s">
        <v>11337</v>
      </c>
      <c r="B757" s="387" t="s">
        <v>2984</v>
      </c>
    </row>
    <row r="758" spans="1:2">
      <c r="A758" s="387" t="s">
        <v>11338</v>
      </c>
      <c r="B758" s="387" t="s">
        <v>996</v>
      </c>
    </row>
    <row r="759" spans="1:2">
      <c r="A759" s="387" t="s">
        <v>11339</v>
      </c>
      <c r="B759" s="387" t="s">
        <v>5533</v>
      </c>
    </row>
    <row r="760" spans="1:2">
      <c r="A760" s="387" t="s">
        <v>11340</v>
      </c>
      <c r="B760" s="387" t="s">
        <v>5588</v>
      </c>
    </row>
    <row r="761" spans="1:2">
      <c r="A761" s="387" t="s">
        <v>11341</v>
      </c>
      <c r="B761" s="387" t="s">
        <v>2843</v>
      </c>
    </row>
    <row r="762" spans="1:2">
      <c r="A762" s="387" t="s">
        <v>11342</v>
      </c>
      <c r="B762" s="387" t="s">
        <v>11343</v>
      </c>
    </row>
    <row r="763" spans="1:2">
      <c r="A763" s="387" t="s">
        <v>11344</v>
      </c>
      <c r="B763" s="387" t="s">
        <v>2248</v>
      </c>
    </row>
    <row r="764" spans="1:2">
      <c r="A764" s="387" t="s">
        <v>11345</v>
      </c>
      <c r="B764" s="387" t="s">
        <v>4290</v>
      </c>
    </row>
    <row r="765" spans="1:2">
      <c r="A765" s="387" t="s">
        <v>11346</v>
      </c>
      <c r="B765" s="387" t="s">
        <v>11347</v>
      </c>
    </row>
    <row r="766" spans="1:2">
      <c r="A766" s="387" t="s">
        <v>11348</v>
      </c>
      <c r="B766" s="387" t="s">
        <v>5746</v>
      </c>
    </row>
    <row r="767" spans="1:2">
      <c r="A767" s="387" t="s">
        <v>11349</v>
      </c>
      <c r="B767" s="387" t="s">
        <v>5885</v>
      </c>
    </row>
    <row r="768" spans="1:2">
      <c r="A768" s="387" t="s">
        <v>11350</v>
      </c>
      <c r="B768" s="387" t="s">
        <v>5928</v>
      </c>
    </row>
    <row r="769" spans="1:2">
      <c r="A769" s="387" t="s">
        <v>11351</v>
      </c>
      <c r="B769" s="387" t="s">
        <v>5930</v>
      </c>
    </row>
    <row r="770" spans="1:2">
      <c r="A770" s="387" t="s">
        <v>11352</v>
      </c>
      <c r="B770" s="387" t="s">
        <v>5934</v>
      </c>
    </row>
    <row r="771" spans="1:2">
      <c r="A771" s="387" t="s">
        <v>11353</v>
      </c>
      <c r="B771" s="387" t="s">
        <v>11354</v>
      </c>
    </row>
    <row r="772" spans="1:2">
      <c r="A772" s="387" t="s">
        <v>11355</v>
      </c>
      <c r="B772" s="387" t="s">
        <v>6098</v>
      </c>
    </row>
    <row r="773" spans="1:2">
      <c r="A773" s="387" t="s">
        <v>11356</v>
      </c>
      <c r="B773" s="387" t="s">
        <v>1372</v>
      </c>
    </row>
    <row r="774" spans="1:2">
      <c r="A774" s="387" t="s">
        <v>11357</v>
      </c>
      <c r="B774" s="387" t="s">
        <v>2912</v>
      </c>
    </row>
    <row r="775" spans="1:2">
      <c r="A775" s="387" t="s">
        <v>11358</v>
      </c>
      <c r="B775" s="387" t="s">
        <v>11294</v>
      </c>
    </row>
    <row r="776" spans="1:2">
      <c r="A776" s="387" t="s">
        <v>11359</v>
      </c>
      <c r="B776" s="387" t="s">
        <v>6270</v>
      </c>
    </row>
    <row r="777" spans="1:2">
      <c r="A777" s="387" t="s">
        <v>11360</v>
      </c>
      <c r="B777" s="387" t="s">
        <v>979</v>
      </c>
    </row>
    <row r="778" spans="1:2">
      <c r="A778" s="387" t="s">
        <v>11361</v>
      </c>
      <c r="B778" s="387" t="s">
        <v>11362</v>
      </c>
    </row>
    <row r="779" spans="1:2">
      <c r="A779" s="387" t="s">
        <v>11363</v>
      </c>
      <c r="B779" s="387" t="s">
        <v>6379</v>
      </c>
    </row>
    <row r="780" spans="1:2">
      <c r="A780" s="387" t="s">
        <v>11364</v>
      </c>
      <c r="B780" s="387" t="s">
        <v>11365</v>
      </c>
    </row>
    <row r="781" spans="1:2">
      <c r="A781" s="387" t="s">
        <v>11366</v>
      </c>
      <c r="B781" s="387" t="s">
        <v>2045</v>
      </c>
    </row>
    <row r="782" spans="1:2">
      <c r="A782" s="387" t="s">
        <v>11367</v>
      </c>
      <c r="B782" s="387" t="s">
        <v>6488</v>
      </c>
    </row>
    <row r="783" spans="1:2">
      <c r="A783" s="387" t="s">
        <v>11368</v>
      </c>
      <c r="B783" s="387" t="s">
        <v>5935</v>
      </c>
    </row>
    <row r="784" spans="1:2">
      <c r="A784" s="387" t="s">
        <v>11369</v>
      </c>
      <c r="B784" s="387" t="s">
        <v>1416</v>
      </c>
    </row>
    <row r="785" spans="1:2">
      <c r="A785" s="387" t="s">
        <v>11370</v>
      </c>
      <c r="B785" s="387" t="s">
        <v>3743</v>
      </c>
    </row>
    <row r="786" spans="1:2">
      <c r="A786" s="387" t="s">
        <v>11371</v>
      </c>
      <c r="B786" s="387" t="s">
        <v>1502</v>
      </c>
    </row>
    <row r="787" spans="1:2">
      <c r="A787" s="387" t="s">
        <v>11372</v>
      </c>
      <c r="B787" s="387" t="s">
        <v>6822</v>
      </c>
    </row>
    <row r="788" spans="1:2">
      <c r="A788" s="387" t="s">
        <v>11373</v>
      </c>
      <c r="B788" s="387" t="s">
        <v>1287</v>
      </c>
    </row>
    <row r="789" spans="1:2">
      <c r="A789" s="387" t="s">
        <v>11374</v>
      </c>
      <c r="B789" s="387" t="s">
        <v>6832</v>
      </c>
    </row>
    <row r="790" spans="1:2">
      <c r="A790" s="387" t="s">
        <v>11375</v>
      </c>
      <c r="B790" s="387" t="s">
        <v>11376</v>
      </c>
    </row>
    <row r="791" spans="1:2">
      <c r="A791" s="387" t="s">
        <v>11377</v>
      </c>
      <c r="B791" s="387" t="s">
        <v>6859</v>
      </c>
    </row>
    <row r="792" spans="1:2">
      <c r="A792" s="387" t="s">
        <v>11378</v>
      </c>
      <c r="B792" s="387" t="s">
        <v>3732</v>
      </c>
    </row>
    <row r="793" spans="1:2">
      <c r="A793" s="387" t="s">
        <v>11379</v>
      </c>
      <c r="B793" s="387" t="s">
        <v>2150</v>
      </c>
    </row>
    <row r="794" spans="1:2">
      <c r="A794" s="387" t="s">
        <v>11380</v>
      </c>
      <c r="B794" s="387" t="s">
        <v>6901</v>
      </c>
    </row>
    <row r="795" spans="1:2">
      <c r="A795" s="387" t="s">
        <v>11381</v>
      </c>
      <c r="B795" s="387" t="s">
        <v>6996</v>
      </c>
    </row>
    <row r="796" spans="1:2">
      <c r="A796" s="387" t="s">
        <v>11382</v>
      </c>
      <c r="B796" s="387" t="s">
        <v>4483</v>
      </c>
    </row>
    <row r="797" spans="1:2">
      <c r="A797" s="387" t="s">
        <v>11383</v>
      </c>
      <c r="B797" s="387" t="s">
        <v>7003</v>
      </c>
    </row>
    <row r="798" spans="1:2">
      <c r="A798" s="387" t="s">
        <v>11384</v>
      </c>
      <c r="B798" s="387" t="s">
        <v>11385</v>
      </c>
    </row>
    <row r="799" spans="1:2">
      <c r="A799" s="387" t="s">
        <v>11386</v>
      </c>
      <c r="B799" s="387" t="s">
        <v>11387</v>
      </c>
    </row>
    <row r="800" spans="1:2">
      <c r="A800" s="387" t="s">
        <v>11388</v>
      </c>
      <c r="B800" s="387" t="s">
        <v>11389</v>
      </c>
    </row>
    <row r="801" spans="1:2">
      <c r="A801" s="387" t="s">
        <v>11390</v>
      </c>
      <c r="B801" s="387" t="s">
        <v>11391</v>
      </c>
    </row>
    <row r="802" spans="1:2">
      <c r="A802" s="387" t="s">
        <v>11392</v>
      </c>
      <c r="B802" s="387" t="s">
        <v>11393</v>
      </c>
    </row>
    <row r="803" spans="1:2">
      <c r="A803" s="387" t="s">
        <v>11394</v>
      </c>
      <c r="B803" s="387" t="s">
        <v>7187</v>
      </c>
    </row>
    <row r="804" spans="1:2">
      <c r="A804" s="387" t="s">
        <v>11395</v>
      </c>
      <c r="B804" s="387" t="s">
        <v>11396</v>
      </c>
    </row>
    <row r="805" spans="1:2">
      <c r="A805" s="387" t="s">
        <v>11397</v>
      </c>
      <c r="B805" s="387" t="s">
        <v>2647</v>
      </c>
    </row>
    <row r="806" spans="1:2">
      <c r="A806" s="387" t="s">
        <v>11398</v>
      </c>
      <c r="B806" s="387" t="s">
        <v>2718</v>
      </c>
    </row>
    <row r="807" spans="1:2">
      <c r="A807" s="387" t="s">
        <v>11399</v>
      </c>
      <c r="B807" s="387" t="s">
        <v>11400</v>
      </c>
    </row>
    <row r="808" spans="1:2">
      <c r="A808" s="387" t="s">
        <v>11401</v>
      </c>
      <c r="B808" s="387" t="s">
        <v>11402</v>
      </c>
    </row>
    <row r="809" spans="1:2">
      <c r="A809" s="387" t="s">
        <v>11403</v>
      </c>
      <c r="B809" s="387" t="s">
        <v>7607</v>
      </c>
    </row>
    <row r="810" spans="1:2">
      <c r="A810" s="387" t="s">
        <v>11404</v>
      </c>
      <c r="B810" s="387" t="s">
        <v>3719</v>
      </c>
    </row>
    <row r="811" spans="1:2">
      <c r="A811" s="387" t="s">
        <v>11405</v>
      </c>
      <c r="B811" s="387" t="s">
        <v>8519</v>
      </c>
    </row>
    <row r="812" spans="1:2">
      <c r="A812" s="387" t="s">
        <v>11406</v>
      </c>
      <c r="B812" s="387" t="s">
        <v>11407</v>
      </c>
    </row>
    <row r="813" spans="1:2">
      <c r="A813" s="387" t="s">
        <v>11408</v>
      </c>
      <c r="B813" s="387" t="s">
        <v>4502</v>
      </c>
    </row>
    <row r="814" spans="1:2">
      <c r="A814" s="387" t="s">
        <v>11409</v>
      </c>
      <c r="B814" s="387" t="s">
        <v>11410</v>
      </c>
    </row>
    <row r="815" spans="1:2">
      <c r="A815" s="387" t="s">
        <v>11411</v>
      </c>
      <c r="B815" s="387" t="s">
        <v>11412</v>
      </c>
    </row>
    <row r="816" spans="1:2">
      <c r="A816" s="387" t="s">
        <v>11413</v>
      </c>
      <c r="B816" s="387" t="s">
        <v>2887</v>
      </c>
    </row>
    <row r="817" spans="1:2">
      <c r="A817" s="387" t="s">
        <v>11414</v>
      </c>
      <c r="B817" s="387" t="s">
        <v>11415</v>
      </c>
    </row>
    <row r="818" spans="1:2">
      <c r="A818" s="387" t="s">
        <v>11416</v>
      </c>
      <c r="B818" s="387" t="s">
        <v>11417</v>
      </c>
    </row>
    <row r="819" spans="1:2">
      <c r="A819" s="387" t="s">
        <v>11418</v>
      </c>
      <c r="B819" s="387" t="s">
        <v>7544</v>
      </c>
    </row>
    <row r="820" spans="1:2">
      <c r="A820" s="387" t="s">
        <v>11419</v>
      </c>
      <c r="B820" s="387" t="s">
        <v>7623</v>
      </c>
    </row>
    <row r="821" spans="1:2">
      <c r="A821" s="387" t="s">
        <v>11420</v>
      </c>
      <c r="B821" s="387" t="s">
        <v>11421</v>
      </c>
    </row>
    <row r="822" spans="1:2">
      <c r="A822" s="387" t="s">
        <v>11422</v>
      </c>
      <c r="B822" s="387" t="s">
        <v>11423</v>
      </c>
    </row>
    <row r="823" spans="1:2">
      <c r="A823" s="387" t="s">
        <v>11424</v>
      </c>
      <c r="B823" s="387" t="s">
        <v>2384</v>
      </c>
    </row>
    <row r="824" spans="1:2">
      <c r="A824" s="387" t="s">
        <v>11425</v>
      </c>
      <c r="B824" s="387" t="s">
        <v>7742</v>
      </c>
    </row>
    <row r="825" spans="1:2">
      <c r="A825" s="387" t="s">
        <v>11426</v>
      </c>
      <c r="B825" s="387" t="s">
        <v>11427</v>
      </c>
    </row>
    <row r="826" spans="1:2">
      <c r="A826" s="387" t="s">
        <v>11428</v>
      </c>
      <c r="B826" s="387" t="s">
        <v>1556</v>
      </c>
    </row>
    <row r="827" spans="1:2">
      <c r="A827" s="387" t="s">
        <v>11429</v>
      </c>
      <c r="B827" s="387" t="s">
        <v>11430</v>
      </c>
    </row>
    <row r="828" spans="1:2">
      <c r="A828" s="387" t="s">
        <v>11431</v>
      </c>
      <c r="B828" s="387" t="s">
        <v>7745</v>
      </c>
    </row>
    <row r="829" spans="1:2">
      <c r="A829" s="387" t="s">
        <v>11432</v>
      </c>
      <c r="B829" s="387" t="s">
        <v>1083</v>
      </c>
    </row>
    <row r="830" spans="1:2">
      <c r="A830" s="387" t="s">
        <v>11433</v>
      </c>
      <c r="B830" s="387" t="s">
        <v>1070</v>
      </c>
    </row>
    <row r="831" spans="1:2">
      <c r="A831" s="387" t="s">
        <v>11434</v>
      </c>
      <c r="B831" s="387" t="s">
        <v>2647</v>
      </c>
    </row>
    <row r="832" spans="1:2">
      <c r="A832" s="387" t="s">
        <v>11435</v>
      </c>
      <c r="B832" s="387" t="s">
        <v>1580</v>
      </c>
    </row>
    <row r="833" spans="1:2">
      <c r="A833" s="387" t="s">
        <v>11436</v>
      </c>
      <c r="B833" s="387" t="s">
        <v>11437</v>
      </c>
    </row>
    <row r="834" spans="1:2">
      <c r="A834" s="387" t="s">
        <v>11438</v>
      </c>
      <c r="B834" s="387" t="s">
        <v>11439</v>
      </c>
    </row>
    <row r="835" spans="1:2">
      <c r="A835" s="387" t="s">
        <v>11440</v>
      </c>
      <c r="B835" s="387" t="s">
        <v>5822</v>
      </c>
    </row>
    <row r="836" spans="1:2">
      <c r="A836" s="387" t="s">
        <v>11441</v>
      </c>
      <c r="B836" s="387" t="s">
        <v>2857</v>
      </c>
    </row>
    <row r="837" spans="1:2">
      <c r="A837" s="387" t="s">
        <v>11442</v>
      </c>
      <c r="B837" s="387" t="s">
        <v>11443</v>
      </c>
    </row>
    <row r="838" spans="1:2">
      <c r="A838" s="387" t="s">
        <v>11444</v>
      </c>
      <c r="B838" s="387" t="s">
        <v>11445</v>
      </c>
    </row>
    <row r="839" spans="1:2">
      <c r="A839" s="387" t="s">
        <v>11446</v>
      </c>
      <c r="B839" s="387" t="s">
        <v>11447</v>
      </c>
    </row>
    <row r="840" spans="1:2">
      <c r="A840" s="387" t="s">
        <v>11448</v>
      </c>
      <c r="B840" s="387" t="s">
        <v>8220</v>
      </c>
    </row>
    <row r="841" spans="1:2">
      <c r="A841" s="387" t="s">
        <v>11449</v>
      </c>
      <c r="B841" s="387" t="s">
        <v>11450</v>
      </c>
    </row>
    <row r="842" spans="1:2">
      <c r="A842" s="387" t="s">
        <v>11451</v>
      </c>
      <c r="B842" s="387" t="s">
        <v>11452</v>
      </c>
    </row>
    <row r="843" spans="1:2">
      <c r="A843" s="387" t="s">
        <v>11453</v>
      </c>
      <c r="B843" s="387" t="s">
        <v>3913</v>
      </c>
    </row>
    <row r="844" spans="1:2">
      <c r="A844" s="387" t="s">
        <v>11454</v>
      </c>
      <c r="B844" s="387" t="s">
        <v>8233</v>
      </c>
    </row>
    <row r="845" spans="1:2">
      <c r="A845" s="387" t="s">
        <v>11455</v>
      </c>
      <c r="B845" s="387" t="s">
        <v>11456</v>
      </c>
    </row>
    <row r="846" spans="1:2">
      <c r="A846" s="387" t="s">
        <v>11457</v>
      </c>
      <c r="B846" s="387" t="s">
        <v>11458</v>
      </c>
    </row>
    <row r="847" spans="1:2">
      <c r="A847" s="387" t="s">
        <v>11459</v>
      </c>
      <c r="B847" s="387" t="s">
        <v>11460</v>
      </c>
    </row>
    <row r="848" spans="1:2">
      <c r="A848" s="387" t="s">
        <v>11461</v>
      </c>
      <c r="B848" s="387" t="s">
        <v>8432</v>
      </c>
    </row>
    <row r="849" spans="1:2">
      <c r="A849" s="387" t="s">
        <v>11462</v>
      </c>
      <c r="B849" s="387" t="s">
        <v>8440</v>
      </c>
    </row>
    <row r="850" spans="1:2">
      <c r="A850" s="387" t="s">
        <v>11463</v>
      </c>
      <c r="B850" s="387" t="s">
        <v>11464</v>
      </c>
    </row>
    <row r="851" spans="1:2">
      <c r="A851" s="387" t="s">
        <v>11465</v>
      </c>
      <c r="B851" s="387" t="s">
        <v>11466</v>
      </c>
    </row>
    <row r="852" spans="1:2">
      <c r="A852" s="387" t="s">
        <v>11467</v>
      </c>
      <c r="B852" s="387" t="s">
        <v>11468</v>
      </c>
    </row>
    <row r="853" spans="1:2">
      <c r="A853" s="387" t="s">
        <v>156</v>
      </c>
      <c r="B853" s="387" t="s">
        <v>983</v>
      </c>
    </row>
    <row r="854" spans="1:2">
      <c r="A854" s="387" t="s">
        <v>11469</v>
      </c>
      <c r="B854" s="387" t="s">
        <v>8364</v>
      </c>
    </row>
    <row r="855" spans="1:2">
      <c r="A855" s="387" t="s">
        <v>11470</v>
      </c>
      <c r="B855" s="387" t="s">
        <v>11471</v>
      </c>
    </row>
    <row r="856" spans="1:2">
      <c r="A856" s="387" t="s">
        <v>11472</v>
      </c>
      <c r="B856" s="387" t="s">
        <v>8509</v>
      </c>
    </row>
    <row r="857" spans="1:2">
      <c r="A857" s="387" t="s">
        <v>11473</v>
      </c>
      <c r="B857" s="387" t="s">
        <v>11474</v>
      </c>
    </row>
    <row r="858" spans="1:2">
      <c r="A858" s="387" t="s">
        <v>11475</v>
      </c>
      <c r="B858" s="387" t="s">
        <v>11476</v>
      </c>
    </row>
    <row r="859" spans="1:2">
      <c r="A859" s="387" t="s">
        <v>11477</v>
      </c>
      <c r="B859" s="387" t="s">
        <v>4502</v>
      </c>
    </row>
    <row r="860" spans="1:2">
      <c r="A860" s="387" t="s">
        <v>11478</v>
      </c>
      <c r="B860" s="387" t="s">
        <v>2792</v>
      </c>
    </row>
    <row r="861" spans="1:2">
      <c r="A861" s="387" t="s">
        <v>11479</v>
      </c>
      <c r="B861" s="387" t="s">
        <v>2815</v>
      </c>
    </row>
    <row r="862" spans="1:2">
      <c r="A862" s="387" t="s">
        <v>11480</v>
      </c>
      <c r="B862" s="387" t="s">
        <v>11481</v>
      </c>
    </row>
    <row r="863" spans="1:2">
      <c r="A863" s="387" t="s">
        <v>11482</v>
      </c>
      <c r="B863" s="387" t="s">
        <v>8697</v>
      </c>
    </row>
    <row r="864" spans="1:2">
      <c r="A864" s="387" t="s">
        <v>11483</v>
      </c>
      <c r="B864" s="387" t="s">
        <v>8699</v>
      </c>
    </row>
    <row r="865" spans="1:2">
      <c r="A865" s="387" t="s">
        <v>11484</v>
      </c>
      <c r="B865" s="387" t="s">
        <v>8701</v>
      </c>
    </row>
    <row r="866" spans="1:2">
      <c r="A866" s="387" t="s">
        <v>11485</v>
      </c>
      <c r="B866" s="387" t="s">
        <v>11486</v>
      </c>
    </row>
    <row r="867" spans="1:2">
      <c r="A867" s="387" t="s">
        <v>11487</v>
      </c>
      <c r="B867" s="387" t="s">
        <v>11488</v>
      </c>
    </row>
    <row r="868" spans="1:2">
      <c r="A868" s="387" t="s">
        <v>11489</v>
      </c>
      <c r="B868" s="387" t="s">
        <v>8732</v>
      </c>
    </row>
    <row r="869" spans="1:2">
      <c r="A869" s="387" t="s">
        <v>11490</v>
      </c>
      <c r="B869" s="387" t="s">
        <v>8734</v>
      </c>
    </row>
    <row r="870" spans="1:2">
      <c r="A870" s="387" t="s">
        <v>11491</v>
      </c>
      <c r="B870" s="387" t="s">
        <v>8773</v>
      </c>
    </row>
    <row r="871" spans="1:2">
      <c r="A871" s="387" t="s">
        <v>11492</v>
      </c>
      <c r="B871" s="387" t="s">
        <v>2549</v>
      </c>
    </row>
    <row r="872" spans="1:2">
      <c r="A872" s="387" t="s">
        <v>11493</v>
      </c>
      <c r="B872" s="387" t="s">
        <v>11494</v>
      </c>
    </row>
    <row r="873" spans="1:2">
      <c r="A873" s="387" t="s">
        <v>11495</v>
      </c>
      <c r="B873" s="387" t="s">
        <v>11496</v>
      </c>
    </row>
    <row r="874" spans="1:2">
      <c r="A874" s="387" t="s">
        <v>154</v>
      </c>
      <c r="B874" s="387" t="s">
        <v>1368</v>
      </c>
    </row>
    <row r="875" spans="1:2">
      <c r="A875" s="387" t="s">
        <v>11497</v>
      </c>
      <c r="B875" s="387" t="s">
        <v>1969</v>
      </c>
    </row>
    <row r="876" spans="1:2">
      <c r="A876" s="387" t="s">
        <v>11498</v>
      </c>
      <c r="B876" s="387" t="s">
        <v>2627</v>
      </c>
    </row>
    <row r="877" spans="1:2">
      <c r="A877" s="387" t="s">
        <v>11499</v>
      </c>
      <c r="B877" s="387" t="s">
        <v>2631</v>
      </c>
    </row>
    <row r="878" spans="1:2">
      <c r="A878" s="387" t="s">
        <v>11500</v>
      </c>
      <c r="B878" s="387" t="s">
        <v>1142</v>
      </c>
    </row>
    <row r="879" spans="1:2">
      <c r="A879" s="387" t="s">
        <v>11501</v>
      </c>
      <c r="B879" s="387" t="s">
        <v>1898</v>
      </c>
    </row>
    <row r="880" spans="1:2">
      <c r="A880" s="387" t="s">
        <v>11502</v>
      </c>
      <c r="B880" s="387" t="s">
        <v>4645</v>
      </c>
    </row>
    <row r="881" spans="1:2">
      <c r="A881" s="387" t="s">
        <v>149</v>
      </c>
      <c r="B881" s="387" t="s">
        <v>2934</v>
      </c>
    </row>
    <row r="882" spans="1:2">
      <c r="A882" s="387" t="s">
        <v>153</v>
      </c>
      <c r="B882" s="387" t="s">
        <v>5777</v>
      </c>
    </row>
    <row r="883" spans="1:2">
      <c r="A883" s="387" t="s">
        <v>11503</v>
      </c>
      <c r="B883" s="387" t="s">
        <v>7687</v>
      </c>
    </row>
    <row r="884" spans="1:2">
      <c r="A884" s="387" t="s">
        <v>11504</v>
      </c>
      <c r="B884" s="387" t="s">
        <v>11505</v>
      </c>
    </row>
    <row r="885" spans="1:2">
      <c r="A885" s="387" t="s">
        <v>11506</v>
      </c>
      <c r="B885" s="387" t="s">
        <v>7735</v>
      </c>
    </row>
    <row r="886" spans="1:2">
      <c r="A886" s="387" t="s">
        <v>11507</v>
      </c>
      <c r="B886" s="387" t="s">
        <v>11508</v>
      </c>
    </row>
    <row r="887" spans="1:2">
      <c r="A887" s="387" t="s">
        <v>11509</v>
      </c>
      <c r="B887" s="387" t="s">
        <v>11510</v>
      </c>
    </row>
    <row r="888" spans="1:2">
      <c r="A888" s="387" t="s">
        <v>11511</v>
      </c>
      <c r="B888" s="387" t="s">
        <v>2018</v>
      </c>
    </row>
    <row r="889" spans="1:2">
      <c r="A889" s="387" t="s">
        <v>11512</v>
      </c>
      <c r="B889" s="387" t="s">
        <v>8469</v>
      </c>
    </row>
    <row r="890" spans="1:2">
      <c r="A890" s="387" t="s">
        <v>11513</v>
      </c>
      <c r="B890" s="387" t="s">
        <v>3101</v>
      </c>
    </row>
    <row r="891" spans="1:2">
      <c r="A891" s="387" t="s">
        <v>11514</v>
      </c>
      <c r="B891" s="387" t="s">
        <v>11515</v>
      </c>
    </row>
    <row r="892" spans="1:2">
      <c r="A892" s="387" t="s">
        <v>11516</v>
      </c>
      <c r="B892" s="387" t="s">
        <v>11517</v>
      </c>
    </row>
    <row r="893" spans="1:2">
      <c r="A893" s="387" t="s">
        <v>11518</v>
      </c>
      <c r="B893" s="387" t="s">
        <v>11519</v>
      </c>
    </row>
    <row r="894" spans="1:2">
      <c r="A894" s="387" t="s">
        <v>11520</v>
      </c>
      <c r="B894" s="387" t="s">
        <v>11521</v>
      </c>
    </row>
    <row r="895" spans="1:2">
      <c r="A895" s="387" t="s">
        <v>11522</v>
      </c>
      <c r="B895" s="387" t="s">
        <v>1142</v>
      </c>
    </row>
    <row r="896" spans="1:2">
      <c r="A896" s="387" t="s">
        <v>11523</v>
      </c>
      <c r="B896" s="387" t="s">
        <v>1562</v>
      </c>
    </row>
    <row r="897" spans="1:2">
      <c r="A897" s="387" t="s">
        <v>11524</v>
      </c>
      <c r="B897" s="387" t="s">
        <v>1564</v>
      </c>
    </row>
    <row r="898" spans="1:2">
      <c r="A898" s="387" t="s">
        <v>11525</v>
      </c>
      <c r="B898" s="387" t="s">
        <v>2480</v>
      </c>
    </row>
    <row r="899" spans="1:2">
      <c r="A899" s="387" t="s">
        <v>11526</v>
      </c>
      <c r="B899" s="387" t="s">
        <v>1621</v>
      </c>
    </row>
    <row r="900" spans="1:2">
      <c r="A900" s="387" t="s">
        <v>11527</v>
      </c>
      <c r="B900" s="387" t="s">
        <v>3580</v>
      </c>
    </row>
    <row r="901" spans="1:2">
      <c r="A901" s="387" t="s">
        <v>11528</v>
      </c>
      <c r="B901" s="387" t="s">
        <v>1502</v>
      </c>
    </row>
    <row r="902" spans="1:2">
      <c r="A902" s="387" t="s">
        <v>11529</v>
      </c>
      <c r="B902" s="387" t="s">
        <v>5180</v>
      </c>
    </row>
    <row r="903" spans="1:2">
      <c r="A903" s="387" t="s">
        <v>11530</v>
      </c>
      <c r="B903" s="387" t="s">
        <v>5898</v>
      </c>
    </row>
    <row r="904" spans="1:2">
      <c r="A904" s="387" t="s">
        <v>11531</v>
      </c>
      <c r="B904" s="387" t="s">
        <v>1526</v>
      </c>
    </row>
    <row r="905" spans="1:2">
      <c r="A905" s="387" t="s">
        <v>7816</v>
      </c>
      <c r="B905" s="387" t="s">
        <v>1103</v>
      </c>
    </row>
    <row r="906" spans="1:2">
      <c r="A906" s="387" t="s">
        <v>11532</v>
      </c>
      <c r="B906" s="387" t="s">
        <v>1119</v>
      </c>
    </row>
    <row r="907" spans="1:2">
      <c r="A907" s="387" t="s">
        <v>11533</v>
      </c>
      <c r="B907" s="387" t="s">
        <v>1294</v>
      </c>
    </row>
    <row r="908" spans="1:2">
      <c r="A908" s="387" t="s">
        <v>8003</v>
      </c>
      <c r="B908" s="387" t="s">
        <v>1296</v>
      </c>
    </row>
    <row r="909" spans="1:2">
      <c r="A909" s="387" t="s">
        <v>11534</v>
      </c>
      <c r="B909" s="387" t="s">
        <v>1516</v>
      </c>
    </row>
    <row r="910" spans="1:2">
      <c r="A910" s="387" t="s">
        <v>11535</v>
      </c>
      <c r="B910" s="387" t="s">
        <v>2108</v>
      </c>
    </row>
    <row r="911" spans="1:2">
      <c r="A911" s="387" t="s">
        <v>11536</v>
      </c>
      <c r="B911" s="387" t="s">
        <v>2128</v>
      </c>
    </row>
    <row r="912" spans="1:2">
      <c r="A912" s="387" t="s">
        <v>11537</v>
      </c>
      <c r="B912" s="387" t="s">
        <v>2600</v>
      </c>
    </row>
    <row r="913" spans="1:2">
      <c r="A913" s="387" t="s">
        <v>11538</v>
      </c>
      <c r="B913" s="387" t="s">
        <v>2680</v>
      </c>
    </row>
    <row r="914" spans="1:2">
      <c r="A914" s="387" t="s">
        <v>11539</v>
      </c>
      <c r="B914" s="387" t="s">
        <v>3095</v>
      </c>
    </row>
    <row r="915" spans="1:2">
      <c r="A915" s="387" t="s">
        <v>11540</v>
      </c>
      <c r="B915" s="387" t="s">
        <v>3150</v>
      </c>
    </row>
    <row r="916" spans="1:2">
      <c r="A916" s="387" t="s">
        <v>11541</v>
      </c>
      <c r="B916" s="387" t="s">
        <v>3327</v>
      </c>
    </row>
    <row r="917" spans="1:2">
      <c r="A917" s="387" t="s">
        <v>11542</v>
      </c>
      <c r="B917" s="387" t="s">
        <v>3574</v>
      </c>
    </row>
    <row r="918" spans="1:2">
      <c r="A918" s="387" t="s">
        <v>11543</v>
      </c>
      <c r="B918" s="387" t="s">
        <v>2643</v>
      </c>
    </row>
    <row r="919" spans="1:2">
      <c r="A919" s="387" t="s">
        <v>11544</v>
      </c>
      <c r="B919" s="387" t="s">
        <v>3653</v>
      </c>
    </row>
    <row r="920" spans="1:2">
      <c r="A920" s="387" t="s">
        <v>11545</v>
      </c>
      <c r="B920" s="387" t="s">
        <v>11546</v>
      </c>
    </row>
    <row r="921" spans="1:2">
      <c r="A921" s="387" t="s">
        <v>11547</v>
      </c>
      <c r="B921" s="387" t="s">
        <v>4700</v>
      </c>
    </row>
    <row r="922" spans="1:2">
      <c r="A922" s="387" t="s">
        <v>11548</v>
      </c>
      <c r="B922" s="387" t="s">
        <v>4960</v>
      </c>
    </row>
    <row r="923" spans="1:2">
      <c r="A923" s="387" t="s">
        <v>11549</v>
      </c>
      <c r="B923" s="387" t="s">
        <v>1309</v>
      </c>
    </row>
    <row r="924" spans="1:2">
      <c r="A924" s="387" t="s">
        <v>11550</v>
      </c>
      <c r="B924" s="387" t="s">
        <v>7327</v>
      </c>
    </row>
    <row r="925" spans="1:2">
      <c r="A925" s="387" t="s">
        <v>11551</v>
      </c>
      <c r="B925" s="387" t="s">
        <v>5353</v>
      </c>
    </row>
    <row r="926" spans="1:2">
      <c r="A926" s="387" t="s">
        <v>11552</v>
      </c>
      <c r="B926" s="387" t="s">
        <v>5500</v>
      </c>
    </row>
    <row r="927" spans="1:2">
      <c r="A927" s="387" t="s">
        <v>11553</v>
      </c>
      <c r="B927" s="387" t="s">
        <v>5570</v>
      </c>
    </row>
    <row r="928" spans="1:2">
      <c r="A928" s="387" t="s">
        <v>11554</v>
      </c>
      <c r="B928" s="387" t="s">
        <v>5918</v>
      </c>
    </row>
    <row r="929" spans="1:2">
      <c r="A929" s="387" t="s">
        <v>11555</v>
      </c>
      <c r="B929" s="387" t="s">
        <v>3058</v>
      </c>
    </row>
    <row r="930" spans="1:2">
      <c r="A930" s="387" t="s">
        <v>11556</v>
      </c>
      <c r="B930" s="387" t="s">
        <v>6033</v>
      </c>
    </row>
    <row r="931" spans="1:2">
      <c r="A931" s="387" t="s">
        <v>11557</v>
      </c>
      <c r="B931" s="387" t="s">
        <v>1502</v>
      </c>
    </row>
    <row r="932" spans="1:2">
      <c r="A932" s="387" t="s">
        <v>11558</v>
      </c>
      <c r="B932" s="387" t="s">
        <v>2680</v>
      </c>
    </row>
    <row r="933" spans="1:2">
      <c r="A933" s="387" t="s">
        <v>11559</v>
      </c>
      <c r="B933" s="387" t="s">
        <v>6347</v>
      </c>
    </row>
    <row r="934" spans="1:2">
      <c r="A934" s="387" t="s">
        <v>11560</v>
      </c>
      <c r="B934" s="387" t="s">
        <v>6437</v>
      </c>
    </row>
    <row r="935" spans="1:2">
      <c r="A935" s="387" t="s">
        <v>11561</v>
      </c>
      <c r="B935" s="387" t="s">
        <v>6815</v>
      </c>
    </row>
    <row r="936" spans="1:2">
      <c r="A936" s="387" t="s">
        <v>11562</v>
      </c>
      <c r="B936" s="387" t="s">
        <v>3609</v>
      </c>
    </row>
    <row r="937" spans="1:2">
      <c r="A937" s="387" t="s">
        <v>11563</v>
      </c>
      <c r="B937" s="387" t="s">
        <v>11564</v>
      </c>
    </row>
    <row r="938" spans="1:2">
      <c r="A938" s="387" t="s">
        <v>11565</v>
      </c>
      <c r="B938" s="387" t="s">
        <v>4600</v>
      </c>
    </row>
    <row r="939" spans="1:2">
      <c r="A939" s="387" t="s">
        <v>11566</v>
      </c>
      <c r="B939" s="387" t="s">
        <v>3885</v>
      </c>
    </row>
    <row r="940" spans="1:2">
      <c r="A940" s="387" t="s">
        <v>11567</v>
      </c>
      <c r="B940" s="387" t="s">
        <v>11568</v>
      </c>
    </row>
    <row r="941" spans="1:2">
      <c r="A941" s="387" t="s">
        <v>11569</v>
      </c>
      <c r="B941" s="387" t="s">
        <v>11570</v>
      </c>
    </row>
    <row r="942" spans="1:2">
      <c r="A942" s="387" t="s">
        <v>11571</v>
      </c>
      <c r="B942" s="387" t="s">
        <v>11572</v>
      </c>
    </row>
    <row r="943" spans="1:2">
      <c r="A943" s="387" t="s">
        <v>11573</v>
      </c>
      <c r="B943" s="387" t="s">
        <v>2511</v>
      </c>
    </row>
    <row r="944" spans="1:2">
      <c r="A944" s="387" t="s">
        <v>11574</v>
      </c>
      <c r="B944" s="387" t="s">
        <v>11575</v>
      </c>
    </row>
    <row r="945" spans="1:2">
      <c r="A945" s="387" t="s">
        <v>11576</v>
      </c>
      <c r="B945" s="387" t="s">
        <v>11577</v>
      </c>
    </row>
    <row r="946" spans="1:2">
      <c r="A946" s="387" t="s">
        <v>11578</v>
      </c>
      <c r="B946" s="387" t="s">
        <v>11579</v>
      </c>
    </row>
    <row r="947" spans="1:2">
      <c r="A947" s="387" t="s">
        <v>11580</v>
      </c>
      <c r="B947" s="387" t="s">
        <v>11581</v>
      </c>
    </row>
    <row r="948" spans="1:2">
      <c r="A948" s="387" t="s">
        <v>11582</v>
      </c>
      <c r="B948" s="387" t="s">
        <v>11583</v>
      </c>
    </row>
    <row r="949" spans="1:2">
      <c r="A949" s="387" t="s">
        <v>11584</v>
      </c>
      <c r="B949" s="387" t="s">
        <v>11585</v>
      </c>
    </row>
    <row r="950" spans="1:2">
      <c r="A950" s="387" t="s">
        <v>11586</v>
      </c>
      <c r="B950" s="387" t="s">
        <v>11587</v>
      </c>
    </row>
    <row r="951" spans="1:2">
      <c r="A951" s="387" t="s">
        <v>11588</v>
      </c>
      <c r="B951" s="387" t="s">
        <v>1048</v>
      </c>
    </row>
    <row r="952" spans="1:2">
      <c r="A952" s="387" t="s">
        <v>7816</v>
      </c>
      <c r="B952" s="387" t="s">
        <v>1103</v>
      </c>
    </row>
    <row r="953" spans="1:2">
      <c r="A953" s="387" t="s">
        <v>11589</v>
      </c>
      <c r="B953" s="387" t="s">
        <v>1140</v>
      </c>
    </row>
    <row r="954" spans="1:2">
      <c r="A954" s="387" t="s">
        <v>8003</v>
      </c>
      <c r="B954" s="387" t="s">
        <v>1296</v>
      </c>
    </row>
    <row r="955" spans="1:2">
      <c r="A955" s="387" t="s">
        <v>11590</v>
      </c>
      <c r="B955" s="387" t="s">
        <v>1426</v>
      </c>
    </row>
    <row r="956" spans="1:2">
      <c r="A956" s="387" t="s">
        <v>11591</v>
      </c>
      <c r="B956" s="387" t="s">
        <v>2168</v>
      </c>
    </row>
    <row r="957" spans="1:2">
      <c r="A957" s="387" t="s">
        <v>11592</v>
      </c>
      <c r="B957" s="387" t="s">
        <v>1023</v>
      </c>
    </row>
    <row r="958" spans="1:2">
      <c r="A958" s="387" t="s">
        <v>11593</v>
      </c>
      <c r="B958" s="387" t="s">
        <v>2776</v>
      </c>
    </row>
    <row r="959" spans="1:2">
      <c r="A959" s="387" t="s">
        <v>11594</v>
      </c>
      <c r="B959" s="387" t="s">
        <v>2786</v>
      </c>
    </row>
    <row r="960" spans="1:2">
      <c r="A960" s="387" t="s">
        <v>11595</v>
      </c>
      <c r="B960" s="387" t="s">
        <v>2794</v>
      </c>
    </row>
    <row r="961" spans="1:2">
      <c r="A961" s="387" t="s">
        <v>11596</v>
      </c>
      <c r="B961" s="387" t="s">
        <v>3058</v>
      </c>
    </row>
    <row r="962" spans="1:2">
      <c r="A962" s="387" t="s">
        <v>8388</v>
      </c>
      <c r="B962" s="387" t="s">
        <v>1399</v>
      </c>
    </row>
    <row r="963" spans="1:2">
      <c r="A963" s="387" t="s">
        <v>11597</v>
      </c>
      <c r="B963" s="387" t="s">
        <v>2252</v>
      </c>
    </row>
    <row r="964" spans="1:2">
      <c r="A964" s="387" t="s">
        <v>11598</v>
      </c>
      <c r="B964" s="387" t="s">
        <v>3177</v>
      </c>
    </row>
    <row r="965" spans="1:2">
      <c r="A965" s="387" t="s">
        <v>11599</v>
      </c>
      <c r="B965" s="387" t="s">
        <v>3214</v>
      </c>
    </row>
    <row r="966" spans="1:2">
      <c r="A966" s="387" t="s">
        <v>11600</v>
      </c>
      <c r="B966" s="387" t="s">
        <v>3421</v>
      </c>
    </row>
    <row r="967" spans="1:2">
      <c r="A967" s="387" t="s">
        <v>11601</v>
      </c>
      <c r="B967" s="387" t="s">
        <v>4487</v>
      </c>
    </row>
    <row r="968" spans="1:2">
      <c r="A968" s="387" t="s">
        <v>11602</v>
      </c>
      <c r="B968" s="387" t="s">
        <v>11603</v>
      </c>
    </row>
    <row r="969" spans="1:2">
      <c r="A969" s="387" t="s">
        <v>11604</v>
      </c>
      <c r="B969" s="387" t="s">
        <v>11605</v>
      </c>
    </row>
    <row r="970" spans="1:2">
      <c r="A970" s="387" t="s">
        <v>11606</v>
      </c>
      <c r="B970" s="387" t="s">
        <v>5259</v>
      </c>
    </row>
    <row r="971" spans="1:2">
      <c r="A971" s="387" t="s">
        <v>11607</v>
      </c>
      <c r="B971" s="387" t="s">
        <v>3329</v>
      </c>
    </row>
    <row r="972" spans="1:2">
      <c r="A972" s="387" t="s">
        <v>11608</v>
      </c>
      <c r="B972" s="387" t="s">
        <v>4600</v>
      </c>
    </row>
    <row r="973" spans="1:2">
      <c r="A973" s="387" t="s">
        <v>11609</v>
      </c>
      <c r="B973" s="387" t="s">
        <v>6182</v>
      </c>
    </row>
    <row r="974" spans="1:2">
      <c r="A974" s="387" t="s">
        <v>11610</v>
      </c>
      <c r="B974" s="387" t="s">
        <v>11611</v>
      </c>
    </row>
    <row r="975" spans="1:2">
      <c r="A975" s="387" t="s">
        <v>11612</v>
      </c>
      <c r="B975" s="387" t="s">
        <v>6517</v>
      </c>
    </row>
    <row r="976" spans="1:2">
      <c r="A976" s="387" t="s">
        <v>11613</v>
      </c>
      <c r="B976" s="387" t="s">
        <v>6834</v>
      </c>
    </row>
    <row r="977" spans="1:2">
      <c r="A977" s="387" t="s">
        <v>11614</v>
      </c>
      <c r="B977" s="387" t="s">
        <v>6836</v>
      </c>
    </row>
    <row r="978" spans="1:2">
      <c r="A978" s="387" t="s">
        <v>11615</v>
      </c>
      <c r="B978" s="387" t="s">
        <v>11616</v>
      </c>
    </row>
    <row r="979" spans="1:2">
      <c r="A979" s="387" t="s">
        <v>11617</v>
      </c>
      <c r="B979" s="387" t="s">
        <v>2690</v>
      </c>
    </row>
    <row r="980" spans="1:2">
      <c r="A980" s="387" t="s">
        <v>11618</v>
      </c>
      <c r="B980" s="387" t="s">
        <v>6893</v>
      </c>
    </row>
    <row r="981" spans="1:2">
      <c r="A981" s="387" t="s">
        <v>11619</v>
      </c>
      <c r="B981" s="387" t="s">
        <v>6895</v>
      </c>
    </row>
    <row r="982" spans="1:2">
      <c r="A982" s="387" t="s">
        <v>11620</v>
      </c>
      <c r="B982" s="387" t="s">
        <v>6938</v>
      </c>
    </row>
    <row r="983" spans="1:2">
      <c r="A983" s="387" t="s">
        <v>11621</v>
      </c>
      <c r="B983" s="387" t="s">
        <v>11622</v>
      </c>
    </row>
    <row r="984" spans="1:2">
      <c r="A984" s="387" t="s">
        <v>11623</v>
      </c>
      <c r="B984" s="387" t="s">
        <v>11624</v>
      </c>
    </row>
    <row r="985" spans="1:2">
      <c r="A985" s="387" t="s">
        <v>7816</v>
      </c>
      <c r="B985" s="387" t="s">
        <v>1103</v>
      </c>
    </row>
    <row r="986" spans="1:2">
      <c r="A986" s="387" t="s">
        <v>11625</v>
      </c>
      <c r="B986" s="387" t="s">
        <v>1126</v>
      </c>
    </row>
    <row r="987" spans="1:2">
      <c r="A987" s="387" t="s">
        <v>11626</v>
      </c>
      <c r="B987" s="387" t="s">
        <v>1138</v>
      </c>
    </row>
    <row r="988" spans="1:2">
      <c r="A988" s="387" t="s">
        <v>11627</v>
      </c>
      <c r="B988" s="387" t="s">
        <v>1231</v>
      </c>
    </row>
    <row r="989" spans="1:2">
      <c r="A989" s="387" t="s">
        <v>8003</v>
      </c>
      <c r="B989" s="387" t="s">
        <v>1296</v>
      </c>
    </row>
    <row r="990" spans="1:2">
      <c r="A990" s="387" t="s">
        <v>11628</v>
      </c>
      <c r="B990" s="387" t="s">
        <v>1518</v>
      </c>
    </row>
    <row r="991" spans="1:2">
      <c r="A991" s="387" t="s">
        <v>11629</v>
      </c>
      <c r="B991" s="387" t="s">
        <v>2032</v>
      </c>
    </row>
    <row r="992" spans="1:2">
      <c r="A992" s="387" t="s">
        <v>11630</v>
      </c>
      <c r="B992" s="387" t="s">
        <v>2348</v>
      </c>
    </row>
    <row r="993" spans="1:2">
      <c r="A993" s="387" t="s">
        <v>11631</v>
      </c>
      <c r="B993" s="387" t="s">
        <v>2748</v>
      </c>
    </row>
    <row r="994" spans="1:2">
      <c r="A994" s="387" t="s">
        <v>11632</v>
      </c>
      <c r="B994" s="387" t="s">
        <v>2835</v>
      </c>
    </row>
    <row r="995" spans="1:2">
      <c r="A995" s="387" t="s">
        <v>11633</v>
      </c>
      <c r="B995" s="387" t="s">
        <v>11634</v>
      </c>
    </row>
    <row r="996" spans="1:2">
      <c r="A996" s="387" t="s">
        <v>11635</v>
      </c>
      <c r="B996" s="387" t="s">
        <v>1516</v>
      </c>
    </row>
    <row r="997" spans="1:2">
      <c r="A997" s="387" t="s">
        <v>11636</v>
      </c>
      <c r="B997" s="387" t="s">
        <v>3327</v>
      </c>
    </row>
    <row r="998" spans="1:2">
      <c r="A998" s="387" t="s">
        <v>11637</v>
      </c>
      <c r="B998" s="387" t="s">
        <v>1142</v>
      </c>
    </row>
    <row r="999" spans="1:2">
      <c r="A999" s="387" t="s">
        <v>11638</v>
      </c>
      <c r="B999" s="387" t="s">
        <v>4108</v>
      </c>
    </row>
    <row r="1000" spans="1:2">
      <c r="A1000" s="387" t="s">
        <v>11639</v>
      </c>
      <c r="B1000" s="387" t="s">
        <v>1556</v>
      </c>
    </row>
    <row r="1001" spans="1:2">
      <c r="A1001" s="387" t="s">
        <v>11640</v>
      </c>
      <c r="B1001" s="387" t="s">
        <v>4988</v>
      </c>
    </row>
    <row r="1002" spans="1:2">
      <c r="A1002" s="387" t="s">
        <v>11641</v>
      </c>
      <c r="B1002" s="387" t="s">
        <v>1690</v>
      </c>
    </row>
    <row r="1003" spans="1:2">
      <c r="A1003" s="387" t="s">
        <v>11642</v>
      </c>
      <c r="B1003" s="387" t="s">
        <v>5605</v>
      </c>
    </row>
    <row r="1004" spans="1:2">
      <c r="A1004" s="387" t="s">
        <v>11643</v>
      </c>
      <c r="B1004" s="387" t="s">
        <v>6358</v>
      </c>
    </row>
    <row r="1005" spans="1:2">
      <c r="A1005" s="387" t="s">
        <v>11644</v>
      </c>
      <c r="B1005" s="387" t="s">
        <v>6435</v>
      </c>
    </row>
    <row r="1006" spans="1:2">
      <c r="A1006" s="387" t="s">
        <v>11645</v>
      </c>
      <c r="B1006" s="387" t="s">
        <v>4127</v>
      </c>
    </row>
    <row r="1007" spans="1:2">
      <c r="A1007" s="387" t="s">
        <v>11646</v>
      </c>
      <c r="B1007" s="387" t="s">
        <v>11647</v>
      </c>
    </row>
    <row r="1008" spans="1:2">
      <c r="A1008" s="387" t="s">
        <v>11648</v>
      </c>
      <c r="B1008" s="387" t="s">
        <v>11649</v>
      </c>
    </row>
    <row r="1009" spans="1:2">
      <c r="A1009" s="387" t="s">
        <v>11650</v>
      </c>
      <c r="B1009" s="387" t="s">
        <v>7233</v>
      </c>
    </row>
    <row r="1010" spans="1:2">
      <c r="A1010" s="387" t="s">
        <v>7816</v>
      </c>
      <c r="B1010" s="387" t="s">
        <v>1103</v>
      </c>
    </row>
    <row r="1011" spans="1:2">
      <c r="A1011" s="387" t="s">
        <v>11651</v>
      </c>
      <c r="B1011" s="387" t="s">
        <v>1117</v>
      </c>
    </row>
    <row r="1012" spans="1:2">
      <c r="A1012" s="387" t="s">
        <v>11652</v>
      </c>
      <c r="B1012" s="387" t="s">
        <v>1245</v>
      </c>
    </row>
    <row r="1013" spans="1:2">
      <c r="A1013" s="387" t="s">
        <v>8003</v>
      </c>
      <c r="B1013" s="387" t="s">
        <v>1296</v>
      </c>
    </row>
    <row r="1014" spans="1:2">
      <c r="A1014" s="387" t="s">
        <v>11653</v>
      </c>
      <c r="B1014" s="387" t="s">
        <v>1520</v>
      </c>
    </row>
    <row r="1015" spans="1:2">
      <c r="A1015" s="387" t="s">
        <v>11654</v>
      </c>
      <c r="B1015" s="387" t="s">
        <v>1570</v>
      </c>
    </row>
    <row r="1016" spans="1:2">
      <c r="A1016" s="387" t="s">
        <v>11655</v>
      </c>
      <c r="B1016" s="387" t="s">
        <v>1782</v>
      </c>
    </row>
    <row r="1017" spans="1:2">
      <c r="A1017" s="387" t="s">
        <v>11656</v>
      </c>
      <c r="B1017" s="387" t="s">
        <v>1830</v>
      </c>
    </row>
    <row r="1018" spans="1:2">
      <c r="A1018" s="387" t="s">
        <v>11657</v>
      </c>
      <c r="B1018" s="387" t="s">
        <v>2030</v>
      </c>
    </row>
    <row r="1019" spans="1:2">
      <c r="A1019" s="387" t="s">
        <v>11658</v>
      </c>
      <c r="B1019" s="387" t="s">
        <v>2066</v>
      </c>
    </row>
    <row r="1020" spans="1:2">
      <c r="A1020" s="387" t="s">
        <v>11659</v>
      </c>
      <c r="B1020" s="387" t="s">
        <v>2350</v>
      </c>
    </row>
    <row r="1021" spans="1:2">
      <c r="A1021" s="387" t="s">
        <v>11660</v>
      </c>
      <c r="B1021" s="387" t="s">
        <v>2651</v>
      </c>
    </row>
    <row r="1022" spans="1:2">
      <c r="A1022" s="387" t="s">
        <v>11661</v>
      </c>
      <c r="B1022" s="387" t="s">
        <v>2819</v>
      </c>
    </row>
    <row r="1023" spans="1:2">
      <c r="A1023" s="387" t="s">
        <v>11662</v>
      </c>
      <c r="B1023" s="387" t="s">
        <v>2823</v>
      </c>
    </row>
    <row r="1024" spans="1:2">
      <c r="A1024" s="387" t="s">
        <v>11663</v>
      </c>
      <c r="B1024" s="387" t="s">
        <v>11664</v>
      </c>
    </row>
    <row r="1025" spans="1:2">
      <c r="A1025" s="387" t="s">
        <v>11665</v>
      </c>
      <c r="B1025" s="387" t="s">
        <v>2953</v>
      </c>
    </row>
    <row r="1026" spans="1:2">
      <c r="A1026" s="387" t="s">
        <v>11666</v>
      </c>
      <c r="B1026" s="387" t="s">
        <v>3136</v>
      </c>
    </row>
    <row r="1027" spans="1:2">
      <c r="A1027" s="387" t="s">
        <v>11667</v>
      </c>
      <c r="B1027" s="387" t="s">
        <v>2772</v>
      </c>
    </row>
    <row r="1028" spans="1:2">
      <c r="A1028" s="387" t="s">
        <v>11668</v>
      </c>
      <c r="B1028" s="387" t="s">
        <v>3329</v>
      </c>
    </row>
    <row r="1029" spans="1:2">
      <c r="A1029" s="387" t="s">
        <v>11669</v>
      </c>
      <c r="B1029" s="387" t="s">
        <v>3468</v>
      </c>
    </row>
    <row r="1030" spans="1:2">
      <c r="A1030" s="387" t="s">
        <v>11670</v>
      </c>
      <c r="B1030" s="387" t="s">
        <v>3474</v>
      </c>
    </row>
    <row r="1031" spans="1:2">
      <c r="A1031" s="387" t="s">
        <v>11671</v>
      </c>
      <c r="B1031" s="387" t="s">
        <v>3601</v>
      </c>
    </row>
    <row r="1032" spans="1:2">
      <c r="A1032" s="387" t="s">
        <v>11672</v>
      </c>
      <c r="B1032" s="387" t="s">
        <v>3644</v>
      </c>
    </row>
    <row r="1033" spans="1:2">
      <c r="A1033" s="387" t="s">
        <v>11673</v>
      </c>
      <c r="B1033" s="387" t="s">
        <v>11674</v>
      </c>
    </row>
    <row r="1034" spans="1:2">
      <c r="A1034" s="387" t="s">
        <v>11675</v>
      </c>
      <c r="B1034" s="387" t="s">
        <v>2248</v>
      </c>
    </row>
    <row r="1035" spans="1:2">
      <c r="A1035" s="387" t="s">
        <v>11676</v>
      </c>
      <c r="B1035" s="387" t="s">
        <v>11677</v>
      </c>
    </row>
    <row r="1036" spans="1:2">
      <c r="A1036" s="387" t="s">
        <v>11678</v>
      </c>
      <c r="B1036" s="387" t="s">
        <v>5160</v>
      </c>
    </row>
    <row r="1037" spans="1:2">
      <c r="A1037" s="387" t="s">
        <v>11679</v>
      </c>
      <c r="B1037" s="387" t="s">
        <v>5219</v>
      </c>
    </row>
    <row r="1038" spans="1:2">
      <c r="A1038" s="387" t="s">
        <v>11680</v>
      </c>
      <c r="B1038" s="387" t="s">
        <v>5261</v>
      </c>
    </row>
    <row r="1039" spans="1:2">
      <c r="A1039" s="387" t="s">
        <v>11681</v>
      </c>
      <c r="B1039" s="387" t="s">
        <v>5367</v>
      </c>
    </row>
    <row r="1040" spans="1:2">
      <c r="A1040" s="387" t="s">
        <v>11682</v>
      </c>
      <c r="B1040" s="387" t="s">
        <v>1327</v>
      </c>
    </row>
    <row r="1041" spans="1:2">
      <c r="A1041" s="387" t="s">
        <v>11683</v>
      </c>
      <c r="B1041" s="387" t="s">
        <v>5916</v>
      </c>
    </row>
    <row r="1042" spans="1:2">
      <c r="A1042" s="387" t="s">
        <v>11684</v>
      </c>
      <c r="B1042" s="387" t="s">
        <v>1943</v>
      </c>
    </row>
    <row r="1043" spans="1:2">
      <c r="A1043" s="387" t="s">
        <v>11685</v>
      </c>
      <c r="B1043" s="387" t="s">
        <v>11686</v>
      </c>
    </row>
    <row r="1044" spans="1:2">
      <c r="A1044" s="387" t="s">
        <v>11687</v>
      </c>
      <c r="B1044" s="387" t="s">
        <v>1898</v>
      </c>
    </row>
    <row r="1045" spans="1:2">
      <c r="A1045" s="387" t="s">
        <v>11688</v>
      </c>
      <c r="B1045" s="387" t="s">
        <v>2555</v>
      </c>
    </row>
    <row r="1046" spans="1:2">
      <c r="A1046" s="387" t="s">
        <v>11689</v>
      </c>
      <c r="B1046" s="387" t="s">
        <v>1659</v>
      </c>
    </row>
    <row r="1047" spans="1:2">
      <c r="A1047" s="387" t="s">
        <v>11690</v>
      </c>
      <c r="B1047" s="387" t="s">
        <v>11691</v>
      </c>
    </row>
    <row r="1048" spans="1:2">
      <c r="A1048" s="387" t="s">
        <v>11692</v>
      </c>
      <c r="B1048" s="387" t="s">
        <v>2757</v>
      </c>
    </row>
    <row r="1049" spans="1:2">
      <c r="A1049" s="387" t="s">
        <v>11693</v>
      </c>
      <c r="B1049" s="387" t="s">
        <v>11694</v>
      </c>
    </row>
    <row r="1050" spans="1:2">
      <c r="A1050" s="387" t="s">
        <v>11695</v>
      </c>
      <c r="B1050" s="387" t="s">
        <v>2474</v>
      </c>
    </row>
    <row r="1051" spans="1:2">
      <c r="A1051" s="387" t="s">
        <v>11696</v>
      </c>
      <c r="B1051" s="387" t="s">
        <v>2792</v>
      </c>
    </row>
    <row r="1052" spans="1:2">
      <c r="A1052" s="387" t="s">
        <v>7816</v>
      </c>
      <c r="B1052" s="387" t="s">
        <v>1103</v>
      </c>
    </row>
    <row r="1053" spans="1:2">
      <c r="A1053" s="387" t="s">
        <v>7800</v>
      </c>
      <c r="B1053" s="387" t="s">
        <v>11697</v>
      </c>
    </row>
    <row r="1054" spans="1:2">
      <c r="A1054" s="387" t="s">
        <v>11698</v>
      </c>
      <c r="B1054" s="387" t="s">
        <v>1568</v>
      </c>
    </row>
    <row r="1055" spans="1:2">
      <c r="A1055" s="387" t="s">
        <v>152</v>
      </c>
      <c r="B1055" s="387" t="s">
        <v>11699</v>
      </c>
    </row>
    <row r="1056" spans="1:2">
      <c r="A1056" s="387" t="s">
        <v>11700</v>
      </c>
      <c r="B1056" s="387" t="s">
        <v>2123</v>
      </c>
    </row>
    <row r="1057" spans="1:2">
      <c r="A1057" s="387" t="s">
        <v>11701</v>
      </c>
      <c r="B1057" s="387" t="s">
        <v>2125</v>
      </c>
    </row>
    <row r="1058" spans="1:2">
      <c r="A1058" s="387" t="s">
        <v>151</v>
      </c>
      <c r="B1058" s="387" t="s">
        <v>2218</v>
      </c>
    </row>
    <row r="1059" spans="1:2">
      <c r="A1059" s="387" t="s">
        <v>11702</v>
      </c>
      <c r="B1059" s="387" t="s">
        <v>1239</v>
      </c>
    </row>
    <row r="1060" spans="1:2">
      <c r="A1060" s="387" t="s">
        <v>11703</v>
      </c>
      <c r="B1060" s="387" t="s">
        <v>2352</v>
      </c>
    </row>
    <row r="1061" spans="1:2">
      <c r="A1061" s="387" t="s">
        <v>8805</v>
      </c>
      <c r="B1061" s="387" t="s">
        <v>2388</v>
      </c>
    </row>
    <row r="1062" spans="1:2">
      <c r="A1062" s="387" t="s">
        <v>11704</v>
      </c>
      <c r="B1062" s="387" t="s">
        <v>2598</v>
      </c>
    </row>
    <row r="1063" spans="1:2">
      <c r="A1063" s="387" t="s">
        <v>11705</v>
      </c>
      <c r="B1063" s="387" t="s">
        <v>2788</v>
      </c>
    </row>
    <row r="1064" spans="1:2">
      <c r="A1064" s="387" t="s">
        <v>11706</v>
      </c>
      <c r="B1064" s="387" t="s">
        <v>2792</v>
      </c>
    </row>
    <row r="1065" spans="1:2">
      <c r="A1065" s="387" t="s">
        <v>148</v>
      </c>
      <c r="B1065" s="387" t="s">
        <v>2407</v>
      </c>
    </row>
    <row r="1066" spans="1:2">
      <c r="A1066" s="387" t="s">
        <v>150</v>
      </c>
      <c r="B1066" s="387" t="s">
        <v>11707</v>
      </c>
    </row>
    <row r="1067" spans="1:2">
      <c r="A1067" s="387" t="s">
        <v>11708</v>
      </c>
      <c r="B1067" s="387" t="s">
        <v>4653</v>
      </c>
    </row>
    <row r="1068" spans="1:2">
      <c r="A1068" s="387" t="s">
        <v>11709</v>
      </c>
      <c r="B1068" s="387" t="s">
        <v>5035</v>
      </c>
    </row>
    <row r="1069" spans="1:2">
      <c r="A1069" s="387" t="s">
        <v>11710</v>
      </c>
      <c r="B1069" s="387" t="s">
        <v>6897</v>
      </c>
    </row>
    <row r="1070" spans="1:2">
      <c r="A1070" s="387" t="s">
        <v>11711</v>
      </c>
      <c r="B1070" s="387" t="s">
        <v>1013</v>
      </c>
    </row>
    <row r="1071" spans="1:2">
      <c r="A1071" s="387" t="s">
        <v>11712</v>
      </c>
      <c r="B1071" s="387" t="s">
        <v>1826</v>
      </c>
    </row>
    <row r="1072" spans="1:2">
      <c r="A1072" s="387" t="s">
        <v>11713</v>
      </c>
      <c r="B1072" s="387" t="s">
        <v>3118</v>
      </c>
    </row>
    <row r="1073" spans="1:2">
      <c r="A1073" s="387" t="s">
        <v>11714</v>
      </c>
      <c r="B1073" s="387" t="s">
        <v>981</v>
      </c>
    </row>
    <row r="1074" spans="1:2">
      <c r="A1074" s="387" t="s">
        <v>11715</v>
      </c>
      <c r="B1074" s="387" t="s">
        <v>1015</v>
      </c>
    </row>
    <row r="1075" spans="1:2">
      <c r="A1075" s="387" t="s">
        <v>11716</v>
      </c>
      <c r="B1075" s="387" t="s">
        <v>1548</v>
      </c>
    </row>
    <row r="1076" spans="1:2">
      <c r="A1076" s="387" t="s">
        <v>11717</v>
      </c>
      <c r="B1076" s="387" t="s">
        <v>1189</v>
      </c>
    </row>
    <row r="1077" spans="1:2">
      <c r="A1077" s="387" t="s">
        <v>11718</v>
      </c>
      <c r="B1077" s="387" t="s">
        <v>2070</v>
      </c>
    </row>
    <row r="1078" spans="1:2">
      <c r="A1078" s="387" t="s">
        <v>11719</v>
      </c>
      <c r="B1078" s="387" t="s">
        <v>2127</v>
      </c>
    </row>
    <row r="1079" spans="1:2">
      <c r="A1079" s="387" t="s">
        <v>11720</v>
      </c>
      <c r="B1079" s="387" t="s">
        <v>2231</v>
      </c>
    </row>
    <row r="1080" spans="1:2">
      <c r="A1080" s="387" t="s">
        <v>11721</v>
      </c>
      <c r="B1080" s="387" t="s">
        <v>2234</v>
      </c>
    </row>
    <row r="1081" spans="1:2">
      <c r="A1081" s="387" t="s">
        <v>11722</v>
      </c>
      <c r="B1081" s="387" t="s">
        <v>2746</v>
      </c>
    </row>
    <row r="1082" spans="1:2">
      <c r="A1082" s="387" t="s">
        <v>11723</v>
      </c>
      <c r="B1082" s="387" t="s">
        <v>3138</v>
      </c>
    </row>
    <row r="1083" spans="1:2">
      <c r="A1083" s="387" t="s">
        <v>11724</v>
      </c>
      <c r="B1083" s="387" t="s">
        <v>2072</v>
      </c>
    </row>
    <row r="1084" spans="1:2">
      <c r="A1084" s="387" t="s">
        <v>11725</v>
      </c>
      <c r="B1084" s="387" t="s">
        <v>3717</v>
      </c>
    </row>
    <row r="1085" spans="1:2">
      <c r="A1085" s="387" t="s">
        <v>11726</v>
      </c>
      <c r="B1085" s="387" t="s">
        <v>2549</v>
      </c>
    </row>
    <row r="1086" spans="1:2">
      <c r="A1086" s="387" t="s">
        <v>11727</v>
      </c>
      <c r="B1086" s="387" t="s">
        <v>4374</v>
      </c>
    </row>
    <row r="1087" spans="1:2">
      <c r="A1087" s="387" t="s">
        <v>11728</v>
      </c>
      <c r="B1087" s="387" t="s">
        <v>5121</v>
      </c>
    </row>
    <row r="1088" spans="1:2">
      <c r="A1088" s="387" t="s">
        <v>11729</v>
      </c>
      <c r="B1088" s="387" t="s">
        <v>5138</v>
      </c>
    </row>
    <row r="1089" spans="1:2">
      <c r="A1089" s="387" t="s">
        <v>11730</v>
      </c>
      <c r="B1089" s="387" t="s">
        <v>6110</v>
      </c>
    </row>
    <row r="1090" spans="1:2">
      <c r="A1090" s="387" t="s">
        <v>11731</v>
      </c>
      <c r="B1090" s="387" t="s">
        <v>6715</v>
      </c>
    </row>
    <row r="1091" spans="1:2">
      <c r="A1091" s="387" t="s">
        <v>11732</v>
      </c>
      <c r="B1091" s="387" t="s">
        <v>3951</v>
      </c>
    </row>
    <row r="1092" spans="1:2">
      <c r="A1092" s="387" t="s">
        <v>11733</v>
      </c>
      <c r="B1092" s="387" t="s">
        <v>7210</v>
      </c>
    </row>
    <row r="1093" spans="1:2">
      <c r="A1093" s="387" t="s">
        <v>156</v>
      </c>
      <c r="B1093" s="387" t="s">
        <v>983</v>
      </c>
    </row>
    <row r="1094" spans="1:2">
      <c r="A1094" s="387" t="s">
        <v>11734</v>
      </c>
      <c r="B1094" s="387" t="s">
        <v>11735</v>
      </c>
    </row>
    <row r="1095" spans="1:2">
      <c r="A1095" s="387" t="s">
        <v>11736</v>
      </c>
      <c r="B1095" s="387" t="s">
        <v>11737</v>
      </c>
    </row>
    <row r="1096" spans="1:2">
      <c r="A1096" s="387" t="s">
        <v>11738</v>
      </c>
      <c r="B1096" s="387" t="s">
        <v>8478</v>
      </c>
    </row>
    <row r="1097" spans="1:2">
      <c r="A1097" s="387" t="s">
        <v>11739</v>
      </c>
      <c r="B1097" s="387" t="s">
        <v>2371</v>
      </c>
    </row>
    <row r="1098" spans="1:2">
      <c r="A1098" s="387" t="s">
        <v>11740</v>
      </c>
      <c r="B1098" s="387" t="s">
        <v>8576</v>
      </c>
    </row>
    <row r="1099" spans="1:2">
      <c r="A1099" s="387" t="s">
        <v>11741</v>
      </c>
      <c r="B1099" s="387" t="s">
        <v>5782</v>
      </c>
    </row>
    <row r="1100" spans="1:2">
      <c r="A1100" s="387" t="s">
        <v>11742</v>
      </c>
      <c r="B1100" s="387" t="s">
        <v>8712</v>
      </c>
    </row>
    <row r="1101" spans="1:2">
      <c r="A1101" s="387" t="s">
        <v>11743</v>
      </c>
      <c r="B1101" s="387" t="s">
        <v>8716</v>
      </c>
    </row>
    <row r="1102" spans="1:2">
      <c r="A1102" s="387" t="s">
        <v>11744</v>
      </c>
      <c r="B1102" s="387" t="s">
        <v>916</v>
      </c>
    </row>
    <row r="1103" spans="1:2">
      <c r="A1103" s="387" t="s">
        <v>11745</v>
      </c>
      <c r="B1103" s="387" t="s">
        <v>972</v>
      </c>
    </row>
    <row r="1104" spans="1:2">
      <c r="A1104" s="387" t="s">
        <v>11746</v>
      </c>
      <c r="B1104" s="387" t="s">
        <v>1019</v>
      </c>
    </row>
    <row r="1105" spans="1:2">
      <c r="A1105" s="387" t="s">
        <v>137</v>
      </c>
      <c r="B1105" s="387" t="s">
        <v>1088</v>
      </c>
    </row>
    <row r="1106" spans="1:2">
      <c r="A1106" s="387" t="s">
        <v>142</v>
      </c>
      <c r="B1106" s="387" t="s">
        <v>1283</v>
      </c>
    </row>
    <row r="1107" spans="1:2">
      <c r="A1107" s="387" t="s">
        <v>11747</v>
      </c>
      <c r="B1107" s="387" t="s">
        <v>1473</v>
      </c>
    </row>
    <row r="1108" spans="1:2">
      <c r="A1108" s="387" t="s">
        <v>11748</v>
      </c>
      <c r="B1108" s="387" t="s">
        <v>1475</v>
      </c>
    </row>
    <row r="1109" spans="1:2">
      <c r="A1109" s="387" t="s">
        <v>11749</v>
      </c>
      <c r="B1109" s="387" t="s">
        <v>1788</v>
      </c>
    </row>
    <row r="1110" spans="1:2">
      <c r="A1110" s="387" t="s">
        <v>11750</v>
      </c>
      <c r="B1110" s="387" t="s">
        <v>1822</v>
      </c>
    </row>
    <row r="1111" spans="1:2">
      <c r="A1111" s="387" t="s">
        <v>11751</v>
      </c>
      <c r="B1111" s="387" t="s">
        <v>1824</v>
      </c>
    </row>
    <row r="1112" spans="1:2">
      <c r="A1112" s="387" t="s">
        <v>8403</v>
      </c>
      <c r="B1112" s="387" t="s">
        <v>1963</v>
      </c>
    </row>
    <row r="1113" spans="1:2">
      <c r="A1113" s="387" t="s">
        <v>11752</v>
      </c>
      <c r="B1113" s="387" t="s">
        <v>2084</v>
      </c>
    </row>
    <row r="1114" spans="1:2">
      <c r="A1114" s="387" t="s">
        <v>138</v>
      </c>
      <c r="B1114" s="387" t="s">
        <v>2238</v>
      </c>
    </row>
    <row r="1115" spans="1:2">
      <c r="A1115" s="387" t="s">
        <v>11753</v>
      </c>
      <c r="B1115" s="387" t="s">
        <v>2759</v>
      </c>
    </row>
    <row r="1116" spans="1:2">
      <c r="A1116" s="387" t="s">
        <v>11754</v>
      </c>
      <c r="B1116" s="387" t="s">
        <v>11755</v>
      </c>
    </row>
    <row r="1117" spans="1:2">
      <c r="A1117" s="387" t="s">
        <v>141</v>
      </c>
      <c r="B1117" s="387" t="s">
        <v>1269</v>
      </c>
    </row>
    <row r="1118" spans="1:2">
      <c r="A1118" s="387" t="s">
        <v>142</v>
      </c>
      <c r="B1118" s="387" t="s">
        <v>1283</v>
      </c>
    </row>
    <row r="1119" spans="1:2">
      <c r="A1119" s="387" t="s">
        <v>11756</v>
      </c>
      <c r="B1119" s="387" t="s">
        <v>2724</v>
      </c>
    </row>
    <row r="1120" spans="1:2">
      <c r="A1120" s="387" t="s">
        <v>136</v>
      </c>
      <c r="B1120" s="387" t="s">
        <v>3217</v>
      </c>
    </row>
    <row r="1121" spans="1:2">
      <c r="A1121" s="387" t="s">
        <v>11757</v>
      </c>
      <c r="B1121" s="387" t="s">
        <v>11758</v>
      </c>
    </row>
    <row r="1122" spans="1:2">
      <c r="A1122" s="387" t="s">
        <v>11759</v>
      </c>
      <c r="B1122" s="387" t="s">
        <v>1556</v>
      </c>
    </row>
    <row r="1123" spans="1:2">
      <c r="A1123" s="387" t="s">
        <v>11760</v>
      </c>
      <c r="B1123" s="387" t="s">
        <v>1898</v>
      </c>
    </row>
    <row r="1124" spans="1:2">
      <c r="A1124" s="387" t="s">
        <v>11761</v>
      </c>
      <c r="B1124" s="387" t="s">
        <v>938</v>
      </c>
    </row>
    <row r="1125" spans="1:2">
      <c r="A1125" s="387" t="s">
        <v>11762</v>
      </c>
      <c r="B1125" s="387" t="s">
        <v>953</v>
      </c>
    </row>
    <row r="1126" spans="1:2">
      <c r="A1126" s="387" t="s">
        <v>11763</v>
      </c>
      <c r="B1126" s="387" t="s">
        <v>1173</v>
      </c>
    </row>
    <row r="1127" spans="1:2">
      <c r="A1127" s="387" t="s">
        <v>142</v>
      </c>
      <c r="B1127" s="387" t="s">
        <v>1283</v>
      </c>
    </row>
    <row r="1128" spans="1:2">
      <c r="A1128" s="387" t="s">
        <v>11764</v>
      </c>
      <c r="B1128" s="387" t="s">
        <v>1313</v>
      </c>
    </row>
    <row r="1129" spans="1:2">
      <c r="A1129" s="387" t="s">
        <v>11765</v>
      </c>
      <c r="B1129" s="387" t="s">
        <v>1477</v>
      </c>
    </row>
    <row r="1130" spans="1:2">
      <c r="A1130" s="387" t="s">
        <v>11766</v>
      </c>
      <c r="B1130" s="387" t="s">
        <v>1744</v>
      </c>
    </row>
    <row r="1131" spans="1:2">
      <c r="A1131" s="387" t="s">
        <v>11767</v>
      </c>
      <c r="B1131" s="387" t="s">
        <v>1859</v>
      </c>
    </row>
    <row r="1132" spans="1:2">
      <c r="A1132" s="387" t="s">
        <v>11768</v>
      </c>
      <c r="B1132" s="387" t="s">
        <v>2008</v>
      </c>
    </row>
    <row r="1133" spans="1:2">
      <c r="A1133" s="387" t="s">
        <v>11769</v>
      </c>
      <c r="B1133" s="387" t="s">
        <v>2014</v>
      </c>
    </row>
    <row r="1134" spans="1:2">
      <c r="A1134" s="387" t="s">
        <v>11770</v>
      </c>
      <c r="B1134" s="387" t="s">
        <v>2028</v>
      </c>
    </row>
    <row r="1135" spans="1:2">
      <c r="A1135" s="387" t="s">
        <v>11771</v>
      </c>
      <c r="B1135" s="387" t="s">
        <v>2104</v>
      </c>
    </row>
    <row r="1136" spans="1:2">
      <c r="A1136" s="387" t="s">
        <v>11772</v>
      </c>
      <c r="B1136" s="387" t="s">
        <v>11773</v>
      </c>
    </row>
    <row r="1137" spans="1:2">
      <c r="A1137" s="387" t="s">
        <v>11774</v>
      </c>
      <c r="B1137" s="387" t="s">
        <v>2485</v>
      </c>
    </row>
    <row r="1138" spans="1:2">
      <c r="A1138" s="387" t="s">
        <v>11775</v>
      </c>
      <c r="B1138" s="387" t="s">
        <v>2670</v>
      </c>
    </row>
    <row r="1139" spans="1:2">
      <c r="A1139" s="387" t="s">
        <v>11776</v>
      </c>
      <c r="B1139" s="387" t="s">
        <v>2790</v>
      </c>
    </row>
    <row r="1140" spans="1:2">
      <c r="A1140" s="387" t="s">
        <v>11777</v>
      </c>
      <c r="B1140" s="387" t="s">
        <v>3051</v>
      </c>
    </row>
    <row r="1141" spans="1:2">
      <c r="A1141" s="387" t="s">
        <v>11778</v>
      </c>
      <c r="B1141" s="387" t="s">
        <v>1599</v>
      </c>
    </row>
    <row r="1142" spans="1:2">
      <c r="A1142" s="387" t="s">
        <v>11779</v>
      </c>
      <c r="B1142" s="387" t="s">
        <v>2790</v>
      </c>
    </row>
    <row r="1143" spans="1:2">
      <c r="A1143" s="387" t="s">
        <v>11780</v>
      </c>
      <c r="B1143" s="387" t="s">
        <v>3291</v>
      </c>
    </row>
    <row r="1144" spans="1:2">
      <c r="A1144" s="387" t="s">
        <v>11781</v>
      </c>
      <c r="B1144" s="387" t="s">
        <v>2647</v>
      </c>
    </row>
    <row r="1145" spans="1:2">
      <c r="A1145" s="387" t="s">
        <v>11782</v>
      </c>
      <c r="B1145" s="387" t="s">
        <v>3322</v>
      </c>
    </row>
    <row r="1146" spans="1:2">
      <c r="A1146" s="387" t="s">
        <v>11783</v>
      </c>
      <c r="B1146" s="387" t="s">
        <v>3623</v>
      </c>
    </row>
    <row r="1147" spans="1:2">
      <c r="A1147" s="387" t="s">
        <v>11784</v>
      </c>
      <c r="B1147" s="387" t="s">
        <v>4090</v>
      </c>
    </row>
    <row r="1148" spans="1:2">
      <c r="A1148" s="387" t="s">
        <v>11785</v>
      </c>
      <c r="B1148" s="387" t="s">
        <v>4191</v>
      </c>
    </row>
    <row r="1149" spans="1:2">
      <c r="A1149" s="387" t="s">
        <v>11786</v>
      </c>
      <c r="B1149" s="387" t="s">
        <v>1231</v>
      </c>
    </row>
    <row r="1150" spans="1:2">
      <c r="A1150" s="387" t="s">
        <v>11787</v>
      </c>
      <c r="B1150" s="387" t="s">
        <v>3710</v>
      </c>
    </row>
    <row r="1151" spans="1:2">
      <c r="A1151" s="387" t="s">
        <v>11788</v>
      </c>
      <c r="B1151" s="387" t="s">
        <v>4385</v>
      </c>
    </row>
    <row r="1152" spans="1:2">
      <c r="A1152" s="387" t="s">
        <v>11789</v>
      </c>
      <c r="B1152" s="387" t="s">
        <v>4489</v>
      </c>
    </row>
    <row r="1153" spans="1:2">
      <c r="A1153" s="387" t="s">
        <v>11790</v>
      </c>
      <c r="B1153" s="387" t="s">
        <v>4504</v>
      </c>
    </row>
    <row r="1154" spans="1:2">
      <c r="A1154" s="387" t="s">
        <v>11791</v>
      </c>
      <c r="B1154" s="387" t="s">
        <v>4506</v>
      </c>
    </row>
    <row r="1155" spans="1:2">
      <c r="A1155" s="387" t="s">
        <v>11792</v>
      </c>
      <c r="B1155" s="387" t="s">
        <v>4508</v>
      </c>
    </row>
    <row r="1156" spans="1:2">
      <c r="A1156" s="387" t="s">
        <v>11793</v>
      </c>
      <c r="B1156" s="387" t="s">
        <v>1580</v>
      </c>
    </row>
    <row r="1157" spans="1:2">
      <c r="A1157" s="387" t="s">
        <v>11794</v>
      </c>
      <c r="B1157" s="387" t="s">
        <v>5115</v>
      </c>
    </row>
    <row r="1158" spans="1:2">
      <c r="A1158" s="387" t="s">
        <v>11795</v>
      </c>
      <c r="B1158" s="387" t="s">
        <v>998</v>
      </c>
    </row>
    <row r="1159" spans="1:2">
      <c r="A1159" s="387" t="s">
        <v>11796</v>
      </c>
      <c r="B1159" s="387" t="s">
        <v>5148</v>
      </c>
    </row>
    <row r="1160" spans="1:2">
      <c r="A1160" s="387" t="s">
        <v>11797</v>
      </c>
      <c r="B1160" s="387" t="s">
        <v>5252</v>
      </c>
    </row>
    <row r="1161" spans="1:2">
      <c r="A1161" s="387" t="s">
        <v>11798</v>
      </c>
      <c r="B1161" s="387" t="s">
        <v>5295</v>
      </c>
    </row>
    <row r="1162" spans="1:2">
      <c r="A1162" s="387" t="s">
        <v>11799</v>
      </c>
      <c r="B1162" s="387" t="s">
        <v>11800</v>
      </c>
    </row>
    <row r="1163" spans="1:2">
      <c r="A1163" s="387" t="s">
        <v>11801</v>
      </c>
      <c r="B1163" s="387" t="s">
        <v>4893</v>
      </c>
    </row>
    <row r="1164" spans="1:2">
      <c r="A1164" s="387" t="s">
        <v>11802</v>
      </c>
      <c r="B1164" s="387" t="s">
        <v>5554</v>
      </c>
    </row>
    <row r="1165" spans="1:2">
      <c r="A1165" s="387" t="s">
        <v>11803</v>
      </c>
      <c r="B1165" s="387" t="s">
        <v>5773</v>
      </c>
    </row>
    <row r="1166" spans="1:2">
      <c r="A1166" s="387" t="s">
        <v>11804</v>
      </c>
      <c r="B1166" s="387" t="s">
        <v>11805</v>
      </c>
    </row>
    <row r="1167" spans="1:2">
      <c r="A1167" s="387" t="s">
        <v>11806</v>
      </c>
      <c r="B1167" s="387" t="s">
        <v>4780</v>
      </c>
    </row>
    <row r="1168" spans="1:2">
      <c r="A1168" s="387" t="s">
        <v>11807</v>
      </c>
      <c r="B1168" s="387" t="s">
        <v>6315</v>
      </c>
    </row>
    <row r="1169" spans="1:2">
      <c r="A1169" s="387" t="s">
        <v>11808</v>
      </c>
      <c r="B1169" s="387" t="s">
        <v>6317</v>
      </c>
    </row>
    <row r="1170" spans="1:2">
      <c r="A1170" s="387" t="s">
        <v>11809</v>
      </c>
      <c r="B1170" s="387" t="s">
        <v>4465</v>
      </c>
    </row>
    <row r="1171" spans="1:2">
      <c r="A1171" s="387" t="s">
        <v>11810</v>
      </c>
      <c r="B1171" s="387" t="s">
        <v>6830</v>
      </c>
    </row>
    <row r="1172" spans="1:2">
      <c r="A1172" s="387" t="s">
        <v>11811</v>
      </c>
      <c r="B1172" s="387" t="s">
        <v>6857</v>
      </c>
    </row>
    <row r="1173" spans="1:2">
      <c r="A1173" s="387" t="s">
        <v>11812</v>
      </c>
      <c r="B1173" s="387" t="s">
        <v>6999</v>
      </c>
    </row>
    <row r="1174" spans="1:2">
      <c r="A1174" s="387" t="s">
        <v>11813</v>
      </c>
      <c r="B1174" s="387" t="s">
        <v>7111</v>
      </c>
    </row>
    <row r="1175" spans="1:2">
      <c r="A1175" s="387" t="s">
        <v>11814</v>
      </c>
      <c r="B1175" s="387" t="s">
        <v>4665</v>
      </c>
    </row>
    <row r="1176" spans="1:2">
      <c r="A1176" s="387" t="s">
        <v>11815</v>
      </c>
      <c r="B1176" s="387" t="s">
        <v>7264</v>
      </c>
    </row>
    <row r="1177" spans="1:2">
      <c r="A1177" s="387" t="s">
        <v>11816</v>
      </c>
      <c r="B1177" s="387" t="s">
        <v>11817</v>
      </c>
    </row>
    <row r="1178" spans="1:2">
      <c r="A1178" s="387" t="s">
        <v>11818</v>
      </c>
      <c r="B1178" s="387" t="s">
        <v>2547</v>
      </c>
    </row>
    <row r="1179" spans="1:2">
      <c r="A1179" s="387" t="s">
        <v>11819</v>
      </c>
      <c r="B1179" s="387" t="s">
        <v>7290</v>
      </c>
    </row>
    <row r="1180" spans="1:2">
      <c r="A1180" s="387" t="s">
        <v>11820</v>
      </c>
      <c r="B1180" s="387" t="s">
        <v>7316</v>
      </c>
    </row>
    <row r="1181" spans="1:2">
      <c r="A1181" s="387" t="s">
        <v>11821</v>
      </c>
      <c r="B1181" s="387" t="s">
        <v>11822</v>
      </c>
    </row>
    <row r="1182" spans="1:2">
      <c r="A1182" s="387" t="s">
        <v>11823</v>
      </c>
      <c r="B1182" s="387" t="s">
        <v>11824</v>
      </c>
    </row>
    <row r="1183" spans="1:2">
      <c r="A1183" s="387" t="s">
        <v>11825</v>
      </c>
      <c r="B1183" s="387" t="s">
        <v>7432</v>
      </c>
    </row>
    <row r="1184" spans="1:2">
      <c r="A1184" s="387" t="s">
        <v>11826</v>
      </c>
      <c r="B1184" s="387" t="s">
        <v>8152</v>
      </c>
    </row>
    <row r="1185" spans="1:2">
      <c r="A1185" s="387" t="s">
        <v>11827</v>
      </c>
      <c r="B1185" s="387" t="s">
        <v>8154</v>
      </c>
    </row>
    <row r="1186" spans="1:2">
      <c r="A1186" s="387" t="s">
        <v>11828</v>
      </c>
      <c r="B1186" s="387" t="s">
        <v>1526</v>
      </c>
    </row>
    <row r="1187" spans="1:2">
      <c r="A1187" s="387" t="s">
        <v>11829</v>
      </c>
      <c r="B1187" s="387" t="s">
        <v>11830</v>
      </c>
    </row>
    <row r="1188" spans="1:2">
      <c r="A1188" s="387" t="s">
        <v>11831</v>
      </c>
      <c r="B1188" s="387" t="s">
        <v>11832</v>
      </c>
    </row>
    <row r="1189" spans="1:2">
      <c r="A1189" s="387" t="s">
        <v>11833</v>
      </c>
      <c r="B1189" s="387" t="s">
        <v>8239</v>
      </c>
    </row>
    <row r="1190" spans="1:2">
      <c r="A1190" s="387" t="s">
        <v>11834</v>
      </c>
      <c r="B1190" s="387" t="s">
        <v>8368</v>
      </c>
    </row>
    <row r="1191" spans="1:2">
      <c r="A1191" s="387" t="s">
        <v>11835</v>
      </c>
      <c r="B1191" s="387" t="s">
        <v>8513</v>
      </c>
    </row>
    <row r="1192" spans="1:2">
      <c r="A1192" s="387" t="s">
        <v>11836</v>
      </c>
      <c r="B1192" s="387" t="s">
        <v>11837</v>
      </c>
    </row>
    <row r="1193" spans="1:2">
      <c r="A1193" s="387" t="s">
        <v>11838</v>
      </c>
      <c r="B1193" s="387" t="s">
        <v>1182</v>
      </c>
    </row>
    <row r="1194" spans="1:2">
      <c r="A1194" s="387" t="s">
        <v>142</v>
      </c>
      <c r="B1194" s="387" t="s">
        <v>1283</v>
      </c>
    </row>
    <row r="1195" spans="1:2">
      <c r="A1195" s="387" t="s">
        <v>8657</v>
      </c>
      <c r="B1195" s="387" t="s">
        <v>1307</v>
      </c>
    </row>
    <row r="1196" spans="1:2">
      <c r="A1196" s="387" t="s">
        <v>11839</v>
      </c>
      <c r="B1196" s="387" t="s">
        <v>1479</v>
      </c>
    </row>
    <row r="1197" spans="1:2">
      <c r="A1197" s="387" t="s">
        <v>11840</v>
      </c>
      <c r="B1197" s="387" t="s">
        <v>1537</v>
      </c>
    </row>
    <row r="1198" spans="1:2">
      <c r="A1198" s="387" t="s">
        <v>11841</v>
      </c>
      <c r="B1198" s="387" t="s">
        <v>1971</v>
      </c>
    </row>
    <row r="1199" spans="1:2">
      <c r="A1199" s="387" t="s">
        <v>11842</v>
      </c>
      <c r="B1199" s="387" t="s">
        <v>11843</v>
      </c>
    </row>
    <row r="1200" spans="1:2">
      <c r="A1200" s="387" t="s">
        <v>11844</v>
      </c>
      <c r="B1200" s="387" t="s">
        <v>2594</v>
      </c>
    </row>
    <row r="1201" spans="1:2">
      <c r="A1201" s="387" t="s">
        <v>11845</v>
      </c>
      <c r="B1201" s="387" t="s">
        <v>2511</v>
      </c>
    </row>
    <row r="1202" spans="1:2">
      <c r="A1202" s="387" t="s">
        <v>11846</v>
      </c>
      <c r="B1202" s="387" t="s">
        <v>1704</v>
      </c>
    </row>
    <row r="1203" spans="1:2">
      <c r="A1203" s="387" t="s">
        <v>11847</v>
      </c>
      <c r="B1203" s="387" t="s">
        <v>3055</v>
      </c>
    </row>
    <row r="1204" spans="1:2">
      <c r="A1204" s="387" t="s">
        <v>11848</v>
      </c>
      <c r="B1204" s="387" t="s">
        <v>3103</v>
      </c>
    </row>
    <row r="1205" spans="1:2">
      <c r="A1205" s="387" t="s">
        <v>11849</v>
      </c>
      <c r="B1205" s="387" t="s">
        <v>11850</v>
      </c>
    </row>
    <row r="1206" spans="1:2">
      <c r="A1206" s="387" t="s">
        <v>11851</v>
      </c>
      <c r="B1206" s="387" t="s">
        <v>3338</v>
      </c>
    </row>
    <row r="1207" spans="1:2">
      <c r="A1207" s="387" t="s">
        <v>11852</v>
      </c>
      <c r="B1207" s="387" t="s">
        <v>3498</v>
      </c>
    </row>
    <row r="1208" spans="1:2">
      <c r="A1208" s="387" t="s">
        <v>11853</v>
      </c>
      <c r="B1208" s="387" t="s">
        <v>3619</v>
      </c>
    </row>
    <row r="1209" spans="1:2">
      <c r="A1209" s="387" t="s">
        <v>11854</v>
      </c>
      <c r="B1209" s="387" t="s">
        <v>990</v>
      </c>
    </row>
    <row r="1210" spans="1:2">
      <c r="A1210" s="387" t="s">
        <v>11855</v>
      </c>
      <c r="B1210" s="387" t="s">
        <v>11856</v>
      </c>
    </row>
    <row r="1211" spans="1:2">
      <c r="A1211" s="387" t="s">
        <v>11857</v>
      </c>
      <c r="B1211" s="387" t="s">
        <v>4088</v>
      </c>
    </row>
    <row r="1212" spans="1:2">
      <c r="A1212" s="387" t="s">
        <v>11858</v>
      </c>
      <c r="B1212" s="387" t="s">
        <v>4556</v>
      </c>
    </row>
    <row r="1213" spans="1:2">
      <c r="A1213" s="387" t="s">
        <v>11859</v>
      </c>
      <c r="B1213" s="387" t="s">
        <v>4618</v>
      </c>
    </row>
    <row r="1214" spans="1:2">
      <c r="A1214" s="387" t="s">
        <v>11860</v>
      </c>
      <c r="B1214" s="387" t="s">
        <v>4649</v>
      </c>
    </row>
    <row r="1215" spans="1:2">
      <c r="A1215" s="387" t="s">
        <v>11861</v>
      </c>
      <c r="B1215" s="387" t="s">
        <v>4705</v>
      </c>
    </row>
    <row r="1216" spans="1:2">
      <c r="A1216" s="387" t="s">
        <v>11862</v>
      </c>
      <c r="B1216" s="387" t="s">
        <v>4841</v>
      </c>
    </row>
    <row r="1217" spans="1:2">
      <c r="A1217" s="387" t="s">
        <v>11863</v>
      </c>
      <c r="B1217" s="387" t="s">
        <v>11864</v>
      </c>
    </row>
    <row r="1218" spans="1:2">
      <c r="A1218" s="387" t="s">
        <v>11865</v>
      </c>
      <c r="B1218" s="387" t="s">
        <v>5150</v>
      </c>
    </row>
    <row r="1219" spans="1:2">
      <c r="A1219" s="387" t="s">
        <v>11866</v>
      </c>
      <c r="B1219" s="387" t="s">
        <v>5227</v>
      </c>
    </row>
    <row r="1220" spans="1:2">
      <c r="A1220" s="387" t="s">
        <v>11867</v>
      </c>
      <c r="B1220" s="387" t="s">
        <v>5255</v>
      </c>
    </row>
    <row r="1221" spans="1:2">
      <c r="A1221" s="387" t="s">
        <v>11868</v>
      </c>
      <c r="B1221" s="387" t="s">
        <v>5297</v>
      </c>
    </row>
    <row r="1222" spans="1:2">
      <c r="A1222" s="387" t="s">
        <v>11869</v>
      </c>
      <c r="B1222" s="387" t="s">
        <v>4333</v>
      </c>
    </row>
    <row r="1223" spans="1:2">
      <c r="A1223" s="387" t="s">
        <v>11870</v>
      </c>
      <c r="B1223" s="387" t="s">
        <v>5522</v>
      </c>
    </row>
    <row r="1224" spans="1:2">
      <c r="A1224" s="387" t="s">
        <v>11871</v>
      </c>
      <c r="B1224" s="387" t="s">
        <v>11872</v>
      </c>
    </row>
    <row r="1225" spans="1:2">
      <c r="A1225" s="387" t="s">
        <v>11873</v>
      </c>
      <c r="B1225" s="387" t="s">
        <v>5556</v>
      </c>
    </row>
    <row r="1226" spans="1:2">
      <c r="A1226" s="387" t="s">
        <v>11874</v>
      </c>
      <c r="B1226" s="387" t="s">
        <v>4634</v>
      </c>
    </row>
    <row r="1227" spans="1:2">
      <c r="A1227" s="387" t="s">
        <v>11875</v>
      </c>
      <c r="B1227" s="387" t="s">
        <v>11876</v>
      </c>
    </row>
    <row r="1228" spans="1:2">
      <c r="A1228" s="387" t="s">
        <v>11877</v>
      </c>
      <c r="B1228" s="387" t="s">
        <v>1126</v>
      </c>
    </row>
    <row r="1229" spans="1:2">
      <c r="A1229" s="387" t="s">
        <v>11878</v>
      </c>
      <c r="B1229" s="387" t="s">
        <v>6957</v>
      </c>
    </row>
    <row r="1230" spans="1:2">
      <c r="A1230" s="387" t="s">
        <v>11879</v>
      </c>
      <c r="B1230" s="387" t="s">
        <v>5018</v>
      </c>
    </row>
    <row r="1231" spans="1:2">
      <c r="A1231" s="387" t="s">
        <v>11880</v>
      </c>
      <c r="B1231" s="387" t="s">
        <v>2318</v>
      </c>
    </row>
    <row r="1232" spans="1:2">
      <c r="A1232" s="387" t="s">
        <v>11881</v>
      </c>
      <c r="B1232" s="387" t="s">
        <v>11882</v>
      </c>
    </row>
    <row r="1233" spans="1:2">
      <c r="A1233" s="387" t="s">
        <v>11883</v>
      </c>
      <c r="B1233" s="387" t="s">
        <v>7611</v>
      </c>
    </row>
    <row r="1234" spans="1:2">
      <c r="A1234" s="387" t="s">
        <v>11884</v>
      </c>
      <c r="B1234" s="387" t="s">
        <v>11885</v>
      </c>
    </row>
    <row r="1235" spans="1:2">
      <c r="A1235" s="387" t="s">
        <v>11886</v>
      </c>
      <c r="B1235" s="387" t="s">
        <v>1055</v>
      </c>
    </row>
    <row r="1236" spans="1:2">
      <c r="A1236" s="387" t="s">
        <v>11887</v>
      </c>
      <c r="B1236" s="387" t="s">
        <v>1079</v>
      </c>
    </row>
    <row r="1237" spans="1:2">
      <c r="A1237" s="387" t="s">
        <v>11888</v>
      </c>
      <c r="B1237" s="387" t="s">
        <v>1059</v>
      </c>
    </row>
    <row r="1238" spans="1:2">
      <c r="A1238" s="387" t="s">
        <v>11889</v>
      </c>
      <c r="B1238" s="387" t="s">
        <v>11890</v>
      </c>
    </row>
    <row r="1239" spans="1:2">
      <c r="A1239" s="387" t="s">
        <v>11891</v>
      </c>
      <c r="B1239" s="387" t="s">
        <v>1221</v>
      </c>
    </row>
    <row r="1240" spans="1:2">
      <c r="A1240" s="387" t="s">
        <v>142</v>
      </c>
      <c r="B1240" s="387" t="s">
        <v>1283</v>
      </c>
    </row>
    <row r="1241" spans="1:2">
      <c r="A1241" s="387" t="s">
        <v>11892</v>
      </c>
      <c r="B1241" s="387" t="s">
        <v>1338</v>
      </c>
    </row>
    <row r="1242" spans="1:2">
      <c r="A1242" s="387" t="s">
        <v>8656</v>
      </c>
      <c r="B1242" s="387" t="s">
        <v>1434</v>
      </c>
    </row>
    <row r="1243" spans="1:2">
      <c r="A1243" s="387" t="s">
        <v>11893</v>
      </c>
      <c r="B1243" s="387" t="s">
        <v>11894</v>
      </c>
    </row>
    <row r="1244" spans="1:2">
      <c r="A1244" s="387" t="s">
        <v>11895</v>
      </c>
      <c r="B1244" s="387" t="s">
        <v>2020</v>
      </c>
    </row>
    <row r="1245" spans="1:2">
      <c r="A1245" s="387" t="s">
        <v>11896</v>
      </c>
      <c r="B1245" s="387" t="s">
        <v>2098</v>
      </c>
    </row>
    <row r="1246" spans="1:2">
      <c r="A1246" s="387" t="s">
        <v>11897</v>
      </c>
      <c r="B1246" s="387" t="s">
        <v>2545</v>
      </c>
    </row>
    <row r="1247" spans="1:2">
      <c r="A1247" s="387" t="s">
        <v>11898</v>
      </c>
      <c r="B1247" s="387" t="s">
        <v>1213</v>
      </c>
    </row>
    <row r="1248" spans="1:2">
      <c r="A1248" s="387" t="s">
        <v>11899</v>
      </c>
      <c r="B1248" s="387" t="s">
        <v>2716</v>
      </c>
    </row>
    <row r="1249" spans="1:2">
      <c r="A1249" s="387" t="s">
        <v>11900</v>
      </c>
      <c r="B1249" s="387" t="s">
        <v>2959</v>
      </c>
    </row>
    <row r="1250" spans="1:2">
      <c r="A1250" s="387" t="s">
        <v>11901</v>
      </c>
      <c r="B1250" s="387" t="s">
        <v>3133</v>
      </c>
    </row>
    <row r="1251" spans="1:2">
      <c r="A1251" s="387" t="s">
        <v>11902</v>
      </c>
      <c r="B1251" s="387" t="s">
        <v>3252</v>
      </c>
    </row>
    <row r="1252" spans="1:2">
      <c r="A1252" s="387" t="s">
        <v>11903</v>
      </c>
      <c r="B1252" s="387" t="s">
        <v>3254</v>
      </c>
    </row>
    <row r="1253" spans="1:2">
      <c r="A1253" s="387" t="s">
        <v>11904</v>
      </c>
      <c r="B1253" s="387" t="s">
        <v>1325</v>
      </c>
    </row>
    <row r="1254" spans="1:2">
      <c r="A1254" s="387" t="s">
        <v>11905</v>
      </c>
      <c r="B1254" s="387" t="s">
        <v>2260</v>
      </c>
    </row>
    <row r="1255" spans="1:2">
      <c r="A1255" s="387" t="s">
        <v>11906</v>
      </c>
      <c r="B1255" s="387" t="s">
        <v>3459</v>
      </c>
    </row>
    <row r="1256" spans="1:2">
      <c r="A1256" s="387" t="s">
        <v>11907</v>
      </c>
      <c r="B1256" s="387" t="s">
        <v>2819</v>
      </c>
    </row>
    <row r="1257" spans="1:2">
      <c r="A1257" s="387" t="s">
        <v>11908</v>
      </c>
      <c r="B1257" s="387" t="s">
        <v>3621</v>
      </c>
    </row>
    <row r="1258" spans="1:2">
      <c r="A1258" s="387" t="s">
        <v>11909</v>
      </c>
      <c r="B1258" s="387" t="s">
        <v>2020</v>
      </c>
    </row>
    <row r="1259" spans="1:2">
      <c r="A1259" s="387" t="s">
        <v>11910</v>
      </c>
      <c r="B1259" s="387" t="s">
        <v>3801</v>
      </c>
    </row>
    <row r="1260" spans="1:2">
      <c r="A1260" s="387" t="s">
        <v>11911</v>
      </c>
      <c r="B1260" s="387" t="s">
        <v>3997</v>
      </c>
    </row>
    <row r="1261" spans="1:2">
      <c r="A1261" s="387" t="s">
        <v>11912</v>
      </c>
      <c r="B1261" s="387" t="s">
        <v>3999</v>
      </c>
    </row>
    <row r="1262" spans="1:2">
      <c r="A1262" s="387" t="s">
        <v>11913</v>
      </c>
      <c r="B1262" s="387" t="s">
        <v>2790</v>
      </c>
    </row>
    <row r="1263" spans="1:2">
      <c r="A1263" s="387" t="s">
        <v>11914</v>
      </c>
      <c r="B1263" s="387" t="s">
        <v>1321</v>
      </c>
    </row>
    <row r="1264" spans="1:2">
      <c r="A1264" s="387" t="s">
        <v>11915</v>
      </c>
      <c r="B1264" s="387" t="s">
        <v>4085</v>
      </c>
    </row>
    <row r="1265" spans="1:2">
      <c r="A1265" s="387" t="s">
        <v>11916</v>
      </c>
      <c r="B1265" s="387" t="s">
        <v>4189</v>
      </c>
    </row>
    <row r="1266" spans="1:2">
      <c r="A1266" s="387" t="s">
        <v>11917</v>
      </c>
      <c r="B1266" s="387" t="s">
        <v>4651</v>
      </c>
    </row>
    <row r="1267" spans="1:2">
      <c r="A1267" s="387" t="s">
        <v>11918</v>
      </c>
      <c r="B1267" s="387" t="s">
        <v>4653</v>
      </c>
    </row>
    <row r="1268" spans="1:2">
      <c r="A1268" s="387" t="s">
        <v>11919</v>
      </c>
      <c r="B1268" s="387" t="s">
        <v>4963</v>
      </c>
    </row>
    <row r="1269" spans="1:2">
      <c r="A1269" s="387" t="s">
        <v>11920</v>
      </c>
      <c r="B1269" s="387" t="s">
        <v>1498</v>
      </c>
    </row>
    <row r="1270" spans="1:2">
      <c r="A1270" s="387" t="s">
        <v>11921</v>
      </c>
      <c r="B1270" s="387" t="s">
        <v>3548</v>
      </c>
    </row>
    <row r="1271" spans="1:2">
      <c r="A1271" s="387" t="s">
        <v>139</v>
      </c>
      <c r="B1271" s="387" t="s">
        <v>888</v>
      </c>
    </row>
    <row r="1272" spans="1:2">
      <c r="A1272" s="387" t="s">
        <v>133</v>
      </c>
      <c r="B1272" s="387" t="s">
        <v>940</v>
      </c>
    </row>
    <row r="1273" spans="1:2">
      <c r="A1273" s="387" t="s">
        <v>11922</v>
      </c>
      <c r="B1273" s="387" t="s">
        <v>1053</v>
      </c>
    </row>
    <row r="1274" spans="1:2">
      <c r="A1274" s="387" t="s">
        <v>142</v>
      </c>
      <c r="B1274" s="387" t="s">
        <v>1283</v>
      </c>
    </row>
    <row r="1275" spans="1:2">
      <c r="A1275" s="387" t="s">
        <v>134</v>
      </c>
      <c r="B1275" s="387" t="s">
        <v>1327</v>
      </c>
    </row>
    <row r="1276" spans="1:2">
      <c r="A1276" s="387" t="s">
        <v>135</v>
      </c>
      <c r="B1276" s="387" t="s">
        <v>1818</v>
      </c>
    </row>
    <row r="1277" spans="1:2">
      <c r="A1277" s="387" t="s">
        <v>11923</v>
      </c>
      <c r="B1277" s="387" t="s">
        <v>1857</v>
      </c>
    </row>
    <row r="1278" spans="1:2">
      <c r="A1278" s="387" t="s">
        <v>11924</v>
      </c>
      <c r="B1278" s="387" t="s">
        <v>2022</v>
      </c>
    </row>
    <row r="1279" spans="1:2">
      <c r="A1279" s="387" t="s">
        <v>11925</v>
      </c>
      <c r="B1279" s="387" t="s">
        <v>2744</v>
      </c>
    </row>
    <row r="1280" spans="1:2">
      <c r="A1280" s="387" t="s">
        <v>140</v>
      </c>
      <c r="B1280" s="387" t="s">
        <v>3191</v>
      </c>
    </row>
    <row r="1281" spans="1:2">
      <c r="A1281" s="387" t="s">
        <v>11926</v>
      </c>
      <c r="B1281" s="387" t="s">
        <v>1077</v>
      </c>
    </row>
    <row r="1282" spans="1:2">
      <c r="A1282" s="387" t="s">
        <v>11927</v>
      </c>
      <c r="B1282" s="387" t="s">
        <v>3524</v>
      </c>
    </row>
    <row r="1283" spans="1:2">
      <c r="A1283" s="387" t="s">
        <v>11928</v>
      </c>
      <c r="B1283" s="387" t="s">
        <v>1719</v>
      </c>
    </row>
    <row r="1284" spans="1:2">
      <c r="A1284" s="387" t="s">
        <v>132</v>
      </c>
      <c r="B1284" s="387" t="s">
        <v>4106</v>
      </c>
    </row>
    <row r="1285" spans="1:2">
      <c r="A1285" s="387" t="s">
        <v>11929</v>
      </c>
      <c r="B1285" s="387" t="s">
        <v>4558</v>
      </c>
    </row>
    <row r="1286" spans="1:2">
      <c r="A1286" s="387" t="s">
        <v>11930</v>
      </c>
      <c r="B1286" s="387" t="s">
        <v>2072</v>
      </c>
    </row>
    <row r="1287" spans="1:2">
      <c r="A1287" s="387" t="s">
        <v>11931</v>
      </c>
      <c r="B1287" s="387" t="s">
        <v>3728</v>
      </c>
    </row>
    <row r="1288" spans="1:2">
      <c r="A1288" s="387" t="s">
        <v>10037</v>
      </c>
      <c r="B1288" s="387" t="s">
        <v>11932</v>
      </c>
    </row>
    <row r="1289" spans="1:2">
      <c r="A1289" s="387" t="s">
        <v>10086</v>
      </c>
      <c r="B1289" s="387" t="s">
        <v>11933</v>
      </c>
    </row>
    <row r="1290" spans="1:2">
      <c r="A1290" s="387" t="s">
        <v>193</v>
      </c>
      <c r="B1290" s="387" t="s">
        <v>1202</v>
      </c>
    </row>
    <row r="1291" spans="1:2">
      <c r="A1291" s="387" t="s">
        <v>11934</v>
      </c>
      <c r="B1291" s="387" t="s">
        <v>8177</v>
      </c>
    </row>
    <row r="1292" spans="1:2">
      <c r="A1292" s="387" t="s">
        <v>11935</v>
      </c>
      <c r="B1292" s="387" t="s">
        <v>1700</v>
      </c>
    </row>
    <row r="1293" spans="1:2">
      <c r="A1293" s="387" t="s">
        <v>199</v>
      </c>
      <c r="B1293" s="387" t="s">
        <v>2161</v>
      </c>
    </row>
    <row r="1294" spans="1:2">
      <c r="A1294" s="387" t="s">
        <v>11936</v>
      </c>
      <c r="B1294" s="387" t="s">
        <v>4353</v>
      </c>
    </row>
    <row r="1295" spans="1:2">
      <c r="A1295" s="387" t="s">
        <v>11937</v>
      </c>
      <c r="B1295" s="387" t="s">
        <v>5144</v>
      </c>
    </row>
    <row r="1296" spans="1:2">
      <c r="A1296" s="387" t="s">
        <v>11938</v>
      </c>
      <c r="B1296" s="387" t="s">
        <v>11939</v>
      </c>
    </row>
    <row r="1297" spans="1:2">
      <c r="A1297" s="387" t="s">
        <v>11940</v>
      </c>
      <c r="B1297" s="387" t="s">
        <v>11941</v>
      </c>
    </row>
    <row r="1298" spans="1:2">
      <c r="A1298" s="387" t="s">
        <v>11942</v>
      </c>
      <c r="B1298" s="387" t="s">
        <v>5901</v>
      </c>
    </row>
    <row r="1299" spans="1:2">
      <c r="A1299" s="387" t="s">
        <v>11943</v>
      </c>
      <c r="B1299" s="387" t="s">
        <v>5912</v>
      </c>
    </row>
    <row r="1300" spans="1:2">
      <c r="A1300" s="387" t="s">
        <v>11944</v>
      </c>
      <c r="B1300" s="387" t="s">
        <v>891</v>
      </c>
    </row>
    <row r="1301" spans="1:2">
      <c r="A1301" s="387" t="s">
        <v>11945</v>
      </c>
      <c r="B1301" s="387" t="s">
        <v>6493</v>
      </c>
    </row>
    <row r="1302" spans="1:2">
      <c r="A1302" s="387" t="s">
        <v>11946</v>
      </c>
      <c r="B1302" s="387" t="s">
        <v>7031</v>
      </c>
    </row>
    <row r="1303" spans="1:2">
      <c r="A1303" s="387" t="s">
        <v>11947</v>
      </c>
      <c r="B1303" s="387" t="s">
        <v>11948</v>
      </c>
    </row>
    <row r="1304" spans="1:2">
      <c r="A1304" s="387" t="s">
        <v>11949</v>
      </c>
      <c r="B1304" s="387" t="s">
        <v>8179</v>
      </c>
    </row>
    <row r="1305" spans="1:2">
      <c r="A1305" s="387" t="s">
        <v>11950</v>
      </c>
      <c r="B1305" s="387" t="s">
        <v>8186</v>
      </c>
    </row>
    <row r="1306" spans="1:2">
      <c r="A1306" s="387" t="s">
        <v>11951</v>
      </c>
      <c r="B1306" s="387" t="s">
        <v>976</v>
      </c>
    </row>
    <row r="1307" spans="1:2">
      <c r="A1307" s="387" t="s">
        <v>199</v>
      </c>
      <c r="B1307" s="387" t="s">
        <v>2161</v>
      </c>
    </row>
    <row r="1308" spans="1:2">
      <c r="A1308" s="387" t="s">
        <v>11952</v>
      </c>
      <c r="B1308" s="387" t="s">
        <v>4260</v>
      </c>
    </row>
    <row r="1309" spans="1:2">
      <c r="A1309" s="387" t="s">
        <v>11953</v>
      </c>
      <c r="B1309" s="387" t="s">
        <v>4290</v>
      </c>
    </row>
    <row r="1310" spans="1:2">
      <c r="A1310" s="387" t="s">
        <v>11954</v>
      </c>
      <c r="B1310" s="387" t="s">
        <v>4572</v>
      </c>
    </row>
    <row r="1311" spans="1:2">
      <c r="A1311" s="387" t="s">
        <v>11955</v>
      </c>
      <c r="B1311" s="387" t="s">
        <v>4903</v>
      </c>
    </row>
    <row r="1312" spans="1:2">
      <c r="A1312" s="387" t="s">
        <v>11956</v>
      </c>
      <c r="B1312" s="387" t="s">
        <v>11957</v>
      </c>
    </row>
    <row r="1313" spans="1:2">
      <c r="A1313" s="387" t="s">
        <v>11958</v>
      </c>
      <c r="B1313" s="387" t="s">
        <v>2371</v>
      </c>
    </row>
    <row r="1314" spans="1:2">
      <c r="A1314" s="387" t="s">
        <v>11959</v>
      </c>
      <c r="B1314" s="387" t="s">
        <v>5910</v>
      </c>
    </row>
    <row r="1315" spans="1:2">
      <c r="A1315" s="387" t="s">
        <v>11960</v>
      </c>
      <c r="B1315" s="387" t="s">
        <v>3970</v>
      </c>
    </row>
    <row r="1316" spans="1:2">
      <c r="A1316" s="387" t="s">
        <v>11961</v>
      </c>
      <c r="B1316" s="387" t="s">
        <v>6406</v>
      </c>
    </row>
    <row r="1317" spans="1:2">
      <c r="A1317" s="387" t="s">
        <v>11962</v>
      </c>
      <c r="B1317" s="387" t="s">
        <v>11963</v>
      </c>
    </row>
    <row r="1318" spans="1:2">
      <c r="A1318" s="387" t="s">
        <v>11964</v>
      </c>
      <c r="B1318" s="387" t="s">
        <v>1340</v>
      </c>
    </row>
    <row r="1319" spans="1:2">
      <c r="A1319" s="387" t="s">
        <v>11965</v>
      </c>
      <c r="B1319" s="387" t="s">
        <v>11966</v>
      </c>
    </row>
    <row r="1320" spans="1:2">
      <c r="A1320" s="387" t="s">
        <v>195</v>
      </c>
      <c r="B1320" s="387" t="s">
        <v>1327</v>
      </c>
    </row>
    <row r="1321" spans="1:2">
      <c r="A1321" s="387" t="s">
        <v>11967</v>
      </c>
      <c r="B1321" s="387" t="s">
        <v>11968</v>
      </c>
    </row>
    <row r="1322" spans="1:2">
      <c r="A1322" s="387" t="s">
        <v>11969</v>
      </c>
      <c r="B1322" s="387" t="s">
        <v>2152</v>
      </c>
    </row>
    <row r="1323" spans="1:2">
      <c r="A1323" s="387" t="s">
        <v>11970</v>
      </c>
      <c r="B1323" s="387" t="s">
        <v>2156</v>
      </c>
    </row>
    <row r="1324" spans="1:2">
      <c r="A1324" s="387" t="s">
        <v>199</v>
      </c>
      <c r="B1324" s="387" t="s">
        <v>2161</v>
      </c>
    </row>
    <row r="1325" spans="1:2">
      <c r="A1325" s="387" t="s">
        <v>179</v>
      </c>
      <c r="B1325" s="387" t="s">
        <v>2220</v>
      </c>
    </row>
    <row r="1326" spans="1:2">
      <c r="A1326" s="387" t="s">
        <v>11971</v>
      </c>
      <c r="B1326" s="387" t="s">
        <v>2252</v>
      </c>
    </row>
    <row r="1327" spans="1:2">
      <c r="A1327" s="387" t="s">
        <v>11972</v>
      </c>
      <c r="B1327" s="387" t="s">
        <v>2423</v>
      </c>
    </row>
    <row r="1328" spans="1:2">
      <c r="A1328" s="387" t="s">
        <v>11973</v>
      </c>
      <c r="B1328" s="387" t="s">
        <v>2649</v>
      </c>
    </row>
    <row r="1329" spans="1:2">
      <c r="A1329" s="387" t="s">
        <v>11974</v>
      </c>
      <c r="B1329" s="387" t="s">
        <v>2706</v>
      </c>
    </row>
    <row r="1330" spans="1:2">
      <c r="A1330" s="387" t="s">
        <v>11975</v>
      </c>
      <c r="B1330" s="387" t="s">
        <v>2914</v>
      </c>
    </row>
    <row r="1331" spans="1:2">
      <c r="A1331" s="387" t="s">
        <v>11976</v>
      </c>
      <c r="B1331" s="387" t="s">
        <v>3235</v>
      </c>
    </row>
    <row r="1332" spans="1:2">
      <c r="A1332" s="387" t="s">
        <v>11977</v>
      </c>
      <c r="B1332" s="387" t="s">
        <v>3376</v>
      </c>
    </row>
    <row r="1333" spans="1:2">
      <c r="A1333" s="387" t="s">
        <v>11978</v>
      </c>
      <c r="B1333" s="387" t="s">
        <v>3732</v>
      </c>
    </row>
    <row r="1334" spans="1:2">
      <c r="A1334" s="387" t="s">
        <v>11979</v>
      </c>
      <c r="B1334" s="387" t="s">
        <v>4292</v>
      </c>
    </row>
    <row r="1335" spans="1:2">
      <c r="A1335" s="387" t="s">
        <v>815</v>
      </c>
      <c r="B1335" s="387" t="s">
        <v>4438</v>
      </c>
    </row>
    <row r="1336" spans="1:2">
      <c r="A1336" s="387" t="s">
        <v>194</v>
      </c>
      <c r="B1336" s="387" t="s">
        <v>1053</v>
      </c>
    </row>
    <row r="1337" spans="1:2">
      <c r="A1337" s="387" t="s">
        <v>11980</v>
      </c>
      <c r="B1337" s="387" t="s">
        <v>5132</v>
      </c>
    </row>
    <row r="1338" spans="1:2">
      <c r="A1338" s="387" t="s">
        <v>11981</v>
      </c>
      <c r="B1338" s="387" t="s">
        <v>5217</v>
      </c>
    </row>
    <row r="1339" spans="1:2">
      <c r="A1339" s="387" t="s">
        <v>11982</v>
      </c>
      <c r="B1339" s="387" t="s">
        <v>4160</v>
      </c>
    </row>
    <row r="1340" spans="1:2">
      <c r="A1340" s="387" t="s">
        <v>11983</v>
      </c>
      <c r="B1340" s="387" t="s">
        <v>11984</v>
      </c>
    </row>
    <row r="1341" spans="1:2">
      <c r="A1341" s="387" t="s">
        <v>11985</v>
      </c>
      <c r="B1341" s="387" t="s">
        <v>9509</v>
      </c>
    </row>
    <row r="1342" spans="1:2">
      <c r="A1342" s="387" t="s">
        <v>11986</v>
      </c>
      <c r="B1342" s="387" t="s">
        <v>5868</v>
      </c>
    </row>
    <row r="1343" spans="1:2">
      <c r="A1343" s="387" t="s">
        <v>11987</v>
      </c>
      <c r="B1343" s="387" t="s">
        <v>6122</v>
      </c>
    </row>
    <row r="1344" spans="1:2">
      <c r="A1344" s="387" t="s">
        <v>11988</v>
      </c>
      <c r="B1344" s="387" t="s">
        <v>11989</v>
      </c>
    </row>
    <row r="1345" spans="1:2">
      <c r="A1345" s="387" t="s">
        <v>11990</v>
      </c>
      <c r="B1345" s="387" t="s">
        <v>11991</v>
      </c>
    </row>
    <row r="1346" spans="1:2">
      <c r="A1346" s="387" t="s">
        <v>8400</v>
      </c>
      <c r="B1346" s="387" t="s">
        <v>8373</v>
      </c>
    </row>
    <row r="1347" spans="1:2">
      <c r="A1347" s="387" t="s">
        <v>11992</v>
      </c>
      <c r="B1347" s="387" t="s">
        <v>2051</v>
      </c>
    </row>
    <row r="1348" spans="1:2">
      <c r="A1348" s="387" t="s">
        <v>199</v>
      </c>
      <c r="B1348" s="387" t="s">
        <v>2161</v>
      </c>
    </row>
    <row r="1349" spans="1:2">
      <c r="A1349" s="387" t="s">
        <v>11993</v>
      </c>
      <c r="B1349" s="387" t="s">
        <v>2676</v>
      </c>
    </row>
    <row r="1350" spans="1:2">
      <c r="A1350" s="387" t="s">
        <v>193</v>
      </c>
      <c r="B1350" s="387" t="s">
        <v>1202</v>
      </c>
    </row>
    <row r="1351" spans="1:2">
      <c r="A1351" s="387" t="s">
        <v>11994</v>
      </c>
      <c r="B1351" s="387" t="s">
        <v>11995</v>
      </c>
    </row>
    <row r="1352" spans="1:2">
      <c r="A1352" s="387" t="s">
        <v>11996</v>
      </c>
      <c r="B1352" s="387" t="s">
        <v>7059</v>
      </c>
    </row>
    <row r="1353" spans="1:2">
      <c r="A1353" s="387" t="s">
        <v>11997</v>
      </c>
      <c r="B1353" s="387" t="s">
        <v>8572</v>
      </c>
    </row>
    <row r="1354" spans="1:2">
      <c r="A1354" s="387" t="s">
        <v>11998</v>
      </c>
      <c r="B1354" s="387" t="s">
        <v>1030</v>
      </c>
    </row>
    <row r="1355" spans="1:2">
      <c r="A1355" s="387" t="s">
        <v>11999</v>
      </c>
      <c r="B1355" s="387" t="s">
        <v>1077</v>
      </c>
    </row>
    <row r="1356" spans="1:2">
      <c r="A1356" s="387" t="s">
        <v>12000</v>
      </c>
      <c r="B1356" s="387" t="s">
        <v>1123</v>
      </c>
    </row>
    <row r="1357" spans="1:2">
      <c r="A1357" s="387" t="s">
        <v>12001</v>
      </c>
      <c r="B1357" s="387" t="s">
        <v>1154</v>
      </c>
    </row>
    <row r="1358" spans="1:2">
      <c r="A1358" s="387" t="s">
        <v>12002</v>
      </c>
      <c r="B1358" s="387" t="s">
        <v>1772</v>
      </c>
    </row>
    <row r="1359" spans="1:2">
      <c r="A1359" s="387" t="s">
        <v>12003</v>
      </c>
      <c r="B1359" s="387" t="s">
        <v>1995</v>
      </c>
    </row>
    <row r="1360" spans="1:2">
      <c r="A1360" s="387" t="s">
        <v>12004</v>
      </c>
      <c r="B1360" s="387" t="s">
        <v>1997</v>
      </c>
    </row>
    <row r="1361" spans="1:2">
      <c r="A1361" s="387" t="s">
        <v>12005</v>
      </c>
      <c r="B1361" s="387" t="s">
        <v>1999</v>
      </c>
    </row>
    <row r="1362" spans="1:2">
      <c r="A1362" s="387" t="s">
        <v>12006</v>
      </c>
      <c r="B1362" s="387" t="s">
        <v>2308</v>
      </c>
    </row>
    <row r="1363" spans="1:2">
      <c r="A1363" s="387" t="s">
        <v>12007</v>
      </c>
      <c r="B1363" s="387" t="s">
        <v>2524</v>
      </c>
    </row>
    <row r="1364" spans="1:2">
      <c r="A1364" s="387" t="s">
        <v>12008</v>
      </c>
      <c r="B1364" s="387" t="s">
        <v>2688</v>
      </c>
    </row>
    <row r="1365" spans="1:2">
      <c r="A1365" s="387" t="s">
        <v>12009</v>
      </c>
      <c r="B1365" s="387" t="s">
        <v>2782</v>
      </c>
    </row>
    <row r="1366" spans="1:2">
      <c r="A1366" s="387" t="s">
        <v>12010</v>
      </c>
      <c r="B1366" s="387" t="s">
        <v>2887</v>
      </c>
    </row>
    <row r="1367" spans="1:2">
      <c r="A1367" s="387" t="s">
        <v>12011</v>
      </c>
      <c r="B1367" s="387" t="s">
        <v>2964</v>
      </c>
    </row>
    <row r="1368" spans="1:2">
      <c r="A1368" s="387" t="s">
        <v>12012</v>
      </c>
      <c r="B1368" s="387" t="s">
        <v>3097</v>
      </c>
    </row>
    <row r="1369" spans="1:2">
      <c r="A1369" s="387" t="s">
        <v>12013</v>
      </c>
      <c r="B1369" s="387" t="s">
        <v>3105</v>
      </c>
    </row>
    <row r="1370" spans="1:2">
      <c r="A1370" s="387" t="s">
        <v>12014</v>
      </c>
      <c r="B1370" s="387" t="s">
        <v>3107</v>
      </c>
    </row>
    <row r="1371" spans="1:2">
      <c r="A1371" s="387" t="s">
        <v>12015</v>
      </c>
      <c r="B1371" s="387" t="s">
        <v>3152</v>
      </c>
    </row>
    <row r="1372" spans="1:2">
      <c r="A1372" s="387" t="s">
        <v>12016</v>
      </c>
      <c r="B1372" s="387" t="s">
        <v>3189</v>
      </c>
    </row>
    <row r="1373" spans="1:2">
      <c r="A1373" s="387" t="s">
        <v>12017</v>
      </c>
      <c r="B1373" s="387" t="s">
        <v>3320</v>
      </c>
    </row>
    <row r="1374" spans="1:2">
      <c r="A1374" s="387" t="s">
        <v>12018</v>
      </c>
      <c r="B1374" s="387" t="s">
        <v>3325</v>
      </c>
    </row>
    <row r="1375" spans="1:2">
      <c r="A1375" s="387" t="s">
        <v>12019</v>
      </c>
      <c r="B1375" s="387" t="s">
        <v>3334</v>
      </c>
    </row>
    <row r="1376" spans="1:2">
      <c r="A1376" s="387" t="s">
        <v>12020</v>
      </c>
      <c r="B1376" s="387" t="s">
        <v>2248</v>
      </c>
    </row>
    <row r="1377" spans="1:2">
      <c r="A1377" s="387" t="s">
        <v>12021</v>
      </c>
      <c r="B1377" s="387" t="s">
        <v>3531</v>
      </c>
    </row>
    <row r="1378" spans="1:2">
      <c r="A1378" s="387" t="s">
        <v>12022</v>
      </c>
      <c r="B1378" s="387" t="s">
        <v>2945</v>
      </c>
    </row>
    <row r="1379" spans="1:2">
      <c r="A1379" s="387" t="s">
        <v>12023</v>
      </c>
      <c r="B1379" s="387" t="s">
        <v>1070</v>
      </c>
    </row>
    <row r="1380" spans="1:2">
      <c r="A1380" s="387" t="s">
        <v>12024</v>
      </c>
      <c r="B1380" s="387" t="s">
        <v>3615</v>
      </c>
    </row>
    <row r="1381" spans="1:2">
      <c r="A1381" s="387" t="s">
        <v>12025</v>
      </c>
      <c r="B1381" s="387" t="s">
        <v>3617</v>
      </c>
    </row>
    <row r="1382" spans="1:2">
      <c r="A1382" s="387" t="s">
        <v>182</v>
      </c>
      <c r="B1382" s="387" t="s">
        <v>1070</v>
      </c>
    </row>
    <row r="1383" spans="1:2">
      <c r="A1383" s="387" t="s">
        <v>12026</v>
      </c>
      <c r="B1383" s="387" t="s">
        <v>3697</v>
      </c>
    </row>
    <row r="1384" spans="1:2">
      <c r="A1384" s="387" t="s">
        <v>12027</v>
      </c>
      <c r="B1384" s="387" t="s">
        <v>1131</v>
      </c>
    </row>
    <row r="1385" spans="1:2">
      <c r="A1385" s="387" t="s">
        <v>12028</v>
      </c>
      <c r="B1385" s="387" t="s">
        <v>3883</v>
      </c>
    </row>
    <row r="1386" spans="1:2">
      <c r="A1386" s="387" t="s">
        <v>12029</v>
      </c>
      <c r="B1386" s="387" t="s">
        <v>12030</v>
      </c>
    </row>
    <row r="1387" spans="1:2">
      <c r="A1387" s="387" t="s">
        <v>12031</v>
      </c>
      <c r="B1387" s="387" t="s">
        <v>3107</v>
      </c>
    </row>
    <row r="1388" spans="1:2">
      <c r="A1388" s="387" t="s">
        <v>12032</v>
      </c>
      <c r="B1388" s="387" t="s">
        <v>4450</v>
      </c>
    </row>
    <row r="1389" spans="1:2">
      <c r="A1389" s="387" t="s">
        <v>12033</v>
      </c>
      <c r="B1389" s="387" t="s">
        <v>4395</v>
      </c>
    </row>
    <row r="1390" spans="1:2">
      <c r="A1390" s="387" t="s">
        <v>12034</v>
      </c>
      <c r="B1390" s="387" t="s">
        <v>2557</v>
      </c>
    </row>
    <row r="1391" spans="1:2">
      <c r="A1391" s="387" t="s">
        <v>12035</v>
      </c>
      <c r="B1391" s="387" t="s">
        <v>4101</v>
      </c>
    </row>
    <row r="1392" spans="1:2">
      <c r="A1392" s="387" t="s">
        <v>12036</v>
      </c>
      <c r="B1392" s="387" t="s">
        <v>1502</v>
      </c>
    </row>
    <row r="1393" spans="1:2">
      <c r="A1393" s="387" t="s">
        <v>12037</v>
      </c>
      <c r="B1393" s="387" t="s">
        <v>4570</v>
      </c>
    </row>
    <row r="1394" spans="1:2">
      <c r="A1394" s="387" t="s">
        <v>12038</v>
      </c>
      <c r="B1394" s="387" t="s">
        <v>4688</v>
      </c>
    </row>
    <row r="1395" spans="1:2">
      <c r="A1395" s="387" t="s">
        <v>12039</v>
      </c>
      <c r="B1395" s="387" t="s">
        <v>4764</v>
      </c>
    </row>
    <row r="1396" spans="1:2">
      <c r="A1396" s="387" t="s">
        <v>12040</v>
      </c>
      <c r="B1396" s="387" t="s">
        <v>4863</v>
      </c>
    </row>
    <row r="1397" spans="1:2">
      <c r="A1397" s="387" t="s">
        <v>12041</v>
      </c>
      <c r="B1397" s="387" t="s">
        <v>4867</v>
      </c>
    </row>
    <row r="1398" spans="1:2">
      <c r="A1398" s="387" t="s">
        <v>12042</v>
      </c>
      <c r="B1398" s="387" t="s">
        <v>1719</v>
      </c>
    </row>
    <row r="1399" spans="1:2">
      <c r="A1399" s="387" t="s">
        <v>12043</v>
      </c>
      <c r="B1399" s="387" t="s">
        <v>4916</v>
      </c>
    </row>
    <row r="1400" spans="1:2">
      <c r="A1400" s="387" t="s">
        <v>12044</v>
      </c>
      <c r="B1400" s="387" t="s">
        <v>5328</v>
      </c>
    </row>
    <row r="1401" spans="1:2">
      <c r="A1401" s="387" t="s">
        <v>12045</v>
      </c>
      <c r="B1401" s="387" t="s">
        <v>2807</v>
      </c>
    </row>
    <row r="1402" spans="1:2">
      <c r="A1402" s="387" t="s">
        <v>12046</v>
      </c>
      <c r="B1402" s="387" t="s">
        <v>5478</v>
      </c>
    </row>
    <row r="1403" spans="1:2">
      <c r="A1403" s="387" t="s">
        <v>12047</v>
      </c>
      <c r="B1403" s="387" t="s">
        <v>5822</v>
      </c>
    </row>
    <row r="1404" spans="1:2">
      <c r="A1404" s="387" t="s">
        <v>12048</v>
      </c>
      <c r="B1404" s="387" t="s">
        <v>12049</v>
      </c>
    </row>
    <row r="1405" spans="1:2">
      <c r="A1405" s="387" t="s">
        <v>12050</v>
      </c>
      <c r="B1405" s="387" t="s">
        <v>5840</v>
      </c>
    </row>
    <row r="1406" spans="1:2">
      <c r="A1406" s="387" t="s">
        <v>12051</v>
      </c>
      <c r="B1406" s="387" t="s">
        <v>5984</v>
      </c>
    </row>
    <row r="1407" spans="1:2">
      <c r="A1407" s="387" t="s">
        <v>12052</v>
      </c>
      <c r="B1407" s="387" t="s">
        <v>2845</v>
      </c>
    </row>
    <row r="1408" spans="1:2">
      <c r="A1408" s="387" t="s">
        <v>12053</v>
      </c>
      <c r="B1408" s="387" t="s">
        <v>5986</v>
      </c>
    </row>
    <row r="1409" spans="1:2">
      <c r="A1409" s="387" t="s">
        <v>12054</v>
      </c>
      <c r="B1409" s="387" t="s">
        <v>6048</v>
      </c>
    </row>
    <row r="1410" spans="1:2">
      <c r="A1410" s="387" t="s">
        <v>12055</v>
      </c>
      <c r="B1410" s="387" t="s">
        <v>12056</v>
      </c>
    </row>
    <row r="1411" spans="1:2">
      <c r="A1411" s="387" t="s">
        <v>12057</v>
      </c>
      <c r="B1411" s="387" t="s">
        <v>3570</v>
      </c>
    </row>
    <row r="1412" spans="1:2">
      <c r="A1412" s="387" t="s">
        <v>12058</v>
      </c>
      <c r="B1412" s="387" t="s">
        <v>5002</v>
      </c>
    </row>
    <row r="1413" spans="1:2">
      <c r="A1413" s="387" t="s">
        <v>12059</v>
      </c>
      <c r="B1413" s="387" t="s">
        <v>6075</v>
      </c>
    </row>
    <row r="1414" spans="1:2">
      <c r="A1414" s="387" t="s">
        <v>12060</v>
      </c>
      <c r="B1414" s="387" t="s">
        <v>6077</v>
      </c>
    </row>
    <row r="1415" spans="1:2">
      <c r="A1415" s="387" t="s">
        <v>12061</v>
      </c>
      <c r="B1415" s="387" t="s">
        <v>2651</v>
      </c>
    </row>
    <row r="1416" spans="1:2">
      <c r="A1416" s="387" t="s">
        <v>12062</v>
      </c>
      <c r="B1416" s="387" t="s">
        <v>6140</v>
      </c>
    </row>
    <row r="1417" spans="1:2">
      <c r="A1417" s="387" t="s">
        <v>12063</v>
      </c>
      <c r="B1417" s="387" t="s">
        <v>6228</v>
      </c>
    </row>
    <row r="1418" spans="1:2">
      <c r="A1418" s="387" t="s">
        <v>12064</v>
      </c>
      <c r="B1418" s="387" t="s">
        <v>6230</v>
      </c>
    </row>
    <row r="1419" spans="1:2">
      <c r="A1419" s="387" t="s">
        <v>12065</v>
      </c>
      <c r="B1419" s="387" t="s">
        <v>6232</v>
      </c>
    </row>
    <row r="1420" spans="1:2">
      <c r="A1420" s="387" t="s">
        <v>12066</v>
      </c>
      <c r="B1420" s="387" t="s">
        <v>5023</v>
      </c>
    </row>
    <row r="1421" spans="1:2">
      <c r="A1421" s="387" t="s">
        <v>12067</v>
      </c>
      <c r="B1421" s="387" t="s">
        <v>6472</v>
      </c>
    </row>
    <row r="1422" spans="1:2">
      <c r="A1422" s="387" t="s">
        <v>12068</v>
      </c>
      <c r="B1422" s="387" t="s">
        <v>6482</v>
      </c>
    </row>
    <row r="1423" spans="1:2">
      <c r="A1423" s="387" t="s">
        <v>12069</v>
      </c>
      <c r="B1423" s="387" t="s">
        <v>6484</v>
      </c>
    </row>
    <row r="1424" spans="1:2">
      <c r="A1424" s="387" t="s">
        <v>12070</v>
      </c>
      <c r="B1424" s="387" t="s">
        <v>6549</v>
      </c>
    </row>
    <row r="1425" spans="1:2">
      <c r="A1425" s="387" t="s">
        <v>12071</v>
      </c>
      <c r="B1425" s="387" t="s">
        <v>6553</v>
      </c>
    </row>
    <row r="1426" spans="1:2">
      <c r="A1426" s="387" t="s">
        <v>12072</v>
      </c>
      <c r="B1426" s="387" t="s">
        <v>6706</v>
      </c>
    </row>
    <row r="1427" spans="1:2">
      <c r="A1427" s="387" t="s">
        <v>12073</v>
      </c>
      <c r="B1427" s="387" t="s">
        <v>6728</v>
      </c>
    </row>
    <row r="1428" spans="1:2">
      <c r="A1428" s="387" t="s">
        <v>12074</v>
      </c>
      <c r="B1428" s="387" t="s">
        <v>6805</v>
      </c>
    </row>
    <row r="1429" spans="1:2">
      <c r="A1429" s="387" t="s">
        <v>12075</v>
      </c>
      <c r="B1429" s="387" t="s">
        <v>6809</v>
      </c>
    </row>
    <row r="1430" spans="1:2">
      <c r="A1430" s="387" t="s">
        <v>12076</v>
      </c>
      <c r="B1430" s="387" t="s">
        <v>6906</v>
      </c>
    </row>
    <row r="1431" spans="1:2">
      <c r="A1431" s="387" t="s">
        <v>12077</v>
      </c>
      <c r="B1431" s="387" t="s">
        <v>2430</v>
      </c>
    </row>
    <row r="1432" spans="1:2">
      <c r="A1432" s="387" t="s">
        <v>12078</v>
      </c>
      <c r="B1432" s="387" t="s">
        <v>6910</v>
      </c>
    </row>
    <row r="1433" spans="1:2">
      <c r="A1433" s="387" t="s">
        <v>12079</v>
      </c>
      <c r="B1433" s="387" t="s">
        <v>1128</v>
      </c>
    </row>
    <row r="1434" spans="1:2">
      <c r="A1434" s="387" t="s">
        <v>12080</v>
      </c>
      <c r="B1434" s="387" t="s">
        <v>7217</v>
      </c>
    </row>
    <row r="1435" spans="1:2">
      <c r="A1435" s="387" t="s">
        <v>12081</v>
      </c>
      <c r="B1435" s="387" t="s">
        <v>12082</v>
      </c>
    </row>
    <row r="1436" spans="1:2">
      <c r="A1436" s="387" t="s">
        <v>12083</v>
      </c>
      <c r="B1436" s="387" t="s">
        <v>7226</v>
      </c>
    </row>
    <row r="1437" spans="1:2">
      <c r="A1437" s="387" t="s">
        <v>12084</v>
      </c>
      <c r="B1437" s="387" t="s">
        <v>7249</v>
      </c>
    </row>
    <row r="1438" spans="1:2">
      <c r="A1438" s="387" t="s">
        <v>12085</v>
      </c>
      <c r="B1438" s="387" t="s">
        <v>12086</v>
      </c>
    </row>
    <row r="1439" spans="1:2">
      <c r="A1439" s="387" t="s">
        <v>12087</v>
      </c>
      <c r="B1439" s="387" t="s">
        <v>12088</v>
      </c>
    </row>
    <row r="1440" spans="1:2">
      <c r="A1440" s="387" t="s">
        <v>12089</v>
      </c>
      <c r="B1440" s="387" t="s">
        <v>7581</v>
      </c>
    </row>
    <row r="1441" spans="1:2">
      <c r="A1441" s="387" t="s">
        <v>12090</v>
      </c>
      <c r="B1441" s="387" t="s">
        <v>8734</v>
      </c>
    </row>
    <row r="1442" spans="1:2">
      <c r="A1442" s="387" t="s">
        <v>12091</v>
      </c>
      <c r="B1442" s="387" t="s">
        <v>4757</v>
      </c>
    </row>
    <row r="1443" spans="1:2">
      <c r="A1443" s="387" t="s">
        <v>12092</v>
      </c>
      <c r="B1443" s="387" t="s">
        <v>12093</v>
      </c>
    </row>
    <row r="1444" spans="1:2">
      <c r="A1444" s="387" t="s">
        <v>12094</v>
      </c>
      <c r="B1444" s="387" t="s">
        <v>12095</v>
      </c>
    </row>
    <row r="1445" spans="1:2">
      <c r="A1445" s="387" t="s">
        <v>12096</v>
      </c>
      <c r="B1445" s="387" t="s">
        <v>7669</v>
      </c>
    </row>
    <row r="1446" spans="1:2">
      <c r="A1446" s="387" t="s">
        <v>12097</v>
      </c>
      <c r="B1446" s="387" t="s">
        <v>6401</v>
      </c>
    </row>
    <row r="1447" spans="1:2">
      <c r="A1447" s="387" t="s">
        <v>12098</v>
      </c>
      <c r="B1447" s="387" t="s">
        <v>2680</v>
      </c>
    </row>
    <row r="1448" spans="1:2">
      <c r="A1448" s="387" t="s">
        <v>12099</v>
      </c>
      <c r="B1448" s="387" t="s">
        <v>6740</v>
      </c>
    </row>
    <row r="1449" spans="1:2">
      <c r="A1449" s="387" t="s">
        <v>12100</v>
      </c>
      <c r="B1449" s="387" t="s">
        <v>7674</v>
      </c>
    </row>
    <row r="1450" spans="1:2">
      <c r="A1450" s="387" t="s">
        <v>12101</v>
      </c>
      <c r="B1450" s="387" t="s">
        <v>4963</v>
      </c>
    </row>
    <row r="1451" spans="1:2">
      <c r="A1451" s="387" t="s">
        <v>12102</v>
      </c>
      <c r="B1451" s="387" t="s">
        <v>12103</v>
      </c>
    </row>
    <row r="1452" spans="1:2">
      <c r="A1452" s="387" t="s">
        <v>12104</v>
      </c>
      <c r="B1452" s="387" t="s">
        <v>7772</v>
      </c>
    </row>
    <row r="1453" spans="1:2">
      <c r="A1453" s="387" t="s">
        <v>12105</v>
      </c>
      <c r="B1453" s="387" t="s">
        <v>3838</v>
      </c>
    </row>
    <row r="1454" spans="1:2">
      <c r="A1454" s="387" t="s">
        <v>12106</v>
      </c>
      <c r="B1454" s="387" t="s">
        <v>12107</v>
      </c>
    </row>
    <row r="1455" spans="1:2">
      <c r="A1455" s="387" t="s">
        <v>12108</v>
      </c>
      <c r="B1455" s="387" t="s">
        <v>12109</v>
      </c>
    </row>
    <row r="1456" spans="1:2">
      <c r="A1456" s="387" t="s">
        <v>12110</v>
      </c>
      <c r="B1456" s="387" t="s">
        <v>12111</v>
      </c>
    </row>
    <row r="1457" spans="1:2">
      <c r="A1457" s="387" t="s">
        <v>12112</v>
      </c>
      <c r="B1457" s="387" t="s">
        <v>8115</v>
      </c>
    </row>
    <row r="1458" spans="1:2">
      <c r="A1458" s="387" t="s">
        <v>12113</v>
      </c>
      <c r="B1458" s="387" t="s">
        <v>12114</v>
      </c>
    </row>
    <row r="1459" spans="1:2">
      <c r="A1459" s="387" t="s">
        <v>12115</v>
      </c>
      <c r="B1459" s="387" t="s">
        <v>12116</v>
      </c>
    </row>
    <row r="1460" spans="1:2">
      <c r="A1460" s="387" t="s">
        <v>12117</v>
      </c>
      <c r="B1460" s="387" t="s">
        <v>12118</v>
      </c>
    </row>
    <row r="1461" spans="1:2">
      <c r="A1461" s="387" t="s">
        <v>12119</v>
      </c>
      <c r="B1461" s="387" t="s">
        <v>5686</v>
      </c>
    </row>
    <row r="1462" spans="1:2">
      <c r="A1462" s="387" t="s">
        <v>12120</v>
      </c>
      <c r="B1462" s="387" t="s">
        <v>12056</v>
      </c>
    </row>
    <row r="1463" spans="1:2">
      <c r="A1463" s="387" t="s">
        <v>12121</v>
      </c>
      <c r="B1463" s="387" t="s">
        <v>8732</v>
      </c>
    </row>
    <row r="1464" spans="1:2">
      <c r="A1464" s="387" t="s">
        <v>12122</v>
      </c>
      <c r="B1464" s="387" t="s">
        <v>1554</v>
      </c>
    </row>
    <row r="1465" spans="1:2">
      <c r="A1465" s="387" t="s">
        <v>12123</v>
      </c>
      <c r="B1465" s="387" t="s">
        <v>1767</v>
      </c>
    </row>
    <row r="1466" spans="1:2">
      <c r="A1466" s="387" t="s">
        <v>12124</v>
      </c>
      <c r="B1466" s="387" t="s">
        <v>1812</v>
      </c>
    </row>
    <row r="1467" spans="1:2">
      <c r="A1467" s="387" t="s">
        <v>12125</v>
      </c>
      <c r="B1467" s="387" t="s">
        <v>2001</v>
      </c>
    </row>
    <row r="1468" spans="1:2">
      <c r="A1468" s="387" t="s">
        <v>12126</v>
      </c>
      <c r="B1468" s="387" t="s">
        <v>2150</v>
      </c>
    </row>
    <row r="1469" spans="1:2">
      <c r="A1469" s="387" t="s">
        <v>12127</v>
      </c>
      <c r="B1469" s="387" t="s">
        <v>2310</v>
      </c>
    </row>
    <row r="1470" spans="1:2">
      <c r="A1470" s="387" t="s">
        <v>12128</v>
      </c>
      <c r="B1470" s="387" t="s">
        <v>1356</v>
      </c>
    </row>
    <row r="1471" spans="1:2">
      <c r="A1471" s="387" t="s">
        <v>12129</v>
      </c>
      <c r="B1471" s="387" t="s">
        <v>2584</v>
      </c>
    </row>
    <row r="1472" spans="1:2">
      <c r="A1472" s="387" t="s">
        <v>12130</v>
      </c>
      <c r="B1472" s="387" t="s">
        <v>2792</v>
      </c>
    </row>
    <row r="1473" spans="1:2">
      <c r="A1473" s="387" t="s">
        <v>12131</v>
      </c>
      <c r="B1473" s="387" t="s">
        <v>3081</v>
      </c>
    </row>
    <row r="1474" spans="1:2">
      <c r="A1474" s="387" t="s">
        <v>12132</v>
      </c>
      <c r="B1474" s="387" t="s">
        <v>3087</v>
      </c>
    </row>
    <row r="1475" spans="1:2">
      <c r="A1475" s="387" t="s">
        <v>12133</v>
      </c>
      <c r="B1475" s="387" t="s">
        <v>3183</v>
      </c>
    </row>
    <row r="1476" spans="1:2">
      <c r="A1476" s="387" t="s">
        <v>12134</v>
      </c>
      <c r="B1476" s="387" t="s">
        <v>3282</v>
      </c>
    </row>
    <row r="1477" spans="1:2">
      <c r="A1477" s="387" t="s">
        <v>12135</v>
      </c>
      <c r="B1477" s="387" t="s">
        <v>3302</v>
      </c>
    </row>
    <row r="1478" spans="1:2">
      <c r="A1478" s="387" t="s">
        <v>12136</v>
      </c>
      <c r="B1478" s="387" t="s">
        <v>1997</v>
      </c>
    </row>
    <row r="1479" spans="1:2">
      <c r="A1479" s="387" t="s">
        <v>12137</v>
      </c>
      <c r="B1479" s="387" t="s">
        <v>2682</v>
      </c>
    </row>
    <row r="1480" spans="1:2">
      <c r="A1480" s="387" t="s">
        <v>12138</v>
      </c>
      <c r="B1480" s="387" t="s">
        <v>1416</v>
      </c>
    </row>
    <row r="1481" spans="1:2">
      <c r="A1481" s="387" t="s">
        <v>12139</v>
      </c>
      <c r="B1481" s="387" t="s">
        <v>12140</v>
      </c>
    </row>
    <row r="1482" spans="1:2">
      <c r="A1482" s="387" t="s">
        <v>12141</v>
      </c>
      <c r="B1482" s="387" t="s">
        <v>2551</v>
      </c>
    </row>
    <row r="1483" spans="1:2">
      <c r="A1483" s="387" t="s">
        <v>12142</v>
      </c>
      <c r="B1483" s="387" t="s">
        <v>3605</v>
      </c>
    </row>
    <row r="1484" spans="1:2">
      <c r="A1484" s="387" t="s">
        <v>12143</v>
      </c>
      <c r="B1484" s="387" t="s">
        <v>3707</v>
      </c>
    </row>
    <row r="1485" spans="1:2">
      <c r="A1485" s="387" t="s">
        <v>12144</v>
      </c>
      <c r="B1485" s="387" t="s">
        <v>3988</v>
      </c>
    </row>
    <row r="1486" spans="1:2">
      <c r="A1486" s="387" t="s">
        <v>12145</v>
      </c>
      <c r="B1486" s="387" t="s">
        <v>1502</v>
      </c>
    </row>
    <row r="1487" spans="1:2">
      <c r="A1487" s="387" t="s">
        <v>12146</v>
      </c>
      <c r="B1487" s="387" t="s">
        <v>12147</v>
      </c>
    </row>
    <row r="1488" spans="1:2">
      <c r="A1488" s="387" t="s">
        <v>12148</v>
      </c>
      <c r="B1488" s="387" t="s">
        <v>12149</v>
      </c>
    </row>
    <row r="1489" spans="1:2">
      <c r="A1489" s="387" t="s">
        <v>12150</v>
      </c>
      <c r="B1489" s="387" t="s">
        <v>4576</v>
      </c>
    </row>
    <row r="1490" spans="1:2">
      <c r="A1490" s="387" t="s">
        <v>12151</v>
      </c>
      <c r="B1490" s="387" t="s">
        <v>4612</v>
      </c>
    </row>
    <row r="1491" spans="1:2">
      <c r="A1491" s="387" t="s">
        <v>12152</v>
      </c>
      <c r="B1491" s="387" t="s">
        <v>12153</v>
      </c>
    </row>
    <row r="1492" spans="1:2">
      <c r="A1492" s="387" t="s">
        <v>12154</v>
      </c>
      <c r="B1492" s="387" t="s">
        <v>12155</v>
      </c>
    </row>
    <row r="1493" spans="1:2">
      <c r="A1493" s="387" t="s">
        <v>12156</v>
      </c>
      <c r="B1493" s="387" t="s">
        <v>4918</v>
      </c>
    </row>
    <row r="1494" spans="1:2">
      <c r="A1494" s="387" t="s">
        <v>12157</v>
      </c>
      <c r="B1494" s="387" t="s">
        <v>1356</v>
      </c>
    </row>
    <row r="1495" spans="1:2">
      <c r="A1495" s="387" t="s">
        <v>12158</v>
      </c>
      <c r="B1495" s="387" t="s">
        <v>5090</v>
      </c>
    </row>
    <row r="1496" spans="1:2">
      <c r="A1496" s="387" t="s">
        <v>12159</v>
      </c>
      <c r="B1496" s="387" t="s">
        <v>1383</v>
      </c>
    </row>
    <row r="1497" spans="1:2">
      <c r="A1497" s="387" t="s">
        <v>12160</v>
      </c>
      <c r="B1497" s="387" t="s">
        <v>1407</v>
      </c>
    </row>
    <row r="1498" spans="1:2">
      <c r="A1498" s="387" t="s">
        <v>12161</v>
      </c>
      <c r="B1498" s="387" t="s">
        <v>12162</v>
      </c>
    </row>
    <row r="1499" spans="1:2">
      <c r="A1499" s="387" t="s">
        <v>12163</v>
      </c>
      <c r="B1499" s="387" t="s">
        <v>5247</v>
      </c>
    </row>
    <row r="1500" spans="1:2">
      <c r="A1500" s="387" t="s">
        <v>12164</v>
      </c>
      <c r="B1500" s="387" t="s">
        <v>12165</v>
      </c>
    </row>
    <row r="1501" spans="1:2">
      <c r="A1501" s="387" t="s">
        <v>12166</v>
      </c>
      <c r="B1501" s="387" t="s">
        <v>5370</v>
      </c>
    </row>
    <row r="1502" spans="1:2">
      <c r="A1502" s="387" t="s">
        <v>12167</v>
      </c>
      <c r="B1502" s="387" t="s">
        <v>5476</v>
      </c>
    </row>
    <row r="1503" spans="1:2">
      <c r="A1503" s="387" t="s">
        <v>12168</v>
      </c>
      <c r="B1503" s="387" t="s">
        <v>5600</v>
      </c>
    </row>
    <row r="1504" spans="1:2">
      <c r="A1504" s="387" t="s">
        <v>12169</v>
      </c>
      <c r="B1504" s="387" t="s">
        <v>12170</v>
      </c>
    </row>
    <row r="1505" spans="1:2">
      <c r="A1505" s="387" t="s">
        <v>12171</v>
      </c>
      <c r="B1505" s="387" t="s">
        <v>5668</v>
      </c>
    </row>
    <row r="1506" spans="1:2">
      <c r="A1506" s="387" t="s">
        <v>12172</v>
      </c>
      <c r="B1506" s="387" t="s">
        <v>5679</v>
      </c>
    </row>
    <row r="1507" spans="1:2">
      <c r="A1507" s="387" t="s">
        <v>12173</v>
      </c>
      <c r="B1507" s="387" t="s">
        <v>2503</v>
      </c>
    </row>
    <row r="1508" spans="1:2">
      <c r="A1508" s="387" t="s">
        <v>12174</v>
      </c>
      <c r="B1508" s="387" t="s">
        <v>5779</v>
      </c>
    </row>
    <row r="1509" spans="1:2">
      <c r="A1509" s="387" t="s">
        <v>12175</v>
      </c>
      <c r="B1509" s="387" t="s">
        <v>12176</v>
      </c>
    </row>
    <row r="1510" spans="1:2">
      <c r="A1510" s="387" t="s">
        <v>12177</v>
      </c>
      <c r="B1510" s="387" t="s">
        <v>5838</v>
      </c>
    </row>
    <row r="1511" spans="1:2">
      <c r="A1511" s="387" t="s">
        <v>12178</v>
      </c>
      <c r="B1511" s="387" t="s">
        <v>5988</v>
      </c>
    </row>
    <row r="1512" spans="1:2">
      <c r="A1512" s="387" t="s">
        <v>12179</v>
      </c>
      <c r="B1512" s="387" t="s">
        <v>5990</v>
      </c>
    </row>
    <row r="1513" spans="1:2">
      <c r="A1513" s="387" t="s">
        <v>12180</v>
      </c>
      <c r="B1513" s="387" t="s">
        <v>12181</v>
      </c>
    </row>
    <row r="1514" spans="1:2">
      <c r="A1514" s="387" t="s">
        <v>12182</v>
      </c>
      <c r="B1514" s="387" t="s">
        <v>6046</v>
      </c>
    </row>
    <row r="1515" spans="1:2">
      <c r="A1515" s="387" t="s">
        <v>12183</v>
      </c>
      <c r="B1515" s="387" t="s">
        <v>3066</v>
      </c>
    </row>
    <row r="1516" spans="1:2">
      <c r="A1516" s="387" t="s">
        <v>12184</v>
      </c>
      <c r="B1516" s="387" t="s">
        <v>1175</v>
      </c>
    </row>
    <row r="1517" spans="1:2">
      <c r="A1517" s="387" t="s">
        <v>12185</v>
      </c>
      <c r="B1517" s="387" t="s">
        <v>2264</v>
      </c>
    </row>
    <row r="1518" spans="1:2">
      <c r="A1518" s="387" t="s">
        <v>12186</v>
      </c>
      <c r="B1518" s="387" t="s">
        <v>12187</v>
      </c>
    </row>
    <row r="1519" spans="1:2">
      <c r="A1519" s="387" t="s">
        <v>12188</v>
      </c>
      <c r="B1519" s="387" t="s">
        <v>6107</v>
      </c>
    </row>
    <row r="1520" spans="1:2">
      <c r="A1520" s="387" t="s">
        <v>12189</v>
      </c>
      <c r="B1520" s="387" t="s">
        <v>6057</v>
      </c>
    </row>
    <row r="1521" spans="1:2">
      <c r="A1521" s="387" t="s">
        <v>12190</v>
      </c>
      <c r="B1521" s="387" t="s">
        <v>1804</v>
      </c>
    </row>
    <row r="1522" spans="1:2">
      <c r="A1522" s="387" t="s">
        <v>12191</v>
      </c>
      <c r="B1522" s="387" t="s">
        <v>6131</v>
      </c>
    </row>
    <row r="1523" spans="1:2">
      <c r="A1523" s="387" t="s">
        <v>12192</v>
      </c>
      <c r="B1523" s="387" t="s">
        <v>12193</v>
      </c>
    </row>
    <row r="1524" spans="1:2">
      <c r="A1524" s="387" t="s">
        <v>12194</v>
      </c>
      <c r="B1524" s="387" t="s">
        <v>6147</v>
      </c>
    </row>
    <row r="1525" spans="1:2">
      <c r="A1525" s="387" t="s">
        <v>12195</v>
      </c>
      <c r="B1525" s="387" t="s">
        <v>5063</v>
      </c>
    </row>
    <row r="1526" spans="1:2">
      <c r="A1526" s="387" t="s">
        <v>12196</v>
      </c>
      <c r="B1526" s="387" t="s">
        <v>12197</v>
      </c>
    </row>
    <row r="1527" spans="1:2">
      <c r="A1527" s="387" t="s">
        <v>12198</v>
      </c>
      <c r="B1527" s="387" t="s">
        <v>6384</v>
      </c>
    </row>
    <row r="1528" spans="1:2">
      <c r="A1528" s="387" t="s">
        <v>12199</v>
      </c>
      <c r="B1528" s="387" t="s">
        <v>6468</v>
      </c>
    </row>
    <row r="1529" spans="1:2">
      <c r="A1529" s="387" t="s">
        <v>12200</v>
      </c>
      <c r="B1529" s="387" t="s">
        <v>6551</v>
      </c>
    </row>
    <row r="1530" spans="1:2">
      <c r="A1530" s="387" t="s">
        <v>12201</v>
      </c>
      <c r="B1530" s="387" t="s">
        <v>6730</v>
      </c>
    </row>
    <row r="1531" spans="1:2">
      <c r="A1531" s="387" t="s">
        <v>12202</v>
      </c>
      <c r="B1531" s="387" t="s">
        <v>6807</v>
      </c>
    </row>
    <row r="1532" spans="1:2">
      <c r="A1532" s="387" t="s">
        <v>12203</v>
      </c>
      <c r="B1532" s="387" t="s">
        <v>1374</v>
      </c>
    </row>
    <row r="1533" spans="1:2">
      <c r="A1533" s="387" t="s">
        <v>12204</v>
      </c>
      <c r="B1533" s="387" t="s">
        <v>12205</v>
      </c>
    </row>
    <row r="1534" spans="1:2">
      <c r="A1534" s="387" t="s">
        <v>12206</v>
      </c>
      <c r="B1534" s="387" t="s">
        <v>12207</v>
      </c>
    </row>
    <row r="1535" spans="1:2">
      <c r="A1535" s="387" t="s">
        <v>12208</v>
      </c>
      <c r="B1535" s="387" t="s">
        <v>3678</v>
      </c>
    </row>
    <row r="1536" spans="1:2">
      <c r="A1536" s="387" t="s">
        <v>12209</v>
      </c>
      <c r="B1536" s="387" t="s">
        <v>6908</v>
      </c>
    </row>
    <row r="1537" spans="1:2">
      <c r="A1537" s="387" t="s">
        <v>12210</v>
      </c>
      <c r="B1537" s="387" t="s">
        <v>12211</v>
      </c>
    </row>
    <row r="1538" spans="1:2">
      <c r="A1538" s="387" t="s">
        <v>12212</v>
      </c>
      <c r="B1538" s="387" t="s">
        <v>4052</v>
      </c>
    </row>
    <row r="1539" spans="1:2">
      <c r="A1539" s="387" t="s">
        <v>12213</v>
      </c>
      <c r="B1539" s="387" t="s">
        <v>7252</v>
      </c>
    </row>
    <row r="1540" spans="1:2">
      <c r="A1540" s="387" t="s">
        <v>12214</v>
      </c>
      <c r="B1540" s="387" t="s">
        <v>7254</v>
      </c>
    </row>
    <row r="1541" spans="1:2">
      <c r="A1541" s="387" t="s">
        <v>12215</v>
      </c>
      <c r="B1541" s="387" t="s">
        <v>7352</v>
      </c>
    </row>
    <row r="1542" spans="1:2">
      <c r="A1542" s="387" t="s">
        <v>12216</v>
      </c>
      <c r="B1542" s="387" t="s">
        <v>1671</v>
      </c>
    </row>
    <row r="1543" spans="1:2">
      <c r="A1543" s="387" t="s">
        <v>12217</v>
      </c>
      <c r="B1543" s="387" t="s">
        <v>5360</v>
      </c>
    </row>
    <row r="1544" spans="1:2">
      <c r="A1544" s="387" t="s">
        <v>12218</v>
      </c>
      <c r="B1544" s="387" t="s">
        <v>7547</v>
      </c>
    </row>
    <row r="1545" spans="1:2">
      <c r="A1545" s="387" t="s">
        <v>12219</v>
      </c>
      <c r="B1545" s="387" t="s">
        <v>7583</v>
      </c>
    </row>
    <row r="1546" spans="1:2">
      <c r="A1546" s="387" t="s">
        <v>12220</v>
      </c>
      <c r="B1546" s="387" t="s">
        <v>7585</v>
      </c>
    </row>
    <row r="1547" spans="1:2">
      <c r="A1547" s="387" t="s">
        <v>12221</v>
      </c>
      <c r="B1547" s="387" t="s">
        <v>7587</v>
      </c>
    </row>
    <row r="1548" spans="1:2">
      <c r="A1548" s="387" t="s">
        <v>12222</v>
      </c>
      <c r="B1548" s="387" t="s">
        <v>7589</v>
      </c>
    </row>
    <row r="1549" spans="1:2">
      <c r="A1549" s="387" t="s">
        <v>12223</v>
      </c>
      <c r="B1549" s="387" t="s">
        <v>12224</v>
      </c>
    </row>
    <row r="1550" spans="1:2">
      <c r="A1550" s="387" t="s">
        <v>12225</v>
      </c>
      <c r="B1550" s="387" t="s">
        <v>12226</v>
      </c>
    </row>
    <row r="1551" spans="1:2">
      <c r="A1551" s="387" t="s">
        <v>12227</v>
      </c>
      <c r="B1551" s="387" t="s">
        <v>12228</v>
      </c>
    </row>
    <row r="1552" spans="1:2">
      <c r="A1552" s="387" t="s">
        <v>12229</v>
      </c>
      <c r="B1552" s="387" t="s">
        <v>12230</v>
      </c>
    </row>
    <row r="1553" spans="1:2">
      <c r="A1553" s="387" t="s">
        <v>12231</v>
      </c>
      <c r="B1553" s="387" t="s">
        <v>7676</v>
      </c>
    </row>
    <row r="1554" spans="1:2">
      <c r="A1554" s="387" t="s">
        <v>12232</v>
      </c>
      <c r="B1554" s="387" t="s">
        <v>12233</v>
      </c>
    </row>
    <row r="1555" spans="1:2">
      <c r="A1555" s="387" t="s">
        <v>12234</v>
      </c>
      <c r="B1555" s="387" t="s">
        <v>3123</v>
      </c>
    </row>
    <row r="1556" spans="1:2">
      <c r="A1556" s="387" t="s">
        <v>12235</v>
      </c>
      <c r="B1556" s="387" t="s">
        <v>946</v>
      </c>
    </row>
    <row r="1557" spans="1:2">
      <c r="A1557" s="387" t="s">
        <v>12236</v>
      </c>
      <c r="B1557" s="387" t="s">
        <v>12237</v>
      </c>
    </row>
    <row r="1558" spans="1:2">
      <c r="A1558" s="387" t="s">
        <v>12238</v>
      </c>
      <c r="B1558" s="387" t="s">
        <v>8065</v>
      </c>
    </row>
    <row r="1559" spans="1:2">
      <c r="A1559" s="387" t="s">
        <v>183</v>
      </c>
      <c r="B1559" s="387" t="s">
        <v>2006</v>
      </c>
    </row>
    <row r="1560" spans="1:2">
      <c r="A1560" s="387" t="s">
        <v>184</v>
      </c>
      <c r="B1560" s="387" t="s">
        <v>4972</v>
      </c>
    </row>
    <row r="1561" spans="1:2">
      <c r="A1561" s="387" t="s">
        <v>181</v>
      </c>
      <c r="B1561" s="387" t="s">
        <v>3185</v>
      </c>
    </row>
    <row r="1562" spans="1:2">
      <c r="A1562" s="387" t="s">
        <v>186</v>
      </c>
      <c r="B1562" s="387" t="s">
        <v>1298</v>
      </c>
    </row>
    <row r="1563" spans="1:2">
      <c r="A1563" s="387" t="s">
        <v>12239</v>
      </c>
      <c r="B1563" s="387" t="s">
        <v>1814</v>
      </c>
    </row>
    <row r="1564" spans="1:2">
      <c r="A1564" s="387" t="s">
        <v>12240</v>
      </c>
      <c r="B1564" s="387" t="s">
        <v>1816</v>
      </c>
    </row>
    <row r="1565" spans="1:2">
      <c r="A1565" s="387" t="s">
        <v>12241</v>
      </c>
      <c r="B1565" s="387" t="s">
        <v>1993</v>
      </c>
    </row>
    <row r="1566" spans="1:2">
      <c r="A1566" s="387" t="s">
        <v>12242</v>
      </c>
      <c r="B1566" s="387" t="s">
        <v>4342</v>
      </c>
    </row>
    <row r="1567" spans="1:2">
      <c r="A1567" s="387" t="s">
        <v>12243</v>
      </c>
      <c r="B1567" s="387" t="s">
        <v>12244</v>
      </c>
    </row>
    <row r="1568" spans="1:2">
      <c r="A1568" s="387" t="s">
        <v>12245</v>
      </c>
      <c r="B1568" s="387" t="s">
        <v>1820</v>
      </c>
    </row>
    <row r="1569" spans="1:2">
      <c r="A1569" s="387" t="s">
        <v>12246</v>
      </c>
      <c r="B1569" s="387" t="s">
        <v>938</v>
      </c>
    </row>
    <row r="1570" spans="1:2">
      <c r="A1570" s="387" t="s">
        <v>12247</v>
      </c>
      <c r="B1570" s="387" t="s">
        <v>2084</v>
      </c>
    </row>
    <row r="1571" spans="1:2">
      <c r="A1571" s="387" t="s">
        <v>12248</v>
      </c>
      <c r="B1571" s="387" t="s">
        <v>1556</v>
      </c>
    </row>
    <row r="1572" spans="1:2">
      <c r="A1572" s="387" t="s">
        <v>12249</v>
      </c>
      <c r="B1572" s="387" t="s">
        <v>3885</v>
      </c>
    </row>
    <row r="1573" spans="1:2">
      <c r="A1573" s="387" t="s">
        <v>12250</v>
      </c>
      <c r="B1573" s="387" t="s">
        <v>4615</v>
      </c>
    </row>
    <row r="1574" spans="1:2">
      <c r="A1574" s="387" t="s">
        <v>12251</v>
      </c>
      <c r="B1574" s="387" t="s">
        <v>5244</v>
      </c>
    </row>
    <row r="1575" spans="1:2">
      <c r="A1575" s="387" t="s">
        <v>12252</v>
      </c>
      <c r="B1575" s="387" t="s">
        <v>5681</v>
      </c>
    </row>
    <row r="1576" spans="1:2">
      <c r="A1576" s="387" t="s">
        <v>12253</v>
      </c>
      <c r="B1576" s="387" t="s">
        <v>1070</v>
      </c>
    </row>
    <row r="1577" spans="1:2">
      <c r="A1577" s="387" t="s">
        <v>12254</v>
      </c>
      <c r="B1577" s="387" t="s">
        <v>6597</v>
      </c>
    </row>
    <row r="1578" spans="1:2">
      <c r="A1578" s="387" t="s">
        <v>672</v>
      </c>
      <c r="B1578" s="387" t="s">
        <v>946</v>
      </c>
    </row>
    <row r="1579" spans="1:2">
      <c r="A1579" s="387" t="s">
        <v>193</v>
      </c>
      <c r="B1579" s="387" t="s">
        <v>1202</v>
      </c>
    </row>
    <row r="1580" spans="1:2">
      <c r="A1580" s="387" t="s">
        <v>12255</v>
      </c>
      <c r="B1580" s="387" t="s">
        <v>1350</v>
      </c>
    </row>
    <row r="1581" spans="1:2">
      <c r="A1581" s="387" t="s">
        <v>12122</v>
      </c>
      <c r="B1581" s="387" t="s">
        <v>1554</v>
      </c>
    </row>
    <row r="1582" spans="1:2">
      <c r="A1582" s="387" t="s">
        <v>12256</v>
      </c>
      <c r="B1582" s="387" t="s">
        <v>1599</v>
      </c>
    </row>
    <row r="1583" spans="1:2">
      <c r="A1583" s="387" t="s">
        <v>12002</v>
      </c>
      <c r="B1583" s="387" t="s">
        <v>1772</v>
      </c>
    </row>
    <row r="1584" spans="1:2">
      <c r="A1584" s="387" t="s">
        <v>12257</v>
      </c>
      <c r="B1584" s="387" t="s">
        <v>2780</v>
      </c>
    </row>
    <row r="1585" spans="1:2">
      <c r="A1585" s="387" t="s">
        <v>12258</v>
      </c>
      <c r="B1585" s="387" t="s">
        <v>3193</v>
      </c>
    </row>
    <row r="1586" spans="1:2">
      <c r="A1586" s="387" t="s">
        <v>187</v>
      </c>
      <c r="B1586" s="387" t="s">
        <v>3228</v>
      </c>
    </row>
    <row r="1587" spans="1:2">
      <c r="A1587" s="387" t="s">
        <v>12259</v>
      </c>
      <c r="B1587" s="387" t="s">
        <v>3887</v>
      </c>
    </row>
    <row r="1588" spans="1:2">
      <c r="A1588" s="387" t="s">
        <v>12260</v>
      </c>
      <c r="B1588" s="387" t="s">
        <v>4072</v>
      </c>
    </row>
    <row r="1589" spans="1:2">
      <c r="A1589" s="387" t="s">
        <v>12261</v>
      </c>
      <c r="B1589" s="387" t="s">
        <v>2549</v>
      </c>
    </row>
    <row r="1590" spans="1:2">
      <c r="A1590" s="387" t="s">
        <v>12040</v>
      </c>
      <c r="B1590" s="387" t="s">
        <v>4863</v>
      </c>
    </row>
    <row r="1591" spans="1:2">
      <c r="A1591" s="387" t="s">
        <v>12262</v>
      </c>
      <c r="B1591" s="387" t="s">
        <v>5850</v>
      </c>
    </row>
    <row r="1592" spans="1:2">
      <c r="A1592" s="387" t="s">
        <v>12054</v>
      </c>
      <c r="B1592" s="387" t="s">
        <v>6048</v>
      </c>
    </row>
    <row r="1593" spans="1:2">
      <c r="A1593" s="387" t="s">
        <v>12263</v>
      </c>
      <c r="B1593" s="387" t="s">
        <v>4665</v>
      </c>
    </row>
    <row r="1594" spans="1:2">
      <c r="A1594" s="387" t="s">
        <v>12264</v>
      </c>
      <c r="B1594" s="387" t="s">
        <v>12265</v>
      </c>
    </row>
    <row r="1595" spans="1:2">
      <c r="A1595" s="387" t="s">
        <v>12266</v>
      </c>
      <c r="B1595" s="387" t="s">
        <v>12267</v>
      </c>
    </row>
    <row r="1596" spans="1:2">
      <c r="A1596" s="387" t="s">
        <v>12268</v>
      </c>
      <c r="B1596" s="387" t="s">
        <v>7350</v>
      </c>
    </row>
    <row r="1597" spans="1:2">
      <c r="A1597" s="387" t="s">
        <v>12269</v>
      </c>
      <c r="B1597" s="387" t="s">
        <v>12270</v>
      </c>
    </row>
    <row r="1598" spans="1:2">
      <c r="A1598" s="387" t="s">
        <v>12271</v>
      </c>
      <c r="B1598" s="387" t="s">
        <v>4385</v>
      </c>
    </row>
    <row r="1599" spans="1:2">
      <c r="A1599" s="387" t="s">
        <v>12272</v>
      </c>
      <c r="B1599" s="387" t="s">
        <v>12273</v>
      </c>
    </row>
    <row r="1600" spans="1:2">
      <c r="A1600" s="387" t="s">
        <v>12274</v>
      </c>
      <c r="B1600" s="387" t="s">
        <v>12275</v>
      </c>
    </row>
    <row r="1601" spans="1:2">
      <c r="A1601" s="387" t="s">
        <v>193</v>
      </c>
      <c r="B1601" s="387" t="s">
        <v>1202</v>
      </c>
    </row>
    <row r="1602" spans="1:2">
      <c r="A1602" s="387" t="s">
        <v>12276</v>
      </c>
      <c r="B1602" s="387" t="s">
        <v>1032</v>
      </c>
    </row>
    <row r="1603" spans="1:2">
      <c r="A1603" s="387" t="s">
        <v>12277</v>
      </c>
      <c r="B1603" s="387" t="s">
        <v>1114</v>
      </c>
    </row>
    <row r="1604" spans="1:2">
      <c r="A1604" s="387" t="s">
        <v>12278</v>
      </c>
      <c r="B1604" s="387" t="s">
        <v>1262</v>
      </c>
    </row>
    <row r="1605" spans="1:2">
      <c r="A1605" s="387" t="s">
        <v>12279</v>
      </c>
      <c r="B1605" s="387" t="s">
        <v>1387</v>
      </c>
    </row>
    <row r="1606" spans="1:2">
      <c r="A1606" s="387" t="s">
        <v>12280</v>
      </c>
      <c r="B1606" s="387" t="s">
        <v>1755</v>
      </c>
    </row>
    <row r="1607" spans="1:2">
      <c r="A1607" s="387" t="s">
        <v>12281</v>
      </c>
      <c r="B1607" s="387" t="s">
        <v>1786</v>
      </c>
    </row>
    <row r="1608" spans="1:2">
      <c r="A1608" s="387" t="s">
        <v>12282</v>
      </c>
      <c r="B1608" s="387" t="s">
        <v>12283</v>
      </c>
    </row>
    <row r="1609" spans="1:2">
      <c r="A1609" s="387" t="s">
        <v>12284</v>
      </c>
      <c r="B1609" s="387" t="s">
        <v>1881</v>
      </c>
    </row>
    <row r="1610" spans="1:2">
      <c r="A1610" s="387" t="s">
        <v>12285</v>
      </c>
      <c r="B1610" s="387" t="s">
        <v>981</v>
      </c>
    </row>
    <row r="1611" spans="1:2">
      <c r="A1611" s="387" t="s">
        <v>12286</v>
      </c>
      <c r="B1611" s="387" t="s">
        <v>1894</v>
      </c>
    </row>
    <row r="1612" spans="1:2">
      <c r="A1612" s="387" t="s">
        <v>8537</v>
      </c>
      <c r="B1612" s="387" t="s">
        <v>2140</v>
      </c>
    </row>
    <row r="1613" spans="1:2">
      <c r="A1613" s="387" t="s">
        <v>12287</v>
      </c>
      <c r="B1613" s="387" t="s">
        <v>998</v>
      </c>
    </row>
    <row r="1614" spans="1:2">
      <c r="A1614" s="387" t="s">
        <v>12288</v>
      </c>
      <c r="B1614" s="387" t="s">
        <v>2358</v>
      </c>
    </row>
    <row r="1615" spans="1:2">
      <c r="A1615" s="387" t="s">
        <v>12289</v>
      </c>
      <c r="B1615" s="387" t="s">
        <v>12290</v>
      </c>
    </row>
    <row r="1616" spans="1:2">
      <c r="A1616" s="387" t="s">
        <v>12291</v>
      </c>
      <c r="B1616" s="387" t="s">
        <v>2495</v>
      </c>
    </row>
    <row r="1617" spans="1:2">
      <c r="A1617" s="387" t="s">
        <v>12292</v>
      </c>
      <c r="B1617" s="387" t="s">
        <v>979</v>
      </c>
    </row>
    <row r="1618" spans="1:2">
      <c r="A1618" s="387" t="s">
        <v>12293</v>
      </c>
      <c r="B1618" s="387" t="s">
        <v>12294</v>
      </c>
    </row>
    <row r="1619" spans="1:2">
      <c r="A1619" s="387" t="s">
        <v>12295</v>
      </c>
      <c r="B1619" s="387" t="s">
        <v>1599</v>
      </c>
    </row>
    <row r="1620" spans="1:2">
      <c r="A1620" s="387" t="s">
        <v>12296</v>
      </c>
      <c r="B1620" s="387" t="s">
        <v>2737</v>
      </c>
    </row>
    <row r="1621" spans="1:2">
      <c r="A1621" s="387" t="s">
        <v>12297</v>
      </c>
      <c r="B1621" s="387" t="s">
        <v>2865</v>
      </c>
    </row>
    <row r="1622" spans="1:2">
      <c r="A1622" s="387" t="s">
        <v>12298</v>
      </c>
      <c r="B1622" s="387" t="s">
        <v>2912</v>
      </c>
    </row>
    <row r="1623" spans="1:2">
      <c r="A1623" s="387" t="s">
        <v>12299</v>
      </c>
      <c r="B1623" s="387" t="s">
        <v>3012</v>
      </c>
    </row>
    <row r="1624" spans="1:2">
      <c r="A1624" s="387" t="s">
        <v>12300</v>
      </c>
      <c r="B1624" s="387" t="s">
        <v>3043</v>
      </c>
    </row>
    <row r="1625" spans="1:2">
      <c r="A1625" s="387" t="s">
        <v>12301</v>
      </c>
      <c r="B1625" s="387" t="s">
        <v>1599</v>
      </c>
    </row>
    <row r="1626" spans="1:2">
      <c r="A1626" s="387" t="s">
        <v>12302</v>
      </c>
      <c r="B1626" s="387" t="s">
        <v>2772</v>
      </c>
    </row>
    <row r="1627" spans="1:2">
      <c r="A1627" s="387" t="s">
        <v>12303</v>
      </c>
      <c r="B1627" s="387" t="s">
        <v>3099</v>
      </c>
    </row>
    <row r="1628" spans="1:2">
      <c r="A1628" s="387" t="s">
        <v>12304</v>
      </c>
      <c r="B1628" s="387" t="s">
        <v>1338</v>
      </c>
    </row>
    <row r="1629" spans="1:2">
      <c r="A1629" s="387" t="s">
        <v>12305</v>
      </c>
      <c r="B1629" s="387" t="s">
        <v>3160</v>
      </c>
    </row>
    <row r="1630" spans="1:2">
      <c r="A1630" s="387" t="s">
        <v>12306</v>
      </c>
      <c r="B1630" s="387" t="s">
        <v>3230</v>
      </c>
    </row>
    <row r="1631" spans="1:2">
      <c r="A1631" s="387" t="s">
        <v>12307</v>
      </c>
      <c r="B1631" s="387" t="s">
        <v>3250</v>
      </c>
    </row>
    <row r="1632" spans="1:2">
      <c r="A1632" s="387" t="s">
        <v>12308</v>
      </c>
      <c r="B1632" s="387" t="s">
        <v>12309</v>
      </c>
    </row>
    <row r="1633" spans="1:2">
      <c r="A1633" s="387" t="s">
        <v>12310</v>
      </c>
      <c r="B1633" s="387" t="s">
        <v>2945</v>
      </c>
    </row>
    <row r="1634" spans="1:2">
      <c r="A1634" s="387" t="s">
        <v>12311</v>
      </c>
      <c r="B1634" s="387" t="s">
        <v>3264</v>
      </c>
    </row>
    <row r="1635" spans="1:2">
      <c r="A1635" s="387" t="s">
        <v>12312</v>
      </c>
      <c r="B1635" s="387" t="s">
        <v>2551</v>
      </c>
    </row>
    <row r="1636" spans="1:2">
      <c r="A1636" s="387" t="s">
        <v>12313</v>
      </c>
      <c r="B1636" s="387" t="s">
        <v>12314</v>
      </c>
    </row>
    <row r="1637" spans="1:2">
      <c r="A1637" s="387" t="s">
        <v>12315</v>
      </c>
      <c r="B1637" s="387" t="s">
        <v>12316</v>
      </c>
    </row>
    <row r="1638" spans="1:2">
      <c r="A1638" s="387" t="s">
        <v>12317</v>
      </c>
      <c r="B1638" s="387" t="s">
        <v>1502</v>
      </c>
    </row>
    <row r="1639" spans="1:2">
      <c r="A1639" s="387" t="s">
        <v>12318</v>
      </c>
      <c r="B1639" s="387" t="s">
        <v>3813</v>
      </c>
    </row>
    <row r="1640" spans="1:2">
      <c r="A1640" s="387" t="s">
        <v>12319</v>
      </c>
      <c r="B1640" s="387" t="s">
        <v>2887</v>
      </c>
    </row>
    <row r="1641" spans="1:2">
      <c r="A1641" s="387" t="s">
        <v>12320</v>
      </c>
      <c r="B1641" s="387" t="s">
        <v>4054</v>
      </c>
    </row>
    <row r="1642" spans="1:2">
      <c r="A1642" s="387" t="s">
        <v>12321</v>
      </c>
      <c r="B1642" s="387" t="s">
        <v>2150</v>
      </c>
    </row>
    <row r="1643" spans="1:2">
      <c r="A1643" s="387" t="s">
        <v>12322</v>
      </c>
      <c r="B1643" s="387" t="s">
        <v>4165</v>
      </c>
    </row>
    <row r="1644" spans="1:2">
      <c r="A1644" s="387" t="s">
        <v>12323</v>
      </c>
      <c r="B1644" s="387" t="s">
        <v>4244</v>
      </c>
    </row>
    <row r="1645" spans="1:2">
      <c r="A1645" s="387" t="s">
        <v>12324</v>
      </c>
      <c r="B1645" s="387" t="s">
        <v>4246</v>
      </c>
    </row>
    <row r="1646" spans="1:2">
      <c r="A1646" s="387" t="s">
        <v>12325</v>
      </c>
      <c r="B1646" s="387" t="s">
        <v>4398</v>
      </c>
    </row>
    <row r="1647" spans="1:2">
      <c r="A1647" s="387" t="s">
        <v>12326</v>
      </c>
      <c r="B1647" s="387" t="s">
        <v>2210</v>
      </c>
    </row>
    <row r="1648" spans="1:2">
      <c r="A1648" s="387" t="s">
        <v>12327</v>
      </c>
      <c r="B1648" s="387" t="s">
        <v>4467</v>
      </c>
    </row>
    <row r="1649" spans="1:2">
      <c r="A1649" s="387" t="s">
        <v>12328</v>
      </c>
      <c r="B1649" s="387" t="s">
        <v>3325</v>
      </c>
    </row>
    <row r="1650" spans="1:2">
      <c r="A1650" s="387" t="s">
        <v>12329</v>
      </c>
      <c r="B1650" s="387" t="s">
        <v>4604</v>
      </c>
    </row>
    <row r="1651" spans="1:2">
      <c r="A1651" s="387" t="s">
        <v>12330</v>
      </c>
      <c r="B1651" s="387" t="s">
        <v>12331</v>
      </c>
    </row>
    <row r="1652" spans="1:2">
      <c r="A1652" s="387" t="s">
        <v>12332</v>
      </c>
      <c r="B1652" s="387" t="s">
        <v>4690</v>
      </c>
    </row>
    <row r="1653" spans="1:2">
      <c r="A1653" s="387" t="s">
        <v>12333</v>
      </c>
      <c r="B1653" s="387" t="s">
        <v>4692</v>
      </c>
    </row>
    <row r="1654" spans="1:2">
      <c r="A1654" s="387" t="s">
        <v>12334</v>
      </c>
      <c r="B1654" s="387" t="s">
        <v>2248</v>
      </c>
    </row>
    <row r="1655" spans="1:2">
      <c r="A1655" s="387" t="s">
        <v>12335</v>
      </c>
      <c r="B1655" s="387" t="s">
        <v>4804</v>
      </c>
    </row>
    <row r="1656" spans="1:2">
      <c r="A1656" s="387" t="s">
        <v>12336</v>
      </c>
      <c r="B1656" s="387" t="s">
        <v>4865</v>
      </c>
    </row>
    <row r="1657" spans="1:2">
      <c r="A1657" s="387" t="s">
        <v>12337</v>
      </c>
      <c r="B1657" s="387" t="s">
        <v>4895</v>
      </c>
    </row>
    <row r="1658" spans="1:2">
      <c r="A1658" s="387" t="s">
        <v>12338</v>
      </c>
      <c r="B1658" s="387" t="s">
        <v>1083</v>
      </c>
    </row>
    <row r="1659" spans="1:2">
      <c r="A1659" s="387" t="s">
        <v>12339</v>
      </c>
      <c r="B1659" s="387" t="s">
        <v>1366</v>
      </c>
    </row>
    <row r="1660" spans="1:2">
      <c r="A1660" s="387" t="s">
        <v>12340</v>
      </c>
      <c r="B1660" s="387" t="s">
        <v>960</v>
      </c>
    </row>
    <row r="1661" spans="1:2">
      <c r="A1661" s="387" t="s">
        <v>12341</v>
      </c>
      <c r="B1661" s="387" t="s">
        <v>12342</v>
      </c>
    </row>
    <row r="1662" spans="1:2">
      <c r="A1662" s="387" t="s">
        <v>12343</v>
      </c>
      <c r="B1662" s="387" t="s">
        <v>5193</v>
      </c>
    </row>
    <row r="1663" spans="1:2">
      <c r="A1663" s="387" t="s">
        <v>12344</v>
      </c>
      <c r="B1663" s="387" t="s">
        <v>5197</v>
      </c>
    </row>
    <row r="1664" spans="1:2">
      <c r="A1664" s="387" t="s">
        <v>12345</v>
      </c>
      <c r="B1664" s="387" t="s">
        <v>12346</v>
      </c>
    </row>
    <row r="1665" spans="1:2">
      <c r="A1665" s="387" t="s">
        <v>12347</v>
      </c>
      <c r="B1665" s="387" t="s">
        <v>6912</v>
      </c>
    </row>
    <row r="1666" spans="1:2">
      <c r="A1666" s="387" t="s">
        <v>12348</v>
      </c>
      <c r="B1666" s="387" t="s">
        <v>6914</v>
      </c>
    </row>
    <row r="1667" spans="1:2">
      <c r="A1667" s="387" t="s">
        <v>12349</v>
      </c>
      <c r="B1667" s="387" t="s">
        <v>6917</v>
      </c>
    </row>
    <row r="1668" spans="1:2">
      <c r="A1668" s="387" t="s">
        <v>12350</v>
      </c>
      <c r="B1668" s="387" t="s">
        <v>6919</v>
      </c>
    </row>
    <row r="1669" spans="1:2">
      <c r="A1669" s="387" t="s">
        <v>12351</v>
      </c>
      <c r="B1669" s="387" t="s">
        <v>6921</v>
      </c>
    </row>
    <row r="1670" spans="1:2">
      <c r="A1670" s="387" t="s">
        <v>12352</v>
      </c>
      <c r="B1670" s="387" t="s">
        <v>2830</v>
      </c>
    </row>
    <row r="1671" spans="1:2">
      <c r="A1671" s="387" t="s">
        <v>12353</v>
      </c>
      <c r="B1671" s="387" t="s">
        <v>3730</v>
      </c>
    </row>
    <row r="1672" spans="1:2">
      <c r="A1672" s="387" t="s">
        <v>12354</v>
      </c>
      <c r="B1672" s="387" t="s">
        <v>3474</v>
      </c>
    </row>
    <row r="1673" spans="1:2">
      <c r="A1673" s="387" t="s">
        <v>12355</v>
      </c>
      <c r="B1673" s="387" t="s">
        <v>7039</v>
      </c>
    </row>
    <row r="1674" spans="1:2">
      <c r="A1674" s="387" t="s">
        <v>12356</v>
      </c>
      <c r="B1674" s="387" t="s">
        <v>6571</v>
      </c>
    </row>
    <row r="1675" spans="1:2">
      <c r="A1675" s="387" t="s">
        <v>12357</v>
      </c>
      <c r="B1675" s="387" t="s">
        <v>8063</v>
      </c>
    </row>
    <row r="1676" spans="1:2">
      <c r="A1676" s="387" t="s">
        <v>12358</v>
      </c>
      <c r="B1676" s="387" t="s">
        <v>8067</v>
      </c>
    </row>
    <row r="1677" spans="1:2">
      <c r="A1677" s="387" t="s">
        <v>12359</v>
      </c>
      <c r="B1677" s="387" t="s">
        <v>8077</v>
      </c>
    </row>
    <row r="1678" spans="1:2">
      <c r="A1678" s="387" t="s">
        <v>12360</v>
      </c>
      <c r="B1678" s="387" t="s">
        <v>12361</v>
      </c>
    </row>
    <row r="1679" spans="1:2">
      <c r="A1679" s="387" t="s">
        <v>12362</v>
      </c>
      <c r="B1679" s="387" t="s">
        <v>7896</v>
      </c>
    </row>
    <row r="1680" spans="1:2">
      <c r="A1680" s="387" t="s">
        <v>12363</v>
      </c>
      <c r="B1680" s="387" t="s">
        <v>12364</v>
      </c>
    </row>
    <row r="1681" spans="1:2">
      <c r="A1681" s="387" t="s">
        <v>12365</v>
      </c>
      <c r="B1681" s="387" t="s">
        <v>1142</v>
      </c>
    </row>
    <row r="1682" spans="1:2">
      <c r="A1682" s="387" t="s">
        <v>12366</v>
      </c>
      <c r="B1682" s="387" t="s">
        <v>12367</v>
      </c>
    </row>
    <row r="1683" spans="1:2">
      <c r="A1683" s="387" t="s">
        <v>12368</v>
      </c>
      <c r="B1683" s="387" t="s">
        <v>12369</v>
      </c>
    </row>
    <row r="1684" spans="1:2">
      <c r="A1684" s="387" t="s">
        <v>12370</v>
      </c>
      <c r="B1684" s="387" t="s">
        <v>12371</v>
      </c>
    </row>
    <row r="1685" spans="1:2">
      <c r="A1685" s="387" t="s">
        <v>12372</v>
      </c>
      <c r="B1685" s="387" t="s">
        <v>12373</v>
      </c>
    </row>
    <row r="1686" spans="1:2">
      <c r="A1686" s="387" t="s">
        <v>12374</v>
      </c>
      <c r="B1686" s="387" t="s">
        <v>12375</v>
      </c>
    </row>
    <row r="1687" spans="1:2">
      <c r="A1687" s="387" t="s">
        <v>12376</v>
      </c>
      <c r="B1687" s="387" t="s">
        <v>12377</v>
      </c>
    </row>
    <row r="1688" spans="1:2">
      <c r="A1688" s="387" t="s">
        <v>12378</v>
      </c>
      <c r="B1688" s="387" t="s">
        <v>4538</v>
      </c>
    </row>
    <row r="1689" spans="1:2">
      <c r="A1689" s="387" t="s">
        <v>12379</v>
      </c>
      <c r="B1689" s="387" t="s">
        <v>12380</v>
      </c>
    </row>
    <row r="1690" spans="1:2">
      <c r="A1690" s="387" t="s">
        <v>12381</v>
      </c>
      <c r="B1690" s="387" t="s">
        <v>8975</v>
      </c>
    </row>
    <row r="1691" spans="1:2">
      <c r="A1691" s="387" t="s">
        <v>12382</v>
      </c>
      <c r="B1691" s="387" t="s">
        <v>12383</v>
      </c>
    </row>
    <row r="1692" spans="1:2">
      <c r="A1692" s="387" t="s">
        <v>12384</v>
      </c>
      <c r="B1692" s="387" t="s">
        <v>12385</v>
      </c>
    </row>
    <row r="1693" spans="1:2">
      <c r="A1693" s="387" t="s">
        <v>12386</v>
      </c>
      <c r="B1693" s="387" t="s">
        <v>12387</v>
      </c>
    </row>
    <row r="1694" spans="1:2">
      <c r="A1694" s="387" t="s">
        <v>12388</v>
      </c>
      <c r="B1694" s="387" t="s">
        <v>3445</v>
      </c>
    </row>
    <row r="1695" spans="1:2">
      <c r="A1695" s="387" t="s">
        <v>12389</v>
      </c>
      <c r="B1695" s="387" t="s">
        <v>2761</v>
      </c>
    </row>
    <row r="1696" spans="1:2">
      <c r="A1696" s="387" t="s">
        <v>12390</v>
      </c>
      <c r="B1696" s="387" t="s">
        <v>12391</v>
      </c>
    </row>
    <row r="1697" spans="1:2">
      <c r="A1697" s="387" t="s">
        <v>12392</v>
      </c>
      <c r="B1697" s="387" t="s">
        <v>1327</v>
      </c>
    </row>
    <row r="1698" spans="1:2">
      <c r="A1698" s="387" t="s">
        <v>12393</v>
      </c>
      <c r="B1698" s="387" t="s">
        <v>3932</v>
      </c>
    </row>
    <row r="1699" spans="1:2">
      <c r="A1699" s="387" t="s">
        <v>12394</v>
      </c>
      <c r="B1699" s="387" t="s">
        <v>8325</v>
      </c>
    </row>
    <row r="1700" spans="1:2">
      <c r="A1700" s="387" t="s">
        <v>12395</v>
      </c>
      <c r="B1700" s="387" t="s">
        <v>6964</v>
      </c>
    </row>
    <row r="1701" spans="1:2">
      <c r="A1701" s="387" t="s">
        <v>12396</v>
      </c>
      <c r="B1701" s="387" t="s">
        <v>8334</v>
      </c>
    </row>
    <row r="1702" spans="1:2">
      <c r="A1702" s="387" t="s">
        <v>12397</v>
      </c>
      <c r="B1702" s="387" t="s">
        <v>12398</v>
      </c>
    </row>
    <row r="1703" spans="1:2">
      <c r="A1703" s="387" t="s">
        <v>12399</v>
      </c>
      <c r="B1703" s="387" t="s">
        <v>12400</v>
      </c>
    </row>
    <row r="1704" spans="1:2">
      <c r="A1704" s="387" t="s">
        <v>12401</v>
      </c>
      <c r="B1704" s="387" t="s">
        <v>12402</v>
      </c>
    </row>
    <row r="1705" spans="1:2">
      <c r="A1705" s="387" t="s">
        <v>12403</v>
      </c>
      <c r="B1705" s="387" t="s">
        <v>8469</v>
      </c>
    </row>
    <row r="1706" spans="1:2">
      <c r="A1706" s="387" t="s">
        <v>12404</v>
      </c>
      <c r="B1706" s="387" t="s">
        <v>8471</v>
      </c>
    </row>
    <row r="1707" spans="1:2">
      <c r="A1707" s="387" t="s">
        <v>12405</v>
      </c>
      <c r="B1707" s="387" t="s">
        <v>8488</v>
      </c>
    </row>
    <row r="1708" spans="1:2">
      <c r="A1708" s="387" t="s">
        <v>12406</v>
      </c>
      <c r="B1708" s="387" t="s">
        <v>8490</v>
      </c>
    </row>
    <row r="1709" spans="1:2">
      <c r="A1709" s="387" t="s">
        <v>12407</v>
      </c>
      <c r="B1709" s="387" t="s">
        <v>4665</v>
      </c>
    </row>
    <row r="1710" spans="1:2">
      <c r="A1710" s="387" t="s">
        <v>12408</v>
      </c>
      <c r="B1710" s="387" t="s">
        <v>3568</v>
      </c>
    </row>
    <row r="1711" spans="1:2">
      <c r="A1711" s="387" t="s">
        <v>12409</v>
      </c>
      <c r="B1711" s="387" t="s">
        <v>12410</v>
      </c>
    </row>
    <row r="1712" spans="1:2">
      <c r="A1712" s="387" t="s">
        <v>12411</v>
      </c>
      <c r="B1712" s="387" t="s">
        <v>8580</v>
      </c>
    </row>
    <row r="1713" spans="1:2">
      <c r="A1713" s="387" t="s">
        <v>12412</v>
      </c>
      <c r="B1713" s="387" t="s">
        <v>12413</v>
      </c>
    </row>
    <row r="1714" spans="1:2">
      <c r="A1714" s="387" t="s">
        <v>12414</v>
      </c>
      <c r="B1714" s="387" t="s">
        <v>11166</v>
      </c>
    </row>
    <row r="1715" spans="1:2">
      <c r="A1715" s="387" t="s">
        <v>12415</v>
      </c>
      <c r="B1715" s="387" t="s">
        <v>8607</v>
      </c>
    </row>
    <row r="1716" spans="1:2">
      <c r="A1716" s="387" t="s">
        <v>12416</v>
      </c>
      <c r="B1716" s="387" t="s">
        <v>12417</v>
      </c>
    </row>
    <row r="1717" spans="1:2">
      <c r="A1717" s="387" t="s">
        <v>12418</v>
      </c>
      <c r="B1717" s="387" t="s">
        <v>12419</v>
      </c>
    </row>
    <row r="1718" spans="1:2">
      <c r="A1718" s="387" t="s">
        <v>12420</v>
      </c>
      <c r="B1718" s="387" t="s">
        <v>8689</v>
      </c>
    </row>
    <row r="1719" spans="1:2">
      <c r="A1719" s="387" t="s">
        <v>12421</v>
      </c>
      <c r="B1719" s="387" t="s">
        <v>1131</v>
      </c>
    </row>
    <row r="1720" spans="1:2">
      <c r="A1720" s="387" t="s">
        <v>12422</v>
      </c>
      <c r="B1720" s="387" t="s">
        <v>12423</v>
      </c>
    </row>
    <row r="1721" spans="1:2">
      <c r="A1721" s="387" t="s">
        <v>12424</v>
      </c>
      <c r="B1721" s="387" t="s">
        <v>4855</v>
      </c>
    </row>
    <row r="1722" spans="1:2">
      <c r="A1722" s="387" t="s">
        <v>12425</v>
      </c>
      <c r="B1722" s="387" t="s">
        <v>8725</v>
      </c>
    </row>
    <row r="1723" spans="1:2">
      <c r="A1723" s="387" t="s">
        <v>12426</v>
      </c>
      <c r="B1723" s="387" t="s">
        <v>1526</v>
      </c>
    </row>
    <row r="1724" spans="1:2">
      <c r="A1724" s="387" t="s">
        <v>12427</v>
      </c>
      <c r="B1724" s="387" t="s">
        <v>8750</v>
      </c>
    </row>
    <row r="1725" spans="1:2">
      <c r="A1725" s="387" t="s">
        <v>12428</v>
      </c>
      <c r="B1725" s="387" t="s">
        <v>4656</v>
      </c>
    </row>
    <row r="1726" spans="1:2">
      <c r="A1726" s="387" t="s">
        <v>12429</v>
      </c>
      <c r="B1726" s="387" t="s">
        <v>8794</v>
      </c>
    </row>
    <row r="1727" spans="1:2">
      <c r="A1727" s="387" t="s">
        <v>12430</v>
      </c>
      <c r="B1727" s="387" t="s">
        <v>5197</v>
      </c>
    </row>
    <row r="1728" spans="1:2">
      <c r="A1728" s="387" t="s">
        <v>12431</v>
      </c>
      <c r="B1728" s="387" t="s">
        <v>12432</v>
      </c>
    </row>
    <row r="1729" spans="1:2">
      <c r="A1729" s="387" t="s">
        <v>12433</v>
      </c>
      <c r="B1729" s="387" t="s">
        <v>1021</v>
      </c>
    </row>
    <row r="1730" spans="1:2">
      <c r="A1730" s="387" t="s">
        <v>12434</v>
      </c>
      <c r="B1730" s="387" t="s">
        <v>1044</v>
      </c>
    </row>
    <row r="1731" spans="1:2">
      <c r="A1731" s="387" t="s">
        <v>12435</v>
      </c>
      <c r="B1731" s="387" t="s">
        <v>1101</v>
      </c>
    </row>
    <row r="1732" spans="1:2">
      <c r="A1732" s="387" t="s">
        <v>12436</v>
      </c>
      <c r="B1732" s="387" t="s">
        <v>1249</v>
      </c>
    </row>
    <row r="1733" spans="1:2">
      <c r="A1733" s="387" t="s">
        <v>12437</v>
      </c>
      <c r="B1733" s="387" t="s">
        <v>1469</v>
      </c>
    </row>
    <row r="1734" spans="1:2">
      <c r="A1734" s="387" t="s">
        <v>12438</v>
      </c>
      <c r="B1734" s="387" t="s">
        <v>1729</v>
      </c>
    </row>
    <row r="1735" spans="1:2">
      <c r="A1735" s="387" t="s">
        <v>12439</v>
      </c>
      <c r="B1735" s="387" t="s">
        <v>12440</v>
      </c>
    </row>
    <row r="1736" spans="1:2">
      <c r="A1736" s="387" t="s">
        <v>12441</v>
      </c>
      <c r="B1736" s="387" t="s">
        <v>1769</v>
      </c>
    </row>
    <row r="1737" spans="1:2">
      <c r="A1737" s="387" t="s">
        <v>12442</v>
      </c>
      <c r="B1737" s="387" t="s">
        <v>1784</v>
      </c>
    </row>
    <row r="1738" spans="1:2">
      <c r="A1738" s="387" t="s">
        <v>12443</v>
      </c>
      <c r="B1738" s="387" t="s">
        <v>1846</v>
      </c>
    </row>
    <row r="1739" spans="1:2">
      <c r="A1739" s="387" t="s">
        <v>12444</v>
      </c>
      <c r="B1739" s="387" t="s">
        <v>1885</v>
      </c>
    </row>
    <row r="1740" spans="1:2">
      <c r="A1740" s="387" t="s">
        <v>12445</v>
      </c>
      <c r="B1740" s="387" t="s">
        <v>1887</v>
      </c>
    </row>
    <row r="1741" spans="1:2">
      <c r="A1741" s="387" t="s">
        <v>12446</v>
      </c>
      <c r="B1741" s="387" t="s">
        <v>2036</v>
      </c>
    </row>
    <row r="1742" spans="1:2">
      <c r="A1742" s="387" t="s">
        <v>12447</v>
      </c>
      <c r="B1742" s="387" t="s">
        <v>2158</v>
      </c>
    </row>
    <row r="1743" spans="1:2">
      <c r="A1743" s="387" t="s">
        <v>12448</v>
      </c>
      <c r="B1743" s="387" t="s">
        <v>2186</v>
      </c>
    </row>
    <row r="1744" spans="1:2">
      <c r="A1744" s="387" t="s">
        <v>12449</v>
      </c>
      <c r="B1744" s="387" t="s">
        <v>12450</v>
      </c>
    </row>
    <row r="1745" spans="1:2">
      <c r="A1745" s="387" t="s">
        <v>12451</v>
      </c>
      <c r="B1745" s="387" t="s">
        <v>2229</v>
      </c>
    </row>
    <row r="1746" spans="1:2">
      <c r="A1746" s="387" t="s">
        <v>12452</v>
      </c>
      <c r="B1746" s="387" t="s">
        <v>2354</v>
      </c>
    </row>
    <row r="1747" spans="1:2">
      <c r="A1747" s="387" t="s">
        <v>12453</v>
      </c>
      <c r="B1747" s="387" t="s">
        <v>2356</v>
      </c>
    </row>
    <row r="1748" spans="1:2">
      <c r="A1748" s="387" t="s">
        <v>12454</v>
      </c>
      <c r="B1748" s="387" t="s">
        <v>2522</v>
      </c>
    </row>
    <row r="1749" spans="1:2">
      <c r="A1749" s="387" t="s">
        <v>12455</v>
      </c>
      <c r="B1749" s="387" t="s">
        <v>12456</v>
      </c>
    </row>
    <row r="1750" spans="1:2">
      <c r="A1750" s="387" t="s">
        <v>12457</v>
      </c>
      <c r="B1750" s="387" t="s">
        <v>2704</v>
      </c>
    </row>
    <row r="1751" spans="1:2">
      <c r="A1751" s="387" t="s">
        <v>12458</v>
      </c>
      <c r="B1751" s="387" t="s">
        <v>12459</v>
      </c>
    </row>
    <row r="1752" spans="1:2">
      <c r="A1752" s="387" t="s">
        <v>12460</v>
      </c>
      <c r="B1752" s="387" t="s">
        <v>2926</v>
      </c>
    </row>
    <row r="1753" spans="1:2">
      <c r="A1753" s="387" t="s">
        <v>12461</v>
      </c>
      <c r="B1753" s="387" t="s">
        <v>2928</v>
      </c>
    </row>
    <row r="1754" spans="1:2">
      <c r="A1754" s="387" t="s">
        <v>12462</v>
      </c>
      <c r="B1754" s="387" t="s">
        <v>2930</v>
      </c>
    </row>
    <row r="1755" spans="1:2">
      <c r="A1755" s="387" t="s">
        <v>12463</v>
      </c>
      <c r="B1755" s="387" t="s">
        <v>12464</v>
      </c>
    </row>
    <row r="1756" spans="1:2">
      <c r="A1756" s="387" t="s">
        <v>12465</v>
      </c>
      <c r="B1756" s="387" t="s">
        <v>3123</v>
      </c>
    </row>
    <row r="1757" spans="1:2">
      <c r="A1757" s="387" t="s">
        <v>12466</v>
      </c>
      <c r="B1757" s="387" t="s">
        <v>3140</v>
      </c>
    </row>
    <row r="1758" spans="1:2">
      <c r="A1758" s="387" t="s">
        <v>12467</v>
      </c>
      <c r="B1758" s="387" t="s">
        <v>3154</v>
      </c>
    </row>
    <row r="1759" spans="1:2">
      <c r="A1759" s="387" t="s">
        <v>12468</v>
      </c>
      <c r="B1759" s="387" t="s">
        <v>3158</v>
      </c>
    </row>
    <row r="1760" spans="1:2">
      <c r="A1760" s="387" t="s">
        <v>12469</v>
      </c>
      <c r="B1760" s="387" t="s">
        <v>12470</v>
      </c>
    </row>
    <row r="1761" spans="1:2">
      <c r="A1761" s="387" t="s">
        <v>12471</v>
      </c>
      <c r="B1761" s="387" t="s">
        <v>3307</v>
      </c>
    </row>
    <row r="1762" spans="1:2">
      <c r="A1762" s="387" t="s">
        <v>12472</v>
      </c>
      <c r="B1762" s="387" t="s">
        <v>3313</v>
      </c>
    </row>
    <row r="1763" spans="1:2">
      <c r="A1763" s="387" t="s">
        <v>12473</v>
      </c>
      <c r="B1763" s="387" t="s">
        <v>3340</v>
      </c>
    </row>
    <row r="1764" spans="1:2">
      <c r="A1764" s="387" t="s">
        <v>12474</v>
      </c>
      <c r="B1764" s="387" t="s">
        <v>1898</v>
      </c>
    </row>
    <row r="1765" spans="1:2">
      <c r="A1765" s="387" t="s">
        <v>12475</v>
      </c>
      <c r="B1765" s="387" t="s">
        <v>12476</v>
      </c>
    </row>
    <row r="1766" spans="1:2">
      <c r="A1766" s="387" t="s">
        <v>12477</v>
      </c>
      <c r="B1766" s="387" t="s">
        <v>3520</v>
      </c>
    </row>
    <row r="1767" spans="1:2">
      <c r="A1767" s="387" t="s">
        <v>12478</v>
      </c>
      <c r="B1767" s="387" t="s">
        <v>3603</v>
      </c>
    </row>
    <row r="1768" spans="1:2">
      <c r="A1768" s="387" t="s">
        <v>12479</v>
      </c>
      <c r="B1768" s="387" t="s">
        <v>12480</v>
      </c>
    </row>
    <row r="1769" spans="1:2">
      <c r="A1769" s="387" t="s">
        <v>12481</v>
      </c>
      <c r="B1769" s="387" t="s">
        <v>3719</v>
      </c>
    </row>
    <row r="1770" spans="1:2">
      <c r="A1770" s="387" t="s">
        <v>12482</v>
      </c>
      <c r="B1770" s="387" t="s">
        <v>3859</v>
      </c>
    </row>
    <row r="1771" spans="1:2">
      <c r="A1771" s="387" t="s">
        <v>12483</v>
      </c>
      <c r="B1771" s="387" t="s">
        <v>3711</v>
      </c>
    </row>
    <row r="1772" spans="1:2">
      <c r="A1772" s="387" t="s">
        <v>12484</v>
      </c>
      <c r="B1772" s="387" t="s">
        <v>3064</v>
      </c>
    </row>
    <row r="1773" spans="1:2">
      <c r="A1773" s="387" t="s">
        <v>12485</v>
      </c>
      <c r="B1773" s="387" t="s">
        <v>3990</v>
      </c>
    </row>
    <row r="1774" spans="1:2">
      <c r="A1774" s="387" t="s">
        <v>12486</v>
      </c>
      <c r="B1774" s="387" t="s">
        <v>1407</v>
      </c>
    </row>
    <row r="1775" spans="1:2">
      <c r="A1775" s="387" t="s">
        <v>12487</v>
      </c>
      <c r="B1775" s="387" t="s">
        <v>4056</v>
      </c>
    </row>
    <row r="1776" spans="1:2">
      <c r="A1776" s="387" t="s">
        <v>12488</v>
      </c>
      <c r="B1776" s="387" t="s">
        <v>4104</v>
      </c>
    </row>
    <row r="1777" spans="1:2">
      <c r="A1777" s="387" t="s">
        <v>12489</v>
      </c>
      <c r="B1777" s="387" t="s">
        <v>2845</v>
      </c>
    </row>
    <row r="1778" spans="1:2">
      <c r="A1778" s="387" t="s">
        <v>12490</v>
      </c>
      <c r="B1778" s="387" t="s">
        <v>4104</v>
      </c>
    </row>
    <row r="1779" spans="1:2">
      <c r="A1779" s="387" t="s">
        <v>12491</v>
      </c>
      <c r="B1779" s="387" t="s">
        <v>979</v>
      </c>
    </row>
    <row r="1780" spans="1:2">
      <c r="A1780" s="387" t="s">
        <v>12492</v>
      </c>
      <c r="B1780" s="387" t="s">
        <v>4434</v>
      </c>
    </row>
    <row r="1781" spans="1:2">
      <c r="A1781" s="387" t="s">
        <v>12493</v>
      </c>
      <c r="B1781" s="387" t="s">
        <v>4436</v>
      </c>
    </row>
    <row r="1782" spans="1:2">
      <c r="A1782" s="387" t="s">
        <v>12494</v>
      </c>
      <c r="B1782" s="387" t="s">
        <v>4610</v>
      </c>
    </row>
    <row r="1783" spans="1:2">
      <c r="A1783" s="387" t="s">
        <v>12495</v>
      </c>
      <c r="B1783" s="387" t="s">
        <v>3062</v>
      </c>
    </row>
    <row r="1784" spans="1:2">
      <c r="A1784" s="387" t="s">
        <v>12496</v>
      </c>
      <c r="B1784" s="387" t="s">
        <v>4806</v>
      </c>
    </row>
    <row r="1785" spans="1:2">
      <c r="A1785" s="387" t="s">
        <v>12497</v>
      </c>
      <c r="B1785" s="387" t="s">
        <v>3226</v>
      </c>
    </row>
    <row r="1786" spans="1:2">
      <c r="A1786" s="387" t="s">
        <v>12498</v>
      </c>
      <c r="B1786" s="387" t="s">
        <v>5098</v>
      </c>
    </row>
    <row r="1787" spans="1:2">
      <c r="A1787" s="387" t="s">
        <v>12499</v>
      </c>
      <c r="B1787" s="387" t="s">
        <v>981</v>
      </c>
    </row>
    <row r="1788" spans="1:2">
      <c r="A1788" s="387" t="s">
        <v>12500</v>
      </c>
      <c r="B1788" s="387" t="s">
        <v>2026</v>
      </c>
    </row>
    <row r="1789" spans="1:2">
      <c r="A1789" s="387" t="s">
        <v>12501</v>
      </c>
      <c r="B1789" s="387" t="s">
        <v>5422</v>
      </c>
    </row>
    <row r="1790" spans="1:2">
      <c r="A1790" s="387" t="s">
        <v>12502</v>
      </c>
      <c r="B1790" s="387" t="s">
        <v>5597</v>
      </c>
    </row>
    <row r="1791" spans="1:2">
      <c r="A1791" s="387" t="s">
        <v>12503</v>
      </c>
      <c r="B1791" s="387" t="s">
        <v>5611</v>
      </c>
    </row>
    <row r="1792" spans="1:2">
      <c r="A1792" s="387" t="s">
        <v>12504</v>
      </c>
      <c r="B1792" s="387" t="s">
        <v>12505</v>
      </c>
    </row>
    <row r="1793" spans="1:2">
      <c r="A1793" s="387" t="s">
        <v>12506</v>
      </c>
      <c r="B1793" s="387" t="s">
        <v>6267</v>
      </c>
    </row>
    <row r="1794" spans="1:2">
      <c r="A1794" s="387" t="s">
        <v>12507</v>
      </c>
      <c r="B1794" s="387" t="s">
        <v>12508</v>
      </c>
    </row>
    <row r="1795" spans="1:2">
      <c r="A1795" s="387" t="s">
        <v>12509</v>
      </c>
      <c r="B1795" s="387" t="s">
        <v>6571</v>
      </c>
    </row>
    <row r="1796" spans="1:2">
      <c r="A1796" s="387" t="s">
        <v>12510</v>
      </c>
      <c r="B1796" s="387" t="s">
        <v>6797</v>
      </c>
    </row>
    <row r="1797" spans="1:2">
      <c r="A1797" s="387" t="s">
        <v>12511</v>
      </c>
      <c r="B1797" s="387" t="s">
        <v>12512</v>
      </c>
    </row>
    <row r="1798" spans="1:2">
      <c r="A1798" s="387" t="s">
        <v>12513</v>
      </c>
      <c r="B1798" s="387" t="s">
        <v>3006</v>
      </c>
    </row>
    <row r="1799" spans="1:2">
      <c r="A1799" s="387" t="s">
        <v>12514</v>
      </c>
      <c r="B1799" s="387" t="s">
        <v>1175</v>
      </c>
    </row>
    <row r="1800" spans="1:2">
      <c r="A1800" s="387" t="s">
        <v>12515</v>
      </c>
      <c r="B1800" s="387" t="s">
        <v>12516</v>
      </c>
    </row>
    <row r="1801" spans="1:2">
      <c r="A1801" s="387" t="s">
        <v>12517</v>
      </c>
      <c r="B1801" s="387" t="s">
        <v>6535</v>
      </c>
    </row>
    <row r="1802" spans="1:2">
      <c r="A1802" s="387" t="s">
        <v>12518</v>
      </c>
      <c r="B1802" s="387" t="s">
        <v>11587</v>
      </c>
    </row>
    <row r="1803" spans="1:2">
      <c r="A1803" s="387" t="s">
        <v>12519</v>
      </c>
      <c r="B1803" s="387" t="s">
        <v>12520</v>
      </c>
    </row>
    <row r="1804" spans="1:2">
      <c r="A1804" s="387" t="s">
        <v>12521</v>
      </c>
      <c r="B1804" s="387" t="s">
        <v>12522</v>
      </c>
    </row>
    <row r="1805" spans="1:2">
      <c r="A1805" s="387" t="s">
        <v>12523</v>
      </c>
      <c r="B1805" s="387" t="s">
        <v>1037</v>
      </c>
    </row>
    <row r="1806" spans="1:2">
      <c r="A1806" s="387" t="s">
        <v>12524</v>
      </c>
      <c r="B1806" s="387" t="s">
        <v>1053</v>
      </c>
    </row>
    <row r="1807" spans="1:2">
      <c r="A1807" s="387" t="s">
        <v>12525</v>
      </c>
      <c r="B1807" s="387" t="s">
        <v>1374</v>
      </c>
    </row>
    <row r="1808" spans="1:2">
      <c r="A1808" s="387" t="s">
        <v>12526</v>
      </c>
      <c r="B1808" s="387" t="s">
        <v>1494</v>
      </c>
    </row>
    <row r="1809" spans="1:2">
      <c r="A1809" s="387" t="s">
        <v>12527</v>
      </c>
      <c r="B1809" s="387" t="s">
        <v>1686</v>
      </c>
    </row>
    <row r="1810" spans="1:2">
      <c r="A1810" s="387" t="s">
        <v>12528</v>
      </c>
      <c r="B1810" s="387" t="s">
        <v>1737</v>
      </c>
    </row>
    <row r="1811" spans="1:2">
      <c r="A1811" s="387" t="s">
        <v>12529</v>
      </c>
      <c r="B1811" s="387" t="s">
        <v>1896</v>
      </c>
    </row>
    <row r="1812" spans="1:2">
      <c r="A1812" s="387" t="s">
        <v>12530</v>
      </c>
      <c r="B1812" s="387" t="s">
        <v>2010</v>
      </c>
    </row>
    <row r="1813" spans="1:2">
      <c r="A1813" s="387" t="s">
        <v>12531</v>
      </c>
      <c r="B1813" s="387" t="s">
        <v>2188</v>
      </c>
    </row>
    <row r="1814" spans="1:2">
      <c r="A1814" s="387" t="s">
        <v>12532</v>
      </c>
      <c r="B1814" s="387" t="s">
        <v>2457</v>
      </c>
    </row>
    <row r="1815" spans="1:2">
      <c r="A1815" s="387" t="s">
        <v>12533</v>
      </c>
      <c r="B1815" s="387" t="s">
        <v>1633</v>
      </c>
    </row>
    <row r="1816" spans="1:2">
      <c r="A1816" s="387" t="s">
        <v>12534</v>
      </c>
      <c r="B1816" s="387" t="s">
        <v>2499</v>
      </c>
    </row>
    <row r="1817" spans="1:2">
      <c r="A1817" s="387" t="s">
        <v>12535</v>
      </c>
      <c r="B1817" s="387" t="s">
        <v>2702</v>
      </c>
    </row>
    <row r="1818" spans="1:2">
      <c r="A1818" s="387" t="s">
        <v>12536</v>
      </c>
      <c r="B1818" s="387" t="s">
        <v>1804</v>
      </c>
    </row>
    <row r="1819" spans="1:2">
      <c r="A1819" s="387" t="s">
        <v>12537</v>
      </c>
      <c r="B1819" s="387" t="s">
        <v>2734</v>
      </c>
    </row>
    <row r="1820" spans="1:2">
      <c r="A1820" s="387" t="s">
        <v>12538</v>
      </c>
      <c r="B1820" s="387" t="s">
        <v>1374</v>
      </c>
    </row>
    <row r="1821" spans="1:2">
      <c r="A1821" s="387" t="s">
        <v>12539</v>
      </c>
      <c r="B1821" s="387" t="s">
        <v>2924</v>
      </c>
    </row>
    <row r="1822" spans="1:2">
      <c r="A1822" s="387" t="s">
        <v>12540</v>
      </c>
      <c r="B1822" s="387" t="s">
        <v>3128</v>
      </c>
    </row>
    <row r="1823" spans="1:2">
      <c r="A1823" s="387" t="s">
        <v>12541</v>
      </c>
      <c r="B1823" s="387" t="s">
        <v>4615</v>
      </c>
    </row>
    <row r="1824" spans="1:2">
      <c r="A1824" s="387" t="s">
        <v>12542</v>
      </c>
      <c r="B1824" s="387" t="s">
        <v>3448</v>
      </c>
    </row>
    <row r="1825" spans="1:2">
      <c r="A1825" s="387" t="s">
        <v>190</v>
      </c>
      <c r="B1825" s="387" t="s">
        <v>1804</v>
      </c>
    </row>
    <row r="1826" spans="1:2">
      <c r="A1826" s="387" t="s">
        <v>12543</v>
      </c>
      <c r="B1826" s="387" t="s">
        <v>4035</v>
      </c>
    </row>
    <row r="1827" spans="1:2">
      <c r="A1827" s="387" t="s">
        <v>12544</v>
      </c>
      <c r="B1827" s="387" t="s">
        <v>4038</v>
      </c>
    </row>
    <row r="1828" spans="1:2">
      <c r="A1828" s="387" t="s">
        <v>12545</v>
      </c>
      <c r="B1828" s="387" t="s">
        <v>2117</v>
      </c>
    </row>
    <row r="1829" spans="1:2">
      <c r="A1829" s="387" t="s">
        <v>12546</v>
      </c>
      <c r="B1829" s="387" t="s">
        <v>4114</v>
      </c>
    </row>
    <row r="1830" spans="1:2">
      <c r="A1830" s="387" t="s">
        <v>189</v>
      </c>
      <c r="B1830" s="387" t="s">
        <v>4118</v>
      </c>
    </row>
    <row r="1831" spans="1:2">
      <c r="A1831" s="387" t="s">
        <v>12547</v>
      </c>
      <c r="B1831" s="387" t="s">
        <v>12548</v>
      </c>
    </row>
    <row r="1832" spans="1:2">
      <c r="A1832" s="387" t="s">
        <v>12549</v>
      </c>
      <c r="B1832" s="387" t="s">
        <v>12550</v>
      </c>
    </row>
    <row r="1833" spans="1:2">
      <c r="A1833" s="387" t="s">
        <v>12551</v>
      </c>
      <c r="B1833" s="387" t="s">
        <v>4684</v>
      </c>
    </row>
    <row r="1834" spans="1:2">
      <c r="A1834" s="387" t="s">
        <v>12552</v>
      </c>
      <c r="B1834" s="387" t="s">
        <v>4707</v>
      </c>
    </row>
    <row r="1835" spans="1:2">
      <c r="A1835" s="387" t="s">
        <v>12553</v>
      </c>
      <c r="B1835" s="387" t="s">
        <v>2924</v>
      </c>
    </row>
    <row r="1836" spans="1:2">
      <c r="A1836" s="387" t="s">
        <v>12554</v>
      </c>
      <c r="B1836" s="387" t="s">
        <v>4946</v>
      </c>
    </row>
    <row r="1837" spans="1:2">
      <c r="A1837" s="387" t="s">
        <v>12555</v>
      </c>
      <c r="B1837" s="387" t="s">
        <v>3268</v>
      </c>
    </row>
    <row r="1838" spans="1:2">
      <c r="A1838" s="387" t="s">
        <v>12556</v>
      </c>
      <c r="B1838" s="387" t="s">
        <v>1360</v>
      </c>
    </row>
    <row r="1839" spans="1:2">
      <c r="A1839" s="387" t="s">
        <v>12557</v>
      </c>
      <c r="B1839" s="387" t="s">
        <v>5395</v>
      </c>
    </row>
    <row r="1840" spans="1:2">
      <c r="A1840" s="387" t="s">
        <v>191</v>
      </c>
      <c r="B1840" s="387" t="s">
        <v>4799</v>
      </c>
    </row>
    <row r="1841" spans="1:2">
      <c r="A1841" s="387" t="s">
        <v>12558</v>
      </c>
      <c r="B1841" s="387" t="s">
        <v>12559</v>
      </c>
    </row>
    <row r="1842" spans="1:2">
      <c r="A1842" s="387" t="s">
        <v>12560</v>
      </c>
      <c r="B1842" s="387" t="s">
        <v>4358</v>
      </c>
    </row>
    <row r="1843" spans="1:2">
      <c r="A1843" s="387" t="s">
        <v>12561</v>
      </c>
      <c r="B1843" s="387" t="s">
        <v>2739</v>
      </c>
    </row>
    <row r="1844" spans="1:2">
      <c r="A1844" s="387" t="s">
        <v>188</v>
      </c>
      <c r="B1844" s="387" t="s">
        <v>12562</v>
      </c>
    </row>
    <row r="1845" spans="1:2">
      <c r="A1845" s="387" t="s">
        <v>12563</v>
      </c>
      <c r="B1845" s="387" t="s">
        <v>7258</v>
      </c>
    </row>
    <row r="1846" spans="1:2">
      <c r="A1846" s="387" t="s">
        <v>12564</v>
      </c>
      <c r="B1846" s="387" t="s">
        <v>7260</v>
      </c>
    </row>
    <row r="1847" spans="1:2">
      <c r="A1847" s="387" t="s">
        <v>12565</v>
      </c>
      <c r="B1847" s="387" t="s">
        <v>8689</v>
      </c>
    </row>
    <row r="1848" spans="1:2">
      <c r="A1848" s="387" t="s">
        <v>12566</v>
      </c>
      <c r="B1848" s="387" t="s">
        <v>7464</v>
      </c>
    </row>
    <row r="1849" spans="1:2">
      <c r="A1849" s="387" t="s">
        <v>12567</v>
      </c>
      <c r="B1849" s="387" t="s">
        <v>7466</v>
      </c>
    </row>
    <row r="1850" spans="1:2">
      <c r="A1850" s="387" t="s">
        <v>12568</v>
      </c>
      <c r="B1850" s="387" t="s">
        <v>1921</v>
      </c>
    </row>
    <row r="1851" spans="1:2">
      <c r="A1851" s="387" t="s">
        <v>12569</v>
      </c>
      <c r="B1851" s="387" t="s">
        <v>7432</v>
      </c>
    </row>
    <row r="1852" spans="1:2">
      <c r="A1852" s="387" t="s">
        <v>12570</v>
      </c>
      <c r="B1852" s="387" t="s">
        <v>7594</v>
      </c>
    </row>
    <row r="1853" spans="1:2">
      <c r="A1853" s="387" t="s">
        <v>12436</v>
      </c>
      <c r="B1853" s="387" t="s">
        <v>1249</v>
      </c>
    </row>
    <row r="1854" spans="1:2">
      <c r="A1854" s="387" t="s">
        <v>192</v>
      </c>
      <c r="B1854" s="387" t="s">
        <v>4116</v>
      </c>
    </row>
    <row r="1855" spans="1:2">
      <c r="A1855" s="387" t="s">
        <v>206</v>
      </c>
      <c r="B1855" s="387" t="s">
        <v>1005</v>
      </c>
    </row>
    <row r="1856" spans="1:2">
      <c r="A1856" s="387" t="s">
        <v>209</v>
      </c>
      <c r="B1856" s="387" t="s">
        <v>1305</v>
      </c>
    </row>
    <row r="1857" spans="1:2">
      <c r="A1857" s="387" t="s">
        <v>12571</v>
      </c>
      <c r="B1857" s="387" t="s">
        <v>4024</v>
      </c>
    </row>
    <row r="1858" spans="1:2">
      <c r="A1858" s="387" t="s">
        <v>12572</v>
      </c>
      <c r="B1858" s="387" t="s">
        <v>1039</v>
      </c>
    </row>
    <row r="1859" spans="1:2">
      <c r="A1859" s="387" t="s">
        <v>12573</v>
      </c>
      <c r="B1859" s="387" t="s">
        <v>1508</v>
      </c>
    </row>
    <row r="1860" spans="1:2">
      <c r="A1860" s="387" t="s">
        <v>12574</v>
      </c>
      <c r="B1860" s="387" t="s">
        <v>1925</v>
      </c>
    </row>
    <row r="1861" spans="1:2">
      <c r="A1861" s="387" t="s">
        <v>12575</v>
      </c>
      <c r="B1861" s="387" t="s">
        <v>1956</v>
      </c>
    </row>
    <row r="1862" spans="1:2">
      <c r="A1862" s="387" t="s">
        <v>12576</v>
      </c>
      <c r="B1862" s="387" t="s">
        <v>2012</v>
      </c>
    </row>
    <row r="1863" spans="1:2">
      <c r="A1863" s="387" t="s">
        <v>12577</v>
      </c>
      <c r="B1863" s="387" t="s">
        <v>2062</v>
      </c>
    </row>
    <row r="1864" spans="1:2">
      <c r="A1864" s="387" t="s">
        <v>12578</v>
      </c>
      <c r="B1864" s="387" t="s">
        <v>2082</v>
      </c>
    </row>
    <row r="1865" spans="1:2">
      <c r="A1865" s="387" t="s">
        <v>12579</v>
      </c>
      <c r="B1865" s="387" t="s">
        <v>2102</v>
      </c>
    </row>
    <row r="1866" spans="1:2">
      <c r="A1866" s="387" t="s">
        <v>12580</v>
      </c>
      <c r="B1866" s="387" t="s">
        <v>2112</v>
      </c>
    </row>
    <row r="1867" spans="1:2">
      <c r="A1867" s="387" t="s">
        <v>12581</v>
      </c>
      <c r="B1867" s="387" t="s">
        <v>2148</v>
      </c>
    </row>
    <row r="1868" spans="1:2">
      <c r="A1868" s="387" t="s">
        <v>12582</v>
      </c>
      <c r="B1868" s="387" t="s">
        <v>2289</v>
      </c>
    </row>
    <row r="1869" spans="1:2">
      <c r="A1869" s="387" t="s">
        <v>12583</v>
      </c>
      <c r="B1869" s="387" t="s">
        <v>2297</v>
      </c>
    </row>
    <row r="1870" spans="1:2">
      <c r="A1870" s="387" t="s">
        <v>12584</v>
      </c>
      <c r="B1870" s="387" t="s">
        <v>2379</v>
      </c>
    </row>
    <row r="1871" spans="1:2">
      <c r="A1871" s="387" t="s">
        <v>12585</v>
      </c>
      <c r="B1871" s="387" t="s">
        <v>1935</v>
      </c>
    </row>
    <row r="1872" spans="1:2">
      <c r="A1872" s="387" t="s">
        <v>12586</v>
      </c>
      <c r="B1872" s="387" t="s">
        <v>2414</v>
      </c>
    </row>
    <row r="1873" spans="1:2">
      <c r="A1873" s="387" t="s">
        <v>12587</v>
      </c>
      <c r="B1873" s="387" t="s">
        <v>2463</v>
      </c>
    </row>
    <row r="1874" spans="1:2">
      <c r="A1874" s="387" t="s">
        <v>12588</v>
      </c>
      <c r="B1874" s="387" t="s">
        <v>2551</v>
      </c>
    </row>
    <row r="1875" spans="1:2">
      <c r="A1875" s="387" t="s">
        <v>12589</v>
      </c>
      <c r="B1875" s="387" t="s">
        <v>2571</v>
      </c>
    </row>
    <row r="1876" spans="1:2">
      <c r="A1876" s="387" t="s">
        <v>12590</v>
      </c>
      <c r="B1876" s="387" t="s">
        <v>2614</v>
      </c>
    </row>
    <row r="1877" spans="1:2">
      <c r="A1877" s="387" t="s">
        <v>12591</v>
      </c>
      <c r="B1877" s="387" t="s">
        <v>2645</v>
      </c>
    </row>
    <row r="1878" spans="1:2">
      <c r="A1878" s="387" t="s">
        <v>12592</v>
      </c>
      <c r="B1878" s="387" t="s">
        <v>2841</v>
      </c>
    </row>
    <row r="1879" spans="1:2">
      <c r="A1879" s="387" t="s">
        <v>12593</v>
      </c>
      <c r="B1879" s="387" t="s">
        <v>1765</v>
      </c>
    </row>
    <row r="1880" spans="1:2">
      <c r="A1880" s="387" t="s">
        <v>12594</v>
      </c>
      <c r="B1880" s="387" t="s">
        <v>2883</v>
      </c>
    </row>
    <row r="1881" spans="1:2">
      <c r="A1881" s="387" t="s">
        <v>12595</v>
      </c>
      <c r="B1881" s="387" t="s">
        <v>3951</v>
      </c>
    </row>
    <row r="1882" spans="1:2">
      <c r="A1882" s="387" t="s">
        <v>12596</v>
      </c>
      <c r="B1882" s="387" t="s">
        <v>3045</v>
      </c>
    </row>
    <row r="1883" spans="1:2">
      <c r="A1883" s="387" t="s">
        <v>12597</v>
      </c>
      <c r="B1883" s="387" t="s">
        <v>3070</v>
      </c>
    </row>
    <row r="1884" spans="1:2">
      <c r="A1884" s="387" t="s">
        <v>12598</v>
      </c>
      <c r="B1884" s="387" t="s">
        <v>3072</v>
      </c>
    </row>
    <row r="1885" spans="1:2">
      <c r="A1885" s="387" t="s">
        <v>12599</v>
      </c>
      <c r="B1885" s="387" t="s">
        <v>3089</v>
      </c>
    </row>
    <row r="1886" spans="1:2">
      <c r="A1886" s="387" t="s">
        <v>12600</v>
      </c>
      <c r="B1886" s="387" t="s">
        <v>3187</v>
      </c>
    </row>
    <row r="1887" spans="1:2">
      <c r="A1887" s="387" t="s">
        <v>12601</v>
      </c>
      <c r="B1887" s="387" t="s">
        <v>3195</v>
      </c>
    </row>
    <row r="1888" spans="1:2">
      <c r="A1888" s="387" t="s">
        <v>12602</v>
      </c>
      <c r="B1888" s="387" t="s">
        <v>3226</v>
      </c>
    </row>
    <row r="1889" spans="1:2">
      <c r="A1889" s="387" t="s">
        <v>12603</v>
      </c>
      <c r="B1889" s="387" t="s">
        <v>3284</v>
      </c>
    </row>
    <row r="1890" spans="1:2">
      <c r="A1890" s="387" t="s">
        <v>12604</v>
      </c>
      <c r="B1890" s="387" t="s">
        <v>3254</v>
      </c>
    </row>
    <row r="1891" spans="1:2">
      <c r="A1891" s="387" t="s">
        <v>12605</v>
      </c>
      <c r="B1891" s="387" t="s">
        <v>3401</v>
      </c>
    </row>
    <row r="1892" spans="1:2">
      <c r="A1892" s="387" t="s">
        <v>12606</v>
      </c>
      <c r="B1892" s="387" t="s">
        <v>3403</v>
      </c>
    </row>
    <row r="1893" spans="1:2">
      <c r="A1893" s="387" t="s">
        <v>12607</v>
      </c>
      <c r="B1893" s="387" t="s">
        <v>1416</v>
      </c>
    </row>
    <row r="1894" spans="1:2">
      <c r="A1894" s="387" t="s">
        <v>12608</v>
      </c>
      <c r="B1894" s="387" t="s">
        <v>3472</v>
      </c>
    </row>
    <row r="1895" spans="1:2">
      <c r="A1895" s="387" t="s">
        <v>12609</v>
      </c>
      <c r="B1895" s="387" t="s">
        <v>12610</v>
      </c>
    </row>
    <row r="1896" spans="1:2">
      <c r="A1896" s="387" t="s">
        <v>12611</v>
      </c>
      <c r="B1896" s="387" t="s">
        <v>3568</v>
      </c>
    </row>
    <row r="1897" spans="1:2">
      <c r="A1897" s="387" t="s">
        <v>12612</v>
      </c>
      <c r="B1897" s="387" t="s">
        <v>3578</v>
      </c>
    </row>
    <row r="1898" spans="1:2">
      <c r="A1898" s="387" t="s">
        <v>12613</v>
      </c>
      <c r="B1898" s="387" t="s">
        <v>3611</v>
      </c>
    </row>
    <row r="1899" spans="1:2">
      <c r="A1899" s="387" t="s">
        <v>12614</v>
      </c>
      <c r="B1899" s="387" t="s">
        <v>3658</v>
      </c>
    </row>
    <row r="1900" spans="1:2">
      <c r="A1900" s="387" t="s">
        <v>12615</v>
      </c>
      <c r="B1900" s="387" t="s">
        <v>3815</v>
      </c>
    </row>
    <row r="1901" spans="1:2">
      <c r="A1901" s="387" t="s">
        <v>12616</v>
      </c>
      <c r="B1901" s="387" t="s">
        <v>3953</v>
      </c>
    </row>
    <row r="1902" spans="1:2">
      <c r="A1902" s="387" t="s">
        <v>12617</v>
      </c>
      <c r="B1902" s="387" t="s">
        <v>3959</v>
      </c>
    </row>
    <row r="1903" spans="1:2">
      <c r="A1903" s="387" t="s">
        <v>12618</v>
      </c>
      <c r="B1903" s="387" t="s">
        <v>1287</v>
      </c>
    </row>
    <row r="1904" spans="1:2">
      <c r="A1904" s="387" t="s">
        <v>12619</v>
      </c>
      <c r="B1904" s="387" t="s">
        <v>4215</v>
      </c>
    </row>
    <row r="1905" spans="1:2">
      <c r="A1905" s="387" t="s">
        <v>12620</v>
      </c>
      <c r="B1905" s="387" t="s">
        <v>1680</v>
      </c>
    </row>
    <row r="1906" spans="1:2">
      <c r="A1906" s="387" t="s">
        <v>12621</v>
      </c>
      <c r="B1906" s="387" t="s">
        <v>12622</v>
      </c>
    </row>
    <row r="1907" spans="1:2">
      <c r="A1907" s="387" t="s">
        <v>12623</v>
      </c>
      <c r="B1907" s="387" t="s">
        <v>4262</v>
      </c>
    </row>
    <row r="1908" spans="1:2">
      <c r="A1908" s="387" t="s">
        <v>12624</v>
      </c>
      <c r="B1908" s="387" t="s">
        <v>4531</v>
      </c>
    </row>
    <row r="1909" spans="1:2">
      <c r="A1909" s="387" t="s">
        <v>12625</v>
      </c>
      <c r="B1909" s="387" t="s">
        <v>4580</v>
      </c>
    </row>
    <row r="1910" spans="1:2">
      <c r="A1910" s="387" t="s">
        <v>12626</v>
      </c>
      <c r="B1910" s="387" t="s">
        <v>2248</v>
      </c>
    </row>
    <row r="1911" spans="1:2">
      <c r="A1911" s="387" t="s">
        <v>12627</v>
      </c>
      <c r="B1911" s="387" t="s">
        <v>4627</v>
      </c>
    </row>
    <row r="1912" spans="1:2">
      <c r="A1912" s="387" t="s">
        <v>12628</v>
      </c>
      <c r="B1912" s="387" t="s">
        <v>4634</v>
      </c>
    </row>
    <row r="1913" spans="1:2">
      <c r="A1913" s="387" t="s">
        <v>12629</v>
      </c>
      <c r="B1913" s="387" t="s">
        <v>4640</v>
      </c>
    </row>
    <row r="1914" spans="1:2">
      <c r="A1914" s="387" t="s">
        <v>12630</v>
      </c>
      <c r="B1914" s="387" t="s">
        <v>4672</v>
      </c>
    </row>
    <row r="1915" spans="1:2">
      <c r="A1915" s="387" t="s">
        <v>12631</v>
      </c>
      <c r="B1915" s="387" t="s">
        <v>4674</v>
      </c>
    </row>
    <row r="1916" spans="1:2">
      <c r="A1916" s="387" t="s">
        <v>12632</v>
      </c>
      <c r="B1916" s="387" t="s">
        <v>1765</v>
      </c>
    </row>
    <row r="1917" spans="1:2">
      <c r="A1917" s="387" t="s">
        <v>12633</v>
      </c>
      <c r="B1917" s="387" t="s">
        <v>4723</v>
      </c>
    </row>
    <row r="1918" spans="1:2">
      <c r="A1918" s="387" t="s">
        <v>12634</v>
      </c>
      <c r="B1918" s="387" t="s">
        <v>4749</v>
      </c>
    </row>
    <row r="1919" spans="1:2">
      <c r="A1919" s="387" t="s">
        <v>12635</v>
      </c>
      <c r="B1919" s="387" t="s">
        <v>12636</v>
      </c>
    </row>
    <row r="1920" spans="1:2">
      <c r="A1920" s="387" t="s">
        <v>12637</v>
      </c>
      <c r="B1920" s="387" t="s">
        <v>4799</v>
      </c>
    </row>
    <row r="1921" spans="1:2">
      <c r="A1921" s="387" t="s">
        <v>12638</v>
      </c>
      <c r="B1921" s="387" t="s">
        <v>4818</v>
      </c>
    </row>
    <row r="1922" spans="1:2">
      <c r="A1922" s="387" t="s">
        <v>12639</v>
      </c>
      <c r="B1922" s="387" t="s">
        <v>4839</v>
      </c>
    </row>
    <row r="1923" spans="1:2">
      <c r="A1923" s="387" t="s">
        <v>12640</v>
      </c>
      <c r="B1923" s="387" t="s">
        <v>2647</v>
      </c>
    </row>
    <row r="1924" spans="1:2">
      <c r="A1924" s="387" t="s">
        <v>12641</v>
      </c>
      <c r="B1924" s="387" t="s">
        <v>4893</v>
      </c>
    </row>
    <row r="1925" spans="1:2">
      <c r="A1925" s="387" t="s">
        <v>12642</v>
      </c>
      <c r="B1925" s="387" t="s">
        <v>4899</v>
      </c>
    </row>
    <row r="1926" spans="1:2">
      <c r="A1926" s="387" t="s">
        <v>12643</v>
      </c>
      <c r="B1926" s="387" t="s">
        <v>4901</v>
      </c>
    </row>
    <row r="1927" spans="1:2">
      <c r="A1927" s="387" t="s">
        <v>12644</v>
      </c>
      <c r="B1927" s="387" t="s">
        <v>4200</v>
      </c>
    </row>
    <row r="1928" spans="1:2">
      <c r="A1928" s="387" t="s">
        <v>12645</v>
      </c>
      <c r="B1928" s="387" t="s">
        <v>12646</v>
      </c>
    </row>
    <row r="1929" spans="1:2">
      <c r="A1929" s="387" t="s">
        <v>12647</v>
      </c>
      <c r="B1929" s="387" t="s">
        <v>1943</v>
      </c>
    </row>
    <row r="1930" spans="1:2">
      <c r="A1930" s="387" t="s">
        <v>12648</v>
      </c>
      <c r="B1930" s="387" t="s">
        <v>4998</v>
      </c>
    </row>
    <row r="1931" spans="1:2">
      <c r="A1931" s="387" t="s">
        <v>12649</v>
      </c>
      <c r="B1931" s="387" t="s">
        <v>5000</v>
      </c>
    </row>
    <row r="1932" spans="1:2">
      <c r="A1932" s="387" t="s">
        <v>12650</v>
      </c>
      <c r="B1932" s="387" t="s">
        <v>5162</v>
      </c>
    </row>
    <row r="1933" spans="1:2">
      <c r="A1933" s="387" t="s">
        <v>12651</v>
      </c>
      <c r="B1933" s="387" t="s">
        <v>5165</v>
      </c>
    </row>
    <row r="1934" spans="1:2">
      <c r="A1934" s="387" t="s">
        <v>12652</v>
      </c>
      <c r="B1934" s="387" t="s">
        <v>4665</v>
      </c>
    </row>
    <row r="1935" spans="1:2">
      <c r="A1935" s="387" t="s">
        <v>12653</v>
      </c>
      <c r="B1935" s="387" t="s">
        <v>5215</v>
      </c>
    </row>
    <row r="1936" spans="1:2">
      <c r="A1936" s="387" t="s">
        <v>12654</v>
      </c>
      <c r="B1936" s="387" t="s">
        <v>5347</v>
      </c>
    </row>
    <row r="1937" spans="1:2">
      <c r="A1937" s="387" t="s">
        <v>12655</v>
      </c>
      <c r="B1937" s="387" t="s">
        <v>1943</v>
      </c>
    </row>
    <row r="1938" spans="1:2">
      <c r="A1938" s="387" t="s">
        <v>12656</v>
      </c>
      <c r="B1938" s="387" t="s">
        <v>5431</v>
      </c>
    </row>
    <row r="1939" spans="1:2">
      <c r="A1939" s="387" t="s">
        <v>12657</v>
      </c>
      <c r="B1939" s="387" t="s">
        <v>5445</v>
      </c>
    </row>
    <row r="1940" spans="1:2">
      <c r="A1940" s="387" t="s">
        <v>12658</v>
      </c>
      <c r="B1940" s="387" t="s">
        <v>5002</v>
      </c>
    </row>
    <row r="1941" spans="1:2">
      <c r="A1941" s="387" t="s">
        <v>8023</v>
      </c>
      <c r="B1941" s="387" t="s">
        <v>5447</v>
      </c>
    </row>
    <row r="1942" spans="1:2">
      <c r="A1942" s="387" t="s">
        <v>12659</v>
      </c>
      <c r="B1942" s="387" t="s">
        <v>12660</v>
      </c>
    </row>
    <row r="1943" spans="1:2">
      <c r="A1943" s="387" t="s">
        <v>12661</v>
      </c>
      <c r="B1943" s="387" t="s">
        <v>5498</v>
      </c>
    </row>
    <row r="1944" spans="1:2">
      <c r="A1944" s="387" t="s">
        <v>12662</v>
      </c>
      <c r="B1944" s="387" t="s">
        <v>5505</v>
      </c>
    </row>
    <row r="1945" spans="1:2">
      <c r="A1945" s="387" t="s">
        <v>12663</v>
      </c>
      <c r="B1945" s="387" t="s">
        <v>8130</v>
      </c>
    </row>
    <row r="1946" spans="1:2">
      <c r="A1946" s="387" t="s">
        <v>12664</v>
      </c>
      <c r="B1946" s="387" t="s">
        <v>12665</v>
      </c>
    </row>
    <row r="1947" spans="1:2">
      <c r="A1947" s="387" t="s">
        <v>12666</v>
      </c>
      <c r="B1947" s="387" t="s">
        <v>5574</v>
      </c>
    </row>
    <row r="1948" spans="1:2">
      <c r="A1948" s="387" t="s">
        <v>12667</v>
      </c>
      <c r="B1948" s="387" t="s">
        <v>2384</v>
      </c>
    </row>
    <row r="1949" spans="1:2">
      <c r="A1949" s="387" t="s">
        <v>12668</v>
      </c>
      <c r="B1949" s="387" t="s">
        <v>5605</v>
      </c>
    </row>
    <row r="1950" spans="1:2">
      <c r="A1950" s="387" t="s">
        <v>12669</v>
      </c>
      <c r="B1950" s="387" t="s">
        <v>5328</v>
      </c>
    </row>
    <row r="1951" spans="1:2">
      <c r="A1951" s="387" t="s">
        <v>12670</v>
      </c>
      <c r="B1951" s="387" t="s">
        <v>12671</v>
      </c>
    </row>
    <row r="1952" spans="1:2">
      <c r="A1952" s="387" t="s">
        <v>12672</v>
      </c>
      <c r="B1952" s="387" t="s">
        <v>5615</v>
      </c>
    </row>
    <row r="1953" spans="1:2">
      <c r="A1953" s="387" t="s">
        <v>12673</v>
      </c>
      <c r="B1953" s="387" t="s">
        <v>5827</v>
      </c>
    </row>
    <row r="1954" spans="1:2">
      <c r="A1954" s="387" t="s">
        <v>12674</v>
      </c>
      <c r="B1954" s="387" t="s">
        <v>3185</v>
      </c>
    </row>
    <row r="1955" spans="1:2">
      <c r="A1955" s="387" t="s">
        <v>12675</v>
      </c>
      <c r="B1955" s="387" t="s">
        <v>5830</v>
      </c>
    </row>
    <row r="1956" spans="1:2">
      <c r="A1956" s="387" t="s">
        <v>12676</v>
      </c>
      <c r="B1956" s="387" t="s">
        <v>5832</v>
      </c>
    </row>
    <row r="1957" spans="1:2">
      <c r="A1957" s="387" t="s">
        <v>12677</v>
      </c>
      <c r="B1957" s="387" t="s">
        <v>5974</v>
      </c>
    </row>
    <row r="1958" spans="1:2">
      <c r="A1958" s="387" t="s">
        <v>12678</v>
      </c>
      <c r="B1958" s="387" t="s">
        <v>5976</v>
      </c>
    </row>
    <row r="1959" spans="1:2">
      <c r="A1959" s="387" t="s">
        <v>12679</v>
      </c>
      <c r="B1959" s="387" t="s">
        <v>1494</v>
      </c>
    </row>
    <row r="1960" spans="1:2">
      <c r="A1960" s="387" t="s">
        <v>12680</v>
      </c>
      <c r="B1960" s="387" t="s">
        <v>1542</v>
      </c>
    </row>
    <row r="1961" spans="1:2">
      <c r="A1961" s="387" t="s">
        <v>12681</v>
      </c>
      <c r="B1961" s="387" t="s">
        <v>6005</v>
      </c>
    </row>
    <row r="1962" spans="1:2">
      <c r="A1962" s="387" t="s">
        <v>12682</v>
      </c>
      <c r="B1962" s="387" t="s">
        <v>6057</v>
      </c>
    </row>
    <row r="1963" spans="1:2">
      <c r="A1963" s="387" t="s">
        <v>12683</v>
      </c>
      <c r="B1963" s="387" t="s">
        <v>6059</v>
      </c>
    </row>
    <row r="1964" spans="1:2">
      <c r="A1964" s="387" t="s">
        <v>12684</v>
      </c>
      <c r="B1964" s="387" t="s">
        <v>6082</v>
      </c>
    </row>
    <row r="1965" spans="1:2">
      <c r="A1965" s="387" t="s">
        <v>12685</v>
      </c>
      <c r="B1965" s="387" t="s">
        <v>1325</v>
      </c>
    </row>
    <row r="1966" spans="1:2">
      <c r="A1966" s="387" t="s">
        <v>12686</v>
      </c>
      <c r="B1966" s="387" t="s">
        <v>6101</v>
      </c>
    </row>
    <row r="1967" spans="1:2">
      <c r="A1967" s="387" t="s">
        <v>12687</v>
      </c>
      <c r="B1967" s="387" t="s">
        <v>6177</v>
      </c>
    </row>
    <row r="1968" spans="1:2">
      <c r="A1968" s="387" t="s">
        <v>12688</v>
      </c>
      <c r="B1968" s="387" t="s">
        <v>6192</v>
      </c>
    </row>
    <row r="1969" spans="1:2">
      <c r="A1969" s="387" t="s">
        <v>12689</v>
      </c>
      <c r="B1969" s="387" t="s">
        <v>1599</v>
      </c>
    </row>
    <row r="1970" spans="1:2">
      <c r="A1970" s="387" t="s">
        <v>12690</v>
      </c>
      <c r="B1970" s="387" t="s">
        <v>12691</v>
      </c>
    </row>
    <row r="1971" spans="1:2">
      <c r="A1971" s="387" t="s">
        <v>12692</v>
      </c>
      <c r="B1971" s="387" t="s">
        <v>6295</v>
      </c>
    </row>
    <row r="1972" spans="1:2">
      <c r="A1972" s="387" t="s">
        <v>12693</v>
      </c>
      <c r="B1972" s="387" t="s">
        <v>6297</v>
      </c>
    </row>
    <row r="1973" spans="1:2">
      <c r="A1973" s="387" t="s">
        <v>12694</v>
      </c>
      <c r="B1973" s="387" t="s">
        <v>12695</v>
      </c>
    </row>
    <row r="1974" spans="1:2">
      <c r="A1974" s="387" t="s">
        <v>12696</v>
      </c>
      <c r="B1974" s="387" t="s">
        <v>12697</v>
      </c>
    </row>
    <row r="1975" spans="1:2">
      <c r="A1975" s="387" t="s">
        <v>12698</v>
      </c>
      <c r="B1975" s="387" t="s">
        <v>12699</v>
      </c>
    </row>
    <row r="1976" spans="1:2">
      <c r="A1976" s="387" t="s">
        <v>12700</v>
      </c>
      <c r="B1976" s="387" t="s">
        <v>6381</v>
      </c>
    </row>
    <row r="1977" spans="1:2">
      <c r="A1977" s="387" t="s">
        <v>12701</v>
      </c>
      <c r="B1977" s="387" t="s">
        <v>2990</v>
      </c>
    </row>
    <row r="1978" spans="1:2">
      <c r="A1978" s="387" t="s">
        <v>12702</v>
      </c>
      <c r="B1978" s="387" t="s">
        <v>6451</v>
      </c>
    </row>
    <row r="1979" spans="1:2">
      <c r="A1979" s="387" t="s">
        <v>12703</v>
      </c>
      <c r="B1979" s="387" t="s">
        <v>6519</v>
      </c>
    </row>
    <row r="1980" spans="1:2">
      <c r="A1980" s="387" t="s">
        <v>12704</v>
      </c>
      <c r="B1980" s="387" t="s">
        <v>12705</v>
      </c>
    </row>
    <row r="1981" spans="1:2">
      <c r="A1981" s="387" t="s">
        <v>12706</v>
      </c>
      <c r="B1981" s="387" t="s">
        <v>6544</v>
      </c>
    </row>
    <row r="1982" spans="1:2">
      <c r="A1982" s="387" t="s">
        <v>12707</v>
      </c>
      <c r="B1982" s="387" t="s">
        <v>1309</v>
      </c>
    </row>
    <row r="1983" spans="1:2">
      <c r="A1983" s="387" t="s">
        <v>12708</v>
      </c>
      <c r="B1983" s="387" t="s">
        <v>12709</v>
      </c>
    </row>
    <row r="1984" spans="1:2">
      <c r="A1984" s="387" t="s">
        <v>12710</v>
      </c>
      <c r="B1984" s="387" t="s">
        <v>6754</v>
      </c>
    </row>
    <row r="1985" spans="1:2">
      <c r="A1985" s="387" t="s">
        <v>12711</v>
      </c>
      <c r="B1985" s="387" t="s">
        <v>6903</v>
      </c>
    </row>
    <row r="1986" spans="1:2">
      <c r="A1986" s="387" t="s">
        <v>12712</v>
      </c>
      <c r="B1986" s="387" t="s">
        <v>7065</v>
      </c>
    </row>
    <row r="1987" spans="1:2">
      <c r="A1987" s="387" t="s">
        <v>12713</v>
      </c>
      <c r="B1987" s="387" t="s">
        <v>12714</v>
      </c>
    </row>
    <row r="1988" spans="1:2">
      <c r="A1988" s="387" t="s">
        <v>12715</v>
      </c>
      <c r="B1988" s="387" t="s">
        <v>1070</v>
      </c>
    </row>
    <row r="1989" spans="1:2">
      <c r="A1989" s="387" t="s">
        <v>12716</v>
      </c>
      <c r="B1989" s="387" t="s">
        <v>12717</v>
      </c>
    </row>
    <row r="1990" spans="1:2">
      <c r="A1990" s="387" t="s">
        <v>12718</v>
      </c>
      <c r="B1990" s="387" t="s">
        <v>12719</v>
      </c>
    </row>
    <row r="1991" spans="1:2">
      <c r="A1991" s="387" t="s">
        <v>12720</v>
      </c>
      <c r="B1991" s="387" t="s">
        <v>7854</v>
      </c>
    </row>
    <row r="1992" spans="1:2">
      <c r="A1992" s="387" t="s">
        <v>12721</v>
      </c>
      <c r="B1992" s="387" t="s">
        <v>7856</v>
      </c>
    </row>
    <row r="1993" spans="1:2">
      <c r="A1993" s="387" t="s">
        <v>12722</v>
      </c>
      <c r="B1993" s="387" t="s">
        <v>12723</v>
      </c>
    </row>
    <row r="1994" spans="1:2">
      <c r="A1994" s="387" t="s">
        <v>12724</v>
      </c>
      <c r="B1994" s="387" t="s">
        <v>7860</v>
      </c>
    </row>
    <row r="1995" spans="1:2">
      <c r="A1995" s="387" t="s">
        <v>12725</v>
      </c>
      <c r="B1995" s="387" t="s">
        <v>7862</v>
      </c>
    </row>
    <row r="1996" spans="1:2">
      <c r="A1996" s="387" t="s">
        <v>12726</v>
      </c>
      <c r="B1996" s="387" t="s">
        <v>1919</v>
      </c>
    </row>
    <row r="1997" spans="1:2">
      <c r="A1997" s="387" t="s">
        <v>12727</v>
      </c>
      <c r="B1997" s="387" t="s">
        <v>7865</v>
      </c>
    </row>
    <row r="1998" spans="1:2">
      <c r="A1998" s="387" t="s">
        <v>12728</v>
      </c>
      <c r="B1998" s="387" t="s">
        <v>12729</v>
      </c>
    </row>
    <row r="1999" spans="1:2">
      <c r="A1999" s="387" t="s">
        <v>12730</v>
      </c>
      <c r="B1999" s="387" t="s">
        <v>7867</v>
      </c>
    </row>
    <row r="2000" spans="1:2">
      <c r="A2000" s="387" t="s">
        <v>12731</v>
      </c>
      <c r="B2000" s="387" t="s">
        <v>7869</v>
      </c>
    </row>
    <row r="2001" spans="1:2">
      <c r="A2001" s="387" t="s">
        <v>12732</v>
      </c>
      <c r="B2001" s="387" t="s">
        <v>1364</v>
      </c>
    </row>
    <row r="2002" spans="1:2">
      <c r="A2002" s="387" t="s">
        <v>12733</v>
      </c>
      <c r="B2002" s="387" t="s">
        <v>938</v>
      </c>
    </row>
    <row r="2003" spans="1:2">
      <c r="A2003" s="387" t="s">
        <v>12734</v>
      </c>
      <c r="B2003" s="387" t="s">
        <v>2831</v>
      </c>
    </row>
    <row r="2004" spans="1:2">
      <c r="A2004" s="387" t="s">
        <v>12735</v>
      </c>
      <c r="B2004" s="387" t="s">
        <v>7874</v>
      </c>
    </row>
    <row r="2005" spans="1:2">
      <c r="A2005" s="387" t="s">
        <v>12736</v>
      </c>
      <c r="B2005" s="387" t="s">
        <v>3407</v>
      </c>
    </row>
    <row r="2006" spans="1:2">
      <c r="A2006" s="387" t="s">
        <v>12737</v>
      </c>
      <c r="B2006" s="387" t="s">
        <v>7877</v>
      </c>
    </row>
    <row r="2007" spans="1:2">
      <c r="A2007" s="387" t="s">
        <v>12738</v>
      </c>
      <c r="B2007" s="387" t="s">
        <v>7879</v>
      </c>
    </row>
    <row r="2008" spans="1:2">
      <c r="A2008" s="387" t="s">
        <v>12739</v>
      </c>
      <c r="B2008" s="387" t="s">
        <v>8052</v>
      </c>
    </row>
    <row r="2009" spans="1:2">
      <c r="A2009" s="387" t="s">
        <v>12740</v>
      </c>
      <c r="B2009" s="387" t="s">
        <v>8054</v>
      </c>
    </row>
    <row r="2010" spans="1:2">
      <c r="A2010" s="387" t="s">
        <v>12741</v>
      </c>
      <c r="B2010" s="387" t="s">
        <v>12742</v>
      </c>
    </row>
    <row r="2011" spans="1:2">
      <c r="A2011" s="387" t="s">
        <v>12743</v>
      </c>
      <c r="B2011" s="387" t="s">
        <v>3209</v>
      </c>
    </row>
    <row r="2012" spans="1:2">
      <c r="A2012" s="387" t="s">
        <v>12744</v>
      </c>
      <c r="B2012" s="387" t="s">
        <v>2984</v>
      </c>
    </row>
    <row r="2013" spans="1:2">
      <c r="A2013" s="387" t="s">
        <v>12745</v>
      </c>
      <c r="B2013" s="387" t="s">
        <v>1309</v>
      </c>
    </row>
    <row r="2014" spans="1:2">
      <c r="A2014" s="387" t="s">
        <v>12746</v>
      </c>
      <c r="B2014" s="387" t="s">
        <v>12747</v>
      </c>
    </row>
    <row r="2015" spans="1:2">
      <c r="A2015" s="387" t="s">
        <v>12748</v>
      </c>
      <c r="B2015" s="387" t="s">
        <v>12749</v>
      </c>
    </row>
    <row r="2016" spans="1:2">
      <c r="A2016" s="387" t="s">
        <v>12750</v>
      </c>
      <c r="B2016" s="387" t="s">
        <v>12751</v>
      </c>
    </row>
    <row r="2017" spans="1:2">
      <c r="A2017" s="387" t="s">
        <v>12752</v>
      </c>
      <c r="B2017" s="387" t="s">
        <v>8117</v>
      </c>
    </row>
    <row r="2018" spans="1:2">
      <c r="A2018" s="387" t="s">
        <v>12753</v>
      </c>
      <c r="B2018" s="387" t="s">
        <v>12754</v>
      </c>
    </row>
    <row r="2019" spans="1:2">
      <c r="A2019" s="387" t="s">
        <v>12755</v>
      </c>
      <c r="B2019" s="387" t="s">
        <v>8119</v>
      </c>
    </row>
    <row r="2020" spans="1:2">
      <c r="A2020" s="387" t="s">
        <v>12756</v>
      </c>
      <c r="B2020" s="387" t="s">
        <v>6104</v>
      </c>
    </row>
    <row r="2021" spans="1:2">
      <c r="A2021" s="387" t="s">
        <v>12757</v>
      </c>
      <c r="B2021" s="387" t="s">
        <v>12758</v>
      </c>
    </row>
    <row r="2022" spans="1:2">
      <c r="A2022" s="387" t="s">
        <v>12759</v>
      </c>
      <c r="B2022" s="387" t="s">
        <v>12760</v>
      </c>
    </row>
    <row r="2023" spans="1:2">
      <c r="A2023" s="387" t="s">
        <v>12761</v>
      </c>
      <c r="B2023" s="387" t="s">
        <v>12762</v>
      </c>
    </row>
    <row r="2024" spans="1:2">
      <c r="A2024" s="387" t="s">
        <v>12763</v>
      </c>
      <c r="B2024" s="387" t="s">
        <v>12764</v>
      </c>
    </row>
    <row r="2025" spans="1:2">
      <c r="A2025" s="387" t="s">
        <v>12765</v>
      </c>
      <c r="B2025" s="387" t="s">
        <v>12766</v>
      </c>
    </row>
    <row r="2026" spans="1:2">
      <c r="A2026" s="387" t="s">
        <v>12767</v>
      </c>
      <c r="B2026" s="387" t="s">
        <v>12768</v>
      </c>
    </row>
    <row r="2027" spans="1:2">
      <c r="A2027" s="387" t="s">
        <v>12769</v>
      </c>
      <c r="B2027" s="387" t="s">
        <v>12770</v>
      </c>
    </row>
    <row r="2028" spans="1:2">
      <c r="A2028" s="387" t="s">
        <v>12771</v>
      </c>
      <c r="B2028" s="387" t="s">
        <v>2229</v>
      </c>
    </row>
    <row r="2029" spans="1:2">
      <c r="A2029" s="387" t="s">
        <v>12772</v>
      </c>
      <c r="B2029" s="387" t="s">
        <v>8415</v>
      </c>
    </row>
    <row r="2030" spans="1:2">
      <c r="A2030" s="387" t="s">
        <v>12773</v>
      </c>
      <c r="B2030" s="387" t="s">
        <v>3342</v>
      </c>
    </row>
    <row r="2031" spans="1:2">
      <c r="A2031" s="387" t="s">
        <v>12774</v>
      </c>
      <c r="B2031" s="387" t="s">
        <v>8130</v>
      </c>
    </row>
    <row r="2032" spans="1:2">
      <c r="A2032" s="387" t="s">
        <v>12775</v>
      </c>
      <c r="B2032" s="387" t="s">
        <v>8132</v>
      </c>
    </row>
    <row r="2033" spans="1:2">
      <c r="A2033" s="387" t="s">
        <v>12776</v>
      </c>
      <c r="B2033" s="387" t="s">
        <v>4502</v>
      </c>
    </row>
    <row r="2034" spans="1:2">
      <c r="A2034" s="387" t="s">
        <v>12777</v>
      </c>
      <c r="B2034" s="387" t="s">
        <v>8166</v>
      </c>
    </row>
    <row r="2035" spans="1:2">
      <c r="A2035" s="387" t="s">
        <v>12778</v>
      </c>
      <c r="B2035" s="387" t="s">
        <v>8787</v>
      </c>
    </row>
    <row r="2036" spans="1:2">
      <c r="A2036" s="387" t="s">
        <v>12779</v>
      </c>
      <c r="B2036" s="387" t="s">
        <v>1327</v>
      </c>
    </row>
    <row r="2037" spans="1:2">
      <c r="A2037" s="387" t="s">
        <v>12780</v>
      </c>
      <c r="B2037" s="387" t="s">
        <v>8175</v>
      </c>
    </row>
    <row r="2038" spans="1:2">
      <c r="A2038" s="387" t="s">
        <v>12781</v>
      </c>
      <c r="B2038" s="387" t="s">
        <v>3416</v>
      </c>
    </row>
    <row r="2039" spans="1:2">
      <c r="A2039" s="387" t="s">
        <v>12782</v>
      </c>
      <c r="B2039" s="387" t="s">
        <v>12783</v>
      </c>
    </row>
    <row r="2040" spans="1:2">
      <c r="A2040" s="387" t="s">
        <v>12784</v>
      </c>
      <c r="B2040" s="387" t="s">
        <v>8222</v>
      </c>
    </row>
    <row r="2041" spans="1:2">
      <c r="A2041" s="387" t="s">
        <v>12785</v>
      </c>
      <c r="B2041" s="387" t="s">
        <v>8440</v>
      </c>
    </row>
    <row r="2042" spans="1:2">
      <c r="A2042" s="387" t="s">
        <v>12786</v>
      </c>
      <c r="B2042" s="387" t="s">
        <v>12787</v>
      </c>
    </row>
    <row r="2043" spans="1:2">
      <c r="A2043" s="387" t="s">
        <v>12788</v>
      </c>
      <c r="B2043" s="387" t="s">
        <v>8249</v>
      </c>
    </row>
    <row r="2044" spans="1:2">
      <c r="A2044" s="387" t="s">
        <v>12789</v>
      </c>
      <c r="B2044" s="387" t="s">
        <v>3736</v>
      </c>
    </row>
    <row r="2045" spans="1:2">
      <c r="A2045" s="387" t="s">
        <v>12790</v>
      </c>
      <c r="B2045" s="387" t="s">
        <v>12791</v>
      </c>
    </row>
    <row r="2046" spans="1:2">
      <c r="A2046" s="387" t="s">
        <v>12792</v>
      </c>
      <c r="B2046" s="387" t="s">
        <v>8257</v>
      </c>
    </row>
    <row r="2047" spans="1:2">
      <c r="A2047" s="387" t="s">
        <v>12793</v>
      </c>
      <c r="B2047" s="387" t="s">
        <v>3747</v>
      </c>
    </row>
    <row r="2048" spans="1:2">
      <c r="A2048" s="387" t="s">
        <v>12794</v>
      </c>
      <c r="B2048" s="387" t="s">
        <v>8270</v>
      </c>
    </row>
    <row r="2049" spans="1:2">
      <c r="A2049" s="387" t="s">
        <v>12795</v>
      </c>
      <c r="B2049" s="387" t="s">
        <v>12796</v>
      </c>
    </row>
    <row r="2050" spans="1:2">
      <c r="A2050" s="387" t="s">
        <v>12797</v>
      </c>
      <c r="B2050" s="387" t="s">
        <v>8272</v>
      </c>
    </row>
    <row r="2051" spans="1:2">
      <c r="A2051" s="387" t="s">
        <v>12798</v>
      </c>
      <c r="B2051" s="387" t="s">
        <v>12799</v>
      </c>
    </row>
    <row r="2052" spans="1:2">
      <c r="A2052" s="387" t="s">
        <v>12800</v>
      </c>
      <c r="B2052" s="387" t="s">
        <v>12801</v>
      </c>
    </row>
    <row r="2053" spans="1:2">
      <c r="A2053" s="387" t="s">
        <v>12802</v>
      </c>
      <c r="B2053" s="387" t="s">
        <v>12803</v>
      </c>
    </row>
    <row r="2054" spans="1:2">
      <c r="A2054" s="387" t="s">
        <v>12804</v>
      </c>
      <c r="B2054" s="387" t="s">
        <v>12805</v>
      </c>
    </row>
    <row r="2055" spans="1:2">
      <c r="A2055" s="387" t="s">
        <v>12806</v>
      </c>
      <c r="B2055" s="387" t="s">
        <v>12807</v>
      </c>
    </row>
    <row r="2056" spans="1:2">
      <c r="A2056" s="387" t="s">
        <v>12808</v>
      </c>
      <c r="B2056" s="387" t="s">
        <v>4600</v>
      </c>
    </row>
    <row r="2057" spans="1:2">
      <c r="A2057" s="387" t="s">
        <v>12809</v>
      </c>
      <c r="B2057" s="387" t="s">
        <v>12810</v>
      </c>
    </row>
    <row r="2058" spans="1:2">
      <c r="A2058" s="387" t="s">
        <v>12811</v>
      </c>
      <c r="B2058" s="387" t="s">
        <v>12812</v>
      </c>
    </row>
    <row r="2059" spans="1:2">
      <c r="A2059" s="387" t="s">
        <v>12813</v>
      </c>
      <c r="B2059" s="387" t="s">
        <v>12814</v>
      </c>
    </row>
    <row r="2060" spans="1:2">
      <c r="A2060" s="387" t="s">
        <v>12815</v>
      </c>
      <c r="B2060" s="387" t="s">
        <v>12816</v>
      </c>
    </row>
    <row r="2061" spans="1:2">
      <c r="A2061" s="387" t="s">
        <v>12817</v>
      </c>
      <c r="B2061" s="387" t="s">
        <v>8307</v>
      </c>
    </row>
    <row r="2062" spans="1:2">
      <c r="A2062" s="387" t="s">
        <v>12818</v>
      </c>
      <c r="B2062" s="387" t="s">
        <v>8693</v>
      </c>
    </row>
    <row r="2063" spans="1:2">
      <c r="A2063" s="387" t="s">
        <v>12819</v>
      </c>
      <c r="B2063" s="387" t="s">
        <v>12820</v>
      </c>
    </row>
    <row r="2064" spans="1:2">
      <c r="A2064" s="387" t="s">
        <v>12821</v>
      </c>
      <c r="B2064" s="387" t="s">
        <v>12822</v>
      </c>
    </row>
    <row r="2065" spans="1:2">
      <c r="A2065" s="387" t="s">
        <v>12823</v>
      </c>
      <c r="B2065" s="387" t="s">
        <v>12824</v>
      </c>
    </row>
    <row r="2066" spans="1:2">
      <c r="A2066" s="387" t="s">
        <v>12825</v>
      </c>
      <c r="B2066" s="387" t="s">
        <v>8342</v>
      </c>
    </row>
    <row r="2067" spans="1:2">
      <c r="A2067" s="387" t="s">
        <v>12826</v>
      </c>
      <c r="B2067" s="387" t="s">
        <v>12827</v>
      </c>
    </row>
    <row r="2068" spans="1:2">
      <c r="A2068" s="387" t="s">
        <v>12828</v>
      </c>
      <c r="B2068" s="387" t="s">
        <v>12829</v>
      </c>
    </row>
    <row r="2069" spans="1:2">
      <c r="A2069" s="387" t="s">
        <v>12830</v>
      </c>
      <c r="B2069" s="387" t="s">
        <v>12831</v>
      </c>
    </row>
    <row r="2070" spans="1:2">
      <c r="A2070" s="387" t="s">
        <v>12832</v>
      </c>
      <c r="B2070" s="387" t="s">
        <v>2845</v>
      </c>
    </row>
    <row r="2071" spans="1:2">
      <c r="A2071" s="387" t="s">
        <v>12833</v>
      </c>
      <c r="B2071" s="387" t="s">
        <v>1356</v>
      </c>
    </row>
    <row r="2072" spans="1:2">
      <c r="A2072" s="387" t="s">
        <v>12834</v>
      </c>
      <c r="B2072" s="387" t="s">
        <v>3329</v>
      </c>
    </row>
    <row r="2073" spans="1:2">
      <c r="A2073" s="387" t="s">
        <v>12835</v>
      </c>
      <c r="B2073" s="387" t="s">
        <v>12836</v>
      </c>
    </row>
    <row r="2074" spans="1:2">
      <c r="A2074" s="387" t="s">
        <v>12837</v>
      </c>
      <c r="B2074" s="387" t="s">
        <v>12838</v>
      </c>
    </row>
    <row r="2075" spans="1:2">
      <c r="A2075" s="387" t="s">
        <v>12839</v>
      </c>
      <c r="B2075" s="387" t="s">
        <v>2112</v>
      </c>
    </row>
    <row r="2076" spans="1:2">
      <c r="A2076" s="387" t="s">
        <v>12840</v>
      </c>
      <c r="B2076" s="387" t="s">
        <v>12841</v>
      </c>
    </row>
    <row r="2077" spans="1:2">
      <c r="A2077" s="387" t="s">
        <v>12842</v>
      </c>
      <c r="B2077" s="387" t="s">
        <v>6043</v>
      </c>
    </row>
    <row r="2078" spans="1:2">
      <c r="A2078" s="387" t="s">
        <v>12843</v>
      </c>
      <c r="B2078" s="387" t="s">
        <v>3568</v>
      </c>
    </row>
    <row r="2079" spans="1:2">
      <c r="A2079" s="387" t="s">
        <v>12844</v>
      </c>
      <c r="B2079" s="387" t="s">
        <v>3743</v>
      </c>
    </row>
    <row r="2080" spans="1:2">
      <c r="A2080" s="387" t="s">
        <v>12845</v>
      </c>
      <c r="B2080" s="387" t="s">
        <v>5360</v>
      </c>
    </row>
    <row r="2081" spans="1:2">
      <c r="A2081" s="387" t="s">
        <v>12846</v>
      </c>
      <c r="B2081" s="387" t="s">
        <v>8565</v>
      </c>
    </row>
    <row r="2082" spans="1:2">
      <c r="A2082" s="387" t="s">
        <v>12847</v>
      </c>
      <c r="B2082" s="387" t="s">
        <v>12848</v>
      </c>
    </row>
    <row r="2083" spans="1:2">
      <c r="A2083" s="387" t="s">
        <v>12849</v>
      </c>
      <c r="B2083" s="387" t="s">
        <v>6672</v>
      </c>
    </row>
    <row r="2084" spans="1:2">
      <c r="A2084" s="387" t="s">
        <v>12850</v>
      </c>
      <c r="B2084" s="387" t="s">
        <v>12851</v>
      </c>
    </row>
    <row r="2085" spans="1:2">
      <c r="A2085" s="387" t="s">
        <v>12852</v>
      </c>
      <c r="B2085" s="387" t="s">
        <v>2369</v>
      </c>
    </row>
    <row r="2086" spans="1:2">
      <c r="A2086" s="387" t="s">
        <v>12853</v>
      </c>
      <c r="B2086" s="387" t="s">
        <v>12854</v>
      </c>
    </row>
    <row r="2087" spans="1:2">
      <c r="A2087" s="387" t="s">
        <v>12855</v>
      </c>
      <c r="B2087" s="387" t="s">
        <v>5918</v>
      </c>
    </row>
    <row r="2088" spans="1:2">
      <c r="A2088" s="387" t="s">
        <v>12856</v>
      </c>
      <c r="B2088" s="387" t="s">
        <v>8591</v>
      </c>
    </row>
    <row r="2089" spans="1:2">
      <c r="A2089" s="387" t="s">
        <v>12857</v>
      </c>
      <c r="B2089" s="387" t="s">
        <v>12858</v>
      </c>
    </row>
    <row r="2090" spans="1:2">
      <c r="A2090" s="387" t="s">
        <v>12859</v>
      </c>
      <c r="B2090" s="387" t="s">
        <v>12860</v>
      </c>
    </row>
    <row r="2091" spans="1:2">
      <c r="A2091" s="387" t="s">
        <v>12861</v>
      </c>
      <c r="B2091" s="387" t="s">
        <v>12862</v>
      </c>
    </row>
    <row r="2092" spans="1:2">
      <c r="A2092" s="387" t="s">
        <v>12863</v>
      </c>
      <c r="B2092" s="387" t="s">
        <v>8685</v>
      </c>
    </row>
    <row r="2093" spans="1:2">
      <c r="A2093" s="387" t="s">
        <v>12864</v>
      </c>
      <c r="B2093" s="387" t="s">
        <v>1943</v>
      </c>
    </row>
    <row r="2094" spans="1:2">
      <c r="A2094" s="387" t="s">
        <v>12865</v>
      </c>
      <c r="B2094" s="387" t="s">
        <v>2841</v>
      </c>
    </row>
    <row r="2095" spans="1:2">
      <c r="A2095" s="387" t="s">
        <v>12866</v>
      </c>
      <c r="B2095" s="387" t="s">
        <v>8718</v>
      </c>
    </row>
    <row r="2096" spans="1:2">
      <c r="A2096" s="387" t="s">
        <v>12867</v>
      </c>
      <c r="B2096" s="387" t="s">
        <v>8729</v>
      </c>
    </row>
    <row r="2097" spans="1:2">
      <c r="A2097" s="387" t="s">
        <v>12868</v>
      </c>
      <c r="B2097" s="387" t="s">
        <v>6043</v>
      </c>
    </row>
    <row r="2098" spans="1:2">
      <c r="A2098" s="387" t="s">
        <v>12869</v>
      </c>
      <c r="B2098" s="387" t="s">
        <v>8740</v>
      </c>
    </row>
    <row r="2099" spans="1:2">
      <c r="A2099" s="387" t="s">
        <v>12870</v>
      </c>
      <c r="B2099" s="387" t="s">
        <v>8756</v>
      </c>
    </row>
    <row r="2100" spans="1:2">
      <c r="A2100" s="387" t="s">
        <v>12871</v>
      </c>
      <c r="B2100" s="387" t="s">
        <v>8763</v>
      </c>
    </row>
    <row r="2101" spans="1:2">
      <c r="A2101" s="387" t="s">
        <v>12872</v>
      </c>
      <c r="B2101" s="387" t="s">
        <v>3930</v>
      </c>
    </row>
    <row r="2102" spans="1:2">
      <c r="A2102" s="387" t="s">
        <v>12873</v>
      </c>
      <c r="B2102" s="387" t="s">
        <v>8770</v>
      </c>
    </row>
    <row r="2103" spans="1:2">
      <c r="A2103" s="387" t="s">
        <v>12874</v>
      </c>
      <c r="B2103" s="387" t="s">
        <v>7394</v>
      </c>
    </row>
    <row r="2104" spans="1:2">
      <c r="A2104" s="387" t="s">
        <v>12875</v>
      </c>
      <c r="B2104" s="387" t="s">
        <v>12876</v>
      </c>
    </row>
    <row r="2105" spans="1:2">
      <c r="A2105" s="387" t="s">
        <v>12877</v>
      </c>
      <c r="B2105" s="387" t="s">
        <v>6362</v>
      </c>
    </row>
    <row r="2106" spans="1:2">
      <c r="A2106" s="387" t="s">
        <v>12878</v>
      </c>
      <c r="B2106" s="387" t="s">
        <v>12879</v>
      </c>
    </row>
    <row r="2107" spans="1:2">
      <c r="A2107" s="387" t="s">
        <v>12880</v>
      </c>
      <c r="B2107" s="387" t="s">
        <v>935</v>
      </c>
    </row>
    <row r="2108" spans="1:2">
      <c r="A2108" s="387" t="s">
        <v>12881</v>
      </c>
      <c r="B2108" s="387" t="s">
        <v>1017</v>
      </c>
    </row>
    <row r="2109" spans="1:2">
      <c r="A2109" s="387" t="s">
        <v>12882</v>
      </c>
      <c r="B2109" s="387" t="s">
        <v>1690</v>
      </c>
    </row>
    <row r="2110" spans="1:2">
      <c r="A2110" s="387" t="s">
        <v>12883</v>
      </c>
      <c r="B2110" s="387" t="s">
        <v>1774</v>
      </c>
    </row>
    <row r="2111" spans="1:2">
      <c r="A2111" s="387" t="s">
        <v>12884</v>
      </c>
      <c r="B2111" s="387" t="s">
        <v>2299</v>
      </c>
    </row>
    <row r="2112" spans="1:2">
      <c r="A2112" s="387" t="s">
        <v>12885</v>
      </c>
      <c r="B2112" s="387" t="s">
        <v>2328</v>
      </c>
    </row>
    <row r="2113" spans="1:2">
      <c r="A2113" s="387" t="s">
        <v>12886</v>
      </c>
      <c r="B2113" s="387" t="s">
        <v>2386</v>
      </c>
    </row>
    <row r="2114" spans="1:2">
      <c r="A2114" s="387" t="s">
        <v>12887</v>
      </c>
      <c r="B2114" s="387" t="s">
        <v>2419</v>
      </c>
    </row>
    <row r="2115" spans="1:2">
      <c r="A2115" s="387" t="s">
        <v>12888</v>
      </c>
      <c r="B2115" s="387" t="s">
        <v>2501</v>
      </c>
    </row>
    <row r="2116" spans="1:2">
      <c r="A2116" s="387" t="s">
        <v>12889</v>
      </c>
      <c r="B2116" s="387" t="s">
        <v>2647</v>
      </c>
    </row>
    <row r="2117" spans="1:2">
      <c r="A2117" s="387" t="s">
        <v>12890</v>
      </c>
      <c r="B2117" s="387" t="s">
        <v>2740</v>
      </c>
    </row>
    <row r="2118" spans="1:2">
      <c r="A2118" s="387" t="s">
        <v>12891</v>
      </c>
      <c r="B2118" s="387" t="s">
        <v>2847</v>
      </c>
    </row>
    <row r="2119" spans="1:2">
      <c r="A2119" s="387" t="s">
        <v>12892</v>
      </c>
      <c r="B2119" s="387" t="s">
        <v>2879</v>
      </c>
    </row>
    <row r="2120" spans="1:2">
      <c r="A2120" s="387" t="s">
        <v>12893</v>
      </c>
      <c r="B2120" s="387" t="s">
        <v>12894</v>
      </c>
    </row>
    <row r="2121" spans="1:2">
      <c r="A2121" s="387" t="s">
        <v>12895</v>
      </c>
      <c r="B2121" s="387" t="s">
        <v>3109</v>
      </c>
    </row>
    <row r="2122" spans="1:2">
      <c r="A2122" s="387" t="s">
        <v>12896</v>
      </c>
      <c r="B2122" s="387" t="s">
        <v>3209</v>
      </c>
    </row>
    <row r="2123" spans="1:2">
      <c r="A2123" s="387" t="s">
        <v>12897</v>
      </c>
      <c r="B2123" s="387" t="s">
        <v>3256</v>
      </c>
    </row>
    <row r="2124" spans="1:2">
      <c r="A2124" s="387" t="s">
        <v>12898</v>
      </c>
      <c r="B2124" s="387" t="s">
        <v>3266</v>
      </c>
    </row>
    <row r="2125" spans="1:2">
      <c r="A2125" s="387" t="s">
        <v>12899</v>
      </c>
      <c r="B2125" s="387" t="s">
        <v>3293</v>
      </c>
    </row>
    <row r="2126" spans="1:2">
      <c r="A2126" s="387" t="s">
        <v>12900</v>
      </c>
      <c r="B2126" s="387" t="s">
        <v>3295</v>
      </c>
    </row>
    <row r="2127" spans="1:2">
      <c r="A2127" s="387" t="s">
        <v>12901</v>
      </c>
      <c r="B2127" s="387" t="s">
        <v>3370</v>
      </c>
    </row>
    <row r="2128" spans="1:2">
      <c r="A2128" s="387" t="s">
        <v>12902</v>
      </c>
      <c r="B2128" s="387" t="s">
        <v>3397</v>
      </c>
    </row>
    <row r="2129" spans="1:2">
      <c r="A2129" s="387" t="s">
        <v>12903</v>
      </c>
      <c r="B2129" s="387" t="s">
        <v>3431</v>
      </c>
    </row>
    <row r="2130" spans="1:2">
      <c r="A2130" s="387" t="s">
        <v>12904</v>
      </c>
      <c r="B2130" s="387" t="s">
        <v>3478</v>
      </c>
    </row>
    <row r="2131" spans="1:2">
      <c r="A2131" s="387" t="s">
        <v>12905</v>
      </c>
      <c r="B2131" s="387" t="s">
        <v>3509</v>
      </c>
    </row>
    <row r="2132" spans="1:2">
      <c r="A2132" s="387" t="s">
        <v>12906</v>
      </c>
      <c r="B2132" s="387" t="s">
        <v>3544</v>
      </c>
    </row>
    <row r="2133" spans="1:2">
      <c r="A2133" s="387" t="s">
        <v>12907</v>
      </c>
      <c r="B2133" s="387" t="s">
        <v>12908</v>
      </c>
    </row>
    <row r="2134" spans="1:2">
      <c r="A2134" s="387" t="s">
        <v>12909</v>
      </c>
      <c r="B2134" s="387" t="s">
        <v>1372</v>
      </c>
    </row>
    <row r="2135" spans="1:2">
      <c r="A2135" s="387" t="s">
        <v>12910</v>
      </c>
      <c r="B2135" s="387" t="s">
        <v>3563</v>
      </c>
    </row>
    <row r="2136" spans="1:2">
      <c r="A2136" s="387" t="s">
        <v>12911</v>
      </c>
      <c r="B2136" s="387" t="s">
        <v>3570</v>
      </c>
    </row>
    <row r="2137" spans="1:2">
      <c r="A2137" s="387" t="s">
        <v>12912</v>
      </c>
      <c r="B2137" s="387" t="s">
        <v>1340</v>
      </c>
    </row>
    <row r="2138" spans="1:2">
      <c r="A2138" s="387" t="s">
        <v>12913</v>
      </c>
      <c r="B2138" s="387" t="s">
        <v>3702</v>
      </c>
    </row>
    <row r="2139" spans="1:2">
      <c r="A2139" s="387" t="s">
        <v>12914</v>
      </c>
      <c r="B2139" s="387" t="s">
        <v>3745</v>
      </c>
    </row>
    <row r="2140" spans="1:2">
      <c r="A2140" s="387" t="s">
        <v>12915</v>
      </c>
      <c r="B2140" s="387" t="s">
        <v>3774</v>
      </c>
    </row>
    <row r="2141" spans="1:2">
      <c r="A2141" s="387" t="s">
        <v>12916</v>
      </c>
      <c r="B2141" s="387" t="s">
        <v>3865</v>
      </c>
    </row>
    <row r="2142" spans="1:2">
      <c r="A2142" s="387" t="s">
        <v>12917</v>
      </c>
      <c r="B2142" s="387" t="s">
        <v>4210</v>
      </c>
    </row>
    <row r="2143" spans="1:2">
      <c r="A2143" s="387" t="s">
        <v>12918</v>
      </c>
      <c r="B2143" s="387" t="s">
        <v>4225</v>
      </c>
    </row>
    <row r="2144" spans="1:2">
      <c r="A2144" s="387" t="s">
        <v>12919</v>
      </c>
      <c r="B2144" s="387" t="s">
        <v>4258</v>
      </c>
    </row>
    <row r="2145" spans="1:2">
      <c r="A2145" s="387" t="s">
        <v>12920</v>
      </c>
      <c r="B2145" s="387" t="s">
        <v>1057</v>
      </c>
    </row>
    <row r="2146" spans="1:2">
      <c r="A2146" s="387" t="s">
        <v>12921</v>
      </c>
      <c r="B2146" s="387" t="s">
        <v>4355</v>
      </c>
    </row>
    <row r="2147" spans="1:2">
      <c r="A2147" s="387" t="s">
        <v>12922</v>
      </c>
      <c r="B2147" s="387" t="s">
        <v>4396</v>
      </c>
    </row>
    <row r="2148" spans="1:2">
      <c r="A2148" s="387" t="s">
        <v>12923</v>
      </c>
      <c r="B2148" s="387" t="s">
        <v>2511</v>
      </c>
    </row>
    <row r="2149" spans="1:2">
      <c r="A2149" s="387" t="s">
        <v>12924</v>
      </c>
      <c r="B2149" s="387" t="s">
        <v>4632</v>
      </c>
    </row>
    <row r="2150" spans="1:2">
      <c r="A2150" s="387" t="s">
        <v>12925</v>
      </c>
      <c r="B2150" s="387" t="s">
        <v>4676</v>
      </c>
    </row>
    <row r="2151" spans="1:2">
      <c r="A2151" s="387" t="s">
        <v>12926</v>
      </c>
      <c r="B2151" s="387" t="s">
        <v>12927</v>
      </c>
    </row>
    <row r="2152" spans="1:2">
      <c r="A2152" s="387" t="s">
        <v>12928</v>
      </c>
      <c r="B2152" s="387" t="s">
        <v>12929</v>
      </c>
    </row>
    <row r="2153" spans="1:2">
      <c r="A2153" s="387" t="s">
        <v>12930</v>
      </c>
      <c r="B2153" s="387" t="s">
        <v>4857</v>
      </c>
    </row>
    <row r="2154" spans="1:2">
      <c r="A2154" s="387" t="s">
        <v>12931</v>
      </c>
      <c r="B2154" s="387" t="s">
        <v>12932</v>
      </c>
    </row>
    <row r="2155" spans="1:2">
      <c r="A2155" s="387" t="s">
        <v>12933</v>
      </c>
      <c r="B2155" s="387" t="s">
        <v>4891</v>
      </c>
    </row>
    <row r="2156" spans="1:2">
      <c r="A2156" s="387" t="s">
        <v>12934</v>
      </c>
      <c r="B2156" s="387" t="s">
        <v>3012</v>
      </c>
    </row>
    <row r="2157" spans="1:2">
      <c r="A2157" s="387" t="s">
        <v>12935</v>
      </c>
      <c r="B2157" s="387" t="s">
        <v>12936</v>
      </c>
    </row>
    <row r="2158" spans="1:2">
      <c r="A2158" s="387" t="s">
        <v>12937</v>
      </c>
      <c r="B2158" s="387" t="s">
        <v>1128</v>
      </c>
    </row>
    <row r="2159" spans="1:2">
      <c r="A2159" s="387" t="s">
        <v>12938</v>
      </c>
      <c r="B2159" s="387" t="s">
        <v>12939</v>
      </c>
    </row>
    <row r="2160" spans="1:2">
      <c r="A2160" s="387" t="s">
        <v>12940</v>
      </c>
      <c r="B2160" s="387" t="s">
        <v>3516</v>
      </c>
    </row>
    <row r="2161" spans="1:2">
      <c r="A2161" s="387" t="s">
        <v>12941</v>
      </c>
      <c r="B2161" s="387" t="s">
        <v>5249</v>
      </c>
    </row>
    <row r="2162" spans="1:2">
      <c r="A2162" s="387" t="s">
        <v>12942</v>
      </c>
      <c r="B2162" s="387" t="s">
        <v>5308</v>
      </c>
    </row>
    <row r="2163" spans="1:2">
      <c r="A2163" s="387" t="s">
        <v>12943</v>
      </c>
      <c r="B2163" s="387" t="s">
        <v>12944</v>
      </c>
    </row>
    <row r="2164" spans="1:2">
      <c r="A2164" s="387" t="s">
        <v>12945</v>
      </c>
      <c r="B2164" s="387" t="s">
        <v>5424</v>
      </c>
    </row>
    <row r="2165" spans="1:2">
      <c r="A2165" s="387" t="s">
        <v>12946</v>
      </c>
      <c r="B2165" s="387" t="s">
        <v>5429</v>
      </c>
    </row>
    <row r="2166" spans="1:2">
      <c r="A2166" s="387" t="s">
        <v>12947</v>
      </c>
      <c r="B2166" s="387" t="s">
        <v>5433</v>
      </c>
    </row>
    <row r="2167" spans="1:2">
      <c r="A2167" s="387" t="s">
        <v>12948</v>
      </c>
      <c r="B2167" s="387" t="s">
        <v>12949</v>
      </c>
    </row>
    <row r="2168" spans="1:2">
      <c r="A2168" s="387" t="s">
        <v>12950</v>
      </c>
      <c r="B2168" s="387" t="s">
        <v>12951</v>
      </c>
    </row>
    <row r="2169" spans="1:2">
      <c r="A2169" s="387" t="s">
        <v>12952</v>
      </c>
      <c r="B2169" s="387" t="s">
        <v>12953</v>
      </c>
    </row>
    <row r="2170" spans="1:2">
      <c r="A2170" s="387" t="s">
        <v>12954</v>
      </c>
      <c r="B2170" s="387" t="s">
        <v>5592</v>
      </c>
    </row>
    <row r="2171" spans="1:2">
      <c r="A2171" s="387" t="s">
        <v>12955</v>
      </c>
      <c r="B2171" s="387" t="s">
        <v>12956</v>
      </c>
    </row>
    <row r="2172" spans="1:2">
      <c r="A2172" s="387" t="s">
        <v>12957</v>
      </c>
      <c r="B2172" s="387" t="s">
        <v>12958</v>
      </c>
    </row>
    <row r="2173" spans="1:2">
      <c r="A2173" s="387" t="s">
        <v>12959</v>
      </c>
      <c r="B2173" s="387" t="s">
        <v>5707</v>
      </c>
    </row>
    <row r="2174" spans="1:2">
      <c r="A2174" s="387" t="s">
        <v>12960</v>
      </c>
      <c r="B2174" s="387" t="s">
        <v>5711</v>
      </c>
    </row>
    <row r="2175" spans="1:2">
      <c r="A2175" s="387" t="s">
        <v>12961</v>
      </c>
      <c r="B2175" s="387" t="s">
        <v>2535</v>
      </c>
    </row>
    <row r="2176" spans="1:2">
      <c r="A2176" s="387" t="s">
        <v>12962</v>
      </c>
      <c r="B2176" s="387" t="s">
        <v>5834</v>
      </c>
    </row>
    <row r="2177" spans="1:2">
      <c r="A2177" s="387" t="s">
        <v>12963</v>
      </c>
      <c r="B2177" s="387" t="s">
        <v>1175</v>
      </c>
    </row>
    <row r="2178" spans="1:2">
      <c r="A2178" s="387" t="s">
        <v>12964</v>
      </c>
      <c r="B2178" s="387" t="s">
        <v>5855</v>
      </c>
    </row>
    <row r="2179" spans="1:2">
      <c r="A2179" s="387" t="s">
        <v>12965</v>
      </c>
      <c r="B2179" s="387" t="s">
        <v>5887</v>
      </c>
    </row>
    <row r="2180" spans="1:2">
      <c r="A2180" s="387" t="s">
        <v>12966</v>
      </c>
      <c r="B2180" s="387" t="s">
        <v>2647</v>
      </c>
    </row>
    <row r="2181" spans="1:2">
      <c r="A2181" s="387" t="s">
        <v>12967</v>
      </c>
      <c r="B2181" s="387" t="s">
        <v>2551</v>
      </c>
    </row>
    <row r="2182" spans="1:2">
      <c r="A2182" s="387" t="s">
        <v>12968</v>
      </c>
      <c r="B2182" s="387" t="s">
        <v>6011</v>
      </c>
    </row>
    <row r="2183" spans="1:2">
      <c r="A2183" s="387" t="s">
        <v>12969</v>
      </c>
      <c r="B2183" s="387" t="s">
        <v>6020</v>
      </c>
    </row>
    <row r="2184" spans="1:2">
      <c r="A2184" s="387" t="s">
        <v>12970</v>
      </c>
      <c r="B2184" s="387" t="s">
        <v>6118</v>
      </c>
    </row>
    <row r="2185" spans="1:2">
      <c r="A2185" s="387" t="s">
        <v>12971</v>
      </c>
      <c r="B2185" s="387" t="s">
        <v>6175</v>
      </c>
    </row>
    <row r="2186" spans="1:2">
      <c r="A2186" s="387" t="s">
        <v>12972</v>
      </c>
      <c r="B2186" s="387" t="s">
        <v>1128</v>
      </c>
    </row>
    <row r="2187" spans="1:2">
      <c r="A2187" s="387" t="s">
        <v>12973</v>
      </c>
      <c r="B2187" s="387" t="s">
        <v>3693</v>
      </c>
    </row>
    <row r="2188" spans="1:2">
      <c r="A2188" s="387" t="s">
        <v>12974</v>
      </c>
      <c r="B2188" s="387" t="s">
        <v>2150</v>
      </c>
    </row>
    <row r="2189" spans="1:2">
      <c r="A2189" s="387" t="s">
        <v>12975</v>
      </c>
      <c r="B2189" s="387" t="s">
        <v>12976</v>
      </c>
    </row>
    <row r="2190" spans="1:2">
      <c r="A2190" s="387" t="s">
        <v>12977</v>
      </c>
      <c r="B2190" s="387" t="s">
        <v>6259</v>
      </c>
    </row>
    <row r="2191" spans="1:2">
      <c r="A2191" s="387" t="s">
        <v>12978</v>
      </c>
      <c r="B2191" s="387" t="s">
        <v>6293</v>
      </c>
    </row>
    <row r="2192" spans="1:2">
      <c r="A2192" s="387" t="s">
        <v>12979</v>
      </c>
      <c r="B2192" s="387" t="s">
        <v>3778</v>
      </c>
    </row>
    <row r="2193" spans="1:2">
      <c r="A2193" s="387" t="s">
        <v>12980</v>
      </c>
      <c r="B2193" s="387" t="s">
        <v>6329</v>
      </c>
    </row>
    <row r="2194" spans="1:2">
      <c r="A2194" s="387" t="s">
        <v>12981</v>
      </c>
      <c r="B2194" s="387" t="s">
        <v>6387</v>
      </c>
    </row>
    <row r="2195" spans="1:2">
      <c r="A2195" s="387" t="s">
        <v>12982</v>
      </c>
      <c r="B2195" s="387" t="s">
        <v>12983</v>
      </c>
    </row>
    <row r="2196" spans="1:2">
      <c r="A2196" s="387" t="s">
        <v>12984</v>
      </c>
      <c r="B2196" s="387" t="s">
        <v>2405</v>
      </c>
    </row>
    <row r="2197" spans="1:2">
      <c r="A2197" s="387" t="s">
        <v>12985</v>
      </c>
      <c r="B2197" s="387" t="s">
        <v>6474</v>
      </c>
    </row>
    <row r="2198" spans="1:2">
      <c r="A2198" s="387" t="s">
        <v>12986</v>
      </c>
      <c r="B2198" s="387" t="s">
        <v>12987</v>
      </c>
    </row>
    <row r="2199" spans="1:2">
      <c r="A2199" s="387" t="s">
        <v>12988</v>
      </c>
      <c r="B2199" s="387" t="s">
        <v>6536</v>
      </c>
    </row>
    <row r="2200" spans="1:2">
      <c r="A2200" s="387" t="s">
        <v>12989</v>
      </c>
      <c r="B2200" s="387" t="s">
        <v>6574</v>
      </c>
    </row>
    <row r="2201" spans="1:2">
      <c r="A2201" s="387" t="s">
        <v>12990</v>
      </c>
      <c r="B2201" s="387" t="s">
        <v>6576</v>
      </c>
    </row>
    <row r="2202" spans="1:2">
      <c r="A2202" s="387" t="s">
        <v>12991</v>
      </c>
      <c r="B2202" s="387" t="s">
        <v>6584</v>
      </c>
    </row>
    <row r="2203" spans="1:2">
      <c r="A2203" s="387" t="s">
        <v>12992</v>
      </c>
      <c r="B2203" s="387" t="s">
        <v>6604</v>
      </c>
    </row>
    <row r="2204" spans="1:2">
      <c r="A2204" s="387" t="s">
        <v>12993</v>
      </c>
      <c r="B2204" s="387" t="s">
        <v>1767</v>
      </c>
    </row>
    <row r="2205" spans="1:2">
      <c r="A2205" s="387" t="s">
        <v>12994</v>
      </c>
      <c r="B2205" s="387" t="s">
        <v>12995</v>
      </c>
    </row>
    <row r="2206" spans="1:2">
      <c r="A2206" s="387" t="s">
        <v>12996</v>
      </c>
      <c r="B2206" s="387" t="s">
        <v>3008</v>
      </c>
    </row>
    <row r="2207" spans="1:2">
      <c r="A2207" s="387" t="s">
        <v>12997</v>
      </c>
      <c r="B2207" s="387" t="s">
        <v>6750</v>
      </c>
    </row>
    <row r="2208" spans="1:2">
      <c r="A2208" s="387" t="s">
        <v>12998</v>
      </c>
      <c r="B2208" s="387" t="s">
        <v>6752</v>
      </c>
    </row>
    <row r="2209" spans="1:2">
      <c r="A2209" s="387" t="s">
        <v>12999</v>
      </c>
      <c r="B2209" s="387" t="s">
        <v>13000</v>
      </c>
    </row>
    <row r="2210" spans="1:2">
      <c r="A2210" s="387" t="s">
        <v>13001</v>
      </c>
      <c r="B2210" s="387" t="s">
        <v>6819</v>
      </c>
    </row>
    <row r="2211" spans="1:2">
      <c r="A2211" s="387" t="s">
        <v>13002</v>
      </c>
      <c r="B2211" s="387" t="s">
        <v>13003</v>
      </c>
    </row>
    <row r="2212" spans="1:2">
      <c r="A2212" s="387" t="s">
        <v>13004</v>
      </c>
      <c r="B2212" s="387" t="s">
        <v>13005</v>
      </c>
    </row>
    <row r="2213" spans="1:2">
      <c r="A2213" s="387" t="s">
        <v>13006</v>
      </c>
      <c r="B2213" s="387" t="s">
        <v>6840</v>
      </c>
    </row>
    <row r="2214" spans="1:2">
      <c r="A2214" s="387" t="s">
        <v>13007</v>
      </c>
      <c r="B2214" s="387" t="s">
        <v>13008</v>
      </c>
    </row>
    <row r="2215" spans="1:2">
      <c r="A2215" s="387" t="s">
        <v>13009</v>
      </c>
      <c r="B2215" s="387" t="s">
        <v>6845</v>
      </c>
    </row>
    <row r="2216" spans="1:2">
      <c r="A2216" s="387" t="s">
        <v>13010</v>
      </c>
      <c r="B2216" s="387" t="s">
        <v>13011</v>
      </c>
    </row>
    <row r="2217" spans="1:2">
      <c r="A2217" s="387" t="s">
        <v>13012</v>
      </c>
      <c r="B2217" s="387" t="s">
        <v>13013</v>
      </c>
    </row>
    <row r="2218" spans="1:2">
      <c r="A2218" s="387" t="s">
        <v>13014</v>
      </c>
      <c r="B2218" s="387" t="s">
        <v>6924</v>
      </c>
    </row>
    <row r="2219" spans="1:2">
      <c r="A2219" s="387" t="s">
        <v>13015</v>
      </c>
      <c r="B2219" s="387" t="s">
        <v>6926</v>
      </c>
    </row>
    <row r="2220" spans="1:2">
      <c r="A2220" s="387" t="s">
        <v>13016</v>
      </c>
      <c r="B2220" s="387" t="s">
        <v>13017</v>
      </c>
    </row>
    <row r="2221" spans="1:2">
      <c r="A2221" s="387" t="s">
        <v>13018</v>
      </c>
      <c r="B2221" s="387" t="s">
        <v>13019</v>
      </c>
    </row>
    <row r="2222" spans="1:2">
      <c r="A2222" s="387" t="s">
        <v>13020</v>
      </c>
      <c r="B2222" s="387" t="s">
        <v>13021</v>
      </c>
    </row>
    <row r="2223" spans="1:2">
      <c r="A2223" s="387" t="s">
        <v>13022</v>
      </c>
      <c r="B2223" s="387" t="s">
        <v>13023</v>
      </c>
    </row>
    <row r="2224" spans="1:2">
      <c r="A2224" s="387" t="s">
        <v>13024</v>
      </c>
      <c r="B2224" s="387" t="s">
        <v>1816</v>
      </c>
    </row>
    <row r="2225" spans="1:2">
      <c r="A2225" s="387" t="s">
        <v>13025</v>
      </c>
      <c r="B2225" s="387" t="s">
        <v>5347</v>
      </c>
    </row>
    <row r="2226" spans="1:2">
      <c r="A2226" s="387" t="s">
        <v>13026</v>
      </c>
      <c r="B2226" s="387" t="s">
        <v>3702</v>
      </c>
    </row>
    <row r="2227" spans="1:2">
      <c r="A2227" s="387" t="s">
        <v>203</v>
      </c>
      <c r="B2227" s="387" t="s">
        <v>1407</v>
      </c>
    </row>
    <row r="2228" spans="1:2">
      <c r="A2228" s="387" t="s">
        <v>13027</v>
      </c>
      <c r="B2228" s="387" t="s">
        <v>1863</v>
      </c>
    </row>
    <row r="2229" spans="1:2">
      <c r="A2229" s="387" t="s">
        <v>13028</v>
      </c>
      <c r="B2229" s="387" t="s">
        <v>1900</v>
      </c>
    </row>
    <row r="2230" spans="1:2">
      <c r="A2230" s="387" t="s">
        <v>13029</v>
      </c>
      <c r="B2230" s="387" t="s">
        <v>3181</v>
      </c>
    </row>
    <row r="2231" spans="1:2">
      <c r="A2231" s="387" t="s">
        <v>185</v>
      </c>
      <c r="B2231" s="387" t="s">
        <v>3409</v>
      </c>
    </row>
    <row r="2232" spans="1:2">
      <c r="A2232" s="387" t="s">
        <v>208</v>
      </c>
      <c r="B2232" s="387" t="s">
        <v>3728</v>
      </c>
    </row>
    <row r="2233" spans="1:2">
      <c r="A2233" s="387" t="s">
        <v>13030</v>
      </c>
      <c r="B2233" s="387" t="s">
        <v>4028</v>
      </c>
    </row>
    <row r="2234" spans="1:2">
      <c r="A2234" s="387" t="s">
        <v>13031</v>
      </c>
      <c r="B2234" s="387" t="s">
        <v>5065</v>
      </c>
    </row>
    <row r="2235" spans="1:2">
      <c r="A2235" s="387" t="s">
        <v>204</v>
      </c>
      <c r="B2235" s="387" t="s">
        <v>5400</v>
      </c>
    </row>
    <row r="2236" spans="1:2">
      <c r="A2236" s="387" t="s">
        <v>13032</v>
      </c>
      <c r="B2236" s="387" t="s">
        <v>1879</v>
      </c>
    </row>
    <row r="2237" spans="1:2">
      <c r="A2237" s="387" t="s">
        <v>13033</v>
      </c>
      <c r="B2237" s="387" t="s">
        <v>2629</v>
      </c>
    </row>
    <row r="2238" spans="1:2">
      <c r="A2238" s="387" t="s">
        <v>13034</v>
      </c>
      <c r="B2238" s="387" t="s">
        <v>2831</v>
      </c>
    </row>
    <row r="2239" spans="1:2">
      <c r="A2239" s="387" t="s">
        <v>13035</v>
      </c>
      <c r="B2239" s="387" t="s">
        <v>2849</v>
      </c>
    </row>
    <row r="2240" spans="1:2">
      <c r="A2240" s="387" t="s">
        <v>13036</v>
      </c>
      <c r="B2240" s="387" t="s">
        <v>3029</v>
      </c>
    </row>
    <row r="2241" spans="1:2">
      <c r="A2241" s="387" t="s">
        <v>13037</v>
      </c>
      <c r="B2241" s="387" t="s">
        <v>13038</v>
      </c>
    </row>
    <row r="2242" spans="1:2">
      <c r="A2242" s="387" t="s">
        <v>13039</v>
      </c>
      <c r="B2242" s="387" t="s">
        <v>3372</v>
      </c>
    </row>
    <row r="2243" spans="1:2">
      <c r="A2243" s="387" t="s">
        <v>13040</v>
      </c>
      <c r="B2243" s="387" t="s">
        <v>3470</v>
      </c>
    </row>
    <row r="2244" spans="1:2">
      <c r="A2244" s="387" t="s">
        <v>201</v>
      </c>
      <c r="B2244" s="387" t="s">
        <v>3710</v>
      </c>
    </row>
    <row r="2245" spans="1:2">
      <c r="A2245" s="387" t="s">
        <v>13041</v>
      </c>
      <c r="B2245" s="387" t="s">
        <v>13042</v>
      </c>
    </row>
    <row r="2246" spans="1:2">
      <c r="A2246" s="387" t="s">
        <v>13043</v>
      </c>
      <c r="B2246" s="387" t="s">
        <v>966</v>
      </c>
    </row>
    <row r="2247" spans="1:2">
      <c r="A2247" s="387" t="s">
        <v>207</v>
      </c>
      <c r="B2247" s="387" t="s">
        <v>1171</v>
      </c>
    </row>
    <row r="2248" spans="1:2">
      <c r="A2248" s="387" t="s">
        <v>13044</v>
      </c>
      <c r="B2248" s="387" t="s">
        <v>1510</v>
      </c>
    </row>
    <row r="2249" spans="1:2">
      <c r="A2249" s="387" t="s">
        <v>202</v>
      </c>
      <c r="B2249" s="387" t="s">
        <v>1556</v>
      </c>
    </row>
    <row r="2250" spans="1:2">
      <c r="A2250" s="387" t="s">
        <v>13045</v>
      </c>
      <c r="B2250" s="387" t="s">
        <v>2150</v>
      </c>
    </row>
    <row r="2251" spans="1:2">
      <c r="A2251" s="387" t="s">
        <v>13046</v>
      </c>
      <c r="B2251" s="387" t="s">
        <v>2440</v>
      </c>
    </row>
    <row r="2252" spans="1:2">
      <c r="A2252" s="387" t="s">
        <v>13047</v>
      </c>
      <c r="B2252" s="387" t="s">
        <v>2555</v>
      </c>
    </row>
    <row r="2253" spans="1:2">
      <c r="A2253" s="387" t="s">
        <v>13048</v>
      </c>
      <c r="B2253" s="387" t="s">
        <v>3540</v>
      </c>
    </row>
    <row r="2254" spans="1:2">
      <c r="A2254" s="387" t="s">
        <v>13049</v>
      </c>
      <c r="B2254" s="387" t="s">
        <v>3678</v>
      </c>
    </row>
    <row r="2255" spans="1:2">
      <c r="A2255" s="387" t="s">
        <v>13050</v>
      </c>
      <c r="B2255" s="387" t="s">
        <v>1128</v>
      </c>
    </row>
    <row r="2256" spans="1:2">
      <c r="A2256" s="387" t="s">
        <v>13051</v>
      </c>
      <c r="B2256" s="387" t="s">
        <v>4481</v>
      </c>
    </row>
    <row r="2257" spans="1:2">
      <c r="A2257" s="387" t="s">
        <v>13052</v>
      </c>
      <c r="B2257" s="387" t="s">
        <v>4766</v>
      </c>
    </row>
    <row r="2258" spans="1:2">
      <c r="A2258" s="387" t="s">
        <v>13053</v>
      </c>
      <c r="B2258" s="387" t="s">
        <v>5636</v>
      </c>
    </row>
    <row r="2259" spans="1:2">
      <c r="A2259" s="387" t="s">
        <v>13054</v>
      </c>
      <c r="B2259" s="387" t="s">
        <v>5705</v>
      </c>
    </row>
    <row r="2260" spans="1:2">
      <c r="A2260" s="387" t="s">
        <v>177</v>
      </c>
      <c r="B2260" s="387" t="s">
        <v>6213</v>
      </c>
    </row>
    <row r="2261" spans="1:2">
      <c r="A2261" s="387" t="s">
        <v>205</v>
      </c>
      <c r="B2261" s="387" t="s">
        <v>2262</v>
      </c>
    </row>
    <row r="2262" spans="1:2">
      <c r="A2262" s="387" t="s">
        <v>13055</v>
      </c>
      <c r="B2262" s="387" t="s">
        <v>2997</v>
      </c>
    </row>
    <row r="2263" spans="1:2">
      <c r="A2263" s="387" t="s">
        <v>13056</v>
      </c>
      <c r="B2263" s="387" t="s">
        <v>3496</v>
      </c>
    </row>
    <row r="2264" spans="1:2">
      <c r="A2264" s="387" t="s">
        <v>13057</v>
      </c>
      <c r="B2264" s="387" t="s">
        <v>3867</v>
      </c>
    </row>
    <row r="2265" spans="1:2">
      <c r="A2265" s="387" t="s">
        <v>13058</v>
      </c>
      <c r="B2265" s="387" t="s">
        <v>5617</v>
      </c>
    </row>
    <row r="2266" spans="1:2">
      <c r="A2266" s="387" t="s">
        <v>13059</v>
      </c>
      <c r="B2266" s="387" t="s">
        <v>13060</v>
      </c>
    </row>
    <row r="2267" spans="1:2">
      <c r="A2267" s="387" t="s">
        <v>8004</v>
      </c>
      <c r="B2267" s="387" t="s">
        <v>1009</v>
      </c>
    </row>
    <row r="2268" spans="1:2">
      <c r="A2268" s="387" t="s">
        <v>13061</v>
      </c>
      <c r="B2268" s="387" t="s">
        <v>1208</v>
      </c>
    </row>
    <row r="2269" spans="1:2">
      <c r="A2269" s="387" t="s">
        <v>13062</v>
      </c>
      <c r="B2269" s="387" t="s">
        <v>1808</v>
      </c>
    </row>
    <row r="2270" spans="1:2">
      <c r="A2270" s="387" t="s">
        <v>13063</v>
      </c>
      <c r="B2270" s="387" t="s">
        <v>2547</v>
      </c>
    </row>
    <row r="2271" spans="1:2">
      <c r="A2271" s="387" t="s">
        <v>13064</v>
      </c>
      <c r="B2271" s="387" t="s">
        <v>2639</v>
      </c>
    </row>
    <row r="2272" spans="1:2">
      <c r="A2272" s="387" t="s">
        <v>13065</v>
      </c>
      <c r="B2272" s="387" t="s">
        <v>3041</v>
      </c>
    </row>
    <row r="2273" spans="1:2">
      <c r="A2273" s="387" t="s">
        <v>13066</v>
      </c>
      <c r="B2273" s="387" t="s">
        <v>3074</v>
      </c>
    </row>
    <row r="2274" spans="1:2">
      <c r="A2274" s="387" t="s">
        <v>13067</v>
      </c>
      <c r="B2274" s="387" t="s">
        <v>3126</v>
      </c>
    </row>
    <row r="2275" spans="1:2">
      <c r="A2275" s="387" t="s">
        <v>13068</v>
      </c>
      <c r="B2275" s="387" t="s">
        <v>3557</v>
      </c>
    </row>
    <row r="2276" spans="1:2">
      <c r="A2276" s="387" t="s">
        <v>13069</v>
      </c>
      <c r="B2276" s="387" t="s">
        <v>3565</v>
      </c>
    </row>
    <row r="2277" spans="1:2">
      <c r="A2277" s="387" t="s">
        <v>13070</v>
      </c>
      <c r="B2277" s="387" t="s">
        <v>3955</v>
      </c>
    </row>
    <row r="2278" spans="1:2">
      <c r="A2278" s="387" t="s">
        <v>13071</v>
      </c>
      <c r="B2278" s="387" t="s">
        <v>4052</v>
      </c>
    </row>
    <row r="2279" spans="1:2">
      <c r="A2279" s="387" t="s">
        <v>13072</v>
      </c>
      <c r="B2279" s="387" t="s">
        <v>3568</v>
      </c>
    </row>
    <row r="2280" spans="1:2">
      <c r="A2280" s="387" t="s">
        <v>13073</v>
      </c>
      <c r="B2280" s="387" t="s">
        <v>5049</v>
      </c>
    </row>
    <row r="2281" spans="1:2">
      <c r="A2281" s="387" t="s">
        <v>13074</v>
      </c>
      <c r="B2281" s="387" t="s">
        <v>5590</v>
      </c>
    </row>
    <row r="2282" spans="1:2">
      <c r="A2282" s="387" t="s">
        <v>13075</v>
      </c>
      <c r="B2282" s="387" t="s">
        <v>5709</v>
      </c>
    </row>
    <row r="2283" spans="1:2">
      <c r="A2283" s="387" t="s">
        <v>745</v>
      </c>
      <c r="B2283" s="387" t="s">
        <v>746</v>
      </c>
    </row>
    <row r="2284" spans="1:2">
      <c r="A2284" s="387" t="s">
        <v>156</v>
      </c>
      <c r="B2284" s="387" t="s">
        <v>983</v>
      </c>
    </row>
    <row r="2285" spans="1:2">
      <c r="A2285" s="387" t="s">
        <v>635</v>
      </c>
      <c r="B2285" s="387" t="s">
        <v>1148</v>
      </c>
    </row>
    <row r="2286" spans="1:2">
      <c r="A2286" s="387" t="s">
        <v>13076</v>
      </c>
      <c r="B2286" s="387" t="s">
        <v>1233</v>
      </c>
    </row>
    <row r="2287" spans="1:2">
      <c r="A2287" s="387" t="s">
        <v>13077</v>
      </c>
      <c r="B2287" s="387" t="s">
        <v>1902</v>
      </c>
    </row>
    <row r="2288" spans="1:2">
      <c r="A2288" s="387" t="s">
        <v>13078</v>
      </c>
      <c r="B2288" s="387" t="s">
        <v>2430</v>
      </c>
    </row>
    <row r="2289" spans="1:2">
      <c r="A2289" s="387" t="s">
        <v>502</v>
      </c>
      <c r="B2289" s="387" t="s">
        <v>13079</v>
      </c>
    </row>
    <row r="2290" spans="1:2">
      <c r="A2290" s="387" t="s">
        <v>13080</v>
      </c>
      <c r="B2290" s="387" t="s">
        <v>13081</v>
      </c>
    </row>
    <row r="2291" spans="1:2">
      <c r="A2291" s="387" t="s">
        <v>13082</v>
      </c>
      <c r="B2291" s="387" t="s">
        <v>2830</v>
      </c>
    </row>
    <row r="2292" spans="1:2">
      <c r="A2292" s="387" t="s">
        <v>13083</v>
      </c>
      <c r="B2292" s="387" t="s">
        <v>13084</v>
      </c>
    </row>
    <row r="2293" spans="1:2">
      <c r="A2293" s="387" t="s">
        <v>13085</v>
      </c>
      <c r="B2293" s="387" t="s">
        <v>3759</v>
      </c>
    </row>
    <row r="2294" spans="1:2">
      <c r="A2294" s="387" t="s">
        <v>13086</v>
      </c>
      <c r="B2294" s="387" t="s">
        <v>3889</v>
      </c>
    </row>
    <row r="2295" spans="1:2">
      <c r="A2295" s="387" t="s">
        <v>13087</v>
      </c>
      <c r="B2295" s="387" t="s">
        <v>13088</v>
      </c>
    </row>
    <row r="2296" spans="1:2">
      <c r="A2296" s="387" t="s">
        <v>13089</v>
      </c>
      <c r="B2296" s="387" t="s">
        <v>4330</v>
      </c>
    </row>
    <row r="2297" spans="1:2">
      <c r="A2297" s="387" t="s">
        <v>13090</v>
      </c>
      <c r="B2297" s="387" t="s">
        <v>4587</v>
      </c>
    </row>
    <row r="2298" spans="1:2">
      <c r="A2298" s="387" t="s">
        <v>13091</v>
      </c>
      <c r="B2298" s="387" t="s">
        <v>4592</v>
      </c>
    </row>
    <row r="2299" spans="1:2">
      <c r="A2299" s="387" t="s">
        <v>13092</v>
      </c>
      <c r="B2299" s="387" t="s">
        <v>4665</v>
      </c>
    </row>
    <row r="2300" spans="1:2">
      <c r="A2300" s="387" t="s">
        <v>13093</v>
      </c>
      <c r="B2300" s="387" t="s">
        <v>2839</v>
      </c>
    </row>
    <row r="2301" spans="1:2">
      <c r="A2301" s="387" t="s">
        <v>13094</v>
      </c>
      <c r="B2301" s="387" t="s">
        <v>5167</v>
      </c>
    </row>
    <row r="2302" spans="1:2">
      <c r="A2302" s="387" t="s">
        <v>13095</v>
      </c>
      <c r="B2302" s="387" t="s">
        <v>5169</v>
      </c>
    </row>
    <row r="2303" spans="1:2">
      <c r="A2303" s="387" t="s">
        <v>13096</v>
      </c>
      <c r="B2303" s="387" t="s">
        <v>5257</v>
      </c>
    </row>
    <row r="2304" spans="1:2">
      <c r="A2304" s="387" t="s">
        <v>13097</v>
      </c>
      <c r="B2304" s="387" t="s">
        <v>5280</v>
      </c>
    </row>
    <row r="2305" spans="1:2">
      <c r="A2305" s="387" t="s">
        <v>13098</v>
      </c>
      <c r="B2305" s="387" t="s">
        <v>5289</v>
      </c>
    </row>
    <row r="2306" spans="1:2">
      <c r="A2306" s="387" t="s">
        <v>13099</v>
      </c>
      <c r="B2306" s="387" t="s">
        <v>5291</v>
      </c>
    </row>
    <row r="2307" spans="1:2">
      <c r="A2307" s="387" t="s">
        <v>13100</v>
      </c>
      <c r="B2307" s="387" t="s">
        <v>5303</v>
      </c>
    </row>
    <row r="2308" spans="1:2">
      <c r="A2308" s="387" t="s">
        <v>13101</v>
      </c>
      <c r="B2308" s="387" t="s">
        <v>5312</v>
      </c>
    </row>
    <row r="2309" spans="1:2">
      <c r="A2309" s="387" t="s">
        <v>13102</v>
      </c>
      <c r="B2309" s="387" t="s">
        <v>5315</v>
      </c>
    </row>
    <row r="2310" spans="1:2">
      <c r="A2310" s="387" t="s">
        <v>13103</v>
      </c>
      <c r="B2310" s="387" t="s">
        <v>13104</v>
      </c>
    </row>
    <row r="2311" spans="1:2">
      <c r="A2311" s="387" t="s">
        <v>13105</v>
      </c>
      <c r="B2311" s="387" t="s">
        <v>3066</v>
      </c>
    </row>
    <row r="2312" spans="1:2">
      <c r="A2312" s="387" t="s">
        <v>13106</v>
      </c>
      <c r="B2312" s="387" t="s">
        <v>5474</v>
      </c>
    </row>
    <row r="2313" spans="1:2">
      <c r="A2313" s="387" t="s">
        <v>13107</v>
      </c>
      <c r="B2313" s="387" t="s">
        <v>5524</v>
      </c>
    </row>
    <row r="2314" spans="1:2">
      <c r="A2314" s="387" t="s">
        <v>13108</v>
      </c>
      <c r="B2314" s="387" t="s">
        <v>5551</v>
      </c>
    </row>
    <row r="2315" spans="1:2">
      <c r="A2315" s="387" t="s">
        <v>13109</v>
      </c>
      <c r="B2315" s="387" t="s">
        <v>5568</v>
      </c>
    </row>
    <row r="2316" spans="1:2">
      <c r="A2316" s="387" t="s">
        <v>13110</v>
      </c>
      <c r="B2316" s="387" t="s">
        <v>5664</v>
      </c>
    </row>
    <row r="2317" spans="1:2">
      <c r="A2317" s="387" t="s">
        <v>13111</v>
      </c>
      <c r="B2317" s="387" t="s">
        <v>5671</v>
      </c>
    </row>
    <row r="2318" spans="1:2">
      <c r="A2318" s="387" t="s">
        <v>13112</v>
      </c>
      <c r="B2318" s="387" t="s">
        <v>4200</v>
      </c>
    </row>
    <row r="2319" spans="1:2">
      <c r="A2319" s="387" t="s">
        <v>13113</v>
      </c>
      <c r="B2319" s="387" t="s">
        <v>5686</v>
      </c>
    </row>
    <row r="2320" spans="1:2">
      <c r="A2320" s="387" t="s">
        <v>13114</v>
      </c>
      <c r="B2320" s="387" t="s">
        <v>4465</v>
      </c>
    </row>
    <row r="2321" spans="1:2">
      <c r="A2321" s="387" t="s">
        <v>13115</v>
      </c>
      <c r="B2321" s="387" t="s">
        <v>5061</v>
      </c>
    </row>
    <row r="2322" spans="1:2">
      <c r="A2322" s="387" t="s">
        <v>13116</v>
      </c>
      <c r="B2322" s="387" t="s">
        <v>5941</v>
      </c>
    </row>
    <row r="2323" spans="1:2">
      <c r="A2323" s="387" t="s">
        <v>13117</v>
      </c>
      <c r="B2323" s="387" t="s">
        <v>5943</v>
      </c>
    </row>
    <row r="2324" spans="1:2">
      <c r="A2324" s="387" t="s">
        <v>13118</v>
      </c>
      <c r="B2324" s="387" t="s">
        <v>5951</v>
      </c>
    </row>
    <row r="2325" spans="1:2">
      <c r="A2325" s="387" t="s">
        <v>13119</v>
      </c>
      <c r="B2325" s="387" t="s">
        <v>5970</v>
      </c>
    </row>
    <row r="2326" spans="1:2">
      <c r="A2326" s="387" t="s">
        <v>13120</v>
      </c>
      <c r="B2326" s="387" t="s">
        <v>907</v>
      </c>
    </row>
    <row r="2327" spans="1:2">
      <c r="A2327" s="387" t="s">
        <v>13121</v>
      </c>
      <c r="B2327" s="387" t="s">
        <v>2045</v>
      </c>
    </row>
    <row r="2328" spans="1:2">
      <c r="A2328" s="387" t="s">
        <v>13122</v>
      </c>
      <c r="B2328" s="387" t="s">
        <v>6017</v>
      </c>
    </row>
    <row r="2329" spans="1:2">
      <c r="A2329" s="387" t="s">
        <v>13123</v>
      </c>
      <c r="B2329" s="387" t="s">
        <v>6090</v>
      </c>
    </row>
    <row r="2330" spans="1:2">
      <c r="A2330" s="387" t="s">
        <v>13124</v>
      </c>
      <c r="B2330" s="387" t="s">
        <v>6112</v>
      </c>
    </row>
    <row r="2331" spans="1:2">
      <c r="A2331" s="387" t="s">
        <v>13125</v>
      </c>
      <c r="B2331" s="387" t="s">
        <v>6114</v>
      </c>
    </row>
    <row r="2332" spans="1:2">
      <c r="A2332" s="387" t="s">
        <v>13126</v>
      </c>
      <c r="B2332" s="387" t="s">
        <v>6184</v>
      </c>
    </row>
    <row r="2333" spans="1:2">
      <c r="A2333" s="387" t="s">
        <v>13127</v>
      </c>
      <c r="B2333" s="387" t="s">
        <v>6221</v>
      </c>
    </row>
    <row r="2334" spans="1:2">
      <c r="A2334" s="387" t="s">
        <v>13128</v>
      </c>
      <c r="B2334" s="387" t="s">
        <v>6223</v>
      </c>
    </row>
    <row r="2335" spans="1:2">
      <c r="A2335" s="387" t="s">
        <v>13129</v>
      </c>
      <c r="B2335" s="387" t="s">
        <v>6240</v>
      </c>
    </row>
    <row r="2336" spans="1:2">
      <c r="A2336" s="387" t="s">
        <v>13130</v>
      </c>
      <c r="B2336" s="387" t="s">
        <v>1340</v>
      </c>
    </row>
    <row r="2337" spans="1:2">
      <c r="A2337" s="387" t="s">
        <v>13131</v>
      </c>
      <c r="B2337" s="387" t="s">
        <v>6439</v>
      </c>
    </row>
    <row r="2338" spans="1:2">
      <c r="A2338" s="387" t="s">
        <v>13132</v>
      </c>
      <c r="B2338" s="387" t="s">
        <v>6507</v>
      </c>
    </row>
    <row r="2339" spans="1:2">
      <c r="A2339" s="387" t="s">
        <v>13133</v>
      </c>
      <c r="B2339" s="387" t="s">
        <v>2280</v>
      </c>
    </row>
    <row r="2340" spans="1:2">
      <c r="A2340" s="387" t="s">
        <v>13134</v>
      </c>
      <c r="B2340" s="387" t="s">
        <v>6864</v>
      </c>
    </row>
    <row r="2341" spans="1:2">
      <c r="A2341" s="387" t="s">
        <v>13135</v>
      </c>
      <c r="B2341" s="387" t="s">
        <v>6899</v>
      </c>
    </row>
    <row r="2342" spans="1:2">
      <c r="A2342" s="387" t="s">
        <v>13136</v>
      </c>
      <c r="B2342" s="387" t="s">
        <v>6966</v>
      </c>
    </row>
    <row r="2343" spans="1:2">
      <c r="A2343" s="387" t="s">
        <v>13137</v>
      </c>
      <c r="B2343" s="387" t="s">
        <v>6989</v>
      </c>
    </row>
    <row r="2344" spans="1:2">
      <c r="A2344" s="387" t="s">
        <v>13138</v>
      </c>
      <c r="B2344" s="387" t="s">
        <v>998</v>
      </c>
    </row>
    <row r="2345" spans="1:2">
      <c r="A2345" s="387" t="s">
        <v>13139</v>
      </c>
      <c r="B2345" s="387" t="s">
        <v>13140</v>
      </c>
    </row>
    <row r="2346" spans="1:2">
      <c r="A2346" s="387" t="s">
        <v>13141</v>
      </c>
      <c r="B2346" s="387" t="s">
        <v>13142</v>
      </c>
    </row>
    <row r="2347" spans="1:2">
      <c r="A2347" s="387" t="s">
        <v>13143</v>
      </c>
      <c r="B2347" s="387" t="s">
        <v>7095</v>
      </c>
    </row>
    <row r="2348" spans="1:2">
      <c r="A2348" s="387" t="s">
        <v>13144</v>
      </c>
      <c r="B2348" s="387" t="s">
        <v>7109</v>
      </c>
    </row>
    <row r="2349" spans="1:2">
      <c r="A2349" s="387" t="s">
        <v>13145</v>
      </c>
      <c r="B2349" s="387" t="s">
        <v>13146</v>
      </c>
    </row>
    <row r="2350" spans="1:2">
      <c r="A2350" s="387" t="s">
        <v>13147</v>
      </c>
      <c r="B2350" s="387" t="s">
        <v>13148</v>
      </c>
    </row>
    <row r="2351" spans="1:2">
      <c r="A2351" s="387" t="s">
        <v>13149</v>
      </c>
      <c r="B2351" s="387" t="s">
        <v>7270</v>
      </c>
    </row>
    <row r="2352" spans="1:2">
      <c r="A2352" s="387" t="s">
        <v>13150</v>
      </c>
      <c r="B2352" s="387" t="s">
        <v>7283</v>
      </c>
    </row>
    <row r="2353" spans="1:2">
      <c r="A2353" s="387" t="s">
        <v>13151</v>
      </c>
      <c r="B2353" s="387" t="s">
        <v>13152</v>
      </c>
    </row>
    <row r="2354" spans="1:2">
      <c r="A2354" s="387" t="s">
        <v>13153</v>
      </c>
      <c r="B2354" s="387" t="s">
        <v>1898</v>
      </c>
    </row>
    <row r="2355" spans="1:2">
      <c r="A2355" s="387" t="s">
        <v>13154</v>
      </c>
      <c r="B2355" s="387" t="s">
        <v>13155</v>
      </c>
    </row>
    <row r="2356" spans="1:2">
      <c r="A2356" s="387" t="s">
        <v>13156</v>
      </c>
      <c r="B2356" s="387" t="s">
        <v>13157</v>
      </c>
    </row>
    <row r="2357" spans="1:2">
      <c r="A2357" s="387" t="s">
        <v>13158</v>
      </c>
      <c r="B2357" s="387" t="s">
        <v>7333</v>
      </c>
    </row>
    <row r="2358" spans="1:2">
      <c r="A2358" s="387" t="s">
        <v>13159</v>
      </c>
      <c r="B2358" s="387" t="s">
        <v>13160</v>
      </c>
    </row>
    <row r="2359" spans="1:2">
      <c r="A2359" s="387" t="s">
        <v>13161</v>
      </c>
      <c r="B2359" s="387" t="s">
        <v>7357</v>
      </c>
    </row>
    <row r="2360" spans="1:2">
      <c r="A2360" s="387" t="s">
        <v>13162</v>
      </c>
      <c r="B2360" s="387" t="s">
        <v>13163</v>
      </c>
    </row>
    <row r="2361" spans="1:2">
      <c r="A2361" s="387" t="s">
        <v>13164</v>
      </c>
      <c r="B2361" s="387" t="s">
        <v>4028</v>
      </c>
    </row>
    <row r="2362" spans="1:2">
      <c r="A2362" s="387" t="s">
        <v>13165</v>
      </c>
      <c r="B2362" s="387" t="s">
        <v>6120</v>
      </c>
    </row>
    <row r="2363" spans="1:2">
      <c r="A2363" s="387" t="s">
        <v>13166</v>
      </c>
      <c r="B2363" s="387" t="s">
        <v>2557</v>
      </c>
    </row>
    <row r="2364" spans="1:2">
      <c r="A2364" s="387" t="s">
        <v>13167</v>
      </c>
      <c r="B2364" s="387" t="s">
        <v>7394</v>
      </c>
    </row>
    <row r="2365" spans="1:2">
      <c r="A2365" s="387" t="s">
        <v>13168</v>
      </c>
      <c r="B2365" s="387" t="s">
        <v>7396</v>
      </c>
    </row>
    <row r="2366" spans="1:2">
      <c r="A2366" s="387" t="s">
        <v>13169</v>
      </c>
      <c r="B2366" s="387" t="s">
        <v>13170</v>
      </c>
    </row>
    <row r="2367" spans="1:2">
      <c r="A2367" s="387" t="s">
        <v>13171</v>
      </c>
      <c r="B2367" s="387" t="s">
        <v>13172</v>
      </c>
    </row>
    <row r="2368" spans="1:2">
      <c r="A2368" s="387" t="s">
        <v>13173</v>
      </c>
      <c r="B2368" s="387" t="s">
        <v>7456</v>
      </c>
    </row>
    <row r="2369" spans="1:2">
      <c r="A2369" s="387" t="s">
        <v>13174</v>
      </c>
      <c r="B2369" s="387" t="s">
        <v>13175</v>
      </c>
    </row>
    <row r="2370" spans="1:2">
      <c r="A2370" s="387" t="s">
        <v>13176</v>
      </c>
      <c r="B2370" s="387" t="s">
        <v>7458</v>
      </c>
    </row>
    <row r="2371" spans="1:2">
      <c r="A2371" s="387" t="s">
        <v>13177</v>
      </c>
      <c r="B2371" s="387" t="s">
        <v>4757</v>
      </c>
    </row>
    <row r="2372" spans="1:2">
      <c r="A2372" s="387" t="s">
        <v>13178</v>
      </c>
      <c r="B2372" s="387" t="s">
        <v>4772</v>
      </c>
    </row>
    <row r="2373" spans="1:2">
      <c r="A2373" s="387" t="s">
        <v>13179</v>
      </c>
      <c r="B2373" s="387" t="s">
        <v>13180</v>
      </c>
    </row>
    <row r="2374" spans="1:2">
      <c r="A2374" s="387" t="s">
        <v>13181</v>
      </c>
      <c r="B2374" s="387" t="s">
        <v>7596</v>
      </c>
    </row>
    <row r="2375" spans="1:2">
      <c r="A2375" s="387" t="s">
        <v>13182</v>
      </c>
      <c r="B2375" s="387" t="s">
        <v>7598</v>
      </c>
    </row>
    <row r="2376" spans="1:2">
      <c r="A2376" s="387" t="s">
        <v>13183</v>
      </c>
      <c r="B2376" s="387" t="s">
        <v>13184</v>
      </c>
    </row>
    <row r="2377" spans="1:2">
      <c r="A2377" s="387" t="s">
        <v>13185</v>
      </c>
      <c r="B2377" s="387" t="s">
        <v>13186</v>
      </c>
    </row>
    <row r="2378" spans="1:2">
      <c r="A2378" s="387" t="s">
        <v>13187</v>
      </c>
      <c r="B2378" s="387" t="s">
        <v>1142</v>
      </c>
    </row>
    <row r="2379" spans="1:2">
      <c r="A2379" s="387" t="s">
        <v>13188</v>
      </c>
      <c r="B2379" s="387" t="s">
        <v>1488</v>
      </c>
    </row>
    <row r="2380" spans="1:2">
      <c r="A2380" s="387" t="s">
        <v>13189</v>
      </c>
      <c r="B2380" s="387" t="s">
        <v>5305</v>
      </c>
    </row>
    <row r="2381" spans="1:2">
      <c r="A2381" s="387" t="s">
        <v>13190</v>
      </c>
      <c r="B2381" s="387" t="s">
        <v>7685</v>
      </c>
    </row>
    <row r="2382" spans="1:2">
      <c r="A2382" s="387" t="s">
        <v>13191</v>
      </c>
      <c r="B2382" s="387" t="s">
        <v>2731</v>
      </c>
    </row>
    <row r="2383" spans="1:2">
      <c r="A2383" s="387" t="s">
        <v>13192</v>
      </c>
      <c r="B2383" s="387" t="s">
        <v>13193</v>
      </c>
    </row>
    <row r="2384" spans="1:2">
      <c r="A2384" s="387" t="s">
        <v>13194</v>
      </c>
      <c r="B2384" s="387" t="s">
        <v>1407</v>
      </c>
    </row>
    <row r="2385" spans="1:2">
      <c r="A2385" s="387" t="s">
        <v>13195</v>
      </c>
      <c r="B2385" s="387" t="s">
        <v>13196</v>
      </c>
    </row>
    <row r="2386" spans="1:2">
      <c r="A2386" s="387" t="s">
        <v>13197</v>
      </c>
      <c r="B2386" s="387" t="s">
        <v>13198</v>
      </c>
    </row>
    <row r="2387" spans="1:2">
      <c r="A2387" s="387" t="s">
        <v>13199</v>
      </c>
      <c r="B2387" s="387" t="s">
        <v>7705</v>
      </c>
    </row>
    <row r="2388" spans="1:2">
      <c r="A2388" s="387" t="s">
        <v>13200</v>
      </c>
      <c r="B2388" s="387" t="s">
        <v>3670</v>
      </c>
    </row>
    <row r="2389" spans="1:2">
      <c r="A2389" s="387" t="s">
        <v>13201</v>
      </c>
      <c r="B2389" s="387" t="s">
        <v>13202</v>
      </c>
    </row>
    <row r="2390" spans="1:2">
      <c r="A2390" s="387" t="s">
        <v>13203</v>
      </c>
      <c r="B2390" s="387" t="s">
        <v>13204</v>
      </c>
    </row>
    <row r="2391" spans="1:2">
      <c r="A2391" s="387" t="s">
        <v>13205</v>
      </c>
      <c r="B2391" s="387" t="s">
        <v>2455</v>
      </c>
    </row>
    <row r="2392" spans="1:2">
      <c r="A2392" s="387" t="s">
        <v>13206</v>
      </c>
      <c r="B2392" s="387" t="s">
        <v>13207</v>
      </c>
    </row>
    <row r="2393" spans="1:2">
      <c r="A2393" s="387" t="s">
        <v>13208</v>
      </c>
      <c r="B2393" s="387" t="s">
        <v>7725</v>
      </c>
    </row>
    <row r="2394" spans="1:2">
      <c r="A2394" s="387" t="s">
        <v>13209</v>
      </c>
      <c r="B2394" s="387" t="s">
        <v>2790</v>
      </c>
    </row>
    <row r="2395" spans="1:2">
      <c r="A2395" s="387" t="s">
        <v>13210</v>
      </c>
      <c r="B2395" s="387" t="s">
        <v>13211</v>
      </c>
    </row>
    <row r="2396" spans="1:2">
      <c r="A2396" s="387" t="s">
        <v>13212</v>
      </c>
      <c r="B2396" s="387" t="s">
        <v>13213</v>
      </c>
    </row>
    <row r="2397" spans="1:2">
      <c r="A2397" s="387" t="s">
        <v>13214</v>
      </c>
      <c r="B2397" s="387" t="s">
        <v>7727</v>
      </c>
    </row>
    <row r="2398" spans="1:2">
      <c r="A2398" s="387" t="s">
        <v>13215</v>
      </c>
      <c r="B2398" s="387" t="s">
        <v>13216</v>
      </c>
    </row>
    <row r="2399" spans="1:2">
      <c r="A2399" s="387" t="s">
        <v>13217</v>
      </c>
      <c r="B2399" s="387" t="s">
        <v>13218</v>
      </c>
    </row>
    <row r="2400" spans="1:2">
      <c r="A2400" s="387" t="s">
        <v>13219</v>
      </c>
      <c r="B2400" s="387" t="s">
        <v>13220</v>
      </c>
    </row>
    <row r="2401" spans="1:2">
      <c r="A2401" s="387" t="s">
        <v>13221</v>
      </c>
      <c r="B2401" s="387" t="s">
        <v>13222</v>
      </c>
    </row>
    <row r="2402" spans="1:2">
      <c r="A2402" s="387" t="s">
        <v>13223</v>
      </c>
      <c r="B2402" s="387" t="s">
        <v>13224</v>
      </c>
    </row>
    <row r="2403" spans="1:2">
      <c r="A2403" s="387" t="s">
        <v>13225</v>
      </c>
      <c r="B2403" s="387" t="s">
        <v>13226</v>
      </c>
    </row>
    <row r="2404" spans="1:2">
      <c r="A2404" s="387" t="s">
        <v>13227</v>
      </c>
      <c r="B2404" s="387" t="s">
        <v>5737</v>
      </c>
    </row>
    <row r="2405" spans="1:2">
      <c r="A2405" s="387" t="s">
        <v>13228</v>
      </c>
      <c r="B2405" s="387" t="s">
        <v>13229</v>
      </c>
    </row>
    <row r="2406" spans="1:2">
      <c r="A2406" s="387" t="s">
        <v>13230</v>
      </c>
      <c r="B2406" s="387" t="s">
        <v>13231</v>
      </c>
    </row>
    <row r="2407" spans="1:2">
      <c r="A2407" s="387" t="s">
        <v>13232</v>
      </c>
      <c r="B2407" s="387" t="s">
        <v>13233</v>
      </c>
    </row>
    <row r="2408" spans="1:2">
      <c r="A2408" s="387" t="s">
        <v>13234</v>
      </c>
      <c r="B2408" s="387" t="s">
        <v>13235</v>
      </c>
    </row>
    <row r="2409" spans="1:2">
      <c r="A2409" s="387" t="s">
        <v>13236</v>
      </c>
      <c r="B2409" s="387" t="s">
        <v>7894</v>
      </c>
    </row>
    <row r="2410" spans="1:2">
      <c r="A2410" s="387" t="s">
        <v>13237</v>
      </c>
      <c r="B2410" s="387" t="s">
        <v>13238</v>
      </c>
    </row>
    <row r="2411" spans="1:2">
      <c r="A2411" s="387" t="s">
        <v>13239</v>
      </c>
      <c r="B2411" s="387" t="s">
        <v>7896</v>
      </c>
    </row>
    <row r="2412" spans="1:2">
      <c r="A2412" s="387" t="s">
        <v>13240</v>
      </c>
      <c r="B2412" s="387" t="s">
        <v>996</v>
      </c>
    </row>
    <row r="2413" spans="1:2">
      <c r="A2413" s="387" t="s">
        <v>13241</v>
      </c>
      <c r="B2413" s="387" t="s">
        <v>2346</v>
      </c>
    </row>
    <row r="2414" spans="1:2">
      <c r="A2414" s="387" t="s">
        <v>13242</v>
      </c>
      <c r="B2414" s="387" t="s">
        <v>13243</v>
      </c>
    </row>
    <row r="2415" spans="1:2">
      <c r="A2415" s="387" t="s">
        <v>13244</v>
      </c>
      <c r="B2415" s="387" t="s">
        <v>13245</v>
      </c>
    </row>
    <row r="2416" spans="1:2">
      <c r="A2416" s="387" t="s">
        <v>13246</v>
      </c>
      <c r="B2416" s="387" t="s">
        <v>8141</v>
      </c>
    </row>
    <row r="2417" spans="1:2">
      <c r="A2417" s="387" t="s">
        <v>13247</v>
      </c>
      <c r="B2417" s="387" t="s">
        <v>8143</v>
      </c>
    </row>
    <row r="2418" spans="1:2">
      <c r="A2418" s="387" t="s">
        <v>13248</v>
      </c>
      <c r="B2418" s="387" t="s">
        <v>8145</v>
      </c>
    </row>
    <row r="2419" spans="1:2">
      <c r="A2419" s="387" t="s">
        <v>13249</v>
      </c>
      <c r="B2419" s="387" t="s">
        <v>8147</v>
      </c>
    </row>
    <row r="2420" spans="1:2">
      <c r="A2420" s="387" t="s">
        <v>13250</v>
      </c>
      <c r="B2420" s="387" t="s">
        <v>8170</v>
      </c>
    </row>
    <row r="2421" spans="1:2">
      <c r="A2421" s="387" t="s">
        <v>13251</v>
      </c>
      <c r="B2421" s="387" t="s">
        <v>1428</v>
      </c>
    </row>
    <row r="2422" spans="1:2">
      <c r="A2422" s="387" t="s">
        <v>13252</v>
      </c>
      <c r="B2422" s="387" t="s">
        <v>8184</v>
      </c>
    </row>
    <row r="2423" spans="1:2">
      <c r="A2423" s="387" t="s">
        <v>13253</v>
      </c>
      <c r="B2423" s="387" t="s">
        <v>13254</v>
      </c>
    </row>
    <row r="2424" spans="1:2">
      <c r="A2424" s="387" t="s">
        <v>13255</v>
      </c>
      <c r="B2424" s="387" t="s">
        <v>8195</v>
      </c>
    </row>
    <row r="2425" spans="1:2">
      <c r="A2425" s="387" t="s">
        <v>13256</v>
      </c>
      <c r="B2425" s="387" t="s">
        <v>11196</v>
      </c>
    </row>
    <row r="2426" spans="1:2">
      <c r="A2426" s="387" t="s">
        <v>13257</v>
      </c>
      <c r="B2426" s="387" t="s">
        <v>4028</v>
      </c>
    </row>
    <row r="2427" spans="1:2">
      <c r="A2427" s="387" t="s">
        <v>13258</v>
      </c>
      <c r="B2427" s="387" t="s">
        <v>8216</v>
      </c>
    </row>
    <row r="2428" spans="1:2">
      <c r="A2428" s="387" t="s">
        <v>13259</v>
      </c>
      <c r="B2428" s="387" t="s">
        <v>13260</v>
      </c>
    </row>
    <row r="2429" spans="1:2">
      <c r="A2429" s="387" t="s">
        <v>8390</v>
      </c>
      <c r="B2429" s="387" t="s">
        <v>4589</v>
      </c>
    </row>
    <row r="2430" spans="1:2">
      <c r="A2430" s="387" t="s">
        <v>13261</v>
      </c>
      <c r="B2430" s="387" t="s">
        <v>8348</v>
      </c>
    </row>
    <row r="2431" spans="1:2">
      <c r="A2431" s="387" t="s">
        <v>13262</v>
      </c>
      <c r="B2431" s="387" t="s">
        <v>8350</v>
      </c>
    </row>
    <row r="2432" spans="1:2">
      <c r="A2432" s="387" t="s">
        <v>13263</v>
      </c>
      <c r="B2432" s="387" t="s">
        <v>7118</v>
      </c>
    </row>
    <row r="2433" spans="1:2">
      <c r="A2433" s="387" t="s">
        <v>8540</v>
      </c>
      <c r="B2433" s="387" t="s">
        <v>8438</v>
      </c>
    </row>
    <row r="2434" spans="1:2">
      <c r="A2434" s="387" t="s">
        <v>13264</v>
      </c>
      <c r="B2434" s="387" t="s">
        <v>2348</v>
      </c>
    </row>
    <row r="2435" spans="1:2">
      <c r="A2435" s="387" t="s">
        <v>13265</v>
      </c>
      <c r="B2435" s="387" t="s">
        <v>8782</v>
      </c>
    </row>
    <row r="2436" spans="1:2">
      <c r="A2436" s="387" t="s">
        <v>13266</v>
      </c>
      <c r="B2436" s="387" t="s">
        <v>3254</v>
      </c>
    </row>
    <row r="2437" spans="1:2">
      <c r="A2437" s="387" t="s">
        <v>13267</v>
      </c>
      <c r="B2437" s="387" t="s">
        <v>13104</v>
      </c>
    </row>
    <row r="2438" spans="1:2">
      <c r="A2438" s="387" t="s">
        <v>13268</v>
      </c>
      <c r="B2438" s="387" t="s">
        <v>4741</v>
      </c>
    </row>
    <row r="2439" spans="1:2">
      <c r="A2439" s="387" t="s">
        <v>13269</v>
      </c>
      <c r="B2439" s="387" t="s">
        <v>925</v>
      </c>
    </row>
    <row r="2440" spans="1:2">
      <c r="A2440" s="387" t="s">
        <v>635</v>
      </c>
      <c r="B2440" s="387" t="s">
        <v>1148</v>
      </c>
    </row>
    <row r="2441" spans="1:2">
      <c r="A2441" s="387" t="s">
        <v>13270</v>
      </c>
      <c r="B2441" s="387" t="s">
        <v>1156</v>
      </c>
    </row>
    <row r="2442" spans="1:2">
      <c r="A2442" s="387" t="s">
        <v>13271</v>
      </c>
      <c r="B2442" s="387" t="s">
        <v>1209</v>
      </c>
    </row>
    <row r="2443" spans="1:2">
      <c r="A2443" s="387" t="s">
        <v>13272</v>
      </c>
      <c r="B2443" s="387" t="s">
        <v>1688</v>
      </c>
    </row>
    <row r="2444" spans="1:2">
      <c r="A2444" s="387" t="s">
        <v>13273</v>
      </c>
      <c r="B2444" s="387" t="s">
        <v>1828</v>
      </c>
    </row>
    <row r="2445" spans="1:2">
      <c r="A2445" s="387" t="s">
        <v>13274</v>
      </c>
      <c r="B2445" s="387" t="s">
        <v>2268</v>
      </c>
    </row>
    <row r="2446" spans="1:2">
      <c r="A2446" s="387" t="s">
        <v>13078</v>
      </c>
      <c r="B2446" s="387" t="s">
        <v>2430</v>
      </c>
    </row>
    <row r="2447" spans="1:2">
      <c r="A2447" s="387" t="s">
        <v>13275</v>
      </c>
      <c r="B2447" s="387" t="s">
        <v>2449</v>
      </c>
    </row>
    <row r="2448" spans="1:2">
      <c r="A2448" s="387" t="s">
        <v>13276</v>
      </c>
      <c r="B2448" s="387" t="s">
        <v>2451</v>
      </c>
    </row>
    <row r="2449" spans="1:2">
      <c r="A2449" s="387" t="s">
        <v>13277</v>
      </c>
      <c r="B2449" s="387" t="s">
        <v>2474</v>
      </c>
    </row>
    <row r="2450" spans="1:2">
      <c r="A2450" s="387" t="s">
        <v>13278</v>
      </c>
      <c r="B2450" s="387" t="s">
        <v>2557</v>
      </c>
    </row>
    <row r="2451" spans="1:2">
      <c r="A2451" s="387" t="s">
        <v>502</v>
      </c>
      <c r="B2451" s="387" t="s">
        <v>13079</v>
      </c>
    </row>
    <row r="2452" spans="1:2">
      <c r="A2452" s="387" t="s">
        <v>13279</v>
      </c>
      <c r="B2452" s="387" t="s">
        <v>2966</v>
      </c>
    </row>
    <row r="2453" spans="1:2">
      <c r="A2453" s="387" t="s">
        <v>13280</v>
      </c>
      <c r="B2453" s="387" t="s">
        <v>3111</v>
      </c>
    </row>
    <row r="2454" spans="1:2">
      <c r="A2454" s="387" t="s">
        <v>13281</v>
      </c>
      <c r="B2454" s="387" t="s">
        <v>3399</v>
      </c>
    </row>
    <row r="2455" spans="1:2">
      <c r="A2455" s="387" t="s">
        <v>13282</v>
      </c>
      <c r="B2455" s="387" t="s">
        <v>3423</v>
      </c>
    </row>
    <row r="2456" spans="1:2">
      <c r="A2456" s="387" t="s">
        <v>13283</v>
      </c>
      <c r="B2456" s="387" t="s">
        <v>3503</v>
      </c>
    </row>
    <row r="2457" spans="1:2">
      <c r="A2457" s="387" t="s">
        <v>13284</v>
      </c>
      <c r="B2457" s="387" t="s">
        <v>6303</v>
      </c>
    </row>
    <row r="2458" spans="1:2">
      <c r="A2458" s="387" t="s">
        <v>13285</v>
      </c>
      <c r="B2458" s="387" t="s">
        <v>3651</v>
      </c>
    </row>
    <row r="2459" spans="1:2">
      <c r="A2459" s="387" t="s">
        <v>13286</v>
      </c>
      <c r="B2459" s="387" t="s">
        <v>3830</v>
      </c>
    </row>
    <row r="2460" spans="1:2">
      <c r="A2460" s="387" t="s">
        <v>13287</v>
      </c>
      <c r="B2460" s="387" t="s">
        <v>3938</v>
      </c>
    </row>
    <row r="2461" spans="1:2">
      <c r="A2461" s="387" t="s">
        <v>13288</v>
      </c>
      <c r="B2461" s="387" t="s">
        <v>2549</v>
      </c>
    </row>
    <row r="2462" spans="1:2">
      <c r="A2462" s="387" t="s">
        <v>13289</v>
      </c>
      <c r="B2462" s="387" t="s">
        <v>4753</v>
      </c>
    </row>
    <row r="2463" spans="1:2">
      <c r="A2463" s="387" t="s">
        <v>13290</v>
      </c>
      <c r="B2463" s="387" t="s">
        <v>4762</v>
      </c>
    </row>
    <row r="2464" spans="1:2">
      <c r="A2464" s="387" t="s">
        <v>13291</v>
      </c>
      <c r="B2464" s="387" t="s">
        <v>5189</v>
      </c>
    </row>
    <row r="2465" spans="1:2">
      <c r="A2465" s="387" t="s">
        <v>13292</v>
      </c>
      <c r="B2465" s="387" t="s">
        <v>5325</v>
      </c>
    </row>
    <row r="2466" spans="1:2">
      <c r="A2466" s="387" t="s">
        <v>13293</v>
      </c>
      <c r="B2466" s="387" t="s">
        <v>13294</v>
      </c>
    </row>
    <row r="2467" spans="1:2">
      <c r="A2467" s="387" t="s">
        <v>13295</v>
      </c>
      <c r="B2467" s="387" t="s">
        <v>2045</v>
      </c>
    </row>
    <row r="2468" spans="1:2">
      <c r="A2468" s="387" t="s">
        <v>13296</v>
      </c>
      <c r="B2468" s="387" t="s">
        <v>5549</v>
      </c>
    </row>
    <row r="2469" spans="1:2">
      <c r="A2469" s="387" t="s">
        <v>13297</v>
      </c>
      <c r="B2469" s="387" t="s">
        <v>13298</v>
      </c>
    </row>
    <row r="2470" spans="1:2">
      <c r="A2470" s="387" t="s">
        <v>13299</v>
      </c>
      <c r="B2470" s="387" t="s">
        <v>2348</v>
      </c>
    </row>
    <row r="2471" spans="1:2">
      <c r="A2471" s="387" t="s">
        <v>13300</v>
      </c>
      <c r="B2471" s="387" t="s">
        <v>2627</v>
      </c>
    </row>
    <row r="2472" spans="1:2">
      <c r="A2472" s="387" t="s">
        <v>13301</v>
      </c>
      <c r="B2472" s="387" t="s">
        <v>3596</v>
      </c>
    </row>
    <row r="2473" spans="1:2">
      <c r="A2473" s="387" t="s">
        <v>13302</v>
      </c>
      <c r="B2473" s="387" t="s">
        <v>5638</v>
      </c>
    </row>
    <row r="2474" spans="1:2">
      <c r="A2474" s="387" t="s">
        <v>13303</v>
      </c>
      <c r="B2474" s="387" t="s">
        <v>1502</v>
      </c>
    </row>
    <row r="2475" spans="1:2">
      <c r="A2475" s="387" t="s">
        <v>13304</v>
      </c>
      <c r="B2475" s="387" t="s">
        <v>5673</v>
      </c>
    </row>
    <row r="2476" spans="1:2">
      <c r="A2476" s="387" t="s">
        <v>13305</v>
      </c>
      <c r="B2476" s="387" t="s">
        <v>2026</v>
      </c>
    </row>
    <row r="2477" spans="1:2">
      <c r="A2477" s="387" t="s">
        <v>13306</v>
      </c>
      <c r="B2477" s="387" t="s">
        <v>5688</v>
      </c>
    </row>
    <row r="2478" spans="1:2">
      <c r="A2478" s="387" t="s">
        <v>13307</v>
      </c>
      <c r="B2478" s="387" t="s">
        <v>5690</v>
      </c>
    </row>
    <row r="2479" spans="1:2">
      <c r="A2479" s="387" t="s">
        <v>13308</v>
      </c>
      <c r="B2479" s="387" t="s">
        <v>5731</v>
      </c>
    </row>
    <row r="2480" spans="1:2">
      <c r="A2480" s="387" t="s">
        <v>13309</v>
      </c>
      <c r="B2480" s="387" t="s">
        <v>5733</v>
      </c>
    </row>
    <row r="2481" spans="1:2">
      <c r="A2481" s="387" t="s">
        <v>13310</v>
      </c>
      <c r="B2481" s="387" t="s">
        <v>5775</v>
      </c>
    </row>
    <row r="2482" spans="1:2">
      <c r="A2482" s="387" t="s">
        <v>13311</v>
      </c>
      <c r="B2482" s="387" t="s">
        <v>1943</v>
      </c>
    </row>
    <row r="2483" spans="1:2">
      <c r="A2483" s="387" t="s">
        <v>13312</v>
      </c>
      <c r="B2483" s="387" t="s">
        <v>4634</v>
      </c>
    </row>
    <row r="2484" spans="1:2">
      <c r="A2484" s="387" t="s">
        <v>13313</v>
      </c>
      <c r="B2484" s="387" t="s">
        <v>5937</v>
      </c>
    </row>
    <row r="2485" spans="1:2">
      <c r="A2485" s="387" t="s">
        <v>13314</v>
      </c>
      <c r="B2485" s="387" t="s">
        <v>5939</v>
      </c>
    </row>
    <row r="2486" spans="1:2">
      <c r="A2486" s="387" t="s">
        <v>13315</v>
      </c>
      <c r="B2486" s="387" t="s">
        <v>5968</v>
      </c>
    </row>
    <row r="2487" spans="1:2">
      <c r="A2487" s="387" t="s">
        <v>13316</v>
      </c>
      <c r="B2487" s="387" t="s">
        <v>5305</v>
      </c>
    </row>
    <row r="2488" spans="1:2">
      <c r="A2488" s="387" t="s">
        <v>13317</v>
      </c>
      <c r="B2488" s="387" t="s">
        <v>5972</v>
      </c>
    </row>
    <row r="2489" spans="1:2">
      <c r="A2489" s="387" t="s">
        <v>13318</v>
      </c>
      <c r="B2489" s="387" t="s">
        <v>5979</v>
      </c>
    </row>
    <row r="2490" spans="1:2">
      <c r="A2490" s="387" t="s">
        <v>13319</v>
      </c>
      <c r="B2490" s="387" t="s">
        <v>13320</v>
      </c>
    </row>
    <row r="2491" spans="1:2">
      <c r="A2491" s="387" t="s">
        <v>13321</v>
      </c>
      <c r="B2491" s="387" t="s">
        <v>6069</v>
      </c>
    </row>
    <row r="2492" spans="1:2">
      <c r="A2492" s="387" t="s">
        <v>13322</v>
      </c>
      <c r="B2492" s="387" t="s">
        <v>6080</v>
      </c>
    </row>
    <row r="2493" spans="1:2">
      <c r="A2493" s="387" t="s">
        <v>13323</v>
      </c>
      <c r="B2493" s="387" t="s">
        <v>6088</v>
      </c>
    </row>
    <row r="2494" spans="1:2">
      <c r="A2494" s="387" t="s">
        <v>13324</v>
      </c>
      <c r="B2494" s="387" t="s">
        <v>12816</v>
      </c>
    </row>
    <row r="2495" spans="1:2">
      <c r="A2495" s="387" t="s">
        <v>13325</v>
      </c>
      <c r="B2495" s="387" t="s">
        <v>6206</v>
      </c>
    </row>
    <row r="2496" spans="1:2">
      <c r="A2496" s="387" t="s">
        <v>13326</v>
      </c>
      <c r="B2496" s="387" t="s">
        <v>2716</v>
      </c>
    </row>
    <row r="2497" spans="1:2">
      <c r="A2497" s="387" t="s">
        <v>13327</v>
      </c>
      <c r="B2497" s="387" t="s">
        <v>6352</v>
      </c>
    </row>
    <row r="2498" spans="1:2">
      <c r="A2498" s="387" t="s">
        <v>13328</v>
      </c>
      <c r="B2498" s="387" t="s">
        <v>6273</v>
      </c>
    </row>
    <row r="2499" spans="1:2">
      <c r="A2499" s="387" t="s">
        <v>13329</v>
      </c>
      <c r="B2499" s="387" t="s">
        <v>6578</v>
      </c>
    </row>
    <row r="2500" spans="1:2">
      <c r="A2500" s="387" t="s">
        <v>13330</v>
      </c>
      <c r="B2500" s="387" t="s">
        <v>6678</v>
      </c>
    </row>
    <row r="2501" spans="1:2">
      <c r="A2501" s="387" t="s">
        <v>13331</v>
      </c>
      <c r="B2501" s="387" t="s">
        <v>13332</v>
      </c>
    </row>
    <row r="2502" spans="1:2">
      <c r="A2502" s="387" t="s">
        <v>13333</v>
      </c>
      <c r="B2502" s="387" t="s">
        <v>6732</v>
      </c>
    </row>
    <row r="2503" spans="1:2">
      <c r="A2503" s="387" t="s">
        <v>13334</v>
      </c>
      <c r="B2503" s="387" t="s">
        <v>3101</v>
      </c>
    </row>
    <row r="2504" spans="1:2">
      <c r="A2504" s="387" t="s">
        <v>13335</v>
      </c>
      <c r="B2504" s="387" t="s">
        <v>6746</v>
      </c>
    </row>
    <row r="2505" spans="1:2">
      <c r="A2505" s="387" t="s">
        <v>13336</v>
      </c>
      <c r="B2505" s="387" t="s">
        <v>2150</v>
      </c>
    </row>
    <row r="2506" spans="1:2">
      <c r="A2506" s="387" t="s">
        <v>13337</v>
      </c>
      <c r="B2506" s="387" t="s">
        <v>13338</v>
      </c>
    </row>
    <row r="2507" spans="1:2">
      <c r="A2507" s="387" t="s">
        <v>13339</v>
      </c>
      <c r="B2507" s="387" t="s">
        <v>13340</v>
      </c>
    </row>
    <row r="2508" spans="1:2">
      <c r="A2508" s="387" t="s">
        <v>13341</v>
      </c>
      <c r="B2508" s="387" t="s">
        <v>6862</v>
      </c>
    </row>
    <row r="2509" spans="1:2">
      <c r="A2509" s="387" t="s">
        <v>13342</v>
      </c>
      <c r="B2509" s="387" t="s">
        <v>13343</v>
      </c>
    </row>
    <row r="2510" spans="1:2">
      <c r="A2510" s="387" t="s">
        <v>13344</v>
      </c>
      <c r="B2510" s="387" t="s">
        <v>13345</v>
      </c>
    </row>
    <row r="2511" spans="1:2">
      <c r="A2511" s="387" t="s">
        <v>13346</v>
      </c>
      <c r="B2511" s="387" t="s">
        <v>6931</v>
      </c>
    </row>
    <row r="2512" spans="1:2">
      <c r="A2512" s="387" t="s">
        <v>13347</v>
      </c>
      <c r="B2512" s="387" t="s">
        <v>6933</v>
      </c>
    </row>
    <row r="2513" spans="1:2">
      <c r="A2513" s="387" t="s">
        <v>13348</v>
      </c>
      <c r="B2513" s="387" t="s">
        <v>6935</v>
      </c>
    </row>
    <row r="2514" spans="1:2">
      <c r="A2514" s="387" t="s">
        <v>13349</v>
      </c>
      <c r="B2514" s="387" t="s">
        <v>4895</v>
      </c>
    </row>
    <row r="2515" spans="1:2">
      <c r="A2515" s="387" t="s">
        <v>13350</v>
      </c>
      <c r="B2515" s="387" t="s">
        <v>6987</v>
      </c>
    </row>
    <row r="2516" spans="1:2">
      <c r="A2516" s="387" t="s">
        <v>13351</v>
      </c>
      <c r="B2516" s="387" t="s">
        <v>7019</v>
      </c>
    </row>
    <row r="2517" spans="1:2">
      <c r="A2517" s="387" t="s">
        <v>13352</v>
      </c>
      <c r="B2517" s="387" t="s">
        <v>7021</v>
      </c>
    </row>
    <row r="2518" spans="1:2">
      <c r="A2518" s="387" t="s">
        <v>13353</v>
      </c>
      <c r="B2518" s="387" t="s">
        <v>7023</v>
      </c>
    </row>
    <row r="2519" spans="1:2">
      <c r="A2519" s="387" t="s">
        <v>13354</v>
      </c>
      <c r="B2519" s="387" t="s">
        <v>3730</v>
      </c>
    </row>
    <row r="2520" spans="1:2">
      <c r="A2520" s="387" t="s">
        <v>13355</v>
      </c>
      <c r="B2520" s="387" t="s">
        <v>13356</v>
      </c>
    </row>
    <row r="2521" spans="1:2">
      <c r="A2521" s="387" t="s">
        <v>13357</v>
      </c>
      <c r="B2521" s="387" t="s">
        <v>7026</v>
      </c>
    </row>
    <row r="2522" spans="1:2">
      <c r="A2522" s="387" t="s">
        <v>13358</v>
      </c>
      <c r="B2522" s="387" t="s">
        <v>7048</v>
      </c>
    </row>
    <row r="2523" spans="1:2">
      <c r="A2523" s="387" t="s">
        <v>13359</v>
      </c>
      <c r="B2523" s="387" t="s">
        <v>5636</v>
      </c>
    </row>
    <row r="2524" spans="1:2">
      <c r="A2524" s="387" t="s">
        <v>13360</v>
      </c>
      <c r="B2524" s="387" t="s">
        <v>13361</v>
      </c>
    </row>
    <row r="2525" spans="1:2">
      <c r="A2525" s="387" t="s">
        <v>13362</v>
      </c>
      <c r="B2525" s="387" t="s">
        <v>13363</v>
      </c>
    </row>
    <row r="2526" spans="1:2">
      <c r="A2526" s="387" t="s">
        <v>13364</v>
      </c>
      <c r="B2526" s="387" t="s">
        <v>2928</v>
      </c>
    </row>
    <row r="2527" spans="1:2">
      <c r="A2527" s="387" t="s">
        <v>13365</v>
      </c>
      <c r="B2527" s="387" t="s">
        <v>7152</v>
      </c>
    </row>
    <row r="2528" spans="1:2">
      <c r="A2528" s="387" t="s">
        <v>13366</v>
      </c>
      <c r="B2528" s="387" t="s">
        <v>7154</v>
      </c>
    </row>
    <row r="2529" spans="1:2">
      <c r="A2529" s="387" t="s">
        <v>13367</v>
      </c>
      <c r="B2529" s="387" t="s">
        <v>13368</v>
      </c>
    </row>
    <row r="2530" spans="1:2">
      <c r="A2530" s="387" t="s">
        <v>13369</v>
      </c>
      <c r="B2530" s="387" t="s">
        <v>7212</v>
      </c>
    </row>
    <row r="2531" spans="1:2">
      <c r="A2531" s="387" t="s">
        <v>13370</v>
      </c>
      <c r="B2531" s="387" t="s">
        <v>13371</v>
      </c>
    </row>
    <row r="2532" spans="1:2">
      <c r="A2532" s="387" t="s">
        <v>13372</v>
      </c>
      <c r="B2532" s="387" t="s">
        <v>13373</v>
      </c>
    </row>
    <row r="2533" spans="1:2">
      <c r="A2533" s="387" t="s">
        <v>13374</v>
      </c>
      <c r="B2533" s="387" t="s">
        <v>2774</v>
      </c>
    </row>
    <row r="2534" spans="1:2">
      <c r="A2534" s="387" t="s">
        <v>13375</v>
      </c>
      <c r="B2534" s="387" t="s">
        <v>7236</v>
      </c>
    </row>
    <row r="2535" spans="1:2">
      <c r="A2535" s="387" t="s">
        <v>13376</v>
      </c>
      <c r="B2535" s="387" t="s">
        <v>7238</v>
      </c>
    </row>
    <row r="2536" spans="1:2">
      <c r="A2536" s="387" t="s">
        <v>13377</v>
      </c>
      <c r="B2536" s="387" t="s">
        <v>13378</v>
      </c>
    </row>
    <row r="2537" spans="1:2">
      <c r="A2537" s="387" t="s">
        <v>13379</v>
      </c>
      <c r="B2537" s="387" t="s">
        <v>7285</v>
      </c>
    </row>
    <row r="2538" spans="1:2">
      <c r="A2538" s="387" t="s">
        <v>13380</v>
      </c>
      <c r="B2538" s="387" t="s">
        <v>13381</v>
      </c>
    </row>
    <row r="2539" spans="1:2">
      <c r="A2539" s="387" t="s">
        <v>13382</v>
      </c>
      <c r="B2539" s="387" t="s">
        <v>7310</v>
      </c>
    </row>
    <row r="2540" spans="1:2">
      <c r="A2540" s="387" t="s">
        <v>13383</v>
      </c>
      <c r="B2540" s="387" t="s">
        <v>1898</v>
      </c>
    </row>
    <row r="2541" spans="1:2">
      <c r="A2541" s="387" t="s">
        <v>13384</v>
      </c>
      <c r="B2541" s="387" t="s">
        <v>7329</v>
      </c>
    </row>
    <row r="2542" spans="1:2">
      <c r="A2542" s="387" t="s">
        <v>13385</v>
      </c>
      <c r="B2542" s="387" t="s">
        <v>7331</v>
      </c>
    </row>
    <row r="2543" spans="1:2">
      <c r="A2543" s="387" t="s">
        <v>13386</v>
      </c>
      <c r="B2543" s="387" t="s">
        <v>13387</v>
      </c>
    </row>
    <row r="2544" spans="1:2">
      <c r="A2544" s="387" t="s">
        <v>13388</v>
      </c>
      <c r="B2544" s="387" t="s">
        <v>7363</v>
      </c>
    </row>
    <row r="2545" spans="1:2">
      <c r="A2545" s="387" t="s">
        <v>13389</v>
      </c>
      <c r="B2545" s="387" t="s">
        <v>13390</v>
      </c>
    </row>
    <row r="2546" spans="1:2">
      <c r="A2546" s="387" t="s">
        <v>13391</v>
      </c>
      <c r="B2546" s="387" t="s">
        <v>13392</v>
      </c>
    </row>
    <row r="2547" spans="1:2">
      <c r="A2547" s="387" t="s">
        <v>13393</v>
      </c>
      <c r="B2547" s="387" t="s">
        <v>13394</v>
      </c>
    </row>
    <row r="2548" spans="1:2">
      <c r="A2548" s="387" t="s">
        <v>13395</v>
      </c>
      <c r="B2548" s="387" t="s">
        <v>8475</v>
      </c>
    </row>
    <row r="2549" spans="1:2">
      <c r="A2549" s="387" t="s">
        <v>13396</v>
      </c>
      <c r="B2549" s="387" t="s">
        <v>13397</v>
      </c>
    </row>
    <row r="2550" spans="1:2">
      <c r="A2550" s="387" t="s">
        <v>13398</v>
      </c>
      <c r="B2550" s="387" t="s">
        <v>7370</v>
      </c>
    </row>
    <row r="2551" spans="1:2">
      <c r="A2551" s="387" t="s">
        <v>13399</v>
      </c>
      <c r="B2551" s="387" t="s">
        <v>13400</v>
      </c>
    </row>
    <row r="2552" spans="1:2">
      <c r="A2552" s="387" t="s">
        <v>13401</v>
      </c>
      <c r="B2552" s="387" t="s">
        <v>13402</v>
      </c>
    </row>
    <row r="2553" spans="1:2">
      <c r="A2553" s="387" t="s">
        <v>13403</v>
      </c>
      <c r="B2553" s="387" t="s">
        <v>7382</v>
      </c>
    </row>
    <row r="2554" spans="1:2">
      <c r="A2554" s="387" t="s">
        <v>13404</v>
      </c>
      <c r="B2554" s="387" t="s">
        <v>11991</v>
      </c>
    </row>
    <row r="2555" spans="1:2">
      <c r="A2555" s="387" t="s">
        <v>13405</v>
      </c>
      <c r="B2555" s="387" t="s">
        <v>13406</v>
      </c>
    </row>
    <row r="2556" spans="1:2">
      <c r="A2556" s="387" t="s">
        <v>13407</v>
      </c>
      <c r="B2556" s="387" t="s">
        <v>7384</v>
      </c>
    </row>
    <row r="2557" spans="1:2">
      <c r="A2557" s="387" t="s">
        <v>13408</v>
      </c>
      <c r="B2557" s="387" t="s">
        <v>7386</v>
      </c>
    </row>
    <row r="2558" spans="1:2">
      <c r="A2558" s="387" t="s">
        <v>13409</v>
      </c>
      <c r="B2558" s="387" t="s">
        <v>7388</v>
      </c>
    </row>
    <row r="2559" spans="1:2">
      <c r="A2559" s="387" t="s">
        <v>13410</v>
      </c>
      <c r="B2559" s="387" t="s">
        <v>7390</v>
      </c>
    </row>
    <row r="2560" spans="1:2">
      <c r="A2560" s="387" t="s">
        <v>13411</v>
      </c>
      <c r="B2560" s="387" t="s">
        <v>7392</v>
      </c>
    </row>
    <row r="2561" spans="1:2">
      <c r="A2561" s="387" t="s">
        <v>13412</v>
      </c>
      <c r="B2561" s="387" t="s">
        <v>13413</v>
      </c>
    </row>
    <row r="2562" spans="1:2">
      <c r="A2562" s="387" t="s">
        <v>13414</v>
      </c>
      <c r="B2562" s="387" t="s">
        <v>1128</v>
      </c>
    </row>
    <row r="2563" spans="1:2">
      <c r="A2563" s="387" t="s">
        <v>13415</v>
      </c>
      <c r="B2563" s="387" t="s">
        <v>7398</v>
      </c>
    </row>
    <row r="2564" spans="1:2">
      <c r="A2564" s="387" t="s">
        <v>13416</v>
      </c>
      <c r="B2564" s="387" t="s">
        <v>13417</v>
      </c>
    </row>
    <row r="2565" spans="1:2">
      <c r="A2565" s="387" t="s">
        <v>13418</v>
      </c>
      <c r="B2565" s="387" t="s">
        <v>3568</v>
      </c>
    </row>
    <row r="2566" spans="1:2">
      <c r="A2566" s="387" t="s">
        <v>13419</v>
      </c>
      <c r="B2566" s="387" t="s">
        <v>13420</v>
      </c>
    </row>
    <row r="2567" spans="1:2">
      <c r="A2567" s="387" t="s">
        <v>13421</v>
      </c>
      <c r="B2567" s="387" t="s">
        <v>13422</v>
      </c>
    </row>
    <row r="2568" spans="1:2">
      <c r="A2568" s="387" t="s">
        <v>13423</v>
      </c>
      <c r="B2568" s="387" t="s">
        <v>13424</v>
      </c>
    </row>
    <row r="2569" spans="1:2">
      <c r="A2569" s="387" t="s">
        <v>13425</v>
      </c>
      <c r="B2569" s="387" t="s">
        <v>13426</v>
      </c>
    </row>
    <row r="2570" spans="1:2">
      <c r="A2570" s="387" t="s">
        <v>13427</v>
      </c>
      <c r="B2570" s="387" t="s">
        <v>1852</v>
      </c>
    </row>
    <row r="2571" spans="1:2">
      <c r="A2571" s="387" t="s">
        <v>13428</v>
      </c>
      <c r="B2571" s="387" t="s">
        <v>7460</v>
      </c>
    </row>
    <row r="2572" spans="1:2">
      <c r="A2572" s="387" t="s">
        <v>13429</v>
      </c>
      <c r="B2572" s="387" t="s">
        <v>3307</v>
      </c>
    </row>
    <row r="2573" spans="1:2">
      <c r="A2573" s="387" t="s">
        <v>13430</v>
      </c>
      <c r="B2573" s="387" t="s">
        <v>13431</v>
      </c>
    </row>
    <row r="2574" spans="1:2">
      <c r="A2574" s="387" t="s">
        <v>13432</v>
      </c>
      <c r="B2574" s="387" t="s">
        <v>5890</v>
      </c>
    </row>
    <row r="2575" spans="1:2">
      <c r="A2575" s="387" t="s">
        <v>13433</v>
      </c>
      <c r="B2575" s="387" t="s">
        <v>13434</v>
      </c>
    </row>
    <row r="2576" spans="1:2">
      <c r="A2576" s="387" t="s">
        <v>13435</v>
      </c>
      <c r="B2576" s="387" t="s">
        <v>13436</v>
      </c>
    </row>
    <row r="2577" spans="1:2">
      <c r="A2577" s="387" t="s">
        <v>13437</v>
      </c>
      <c r="B2577" s="387" t="s">
        <v>8184</v>
      </c>
    </row>
    <row r="2578" spans="1:2">
      <c r="A2578" s="387" t="s">
        <v>13438</v>
      </c>
      <c r="B2578" s="387" t="s">
        <v>7605</v>
      </c>
    </row>
    <row r="2579" spans="1:2">
      <c r="A2579" s="387" t="s">
        <v>13439</v>
      </c>
      <c r="B2579" s="387" t="s">
        <v>13440</v>
      </c>
    </row>
    <row r="2580" spans="1:2">
      <c r="A2580" s="387" t="s">
        <v>13441</v>
      </c>
      <c r="B2580" s="387" t="s">
        <v>13442</v>
      </c>
    </row>
    <row r="2581" spans="1:2">
      <c r="A2581" s="387" t="s">
        <v>13443</v>
      </c>
      <c r="B2581" s="387" t="s">
        <v>2739</v>
      </c>
    </row>
    <row r="2582" spans="1:2">
      <c r="A2582" s="387" t="s">
        <v>13444</v>
      </c>
      <c r="B2582" s="387" t="s">
        <v>2912</v>
      </c>
    </row>
    <row r="2583" spans="1:2">
      <c r="A2583" s="387" t="s">
        <v>13445</v>
      </c>
      <c r="B2583" s="387" t="s">
        <v>13446</v>
      </c>
    </row>
    <row r="2584" spans="1:2">
      <c r="A2584" s="387" t="s">
        <v>13447</v>
      </c>
      <c r="B2584" s="387" t="s">
        <v>4542</v>
      </c>
    </row>
    <row r="2585" spans="1:2">
      <c r="A2585" s="387" t="s">
        <v>13448</v>
      </c>
      <c r="B2585" s="387" t="s">
        <v>13449</v>
      </c>
    </row>
    <row r="2586" spans="1:2">
      <c r="A2586" s="387" t="s">
        <v>13450</v>
      </c>
      <c r="B2586" s="387" t="s">
        <v>1119</v>
      </c>
    </row>
    <row r="2587" spans="1:2">
      <c r="A2587" s="387" t="s">
        <v>13451</v>
      </c>
      <c r="B2587" s="387" t="s">
        <v>7687</v>
      </c>
    </row>
    <row r="2588" spans="1:2">
      <c r="A2588" s="387" t="s">
        <v>13452</v>
      </c>
      <c r="B2588" s="387" t="s">
        <v>1099</v>
      </c>
    </row>
    <row r="2589" spans="1:2">
      <c r="A2589" s="387" t="s">
        <v>13453</v>
      </c>
      <c r="B2589" s="387" t="s">
        <v>2168</v>
      </c>
    </row>
    <row r="2590" spans="1:2">
      <c r="A2590" s="387" t="s">
        <v>635</v>
      </c>
      <c r="B2590" s="387" t="s">
        <v>1148</v>
      </c>
    </row>
    <row r="2591" spans="1:2">
      <c r="A2591" s="387" t="s">
        <v>496</v>
      </c>
      <c r="B2591" s="387" t="s">
        <v>1535</v>
      </c>
    </row>
    <row r="2592" spans="1:2">
      <c r="A2592" s="387" t="s">
        <v>13454</v>
      </c>
      <c r="B2592" s="387" t="s">
        <v>2401</v>
      </c>
    </row>
    <row r="2593" spans="1:2">
      <c r="A2593" s="387" t="s">
        <v>13078</v>
      </c>
      <c r="B2593" s="387" t="s">
        <v>2430</v>
      </c>
    </row>
    <row r="2594" spans="1:2">
      <c r="A2594" s="387" t="s">
        <v>13455</v>
      </c>
      <c r="B2594" s="387" t="s">
        <v>2453</v>
      </c>
    </row>
    <row r="2595" spans="1:2">
      <c r="A2595" s="387" t="s">
        <v>502</v>
      </c>
      <c r="B2595" s="387" t="s">
        <v>13079</v>
      </c>
    </row>
    <row r="2596" spans="1:2">
      <c r="A2596" s="387" t="s">
        <v>13456</v>
      </c>
      <c r="B2596" s="387" t="s">
        <v>2610</v>
      </c>
    </row>
    <row r="2597" spans="1:2">
      <c r="A2597" s="387" t="s">
        <v>13457</v>
      </c>
      <c r="B2597" s="387" t="s">
        <v>13458</v>
      </c>
    </row>
    <row r="2598" spans="1:2">
      <c r="A2598" s="387" t="s">
        <v>13459</v>
      </c>
      <c r="B2598" s="387" t="s">
        <v>1810</v>
      </c>
    </row>
    <row r="2599" spans="1:2">
      <c r="A2599" s="387" t="s">
        <v>13460</v>
      </c>
      <c r="B2599" s="387" t="s">
        <v>2807</v>
      </c>
    </row>
    <row r="2600" spans="1:2">
      <c r="A2600" s="387" t="s">
        <v>13461</v>
      </c>
      <c r="B2600" s="387" t="s">
        <v>5800</v>
      </c>
    </row>
    <row r="2601" spans="1:2">
      <c r="A2601" s="387" t="s">
        <v>13462</v>
      </c>
      <c r="B2601" s="387" t="s">
        <v>6441</v>
      </c>
    </row>
    <row r="2602" spans="1:2">
      <c r="A2602" s="387" t="s">
        <v>13463</v>
      </c>
      <c r="B2602" s="387" t="s">
        <v>6606</v>
      </c>
    </row>
    <row r="2603" spans="1:2">
      <c r="A2603" s="387" t="s">
        <v>13464</v>
      </c>
      <c r="B2603" s="387" t="s">
        <v>13465</v>
      </c>
    </row>
    <row r="2604" spans="1:2">
      <c r="A2604" s="387" t="s">
        <v>13466</v>
      </c>
      <c r="B2604" s="387" t="s">
        <v>13467</v>
      </c>
    </row>
    <row r="2605" spans="1:2">
      <c r="A2605" s="387" t="s">
        <v>13468</v>
      </c>
      <c r="B2605" s="387" t="s">
        <v>13469</v>
      </c>
    </row>
    <row r="2606" spans="1:2">
      <c r="A2606" s="387" t="s">
        <v>13470</v>
      </c>
      <c r="B2606" s="387" t="s">
        <v>942</v>
      </c>
    </row>
    <row r="2607" spans="1:2">
      <c r="A2607" s="387" t="s">
        <v>13471</v>
      </c>
      <c r="B2607" s="387" t="s">
        <v>962</v>
      </c>
    </row>
    <row r="2608" spans="1:2">
      <c r="A2608" s="387" t="s">
        <v>635</v>
      </c>
      <c r="B2608" s="387" t="s">
        <v>1148</v>
      </c>
    </row>
    <row r="2609" spans="1:2">
      <c r="A2609" s="387" t="s">
        <v>13472</v>
      </c>
      <c r="B2609" s="387" t="s">
        <v>1164</v>
      </c>
    </row>
    <row r="2610" spans="1:2">
      <c r="A2610" s="387" t="s">
        <v>13473</v>
      </c>
      <c r="B2610" s="387" t="s">
        <v>1397</v>
      </c>
    </row>
    <row r="2611" spans="1:2">
      <c r="A2611" s="387" t="s">
        <v>13474</v>
      </c>
      <c r="B2611" s="387" t="s">
        <v>1483</v>
      </c>
    </row>
    <row r="2612" spans="1:2">
      <c r="A2612" s="387" t="s">
        <v>13475</v>
      </c>
      <c r="B2612" s="387" t="s">
        <v>1560</v>
      </c>
    </row>
    <row r="2613" spans="1:2">
      <c r="A2613" s="387" t="s">
        <v>13078</v>
      </c>
      <c r="B2613" s="387" t="s">
        <v>2430</v>
      </c>
    </row>
    <row r="2614" spans="1:2">
      <c r="A2614" s="387" t="s">
        <v>13476</v>
      </c>
      <c r="B2614" s="387" t="s">
        <v>2469</v>
      </c>
    </row>
    <row r="2615" spans="1:2">
      <c r="A2615" s="387" t="s">
        <v>502</v>
      </c>
      <c r="B2615" s="387" t="s">
        <v>13079</v>
      </c>
    </row>
    <row r="2616" spans="1:2">
      <c r="A2616" s="387" t="s">
        <v>13477</v>
      </c>
      <c r="B2616" s="387" t="s">
        <v>3940</v>
      </c>
    </row>
    <row r="2617" spans="1:2">
      <c r="A2617" s="387" t="s">
        <v>13478</v>
      </c>
      <c r="B2617" s="387" t="s">
        <v>4012</v>
      </c>
    </row>
    <row r="2618" spans="1:2">
      <c r="A2618" s="387" t="s">
        <v>13479</v>
      </c>
      <c r="B2618" s="387" t="s">
        <v>4590</v>
      </c>
    </row>
    <row r="2619" spans="1:2">
      <c r="A2619" s="387" t="s">
        <v>13480</v>
      </c>
      <c r="B2619" s="387" t="s">
        <v>5803</v>
      </c>
    </row>
    <row r="2620" spans="1:2">
      <c r="A2620" s="387" t="s">
        <v>13481</v>
      </c>
      <c r="B2620" s="387" t="s">
        <v>13482</v>
      </c>
    </row>
    <row r="2621" spans="1:2">
      <c r="A2621" s="387" t="s">
        <v>13483</v>
      </c>
      <c r="B2621" s="387" t="s">
        <v>3399</v>
      </c>
    </row>
    <row r="2622" spans="1:2">
      <c r="A2622" s="387" t="s">
        <v>13484</v>
      </c>
      <c r="B2622" s="387" t="s">
        <v>13485</v>
      </c>
    </row>
    <row r="2623" spans="1:2">
      <c r="A2623" s="387" t="s">
        <v>13486</v>
      </c>
      <c r="B2623" s="387" t="s">
        <v>7420</v>
      </c>
    </row>
    <row r="2624" spans="1:2">
      <c r="A2624" s="387" t="s">
        <v>13487</v>
      </c>
      <c r="B2624" s="387" t="s">
        <v>1126</v>
      </c>
    </row>
    <row r="2625" spans="1:2">
      <c r="A2625" s="387" t="s">
        <v>635</v>
      </c>
      <c r="B2625" s="387" t="s">
        <v>1148</v>
      </c>
    </row>
    <row r="2626" spans="1:2">
      <c r="A2626" s="387" t="s">
        <v>627</v>
      </c>
      <c r="B2626" s="387" t="s">
        <v>1954</v>
      </c>
    </row>
    <row r="2627" spans="1:2">
      <c r="A2627" s="387" t="s">
        <v>13078</v>
      </c>
      <c r="B2627" s="387" t="s">
        <v>2430</v>
      </c>
    </row>
    <row r="2628" spans="1:2">
      <c r="A2628" s="387" t="s">
        <v>502</v>
      </c>
      <c r="B2628" s="387" t="s">
        <v>13079</v>
      </c>
    </row>
    <row r="2629" spans="1:2">
      <c r="A2629" s="387" t="s">
        <v>635</v>
      </c>
      <c r="B2629" s="387" t="s">
        <v>1148</v>
      </c>
    </row>
    <row r="2630" spans="1:2">
      <c r="A2630" s="387" t="s">
        <v>13488</v>
      </c>
      <c r="B2630" s="387" t="s">
        <v>5636</v>
      </c>
    </row>
    <row r="2631" spans="1:2">
      <c r="A2631" s="387" t="s">
        <v>13489</v>
      </c>
      <c r="B2631" s="387" t="s">
        <v>2425</v>
      </c>
    </row>
    <row r="2632" spans="1:2">
      <c r="A2632" s="387" t="s">
        <v>13078</v>
      </c>
      <c r="B2632" s="387" t="s">
        <v>2430</v>
      </c>
    </row>
    <row r="2633" spans="1:2">
      <c r="A2633" s="387" t="s">
        <v>8005</v>
      </c>
      <c r="B2633" s="387" t="s">
        <v>2472</v>
      </c>
    </row>
    <row r="2634" spans="1:2">
      <c r="A2634" s="387" t="s">
        <v>502</v>
      </c>
      <c r="B2634" s="387" t="s">
        <v>13079</v>
      </c>
    </row>
    <row r="2635" spans="1:2">
      <c r="A2635" s="387" t="s">
        <v>13490</v>
      </c>
      <c r="B2635" s="387" t="s">
        <v>1621</v>
      </c>
    </row>
    <row r="2636" spans="1:2">
      <c r="A2636" s="387" t="s">
        <v>7797</v>
      </c>
      <c r="B2636" s="387" t="s">
        <v>1327</v>
      </c>
    </row>
    <row r="2637" spans="1:2">
      <c r="A2637" s="387" t="s">
        <v>13491</v>
      </c>
      <c r="B2637" s="387" t="s">
        <v>3613</v>
      </c>
    </row>
    <row r="2638" spans="1:2">
      <c r="A2638" s="387" t="s">
        <v>500</v>
      </c>
      <c r="B2638" s="387" t="s">
        <v>1372</v>
      </c>
    </row>
    <row r="2639" spans="1:2">
      <c r="A2639" s="387" t="s">
        <v>13492</v>
      </c>
      <c r="B2639" s="387" t="s">
        <v>13493</v>
      </c>
    </row>
    <row r="2640" spans="1:2">
      <c r="A2640" s="387" t="s">
        <v>497</v>
      </c>
      <c r="B2640" s="387" t="s">
        <v>4218</v>
      </c>
    </row>
    <row r="2641" spans="1:2">
      <c r="A2641" s="387" t="s">
        <v>495</v>
      </c>
      <c r="B2641" s="387" t="s">
        <v>4560</v>
      </c>
    </row>
    <row r="2642" spans="1:2">
      <c r="A2642" s="387" t="s">
        <v>494</v>
      </c>
      <c r="B2642" s="387" t="s">
        <v>4589</v>
      </c>
    </row>
    <row r="2643" spans="1:2">
      <c r="A2643" s="387" t="s">
        <v>13494</v>
      </c>
      <c r="B2643" s="387" t="s">
        <v>4755</v>
      </c>
    </row>
    <row r="2644" spans="1:2">
      <c r="A2644" s="387" t="s">
        <v>493</v>
      </c>
      <c r="B2644" s="387" t="s">
        <v>5355</v>
      </c>
    </row>
    <row r="2645" spans="1:2">
      <c r="A2645" s="387" t="s">
        <v>498</v>
      </c>
      <c r="B2645" s="387" t="s">
        <v>5357</v>
      </c>
    </row>
    <row r="2646" spans="1:2">
      <c r="A2646" s="387" t="s">
        <v>501</v>
      </c>
      <c r="B2646" s="387" t="s">
        <v>5512</v>
      </c>
    </row>
    <row r="2647" spans="1:2">
      <c r="A2647" s="387" t="s">
        <v>785</v>
      </c>
      <c r="B2647" s="387" t="s">
        <v>786</v>
      </c>
    </row>
    <row r="2648" spans="1:2">
      <c r="A2648" s="387" t="s">
        <v>622</v>
      </c>
      <c r="B2648" s="387" t="s">
        <v>986</v>
      </c>
    </row>
    <row r="2649" spans="1:2">
      <c r="A2649" s="387" t="s">
        <v>155</v>
      </c>
      <c r="B2649" s="387" t="s">
        <v>998</v>
      </c>
    </row>
    <row r="2650" spans="1:2">
      <c r="A2650" s="387" t="s">
        <v>13495</v>
      </c>
      <c r="B2650" s="387" t="s">
        <v>1131</v>
      </c>
    </row>
    <row r="2651" spans="1:2">
      <c r="A2651" s="387" t="s">
        <v>13496</v>
      </c>
      <c r="B2651" s="387" t="s">
        <v>1144</v>
      </c>
    </row>
    <row r="2652" spans="1:2">
      <c r="A2652" s="387" t="s">
        <v>13497</v>
      </c>
      <c r="B2652" s="387" t="s">
        <v>1235</v>
      </c>
    </row>
    <row r="2653" spans="1:2">
      <c r="A2653" s="387" t="s">
        <v>13498</v>
      </c>
      <c r="B2653" s="387" t="s">
        <v>1251</v>
      </c>
    </row>
    <row r="2654" spans="1:2">
      <c r="A2654" s="387" t="s">
        <v>13499</v>
      </c>
      <c r="B2654" s="387" t="s">
        <v>13500</v>
      </c>
    </row>
    <row r="2655" spans="1:2">
      <c r="A2655" s="387" t="s">
        <v>13501</v>
      </c>
      <c r="B2655" s="387" t="s">
        <v>1366</v>
      </c>
    </row>
    <row r="2656" spans="1:2">
      <c r="A2656" s="387" t="s">
        <v>13502</v>
      </c>
      <c r="B2656" s="387" t="s">
        <v>1498</v>
      </c>
    </row>
    <row r="2657" spans="1:2">
      <c r="A2657" s="387" t="s">
        <v>13503</v>
      </c>
      <c r="B2657" s="387" t="s">
        <v>1550</v>
      </c>
    </row>
    <row r="2658" spans="1:2">
      <c r="A2658" s="387" t="s">
        <v>13504</v>
      </c>
      <c r="B2658" s="387" t="s">
        <v>1678</v>
      </c>
    </row>
    <row r="2659" spans="1:2">
      <c r="A2659" s="387" t="s">
        <v>13505</v>
      </c>
      <c r="B2659" s="387" t="s">
        <v>1842</v>
      </c>
    </row>
    <row r="2660" spans="1:2">
      <c r="A2660" s="387" t="s">
        <v>13506</v>
      </c>
      <c r="B2660" s="387" t="s">
        <v>1965</v>
      </c>
    </row>
    <row r="2661" spans="1:2">
      <c r="A2661" s="387" t="s">
        <v>13507</v>
      </c>
      <c r="B2661" s="387" t="s">
        <v>1364</v>
      </c>
    </row>
    <row r="2662" spans="1:2">
      <c r="A2662" s="387" t="s">
        <v>13508</v>
      </c>
      <c r="B2662" s="387" t="s">
        <v>2088</v>
      </c>
    </row>
    <row r="2663" spans="1:2">
      <c r="A2663" s="387" t="s">
        <v>13509</v>
      </c>
      <c r="B2663" s="387" t="s">
        <v>2130</v>
      </c>
    </row>
    <row r="2664" spans="1:2">
      <c r="A2664" s="387" t="s">
        <v>13510</v>
      </c>
      <c r="B2664" s="387" t="s">
        <v>2184</v>
      </c>
    </row>
    <row r="2665" spans="1:2">
      <c r="A2665" s="387" t="s">
        <v>13511</v>
      </c>
      <c r="B2665" s="387" t="s">
        <v>2190</v>
      </c>
    </row>
    <row r="2666" spans="1:2">
      <c r="A2666" s="387" t="s">
        <v>13512</v>
      </c>
      <c r="B2666" s="387" t="s">
        <v>2192</v>
      </c>
    </row>
    <row r="2667" spans="1:2">
      <c r="A2667" s="387" t="s">
        <v>13513</v>
      </c>
      <c r="B2667" s="387" t="s">
        <v>2346</v>
      </c>
    </row>
    <row r="2668" spans="1:2">
      <c r="A2668" s="387" t="s">
        <v>13514</v>
      </c>
      <c r="B2668" s="387" t="s">
        <v>1099</v>
      </c>
    </row>
    <row r="2669" spans="1:2">
      <c r="A2669" s="387" t="s">
        <v>13515</v>
      </c>
      <c r="B2669" s="387" t="s">
        <v>2596</v>
      </c>
    </row>
    <row r="2670" spans="1:2">
      <c r="A2670" s="387" t="s">
        <v>13516</v>
      </c>
      <c r="B2670" s="387" t="s">
        <v>2692</v>
      </c>
    </row>
    <row r="2671" spans="1:2">
      <c r="A2671" s="387" t="s">
        <v>13517</v>
      </c>
      <c r="B2671" s="387" t="s">
        <v>2739</v>
      </c>
    </row>
    <row r="2672" spans="1:2">
      <c r="A2672" s="387" t="s">
        <v>13518</v>
      </c>
      <c r="B2672" s="387" t="s">
        <v>2761</v>
      </c>
    </row>
    <row r="2673" spans="1:2">
      <c r="A2673" s="387" t="s">
        <v>13519</v>
      </c>
      <c r="B2673" s="387" t="s">
        <v>2778</v>
      </c>
    </row>
    <row r="2674" spans="1:2">
      <c r="A2674" s="387" t="s">
        <v>13520</v>
      </c>
      <c r="B2674" s="387" t="s">
        <v>2784</v>
      </c>
    </row>
    <row r="2675" spans="1:2">
      <c r="A2675" s="387" t="s">
        <v>13521</v>
      </c>
      <c r="B2675" s="387" t="s">
        <v>6075</v>
      </c>
    </row>
    <row r="2676" spans="1:2">
      <c r="A2676" s="387" t="s">
        <v>13522</v>
      </c>
      <c r="B2676" s="387" t="s">
        <v>3249</v>
      </c>
    </row>
    <row r="2677" spans="1:2">
      <c r="A2677" s="387" t="s">
        <v>13523</v>
      </c>
      <c r="B2677" s="387" t="s">
        <v>13524</v>
      </c>
    </row>
    <row r="2678" spans="1:2">
      <c r="A2678" s="387" t="s">
        <v>13525</v>
      </c>
      <c r="B2678" s="387" t="s">
        <v>1319</v>
      </c>
    </row>
    <row r="2679" spans="1:2">
      <c r="A2679" s="387" t="s">
        <v>13526</v>
      </c>
      <c r="B2679" s="387" t="s">
        <v>13527</v>
      </c>
    </row>
    <row r="2680" spans="1:2">
      <c r="A2680" s="387" t="s">
        <v>13528</v>
      </c>
      <c r="B2680" s="387" t="s">
        <v>3634</v>
      </c>
    </row>
    <row r="2681" spans="1:2">
      <c r="A2681" s="387" t="s">
        <v>13529</v>
      </c>
      <c r="B2681" s="387" t="s">
        <v>3723</v>
      </c>
    </row>
    <row r="2682" spans="1:2">
      <c r="A2682" s="387" t="s">
        <v>13530</v>
      </c>
      <c r="B2682" s="387" t="s">
        <v>3725</v>
      </c>
    </row>
    <row r="2683" spans="1:2">
      <c r="A2683" s="387" t="s">
        <v>13531</v>
      </c>
      <c r="B2683" s="387" t="s">
        <v>2072</v>
      </c>
    </row>
    <row r="2684" spans="1:2">
      <c r="A2684" s="387" t="s">
        <v>8012</v>
      </c>
      <c r="B2684" s="387" t="s">
        <v>4031</v>
      </c>
    </row>
    <row r="2685" spans="1:2">
      <c r="A2685" s="387" t="s">
        <v>13532</v>
      </c>
      <c r="B2685" s="387" t="s">
        <v>4372</v>
      </c>
    </row>
    <row r="2686" spans="1:2">
      <c r="A2686" s="387" t="s">
        <v>13533</v>
      </c>
      <c r="B2686" s="387" t="s">
        <v>4485</v>
      </c>
    </row>
    <row r="2687" spans="1:2">
      <c r="A2687" s="387" t="s">
        <v>13534</v>
      </c>
      <c r="B2687" s="387" t="s">
        <v>4642</v>
      </c>
    </row>
    <row r="2688" spans="1:2">
      <c r="A2688" s="387" t="s">
        <v>13535</v>
      </c>
      <c r="B2688" s="387" t="s">
        <v>2173</v>
      </c>
    </row>
    <row r="2689" spans="1:2">
      <c r="A2689" s="387" t="s">
        <v>13536</v>
      </c>
      <c r="B2689" s="387" t="s">
        <v>4876</v>
      </c>
    </row>
    <row r="2690" spans="1:2">
      <c r="A2690" s="387" t="s">
        <v>13537</v>
      </c>
      <c r="B2690" s="387" t="s">
        <v>1325</v>
      </c>
    </row>
    <row r="2691" spans="1:2">
      <c r="A2691" s="387" t="s">
        <v>13538</v>
      </c>
      <c r="B2691" s="387" t="s">
        <v>5063</v>
      </c>
    </row>
    <row r="2692" spans="1:2">
      <c r="A2692" s="387" t="s">
        <v>13539</v>
      </c>
      <c r="B2692" s="387" t="s">
        <v>5109</v>
      </c>
    </row>
    <row r="2693" spans="1:2">
      <c r="A2693" s="387" t="s">
        <v>7790</v>
      </c>
      <c r="B2693" s="387" t="s">
        <v>5156</v>
      </c>
    </row>
    <row r="2694" spans="1:2">
      <c r="A2694" s="387" t="s">
        <v>13540</v>
      </c>
      <c r="B2694" s="387" t="s">
        <v>5158</v>
      </c>
    </row>
    <row r="2695" spans="1:2">
      <c r="A2695" s="387" t="s">
        <v>13541</v>
      </c>
      <c r="B2695" s="387" t="s">
        <v>4762</v>
      </c>
    </row>
    <row r="2696" spans="1:2">
      <c r="A2696" s="387" t="s">
        <v>13542</v>
      </c>
      <c r="B2696" s="387" t="s">
        <v>5206</v>
      </c>
    </row>
    <row r="2697" spans="1:2">
      <c r="A2697" s="387" t="s">
        <v>13543</v>
      </c>
      <c r="B2697" s="387" t="s">
        <v>5208</v>
      </c>
    </row>
    <row r="2698" spans="1:2">
      <c r="A2698" s="387" t="s">
        <v>13544</v>
      </c>
      <c r="B2698" s="387" t="s">
        <v>5210</v>
      </c>
    </row>
    <row r="2699" spans="1:2">
      <c r="A2699" s="387" t="s">
        <v>13545</v>
      </c>
      <c r="B2699" s="387" t="s">
        <v>979</v>
      </c>
    </row>
    <row r="2700" spans="1:2">
      <c r="A2700" s="387" t="s">
        <v>13546</v>
      </c>
      <c r="B2700" s="387" t="s">
        <v>960</v>
      </c>
    </row>
    <row r="2701" spans="1:2">
      <c r="A2701" s="387" t="s">
        <v>13547</v>
      </c>
      <c r="B2701" s="387" t="s">
        <v>5268</v>
      </c>
    </row>
    <row r="2702" spans="1:2">
      <c r="A2702" s="387" t="s">
        <v>13548</v>
      </c>
      <c r="B2702" s="387" t="s">
        <v>5271</v>
      </c>
    </row>
    <row r="2703" spans="1:2">
      <c r="A2703" s="387" t="s">
        <v>13549</v>
      </c>
      <c r="B2703" s="387" t="s">
        <v>5358</v>
      </c>
    </row>
    <row r="2704" spans="1:2">
      <c r="A2704" s="387" t="s">
        <v>13550</v>
      </c>
      <c r="B2704" s="387" t="s">
        <v>5417</v>
      </c>
    </row>
    <row r="2705" spans="1:2">
      <c r="A2705" s="387" t="s">
        <v>13551</v>
      </c>
      <c r="B2705" s="387" t="s">
        <v>1315</v>
      </c>
    </row>
    <row r="2706" spans="1:2">
      <c r="A2706" s="387" t="s">
        <v>13552</v>
      </c>
      <c r="B2706" s="387" t="s">
        <v>5442</v>
      </c>
    </row>
    <row r="2707" spans="1:2">
      <c r="A2707" s="387" t="s">
        <v>13553</v>
      </c>
      <c r="B2707" s="387" t="s">
        <v>1588</v>
      </c>
    </row>
    <row r="2708" spans="1:2">
      <c r="A2708" s="387" t="s">
        <v>13554</v>
      </c>
      <c r="B2708" s="387" t="s">
        <v>5494</v>
      </c>
    </row>
    <row r="2709" spans="1:2">
      <c r="A2709" s="387" t="s">
        <v>13555</v>
      </c>
      <c r="B2709" s="387" t="s">
        <v>5737</v>
      </c>
    </row>
    <row r="2710" spans="1:2">
      <c r="A2710" s="387" t="s">
        <v>13556</v>
      </c>
      <c r="B2710" s="387" t="s">
        <v>5740</v>
      </c>
    </row>
    <row r="2711" spans="1:2">
      <c r="A2711" s="387" t="s">
        <v>13557</v>
      </c>
      <c r="B2711" s="387" t="s">
        <v>13558</v>
      </c>
    </row>
    <row r="2712" spans="1:2">
      <c r="A2712" s="387" t="s">
        <v>13559</v>
      </c>
      <c r="B2712" s="387" t="s">
        <v>6044</v>
      </c>
    </row>
    <row r="2713" spans="1:2">
      <c r="A2713" s="387" t="s">
        <v>13560</v>
      </c>
      <c r="B2713" s="387" t="s">
        <v>1070</v>
      </c>
    </row>
    <row r="2714" spans="1:2">
      <c r="A2714" s="387" t="s">
        <v>13561</v>
      </c>
      <c r="B2714" s="387" t="s">
        <v>6155</v>
      </c>
    </row>
    <row r="2715" spans="1:2">
      <c r="A2715" s="387" t="s">
        <v>13562</v>
      </c>
      <c r="B2715" s="387" t="s">
        <v>6248</v>
      </c>
    </row>
    <row r="2716" spans="1:2">
      <c r="A2716" s="387" t="s">
        <v>13563</v>
      </c>
      <c r="B2716" s="387" t="s">
        <v>6250</v>
      </c>
    </row>
    <row r="2717" spans="1:2">
      <c r="A2717" s="387" t="s">
        <v>13564</v>
      </c>
      <c r="B2717" s="387" t="s">
        <v>13565</v>
      </c>
    </row>
    <row r="2718" spans="1:2">
      <c r="A2718" s="387" t="s">
        <v>13566</v>
      </c>
      <c r="B2718" s="387" t="s">
        <v>6524</v>
      </c>
    </row>
    <row r="2719" spans="1:2">
      <c r="A2719" s="387" t="s">
        <v>13567</v>
      </c>
      <c r="B2719" s="387" t="s">
        <v>13568</v>
      </c>
    </row>
    <row r="2720" spans="1:2">
      <c r="A2720" s="387" t="s">
        <v>13569</v>
      </c>
      <c r="B2720" s="387" t="s">
        <v>13570</v>
      </c>
    </row>
    <row r="2721" spans="1:2">
      <c r="A2721" s="387" t="s">
        <v>13571</v>
      </c>
      <c r="B2721" s="387" t="s">
        <v>1128</v>
      </c>
    </row>
    <row r="2722" spans="1:2">
      <c r="A2722" s="387" t="s">
        <v>13572</v>
      </c>
      <c r="B2722" s="387" t="s">
        <v>6655</v>
      </c>
    </row>
    <row r="2723" spans="1:2">
      <c r="A2723" s="387" t="s">
        <v>13573</v>
      </c>
      <c r="B2723" s="387" t="s">
        <v>6842</v>
      </c>
    </row>
    <row r="2724" spans="1:2">
      <c r="A2724" s="387" t="s">
        <v>13574</v>
      </c>
      <c r="B2724" s="387" t="s">
        <v>7090</v>
      </c>
    </row>
    <row r="2725" spans="1:2">
      <c r="A2725" s="387" t="s">
        <v>13575</v>
      </c>
      <c r="B2725" s="387" t="s">
        <v>3394</v>
      </c>
    </row>
    <row r="2726" spans="1:2">
      <c r="A2726" s="387" t="s">
        <v>13576</v>
      </c>
      <c r="B2726" s="387" t="s">
        <v>7093</v>
      </c>
    </row>
    <row r="2727" spans="1:2">
      <c r="A2727" s="387" t="s">
        <v>13577</v>
      </c>
      <c r="B2727" s="387" t="s">
        <v>7120</v>
      </c>
    </row>
    <row r="2728" spans="1:2">
      <c r="A2728" s="387" t="s">
        <v>13578</v>
      </c>
      <c r="B2728" s="387" t="s">
        <v>7173</v>
      </c>
    </row>
    <row r="2729" spans="1:2">
      <c r="A2729" s="387" t="s">
        <v>13579</v>
      </c>
      <c r="B2729" s="387" t="s">
        <v>8714</v>
      </c>
    </row>
    <row r="2730" spans="1:2">
      <c r="A2730" s="387" t="s">
        <v>13580</v>
      </c>
      <c r="B2730" s="387" t="s">
        <v>13581</v>
      </c>
    </row>
    <row r="2731" spans="1:2">
      <c r="A2731" s="387" t="s">
        <v>13582</v>
      </c>
      <c r="B2731" s="387" t="s">
        <v>2168</v>
      </c>
    </row>
    <row r="2732" spans="1:2">
      <c r="A2732" s="387" t="s">
        <v>155</v>
      </c>
      <c r="B2732" s="387" t="s">
        <v>998</v>
      </c>
    </row>
    <row r="2733" spans="1:2">
      <c r="A2733" s="387" t="s">
        <v>13583</v>
      </c>
      <c r="B2733" s="387" t="s">
        <v>1471</v>
      </c>
    </row>
    <row r="2734" spans="1:2">
      <c r="A2734" s="387" t="s">
        <v>13584</v>
      </c>
      <c r="B2734" s="387" t="s">
        <v>1706</v>
      </c>
    </row>
    <row r="2735" spans="1:2">
      <c r="A2735" s="387" t="s">
        <v>13585</v>
      </c>
      <c r="B2735" s="387" t="s">
        <v>1802</v>
      </c>
    </row>
    <row r="2736" spans="1:2">
      <c r="A2736" s="387" t="s">
        <v>13586</v>
      </c>
      <c r="B2736" s="387" t="s">
        <v>1952</v>
      </c>
    </row>
    <row r="2737" spans="1:2">
      <c r="A2737" s="387" t="s">
        <v>13587</v>
      </c>
      <c r="B2737" s="387" t="s">
        <v>2110</v>
      </c>
    </row>
    <row r="2738" spans="1:2">
      <c r="A2738" s="387" t="s">
        <v>13588</v>
      </c>
      <c r="B2738" s="387" t="s">
        <v>2114</v>
      </c>
    </row>
    <row r="2739" spans="1:2">
      <c r="A2739" s="387" t="s">
        <v>13589</v>
      </c>
      <c r="B2739" s="387" t="s">
        <v>2121</v>
      </c>
    </row>
    <row r="2740" spans="1:2">
      <c r="A2740" s="387" t="s">
        <v>13590</v>
      </c>
      <c r="B2740" s="387" t="s">
        <v>2227</v>
      </c>
    </row>
    <row r="2741" spans="1:2">
      <c r="A2741" s="387" t="s">
        <v>13591</v>
      </c>
      <c r="B2741" s="387" t="s">
        <v>2303</v>
      </c>
    </row>
    <row r="2742" spans="1:2">
      <c r="A2742" s="387" t="s">
        <v>13592</v>
      </c>
      <c r="B2742" s="387" t="s">
        <v>2316</v>
      </c>
    </row>
    <row r="2743" spans="1:2">
      <c r="A2743" s="387" t="s">
        <v>13593</v>
      </c>
      <c r="B2743" s="387" t="s">
        <v>2373</v>
      </c>
    </row>
    <row r="2744" spans="1:2">
      <c r="A2744" s="387" t="s">
        <v>13594</v>
      </c>
      <c r="B2744" s="387" t="s">
        <v>1580</v>
      </c>
    </row>
    <row r="2745" spans="1:2">
      <c r="A2745" s="387" t="s">
        <v>13595</v>
      </c>
      <c r="B2745" s="387" t="s">
        <v>2461</v>
      </c>
    </row>
    <row r="2746" spans="1:2">
      <c r="A2746" s="387" t="s">
        <v>13596</v>
      </c>
      <c r="B2746" s="387" t="s">
        <v>2520</v>
      </c>
    </row>
    <row r="2747" spans="1:2">
      <c r="A2747" s="387" t="s">
        <v>13597</v>
      </c>
      <c r="B2747" s="387" t="s">
        <v>2557</v>
      </c>
    </row>
    <row r="2748" spans="1:2">
      <c r="A2748" s="387" t="s">
        <v>13598</v>
      </c>
      <c r="B2748" s="387" t="s">
        <v>2612</v>
      </c>
    </row>
    <row r="2749" spans="1:2">
      <c r="A2749" s="387" t="s">
        <v>13599</v>
      </c>
      <c r="B2749" s="387" t="s">
        <v>13600</v>
      </c>
    </row>
    <row r="2750" spans="1:2">
      <c r="A2750" s="387" t="s">
        <v>13601</v>
      </c>
      <c r="B2750" s="387" t="s">
        <v>2637</v>
      </c>
    </row>
    <row r="2751" spans="1:2">
      <c r="A2751" s="387" t="s">
        <v>13602</v>
      </c>
      <c r="B2751" s="387" t="s">
        <v>2757</v>
      </c>
    </row>
    <row r="2752" spans="1:2">
      <c r="A2752" s="387" t="s">
        <v>13603</v>
      </c>
      <c r="B2752" s="387" t="s">
        <v>2807</v>
      </c>
    </row>
    <row r="2753" spans="1:2">
      <c r="A2753" s="387" t="s">
        <v>13604</v>
      </c>
      <c r="B2753" s="387" t="s">
        <v>12820</v>
      </c>
    </row>
    <row r="2754" spans="1:2">
      <c r="A2754" s="387" t="s">
        <v>13605</v>
      </c>
      <c r="B2754" s="387" t="s">
        <v>1580</v>
      </c>
    </row>
    <row r="2755" spans="1:2">
      <c r="A2755" s="387" t="s">
        <v>13606</v>
      </c>
      <c r="B2755" s="387" t="s">
        <v>3047</v>
      </c>
    </row>
    <row r="2756" spans="1:2">
      <c r="A2756" s="387" t="s">
        <v>13607</v>
      </c>
      <c r="B2756" s="387" t="s">
        <v>3060</v>
      </c>
    </row>
    <row r="2757" spans="1:2">
      <c r="A2757" s="387" t="s">
        <v>13608</v>
      </c>
      <c r="B2757" s="387" t="s">
        <v>3062</v>
      </c>
    </row>
    <row r="2758" spans="1:2">
      <c r="A2758" s="387" t="s">
        <v>13609</v>
      </c>
      <c r="B2758" s="387" t="s">
        <v>3085</v>
      </c>
    </row>
    <row r="2759" spans="1:2">
      <c r="A2759" s="387" t="s">
        <v>13610</v>
      </c>
      <c r="B2759" s="387" t="s">
        <v>13611</v>
      </c>
    </row>
    <row r="2760" spans="1:2">
      <c r="A2760" s="387" t="s">
        <v>13612</v>
      </c>
      <c r="B2760" s="387" t="s">
        <v>3148</v>
      </c>
    </row>
    <row r="2761" spans="1:2">
      <c r="A2761" s="387" t="s">
        <v>13613</v>
      </c>
      <c r="B2761" s="387" t="s">
        <v>3199</v>
      </c>
    </row>
    <row r="2762" spans="1:2">
      <c r="A2762" s="387" t="s">
        <v>13614</v>
      </c>
      <c r="B2762" s="387" t="s">
        <v>2790</v>
      </c>
    </row>
    <row r="2763" spans="1:2">
      <c r="A2763" s="387" t="s">
        <v>13615</v>
      </c>
      <c r="B2763" s="387" t="s">
        <v>3268</v>
      </c>
    </row>
    <row r="2764" spans="1:2">
      <c r="A2764" s="387" t="s">
        <v>13616</v>
      </c>
      <c r="B2764" s="387" t="s">
        <v>3318</v>
      </c>
    </row>
    <row r="2765" spans="1:2">
      <c r="A2765" s="387" t="s">
        <v>13617</v>
      </c>
      <c r="B2765" s="387" t="s">
        <v>3195</v>
      </c>
    </row>
    <row r="2766" spans="1:2">
      <c r="A2766" s="387" t="s">
        <v>13618</v>
      </c>
      <c r="B2766" s="387" t="s">
        <v>3264</v>
      </c>
    </row>
    <row r="2767" spans="1:2">
      <c r="A2767" s="387" t="s">
        <v>13619</v>
      </c>
      <c r="B2767" s="387" t="s">
        <v>1637</v>
      </c>
    </row>
    <row r="2768" spans="1:2">
      <c r="A2768" s="387" t="s">
        <v>13620</v>
      </c>
      <c r="B2768" s="387" t="s">
        <v>1208</v>
      </c>
    </row>
    <row r="2769" spans="1:2">
      <c r="A2769" s="387" t="s">
        <v>13621</v>
      </c>
      <c r="B2769" s="387" t="s">
        <v>3425</v>
      </c>
    </row>
    <row r="2770" spans="1:2">
      <c r="A2770" s="387" t="s">
        <v>13622</v>
      </c>
      <c r="B2770" s="387" t="s">
        <v>3453</v>
      </c>
    </row>
    <row r="2771" spans="1:2">
      <c r="A2771" s="387" t="s">
        <v>13623</v>
      </c>
      <c r="B2771" s="387" t="s">
        <v>3457</v>
      </c>
    </row>
    <row r="2772" spans="1:2">
      <c r="A2772" s="387" t="s">
        <v>13624</v>
      </c>
      <c r="B2772" s="387" t="s">
        <v>3490</v>
      </c>
    </row>
    <row r="2773" spans="1:2">
      <c r="A2773" s="387" t="s">
        <v>13625</v>
      </c>
      <c r="B2773" s="387" t="s">
        <v>3197</v>
      </c>
    </row>
    <row r="2774" spans="1:2">
      <c r="A2774" s="387" t="s">
        <v>13626</v>
      </c>
      <c r="B2774" s="387" t="s">
        <v>2790</v>
      </c>
    </row>
    <row r="2775" spans="1:2">
      <c r="A2775" s="387" t="s">
        <v>13627</v>
      </c>
      <c r="B2775" s="387" t="s">
        <v>3713</v>
      </c>
    </row>
    <row r="2776" spans="1:2">
      <c r="A2776" s="387" t="s">
        <v>13628</v>
      </c>
      <c r="B2776" s="387" t="s">
        <v>3761</v>
      </c>
    </row>
    <row r="2777" spans="1:2">
      <c r="A2777" s="387" t="s">
        <v>13629</v>
      </c>
      <c r="B2777" s="387" t="s">
        <v>2150</v>
      </c>
    </row>
    <row r="2778" spans="1:2">
      <c r="A2778" s="387" t="s">
        <v>13630</v>
      </c>
      <c r="B2778" s="387" t="s">
        <v>13631</v>
      </c>
    </row>
    <row r="2779" spans="1:2">
      <c r="A2779" s="387" t="s">
        <v>13632</v>
      </c>
      <c r="B2779" s="387" t="s">
        <v>3944</v>
      </c>
    </row>
    <row r="2780" spans="1:2">
      <c r="A2780" s="387" t="s">
        <v>13633</v>
      </c>
      <c r="B2780" s="387" t="s">
        <v>4033</v>
      </c>
    </row>
    <row r="2781" spans="1:2">
      <c r="A2781" s="387" t="s">
        <v>13634</v>
      </c>
      <c r="B2781" s="387" t="s">
        <v>4169</v>
      </c>
    </row>
    <row r="2782" spans="1:2">
      <c r="A2782" s="387" t="s">
        <v>13635</v>
      </c>
      <c r="B2782" s="387" t="s">
        <v>4288</v>
      </c>
    </row>
    <row r="2783" spans="1:2">
      <c r="A2783" s="387" t="s">
        <v>13636</v>
      </c>
      <c r="B2783" s="387" t="s">
        <v>13637</v>
      </c>
    </row>
    <row r="2784" spans="1:2">
      <c r="A2784" s="387" t="s">
        <v>13638</v>
      </c>
      <c r="B2784" s="387" t="s">
        <v>4090</v>
      </c>
    </row>
    <row r="2785" spans="1:2">
      <c r="A2785" s="387" t="s">
        <v>13639</v>
      </c>
      <c r="B2785" s="387" t="s">
        <v>4568</v>
      </c>
    </row>
    <row r="2786" spans="1:2">
      <c r="A2786" s="387" t="s">
        <v>13640</v>
      </c>
      <c r="B2786" s="387" t="s">
        <v>4667</v>
      </c>
    </row>
    <row r="2787" spans="1:2">
      <c r="A2787" s="387" t="s">
        <v>13641</v>
      </c>
      <c r="B2787" s="387" t="s">
        <v>4682</v>
      </c>
    </row>
    <row r="2788" spans="1:2">
      <c r="A2788" s="387" t="s">
        <v>13642</v>
      </c>
      <c r="B2788" s="387" t="s">
        <v>4762</v>
      </c>
    </row>
    <row r="2789" spans="1:2">
      <c r="A2789" s="387" t="s">
        <v>13643</v>
      </c>
      <c r="B2789" s="387" t="s">
        <v>4870</v>
      </c>
    </row>
    <row r="2790" spans="1:2">
      <c r="A2790" s="387" t="s">
        <v>13644</v>
      </c>
      <c r="B2790" s="387" t="s">
        <v>2647</v>
      </c>
    </row>
    <row r="2791" spans="1:2">
      <c r="A2791" s="387" t="s">
        <v>13645</v>
      </c>
      <c r="B2791" s="387" t="s">
        <v>13646</v>
      </c>
    </row>
    <row r="2792" spans="1:2">
      <c r="A2792" s="387" t="s">
        <v>13647</v>
      </c>
      <c r="B2792" s="387" t="s">
        <v>5088</v>
      </c>
    </row>
    <row r="2793" spans="1:2">
      <c r="A2793" s="387" t="s">
        <v>13648</v>
      </c>
      <c r="B2793" s="387" t="s">
        <v>5111</v>
      </c>
    </row>
    <row r="2794" spans="1:2">
      <c r="A2794" s="387" t="s">
        <v>13649</v>
      </c>
      <c r="B2794" s="387" t="s">
        <v>5142</v>
      </c>
    </row>
    <row r="2795" spans="1:2">
      <c r="A2795" s="387" t="s">
        <v>13650</v>
      </c>
      <c r="B2795" s="387" t="s">
        <v>5213</v>
      </c>
    </row>
    <row r="2796" spans="1:2">
      <c r="A2796" s="387" t="s">
        <v>13651</v>
      </c>
      <c r="B2796" s="387" t="s">
        <v>2774</v>
      </c>
    </row>
    <row r="2797" spans="1:2">
      <c r="A2797" s="387" t="s">
        <v>13652</v>
      </c>
      <c r="B2797" s="387" t="s">
        <v>5282</v>
      </c>
    </row>
    <row r="2798" spans="1:2">
      <c r="A2798" s="387" t="s">
        <v>13653</v>
      </c>
      <c r="B2798" s="387" t="s">
        <v>5378</v>
      </c>
    </row>
    <row r="2799" spans="1:2">
      <c r="A2799" s="387" t="s">
        <v>13654</v>
      </c>
      <c r="B2799" s="387" t="s">
        <v>5380</v>
      </c>
    </row>
    <row r="2800" spans="1:2">
      <c r="A2800" s="387" t="s">
        <v>13655</v>
      </c>
      <c r="B2800" s="387" t="s">
        <v>5945</v>
      </c>
    </row>
    <row r="2801" spans="1:2">
      <c r="A2801" s="387" t="s">
        <v>13656</v>
      </c>
      <c r="B2801" s="387" t="s">
        <v>6153</v>
      </c>
    </row>
    <row r="2802" spans="1:2">
      <c r="A2802" s="387" t="s">
        <v>13657</v>
      </c>
      <c r="B2802" s="387" t="s">
        <v>6157</v>
      </c>
    </row>
    <row r="2803" spans="1:2">
      <c r="A2803" s="387" t="s">
        <v>13658</v>
      </c>
      <c r="B2803" s="387" t="s">
        <v>6159</v>
      </c>
    </row>
    <row r="2804" spans="1:2">
      <c r="A2804" s="387" t="s">
        <v>13659</v>
      </c>
      <c r="B2804" s="387" t="s">
        <v>6161</v>
      </c>
    </row>
    <row r="2805" spans="1:2">
      <c r="A2805" s="387" t="s">
        <v>13660</v>
      </c>
      <c r="B2805" s="387" t="s">
        <v>6244</v>
      </c>
    </row>
    <row r="2806" spans="1:2">
      <c r="A2806" s="387" t="s">
        <v>13661</v>
      </c>
      <c r="B2806" s="387" t="s">
        <v>6246</v>
      </c>
    </row>
    <row r="2807" spans="1:2">
      <c r="A2807" s="387" t="s">
        <v>13662</v>
      </c>
      <c r="B2807" s="387" t="s">
        <v>3501</v>
      </c>
    </row>
    <row r="2808" spans="1:2">
      <c r="A2808" s="387" t="s">
        <v>13663</v>
      </c>
      <c r="B2808" s="387" t="s">
        <v>6301</v>
      </c>
    </row>
    <row r="2809" spans="1:2">
      <c r="A2809" s="387" t="s">
        <v>13664</v>
      </c>
      <c r="B2809" s="387" t="s">
        <v>6303</v>
      </c>
    </row>
    <row r="2810" spans="1:2">
      <c r="A2810" s="387" t="s">
        <v>13665</v>
      </c>
      <c r="B2810" s="387" t="s">
        <v>6305</v>
      </c>
    </row>
    <row r="2811" spans="1:2">
      <c r="A2811" s="387" t="s">
        <v>13666</v>
      </c>
      <c r="B2811" s="387" t="s">
        <v>5585</v>
      </c>
    </row>
    <row r="2812" spans="1:2">
      <c r="A2812" s="387" t="s">
        <v>13667</v>
      </c>
      <c r="B2812" s="387" t="s">
        <v>5773</v>
      </c>
    </row>
    <row r="2813" spans="1:2">
      <c r="A2813" s="387" t="s">
        <v>13668</v>
      </c>
      <c r="B2813" s="387" t="s">
        <v>6657</v>
      </c>
    </row>
    <row r="2814" spans="1:2">
      <c r="A2814" s="387" t="s">
        <v>13669</v>
      </c>
      <c r="B2814" s="387" t="s">
        <v>6817</v>
      </c>
    </row>
    <row r="2815" spans="1:2">
      <c r="A2815" s="387" t="s">
        <v>13670</v>
      </c>
      <c r="B2815" s="387" t="s">
        <v>13671</v>
      </c>
    </row>
    <row r="2816" spans="1:2">
      <c r="A2816" s="387" t="s">
        <v>155</v>
      </c>
      <c r="B2816" s="387" t="s">
        <v>998</v>
      </c>
    </row>
    <row r="2817" spans="1:2">
      <c r="A2817" s="387" t="s">
        <v>13672</v>
      </c>
      <c r="B2817" s="387" t="s">
        <v>1481</v>
      </c>
    </row>
    <row r="2818" spans="1:2">
      <c r="A2818" s="387" t="s">
        <v>628</v>
      </c>
      <c r="B2818" s="387" t="s">
        <v>1844</v>
      </c>
    </row>
    <row r="2819" spans="1:2">
      <c r="A2819" s="387" t="s">
        <v>634</v>
      </c>
      <c r="B2819" s="387" t="s">
        <v>3598</v>
      </c>
    </row>
    <row r="2820" spans="1:2">
      <c r="A2820" s="387" t="s">
        <v>13673</v>
      </c>
      <c r="B2820" s="387" t="s">
        <v>3018</v>
      </c>
    </row>
    <row r="2821" spans="1:2">
      <c r="A2821" s="387" t="s">
        <v>13674</v>
      </c>
      <c r="B2821" s="387" t="s">
        <v>976</v>
      </c>
    </row>
    <row r="2822" spans="1:2">
      <c r="A2822" s="387" t="s">
        <v>13675</v>
      </c>
      <c r="B2822" s="387" t="s">
        <v>4872</v>
      </c>
    </row>
    <row r="2823" spans="1:2">
      <c r="A2823" s="387" t="s">
        <v>13676</v>
      </c>
      <c r="B2823" s="387" t="s">
        <v>4897</v>
      </c>
    </row>
    <row r="2824" spans="1:2">
      <c r="A2824" s="387" t="s">
        <v>623</v>
      </c>
      <c r="B2824" s="387" t="s">
        <v>5130</v>
      </c>
    </row>
    <row r="2825" spans="1:2">
      <c r="A2825" s="387" t="s">
        <v>629</v>
      </c>
      <c r="B2825" s="387" t="s">
        <v>5278</v>
      </c>
    </row>
    <row r="2826" spans="1:2">
      <c r="A2826" s="387" t="s">
        <v>7813</v>
      </c>
      <c r="B2826" s="387" t="s">
        <v>3507</v>
      </c>
    </row>
    <row r="2827" spans="1:2">
      <c r="A2827" s="387" t="s">
        <v>155</v>
      </c>
      <c r="B2827" s="387" t="s">
        <v>998</v>
      </c>
    </row>
    <row r="2828" spans="1:2">
      <c r="A2828" s="387" t="s">
        <v>13677</v>
      </c>
      <c r="B2828" s="387" t="s">
        <v>3478</v>
      </c>
    </row>
    <row r="2829" spans="1:2">
      <c r="A2829" s="387" t="s">
        <v>13678</v>
      </c>
      <c r="B2829" s="387" t="s">
        <v>3711</v>
      </c>
    </row>
    <row r="2830" spans="1:2">
      <c r="A2830" s="387" t="s">
        <v>13679</v>
      </c>
      <c r="B2830" s="387" t="s">
        <v>3776</v>
      </c>
    </row>
    <row r="2831" spans="1:2">
      <c r="A2831" s="387" t="s">
        <v>13680</v>
      </c>
      <c r="B2831" s="387" t="s">
        <v>1671</v>
      </c>
    </row>
    <row r="2832" spans="1:2">
      <c r="A2832" s="387" t="s">
        <v>13681</v>
      </c>
      <c r="B2832" s="387" t="s">
        <v>7495</v>
      </c>
    </row>
    <row r="2833" spans="1:2">
      <c r="A2833" s="387" t="s">
        <v>155</v>
      </c>
      <c r="B2833" s="387" t="s">
        <v>998</v>
      </c>
    </row>
    <row r="2834" spans="1:2">
      <c r="A2834" s="387" t="s">
        <v>7794</v>
      </c>
      <c r="B2834" s="387" t="s">
        <v>1702</v>
      </c>
    </row>
    <row r="2835" spans="1:2">
      <c r="A2835" s="387" t="s">
        <v>13682</v>
      </c>
      <c r="B2835" s="387" t="s">
        <v>2371</v>
      </c>
    </row>
    <row r="2836" spans="1:2">
      <c r="A2836" s="387" t="s">
        <v>13683</v>
      </c>
      <c r="B2836" s="387" t="s">
        <v>2444</v>
      </c>
    </row>
    <row r="2837" spans="1:2">
      <c r="A2837" s="387" t="s">
        <v>624</v>
      </c>
      <c r="B2837" s="387" t="s">
        <v>2663</v>
      </c>
    </row>
    <row r="2838" spans="1:2">
      <c r="A2838" s="387" t="s">
        <v>626</v>
      </c>
      <c r="B2838" s="387" t="s">
        <v>3179</v>
      </c>
    </row>
    <row r="2839" spans="1:2">
      <c r="A2839" s="387" t="s">
        <v>13684</v>
      </c>
      <c r="B2839" s="387" t="s">
        <v>4167</v>
      </c>
    </row>
    <row r="2840" spans="1:2">
      <c r="A2840" s="387" t="s">
        <v>13685</v>
      </c>
      <c r="B2840" s="387" t="s">
        <v>4186</v>
      </c>
    </row>
    <row r="2841" spans="1:2">
      <c r="A2841" s="387" t="s">
        <v>633</v>
      </c>
      <c r="B2841" s="387" t="s">
        <v>4276</v>
      </c>
    </row>
    <row r="2842" spans="1:2">
      <c r="A2842" s="387" t="s">
        <v>13686</v>
      </c>
      <c r="B2842" s="387" t="s">
        <v>4376</v>
      </c>
    </row>
    <row r="2843" spans="1:2">
      <c r="A2843" s="387" t="s">
        <v>625</v>
      </c>
      <c r="B2843" s="387" t="s">
        <v>4421</v>
      </c>
    </row>
    <row r="2844" spans="1:2">
      <c r="A2844" s="387" t="s">
        <v>13687</v>
      </c>
      <c r="B2844" s="387" t="s">
        <v>13688</v>
      </c>
    </row>
    <row r="2845" spans="1:2">
      <c r="A2845" s="387" t="s">
        <v>8395</v>
      </c>
      <c r="B2845" s="387" t="s">
        <v>8397</v>
      </c>
    </row>
    <row r="2846" spans="1:2">
      <c r="A2846" s="387" t="s">
        <v>13689</v>
      </c>
      <c r="B2846" s="387" t="s">
        <v>2146</v>
      </c>
    </row>
    <row r="2847" spans="1:2">
      <c r="A2847" s="387" t="s">
        <v>13690</v>
      </c>
      <c r="B2847" s="387" t="s">
        <v>8732</v>
      </c>
    </row>
    <row r="2848" spans="1:2">
      <c r="A2848" s="387" t="s">
        <v>13691</v>
      </c>
      <c r="B2848" s="387" t="s">
        <v>13692</v>
      </c>
    </row>
    <row r="2849" spans="1:2">
      <c r="A2849" s="387" t="s">
        <v>13693</v>
      </c>
      <c r="B2849" s="387" t="s">
        <v>13694</v>
      </c>
    </row>
    <row r="2850" spans="1:2">
      <c r="A2850" s="387" t="s">
        <v>13695</v>
      </c>
      <c r="B2850" s="387" t="s">
        <v>13696</v>
      </c>
    </row>
    <row r="2851" spans="1:2">
      <c r="A2851" s="387" t="s">
        <v>13697</v>
      </c>
      <c r="B2851" s="387" t="s">
        <v>13698</v>
      </c>
    </row>
    <row r="2852" spans="1:2">
      <c r="A2852" s="387" t="s">
        <v>622</v>
      </c>
      <c r="B2852" s="387" t="s">
        <v>986</v>
      </c>
    </row>
    <row r="2853" spans="1:2">
      <c r="A2853" s="387" t="s">
        <v>640</v>
      </c>
      <c r="B2853" s="387" t="s">
        <v>1083</v>
      </c>
    </row>
    <row r="2854" spans="1:2">
      <c r="A2854" s="387" t="s">
        <v>677</v>
      </c>
      <c r="B2854" s="387" t="s">
        <v>9586</v>
      </c>
    </row>
    <row r="2855" spans="1:2">
      <c r="A2855" s="387" t="s">
        <v>636</v>
      </c>
      <c r="B2855" s="387" t="s">
        <v>9576</v>
      </c>
    </row>
    <row r="2856" spans="1:2">
      <c r="A2856" s="387" t="s">
        <v>638</v>
      </c>
      <c r="B2856" s="387" t="s">
        <v>4477</v>
      </c>
    </row>
    <row r="2857" spans="1:2">
      <c r="A2857" s="387" t="s">
        <v>637</v>
      </c>
      <c r="B2857" s="387" t="s">
        <v>4859</v>
      </c>
    </row>
    <row r="2858" spans="1:2">
      <c r="A2858" s="387" t="s">
        <v>639</v>
      </c>
      <c r="B2858" s="387" t="s">
        <v>5483</v>
      </c>
    </row>
    <row r="2859" spans="1:2">
      <c r="A2859" s="387" t="s">
        <v>13699</v>
      </c>
      <c r="B2859" s="387" t="s">
        <v>13700</v>
      </c>
    </row>
    <row r="2860" spans="1:2">
      <c r="A2860" s="387" t="s">
        <v>604</v>
      </c>
      <c r="B2860" s="387" t="s">
        <v>2266</v>
      </c>
    </row>
    <row r="2861" spans="1:2">
      <c r="A2861" s="387" t="s">
        <v>13701</v>
      </c>
      <c r="B2861" s="387" t="s">
        <v>2573</v>
      </c>
    </row>
    <row r="2862" spans="1:2">
      <c r="A2862" s="387" t="s">
        <v>13702</v>
      </c>
      <c r="B2862" s="387" t="s">
        <v>2851</v>
      </c>
    </row>
    <row r="2863" spans="1:2">
      <c r="A2863" s="387" t="s">
        <v>13703</v>
      </c>
      <c r="B2863" s="387" t="s">
        <v>4996</v>
      </c>
    </row>
    <row r="2864" spans="1:2">
      <c r="A2864" s="387" t="s">
        <v>13704</v>
      </c>
      <c r="B2864" s="387" t="s">
        <v>13705</v>
      </c>
    </row>
    <row r="2865" spans="1:2">
      <c r="A2865" s="387" t="s">
        <v>13706</v>
      </c>
      <c r="B2865" s="387" t="s">
        <v>1698</v>
      </c>
    </row>
    <row r="2866" spans="1:2">
      <c r="A2866" s="387" t="s">
        <v>604</v>
      </c>
      <c r="B2866" s="387" t="s">
        <v>2266</v>
      </c>
    </row>
    <row r="2867" spans="1:2">
      <c r="A2867" s="387" t="s">
        <v>13707</v>
      </c>
      <c r="B2867" s="387" t="s">
        <v>2512</v>
      </c>
    </row>
    <row r="2868" spans="1:2">
      <c r="A2868" s="387" t="s">
        <v>13708</v>
      </c>
      <c r="B2868" s="387" t="s">
        <v>2549</v>
      </c>
    </row>
    <row r="2869" spans="1:2">
      <c r="A2869" s="387" t="s">
        <v>13702</v>
      </c>
      <c r="B2869" s="387" t="s">
        <v>2851</v>
      </c>
    </row>
    <row r="2870" spans="1:2">
      <c r="A2870" s="387" t="s">
        <v>13709</v>
      </c>
      <c r="B2870" s="387" t="s">
        <v>3957</v>
      </c>
    </row>
    <row r="2871" spans="1:2">
      <c r="A2871" s="387" t="s">
        <v>13710</v>
      </c>
      <c r="B2871" s="387" t="s">
        <v>3857</v>
      </c>
    </row>
    <row r="2872" spans="1:2">
      <c r="A2872" s="387" t="s">
        <v>13711</v>
      </c>
      <c r="B2872" s="387" t="s">
        <v>4158</v>
      </c>
    </row>
    <row r="2873" spans="1:2">
      <c r="A2873" s="387" t="s">
        <v>13712</v>
      </c>
      <c r="B2873" s="387" t="s">
        <v>4212</v>
      </c>
    </row>
    <row r="2874" spans="1:2">
      <c r="A2874" s="387" t="s">
        <v>13713</v>
      </c>
      <c r="B2874" s="387" t="s">
        <v>2757</v>
      </c>
    </row>
    <row r="2875" spans="1:2">
      <c r="A2875" s="387" t="s">
        <v>13714</v>
      </c>
      <c r="B2875" s="387" t="s">
        <v>5241</v>
      </c>
    </row>
    <row r="2876" spans="1:2">
      <c r="A2876" s="387" t="s">
        <v>13715</v>
      </c>
      <c r="B2876" s="387" t="s">
        <v>2150</v>
      </c>
    </row>
    <row r="2877" spans="1:2">
      <c r="A2877" s="387" t="s">
        <v>13716</v>
      </c>
      <c r="B2877" s="387" t="s">
        <v>2790</v>
      </c>
    </row>
    <row r="2878" spans="1:2">
      <c r="A2878" s="387" t="s">
        <v>13717</v>
      </c>
      <c r="B2878" s="387" t="s">
        <v>5815</v>
      </c>
    </row>
    <row r="2879" spans="1:2">
      <c r="A2879" s="387" t="s">
        <v>13718</v>
      </c>
      <c r="B2879" s="387" t="s">
        <v>2173</v>
      </c>
    </row>
    <row r="2880" spans="1:2">
      <c r="A2880" s="387" t="s">
        <v>13719</v>
      </c>
      <c r="B2880" s="387" t="s">
        <v>6491</v>
      </c>
    </row>
    <row r="2881" spans="1:2">
      <c r="A2881" s="387" t="s">
        <v>13720</v>
      </c>
      <c r="B2881" s="387" t="s">
        <v>6672</v>
      </c>
    </row>
    <row r="2882" spans="1:2">
      <c r="A2882" s="387" t="s">
        <v>13721</v>
      </c>
      <c r="B2882" s="387" t="s">
        <v>6985</v>
      </c>
    </row>
    <row r="2883" spans="1:2">
      <c r="A2883" s="387" t="s">
        <v>13722</v>
      </c>
      <c r="B2883" s="387" t="s">
        <v>2146</v>
      </c>
    </row>
    <row r="2884" spans="1:2">
      <c r="A2884" s="387" t="s">
        <v>13723</v>
      </c>
      <c r="B2884" s="387" t="s">
        <v>1750</v>
      </c>
    </row>
    <row r="2885" spans="1:2">
      <c r="A2885" s="387" t="s">
        <v>13724</v>
      </c>
      <c r="B2885" s="387" t="s">
        <v>2291</v>
      </c>
    </row>
    <row r="2886" spans="1:2">
      <c r="A2886" s="387" t="s">
        <v>13725</v>
      </c>
      <c r="B2886" s="387" t="s">
        <v>3309</v>
      </c>
    </row>
    <row r="2887" spans="1:2">
      <c r="A2887" s="387" t="s">
        <v>13726</v>
      </c>
      <c r="B2887" s="387" t="s">
        <v>4348</v>
      </c>
    </row>
    <row r="2888" spans="1:2">
      <c r="A2888" s="387" t="s">
        <v>13727</v>
      </c>
      <c r="B2888" s="387" t="s">
        <v>13728</v>
      </c>
    </row>
    <row r="2889" spans="1:2">
      <c r="A2889" s="387" t="s">
        <v>13729</v>
      </c>
      <c r="B2889" s="387" t="s">
        <v>6869</v>
      </c>
    </row>
    <row r="2890" spans="1:2">
      <c r="A2890" s="387" t="s">
        <v>13730</v>
      </c>
      <c r="B2890" s="387" t="s">
        <v>1793</v>
      </c>
    </row>
    <row r="2891" spans="1:2">
      <c r="A2891" s="387" t="s">
        <v>13731</v>
      </c>
      <c r="B2891" s="387" t="s">
        <v>2003</v>
      </c>
    </row>
    <row r="2892" spans="1:2">
      <c r="A2892" s="387" t="s">
        <v>604</v>
      </c>
      <c r="B2892" s="387" t="s">
        <v>2266</v>
      </c>
    </row>
    <row r="2893" spans="1:2">
      <c r="A2893" s="387" t="s">
        <v>13732</v>
      </c>
      <c r="B2893" s="387" t="s">
        <v>4005</v>
      </c>
    </row>
    <row r="2894" spans="1:2">
      <c r="A2894" s="387" t="s">
        <v>13733</v>
      </c>
      <c r="B2894" s="387" t="s">
        <v>979</v>
      </c>
    </row>
    <row r="2895" spans="1:2">
      <c r="A2895" s="387" t="s">
        <v>13734</v>
      </c>
      <c r="B2895" s="387" t="s">
        <v>1556</v>
      </c>
    </row>
    <row r="2896" spans="1:2">
      <c r="A2896" s="387" t="s">
        <v>13735</v>
      </c>
      <c r="B2896" s="387" t="s">
        <v>4223</v>
      </c>
    </row>
    <row r="2897" spans="1:2">
      <c r="A2897" s="387" t="s">
        <v>13736</v>
      </c>
      <c r="B2897" s="387" t="s">
        <v>13737</v>
      </c>
    </row>
    <row r="2898" spans="1:2">
      <c r="A2898" s="387" t="s">
        <v>13738</v>
      </c>
      <c r="B2898" s="387" t="s">
        <v>13739</v>
      </c>
    </row>
    <row r="2899" spans="1:2">
      <c r="A2899" s="387" t="s">
        <v>13740</v>
      </c>
      <c r="B2899" s="387" t="s">
        <v>4582</v>
      </c>
    </row>
    <row r="2900" spans="1:2">
      <c r="A2900" s="387" t="s">
        <v>13741</v>
      </c>
      <c r="B2900" s="387" t="s">
        <v>13742</v>
      </c>
    </row>
    <row r="2901" spans="1:2">
      <c r="A2901" s="387" t="s">
        <v>13743</v>
      </c>
      <c r="B2901" s="387" t="s">
        <v>1325</v>
      </c>
    </row>
    <row r="2902" spans="1:2">
      <c r="A2902" s="387" t="s">
        <v>13744</v>
      </c>
      <c r="B2902" s="387" t="s">
        <v>13745</v>
      </c>
    </row>
    <row r="2903" spans="1:2">
      <c r="A2903" s="387" t="s">
        <v>13746</v>
      </c>
      <c r="B2903" s="387" t="s">
        <v>13747</v>
      </c>
    </row>
    <row r="2904" spans="1:2">
      <c r="A2904" s="387" t="s">
        <v>13748</v>
      </c>
      <c r="B2904" s="387" t="s">
        <v>5175</v>
      </c>
    </row>
    <row r="2905" spans="1:2">
      <c r="A2905" s="387" t="s">
        <v>603</v>
      </c>
      <c r="B2905" s="387" t="s">
        <v>5178</v>
      </c>
    </row>
    <row r="2906" spans="1:2">
      <c r="A2906" s="387" t="s">
        <v>13749</v>
      </c>
      <c r="B2906" s="387" t="s">
        <v>5195</v>
      </c>
    </row>
    <row r="2907" spans="1:2">
      <c r="A2907" s="387" t="s">
        <v>13750</v>
      </c>
      <c r="B2907" s="387" t="s">
        <v>5221</v>
      </c>
    </row>
    <row r="2908" spans="1:2">
      <c r="A2908" s="387" t="s">
        <v>13751</v>
      </c>
      <c r="B2908" s="387" t="s">
        <v>2049</v>
      </c>
    </row>
    <row r="2909" spans="1:2">
      <c r="A2909" s="387" t="s">
        <v>13752</v>
      </c>
      <c r="B2909" s="387" t="s">
        <v>13753</v>
      </c>
    </row>
    <row r="2910" spans="1:2">
      <c r="A2910" s="387" t="s">
        <v>13754</v>
      </c>
      <c r="B2910" s="387" t="s">
        <v>5397</v>
      </c>
    </row>
    <row r="2911" spans="1:2">
      <c r="A2911" s="387" t="s">
        <v>13755</v>
      </c>
      <c r="B2911" s="387" t="s">
        <v>1083</v>
      </c>
    </row>
    <row r="2912" spans="1:2">
      <c r="A2912" s="387" t="s">
        <v>13756</v>
      </c>
      <c r="B2912" s="387" t="s">
        <v>5457</v>
      </c>
    </row>
    <row r="2913" spans="1:2">
      <c r="A2913" s="387" t="s">
        <v>13757</v>
      </c>
      <c r="B2913" s="387" t="s">
        <v>5462</v>
      </c>
    </row>
    <row r="2914" spans="1:2">
      <c r="A2914" s="387" t="s">
        <v>13758</v>
      </c>
      <c r="B2914" s="387" t="s">
        <v>5508</v>
      </c>
    </row>
    <row r="2915" spans="1:2">
      <c r="A2915" s="387" t="s">
        <v>13759</v>
      </c>
      <c r="B2915" s="387" t="s">
        <v>1694</v>
      </c>
    </row>
    <row r="2916" spans="1:2">
      <c r="A2916" s="387" t="s">
        <v>13760</v>
      </c>
      <c r="B2916" s="387" t="s">
        <v>5735</v>
      </c>
    </row>
    <row r="2917" spans="1:2">
      <c r="A2917" s="387" t="s">
        <v>13761</v>
      </c>
      <c r="B2917" s="387" t="s">
        <v>3254</v>
      </c>
    </row>
    <row r="2918" spans="1:2">
      <c r="A2918" s="387" t="s">
        <v>13762</v>
      </c>
      <c r="B2918" s="387" t="s">
        <v>5921</v>
      </c>
    </row>
    <row r="2919" spans="1:2">
      <c r="A2919" s="387" t="s">
        <v>13763</v>
      </c>
      <c r="B2919" s="387" t="s">
        <v>5588</v>
      </c>
    </row>
    <row r="2920" spans="1:2">
      <c r="A2920" s="387" t="s">
        <v>13764</v>
      </c>
      <c r="B2920" s="387" t="s">
        <v>6225</v>
      </c>
    </row>
    <row r="2921" spans="1:2">
      <c r="A2921" s="387" t="s">
        <v>13765</v>
      </c>
      <c r="B2921" s="387" t="s">
        <v>3307</v>
      </c>
    </row>
    <row r="2922" spans="1:2">
      <c r="A2922" s="387" t="s">
        <v>13766</v>
      </c>
      <c r="B2922" s="387" t="s">
        <v>6477</v>
      </c>
    </row>
    <row r="2923" spans="1:2">
      <c r="A2923" s="387" t="s">
        <v>13767</v>
      </c>
      <c r="B2923" s="387" t="s">
        <v>13768</v>
      </c>
    </row>
    <row r="2924" spans="1:2">
      <c r="A2924" s="387" t="s">
        <v>13769</v>
      </c>
      <c r="B2924" s="387" t="s">
        <v>13770</v>
      </c>
    </row>
    <row r="2925" spans="1:2">
      <c r="A2925" s="387" t="s">
        <v>13771</v>
      </c>
      <c r="B2925" s="387" t="s">
        <v>6538</v>
      </c>
    </row>
    <row r="2926" spans="1:2">
      <c r="A2926" s="387" t="s">
        <v>13772</v>
      </c>
      <c r="B2926" s="387" t="s">
        <v>6567</v>
      </c>
    </row>
    <row r="2927" spans="1:2">
      <c r="A2927" s="387" t="s">
        <v>13773</v>
      </c>
      <c r="B2927" s="387" t="s">
        <v>6756</v>
      </c>
    </row>
    <row r="2928" spans="1:2">
      <c r="A2928" s="387" t="s">
        <v>13774</v>
      </c>
      <c r="B2928" s="387" t="s">
        <v>3382</v>
      </c>
    </row>
    <row r="2929" spans="1:2">
      <c r="A2929" s="387" t="s">
        <v>13775</v>
      </c>
      <c r="B2929" s="387" t="s">
        <v>13776</v>
      </c>
    </row>
    <row r="2930" spans="1:2">
      <c r="A2930" s="387" t="s">
        <v>13777</v>
      </c>
      <c r="B2930" s="387" t="s">
        <v>6790</v>
      </c>
    </row>
    <row r="2931" spans="1:2">
      <c r="A2931" s="387" t="s">
        <v>13778</v>
      </c>
      <c r="B2931" s="387" t="s">
        <v>13779</v>
      </c>
    </row>
    <row r="2932" spans="1:2">
      <c r="A2932" s="387" t="s">
        <v>13780</v>
      </c>
      <c r="B2932" s="387" t="s">
        <v>6811</v>
      </c>
    </row>
    <row r="2933" spans="1:2">
      <c r="A2933" s="387" t="s">
        <v>13781</v>
      </c>
      <c r="B2933" s="387" t="s">
        <v>1442</v>
      </c>
    </row>
    <row r="2934" spans="1:2">
      <c r="A2934" s="387" t="s">
        <v>13782</v>
      </c>
      <c r="B2934" s="387" t="s">
        <v>13783</v>
      </c>
    </row>
    <row r="2935" spans="1:2">
      <c r="A2935" s="387" t="s">
        <v>13784</v>
      </c>
      <c r="B2935" s="387" t="s">
        <v>1374</v>
      </c>
    </row>
    <row r="2936" spans="1:2">
      <c r="A2936" s="387" t="s">
        <v>13785</v>
      </c>
      <c r="B2936" s="387" t="s">
        <v>5144</v>
      </c>
    </row>
    <row r="2937" spans="1:2">
      <c r="A2937" s="387" t="s">
        <v>13786</v>
      </c>
      <c r="B2937" s="387" t="s">
        <v>13787</v>
      </c>
    </row>
    <row r="2938" spans="1:2">
      <c r="A2938" s="387" t="s">
        <v>13788</v>
      </c>
      <c r="B2938" s="387" t="s">
        <v>6867</v>
      </c>
    </row>
    <row r="2939" spans="1:2">
      <c r="A2939" s="387" t="s">
        <v>13789</v>
      </c>
      <c r="B2939" s="387" t="s">
        <v>2114</v>
      </c>
    </row>
    <row r="2940" spans="1:2">
      <c r="A2940" s="387" t="s">
        <v>13790</v>
      </c>
      <c r="B2940" s="387" t="s">
        <v>13791</v>
      </c>
    </row>
    <row r="2941" spans="1:2">
      <c r="A2941" s="387" t="s">
        <v>13792</v>
      </c>
      <c r="B2941" s="387" t="s">
        <v>13793</v>
      </c>
    </row>
    <row r="2942" spans="1:2">
      <c r="A2942" s="387" t="s">
        <v>13794</v>
      </c>
      <c r="B2942" s="387" t="s">
        <v>13795</v>
      </c>
    </row>
    <row r="2943" spans="1:2">
      <c r="A2943" s="387" t="s">
        <v>13796</v>
      </c>
      <c r="B2943" s="387" t="s">
        <v>7016</v>
      </c>
    </row>
    <row r="2944" spans="1:2">
      <c r="A2944" s="387" t="s">
        <v>13797</v>
      </c>
      <c r="B2944" s="387" t="s">
        <v>3710</v>
      </c>
    </row>
    <row r="2945" spans="1:2">
      <c r="A2945" s="387" t="s">
        <v>13798</v>
      </c>
      <c r="B2945" s="387" t="s">
        <v>5405</v>
      </c>
    </row>
    <row r="2946" spans="1:2">
      <c r="A2946" s="387" t="s">
        <v>13799</v>
      </c>
      <c r="B2946" s="387" t="s">
        <v>7200</v>
      </c>
    </row>
    <row r="2947" spans="1:2">
      <c r="A2947" s="387" t="s">
        <v>13800</v>
      </c>
      <c r="B2947" s="387" t="s">
        <v>13801</v>
      </c>
    </row>
    <row r="2948" spans="1:2">
      <c r="A2948" s="387" t="s">
        <v>13802</v>
      </c>
      <c r="B2948" s="387" t="s">
        <v>7635</v>
      </c>
    </row>
    <row r="2949" spans="1:2">
      <c r="A2949" s="387" t="s">
        <v>13803</v>
      </c>
      <c r="B2949" s="387" t="s">
        <v>13804</v>
      </c>
    </row>
    <row r="2950" spans="1:2">
      <c r="A2950" s="387" t="s">
        <v>13805</v>
      </c>
      <c r="B2950" s="387" t="s">
        <v>2739</v>
      </c>
    </row>
    <row r="2951" spans="1:2">
      <c r="A2951" s="387" t="s">
        <v>8392</v>
      </c>
      <c r="B2951" s="387" t="s">
        <v>8203</v>
      </c>
    </row>
    <row r="2952" spans="1:2">
      <c r="A2952" s="387" t="s">
        <v>13806</v>
      </c>
      <c r="B2952" s="387" t="s">
        <v>1460</v>
      </c>
    </row>
    <row r="2953" spans="1:2">
      <c r="A2953" s="387" t="s">
        <v>13807</v>
      </c>
      <c r="B2953" s="387" t="s">
        <v>1671</v>
      </c>
    </row>
    <row r="2954" spans="1:2">
      <c r="A2954" s="387" t="s">
        <v>13808</v>
      </c>
      <c r="B2954" s="387" t="s">
        <v>1865</v>
      </c>
    </row>
    <row r="2955" spans="1:2">
      <c r="A2955" s="387" t="s">
        <v>13809</v>
      </c>
      <c r="B2955" s="387" t="s">
        <v>2264</v>
      </c>
    </row>
    <row r="2956" spans="1:2">
      <c r="A2956" s="387" t="s">
        <v>604</v>
      </c>
      <c r="B2956" s="387" t="s">
        <v>2266</v>
      </c>
    </row>
    <row r="2957" spans="1:2">
      <c r="A2957" s="387" t="s">
        <v>13810</v>
      </c>
      <c r="B2957" s="387" t="s">
        <v>2616</v>
      </c>
    </row>
    <row r="2958" spans="1:2">
      <c r="A2958" s="387" t="s">
        <v>13811</v>
      </c>
      <c r="B2958" s="387" t="s">
        <v>2845</v>
      </c>
    </row>
    <row r="2959" spans="1:2">
      <c r="A2959" s="387" t="s">
        <v>13812</v>
      </c>
      <c r="B2959" s="387" t="s">
        <v>3516</v>
      </c>
    </row>
    <row r="2960" spans="1:2">
      <c r="A2960" s="387" t="s">
        <v>13813</v>
      </c>
      <c r="B2960" s="387" t="s">
        <v>3684</v>
      </c>
    </row>
    <row r="2961" spans="1:2">
      <c r="A2961" s="387" t="s">
        <v>13814</v>
      </c>
      <c r="B2961" s="387" t="s">
        <v>13815</v>
      </c>
    </row>
    <row r="2962" spans="1:2">
      <c r="A2962" s="387" t="s">
        <v>13816</v>
      </c>
      <c r="B2962" s="387" t="s">
        <v>4395</v>
      </c>
    </row>
    <row r="2963" spans="1:2">
      <c r="A2963" s="387" t="s">
        <v>13817</v>
      </c>
      <c r="B2963" s="387" t="s">
        <v>979</v>
      </c>
    </row>
    <row r="2964" spans="1:2">
      <c r="A2964" s="387" t="s">
        <v>13818</v>
      </c>
      <c r="B2964" s="387" t="s">
        <v>8716</v>
      </c>
    </row>
    <row r="2965" spans="1:2">
      <c r="A2965" s="387" t="s">
        <v>13819</v>
      </c>
      <c r="B2965" s="387" t="s">
        <v>5124</v>
      </c>
    </row>
    <row r="2966" spans="1:2">
      <c r="A2966" s="387" t="s">
        <v>13820</v>
      </c>
      <c r="B2966" s="387" t="s">
        <v>5236</v>
      </c>
    </row>
    <row r="2967" spans="1:2">
      <c r="A2967" s="387" t="s">
        <v>13821</v>
      </c>
      <c r="B2967" s="387" t="s">
        <v>5239</v>
      </c>
    </row>
    <row r="2968" spans="1:2">
      <c r="A2968" s="387" t="s">
        <v>13822</v>
      </c>
      <c r="B2968" s="387" t="s">
        <v>2045</v>
      </c>
    </row>
    <row r="2969" spans="1:2">
      <c r="A2969" s="387" t="s">
        <v>13823</v>
      </c>
      <c r="B2969" s="387" t="s">
        <v>5435</v>
      </c>
    </row>
    <row r="2970" spans="1:2">
      <c r="A2970" s="387" t="s">
        <v>13824</v>
      </c>
      <c r="B2970" s="387" t="s">
        <v>5528</v>
      </c>
    </row>
    <row r="2971" spans="1:2">
      <c r="A2971" s="387" t="s">
        <v>13825</v>
      </c>
      <c r="B2971" s="387" t="s">
        <v>13826</v>
      </c>
    </row>
    <row r="2972" spans="1:2">
      <c r="A2972" s="387" t="s">
        <v>13827</v>
      </c>
      <c r="B2972" s="387" t="s">
        <v>1502</v>
      </c>
    </row>
    <row r="2973" spans="1:2">
      <c r="A2973" s="387" t="s">
        <v>13828</v>
      </c>
      <c r="B2973" s="387" t="s">
        <v>1053</v>
      </c>
    </row>
    <row r="2974" spans="1:2">
      <c r="A2974" s="387" t="s">
        <v>13829</v>
      </c>
      <c r="B2974" s="387" t="s">
        <v>5547</v>
      </c>
    </row>
    <row r="2975" spans="1:2">
      <c r="A2975" s="387" t="s">
        <v>13830</v>
      </c>
      <c r="B2975" s="387" t="s">
        <v>5813</v>
      </c>
    </row>
    <row r="2976" spans="1:2">
      <c r="A2976" s="387" t="s">
        <v>13831</v>
      </c>
      <c r="B2976" s="387" t="s">
        <v>5857</v>
      </c>
    </row>
    <row r="2977" spans="1:2">
      <c r="A2977" s="387" t="s">
        <v>13832</v>
      </c>
      <c r="B2977" s="387" t="s">
        <v>2146</v>
      </c>
    </row>
    <row r="2978" spans="1:2">
      <c r="A2978" s="387" t="s">
        <v>13833</v>
      </c>
      <c r="B2978" s="387" t="s">
        <v>6120</v>
      </c>
    </row>
    <row r="2979" spans="1:2">
      <c r="A2979" s="387" t="s">
        <v>13834</v>
      </c>
      <c r="B2979" s="387" t="s">
        <v>13835</v>
      </c>
    </row>
    <row r="2980" spans="1:2">
      <c r="A2980" s="387" t="s">
        <v>13836</v>
      </c>
      <c r="B2980" s="387" t="s">
        <v>891</v>
      </c>
    </row>
    <row r="2981" spans="1:2">
      <c r="A2981" s="387" t="s">
        <v>13837</v>
      </c>
      <c r="B2981" s="387" t="s">
        <v>8480</v>
      </c>
    </row>
    <row r="2982" spans="1:2">
      <c r="A2982" s="387" t="s">
        <v>13838</v>
      </c>
      <c r="B2982" s="387" t="s">
        <v>6758</v>
      </c>
    </row>
    <row r="2983" spans="1:2">
      <c r="A2983" s="387" t="s">
        <v>13839</v>
      </c>
      <c r="B2983" s="387" t="s">
        <v>6760</v>
      </c>
    </row>
    <row r="2984" spans="1:2">
      <c r="A2984" s="387" t="s">
        <v>13840</v>
      </c>
      <c r="B2984" s="387" t="s">
        <v>2855</v>
      </c>
    </row>
    <row r="2985" spans="1:2">
      <c r="A2985" s="387" t="s">
        <v>13841</v>
      </c>
      <c r="B2985" s="387" t="s">
        <v>13842</v>
      </c>
    </row>
    <row r="2986" spans="1:2">
      <c r="A2986" s="387" t="s">
        <v>13843</v>
      </c>
      <c r="B2986" s="387" t="s">
        <v>6826</v>
      </c>
    </row>
    <row r="2987" spans="1:2">
      <c r="A2987" s="387" t="s">
        <v>13844</v>
      </c>
      <c r="B2987" s="387" t="s">
        <v>13845</v>
      </c>
    </row>
    <row r="2988" spans="1:2">
      <c r="A2988" s="387" t="s">
        <v>13846</v>
      </c>
      <c r="B2988" s="387" t="s">
        <v>13847</v>
      </c>
    </row>
    <row r="2989" spans="1:2">
      <c r="A2989" s="387" t="s">
        <v>13848</v>
      </c>
      <c r="B2989" s="387" t="s">
        <v>6851</v>
      </c>
    </row>
    <row r="2990" spans="1:2">
      <c r="A2990" s="387" t="s">
        <v>13849</v>
      </c>
      <c r="B2990" s="387" t="s">
        <v>13850</v>
      </c>
    </row>
    <row r="2991" spans="1:2">
      <c r="A2991" s="387" t="s">
        <v>13851</v>
      </c>
      <c r="B2991" s="387" t="s">
        <v>13852</v>
      </c>
    </row>
    <row r="2992" spans="1:2">
      <c r="A2992" s="387" t="s">
        <v>13853</v>
      </c>
      <c r="B2992" s="387" t="s">
        <v>12854</v>
      </c>
    </row>
    <row r="2993" spans="1:2">
      <c r="A2993" s="387" t="s">
        <v>13854</v>
      </c>
      <c r="B2993" s="387" t="s">
        <v>5397</v>
      </c>
    </row>
    <row r="2994" spans="1:2">
      <c r="A2994" s="387" t="s">
        <v>13855</v>
      </c>
      <c r="B2994" s="387" t="s">
        <v>13856</v>
      </c>
    </row>
    <row r="2995" spans="1:2">
      <c r="A2995" s="387" t="s">
        <v>13857</v>
      </c>
      <c r="B2995" s="387" t="s">
        <v>1053</v>
      </c>
    </row>
    <row r="2996" spans="1:2">
      <c r="A2996" s="387" t="s">
        <v>13858</v>
      </c>
      <c r="B2996" s="387" t="s">
        <v>7014</v>
      </c>
    </row>
    <row r="2997" spans="1:2">
      <c r="A2997" s="387" t="s">
        <v>13859</v>
      </c>
      <c r="B2997" s="387" t="s">
        <v>8440</v>
      </c>
    </row>
    <row r="2998" spans="1:2">
      <c r="A2998" s="387" t="s">
        <v>13860</v>
      </c>
      <c r="B2998" s="387" t="s">
        <v>1735</v>
      </c>
    </row>
    <row r="2999" spans="1:2">
      <c r="A2999" s="387" t="s">
        <v>13861</v>
      </c>
      <c r="B2999" s="387" t="s">
        <v>13862</v>
      </c>
    </row>
    <row r="3000" spans="1:2">
      <c r="A3000" s="387" t="s">
        <v>622</v>
      </c>
      <c r="B3000" s="387" t="s">
        <v>986</v>
      </c>
    </row>
    <row r="3001" spans="1:2">
      <c r="A3001" s="387" t="s">
        <v>8394</v>
      </c>
      <c r="B3001" s="387" t="s">
        <v>4070</v>
      </c>
    </row>
    <row r="3002" spans="1:2">
      <c r="A3002" s="387" t="s">
        <v>13863</v>
      </c>
      <c r="B3002" s="387" t="s">
        <v>1096</v>
      </c>
    </row>
    <row r="3003" spans="1:2">
      <c r="A3003" s="387" t="s">
        <v>13864</v>
      </c>
      <c r="B3003" s="387" t="s">
        <v>1663</v>
      </c>
    </row>
    <row r="3004" spans="1:2">
      <c r="A3004" s="387" t="s">
        <v>13865</v>
      </c>
      <c r="B3004" s="387" t="s">
        <v>1917</v>
      </c>
    </row>
    <row r="3005" spans="1:2">
      <c r="A3005" s="387" t="s">
        <v>13866</v>
      </c>
      <c r="B3005" s="387" t="s">
        <v>1935</v>
      </c>
    </row>
    <row r="3006" spans="1:2">
      <c r="A3006" s="387" t="s">
        <v>615</v>
      </c>
      <c r="B3006" s="387" t="s">
        <v>2326</v>
      </c>
    </row>
    <row r="3007" spans="1:2">
      <c r="A3007" s="387" t="s">
        <v>13867</v>
      </c>
      <c r="B3007" s="387" t="s">
        <v>13868</v>
      </c>
    </row>
    <row r="3008" spans="1:2">
      <c r="A3008" s="387" t="s">
        <v>13869</v>
      </c>
      <c r="B3008" s="387" t="s">
        <v>3437</v>
      </c>
    </row>
    <row r="3009" spans="1:2">
      <c r="A3009" s="387" t="s">
        <v>13870</v>
      </c>
      <c r="B3009" s="387" t="s">
        <v>996</v>
      </c>
    </row>
    <row r="3010" spans="1:2">
      <c r="A3010" s="387" t="s">
        <v>13871</v>
      </c>
      <c r="B3010" s="387" t="s">
        <v>4028</v>
      </c>
    </row>
    <row r="3011" spans="1:2">
      <c r="A3011" s="387" t="s">
        <v>13872</v>
      </c>
      <c r="B3011" s="387" t="s">
        <v>4389</v>
      </c>
    </row>
    <row r="3012" spans="1:2">
      <c r="A3012" s="387" t="s">
        <v>13873</v>
      </c>
      <c r="B3012" s="387" t="s">
        <v>4757</v>
      </c>
    </row>
    <row r="3013" spans="1:2">
      <c r="A3013" s="387" t="s">
        <v>621</v>
      </c>
      <c r="B3013" s="387" t="s">
        <v>994</v>
      </c>
    </row>
    <row r="3014" spans="1:2">
      <c r="A3014" s="387" t="s">
        <v>619</v>
      </c>
      <c r="B3014" s="387" t="s">
        <v>2119</v>
      </c>
    </row>
    <row r="3015" spans="1:2">
      <c r="A3015" s="387" t="s">
        <v>615</v>
      </c>
      <c r="B3015" s="387" t="s">
        <v>2326</v>
      </c>
    </row>
    <row r="3016" spans="1:2">
      <c r="A3016" s="387" t="s">
        <v>620</v>
      </c>
      <c r="B3016" s="387" t="s">
        <v>3445</v>
      </c>
    </row>
    <row r="3017" spans="1:2">
      <c r="A3017" s="387" t="s">
        <v>13874</v>
      </c>
      <c r="B3017" s="387" t="s">
        <v>968</v>
      </c>
    </row>
    <row r="3018" spans="1:2">
      <c r="A3018" s="387" t="s">
        <v>617</v>
      </c>
      <c r="B3018" s="387" t="s">
        <v>1466</v>
      </c>
    </row>
    <row r="3019" spans="1:2">
      <c r="A3019" s="387" t="s">
        <v>13875</v>
      </c>
      <c r="B3019" s="387" t="s">
        <v>1869</v>
      </c>
    </row>
    <row r="3020" spans="1:2">
      <c r="A3020" s="387" t="s">
        <v>13876</v>
      </c>
      <c r="B3020" s="387" t="s">
        <v>1877</v>
      </c>
    </row>
    <row r="3021" spans="1:2">
      <c r="A3021" s="387" t="s">
        <v>13877</v>
      </c>
      <c r="B3021" s="387" t="s">
        <v>2216</v>
      </c>
    </row>
    <row r="3022" spans="1:2">
      <c r="A3022" s="387" t="s">
        <v>615</v>
      </c>
      <c r="B3022" s="387" t="s">
        <v>2326</v>
      </c>
    </row>
    <row r="3023" spans="1:2">
      <c r="A3023" s="387" t="s">
        <v>8385</v>
      </c>
      <c r="B3023" s="387" t="s">
        <v>3008</v>
      </c>
    </row>
    <row r="3024" spans="1:2">
      <c r="A3024" s="387" t="s">
        <v>13878</v>
      </c>
      <c r="B3024" s="387" t="s">
        <v>3049</v>
      </c>
    </row>
    <row r="3025" spans="1:2">
      <c r="A3025" s="387" t="s">
        <v>13879</v>
      </c>
      <c r="B3025" s="387" t="s">
        <v>2112</v>
      </c>
    </row>
    <row r="3026" spans="1:2">
      <c r="A3026" s="387" t="s">
        <v>13880</v>
      </c>
      <c r="B3026" s="387" t="s">
        <v>3342</v>
      </c>
    </row>
    <row r="3027" spans="1:2">
      <c r="A3027" s="387" t="s">
        <v>13881</v>
      </c>
      <c r="B3027" s="387" t="s">
        <v>3505</v>
      </c>
    </row>
    <row r="3028" spans="1:2">
      <c r="A3028" s="387" t="s">
        <v>13882</v>
      </c>
      <c r="B3028" s="387" t="s">
        <v>3529</v>
      </c>
    </row>
    <row r="3029" spans="1:2">
      <c r="A3029" s="387" t="s">
        <v>13883</v>
      </c>
      <c r="B3029" s="387" t="s">
        <v>4014</v>
      </c>
    </row>
    <row r="3030" spans="1:2">
      <c r="A3030" s="387" t="s">
        <v>13884</v>
      </c>
      <c r="B3030" s="387" t="s">
        <v>2580</v>
      </c>
    </row>
    <row r="3031" spans="1:2">
      <c r="A3031" s="387" t="s">
        <v>13885</v>
      </c>
      <c r="B3031" s="387" t="s">
        <v>5619</v>
      </c>
    </row>
    <row r="3032" spans="1:2">
      <c r="A3032" s="387" t="s">
        <v>615</v>
      </c>
      <c r="B3032" s="387" t="s">
        <v>2326</v>
      </c>
    </row>
    <row r="3033" spans="1:2">
      <c r="A3033" s="387" t="s">
        <v>618</v>
      </c>
      <c r="B3033" s="387" t="s">
        <v>2869</v>
      </c>
    </row>
    <row r="3034" spans="1:2">
      <c r="A3034" s="387" t="s">
        <v>8542</v>
      </c>
      <c r="B3034" s="387" t="s">
        <v>3118</v>
      </c>
    </row>
    <row r="3035" spans="1:2">
      <c r="A3035" s="387" t="s">
        <v>8551</v>
      </c>
      <c r="B3035" s="387" t="s">
        <v>1372</v>
      </c>
    </row>
    <row r="3036" spans="1:2">
      <c r="A3036" s="387" t="s">
        <v>13886</v>
      </c>
      <c r="B3036" s="387" t="s">
        <v>3311</v>
      </c>
    </row>
    <row r="3037" spans="1:2">
      <c r="A3037" s="387" t="s">
        <v>13887</v>
      </c>
      <c r="B3037" s="387" t="s">
        <v>3368</v>
      </c>
    </row>
    <row r="3038" spans="1:2">
      <c r="A3038" s="387" t="s">
        <v>13888</v>
      </c>
      <c r="B3038" s="387" t="s">
        <v>2324</v>
      </c>
    </row>
    <row r="3039" spans="1:2">
      <c r="A3039" s="387" t="s">
        <v>13889</v>
      </c>
      <c r="B3039" s="387" t="s">
        <v>1580</v>
      </c>
    </row>
    <row r="3040" spans="1:2">
      <c r="A3040" s="387" t="s">
        <v>13890</v>
      </c>
      <c r="B3040" s="387" t="s">
        <v>13891</v>
      </c>
    </row>
    <row r="3041" spans="1:2">
      <c r="A3041" s="387" t="s">
        <v>615</v>
      </c>
      <c r="B3041" s="387" t="s">
        <v>2326</v>
      </c>
    </row>
    <row r="3042" spans="1:2">
      <c r="A3042" s="387" t="s">
        <v>13892</v>
      </c>
      <c r="B3042" s="387" t="s">
        <v>2765</v>
      </c>
    </row>
    <row r="3043" spans="1:2">
      <c r="A3043" s="387" t="s">
        <v>13893</v>
      </c>
      <c r="B3043" s="387" t="s">
        <v>3221</v>
      </c>
    </row>
    <row r="3044" spans="1:2">
      <c r="A3044" s="387" t="s">
        <v>13894</v>
      </c>
      <c r="B3044" s="387" t="s">
        <v>3910</v>
      </c>
    </row>
    <row r="3045" spans="1:2">
      <c r="A3045" s="387" t="s">
        <v>13895</v>
      </c>
      <c r="B3045" s="387" t="s">
        <v>4156</v>
      </c>
    </row>
    <row r="3046" spans="1:2">
      <c r="A3046" s="387" t="s">
        <v>616</v>
      </c>
      <c r="B3046" s="387" t="s">
        <v>3191</v>
      </c>
    </row>
    <row r="3047" spans="1:2">
      <c r="A3047" s="387" t="s">
        <v>13896</v>
      </c>
      <c r="B3047" s="387" t="s">
        <v>1798</v>
      </c>
    </row>
    <row r="3048" spans="1:2">
      <c r="A3048" s="387" t="s">
        <v>13897</v>
      </c>
      <c r="B3048" s="387" t="s">
        <v>2024</v>
      </c>
    </row>
    <row r="3049" spans="1:2">
      <c r="A3049" s="387" t="s">
        <v>13898</v>
      </c>
      <c r="B3049" s="387" t="s">
        <v>2117</v>
      </c>
    </row>
    <row r="3050" spans="1:2">
      <c r="A3050" s="387" t="s">
        <v>615</v>
      </c>
      <c r="B3050" s="387" t="s">
        <v>2326</v>
      </c>
    </row>
    <row r="3051" spans="1:2">
      <c r="A3051" s="387" t="s">
        <v>13899</v>
      </c>
      <c r="B3051" s="387" t="s">
        <v>2375</v>
      </c>
    </row>
    <row r="3052" spans="1:2">
      <c r="A3052" s="387" t="s">
        <v>13900</v>
      </c>
      <c r="B3052" s="387" t="s">
        <v>2641</v>
      </c>
    </row>
    <row r="3053" spans="1:2">
      <c r="A3053" s="387" t="s">
        <v>13901</v>
      </c>
      <c r="B3053" s="387" t="s">
        <v>2672</v>
      </c>
    </row>
    <row r="3054" spans="1:2">
      <c r="A3054" s="387" t="s">
        <v>13902</v>
      </c>
      <c r="B3054" s="387" t="s">
        <v>2796</v>
      </c>
    </row>
    <row r="3055" spans="1:2">
      <c r="A3055" s="387" t="s">
        <v>13903</v>
      </c>
      <c r="B3055" s="387" t="s">
        <v>2798</v>
      </c>
    </row>
    <row r="3056" spans="1:2">
      <c r="A3056" s="387" t="s">
        <v>13904</v>
      </c>
      <c r="B3056" s="387" t="s">
        <v>5763</v>
      </c>
    </row>
    <row r="3057" spans="1:2">
      <c r="A3057" s="387" t="s">
        <v>8011</v>
      </c>
      <c r="B3057" s="387" t="s">
        <v>2853</v>
      </c>
    </row>
    <row r="3058" spans="1:2">
      <c r="A3058" s="387" t="s">
        <v>13905</v>
      </c>
      <c r="B3058" s="387" t="s">
        <v>2871</v>
      </c>
    </row>
    <row r="3059" spans="1:2">
      <c r="A3059" s="387" t="s">
        <v>13906</v>
      </c>
      <c r="B3059" s="387" t="s">
        <v>2549</v>
      </c>
    </row>
    <row r="3060" spans="1:2">
      <c r="A3060" s="387" t="s">
        <v>13907</v>
      </c>
      <c r="B3060" s="387" t="s">
        <v>3185</v>
      </c>
    </row>
    <row r="3061" spans="1:2">
      <c r="A3061" s="387" t="s">
        <v>13908</v>
      </c>
      <c r="B3061" s="387" t="s">
        <v>3288</v>
      </c>
    </row>
    <row r="3062" spans="1:2">
      <c r="A3062" s="387" t="s">
        <v>13909</v>
      </c>
      <c r="B3062" s="387" t="s">
        <v>3392</v>
      </c>
    </row>
    <row r="3063" spans="1:2">
      <c r="A3063" s="387" t="s">
        <v>13910</v>
      </c>
      <c r="B3063" s="387" t="s">
        <v>3407</v>
      </c>
    </row>
    <row r="3064" spans="1:2">
      <c r="A3064" s="387" t="s">
        <v>13911</v>
      </c>
      <c r="B3064" s="387" t="s">
        <v>990</v>
      </c>
    </row>
    <row r="3065" spans="1:2">
      <c r="A3065" s="387" t="s">
        <v>13912</v>
      </c>
      <c r="B3065" s="387" t="s">
        <v>3433</v>
      </c>
    </row>
    <row r="3066" spans="1:2">
      <c r="A3066" s="387" t="s">
        <v>13913</v>
      </c>
      <c r="B3066" s="387" t="s">
        <v>2112</v>
      </c>
    </row>
    <row r="3067" spans="1:2">
      <c r="A3067" s="387" t="s">
        <v>13914</v>
      </c>
      <c r="B3067" s="387" t="s">
        <v>3550</v>
      </c>
    </row>
    <row r="3068" spans="1:2">
      <c r="A3068" s="387" t="s">
        <v>13915</v>
      </c>
      <c r="B3068" s="387" t="s">
        <v>3559</v>
      </c>
    </row>
    <row r="3069" spans="1:2">
      <c r="A3069" s="387" t="s">
        <v>13916</v>
      </c>
      <c r="B3069" s="387" t="s">
        <v>3851</v>
      </c>
    </row>
    <row r="3070" spans="1:2">
      <c r="A3070" s="387" t="s">
        <v>13917</v>
      </c>
      <c r="B3070" s="387" t="s">
        <v>3975</v>
      </c>
    </row>
    <row r="3071" spans="1:2">
      <c r="A3071" s="387" t="s">
        <v>13918</v>
      </c>
      <c r="B3071" s="387" t="s">
        <v>4001</v>
      </c>
    </row>
    <row r="3072" spans="1:2">
      <c r="A3072" s="387" t="s">
        <v>13919</v>
      </c>
      <c r="B3072" s="387" t="s">
        <v>4193</v>
      </c>
    </row>
    <row r="3073" spans="1:2">
      <c r="A3073" s="387" t="s">
        <v>13920</v>
      </c>
      <c r="B3073" s="387" t="s">
        <v>4229</v>
      </c>
    </row>
    <row r="3074" spans="1:2">
      <c r="A3074" s="387" t="s">
        <v>13921</v>
      </c>
      <c r="B3074" s="387" t="s">
        <v>4313</v>
      </c>
    </row>
    <row r="3075" spans="1:2">
      <c r="A3075" s="387" t="s">
        <v>13922</v>
      </c>
      <c r="B3075" s="387" t="s">
        <v>4387</v>
      </c>
    </row>
    <row r="3076" spans="1:2">
      <c r="A3076" s="387" t="s">
        <v>13923</v>
      </c>
      <c r="B3076" s="387" t="s">
        <v>2826</v>
      </c>
    </row>
    <row r="3077" spans="1:2">
      <c r="A3077" s="387" t="s">
        <v>13924</v>
      </c>
      <c r="B3077" s="387" t="s">
        <v>4630</v>
      </c>
    </row>
    <row r="3078" spans="1:2">
      <c r="A3078" s="387" t="s">
        <v>13925</v>
      </c>
      <c r="B3078" s="387" t="s">
        <v>13926</v>
      </c>
    </row>
    <row r="3079" spans="1:2">
      <c r="A3079" s="387" t="s">
        <v>13927</v>
      </c>
      <c r="B3079" s="387" t="s">
        <v>4734</v>
      </c>
    </row>
    <row r="3080" spans="1:2">
      <c r="A3080" s="387" t="s">
        <v>13928</v>
      </c>
      <c r="B3080" s="387" t="s">
        <v>13929</v>
      </c>
    </row>
    <row r="3081" spans="1:2">
      <c r="A3081" s="387" t="s">
        <v>13930</v>
      </c>
      <c r="B3081" s="387" t="s">
        <v>4776</v>
      </c>
    </row>
    <row r="3082" spans="1:2">
      <c r="A3082" s="387" t="s">
        <v>13931</v>
      </c>
      <c r="B3082" s="387" t="s">
        <v>4952</v>
      </c>
    </row>
    <row r="3083" spans="1:2">
      <c r="A3083" s="387" t="s">
        <v>13932</v>
      </c>
      <c r="B3083" s="387" t="s">
        <v>4982</v>
      </c>
    </row>
    <row r="3084" spans="1:2">
      <c r="A3084" s="387" t="s">
        <v>13933</v>
      </c>
      <c r="B3084" s="387" t="s">
        <v>4506</v>
      </c>
    </row>
    <row r="3085" spans="1:2">
      <c r="A3085" s="387" t="s">
        <v>13934</v>
      </c>
      <c r="B3085" s="387" t="s">
        <v>13935</v>
      </c>
    </row>
    <row r="3086" spans="1:2">
      <c r="A3086" s="387" t="s">
        <v>13936</v>
      </c>
      <c r="B3086" s="387" t="s">
        <v>5351</v>
      </c>
    </row>
    <row r="3087" spans="1:2">
      <c r="A3087" s="387" t="s">
        <v>13937</v>
      </c>
      <c r="B3087" s="387" t="s">
        <v>5402</v>
      </c>
    </row>
    <row r="3088" spans="1:2">
      <c r="A3088" s="387" t="s">
        <v>13938</v>
      </c>
      <c r="B3088" s="387" t="s">
        <v>5510</v>
      </c>
    </row>
    <row r="3089" spans="1:2">
      <c r="A3089" s="387" t="s">
        <v>13939</v>
      </c>
      <c r="B3089" s="387" t="s">
        <v>6136</v>
      </c>
    </row>
    <row r="3090" spans="1:2">
      <c r="A3090" s="387" t="s">
        <v>13940</v>
      </c>
      <c r="B3090" s="387" t="s">
        <v>1943</v>
      </c>
    </row>
    <row r="3091" spans="1:2">
      <c r="A3091" s="387" t="s">
        <v>13941</v>
      </c>
      <c r="B3091" s="387" t="s">
        <v>13942</v>
      </c>
    </row>
    <row r="3092" spans="1:2">
      <c r="A3092" s="387" t="s">
        <v>13943</v>
      </c>
      <c r="B3092" s="387" t="s">
        <v>4542</v>
      </c>
    </row>
    <row r="3093" spans="1:2">
      <c r="A3093" s="387" t="s">
        <v>13944</v>
      </c>
      <c r="B3093" s="387" t="s">
        <v>7821</v>
      </c>
    </row>
    <row r="3094" spans="1:2">
      <c r="A3094" s="387" t="s">
        <v>13945</v>
      </c>
      <c r="B3094" s="387" t="s">
        <v>13946</v>
      </c>
    </row>
    <row r="3095" spans="1:2">
      <c r="A3095" s="387" t="s">
        <v>13947</v>
      </c>
      <c r="B3095" s="387" t="s">
        <v>13948</v>
      </c>
    </row>
    <row r="3096" spans="1:2">
      <c r="A3096" s="387" t="s">
        <v>13949</v>
      </c>
      <c r="B3096" s="387" t="s">
        <v>1175</v>
      </c>
    </row>
    <row r="3097" spans="1:2">
      <c r="A3097" s="387" t="s">
        <v>13950</v>
      </c>
      <c r="B3097" s="387" t="s">
        <v>13951</v>
      </c>
    </row>
    <row r="3098" spans="1:2">
      <c r="A3098" s="387" t="s">
        <v>13952</v>
      </c>
      <c r="B3098" s="387" t="s">
        <v>1526</v>
      </c>
    </row>
    <row r="3099" spans="1:2">
      <c r="A3099" s="387" t="s">
        <v>13953</v>
      </c>
      <c r="B3099" s="387" t="s">
        <v>13954</v>
      </c>
    </row>
    <row r="3100" spans="1:2">
      <c r="A3100" s="387" t="s">
        <v>13955</v>
      </c>
      <c r="B3100" s="387" t="s">
        <v>3568</v>
      </c>
    </row>
    <row r="3101" spans="1:2">
      <c r="A3101" s="387" t="s">
        <v>13956</v>
      </c>
      <c r="B3101" s="387" t="s">
        <v>13957</v>
      </c>
    </row>
    <row r="3102" spans="1:2">
      <c r="A3102" s="387" t="s">
        <v>13958</v>
      </c>
      <c r="B3102" s="387" t="s">
        <v>13959</v>
      </c>
    </row>
    <row r="3103" spans="1:2">
      <c r="A3103" s="387" t="s">
        <v>13960</v>
      </c>
      <c r="B3103" s="387" t="s">
        <v>13961</v>
      </c>
    </row>
    <row r="3104" spans="1:2">
      <c r="A3104" s="387" t="s">
        <v>13962</v>
      </c>
      <c r="B3104" s="387" t="s">
        <v>13963</v>
      </c>
    </row>
    <row r="3105" spans="1:2">
      <c r="A3105" s="387" t="s">
        <v>13964</v>
      </c>
      <c r="B3105" s="387" t="s">
        <v>13965</v>
      </c>
    </row>
    <row r="3106" spans="1:2">
      <c r="A3106" s="387" t="s">
        <v>13966</v>
      </c>
      <c r="B3106" s="387" t="s">
        <v>13967</v>
      </c>
    </row>
    <row r="3107" spans="1:2">
      <c r="A3107" s="387" t="s">
        <v>13968</v>
      </c>
      <c r="B3107" s="387" t="s">
        <v>13969</v>
      </c>
    </row>
    <row r="3108" spans="1:2">
      <c r="A3108" s="387" t="s">
        <v>13970</v>
      </c>
      <c r="B3108" s="387" t="s">
        <v>990</v>
      </c>
    </row>
    <row r="3109" spans="1:2">
      <c r="A3109" s="387" t="s">
        <v>13971</v>
      </c>
      <c r="B3109" s="387" t="s">
        <v>1184</v>
      </c>
    </row>
    <row r="3110" spans="1:2">
      <c r="A3110" s="387" t="s">
        <v>13972</v>
      </c>
      <c r="B3110" s="387" t="s">
        <v>1287</v>
      </c>
    </row>
    <row r="3111" spans="1:2">
      <c r="A3111" s="387" t="s">
        <v>13973</v>
      </c>
      <c r="B3111" s="387" t="s">
        <v>1309</v>
      </c>
    </row>
    <row r="3112" spans="1:2">
      <c r="A3112" s="387" t="s">
        <v>13974</v>
      </c>
      <c r="B3112" s="387" t="s">
        <v>1352</v>
      </c>
    </row>
    <row r="3113" spans="1:2">
      <c r="A3113" s="387" t="s">
        <v>13975</v>
      </c>
      <c r="B3113" s="387" t="s">
        <v>1649</v>
      </c>
    </row>
    <row r="3114" spans="1:2">
      <c r="A3114" s="387" t="s">
        <v>13976</v>
      </c>
      <c r="B3114" s="387" t="s">
        <v>1898</v>
      </c>
    </row>
    <row r="3115" spans="1:2">
      <c r="A3115" s="387" t="s">
        <v>13977</v>
      </c>
      <c r="B3115" s="387" t="s">
        <v>1961</v>
      </c>
    </row>
    <row r="3116" spans="1:2">
      <c r="A3116" s="387" t="s">
        <v>13978</v>
      </c>
      <c r="B3116" s="387" t="s">
        <v>13979</v>
      </c>
    </row>
    <row r="3117" spans="1:2">
      <c r="A3117" s="387" t="s">
        <v>13980</v>
      </c>
      <c r="B3117" s="387" t="s">
        <v>2018</v>
      </c>
    </row>
    <row r="3118" spans="1:2">
      <c r="A3118" s="387" t="s">
        <v>13981</v>
      </c>
      <c r="B3118" s="387" t="s">
        <v>2034</v>
      </c>
    </row>
    <row r="3119" spans="1:2">
      <c r="A3119" s="387" t="s">
        <v>13982</v>
      </c>
      <c r="B3119" s="387" t="s">
        <v>2057</v>
      </c>
    </row>
    <row r="3120" spans="1:2">
      <c r="A3120" s="387" t="s">
        <v>13983</v>
      </c>
      <c r="B3120" s="387" t="s">
        <v>1502</v>
      </c>
    </row>
    <row r="3121" spans="1:2">
      <c r="A3121" s="387" t="s">
        <v>13984</v>
      </c>
      <c r="B3121" s="387" t="s">
        <v>2080</v>
      </c>
    </row>
    <row r="3122" spans="1:2">
      <c r="A3122" s="387" t="s">
        <v>13985</v>
      </c>
      <c r="B3122" s="387" t="s">
        <v>2144</v>
      </c>
    </row>
    <row r="3123" spans="1:2">
      <c r="A3123" s="387" t="s">
        <v>13986</v>
      </c>
      <c r="B3123" s="387" t="s">
        <v>2293</v>
      </c>
    </row>
    <row r="3124" spans="1:2">
      <c r="A3124" s="387" t="s">
        <v>615</v>
      </c>
      <c r="B3124" s="387" t="s">
        <v>2326</v>
      </c>
    </row>
    <row r="3125" spans="1:2">
      <c r="A3125" s="387" t="s">
        <v>13987</v>
      </c>
      <c r="B3125" s="387" t="s">
        <v>1128</v>
      </c>
    </row>
    <row r="3126" spans="1:2">
      <c r="A3126" s="387" t="s">
        <v>13988</v>
      </c>
      <c r="B3126" s="387" t="s">
        <v>960</v>
      </c>
    </row>
    <row r="3127" spans="1:2">
      <c r="A3127" s="387" t="s">
        <v>13989</v>
      </c>
      <c r="B3127" s="387" t="s">
        <v>1500</v>
      </c>
    </row>
    <row r="3128" spans="1:2">
      <c r="A3128" s="387" t="s">
        <v>13990</v>
      </c>
      <c r="B3128" s="387" t="s">
        <v>2553</v>
      </c>
    </row>
    <row r="3129" spans="1:2">
      <c r="A3129" s="387" t="s">
        <v>13991</v>
      </c>
      <c r="B3129" s="387" t="s">
        <v>2843</v>
      </c>
    </row>
    <row r="3130" spans="1:2">
      <c r="A3130" s="387" t="s">
        <v>13992</v>
      </c>
      <c r="B3130" s="387" t="s">
        <v>2855</v>
      </c>
    </row>
    <row r="3131" spans="1:2">
      <c r="A3131" s="387" t="s">
        <v>13993</v>
      </c>
      <c r="B3131" s="387" t="s">
        <v>13994</v>
      </c>
    </row>
    <row r="3132" spans="1:2">
      <c r="A3132" s="387" t="s">
        <v>13995</v>
      </c>
      <c r="B3132" s="387" t="s">
        <v>2863</v>
      </c>
    </row>
    <row r="3133" spans="1:2">
      <c r="A3133" s="387" t="s">
        <v>13996</v>
      </c>
      <c r="B3133" s="387" t="s">
        <v>2938</v>
      </c>
    </row>
    <row r="3134" spans="1:2">
      <c r="A3134" s="387" t="s">
        <v>13997</v>
      </c>
      <c r="B3134" s="387" t="s">
        <v>2941</v>
      </c>
    </row>
    <row r="3135" spans="1:2">
      <c r="A3135" s="387" t="s">
        <v>13998</v>
      </c>
      <c r="B3135" s="387" t="s">
        <v>3039</v>
      </c>
    </row>
    <row r="3136" spans="1:2">
      <c r="A3136" s="387" t="s">
        <v>13999</v>
      </c>
      <c r="B3136" s="387" t="s">
        <v>3053</v>
      </c>
    </row>
    <row r="3137" spans="1:2">
      <c r="A3137" s="387" t="s">
        <v>14000</v>
      </c>
      <c r="B3137" s="387" t="s">
        <v>3066</v>
      </c>
    </row>
    <row r="3138" spans="1:2">
      <c r="A3138" s="387" t="s">
        <v>14001</v>
      </c>
      <c r="B3138" s="387" t="s">
        <v>14002</v>
      </c>
    </row>
    <row r="3139" spans="1:2">
      <c r="A3139" s="387" t="s">
        <v>14003</v>
      </c>
      <c r="B3139" s="387" t="s">
        <v>3091</v>
      </c>
    </row>
    <row r="3140" spans="1:2">
      <c r="A3140" s="387" t="s">
        <v>14004</v>
      </c>
      <c r="B3140" s="387" t="s">
        <v>2092</v>
      </c>
    </row>
    <row r="3141" spans="1:2">
      <c r="A3141" s="387" t="s">
        <v>14005</v>
      </c>
      <c r="B3141" s="387" t="s">
        <v>3197</v>
      </c>
    </row>
    <row r="3142" spans="1:2">
      <c r="A3142" s="387" t="s">
        <v>14006</v>
      </c>
      <c r="B3142" s="387" t="s">
        <v>3219</v>
      </c>
    </row>
    <row r="3143" spans="1:2">
      <c r="A3143" s="387" t="s">
        <v>14007</v>
      </c>
      <c r="B3143" s="387" t="s">
        <v>3272</v>
      </c>
    </row>
    <row r="3144" spans="1:2">
      <c r="A3144" s="387" t="s">
        <v>14008</v>
      </c>
      <c r="B3144" s="387" t="s">
        <v>3274</v>
      </c>
    </row>
    <row r="3145" spans="1:2">
      <c r="A3145" s="387" t="s">
        <v>14009</v>
      </c>
      <c r="B3145" s="387" t="s">
        <v>1637</v>
      </c>
    </row>
    <row r="3146" spans="1:2">
      <c r="A3146" s="387" t="s">
        <v>14010</v>
      </c>
      <c r="B3146" s="387" t="s">
        <v>3280</v>
      </c>
    </row>
    <row r="3147" spans="1:2">
      <c r="A3147" s="387" t="s">
        <v>14011</v>
      </c>
      <c r="B3147" s="387" t="s">
        <v>3344</v>
      </c>
    </row>
    <row r="3148" spans="1:2">
      <c r="A3148" s="387" t="s">
        <v>14012</v>
      </c>
      <c r="B3148" s="387" t="s">
        <v>1804</v>
      </c>
    </row>
    <row r="3149" spans="1:2">
      <c r="A3149" s="387" t="s">
        <v>14013</v>
      </c>
      <c r="B3149" s="387" t="s">
        <v>3354</v>
      </c>
    </row>
    <row r="3150" spans="1:2">
      <c r="A3150" s="387" t="s">
        <v>14014</v>
      </c>
      <c r="B3150" s="387" t="s">
        <v>3357</v>
      </c>
    </row>
    <row r="3151" spans="1:2">
      <c r="A3151" s="387" t="s">
        <v>14015</v>
      </c>
      <c r="B3151" s="387" t="s">
        <v>3378</v>
      </c>
    </row>
    <row r="3152" spans="1:2">
      <c r="A3152" s="387" t="s">
        <v>14016</v>
      </c>
      <c r="B3152" s="387" t="s">
        <v>3435</v>
      </c>
    </row>
    <row r="3153" spans="1:2">
      <c r="A3153" s="387" t="s">
        <v>14017</v>
      </c>
      <c r="B3153" s="387" t="s">
        <v>1131</v>
      </c>
    </row>
    <row r="3154" spans="1:2">
      <c r="A3154" s="387" t="s">
        <v>14018</v>
      </c>
      <c r="B3154" s="387" t="s">
        <v>3484</v>
      </c>
    </row>
    <row r="3155" spans="1:2">
      <c r="A3155" s="387" t="s">
        <v>14019</v>
      </c>
      <c r="B3155" s="387" t="s">
        <v>3488</v>
      </c>
    </row>
    <row r="3156" spans="1:2">
      <c r="A3156" s="387" t="s">
        <v>14020</v>
      </c>
      <c r="B3156" s="387" t="s">
        <v>3561</v>
      </c>
    </row>
    <row r="3157" spans="1:2">
      <c r="A3157" s="387" t="s">
        <v>14021</v>
      </c>
      <c r="B3157" s="387" t="s">
        <v>3583</v>
      </c>
    </row>
    <row r="3158" spans="1:2">
      <c r="A3158" s="387" t="s">
        <v>14022</v>
      </c>
      <c r="B3158" s="387" t="s">
        <v>3629</v>
      </c>
    </row>
    <row r="3159" spans="1:2">
      <c r="A3159" s="387" t="s">
        <v>14023</v>
      </c>
      <c r="B3159" s="387" t="s">
        <v>1580</v>
      </c>
    </row>
    <row r="3160" spans="1:2">
      <c r="A3160" s="387" t="s">
        <v>14024</v>
      </c>
      <c r="B3160" s="387" t="s">
        <v>3832</v>
      </c>
    </row>
    <row r="3161" spans="1:2">
      <c r="A3161" s="387" t="s">
        <v>14025</v>
      </c>
      <c r="B3161" s="387" t="s">
        <v>3908</v>
      </c>
    </row>
    <row r="3162" spans="1:2">
      <c r="A3162" s="387" t="s">
        <v>14026</v>
      </c>
      <c r="B3162" s="387" t="s">
        <v>14027</v>
      </c>
    </row>
    <row r="3163" spans="1:2">
      <c r="A3163" s="387" t="s">
        <v>14028</v>
      </c>
      <c r="B3163" s="387" t="s">
        <v>2887</v>
      </c>
    </row>
    <row r="3164" spans="1:2">
      <c r="A3164" s="387" t="s">
        <v>14029</v>
      </c>
      <c r="B3164" s="387" t="s">
        <v>3995</v>
      </c>
    </row>
    <row r="3165" spans="1:2">
      <c r="A3165" s="387" t="s">
        <v>14030</v>
      </c>
      <c r="B3165" s="387" t="s">
        <v>4007</v>
      </c>
    </row>
    <row r="3166" spans="1:2">
      <c r="A3166" s="387" t="s">
        <v>14031</v>
      </c>
      <c r="B3166" s="387" t="s">
        <v>4009</v>
      </c>
    </row>
    <row r="3167" spans="1:2">
      <c r="A3167" s="387" t="s">
        <v>14032</v>
      </c>
      <c r="B3167" s="387" t="s">
        <v>1599</v>
      </c>
    </row>
    <row r="3168" spans="1:2">
      <c r="A3168" s="387" t="s">
        <v>14033</v>
      </c>
      <c r="B3168" s="387" t="s">
        <v>4076</v>
      </c>
    </row>
    <row r="3169" spans="1:2">
      <c r="A3169" s="387" t="s">
        <v>14034</v>
      </c>
      <c r="B3169" s="387" t="s">
        <v>4096</v>
      </c>
    </row>
    <row r="3170" spans="1:2">
      <c r="A3170" s="387" t="s">
        <v>14035</v>
      </c>
      <c r="B3170" s="387" t="s">
        <v>4140</v>
      </c>
    </row>
    <row r="3171" spans="1:2">
      <c r="A3171" s="387" t="s">
        <v>14036</v>
      </c>
      <c r="B3171" s="387" t="s">
        <v>4154</v>
      </c>
    </row>
    <row r="3172" spans="1:2">
      <c r="A3172" s="387" t="s">
        <v>14037</v>
      </c>
      <c r="B3172" s="387" t="s">
        <v>1041</v>
      </c>
    </row>
    <row r="3173" spans="1:2">
      <c r="A3173" s="387" t="s">
        <v>14038</v>
      </c>
      <c r="B3173" s="387" t="s">
        <v>8775</v>
      </c>
    </row>
    <row r="3174" spans="1:2">
      <c r="A3174" s="387" t="s">
        <v>14039</v>
      </c>
      <c r="B3174" s="387" t="s">
        <v>4256</v>
      </c>
    </row>
    <row r="3175" spans="1:2">
      <c r="A3175" s="387" t="s">
        <v>14040</v>
      </c>
      <c r="B3175" s="387" t="s">
        <v>4272</v>
      </c>
    </row>
    <row r="3176" spans="1:2">
      <c r="A3176" s="387" t="s">
        <v>14041</v>
      </c>
      <c r="B3176" s="387" t="s">
        <v>4274</v>
      </c>
    </row>
    <row r="3177" spans="1:2">
      <c r="A3177" s="387" t="s">
        <v>14042</v>
      </c>
      <c r="B3177" s="387" t="s">
        <v>4362</v>
      </c>
    </row>
    <row r="3178" spans="1:2">
      <c r="A3178" s="387" t="s">
        <v>14043</v>
      </c>
      <c r="B3178" s="387" t="s">
        <v>4472</v>
      </c>
    </row>
    <row r="3179" spans="1:2">
      <c r="A3179" s="387" t="s">
        <v>14044</v>
      </c>
      <c r="B3179" s="387" t="s">
        <v>4538</v>
      </c>
    </row>
    <row r="3180" spans="1:2">
      <c r="A3180" s="387" t="s">
        <v>14045</v>
      </c>
      <c r="B3180" s="387" t="s">
        <v>4562</v>
      </c>
    </row>
    <row r="3181" spans="1:2">
      <c r="A3181" s="387" t="s">
        <v>14046</v>
      </c>
      <c r="B3181" s="387" t="s">
        <v>4564</v>
      </c>
    </row>
    <row r="3182" spans="1:2">
      <c r="A3182" s="387" t="s">
        <v>14047</v>
      </c>
      <c r="B3182" s="387" t="s">
        <v>4647</v>
      </c>
    </row>
    <row r="3183" spans="1:2">
      <c r="A3183" s="387" t="s">
        <v>14048</v>
      </c>
      <c r="B3183" s="387" t="s">
        <v>4670</v>
      </c>
    </row>
    <row r="3184" spans="1:2">
      <c r="A3184" s="387" t="s">
        <v>14049</v>
      </c>
      <c r="B3184" s="387" t="s">
        <v>14050</v>
      </c>
    </row>
    <row r="3185" spans="1:2">
      <c r="A3185" s="387" t="s">
        <v>14051</v>
      </c>
      <c r="B3185" s="387" t="s">
        <v>14052</v>
      </c>
    </row>
    <row r="3186" spans="1:2">
      <c r="A3186" s="387" t="s">
        <v>14053</v>
      </c>
      <c r="B3186" s="387" t="s">
        <v>3164</v>
      </c>
    </row>
    <row r="3187" spans="1:2">
      <c r="A3187" s="387" t="s">
        <v>14054</v>
      </c>
      <c r="B3187" s="387" t="s">
        <v>4774</v>
      </c>
    </row>
    <row r="3188" spans="1:2">
      <c r="A3188" s="387" t="s">
        <v>14055</v>
      </c>
      <c r="B3188" s="387" t="s">
        <v>4801</v>
      </c>
    </row>
    <row r="3189" spans="1:2">
      <c r="A3189" s="387" t="s">
        <v>14056</v>
      </c>
      <c r="B3189" s="387" t="s">
        <v>4808</v>
      </c>
    </row>
    <row r="3190" spans="1:2">
      <c r="A3190" s="387" t="s">
        <v>14057</v>
      </c>
      <c r="B3190" s="387" t="s">
        <v>4843</v>
      </c>
    </row>
    <row r="3191" spans="1:2">
      <c r="A3191" s="387" t="s">
        <v>14058</v>
      </c>
      <c r="B3191" s="387" t="s">
        <v>14059</v>
      </c>
    </row>
    <row r="3192" spans="1:2">
      <c r="A3192" s="387" t="s">
        <v>14060</v>
      </c>
      <c r="B3192" s="387" t="s">
        <v>4855</v>
      </c>
    </row>
    <row r="3193" spans="1:2">
      <c r="A3193" s="387" t="s">
        <v>14061</v>
      </c>
      <c r="B3193" s="387" t="s">
        <v>4906</v>
      </c>
    </row>
    <row r="3194" spans="1:2">
      <c r="A3194" s="387" t="s">
        <v>14062</v>
      </c>
      <c r="B3194" s="387" t="s">
        <v>4931</v>
      </c>
    </row>
    <row r="3195" spans="1:2">
      <c r="A3195" s="387" t="s">
        <v>14063</v>
      </c>
      <c r="B3195" s="387" t="s">
        <v>4936</v>
      </c>
    </row>
    <row r="3196" spans="1:2">
      <c r="A3196" s="387" t="s">
        <v>14064</v>
      </c>
      <c r="B3196" s="387" t="s">
        <v>2146</v>
      </c>
    </row>
    <row r="3197" spans="1:2">
      <c r="A3197" s="387" t="s">
        <v>14065</v>
      </c>
      <c r="B3197" s="387" t="s">
        <v>4954</v>
      </c>
    </row>
    <row r="3198" spans="1:2">
      <c r="A3198" s="387" t="s">
        <v>14066</v>
      </c>
      <c r="B3198" s="387" t="s">
        <v>4976</v>
      </c>
    </row>
    <row r="3199" spans="1:2">
      <c r="A3199" s="387" t="s">
        <v>14067</v>
      </c>
      <c r="B3199" s="387" t="s">
        <v>1213</v>
      </c>
    </row>
    <row r="3200" spans="1:2">
      <c r="A3200" s="387" t="s">
        <v>14068</v>
      </c>
      <c r="B3200" s="387" t="s">
        <v>5010</v>
      </c>
    </row>
    <row r="3201" spans="1:2">
      <c r="A3201" s="387" t="s">
        <v>14069</v>
      </c>
      <c r="B3201" s="387" t="s">
        <v>5021</v>
      </c>
    </row>
    <row r="3202" spans="1:2">
      <c r="A3202" s="387" t="s">
        <v>14070</v>
      </c>
      <c r="B3202" s="387" t="s">
        <v>5023</v>
      </c>
    </row>
    <row r="3203" spans="1:2">
      <c r="A3203" s="387" t="s">
        <v>14071</v>
      </c>
      <c r="B3203" s="387" t="s">
        <v>5040</v>
      </c>
    </row>
    <row r="3204" spans="1:2">
      <c r="A3204" s="387" t="s">
        <v>14072</v>
      </c>
      <c r="B3204" s="387" t="s">
        <v>1053</v>
      </c>
    </row>
    <row r="3205" spans="1:2">
      <c r="A3205" s="387" t="s">
        <v>14073</v>
      </c>
      <c r="B3205" s="387" t="s">
        <v>5094</v>
      </c>
    </row>
    <row r="3206" spans="1:2">
      <c r="A3206" s="387" t="s">
        <v>14074</v>
      </c>
      <c r="B3206" s="387" t="s">
        <v>1477</v>
      </c>
    </row>
    <row r="3207" spans="1:2">
      <c r="A3207" s="387" t="s">
        <v>14075</v>
      </c>
      <c r="B3207" s="387" t="s">
        <v>5146</v>
      </c>
    </row>
    <row r="3208" spans="1:2">
      <c r="A3208" s="387" t="s">
        <v>14076</v>
      </c>
      <c r="B3208" s="387" t="s">
        <v>2726</v>
      </c>
    </row>
    <row r="3209" spans="1:2">
      <c r="A3209" s="387" t="s">
        <v>14077</v>
      </c>
      <c r="B3209" s="387" t="s">
        <v>5263</v>
      </c>
    </row>
    <row r="3210" spans="1:2">
      <c r="A3210" s="387" t="s">
        <v>14078</v>
      </c>
      <c r="B3210" s="387" t="s">
        <v>5265</v>
      </c>
    </row>
    <row r="3211" spans="1:2">
      <c r="A3211" s="387" t="s">
        <v>14079</v>
      </c>
      <c r="B3211" s="387" t="s">
        <v>5285</v>
      </c>
    </row>
    <row r="3212" spans="1:2">
      <c r="A3212" s="387" t="s">
        <v>14080</v>
      </c>
      <c r="B3212" s="387" t="s">
        <v>5310</v>
      </c>
    </row>
    <row r="3213" spans="1:2">
      <c r="A3213" s="387" t="s">
        <v>14081</v>
      </c>
      <c r="B3213" s="387" t="s">
        <v>1374</v>
      </c>
    </row>
    <row r="3214" spans="1:2">
      <c r="A3214" s="387" t="s">
        <v>14082</v>
      </c>
      <c r="B3214" s="387" t="s">
        <v>4359</v>
      </c>
    </row>
    <row r="3215" spans="1:2">
      <c r="A3215" s="387" t="s">
        <v>14083</v>
      </c>
      <c r="B3215" s="387" t="s">
        <v>14084</v>
      </c>
    </row>
    <row r="3216" spans="1:2">
      <c r="A3216" s="387" t="s">
        <v>14085</v>
      </c>
      <c r="B3216" s="387" t="s">
        <v>5449</v>
      </c>
    </row>
    <row r="3217" spans="1:2">
      <c r="A3217" s="387" t="s">
        <v>14086</v>
      </c>
      <c r="B3217" s="387" t="s">
        <v>5572</v>
      </c>
    </row>
    <row r="3218" spans="1:2">
      <c r="A3218" s="387" t="s">
        <v>14087</v>
      </c>
      <c r="B3218" s="387" t="s">
        <v>1189</v>
      </c>
    </row>
    <row r="3219" spans="1:2">
      <c r="A3219" s="387" t="s">
        <v>14088</v>
      </c>
      <c r="B3219" s="387" t="s">
        <v>6142</v>
      </c>
    </row>
    <row r="3220" spans="1:2">
      <c r="A3220" s="387" t="s">
        <v>14089</v>
      </c>
      <c r="B3220" s="387" t="s">
        <v>3977</v>
      </c>
    </row>
    <row r="3221" spans="1:2">
      <c r="A3221" s="387" t="s">
        <v>14090</v>
      </c>
      <c r="B3221" s="387" t="s">
        <v>6210</v>
      </c>
    </row>
    <row r="3222" spans="1:2">
      <c r="A3222" s="387" t="s">
        <v>14091</v>
      </c>
      <c r="B3222" s="387" t="s">
        <v>6853</v>
      </c>
    </row>
    <row r="3223" spans="1:2">
      <c r="A3223" s="387" t="s">
        <v>14092</v>
      </c>
      <c r="B3223" s="387" t="s">
        <v>14093</v>
      </c>
    </row>
    <row r="3224" spans="1:2">
      <c r="A3224" s="387" t="s">
        <v>14094</v>
      </c>
      <c r="B3224" s="387" t="s">
        <v>14095</v>
      </c>
    </row>
    <row r="3225" spans="1:2">
      <c r="A3225" s="387" t="s">
        <v>14096</v>
      </c>
      <c r="B3225" s="387" t="s">
        <v>3938</v>
      </c>
    </row>
    <row r="3226" spans="1:2">
      <c r="A3226" s="387" t="s">
        <v>14097</v>
      </c>
      <c r="B3226" s="387" t="s">
        <v>2055</v>
      </c>
    </row>
    <row r="3227" spans="1:2">
      <c r="A3227" s="387" t="s">
        <v>14098</v>
      </c>
      <c r="B3227" s="387" t="s">
        <v>2254</v>
      </c>
    </row>
    <row r="3228" spans="1:2">
      <c r="A3228" s="387" t="s">
        <v>14099</v>
      </c>
      <c r="B3228" s="387" t="s">
        <v>2322</v>
      </c>
    </row>
    <row r="3229" spans="1:2">
      <c r="A3229" s="387" t="s">
        <v>615</v>
      </c>
      <c r="B3229" s="387" t="s">
        <v>2326</v>
      </c>
    </row>
    <row r="3230" spans="1:2">
      <c r="A3230" s="387" t="s">
        <v>14100</v>
      </c>
      <c r="B3230" s="387" t="s">
        <v>2382</v>
      </c>
    </row>
    <row r="3231" spans="1:2">
      <c r="A3231" s="387" t="s">
        <v>14101</v>
      </c>
      <c r="B3231" s="387" t="s">
        <v>2427</v>
      </c>
    </row>
    <row r="3232" spans="1:2">
      <c r="A3232" s="387" t="s">
        <v>14102</v>
      </c>
      <c r="B3232" s="387" t="s">
        <v>2755</v>
      </c>
    </row>
    <row r="3233" spans="1:2">
      <c r="A3233" s="387" t="s">
        <v>14103</v>
      </c>
      <c r="B3233" s="387" t="s">
        <v>2995</v>
      </c>
    </row>
    <row r="3234" spans="1:2">
      <c r="A3234" s="387" t="s">
        <v>14104</v>
      </c>
      <c r="B3234" s="387" t="s">
        <v>3010</v>
      </c>
    </row>
    <row r="3235" spans="1:2">
      <c r="A3235" s="387" t="s">
        <v>14105</v>
      </c>
      <c r="B3235" s="387" t="s">
        <v>3035</v>
      </c>
    </row>
    <row r="3236" spans="1:2">
      <c r="A3236" s="387" t="s">
        <v>14106</v>
      </c>
      <c r="B3236" s="387" t="s">
        <v>14107</v>
      </c>
    </row>
    <row r="3237" spans="1:2">
      <c r="A3237" s="387" t="s">
        <v>14108</v>
      </c>
      <c r="B3237" s="387" t="s">
        <v>3115</v>
      </c>
    </row>
    <row r="3238" spans="1:2">
      <c r="A3238" s="387" t="s">
        <v>14109</v>
      </c>
      <c r="B3238" s="387" t="s">
        <v>3120</v>
      </c>
    </row>
    <row r="3239" spans="1:2">
      <c r="A3239" s="387" t="s">
        <v>14110</v>
      </c>
      <c r="B3239" s="387" t="s">
        <v>3270</v>
      </c>
    </row>
    <row r="3240" spans="1:2">
      <c r="A3240" s="387" t="s">
        <v>14111</v>
      </c>
      <c r="B3240" s="387" t="s">
        <v>3439</v>
      </c>
    </row>
    <row r="3241" spans="1:2">
      <c r="A3241" s="387" t="s">
        <v>14112</v>
      </c>
      <c r="B3241" s="387" t="s">
        <v>3441</v>
      </c>
    </row>
    <row r="3242" spans="1:2">
      <c r="A3242" s="387" t="s">
        <v>14113</v>
      </c>
      <c r="B3242" s="387" t="s">
        <v>3466</v>
      </c>
    </row>
    <row r="3243" spans="1:2">
      <c r="A3243" s="387" t="s">
        <v>14114</v>
      </c>
      <c r="B3243" s="387" t="s">
        <v>3507</v>
      </c>
    </row>
    <row r="3244" spans="1:2">
      <c r="A3244" s="387" t="s">
        <v>14115</v>
      </c>
      <c r="B3244" s="387" t="s">
        <v>2117</v>
      </c>
    </row>
    <row r="3245" spans="1:2">
      <c r="A3245" s="387" t="s">
        <v>14116</v>
      </c>
      <c r="B3245" s="387" t="s">
        <v>2474</v>
      </c>
    </row>
    <row r="3246" spans="1:2">
      <c r="A3246" s="387" t="s">
        <v>14117</v>
      </c>
      <c r="B3246" s="387" t="s">
        <v>3609</v>
      </c>
    </row>
    <row r="3247" spans="1:2">
      <c r="A3247" s="387" t="s">
        <v>14118</v>
      </c>
      <c r="B3247" s="387" t="s">
        <v>3625</v>
      </c>
    </row>
    <row r="3248" spans="1:2">
      <c r="A3248" s="387" t="s">
        <v>14119</v>
      </c>
      <c r="B3248" s="387" t="s">
        <v>3627</v>
      </c>
    </row>
    <row r="3249" spans="1:2">
      <c r="A3249" s="387" t="s">
        <v>14120</v>
      </c>
      <c r="B3249" s="387" t="s">
        <v>3642</v>
      </c>
    </row>
    <row r="3250" spans="1:2">
      <c r="A3250" s="387" t="s">
        <v>14121</v>
      </c>
      <c r="B3250" s="387" t="s">
        <v>3700</v>
      </c>
    </row>
    <row r="3251" spans="1:2">
      <c r="A3251" s="387" t="s">
        <v>14122</v>
      </c>
      <c r="B3251" s="387" t="s">
        <v>2604</v>
      </c>
    </row>
    <row r="3252" spans="1:2">
      <c r="A3252" s="387" t="s">
        <v>14123</v>
      </c>
      <c r="B3252" s="387" t="s">
        <v>14124</v>
      </c>
    </row>
    <row r="3253" spans="1:2">
      <c r="A3253" s="387" t="s">
        <v>14125</v>
      </c>
      <c r="B3253" s="387" t="s">
        <v>4184</v>
      </c>
    </row>
    <row r="3254" spans="1:2">
      <c r="A3254" s="387" t="s">
        <v>14126</v>
      </c>
      <c r="B3254" s="387" t="s">
        <v>4311</v>
      </c>
    </row>
    <row r="3255" spans="1:2">
      <c r="A3255" s="387" t="s">
        <v>14127</v>
      </c>
      <c r="B3255" s="387" t="s">
        <v>4351</v>
      </c>
    </row>
    <row r="3256" spans="1:2">
      <c r="A3256" s="387" t="s">
        <v>14128</v>
      </c>
      <c r="B3256" s="387" t="s">
        <v>4419</v>
      </c>
    </row>
    <row r="3257" spans="1:2">
      <c r="A3257" s="387" t="s">
        <v>14129</v>
      </c>
      <c r="B3257" s="387" t="s">
        <v>1814</v>
      </c>
    </row>
    <row r="3258" spans="1:2">
      <c r="A3258" s="387" t="s">
        <v>14130</v>
      </c>
      <c r="B3258" s="387" t="s">
        <v>3730</v>
      </c>
    </row>
    <row r="3259" spans="1:2">
      <c r="A3259" s="387" t="s">
        <v>14131</v>
      </c>
      <c r="B3259" s="387" t="s">
        <v>4475</v>
      </c>
    </row>
    <row r="3260" spans="1:2">
      <c r="A3260" s="387" t="s">
        <v>14132</v>
      </c>
      <c r="B3260" s="387" t="s">
        <v>4502</v>
      </c>
    </row>
    <row r="3261" spans="1:2">
      <c r="A3261" s="387" t="s">
        <v>14133</v>
      </c>
      <c r="B3261" s="387" t="s">
        <v>3421</v>
      </c>
    </row>
    <row r="3262" spans="1:2">
      <c r="A3262" s="387" t="s">
        <v>14134</v>
      </c>
      <c r="B3262" s="387" t="s">
        <v>4540</v>
      </c>
    </row>
    <row r="3263" spans="1:2">
      <c r="A3263" s="387" t="s">
        <v>14135</v>
      </c>
      <c r="B3263" s="387" t="s">
        <v>4594</v>
      </c>
    </row>
    <row r="3264" spans="1:2">
      <c r="A3264" s="387" t="s">
        <v>14136</v>
      </c>
      <c r="B3264" s="387" t="s">
        <v>4623</v>
      </c>
    </row>
    <row r="3265" spans="1:2">
      <c r="A3265" s="387" t="s">
        <v>14137</v>
      </c>
      <c r="B3265" s="387" t="s">
        <v>4662</v>
      </c>
    </row>
    <row r="3266" spans="1:2">
      <c r="A3266" s="387" t="s">
        <v>14138</v>
      </c>
      <c r="B3266" s="387" t="s">
        <v>1690</v>
      </c>
    </row>
    <row r="3267" spans="1:2">
      <c r="A3267" s="387" t="s">
        <v>14139</v>
      </c>
      <c r="B3267" s="387" t="s">
        <v>14140</v>
      </c>
    </row>
    <row r="3268" spans="1:2">
      <c r="A3268" s="387" t="s">
        <v>14141</v>
      </c>
      <c r="B3268" s="387" t="s">
        <v>8685</v>
      </c>
    </row>
    <row r="3269" spans="1:2">
      <c r="A3269" s="387" t="s">
        <v>14142</v>
      </c>
      <c r="B3269" s="387" t="s">
        <v>4793</v>
      </c>
    </row>
    <row r="3270" spans="1:2">
      <c r="A3270" s="387" t="s">
        <v>14143</v>
      </c>
      <c r="B3270" s="387" t="s">
        <v>4820</v>
      </c>
    </row>
    <row r="3271" spans="1:2">
      <c r="A3271" s="387" t="s">
        <v>14144</v>
      </c>
      <c r="B3271" s="387" t="s">
        <v>4940</v>
      </c>
    </row>
    <row r="3272" spans="1:2">
      <c r="A3272" s="387" t="s">
        <v>14145</v>
      </c>
      <c r="B3272" s="387" t="s">
        <v>4958</v>
      </c>
    </row>
    <row r="3273" spans="1:2">
      <c r="A3273" s="387" t="s">
        <v>14146</v>
      </c>
      <c r="B3273" s="387" t="s">
        <v>1374</v>
      </c>
    </row>
    <row r="3274" spans="1:2">
      <c r="A3274" s="387" t="s">
        <v>14147</v>
      </c>
      <c r="B3274" s="387" t="s">
        <v>1852</v>
      </c>
    </row>
    <row r="3275" spans="1:2">
      <c r="A3275" s="387" t="s">
        <v>14148</v>
      </c>
      <c r="B3275" s="387" t="s">
        <v>5047</v>
      </c>
    </row>
    <row r="3276" spans="1:2">
      <c r="A3276" s="387" t="s">
        <v>14149</v>
      </c>
      <c r="B3276" s="387" t="s">
        <v>5096</v>
      </c>
    </row>
    <row r="3277" spans="1:2">
      <c r="A3277" s="387" t="s">
        <v>14150</v>
      </c>
      <c r="B3277" s="387" t="s">
        <v>5140</v>
      </c>
    </row>
    <row r="3278" spans="1:2">
      <c r="A3278" s="387" t="s">
        <v>14151</v>
      </c>
      <c r="B3278" s="387" t="s">
        <v>3197</v>
      </c>
    </row>
    <row r="3279" spans="1:2">
      <c r="A3279" s="387" t="s">
        <v>14152</v>
      </c>
      <c r="B3279" s="387" t="s">
        <v>3938</v>
      </c>
    </row>
    <row r="3280" spans="1:2">
      <c r="A3280" s="387" t="s">
        <v>14153</v>
      </c>
      <c r="B3280" s="387" t="s">
        <v>5481</v>
      </c>
    </row>
    <row r="3281" spans="1:2">
      <c r="A3281" s="387" t="s">
        <v>14154</v>
      </c>
      <c r="B3281" s="387" t="s">
        <v>5496</v>
      </c>
    </row>
    <row r="3282" spans="1:2">
      <c r="A3282" s="387" t="s">
        <v>14155</v>
      </c>
      <c r="B3282" s="387" t="s">
        <v>5520</v>
      </c>
    </row>
    <row r="3283" spans="1:2">
      <c r="A3283" s="387" t="s">
        <v>14156</v>
      </c>
      <c r="B3283" s="387" t="s">
        <v>5702</v>
      </c>
    </row>
    <row r="3284" spans="1:2">
      <c r="A3284" s="387" t="s">
        <v>14157</v>
      </c>
      <c r="B3284" s="387" t="s">
        <v>1546</v>
      </c>
    </row>
    <row r="3285" spans="1:2">
      <c r="A3285" s="387" t="s">
        <v>14158</v>
      </c>
      <c r="B3285" s="387" t="s">
        <v>5002</v>
      </c>
    </row>
    <row r="3286" spans="1:2">
      <c r="A3286" s="387" t="s">
        <v>14159</v>
      </c>
      <c r="B3286" s="387" t="s">
        <v>5727</v>
      </c>
    </row>
    <row r="3287" spans="1:2">
      <c r="A3287" s="387" t="s">
        <v>14160</v>
      </c>
      <c r="B3287" s="387" t="s">
        <v>3848</v>
      </c>
    </row>
    <row r="3288" spans="1:2">
      <c r="A3288" s="387" t="s">
        <v>14161</v>
      </c>
      <c r="B3288" s="387" t="s">
        <v>6031</v>
      </c>
    </row>
    <row r="3289" spans="1:2">
      <c r="A3289" s="387" t="s">
        <v>14162</v>
      </c>
      <c r="B3289" s="387" t="s">
        <v>6785</v>
      </c>
    </row>
    <row r="3290" spans="1:2">
      <c r="A3290" s="387" t="s">
        <v>14163</v>
      </c>
      <c r="B3290" s="387" t="s">
        <v>14164</v>
      </c>
    </row>
    <row r="3291" spans="1:2">
      <c r="A3291" s="387" t="s">
        <v>14165</v>
      </c>
      <c r="B3291" s="387" t="s">
        <v>7041</v>
      </c>
    </row>
    <row r="3292" spans="1:2">
      <c r="A3292" s="387" t="s">
        <v>14166</v>
      </c>
      <c r="B3292" s="387" t="s">
        <v>7103</v>
      </c>
    </row>
    <row r="3293" spans="1:2">
      <c r="A3293" s="387" t="s">
        <v>14167</v>
      </c>
      <c r="B3293" s="387" t="s">
        <v>14168</v>
      </c>
    </row>
    <row r="3294" spans="1:2">
      <c r="A3294" s="387" t="s">
        <v>14169</v>
      </c>
      <c r="B3294" s="387" t="s">
        <v>1526</v>
      </c>
    </row>
    <row r="3295" spans="1:2">
      <c r="A3295" s="387" t="s">
        <v>14170</v>
      </c>
      <c r="B3295" s="387" t="s">
        <v>14171</v>
      </c>
    </row>
    <row r="3296" spans="1:2">
      <c r="A3296" s="387" t="s">
        <v>14172</v>
      </c>
      <c r="B3296" s="387" t="s">
        <v>14173</v>
      </c>
    </row>
    <row r="3297" spans="1:2">
      <c r="A3297" s="387" t="s">
        <v>14174</v>
      </c>
      <c r="B3297" s="387" t="s">
        <v>1090</v>
      </c>
    </row>
    <row r="3298" spans="1:2">
      <c r="A3298" s="387" t="s">
        <v>14175</v>
      </c>
      <c r="B3298" s="387" t="s">
        <v>1099</v>
      </c>
    </row>
    <row r="3299" spans="1:2">
      <c r="A3299" s="387" t="s">
        <v>14176</v>
      </c>
      <c r="B3299" s="387" t="s">
        <v>1436</v>
      </c>
    </row>
    <row r="3300" spans="1:2">
      <c r="A3300" s="387" t="s">
        <v>14177</v>
      </c>
      <c r="B3300" s="387" t="s">
        <v>1875</v>
      </c>
    </row>
    <row r="3301" spans="1:2">
      <c r="A3301" s="387" t="s">
        <v>14178</v>
      </c>
      <c r="B3301" s="387" t="s">
        <v>2656</v>
      </c>
    </row>
    <row r="3302" spans="1:2">
      <c r="A3302" s="387" t="s">
        <v>14179</v>
      </c>
      <c r="B3302" s="387" t="s">
        <v>2910</v>
      </c>
    </row>
    <row r="3303" spans="1:2">
      <c r="A3303" s="387" t="s">
        <v>14180</v>
      </c>
      <c r="B3303" s="387" t="s">
        <v>3168</v>
      </c>
    </row>
    <row r="3304" spans="1:2">
      <c r="A3304" s="387" t="s">
        <v>14181</v>
      </c>
      <c r="B3304" s="387" t="s">
        <v>3226</v>
      </c>
    </row>
    <row r="3305" spans="1:2">
      <c r="A3305" s="387" t="s">
        <v>14182</v>
      </c>
      <c r="B3305" s="387" t="s">
        <v>3247</v>
      </c>
    </row>
    <row r="3306" spans="1:2">
      <c r="A3306" s="387" t="s">
        <v>14183</v>
      </c>
      <c r="B3306" s="387" t="s">
        <v>3126</v>
      </c>
    </row>
    <row r="3307" spans="1:2">
      <c r="A3307" s="387" t="s">
        <v>14184</v>
      </c>
      <c r="B3307" s="387" t="s">
        <v>3261</v>
      </c>
    </row>
    <row r="3308" spans="1:2">
      <c r="A3308" s="387" t="s">
        <v>14185</v>
      </c>
      <c r="B3308" s="387" t="s">
        <v>3278</v>
      </c>
    </row>
    <row r="3309" spans="1:2">
      <c r="A3309" s="387" t="s">
        <v>14186</v>
      </c>
      <c r="B3309" s="387" t="s">
        <v>14187</v>
      </c>
    </row>
    <row r="3310" spans="1:2">
      <c r="A3310" s="387" t="s">
        <v>14188</v>
      </c>
      <c r="B3310" s="387" t="s">
        <v>3476</v>
      </c>
    </row>
    <row r="3311" spans="1:2">
      <c r="A3311" s="387" t="s">
        <v>14189</v>
      </c>
      <c r="B3311" s="387" t="s">
        <v>1177</v>
      </c>
    </row>
    <row r="3312" spans="1:2">
      <c r="A3312" s="387" t="s">
        <v>14190</v>
      </c>
      <c r="B3312" s="387" t="s">
        <v>4625</v>
      </c>
    </row>
    <row r="3313" spans="1:2">
      <c r="A3313" s="387" t="s">
        <v>14191</v>
      </c>
      <c r="B3313" s="387" t="s">
        <v>1128</v>
      </c>
    </row>
    <row r="3314" spans="1:2">
      <c r="A3314" s="387" t="s">
        <v>14192</v>
      </c>
      <c r="B3314" s="387" t="s">
        <v>4845</v>
      </c>
    </row>
    <row r="3315" spans="1:2">
      <c r="A3315" s="387" t="s">
        <v>14193</v>
      </c>
      <c r="B3315" s="387" t="s">
        <v>4956</v>
      </c>
    </row>
    <row r="3316" spans="1:2">
      <c r="A3316" s="387" t="s">
        <v>14194</v>
      </c>
      <c r="B3316" s="387" t="s">
        <v>1128</v>
      </c>
    </row>
    <row r="3317" spans="1:2">
      <c r="A3317" s="387" t="s">
        <v>14195</v>
      </c>
      <c r="B3317" s="387" t="s">
        <v>3047</v>
      </c>
    </row>
    <row r="3318" spans="1:2">
      <c r="A3318" s="387" t="s">
        <v>14196</v>
      </c>
      <c r="B3318" s="387" t="s">
        <v>5184</v>
      </c>
    </row>
    <row r="3319" spans="1:2">
      <c r="A3319" s="387" t="s">
        <v>14197</v>
      </c>
      <c r="B3319" s="387" t="s">
        <v>1580</v>
      </c>
    </row>
    <row r="3320" spans="1:2">
      <c r="A3320" s="387" t="s">
        <v>14198</v>
      </c>
      <c r="B3320" s="387" t="s">
        <v>14199</v>
      </c>
    </row>
    <row r="3321" spans="1:2">
      <c r="A3321" s="387" t="s">
        <v>14200</v>
      </c>
      <c r="B3321" s="387" t="s">
        <v>5349</v>
      </c>
    </row>
    <row r="3322" spans="1:2">
      <c r="A3322" s="387" t="s">
        <v>14201</v>
      </c>
      <c r="B3322" s="387" t="s">
        <v>14202</v>
      </c>
    </row>
    <row r="3323" spans="1:2">
      <c r="A3323" s="387" t="s">
        <v>14203</v>
      </c>
      <c r="B3323" s="387" t="s">
        <v>5460</v>
      </c>
    </row>
    <row r="3324" spans="1:2">
      <c r="A3324" s="387" t="s">
        <v>14204</v>
      </c>
      <c r="B3324" s="387" t="s">
        <v>5541</v>
      </c>
    </row>
    <row r="3325" spans="1:2">
      <c r="A3325" s="387" t="s">
        <v>14205</v>
      </c>
      <c r="B3325" s="387" t="s">
        <v>6014</v>
      </c>
    </row>
    <row r="3326" spans="1:2">
      <c r="A3326" s="387" t="s">
        <v>14206</v>
      </c>
      <c r="B3326" s="387" t="s">
        <v>4615</v>
      </c>
    </row>
    <row r="3327" spans="1:2">
      <c r="A3327" s="387" t="s">
        <v>14207</v>
      </c>
      <c r="B3327" s="387" t="s">
        <v>14208</v>
      </c>
    </row>
    <row r="3328" spans="1:2">
      <c r="A3328" s="387" t="s">
        <v>14209</v>
      </c>
      <c r="B3328" s="387" t="s">
        <v>1997</v>
      </c>
    </row>
    <row r="3329" spans="1:2">
      <c r="A3329" s="387" t="s">
        <v>14210</v>
      </c>
      <c r="B3329" s="387" t="s">
        <v>14211</v>
      </c>
    </row>
    <row r="3330" spans="1:2">
      <c r="A3330" s="387" t="s">
        <v>737</v>
      </c>
      <c r="B3330" s="387" t="s">
        <v>738</v>
      </c>
    </row>
    <row r="3331" spans="1:2">
      <c r="A3331" s="387" t="s">
        <v>666</v>
      </c>
      <c r="B3331" s="387" t="s">
        <v>9729</v>
      </c>
    </row>
    <row r="3332" spans="1:2">
      <c r="A3332" s="387" t="s">
        <v>10071</v>
      </c>
      <c r="B3332" s="387" t="s">
        <v>14212</v>
      </c>
    </row>
    <row r="3333" spans="1:2">
      <c r="A3333" s="387" t="s">
        <v>180</v>
      </c>
      <c r="B3333" s="387" t="s">
        <v>1285</v>
      </c>
    </row>
    <row r="3334" spans="1:2">
      <c r="A3334" s="387" t="s">
        <v>679</v>
      </c>
      <c r="B3334" s="387" t="s">
        <v>1485</v>
      </c>
    </row>
    <row r="3335" spans="1:2">
      <c r="A3335" s="387" t="s">
        <v>14213</v>
      </c>
      <c r="B3335" s="387" t="s">
        <v>3259</v>
      </c>
    </row>
    <row r="3336" spans="1:2">
      <c r="A3336" s="387" t="s">
        <v>14214</v>
      </c>
      <c r="B3336" s="387" t="s">
        <v>3972</v>
      </c>
    </row>
    <row r="3337" spans="1:2">
      <c r="A3337" s="387" t="s">
        <v>14215</v>
      </c>
      <c r="B3337" s="387" t="s">
        <v>4660</v>
      </c>
    </row>
    <row r="3338" spans="1:2">
      <c r="A3338" s="387" t="s">
        <v>14216</v>
      </c>
      <c r="B3338" s="387" t="s">
        <v>6173</v>
      </c>
    </row>
    <row r="3339" spans="1:2">
      <c r="A3339" s="387" t="s">
        <v>14217</v>
      </c>
      <c r="B3339" s="387" t="s">
        <v>6427</v>
      </c>
    </row>
    <row r="3340" spans="1:2">
      <c r="A3340" s="387" t="s">
        <v>14218</v>
      </c>
      <c r="B3340" s="387" t="s">
        <v>6653</v>
      </c>
    </row>
    <row r="3341" spans="1:2">
      <c r="A3341" s="387" t="s">
        <v>14219</v>
      </c>
      <c r="B3341" s="387" t="s">
        <v>14220</v>
      </c>
    </row>
    <row r="3342" spans="1:2">
      <c r="A3342" s="387" t="s">
        <v>14221</v>
      </c>
      <c r="B3342" s="387" t="s">
        <v>6672</v>
      </c>
    </row>
    <row r="3343" spans="1:2">
      <c r="A3343" s="387" t="s">
        <v>680</v>
      </c>
      <c r="B3343" s="387" t="s">
        <v>7057</v>
      </c>
    </row>
    <row r="3344" spans="1:2">
      <c r="A3344" s="387" t="s">
        <v>14222</v>
      </c>
      <c r="B3344" s="387" t="s">
        <v>5850</v>
      </c>
    </row>
    <row r="3345" spans="1:2">
      <c r="A3345" s="387" t="s">
        <v>14223</v>
      </c>
      <c r="B3345" s="387" t="s">
        <v>1556</v>
      </c>
    </row>
    <row r="3346" spans="1:2">
      <c r="A3346" s="387" t="s">
        <v>14224</v>
      </c>
      <c r="B3346" s="387" t="s">
        <v>7088</v>
      </c>
    </row>
    <row r="3347" spans="1:2">
      <c r="A3347" s="387" t="s">
        <v>14225</v>
      </c>
      <c r="B3347" s="387" t="s">
        <v>14226</v>
      </c>
    </row>
    <row r="3348" spans="1:2">
      <c r="A3348" s="387" t="s">
        <v>14227</v>
      </c>
      <c r="B3348" s="387" t="s">
        <v>4790</v>
      </c>
    </row>
    <row r="3349" spans="1:2">
      <c r="A3349" s="387" t="s">
        <v>14228</v>
      </c>
      <c r="B3349" s="387" t="s">
        <v>7133</v>
      </c>
    </row>
    <row r="3350" spans="1:2">
      <c r="A3350" s="387" t="s">
        <v>14229</v>
      </c>
      <c r="B3350" s="387" t="s">
        <v>7136</v>
      </c>
    </row>
    <row r="3351" spans="1:2">
      <c r="A3351" s="387" t="s">
        <v>14230</v>
      </c>
      <c r="B3351" s="387" t="s">
        <v>1383</v>
      </c>
    </row>
    <row r="3352" spans="1:2">
      <c r="A3352" s="387" t="s">
        <v>14231</v>
      </c>
      <c r="B3352" s="387" t="s">
        <v>7246</v>
      </c>
    </row>
    <row r="3353" spans="1:2">
      <c r="A3353" s="387" t="s">
        <v>14232</v>
      </c>
      <c r="B3353" s="387" t="s">
        <v>7280</v>
      </c>
    </row>
    <row r="3354" spans="1:2">
      <c r="A3354" s="387" t="s">
        <v>14233</v>
      </c>
      <c r="B3354" s="387" t="s">
        <v>14234</v>
      </c>
    </row>
    <row r="3355" spans="1:2">
      <c r="A3355" s="387" t="s">
        <v>14235</v>
      </c>
      <c r="B3355" s="387" t="s">
        <v>3857</v>
      </c>
    </row>
    <row r="3356" spans="1:2">
      <c r="A3356" s="387" t="s">
        <v>14236</v>
      </c>
      <c r="B3356" s="387" t="s">
        <v>7663</v>
      </c>
    </row>
    <row r="3357" spans="1:2">
      <c r="A3357" s="387" t="s">
        <v>14237</v>
      </c>
      <c r="B3357" s="387" t="s">
        <v>7665</v>
      </c>
    </row>
    <row r="3358" spans="1:2">
      <c r="A3358" s="387" t="s">
        <v>14238</v>
      </c>
      <c r="B3358" s="387" t="s">
        <v>14239</v>
      </c>
    </row>
    <row r="3359" spans="1:2">
      <c r="A3359" s="387" t="s">
        <v>683</v>
      </c>
      <c r="B3359" s="387" t="s">
        <v>3857</v>
      </c>
    </row>
    <row r="3360" spans="1:2">
      <c r="A3360" s="387" t="s">
        <v>14240</v>
      </c>
      <c r="B3360" s="387" t="s">
        <v>14241</v>
      </c>
    </row>
    <row r="3361" spans="1:2">
      <c r="A3361" s="387" t="s">
        <v>14242</v>
      </c>
      <c r="B3361" s="387" t="s">
        <v>14243</v>
      </c>
    </row>
    <row r="3362" spans="1:2">
      <c r="A3362" s="387" t="s">
        <v>14244</v>
      </c>
      <c r="B3362" s="387" t="s">
        <v>8102</v>
      </c>
    </row>
    <row r="3363" spans="1:2">
      <c r="A3363" s="387" t="s">
        <v>14245</v>
      </c>
      <c r="B3363" s="387" t="s">
        <v>6910</v>
      </c>
    </row>
    <row r="3364" spans="1:2">
      <c r="A3364" s="387" t="s">
        <v>14246</v>
      </c>
      <c r="B3364" s="387" t="s">
        <v>14247</v>
      </c>
    </row>
    <row r="3365" spans="1:2">
      <c r="A3365" s="387" t="s">
        <v>14248</v>
      </c>
      <c r="B3365" s="387" t="s">
        <v>2984</v>
      </c>
    </row>
    <row r="3366" spans="1:2">
      <c r="A3366" s="387" t="s">
        <v>14249</v>
      </c>
      <c r="B3366" s="387" t="s">
        <v>8136</v>
      </c>
    </row>
    <row r="3367" spans="1:2">
      <c r="A3367" s="387" t="s">
        <v>14250</v>
      </c>
      <c r="B3367" s="387" t="s">
        <v>1542</v>
      </c>
    </row>
    <row r="3368" spans="1:2">
      <c r="A3368" s="387" t="s">
        <v>14251</v>
      </c>
      <c r="B3368" s="387" t="s">
        <v>14252</v>
      </c>
    </row>
    <row r="3369" spans="1:2">
      <c r="A3369" s="387" t="s">
        <v>14253</v>
      </c>
      <c r="B3369" s="387" t="s">
        <v>14254</v>
      </c>
    </row>
    <row r="3370" spans="1:2">
      <c r="A3370" s="387" t="s">
        <v>8401</v>
      </c>
      <c r="B3370" s="387" t="s">
        <v>9716</v>
      </c>
    </row>
    <row r="3371" spans="1:2">
      <c r="A3371" s="387" t="s">
        <v>14255</v>
      </c>
      <c r="B3371" s="387" t="s">
        <v>1780</v>
      </c>
    </row>
    <row r="3372" spans="1:2">
      <c r="A3372" s="387" t="s">
        <v>14256</v>
      </c>
      <c r="B3372" s="387" t="s">
        <v>3101</v>
      </c>
    </row>
    <row r="3373" spans="1:2">
      <c r="A3373" s="387" t="s">
        <v>14257</v>
      </c>
      <c r="B3373" s="387" t="s">
        <v>2229</v>
      </c>
    </row>
    <row r="3374" spans="1:2">
      <c r="A3374" s="387" t="s">
        <v>14258</v>
      </c>
      <c r="B3374" s="387" t="s">
        <v>7011</v>
      </c>
    </row>
    <row r="3375" spans="1:2">
      <c r="A3375" s="387" t="s">
        <v>14259</v>
      </c>
      <c r="B3375" s="387" t="s">
        <v>7061</v>
      </c>
    </row>
    <row r="3376" spans="1:2">
      <c r="A3376" s="387" t="s">
        <v>14260</v>
      </c>
      <c r="B3376" s="387" t="s">
        <v>7063</v>
      </c>
    </row>
    <row r="3377" spans="1:2">
      <c r="A3377" s="387" t="s">
        <v>14261</v>
      </c>
      <c r="B3377" s="387" t="s">
        <v>7083</v>
      </c>
    </row>
    <row r="3378" spans="1:2">
      <c r="A3378" s="387" t="s">
        <v>14262</v>
      </c>
      <c r="B3378" s="387" t="s">
        <v>7115</v>
      </c>
    </row>
    <row r="3379" spans="1:2">
      <c r="A3379" s="387" t="s">
        <v>14263</v>
      </c>
      <c r="B3379" s="387" t="s">
        <v>7138</v>
      </c>
    </row>
    <row r="3380" spans="1:2">
      <c r="A3380" s="387" t="s">
        <v>14264</v>
      </c>
      <c r="B3380" s="387" t="s">
        <v>14265</v>
      </c>
    </row>
    <row r="3381" spans="1:2">
      <c r="A3381" s="387" t="s">
        <v>14266</v>
      </c>
      <c r="B3381" s="387" t="s">
        <v>1175</v>
      </c>
    </row>
    <row r="3382" spans="1:2">
      <c r="A3382" s="387" t="s">
        <v>14267</v>
      </c>
      <c r="B3382" s="387" t="s">
        <v>1473</v>
      </c>
    </row>
    <row r="3383" spans="1:2">
      <c r="A3383" s="387" t="s">
        <v>14268</v>
      </c>
      <c r="B3383" s="387" t="s">
        <v>7312</v>
      </c>
    </row>
    <row r="3384" spans="1:2">
      <c r="A3384" s="387" t="s">
        <v>14269</v>
      </c>
      <c r="B3384" s="387" t="s">
        <v>7499</v>
      </c>
    </row>
    <row r="3385" spans="1:2">
      <c r="A3385" s="387" t="s">
        <v>14270</v>
      </c>
      <c r="B3385" s="387" t="s">
        <v>14271</v>
      </c>
    </row>
    <row r="3386" spans="1:2">
      <c r="A3386" s="387" t="s">
        <v>14272</v>
      </c>
      <c r="B3386" s="387" t="s">
        <v>14273</v>
      </c>
    </row>
    <row r="3387" spans="1:2">
      <c r="A3387" s="387" t="s">
        <v>14274</v>
      </c>
      <c r="B3387" s="387" t="s">
        <v>14275</v>
      </c>
    </row>
    <row r="3388" spans="1:2">
      <c r="A3388" s="387" t="s">
        <v>14276</v>
      </c>
      <c r="B3388" s="387" t="s">
        <v>14277</v>
      </c>
    </row>
    <row r="3389" spans="1:2">
      <c r="A3389" s="387" t="s">
        <v>14278</v>
      </c>
      <c r="B3389" s="387" t="s">
        <v>14279</v>
      </c>
    </row>
    <row r="3390" spans="1:2">
      <c r="A3390" s="387" t="s">
        <v>14280</v>
      </c>
      <c r="B3390" s="387" t="s">
        <v>14281</v>
      </c>
    </row>
    <row r="3391" spans="1:2">
      <c r="A3391" s="387" t="s">
        <v>14282</v>
      </c>
      <c r="B3391" s="387" t="s">
        <v>14283</v>
      </c>
    </row>
    <row r="3392" spans="1:2">
      <c r="A3392" s="387" t="s">
        <v>14284</v>
      </c>
      <c r="B3392" s="387" t="s">
        <v>5822</v>
      </c>
    </row>
    <row r="3393" spans="1:2">
      <c r="A3393" s="387" t="s">
        <v>14285</v>
      </c>
      <c r="B3393" s="387" t="s">
        <v>14286</v>
      </c>
    </row>
    <row r="3394" spans="1:2">
      <c r="A3394" s="387" t="s">
        <v>14287</v>
      </c>
      <c r="B3394" s="387" t="s">
        <v>7721</v>
      </c>
    </row>
    <row r="3395" spans="1:2">
      <c r="A3395" s="387" t="s">
        <v>14288</v>
      </c>
      <c r="B3395" s="387" t="s">
        <v>4500</v>
      </c>
    </row>
    <row r="3396" spans="1:2">
      <c r="A3396" s="387" t="s">
        <v>14289</v>
      </c>
      <c r="B3396" s="387" t="s">
        <v>14290</v>
      </c>
    </row>
    <row r="3397" spans="1:2">
      <c r="A3397" s="387" t="s">
        <v>14291</v>
      </c>
      <c r="B3397" s="387" t="s">
        <v>3392</v>
      </c>
    </row>
    <row r="3398" spans="1:2">
      <c r="A3398" s="387" t="s">
        <v>679</v>
      </c>
      <c r="B3398" s="387" t="s">
        <v>1485</v>
      </c>
    </row>
    <row r="3399" spans="1:2">
      <c r="A3399" s="387" t="s">
        <v>14292</v>
      </c>
      <c r="B3399" s="387" t="s">
        <v>2256</v>
      </c>
    </row>
    <row r="3400" spans="1:2">
      <c r="A3400" s="387" t="s">
        <v>682</v>
      </c>
      <c r="B3400" s="387" t="s">
        <v>2229</v>
      </c>
    </row>
    <row r="3401" spans="1:2">
      <c r="A3401" s="387" t="s">
        <v>14293</v>
      </c>
      <c r="B3401" s="387" t="s">
        <v>1765</v>
      </c>
    </row>
    <row r="3402" spans="1:2">
      <c r="A3402" s="387" t="s">
        <v>14294</v>
      </c>
      <c r="B3402" s="387" t="s">
        <v>1798</v>
      </c>
    </row>
    <row r="3403" spans="1:2">
      <c r="A3403" s="387" t="s">
        <v>14295</v>
      </c>
      <c r="B3403" s="387" t="s">
        <v>7008</v>
      </c>
    </row>
    <row r="3404" spans="1:2">
      <c r="A3404" s="387" t="s">
        <v>14296</v>
      </c>
      <c r="B3404" s="387" t="s">
        <v>14297</v>
      </c>
    </row>
    <row r="3405" spans="1:2">
      <c r="A3405" s="387" t="s">
        <v>679</v>
      </c>
      <c r="B3405" s="387" t="s">
        <v>1485</v>
      </c>
    </row>
    <row r="3406" spans="1:2">
      <c r="A3406" s="387" t="s">
        <v>681</v>
      </c>
      <c r="B3406" s="387" t="s">
        <v>1582</v>
      </c>
    </row>
    <row r="3407" spans="1:2">
      <c r="A3407" s="387" t="s">
        <v>14298</v>
      </c>
      <c r="B3407" s="387" t="s">
        <v>4003</v>
      </c>
    </row>
    <row r="3408" spans="1:2">
      <c r="A3408" s="387" t="s">
        <v>678</v>
      </c>
      <c r="B3408" s="387" t="s">
        <v>7059</v>
      </c>
    </row>
    <row r="3409" spans="1:2">
      <c r="A3409" s="387" t="s">
        <v>14299</v>
      </c>
      <c r="B3409" s="387" t="s">
        <v>1526</v>
      </c>
    </row>
    <row r="3410" spans="1:2">
      <c r="A3410" s="387" t="s">
        <v>14298</v>
      </c>
      <c r="B3410" s="387" t="s">
        <v>4003</v>
      </c>
    </row>
    <row r="3411" spans="1:2">
      <c r="A3411" s="387" t="s">
        <v>14300</v>
      </c>
      <c r="B3411" s="387" t="s">
        <v>1131</v>
      </c>
    </row>
    <row r="3412" spans="1:2">
      <c r="A3412" s="387" t="s">
        <v>14301</v>
      </c>
      <c r="B3412" s="387" t="s">
        <v>14302</v>
      </c>
    </row>
    <row r="3413" spans="1:2">
      <c r="A3413" s="387" t="s">
        <v>14303</v>
      </c>
      <c r="B3413" s="387" t="s">
        <v>6704</v>
      </c>
    </row>
    <row r="3414" spans="1:2">
      <c r="A3414" s="387" t="s">
        <v>14304</v>
      </c>
      <c r="B3414" s="387" t="s">
        <v>1344</v>
      </c>
    </row>
    <row r="3415" spans="1:2">
      <c r="A3415" s="387" t="s">
        <v>14305</v>
      </c>
      <c r="B3415" s="387" t="s">
        <v>14306</v>
      </c>
    </row>
    <row r="3416" spans="1:2">
      <c r="A3416" s="387" t="s">
        <v>14307</v>
      </c>
      <c r="B3416" s="387" t="s">
        <v>14308</v>
      </c>
    </row>
    <row r="3417" spans="1:2">
      <c r="A3417" s="387" t="s">
        <v>14309</v>
      </c>
      <c r="B3417" s="387" t="s">
        <v>14310</v>
      </c>
    </row>
    <row r="3418" spans="1:2">
      <c r="A3418" s="387" t="s">
        <v>14311</v>
      </c>
      <c r="B3418" s="387" t="s">
        <v>4684</v>
      </c>
    </row>
    <row r="3419" spans="1:2">
      <c r="A3419" s="387" t="s">
        <v>14312</v>
      </c>
      <c r="B3419" s="387" t="s">
        <v>7751</v>
      </c>
    </row>
    <row r="3420" spans="1:2">
      <c r="A3420" s="387" t="s">
        <v>14313</v>
      </c>
      <c r="B3420" s="387" t="s">
        <v>1383</v>
      </c>
    </row>
    <row r="3421" spans="1:2">
      <c r="A3421" s="387" t="s">
        <v>679</v>
      </c>
      <c r="B3421" s="387" t="s">
        <v>1485</v>
      </c>
    </row>
    <row r="3422" spans="1:2">
      <c r="A3422" s="387" t="s">
        <v>14298</v>
      </c>
      <c r="B3422" s="387" t="s">
        <v>4003</v>
      </c>
    </row>
    <row r="3423" spans="1:2">
      <c r="A3423" s="387" t="s">
        <v>14314</v>
      </c>
      <c r="B3423" s="387" t="s">
        <v>7394</v>
      </c>
    </row>
    <row r="3424" spans="1:2">
      <c r="A3424" s="387" t="s">
        <v>14315</v>
      </c>
      <c r="B3424" s="387" t="s">
        <v>6670</v>
      </c>
    </row>
    <row r="3425" spans="1:2">
      <c r="A3425" s="387" t="s">
        <v>7817</v>
      </c>
      <c r="B3425" s="387" t="s">
        <v>1072</v>
      </c>
    </row>
    <row r="3426" spans="1:2">
      <c r="A3426" s="387" t="s">
        <v>180</v>
      </c>
      <c r="B3426" s="387" t="s">
        <v>1285</v>
      </c>
    </row>
    <row r="3427" spans="1:2">
      <c r="A3427" s="387" t="s">
        <v>679</v>
      </c>
      <c r="B3427" s="387" t="s">
        <v>1485</v>
      </c>
    </row>
    <row r="3428" spans="1:2">
      <c r="A3428" s="387" t="s">
        <v>670</v>
      </c>
      <c r="B3428" s="387" t="s">
        <v>1714</v>
      </c>
    </row>
    <row r="3429" spans="1:2">
      <c r="A3429" s="387" t="s">
        <v>14316</v>
      </c>
      <c r="B3429" s="387" t="s">
        <v>14317</v>
      </c>
    </row>
    <row r="3430" spans="1:2">
      <c r="A3430" s="387" t="s">
        <v>14318</v>
      </c>
      <c r="B3430" s="387" t="s">
        <v>2377</v>
      </c>
    </row>
    <row r="3431" spans="1:2">
      <c r="A3431" s="387" t="s">
        <v>14319</v>
      </c>
      <c r="B3431" s="387" t="s">
        <v>2582</v>
      </c>
    </row>
    <row r="3432" spans="1:2">
      <c r="A3432" s="387" t="s">
        <v>14320</v>
      </c>
      <c r="B3432" s="387" t="s">
        <v>3336</v>
      </c>
    </row>
    <row r="3433" spans="1:2">
      <c r="A3433" s="387" t="s">
        <v>14321</v>
      </c>
      <c r="B3433" s="387" t="s">
        <v>3418</v>
      </c>
    </row>
    <row r="3434" spans="1:2">
      <c r="A3434" s="387" t="s">
        <v>14322</v>
      </c>
      <c r="B3434" s="387" t="s">
        <v>14323</v>
      </c>
    </row>
    <row r="3435" spans="1:2">
      <c r="A3435" s="387" t="s">
        <v>14324</v>
      </c>
      <c r="B3435" s="387" t="s">
        <v>1719</v>
      </c>
    </row>
    <row r="3436" spans="1:2">
      <c r="A3436" s="387" t="s">
        <v>14325</v>
      </c>
      <c r="B3436" s="387" t="s">
        <v>1309</v>
      </c>
    </row>
    <row r="3437" spans="1:2">
      <c r="A3437" s="387" t="s">
        <v>14326</v>
      </c>
      <c r="B3437" s="387" t="s">
        <v>2090</v>
      </c>
    </row>
    <row r="3438" spans="1:2">
      <c r="A3438" s="387" t="s">
        <v>14327</v>
      </c>
      <c r="B3438" s="387" t="s">
        <v>5602</v>
      </c>
    </row>
    <row r="3439" spans="1:2">
      <c r="A3439" s="387" t="s">
        <v>14328</v>
      </c>
      <c r="B3439" s="387" t="s">
        <v>9716</v>
      </c>
    </row>
    <row r="3440" spans="1:2">
      <c r="A3440" s="387" t="s">
        <v>14329</v>
      </c>
      <c r="B3440" s="387" t="s">
        <v>6092</v>
      </c>
    </row>
    <row r="3441" spans="1:2">
      <c r="A3441" s="387" t="s">
        <v>14330</v>
      </c>
      <c r="B3441" s="387" t="s">
        <v>6257</v>
      </c>
    </row>
    <row r="3442" spans="1:2">
      <c r="A3442" s="387" t="s">
        <v>830</v>
      </c>
      <c r="B3442" s="387" t="s">
        <v>4160</v>
      </c>
    </row>
    <row r="3443" spans="1:2">
      <c r="A3443" s="387" t="s">
        <v>14331</v>
      </c>
      <c r="B3443" s="387" t="s">
        <v>4632</v>
      </c>
    </row>
    <row r="3444" spans="1:2">
      <c r="A3444" s="387" t="s">
        <v>14332</v>
      </c>
      <c r="B3444" s="387" t="s">
        <v>5453</v>
      </c>
    </row>
    <row r="3445" spans="1:2">
      <c r="A3445" s="387" t="s">
        <v>14333</v>
      </c>
      <c r="B3445" s="387" t="s">
        <v>6590</v>
      </c>
    </row>
    <row r="3446" spans="1:2">
      <c r="A3446" s="387" t="s">
        <v>831</v>
      </c>
      <c r="B3446" s="387" t="s">
        <v>6511</v>
      </c>
    </row>
    <row r="3447" spans="1:2">
      <c r="A3447" s="387" t="s">
        <v>14334</v>
      </c>
      <c r="B3447" s="387" t="s">
        <v>6610</v>
      </c>
    </row>
    <row r="3448" spans="1:2">
      <c r="A3448" s="387" t="s">
        <v>14335</v>
      </c>
      <c r="B3448" s="387" t="s">
        <v>2831</v>
      </c>
    </row>
    <row r="3449" spans="1:2">
      <c r="A3449" s="387" t="s">
        <v>14336</v>
      </c>
      <c r="B3449" s="387" t="s">
        <v>4196</v>
      </c>
    </row>
    <row r="3450" spans="1:2">
      <c r="A3450" s="387" t="s">
        <v>668</v>
      </c>
      <c r="B3450" s="387" t="s">
        <v>6740</v>
      </c>
    </row>
    <row r="3451" spans="1:2">
      <c r="A3451" s="387" t="s">
        <v>14337</v>
      </c>
      <c r="B3451" s="387" t="s">
        <v>6742</v>
      </c>
    </row>
    <row r="3452" spans="1:2">
      <c r="A3452" s="387" t="s">
        <v>14338</v>
      </c>
      <c r="B3452" s="387" t="s">
        <v>14339</v>
      </c>
    </row>
    <row r="3453" spans="1:2">
      <c r="A3453" s="387" t="s">
        <v>14340</v>
      </c>
      <c r="B3453" s="387" t="s">
        <v>1830</v>
      </c>
    </row>
    <row r="3454" spans="1:2">
      <c r="A3454" s="387" t="s">
        <v>14341</v>
      </c>
      <c r="B3454" s="387" t="s">
        <v>14342</v>
      </c>
    </row>
    <row r="3455" spans="1:2">
      <c r="A3455" s="387" t="s">
        <v>14343</v>
      </c>
      <c r="B3455" s="387" t="s">
        <v>14344</v>
      </c>
    </row>
    <row r="3456" spans="1:2">
      <c r="A3456" s="387" t="s">
        <v>14345</v>
      </c>
      <c r="B3456" s="387" t="s">
        <v>3197</v>
      </c>
    </row>
    <row r="3457" spans="1:2">
      <c r="A3457" s="387" t="s">
        <v>14346</v>
      </c>
      <c r="B3457" s="387" t="s">
        <v>7551</v>
      </c>
    </row>
    <row r="3458" spans="1:2">
      <c r="A3458" s="387" t="s">
        <v>14347</v>
      </c>
      <c r="B3458" s="387" t="s">
        <v>4118</v>
      </c>
    </row>
    <row r="3459" spans="1:2">
      <c r="A3459" s="387" t="s">
        <v>14348</v>
      </c>
      <c r="B3459" s="387" t="s">
        <v>14349</v>
      </c>
    </row>
    <row r="3460" spans="1:2">
      <c r="A3460" s="387" t="s">
        <v>14350</v>
      </c>
      <c r="B3460" s="387" t="s">
        <v>14351</v>
      </c>
    </row>
    <row r="3461" spans="1:2">
      <c r="A3461" s="387" t="s">
        <v>14352</v>
      </c>
      <c r="B3461" s="387" t="s">
        <v>7559</v>
      </c>
    </row>
    <row r="3462" spans="1:2">
      <c r="A3462" s="387" t="s">
        <v>14353</v>
      </c>
      <c r="B3462" s="387" t="s">
        <v>14354</v>
      </c>
    </row>
    <row r="3463" spans="1:2">
      <c r="A3463" s="387" t="s">
        <v>14355</v>
      </c>
      <c r="B3463" s="387" t="s">
        <v>14356</v>
      </c>
    </row>
    <row r="3464" spans="1:2">
      <c r="A3464" s="387" t="s">
        <v>14357</v>
      </c>
      <c r="B3464" s="387" t="s">
        <v>14358</v>
      </c>
    </row>
    <row r="3465" spans="1:2">
      <c r="A3465" s="387" t="s">
        <v>14359</v>
      </c>
      <c r="B3465" s="387" t="s">
        <v>6511</v>
      </c>
    </row>
    <row r="3466" spans="1:2">
      <c r="A3466" s="387" t="s">
        <v>14360</v>
      </c>
      <c r="B3466" s="387" t="s">
        <v>14361</v>
      </c>
    </row>
    <row r="3467" spans="1:2">
      <c r="A3467" s="387" t="s">
        <v>14362</v>
      </c>
      <c r="B3467" s="387" t="s">
        <v>1615</v>
      </c>
    </row>
    <row r="3468" spans="1:2">
      <c r="A3468" s="387" t="s">
        <v>14363</v>
      </c>
      <c r="B3468" s="387" t="s">
        <v>14364</v>
      </c>
    </row>
    <row r="3469" spans="1:2">
      <c r="A3469" s="387" t="s">
        <v>14365</v>
      </c>
      <c r="B3469" s="387" t="s">
        <v>7629</v>
      </c>
    </row>
    <row r="3470" spans="1:2">
      <c r="A3470" s="387" t="s">
        <v>14366</v>
      </c>
      <c r="B3470" s="387" t="s">
        <v>14367</v>
      </c>
    </row>
    <row r="3471" spans="1:2">
      <c r="A3471" s="387" t="s">
        <v>14368</v>
      </c>
      <c r="B3471" s="387" t="s">
        <v>14369</v>
      </c>
    </row>
    <row r="3472" spans="1:2">
      <c r="A3472" s="387" t="s">
        <v>14370</v>
      </c>
      <c r="B3472" s="387" t="s">
        <v>14371</v>
      </c>
    </row>
    <row r="3473" spans="1:2">
      <c r="A3473" s="387" t="s">
        <v>14372</v>
      </c>
      <c r="B3473" s="387" t="s">
        <v>1128</v>
      </c>
    </row>
    <row r="3474" spans="1:2">
      <c r="A3474" s="387" t="s">
        <v>14373</v>
      </c>
      <c r="B3474" s="387" t="s">
        <v>14374</v>
      </c>
    </row>
    <row r="3475" spans="1:2">
      <c r="A3475" s="387" t="s">
        <v>14375</v>
      </c>
      <c r="B3475" s="387" t="s">
        <v>14376</v>
      </c>
    </row>
    <row r="3476" spans="1:2">
      <c r="A3476" s="387" t="s">
        <v>14377</v>
      </c>
      <c r="B3476" s="387" t="s">
        <v>5537</v>
      </c>
    </row>
    <row r="3477" spans="1:2">
      <c r="A3477" s="387" t="s">
        <v>14378</v>
      </c>
      <c r="B3477" s="387" t="s">
        <v>8528</v>
      </c>
    </row>
    <row r="3478" spans="1:2">
      <c r="A3478" s="387" t="s">
        <v>14379</v>
      </c>
      <c r="B3478" s="387" t="s">
        <v>14380</v>
      </c>
    </row>
    <row r="3479" spans="1:2">
      <c r="A3479" s="387" t="s">
        <v>14381</v>
      </c>
      <c r="B3479" s="387" t="s">
        <v>2680</v>
      </c>
    </row>
    <row r="3480" spans="1:2">
      <c r="A3480" s="387" t="s">
        <v>14382</v>
      </c>
      <c r="B3480" s="387" t="s">
        <v>14383</v>
      </c>
    </row>
    <row r="3481" spans="1:2">
      <c r="A3481" s="387" t="s">
        <v>14384</v>
      </c>
      <c r="B3481" s="387" t="s">
        <v>14385</v>
      </c>
    </row>
    <row r="3482" spans="1:2">
      <c r="A3482" s="387" t="s">
        <v>14386</v>
      </c>
      <c r="B3482" s="387" t="s">
        <v>2871</v>
      </c>
    </row>
    <row r="3483" spans="1:2">
      <c r="A3483" s="387" t="s">
        <v>14387</v>
      </c>
      <c r="B3483" s="387" t="s">
        <v>14388</v>
      </c>
    </row>
    <row r="3484" spans="1:2">
      <c r="A3484" s="387" t="s">
        <v>14389</v>
      </c>
      <c r="B3484" s="387" t="s">
        <v>1350</v>
      </c>
    </row>
    <row r="3485" spans="1:2">
      <c r="A3485" s="387" t="s">
        <v>14390</v>
      </c>
      <c r="B3485" s="387" t="s">
        <v>14391</v>
      </c>
    </row>
    <row r="3486" spans="1:2">
      <c r="A3486" s="387" t="s">
        <v>14392</v>
      </c>
      <c r="B3486" s="387" t="s">
        <v>14393</v>
      </c>
    </row>
    <row r="3487" spans="1:2">
      <c r="A3487" s="387" t="s">
        <v>14394</v>
      </c>
      <c r="B3487" s="387" t="s">
        <v>14395</v>
      </c>
    </row>
    <row r="3488" spans="1:2">
      <c r="A3488" s="387" t="s">
        <v>14396</v>
      </c>
      <c r="B3488" s="387" t="s">
        <v>14397</v>
      </c>
    </row>
    <row r="3489" spans="1:2">
      <c r="A3489" s="387" t="s">
        <v>14398</v>
      </c>
      <c r="B3489" s="387" t="s">
        <v>14399</v>
      </c>
    </row>
    <row r="3490" spans="1:2">
      <c r="A3490" s="387" t="s">
        <v>14400</v>
      </c>
      <c r="B3490" s="387" t="s">
        <v>2248</v>
      </c>
    </row>
    <row r="3491" spans="1:2">
      <c r="A3491" s="387" t="s">
        <v>14401</v>
      </c>
      <c r="B3491" s="387" t="s">
        <v>14402</v>
      </c>
    </row>
    <row r="3492" spans="1:2">
      <c r="A3492" s="387" t="s">
        <v>14403</v>
      </c>
      <c r="B3492" s="387" t="s">
        <v>4684</v>
      </c>
    </row>
    <row r="3493" spans="1:2">
      <c r="A3493" s="387" t="s">
        <v>14404</v>
      </c>
      <c r="B3493" s="387" t="s">
        <v>1302</v>
      </c>
    </row>
    <row r="3494" spans="1:2">
      <c r="A3494" s="387" t="s">
        <v>14405</v>
      </c>
      <c r="B3494" s="387" t="s">
        <v>2110</v>
      </c>
    </row>
    <row r="3495" spans="1:2">
      <c r="A3495" s="387" t="s">
        <v>14406</v>
      </c>
      <c r="B3495" s="387" t="s">
        <v>4757</v>
      </c>
    </row>
    <row r="3496" spans="1:2">
      <c r="A3496" s="387" t="s">
        <v>14407</v>
      </c>
      <c r="B3496" s="387" t="s">
        <v>7768</v>
      </c>
    </row>
    <row r="3497" spans="1:2">
      <c r="A3497" s="387" t="s">
        <v>14408</v>
      </c>
      <c r="B3497" s="387" t="s">
        <v>7889</v>
      </c>
    </row>
    <row r="3498" spans="1:2">
      <c r="A3498" s="387" t="s">
        <v>14409</v>
      </c>
      <c r="B3498" s="387" t="s">
        <v>14410</v>
      </c>
    </row>
    <row r="3499" spans="1:2">
      <c r="A3499" s="387" t="s">
        <v>14411</v>
      </c>
      <c r="B3499" s="387" t="s">
        <v>5257</v>
      </c>
    </row>
    <row r="3500" spans="1:2">
      <c r="A3500" s="387" t="s">
        <v>14412</v>
      </c>
      <c r="B3500" s="387" t="s">
        <v>14413</v>
      </c>
    </row>
    <row r="3501" spans="1:2">
      <c r="A3501" s="387" t="s">
        <v>14414</v>
      </c>
      <c r="B3501" s="387" t="s">
        <v>14415</v>
      </c>
    </row>
    <row r="3502" spans="1:2">
      <c r="A3502" s="387" t="s">
        <v>14416</v>
      </c>
      <c r="B3502" s="387" t="s">
        <v>14417</v>
      </c>
    </row>
    <row r="3503" spans="1:2">
      <c r="A3503" s="387" t="s">
        <v>14418</v>
      </c>
      <c r="B3503" s="387" t="s">
        <v>8048</v>
      </c>
    </row>
    <row r="3504" spans="1:2">
      <c r="A3504" s="387" t="s">
        <v>14419</v>
      </c>
      <c r="B3504" s="387" t="s">
        <v>14420</v>
      </c>
    </row>
    <row r="3505" spans="1:2">
      <c r="A3505" s="387" t="s">
        <v>14421</v>
      </c>
      <c r="B3505" s="387" t="s">
        <v>14422</v>
      </c>
    </row>
    <row r="3506" spans="1:2">
      <c r="A3506" s="387" t="s">
        <v>14423</v>
      </c>
      <c r="B3506" s="387" t="s">
        <v>4496</v>
      </c>
    </row>
    <row r="3507" spans="1:2">
      <c r="A3507" s="387" t="s">
        <v>14424</v>
      </c>
      <c r="B3507" s="387" t="s">
        <v>14425</v>
      </c>
    </row>
    <row r="3508" spans="1:2">
      <c r="A3508" s="387" t="s">
        <v>14426</v>
      </c>
      <c r="B3508" s="387" t="s">
        <v>2645</v>
      </c>
    </row>
    <row r="3509" spans="1:2">
      <c r="A3509" s="387" t="s">
        <v>14427</v>
      </c>
      <c r="B3509" s="387" t="s">
        <v>5014</v>
      </c>
    </row>
    <row r="3510" spans="1:2">
      <c r="A3510" s="387" t="s">
        <v>10071</v>
      </c>
      <c r="B3510" s="387" t="s">
        <v>14212</v>
      </c>
    </row>
    <row r="3511" spans="1:2">
      <c r="A3511" s="387" t="s">
        <v>14428</v>
      </c>
      <c r="B3511" s="387" t="s">
        <v>8199</v>
      </c>
    </row>
    <row r="3512" spans="1:2">
      <c r="A3512" s="387" t="s">
        <v>180</v>
      </c>
      <c r="B3512" s="387" t="s">
        <v>1285</v>
      </c>
    </row>
    <row r="3513" spans="1:2">
      <c r="A3513" s="387" t="s">
        <v>14429</v>
      </c>
      <c r="B3513" s="387" t="s">
        <v>8201</v>
      </c>
    </row>
    <row r="3514" spans="1:2">
      <c r="A3514" s="387" t="s">
        <v>693</v>
      </c>
      <c r="B3514" s="387" t="s">
        <v>913</v>
      </c>
    </row>
    <row r="3515" spans="1:2">
      <c r="A3515" s="387" t="s">
        <v>14430</v>
      </c>
      <c r="B3515" s="387" t="s">
        <v>1128</v>
      </c>
    </row>
    <row r="3516" spans="1:2">
      <c r="A3516" s="387" t="s">
        <v>14431</v>
      </c>
      <c r="B3516" s="387" t="s">
        <v>14432</v>
      </c>
    </row>
    <row r="3517" spans="1:2">
      <c r="A3517" s="387" t="s">
        <v>14433</v>
      </c>
      <c r="B3517" s="387" t="s">
        <v>2986</v>
      </c>
    </row>
    <row r="3518" spans="1:2">
      <c r="A3518" s="387" t="s">
        <v>14434</v>
      </c>
      <c r="B3518" s="387" t="s">
        <v>6717</v>
      </c>
    </row>
    <row r="3519" spans="1:2">
      <c r="A3519" s="387" t="s">
        <v>14435</v>
      </c>
      <c r="B3519" s="387" t="s">
        <v>14436</v>
      </c>
    </row>
    <row r="3520" spans="1:2">
      <c r="A3520" s="387" t="s">
        <v>14437</v>
      </c>
      <c r="B3520" s="387" t="s">
        <v>2627</v>
      </c>
    </row>
    <row r="3521" spans="1:2">
      <c r="A3521" s="387" t="s">
        <v>14438</v>
      </c>
      <c r="B3521" s="387" t="s">
        <v>7073</v>
      </c>
    </row>
    <row r="3522" spans="1:2">
      <c r="A3522" s="387" t="s">
        <v>14439</v>
      </c>
      <c r="B3522" s="387" t="s">
        <v>7118</v>
      </c>
    </row>
    <row r="3523" spans="1:2">
      <c r="A3523" s="387" t="s">
        <v>14440</v>
      </c>
      <c r="B3523" s="387" t="s">
        <v>7175</v>
      </c>
    </row>
    <row r="3524" spans="1:2">
      <c r="A3524" s="387" t="s">
        <v>14441</v>
      </c>
      <c r="B3524" s="387" t="s">
        <v>7179</v>
      </c>
    </row>
    <row r="3525" spans="1:2">
      <c r="A3525" s="387" t="s">
        <v>14442</v>
      </c>
      <c r="B3525" s="387" t="s">
        <v>7266</v>
      </c>
    </row>
    <row r="3526" spans="1:2">
      <c r="A3526" s="387" t="s">
        <v>14443</v>
      </c>
      <c r="B3526" s="387" t="s">
        <v>14444</v>
      </c>
    </row>
    <row r="3527" spans="1:2">
      <c r="A3527" s="387" t="s">
        <v>14445</v>
      </c>
      <c r="B3527" s="387" t="s">
        <v>14446</v>
      </c>
    </row>
    <row r="3528" spans="1:2">
      <c r="A3528" s="387" t="s">
        <v>14447</v>
      </c>
      <c r="B3528" s="387" t="s">
        <v>1309</v>
      </c>
    </row>
    <row r="3529" spans="1:2">
      <c r="A3529" s="387" t="s">
        <v>14448</v>
      </c>
      <c r="B3529" s="387" t="s">
        <v>14449</v>
      </c>
    </row>
    <row r="3530" spans="1:2">
      <c r="A3530" s="387" t="s">
        <v>14450</v>
      </c>
      <c r="B3530" s="387" t="s">
        <v>14451</v>
      </c>
    </row>
    <row r="3531" spans="1:2">
      <c r="A3531" s="387" t="s">
        <v>14452</v>
      </c>
      <c r="B3531" s="387" t="s">
        <v>14453</v>
      </c>
    </row>
    <row r="3532" spans="1:2">
      <c r="A3532" s="387" t="s">
        <v>14454</v>
      </c>
      <c r="B3532" s="387" t="s">
        <v>14455</v>
      </c>
    </row>
    <row r="3533" spans="1:2">
      <c r="A3533" s="387" t="s">
        <v>14456</v>
      </c>
      <c r="B3533" s="387" t="s">
        <v>14457</v>
      </c>
    </row>
    <row r="3534" spans="1:2">
      <c r="A3534" s="387" t="s">
        <v>14458</v>
      </c>
      <c r="B3534" s="387" t="s">
        <v>14459</v>
      </c>
    </row>
    <row r="3535" spans="1:2">
      <c r="A3535" s="387" t="s">
        <v>14460</v>
      </c>
      <c r="B3535" s="387" t="s">
        <v>14461</v>
      </c>
    </row>
    <row r="3536" spans="1:2">
      <c r="A3536" s="387" t="s">
        <v>14462</v>
      </c>
      <c r="B3536" s="387" t="s">
        <v>1580</v>
      </c>
    </row>
    <row r="3537" spans="1:2">
      <c r="A3537" s="387" t="s">
        <v>14463</v>
      </c>
      <c r="B3537" s="387" t="s">
        <v>14464</v>
      </c>
    </row>
    <row r="3538" spans="1:2">
      <c r="A3538" s="387" t="s">
        <v>14465</v>
      </c>
      <c r="B3538" s="387" t="s">
        <v>3553</v>
      </c>
    </row>
    <row r="3539" spans="1:2">
      <c r="A3539" s="387" t="s">
        <v>14466</v>
      </c>
      <c r="B3539" s="387" t="s">
        <v>13770</v>
      </c>
    </row>
    <row r="3540" spans="1:2">
      <c r="A3540" s="387" t="s">
        <v>14467</v>
      </c>
      <c r="B3540" s="387" t="s">
        <v>14468</v>
      </c>
    </row>
    <row r="3541" spans="1:2">
      <c r="A3541" s="387" t="s">
        <v>14469</v>
      </c>
      <c r="B3541" s="387" t="s">
        <v>8134</v>
      </c>
    </row>
    <row r="3542" spans="1:2">
      <c r="A3542" s="387" t="s">
        <v>14470</v>
      </c>
      <c r="B3542" s="387" t="s">
        <v>8199</v>
      </c>
    </row>
    <row r="3543" spans="1:2">
      <c r="A3543" s="387" t="s">
        <v>14471</v>
      </c>
      <c r="B3543" s="387" t="s">
        <v>8205</v>
      </c>
    </row>
    <row r="3544" spans="1:2">
      <c r="A3544" s="387" t="s">
        <v>14472</v>
      </c>
      <c r="B3544" s="387" t="s">
        <v>8207</v>
      </c>
    </row>
    <row r="3545" spans="1:2">
      <c r="A3545" s="387" t="s">
        <v>14473</v>
      </c>
      <c r="B3545" s="387" t="s">
        <v>14474</v>
      </c>
    </row>
    <row r="3546" spans="1:2">
      <c r="A3546" s="387" t="s">
        <v>14475</v>
      </c>
      <c r="B3546" s="387" t="s">
        <v>14476</v>
      </c>
    </row>
    <row r="3547" spans="1:2">
      <c r="A3547" s="387" t="s">
        <v>14477</v>
      </c>
      <c r="B3547" s="387" t="s">
        <v>7907</v>
      </c>
    </row>
    <row r="3548" spans="1:2">
      <c r="A3548" s="387" t="s">
        <v>14478</v>
      </c>
      <c r="B3548" s="387" t="s">
        <v>14479</v>
      </c>
    </row>
    <row r="3549" spans="1:2">
      <c r="A3549" s="387" t="s">
        <v>14480</v>
      </c>
      <c r="B3549" s="387" t="s">
        <v>1070</v>
      </c>
    </row>
    <row r="3550" spans="1:2">
      <c r="A3550" s="387" t="s">
        <v>14481</v>
      </c>
      <c r="B3550" s="387" t="s">
        <v>14482</v>
      </c>
    </row>
    <row r="3551" spans="1:2">
      <c r="A3551" s="387" t="s">
        <v>14483</v>
      </c>
      <c r="B3551" s="387" t="s">
        <v>990</v>
      </c>
    </row>
    <row r="3552" spans="1:2">
      <c r="A3552" s="387" t="s">
        <v>14484</v>
      </c>
      <c r="B3552" s="387" t="s">
        <v>14485</v>
      </c>
    </row>
    <row r="3553" spans="1:2">
      <c r="A3553" s="387" t="s">
        <v>14486</v>
      </c>
      <c r="B3553" s="387" t="s">
        <v>14487</v>
      </c>
    </row>
    <row r="3554" spans="1:2">
      <c r="A3554" s="387" t="s">
        <v>14488</v>
      </c>
      <c r="B3554" s="387" t="s">
        <v>14489</v>
      </c>
    </row>
    <row r="3555" spans="1:2">
      <c r="A3555" s="387" t="s">
        <v>14490</v>
      </c>
      <c r="B3555" s="387" t="s">
        <v>14491</v>
      </c>
    </row>
    <row r="3556" spans="1:2">
      <c r="A3556" s="387" t="s">
        <v>14492</v>
      </c>
      <c r="B3556" s="387" t="s">
        <v>14493</v>
      </c>
    </row>
    <row r="3557" spans="1:2">
      <c r="A3557" s="387" t="s">
        <v>14494</v>
      </c>
      <c r="B3557" s="387" t="s">
        <v>4634</v>
      </c>
    </row>
    <row r="3558" spans="1:2">
      <c r="A3558" s="387" t="s">
        <v>14495</v>
      </c>
      <c r="B3558" s="387" t="s">
        <v>8528</v>
      </c>
    </row>
    <row r="3559" spans="1:2">
      <c r="A3559" s="387" t="s">
        <v>14496</v>
      </c>
      <c r="B3559" s="387" t="s">
        <v>8536</v>
      </c>
    </row>
    <row r="3560" spans="1:2">
      <c r="A3560" s="387" t="s">
        <v>14497</v>
      </c>
      <c r="B3560" s="387" t="s">
        <v>8593</v>
      </c>
    </row>
    <row r="3561" spans="1:2">
      <c r="A3561" s="387" t="s">
        <v>14498</v>
      </c>
      <c r="B3561" s="387" t="s">
        <v>8611</v>
      </c>
    </row>
    <row r="3562" spans="1:2">
      <c r="A3562" s="387" t="s">
        <v>14499</v>
      </c>
      <c r="B3562" s="387" t="s">
        <v>12976</v>
      </c>
    </row>
    <row r="3563" spans="1:2">
      <c r="A3563" s="387" t="s">
        <v>14500</v>
      </c>
      <c r="B3563" s="387" t="s">
        <v>6017</v>
      </c>
    </row>
    <row r="3564" spans="1:2">
      <c r="A3564" s="387" t="s">
        <v>8681</v>
      </c>
      <c r="B3564" s="387" t="s">
        <v>9707</v>
      </c>
    </row>
    <row r="3565" spans="1:2">
      <c r="A3565" s="387" t="s">
        <v>14501</v>
      </c>
      <c r="B3565" s="387" t="s">
        <v>14502</v>
      </c>
    </row>
    <row r="3566" spans="1:2">
      <c r="A3566" s="387" t="s">
        <v>14503</v>
      </c>
      <c r="B3566" s="387" t="s">
        <v>14504</v>
      </c>
    </row>
    <row r="3567" spans="1:2">
      <c r="A3567" s="387" t="s">
        <v>693</v>
      </c>
      <c r="B3567" s="387" t="s">
        <v>913</v>
      </c>
    </row>
    <row r="3568" spans="1:2">
      <c r="A3568" s="387" t="s">
        <v>14505</v>
      </c>
      <c r="B3568" s="387" t="s">
        <v>1910</v>
      </c>
    </row>
    <row r="3569" spans="1:2">
      <c r="A3569" s="387" t="s">
        <v>14506</v>
      </c>
      <c r="B3569" s="387" t="s">
        <v>2821</v>
      </c>
    </row>
    <row r="3570" spans="1:2">
      <c r="A3570" s="387" t="s">
        <v>14507</v>
      </c>
      <c r="B3570" s="387" t="s">
        <v>2903</v>
      </c>
    </row>
    <row r="3571" spans="1:2">
      <c r="A3571" s="387" t="s">
        <v>14508</v>
      </c>
      <c r="B3571" s="387" t="s">
        <v>3006</v>
      </c>
    </row>
    <row r="3572" spans="1:2">
      <c r="A3572" s="387" t="s">
        <v>14509</v>
      </c>
      <c r="B3572" s="387" t="s">
        <v>1818</v>
      </c>
    </row>
    <row r="3573" spans="1:2">
      <c r="A3573" s="387" t="s">
        <v>14510</v>
      </c>
      <c r="B3573" s="387" t="s">
        <v>3730</v>
      </c>
    </row>
    <row r="3574" spans="1:2">
      <c r="A3574" s="387" t="s">
        <v>14511</v>
      </c>
      <c r="B3574" s="387" t="s">
        <v>14512</v>
      </c>
    </row>
    <row r="3575" spans="1:2">
      <c r="A3575" s="387" t="s">
        <v>14513</v>
      </c>
      <c r="B3575" s="387" t="s">
        <v>14514</v>
      </c>
    </row>
    <row r="3576" spans="1:2">
      <c r="A3576" s="387" t="s">
        <v>7973</v>
      </c>
      <c r="B3576" s="387" t="s">
        <v>4694</v>
      </c>
    </row>
    <row r="3577" spans="1:2">
      <c r="A3577" s="387" t="s">
        <v>14515</v>
      </c>
      <c r="B3577" s="387" t="s">
        <v>3214</v>
      </c>
    </row>
    <row r="3578" spans="1:2">
      <c r="A3578" s="387" t="s">
        <v>14516</v>
      </c>
      <c r="B3578" s="387" t="s">
        <v>1356</v>
      </c>
    </row>
    <row r="3579" spans="1:2">
      <c r="A3579" s="387" t="s">
        <v>14517</v>
      </c>
      <c r="B3579" s="387" t="s">
        <v>2072</v>
      </c>
    </row>
    <row r="3580" spans="1:2">
      <c r="A3580" s="387" t="s">
        <v>14518</v>
      </c>
      <c r="B3580" s="387" t="s">
        <v>5998</v>
      </c>
    </row>
    <row r="3581" spans="1:2">
      <c r="A3581" s="387" t="s">
        <v>14519</v>
      </c>
      <c r="B3581" s="387" t="s">
        <v>6397</v>
      </c>
    </row>
    <row r="3582" spans="1:2">
      <c r="A3582" s="387" t="s">
        <v>14520</v>
      </c>
      <c r="B3582" s="387" t="s">
        <v>6410</v>
      </c>
    </row>
    <row r="3583" spans="1:2">
      <c r="A3583" s="387" t="s">
        <v>14521</v>
      </c>
      <c r="B3583" s="387" t="s">
        <v>6684</v>
      </c>
    </row>
    <row r="3584" spans="1:2">
      <c r="A3584" s="387" t="s">
        <v>14522</v>
      </c>
      <c r="B3584" s="387" t="s">
        <v>6686</v>
      </c>
    </row>
    <row r="3585" spans="1:2">
      <c r="A3585" s="387" t="s">
        <v>14523</v>
      </c>
      <c r="B3585" s="387" t="s">
        <v>14524</v>
      </c>
    </row>
    <row r="3586" spans="1:2">
      <c r="A3586" s="387" t="s">
        <v>14525</v>
      </c>
      <c r="B3586" s="387" t="s">
        <v>6689</v>
      </c>
    </row>
    <row r="3587" spans="1:2">
      <c r="A3587" s="387" t="s">
        <v>14526</v>
      </c>
      <c r="B3587" s="387" t="s">
        <v>6693</v>
      </c>
    </row>
    <row r="3588" spans="1:2">
      <c r="A3588" s="387" t="s">
        <v>14527</v>
      </c>
      <c r="B3588" s="387" t="s">
        <v>6695</v>
      </c>
    </row>
    <row r="3589" spans="1:2">
      <c r="A3589" s="387" t="s">
        <v>14528</v>
      </c>
      <c r="B3589" s="387" t="s">
        <v>6697</v>
      </c>
    </row>
    <row r="3590" spans="1:2">
      <c r="A3590" s="387" t="s">
        <v>14529</v>
      </c>
      <c r="B3590" s="387" t="s">
        <v>1198</v>
      </c>
    </row>
    <row r="3591" spans="1:2">
      <c r="A3591" s="387" t="s">
        <v>14530</v>
      </c>
      <c r="B3591" s="387" t="s">
        <v>2547</v>
      </c>
    </row>
    <row r="3592" spans="1:2">
      <c r="A3592" s="387" t="s">
        <v>14531</v>
      </c>
      <c r="B3592" s="387" t="s">
        <v>14532</v>
      </c>
    </row>
    <row r="3593" spans="1:2">
      <c r="A3593" s="387" t="s">
        <v>14533</v>
      </c>
      <c r="B3593" s="387" t="s">
        <v>14534</v>
      </c>
    </row>
    <row r="3594" spans="1:2">
      <c r="A3594" s="387" t="s">
        <v>14535</v>
      </c>
      <c r="B3594" s="387" t="s">
        <v>14536</v>
      </c>
    </row>
    <row r="3595" spans="1:2">
      <c r="A3595" s="387" t="s">
        <v>14537</v>
      </c>
      <c r="B3595" s="387" t="s">
        <v>14538</v>
      </c>
    </row>
    <row r="3596" spans="1:2">
      <c r="A3596" s="387" t="s">
        <v>14539</v>
      </c>
      <c r="B3596" s="387" t="s">
        <v>7086</v>
      </c>
    </row>
    <row r="3597" spans="1:2">
      <c r="A3597" s="387" t="s">
        <v>14540</v>
      </c>
      <c r="B3597" s="387" t="s">
        <v>14541</v>
      </c>
    </row>
    <row r="3598" spans="1:2">
      <c r="A3598" s="387" t="s">
        <v>14542</v>
      </c>
      <c r="B3598" s="387" t="s">
        <v>1374</v>
      </c>
    </row>
    <row r="3599" spans="1:2">
      <c r="A3599" s="387" t="s">
        <v>14543</v>
      </c>
      <c r="B3599" s="387" t="s">
        <v>7177</v>
      </c>
    </row>
    <row r="3600" spans="1:2">
      <c r="A3600" s="387" t="s">
        <v>14544</v>
      </c>
      <c r="B3600" s="387" t="s">
        <v>7181</v>
      </c>
    </row>
    <row r="3601" spans="1:2">
      <c r="A3601" s="387" t="s">
        <v>14545</v>
      </c>
      <c r="B3601" s="387" t="s">
        <v>14546</v>
      </c>
    </row>
    <row r="3602" spans="1:2">
      <c r="A3602" s="387" t="s">
        <v>14547</v>
      </c>
      <c r="B3602" s="387" t="s">
        <v>7198</v>
      </c>
    </row>
    <row r="3603" spans="1:2">
      <c r="A3603" s="387" t="s">
        <v>14548</v>
      </c>
      <c r="B3603" s="387" t="s">
        <v>7268</v>
      </c>
    </row>
    <row r="3604" spans="1:2">
      <c r="A3604" s="387" t="s">
        <v>14549</v>
      </c>
      <c r="B3604" s="387" t="s">
        <v>7314</v>
      </c>
    </row>
    <row r="3605" spans="1:2">
      <c r="A3605" s="387" t="s">
        <v>14550</v>
      </c>
      <c r="B3605" s="387" t="s">
        <v>14551</v>
      </c>
    </row>
    <row r="3606" spans="1:2">
      <c r="A3606" s="387" t="s">
        <v>14552</v>
      </c>
      <c r="B3606" s="387" t="s">
        <v>14553</v>
      </c>
    </row>
    <row r="3607" spans="1:2">
      <c r="A3607" s="387" t="s">
        <v>14554</v>
      </c>
      <c r="B3607" s="387" t="s">
        <v>14555</v>
      </c>
    </row>
    <row r="3608" spans="1:2">
      <c r="A3608" s="387" t="s">
        <v>14556</v>
      </c>
      <c r="B3608" s="387" t="s">
        <v>7501</v>
      </c>
    </row>
    <row r="3609" spans="1:2">
      <c r="A3609" s="387" t="s">
        <v>14557</v>
      </c>
      <c r="B3609" s="387" t="s">
        <v>14558</v>
      </c>
    </row>
    <row r="3610" spans="1:2">
      <c r="A3610" s="387" t="s">
        <v>14559</v>
      </c>
      <c r="B3610" s="387" t="s">
        <v>14560</v>
      </c>
    </row>
    <row r="3611" spans="1:2">
      <c r="A3611" s="387" t="s">
        <v>14561</v>
      </c>
      <c r="B3611" s="387" t="s">
        <v>14562</v>
      </c>
    </row>
    <row r="3612" spans="1:2">
      <c r="A3612" s="387" t="s">
        <v>14563</v>
      </c>
      <c r="B3612" s="387" t="s">
        <v>14564</v>
      </c>
    </row>
    <row r="3613" spans="1:2">
      <c r="A3613" s="387" t="s">
        <v>14565</v>
      </c>
      <c r="B3613" s="387" t="s">
        <v>14566</v>
      </c>
    </row>
    <row r="3614" spans="1:2">
      <c r="A3614" s="387" t="s">
        <v>14567</v>
      </c>
      <c r="B3614" s="387" t="s">
        <v>14568</v>
      </c>
    </row>
    <row r="3615" spans="1:2">
      <c r="A3615" s="387" t="s">
        <v>14569</v>
      </c>
      <c r="B3615" s="387" t="s">
        <v>14570</v>
      </c>
    </row>
    <row r="3616" spans="1:2">
      <c r="A3616" s="387" t="s">
        <v>14571</v>
      </c>
      <c r="B3616" s="387" t="s">
        <v>7620</v>
      </c>
    </row>
    <row r="3617" spans="1:2">
      <c r="A3617" s="387" t="s">
        <v>14572</v>
      </c>
      <c r="B3617" s="387" t="s">
        <v>2248</v>
      </c>
    </row>
    <row r="3618" spans="1:2">
      <c r="A3618" s="387" t="s">
        <v>14573</v>
      </c>
      <c r="B3618" s="387" t="s">
        <v>14574</v>
      </c>
    </row>
    <row r="3619" spans="1:2">
      <c r="A3619" s="387" t="s">
        <v>14575</v>
      </c>
      <c r="B3619" s="387" t="s">
        <v>7753</v>
      </c>
    </row>
    <row r="3620" spans="1:2">
      <c r="A3620" s="387" t="s">
        <v>14576</v>
      </c>
      <c r="B3620" s="387" t="s">
        <v>7770</v>
      </c>
    </row>
    <row r="3621" spans="1:2">
      <c r="A3621" s="387" t="s">
        <v>693</v>
      </c>
      <c r="B3621" s="387" t="s">
        <v>913</v>
      </c>
    </row>
    <row r="3622" spans="1:2">
      <c r="A3622" s="387" t="s">
        <v>14577</v>
      </c>
      <c r="B3622" s="387" t="s">
        <v>1213</v>
      </c>
    </row>
    <row r="3623" spans="1:2">
      <c r="A3623" s="387" t="s">
        <v>14578</v>
      </c>
      <c r="B3623" s="387" t="s">
        <v>1414</v>
      </c>
    </row>
    <row r="3624" spans="1:2">
      <c r="A3624" s="387" t="s">
        <v>14579</v>
      </c>
      <c r="B3624" s="387" t="s">
        <v>3031</v>
      </c>
    </row>
    <row r="3625" spans="1:2">
      <c r="A3625" s="387" t="s">
        <v>691</v>
      </c>
      <c r="B3625" s="387" t="s">
        <v>4142</v>
      </c>
    </row>
    <row r="3626" spans="1:2">
      <c r="A3626" s="387" t="s">
        <v>14580</v>
      </c>
      <c r="B3626" s="387" t="s">
        <v>5101</v>
      </c>
    </row>
    <row r="3627" spans="1:2">
      <c r="A3627" s="387" t="s">
        <v>690</v>
      </c>
      <c r="B3627" s="387" t="s">
        <v>6014</v>
      </c>
    </row>
    <row r="3628" spans="1:2">
      <c r="A3628" s="387" t="s">
        <v>7798</v>
      </c>
      <c r="B3628" s="387" t="s">
        <v>6691</v>
      </c>
    </row>
    <row r="3629" spans="1:2">
      <c r="A3629" s="387" t="s">
        <v>14581</v>
      </c>
      <c r="B3629" s="387" t="s">
        <v>14582</v>
      </c>
    </row>
    <row r="3630" spans="1:2">
      <c r="A3630" s="387" t="s">
        <v>14583</v>
      </c>
      <c r="B3630" s="387" t="s">
        <v>1500</v>
      </c>
    </row>
    <row r="3631" spans="1:2">
      <c r="A3631" s="387" t="s">
        <v>14584</v>
      </c>
      <c r="B3631" s="387" t="s">
        <v>14585</v>
      </c>
    </row>
    <row r="3632" spans="1:2">
      <c r="A3632" s="387" t="s">
        <v>693</v>
      </c>
      <c r="B3632" s="387" t="s">
        <v>913</v>
      </c>
    </row>
    <row r="3633" spans="1:2">
      <c r="A3633" s="387" t="s">
        <v>14586</v>
      </c>
      <c r="B3633" s="387" t="s">
        <v>9694</v>
      </c>
    </row>
    <row r="3634" spans="1:2">
      <c r="A3634" s="387" t="s">
        <v>692</v>
      </c>
      <c r="B3634" s="387" t="s">
        <v>7146</v>
      </c>
    </row>
    <row r="3635" spans="1:2">
      <c r="A3635" s="387" t="s">
        <v>693</v>
      </c>
      <c r="B3635" s="387" t="s">
        <v>913</v>
      </c>
    </row>
    <row r="3636" spans="1:2">
      <c r="A3636" s="387" t="s">
        <v>14587</v>
      </c>
      <c r="B3636" s="387" t="s">
        <v>1321</v>
      </c>
    </row>
    <row r="3637" spans="1:2">
      <c r="A3637" s="387" t="s">
        <v>14588</v>
      </c>
      <c r="B3637" s="387" t="s">
        <v>2742</v>
      </c>
    </row>
    <row r="3638" spans="1:2">
      <c r="A3638" s="387" t="s">
        <v>14589</v>
      </c>
      <c r="B3638" s="387" t="s">
        <v>1852</v>
      </c>
    </row>
    <row r="3639" spans="1:2">
      <c r="A3639" s="387" t="s">
        <v>14590</v>
      </c>
      <c r="B3639" s="387" t="s">
        <v>14591</v>
      </c>
    </row>
    <row r="3640" spans="1:2">
      <c r="A3640" s="387" t="s">
        <v>693</v>
      </c>
      <c r="B3640" s="387" t="s">
        <v>913</v>
      </c>
    </row>
    <row r="3641" spans="1:2">
      <c r="A3641" s="387" t="s">
        <v>14592</v>
      </c>
      <c r="B3641" s="387" t="s">
        <v>14593</v>
      </c>
    </row>
    <row r="3642" spans="1:2">
      <c r="A3642" s="387" t="s">
        <v>180</v>
      </c>
      <c r="B3642" s="387" t="s">
        <v>1285</v>
      </c>
    </row>
    <row r="3643" spans="1:2">
      <c r="A3643" s="387" t="s">
        <v>7817</v>
      </c>
      <c r="B3643" s="387" t="s">
        <v>1072</v>
      </c>
    </row>
    <row r="3644" spans="1:2">
      <c r="A3644" s="387" t="s">
        <v>813</v>
      </c>
      <c r="B3644" s="387" t="s">
        <v>3985</v>
      </c>
    </row>
    <row r="3645" spans="1:2">
      <c r="A3645" s="387" t="s">
        <v>14594</v>
      </c>
      <c r="B3645" s="387" t="s">
        <v>6601</v>
      </c>
    </row>
    <row r="3646" spans="1:2">
      <c r="A3646" s="387" t="s">
        <v>14595</v>
      </c>
      <c r="B3646" s="387" t="s">
        <v>6968</v>
      </c>
    </row>
    <row r="3647" spans="1:2">
      <c r="A3647" s="387" t="s">
        <v>14596</v>
      </c>
      <c r="B3647" s="387" t="s">
        <v>7077</v>
      </c>
    </row>
    <row r="3648" spans="1:2">
      <c r="A3648" s="387" t="s">
        <v>14597</v>
      </c>
      <c r="B3648" s="387" t="s">
        <v>14598</v>
      </c>
    </row>
    <row r="3649" spans="1:2">
      <c r="A3649" s="387" t="s">
        <v>14599</v>
      </c>
      <c r="B3649" s="387" t="s">
        <v>2430</v>
      </c>
    </row>
    <row r="3650" spans="1:2">
      <c r="A3650" s="387" t="s">
        <v>14600</v>
      </c>
      <c r="B3650" s="387" t="s">
        <v>14601</v>
      </c>
    </row>
    <row r="3651" spans="1:2">
      <c r="A3651" s="387" t="s">
        <v>14602</v>
      </c>
      <c r="B3651" s="387" t="s">
        <v>14603</v>
      </c>
    </row>
    <row r="3652" spans="1:2">
      <c r="A3652" s="387" t="s">
        <v>14604</v>
      </c>
      <c r="B3652" s="387" t="s">
        <v>7244</v>
      </c>
    </row>
    <row r="3653" spans="1:2">
      <c r="A3653" s="387" t="s">
        <v>14605</v>
      </c>
      <c r="B3653" s="387" t="s">
        <v>7323</v>
      </c>
    </row>
    <row r="3654" spans="1:2">
      <c r="A3654" s="387" t="s">
        <v>14606</v>
      </c>
      <c r="B3654" s="387" t="s">
        <v>4118</v>
      </c>
    </row>
    <row r="3655" spans="1:2">
      <c r="A3655" s="387" t="s">
        <v>14607</v>
      </c>
      <c r="B3655" s="387" t="s">
        <v>2761</v>
      </c>
    </row>
    <row r="3656" spans="1:2">
      <c r="A3656" s="387" t="s">
        <v>14608</v>
      </c>
      <c r="B3656" s="387" t="s">
        <v>7361</v>
      </c>
    </row>
    <row r="3657" spans="1:2">
      <c r="A3657" s="387" t="s">
        <v>14609</v>
      </c>
      <c r="B3657" s="387" t="s">
        <v>2839</v>
      </c>
    </row>
    <row r="3658" spans="1:2">
      <c r="A3658" s="387" t="s">
        <v>14610</v>
      </c>
      <c r="B3658" s="387" t="s">
        <v>14611</v>
      </c>
    </row>
    <row r="3659" spans="1:2">
      <c r="A3659" s="387" t="s">
        <v>14612</v>
      </c>
      <c r="B3659" s="387" t="s">
        <v>14613</v>
      </c>
    </row>
    <row r="3660" spans="1:2">
      <c r="A3660" s="387" t="s">
        <v>14614</v>
      </c>
      <c r="B3660" s="387" t="s">
        <v>14615</v>
      </c>
    </row>
    <row r="3661" spans="1:2">
      <c r="A3661" s="387" t="s">
        <v>14616</v>
      </c>
      <c r="B3661" s="387" t="s">
        <v>1671</v>
      </c>
    </row>
    <row r="3662" spans="1:2">
      <c r="A3662" s="387" t="s">
        <v>14617</v>
      </c>
      <c r="B3662" s="387" t="s">
        <v>14618</v>
      </c>
    </row>
    <row r="3663" spans="1:2">
      <c r="A3663" s="387" t="s">
        <v>14619</v>
      </c>
      <c r="B3663" s="387" t="s">
        <v>14620</v>
      </c>
    </row>
    <row r="3664" spans="1:2">
      <c r="A3664" s="387" t="s">
        <v>14621</v>
      </c>
      <c r="B3664" s="387" t="s">
        <v>3730</v>
      </c>
    </row>
    <row r="3665" spans="1:2">
      <c r="A3665" s="387" t="s">
        <v>14622</v>
      </c>
      <c r="B3665" s="387" t="s">
        <v>14546</v>
      </c>
    </row>
    <row r="3666" spans="1:2">
      <c r="A3666" s="387" t="s">
        <v>14623</v>
      </c>
      <c r="B3666" s="387" t="s">
        <v>14624</v>
      </c>
    </row>
    <row r="3667" spans="1:2">
      <c r="A3667" s="387" t="s">
        <v>14625</v>
      </c>
      <c r="B3667" s="387" t="s">
        <v>14626</v>
      </c>
    </row>
    <row r="3668" spans="1:2">
      <c r="A3668" s="387" t="s">
        <v>14627</v>
      </c>
      <c r="B3668" s="387" t="s">
        <v>8073</v>
      </c>
    </row>
    <row r="3669" spans="1:2">
      <c r="A3669" s="387" t="s">
        <v>14628</v>
      </c>
      <c r="B3669" s="387" t="s">
        <v>14629</v>
      </c>
    </row>
    <row r="3670" spans="1:2">
      <c r="A3670" s="387" t="s">
        <v>14630</v>
      </c>
      <c r="B3670" s="387" t="s">
        <v>8083</v>
      </c>
    </row>
    <row r="3671" spans="1:2">
      <c r="A3671" s="387" t="s">
        <v>14631</v>
      </c>
      <c r="B3671" s="387" t="s">
        <v>6505</v>
      </c>
    </row>
    <row r="3672" spans="1:2">
      <c r="A3672" s="387" t="s">
        <v>14632</v>
      </c>
      <c r="B3672" s="387" t="s">
        <v>14633</v>
      </c>
    </row>
    <row r="3673" spans="1:2">
      <c r="A3673" s="387" t="s">
        <v>14634</v>
      </c>
      <c r="B3673" s="387" t="s">
        <v>1381</v>
      </c>
    </row>
    <row r="3674" spans="1:2">
      <c r="A3674" s="387" t="s">
        <v>14635</v>
      </c>
      <c r="B3674" s="387" t="s">
        <v>14636</v>
      </c>
    </row>
    <row r="3675" spans="1:2">
      <c r="A3675" s="387" t="s">
        <v>14637</v>
      </c>
      <c r="B3675" s="387" t="s">
        <v>14638</v>
      </c>
    </row>
    <row r="3676" spans="1:2">
      <c r="A3676" s="387" t="s">
        <v>14639</v>
      </c>
      <c r="B3676" s="387" t="s">
        <v>14640</v>
      </c>
    </row>
    <row r="3677" spans="1:2">
      <c r="A3677" s="387" t="s">
        <v>14641</v>
      </c>
      <c r="B3677" s="387" t="s">
        <v>14642</v>
      </c>
    </row>
    <row r="3678" spans="1:2">
      <c r="A3678" s="387" t="s">
        <v>14643</v>
      </c>
      <c r="B3678" s="387" t="s">
        <v>14644</v>
      </c>
    </row>
    <row r="3679" spans="1:2">
      <c r="A3679" s="387" t="s">
        <v>14645</v>
      </c>
      <c r="B3679" s="387" t="s">
        <v>14646</v>
      </c>
    </row>
    <row r="3680" spans="1:2">
      <c r="A3680" s="387" t="s">
        <v>14647</v>
      </c>
      <c r="B3680" s="387" t="s">
        <v>8298</v>
      </c>
    </row>
    <row r="3681" spans="1:2">
      <c r="A3681" s="387" t="s">
        <v>14648</v>
      </c>
      <c r="B3681" s="387" t="s">
        <v>14649</v>
      </c>
    </row>
    <row r="3682" spans="1:2">
      <c r="A3682" s="387" t="s">
        <v>14650</v>
      </c>
      <c r="B3682" s="387" t="s">
        <v>14651</v>
      </c>
    </row>
    <row r="3683" spans="1:2">
      <c r="A3683" s="387" t="s">
        <v>14652</v>
      </c>
      <c r="B3683" s="387" t="s">
        <v>14653</v>
      </c>
    </row>
    <row r="3684" spans="1:2">
      <c r="A3684" s="387" t="s">
        <v>14654</v>
      </c>
      <c r="B3684" s="387" t="s">
        <v>2790</v>
      </c>
    </row>
    <row r="3685" spans="1:2">
      <c r="A3685" s="387" t="s">
        <v>14655</v>
      </c>
      <c r="B3685" s="387" t="s">
        <v>2173</v>
      </c>
    </row>
    <row r="3686" spans="1:2">
      <c r="A3686" s="387" t="s">
        <v>14656</v>
      </c>
      <c r="B3686" s="387" t="s">
        <v>14657</v>
      </c>
    </row>
    <row r="3687" spans="1:2">
      <c r="A3687" s="387" t="s">
        <v>7817</v>
      </c>
      <c r="B3687" s="387" t="s">
        <v>1072</v>
      </c>
    </row>
    <row r="3688" spans="1:2">
      <c r="A3688" s="387" t="s">
        <v>14658</v>
      </c>
      <c r="B3688" s="387" t="s">
        <v>1977</v>
      </c>
    </row>
    <row r="3689" spans="1:2">
      <c r="A3689" s="387" t="s">
        <v>14659</v>
      </c>
      <c r="B3689" s="387" t="s">
        <v>2053</v>
      </c>
    </row>
    <row r="3690" spans="1:2">
      <c r="A3690" s="387" t="s">
        <v>14660</v>
      </c>
      <c r="B3690" s="387" t="s">
        <v>2837</v>
      </c>
    </row>
    <row r="3691" spans="1:2">
      <c r="A3691" s="387" t="s">
        <v>14661</v>
      </c>
      <c r="B3691" s="387" t="s">
        <v>3197</v>
      </c>
    </row>
    <row r="3692" spans="1:2">
      <c r="A3692" s="387" t="s">
        <v>14662</v>
      </c>
      <c r="B3692" s="387" t="s">
        <v>14663</v>
      </c>
    </row>
    <row r="3693" spans="1:2">
      <c r="A3693" s="387" t="s">
        <v>14664</v>
      </c>
      <c r="B3693" s="387" t="s">
        <v>14665</v>
      </c>
    </row>
    <row r="3694" spans="1:2">
      <c r="A3694" s="387" t="s">
        <v>14666</v>
      </c>
      <c r="B3694" s="387" t="s">
        <v>4634</v>
      </c>
    </row>
    <row r="3695" spans="1:2">
      <c r="A3695" s="387" t="s">
        <v>14667</v>
      </c>
      <c r="B3695" s="387" t="s">
        <v>6748</v>
      </c>
    </row>
    <row r="3696" spans="1:2">
      <c r="A3696" s="387" t="s">
        <v>14668</v>
      </c>
      <c r="B3696" s="387" t="s">
        <v>4056</v>
      </c>
    </row>
    <row r="3697" spans="1:2">
      <c r="A3697" s="387" t="s">
        <v>14669</v>
      </c>
      <c r="B3697" s="387" t="s">
        <v>6941</v>
      </c>
    </row>
    <row r="3698" spans="1:2">
      <c r="A3698" s="387" t="s">
        <v>14670</v>
      </c>
      <c r="B3698" s="387" t="s">
        <v>6945</v>
      </c>
    </row>
    <row r="3699" spans="1:2">
      <c r="A3699" s="387" t="s">
        <v>14671</v>
      </c>
      <c r="B3699" s="387" t="s">
        <v>14672</v>
      </c>
    </row>
    <row r="3700" spans="1:2">
      <c r="A3700" s="387" t="s">
        <v>14673</v>
      </c>
      <c r="B3700" s="387" t="s">
        <v>6991</v>
      </c>
    </row>
    <row r="3701" spans="1:2">
      <c r="A3701" s="387" t="s">
        <v>14674</v>
      </c>
      <c r="B3701" s="387" t="s">
        <v>6993</v>
      </c>
    </row>
    <row r="3702" spans="1:2">
      <c r="A3702" s="387" t="s">
        <v>14675</v>
      </c>
      <c r="B3702" s="387" t="s">
        <v>1719</v>
      </c>
    </row>
    <row r="3703" spans="1:2">
      <c r="A3703" s="387" t="s">
        <v>14676</v>
      </c>
      <c r="B3703" s="387" t="s">
        <v>14677</v>
      </c>
    </row>
    <row r="3704" spans="1:2">
      <c r="A3704" s="387" t="s">
        <v>14678</v>
      </c>
      <c r="B3704" s="387" t="s">
        <v>14679</v>
      </c>
    </row>
    <row r="3705" spans="1:2">
      <c r="A3705" s="387" t="s">
        <v>14680</v>
      </c>
      <c r="B3705" s="387" t="s">
        <v>14681</v>
      </c>
    </row>
    <row r="3706" spans="1:2">
      <c r="A3706" s="387" t="s">
        <v>14682</v>
      </c>
      <c r="B3706" s="387" t="s">
        <v>14683</v>
      </c>
    </row>
    <row r="3707" spans="1:2">
      <c r="A3707" s="387" t="s">
        <v>14684</v>
      </c>
      <c r="B3707" s="387" t="s">
        <v>14685</v>
      </c>
    </row>
    <row r="3708" spans="1:2">
      <c r="A3708" s="387" t="s">
        <v>14686</v>
      </c>
      <c r="B3708" s="387" t="s">
        <v>2647</v>
      </c>
    </row>
    <row r="3709" spans="1:2">
      <c r="A3709" s="387" t="s">
        <v>14687</v>
      </c>
      <c r="B3709" s="387" t="s">
        <v>1812</v>
      </c>
    </row>
    <row r="3710" spans="1:2">
      <c r="A3710" s="387" t="s">
        <v>14688</v>
      </c>
      <c r="B3710" s="387" t="s">
        <v>14689</v>
      </c>
    </row>
    <row r="3711" spans="1:2">
      <c r="A3711" s="387" t="s">
        <v>14690</v>
      </c>
      <c r="B3711" s="387" t="s">
        <v>7299</v>
      </c>
    </row>
    <row r="3712" spans="1:2">
      <c r="A3712" s="387" t="s">
        <v>14691</v>
      </c>
      <c r="B3712" s="387" t="s">
        <v>1452</v>
      </c>
    </row>
    <row r="3713" spans="1:2">
      <c r="A3713" s="387" t="s">
        <v>14692</v>
      </c>
      <c r="B3713" s="387" t="s">
        <v>7508</v>
      </c>
    </row>
    <row r="3714" spans="1:2">
      <c r="A3714" s="387" t="s">
        <v>14693</v>
      </c>
      <c r="B3714" s="387" t="s">
        <v>7510</v>
      </c>
    </row>
    <row r="3715" spans="1:2">
      <c r="A3715" s="387" t="s">
        <v>14694</v>
      </c>
      <c r="B3715" s="387" t="s">
        <v>7549</v>
      </c>
    </row>
    <row r="3716" spans="1:2">
      <c r="A3716" s="387" t="s">
        <v>14695</v>
      </c>
      <c r="B3716" s="387" t="s">
        <v>14696</v>
      </c>
    </row>
    <row r="3717" spans="1:2">
      <c r="A3717" s="387" t="s">
        <v>14697</v>
      </c>
      <c r="B3717" s="387" t="s">
        <v>14698</v>
      </c>
    </row>
    <row r="3718" spans="1:2">
      <c r="A3718" s="387" t="s">
        <v>14699</v>
      </c>
      <c r="B3718" s="387" t="s">
        <v>3197</v>
      </c>
    </row>
    <row r="3719" spans="1:2">
      <c r="A3719" s="387" t="s">
        <v>7817</v>
      </c>
      <c r="B3719" s="387" t="s">
        <v>1072</v>
      </c>
    </row>
    <row r="3720" spans="1:2">
      <c r="A3720" s="387" t="s">
        <v>679</v>
      </c>
      <c r="B3720" s="387" t="s">
        <v>1485</v>
      </c>
    </row>
    <row r="3721" spans="1:2">
      <c r="A3721" s="387" t="s">
        <v>14700</v>
      </c>
      <c r="B3721" s="387" t="s">
        <v>1883</v>
      </c>
    </row>
    <row r="3722" spans="1:2">
      <c r="A3722" s="387" t="s">
        <v>14701</v>
      </c>
      <c r="B3722" s="387" t="s">
        <v>4092</v>
      </c>
    </row>
    <row r="3723" spans="1:2">
      <c r="A3723" s="387" t="s">
        <v>14702</v>
      </c>
      <c r="B3723" s="387" t="s">
        <v>12820</v>
      </c>
    </row>
    <row r="3724" spans="1:2">
      <c r="A3724" s="387" t="s">
        <v>14703</v>
      </c>
      <c r="B3724" s="387" t="s">
        <v>1804</v>
      </c>
    </row>
    <row r="3725" spans="1:2">
      <c r="A3725" s="387" t="s">
        <v>14704</v>
      </c>
      <c r="B3725" s="387" t="s">
        <v>6943</v>
      </c>
    </row>
    <row r="3726" spans="1:2">
      <c r="A3726" s="387" t="s">
        <v>14705</v>
      </c>
      <c r="B3726" s="387" t="s">
        <v>2173</v>
      </c>
    </row>
    <row r="3727" spans="1:2">
      <c r="A3727" s="387" t="s">
        <v>14706</v>
      </c>
      <c r="B3727" s="387" t="s">
        <v>1023</v>
      </c>
    </row>
    <row r="3728" spans="1:2">
      <c r="A3728" s="387" t="s">
        <v>14707</v>
      </c>
      <c r="B3728" s="387" t="s">
        <v>4665</v>
      </c>
    </row>
    <row r="3729" spans="1:2">
      <c r="A3729" s="387" t="s">
        <v>14708</v>
      </c>
      <c r="B3729" s="387" t="s">
        <v>7079</v>
      </c>
    </row>
    <row r="3730" spans="1:2">
      <c r="A3730" s="387" t="s">
        <v>14709</v>
      </c>
      <c r="B3730" s="387" t="s">
        <v>14710</v>
      </c>
    </row>
    <row r="3731" spans="1:2">
      <c r="A3731" s="387" t="s">
        <v>14711</v>
      </c>
      <c r="B3731" s="387" t="s">
        <v>7194</v>
      </c>
    </row>
    <row r="3732" spans="1:2">
      <c r="A3732" s="387" t="s">
        <v>14712</v>
      </c>
      <c r="B3732" s="387" t="s">
        <v>1189</v>
      </c>
    </row>
    <row r="3733" spans="1:2">
      <c r="A3733" s="387" t="s">
        <v>14713</v>
      </c>
      <c r="B3733" s="387" t="s">
        <v>14714</v>
      </c>
    </row>
    <row r="3734" spans="1:2">
      <c r="A3734" s="387" t="s">
        <v>14715</v>
      </c>
      <c r="B3734" s="387" t="s">
        <v>2934</v>
      </c>
    </row>
    <row r="3735" spans="1:2">
      <c r="A3735" s="387" t="s">
        <v>7980</v>
      </c>
      <c r="B3735" s="387" t="s">
        <v>2649</v>
      </c>
    </row>
    <row r="3736" spans="1:2">
      <c r="A3736" s="387" t="s">
        <v>14716</v>
      </c>
      <c r="B3736" s="387" t="s">
        <v>14717</v>
      </c>
    </row>
    <row r="3737" spans="1:2">
      <c r="A3737" s="387" t="s">
        <v>14718</v>
      </c>
      <c r="B3737" s="387" t="s">
        <v>14719</v>
      </c>
    </row>
    <row r="3738" spans="1:2">
      <c r="A3738" s="387" t="s">
        <v>14720</v>
      </c>
      <c r="B3738" s="387" t="s">
        <v>14721</v>
      </c>
    </row>
    <row r="3739" spans="1:2">
      <c r="A3739" s="387" t="s">
        <v>14722</v>
      </c>
      <c r="B3739" s="387" t="s">
        <v>14723</v>
      </c>
    </row>
    <row r="3740" spans="1:2">
      <c r="A3740" s="387" t="s">
        <v>7817</v>
      </c>
      <c r="B3740" s="387" t="s">
        <v>1072</v>
      </c>
    </row>
    <row r="3741" spans="1:2">
      <c r="A3741" s="387" t="s">
        <v>679</v>
      </c>
      <c r="B3741" s="387" t="s">
        <v>1485</v>
      </c>
    </row>
    <row r="3742" spans="1:2">
      <c r="A3742" s="387" t="s">
        <v>665</v>
      </c>
      <c r="B3742" s="387" t="s">
        <v>6599</v>
      </c>
    </row>
    <row r="3743" spans="1:2">
      <c r="A3743" s="387" t="s">
        <v>667</v>
      </c>
      <c r="B3743" s="387" t="s">
        <v>1852</v>
      </c>
    </row>
    <row r="3744" spans="1:2">
      <c r="A3744" s="387" t="s">
        <v>669</v>
      </c>
      <c r="B3744" s="387" t="s">
        <v>6782</v>
      </c>
    </row>
    <row r="3745" spans="1:2">
      <c r="A3745" s="387" t="s">
        <v>14724</v>
      </c>
      <c r="B3745" s="387" t="s">
        <v>3197</v>
      </c>
    </row>
    <row r="3746" spans="1:2">
      <c r="A3746" s="387" t="s">
        <v>7817</v>
      </c>
      <c r="B3746" s="387" t="s">
        <v>1072</v>
      </c>
    </row>
    <row r="3747" spans="1:2">
      <c r="A3747" s="387" t="s">
        <v>679</v>
      </c>
      <c r="B3747" s="387" t="s">
        <v>1485</v>
      </c>
    </row>
    <row r="3748" spans="1:2">
      <c r="A3748" s="387" t="s">
        <v>14725</v>
      </c>
      <c r="B3748" s="387" t="s">
        <v>14726</v>
      </c>
    </row>
    <row r="3749" spans="1:2">
      <c r="A3749" s="387" t="s">
        <v>14727</v>
      </c>
      <c r="B3749" s="387" t="s">
        <v>14728</v>
      </c>
    </row>
    <row r="3750" spans="1:2">
      <c r="A3750" s="387" t="s">
        <v>14729</v>
      </c>
      <c r="B3750" s="387" t="s">
        <v>7075</v>
      </c>
    </row>
    <row r="3751" spans="1:2">
      <c r="A3751" s="387" t="s">
        <v>14730</v>
      </c>
      <c r="B3751" s="387" t="s">
        <v>14731</v>
      </c>
    </row>
    <row r="3752" spans="1:2">
      <c r="A3752" s="387" t="s">
        <v>14732</v>
      </c>
      <c r="B3752" s="387" t="s">
        <v>14733</v>
      </c>
    </row>
    <row r="3753" spans="1:2">
      <c r="A3753" s="387" t="s">
        <v>14734</v>
      </c>
      <c r="B3753" s="387" t="s">
        <v>7196</v>
      </c>
    </row>
    <row r="3754" spans="1:2">
      <c r="A3754" s="387" t="s">
        <v>14735</v>
      </c>
      <c r="B3754" s="387" t="s">
        <v>7268</v>
      </c>
    </row>
    <row r="3755" spans="1:2">
      <c r="A3755" s="387" t="s">
        <v>14736</v>
      </c>
      <c r="B3755" s="387" t="s">
        <v>2369</v>
      </c>
    </row>
    <row r="3756" spans="1:2">
      <c r="A3756" s="387" t="s">
        <v>14737</v>
      </c>
      <c r="B3756" s="387" t="s">
        <v>3871</v>
      </c>
    </row>
    <row r="3757" spans="1:2">
      <c r="A3757" s="387" t="s">
        <v>14738</v>
      </c>
      <c r="B3757" s="387" t="s">
        <v>14422</v>
      </c>
    </row>
    <row r="3758" spans="1:2">
      <c r="A3758" s="387" t="s">
        <v>14739</v>
      </c>
      <c r="B3758" s="387" t="s">
        <v>7345</v>
      </c>
    </row>
    <row r="3759" spans="1:2">
      <c r="A3759" s="387" t="s">
        <v>14740</v>
      </c>
      <c r="B3759" s="387" t="s">
        <v>14741</v>
      </c>
    </row>
    <row r="3760" spans="1:2">
      <c r="A3760" s="387" t="s">
        <v>14742</v>
      </c>
      <c r="B3760" s="387" t="s">
        <v>14743</v>
      </c>
    </row>
    <row r="3761" spans="1:2">
      <c r="A3761" s="387" t="s">
        <v>14744</v>
      </c>
      <c r="B3761" s="387" t="s">
        <v>14745</v>
      </c>
    </row>
    <row r="3762" spans="1:2">
      <c r="A3762" s="387" t="s">
        <v>14746</v>
      </c>
      <c r="B3762" s="387" t="s">
        <v>14747</v>
      </c>
    </row>
    <row r="3763" spans="1:2">
      <c r="A3763" s="387" t="s">
        <v>14748</v>
      </c>
      <c r="B3763" s="387" t="s">
        <v>14749</v>
      </c>
    </row>
    <row r="3764" spans="1:2">
      <c r="A3764" s="387" t="s">
        <v>14750</v>
      </c>
      <c r="B3764" s="387" t="s">
        <v>2887</v>
      </c>
    </row>
    <row r="3765" spans="1:2">
      <c r="A3765" s="387" t="s">
        <v>14751</v>
      </c>
      <c r="B3765" s="387" t="s">
        <v>14752</v>
      </c>
    </row>
    <row r="3766" spans="1:2">
      <c r="A3766" s="387" t="s">
        <v>14753</v>
      </c>
      <c r="B3766" s="387" t="s">
        <v>14754</v>
      </c>
    </row>
    <row r="3767" spans="1:2">
      <c r="A3767" s="387" t="s">
        <v>14755</v>
      </c>
      <c r="B3767" s="387" t="s">
        <v>14756</v>
      </c>
    </row>
    <row r="3768" spans="1:2">
      <c r="A3768" s="387" t="s">
        <v>14757</v>
      </c>
      <c r="B3768" s="387" t="s">
        <v>11577</v>
      </c>
    </row>
    <row r="3769" spans="1:2">
      <c r="A3769" s="387" t="s">
        <v>14758</v>
      </c>
      <c r="B3769" s="387" t="s">
        <v>14759</v>
      </c>
    </row>
    <row r="3770" spans="1:2">
      <c r="A3770" s="387" t="s">
        <v>14760</v>
      </c>
      <c r="B3770" s="387" t="s">
        <v>14761</v>
      </c>
    </row>
    <row r="3771" spans="1:2">
      <c r="A3771" s="387" t="s">
        <v>14762</v>
      </c>
      <c r="B3771" s="387" t="s">
        <v>14763</v>
      </c>
    </row>
    <row r="3772" spans="1:2">
      <c r="A3772" s="387" t="s">
        <v>14764</v>
      </c>
      <c r="B3772" s="387" t="s">
        <v>2739</v>
      </c>
    </row>
    <row r="3773" spans="1:2">
      <c r="A3773" s="387" t="s">
        <v>14765</v>
      </c>
      <c r="B3773" s="387" t="s">
        <v>14766</v>
      </c>
    </row>
    <row r="3774" spans="1:2">
      <c r="A3774" s="387" t="s">
        <v>14767</v>
      </c>
      <c r="B3774" s="387" t="s">
        <v>8473</v>
      </c>
    </row>
    <row r="3775" spans="1:2">
      <c r="A3775" s="387" t="s">
        <v>14768</v>
      </c>
      <c r="B3775" s="387" t="s">
        <v>14769</v>
      </c>
    </row>
    <row r="3776" spans="1:2">
      <c r="A3776" s="387" t="s">
        <v>8538</v>
      </c>
      <c r="B3776" s="387" t="s">
        <v>8499</v>
      </c>
    </row>
    <row r="3777" spans="1:2">
      <c r="A3777" s="387" t="s">
        <v>14770</v>
      </c>
      <c r="B3777" s="387" t="s">
        <v>14771</v>
      </c>
    </row>
    <row r="3778" spans="1:2">
      <c r="A3778" s="387" t="s">
        <v>14772</v>
      </c>
      <c r="B3778" s="387" t="s">
        <v>5169</v>
      </c>
    </row>
    <row r="3779" spans="1:2">
      <c r="A3779" s="387" t="s">
        <v>14773</v>
      </c>
      <c r="B3779" s="387" t="s">
        <v>14774</v>
      </c>
    </row>
    <row r="3780" spans="1:2">
      <c r="A3780" s="387" t="s">
        <v>14775</v>
      </c>
      <c r="B3780" s="387" t="s">
        <v>14776</v>
      </c>
    </row>
    <row r="3781" spans="1:2">
      <c r="A3781" s="387" t="s">
        <v>14777</v>
      </c>
      <c r="B3781" s="387" t="s">
        <v>6750</v>
      </c>
    </row>
    <row r="3782" spans="1:2">
      <c r="A3782" s="387" t="s">
        <v>14778</v>
      </c>
      <c r="B3782" s="387" t="s">
        <v>14779</v>
      </c>
    </row>
    <row r="3783" spans="1:2">
      <c r="A3783" s="387" t="s">
        <v>14780</v>
      </c>
      <c r="B3783" s="387" t="s">
        <v>2731</v>
      </c>
    </row>
    <row r="3784" spans="1:2">
      <c r="A3784" s="387" t="s">
        <v>14781</v>
      </c>
      <c r="B3784" s="387" t="s">
        <v>3008</v>
      </c>
    </row>
    <row r="3785" spans="1:2">
      <c r="A3785" s="387" t="s">
        <v>14782</v>
      </c>
      <c r="B3785" s="387" t="s">
        <v>8775</v>
      </c>
    </row>
    <row r="3786" spans="1:2">
      <c r="A3786" s="387" t="s">
        <v>7817</v>
      </c>
      <c r="B3786" s="387" t="s">
        <v>1072</v>
      </c>
    </row>
    <row r="3787" spans="1:2">
      <c r="A3787" s="387" t="s">
        <v>679</v>
      </c>
      <c r="B3787" s="387" t="s">
        <v>1485</v>
      </c>
    </row>
    <row r="3788" spans="1:2">
      <c r="A3788" s="387" t="s">
        <v>671</v>
      </c>
      <c r="B3788" s="387" t="s">
        <v>2146</v>
      </c>
    </row>
    <row r="3789" spans="1:2">
      <c r="A3789" s="387" t="s">
        <v>14783</v>
      </c>
      <c r="B3789" s="387" t="s">
        <v>14784</v>
      </c>
    </row>
    <row r="3790" spans="1:2">
      <c r="A3790" s="387" t="s">
        <v>14785</v>
      </c>
      <c r="B3790" s="387" t="s">
        <v>6591</v>
      </c>
    </row>
    <row r="3791" spans="1:2">
      <c r="A3791" s="387" t="s">
        <v>14786</v>
      </c>
      <c r="B3791" s="387" t="s">
        <v>6593</v>
      </c>
    </row>
    <row r="3792" spans="1:2">
      <c r="A3792" s="387" t="s">
        <v>14787</v>
      </c>
      <c r="B3792" s="387" t="s">
        <v>14788</v>
      </c>
    </row>
    <row r="3793" spans="1:2">
      <c r="A3793" s="387" t="s">
        <v>14789</v>
      </c>
      <c r="B3793" s="387" t="s">
        <v>2469</v>
      </c>
    </row>
    <row r="3794" spans="1:2">
      <c r="A3794" s="387" t="s">
        <v>14790</v>
      </c>
      <c r="B3794" s="387" t="s">
        <v>6948</v>
      </c>
    </row>
    <row r="3795" spans="1:2">
      <c r="A3795" s="387" t="s">
        <v>14791</v>
      </c>
      <c r="B3795" s="387" t="s">
        <v>7667</v>
      </c>
    </row>
    <row r="3796" spans="1:2">
      <c r="A3796" s="387" t="s">
        <v>14792</v>
      </c>
      <c r="B3796" s="387" t="s">
        <v>14793</v>
      </c>
    </row>
    <row r="3797" spans="1:2">
      <c r="A3797" s="387" t="s">
        <v>180</v>
      </c>
      <c r="B3797" s="387" t="s">
        <v>1285</v>
      </c>
    </row>
    <row r="3798" spans="1:2">
      <c r="A3798" s="387" t="s">
        <v>14794</v>
      </c>
      <c r="B3798" s="387" t="s">
        <v>8346</v>
      </c>
    </row>
    <row r="3799" spans="1:2">
      <c r="A3799" s="387" t="s">
        <v>8006</v>
      </c>
      <c r="B3799" s="387" t="s">
        <v>1066</v>
      </c>
    </row>
    <row r="3800" spans="1:2">
      <c r="A3800" s="387" t="s">
        <v>14795</v>
      </c>
      <c r="B3800" s="387" t="s">
        <v>2225</v>
      </c>
    </row>
    <row r="3801" spans="1:2">
      <c r="A3801" s="387" t="s">
        <v>7799</v>
      </c>
      <c r="B3801" s="387" t="s">
        <v>2305</v>
      </c>
    </row>
    <row r="3802" spans="1:2">
      <c r="A3802" s="387" t="s">
        <v>14796</v>
      </c>
      <c r="B3802" s="387" t="s">
        <v>2772</v>
      </c>
    </row>
    <row r="3803" spans="1:2">
      <c r="A3803" s="387" t="s">
        <v>7807</v>
      </c>
      <c r="B3803" s="387" t="s">
        <v>3783</v>
      </c>
    </row>
    <row r="3804" spans="1:2">
      <c r="A3804" s="387" t="s">
        <v>14797</v>
      </c>
      <c r="B3804" s="387" t="s">
        <v>7647</v>
      </c>
    </row>
    <row r="3805" spans="1:2">
      <c r="A3805" s="387" t="s">
        <v>14798</v>
      </c>
      <c r="B3805" s="387" t="s">
        <v>8727</v>
      </c>
    </row>
    <row r="3806" spans="1:2">
      <c r="A3806" s="387" t="s">
        <v>14799</v>
      </c>
      <c r="B3806" s="387" t="s">
        <v>14800</v>
      </c>
    </row>
    <row r="3807" spans="1:2">
      <c r="A3807" s="387" t="s">
        <v>8006</v>
      </c>
      <c r="B3807" s="387" t="s">
        <v>1066</v>
      </c>
    </row>
    <row r="3808" spans="1:2">
      <c r="A3808" s="387" t="s">
        <v>673</v>
      </c>
      <c r="B3808" s="387" t="s">
        <v>2945</v>
      </c>
    </row>
    <row r="3809" spans="1:2">
      <c r="A3809" s="387" t="s">
        <v>14801</v>
      </c>
      <c r="B3809" s="387" t="s">
        <v>2405</v>
      </c>
    </row>
    <row r="3810" spans="1:2">
      <c r="A3810" s="387" t="s">
        <v>675</v>
      </c>
      <c r="B3810" s="387" t="s">
        <v>6311</v>
      </c>
    </row>
    <row r="3811" spans="1:2">
      <c r="A3811" s="387" t="s">
        <v>14802</v>
      </c>
      <c r="B3811" s="387" t="s">
        <v>6702</v>
      </c>
    </row>
    <row r="3812" spans="1:2">
      <c r="A3812" s="387" t="s">
        <v>676</v>
      </c>
      <c r="B3812" s="387" t="s">
        <v>6972</v>
      </c>
    </row>
    <row r="3813" spans="1:2">
      <c r="A3813" s="387" t="s">
        <v>14803</v>
      </c>
      <c r="B3813" s="387" t="s">
        <v>14804</v>
      </c>
    </row>
    <row r="3814" spans="1:2">
      <c r="A3814" s="387" t="s">
        <v>14805</v>
      </c>
      <c r="B3814" s="387" t="s">
        <v>8758</v>
      </c>
    </row>
    <row r="3815" spans="1:2">
      <c r="A3815" s="387" t="s">
        <v>14806</v>
      </c>
      <c r="B3815" s="387" t="s">
        <v>14807</v>
      </c>
    </row>
    <row r="3816" spans="1:2">
      <c r="A3816" s="387" t="s">
        <v>14808</v>
      </c>
      <c r="B3816" s="387" t="s">
        <v>7652</v>
      </c>
    </row>
    <row r="3817" spans="1:2">
      <c r="A3817" s="387" t="s">
        <v>14809</v>
      </c>
      <c r="B3817" s="387" t="s">
        <v>4542</v>
      </c>
    </row>
    <row r="3818" spans="1:2">
      <c r="A3818" s="387" t="s">
        <v>14810</v>
      </c>
      <c r="B3818" s="387" t="s">
        <v>5081</v>
      </c>
    </row>
    <row r="3819" spans="1:2">
      <c r="A3819" s="387" t="s">
        <v>8006</v>
      </c>
      <c r="B3819" s="387" t="s">
        <v>1066</v>
      </c>
    </row>
    <row r="3820" spans="1:2">
      <c r="A3820" s="387" t="s">
        <v>674</v>
      </c>
      <c r="B3820" s="387" t="s">
        <v>4047</v>
      </c>
    </row>
    <row r="3821" spans="1:2">
      <c r="A3821" s="387" t="s">
        <v>664</v>
      </c>
      <c r="B3821" s="387" t="s">
        <v>14811</v>
      </c>
    </row>
    <row r="3822" spans="1:2">
      <c r="A3822" s="387" t="s">
        <v>14812</v>
      </c>
      <c r="B3822" s="387" t="s">
        <v>6819</v>
      </c>
    </row>
    <row r="3823" spans="1:2">
      <c r="A3823" s="387" t="s">
        <v>14813</v>
      </c>
      <c r="B3823" s="387" t="s">
        <v>7444</v>
      </c>
    </row>
    <row r="3824" spans="1:2">
      <c r="A3824" s="387" t="s">
        <v>812</v>
      </c>
      <c r="B3824" s="387" t="s">
        <v>896</v>
      </c>
    </row>
    <row r="3825" spans="1:2">
      <c r="A3825" s="387" t="s">
        <v>8006</v>
      </c>
      <c r="B3825" s="387" t="s">
        <v>1066</v>
      </c>
    </row>
    <row r="3826" spans="1:2">
      <c r="A3826" s="387" t="s">
        <v>14814</v>
      </c>
      <c r="B3826" s="387" t="s">
        <v>14815</v>
      </c>
    </row>
    <row r="3827" spans="1:2">
      <c r="A3827" s="387" t="s">
        <v>7799</v>
      </c>
      <c r="B3827" s="387" t="s">
        <v>2305</v>
      </c>
    </row>
    <row r="3828" spans="1:2">
      <c r="A3828" s="387" t="s">
        <v>14816</v>
      </c>
      <c r="B3828" s="387" t="s">
        <v>9592</v>
      </c>
    </row>
    <row r="3829" spans="1:2">
      <c r="A3829" s="387" t="s">
        <v>14817</v>
      </c>
      <c r="B3829" s="387" t="s">
        <v>7924</v>
      </c>
    </row>
    <row r="3830" spans="1:2">
      <c r="A3830" s="387" t="s">
        <v>14818</v>
      </c>
      <c r="B3830" s="387" t="s">
        <v>2346</v>
      </c>
    </row>
    <row r="3831" spans="1:2">
      <c r="A3831" s="387" t="s">
        <v>14819</v>
      </c>
      <c r="B3831" s="387" t="s">
        <v>7051</v>
      </c>
    </row>
    <row r="3832" spans="1:2">
      <c r="A3832" s="387" t="s">
        <v>14820</v>
      </c>
      <c r="B3832" s="387" t="s">
        <v>14821</v>
      </c>
    </row>
    <row r="3833" spans="1:2">
      <c r="A3833" s="387" t="s">
        <v>8006</v>
      </c>
      <c r="B3833" s="387" t="s">
        <v>1066</v>
      </c>
    </row>
    <row r="3834" spans="1:2">
      <c r="A3834" s="387" t="s">
        <v>14822</v>
      </c>
      <c r="B3834" s="387" t="s">
        <v>1651</v>
      </c>
    </row>
    <row r="3835" spans="1:2">
      <c r="A3835" s="387" t="s">
        <v>14823</v>
      </c>
      <c r="B3835" s="387" t="s">
        <v>979</v>
      </c>
    </row>
    <row r="3836" spans="1:2">
      <c r="A3836" s="387" t="s">
        <v>14824</v>
      </c>
      <c r="B3836" s="387" t="s">
        <v>2062</v>
      </c>
    </row>
    <row r="3837" spans="1:2">
      <c r="A3837" s="387" t="s">
        <v>14825</v>
      </c>
      <c r="B3837" s="387" t="s">
        <v>2654</v>
      </c>
    </row>
    <row r="3838" spans="1:2">
      <c r="A3838" s="387" t="s">
        <v>14826</v>
      </c>
      <c r="B3838" s="387" t="s">
        <v>3632</v>
      </c>
    </row>
    <row r="3839" spans="1:2">
      <c r="A3839" s="387" t="s">
        <v>14827</v>
      </c>
      <c r="B3839" s="387" t="s">
        <v>4359</v>
      </c>
    </row>
    <row r="3840" spans="1:2">
      <c r="A3840" s="387" t="s">
        <v>14828</v>
      </c>
      <c r="B3840" s="387" t="s">
        <v>4374</v>
      </c>
    </row>
    <row r="3841" spans="1:2">
      <c r="A3841" s="387" t="s">
        <v>14829</v>
      </c>
      <c r="B3841" s="387" t="s">
        <v>14830</v>
      </c>
    </row>
    <row r="3842" spans="1:2">
      <c r="A3842" s="387" t="s">
        <v>14831</v>
      </c>
      <c r="B3842" s="387" t="s">
        <v>5468</v>
      </c>
    </row>
    <row r="3843" spans="1:2">
      <c r="A3843" s="387" t="s">
        <v>14832</v>
      </c>
      <c r="B3843" s="387" t="s">
        <v>5609</v>
      </c>
    </row>
    <row r="3844" spans="1:2">
      <c r="A3844" s="387" t="s">
        <v>14833</v>
      </c>
      <c r="B3844" s="387" t="s">
        <v>5700</v>
      </c>
    </row>
    <row r="3845" spans="1:2">
      <c r="A3845" s="387" t="s">
        <v>14834</v>
      </c>
      <c r="B3845" s="387" t="s">
        <v>5932</v>
      </c>
    </row>
    <row r="3846" spans="1:2">
      <c r="A3846" s="387" t="s">
        <v>14835</v>
      </c>
      <c r="B3846" s="387" t="s">
        <v>14836</v>
      </c>
    </row>
    <row r="3847" spans="1:2">
      <c r="A3847" s="387" t="s">
        <v>14837</v>
      </c>
      <c r="B3847" s="387" t="s">
        <v>6170</v>
      </c>
    </row>
    <row r="3848" spans="1:2">
      <c r="A3848" s="387" t="s">
        <v>14838</v>
      </c>
      <c r="B3848" s="387" t="s">
        <v>2384</v>
      </c>
    </row>
    <row r="3849" spans="1:2">
      <c r="A3849" s="387" t="s">
        <v>14839</v>
      </c>
      <c r="B3849" s="387" t="s">
        <v>6345</v>
      </c>
    </row>
    <row r="3850" spans="1:2">
      <c r="A3850" s="387" t="s">
        <v>14840</v>
      </c>
      <c r="B3850" s="387" t="s">
        <v>6608</v>
      </c>
    </row>
    <row r="3851" spans="1:2">
      <c r="A3851" s="387" t="s">
        <v>14841</v>
      </c>
      <c r="B3851" s="387" t="s">
        <v>6680</v>
      </c>
    </row>
    <row r="3852" spans="1:2">
      <c r="A3852" s="387" t="s">
        <v>14842</v>
      </c>
      <c r="B3852" s="387" t="s">
        <v>6682</v>
      </c>
    </row>
    <row r="3853" spans="1:2">
      <c r="A3853" s="387" t="s">
        <v>14843</v>
      </c>
      <c r="B3853" s="387" t="s">
        <v>6721</v>
      </c>
    </row>
    <row r="3854" spans="1:2">
      <c r="A3854" s="387" t="s">
        <v>14844</v>
      </c>
      <c r="B3854" s="387" t="s">
        <v>6427</v>
      </c>
    </row>
    <row r="3855" spans="1:2">
      <c r="A3855" s="387" t="s">
        <v>14845</v>
      </c>
      <c r="B3855" s="387" t="s">
        <v>1241</v>
      </c>
    </row>
    <row r="3856" spans="1:2">
      <c r="A3856" s="387" t="s">
        <v>14846</v>
      </c>
      <c r="B3856" s="387" t="s">
        <v>6970</v>
      </c>
    </row>
    <row r="3857" spans="1:2">
      <c r="A3857" s="387" t="s">
        <v>14847</v>
      </c>
      <c r="B3857" s="387" t="s">
        <v>6976</v>
      </c>
    </row>
    <row r="3858" spans="1:2">
      <c r="A3858" s="387" t="s">
        <v>14848</v>
      </c>
      <c r="B3858" s="387" t="s">
        <v>5558</v>
      </c>
    </row>
    <row r="3859" spans="1:2">
      <c r="A3859" s="387" t="s">
        <v>14849</v>
      </c>
      <c r="B3859" s="387" t="s">
        <v>14850</v>
      </c>
    </row>
    <row r="3860" spans="1:2">
      <c r="A3860" s="387" t="s">
        <v>14851</v>
      </c>
      <c r="B3860" s="387" t="s">
        <v>7113</v>
      </c>
    </row>
    <row r="3861" spans="1:2">
      <c r="A3861" s="387" t="s">
        <v>14852</v>
      </c>
      <c r="B3861" s="387" t="s">
        <v>7141</v>
      </c>
    </row>
    <row r="3862" spans="1:2">
      <c r="A3862" s="387" t="s">
        <v>14853</v>
      </c>
      <c r="B3862" s="387" t="s">
        <v>14854</v>
      </c>
    </row>
    <row r="3863" spans="1:2">
      <c r="A3863" s="387" t="s">
        <v>14855</v>
      </c>
      <c r="B3863" s="387" t="s">
        <v>14856</v>
      </c>
    </row>
    <row r="3864" spans="1:2">
      <c r="A3864" s="387" t="s">
        <v>14857</v>
      </c>
      <c r="B3864" s="387" t="s">
        <v>7133</v>
      </c>
    </row>
    <row r="3865" spans="1:2">
      <c r="A3865" s="387" t="s">
        <v>14858</v>
      </c>
      <c r="B3865" s="387" t="s">
        <v>7221</v>
      </c>
    </row>
    <row r="3866" spans="1:2">
      <c r="A3866" s="387" t="s">
        <v>14859</v>
      </c>
      <c r="B3866" s="387" t="s">
        <v>14860</v>
      </c>
    </row>
    <row r="3867" spans="1:2">
      <c r="A3867" s="387" t="s">
        <v>14861</v>
      </c>
      <c r="B3867" s="387" t="s">
        <v>7275</v>
      </c>
    </row>
    <row r="3868" spans="1:2">
      <c r="A3868" s="387" t="s">
        <v>14862</v>
      </c>
      <c r="B3868" s="387" t="s">
        <v>14863</v>
      </c>
    </row>
    <row r="3869" spans="1:2">
      <c r="A3869" s="387" t="s">
        <v>14864</v>
      </c>
      <c r="B3869" s="387" t="s">
        <v>5200</v>
      </c>
    </row>
    <row r="3870" spans="1:2">
      <c r="A3870" s="387" t="s">
        <v>14865</v>
      </c>
      <c r="B3870" s="387" t="s">
        <v>2371</v>
      </c>
    </row>
    <row r="3871" spans="1:2">
      <c r="A3871" s="387" t="s">
        <v>14866</v>
      </c>
      <c r="B3871" s="387" t="s">
        <v>7354</v>
      </c>
    </row>
    <row r="3872" spans="1:2">
      <c r="A3872" s="387" t="s">
        <v>14867</v>
      </c>
      <c r="B3872" s="387" t="s">
        <v>14868</v>
      </c>
    </row>
    <row r="3873" spans="1:2">
      <c r="A3873" s="387" t="s">
        <v>14869</v>
      </c>
      <c r="B3873" s="387" t="s">
        <v>14870</v>
      </c>
    </row>
    <row r="3874" spans="1:2">
      <c r="A3874" s="387" t="s">
        <v>14871</v>
      </c>
      <c r="B3874" s="387" t="s">
        <v>14872</v>
      </c>
    </row>
    <row r="3875" spans="1:2">
      <c r="A3875" s="387" t="s">
        <v>14873</v>
      </c>
      <c r="B3875" s="387" t="s">
        <v>14874</v>
      </c>
    </row>
    <row r="3876" spans="1:2">
      <c r="A3876" s="387" t="s">
        <v>14875</v>
      </c>
      <c r="B3876" s="387" t="s">
        <v>7512</v>
      </c>
    </row>
    <row r="3877" spans="1:2">
      <c r="A3877" s="387" t="s">
        <v>14876</v>
      </c>
      <c r="B3877" s="387" t="s">
        <v>1083</v>
      </c>
    </row>
    <row r="3878" spans="1:2">
      <c r="A3878" s="387" t="s">
        <v>14877</v>
      </c>
      <c r="B3878" s="387" t="s">
        <v>14878</v>
      </c>
    </row>
    <row r="3879" spans="1:2">
      <c r="A3879" s="387" t="s">
        <v>14879</v>
      </c>
      <c r="B3879" s="387" t="s">
        <v>7563</v>
      </c>
    </row>
    <row r="3880" spans="1:2">
      <c r="A3880" s="387" t="s">
        <v>14880</v>
      </c>
      <c r="B3880" s="387" t="s">
        <v>14881</v>
      </c>
    </row>
    <row r="3881" spans="1:2">
      <c r="A3881" s="387" t="s">
        <v>14882</v>
      </c>
      <c r="B3881" s="387" t="s">
        <v>14883</v>
      </c>
    </row>
    <row r="3882" spans="1:2">
      <c r="A3882" s="387" t="s">
        <v>14884</v>
      </c>
      <c r="B3882" s="387" t="s">
        <v>2248</v>
      </c>
    </row>
    <row r="3883" spans="1:2">
      <c r="A3883" s="387" t="s">
        <v>14885</v>
      </c>
      <c r="B3883" s="387" t="s">
        <v>6651</v>
      </c>
    </row>
    <row r="3884" spans="1:2">
      <c r="A3884" s="387" t="s">
        <v>14886</v>
      </c>
      <c r="B3884" s="387" t="s">
        <v>14887</v>
      </c>
    </row>
    <row r="3885" spans="1:2">
      <c r="A3885" s="387" t="s">
        <v>14888</v>
      </c>
      <c r="B3885" s="387" t="s">
        <v>14889</v>
      </c>
    </row>
    <row r="3886" spans="1:2">
      <c r="A3886" s="387" t="s">
        <v>14890</v>
      </c>
      <c r="B3886" s="387" t="s">
        <v>6893</v>
      </c>
    </row>
    <row r="3887" spans="1:2">
      <c r="A3887" s="387" t="s">
        <v>14891</v>
      </c>
      <c r="B3887" s="387" t="s">
        <v>14892</v>
      </c>
    </row>
    <row r="3888" spans="1:2">
      <c r="A3888" s="387" t="s">
        <v>14893</v>
      </c>
      <c r="B3888" s="387" t="s">
        <v>14894</v>
      </c>
    </row>
    <row r="3889" spans="1:2">
      <c r="A3889" s="387" t="s">
        <v>14895</v>
      </c>
      <c r="B3889" s="387" t="s">
        <v>14896</v>
      </c>
    </row>
    <row r="3890" spans="1:2">
      <c r="A3890" s="387" t="s">
        <v>14897</v>
      </c>
      <c r="B3890" s="387" t="s">
        <v>14898</v>
      </c>
    </row>
    <row r="3891" spans="1:2">
      <c r="A3891" s="387" t="s">
        <v>14899</v>
      </c>
      <c r="B3891" s="387" t="s">
        <v>14900</v>
      </c>
    </row>
    <row r="3892" spans="1:2">
      <c r="A3892" s="387" t="s">
        <v>14901</v>
      </c>
      <c r="B3892" s="387" t="s">
        <v>2225</v>
      </c>
    </row>
    <row r="3893" spans="1:2">
      <c r="A3893" s="387" t="s">
        <v>14902</v>
      </c>
      <c r="B3893" s="387" t="s">
        <v>14354</v>
      </c>
    </row>
    <row r="3894" spans="1:2">
      <c r="A3894" s="387" t="s">
        <v>14903</v>
      </c>
      <c r="B3894" s="387" t="s">
        <v>4395</v>
      </c>
    </row>
    <row r="3895" spans="1:2">
      <c r="A3895" s="387" t="s">
        <v>14904</v>
      </c>
      <c r="B3895" s="387" t="s">
        <v>2156</v>
      </c>
    </row>
    <row r="3896" spans="1:2">
      <c r="A3896" s="387" t="s">
        <v>14905</v>
      </c>
      <c r="B3896" s="387" t="s">
        <v>14906</v>
      </c>
    </row>
    <row r="3897" spans="1:2">
      <c r="A3897" s="387" t="s">
        <v>7970</v>
      </c>
      <c r="B3897" s="387" t="s">
        <v>5148</v>
      </c>
    </row>
    <row r="3898" spans="1:2">
      <c r="A3898" s="387" t="s">
        <v>14907</v>
      </c>
      <c r="B3898" s="387" t="s">
        <v>1327</v>
      </c>
    </row>
    <row r="3899" spans="1:2">
      <c r="A3899" s="387" t="s">
        <v>14908</v>
      </c>
      <c r="B3899" s="387" t="s">
        <v>8044</v>
      </c>
    </row>
    <row r="3900" spans="1:2">
      <c r="A3900" s="387" t="s">
        <v>14909</v>
      </c>
      <c r="B3900" s="387" t="s">
        <v>8050</v>
      </c>
    </row>
    <row r="3901" spans="1:2">
      <c r="A3901" s="387" t="s">
        <v>14910</v>
      </c>
      <c r="B3901" s="387" t="s">
        <v>2348</v>
      </c>
    </row>
    <row r="3902" spans="1:2">
      <c r="A3902" s="387" t="s">
        <v>14911</v>
      </c>
      <c r="B3902" s="387" t="s">
        <v>14912</v>
      </c>
    </row>
    <row r="3903" spans="1:2">
      <c r="A3903" s="387" t="s">
        <v>14913</v>
      </c>
      <c r="B3903" s="387" t="s">
        <v>8087</v>
      </c>
    </row>
    <row r="3904" spans="1:2">
      <c r="A3904" s="387" t="s">
        <v>14914</v>
      </c>
      <c r="B3904" s="387" t="s">
        <v>14915</v>
      </c>
    </row>
    <row r="3905" spans="1:2">
      <c r="A3905" s="387" t="s">
        <v>14916</v>
      </c>
      <c r="B3905" s="387" t="s">
        <v>8090</v>
      </c>
    </row>
    <row r="3906" spans="1:2">
      <c r="A3906" s="387" t="s">
        <v>14917</v>
      </c>
      <c r="B3906" s="387" t="s">
        <v>14918</v>
      </c>
    </row>
    <row r="3907" spans="1:2">
      <c r="A3907" s="387" t="s">
        <v>14919</v>
      </c>
      <c r="B3907" s="387" t="s">
        <v>14920</v>
      </c>
    </row>
    <row r="3908" spans="1:2">
      <c r="A3908" s="387" t="s">
        <v>14921</v>
      </c>
      <c r="B3908" s="387" t="s">
        <v>14922</v>
      </c>
    </row>
    <row r="3909" spans="1:2">
      <c r="A3909" s="387" t="s">
        <v>14923</v>
      </c>
      <c r="B3909" s="387" t="s">
        <v>7499</v>
      </c>
    </row>
    <row r="3910" spans="1:2">
      <c r="A3910" s="387" t="s">
        <v>14924</v>
      </c>
      <c r="B3910" s="387" t="s">
        <v>8094</v>
      </c>
    </row>
    <row r="3911" spans="1:2">
      <c r="A3911" s="387" t="s">
        <v>14925</v>
      </c>
      <c r="B3911" s="387" t="s">
        <v>8097</v>
      </c>
    </row>
    <row r="3912" spans="1:2">
      <c r="A3912" s="387" t="s">
        <v>14926</v>
      </c>
      <c r="B3912" s="387" t="s">
        <v>14927</v>
      </c>
    </row>
    <row r="3913" spans="1:2">
      <c r="A3913" s="387" t="s">
        <v>14928</v>
      </c>
      <c r="B3913" s="387" t="s">
        <v>8111</v>
      </c>
    </row>
    <row r="3914" spans="1:2">
      <c r="A3914" s="387" t="s">
        <v>14929</v>
      </c>
      <c r="B3914" s="387" t="s">
        <v>8113</v>
      </c>
    </row>
    <row r="3915" spans="1:2">
      <c r="A3915" s="387" t="s">
        <v>14930</v>
      </c>
      <c r="B3915" s="387" t="s">
        <v>14931</v>
      </c>
    </row>
    <row r="3916" spans="1:2">
      <c r="A3916" s="387" t="s">
        <v>14932</v>
      </c>
      <c r="B3916" s="387" t="s">
        <v>14933</v>
      </c>
    </row>
    <row r="3917" spans="1:2">
      <c r="A3917" s="387" t="s">
        <v>14934</v>
      </c>
      <c r="B3917" s="387" t="s">
        <v>14935</v>
      </c>
    </row>
    <row r="3918" spans="1:2">
      <c r="A3918" s="387" t="s">
        <v>14936</v>
      </c>
      <c r="B3918" s="387" t="s">
        <v>8150</v>
      </c>
    </row>
    <row r="3919" spans="1:2">
      <c r="A3919" s="387" t="s">
        <v>14937</v>
      </c>
      <c r="B3919" s="387" t="s">
        <v>13581</v>
      </c>
    </row>
    <row r="3920" spans="1:2">
      <c r="A3920" s="387" t="s">
        <v>14938</v>
      </c>
      <c r="B3920" s="387" t="s">
        <v>3730</v>
      </c>
    </row>
    <row r="3921" spans="1:2">
      <c r="A3921" s="387" t="s">
        <v>14939</v>
      </c>
      <c r="B3921" s="387" t="s">
        <v>4101</v>
      </c>
    </row>
    <row r="3922" spans="1:2">
      <c r="A3922" s="387" t="s">
        <v>14940</v>
      </c>
      <c r="B3922" s="387" t="s">
        <v>8191</v>
      </c>
    </row>
    <row r="3923" spans="1:2">
      <c r="A3923" s="387" t="s">
        <v>14941</v>
      </c>
      <c r="B3923" s="387" t="s">
        <v>8193</v>
      </c>
    </row>
    <row r="3924" spans="1:2">
      <c r="A3924" s="387" t="s">
        <v>14942</v>
      </c>
      <c r="B3924" s="387" t="s">
        <v>14943</v>
      </c>
    </row>
    <row r="3925" spans="1:2">
      <c r="A3925" s="387" t="s">
        <v>14944</v>
      </c>
      <c r="B3925" s="387" t="s">
        <v>7751</v>
      </c>
    </row>
    <row r="3926" spans="1:2">
      <c r="A3926" s="387" t="s">
        <v>14945</v>
      </c>
      <c r="B3926" s="387" t="s">
        <v>8236</v>
      </c>
    </row>
    <row r="3927" spans="1:2">
      <c r="A3927" s="387" t="s">
        <v>14946</v>
      </c>
      <c r="B3927" s="387" t="s">
        <v>14947</v>
      </c>
    </row>
    <row r="3928" spans="1:2">
      <c r="A3928" s="387" t="s">
        <v>14948</v>
      </c>
      <c r="B3928" s="387" t="s">
        <v>1350</v>
      </c>
    </row>
    <row r="3929" spans="1:2">
      <c r="A3929" s="387" t="s">
        <v>14949</v>
      </c>
      <c r="B3929" s="387" t="s">
        <v>3548</v>
      </c>
    </row>
    <row r="3930" spans="1:2">
      <c r="A3930" s="387" t="s">
        <v>14950</v>
      </c>
      <c r="B3930" s="387" t="s">
        <v>8734</v>
      </c>
    </row>
    <row r="3931" spans="1:2">
      <c r="A3931" s="387" t="s">
        <v>14951</v>
      </c>
      <c r="B3931" s="387" t="s">
        <v>14952</v>
      </c>
    </row>
    <row r="3932" spans="1:2">
      <c r="A3932" s="387" t="s">
        <v>14953</v>
      </c>
      <c r="B3932" s="387" t="s">
        <v>6590</v>
      </c>
    </row>
    <row r="3933" spans="1:2">
      <c r="A3933" s="387" t="s">
        <v>14954</v>
      </c>
      <c r="B3933" s="387" t="s">
        <v>2173</v>
      </c>
    </row>
    <row r="3934" spans="1:2">
      <c r="A3934" s="387" t="s">
        <v>14955</v>
      </c>
      <c r="B3934" s="387" t="s">
        <v>8287</v>
      </c>
    </row>
    <row r="3935" spans="1:2">
      <c r="A3935" s="387" t="s">
        <v>14956</v>
      </c>
      <c r="B3935" s="387" t="s">
        <v>14957</v>
      </c>
    </row>
    <row r="3936" spans="1:2">
      <c r="A3936" s="387" t="s">
        <v>14958</v>
      </c>
      <c r="B3936" s="387" t="s">
        <v>8478</v>
      </c>
    </row>
    <row r="3937" spans="1:2">
      <c r="A3937" s="387" t="s">
        <v>14959</v>
      </c>
      <c r="B3937" s="387" t="s">
        <v>8290</v>
      </c>
    </row>
    <row r="3938" spans="1:2">
      <c r="A3938" s="387" t="s">
        <v>14960</v>
      </c>
      <c r="B3938" s="387" t="s">
        <v>14961</v>
      </c>
    </row>
    <row r="3939" spans="1:2">
      <c r="A3939" s="387" t="s">
        <v>14962</v>
      </c>
      <c r="B3939" s="387" t="s">
        <v>14963</v>
      </c>
    </row>
    <row r="3940" spans="1:2">
      <c r="A3940" s="387" t="s">
        <v>14964</v>
      </c>
      <c r="B3940" s="387" t="s">
        <v>1818</v>
      </c>
    </row>
    <row r="3941" spans="1:2">
      <c r="A3941" s="387" t="s">
        <v>14965</v>
      </c>
      <c r="B3941" s="387" t="s">
        <v>4502</v>
      </c>
    </row>
    <row r="3942" spans="1:2">
      <c r="A3942" s="387" t="s">
        <v>14966</v>
      </c>
      <c r="B3942" s="387" t="s">
        <v>1556</v>
      </c>
    </row>
    <row r="3943" spans="1:2">
      <c r="A3943" s="387" t="s">
        <v>14967</v>
      </c>
      <c r="B3943" s="387" t="s">
        <v>11385</v>
      </c>
    </row>
    <row r="3944" spans="1:2">
      <c r="A3944" s="387" t="s">
        <v>8033</v>
      </c>
      <c r="B3944" s="387" t="s">
        <v>8035</v>
      </c>
    </row>
    <row r="3945" spans="1:2">
      <c r="A3945" s="387" t="s">
        <v>14968</v>
      </c>
      <c r="B3945" s="387" t="s">
        <v>14969</v>
      </c>
    </row>
    <row r="3946" spans="1:2">
      <c r="A3946" s="387" t="s">
        <v>14970</v>
      </c>
      <c r="B3946" s="387" t="s">
        <v>14971</v>
      </c>
    </row>
    <row r="3947" spans="1:2">
      <c r="A3947" s="387" t="s">
        <v>14972</v>
      </c>
      <c r="B3947" s="387" t="s">
        <v>8337</v>
      </c>
    </row>
    <row r="3948" spans="1:2">
      <c r="A3948" s="387" t="s">
        <v>14973</v>
      </c>
      <c r="B3948" s="387" t="s">
        <v>14974</v>
      </c>
    </row>
    <row r="3949" spans="1:2">
      <c r="A3949" s="387" t="s">
        <v>14975</v>
      </c>
      <c r="B3949" s="387" t="s">
        <v>14860</v>
      </c>
    </row>
    <row r="3950" spans="1:2">
      <c r="A3950" s="387" t="s">
        <v>14976</v>
      </c>
      <c r="B3950" s="387" t="s">
        <v>8344</v>
      </c>
    </row>
    <row r="3951" spans="1:2">
      <c r="A3951" s="387" t="s">
        <v>14977</v>
      </c>
      <c r="B3951" s="387" t="s">
        <v>14978</v>
      </c>
    </row>
    <row r="3952" spans="1:2">
      <c r="A3952" s="387" t="s">
        <v>14979</v>
      </c>
      <c r="B3952" s="387" t="s">
        <v>14980</v>
      </c>
    </row>
    <row r="3953" spans="1:2">
      <c r="A3953" s="387" t="s">
        <v>14981</v>
      </c>
      <c r="B3953" s="387" t="s">
        <v>14982</v>
      </c>
    </row>
    <row r="3954" spans="1:2">
      <c r="A3954" s="387" t="s">
        <v>14983</v>
      </c>
      <c r="B3954" s="387" t="s">
        <v>8353</v>
      </c>
    </row>
    <row r="3955" spans="1:2">
      <c r="A3955" s="387" t="s">
        <v>14984</v>
      </c>
      <c r="B3955" s="387" t="s">
        <v>7647</v>
      </c>
    </row>
    <row r="3956" spans="1:2">
      <c r="A3956" s="387" t="s">
        <v>14985</v>
      </c>
      <c r="B3956" s="387" t="s">
        <v>5918</v>
      </c>
    </row>
    <row r="3957" spans="1:2">
      <c r="A3957" s="387" t="s">
        <v>14986</v>
      </c>
      <c r="B3957" s="387" t="s">
        <v>8356</v>
      </c>
    </row>
    <row r="3958" spans="1:2">
      <c r="A3958" s="387" t="s">
        <v>14987</v>
      </c>
      <c r="B3958" s="387" t="s">
        <v>14988</v>
      </c>
    </row>
    <row r="3959" spans="1:2">
      <c r="A3959" s="387" t="s">
        <v>14989</v>
      </c>
      <c r="B3959" s="387" t="s">
        <v>7141</v>
      </c>
    </row>
    <row r="3960" spans="1:2">
      <c r="A3960" s="387" t="s">
        <v>14990</v>
      </c>
      <c r="B3960" s="387" t="s">
        <v>14468</v>
      </c>
    </row>
    <row r="3961" spans="1:2">
      <c r="A3961" s="387" t="s">
        <v>14991</v>
      </c>
      <c r="B3961" s="387" t="s">
        <v>14992</v>
      </c>
    </row>
    <row r="3962" spans="1:2">
      <c r="A3962" s="387" t="s">
        <v>14993</v>
      </c>
      <c r="B3962" s="387" t="s">
        <v>14994</v>
      </c>
    </row>
    <row r="3963" spans="1:2">
      <c r="A3963" s="387" t="s">
        <v>14995</v>
      </c>
      <c r="B3963" s="387" t="s">
        <v>14996</v>
      </c>
    </row>
    <row r="3964" spans="1:2">
      <c r="A3964" s="387" t="s">
        <v>14997</v>
      </c>
      <c r="B3964" s="387" t="s">
        <v>14998</v>
      </c>
    </row>
    <row r="3965" spans="1:2">
      <c r="A3965" s="387" t="s">
        <v>14999</v>
      </c>
      <c r="B3965" s="387" t="s">
        <v>13222</v>
      </c>
    </row>
    <row r="3966" spans="1:2">
      <c r="A3966" s="387" t="s">
        <v>15000</v>
      </c>
      <c r="B3966" s="387" t="s">
        <v>8419</v>
      </c>
    </row>
    <row r="3967" spans="1:2">
      <c r="A3967" s="387" t="s">
        <v>15001</v>
      </c>
      <c r="B3967" s="387" t="s">
        <v>2248</v>
      </c>
    </row>
    <row r="3968" spans="1:2">
      <c r="A3968" s="387" t="s">
        <v>15002</v>
      </c>
      <c r="B3968" s="387" t="s">
        <v>15003</v>
      </c>
    </row>
    <row r="3969" spans="1:2">
      <c r="A3969" s="387" t="s">
        <v>15004</v>
      </c>
      <c r="B3969" s="387" t="s">
        <v>15005</v>
      </c>
    </row>
    <row r="3970" spans="1:2">
      <c r="A3970" s="387" t="s">
        <v>15006</v>
      </c>
      <c r="B3970" s="387" t="s">
        <v>8426</v>
      </c>
    </row>
    <row r="3971" spans="1:2">
      <c r="A3971" s="387" t="s">
        <v>15007</v>
      </c>
      <c r="B3971" s="387" t="s">
        <v>7506</v>
      </c>
    </row>
    <row r="3972" spans="1:2">
      <c r="A3972" s="387" t="s">
        <v>15008</v>
      </c>
      <c r="B3972" s="387" t="s">
        <v>15009</v>
      </c>
    </row>
    <row r="3973" spans="1:2">
      <c r="A3973" s="387" t="s">
        <v>15010</v>
      </c>
      <c r="B3973" s="387" t="s">
        <v>15011</v>
      </c>
    </row>
    <row r="3974" spans="1:2">
      <c r="A3974" s="387" t="s">
        <v>15012</v>
      </c>
      <c r="B3974" s="387" t="s">
        <v>7118</v>
      </c>
    </row>
    <row r="3975" spans="1:2">
      <c r="A3975" s="387" t="s">
        <v>15013</v>
      </c>
      <c r="B3975" s="387" t="s">
        <v>15014</v>
      </c>
    </row>
    <row r="3976" spans="1:2">
      <c r="A3976" s="387" t="s">
        <v>15015</v>
      </c>
      <c r="B3976" s="387" t="s">
        <v>15016</v>
      </c>
    </row>
    <row r="3977" spans="1:2">
      <c r="A3977" s="387" t="s">
        <v>15017</v>
      </c>
      <c r="B3977" s="387" t="s">
        <v>15018</v>
      </c>
    </row>
    <row r="3978" spans="1:2">
      <c r="A3978" s="387" t="s">
        <v>15019</v>
      </c>
      <c r="B3978" s="387" t="s">
        <v>14502</v>
      </c>
    </row>
    <row r="3979" spans="1:2">
      <c r="A3979" s="387" t="s">
        <v>15020</v>
      </c>
      <c r="B3979" s="387" t="s">
        <v>15021</v>
      </c>
    </row>
    <row r="3980" spans="1:2">
      <c r="A3980" s="387" t="s">
        <v>15022</v>
      </c>
      <c r="B3980" s="387" t="s">
        <v>15023</v>
      </c>
    </row>
    <row r="3981" spans="1:2">
      <c r="A3981" s="387" t="s">
        <v>15024</v>
      </c>
      <c r="B3981" s="387" t="s">
        <v>1671</v>
      </c>
    </row>
    <row r="3982" spans="1:2">
      <c r="A3982" s="387" t="s">
        <v>15025</v>
      </c>
      <c r="B3982" s="387" t="s">
        <v>15026</v>
      </c>
    </row>
    <row r="3983" spans="1:2">
      <c r="A3983" s="387" t="s">
        <v>15027</v>
      </c>
      <c r="B3983" s="387" t="s">
        <v>15028</v>
      </c>
    </row>
    <row r="3984" spans="1:2">
      <c r="A3984" s="387" t="s">
        <v>15029</v>
      </c>
      <c r="B3984" s="387" t="s">
        <v>8455</v>
      </c>
    </row>
    <row r="3985" spans="1:2">
      <c r="A3985" s="387" t="s">
        <v>15030</v>
      </c>
      <c r="B3985" s="387" t="s">
        <v>15031</v>
      </c>
    </row>
    <row r="3986" spans="1:2">
      <c r="A3986" s="387" t="s">
        <v>15032</v>
      </c>
      <c r="B3986" s="387" t="s">
        <v>15033</v>
      </c>
    </row>
    <row r="3987" spans="1:2">
      <c r="A3987" s="387" t="s">
        <v>15034</v>
      </c>
      <c r="B3987" s="387" t="s">
        <v>15035</v>
      </c>
    </row>
    <row r="3988" spans="1:2">
      <c r="A3988" s="387" t="s">
        <v>15036</v>
      </c>
      <c r="B3988" s="387" t="s">
        <v>8458</v>
      </c>
    </row>
    <row r="3989" spans="1:2">
      <c r="A3989" s="387" t="s">
        <v>15037</v>
      </c>
      <c r="B3989" s="387" t="s">
        <v>8460</v>
      </c>
    </row>
    <row r="3990" spans="1:2">
      <c r="A3990" s="387" t="s">
        <v>15038</v>
      </c>
      <c r="B3990" s="387" t="s">
        <v>15039</v>
      </c>
    </row>
    <row r="3991" spans="1:2">
      <c r="A3991" s="387" t="s">
        <v>15040</v>
      </c>
      <c r="B3991" s="387" t="s">
        <v>15041</v>
      </c>
    </row>
    <row r="3992" spans="1:2">
      <c r="A3992" s="387" t="s">
        <v>15042</v>
      </c>
      <c r="B3992" s="387" t="s">
        <v>15043</v>
      </c>
    </row>
    <row r="3993" spans="1:2">
      <c r="A3993" s="387" t="s">
        <v>15044</v>
      </c>
      <c r="B3993" s="387" t="s">
        <v>15045</v>
      </c>
    </row>
    <row r="3994" spans="1:2">
      <c r="A3994" s="387" t="s">
        <v>15046</v>
      </c>
      <c r="B3994" s="387" t="s">
        <v>7352</v>
      </c>
    </row>
    <row r="3995" spans="1:2">
      <c r="A3995" s="387" t="s">
        <v>15047</v>
      </c>
      <c r="B3995" s="387" t="s">
        <v>8492</v>
      </c>
    </row>
    <row r="3996" spans="1:2">
      <c r="A3996" s="387" t="s">
        <v>15048</v>
      </c>
      <c r="B3996" s="387" t="s">
        <v>15049</v>
      </c>
    </row>
    <row r="3997" spans="1:2">
      <c r="A3997" s="387" t="s">
        <v>15050</v>
      </c>
      <c r="B3997" s="387" t="s">
        <v>14457</v>
      </c>
    </row>
    <row r="3998" spans="1:2">
      <c r="A3998" s="387" t="s">
        <v>15051</v>
      </c>
      <c r="B3998" s="387" t="s">
        <v>15052</v>
      </c>
    </row>
    <row r="3999" spans="1:2">
      <c r="A3999" s="387" t="s">
        <v>15053</v>
      </c>
      <c r="B3999" s="387" t="s">
        <v>15054</v>
      </c>
    </row>
    <row r="4000" spans="1:2">
      <c r="A4000" s="387" t="s">
        <v>15055</v>
      </c>
      <c r="B4000" s="387" t="s">
        <v>15056</v>
      </c>
    </row>
    <row r="4001" spans="1:2">
      <c r="A4001" s="387" t="s">
        <v>15057</v>
      </c>
      <c r="B4001" s="387" t="s">
        <v>15058</v>
      </c>
    </row>
    <row r="4002" spans="1:2">
      <c r="A4002" s="387" t="s">
        <v>15059</v>
      </c>
      <c r="B4002" s="387" t="s">
        <v>8515</v>
      </c>
    </row>
    <row r="4003" spans="1:2">
      <c r="A4003" s="387" t="s">
        <v>15060</v>
      </c>
      <c r="B4003" s="387" t="s">
        <v>2772</v>
      </c>
    </row>
    <row r="4004" spans="1:2">
      <c r="A4004" s="387" t="s">
        <v>15061</v>
      </c>
      <c r="B4004" s="387" t="s">
        <v>15062</v>
      </c>
    </row>
    <row r="4005" spans="1:2">
      <c r="A4005" s="387" t="s">
        <v>15063</v>
      </c>
      <c r="B4005" s="387" t="s">
        <v>891</v>
      </c>
    </row>
    <row r="4006" spans="1:2">
      <c r="A4006" s="387" t="s">
        <v>15064</v>
      </c>
      <c r="B4006" s="387" t="s">
        <v>8559</v>
      </c>
    </row>
    <row r="4007" spans="1:2">
      <c r="A4007" s="387" t="s">
        <v>15065</v>
      </c>
      <c r="B4007" s="387" t="s">
        <v>8570</v>
      </c>
    </row>
    <row r="4008" spans="1:2">
      <c r="A4008" s="387" t="s">
        <v>15066</v>
      </c>
      <c r="B4008" s="387" t="s">
        <v>15067</v>
      </c>
    </row>
    <row r="4009" spans="1:2">
      <c r="A4009" s="387" t="s">
        <v>15068</v>
      </c>
      <c r="B4009" s="387" t="s">
        <v>15069</v>
      </c>
    </row>
    <row r="4010" spans="1:2">
      <c r="A4010" s="387" t="s">
        <v>15070</v>
      </c>
      <c r="B4010" s="387" t="s">
        <v>15071</v>
      </c>
    </row>
    <row r="4011" spans="1:2">
      <c r="A4011" s="387" t="s">
        <v>15072</v>
      </c>
      <c r="B4011" s="387" t="s">
        <v>15073</v>
      </c>
    </row>
    <row r="4012" spans="1:2">
      <c r="A4012" s="387" t="s">
        <v>15074</v>
      </c>
      <c r="B4012" s="387" t="s">
        <v>15075</v>
      </c>
    </row>
    <row r="4013" spans="1:2">
      <c r="A4013" s="387" t="s">
        <v>15076</v>
      </c>
      <c r="B4013" s="387" t="s">
        <v>8727</v>
      </c>
    </row>
    <row r="4014" spans="1:2">
      <c r="A4014" s="387" t="s">
        <v>15077</v>
      </c>
      <c r="B4014" s="387" t="s">
        <v>8742</v>
      </c>
    </row>
    <row r="4015" spans="1:2">
      <c r="A4015" s="387" t="s">
        <v>15078</v>
      </c>
      <c r="B4015" s="387" t="s">
        <v>8758</v>
      </c>
    </row>
    <row r="4016" spans="1:2">
      <c r="A4016" s="387" t="s">
        <v>15079</v>
      </c>
      <c r="B4016" s="387" t="s">
        <v>8777</v>
      </c>
    </row>
    <row r="4017" spans="1:2">
      <c r="A4017" s="387" t="s">
        <v>15080</v>
      </c>
      <c r="B4017" s="387" t="s">
        <v>15081</v>
      </c>
    </row>
    <row r="4018" spans="1:2">
      <c r="A4018" s="387" t="s">
        <v>15082</v>
      </c>
      <c r="B4018" s="387" t="s">
        <v>2045</v>
      </c>
    </row>
    <row r="4019" spans="1:2">
      <c r="A4019" s="387" t="s">
        <v>15083</v>
      </c>
      <c r="B4019" s="387" t="s">
        <v>8792</v>
      </c>
    </row>
    <row r="4020" spans="1:2">
      <c r="A4020" s="387" t="s">
        <v>15084</v>
      </c>
      <c r="B4020" s="387" t="s">
        <v>15085</v>
      </c>
    </row>
    <row r="4021" spans="1:2">
      <c r="A4021" s="387" t="s">
        <v>15086</v>
      </c>
      <c r="B4021" s="387" t="s">
        <v>960</v>
      </c>
    </row>
    <row r="4022" spans="1:2">
      <c r="A4022" s="387" t="s">
        <v>8006</v>
      </c>
      <c r="B4022" s="387" t="s">
        <v>1066</v>
      </c>
    </row>
    <row r="4023" spans="1:2">
      <c r="A4023" s="387" t="s">
        <v>15087</v>
      </c>
      <c r="B4023" s="387" t="s">
        <v>1572</v>
      </c>
    </row>
    <row r="4024" spans="1:2">
      <c r="A4024" s="387" t="s">
        <v>15088</v>
      </c>
      <c r="B4024" s="387" t="s">
        <v>2171</v>
      </c>
    </row>
    <row r="4025" spans="1:2">
      <c r="A4025" s="387" t="s">
        <v>15089</v>
      </c>
      <c r="B4025" s="387" t="s">
        <v>2511</v>
      </c>
    </row>
    <row r="4026" spans="1:2">
      <c r="A4026" s="387" t="s">
        <v>15090</v>
      </c>
      <c r="B4026" s="387" t="s">
        <v>3480</v>
      </c>
    </row>
    <row r="4027" spans="1:2">
      <c r="A4027" s="387" t="s">
        <v>15091</v>
      </c>
      <c r="B4027" s="387" t="s">
        <v>15092</v>
      </c>
    </row>
    <row r="4028" spans="1:2">
      <c r="A4028" s="387" t="s">
        <v>15093</v>
      </c>
      <c r="B4028" s="387" t="s">
        <v>3810</v>
      </c>
    </row>
    <row r="4029" spans="1:2">
      <c r="A4029" s="387" t="s">
        <v>15094</v>
      </c>
      <c r="B4029" s="387" t="s">
        <v>15095</v>
      </c>
    </row>
    <row r="4030" spans="1:2">
      <c r="A4030" s="387" t="s">
        <v>15096</v>
      </c>
      <c r="B4030" s="387" t="s">
        <v>4248</v>
      </c>
    </row>
    <row r="4031" spans="1:2">
      <c r="A4031" s="387" t="s">
        <v>15097</v>
      </c>
      <c r="B4031" s="387" t="s">
        <v>4360</v>
      </c>
    </row>
    <row r="4032" spans="1:2">
      <c r="A4032" s="387" t="s">
        <v>15098</v>
      </c>
      <c r="B4032" s="387" t="s">
        <v>4797</v>
      </c>
    </row>
    <row r="4033" spans="1:2">
      <c r="A4033" s="387" t="s">
        <v>15099</v>
      </c>
      <c r="B4033" s="387" t="s">
        <v>4861</v>
      </c>
    </row>
    <row r="4034" spans="1:2">
      <c r="A4034" s="387" t="s">
        <v>15100</v>
      </c>
      <c r="B4034" s="387" t="s">
        <v>5113</v>
      </c>
    </row>
    <row r="4035" spans="1:2">
      <c r="A4035" s="387" t="s">
        <v>15101</v>
      </c>
      <c r="B4035" s="387" t="s">
        <v>3781</v>
      </c>
    </row>
    <row r="4036" spans="1:2">
      <c r="A4036" s="387" t="s">
        <v>15102</v>
      </c>
      <c r="B4036" s="387" t="s">
        <v>5558</v>
      </c>
    </row>
    <row r="4037" spans="1:2">
      <c r="A4037" s="387" t="s">
        <v>15103</v>
      </c>
      <c r="B4037" s="387" t="s">
        <v>2734</v>
      </c>
    </row>
    <row r="4038" spans="1:2">
      <c r="A4038" s="387" t="s">
        <v>15104</v>
      </c>
      <c r="B4038" s="387" t="s">
        <v>15105</v>
      </c>
    </row>
    <row r="4039" spans="1:2">
      <c r="A4039" s="387" t="s">
        <v>15106</v>
      </c>
      <c r="B4039" s="387" t="s">
        <v>6190</v>
      </c>
    </row>
    <row r="4040" spans="1:2">
      <c r="A4040" s="387" t="s">
        <v>15107</v>
      </c>
      <c r="B4040" s="387" t="s">
        <v>15108</v>
      </c>
    </row>
    <row r="4041" spans="1:2">
      <c r="A4041" s="387" t="s">
        <v>15109</v>
      </c>
      <c r="B4041" s="387" t="s">
        <v>13957</v>
      </c>
    </row>
    <row r="4042" spans="1:2">
      <c r="A4042" s="387" t="s">
        <v>15110</v>
      </c>
      <c r="B4042" s="387" t="s">
        <v>6712</v>
      </c>
    </row>
    <row r="4043" spans="1:2">
      <c r="A4043" s="387" t="s">
        <v>15111</v>
      </c>
      <c r="B4043" s="387" t="s">
        <v>6723</v>
      </c>
    </row>
    <row r="4044" spans="1:2">
      <c r="A4044" s="387" t="s">
        <v>15112</v>
      </c>
      <c r="B4044" s="387" t="s">
        <v>1580</v>
      </c>
    </row>
    <row r="4045" spans="1:2">
      <c r="A4045" s="387" t="s">
        <v>15113</v>
      </c>
      <c r="B4045" s="387" t="s">
        <v>15114</v>
      </c>
    </row>
    <row r="4046" spans="1:2">
      <c r="A4046" s="387" t="s">
        <v>15115</v>
      </c>
      <c r="B4046" s="387" t="s">
        <v>4680</v>
      </c>
    </row>
    <row r="4047" spans="1:2">
      <c r="A4047" s="387" t="s">
        <v>15116</v>
      </c>
      <c r="B4047" s="387" t="s">
        <v>15117</v>
      </c>
    </row>
    <row r="4048" spans="1:2">
      <c r="A4048" s="387" t="s">
        <v>15118</v>
      </c>
      <c r="B4048" s="387" t="s">
        <v>15119</v>
      </c>
    </row>
    <row r="4049" spans="1:2">
      <c r="A4049" s="387" t="s">
        <v>15120</v>
      </c>
      <c r="B4049" s="387" t="s">
        <v>6778</v>
      </c>
    </row>
    <row r="4050" spans="1:2">
      <c r="A4050" s="387" t="s">
        <v>15121</v>
      </c>
      <c r="B4050" s="387" t="s">
        <v>6974</v>
      </c>
    </row>
    <row r="4051" spans="1:2">
      <c r="A4051" s="387" t="s">
        <v>15122</v>
      </c>
      <c r="B4051" s="387" t="s">
        <v>7081</v>
      </c>
    </row>
    <row r="4052" spans="1:2">
      <c r="A4052" s="387" t="s">
        <v>15123</v>
      </c>
      <c r="B4052" s="387" t="s">
        <v>15124</v>
      </c>
    </row>
    <row r="4053" spans="1:2">
      <c r="A4053" s="387" t="s">
        <v>15125</v>
      </c>
      <c r="B4053" s="387" t="s">
        <v>15126</v>
      </c>
    </row>
    <row r="4054" spans="1:2">
      <c r="A4054" s="387" t="s">
        <v>15127</v>
      </c>
      <c r="B4054" s="387" t="s">
        <v>7148</v>
      </c>
    </row>
    <row r="4055" spans="1:2">
      <c r="A4055" s="387" t="s">
        <v>15128</v>
      </c>
      <c r="B4055" s="387" t="s">
        <v>15129</v>
      </c>
    </row>
    <row r="4056" spans="1:2">
      <c r="A4056" s="387" t="s">
        <v>15130</v>
      </c>
      <c r="B4056" s="387" t="s">
        <v>2845</v>
      </c>
    </row>
    <row r="4057" spans="1:2">
      <c r="A4057" s="387" t="s">
        <v>15131</v>
      </c>
      <c r="B4057" s="387" t="s">
        <v>7161</v>
      </c>
    </row>
    <row r="4058" spans="1:2">
      <c r="A4058" s="387" t="s">
        <v>15132</v>
      </c>
      <c r="B4058" s="387" t="s">
        <v>15133</v>
      </c>
    </row>
    <row r="4059" spans="1:2">
      <c r="A4059" s="387" t="s">
        <v>15134</v>
      </c>
      <c r="B4059" s="387" t="s">
        <v>7277</v>
      </c>
    </row>
    <row r="4060" spans="1:2">
      <c r="A4060" s="387" t="s">
        <v>15135</v>
      </c>
      <c r="B4060" s="387" t="s">
        <v>1094</v>
      </c>
    </row>
    <row r="4061" spans="1:2">
      <c r="A4061" s="387" t="s">
        <v>15136</v>
      </c>
      <c r="B4061" s="387" t="s">
        <v>15137</v>
      </c>
    </row>
    <row r="4062" spans="1:2">
      <c r="A4062" s="387" t="s">
        <v>15138</v>
      </c>
      <c r="B4062" s="387" t="s">
        <v>5424</v>
      </c>
    </row>
    <row r="4063" spans="1:2">
      <c r="A4063" s="387" t="s">
        <v>15139</v>
      </c>
      <c r="B4063" s="387" t="s">
        <v>15140</v>
      </c>
    </row>
    <row r="4064" spans="1:2">
      <c r="A4064" s="387" t="s">
        <v>15141</v>
      </c>
      <c r="B4064" s="387" t="s">
        <v>7442</v>
      </c>
    </row>
    <row r="4065" spans="1:2">
      <c r="A4065" s="387" t="s">
        <v>15142</v>
      </c>
      <c r="B4065" s="387" t="s">
        <v>15143</v>
      </c>
    </row>
    <row r="4066" spans="1:2">
      <c r="A4066" s="387" t="s">
        <v>15144</v>
      </c>
      <c r="B4066" s="387" t="s">
        <v>15145</v>
      </c>
    </row>
    <row r="4067" spans="1:2">
      <c r="A4067" s="387" t="s">
        <v>15146</v>
      </c>
      <c r="B4067" s="387" t="s">
        <v>14974</v>
      </c>
    </row>
    <row r="4068" spans="1:2">
      <c r="A4068" s="387" t="s">
        <v>15147</v>
      </c>
      <c r="B4068" s="387" t="s">
        <v>15148</v>
      </c>
    </row>
    <row r="4069" spans="1:2">
      <c r="A4069" s="387" t="s">
        <v>15149</v>
      </c>
      <c r="B4069" s="387" t="s">
        <v>15150</v>
      </c>
    </row>
    <row r="4070" spans="1:2">
      <c r="A4070" s="387" t="s">
        <v>15151</v>
      </c>
      <c r="B4070" s="387" t="s">
        <v>1083</v>
      </c>
    </row>
    <row r="4071" spans="1:2">
      <c r="A4071" s="387" t="s">
        <v>15152</v>
      </c>
      <c r="B4071" s="387" t="s">
        <v>15153</v>
      </c>
    </row>
    <row r="4072" spans="1:2">
      <c r="A4072" s="387" t="s">
        <v>15154</v>
      </c>
      <c r="B4072" s="387" t="s">
        <v>15155</v>
      </c>
    </row>
    <row r="4073" spans="1:2">
      <c r="A4073" s="387" t="s">
        <v>15156</v>
      </c>
      <c r="B4073" s="387" t="s">
        <v>15157</v>
      </c>
    </row>
    <row r="4074" spans="1:2">
      <c r="A4074" s="387" t="s">
        <v>15158</v>
      </c>
      <c r="B4074" s="387" t="s">
        <v>15159</v>
      </c>
    </row>
    <row r="4075" spans="1:2">
      <c r="A4075" s="387" t="s">
        <v>15160</v>
      </c>
      <c r="B4075" s="387" t="s">
        <v>2173</v>
      </c>
    </row>
    <row r="4076" spans="1:2">
      <c r="A4076" s="387" t="s">
        <v>15161</v>
      </c>
      <c r="B4076" s="387" t="s">
        <v>15162</v>
      </c>
    </row>
    <row r="4077" spans="1:2">
      <c r="A4077" s="387" t="s">
        <v>15163</v>
      </c>
      <c r="B4077" s="387" t="s">
        <v>15164</v>
      </c>
    </row>
    <row r="4078" spans="1:2">
      <c r="A4078" s="387" t="s">
        <v>15165</v>
      </c>
      <c r="B4078" s="387" t="s">
        <v>15166</v>
      </c>
    </row>
    <row r="4079" spans="1:2">
      <c r="A4079" s="387" t="s">
        <v>15167</v>
      </c>
      <c r="B4079" s="387" t="s">
        <v>15168</v>
      </c>
    </row>
    <row r="4080" spans="1:2">
      <c r="A4080" s="387" t="s">
        <v>15169</v>
      </c>
      <c r="B4080" s="387" t="s">
        <v>15170</v>
      </c>
    </row>
    <row r="4081" spans="1:2">
      <c r="A4081" s="387" t="s">
        <v>15171</v>
      </c>
      <c r="B4081" s="387" t="s">
        <v>1556</v>
      </c>
    </row>
    <row r="4082" spans="1:2">
      <c r="A4082" s="387" t="s">
        <v>15172</v>
      </c>
      <c r="B4082" s="387" t="s">
        <v>15173</v>
      </c>
    </row>
    <row r="4083" spans="1:2">
      <c r="A4083" s="387" t="s">
        <v>15174</v>
      </c>
      <c r="B4083" s="387" t="s">
        <v>15175</v>
      </c>
    </row>
    <row r="4084" spans="1:2">
      <c r="A4084" s="387" t="s">
        <v>15176</v>
      </c>
      <c r="B4084" s="387" t="s">
        <v>8366</v>
      </c>
    </row>
    <row r="4085" spans="1:2">
      <c r="A4085" s="387" t="s">
        <v>10066</v>
      </c>
      <c r="B4085" s="387" t="s">
        <v>15177</v>
      </c>
    </row>
    <row r="4086" spans="1:2">
      <c r="A4086" s="387" t="s">
        <v>10086</v>
      </c>
      <c r="B4086" s="387" t="s">
        <v>11933</v>
      </c>
    </row>
    <row r="4087" spans="1:2">
      <c r="A4087" s="387" t="s">
        <v>275</v>
      </c>
      <c r="B4087" s="387" t="s">
        <v>930</v>
      </c>
    </row>
    <row r="4088" spans="1:2">
      <c r="A4088" s="387" t="s">
        <v>269</v>
      </c>
      <c r="B4088" s="387" t="s">
        <v>5455</v>
      </c>
    </row>
    <row r="4089" spans="1:2">
      <c r="A4089" s="387" t="s">
        <v>270</v>
      </c>
      <c r="B4089" s="387" t="s">
        <v>9762</v>
      </c>
    </row>
    <row r="4090" spans="1:2">
      <c r="A4090" s="387" t="s">
        <v>211</v>
      </c>
      <c r="B4090" s="387" t="s">
        <v>2244</v>
      </c>
    </row>
    <row r="4091" spans="1:2">
      <c r="A4091" s="387" t="s">
        <v>273</v>
      </c>
      <c r="B4091" s="387" t="s">
        <v>1356</v>
      </c>
    </row>
    <row r="4092" spans="1:2">
      <c r="A4092" s="387" t="s">
        <v>272</v>
      </c>
      <c r="B4092" s="387" t="s">
        <v>9772</v>
      </c>
    </row>
    <row r="4093" spans="1:2">
      <c r="A4093" s="387" t="s">
        <v>7789</v>
      </c>
      <c r="B4093" s="387" t="s">
        <v>7781</v>
      </c>
    </row>
    <row r="4094" spans="1:2">
      <c r="A4094" s="387" t="s">
        <v>8002</v>
      </c>
      <c r="B4094" s="387" t="s">
        <v>15178</v>
      </c>
    </row>
    <row r="4095" spans="1:2">
      <c r="A4095" s="387" t="s">
        <v>8679</v>
      </c>
      <c r="B4095" s="387" t="s">
        <v>8678</v>
      </c>
    </row>
    <row r="4096" spans="1:2">
      <c r="A4096" s="387" t="s">
        <v>174</v>
      </c>
      <c r="B4096" s="387" t="s">
        <v>703</v>
      </c>
    </row>
    <row r="4097" spans="1:2">
      <c r="A4097" s="387" t="s">
        <v>170</v>
      </c>
      <c r="B4097" s="387" t="s">
        <v>4208</v>
      </c>
    </row>
    <row r="4098" spans="1:2">
      <c r="A4098" s="387" t="s">
        <v>200</v>
      </c>
      <c r="B4098" s="387" t="s">
        <v>1621</v>
      </c>
    </row>
    <row r="4099" spans="1:2">
      <c r="A4099" s="387" t="s">
        <v>15179</v>
      </c>
      <c r="B4099" s="387" t="s">
        <v>1420</v>
      </c>
    </row>
    <row r="4100" spans="1:2">
      <c r="A4100" s="387" t="s">
        <v>816</v>
      </c>
      <c r="B4100" s="387" t="s">
        <v>2438</v>
      </c>
    </row>
    <row r="4101" spans="1:2">
      <c r="A4101" s="387" t="s">
        <v>169</v>
      </c>
      <c r="B4101" s="387" t="s">
        <v>3311</v>
      </c>
    </row>
    <row r="4102" spans="1:2">
      <c r="A4102" s="387" t="s">
        <v>15180</v>
      </c>
      <c r="B4102" s="387" t="s">
        <v>8141</v>
      </c>
    </row>
    <row r="4103" spans="1:2">
      <c r="A4103" s="387" t="s">
        <v>15181</v>
      </c>
      <c r="B4103" s="387" t="s">
        <v>15182</v>
      </c>
    </row>
    <row r="4104" spans="1:2">
      <c r="A4104" s="387" t="s">
        <v>816</v>
      </c>
      <c r="B4104" s="387" t="s">
        <v>2438</v>
      </c>
    </row>
    <row r="4105" spans="1:2">
      <c r="A4105" s="387" t="s">
        <v>168</v>
      </c>
      <c r="B4105" s="387" t="s">
        <v>2720</v>
      </c>
    </row>
    <row r="4106" spans="1:2">
      <c r="A4106" s="387" t="s">
        <v>15183</v>
      </c>
      <c r="B4106" s="387" t="s">
        <v>955</v>
      </c>
    </row>
    <row r="4107" spans="1:2">
      <c r="A4107" s="387" t="s">
        <v>816</v>
      </c>
      <c r="B4107" s="387" t="s">
        <v>2438</v>
      </c>
    </row>
    <row r="4108" spans="1:2">
      <c r="A4108" s="387" t="s">
        <v>15184</v>
      </c>
      <c r="B4108" s="387" t="s">
        <v>3286</v>
      </c>
    </row>
    <row r="4109" spans="1:2">
      <c r="A4109" s="387" t="s">
        <v>15185</v>
      </c>
      <c r="B4109" s="387" t="s">
        <v>3932</v>
      </c>
    </row>
    <row r="4110" spans="1:2">
      <c r="A4110" s="387" t="s">
        <v>15186</v>
      </c>
      <c r="B4110" s="387" t="s">
        <v>15187</v>
      </c>
    </row>
    <row r="4111" spans="1:2">
      <c r="A4111" s="387" t="s">
        <v>15188</v>
      </c>
      <c r="B4111" s="387" t="s">
        <v>1328</v>
      </c>
    </row>
    <row r="4112" spans="1:2">
      <c r="A4112" s="387" t="s">
        <v>15189</v>
      </c>
      <c r="B4112" s="387" t="s">
        <v>1401</v>
      </c>
    </row>
    <row r="4113" spans="1:2">
      <c r="A4113" s="387" t="s">
        <v>15190</v>
      </c>
      <c r="B4113" s="387" t="s">
        <v>1374</v>
      </c>
    </row>
    <row r="4114" spans="1:2">
      <c r="A4114" s="387" t="s">
        <v>15191</v>
      </c>
      <c r="B4114" s="387" t="s">
        <v>5132</v>
      </c>
    </row>
    <row r="4115" spans="1:2">
      <c r="A4115" s="387" t="s">
        <v>15192</v>
      </c>
      <c r="B4115" s="387" t="s">
        <v>2173</v>
      </c>
    </row>
    <row r="4116" spans="1:2">
      <c r="A4116" s="387" t="s">
        <v>15193</v>
      </c>
      <c r="B4116" s="387" t="s">
        <v>2280</v>
      </c>
    </row>
    <row r="4117" spans="1:2">
      <c r="A4117" s="387" t="s">
        <v>15194</v>
      </c>
      <c r="B4117" s="387" t="s">
        <v>1374</v>
      </c>
    </row>
    <row r="4118" spans="1:2">
      <c r="A4118" s="387" t="s">
        <v>15195</v>
      </c>
      <c r="B4118" s="387" t="s">
        <v>2301</v>
      </c>
    </row>
    <row r="4119" spans="1:2">
      <c r="A4119" s="387" t="s">
        <v>15196</v>
      </c>
      <c r="B4119" s="387" t="s">
        <v>2569</v>
      </c>
    </row>
    <row r="4120" spans="1:2">
      <c r="A4120" s="387" t="s">
        <v>15197</v>
      </c>
      <c r="B4120" s="387" t="s">
        <v>2684</v>
      </c>
    </row>
    <row r="4121" spans="1:2">
      <c r="A4121" s="387" t="s">
        <v>15198</v>
      </c>
      <c r="B4121" s="387" t="s">
        <v>1852</v>
      </c>
    </row>
    <row r="4122" spans="1:2">
      <c r="A4122" s="387" t="s">
        <v>15199</v>
      </c>
      <c r="B4122" s="387" t="s">
        <v>2943</v>
      </c>
    </row>
    <row r="4123" spans="1:2">
      <c r="A4123" s="387" t="s">
        <v>15200</v>
      </c>
      <c r="B4123" s="387" t="s">
        <v>3861</v>
      </c>
    </row>
    <row r="4124" spans="1:2">
      <c r="A4124" s="387" t="s">
        <v>15201</v>
      </c>
      <c r="B4124" s="387" t="s">
        <v>3906</v>
      </c>
    </row>
    <row r="4125" spans="1:2">
      <c r="A4125" s="387" t="s">
        <v>15202</v>
      </c>
      <c r="B4125" s="387" t="s">
        <v>1804</v>
      </c>
    </row>
    <row r="4126" spans="1:2">
      <c r="A4126" s="387" t="s">
        <v>15203</v>
      </c>
      <c r="B4126" s="387" t="s">
        <v>4339</v>
      </c>
    </row>
    <row r="4127" spans="1:2">
      <c r="A4127" s="387" t="s">
        <v>15204</v>
      </c>
      <c r="B4127" s="387" t="s">
        <v>4853</v>
      </c>
    </row>
    <row r="4128" spans="1:2">
      <c r="A4128" s="387" t="s">
        <v>15205</v>
      </c>
      <c r="B4128" s="387" t="s">
        <v>1500</v>
      </c>
    </row>
    <row r="4129" spans="1:2">
      <c r="A4129" s="387" t="s">
        <v>15206</v>
      </c>
      <c r="B4129" s="387" t="s">
        <v>5376</v>
      </c>
    </row>
    <row r="4130" spans="1:2">
      <c r="A4130" s="387" t="s">
        <v>15207</v>
      </c>
      <c r="B4130" s="387" t="s">
        <v>6037</v>
      </c>
    </row>
    <row r="4131" spans="1:2">
      <c r="A4131" s="387" t="s">
        <v>15208</v>
      </c>
      <c r="B4131" s="387" t="s">
        <v>6196</v>
      </c>
    </row>
    <row r="4132" spans="1:2">
      <c r="A4132" s="387" t="s">
        <v>15209</v>
      </c>
      <c r="B4132" s="387" t="s">
        <v>6308</v>
      </c>
    </row>
    <row r="4133" spans="1:2">
      <c r="A4133" s="387" t="s">
        <v>15210</v>
      </c>
      <c r="B4133" s="387" t="s">
        <v>891</v>
      </c>
    </row>
    <row r="4134" spans="1:2">
      <c r="A4134" s="387" t="s">
        <v>15211</v>
      </c>
      <c r="B4134" s="387" t="s">
        <v>15212</v>
      </c>
    </row>
    <row r="4135" spans="1:2">
      <c r="A4135" s="387" t="s">
        <v>15213</v>
      </c>
      <c r="B4135" s="387" t="s">
        <v>1399</v>
      </c>
    </row>
    <row r="4136" spans="1:2">
      <c r="A4136" s="387" t="s">
        <v>15214</v>
      </c>
      <c r="B4136" s="387" t="s">
        <v>1403</v>
      </c>
    </row>
    <row r="4137" spans="1:2">
      <c r="A4137" s="387" t="s">
        <v>15215</v>
      </c>
      <c r="B4137" s="387" t="s">
        <v>2278</v>
      </c>
    </row>
    <row r="4138" spans="1:2">
      <c r="A4138" s="387" t="s">
        <v>816</v>
      </c>
      <c r="B4138" s="387" t="s">
        <v>2438</v>
      </c>
    </row>
    <row r="4139" spans="1:2">
      <c r="A4139" s="387" t="s">
        <v>15216</v>
      </c>
      <c r="B4139" s="387" t="s">
        <v>2932</v>
      </c>
    </row>
    <row r="4140" spans="1:2">
      <c r="A4140" s="387" t="s">
        <v>15217</v>
      </c>
      <c r="B4140" s="387" t="s">
        <v>15218</v>
      </c>
    </row>
    <row r="4141" spans="1:2">
      <c r="A4141" s="387" t="s">
        <v>15219</v>
      </c>
      <c r="B4141" s="387" t="s">
        <v>1041</v>
      </c>
    </row>
    <row r="4142" spans="1:2">
      <c r="A4142" s="387" t="s">
        <v>15220</v>
      </c>
      <c r="B4142" s="387" t="s">
        <v>3315</v>
      </c>
    </row>
    <row r="4143" spans="1:2">
      <c r="A4143" s="387" t="s">
        <v>15221</v>
      </c>
      <c r="B4143" s="387" t="s">
        <v>3349</v>
      </c>
    </row>
    <row r="4144" spans="1:2">
      <c r="A4144" s="387" t="s">
        <v>15222</v>
      </c>
      <c r="B4144" s="387" t="s">
        <v>4099</v>
      </c>
    </row>
    <row r="4145" spans="1:2">
      <c r="A4145" s="387" t="s">
        <v>15223</v>
      </c>
      <c r="B4145" s="387" t="s">
        <v>4440</v>
      </c>
    </row>
    <row r="4146" spans="1:2">
      <c r="A4146" s="387" t="s">
        <v>15224</v>
      </c>
      <c r="B4146" s="387" t="s">
        <v>4459</v>
      </c>
    </row>
    <row r="4147" spans="1:2">
      <c r="A4147" s="387" t="s">
        <v>15225</v>
      </c>
      <c r="B4147" s="387" t="s">
        <v>2463</v>
      </c>
    </row>
    <row r="4148" spans="1:2">
      <c r="A4148" s="387" t="s">
        <v>15226</v>
      </c>
      <c r="B4148" s="387" t="s">
        <v>4351</v>
      </c>
    </row>
    <row r="4149" spans="1:2">
      <c r="A4149" s="387" t="s">
        <v>15227</v>
      </c>
      <c r="B4149" s="387" t="s">
        <v>5105</v>
      </c>
    </row>
    <row r="4150" spans="1:2">
      <c r="A4150" s="387" t="s">
        <v>15228</v>
      </c>
      <c r="B4150" s="387" t="s">
        <v>1818</v>
      </c>
    </row>
    <row r="4151" spans="1:2">
      <c r="A4151" s="387" t="s">
        <v>15229</v>
      </c>
      <c r="B4151" s="387" t="s">
        <v>15230</v>
      </c>
    </row>
    <row r="4152" spans="1:2">
      <c r="A4152" s="387" t="s">
        <v>15231</v>
      </c>
      <c r="B4152" s="387" t="s">
        <v>5464</v>
      </c>
    </row>
    <row r="4153" spans="1:2">
      <c r="A4153" s="387" t="s">
        <v>15232</v>
      </c>
      <c r="B4153" s="387" t="s">
        <v>1175</v>
      </c>
    </row>
    <row r="4154" spans="1:2">
      <c r="A4154" s="387" t="s">
        <v>15233</v>
      </c>
      <c r="B4154" s="387" t="s">
        <v>2984</v>
      </c>
    </row>
    <row r="4155" spans="1:2">
      <c r="A4155" s="387" t="s">
        <v>15234</v>
      </c>
      <c r="B4155" s="387" t="s">
        <v>2028</v>
      </c>
    </row>
    <row r="4156" spans="1:2">
      <c r="A4156" s="387" t="s">
        <v>15235</v>
      </c>
      <c r="B4156" s="387" t="s">
        <v>15236</v>
      </c>
    </row>
    <row r="4157" spans="1:2">
      <c r="A4157" s="387" t="s">
        <v>15237</v>
      </c>
      <c r="B4157" s="387" t="s">
        <v>1580</v>
      </c>
    </row>
    <row r="4158" spans="1:2">
      <c r="A4158" s="387" t="s">
        <v>15238</v>
      </c>
      <c r="B4158" s="387" t="s">
        <v>15239</v>
      </c>
    </row>
    <row r="4159" spans="1:2">
      <c r="A4159" s="387" t="s">
        <v>15240</v>
      </c>
      <c r="B4159" s="387" t="s">
        <v>7823</v>
      </c>
    </row>
    <row r="4160" spans="1:2">
      <c r="A4160" s="387" t="s">
        <v>15241</v>
      </c>
      <c r="B4160" s="387" t="s">
        <v>2474</v>
      </c>
    </row>
    <row r="4161" spans="1:2">
      <c r="A4161" s="387" t="s">
        <v>15242</v>
      </c>
      <c r="B4161" s="387" t="s">
        <v>2474</v>
      </c>
    </row>
    <row r="4162" spans="1:2">
      <c r="A4162" s="387" t="s">
        <v>15243</v>
      </c>
      <c r="B4162" s="387" t="s">
        <v>3818</v>
      </c>
    </row>
    <row r="4163" spans="1:2">
      <c r="A4163" s="387" t="s">
        <v>15244</v>
      </c>
      <c r="B4163" s="387" t="s">
        <v>7900</v>
      </c>
    </row>
    <row r="4164" spans="1:2">
      <c r="A4164" s="387" t="s">
        <v>15245</v>
      </c>
      <c r="B4164" s="387" t="s">
        <v>7902</v>
      </c>
    </row>
    <row r="4165" spans="1:2">
      <c r="A4165" s="387" t="s">
        <v>15246</v>
      </c>
      <c r="B4165" s="387" t="s">
        <v>4665</v>
      </c>
    </row>
    <row r="4166" spans="1:2">
      <c r="A4166" s="387" t="s">
        <v>15247</v>
      </c>
      <c r="B4166" s="387" t="s">
        <v>7905</v>
      </c>
    </row>
    <row r="4167" spans="1:2">
      <c r="A4167" s="387" t="s">
        <v>15248</v>
      </c>
      <c r="B4167" s="387" t="s">
        <v>15249</v>
      </c>
    </row>
    <row r="4168" spans="1:2">
      <c r="A4168" s="387" t="s">
        <v>15250</v>
      </c>
      <c r="B4168" s="387" t="s">
        <v>891</v>
      </c>
    </row>
    <row r="4169" spans="1:2">
      <c r="A4169" s="387" t="s">
        <v>15251</v>
      </c>
      <c r="B4169" s="387" t="s">
        <v>15252</v>
      </c>
    </row>
    <row r="4170" spans="1:2">
      <c r="A4170" s="387" t="s">
        <v>15253</v>
      </c>
      <c r="B4170" s="387" t="s">
        <v>8318</v>
      </c>
    </row>
    <row r="4171" spans="1:2">
      <c r="A4171" s="387" t="s">
        <v>15254</v>
      </c>
      <c r="B4171" s="387" t="s">
        <v>9127</v>
      </c>
    </row>
    <row r="4172" spans="1:2">
      <c r="A4172" s="387" t="s">
        <v>15255</v>
      </c>
      <c r="B4172" s="387" t="s">
        <v>3501</v>
      </c>
    </row>
    <row r="4173" spans="1:2">
      <c r="A4173" s="387" t="s">
        <v>15256</v>
      </c>
      <c r="B4173" s="387" t="s">
        <v>15257</v>
      </c>
    </row>
    <row r="4174" spans="1:2">
      <c r="A4174" s="387" t="s">
        <v>15258</v>
      </c>
      <c r="B4174" s="387" t="s">
        <v>5092</v>
      </c>
    </row>
    <row r="4175" spans="1:2">
      <c r="A4175" s="387" t="s">
        <v>15259</v>
      </c>
      <c r="B4175" s="387" t="s">
        <v>12056</v>
      </c>
    </row>
    <row r="4176" spans="1:2">
      <c r="A4176" s="387" t="s">
        <v>15260</v>
      </c>
      <c r="B4176" s="387" t="s">
        <v>1327</v>
      </c>
    </row>
    <row r="4177" spans="1:2">
      <c r="A4177" s="387" t="s">
        <v>15261</v>
      </c>
      <c r="B4177" s="387" t="s">
        <v>3154</v>
      </c>
    </row>
    <row r="4178" spans="1:2">
      <c r="A4178" s="387" t="s">
        <v>15262</v>
      </c>
      <c r="B4178" s="387" t="s">
        <v>8429</v>
      </c>
    </row>
    <row r="4179" spans="1:2">
      <c r="A4179" s="387" t="s">
        <v>15263</v>
      </c>
      <c r="B4179" s="387" t="s">
        <v>8456</v>
      </c>
    </row>
    <row r="4180" spans="1:2">
      <c r="A4180" s="387" t="s">
        <v>15264</v>
      </c>
      <c r="B4180" s="387" t="s">
        <v>3197</v>
      </c>
    </row>
    <row r="4181" spans="1:2">
      <c r="A4181" s="387" t="s">
        <v>15265</v>
      </c>
      <c r="B4181" s="387" t="s">
        <v>8504</v>
      </c>
    </row>
    <row r="4182" spans="1:2">
      <c r="A4182" s="387" t="s">
        <v>15266</v>
      </c>
      <c r="B4182" s="387" t="s">
        <v>8568</v>
      </c>
    </row>
    <row r="4183" spans="1:2">
      <c r="A4183" s="387" t="s">
        <v>15267</v>
      </c>
      <c r="B4183" s="387" t="s">
        <v>15268</v>
      </c>
    </row>
    <row r="4184" spans="1:2">
      <c r="A4184" s="387" t="s">
        <v>816</v>
      </c>
      <c r="B4184" s="387" t="s">
        <v>2438</v>
      </c>
    </row>
    <row r="4185" spans="1:2">
      <c r="A4185" s="387" t="s">
        <v>15269</v>
      </c>
      <c r="B4185" s="387" t="s">
        <v>1416</v>
      </c>
    </row>
    <row r="4186" spans="1:2">
      <c r="A4186" s="387" t="s">
        <v>15270</v>
      </c>
      <c r="B4186" s="387" t="s">
        <v>3464</v>
      </c>
    </row>
    <row r="4187" spans="1:2">
      <c r="A4187" s="387" t="s">
        <v>15271</v>
      </c>
      <c r="B4187" s="387" t="s">
        <v>3074</v>
      </c>
    </row>
    <row r="4188" spans="1:2">
      <c r="A4188" s="387" t="s">
        <v>15272</v>
      </c>
      <c r="B4188" s="387" t="s">
        <v>4446</v>
      </c>
    </row>
    <row r="4189" spans="1:2">
      <c r="A4189" s="387" t="s">
        <v>15273</v>
      </c>
      <c r="B4189" s="387" t="s">
        <v>4463</v>
      </c>
    </row>
    <row r="4190" spans="1:2">
      <c r="A4190" s="387" t="s">
        <v>15274</v>
      </c>
      <c r="B4190" s="387" t="s">
        <v>2240</v>
      </c>
    </row>
    <row r="4191" spans="1:2">
      <c r="A4191" s="387" t="s">
        <v>15275</v>
      </c>
      <c r="B4191" s="387" t="s">
        <v>4598</v>
      </c>
    </row>
    <row r="4192" spans="1:2">
      <c r="A4192" s="387" t="s">
        <v>15276</v>
      </c>
      <c r="B4192" s="387" t="s">
        <v>4751</v>
      </c>
    </row>
    <row r="4193" spans="1:2">
      <c r="A4193" s="387" t="s">
        <v>15277</v>
      </c>
      <c r="B4193" s="387" t="s">
        <v>4280</v>
      </c>
    </row>
    <row r="4194" spans="1:2">
      <c r="A4194" s="387" t="s">
        <v>15278</v>
      </c>
      <c r="B4194" s="387" t="s">
        <v>4948</v>
      </c>
    </row>
    <row r="4195" spans="1:2">
      <c r="A4195" s="387" t="s">
        <v>15279</v>
      </c>
      <c r="B4195" s="387" t="s">
        <v>5232</v>
      </c>
    </row>
    <row r="4196" spans="1:2">
      <c r="A4196" s="387" t="s">
        <v>15280</v>
      </c>
      <c r="B4196" s="387" t="s">
        <v>5485</v>
      </c>
    </row>
    <row r="4197" spans="1:2">
      <c r="A4197" s="387" t="s">
        <v>15281</v>
      </c>
      <c r="B4197" s="387" t="s">
        <v>5539</v>
      </c>
    </row>
    <row r="4198" spans="1:2">
      <c r="A4198" s="387" t="s">
        <v>15282</v>
      </c>
      <c r="B4198" s="387" t="s">
        <v>5578</v>
      </c>
    </row>
    <row r="4199" spans="1:2">
      <c r="A4199" s="387" t="s">
        <v>15283</v>
      </c>
      <c r="B4199" s="387" t="s">
        <v>5652</v>
      </c>
    </row>
    <row r="4200" spans="1:2">
      <c r="A4200" s="387" t="s">
        <v>15284</v>
      </c>
      <c r="B4200" s="387" t="s">
        <v>5692</v>
      </c>
    </row>
    <row r="4201" spans="1:2">
      <c r="A4201" s="387" t="s">
        <v>15285</v>
      </c>
      <c r="B4201" s="387" t="s">
        <v>5696</v>
      </c>
    </row>
    <row r="4202" spans="1:2">
      <c r="A4202" s="387" t="s">
        <v>15286</v>
      </c>
      <c r="B4202" s="387" t="s">
        <v>15287</v>
      </c>
    </row>
    <row r="4203" spans="1:2">
      <c r="A4203" s="387" t="s">
        <v>15288</v>
      </c>
      <c r="B4203" s="387" t="s">
        <v>2772</v>
      </c>
    </row>
    <row r="4204" spans="1:2">
      <c r="A4204" s="387" t="s">
        <v>15289</v>
      </c>
      <c r="B4204" s="387" t="s">
        <v>6043</v>
      </c>
    </row>
    <row r="4205" spans="1:2">
      <c r="A4205" s="387" t="s">
        <v>15290</v>
      </c>
      <c r="B4205" s="387" t="s">
        <v>6194</v>
      </c>
    </row>
    <row r="4206" spans="1:2">
      <c r="A4206" s="387" t="s">
        <v>15291</v>
      </c>
      <c r="B4206" s="387" t="s">
        <v>6198</v>
      </c>
    </row>
    <row r="4207" spans="1:2">
      <c r="A4207" s="387" t="s">
        <v>15292</v>
      </c>
      <c r="B4207" s="387" t="s">
        <v>6424</v>
      </c>
    </row>
    <row r="4208" spans="1:2">
      <c r="A4208" s="387" t="s">
        <v>590</v>
      </c>
      <c r="B4208" s="387" t="s">
        <v>1609</v>
      </c>
    </row>
    <row r="4209" spans="1:2">
      <c r="A4209" s="387" t="s">
        <v>200</v>
      </c>
      <c r="B4209" s="387" t="s">
        <v>1621</v>
      </c>
    </row>
    <row r="4210" spans="1:2">
      <c r="A4210" s="387" t="s">
        <v>15293</v>
      </c>
      <c r="B4210" s="387" t="s">
        <v>1094</v>
      </c>
    </row>
    <row r="4211" spans="1:2">
      <c r="A4211" s="387" t="s">
        <v>15294</v>
      </c>
      <c r="B4211" s="387" t="s">
        <v>1200</v>
      </c>
    </row>
    <row r="4212" spans="1:2">
      <c r="A4212" s="387" t="s">
        <v>590</v>
      </c>
      <c r="B4212" s="387" t="s">
        <v>1609</v>
      </c>
    </row>
    <row r="4213" spans="1:2">
      <c r="A4213" s="387" t="s">
        <v>15295</v>
      </c>
      <c r="B4213" s="387" t="s">
        <v>1919</v>
      </c>
    </row>
    <row r="4214" spans="1:2">
      <c r="A4214" s="387" t="s">
        <v>15296</v>
      </c>
      <c r="B4214" s="387" t="s">
        <v>15297</v>
      </c>
    </row>
    <row r="4215" spans="1:2">
      <c r="A4215" s="387" t="s">
        <v>15298</v>
      </c>
      <c r="B4215" s="387" t="s">
        <v>2478</v>
      </c>
    </row>
    <row r="4216" spans="1:2">
      <c r="A4216" s="387" t="s">
        <v>15299</v>
      </c>
      <c r="B4216" s="387" t="s">
        <v>2530</v>
      </c>
    </row>
    <row r="4217" spans="1:2">
      <c r="A4217" s="387" t="s">
        <v>15300</v>
      </c>
      <c r="B4217" s="387" t="s">
        <v>6432</v>
      </c>
    </row>
    <row r="4218" spans="1:2">
      <c r="A4218" s="387" t="s">
        <v>15301</v>
      </c>
      <c r="B4218" s="387" t="s">
        <v>1438</v>
      </c>
    </row>
    <row r="4219" spans="1:2">
      <c r="A4219" s="387" t="s">
        <v>15302</v>
      </c>
      <c r="B4219" s="387" t="s">
        <v>3300</v>
      </c>
    </row>
    <row r="4220" spans="1:2">
      <c r="A4220" s="387" t="s">
        <v>15303</v>
      </c>
      <c r="B4220" s="387" t="s">
        <v>3661</v>
      </c>
    </row>
    <row r="4221" spans="1:2">
      <c r="A4221" s="387" t="s">
        <v>15304</v>
      </c>
      <c r="B4221" s="387" t="s">
        <v>3747</v>
      </c>
    </row>
    <row r="4222" spans="1:2">
      <c r="A4222" s="387" t="s">
        <v>15305</v>
      </c>
      <c r="B4222" s="387" t="s">
        <v>1327</v>
      </c>
    </row>
    <row r="4223" spans="1:2">
      <c r="A4223" s="387" t="s">
        <v>15306</v>
      </c>
      <c r="B4223" s="387" t="s">
        <v>3904</v>
      </c>
    </row>
    <row r="4224" spans="1:2">
      <c r="A4224" s="387" t="s">
        <v>15307</v>
      </c>
      <c r="B4224" s="387" t="s">
        <v>4018</v>
      </c>
    </row>
    <row r="4225" spans="1:2">
      <c r="A4225" s="387" t="s">
        <v>15308</v>
      </c>
      <c r="B4225" s="387" t="s">
        <v>4465</v>
      </c>
    </row>
    <row r="4226" spans="1:2">
      <c r="A4226" s="387" t="s">
        <v>15309</v>
      </c>
      <c r="B4226" s="387" t="s">
        <v>4698</v>
      </c>
    </row>
    <row r="4227" spans="1:2">
      <c r="A4227" s="387" t="s">
        <v>15310</v>
      </c>
      <c r="B4227" s="387" t="s">
        <v>4709</v>
      </c>
    </row>
    <row r="4228" spans="1:2">
      <c r="A4228" s="387" t="s">
        <v>15311</v>
      </c>
      <c r="B4228" s="387" t="s">
        <v>4768</v>
      </c>
    </row>
    <row r="4229" spans="1:2">
      <c r="A4229" s="387" t="s">
        <v>15312</v>
      </c>
      <c r="B4229" s="387" t="s">
        <v>4851</v>
      </c>
    </row>
    <row r="4230" spans="1:2">
      <c r="A4230" s="387" t="s">
        <v>15313</v>
      </c>
      <c r="B4230" s="387" t="s">
        <v>11611</v>
      </c>
    </row>
    <row r="4231" spans="1:2">
      <c r="A4231" s="387" t="s">
        <v>15314</v>
      </c>
      <c r="B4231" s="387" t="s">
        <v>5225</v>
      </c>
    </row>
    <row r="4232" spans="1:2">
      <c r="A4232" s="387" t="s">
        <v>15315</v>
      </c>
      <c r="B4232" s="387" t="s">
        <v>5372</v>
      </c>
    </row>
    <row r="4233" spans="1:2">
      <c r="A4233" s="387" t="s">
        <v>15316</v>
      </c>
      <c r="B4233" s="387" t="s">
        <v>5374</v>
      </c>
    </row>
    <row r="4234" spans="1:2">
      <c r="A4234" s="387" t="s">
        <v>15317</v>
      </c>
      <c r="B4234" s="387" t="s">
        <v>5861</v>
      </c>
    </row>
    <row r="4235" spans="1:2">
      <c r="A4235" s="387" t="s">
        <v>15318</v>
      </c>
      <c r="B4235" s="387" t="s">
        <v>1356</v>
      </c>
    </row>
    <row r="4236" spans="1:2">
      <c r="A4236" s="387" t="s">
        <v>15319</v>
      </c>
      <c r="B4236" s="387" t="s">
        <v>15320</v>
      </c>
    </row>
    <row r="4237" spans="1:2">
      <c r="A4237" s="387" t="s">
        <v>15321</v>
      </c>
      <c r="B4237" s="387" t="s">
        <v>6150</v>
      </c>
    </row>
    <row r="4238" spans="1:2">
      <c r="A4238" s="387" t="s">
        <v>15322</v>
      </c>
      <c r="B4238" s="387" t="s">
        <v>6367</v>
      </c>
    </row>
    <row r="4239" spans="1:2">
      <c r="A4239" s="387" t="s">
        <v>15323</v>
      </c>
      <c r="B4239" s="387" t="s">
        <v>6373</v>
      </c>
    </row>
    <row r="4240" spans="1:2">
      <c r="A4240" s="387" t="s">
        <v>15324</v>
      </c>
      <c r="B4240" s="387" t="s">
        <v>6377</v>
      </c>
    </row>
    <row r="4241" spans="1:2">
      <c r="A4241" s="387" t="s">
        <v>15325</v>
      </c>
      <c r="B4241" s="387" t="s">
        <v>6394</v>
      </c>
    </row>
    <row r="4242" spans="1:2">
      <c r="A4242" s="387" t="s">
        <v>15326</v>
      </c>
      <c r="B4242" s="387" t="s">
        <v>1719</v>
      </c>
    </row>
    <row r="4243" spans="1:2">
      <c r="A4243" s="387" t="s">
        <v>15327</v>
      </c>
      <c r="B4243" s="387" t="s">
        <v>6408</v>
      </c>
    </row>
    <row r="4244" spans="1:2">
      <c r="A4244" s="387" t="s">
        <v>15328</v>
      </c>
      <c r="B4244" s="387" t="s">
        <v>1594</v>
      </c>
    </row>
    <row r="4245" spans="1:2">
      <c r="A4245" s="387" t="s">
        <v>15329</v>
      </c>
      <c r="B4245" s="387" t="s">
        <v>3423</v>
      </c>
    </row>
    <row r="4246" spans="1:2">
      <c r="A4246" s="387" t="s">
        <v>15330</v>
      </c>
      <c r="B4246" s="387" t="s">
        <v>3476</v>
      </c>
    </row>
    <row r="4247" spans="1:2">
      <c r="A4247" s="387" t="s">
        <v>15331</v>
      </c>
      <c r="B4247" s="387" t="s">
        <v>1578</v>
      </c>
    </row>
    <row r="4248" spans="1:2">
      <c r="A4248" s="387" t="s">
        <v>15332</v>
      </c>
      <c r="B4248" s="387" t="s">
        <v>15333</v>
      </c>
    </row>
    <row r="4249" spans="1:2">
      <c r="A4249" s="387" t="s">
        <v>15334</v>
      </c>
      <c r="B4249" s="387" t="s">
        <v>15335</v>
      </c>
    </row>
    <row r="4250" spans="1:2">
      <c r="A4250" s="387" t="s">
        <v>15336</v>
      </c>
      <c r="B4250" s="387" t="s">
        <v>7759</v>
      </c>
    </row>
    <row r="4251" spans="1:2">
      <c r="A4251" s="387" t="s">
        <v>15337</v>
      </c>
      <c r="B4251" s="387" t="s">
        <v>2438</v>
      </c>
    </row>
    <row r="4252" spans="1:2">
      <c r="A4252" s="387" t="s">
        <v>15338</v>
      </c>
      <c r="B4252" s="387" t="s">
        <v>15339</v>
      </c>
    </row>
    <row r="4253" spans="1:2">
      <c r="A4253" s="387" t="s">
        <v>15340</v>
      </c>
      <c r="B4253" s="387" t="s">
        <v>15341</v>
      </c>
    </row>
    <row r="4254" spans="1:2">
      <c r="A4254" s="387" t="s">
        <v>15342</v>
      </c>
      <c r="B4254" s="387" t="s">
        <v>7761</v>
      </c>
    </row>
    <row r="4255" spans="1:2">
      <c r="A4255" s="387" t="s">
        <v>15343</v>
      </c>
      <c r="B4255" s="387" t="s">
        <v>15344</v>
      </c>
    </row>
    <row r="4256" spans="1:2">
      <c r="A4256" s="387" t="s">
        <v>15345</v>
      </c>
      <c r="B4256" s="387" t="s">
        <v>15346</v>
      </c>
    </row>
    <row r="4257" spans="1:2">
      <c r="A4257" s="387" t="s">
        <v>15347</v>
      </c>
      <c r="B4257" s="387" t="s">
        <v>7882</v>
      </c>
    </row>
    <row r="4258" spans="1:2">
      <c r="A4258" s="387" t="s">
        <v>15348</v>
      </c>
      <c r="B4258" s="387" t="s">
        <v>7884</v>
      </c>
    </row>
    <row r="4259" spans="1:2">
      <c r="A4259" s="387" t="s">
        <v>15349</v>
      </c>
      <c r="B4259" s="387" t="s">
        <v>998</v>
      </c>
    </row>
    <row r="4260" spans="1:2">
      <c r="A4260" s="387" t="s">
        <v>15350</v>
      </c>
      <c r="B4260" s="387" t="s">
        <v>7919</v>
      </c>
    </row>
    <row r="4261" spans="1:2">
      <c r="A4261" s="387" t="s">
        <v>15351</v>
      </c>
      <c r="B4261" s="387" t="s">
        <v>979</v>
      </c>
    </row>
    <row r="4262" spans="1:2">
      <c r="A4262" s="387" t="s">
        <v>15352</v>
      </c>
      <c r="B4262" s="387" t="s">
        <v>12860</v>
      </c>
    </row>
    <row r="4263" spans="1:2">
      <c r="A4263" s="387" t="s">
        <v>15353</v>
      </c>
      <c r="B4263" s="387" t="s">
        <v>15354</v>
      </c>
    </row>
    <row r="4264" spans="1:2">
      <c r="A4264" s="387" t="s">
        <v>15355</v>
      </c>
      <c r="B4264" s="387" t="s">
        <v>1061</v>
      </c>
    </row>
    <row r="4265" spans="1:2">
      <c r="A4265" s="387" t="s">
        <v>15356</v>
      </c>
      <c r="B4265" s="387" t="s">
        <v>1107</v>
      </c>
    </row>
    <row r="4266" spans="1:2">
      <c r="A4266" s="387" t="s">
        <v>590</v>
      </c>
      <c r="B4266" s="387" t="s">
        <v>1609</v>
      </c>
    </row>
    <row r="4267" spans="1:2">
      <c r="A4267" s="387" t="s">
        <v>15357</v>
      </c>
      <c r="B4267" s="387" t="s">
        <v>1641</v>
      </c>
    </row>
    <row r="4268" spans="1:2">
      <c r="A4268" s="387" t="s">
        <v>15358</v>
      </c>
      <c r="B4268" s="387" t="s">
        <v>1921</v>
      </c>
    </row>
    <row r="4269" spans="1:2">
      <c r="A4269" s="387" t="s">
        <v>15296</v>
      </c>
      <c r="B4269" s="387" t="s">
        <v>15297</v>
      </c>
    </row>
    <row r="4270" spans="1:2">
      <c r="A4270" s="387" t="s">
        <v>15359</v>
      </c>
      <c r="B4270" s="387" t="s">
        <v>13222</v>
      </c>
    </row>
    <row r="4271" spans="1:2">
      <c r="A4271" s="387" t="s">
        <v>15360</v>
      </c>
      <c r="B4271" s="387" t="s">
        <v>2682</v>
      </c>
    </row>
    <row r="4272" spans="1:2">
      <c r="A4272" s="387" t="s">
        <v>15361</v>
      </c>
      <c r="B4272" s="387" t="s">
        <v>2934</v>
      </c>
    </row>
    <row r="4273" spans="1:2">
      <c r="A4273" s="387" t="s">
        <v>15362</v>
      </c>
      <c r="B4273" s="387" t="s">
        <v>2945</v>
      </c>
    </row>
    <row r="4274" spans="1:2">
      <c r="A4274" s="387" t="s">
        <v>15363</v>
      </c>
      <c r="B4274" s="387" t="s">
        <v>2072</v>
      </c>
    </row>
    <row r="4275" spans="1:2">
      <c r="A4275" s="387" t="s">
        <v>15364</v>
      </c>
      <c r="B4275" s="387" t="s">
        <v>15365</v>
      </c>
    </row>
    <row r="4276" spans="1:2">
      <c r="A4276" s="387" t="s">
        <v>15366</v>
      </c>
      <c r="B4276" s="387" t="s">
        <v>1243</v>
      </c>
    </row>
    <row r="4277" spans="1:2">
      <c r="A4277" s="387" t="s">
        <v>15367</v>
      </c>
      <c r="B4277" s="387" t="s">
        <v>4020</v>
      </c>
    </row>
    <row r="4278" spans="1:2">
      <c r="A4278" s="387" t="s">
        <v>15368</v>
      </c>
      <c r="B4278" s="387" t="s">
        <v>4144</v>
      </c>
    </row>
    <row r="4279" spans="1:2">
      <c r="A4279" s="387" t="s">
        <v>15369</v>
      </c>
      <c r="B4279" s="387" t="s">
        <v>1442</v>
      </c>
    </row>
    <row r="4280" spans="1:2">
      <c r="A4280" s="387" t="s">
        <v>15370</v>
      </c>
      <c r="B4280" s="387" t="s">
        <v>4770</v>
      </c>
    </row>
    <row r="4281" spans="1:2">
      <c r="A4281" s="387" t="s">
        <v>15371</v>
      </c>
      <c r="B4281" s="387" t="s">
        <v>990</v>
      </c>
    </row>
    <row r="4282" spans="1:2">
      <c r="A4282" s="387" t="s">
        <v>15372</v>
      </c>
      <c r="B4282" s="387" t="s">
        <v>5223</v>
      </c>
    </row>
    <row r="4283" spans="1:2">
      <c r="A4283" s="387" t="s">
        <v>15373</v>
      </c>
      <c r="B4283" s="387" t="s">
        <v>5287</v>
      </c>
    </row>
    <row r="4284" spans="1:2">
      <c r="A4284" s="387" t="s">
        <v>15374</v>
      </c>
      <c r="B4284" s="387" t="s">
        <v>15375</v>
      </c>
    </row>
    <row r="4285" spans="1:2">
      <c r="A4285" s="387" t="s">
        <v>15376</v>
      </c>
      <c r="B4285" s="387" t="s">
        <v>5631</v>
      </c>
    </row>
    <row r="4286" spans="1:2">
      <c r="A4286" s="387" t="s">
        <v>15377</v>
      </c>
      <c r="B4286" s="387" t="s">
        <v>5721</v>
      </c>
    </row>
    <row r="4287" spans="1:2">
      <c r="A4287" s="387" t="s">
        <v>15378</v>
      </c>
      <c r="B4287" s="387" t="s">
        <v>5724</v>
      </c>
    </row>
    <row r="4288" spans="1:2">
      <c r="A4288" s="387" t="s">
        <v>15379</v>
      </c>
      <c r="B4288" s="387" t="s">
        <v>5863</v>
      </c>
    </row>
    <row r="4289" spans="1:2">
      <c r="A4289" s="387" t="s">
        <v>15380</v>
      </c>
      <c r="B4289" s="387" t="s">
        <v>5866</v>
      </c>
    </row>
    <row r="4290" spans="1:2">
      <c r="A4290" s="387" t="s">
        <v>15381</v>
      </c>
      <c r="B4290" s="387" t="s">
        <v>15382</v>
      </c>
    </row>
    <row r="4291" spans="1:2">
      <c r="A4291" s="387" t="s">
        <v>15383</v>
      </c>
      <c r="B4291" s="387" t="s">
        <v>979</v>
      </c>
    </row>
    <row r="4292" spans="1:2">
      <c r="A4292" s="387" t="s">
        <v>15384</v>
      </c>
      <c r="B4292" s="387" t="s">
        <v>6369</v>
      </c>
    </row>
    <row r="4293" spans="1:2">
      <c r="A4293" s="387" t="s">
        <v>15385</v>
      </c>
      <c r="B4293" s="387" t="s">
        <v>6371</v>
      </c>
    </row>
    <row r="4294" spans="1:2">
      <c r="A4294" s="387" t="s">
        <v>15386</v>
      </c>
      <c r="B4294" s="387" t="s">
        <v>15387</v>
      </c>
    </row>
    <row r="4295" spans="1:2">
      <c r="A4295" s="387" t="s">
        <v>15388</v>
      </c>
      <c r="B4295" s="387" t="s">
        <v>3374</v>
      </c>
    </row>
    <row r="4296" spans="1:2">
      <c r="A4296" s="387" t="s">
        <v>15389</v>
      </c>
      <c r="B4296" s="387" t="s">
        <v>2474</v>
      </c>
    </row>
    <row r="4297" spans="1:2">
      <c r="A4297" s="387" t="s">
        <v>15390</v>
      </c>
      <c r="B4297" s="387" t="s">
        <v>996</v>
      </c>
    </row>
    <row r="4298" spans="1:2">
      <c r="A4298" s="387" t="s">
        <v>15391</v>
      </c>
      <c r="B4298" s="387" t="s">
        <v>6511</v>
      </c>
    </row>
    <row r="4299" spans="1:2">
      <c r="A4299" s="387" t="s">
        <v>15392</v>
      </c>
      <c r="B4299" s="387" t="s">
        <v>6627</v>
      </c>
    </row>
    <row r="4300" spans="1:2">
      <c r="A4300" s="387" t="s">
        <v>15393</v>
      </c>
      <c r="B4300" s="387" t="s">
        <v>6629</v>
      </c>
    </row>
    <row r="4301" spans="1:2">
      <c r="A4301" s="387" t="s">
        <v>15394</v>
      </c>
      <c r="B4301" s="387" t="s">
        <v>7006</v>
      </c>
    </row>
    <row r="4302" spans="1:2">
      <c r="A4302" s="387" t="s">
        <v>15395</v>
      </c>
      <c r="B4302" s="387" t="s">
        <v>15396</v>
      </c>
    </row>
    <row r="4303" spans="1:2">
      <c r="A4303" s="387" t="s">
        <v>590</v>
      </c>
      <c r="B4303" s="387" t="s">
        <v>1609</v>
      </c>
    </row>
    <row r="4304" spans="1:2">
      <c r="A4304" s="387" t="s">
        <v>15397</v>
      </c>
      <c r="B4304" s="387" t="s">
        <v>2163</v>
      </c>
    </row>
    <row r="4305" spans="1:2">
      <c r="A4305" s="387" t="s">
        <v>15398</v>
      </c>
      <c r="B4305" s="387" t="s">
        <v>2165</v>
      </c>
    </row>
    <row r="4306" spans="1:2">
      <c r="A4306" s="387" t="s">
        <v>15399</v>
      </c>
      <c r="B4306" s="387" t="s">
        <v>2362</v>
      </c>
    </row>
    <row r="4307" spans="1:2">
      <c r="A4307" s="387" t="s">
        <v>15400</v>
      </c>
      <c r="B4307" s="387" t="s">
        <v>2608</v>
      </c>
    </row>
    <row r="4308" spans="1:2">
      <c r="A4308" s="387" t="s">
        <v>15401</v>
      </c>
      <c r="B4308" s="387" t="s">
        <v>2668</v>
      </c>
    </row>
    <row r="4309" spans="1:2">
      <c r="A4309" s="387" t="s">
        <v>15402</v>
      </c>
      <c r="B4309" s="387" t="s">
        <v>2906</v>
      </c>
    </row>
    <row r="4310" spans="1:2">
      <c r="A4310" s="387" t="s">
        <v>15403</v>
      </c>
      <c r="B4310" s="387" t="s">
        <v>3443</v>
      </c>
    </row>
    <row r="4311" spans="1:2">
      <c r="A4311" s="387" t="s">
        <v>15404</v>
      </c>
      <c r="B4311" s="387" t="s">
        <v>2049</v>
      </c>
    </row>
    <row r="4312" spans="1:2">
      <c r="A4312" s="387" t="s">
        <v>15405</v>
      </c>
      <c r="B4312" s="387" t="s">
        <v>2949</v>
      </c>
    </row>
    <row r="4313" spans="1:2">
      <c r="A4313" s="387" t="s">
        <v>15406</v>
      </c>
      <c r="B4313" s="387" t="s">
        <v>4221</v>
      </c>
    </row>
    <row r="4314" spans="1:2">
      <c r="A4314" s="387" t="s">
        <v>8674</v>
      </c>
      <c r="B4314" s="387" t="s">
        <v>4427</v>
      </c>
    </row>
    <row r="4315" spans="1:2">
      <c r="A4315" s="387" t="s">
        <v>15407</v>
      </c>
      <c r="B4315" s="387" t="s">
        <v>15408</v>
      </c>
    </row>
    <row r="4316" spans="1:2">
      <c r="A4316" s="387" t="s">
        <v>15409</v>
      </c>
      <c r="B4316" s="387" t="s">
        <v>5530</v>
      </c>
    </row>
    <row r="4317" spans="1:2">
      <c r="A4317" s="387" t="s">
        <v>15410</v>
      </c>
      <c r="B4317" s="387" t="s">
        <v>2802</v>
      </c>
    </row>
    <row r="4318" spans="1:2">
      <c r="A4318" s="387" t="s">
        <v>15411</v>
      </c>
      <c r="B4318" s="387" t="s">
        <v>4485</v>
      </c>
    </row>
    <row r="4319" spans="1:2">
      <c r="A4319" s="387" t="s">
        <v>15412</v>
      </c>
      <c r="B4319" s="387" t="s">
        <v>6399</v>
      </c>
    </row>
    <row r="4320" spans="1:2">
      <c r="A4320" s="387" t="s">
        <v>15413</v>
      </c>
      <c r="B4320" s="387" t="s">
        <v>6443</v>
      </c>
    </row>
    <row r="4321" spans="1:2">
      <c r="A4321" s="387" t="s">
        <v>15414</v>
      </c>
      <c r="B4321" s="387" t="s">
        <v>1554</v>
      </c>
    </row>
    <row r="4322" spans="1:2">
      <c r="A4322" s="387" t="s">
        <v>15415</v>
      </c>
      <c r="B4322" s="387" t="s">
        <v>6586</v>
      </c>
    </row>
    <row r="4323" spans="1:2">
      <c r="A4323" s="387" t="s">
        <v>15416</v>
      </c>
      <c r="B4323" s="387" t="s">
        <v>2014</v>
      </c>
    </row>
    <row r="4324" spans="1:2">
      <c r="A4324" s="387" t="s">
        <v>15417</v>
      </c>
      <c r="B4324" s="387" t="s">
        <v>1281</v>
      </c>
    </row>
    <row r="4325" spans="1:2">
      <c r="A4325" s="387" t="s">
        <v>590</v>
      </c>
      <c r="B4325" s="387" t="s">
        <v>1609</v>
      </c>
    </row>
    <row r="4326" spans="1:2">
      <c r="A4326" s="387" t="s">
        <v>15418</v>
      </c>
      <c r="B4326" s="387" t="s">
        <v>3857</v>
      </c>
    </row>
    <row r="4327" spans="1:2">
      <c r="A4327" s="387" t="s">
        <v>159</v>
      </c>
      <c r="B4327" s="387" t="s">
        <v>3879</v>
      </c>
    </row>
    <row r="4328" spans="1:2">
      <c r="A4328" s="387" t="s">
        <v>15419</v>
      </c>
      <c r="B4328" s="387" t="s">
        <v>2772</v>
      </c>
    </row>
    <row r="4329" spans="1:2">
      <c r="A4329" s="387" t="s">
        <v>15420</v>
      </c>
      <c r="B4329" s="387" t="s">
        <v>5859</v>
      </c>
    </row>
    <row r="4330" spans="1:2">
      <c r="A4330" s="387" t="s">
        <v>15421</v>
      </c>
      <c r="B4330" s="387" t="s">
        <v>1405</v>
      </c>
    </row>
    <row r="4331" spans="1:2">
      <c r="A4331" s="387" t="s">
        <v>590</v>
      </c>
      <c r="B4331" s="387" t="s">
        <v>1609</v>
      </c>
    </row>
    <row r="4332" spans="1:2">
      <c r="A4332" s="387" t="s">
        <v>15422</v>
      </c>
      <c r="B4332" s="387" t="s">
        <v>3433</v>
      </c>
    </row>
    <row r="4333" spans="1:2">
      <c r="A4333" s="387" t="s">
        <v>15423</v>
      </c>
      <c r="B4333" s="387" t="s">
        <v>3656</v>
      </c>
    </row>
    <row r="4334" spans="1:2">
      <c r="A4334" s="387" t="s">
        <v>590</v>
      </c>
      <c r="B4334" s="387" t="s">
        <v>1609</v>
      </c>
    </row>
    <row r="4335" spans="1:2">
      <c r="A4335" s="387" t="s">
        <v>158</v>
      </c>
      <c r="B4335" s="387" t="s">
        <v>2549</v>
      </c>
    </row>
    <row r="4336" spans="1:2">
      <c r="A4336" s="387" t="s">
        <v>157</v>
      </c>
      <c r="B4336" s="387" t="s">
        <v>4470</v>
      </c>
    </row>
    <row r="4337" spans="1:2">
      <c r="A4337" s="387" t="s">
        <v>162</v>
      </c>
      <c r="B4337" s="387" t="s">
        <v>3977</v>
      </c>
    </row>
    <row r="4338" spans="1:2">
      <c r="A4338" s="387" t="s">
        <v>95</v>
      </c>
      <c r="B4338" s="387" t="s">
        <v>3407</v>
      </c>
    </row>
    <row r="4339" spans="1:2">
      <c r="A4339" s="387" t="s">
        <v>15424</v>
      </c>
      <c r="B4339" s="387" t="s">
        <v>1081</v>
      </c>
    </row>
    <row r="4340" spans="1:2">
      <c r="A4340" s="387" t="s">
        <v>15425</v>
      </c>
      <c r="B4340" s="387" t="s">
        <v>1204</v>
      </c>
    </row>
    <row r="4341" spans="1:2">
      <c r="A4341" s="387" t="s">
        <v>15426</v>
      </c>
      <c r="B4341" s="387" t="s">
        <v>998</v>
      </c>
    </row>
    <row r="4342" spans="1:2">
      <c r="A4342" s="387" t="s">
        <v>590</v>
      </c>
      <c r="B4342" s="387" t="s">
        <v>1609</v>
      </c>
    </row>
    <row r="4343" spans="1:2">
      <c r="A4343" s="387" t="s">
        <v>15427</v>
      </c>
      <c r="B4343" s="387" t="s">
        <v>2180</v>
      </c>
    </row>
    <row r="4344" spans="1:2">
      <c r="A4344" s="387" t="s">
        <v>15428</v>
      </c>
      <c r="B4344" s="387" t="s">
        <v>2432</v>
      </c>
    </row>
    <row r="4345" spans="1:2">
      <c r="A4345" s="387" t="s">
        <v>15429</v>
      </c>
      <c r="B4345" s="387" t="s">
        <v>4822</v>
      </c>
    </row>
    <row r="4346" spans="1:2">
      <c r="A4346" s="387" t="s">
        <v>15430</v>
      </c>
      <c r="B4346" s="387" t="s">
        <v>5345</v>
      </c>
    </row>
    <row r="4347" spans="1:2">
      <c r="A4347" s="387" t="s">
        <v>15431</v>
      </c>
      <c r="B4347" s="387" t="s">
        <v>15432</v>
      </c>
    </row>
    <row r="4348" spans="1:2">
      <c r="A4348" s="387" t="s">
        <v>200</v>
      </c>
      <c r="B4348" s="387" t="s">
        <v>1621</v>
      </c>
    </row>
    <row r="4349" spans="1:2">
      <c r="A4349" s="387" t="s">
        <v>15433</v>
      </c>
      <c r="B4349" s="387" t="s">
        <v>1241</v>
      </c>
    </row>
    <row r="4350" spans="1:2">
      <c r="A4350" s="387" t="s">
        <v>15434</v>
      </c>
      <c r="B4350" s="387" t="s">
        <v>1790</v>
      </c>
    </row>
    <row r="4351" spans="1:2">
      <c r="A4351" s="387" t="s">
        <v>15435</v>
      </c>
      <c r="B4351" s="387" t="s">
        <v>1175</v>
      </c>
    </row>
    <row r="4352" spans="1:2">
      <c r="A4352" s="387" t="s">
        <v>15436</v>
      </c>
      <c r="B4352" s="387" t="s">
        <v>2435</v>
      </c>
    </row>
    <row r="4353" spans="1:2">
      <c r="A4353" s="387" t="s">
        <v>15437</v>
      </c>
      <c r="B4353" s="387" t="s">
        <v>15438</v>
      </c>
    </row>
    <row r="4354" spans="1:2">
      <c r="A4354" s="387" t="s">
        <v>15439</v>
      </c>
      <c r="B4354" s="387" t="s">
        <v>2518</v>
      </c>
    </row>
    <row r="4355" spans="1:2">
      <c r="A4355" s="387" t="s">
        <v>15440</v>
      </c>
      <c r="B4355" s="387" t="s">
        <v>2543</v>
      </c>
    </row>
    <row r="4356" spans="1:2">
      <c r="A4356" s="387" t="s">
        <v>15441</v>
      </c>
      <c r="B4356" s="387" t="s">
        <v>2666</v>
      </c>
    </row>
    <row r="4357" spans="1:2">
      <c r="A4357" s="387" t="s">
        <v>15442</v>
      </c>
      <c r="B4357" s="387" t="s">
        <v>2686</v>
      </c>
    </row>
    <row r="4358" spans="1:2">
      <c r="A4358" s="387" t="s">
        <v>15443</v>
      </c>
      <c r="B4358" s="387" t="s">
        <v>2346</v>
      </c>
    </row>
    <row r="4359" spans="1:2">
      <c r="A4359" s="387" t="s">
        <v>15444</v>
      </c>
      <c r="B4359" s="387" t="s">
        <v>2763</v>
      </c>
    </row>
    <row r="4360" spans="1:2">
      <c r="A4360" s="387" t="s">
        <v>15445</v>
      </c>
      <c r="B4360" s="387" t="s">
        <v>2988</v>
      </c>
    </row>
    <row r="4361" spans="1:2">
      <c r="A4361" s="387" t="s">
        <v>15446</v>
      </c>
      <c r="B4361" s="387" t="s">
        <v>3766</v>
      </c>
    </row>
    <row r="4362" spans="1:2">
      <c r="A4362" s="387" t="s">
        <v>15447</v>
      </c>
      <c r="B4362" s="387" t="s">
        <v>3892</v>
      </c>
    </row>
    <row r="4363" spans="1:2">
      <c r="A4363" s="387" t="s">
        <v>15448</v>
      </c>
      <c r="B4363" s="387" t="s">
        <v>1142</v>
      </c>
    </row>
    <row r="4364" spans="1:2">
      <c r="A4364" s="387" t="s">
        <v>15449</v>
      </c>
      <c r="B4364" s="387" t="s">
        <v>4585</v>
      </c>
    </row>
    <row r="4365" spans="1:2">
      <c r="A4365" s="387" t="s">
        <v>15450</v>
      </c>
      <c r="B4365" s="387" t="s">
        <v>15451</v>
      </c>
    </row>
    <row r="4366" spans="1:2">
      <c r="A4366" s="387" t="s">
        <v>15452</v>
      </c>
      <c r="B4366" s="387" t="s">
        <v>15453</v>
      </c>
    </row>
    <row r="4367" spans="1:2">
      <c r="A4367" s="387" t="s">
        <v>15454</v>
      </c>
      <c r="B4367" s="387" t="s">
        <v>4927</v>
      </c>
    </row>
    <row r="4368" spans="1:2">
      <c r="A4368" s="387" t="s">
        <v>15455</v>
      </c>
      <c r="B4368" s="387" t="s">
        <v>15456</v>
      </c>
    </row>
    <row r="4369" spans="1:2">
      <c r="A4369" s="387" t="s">
        <v>15457</v>
      </c>
      <c r="B4369" s="387" t="s">
        <v>6064</v>
      </c>
    </row>
    <row r="4370" spans="1:2">
      <c r="A4370" s="387" t="s">
        <v>15458</v>
      </c>
      <c r="B4370" s="387" t="s">
        <v>1325</v>
      </c>
    </row>
    <row r="4371" spans="1:2">
      <c r="A4371" s="387" t="s">
        <v>15459</v>
      </c>
      <c r="B4371" s="387" t="s">
        <v>6084</v>
      </c>
    </row>
    <row r="4372" spans="1:2">
      <c r="A4372" s="387" t="s">
        <v>15460</v>
      </c>
      <c r="B4372" s="387" t="s">
        <v>8482</v>
      </c>
    </row>
    <row r="4373" spans="1:2">
      <c r="A4373" s="387" t="s">
        <v>15461</v>
      </c>
      <c r="B4373" s="387" t="s">
        <v>6128</v>
      </c>
    </row>
    <row r="4374" spans="1:2">
      <c r="A4374" s="387" t="s">
        <v>15462</v>
      </c>
      <c r="B4374" s="387" t="s">
        <v>15463</v>
      </c>
    </row>
    <row r="4375" spans="1:2">
      <c r="A4375" s="387" t="s">
        <v>15464</v>
      </c>
      <c r="B4375" s="387" t="s">
        <v>4395</v>
      </c>
    </row>
    <row r="4376" spans="1:2">
      <c r="A4376" s="387" t="s">
        <v>15465</v>
      </c>
      <c r="B4376" s="387" t="s">
        <v>6499</v>
      </c>
    </row>
    <row r="4377" spans="1:2">
      <c r="A4377" s="387" t="s">
        <v>15466</v>
      </c>
      <c r="B4377" s="387" t="s">
        <v>6569</v>
      </c>
    </row>
    <row r="4378" spans="1:2">
      <c r="A4378" s="387" t="s">
        <v>15467</v>
      </c>
      <c r="B4378" s="387" t="s">
        <v>1852</v>
      </c>
    </row>
    <row r="4379" spans="1:2">
      <c r="A4379" s="387" t="s">
        <v>15468</v>
      </c>
      <c r="B4379" s="387" t="s">
        <v>6580</v>
      </c>
    </row>
    <row r="4380" spans="1:2">
      <c r="A4380" s="387" t="s">
        <v>15469</v>
      </c>
      <c r="B4380" s="387" t="s">
        <v>15470</v>
      </c>
    </row>
    <row r="4381" spans="1:2">
      <c r="A4381" s="387" t="s">
        <v>15471</v>
      </c>
      <c r="B4381" s="387" t="s">
        <v>4600</v>
      </c>
    </row>
    <row r="4382" spans="1:2">
      <c r="A4382" s="387" t="s">
        <v>15472</v>
      </c>
      <c r="B4382" s="387" t="s">
        <v>1350</v>
      </c>
    </row>
    <row r="4383" spans="1:2">
      <c r="A4383" s="387" t="s">
        <v>15473</v>
      </c>
      <c r="B4383" s="387" t="s">
        <v>6700</v>
      </c>
    </row>
    <row r="4384" spans="1:2">
      <c r="A4384" s="387" t="s">
        <v>15474</v>
      </c>
      <c r="B4384" s="387" t="s">
        <v>1325</v>
      </c>
    </row>
    <row r="4385" spans="1:2">
      <c r="A4385" s="387" t="s">
        <v>15475</v>
      </c>
      <c r="B4385" s="387" t="s">
        <v>2348</v>
      </c>
    </row>
    <row r="4386" spans="1:2">
      <c r="A4386" s="387" t="s">
        <v>15476</v>
      </c>
      <c r="B4386" s="387" t="s">
        <v>7124</v>
      </c>
    </row>
    <row r="4387" spans="1:2">
      <c r="A4387" s="387" t="s">
        <v>15477</v>
      </c>
      <c r="B4387" s="387" t="s">
        <v>7126</v>
      </c>
    </row>
    <row r="4388" spans="1:2">
      <c r="A4388" s="387" t="s">
        <v>15478</v>
      </c>
      <c r="B4388" s="387" t="s">
        <v>15479</v>
      </c>
    </row>
    <row r="4389" spans="1:2">
      <c r="A4389" s="387" t="s">
        <v>15480</v>
      </c>
      <c r="B4389" s="387" t="s">
        <v>7748</v>
      </c>
    </row>
    <row r="4390" spans="1:2">
      <c r="A4390" s="387" t="s">
        <v>15481</v>
      </c>
      <c r="B4390" s="387" t="s">
        <v>15482</v>
      </c>
    </row>
    <row r="4391" spans="1:2">
      <c r="A4391" s="387" t="s">
        <v>15483</v>
      </c>
      <c r="B4391" s="387" t="s">
        <v>7847</v>
      </c>
    </row>
    <row r="4392" spans="1:2">
      <c r="A4392" s="387" t="s">
        <v>15484</v>
      </c>
      <c r="B4392" s="387" t="s">
        <v>15485</v>
      </c>
    </row>
    <row r="4393" spans="1:2">
      <c r="A4393" s="387" t="s">
        <v>15486</v>
      </c>
      <c r="B4393" s="387" t="s">
        <v>15487</v>
      </c>
    </row>
    <row r="4394" spans="1:2">
      <c r="A4394" s="387" t="s">
        <v>15488</v>
      </c>
      <c r="B4394" s="387" t="s">
        <v>15489</v>
      </c>
    </row>
    <row r="4395" spans="1:2">
      <c r="A4395" s="387" t="s">
        <v>15490</v>
      </c>
      <c r="B4395" s="387" t="s">
        <v>15491</v>
      </c>
    </row>
    <row r="4396" spans="1:2">
      <c r="A4396" s="387" t="s">
        <v>15492</v>
      </c>
      <c r="B4396" s="387" t="s">
        <v>8157</v>
      </c>
    </row>
    <row r="4397" spans="1:2">
      <c r="A4397" s="387" t="s">
        <v>15493</v>
      </c>
      <c r="B4397" s="387" t="s">
        <v>11521</v>
      </c>
    </row>
    <row r="4398" spans="1:2">
      <c r="A4398" s="387" t="s">
        <v>15494</v>
      </c>
      <c r="B4398" s="387" t="s">
        <v>8181</v>
      </c>
    </row>
    <row r="4399" spans="1:2">
      <c r="A4399" s="387" t="s">
        <v>15495</v>
      </c>
      <c r="B4399" s="387" t="s">
        <v>5558</v>
      </c>
    </row>
    <row r="4400" spans="1:2">
      <c r="A4400" s="387" t="s">
        <v>15496</v>
      </c>
      <c r="B4400" s="387" t="s">
        <v>8265</v>
      </c>
    </row>
    <row r="4401" spans="1:2">
      <c r="A4401" s="387" t="s">
        <v>15497</v>
      </c>
      <c r="B4401" s="387" t="s">
        <v>15498</v>
      </c>
    </row>
    <row r="4402" spans="1:2">
      <c r="A4402" s="387" t="s">
        <v>15499</v>
      </c>
      <c r="B4402" s="387" t="s">
        <v>8267</v>
      </c>
    </row>
    <row r="4403" spans="1:2">
      <c r="A4403" s="387" t="s">
        <v>15500</v>
      </c>
      <c r="B4403" s="387" t="s">
        <v>1247</v>
      </c>
    </row>
    <row r="4404" spans="1:2">
      <c r="A4404" s="387" t="s">
        <v>15501</v>
      </c>
      <c r="B4404" s="387" t="s">
        <v>15502</v>
      </c>
    </row>
    <row r="4405" spans="1:2">
      <c r="A4405" s="387" t="s">
        <v>15503</v>
      </c>
      <c r="B4405" s="387" t="s">
        <v>12983</v>
      </c>
    </row>
    <row r="4406" spans="1:2">
      <c r="A4406" s="387" t="s">
        <v>15504</v>
      </c>
      <c r="B4406" s="387" t="s">
        <v>11481</v>
      </c>
    </row>
    <row r="4407" spans="1:2">
      <c r="A4407" s="387" t="s">
        <v>15505</v>
      </c>
      <c r="B4407" s="387" t="s">
        <v>15506</v>
      </c>
    </row>
    <row r="4408" spans="1:2">
      <c r="A4408" s="387" t="s">
        <v>15507</v>
      </c>
      <c r="B4408" s="387" t="s">
        <v>8465</v>
      </c>
    </row>
    <row r="4409" spans="1:2">
      <c r="A4409" s="387" t="s">
        <v>15508</v>
      </c>
      <c r="B4409" s="387" t="s">
        <v>5698</v>
      </c>
    </row>
    <row r="4410" spans="1:2">
      <c r="A4410" s="387" t="s">
        <v>15509</v>
      </c>
      <c r="B4410" s="387" t="s">
        <v>15510</v>
      </c>
    </row>
    <row r="4411" spans="1:2">
      <c r="A4411" s="387" t="s">
        <v>15511</v>
      </c>
      <c r="B4411" s="387" t="s">
        <v>15512</v>
      </c>
    </row>
    <row r="4412" spans="1:2">
      <c r="A4412" s="387" t="s">
        <v>15513</v>
      </c>
      <c r="B4412" s="387" t="s">
        <v>15514</v>
      </c>
    </row>
    <row r="4413" spans="1:2">
      <c r="A4413" s="387" t="s">
        <v>15515</v>
      </c>
      <c r="B4413" s="387" t="s">
        <v>4502</v>
      </c>
    </row>
    <row r="4414" spans="1:2">
      <c r="A4414" s="387" t="s">
        <v>15516</v>
      </c>
      <c r="B4414" s="387" t="s">
        <v>8601</v>
      </c>
    </row>
    <row r="4415" spans="1:2">
      <c r="A4415" s="387" t="s">
        <v>15517</v>
      </c>
      <c r="B4415" s="387" t="s">
        <v>8605</v>
      </c>
    </row>
    <row r="4416" spans="1:2">
      <c r="A4416" s="387" t="s">
        <v>15518</v>
      </c>
      <c r="B4416" s="387" t="s">
        <v>3374</v>
      </c>
    </row>
    <row r="4417" spans="1:2">
      <c r="A4417" s="387" t="s">
        <v>15519</v>
      </c>
      <c r="B4417" s="387" t="s">
        <v>15520</v>
      </c>
    </row>
    <row r="4418" spans="1:2">
      <c r="A4418" s="387" t="s">
        <v>15521</v>
      </c>
      <c r="B4418" s="387" t="s">
        <v>1092</v>
      </c>
    </row>
    <row r="4419" spans="1:2">
      <c r="A4419" s="387" t="s">
        <v>15522</v>
      </c>
      <c r="B4419" s="387" t="s">
        <v>1150</v>
      </c>
    </row>
    <row r="4420" spans="1:2">
      <c r="A4420" s="387" t="s">
        <v>15433</v>
      </c>
      <c r="B4420" s="387" t="s">
        <v>1241</v>
      </c>
    </row>
    <row r="4421" spans="1:2">
      <c r="A4421" s="387" t="s">
        <v>15523</v>
      </c>
      <c r="B4421" s="387" t="s">
        <v>1336</v>
      </c>
    </row>
    <row r="4422" spans="1:2">
      <c r="A4422" s="387" t="s">
        <v>15524</v>
      </c>
      <c r="B4422" s="387" t="s">
        <v>1806</v>
      </c>
    </row>
    <row r="4423" spans="1:2">
      <c r="A4423" s="387" t="s">
        <v>15525</v>
      </c>
      <c r="B4423" s="387" t="s">
        <v>1941</v>
      </c>
    </row>
    <row r="4424" spans="1:2">
      <c r="A4424" s="387" t="s">
        <v>15526</v>
      </c>
      <c r="B4424" s="387" t="s">
        <v>1967</v>
      </c>
    </row>
    <row r="4425" spans="1:2">
      <c r="A4425" s="387" t="s">
        <v>15527</v>
      </c>
      <c r="B4425" s="387" t="s">
        <v>2678</v>
      </c>
    </row>
    <row r="4426" spans="1:2">
      <c r="A4426" s="387" t="s">
        <v>15528</v>
      </c>
      <c r="B4426" s="387" t="s">
        <v>2698</v>
      </c>
    </row>
    <row r="4427" spans="1:2">
      <c r="A4427" s="387" t="s">
        <v>15529</v>
      </c>
      <c r="B4427" s="387" t="s">
        <v>2260</v>
      </c>
    </row>
    <row r="4428" spans="1:2">
      <c r="A4428" s="387" t="s">
        <v>15530</v>
      </c>
      <c r="B4428" s="387" t="s">
        <v>3808</v>
      </c>
    </row>
    <row r="4429" spans="1:2">
      <c r="A4429" s="387" t="s">
        <v>15531</v>
      </c>
      <c r="B4429" s="387" t="s">
        <v>3869</v>
      </c>
    </row>
    <row r="4430" spans="1:2">
      <c r="A4430" s="387" t="s">
        <v>15532</v>
      </c>
      <c r="B4430" s="387" t="s">
        <v>2173</v>
      </c>
    </row>
    <row r="4431" spans="1:2">
      <c r="A4431" s="387" t="s">
        <v>15533</v>
      </c>
      <c r="B4431" s="387" t="s">
        <v>3993</v>
      </c>
    </row>
    <row r="4432" spans="1:2">
      <c r="A4432" s="387" t="s">
        <v>15534</v>
      </c>
      <c r="B4432" s="387" t="s">
        <v>4022</v>
      </c>
    </row>
    <row r="4433" spans="1:2">
      <c r="A4433" s="387" t="s">
        <v>15535</v>
      </c>
      <c r="B4433" s="387" t="s">
        <v>4101</v>
      </c>
    </row>
    <row r="4434" spans="1:2">
      <c r="A4434" s="387" t="s">
        <v>15536</v>
      </c>
      <c r="B4434" s="387" t="s">
        <v>1315</v>
      </c>
    </row>
    <row r="4435" spans="1:2">
      <c r="A4435" s="387" t="s">
        <v>15537</v>
      </c>
      <c r="B4435" s="387" t="s">
        <v>4461</v>
      </c>
    </row>
    <row r="4436" spans="1:2">
      <c r="A4436" s="387" t="s">
        <v>15538</v>
      </c>
      <c r="B4436" s="387" t="s">
        <v>4542</v>
      </c>
    </row>
    <row r="4437" spans="1:2">
      <c r="A4437" s="387" t="s">
        <v>15539</v>
      </c>
      <c r="B4437" s="387" t="s">
        <v>4686</v>
      </c>
    </row>
    <row r="4438" spans="1:2">
      <c r="A4438" s="387" t="s">
        <v>15540</v>
      </c>
      <c r="B4438" s="387" t="s">
        <v>4160</v>
      </c>
    </row>
    <row r="4439" spans="1:2">
      <c r="A4439" s="387" t="s">
        <v>15541</v>
      </c>
      <c r="B4439" s="387" t="s">
        <v>5526</v>
      </c>
    </row>
    <row r="4440" spans="1:2">
      <c r="A4440" s="387" t="s">
        <v>15542</v>
      </c>
      <c r="B4440" s="387" t="s">
        <v>5642</v>
      </c>
    </row>
    <row r="4441" spans="1:2">
      <c r="A4441" s="387" t="s">
        <v>15543</v>
      </c>
      <c r="B4441" s="387" t="s">
        <v>5656</v>
      </c>
    </row>
    <row r="4442" spans="1:2">
      <c r="A4442" s="387" t="s">
        <v>15544</v>
      </c>
      <c r="B4442" s="387" t="s">
        <v>5694</v>
      </c>
    </row>
    <row r="4443" spans="1:2">
      <c r="A4443" s="387" t="s">
        <v>15545</v>
      </c>
      <c r="B4443" s="387" t="s">
        <v>6067</v>
      </c>
    </row>
    <row r="4444" spans="1:2">
      <c r="A4444" s="387" t="s">
        <v>15546</v>
      </c>
      <c r="B4444" s="387" t="s">
        <v>6126</v>
      </c>
    </row>
    <row r="4445" spans="1:2">
      <c r="A4445" s="387" t="s">
        <v>15547</v>
      </c>
      <c r="B4445" s="387" t="s">
        <v>6336</v>
      </c>
    </row>
    <row r="4446" spans="1:2">
      <c r="A4446" s="387" t="s">
        <v>15548</v>
      </c>
      <c r="B4446" s="387" t="s">
        <v>15549</v>
      </c>
    </row>
    <row r="4447" spans="1:2">
      <c r="A4447" s="387" t="s">
        <v>15550</v>
      </c>
      <c r="B4447" s="387" t="s">
        <v>15551</v>
      </c>
    </row>
    <row r="4448" spans="1:2">
      <c r="A4448" s="387" t="s">
        <v>15552</v>
      </c>
      <c r="B4448" s="387" t="s">
        <v>6497</v>
      </c>
    </row>
    <row r="4449" spans="1:2">
      <c r="A4449" s="387" t="s">
        <v>15553</v>
      </c>
      <c r="B4449" s="387" t="s">
        <v>6546</v>
      </c>
    </row>
    <row r="4450" spans="1:2">
      <c r="A4450" s="387" t="s">
        <v>15554</v>
      </c>
      <c r="B4450" s="387" t="s">
        <v>15555</v>
      </c>
    </row>
    <row r="4451" spans="1:2">
      <c r="A4451" s="387" t="s">
        <v>15556</v>
      </c>
      <c r="B4451" s="387" t="s">
        <v>6710</v>
      </c>
    </row>
    <row r="4452" spans="1:2">
      <c r="A4452" s="387" t="s">
        <v>15557</v>
      </c>
      <c r="B4452" s="387" t="s">
        <v>2284</v>
      </c>
    </row>
    <row r="4453" spans="1:2">
      <c r="A4453" s="387" t="s">
        <v>15558</v>
      </c>
      <c r="B4453" s="387" t="s">
        <v>7128</v>
      </c>
    </row>
    <row r="4454" spans="1:2">
      <c r="A4454" s="387" t="s">
        <v>15559</v>
      </c>
      <c r="B4454" s="387" t="s">
        <v>1502</v>
      </c>
    </row>
    <row r="4455" spans="1:2">
      <c r="A4455" s="387" t="s">
        <v>15560</v>
      </c>
      <c r="B4455" s="387" t="s">
        <v>1041</v>
      </c>
    </row>
    <row r="4456" spans="1:2">
      <c r="A4456" s="387" t="s">
        <v>15433</v>
      </c>
      <c r="B4456" s="387" t="s">
        <v>1241</v>
      </c>
    </row>
    <row r="4457" spans="1:2">
      <c r="A4457" s="387" t="s">
        <v>15561</v>
      </c>
      <c r="B4457" s="387" t="s">
        <v>1385</v>
      </c>
    </row>
    <row r="4458" spans="1:2">
      <c r="A4458" s="387" t="s">
        <v>15562</v>
      </c>
      <c r="B4458" s="387" t="s">
        <v>1395</v>
      </c>
    </row>
    <row r="4459" spans="1:2">
      <c r="A4459" s="387" t="s">
        <v>15563</v>
      </c>
      <c r="B4459" s="387" t="s">
        <v>1595</v>
      </c>
    </row>
    <row r="4460" spans="1:2">
      <c r="A4460" s="387" t="s">
        <v>15564</v>
      </c>
      <c r="B4460" s="387" t="s">
        <v>1175</v>
      </c>
    </row>
    <row r="4461" spans="1:2">
      <c r="A4461" s="387" t="s">
        <v>15565</v>
      </c>
      <c r="B4461" s="387" t="s">
        <v>2690</v>
      </c>
    </row>
    <row r="4462" spans="1:2">
      <c r="A4462" s="387" t="s">
        <v>15566</v>
      </c>
      <c r="B4462" s="387" t="s">
        <v>3008</v>
      </c>
    </row>
    <row r="4463" spans="1:2">
      <c r="A4463" s="387" t="s">
        <v>15567</v>
      </c>
      <c r="B4463" s="387" t="s">
        <v>2647</v>
      </c>
    </row>
    <row r="4464" spans="1:2">
      <c r="A4464" s="387" t="s">
        <v>15568</v>
      </c>
      <c r="B4464" s="387" t="s">
        <v>4110</v>
      </c>
    </row>
    <row r="4465" spans="1:2">
      <c r="A4465" s="387" t="s">
        <v>15569</v>
      </c>
      <c r="B4465" s="387" t="s">
        <v>4812</v>
      </c>
    </row>
    <row r="4466" spans="1:2">
      <c r="A4466" s="387" t="s">
        <v>15570</v>
      </c>
      <c r="B4466" s="387" t="s">
        <v>5002</v>
      </c>
    </row>
    <row r="4467" spans="1:2">
      <c r="A4467" s="387" t="s">
        <v>15571</v>
      </c>
      <c r="B4467" s="387" t="s">
        <v>2403</v>
      </c>
    </row>
    <row r="4468" spans="1:2">
      <c r="A4468" s="387" t="s">
        <v>15572</v>
      </c>
      <c r="B4468" s="387" t="s">
        <v>5583</v>
      </c>
    </row>
    <row r="4469" spans="1:2">
      <c r="A4469" s="387" t="s">
        <v>15573</v>
      </c>
      <c r="B4469" s="387" t="s">
        <v>3039</v>
      </c>
    </row>
    <row r="4470" spans="1:2">
      <c r="A4470" s="387" t="s">
        <v>15574</v>
      </c>
      <c r="B4470" s="387" t="s">
        <v>2474</v>
      </c>
    </row>
    <row r="4471" spans="1:2">
      <c r="A4471" s="387" t="s">
        <v>15575</v>
      </c>
      <c r="B4471" s="387" t="s">
        <v>5870</v>
      </c>
    </row>
    <row r="4472" spans="1:2">
      <c r="A4472" s="387" t="s">
        <v>15576</v>
      </c>
      <c r="B4472" s="387" t="s">
        <v>3268</v>
      </c>
    </row>
    <row r="4473" spans="1:2">
      <c r="A4473" s="387" t="s">
        <v>15577</v>
      </c>
      <c r="B4473" s="387" t="s">
        <v>6062</v>
      </c>
    </row>
    <row r="4474" spans="1:2">
      <c r="A4474" s="387" t="s">
        <v>15578</v>
      </c>
      <c r="B4474" s="387" t="s">
        <v>6180</v>
      </c>
    </row>
    <row r="4475" spans="1:2">
      <c r="A4475" s="387" t="s">
        <v>15579</v>
      </c>
      <c r="B4475" s="387" t="s">
        <v>6237</v>
      </c>
    </row>
    <row r="4476" spans="1:2">
      <c r="A4476" s="387" t="s">
        <v>15580</v>
      </c>
      <c r="B4476" s="387" t="s">
        <v>5002</v>
      </c>
    </row>
    <row r="4477" spans="1:2">
      <c r="A4477" s="387" t="s">
        <v>15581</v>
      </c>
      <c r="B4477" s="387" t="s">
        <v>6334</v>
      </c>
    </row>
    <row r="4478" spans="1:2">
      <c r="A4478" s="387" t="s">
        <v>15582</v>
      </c>
      <c r="B4478" s="387" t="s">
        <v>6375</v>
      </c>
    </row>
    <row r="4479" spans="1:2">
      <c r="A4479" s="387" t="s">
        <v>15583</v>
      </c>
      <c r="B4479" s="387" t="s">
        <v>5378</v>
      </c>
    </row>
    <row r="4480" spans="1:2">
      <c r="A4480" s="387" t="s">
        <v>15584</v>
      </c>
      <c r="B4480" s="387" t="s">
        <v>1057</v>
      </c>
    </row>
    <row r="4481" spans="1:2">
      <c r="A4481" s="387" t="s">
        <v>15585</v>
      </c>
      <c r="B4481" s="387" t="s">
        <v>6447</v>
      </c>
    </row>
    <row r="4482" spans="1:2">
      <c r="A4482" s="387" t="s">
        <v>15586</v>
      </c>
      <c r="B4482" s="387" t="s">
        <v>6619</v>
      </c>
    </row>
    <row r="4483" spans="1:2">
      <c r="A4483" s="387" t="s">
        <v>15587</v>
      </c>
      <c r="B4483" s="387" t="s">
        <v>15588</v>
      </c>
    </row>
    <row r="4484" spans="1:2">
      <c r="A4484" s="387" t="s">
        <v>15589</v>
      </c>
      <c r="B4484" s="387" t="s">
        <v>2252</v>
      </c>
    </row>
    <row r="4485" spans="1:2">
      <c r="A4485" s="387" t="s">
        <v>15590</v>
      </c>
      <c r="B4485" s="387" t="s">
        <v>6633</v>
      </c>
    </row>
    <row r="4486" spans="1:2">
      <c r="A4486" s="387" t="s">
        <v>15591</v>
      </c>
      <c r="B4486" s="387" t="s">
        <v>15592</v>
      </c>
    </row>
    <row r="4487" spans="1:2">
      <c r="A4487" s="387" t="s">
        <v>15593</v>
      </c>
      <c r="B4487" s="387" t="s">
        <v>6636</v>
      </c>
    </row>
    <row r="4488" spans="1:2">
      <c r="A4488" s="387" t="s">
        <v>15594</v>
      </c>
      <c r="B4488" s="387" t="s">
        <v>6708</v>
      </c>
    </row>
    <row r="4489" spans="1:2">
      <c r="A4489" s="387" t="s">
        <v>15595</v>
      </c>
      <c r="B4489" s="387" t="s">
        <v>4081</v>
      </c>
    </row>
    <row r="4490" spans="1:2">
      <c r="A4490" s="387" t="s">
        <v>15596</v>
      </c>
      <c r="B4490" s="387" t="s">
        <v>15597</v>
      </c>
    </row>
    <row r="4491" spans="1:2">
      <c r="A4491" s="387" t="s">
        <v>15598</v>
      </c>
      <c r="B4491" s="387" t="s">
        <v>6736</v>
      </c>
    </row>
    <row r="4492" spans="1:2">
      <c r="A4492" s="387" t="s">
        <v>15599</v>
      </c>
      <c r="B4492" s="387" t="s">
        <v>6738</v>
      </c>
    </row>
    <row r="4493" spans="1:2">
      <c r="A4493" s="387" t="s">
        <v>15600</v>
      </c>
      <c r="B4493" s="387" t="s">
        <v>7122</v>
      </c>
    </row>
    <row r="4494" spans="1:2">
      <c r="A4494" s="387" t="s">
        <v>15601</v>
      </c>
      <c r="B4494" s="387" t="s">
        <v>7130</v>
      </c>
    </row>
    <row r="4495" spans="1:2">
      <c r="A4495" s="387" t="s">
        <v>15602</v>
      </c>
      <c r="B4495" s="387" t="s">
        <v>15603</v>
      </c>
    </row>
    <row r="4496" spans="1:2">
      <c r="A4496" s="387" t="s">
        <v>15604</v>
      </c>
      <c r="B4496" s="387" t="s">
        <v>15604</v>
      </c>
    </row>
    <row r="4497" spans="1:2">
      <c r="A4497" s="387" t="s">
        <v>15433</v>
      </c>
      <c r="B4497" s="387" t="s">
        <v>1241</v>
      </c>
    </row>
    <row r="4498" spans="1:2">
      <c r="A4498" s="387" t="s">
        <v>171</v>
      </c>
      <c r="B4498" s="387" t="s">
        <v>1438</v>
      </c>
    </row>
    <row r="4499" spans="1:2">
      <c r="A4499" s="387" t="s">
        <v>587</v>
      </c>
      <c r="B4499" s="387" t="s">
        <v>1150</v>
      </c>
    </row>
    <row r="4500" spans="1:2">
      <c r="A4500" s="387" t="s">
        <v>8676</v>
      </c>
      <c r="B4500" s="387" t="s">
        <v>6624</v>
      </c>
    </row>
    <row r="4501" spans="1:2">
      <c r="A4501" s="387" t="s">
        <v>15605</v>
      </c>
      <c r="B4501" s="387" t="s">
        <v>1239</v>
      </c>
    </row>
    <row r="4502" spans="1:2">
      <c r="A4502" s="387" t="s">
        <v>15433</v>
      </c>
      <c r="B4502" s="387" t="s">
        <v>1241</v>
      </c>
    </row>
    <row r="4503" spans="1:2">
      <c r="A4503" s="387" t="s">
        <v>15606</v>
      </c>
      <c r="B4503" s="387" t="s">
        <v>2922</v>
      </c>
    </row>
    <row r="4504" spans="1:2">
      <c r="A4504" s="387" t="s">
        <v>15607</v>
      </c>
      <c r="B4504" s="387" t="s">
        <v>4696</v>
      </c>
    </row>
    <row r="4505" spans="1:2">
      <c r="A4505" s="387" t="s">
        <v>15608</v>
      </c>
      <c r="B4505" s="387" t="s">
        <v>5382</v>
      </c>
    </row>
    <row r="4506" spans="1:2">
      <c r="A4506" s="387" t="s">
        <v>15609</v>
      </c>
      <c r="B4506" s="387" t="s">
        <v>5658</v>
      </c>
    </row>
    <row r="4507" spans="1:2">
      <c r="A4507" s="387" t="s">
        <v>15610</v>
      </c>
      <c r="B4507" s="387" t="s">
        <v>5836</v>
      </c>
    </row>
    <row r="4508" spans="1:2">
      <c r="A4508" s="387" t="s">
        <v>15611</v>
      </c>
      <c r="B4508" s="387" t="s">
        <v>5935</v>
      </c>
    </row>
    <row r="4509" spans="1:2">
      <c r="A4509" s="387" t="s">
        <v>15612</v>
      </c>
      <c r="B4509" s="387" t="s">
        <v>8467</v>
      </c>
    </row>
    <row r="4510" spans="1:2">
      <c r="A4510" s="387" t="s">
        <v>15613</v>
      </c>
      <c r="B4510" s="387" t="s">
        <v>6622</v>
      </c>
    </row>
    <row r="4511" spans="1:2">
      <c r="A4511" s="387" t="s">
        <v>15433</v>
      </c>
      <c r="B4511" s="387" t="s">
        <v>1241</v>
      </c>
    </row>
    <row r="4512" spans="1:2">
      <c r="A4512" s="387" t="s">
        <v>588</v>
      </c>
      <c r="B4512" s="387" t="s">
        <v>1275</v>
      </c>
    </row>
    <row r="4513" spans="1:2">
      <c r="A4513" s="387" t="s">
        <v>8675</v>
      </c>
      <c r="B4513" s="387" t="s">
        <v>1418</v>
      </c>
    </row>
    <row r="4514" spans="1:2">
      <c r="A4514" s="387" t="s">
        <v>15614</v>
      </c>
      <c r="B4514" s="387" t="s">
        <v>1603</v>
      </c>
    </row>
    <row r="4515" spans="1:2">
      <c r="A4515" s="387" t="s">
        <v>15615</v>
      </c>
      <c r="B4515" s="387" t="s">
        <v>2592</v>
      </c>
    </row>
    <row r="4516" spans="1:2">
      <c r="A4516" s="387" t="s">
        <v>15616</v>
      </c>
      <c r="B4516" s="387" t="s">
        <v>2936</v>
      </c>
    </row>
    <row r="4517" spans="1:2">
      <c r="A4517" s="387" t="s">
        <v>15617</v>
      </c>
      <c r="B4517" s="387" t="s">
        <v>3853</v>
      </c>
    </row>
    <row r="4518" spans="1:2">
      <c r="A4518" s="387" t="s">
        <v>15618</v>
      </c>
      <c r="B4518" s="387" t="s">
        <v>4161</v>
      </c>
    </row>
    <row r="4519" spans="1:2">
      <c r="A4519" s="387" t="s">
        <v>15619</v>
      </c>
      <c r="B4519" s="387" t="s">
        <v>15620</v>
      </c>
    </row>
    <row r="4520" spans="1:2">
      <c r="A4520" s="387" t="s">
        <v>200</v>
      </c>
      <c r="B4520" s="387" t="s">
        <v>1621</v>
      </c>
    </row>
    <row r="4521" spans="1:2">
      <c r="A4521" s="387" t="s">
        <v>15621</v>
      </c>
      <c r="B4521" s="387" t="s">
        <v>4963</v>
      </c>
    </row>
    <row r="4522" spans="1:2">
      <c r="A4522" s="387" t="s">
        <v>15622</v>
      </c>
      <c r="B4522" s="387" t="s">
        <v>901</v>
      </c>
    </row>
    <row r="4523" spans="1:2">
      <c r="A4523" s="387" t="s">
        <v>172</v>
      </c>
      <c r="B4523" s="387" t="s">
        <v>1279</v>
      </c>
    </row>
    <row r="4524" spans="1:2">
      <c r="A4524" s="387" t="s">
        <v>173</v>
      </c>
      <c r="B4524" s="387" t="s">
        <v>1311</v>
      </c>
    </row>
    <row r="4525" spans="1:2">
      <c r="A4525" s="387" t="s">
        <v>167</v>
      </c>
      <c r="B4525" s="387" t="s">
        <v>1360</v>
      </c>
    </row>
    <row r="4526" spans="1:2">
      <c r="A4526" s="387" t="s">
        <v>15623</v>
      </c>
      <c r="B4526" s="387" t="s">
        <v>2811</v>
      </c>
    </row>
    <row r="4527" spans="1:2">
      <c r="A4527" s="387" t="s">
        <v>15624</v>
      </c>
      <c r="B4527" s="387" t="s">
        <v>4442</v>
      </c>
    </row>
    <row r="4528" spans="1:2">
      <c r="A4528" s="387" t="s">
        <v>15622</v>
      </c>
      <c r="B4528" s="387" t="s">
        <v>901</v>
      </c>
    </row>
    <row r="4529" spans="1:2">
      <c r="A4529" s="387" t="s">
        <v>15625</v>
      </c>
      <c r="B4529" s="387" t="s">
        <v>1070</v>
      </c>
    </row>
    <row r="4530" spans="1:2">
      <c r="A4530" s="387" t="s">
        <v>173</v>
      </c>
      <c r="B4530" s="387" t="s">
        <v>1311</v>
      </c>
    </row>
    <row r="4531" spans="1:2">
      <c r="A4531" s="387" t="s">
        <v>15626</v>
      </c>
      <c r="B4531" s="387" t="s">
        <v>1395</v>
      </c>
    </row>
    <row r="4532" spans="1:2">
      <c r="A4532" s="387" t="s">
        <v>15627</v>
      </c>
      <c r="B4532" s="387" t="s">
        <v>1416</v>
      </c>
    </row>
    <row r="4533" spans="1:2">
      <c r="A4533" s="387" t="s">
        <v>15628</v>
      </c>
      <c r="B4533" s="387" t="s">
        <v>1037</v>
      </c>
    </row>
    <row r="4534" spans="1:2">
      <c r="A4534" s="387" t="s">
        <v>15629</v>
      </c>
      <c r="B4534" s="387" t="s">
        <v>1633</v>
      </c>
    </row>
    <row r="4535" spans="1:2">
      <c r="A4535" s="387" t="s">
        <v>15630</v>
      </c>
      <c r="B4535" s="387" t="s">
        <v>3512</v>
      </c>
    </row>
    <row r="4536" spans="1:2">
      <c r="A4536" s="387" t="s">
        <v>15631</v>
      </c>
      <c r="B4536" s="387" t="s">
        <v>3926</v>
      </c>
    </row>
    <row r="4537" spans="1:2">
      <c r="A4537" s="387" t="s">
        <v>15632</v>
      </c>
      <c r="B4537" s="387" t="s">
        <v>4448</v>
      </c>
    </row>
    <row r="4538" spans="1:2">
      <c r="A4538" s="387" t="s">
        <v>15633</v>
      </c>
      <c r="B4538" s="387" t="s">
        <v>2248</v>
      </c>
    </row>
    <row r="4539" spans="1:2">
      <c r="A4539" s="387" t="s">
        <v>15622</v>
      </c>
      <c r="B4539" s="387" t="s">
        <v>901</v>
      </c>
    </row>
    <row r="4540" spans="1:2">
      <c r="A4540" s="387" t="s">
        <v>15634</v>
      </c>
      <c r="B4540" s="387" t="s">
        <v>1211</v>
      </c>
    </row>
    <row r="4541" spans="1:2">
      <c r="A4541" s="387" t="s">
        <v>15635</v>
      </c>
      <c r="B4541" s="387" t="s">
        <v>1216</v>
      </c>
    </row>
    <row r="4542" spans="1:2">
      <c r="A4542" s="387" t="s">
        <v>15636</v>
      </c>
      <c r="B4542" s="387" t="s">
        <v>15637</v>
      </c>
    </row>
    <row r="4543" spans="1:2">
      <c r="A4543" s="387" t="s">
        <v>173</v>
      </c>
      <c r="B4543" s="387" t="s">
        <v>1311</v>
      </c>
    </row>
    <row r="4544" spans="1:2">
      <c r="A4544" s="387" t="s">
        <v>15638</v>
      </c>
      <c r="B4544" s="387" t="s">
        <v>1528</v>
      </c>
    </row>
    <row r="4545" spans="1:2">
      <c r="A4545" s="387" t="s">
        <v>15639</v>
      </c>
      <c r="B4545" s="387" t="s">
        <v>2112</v>
      </c>
    </row>
    <row r="4546" spans="1:2">
      <c r="A4546" s="387" t="s">
        <v>15640</v>
      </c>
      <c r="B4546" s="387" t="s">
        <v>2476</v>
      </c>
    </row>
    <row r="4547" spans="1:2">
      <c r="A4547" s="387" t="s">
        <v>15641</v>
      </c>
      <c r="B4547" s="387" t="s">
        <v>2539</v>
      </c>
    </row>
    <row r="4548" spans="1:2">
      <c r="A4548" s="387" t="s">
        <v>15642</v>
      </c>
      <c r="B4548" s="387" t="s">
        <v>2586</v>
      </c>
    </row>
    <row r="4549" spans="1:2">
      <c r="A4549" s="387" t="s">
        <v>15643</v>
      </c>
      <c r="B4549" s="387" t="s">
        <v>2700</v>
      </c>
    </row>
    <row r="4550" spans="1:2">
      <c r="A4550" s="387" t="s">
        <v>15644</v>
      </c>
      <c r="B4550" s="387" t="s">
        <v>2885</v>
      </c>
    </row>
    <row r="4551" spans="1:2">
      <c r="A4551" s="387" t="s">
        <v>15645</v>
      </c>
      <c r="B4551" s="387" t="s">
        <v>2920</v>
      </c>
    </row>
    <row r="4552" spans="1:2">
      <c r="A4552" s="387" t="s">
        <v>15646</v>
      </c>
      <c r="B4552" s="387" t="s">
        <v>2112</v>
      </c>
    </row>
    <row r="4553" spans="1:2">
      <c r="A4553" s="387" t="s">
        <v>15647</v>
      </c>
      <c r="B4553" s="387" t="s">
        <v>3240</v>
      </c>
    </row>
    <row r="4554" spans="1:2">
      <c r="A4554" s="387" t="s">
        <v>15648</v>
      </c>
      <c r="B4554" s="387" t="s">
        <v>15649</v>
      </c>
    </row>
    <row r="4555" spans="1:2">
      <c r="A4555" s="387" t="s">
        <v>15650</v>
      </c>
      <c r="B4555" s="387" t="s">
        <v>3799</v>
      </c>
    </row>
    <row r="4556" spans="1:2">
      <c r="A4556" s="387" t="s">
        <v>15651</v>
      </c>
      <c r="B4556" s="387" t="s">
        <v>3922</v>
      </c>
    </row>
    <row r="4557" spans="1:2">
      <c r="A4557" s="387" t="s">
        <v>15652</v>
      </c>
      <c r="B4557" s="387" t="s">
        <v>4163</v>
      </c>
    </row>
    <row r="4558" spans="1:2">
      <c r="A4558" s="387" t="s">
        <v>15653</v>
      </c>
      <c r="B4558" s="387" t="s">
        <v>2318</v>
      </c>
    </row>
    <row r="4559" spans="1:2">
      <c r="A4559" s="387" t="s">
        <v>15654</v>
      </c>
      <c r="B4559" s="387" t="s">
        <v>4929</v>
      </c>
    </row>
    <row r="4560" spans="1:2">
      <c r="A4560" s="387" t="s">
        <v>15655</v>
      </c>
      <c r="B4560" s="387" t="s">
        <v>4942</v>
      </c>
    </row>
    <row r="4561" spans="1:2">
      <c r="A4561" s="387" t="s">
        <v>15656</v>
      </c>
      <c r="B4561" s="387" t="s">
        <v>5069</v>
      </c>
    </row>
    <row r="4562" spans="1:2">
      <c r="A4562" s="387" t="s">
        <v>15657</v>
      </c>
      <c r="B4562" s="387" t="s">
        <v>4487</v>
      </c>
    </row>
    <row r="4563" spans="1:2">
      <c r="A4563" s="387" t="s">
        <v>15658</v>
      </c>
      <c r="B4563" s="387" t="s">
        <v>5629</v>
      </c>
    </row>
    <row r="4564" spans="1:2">
      <c r="A4564" s="387" t="s">
        <v>15659</v>
      </c>
      <c r="B4564" s="387" t="s">
        <v>5654</v>
      </c>
    </row>
    <row r="4565" spans="1:2">
      <c r="A4565" s="387" t="s">
        <v>15660</v>
      </c>
      <c r="B4565" s="387" t="s">
        <v>5843</v>
      </c>
    </row>
    <row r="4566" spans="1:2">
      <c r="A4566" s="387" t="s">
        <v>15661</v>
      </c>
      <c r="B4566" s="387" t="s">
        <v>5872</v>
      </c>
    </row>
    <row r="4567" spans="1:2">
      <c r="A4567" s="387" t="s">
        <v>15662</v>
      </c>
      <c r="B4567" s="387" t="s">
        <v>6124</v>
      </c>
    </row>
    <row r="4568" spans="1:2">
      <c r="A4568" s="387" t="s">
        <v>15663</v>
      </c>
      <c r="B4568" s="387" t="s">
        <v>15664</v>
      </c>
    </row>
    <row r="4569" spans="1:2">
      <c r="A4569" s="387" t="s">
        <v>15665</v>
      </c>
      <c r="B4569" s="387" t="s">
        <v>6338</v>
      </c>
    </row>
    <row r="4570" spans="1:2">
      <c r="A4570" s="387" t="s">
        <v>15666</v>
      </c>
      <c r="B4570" s="387" t="s">
        <v>4333</v>
      </c>
    </row>
    <row r="4571" spans="1:2">
      <c r="A4571" s="387" t="s">
        <v>15667</v>
      </c>
      <c r="B4571" s="387" t="s">
        <v>6401</v>
      </c>
    </row>
    <row r="4572" spans="1:2">
      <c r="A4572" s="387" t="s">
        <v>15668</v>
      </c>
      <c r="B4572" s="387" t="s">
        <v>2551</v>
      </c>
    </row>
    <row r="4573" spans="1:2">
      <c r="A4573" s="387" t="s">
        <v>15669</v>
      </c>
      <c r="B4573" s="387" t="s">
        <v>6430</v>
      </c>
    </row>
    <row r="4574" spans="1:2">
      <c r="A4574" s="387" t="s">
        <v>15670</v>
      </c>
      <c r="B4574" s="387" t="s">
        <v>2790</v>
      </c>
    </row>
    <row r="4575" spans="1:2">
      <c r="A4575" s="387" t="s">
        <v>15671</v>
      </c>
      <c r="B4575" s="387" t="s">
        <v>4768</v>
      </c>
    </row>
    <row r="4576" spans="1:2">
      <c r="A4576" s="387" t="s">
        <v>15672</v>
      </c>
      <c r="B4576" s="387" t="s">
        <v>6533</v>
      </c>
    </row>
    <row r="4577" spans="1:2">
      <c r="A4577" s="387" t="s">
        <v>15673</v>
      </c>
      <c r="B4577" s="387" t="s">
        <v>6617</v>
      </c>
    </row>
    <row r="4578" spans="1:2">
      <c r="A4578" s="387" t="s">
        <v>15674</v>
      </c>
      <c r="B4578" s="387" t="s">
        <v>15675</v>
      </c>
    </row>
    <row r="4579" spans="1:2">
      <c r="A4579" s="387" t="s">
        <v>15676</v>
      </c>
      <c r="B4579" s="387" t="s">
        <v>1776</v>
      </c>
    </row>
    <row r="4580" spans="1:2">
      <c r="A4580" s="387" t="s">
        <v>15677</v>
      </c>
      <c r="B4580" s="387" t="s">
        <v>2173</v>
      </c>
    </row>
    <row r="4581" spans="1:2">
      <c r="A4581" s="387" t="s">
        <v>15678</v>
      </c>
      <c r="B4581" s="387" t="s">
        <v>2576</v>
      </c>
    </row>
    <row r="4582" spans="1:2">
      <c r="A4582" s="387" t="s">
        <v>15679</v>
      </c>
      <c r="B4582" s="387" t="s">
        <v>6417</v>
      </c>
    </row>
    <row r="4583" spans="1:2">
      <c r="A4583" s="387" t="s">
        <v>15680</v>
      </c>
      <c r="B4583" s="387" t="s">
        <v>1356</v>
      </c>
    </row>
    <row r="4584" spans="1:2">
      <c r="A4584" s="387" t="s">
        <v>15681</v>
      </c>
      <c r="B4584" s="387" t="s">
        <v>15682</v>
      </c>
    </row>
    <row r="4585" spans="1:2">
      <c r="A4585" s="387" t="s">
        <v>15683</v>
      </c>
      <c r="B4585" s="387" t="s">
        <v>7231</v>
      </c>
    </row>
    <row r="4586" spans="1:2">
      <c r="A4586" s="387" t="s">
        <v>15684</v>
      </c>
      <c r="B4586" s="387" t="s">
        <v>7327</v>
      </c>
    </row>
    <row r="4587" spans="1:2">
      <c r="A4587" s="387" t="s">
        <v>15685</v>
      </c>
      <c r="B4587" s="387" t="s">
        <v>7128</v>
      </c>
    </row>
    <row r="4588" spans="1:2">
      <c r="A4588" s="387" t="s">
        <v>15686</v>
      </c>
      <c r="B4588" s="387" t="s">
        <v>15687</v>
      </c>
    </row>
    <row r="4589" spans="1:2">
      <c r="A4589" s="387" t="s">
        <v>15688</v>
      </c>
      <c r="B4589" s="387" t="s">
        <v>7689</v>
      </c>
    </row>
    <row r="4590" spans="1:2">
      <c r="A4590" s="387" t="s">
        <v>15689</v>
      </c>
      <c r="B4590" s="387" t="s">
        <v>7691</v>
      </c>
    </row>
    <row r="4591" spans="1:2">
      <c r="A4591" s="387" t="s">
        <v>15690</v>
      </c>
      <c r="B4591" s="387" t="s">
        <v>1175</v>
      </c>
    </row>
    <row r="4592" spans="1:2">
      <c r="A4592" s="387" t="s">
        <v>15691</v>
      </c>
      <c r="B4592" s="387" t="s">
        <v>7703</v>
      </c>
    </row>
    <row r="4593" spans="1:2">
      <c r="A4593" s="387" t="s">
        <v>15692</v>
      </c>
      <c r="B4593" s="387" t="s">
        <v>15693</v>
      </c>
    </row>
    <row r="4594" spans="1:2">
      <c r="A4594" s="387" t="s">
        <v>15694</v>
      </c>
      <c r="B4594" s="387" t="s">
        <v>1241</v>
      </c>
    </row>
    <row r="4595" spans="1:2">
      <c r="A4595" s="387" t="s">
        <v>15695</v>
      </c>
      <c r="B4595" s="387" t="s">
        <v>15696</v>
      </c>
    </row>
    <row r="4596" spans="1:2">
      <c r="A4596" s="387" t="s">
        <v>15697</v>
      </c>
      <c r="B4596" s="387" t="s">
        <v>15698</v>
      </c>
    </row>
    <row r="4597" spans="1:2">
      <c r="A4597" s="387" t="s">
        <v>15699</v>
      </c>
      <c r="B4597" s="387" t="s">
        <v>15700</v>
      </c>
    </row>
    <row r="4598" spans="1:2">
      <c r="A4598" s="387" t="s">
        <v>15701</v>
      </c>
      <c r="B4598" s="387" t="s">
        <v>3425</v>
      </c>
    </row>
    <row r="4599" spans="1:2">
      <c r="A4599" s="387" t="s">
        <v>15702</v>
      </c>
      <c r="B4599" s="387" t="s">
        <v>3374</v>
      </c>
    </row>
    <row r="4600" spans="1:2">
      <c r="A4600" s="387" t="s">
        <v>15703</v>
      </c>
      <c r="B4600" s="387" t="s">
        <v>15704</v>
      </c>
    </row>
    <row r="4601" spans="1:2">
      <c r="A4601" s="387" t="s">
        <v>15705</v>
      </c>
      <c r="B4601" s="387" t="s">
        <v>4940</v>
      </c>
    </row>
    <row r="4602" spans="1:2">
      <c r="A4602" s="387" t="s">
        <v>15706</v>
      </c>
      <c r="B4602" s="387" t="s">
        <v>6043</v>
      </c>
    </row>
    <row r="4603" spans="1:2">
      <c r="A4603" s="387" t="s">
        <v>15707</v>
      </c>
      <c r="B4603" s="387" t="s">
        <v>8224</v>
      </c>
    </row>
    <row r="4604" spans="1:2">
      <c r="A4604" s="387" t="s">
        <v>15708</v>
      </c>
      <c r="B4604" s="387" t="s">
        <v>15709</v>
      </c>
    </row>
    <row r="4605" spans="1:2">
      <c r="A4605" s="387" t="s">
        <v>15710</v>
      </c>
      <c r="B4605" s="387" t="s">
        <v>3711</v>
      </c>
    </row>
    <row r="4606" spans="1:2">
      <c r="A4606" s="387" t="s">
        <v>15711</v>
      </c>
      <c r="B4606" s="387" t="s">
        <v>8358</v>
      </c>
    </row>
    <row r="4607" spans="1:2">
      <c r="A4607" s="387" t="s">
        <v>15712</v>
      </c>
      <c r="B4607" s="387" t="s">
        <v>8360</v>
      </c>
    </row>
    <row r="4608" spans="1:2">
      <c r="A4608" s="387" t="s">
        <v>15713</v>
      </c>
      <c r="B4608" s="387" t="s">
        <v>15714</v>
      </c>
    </row>
    <row r="4609" spans="1:2">
      <c r="A4609" s="387" t="s">
        <v>15715</v>
      </c>
      <c r="B4609" s="387" t="s">
        <v>8379</v>
      </c>
    </row>
    <row r="4610" spans="1:2">
      <c r="A4610" s="387" t="s">
        <v>15716</v>
      </c>
      <c r="B4610" s="387" t="s">
        <v>8415</v>
      </c>
    </row>
    <row r="4611" spans="1:2">
      <c r="A4611" s="387" t="s">
        <v>15717</v>
      </c>
      <c r="B4611" s="387" t="s">
        <v>8467</v>
      </c>
    </row>
    <row r="4612" spans="1:2">
      <c r="A4612" s="387" t="s">
        <v>15718</v>
      </c>
      <c r="B4612" s="387" t="s">
        <v>3913</v>
      </c>
    </row>
    <row r="4613" spans="1:2">
      <c r="A4613" s="387" t="s">
        <v>15719</v>
      </c>
      <c r="B4613" s="387" t="s">
        <v>8482</v>
      </c>
    </row>
    <row r="4614" spans="1:2">
      <c r="A4614" s="387" t="s">
        <v>15720</v>
      </c>
      <c r="B4614" s="387" t="s">
        <v>15721</v>
      </c>
    </row>
    <row r="4615" spans="1:2">
      <c r="A4615" s="387" t="s">
        <v>15722</v>
      </c>
      <c r="B4615" s="387" t="s">
        <v>998</v>
      </c>
    </row>
    <row r="4616" spans="1:2">
      <c r="A4616" s="387" t="s">
        <v>15622</v>
      </c>
      <c r="B4616" s="387" t="s">
        <v>901</v>
      </c>
    </row>
    <row r="4617" spans="1:2">
      <c r="A4617" s="387" t="s">
        <v>173</v>
      </c>
      <c r="B4617" s="387" t="s">
        <v>1311</v>
      </c>
    </row>
    <row r="4618" spans="1:2">
      <c r="A4618" s="387" t="s">
        <v>15723</v>
      </c>
      <c r="B4618" s="387" t="s">
        <v>1358</v>
      </c>
    </row>
    <row r="4619" spans="1:2">
      <c r="A4619" s="387" t="s">
        <v>15724</v>
      </c>
      <c r="B4619" s="387" t="s">
        <v>2722</v>
      </c>
    </row>
    <row r="4620" spans="1:2">
      <c r="A4620" s="387" t="s">
        <v>15725</v>
      </c>
      <c r="B4620" s="387" t="s">
        <v>2874</v>
      </c>
    </row>
    <row r="4621" spans="1:2">
      <c r="A4621" s="387" t="s">
        <v>15726</v>
      </c>
      <c r="B4621" s="387" t="s">
        <v>5053</v>
      </c>
    </row>
    <row r="4622" spans="1:2">
      <c r="A4622" s="387" t="s">
        <v>15727</v>
      </c>
      <c r="B4622" s="387" t="s">
        <v>5055</v>
      </c>
    </row>
    <row r="4623" spans="1:2">
      <c r="A4623" s="387" t="s">
        <v>15728</v>
      </c>
      <c r="B4623" s="387" t="s">
        <v>5698</v>
      </c>
    </row>
    <row r="4624" spans="1:2">
      <c r="A4624" s="387" t="s">
        <v>15729</v>
      </c>
      <c r="B4624" s="387" t="s">
        <v>3226</v>
      </c>
    </row>
    <row r="4625" spans="1:2">
      <c r="A4625" s="387" t="s">
        <v>15730</v>
      </c>
      <c r="B4625" s="387" t="s">
        <v>6291</v>
      </c>
    </row>
    <row r="4626" spans="1:2">
      <c r="A4626" s="387" t="s">
        <v>15731</v>
      </c>
      <c r="B4626" s="387" t="s">
        <v>15732</v>
      </c>
    </row>
    <row r="4627" spans="1:2">
      <c r="A4627" s="387" t="s">
        <v>15733</v>
      </c>
      <c r="B4627" s="387" t="s">
        <v>6332</v>
      </c>
    </row>
    <row r="4628" spans="1:2">
      <c r="A4628" s="387" t="s">
        <v>15734</v>
      </c>
      <c r="B4628" s="387" t="s">
        <v>6365</v>
      </c>
    </row>
    <row r="4629" spans="1:2">
      <c r="A4629" s="387" t="s">
        <v>15735</v>
      </c>
      <c r="B4629" s="387" t="s">
        <v>3327</v>
      </c>
    </row>
    <row r="4630" spans="1:2">
      <c r="A4630" s="387" t="s">
        <v>15736</v>
      </c>
      <c r="B4630" s="387" t="s">
        <v>6432</v>
      </c>
    </row>
    <row r="4631" spans="1:2">
      <c r="A4631" s="387" t="s">
        <v>15737</v>
      </c>
      <c r="B4631" s="387" t="s">
        <v>15738</v>
      </c>
    </row>
    <row r="4632" spans="1:2">
      <c r="A4632" s="387" t="s">
        <v>15739</v>
      </c>
      <c r="B4632" s="387" t="s">
        <v>15740</v>
      </c>
    </row>
    <row r="4633" spans="1:2">
      <c r="A4633" s="387" t="s">
        <v>15741</v>
      </c>
      <c r="B4633" s="387" t="s">
        <v>15742</v>
      </c>
    </row>
    <row r="4634" spans="1:2">
      <c r="A4634" s="387" t="s">
        <v>15743</v>
      </c>
      <c r="B4634" s="387" t="s">
        <v>7046</v>
      </c>
    </row>
    <row r="4635" spans="1:2">
      <c r="A4635" s="387" t="s">
        <v>15744</v>
      </c>
      <c r="B4635" s="387" t="s">
        <v>15745</v>
      </c>
    </row>
    <row r="4636" spans="1:2">
      <c r="A4636" s="387" t="s">
        <v>15746</v>
      </c>
      <c r="B4636" s="387" t="s">
        <v>3416</v>
      </c>
    </row>
    <row r="4637" spans="1:2">
      <c r="A4637" s="387" t="s">
        <v>15747</v>
      </c>
      <c r="B4637" s="387" t="s">
        <v>2604</v>
      </c>
    </row>
    <row r="4638" spans="1:2">
      <c r="A4638" s="387" t="s">
        <v>15748</v>
      </c>
      <c r="B4638" s="387" t="s">
        <v>7374</v>
      </c>
    </row>
    <row r="4639" spans="1:2">
      <c r="A4639" s="387" t="s">
        <v>15622</v>
      </c>
      <c r="B4639" s="387" t="s">
        <v>901</v>
      </c>
    </row>
    <row r="4640" spans="1:2">
      <c r="A4640" s="387" t="s">
        <v>173</v>
      </c>
      <c r="B4640" s="387" t="s">
        <v>1311</v>
      </c>
    </row>
    <row r="4641" spans="1:2">
      <c r="A4641" s="387" t="s">
        <v>15749</v>
      </c>
      <c r="B4641" s="387" t="s">
        <v>1454</v>
      </c>
    </row>
    <row r="4642" spans="1:2">
      <c r="A4642" s="387" t="s">
        <v>15750</v>
      </c>
      <c r="B4642" s="387" t="s">
        <v>2313</v>
      </c>
    </row>
    <row r="4643" spans="1:2">
      <c r="A4643" s="387" t="s">
        <v>15751</v>
      </c>
      <c r="B4643" s="387" t="s">
        <v>3238</v>
      </c>
    </row>
    <row r="4644" spans="1:2">
      <c r="A4644" s="387" t="s">
        <v>15752</v>
      </c>
      <c r="B4644" s="387" t="s">
        <v>3970</v>
      </c>
    </row>
    <row r="4645" spans="1:2">
      <c r="A4645" s="387" t="s">
        <v>15753</v>
      </c>
      <c r="B4645" s="387" t="s">
        <v>5051</v>
      </c>
    </row>
    <row r="4646" spans="1:2">
      <c r="A4646" s="387" t="s">
        <v>15754</v>
      </c>
      <c r="B4646" s="387" t="s">
        <v>5360</v>
      </c>
    </row>
    <row r="4647" spans="1:2">
      <c r="A4647" s="387" t="s">
        <v>15755</v>
      </c>
      <c r="B4647" s="387" t="s">
        <v>5576</v>
      </c>
    </row>
    <row r="4648" spans="1:2">
      <c r="A4648" s="387" t="s">
        <v>15756</v>
      </c>
      <c r="B4648" s="387" t="s">
        <v>5640</v>
      </c>
    </row>
    <row r="4649" spans="1:2">
      <c r="A4649" s="387" t="s">
        <v>15757</v>
      </c>
      <c r="B4649" s="387" t="s">
        <v>5675</v>
      </c>
    </row>
    <row r="4650" spans="1:2">
      <c r="A4650" s="387" t="s">
        <v>15758</v>
      </c>
      <c r="B4650" s="387" t="s">
        <v>5749</v>
      </c>
    </row>
    <row r="4651" spans="1:2">
      <c r="A4651" s="387" t="s">
        <v>15759</v>
      </c>
      <c r="B4651" s="387" t="s">
        <v>15760</v>
      </c>
    </row>
    <row r="4652" spans="1:2">
      <c r="A4652" s="387" t="s">
        <v>15761</v>
      </c>
      <c r="B4652" s="387" t="s">
        <v>6104</v>
      </c>
    </row>
    <row r="4653" spans="1:2">
      <c r="A4653" s="387" t="s">
        <v>15762</v>
      </c>
      <c r="B4653" s="387" t="s">
        <v>3307</v>
      </c>
    </row>
    <row r="4654" spans="1:2">
      <c r="A4654" s="387" t="s">
        <v>15763</v>
      </c>
      <c r="B4654" s="387" t="s">
        <v>6535</v>
      </c>
    </row>
    <row r="4655" spans="1:2">
      <c r="A4655" s="387" t="s">
        <v>15764</v>
      </c>
      <c r="B4655" s="387" t="s">
        <v>3409</v>
      </c>
    </row>
    <row r="4656" spans="1:2">
      <c r="A4656" s="387" t="s">
        <v>15765</v>
      </c>
      <c r="B4656" s="387" t="s">
        <v>2192</v>
      </c>
    </row>
    <row r="4657" spans="1:2">
      <c r="A4657" s="387" t="s">
        <v>15766</v>
      </c>
      <c r="B4657" s="387" t="s">
        <v>15767</v>
      </c>
    </row>
    <row r="4658" spans="1:2">
      <c r="A4658" s="387" t="s">
        <v>15768</v>
      </c>
      <c r="B4658" s="387" t="s">
        <v>15769</v>
      </c>
    </row>
    <row r="4659" spans="1:2">
      <c r="A4659" s="387" t="s">
        <v>15770</v>
      </c>
      <c r="B4659" s="387" t="s">
        <v>7163</v>
      </c>
    </row>
    <row r="4660" spans="1:2">
      <c r="A4660" s="387" t="s">
        <v>15771</v>
      </c>
      <c r="B4660" s="387" t="s">
        <v>7165</v>
      </c>
    </row>
    <row r="4661" spans="1:2">
      <c r="A4661" s="387" t="s">
        <v>15772</v>
      </c>
      <c r="B4661" s="387" t="s">
        <v>7167</v>
      </c>
    </row>
    <row r="4662" spans="1:2">
      <c r="A4662" s="387" t="s">
        <v>15773</v>
      </c>
      <c r="B4662" s="387" t="s">
        <v>5934</v>
      </c>
    </row>
    <row r="4663" spans="1:2">
      <c r="A4663" s="387" t="s">
        <v>15774</v>
      </c>
      <c r="B4663" s="387" t="s">
        <v>7458</v>
      </c>
    </row>
    <row r="4664" spans="1:2">
      <c r="A4664" s="387" t="s">
        <v>15775</v>
      </c>
      <c r="B4664" s="387" t="s">
        <v>7693</v>
      </c>
    </row>
    <row r="4665" spans="1:2">
      <c r="A4665" s="387" t="s">
        <v>15776</v>
      </c>
      <c r="B4665" s="387" t="s">
        <v>14241</v>
      </c>
    </row>
    <row r="4666" spans="1:2">
      <c r="A4666" s="387" t="s">
        <v>15777</v>
      </c>
      <c r="B4666" s="387" t="s">
        <v>7695</v>
      </c>
    </row>
    <row r="4667" spans="1:2">
      <c r="A4667" s="387" t="s">
        <v>763</v>
      </c>
      <c r="B4667" s="387" t="s">
        <v>764</v>
      </c>
    </row>
    <row r="4668" spans="1:2">
      <c r="A4668" s="387" t="s">
        <v>266</v>
      </c>
      <c r="B4668" s="387" t="s">
        <v>3770</v>
      </c>
    </row>
    <row r="4669" spans="1:2">
      <c r="A4669" s="387" t="s">
        <v>749</v>
      </c>
      <c r="B4669" s="387" t="s">
        <v>750</v>
      </c>
    </row>
    <row r="4670" spans="1:2">
      <c r="A4670" s="387" t="s">
        <v>722</v>
      </c>
      <c r="B4670" s="387" t="s">
        <v>723</v>
      </c>
    </row>
    <row r="4671" spans="1:2">
      <c r="A4671" s="387" t="s">
        <v>10075</v>
      </c>
      <c r="B4671" s="387" t="s">
        <v>15778</v>
      </c>
    </row>
    <row r="4672" spans="1:2">
      <c r="A4672" s="387" t="s">
        <v>111</v>
      </c>
      <c r="B4672" s="387" t="s">
        <v>1206</v>
      </c>
    </row>
    <row r="4673" spans="1:2">
      <c r="A4673" s="387" t="s">
        <v>480</v>
      </c>
      <c r="B4673" s="387" t="s">
        <v>911</v>
      </c>
    </row>
    <row r="4674" spans="1:2">
      <c r="A4674" s="387" t="s">
        <v>661</v>
      </c>
      <c r="B4674" s="387" t="s">
        <v>979</v>
      </c>
    </row>
    <row r="4675" spans="1:2">
      <c r="A4675" s="387" t="s">
        <v>474</v>
      </c>
      <c r="B4675" s="387" t="s">
        <v>988</v>
      </c>
    </row>
    <row r="4676" spans="1:2">
      <c r="A4676" s="387" t="s">
        <v>485</v>
      </c>
      <c r="B4676" s="387" t="s">
        <v>1317</v>
      </c>
    </row>
    <row r="4677" spans="1:2">
      <c r="A4677" s="387" t="s">
        <v>15779</v>
      </c>
      <c r="B4677" s="387" t="s">
        <v>1445</v>
      </c>
    </row>
    <row r="4678" spans="1:2">
      <c r="A4678" s="387" t="s">
        <v>113</v>
      </c>
      <c r="B4678" s="387" t="s">
        <v>1456</v>
      </c>
    </row>
    <row r="4679" spans="1:2">
      <c r="A4679" s="387" t="s">
        <v>478</v>
      </c>
      <c r="B4679" s="387" t="s">
        <v>1580</v>
      </c>
    </row>
    <row r="4680" spans="1:2">
      <c r="A4680" s="387" t="s">
        <v>488</v>
      </c>
      <c r="B4680" s="387" t="s">
        <v>2236</v>
      </c>
    </row>
    <row r="4681" spans="1:2">
      <c r="A4681" s="387" t="s">
        <v>15780</v>
      </c>
      <c r="B4681" s="387" t="s">
        <v>2497</v>
      </c>
    </row>
    <row r="4682" spans="1:2">
      <c r="A4682" s="387" t="s">
        <v>130</v>
      </c>
      <c r="B4682" s="387" t="s">
        <v>2588</v>
      </c>
    </row>
    <row r="4683" spans="1:2">
      <c r="A4683" s="387" t="s">
        <v>15781</v>
      </c>
      <c r="B4683" s="387" t="s">
        <v>2986</v>
      </c>
    </row>
    <row r="4684" spans="1:2">
      <c r="A4684" s="387" t="s">
        <v>15782</v>
      </c>
      <c r="B4684" s="387" t="s">
        <v>3591</v>
      </c>
    </row>
    <row r="4685" spans="1:2">
      <c r="A4685" s="387" t="s">
        <v>586</v>
      </c>
      <c r="B4685" s="387" t="s">
        <v>979</v>
      </c>
    </row>
    <row r="4686" spans="1:2">
      <c r="A4686" s="387" t="s">
        <v>15783</v>
      </c>
      <c r="B4686" s="387" t="s">
        <v>3596</v>
      </c>
    </row>
    <row r="4687" spans="1:2">
      <c r="A4687" s="387" t="s">
        <v>15784</v>
      </c>
      <c r="B4687" s="387" t="s">
        <v>4045</v>
      </c>
    </row>
    <row r="4688" spans="1:2">
      <c r="A4688" s="387" t="s">
        <v>15785</v>
      </c>
      <c r="B4688" s="387" t="s">
        <v>4452</v>
      </c>
    </row>
    <row r="4689" spans="1:2">
      <c r="A4689" s="387" t="s">
        <v>115</v>
      </c>
      <c r="B4689" s="387" t="s">
        <v>4534</v>
      </c>
    </row>
    <row r="4690" spans="1:2">
      <c r="A4690" s="387" t="s">
        <v>15786</v>
      </c>
      <c r="B4690" s="387" t="s">
        <v>4780</v>
      </c>
    </row>
    <row r="4691" spans="1:2">
      <c r="A4691" s="387" t="s">
        <v>15787</v>
      </c>
      <c r="B4691" s="387" t="s">
        <v>4834</v>
      </c>
    </row>
    <row r="4692" spans="1:2">
      <c r="A4692" s="387" t="s">
        <v>15788</v>
      </c>
      <c r="B4692" s="387" t="s">
        <v>4883</v>
      </c>
    </row>
    <row r="4693" spans="1:2">
      <c r="A4693" s="387" t="s">
        <v>15789</v>
      </c>
      <c r="B4693" s="387" t="s">
        <v>4965</v>
      </c>
    </row>
    <row r="4694" spans="1:2">
      <c r="A4694" s="387" t="s">
        <v>15790</v>
      </c>
      <c r="B4694" s="387" t="s">
        <v>5305</v>
      </c>
    </row>
    <row r="4695" spans="1:2">
      <c r="A4695" s="387" t="s">
        <v>15791</v>
      </c>
      <c r="B4695" s="387" t="s">
        <v>5409</v>
      </c>
    </row>
    <row r="4696" spans="1:2">
      <c r="A4696" s="387" t="s">
        <v>15792</v>
      </c>
      <c r="B4696" s="387" t="s">
        <v>3747</v>
      </c>
    </row>
    <row r="4697" spans="1:2">
      <c r="A4697" s="387" t="s">
        <v>15793</v>
      </c>
      <c r="B4697" s="387" t="s">
        <v>5677</v>
      </c>
    </row>
    <row r="4698" spans="1:2">
      <c r="A4698" s="387" t="s">
        <v>15794</v>
      </c>
      <c r="B4698" s="387" t="s">
        <v>15795</v>
      </c>
    </row>
    <row r="4699" spans="1:2">
      <c r="A4699" s="387" t="s">
        <v>476</v>
      </c>
      <c r="B4699" s="387" t="s">
        <v>6280</v>
      </c>
    </row>
    <row r="4700" spans="1:2">
      <c r="A4700" s="387" t="s">
        <v>614</v>
      </c>
      <c r="B4700" s="387" t="s">
        <v>6282</v>
      </c>
    </row>
    <row r="4701" spans="1:2">
      <c r="A4701" s="387" t="s">
        <v>15796</v>
      </c>
      <c r="B4701" s="387" t="s">
        <v>6362</v>
      </c>
    </row>
    <row r="4702" spans="1:2">
      <c r="A4702" s="387" t="s">
        <v>15797</v>
      </c>
      <c r="B4702" s="387" t="s">
        <v>6665</v>
      </c>
    </row>
    <row r="4703" spans="1:2">
      <c r="A4703" s="387" t="s">
        <v>15798</v>
      </c>
      <c r="B4703" s="387" t="s">
        <v>6773</v>
      </c>
    </row>
    <row r="4704" spans="1:2">
      <c r="A4704" s="387" t="s">
        <v>15799</v>
      </c>
      <c r="B4704" s="387" t="s">
        <v>7368</v>
      </c>
    </row>
    <row r="4705" spans="1:2">
      <c r="A4705" s="387" t="s">
        <v>15800</v>
      </c>
      <c r="B4705" s="387" t="s">
        <v>15801</v>
      </c>
    </row>
    <row r="4706" spans="1:2">
      <c r="A4706" s="387" t="s">
        <v>131</v>
      </c>
      <c r="B4706" s="387" t="s">
        <v>7405</v>
      </c>
    </row>
    <row r="4707" spans="1:2">
      <c r="A4707" s="387" t="s">
        <v>15802</v>
      </c>
      <c r="B4707" s="387" t="s">
        <v>7416</v>
      </c>
    </row>
    <row r="4708" spans="1:2">
      <c r="A4708" s="387" t="s">
        <v>15803</v>
      </c>
      <c r="B4708" s="387" t="s">
        <v>7474</v>
      </c>
    </row>
    <row r="4709" spans="1:2">
      <c r="A4709" s="387" t="s">
        <v>15804</v>
      </c>
      <c r="B4709" s="387" t="s">
        <v>7478</v>
      </c>
    </row>
    <row r="4710" spans="1:2">
      <c r="A4710" s="387" t="s">
        <v>482</v>
      </c>
      <c r="B4710" s="387" t="s">
        <v>9310</v>
      </c>
    </row>
    <row r="4711" spans="1:2">
      <c r="A4711" s="387" t="s">
        <v>15805</v>
      </c>
      <c r="B4711" s="387" t="s">
        <v>15806</v>
      </c>
    </row>
    <row r="4712" spans="1:2">
      <c r="A4712" s="387" t="s">
        <v>15807</v>
      </c>
      <c r="B4712" s="387" t="s">
        <v>15808</v>
      </c>
    </row>
    <row r="4713" spans="1:2">
      <c r="A4713" s="387" t="s">
        <v>15809</v>
      </c>
      <c r="B4713" s="387" t="s">
        <v>1083</v>
      </c>
    </row>
    <row r="4714" spans="1:2">
      <c r="A4714" s="387" t="s">
        <v>15810</v>
      </c>
      <c r="B4714" s="387" t="s">
        <v>4634</v>
      </c>
    </row>
    <row r="4715" spans="1:2">
      <c r="A4715" s="387" t="s">
        <v>8612</v>
      </c>
      <c r="B4715" s="387" t="s">
        <v>1765</v>
      </c>
    </row>
    <row r="4716" spans="1:2">
      <c r="A4716" s="387" t="s">
        <v>15811</v>
      </c>
      <c r="B4716" s="387" t="s">
        <v>996</v>
      </c>
    </row>
    <row r="4717" spans="1:2">
      <c r="A4717" s="387" t="s">
        <v>15812</v>
      </c>
      <c r="B4717" s="387" t="s">
        <v>1121</v>
      </c>
    </row>
    <row r="4718" spans="1:2">
      <c r="A4718" s="387" t="s">
        <v>128</v>
      </c>
      <c r="B4718" s="387" t="s">
        <v>1158</v>
      </c>
    </row>
    <row r="4719" spans="1:2">
      <c r="A4719" s="387" t="s">
        <v>112</v>
      </c>
      <c r="B4719" s="387" t="s">
        <v>1083</v>
      </c>
    </row>
    <row r="4720" spans="1:2">
      <c r="A4720" s="387" t="s">
        <v>583</v>
      </c>
      <c r="B4720" s="387" t="s">
        <v>1332</v>
      </c>
    </row>
    <row r="4721" spans="1:2">
      <c r="A4721" s="387" t="s">
        <v>15813</v>
      </c>
      <c r="B4721" s="387" t="s">
        <v>1504</v>
      </c>
    </row>
    <row r="4722" spans="1:2">
      <c r="A4722" s="387" t="s">
        <v>15814</v>
      </c>
      <c r="B4722" s="387" t="s">
        <v>1533</v>
      </c>
    </row>
    <row r="4723" spans="1:2">
      <c r="A4723" s="387" t="s">
        <v>15815</v>
      </c>
      <c r="B4723" s="387" t="s">
        <v>1552</v>
      </c>
    </row>
    <row r="4724" spans="1:2">
      <c r="A4724" s="387" t="s">
        <v>108</v>
      </c>
      <c r="B4724" s="387" t="s">
        <v>1735</v>
      </c>
    </row>
    <row r="4725" spans="1:2">
      <c r="A4725" s="387" t="s">
        <v>15816</v>
      </c>
      <c r="B4725" s="387" t="s">
        <v>1741</v>
      </c>
    </row>
    <row r="4726" spans="1:2">
      <c r="A4726" s="387" t="s">
        <v>584</v>
      </c>
      <c r="B4726" s="387" t="s">
        <v>1796</v>
      </c>
    </row>
    <row r="4727" spans="1:2">
      <c r="A4727" s="387" t="s">
        <v>110</v>
      </c>
      <c r="B4727" s="387" t="s">
        <v>1947</v>
      </c>
    </row>
    <row r="4728" spans="1:2">
      <c r="A4728" s="387" t="s">
        <v>15817</v>
      </c>
      <c r="B4728" s="387" t="s">
        <v>2240</v>
      </c>
    </row>
    <row r="4729" spans="1:2">
      <c r="A4729" s="387" t="s">
        <v>481</v>
      </c>
      <c r="B4729" s="387" t="s">
        <v>2407</v>
      </c>
    </row>
    <row r="4730" spans="1:2">
      <c r="A4730" s="387" t="s">
        <v>15818</v>
      </c>
      <c r="B4730" s="387" t="s">
        <v>2493</v>
      </c>
    </row>
    <row r="4731" spans="1:2">
      <c r="A4731" s="387" t="s">
        <v>15819</v>
      </c>
      <c r="B4731" s="387" t="s">
        <v>2567</v>
      </c>
    </row>
    <row r="4732" spans="1:2">
      <c r="A4732" s="387" t="s">
        <v>15820</v>
      </c>
      <c r="B4732" s="387" t="s">
        <v>1231</v>
      </c>
    </row>
    <row r="4733" spans="1:2">
      <c r="A4733" s="387" t="s">
        <v>15821</v>
      </c>
      <c r="B4733" s="387" t="s">
        <v>2729</v>
      </c>
    </row>
    <row r="4734" spans="1:2">
      <c r="A4734" s="387" t="s">
        <v>15822</v>
      </c>
      <c r="B4734" s="387" t="s">
        <v>2857</v>
      </c>
    </row>
    <row r="4735" spans="1:2">
      <c r="A4735" s="387" t="s">
        <v>15823</v>
      </c>
      <c r="B4735" s="387" t="s">
        <v>2859</v>
      </c>
    </row>
    <row r="4736" spans="1:2">
      <c r="A4736" s="387" t="s">
        <v>582</v>
      </c>
      <c r="B4736" s="387" t="s">
        <v>3033</v>
      </c>
    </row>
    <row r="4737" spans="1:2">
      <c r="A4737" s="387" t="s">
        <v>15824</v>
      </c>
      <c r="B4737" s="387" t="s">
        <v>3037</v>
      </c>
    </row>
    <row r="4738" spans="1:2">
      <c r="A4738" s="387" t="s">
        <v>15825</v>
      </c>
      <c r="B4738" s="387" t="s">
        <v>3576</v>
      </c>
    </row>
    <row r="4739" spans="1:2">
      <c r="A4739" s="387" t="s">
        <v>585</v>
      </c>
      <c r="B4739" s="387" t="s">
        <v>9266</v>
      </c>
    </row>
    <row r="4740" spans="1:2">
      <c r="A4740" s="387" t="s">
        <v>15826</v>
      </c>
      <c r="B4740" s="387" t="s">
        <v>3822</v>
      </c>
    </row>
    <row r="4741" spans="1:2">
      <c r="A4741" s="387" t="s">
        <v>15827</v>
      </c>
      <c r="B4741" s="387" t="s">
        <v>3840</v>
      </c>
    </row>
    <row r="4742" spans="1:2">
      <c r="A4742" s="387" t="s">
        <v>123</v>
      </c>
      <c r="B4742" s="387" t="s">
        <v>3949</v>
      </c>
    </row>
    <row r="4743" spans="1:2">
      <c r="A4743" s="387" t="s">
        <v>15828</v>
      </c>
      <c r="B4743" s="387" t="s">
        <v>4079</v>
      </c>
    </row>
    <row r="4744" spans="1:2">
      <c r="A4744" s="387" t="s">
        <v>8669</v>
      </c>
      <c r="B4744" s="387" t="s">
        <v>4425</v>
      </c>
    </row>
    <row r="4745" spans="1:2">
      <c r="A4745" s="387" t="s">
        <v>15829</v>
      </c>
      <c r="B4745" s="387" t="s">
        <v>4494</v>
      </c>
    </row>
    <row r="4746" spans="1:2">
      <c r="A4746" s="387" t="s">
        <v>15830</v>
      </c>
      <c r="B4746" s="387" t="s">
        <v>4496</v>
      </c>
    </row>
    <row r="4747" spans="1:2">
      <c r="A4747" s="387" t="s">
        <v>15831</v>
      </c>
      <c r="B4747" s="387" t="s">
        <v>4832</v>
      </c>
    </row>
    <row r="4748" spans="1:2">
      <c r="A4748" s="387" t="s">
        <v>15832</v>
      </c>
      <c r="B4748" s="387" t="s">
        <v>14358</v>
      </c>
    </row>
    <row r="4749" spans="1:2">
      <c r="A4749" s="387" t="s">
        <v>15833</v>
      </c>
      <c r="B4749" s="387" t="s">
        <v>5824</v>
      </c>
    </row>
    <row r="4750" spans="1:2">
      <c r="A4750" s="387" t="s">
        <v>15834</v>
      </c>
      <c r="B4750" s="387" t="s">
        <v>5877</v>
      </c>
    </row>
    <row r="4751" spans="1:2">
      <c r="A4751" s="387" t="s">
        <v>15835</v>
      </c>
      <c r="B4751" s="387" t="s">
        <v>5879</v>
      </c>
    </row>
    <row r="4752" spans="1:2">
      <c r="A4752" s="387" t="s">
        <v>15836</v>
      </c>
      <c r="B4752" s="387" t="s">
        <v>5981</v>
      </c>
    </row>
    <row r="4753" spans="1:2">
      <c r="A4753" s="387" t="s">
        <v>15837</v>
      </c>
      <c r="B4753" s="387" t="s">
        <v>4262</v>
      </c>
    </row>
    <row r="4754" spans="1:2">
      <c r="A4754" s="387" t="s">
        <v>15838</v>
      </c>
      <c r="B4754" s="387" t="s">
        <v>1473</v>
      </c>
    </row>
    <row r="4755" spans="1:2">
      <c r="A4755" s="387" t="s">
        <v>15839</v>
      </c>
      <c r="B4755" s="387" t="s">
        <v>6265</v>
      </c>
    </row>
    <row r="4756" spans="1:2">
      <c r="A4756" s="387" t="s">
        <v>15840</v>
      </c>
      <c r="B4756" s="387" t="s">
        <v>15841</v>
      </c>
    </row>
    <row r="4757" spans="1:2">
      <c r="A4757" s="387" t="s">
        <v>15842</v>
      </c>
      <c r="B4757" s="387" t="s">
        <v>6390</v>
      </c>
    </row>
    <row r="4758" spans="1:2">
      <c r="A4758" s="387" t="s">
        <v>15843</v>
      </c>
      <c r="B4758" s="387" t="s">
        <v>6453</v>
      </c>
    </row>
    <row r="4759" spans="1:2">
      <c r="A4759" s="387" t="s">
        <v>15844</v>
      </c>
      <c r="B4759" s="387" t="s">
        <v>6775</v>
      </c>
    </row>
    <row r="4760" spans="1:2">
      <c r="A4760" s="387" t="s">
        <v>15845</v>
      </c>
      <c r="B4760" s="387" t="s">
        <v>7224</v>
      </c>
    </row>
    <row r="4761" spans="1:2">
      <c r="A4761" s="387" t="s">
        <v>15846</v>
      </c>
      <c r="B4761" s="387" t="s">
        <v>7359</v>
      </c>
    </row>
    <row r="4762" spans="1:2">
      <c r="A4762" s="387" t="s">
        <v>15847</v>
      </c>
      <c r="B4762" s="387" t="s">
        <v>4237</v>
      </c>
    </row>
    <row r="4763" spans="1:2">
      <c r="A4763" s="387" t="s">
        <v>15848</v>
      </c>
      <c r="B4763" s="387" t="s">
        <v>7503</v>
      </c>
    </row>
    <row r="4764" spans="1:2">
      <c r="A4764" s="387" t="s">
        <v>15849</v>
      </c>
      <c r="B4764" s="387" t="s">
        <v>2672</v>
      </c>
    </row>
    <row r="4765" spans="1:2">
      <c r="A4765" s="387" t="s">
        <v>15850</v>
      </c>
      <c r="B4765" s="387" t="s">
        <v>15851</v>
      </c>
    </row>
    <row r="4766" spans="1:2">
      <c r="A4766" s="387" t="s">
        <v>15852</v>
      </c>
      <c r="B4766" s="387" t="s">
        <v>7729</v>
      </c>
    </row>
    <row r="4767" spans="1:2">
      <c r="A4767" s="387" t="s">
        <v>15853</v>
      </c>
      <c r="B4767" s="387" t="s">
        <v>15854</v>
      </c>
    </row>
    <row r="4768" spans="1:2">
      <c r="A4768" s="387" t="s">
        <v>15855</v>
      </c>
      <c r="B4768" s="387" t="s">
        <v>15856</v>
      </c>
    </row>
    <row r="4769" spans="1:2">
      <c r="A4769" s="387" t="s">
        <v>15857</v>
      </c>
      <c r="B4769" s="387" t="s">
        <v>8138</v>
      </c>
    </row>
    <row r="4770" spans="1:2">
      <c r="A4770" s="387" t="s">
        <v>15858</v>
      </c>
      <c r="B4770" s="387" t="s">
        <v>4395</v>
      </c>
    </row>
    <row r="4771" spans="1:2">
      <c r="A4771" s="387" t="s">
        <v>15859</v>
      </c>
      <c r="B4771" s="387" t="s">
        <v>2887</v>
      </c>
    </row>
    <row r="4772" spans="1:2">
      <c r="A4772" s="387" t="s">
        <v>15860</v>
      </c>
      <c r="B4772" s="387" t="s">
        <v>990</v>
      </c>
    </row>
    <row r="4773" spans="1:2">
      <c r="A4773" s="387" t="s">
        <v>15861</v>
      </c>
      <c r="B4773" s="387" t="s">
        <v>15862</v>
      </c>
    </row>
    <row r="4774" spans="1:2">
      <c r="A4774" s="387" t="s">
        <v>15863</v>
      </c>
      <c r="B4774" s="387" t="s">
        <v>8214</v>
      </c>
    </row>
    <row r="4775" spans="1:2">
      <c r="A4775" s="387" t="s">
        <v>15864</v>
      </c>
      <c r="B4775" s="387" t="s">
        <v>8315</v>
      </c>
    </row>
    <row r="4776" spans="1:2">
      <c r="A4776" s="387" t="s">
        <v>8670</v>
      </c>
      <c r="B4776" s="387" t="s">
        <v>1142</v>
      </c>
    </row>
    <row r="4777" spans="1:2">
      <c r="A4777" s="387" t="s">
        <v>15865</v>
      </c>
      <c r="B4777" s="387" t="s">
        <v>8375</v>
      </c>
    </row>
    <row r="4778" spans="1:2">
      <c r="A4778" s="387" t="s">
        <v>8391</v>
      </c>
      <c r="B4778" s="387" t="s">
        <v>2680</v>
      </c>
    </row>
    <row r="4779" spans="1:2">
      <c r="A4779" s="387" t="s">
        <v>15866</v>
      </c>
      <c r="B4779" s="387" t="s">
        <v>1846</v>
      </c>
    </row>
    <row r="4780" spans="1:2">
      <c r="A4780" s="387" t="s">
        <v>15867</v>
      </c>
      <c r="B4780" s="387" t="s">
        <v>1083</v>
      </c>
    </row>
    <row r="4781" spans="1:2">
      <c r="A4781" s="387" t="s">
        <v>15868</v>
      </c>
      <c r="B4781" s="387" t="s">
        <v>8523</v>
      </c>
    </row>
    <row r="4782" spans="1:2">
      <c r="A4782" s="387" t="s">
        <v>15869</v>
      </c>
      <c r="B4782" s="387" t="s">
        <v>1765</v>
      </c>
    </row>
    <row r="4783" spans="1:2">
      <c r="A4783" s="387" t="s">
        <v>15870</v>
      </c>
      <c r="B4783" s="387" t="s">
        <v>8754</v>
      </c>
    </row>
    <row r="4784" spans="1:2">
      <c r="A4784" s="387" t="s">
        <v>124</v>
      </c>
      <c r="B4784" s="387" t="s">
        <v>891</v>
      </c>
    </row>
    <row r="4785" spans="1:2">
      <c r="A4785" s="387" t="s">
        <v>15871</v>
      </c>
      <c r="B4785" s="387" t="s">
        <v>899</v>
      </c>
    </row>
    <row r="4786" spans="1:2">
      <c r="A4786" s="387" t="s">
        <v>15872</v>
      </c>
      <c r="B4786" s="387" t="s">
        <v>918</v>
      </c>
    </row>
    <row r="4787" spans="1:2">
      <c r="A4787" s="387" t="s">
        <v>127</v>
      </c>
      <c r="B4787" s="387" t="s">
        <v>1334</v>
      </c>
    </row>
    <row r="4788" spans="1:2">
      <c r="A4788" s="387" t="s">
        <v>658</v>
      </c>
      <c r="B4788" s="387" t="s">
        <v>1340</v>
      </c>
    </row>
    <row r="4789" spans="1:2">
      <c r="A4789" s="387" t="s">
        <v>15873</v>
      </c>
      <c r="B4789" s="387" t="s">
        <v>2060</v>
      </c>
    </row>
    <row r="4790" spans="1:2">
      <c r="A4790" s="387" t="s">
        <v>121</v>
      </c>
      <c r="B4790" s="387" t="s">
        <v>2068</v>
      </c>
    </row>
    <row r="4791" spans="1:2">
      <c r="A4791" s="387" t="s">
        <v>15874</v>
      </c>
      <c r="B4791" s="387" t="s">
        <v>15875</v>
      </c>
    </row>
    <row r="4792" spans="1:2">
      <c r="A4792" s="387" t="s">
        <v>15876</v>
      </c>
      <c r="B4792" s="387" t="s">
        <v>2324</v>
      </c>
    </row>
    <row r="4793" spans="1:2">
      <c r="A4793" s="387" t="s">
        <v>659</v>
      </c>
      <c r="B4793" s="387" t="s">
        <v>3838</v>
      </c>
    </row>
    <row r="4794" spans="1:2">
      <c r="A4794" s="387" t="s">
        <v>125</v>
      </c>
      <c r="B4794" s="387" t="s">
        <v>4060</v>
      </c>
    </row>
    <row r="4795" spans="1:2">
      <c r="A4795" s="387" t="s">
        <v>15877</v>
      </c>
      <c r="B4795" s="387" t="s">
        <v>4066</v>
      </c>
    </row>
    <row r="4796" spans="1:2">
      <c r="A4796" s="387" t="s">
        <v>15878</v>
      </c>
      <c r="B4796" s="387" t="s">
        <v>2761</v>
      </c>
    </row>
    <row r="4797" spans="1:2">
      <c r="A4797" s="387" t="s">
        <v>15879</v>
      </c>
      <c r="B4797" s="387" t="s">
        <v>4423</v>
      </c>
    </row>
    <row r="4798" spans="1:2">
      <c r="A4798" s="387" t="s">
        <v>15880</v>
      </c>
      <c r="B4798" s="387" t="s">
        <v>4429</v>
      </c>
    </row>
    <row r="4799" spans="1:2">
      <c r="A4799" s="387" t="s">
        <v>109</v>
      </c>
      <c r="B4799" s="387" t="s">
        <v>4425</v>
      </c>
    </row>
    <row r="4800" spans="1:2">
      <c r="A4800" s="387" t="s">
        <v>8013</v>
      </c>
      <c r="B4800" s="387" t="s">
        <v>4454</v>
      </c>
    </row>
    <row r="4801" spans="1:2">
      <c r="A4801" s="387" t="s">
        <v>15881</v>
      </c>
      <c r="B4801" s="387" t="s">
        <v>4885</v>
      </c>
    </row>
    <row r="4802" spans="1:2">
      <c r="A4802" s="387" t="s">
        <v>116</v>
      </c>
      <c r="B4802" s="387" t="s">
        <v>4638</v>
      </c>
    </row>
    <row r="4803" spans="1:2">
      <c r="A4803" s="387" t="s">
        <v>15882</v>
      </c>
      <c r="B4803" s="387" t="s">
        <v>5029</v>
      </c>
    </row>
    <row r="4804" spans="1:2">
      <c r="A4804" s="387" t="s">
        <v>15883</v>
      </c>
      <c r="B4804" s="387" t="s">
        <v>15884</v>
      </c>
    </row>
    <row r="4805" spans="1:2">
      <c r="A4805" s="387" t="s">
        <v>117</v>
      </c>
      <c r="B4805" s="387" t="s">
        <v>5407</v>
      </c>
    </row>
    <row r="4806" spans="1:2">
      <c r="A4806" s="387" t="s">
        <v>15885</v>
      </c>
      <c r="B4806" s="387" t="s">
        <v>1287</v>
      </c>
    </row>
    <row r="4807" spans="1:2">
      <c r="A4807" s="387" t="s">
        <v>15886</v>
      </c>
      <c r="B4807" s="387" t="s">
        <v>2236</v>
      </c>
    </row>
    <row r="4808" spans="1:2">
      <c r="A4808" s="387" t="s">
        <v>660</v>
      </c>
      <c r="B4808" s="387" t="s">
        <v>1175</v>
      </c>
    </row>
    <row r="4809" spans="1:2">
      <c r="A4809" s="387" t="s">
        <v>15887</v>
      </c>
      <c r="B4809" s="387" t="s">
        <v>6278</v>
      </c>
    </row>
    <row r="4810" spans="1:2">
      <c r="A4810" s="387" t="s">
        <v>15888</v>
      </c>
      <c r="B4810" s="387" t="s">
        <v>11041</v>
      </c>
    </row>
    <row r="4811" spans="1:2">
      <c r="A4811" s="387" t="s">
        <v>15889</v>
      </c>
      <c r="B4811" s="387" t="s">
        <v>3520</v>
      </c>
    </row>
    <row r="4812" spans="1:2">
      <c r="A4812" s="387" t="s">
        <v>8672</v>
      </c>
      <c r="B4812" s="387" t="s">
        <v>1544</v>
      </c>
    </row>
    <row r="4813" spans="1:2">
      <c r="A4813" s="387" t="s">
        <v>15890</v>
      </c>
      <c r="B4813" s="387" t="s">
        <v>6559</v>
      </c>
    </row>
    <row r="4814" spans="1:2">
      <c r="A4814" s="387" t="s">
        <v>15891</v>
      </c>
      <c r="B4814" s="387" t="s">
        <v>3789</v>
      </c>
    </row>
    <row r="4815" spans="1:2">
      <c r="A4815" s="387" t="s">
        <v>15892</v>
      </c>
      <c r="B4815" s="387" t="s">
        <v>6564</v>
      </c>
    </row>
    <row r="4816" spans="1:2">
      <c r="A4816" s="387" t="s">
        <v>15893</v>
      </c>
      <c r="B4816" s="387" t="s">
        <v>4237</v>
      </c>
    </row>
    <row r="4817" spans="1:2">
      <c r="A4817" s="387" t="s">
        <v>15894</v>
      </c>
      <c r="B4817" s="387" t="s">
        <v>15895</v>
      </c>
    </row>
    <row r="4818" spans="1:2">
      <c r="A4818" s="387" t="s">
        <v>15896</v>
      </c>
      <c r="B4818" s="387" t="s">
        <v>7414</v>
      </c>
    </row>
    <row r="4819" spans="1:2">
      <c r="A4819" s="387" t="s">
        <v>656</v>
      </c>
      <c r="B4819" s="387" t="s">
        <v>7476</v>
      </c>
    </row>
    <row r="4820" spans="1:2">
      <c r="A4820" s="387" t="s">
        <v>15897</v>
      </c>
      <c r="B4820" s="387" t="s">
        <v>15856</v>
      </c>
    </row>
    <row r="4821" spans="1:2">
      <c r="A4821" s="387" t="s">
        <v>15898</v>
      </c>
      <c r="B4821" s="387" t="s">
        <v>7708</v>
      </c>
    </row>
    <row r="4822" spans="1:2">
      <c r="A4822" s="387" t="s">
        <v>15899</v>
      </c>
      <c r="B4822" s="387" t="s">
        <v>7779</v>
      </c>
    </row>
    <row r="4823" spans="1:2">
      <c r="A4823" s="387" t="s">
        <v>15900</v>
      </c>
      <c r="B4823" s="387" t="s">
        <v>5200</v>
      </c>
    </row>
    <row r="4824" spans="1:2">
      <c r="A4824" s="387" t="s">
        <v>114</v>
      </c>
      <c r="B4824" s="387" t="s">
        <v>1496</v>
      </c>
    </row>
    <row r="4825" spans="1:2">
      <c r="A4825" s="387" t="s">
        <v>126</v>
      </c>
      <c r="B4825" s="387" t="s">
        <v>2041</v>
      </c>
    </row>
    <row r="4826" spans="1:2">
      <c r="A4826" s="387" t="s">
        <v>487</v>
      </c>
      <c r="B4826" s="387" t="s">
        <v>2839</v>
      </c>
    </row>
    <row r="4827" spans="1:2">
      <c r="A4827" s="387" t="s">
        <v>483</v>
      </c>
      <c r="B4827" s="387" t="s">
        <v>4227</v>
      </c>
    </row>
    <row r="4828" spans="1:2">
      <c r="A4828" s="387" t="s">
        <v>486</v>
      </c>
      <c r="B4828" s="387" t="s">
        <v>4431</v>
      </c>
    </row>
    <row r="4829" spans="1:2">
      <c r="A4829" s="387" t="s">
        <v>475</v>
      </c>
      <c r="B4829" s="387" t="s">
        <v>4521</v>
      </c>
    </row>
    <row r="4830" spans="1:2">
      <c r="A4830" s="387" t="s">
        <v>118</v>
      </c>
      <c r="B4830" s="387" t="s">
        <v>4606</v>
      </c>
    </row>
    <row r="4831" spans="1:2">
      <c r="A4831" s="387" t="s">
        <v>492</v>
      </c>
      <c r="B4831" s="387" t="s">
        <v>2666</v>
      </c>
    </row>
    <row r="4832" spans="1:2">
      <c r="A4832" s="387" t="s">
        <v>489</v>
      </c>
      <c r="B4832" s="387" t="s">
        <v>5613</v>
      </c>
    </row>
    <row r="4833" spans="1:2">
      <c r="A4833" s="387" t="s">
        <v>491</v>
      </c>
      <c r="B4833" s="387" t="s">
        <v>6360</v>
      </c>
    </row>
    <row r="4834" spans="1:2">
      <c r="A4834" s="387" t="s">
        <v>479</v>
      </c>
      <c r="B4834" s="387" t="s">
        <v>9296</v>
      </c>
    </row>
    <row r="4835" spans="1:2">
      <c r="A4835" s="387" t="s">
        <v>119</v>
      </c>
      <c r="B4835" s="387" t="s">
        <v>6674</v>
      </c>
    </row>
    <row r="4836" spans="1:2">
      <c r="A4836" s="387" t="s">
        <v>15901</v>
      </c>
      <c r="B4836" s="387" t="s">
        <v>1466</v>
      </c>
    </row>
    <row r="4837" spans="1:2">
      <c r="A4837" s="387" t="s">
        <v>484</v>
      </c>
      <c r="B4837" s="387" t="s">
        <v>7432</v>
      </c>
    </row>
    <row r="4838" spans="1:2">
      <c r="A4838" s="387" t="s">
        <v>490</v>
      </c>
      <c r="B4838" s="387" t="s">
        <v>7436</v>
      </c>
    </row>
    <row r="4839" spans="1:2">
      <c r="A4839" s="387" t="s">
        <v>122</v>
      </c>
      <c r="B4839" s="387" t="s">
        <v>7446</v>
      </c>
    </row>
    <row r="4840" spans="1:2">
      <c r="A4840" s="387" t="s">
        <v>477</v>
      </c>
      <c r="B4840" s="387" t="s">
        <v>3064</v>
      </c>
    </row>
    <row r="4841" spans="1:2">
      <c r="A4841" s="387" t="s">
        <v>15902</v>
      </c>
      <c r="B4841" s="387" t="s">
        <v>944</v>
      </c>
    </row>
    <row r="4842" spans="1:2">
      <c r="A4842" s="387" t="s">
        <v>15903</v>
      </c>
      <c r="B4842" s="387" t="s">
        <v>1007</v>
      </c>
    </row>
    <row r="4843" spans="1:2">
      <c r="A4843" s="387" t="s">
        <v>15904</v>
      </c>
      <c r="B4843" s="387" t="s">
        <v>1011</v>
      </c>
    </row>
    <row r="4844" spans="1:2">
      <c r="A4844" s="387" t="s">
        <v>15905</v>
      </c>
      <c r="B4844" s="387" t="s">
        <v>1266</v>
      </c>
    </row>
    <row r="4845" spans="1:2">
      <c r="A4845" s="387" t="s">
        <v>15906</v>
      </c>
      <c r="B4845" s="387" t="s">
        <v>1041</v>
      </c>
    </row>
    <row r="4846" spans="1:2">
      <c r="A4846" s="387" t="s">
        <v>15907</v>
      </c>
      <c r="B4846" s="387" t="s">
        <v>15908</v>
      </c>
    </row>
    <row r="4847" spans="1:2">
      <c r="A4847" s="387" t="s">
        <v>15909</v>
      </c>
      <c r="B4847" s="387" t="s">
        <v>1354</v>
      </c>
    </row>
    <row r="4848" spans="1:2">
      <c r="A4848" s="387" t="s">
        <v>107</v>
      </c>
      <c r="B4848" s="387" t="s">
        <v>1362</v>
      </c>
    </row>
    <row r="4849" spans="1:2">
      <c r="A4849" s="387" t="s">
        <v>129</v>
      </c>
      <c r="B4849" s="387" t="s">
        <v>2178</v>
      </c>
    </row>
    <row r="4850" spans="1:2">
      <c r="A4850" s="387" t="s">
        <v>15910</v>
      </c>
      <c r="B4850" s="387" t="s">
        <v>2409</v>
      </c>
    </row>
    <row r="4851" spans="1:2">
      <c r="A4851" s="387" t="s">
        <v>15911</v>
      </c>
      <c r="B4851" s="387" t="s">
        <v>3130</v>
      </c>
    </row>
    <row r="4852" spans="1:2">
      <c r="A4852" s="387" t="s">
        <v>15912</v>
      </c>
      <c r="B4852" s="387" t="s">
        <v>3594</v>
      </c>
    </row>
    <row r="4853" spans="1:2">
      <c r="A4853" s="387" t="s">
        <v>120</v>
      </c>
      <c r="B4853" s="387" t="s">
        <v>3820</v>
      </c>
    </row>
    <row r="4854" spans="1:2">
      <c r="A4854" s="387" t="s">
        <v>15913</v>
      </c>
      <c r="B4854" s="387" t="s">
        <v>3934</v>
      </c>
    </row>
    <row r="4855" spans="1:2">
      <c r="A4855" s="387" t="s">
        <v>7972</v>
      </c>
      <c r="B4855" s="387" t="s">
        <v>4064</v>
      </c>
    </row>
    <row r="4856" spans="1:2">
      <c r="A4856" s="387" t="s">
        <v>15914</v>
      </c>
      <c r="B4856" s="387" t="s">
        <v>4322</v>
      </c>
    </row>
    <row r="4857" spans="1:2">
      <c r="A4857" s="387" t="s">
        <v>15915</v>
      </c>
      <c r="B4857" s="387" t="s">
        <v>4908</v>
      </c>
    </row>
    <row r="4858" spans="1:2">
      <c r="A4858" s="387" t="s">
        <v>15916</v>
      </c>
      <c r="B4858" s="387" t="s">
        <v>1434</v>
      </c>
    </row>
    <row r="4859" spans="1:2">
      <c r="A4859" s="387" t="s">
        <v>15917</v>
      </c>
      <c r="B4859" s="387" t="s">
        <v>5136</v>
      </c>
    </row>
    <row r="4860" spans="1:2">
      <c r="A4860" s="387" t="s">
        <v>15918</v>
      </c>
      <c r="B4860" s="387" t="s">
        <v>4127</v>
      </c>
    </row>
    <row r="4861" spans="1:2">
      <c r="A4861" s="387" t="s">
        <v>15919</v>
      </c>
      <c r="B4861" s="387" t="s">
        <v>5965</v>
      </c>
    </row>
    <row r="4862" spans="1:2">
      <c r="A4862" s="387" t="s">
        <v>15920</v>
      </c>
      <c r="B4862" s="387" t="s">
        <v>6024</v>
      </c>
    </row>
    <row r="4863" spans="1:2">
      <c r="A4863" s="387" t="s">
        <v>15921</v>
      </c>
      <c r="B4863" s="387" t="s">
        <v>15922</v>
      </c>
    </row>
    <row r="4864" spans="1:2">
      <c r="A4864" s="387" t="s">
        <v>15923</v>
      </c>
      <c r="B4864" s="387" t="s">
        <v>15924</v>
      </c>
    </row>
    <row r="4865" spans="1:2">
      <c r="A4865" s="387" t="s">
        <v>15925</v>
      </c>
      <c r="B4865" s="387" t="s">
        <v>7472</v>
      </c>
    </row>
    <row r="4866" spans="1:2">
      <c r="A4866" s="387" t="s">
        <v>15926</v>
      </c>
      <c r="B4866" s="387" t="s">
        <v>15927</v>
      </c>
    </row>
    <row r="4867" spans="1:2">
      <c r="A4867" s="387" t="s">
        <v>15928</v>
      </c>
      <c r="B4867" s="387" t="s">
        <v>996</v>
      </c>
    </row>
    <row r="4868" spans="1:2">
      <c r="A4868" s="387" t="s">
        <v>15929</v>
      </c>
      <c r="B4868" s="387" t="s">
        <v>7697</v>
      </c>
    </row>
    <row r="4869" spans="1:2">
      <c r="A4869" s="387" t="s">
        <v>8647</v>
      </c>
      <c r="B4869" s="387" t="s">
        <v>7691</v>
      </c>
    </row>
    <row r="4870" spans="1:2">
      <c r="A4870" s="387" t="s">
        <v>7974</v>
      </c>
      <c r="B4870" s="387" t="s">
        <v>7843</v>
      </c>
    </row>
    <row r="4871" spans="1:2">
      <c r="A4871" s="387" t="s">
        <v>15930</v>
      </c>
      <c r="B4871" s="387" t="s">
        <v>1175</v>
      </c>
    </row>
    <row r="4872" spans="1:2">
      <c r="A4872" s="387" t="s">
        <v>15931</v>
      </c>
      <c r="B4872" s="387" t="s">
        <v>7852</v>
      </c>
    </row>
    <row r="4873" spans="1:2">
      <c r="A4873" s="387" t="s">
        <v>613</v>
      </c>
      <c r="B4873" s="387" t="s">
        <v>2320</v>
      </c>
    </row>
    <row r="4874" spans="1:2">
      <c r="A4874" s="387" t="s">
        <v>15932</v>
      </c>
      <c r="B4874" s="387" t="s">
        <v>2731</v>
      </c>
    </row>
    <row r="4875" spans="1:2">
      <c r="A4875" s="387" t="s">
        <v>612</v>
      </c>
      <c r="B4875" s="387" t="s">
        <v>3223</v>
      </c>
    </row>
    <row r="4876" spans="1:2">
      <c r="A4876" s="387" t="s">
        <v>611</v>
      </c>
      <c r="B4876" s="387" t="s">
        <v>3951</v>
      </c>
    </row>
    <row r="4877" spans="1:2">
      <c r="A4877" s="387" t="s">
        <v>15933</v>
      </c>
      <c r="B4877" s="387" t="s">
        <v>4058</v>
      </c>
    </row>
    <row r="4878" spans="1:2">
      <c r="A4878" s="387" t="s">
        <v>15934</v>
      </c>
      <c r="B4878" s="387" t="s">
        <v>4062</v>
      </c>
    </row>
    <row r="4879" spans="1:2">
      <c r="A4879" s="387" t="s">
        <v>15935</v>
      </c>
      <c r="B4879" s="387" t="s">
        <v>4068</v>
      </c>
    </row>
    <row r="4880" spans="1:2">
      <c r="A4880" s="387" t="s">
        <v>15936</v>
      </c>
      <c r="B4880" s="387" t="s">
        <v>4318</v>
      </c>
    </row>
    <row r="4881" spans="1:2">
      <c r="A4881" s="387" t="s">
        <v>15937</v>
      </c>
      <c r="B4881" s="387" t="s">
        <v>4519</v>
      </c>
    </row>
    <row r="4882" spans="1:2">
      <c r="A4882" s="387" t="s">
        <v>15938</v>
      </c>
      <c r="B4882" s="387" t="s">
        <v>4830</v>
      </c>
    </row>
    <row r="4883" spans="1:2">
      <c r="A4883" s="387" t="s">
        <v>15939</v>
      </c>
      <c r="B4883" s="387" t="s">
        <v>5042</v>
      </c>
    </row>
    <row r="4884" spans="1:2">
      <c r="A4884" s="387" t="s">
        <v>15940</v>
      </c>
      <c r="B4884" s="387" t="s">
        <v>5317</v>
      </c>
    </row>
    <row r="4885" spans="1:2">
      <c r="A4885" s="387" t="s">
        <v>15941</v>
      </c>
      <c r="B4885" s="387" t="s">
        <v>5439</v>
      </c>
    </row>
    <row r="4886" spans="1:2">
      <c r="A4886" s="387" t="s">
        <v>15942</v>
      </c>
      <c r="B4886" s="387" t="s">
        <v>2647</v>
      </c>
    </row>
    <row r="4887" spans="1:2">
      <c r="A4887" s="387" t="s">
        <v>15943</v>
      </c>
      <c r="B4887" s="387" t="s">
        <v>15944</v>
      </c>
    </row>
    <row r="4888" spans="1:2">
      <c r="A4888" s="387" t="s">
        <v>15945</v>
      </c>
      <c r="B4888" s="387" t="s">
        <v>1621</v>
      </c>
    </row>
    <row r="4889" spans="1:2">
      <c r="A4889" s="387" t="s">
        <v>15946</v>
      </c>
      <c r="B4889" s="387" t="s">
        <v>6561</v>
      </c>
    </row>
    <row r="4890" spans="1:2">
      <c r="A4890" s="387" t="s">
        <v>15947</v>
      </c>
      <c r="B4890" s="387" t="s">
        <v>7412</v>
      </c>
    </row>
    <row r="4891" spans="1:2">
      <c r="A4891" s="387" t="s">
        <v>15948</v>
      </c>
      <c r="B4891" s="387" t="s">
        <v>7699</v>
      </c>
    </row>
    <row r="4892" spans="1:2">
      <c r="A4892" s="387" t="s">
        <v>714</v>
      </c>
      <c r="B4892" s="387" t="s">
        <v>715</v>
      </c>
    </row>
    <row r="4893" spans="1:2">
      <c r="A4893" s="387" t="s">
        <v>749</v>
      </c>
      <c r="B4893" s="387" t="s">
        <v>750</v>
      </c>
    </row>
    <row r="4894" spans="1:2">
      <c r="A4894" s="387" t="s">
        <v>710</v>
      </c>
      <c r="B4894" s="387" t="s">
        <v>711</v>
      </c>
    </row>
    <row r="4895" spans="1:2">
      <c r="A4895" s="387" t="s">
        <v>714</v>
      </c>
      <c r="B4895" s="387" t="s">
        <v>715</v>
      </c>
    </row>
    <row r="4896" spans="1:2">
      <c r="A4896" s="387" t="s">
        <v>710</v>
      </c>
      <c r="B4896" s="387" t="s">
        <v>711</v>
      </c>
    </row>
    <row r="4897" spans="1:2">
      <c r="A4897" s="387" t="s">
        <v>714</v>
      </c>
      <c r="B4897" s="387" t="s">
        <v>715</v>
      </c>
    </row>
    <row r="4898" spans="1:2">
      <c r="A4898" s="387" t="s">
        <v>373</v>
      </c>
      <c r="B4898" s="387" t="s">
        <v>5845</v>
      </c>
    </row>
    <row r="4899" spans="1:2">
      <c r="A4899" s="387" t="s">
        <v>710</v>
      </c>
      <c r="B4899" s="387" t="s">
        <v>711</v>
      </c>
    </row>
    <row r="4900" spans="1:2">
      <c r="A4900" s="387" t="s">
        <v>15949</v>
      </c>
      <c r="B4900" s="387" t="s">
        <v>15950</v>
      </c>
    </row>
    <row r="4901" spans="1:2">
      <c r="A4901" s="387" t="s">
        <v>447</v>
      </c>
      <c r="B4901" s="387" t="s">
        <v>1937</v>
      </c>
    </row>
    <row r="4902" spans="1:2">
      <c r="A4902" s="387" t="s">
        <v>371</v>
      </c>
      <c r="B4902" s="387" t="s">
        <v>3173</v>
      </c>
    </row>
    <row r="4903" spans="1:2">
      <c r="A4903" s="387" t="s">
        <v>369</v>
      </c>
      <c r="B4903" s="387" t="s">
        <v>3896</v>
      </c>
    </row>
    <row r="4904" spans="1:2">
      <c r="A4904" s="387" t="s">
        <v>419</v>
      </c>
      <c r="B4904" s="387" t="s">
        <v>1556</v>
      </c>
    </row>
    <row r="4905" spans="1:2">
      <c r="A4905" s="387" t="s">
        <v>374</v>
      </c>
      <c r="B4905" s="387" t="s">
        <v>4300</v>
      </c>
    </row>
    <row r="4906" spans="1:2">
      <c r="A4906" s="387" t="s">
        <v>425</v>
      </c>
      <c r="B4906" s="387" t="s">
        <v>4302</v>
      </c>
    </row>
    <row r="4907" spans="1:2">
      <c r="A4907" s="387" t="s">
        <v>387</v>
      </c>
      <c r="B4907" s="387" t="s">
        <v>4304</v>
      </c>
    </row>
    <row r="4908" spans="1:2">
      <c r="A4908" s="387" t="s">
        <v>400</v>
      </c>
      <c r="B4908" s="387" t="s">
        <v>1173</v>
      </c>
    </row>
    <row r="4909" spans="1:2">
      <c r="A4909" s="387" t="s">
        <v>403</v>
      </c>
      <c r="B4909" s="387" t="s">
        <v>4914</v>
      </c>
    </row>
    <row r="4910" spans="1:2">
      <c r="A4910" s="387" t="s">
        <v>377</v>
      </c>
      <c r="B4910" s="387" t="s">
        <v>5335</v>
      </c>
    </row>
    <row r="4911" spans="1:2">
      <c r="A4911" s="387" t="s">
        <v>376</v>
      </c>
      <c r="B4911" s="387" t="s">
        <v>5769</v>
      </c>
    </row>
    <row r="4912" spans="1:2">
      <c r="A4912" s="387" t="s">
        <v>418</v>
      </c>
      <c r="B4912" s="387" t="s">
        <v>5818</v>
      </c>
    </row>
    <row r="4913" spans="1:2">
      <c r="A4913" s="387" t="s">
        <v>424</v>
      </c>
      <c r="B4913" s="387" t="s">
        <v>5820</v>
      </c>
    </row>
    <row r="4914" spans="1:2">
      <c r="A4914" s="387" t="s">
        <v>439</v>
      </c>
      <c r="B4914" s="387" t="s">
        <v>4237</v>
      </c>
    </row>
    <row r="4915" spans="1:2">
      <c r="A4915" s="387" t="s">
        <v>7988</v>
      </c>
      <c r="B4915" s="387" t="s">
        <v>7994</v>
      </c>
    </row>
    <row r="4916" spans="1:2">
      <c r="A4916" s="387" t="s">
        <v>7989</v>
      </c>
      <c r="B4916" s="387" t="s">
        <v>7993</v>
      </c>
    </row>
    <row r="4917" spans="1:2">
      <c r="A4917" s="387" t="s">
        <v>7995</v>
      </c>
      <c r="B4917" s="387" t="s">
        <v>7999</v>
      </c>
    </row>
    <row r="4918" spans="1:2">
      <c r="A4918" s="387" t="s">
        <v>7996</v>
      </c>
      <c r="B4918" s="387" t="s">
        <v>8000</v>
      </c>
    </row>
    <row r="4919" spans="1:2">
      <c r="A4919" s="387" t="s">
        <v>8404</v>
      </c>
      <c r="B4919" s="387" t="s">
        <v>8448</v>
      </c>
    </row>
    <row r="4920" spans="1:2">
      <c r="A4920" s="387" t="s">
        <v>8545</v>
      </c>
      <c r="B4920" s="387" t="s">
        <v>7376</v>
      </c>
    </row>
    <row r="4921" spans="1:2">
      <c r="A4921" s="387" t="s">
        <v>8546</v>
      </c>
      <c r="B4921" s="387" t="s">
        <v>8544</v>
      </c>
    </row>
    <row r="4922" spans="1:2">
      <c r="A4922" s="387" t="s">
        <v>4711</v>
      </c>
      <c r="B4922" s="387" t="s">
        <v>2945</v>
      </c>
    </row>
    <row r="4923" spans="1:2">
      <c r="A4923" s="387" t="s">
        <v>710</v>
      </c>
      <c r="B4923" s="387" t="s">
        <v>711</v>
      </c>
    </row>
    <row r="4924" spans="1:2">
      <c r="A4924" s="387" t="s">
        <v>402</v>
      </c>
      <c r="B4924" s="387" t="s">
        <v>1105</v>
      </c>
    </row>
    <row r="4925" spans="1:2">
      <c r="A4925" s="387" t="s">
        <v>406</v>
      </c>
      <c r="B4925" s="387" t="s">
        <v>4316</v>
      </c>
    </row>
    <row r="4926" spans="1:2">
      <c r="A4926" s="387" t="s">
        <v>408</v>
      </c>
      <c r="B4926" s="387" t="s">
        <v>6202</v>
      </c>
    </row>
    <row r="4927" spans="1:2">
      <c r="A4927" s="387" t="s">
        <v>361</v>
      </c>
      <c r="B4927" s="387" t="s">
        <v>1002</v>
      </c>
    </row>
    <row r="4928" spans="1:2">
      <c r="A4928" s="387" t="s">
        <v>404</v>
      </c>
      <c r="B4928" s="387" t="s">
        <v>1731</v>
      </c>
    </row>
    <row r="4929" spans="1:2">
      <c r="A4929" s="387" t="s">
        <v>365</v>
      </c>
      <c r="B4929" s="387" t="s">
        <v>2242</v>
      </c>
    </row>
    <row r="4930" spans="1:2">
      <c r="A4930" s="387" t="s">
        <v>372</v>
      </c>
      <c r="B4930" s="387" t="s">
        <v>15951</v>
      </c>
    </row>
    <row r="4931" spans="1:2">
      <c r="A4931" s="387" t="s">
        <v>455</v>
      </c>
      <c r="B4931" s="387" t="s">
        <v>2867</v>
      </c>
    </row>
    <row r="4932" spans="1:2">
      <c r="A4932" s="387" t="s">
        <v>375</v>
      </c>
      <c r="B4932" s="387" t="s">
        <v>2401</v>
      </c>
    </row>
    <row r="4933" spans="1:2">
      <c r="A4933" s="387" t="s">
        <v>379</v>
      </c>
      <c r="B4933" s="387" t="s">
        <v>3894</v>
      </c>
    </row>
    <row r="4934" spans="1:2">
      <c r="A4934" s="387" t="s">
        <v>407</v>
      </c>
      <c r="B4934" s="387" t="s">
        <v>2430</v>
      </c>
    </row>
    <row r="4935" spans="1:2">
      <c r="A4935" s="387" t="s">
        <v>358</v>
      </c>
      <c r="B4935" s="387" t="s">
        <v>4366</v>
      </c>
    </row>
    <row r="4936" spans="1:2">
      <c r="A4936" s="387" t="s">
        <v>360</v>
      </c>
      <c r="B4936" s="387" t="s">
        <v>4523</v>
      </c>
    </row>
    <row r="4937" spans="1:2">
      <c r="A4937" s="387" t="s">
        <v>357</v>
      </c>
      <c r="B4937" s="387" t="s">
        <v>4526</v>
      </c>
    </row>
    <row r="4938" spans="1:2">
      <c r="A4938" s="387" t="s">
        <v>398</v>
      </c>
      <c r="B4938" s="387" t="s">
        <v>4678</v>
      </c>
    </row>
    <row r="4939" spans="1:2">
      <c r="A4939" s="387" t="s">
        <v>426</v>
      </c>
      <c r="B4939" s="387" t="s">
        <v>4680</v>
      </c>
    </row>
    <row r="4940" spans="1:2">
      <c r="A4940" s="387" t="s">
        <v>356</v>
      </c>
      <c r="B4940" s="387" t="s">
        <v>4736</v>
      </c>
    </row>
    <row r="4941" spans="1:2">
      <c r="A4941" s="387" t="s">
        <v>449</v>
      </c>
      <c r="B4941" s="387" t="s">
        <v>8929</v>
      </c>
    </row>
    <row r="4942" spans="1:2">
      <c r="A4942" s="387" t="s">
        <v>396</v>
      </c>
      <c r="B4942" s="387" t="s">
        <v>9010</v>
      </c>
    </row>
    <row r="4943" spans="1:2">
      <c r="A4943" s="387" t="s">
        <v>810</v>
      </c>
      <c r="B4943" s="387" t="s">
        <v>9030</v>
      </c>
    </row>
    <row r="4944" spans="1:2">
      <c r="A4944" s="387" t="s">
        <v>8026</v>
      </c>
      <c r="B4944" s="387" t="s">
        <v>8031</v>
      </c>
    </row>
    <row r="4945" spans="1:2">
      <c r="A4945" s="387" t="s">
        <v>806</v>
      </c>
      <c r="B4945" s="387" t="s">
        <v>807</v>
      </c>
    </row>
    <row r="4946" spans="1:2">
      <c r="A4946" s="387" t="s">
        <v>15952</v>
      </c>
      <c r="B4946" s="387" t="s">
        <v>15953</v>
      </c>
    </row>
    <row r="4947" spans="1:2">
      <c r="A4947" s="387" t="s">
        <v>446</v>
      </c>
      <c r="B4947" s="387" t="s">
        <v>1906</v>
      </c>
    </row>
    <row r="4948" spans="1:2">
      <c r="A4948" s="387" t="s">
        <v>363</v>
      </c>
      <c r="B4948" s="387" t="s">
        <v>4264</v>
      </c>
    </row>
    <row r="4949" spans="1:2">
      <c r="A4949" s="387" t="s">
        <v>393</v>
      </c>
      <c r="B4949" s="387" t="s">
        <v>8909</v>
      </c>
    </row>
    <row r="4950" spans="1:2">
      <c r="A4950" s="387" t="s">
        <v>384</v>
      </c>
      <c r="B4950" s="387" t="s">
        <v>4715</v>
      </c>
    </row>
    <row r="4951" spans="1:2">
      <c r="A4951" s="387" t="s">
        <v>395</v>
      </c>
      <c r="B4951" s="387" t="s">
        <v>4738</v>
      </c>
    </row>
    <row r="4952" spans="1:2">
      <c r="A4952" s="387" t="s">
        <v>8653</v>
      </c>
      <c r="B4952" s="387" t="s">
        <v>4744</v>
      </c>
    </row>
    <row r="4953" spans="1:2">
      <c r="A4953" s="387" t="s">
        <v>401</v>
      </c>
      <c r="B4953" s="387" t="s">
        <v>4785</v>
      </c>
    </row>
    <row r="4954" spans="1:2">
      <c r="A4954" s="387" t="s">
        <v>378</v>
      </c>
      <c r="B4954" s="387" t="s">
        <v>4028</v>
      </c>
    </row>
    <row r="4955" spans="1:2">
      <c r="A4955" s="387" t="s">
        <v>391</v>
      </c>
      <c r="B4955" s="387" t="s">
        <v>4910</v>
      </c>
    </row>
    <row r="4956" spans="1:2">
      <c r="A4956" s="387" t="s">
        <v>399</v>
      </c>
      <c r="B4956" s="387" t="s">
        <v>8971</v>
      </c>
    </row>
    <row r="4957" spans="1:2">
      <c r="A4957" s="387" t="s">
        <v>434</v>
      </c>
      <c r="B4957" s="387" t="s">
        <v>5581</v>
      </c>
    </row>
    <row r="4958" spans="1:2">
      <c r="A4958" s="387" t="s">
        <v>383</v>
      </c>
      <c r="B4958" s="387" t="s">
        <v>5716</v>
      </c>
    </row>
    <row r="4959" spans="1:2">
      <c r="A4959" s="387" t="s">
        <v>392</v>
      </c>
      <c r="B4959" s="387" t="s">
        <v>6799</v>
      </c>
    </row>
    <row r="4960" spans="1:2">
      <c r="A4960" s="387" t="s">
        <v>5954</v>
      </c>
      <c r="B4960" s="387" t="s">
        <v>5953</v>
      </c>
    </row>
    <row r="4961" spans="1:2">
      <c r="A4961" s="387" t="s">
        <v>806</v>
      </c>
      <c r="B4961" s="387" t="s">
        <v>807</v>
      </c>
    </row>
    <row r="4962" spans="1:2">
      <c r="A4962" s="387" t="s">
        <v>15954</v>
      </c>
      <c r="B4962" s="387" t="s">
        <v>15955</v>
      </c>
    </row>
    <row r="4963" spans="1:2">
      <c r="A4963" s="387" t="s">
        <v>417</v>
      </c>
      <c r="B4963" s="387" t="s">
        <v>2360</v>
      </c>
    </row>
    <row r="4964" spans="1:2">
      <c r="A4964" s="387" t="s">
        <v>394</v>
      </c>
      <c r="B4964" s="387" t="s">
        <v>2563</v>
      </c>
    </row>
    <row r="4965" spans="1:2">
      <c r="A4965" s="387" t="s">
        <v>368</v>
      </c>
      <c r="B4965" s="387" t="s">
        <v>2565</v>
      </c>
    </row>
    <row r="4966" spans="1:2">
      <c r="A4966" s="387" t="s">
        <v>416</v>
      </c>
      <c r="B4966" s="387" t="s">
        <v>2984</v>
      </c>
    </row>
    <row r="4967" spans="1:2">
      <c r="A4967" s="387" t="s">
        <v>382</v>
      </c>
      <c r="B4967" s="387" t="s">
        <v>4267</v>
      </c>
    </row>
    <row r="4968" spans="1:2">
      <c r="A4968" s="387" t="s">
        <v>453</v>
      </c>
      <c r="B4968" s="387" t="s">
        <v>4297</v>
      </c>
    </row>
    <row r="4969" spans="1:2">
      <c r="A4969" s="387" t="s">
        <v>405</v>
      </c>
      <c r="B4969" s="387" t="s">
        <v>4327</v>
      </c>
    </row>
    <row r="4970" spans="1:2">
      <c r="A4970" s="387" t="s">
        <v>423</v>
      </c>
      <c r="B4970" s="387" t="s">
        <v>4364</v>
      </c>
    </row>
    <row r="4971" spans="1:2">
      <c r="A4971" s="387" t="s">
        <v>427</v>
      </c>
      <c r="B4971" s="387" t="s">
        <v>2647</v>
      </c>
    </row>
    <row r="4972" spans="1:2">
      <c r="A4972" s="387" t="s">
        <v>415</v>
      </c>
      <c r="B4972" s="387" t="s">
        <v>4746</v>
      </c>
    </row>
    <row r="4973" spans="1:2">
      <c r="A4973" s="387" t="s">
        <v>359</v>
      </c>
      <c r="B4973" s="387" t="s">
        <v>4968</v>
      </c>
    </row>
    <row r="4974" spans="1:2">
      <c r="A4974" s="387" t="s">
        <v>355</v>
      </c>
      <c r="B4974" s="387" t="s">
        <v>5337</v>
      </c>
    </row>
    <row r="4975" spans="1:2">
      <c r="A4975" s="387" t="s">
        <v>381</v>
      </c>
      <c r="B4975" s="387" t="s">
        <v>5427</v>
      </c>
    </row>
    <row r="4976" spans="1:2">
      <c r="A4976" s="387" t="s">
        <v>380</v>
      </c>
      <c r="B4976" s="387" t="s">
        <v>1729</v>
      </c>
    </row>
    <row r="4977" spans="1:2">
      <c r="A4977" s="387" t="s">
        <v>432</v>
      </c>
      <c r="B4977" s="387" t="s">
        <v>5761</v>
      </c>
    </row>
    <row r="4978" spans="1:2">
      <c r="A4978" s="387" t="s">
        <v>435</v>
      </c>
      <c r="B4978" s="387" t="s">
        <v>5892</v>
      </c>
    </row>
    <row r="4979" spans="1:2">
      <c r="A4979" s="387" t="s">
        <v>431</v>
      </c>
      <c r="B4979" s="387" t="s">
        <v>5926</v>
      </c>
    </row>
    <row r="4980" spans="1:2">
      <c r="A4980" s="387" t="s">
        <v>452</v>
      </c>
      <c r="B4980" s="387" t="s">
        <v>5935</v>
      </c>
    </row>
    <row r="4981" spans="1:2">
      <c r="A4981" s="387" t="s">
        <v>451</v>
      </c>
      <c r="B4981" s="387" t="s">
        <v>6463</v>
      </c>
    </row>
    <row r="4982" spans="1:2">
      <c r="A4982" s="387" t="s">
        <v>448</v>
      </c>
      <c r="B4982" s="387" t="s">
        <v>6766</v>
      </c>
    </row>
    <row r="4983" spans="1:2">
      <c r="A4983" s="387" t="s">
        <v>806</v>
      </c>
      <c r="B4983" s="387" t="s">
        <v>807</v>
      </c>
    </row>
    <row r="4984" spans="1:2">
      <c r="A4984" s="387" t="s">
        <v>361</v>
      </c>
      <c r="B4984" s="387" t="s">
        <v>1002</v>
      </c>
    </row>
    <row r="4985" spans="1:2">
      <c r="A4985" s="387" t="s">
        <v>404</v>
      </c>
      <c r="B4985" s="387" t="s">
        <v>1731</v>
      </c>
    </row>
    <row r="4986" spans="1:2">
      <c r="A4986" s="387" t="s">
        <v>365</v>
      </c>
      <c r="B4986" s="387" t="s">
        <v>2242</v>
      </c>
    </row>
    <row r="4987" spans="1:2">
      <c r="A4987" s="387" t="s">
        <v>372</v>
      </c>
      <c r="B4987" s="387" t="s">
        <v>15951</v>
      </c>
    </row>
    <row r="4988" spans="1:2">
      <c r="A4988" s="387" t="s">
        <v>455</v>
      </c>
      <c r="B4988" s="387" t="s">
        <v>2867</v>
      </c>
    </row>
    <row r="4989" spans="1:2">
      <c r="A4989" s="387" t="s">
        <v>375</v>
      </c>
      <c r="B4989" s="387" t="s">
        <v>2401</v>
      </c>
    </row>
    <row r="4990" spans="1:2">
      <c r="A4990" s="387" t="s">
        <v>379</v>
      </c>
      <c r="B4990" s="387" t="s">
        <v>3894</v>
      </c>
    </row>
    <row r="4991" spans="1:2">
      <c r="A4991" s="387" t="s">
        <v>407</v>
      </c>
      <c r="B4991" s="387" t="s">
        <v>2430</v>
      </c>
    </row>
    <row r="4992" spans="1:2">
      <c r="A4992" s="387" t="s">
        <v>8658</v>
      </c>
      <c r="B4992" s="387" t="s">
        <v>4325</v>
      </c>
    </row>
    <row r="4993" spans="1:2">
      <c r="A4993" s="387" t="s">
        <v>358</v>
      </c>
      <c r="B4993" s="387" t="s">
        <v>4366</v>
      </c>
    </row>
    <row r="4994" spans="1:2">
      <c r="A4994" s="387" t="s">
        <v>360</v>
      </c>
      <c r="B4994" s="387" t="s">
        <v>4523</v>
      </c>
    </row>
    <row r="4995" spans="1:2">
      <c r="A4995" s="387" t="s">
        <v>357</v>
      </c>
      <c r="B4995" s="387" t="s">
        <v>4526</v>
      </c>
    </row>
    <row r="4996" spans="1:2">
      <c r="A4996" s="387" t="s">
        <v>398</v>
      </c>
      <c r="B4996" s="387" t="s">
        <v>4678</v>
      </c>
    </row>
    <row r="4997" spans="1:2">
      <c r="A4997" s="387" t="s">
        <v>426</v>
      </c>
      <c r="B4997" s="387" t="s">
        <v>4680</v>
      </c>
    </row>
    <row r="4998" spans="1:2">
      <c r="A4998" s="387" t="s">
        <v>356</v>
      </c>
      <c r="B4998" s="387" t="s">
        <v>4736</v>
      </c>
    </row>
    <row r="4999" spans="1:2">
      <c r="A4999" s="387" t="s">
        <v>449</v>
      </c>
      <c r="B4999" s="387" t="s">
        <v>8929</v>
      </c>
    </row>
    <row r="5000" spans="1:2">
      <c r="A5000" s="387" t="s">
        <v>396</v>
      </c>
      <c r="B5000" s="387" t="s">
        <v>9010</v>
      </c>
    </row>
    <row r="5001" spans="1:2">
      <c r="A5001" s="387" t="s">
        <v>810</v>
      </c>
      <c r="B5001" s="387" t="s">
        <v>9030</v>
      </c>
    </row>
    <row r="5002" spans="1:2">
      <c r="A5002" s="387" t="s">
        <v>806</v>
      </c>
      <c r="B5002" s="387" t="s">
        <v>807</v>
      </c>
    </row>
    <row r="5003" spans="1:2">
      <c r="A5003" s="387" t="s">
        <v>10057</v>
      </c>
      <c r="B5003" s="387" t="s">
        <v>15956</v>
      </c>
    </row>
    <row r="5004" spans="1:2">
      <c r="A5004" s="387" t="s">
        <v>15952</v>
      </c>
      <c r="B5004" s="387" t="s">
        <v>15953</v>
      </c>
    </row>
    <row r="5005" spans="1:2">
      <c r="A5005" s="387" t="s">
        <v>446</v>
      </c>
      <c r="B5005" s="387" t="s">
        <v>1906</v>
      </c>
    </row>
    <row r="5006" spans="1:2">
      <c r="A5006" s="387" t="s">
        <v>363</v>
      </c>
      <c r="B5006" s="387" t="s">
        <v>4264</v>
      </c>
    </row>
    <row r="5007" spans="1:2">
      <c r="A5007" s="387" t="s">
        <v>393</v>
      </c>
      <c r="B5007" s="387" t="s">
        <v>8909</v>
      </c>
    </row>
    <row r="5008" spans="1:2">
      <c r="A5008" s="387" t="s">
        <v>384</v>
      </c>
      <c r="B5008" s="387" t="s">
        <v>4715</v>
      </c>
    </row>
    <row r="5009" spans="1:2">
      <c r="A5009" s="387" t="s">
        <v>395</v>
      </c>
      <c r="B5009" s="387" t="s">
        <v>4738</v>
      </c>
    </row>
    <row r="5010" spans="1:2">
      <c r="A5010" s="387" t="s">
        <v>8653</v>
      </c>
      <c r="B5010" s="387" t="s">
        <v>4744</v>
      </c>
    </row>
    <row r="5011" spans="1:2">
      <c r="A5011" s="387" t="s">
        <v>401</v>
      </c>
      <c r="B5011" s="387" t="s">
        <v>4785</v>
      </c>
    </row>
    <row r="5012" spans="1:2">
      <c r="A5012" s="387" t="s">
        <v>378</v>
      </c>
      <c r="B5012" s="387" t="s">
        <v>4028</v>
      </c>
    </row>
    <row r="5013" spans="1:2">
      <c r="A5013" s="387" t="s">
        <v>391</v>
      </c>
      <c r="B5013" s="387" t="s">
        <v>4910</v>
      </c>
    </row>
    <row r="5014" spans="1:2">
      <c r="A5014" s="387" t="s">
        <v>399</v>
      </c>
      <c r="B5014" s="387" t="s">
        <v>8971</v>
      </c>
    </row>
    <row r="5015" spans="1:2">
      <c r="A5015" s="387" t="s">
        <v>434</v>
      </c>
      <c r="B5015" s="387" t="s">
        <v>5581</v>
      </c>
    </row>
    <row r="5016" spans="1:2">
      <c r="A5016" s="387" t="s">
        <v>383</v>
      </c>
      <c r="B5016" s="387" t="s">
        <v>5716</v>
      </c>
    </row>
    <row r="5017" spans="1:2">
      <c r="A5017" s="387" t="s">
        <v>392</v>
      </c>
      <c r="B5017" s="387" t="s">
        <v>6799</v>
      </c>
    </row>
    <row r="5018" spans="1:2">
      <c r="A5018" s="387" t="s">
        <v>8028</v>
      </c>
      <c r="B5018" s="387" t="s">
        <v>8030</v>
      </c>
    </row>
    <row r="5019" spans="1:2">
      <c r="A5019" s="387" t="s">
        <v>8660</v>
      </c>
      <c r="B5019" s="387" t="s">
        <v>4542</v>
      </c>
    </row>
    <row r="5020" spans="1:2">
      <c r="A5020" s="387" t="s">
        <v>5954</v>
      </c>
      <c r="B5020" s="387" t="s">
        <v>5953</v>
      </c>
    </row>
    <row r="5021" spans="1:2">
      <c r="A5021" s="387" t="s">
        <v>806</v>
      </c>
      <c r="B5021" s="387" t="s">
        <v>807</v>
      </c>
    </row>
    <row r="5022" spans="1:2">
      <c r="A5022" s="387" t="s">
        <v>10057</v>
      </c>
      <c r="B5022" s="387" t="s">
        <v>15956</v>
      </c>
    </row>
    <row r="5023" spans="1:2">
      <c r="A5023" s="387" t="s">
        <v>15954</v>
      </c>
      <c r="B5023" s="387" t="s">
        <v>15955</v>
      </c>
    </row>
    <row r="5024" spans="1:2">
      <c r="A5024" s="387" t="s">
        <v>417</v>
      </c>
      <c r="B5024" s="387" t="s">
        <v>2360</v>
      </c>
    </row>
    <row r="5025" spans="1:2">
      <c r="A5025" s="387" t="s">
        <v>394</v>
      </c>
      <c r="B5025" s="387" t="s">
        <v>2563</v>
      </c>
    </row>
    <row r="5026" spans="1:2">
      <c r="A5026" s="387" t="s">
        <v>368</v>
      </c>
      <c r="B5026" s="387" t="s">
        <v>2565</v>
      </c>
    </row>
    <row r="5027" spans="1:2">
      <c r="A5027" s="387" t="s">
        <v>416</v>
      </c>
      <c r="B5027" s="387" t="s">
        <v>2984</v>
      </c>
    </row>
    <row r="5028" spans="1:2">
      <c r="A5028" s="387" t="s">
        <v>382</v>
      </c>
      <c r="B5028" s="387" t="s">
        <v>4267</v>
      </c>
    </row>
    <row r="5029" spans="1:2">
      <c r="A5029" s="387" t="s">
        <v>453</v>
      </c>
      <c r="B5029" s="387" t="s">
        <v>4297</v>
      </c>
    </row>
    <row r="5030" spans="1:2">
      <c r="A5030" s="387" t="s">
        <v>405</v>
      </c>
      <c r="B5030" s="387" t="s">
        <v>4327</v>
      </c>
    </row>
    <row r="5031" spans="1:2">
      <c r="A5031" s="387" t="s">
        <v>423</v>
      </c>
      <c r="B5031" s="387" t="s">
        <v>4364</v>
      </c>
    </row>
    <row r="5032" spans="1:2">
      <c r="A5032" s="387" t="s">
        <v>427</v>
      </c>
      <c r="B5032" s="387" t="s">
        <v>2647</v>
      </c>
    </row>
    <row r="5033" spans="1:2">
      <c r="A5033" s="387" t="s">
        <v>415</v>
      </c>
      <c r="B5033" s="387" t="s">
        <v>4746</v>
      </c>
    </row>
    <row r="5034" spans="1:2">
      <c r="A5034" s="387" t="s">
        <v>359</v>
      </c>
      <c r="B5034" s="387" t="s">
        <v>4968</v>
      </c>
    </row>
    <row r="5035" spans="1:2">
      <c r="A5035" s="387" t="s">
        <v>355</v>
      </c>
      <c r="B5035" s="387" t="s">
        <v>5337</v>
      </c>
    </row>
    <row r="5036" spans="1:2">
      <c r="A5036" s="387" t="s">
        <v>381</v>
      </c>
      <c r="B5036" s="387" t="s">
        <v>5427</v>
      </c>
    </row>
    <row r="5037" spans="1:2">
      <c r="A5037" s="387" t="s">
        <v>380</v>
      </c>
      <c r="B5037" s="387" t="s">
        <v>1729</v>
      </c>
    </row>
    <row r="5038" spans="1:2">
      <c r="A5038" s="387" t="s">
        <v>432</v>
      </c>
      <c r="B5038" s="387" t="s">
        <v>5761</v>
      </c>
    </row>
    <row r="5039" spans="1:2">
      <c r="A5039" s="387" t="s">
        <v>435</v>
      </c>
      <c r="B5039" s="387" t="s">
        <v>5892</v>
      </c>
    </row>
    <row r="5040" spans="1:2">
      <c r="A5040" s="387" t="s">
        <v>431</v>
      </c>
      <c r="B5040" s="387" t="s">
        <v>5926</v>
      </c>
    </row>
    <row r="5041" spans="1:2">
      <c r="A5041" s="387" t="s">
        <v>452</v>
      </c>
      <c r="B5041" s="387" t="s">
        <v>5935</v>
      </c>
    </row>
    <row r="5042" spans="1:2">
      <c r="A5042" s="387" t="s">
        <v>451</v>
      </c>
      <c r="B5042" s="387" t="s">
        <v>6463</v>
      </c>
    </row>
    <row r="5043" spans="1:2">
      <c r="A5043" s="387" t="s">
        <v>448</v>
      </c>
      <c r="B5043" s="387" t="s">
        <v>6766</v>
      </c>
    </row>
    <row r="5044" spans="1:2">
      <c r="A5044" s="387" t="s">
        <v>806</v>
      </c>
      <c r="B5044" s="387" t="s">
        <v>807</v>
      </c>
    </row>
    <row r="5045" spans="1:2">
      <c r="A5045" s="387" t="s">
        <v>10057</v>
      </c>
      <c r="B5045" s="387" t="s">
        <v>15956</v>
      </c>
    </row>
    <row r="5046" spans="1:2">
      <c r="A5046" s="387" t="s">
        <v>361</v>
      </c>
      <c r="B5046" s="387" t="s">
        <v>1002</v>
      </c>
    </row>
    <row r="5047" spans="1:2">
      <c r="A5047" s="387" t="s">
        <v>404</v>
      </c>
      <c r="B5047" s="387" t="s">
        <v>1731</v>
      </c>
    </row>
    <row r="5048" spans="1:2">
      <c r="A5048" s="387" t="s">
        <v>365</v>
      </c>
      <c r="B5048" s="387" t="s">
        <v>2242</v>
      </c>
    </row>
    <row r="5049" spans="1:2">
      <c r="A5049" s="387" t="s">
        <v>372</v>
      </c>
      <c r="B5049" s="387" t="s">
        <v>15951</v>
      </c>
    </row>
    <row r="5050" spans="1:2">
      <c r="A5050" s="387" t="s">
        <v>455</v>
      </c>
      <c r="B5050" s="387" t="s">
        <v>2867</v>
      </c>
    </row>
    <row r="5051" spans="1:2">
      <c r="A5051" s="387" t="s">
        <v>375</v>
      </c>
      <c r="B5051" s="387" t="s">
        <v>2401</v>
      </c>
    </row>
    <row r="5052" spans="1:2">
      <c r="A5052" s="387" t="s">
        <v>379</v>
      </c>
      <c r="B5052" s="387" t="s">
        <v>3894</v>
      </c>
    </row>
    <row r="5053" spans="1:2">
      <c r="A5053" s="387" t="s">
        <v>407</v>
      </c>
      <c r="B5053" s="387" t="s">
        <v>2430</v>
      </c>
    </row>
    <row r="5054" spans="1:2">
      <c r="A5054" s="387" t="s">
        <v>358</v>
      </c>
      <c r="B5054" s="387" t="s">
        <v>4366</v>
      </c>
    </row>
    <row r="5055" spans="1:2">
      <c r="A5055" s="387" t="s">
        <v>360</v>
      </c>
      <c r="B5055" s="387" t="s">
        <v>4523</v>
      </c>
    </row>
    <row r="5056" spans="1:2">
      <c r="A5056" s="387" t="s">
        <v>357</v>
      </c>
      <c r="B5056" s="387" t="s">
        <v>4526</v>
      </c>
    </row>
    <row r="5057" spans="1:2">
      <c r="A5057" s="387" t="s">
        <v>398</v>
      </c>
      <c r="B5057" s="387" t="s">
        <v>4678</v>
      </c>
    </row>
    <row r="5058" spans="1:2">
      <c r="A5058" s="387" t="s">
        <v>426</v>
      </c>
      <c r="B5058" s="387" t="s">
        <v>4680</v>
      </c>
    </row>
    <row r="5059" spans="1:2">
      <c r="A5059" s="387" t="s">
        <v>356</v>
      </c>
      <c r="B5059" s="387" t="s">
        <v>4736</v>
      </c>
    </row>
    <row r="5060" spans="1:2">
      <c r="A5060" s="387" t="s">
        <v>449</v>
      </c>
      <c r="B5060" s="387" t="s">
        <v>8929</v>
      </c>
    </row>
    <row r="5061" spans="1:2">
      <c r="A5061" s="387" t="s">
        <v>396</v>
      </c>
      <c r="B5061" s="387" t="s">
        <v>9010</v>
      </c>
    </row>
    <row r="5062" spans="1:2">
      <c r="A5062" s="387" t="s">
        <v>810</v>
      </c>
      <c r="B5062" s="387" t="s">
        <v>9030</v>
      </c>
    </row>
    <row r="5063" spans="1:2">
      <c r="A5063" s="387" t="s">
        <v>801</v>
      </c>
      <c r="B5063" s="387" t="s">
        <v>802</v>
      </c>
    </row>
    <row r="5064" spans="1:2">
      <c r="A5064" s="387" t="s">
        <v>15949</v>
      </c>
      <c r="B5064" s="387" t="s">
        <v>15950</v>
      </c>
    </row>
    <row r="5065" spans="1:2">
      <c r="A5065" s="387" t="s">
        <v>447</v>
      </c>
      <c r="B5065" s="387" t="s">
        <v>1937</v>
      </c>
    </row>
    <row r="5066" spans="1:2">
      <c r="A5066" s="387" t="s">
        <v>371</v>
      </c>
      <c r="B5066" s="387" t="s">
        <v>3173</v>
      </c>
    </row>
    <row r="5067" spans="1:2">
      <c r="A5067" s="387" t="s">
        <v>369</v>
      </c>
      <c r="B5067" s="387" t="s">
        <v>3896</v>
      </c>
    </row>
    <row r="5068" spans="1:2">
      <c r="A5068" s="387" t="s">
        <v>419</v>
      </c>
      <c r="B5068" s="387" t="s">
        <v>1556</v>
      </c>
    </row>
    <row r="5069" spans="1:2">
      <c r="A5069" s="387" t="s">
        <v>374</v>
      </c>
      <c r="B5069" s="387" t="s">
        <v>4300</v>
      </c>
    </row>
    <row r="5070" spans="1:2">
      <c r="A5070" s="387" t="s">
        <v>425</v>
      </c>
      <c r="B5070" s="387" t="s">
        <v>4302</v>
      </c>
    </row>
    <row r="5071" spans="1:2">
      <c r="A5071" s="387" t="s">
        <v>387</v>
      </c>
      <c r="B5071" s="387" t="s">
        <v>4304</v>
      </c>
    </row>
    <row r="5072" spans="1:2">
      <c r="A5072" s="387" t="s">
        <v>400</v>
      </c>
      <c r="B5072" s="387" t="s">
        <v>1173</v>
      </c>
    </row>
    <row r="5073" spans="1:2">
      <c r="A5073" s="387" t="s">
        <v>377</v>
      </c>
      <c r="B5073" s="387" t="s">
        <v>5335</v>
      </c>
    </row>
    <row r="5074" spans="1:2">
      <c r="A5074" s="387" t="s">
        <v>376</v>
      </c>
      <c r="B5074" s="387" t="s">
        <v>5769</v>
      </c>
    </row>
    <row r="5075" spans="1:2">
      <c r="A5075" s="387" t="s">
        <v>436</v>
      </c>
      <c r="B5075" s="387" t="s">
        <v>7924</v>
      </c>
    </row>
    <row r="5076" spans="1:2">
      <c r="A5076" s="387" t="s">
        <v>418</v>
      </c>
      <c r="B5076" s="387" t="s">
        <v>5818</v>
      </c>
    </row>
    <row r="5077" spans="1:2">
      <c r="A5077" s="387" t="s">
        <v>424</v>
      </c>
      <c r="B5077" s="387" t="s">
        <v>5820</v>
      </c>
    </row>
    <row r="5078" spans="1:2">
      <c r="A5078" s="387" t="s">
        <v>438</v>
      </c>
      <c r="B5078" s="387" t="s">
        <v>4465</v>
      </c>
    </row>
    <row r="5079" spans="1:2">
      <c r="A5079" s="387" t="s">
        <v>439</v>
      </c>
      <c r="B5079" s="387" t="s">
        <v>4237</v>
      </c>
    </row>
    <row r="5080" spans="1:2">
      <c r="A5080" s="387" t="s">
        <v>441</v>
      </c>
      <c r="B5080" s="387" t="s">
        <v>9002</v>
      </c>
    </row>
    <row r="5081" spans="1:2">
      <c r="A5081" s="387" t="s">
        <v>15957</v>
      </c>
      <c r="B5081" s="387" t="s">
        <v>9006</v>
      </c>
    </row>
    <row r="5082" spans="1:2">
      <c r="A5082" s="387" t="s">
        <v>15958</v>
      </c>
      <c r="B5082" s="387" t="s">
        <v>9019</v>
      </c>
    </row>
    <row r="5083" spans="1:2">
      <c r="A5083" s="387" t="s">
        <v>15959</v>
      </c>
      <c r="B5083" s="387" t="s">
        <v>9025</v>
      </c>
    </row>
    <row r="5084" spans="1:2">
      <c r="A5084" s="387" t="s">
        <v>8659</v>
      </c>
      <c r="B5084" s="387" t="s">
        <v>2949</v>
      </c>
    </row>
    <row r="5085" spans="1:2">
      <c r="A5085" s="387" t="s">
        <v>801</v>
      </c>
      <c r="B5085" s="387" t="s">
        <v>802</v>
      </c>
    </row>
    <row r="5086" spans="1:2">
      <c r="A5086" s="387" t="s">
        <v>15952</v>
      </c>
      <c r="B5086" s="387" t="s">
        <v>15953</v>
      </c>
    </row>
    <row r="5087" spans="1:2">
      <c r="A5087" s="387" t="s">
        <v>446</v>
      </c>
      <c r="B5087" s="387" t="s">
        <v>1906</v>
      </c>
    </row>
    <row r="5088" spans="1:2">
      <c r="A5088" s="387" t="s">
        <v>363</v>
      </c>
      <c r="B5088" s="387" t="s">
        <v>4264</v>
      </c>
    </row>
    <row r="5089" spans="1:2">
      <c r="A5089" s="387" t="s">
        <v>393</v>
      </c>
      <c r="B5089" s="387" t="s">
        <v>8909</v>
      </c>
    </row>
    <row r="5090" spans="1:2">
      <c r="A5090" s="387" t="s">
        <v>384</v>
      </c>
      <c r="B5090" s="387" t="s">
        <v>4715</v>
      </c>
    </row>
    <row r="5091" spans="1:2">
      <c r="A5091" s="387" t="s">
        <v>395</v>
      </c>
      <c r="B5091" s="387" t="s">
        <v>4738</v>
      </c>
    </row>
    <row r="5092" spans="1:2">
      <c r="A5092" s="387" t="s">
        <v>8653</v>
      </c>
      <c r="B5092" s="387" t="s">
        <v>4744</v>
      </c>
    </row>
    <row r="5093" spans="1:2">
      <c r="A5093" s="387" t="s">
        <v>401</v>
      </c>
      <c r="B5093" s="387" t="s">
        <v>4785</v>
      </c>
    </row>
    <row r="5094" spans="1:2">
      <c r="A5094" s="387" t="s">
        <v>378</v>
      </c>
      <c r="B5094" s="387" t="s">
        <v>4028</v>
      </c>
    </row>
    <row r="5095" spans="1:2">
      <c r="A5095" s="387" t="s">
        <v>391</v>
      </c>
      <c r="B5095" s="387" t="s">
        <v>4910</v>
      </c>
    </row>
    <row r="5096" spans="1:2">
      <c r="A5096" s="387" t="s">
        <v>399</v>
      </c>
      <c r="B5096" s="387" t="s">
        <v>8971</v>
      </c>
    </row>
    <row r="5097" spans="1:2">
      <c r="A5097" s="387" t="s">
        <v>434</v>
      </c>
      <c r="B5097" s="387" t="s">
        <v>5581</v>
      </c>
    </row>
    <row r="5098" spans="1:2">
      <c r="A5098" s="387" t="s">
        <v>383</v>
      </c>
      <c r="B5098" s="387" t="s">
        <v>5716</v>
      </c>
    </row>
    <row r="5099" spans="1:2">
      <c r="A5099" s="387" t="s">
        <v>392</v>
      </c>
      <c r="B5099" s="387" t="s">
        <v>6799</v>
      </c>
    </row>
    <row r="5100" spans="1:2">
      <c r="A5100" s="387" t="s">
        <v>5954</v>
      </c>
      <c r="B5100" s="387" t="s">
        <v>5953</v>
      </c>
    </row>
    <row r="5101" spans="1:2">
      <c r="A5101" s="387" t="s">
        <v>740</v>
      </c>
      <c r="B5101" s="387" t="s">
        <v>741</v>
      </c>
    </row>
    <row r="5102" spans="1:2">
      <c r="A5102" s="387" t="s">
        <v>801</v>
      </c>
      <c r="B5102" s="387" t="s">
        <v>802</v>
      </c>
    </row>
    <row r="5103" spans="1:2">
      <c r="A5103" s="387" t="s">
        <v>15954</v>
      </c>
      <c r="B5103" s="387" t="s">
        <v>15955</v>
      </c>
    </row>
    <row r="5104" spans="1:2">
      <c r="A5104" s="387" t="s">
        <v>417</v>
      </c>
      <c r="B5104" s="387" t="s">
        <v>2360</v>
      </c>
    </row>
    <row r="5105" spans="1:2">
      <c r="A5105" s="387" t="s">
        <v>394</v>
      </c>
      <c r="B5105" s="387" t="s">
        <v>2563</v>
      </c>
    </row>
    <row r="5106" spans="1:2">
      <c r="A5106" s="387" t="s">
        <v>368</v>
      </c>
      <c r="B5106" s="387" t="s">
        <v>2565</v>
      </c>
    </row>
    <row r="5107" spans="1:2">
      <c r="A5107" s="387" t="s">
        <v>416</v>
      </c>
      <c r="B5107" s="387" t="s">
        <v>2984</v>
      </c>
    </row>
    <row r="5108" spans="1:2">
      <c r="A5108" s="387" t="s">
        <v>382</v>
      </c>
      <c r="B5108" s="387" t="s">
        <v>4267</v>
      </c>
    </row>
    <row r="5109" spans="1:2">
      <c r="A5109" s="387" t="s">
        <v>453</v>
      </c>
      <c r="B5109" s="387" t="s">
        <v>4297</v>
      </c>
    </row>
    <row r="5110" spans="1:2">
      <c r="A5110" s="387" t="s">
        <v>405</v>
      </c>
      <c r="B5110" s="387" t="s">
        <v>4327</v>
      </c>
    </row>
    <row r="5111" spans="1:2">
      <c r="A5111" s="387" t="s">
        <v>423</v>
      </c>
      <c r="B5111" s="387" t="s">
        <v>4364</v>
      </c>
    </row>
    <row r="5112" spans="1:2">
      <c r="A5112" s="387" t="s">
        <v>427</v>
      </c>
      <c r="B5112" s="387" t="s">
        <v>2647</v>
      </c>
    </row>
    <row r="5113" spans="1:2">
      <c r="A5113" s="387" t="s">
        <v>415</v>
      </c>
      <c r="B5113" s="387" t="s">
        <v>4746</v>
      </c>
    </row>
    <row r="5114" spans="1:2">
      <c r="A5114" s="387" t="s">
        <v>359</v>
      </c>
      <c r="B5114" s="387" t="s">
        <v>4968</v>
      </c>
    </row>
    <row r="5115" spans="1:2">
      <c r="A5115" s="387" t="s">
        <v>355</v>
      </c>
      <c r="B5115" s="387" t="s">
        <v>5337</v>
      </c>
    </row>
    <row r="5116" spans="1:2">
      <c r="A5116" s="387" t="s">
        <v>381</v>
      </c>
      <c r="B5116" s="387" t="s">
        <v>5427</v>
      </c>
    </row>
    <row r="5117" spans="1:2">
      <c r="A5117" s="387" t="s">
        <v>380</v>
      </c>
      <c r="B5117" s="387" t="s">
        <v>1729</v>
      </c>
    </row>
    <row r="5118" spans="1:2">
      <c r="A5118" s="387" t="s">
        <v>432</v>
      </c>
      <c r="B5118" s="387" t="s">
        <v>5761</v>
      </c>
    </row>
    <row r="5119" spans="1:2">
      <c r="A5119" s="387" t="s">
        <v>435</v>
      </c>
      <c r="B5119" s="387" t="s">
        <v>5892</v>
      </c>
    </row>
    <row r="5120" spans="1:2">
      <c r="A5120" s="387" t="s">
        <v>431</v>
      </c>
      <c r="B5120" s="387" t="s">
        <v>5926</v>
      </c>
    </row>
    <row r="5121" spans="1:2">
      <c r="A5121" s="387" t="s">
        <v>452</v>
      </c>
      <c r="B5121" s="387" t="s">
        <v>5935</v>
      </c>
    </row>
    <row r="5122" spans="1:2">
      <c r="A5122" s="387" t="s">
        <v>451</v>
      </c>
      <c r="B5122" s="387" t="s">
        <v>6463</v>
      </c>
    </row>
    <row r="5123" spans="1:2">
      <c r="A5123" s="387" t="s">
        <v>448</v>
      </c>
      <c r="B5123" s="387" t="s">
        <v>6766</v>
      </c>
    </row>
    <row r="5124" spans="1:2">
      <c r="A5124" s="387" t="s">
        <v>710</v>
      </c>
      <c r="B5124" s="387" t="s">
        <v>711</v>
      </c>
    </row>
    <row r="5125" spans="1:2">
      <c r="A5125" s="387" t="s">
        <v>15960</v>
      </c>
      <c r="B5125" s="387" t="s">
        <v>8327</v>
      </c>
    </row>
    <row r="5126" spans="1:2">
      <c r="A5126" s="387" t="s">
        <v>15961</v>
      </c>
      <c r="B5126" s="387" t="s">
        <v>15962</v>
      </c>
    </row>
    <row r="5127" spans="1:2">
      <c r="A5127" s="387" t="s">
        <v>15963</v>
      </c>
      <c r="B5127" s="387" t="s">
        <v>15964</v>
      </c>
    </row>
    <row r="5128" spans="1:2">
      <c r="A5128" s="387" t="s">
        <v>473</v>
      </c>
      <c r="B5128" s="387" t="s">
        <v>1162</v>
      </c>
    </row>
    <row r="5129" spans="1:2">
      <c r="A5129" s="387" t="s">
        <v>15965</v>
      </c>
      <c r="B5129" s="387" t="s">
        <v>1169</v>
      </c>
    </row>
    <row r="5130" spans="1:2">
      <c r="A5130" s="387" t="s">
        <v>465</v>
      </c>
      <c r="B5130" s="387" t="s">
        <v>1556</v>
      </c>
    </row>
    <row r="5131" spans="1:2">
      <c r="A5131" s="387" t="s">
        <v>15966</v>
      </c>
      <c r="B5131" s="387" t="s">
        <v>2918</v>
      </c>
    </row>
    <row r="5132" spans="1:2">
      <c r="A5132" s="387" t="s">
        <v>15967</v>
      </c>
      <c r="B5132" s="387" t="s">
        <v>2999</v>
      </c>
    </row>
    <row r="5133" spans="1:2">
      <c r="A5133" s="387" t="s">
        <v>15968</v>
      </c>
      <c r="B5133" s="387" t="s">
        <v>3416</v>
      </c>
    </row>
    <row r="5134" spans="1:2">
      <c r="A5134" s="387" t="s">
        <v>15969</v>
      </c>
      <c r="B5134" s="387" t="s">
        <v>5959</v>
      </c>
    </row>
    <row r="5135" spans="1:2">
      <c r="A5135" s="387" t="s">
        <v>473</v>
      </c>
      <c r="B5135" s="387" t="s">
        <v>1162</v>
      </c>
    </row>
    <row r="5136" spans="1:2">
      <c r="A5136" s="387" t="s">
        <v>457</v>
      </c>
      <c r="B5136" s="387" t="s">
        <v>1179</v>
      </c>
    </row>
    <row r="5137" spans="1:2">
      <c r="A5137" s="387" t="s">
        <v>15970</v>
      </c>
      <c r="B5137" s="387" t="s">
        <v>2208</v>
      </c>
    </row>
    <row r="5138" spans="1:2">
      <c r="A5138" s="387" t="s">
        <v>15971</v>
      </c>
      <c r="B5138" s="387" t="s">
        <v>3676</v>
      </c>
    </row>
    <row r="5139" spans="1:2">
      <c r="A5139" s="387" t="s">
        <v>458</v>
      </c>
      <c r="B5139" s="387" t="s">
        <v>4200</v>
      </c>
    </row>
    <row r="5140" spans="1:2">
      <c r="A5140" s="387" t="s">
        <v>15972</v>
      </c>
      <c r="B5140" s="387" t="s">
        <v>6480</v>
      </c>
    </row>
    <row r="5141" spans="1:2">
      <c r="A5141" s="387" t="s">
        <v>15973</v>
      </c>
      <c r="B5141" s="387" t="s">
        <v>8241</v>
      </c>
    </row>
    <row r="5142" spans="1:2">
      <c r="A5142" s="387" t="s">
        <v>473</v>
      </c>
      <c r="B5142" s="387" t="s">
        <v>1162</v>
      </c>
    </row>
    <row r="5143" spans="1:2">
      <c r="A5143" s="387" t="s">
        <v>461</v>
      </c>
      <c r="B5143" s="387" t="s">
        <v>1645</v>
      </c>
    </row>
    <row r="5144" spans="1:2">
      <c r="A5144" s="387" t="s">
        <v>15974</v>
      </c>
      <c r="B5144" s="387" t="s">
        <v>3380</v>
      </c>
    </row>
    <row r="5145" spans="1:2">
      <c r="A5145" s="387" t="s">
        <v>460</v>
      </c>
      <c r="B5145" s="387" t="s">
        <v>9762</v>
      </c>
    </row>
    <row r="5146" spans="1:2">
      <c r="A5146" s="387" t="s">
        <v>466</v>
      </c>
      <c r="B5146" s="387" t="s">
        <v>3254</v>
      </c>
    </row>
    <row r="5147" spans="1:2">
      <c r="A5147" s="387" t="s">
        <v>462</v>
      </c>
      <c r="B5147" s="387" t="s">
        <v>4177</v>
      </c>
    </row>
    <row r="5148" spans="1:2">
      <c r="A5148" s="387" t="s">
        <v>15975</v>
      </c>
      <c r="B5148" s="387" t="s">
        <v>4278</v>
      </c>
    </row>
    <row r="5149" spans="1:2">
      <c r="A5149" s="387" t="s">
        <v>15976</v>
      </c>
      <c r="B5149" s="387" t="s">
        <v>4391</v>
      </c>
    </row>
    <row r="5150" spans="1:2">
      <c r="A5150" s="387" t="s">
        <v>15977</v>
      </c>
      <c r="B5150" s="387" t="s">
        <v>4513</v>
      </c>
    </row>
    <row r="5151" spans="1:2">
      <c r="A5151" s="387" t="s">
        <v>459</v>
      </c>
      <c r="B5151" s="387" t="s">
        <v>4515</v>
      </c>
    </row>
    <row r="5152" spans="1:2">
      <c r="A5152" s="387" t="s">
        <v>15978</v>
      </c>
      <c r="B5152" s="387" t="s">
        <v>4517</v>
      </c>
    </row>
    <row r="5153" spans="1:2">
      <c r="A5153" s="387" t="s">
        <v>15979</v>
      </c>
      <c r="B5153" s="387" t="s">
        <v>2672</v>
      </c>
    </row>
    <row r="5154" spans="1:2">
      <c r="A5154" s="387" t="s">
        <v>15980</v>
      </c>
      <c r="B5154" s="387" t="s">
        <v>1146</v>
      </c>
    </row>
    <row r="5155" spans="1:2">
      <c r="A5155" s="387" t="s">
        <v>15981</v>
      </c>
      <c r="B5155" s="387" t="s">
        <v>4888</v>
      </c>
    </row>
    <row r="5156" spans="1:2">
      <c r="A5156" s="387" t="s">
        <v>15982</v>
      </c>
      <c r="B5156" s="387" t="s">
        <v>5273</v>
      </c>
    </row>
    <row r="5157" spans="1:2">
      <c r="A5157" s="387" t="s">
        <v>15983</v>
      </c>
      <c r="B5157" s="387" t="s">
        <v>15984</v>
      </c>
    </row>
    <row r="5158" spans="1:2">
      <c r="A5158" s="387" t="s">
        <v>15985</v>
      </c>
      <c r="B5158" s="387" t="s">
        <v>5200</v>
      </c>
    </row>
    <row r="5159" spans="1:2">
      <c r="A5159" s="387" t="s">
        <v>15986</v>
      </c>
      <c r="B5159" s="387" t="s">
        <v>5276</v>
      </c>
    </row>
    <row r="5160" spans="1:2">
      <c r="A5160" s="387" t="s">
        <v>15987</v>
      </c>
      <c r="B5160" s="387" t="s">
        <v>2028</v>
      </c>
    </row>
    <row r="5161" spans="1:2">
      <c r="A5161" s="387" t="s">
        <v>15988</v>
      </c>
      <c r="B5161" s="387" t="s">
        <v>5333</v>
      </c>
    </row>
    <row r="5162" spans="1:2">
      <c r="A5162" s="387" t="s">
        <v>15989</v>
      </c>
      <c r="B5162" s="387" t="s">
        <v>2030</v>
      </c>
    </row>
    <row r="5163" spans="1:2">
      <c r="A5163" s="387" t="s">
        <v>15990</v>
      </c>
      <c r="B5163" s="387" t="s">
        <v>15991</v>
      </c>
    </row>
    <row r="5164" spans="1:2">
      <c r="A5164" s="387" t="s">
        <v>15992</v>
      </c>
      <c r="B5164" s="387" t="s">
        <v>5955</v>
      </c>
    </row>
    <row r="5165" spans="1:2">
      <c r="A5165" s="387" t="s">
        <v>15993</v>
      </c>
      <c r="B5165" s="387" t="s">
        <v>15994</v>
      </c>
    </row>
    <row r="5166" spans="1:2">
      <c r="A5166" s="387" t="s">
        <v>15995</v>
      </c>
      <c r="B5166" s="387" t="s">
        <v>7028</v>
      </c>
    </row>
    <row r="5167" spans="1:2">
      <c r="A5167" s="387" t="s">
        <v>15996</v>
      </c>
      <c r="B5167" s="387" t="s">
        <v>1619</v>
      </c>
    </row>
    <row r="5168" spans="1:2">
      <c r="A5168" s="387" t="s">
        <v>15997</v>
      </c>
      <c r="B5168" s="387" t="s">
        <v>8243</v>
      </c>
    </row>
    <row r="5169" spans="1:2">
      <c r="A5169" s="387" t="s">
        <v>15998</v>
      </c>
      <c r="B5169" s="387" t="s">
        <v>8245</v>
      </c>
    </row>
    <row r="5170" spans="1:2">
      <c r="A5170" s="387" t="s">
        <v>15999</v>
      </c>
      <c r="B5170" s="387" t="s">
        <v>16000</v>
      </c>
    </row>
    <row r="5171" spans="1:2">
      <c r="A5171" s="387" t="s">
        <v>16001</v>
      </c>
      <c r="B5171" s="387" t="s">
        <v>3661</v>
      </c>
    </row>
    <row r="5172" spans="1:2">
      <c r="A5172" s="387" t="s">
        <v>16002</v>
      </c>
      <c r="B5172" s="387" t="s">
        <v>3743</v>
      </c>
    </row>
    <row r="5173" spans="1:2">
      <c r="A5173" s="387" t="s">
        <v>16003</v>
      </c>
      <c r="B5173" s="387" t="s">
        <v>8434</v>
      </c>
    </row>
    <row r="5174" spans="1:2">
      <c r="A5174" s="387" t="s">
        <v>16004</v>
      </c>
      <c r="B5174" s="387" t="s">
        <v>4385</v>
      </c>
    </row>
    <row r="5175" spans="1:2">
      <c r="A5175" s="387" t="s">
        <v>16005</v>
      </c>
      <c r="B5175" s="387" t="s">
        <v>8285</v>
      </c>
    </row>
    <row r="5176" spans="1:2">
      <c r="A5176" s="387" t="s">
        <v>16006</v>
      </c>
      <c r="B5176" s="387" t="s">
        <v>5560</v>
      </c>
    </row>
    <row r="5177" spans="1:2">
      <c r="A5177" s="387" t="s">
        <v>16007</v>
      </c>
      <c r="B5177" s="387" t="s">
        <v>8563</v>
      </c>
    </row>
    <row r="5178" spans="1:2">
      <c r="A5178" s="387" t="s">
        <v>16008</v>
      </c>
      <c r="B5178" s="387" t="s">
        <v>904</v>
      </c>
    </row>
    <row r="5179" spans="1:2">
      <c r="A5179" s="387" t="s">
        <v>8032</v>
      </c>
      <c r="B5179" s="387" t="s">
        <v>992</v>
      </c>
    </row>
    <row r="5180" spans="1:2">
      <c r="A5180" s="387" t="s">
        <v>16009</v>
      </c>
      <c r="B5180" s="387" t="s">
        <v>1059</v>
      </c>
    </row>
    <row r="5181" spans="1:2">
      <c r="A5181" s="387" t="s">
        <v>473</v>
      </c>
      <c r="B5181" s="387" t="s">
        <v>1162</v>
      </c>
    </row>
    <row r="5182" spans="1:2">
      <c r="A5182" s="387" t="s">
        <v>16010</v>
      </c>
      <c r="B5182" s="387" t="s">
        <v>1219</v>
      </c>
    </row>
    <row r="5183" spans="1:2">
      <c r="A5183" s="387" t="s">
        <v>16011</v>
      </c>
      <c r="B5183" s="387" t="s">
        <v>1243</v>
      </c>
    </row>
    <row r="5184" spans="1:2">
      <c r="A5184" s="387" t="s">
        <v>16012</v>
      </c>
      <c r="B5184" s="387" t="s">
        <v>1488</v>
      </c>
    </row>
    <row r="5185" spans="1:2">
      <c r="A5185" s="387" t="s">
        <v>465</v>
      </c>
      <c r="B5185" s="387" t="s">
        <v>1556</v>
      </c>
    </row>
    <row r="5186" spans="1:2">
      <c r="A5186" s="387" t="s">
        <v>16013</v>
      </c>
      <c r="B5186" s="387" t="s">
        <v>1558</v>
      </c>
    </row>
    <row r="5187" spans="1:2">
      <c r="A5187" s="387" t="s">
        <v>471</v>
      </c>
      <c r="B5187" s="387" t="s">
        <v>1647</v>
      </c>
    </row>
    <row r="5188" spans="1:2">
      <c r="A5188" s="387" t="s">
        <v>16014</v>
      </c>
      <c r="B5188" s="387" t="s">
        <v>1568</v>
      </c>
    </row>
    <row r="5189" spans="1:2">
      <c r="A5189" s="387" t="s">
        <v>16015</v>
      </c>
      <c r="B5189" s="387" t="s">
        <v>1765</v>
      </c>
    </row>
    <row r="5190" spans="1:2">
      <c r="A5190" s="387" t="s">
        <v>16016</v>
      </c>
      <c r="B5190" s="387" t="s">
        <v>1981</v>
      </c>
    </row>
    <row r="5191" spans="1:2">
      <c r="A5191" s="387" t="s">
        <v>16017</v>
      </c>
      <c r="B5191" s="387" t="s">
        <v>2045</v>
      </c>
    </row>
    <row r="5192" spans="1:2">
      <c r="A5192" s="387" t="s">
        <v>16018</v>
      </c>
      <c r="B5192" s="387" t="s">
        <v>2076</v>
      </c>
    </row>
    <row r="5193" spans="1:2">
      <c r="A5193" s="387" t="s">
        <v>16019</v>
      </c>
      <c r="B5193" s="387" t="s">
        <v>2142</v>
      </c>
    </row>
    <row r="5194" spans="1:2">
      <c r="A5194" s="387" t="s">
        <v>16020</v>
      </c>
      <c r="B5194" s="387" t="s">
        <v>2182</v>
      </c>
    </row>
    <row r="5195" spans="1:2">
      <c r="A5195" s="387" t="s">
        <v>16021</v>
      </c>
      <c r="B5195" s="387" t="s">
        <v>2210</v>
      </c>
    </row>
    <row r="5196" spans="1:2">
      <c r="A5196" s="387" t="s">
        <v>16022</v>
      </c>
      <c r="B5196" s="387" t="s">
        <v>2212</v>
      </c>
    </row>
    <row r="5197" spans="1:2">
      <c r="A5197" s="387" t="s">
        <v>16023</v>
      </c>
      <c r="B5197" s="387" t="s">
        <v>2270</v>
      </c>
    </row>
    <row r="5198" spans="1:2">
      <c r="A5198" s="387" t="s">
        <v>16024</v>
      </c>
      <c r="B5198" s="387" t="s">
        <v>2272</v>
      </c>
    </row>
    <row r="5199" spans="1:2">
      <c r="A5199" s="387" t="s">
        <v>16025</v>
      </c>
      <c r="B5199" s="387" t="s">
        <v>2342</v>
      </c>
    </row>
    <row r="5200" spans="1:2">
      <c r="A5200" s="387" t="s">
        <v>16026</v>
      </c>
      <c r="B5200" s="387" t="s">
        <v>2367</v>
      </c>
    </row>
    <row r="5201" spans="1:2">
      <c r="A5201" s="387" t="s">
        <v>16027</v>
      </c>
      <c r="B5201" s="387" t="s">
        <v>2369</v>
      </c>
    </row>
    <row r="5202" spans="1:2">
      <c r="A5202" s="387" t="s">
        <v>16028</v>
      </c>
      <c r="B5202" s="387" t="s">
        <v>2405</v>
      </c>
    </row>
    <row r="5203" spans="1:2">
      <c r="A5203" s="387" t="s">
        <v>16029</v>
      </c>
      <c r="B5203" s="387" t="s">
        <v>2455</v>
      </c>
    </row>
    <row r="5204" spans="1:2">
      <c r="A5204" s="387" t="s">
        <v>16030</v>
      </c>
      <c r="B5204" s="387" t="s">
        <v>2459</v>
      </c>
    </row>
    <row r="5205" spans="1:2">
      <c r="A5205" s="387" t="s">
        <v>16031</v>
      </c>
      <c r="B5205" s="387" t="s">
        <v>2467</v>
      </c>
    </row>
    <row r="5206" spans="1:2">
      <c r="A5206" s="387" t="s">
        <v>16032</v>
      </c>
      <c r="B5206" s="387" t="s">
        <v>2861</v>
      </c>
    </row>
    <row r="5207" spans="1:2">
      <c r="A5207" s="387" t="s">
        <v>16033</v>
      </c>
      <c r="B5207" s="387" t="s">
        <v>2895</v>
      </c>
    </row>
    <row r="5208" spans="1:2">
      <c r="A5208" s="387" t="s">
        <v>16034</v>
      </c>
      <c r="B5208" s="387" t="s">
        <v>2916</v>
      </c>
    </row>
    <row r="5209" spans="1:2">
      <c r="A5209" s="387" t="s">
        <v>16035</v>
      </c>
      <c r="B5209" s="387" t="s">
        <v>2971</v>
      </c>
    </row>
    <row r="5210" spans="1:2">
      <c r="A5210" s="387" t="s">
        <v>16036</v>
      </c>
      <c r="B5210" s="387" t="s">
        <v>2979</v>
      </c>
    </row>
    <row r="5211" spans="1:2">
      <c r="A5211" s="387" t="s">
        <v>16037</v>
      </c>
      <c r="B5211" s="387" t="s">
        <v>2815</v>
      </c>
    </row>
    <row r="5212" spans="1:2">
      <c r="A5212" s="387" t="s">
        <v>16038</v>
      </c>
      <c r="B5212" s="387" t="s">
        <v>3164</v>
      </c>
    </row>
    <row r="5213" spans="1:2">
      <c r="A5213" s="387" t="s">
        <v>16039</v>
      </c>
      <c r="B5213" s="387" t="s">
        <v>3166</v>
      </c>
    </row>
    <row r="5214" spans="1:2">
      <c r="A5214" s="387" t="s">
        <v>16040</v>
      </c>
      <c r="B5214" s="387" t="s">
        <v>2168</v>
      </c>
    </row>
    <row r="5215" spans="1:2">
      <c r="A5215" s="387" t="s">
        <v>16041</v>
      </c>
      <c r="B5215" s="387" t="s">
        <v>3382</v>
      </c>
    </row>
    <row r="5216" spans="1:2">
      <c r="A5216" s="387" t="s">
        <v>16042</v>
      </c>
      <c r="B5216" s="387" t="s">
        <v>3386</v>
      </c>
    </row>
    <row r="5217" spans="1:2">
      <c r="A5217" s="387" t="s">
        <v>16043</v>
      </c>
      <c r="B5217" s="387" t="s">
        <v>3388</v>
      </c>
    </row>
    <row r="5218" spans="1:2">
      <c r="A5218" s="387" t="s">
        <v>16044</v>
      </c>
      <c r="B5218" s="387" t="s">
        <v>3390</v>
      </c>
    </row>
    <row r="5219" spans="1:2">
      <c r="A5219" s="387" t="s">
        <v>16045</v>
      </c>
      <c r="B5219" s="387" t="s">
        <v>3414</v>
      </c>
    </row>
    <row r="5220" spans="1:2">
      <c r="A5220" s="387" t="s">
        <v>16046</v>
      </c>
      <c r="B5220" s="387" t="s">
        <v>1175</v>
      </c>
    </row>
    <row r="5221" spans="1:2">
      <c r="A5221" s="387" t="s">
        <v>16047</v>
      </c>
      <c r="B5221" s="387" t="s">
        <v>4180</v>
      </c>
    </row>
    <row r="5222" spans="1:2">
      <c r="A5222" s="387" t="s">
        <v>16048</v>
      </c>
      <c r="B5222" s="387" t="s">
        <v>3494</v>
      </c>
    </row>
    <row r="5223" spans="1:2">
      <c r="A5223" s="387" t="s">
        <v>16049</v>
      </c>
      <c r="B5223" s="387" t="s">
        <v>4136</v>
      </c>
    </row>
    <row r="5224" spans="1:2">
      <c r="A5224" s="387" t="s">
        <v>16050</v>
      </c>
      <c r="B5224" s="387" t="s">
        <v>4138</v>
      </c>
    </row>
    <row r="5225" spans="1:2">
      <c r="A5225" s="387" t="s">
        <v>16051</v>
      </c>
      <c r="B5225" s="387" t="s">
        <v>3181</v>
      </c>
    </row>
    <row r="5226" spans="1:2">
      <c r="A5226" s="387" t="s">
        <v>16052</v>
      </c>
      <c r="B5226" s="387" t="s">
        <v>3752</v>
      </c>
    </row>
    <row r="5227" spans="1:2">
      <c r="A5227" s="387" t="s">
        <v>16053</v>
      </c>
      <c r="B5227" s="387" t="s">
        <v>4182</v>
      </c>
    </row>
    <row r="5228" spans="1:2">
      <c r="A5228" s="387" t="s">
        <v>16054</v>
      </c>
      <c r="B5228" s="387" t="s">
        <v>4064</v>
      </c>
    </row>
    <row r="5229" spans="1:2">
      <c r="A5229" s="387" t="s">
        <v>16055</v>
      </c>
      <c r="B5229" s="387" t="s">
        <v>891</v>
      </c>
    </row>
    <row r="5230" spans="1:2">
      <c r="A5230" s="387" t="s">
        <v>16056</v>
      </c>
      <c r="B5230" s="387" t="s">
        <v>4283</v>
      </c>
    </row>
    <row r="5231" spans="1:2">
      <c r="A5231" s="387" t="s">
        <v>16057</v>
      </c>
      <c r="B5231" s="387" t="s">
        <v>4368</v>
      </c>
    </row>
    <row r="5232" spans="1:2">
      <c r="A5232" s="387" t="s">
        <v>16058</v>
      </c>
      <c r="B5232" s="387" t="s">
        <v>4408</v>
      </c>
    </row>
    <row r="5233" spans="1:2">
      <c r="A5233" s="387" t="s">
        <v>16059</v>
      </c>
      <c r="B5233" s="387" t="s">
        <v>1810</v>
      </c>
    </row>
    <row r="5234" spans="1:2">
      <c r="A5234" s="387" t="s">
        <v>16060</v>
      </c>
      <c r="B5234" s="387" t="s">
        <v>4933</v>
      </c>
    </row>
    <row r="5235" spans="1:2">
      <c r="A5235" s="387" t="s">
        <v>16061</v>
      </c>
      <c r="B5235" s="387" t="s">
        <v>5012</v>
      </c>
    </row>
    <row r="5236" spans="1:2">
      <c r="A5236" s="387" t="s">
        <v>16062</v>
      </c>
      <c r="B5236" s="387" t="s">
        <v>5453</v>
      </c>
    </row>
    <row r="5237" spans="1:2">
      <c r="A5237" s="387" t="s">
        <v>16063</v>
      </c>
      <c r="B5237" s="387" t="s">
        <v>5491</v>
      </c>
    </row>
    <row r="5238" spans="1:2">
      <c r="A5238" s="387" t="s">
        <v>16064</v>
      </c>
      <c r="B5238" s="387" t="s">
        <v>5560</v>
      </c>
    </row>
    <row r="5239" spans="1:2">
      <c r="A5239" s="387" t="s">
        <v>16065</v>
      </c>
      <c r="B5239" s="387" t="s">
        <v>1070</v>
      </c>
    </row>
    <row r="5240" spans="1:2">
      <c r="A5240" s="387" t="s">
        <v>16066</v>
      </c>
      <c r="B5240" s="387" t="s">
        <v>960</v>
      </c>
    </row>
    <row r="5241" spans="1:2">
      <c r="A5241" s="387" t="s">
        <v>16067</v>
      </c>
      <c r="B5241" s="387" t="s">
        <v>5623</v>
      </c>
    </row>
    <row r="5242" spans="1:2">
      <c r="A5242" s="387" t="s">
        <v>16068</v>
      </c>
      <c r="B5242" s="387" t="s">
        <v>16069</v>
      </c>
    </row>
    <row r="5243" spans="1:2">
      <c r="A5243" s="387" t="s">
        <v>16070</v>
      </c>
      <c r="B5243" s="387" t="s">
        <v>5765</v>
      </c>
    </row>
    <row r="5244" spans="1:2">
      <c r="A5244" s="387" t="s">
        <v>16071</v>
      </c>
      <c r="B5244" s="387" t="s">
        <v>5771</v>
      </c>
    </row>
    <row r="5245" spans="1:2">
      <c r="A5245" s="387" t="s">
        <v>16072</v>
      </c>
      <c r="B5245" s="387" t="s">
        <v>5875</v>
      </c>
    </row>
    <row r="5246" spans="1:2">
      <c r="A5246" s="387" t="s">
        <v>16073</v>
      </c>
      <c r="B5246" s="387" t="s">
        <v>5896</v>
      </c>
    </row>
    <row r="5247" spans="1:2">
      <c r="A5247" s="387" t="s">
        <v>16074</v>
      </c>
      <c r="B5247" s="387" t="s">
        <v>5957</v>
      </c>
    </row>
    <row r="5248" spans="1:2">
      <c r="A5248" s="387" t="s">
        <v>16075</v>
      </c>
      <c r="B5248" s="387" t="s">
        <v>6204</v>
      </c>
    </row>
    <row r="5249" spans="1:2">
      <c r="A5249" s="387" t="s">
        <v>16076</v>
      </c>
      <c r="B5249" s="387" t="s">
        <v>6612</v>
      </c>
    </row>
    <row r="5250" spans="1:2">
      <c r="A5250" s="387" t="s">
        <v>16077</v>
      </c>
      <c r="B5250" s="387" t="s">
        <v>16078</v>
      </c>
    </row>
    <row r="5251" spans="1:2">
      <c r="A5251" s="387" t="s">
        <v>16079</v>
      </c>
      <c r="B5251" s="387" t="s">
        <v>990</v>
      </c>
    </row>
    <row r="5252" spans="1:2">
      <c r="A5252" s="387" t="s">
        <v>473</v>
      </c>
      <c r="B5252" s="387" t="s">
        <v>1162</v>
      </c>
    </row>
    <row r="5253" spans="1:2">
      <c r="A5253" s="387" t="s">
        <v>465</v>
      </c>
      <c r="B5253" s="387" t="s">
        <v>1556</v>
      </c>
    </row>
    <row r="5254" spans="1:2">
      <c r="A5254" s="387" t="s">
        <v>468</v>
      </c>
      <c r="B5254" s="387" t="s">
        <v>2078</v>
      </c>
    </row>
    <row r="5255" spans="1:2">
      <c r="A5255" s="387" t="s">
        <v>16080</v>
      </c>
      <c r="B5255" s="387" t="s">
        <v>2138</v>
      </c>
    </row>
    <row r="5256" spans="1:2">
      <c r="A5256" s="387" t="s">
        <v>16081</v>
      </c>
      <c r="B5256" s="387" t="s">
        <v>2750</v>
      </c>
    </row>
    <row r="5257" spans="1:2">
      <c r="A5257" s="387" t="s">
        <v>464</v>
      </c>
      <c r="B5257" s="387" t="s">
        <v>3162</v>
      </c>
    </row>
    <row r="5258" spans="1:2">
      <c r="A5258" s="387" t="s">
        <v>463</v>
      </c>
      <c r="B5258" s="387" t="s">
        <v>3254</v>
      </c>
    </row>
    <row r="5259" spans="1:2">
      <c r="A5259" s="387" t="s">
        <v>472</v>
      </c>
      <c r="B5259" s="387" t="s">
        <v>2830</v>
      </c>
    </row>
    <row r="5260" spans="1:2">
      <c r="A5260" s="387" t="s">
        <v>16082</v>
      </c>
      <c r="B5260" s="387" t="s">
        <v>3968</v>
      </c>
    </row>
    <row r="5261" spans="1:2">
      <c r="A5261" s="387" t="s">
        <v>16083</v>
      </c>
      <c r="B5261" s="387" t="s">
        <v>2276</v>
      </c>
    </row>
    <row r="5262" spans="1:2">
      <c r="A5262" s="387" t="s">
        <v>16084</v>
      </c>
      <c r="B5262" s="387" t="s">
        <v>5786</v>
      </c>
    </row>
    <row r="5263" spans="1:2">
      <c r="A5263" s="387" t="s">
        <v>469</v>
      </c>
      <c r="B5263" s="387" t="s">
        <v>6138</v>
      </c>
    </row>
    <row r="5264" spans="1:2">
      <c r="A5264" s="387" t="s">
        <v>16079</v>
      </c>
      <c r="B5264" s="387" t="s">
        <v>990</v>
      </c>
    </row>
    <row r="5265" spans="1:2">
      <c r="A5265" s="387" t="s">
        <v>473</v>
      </c>
      <c r="B5265" s="387" t="s">
        <v>1162</v>
      </c>
    </row>
    <row r="5266" spans="1:2">
      <c r="A5266" s="387" t="s">
        <v>465</v>
      </c>
      <c r="B5266" s="387" t="s">
        <v>1556</v>
      </c>
    </row>
    <row r="5267" spans="1:2">
      <c r="A5267" s="387" t="s">
        <v>16085</v>
      </c>
      <c r="B5267" s="387" t="s">
        <v>1983</v>
      </c>
    </row>
    <row r="5268" spans="1:2">
      <c r="A5268" s="387" t="s">
        <v>16086</v>
      </c>
      <c r="B5268" s="387" t="s">
        <v>2813</v>
      </c>
    </row>
    <row r="5269" spans="1:2">
      <c r="A5269" s="387" t="s">
        <v>16087</v>
      </c>
      <c r="B5269" s="387" t="s">
        <v>3492</v>
      </c>
    </row>
    <row r="5270" spans="1:2">
      <c r="A5270" s="387" t="s">
        <v>16088</v>
      </c>
      <c r="B5270" s="387" t="s">
        <v>4393</v>
      </c>
    </row>
    <row r="5271" spans="1:2">
      <c r="A5271" s="387" t="s">
        <v>16089</v>
      </c>
      <c r="B5271" s="387" t="s">
        <v>4410</v>
      </c>
    </row>
    <row r="5272" spans="1:2">
      <c r="A5272" s="387" t="s">
        <v>16090</v>
      </c>
      <c r="B5272" s="387" t="s">
        <v>4510</v>
      </c>
    </row>
    <row r="5273" spans="1:2">
      <c r="A5273" s="387" t="s">
        <v>16091</v>
      </c>
      <c r="B5273" s="387" t="s">
        <v>4760</v>
      </c>
    </row>
    <row r="5274" spans="1:2">
      <c r="A5274" s="387" t="s">
        <v>16092</v>
      </c>
      <c r="B5274" s="387" t="s">
        <v>5767</v>
      </c>
    </row>
    <row r="5275" spans="1:2">
      <c r="A5275" s="387" t="s">
        <v>16093</v>
      </c>
      <c r="B5275" s="387" t="s">
        <v>6639</v>
      </c>
    </row>
    <row r="5276" spans="1:2">
      <c r="A5276" s="387" t="s">
        <v>16094</v>
      </c>
      <c r="B5276" s="387" t="s">
        <v>1175</v>
      </c>
    </row>
    <row r="5277" spans="1:2">
      <c r="A5277" s="387" t="s">
        <v>16095</v>
      </c>
      <c r="B5277" s="387" t="s">
        <v>981</v>
      </c>
    </row>
    <row r="5278" spans="1:2">
      <c r="A5278" s="387" t="s">
        <v>16096</v>
      </c>
      <c r="B5278" s="387" t="s">
        <v>1160</v>
      </c>
    </row>
    <row r="5279" spans="1:2">
      <c r="A5279" s="387" t="s">
        <v>473</v>
      </c>
      <c r="B5279" s="387" t="s">
        <v>1162</v>
      </c>
    </row>
    <row r="5280" spans="1:2">
      <c r="A5280" s="387" t="s">
        <v>16097</v>
      </c>
      <c r="B5280" s="387" t="s">
        <v>1229</v>
      </c>
    </row>
    <row r="5281" spans="1:2">
      <c r="A5281" s="387" t="s">
        <v>16098</v>
      </c>
      <c r="B5281" s="387" t="s">
        <v>1391</v>
      </c>
    </row>
    <row r="5282" spans="1:2">
      <c r="A5282" s="387" t="s">
        <v>16099</v>
      </c>
      <c r="B5282" s="387" t="s">
        <v>1490</v>
      </c>
    </row>
    <row r="5283" spans="1:2">
      <c r="A5283" s="387" t="s">
        <v>16100</v>
      </c>
      <c r="B5283" s="387" t="s">
        <v>1502</v>
      </c>
    </row>
    <row r="5284" spans="1:2">
      <c r="A5284" s="387" t="s">
        <v>465</v>
      </c>
      <c r="B5284" s="387" t="s">
        <v>1556</v>
      </c>
    </row>
    <row r="5285" spans="1:2">
      <c r="A5285" s="387" t="s">
        <v>16101</v>
      </c>
      <c r="B5285" s="387" t="s">
        <v>1643</v>
      </c>
    </row>
    <row r="5286" spans="1:2">
      <c r="A5286" s="387" t="s">
        <v>16102</v>
      </c>
      <c r="B5286" s="387" t="s">
        <v>1690</v>
      </c>
    </row>
    <row r="5287" spans="1:2">
      <c r="A5287" s="387" t="s">
        <v>16103</v>
      </c>
      <c r="B5287" s="387" t="s">
        <v>2206</v>
      </c>
    </row>
    <row r="5288" spans="1:2">
      <c r="A5288" s="387" t="s">
        <v>16104</v>
      </c>
      <c r="B5288" s="387" t="s">
        <v>1814</v>
      </c>
    </row>
    <row r="5289" spans="1:2">
      <c r="A5289" s="387" t="s">
        <v>16105</v>
      </c>
      <c r="B5289" s="387" t="s">
        <v>1502</v>
      </c>
    </row>
    <row r="5290" spans="1:2">
      <c r="A5290" s="387" t="s">
        <v>16106</v>
      </c>
      <c r="B5290" s="387" t="s">
        <v>2365</v>
      </c>
    </row>
    <row r="5291" spans="1:2">
      <c r="A5291" s="387" t="s">
        <v>16107</v>
      </c>
      <c r="B5291" s="387" t="s">
        <v>16108</v>
      </c>
    </row>
    <row r="5292" spans="1:2">
      <c r="A5292" s="387" t="s">
        <v>16109</v>
      </c>
      <c r="B5292" s="387" t="s">
        <v>2507</v>
      </c>
    </row>
    <row r="5293" spans="1:2">
      <c r="A5293" s="387" t="s">
        <v>16110</v>
      </c>
      <c r="B5293" s="387" t="s">
        <v>2659</v>
      </c>
    </row>
    <row r="5294" spans="1:2">
      <c r="A5294" s="387" t="s">
        <v>470</v>
      </c>
      <c r="B5294" s="387" t="s">
        <v>2881</v>
      </c>
    </row>
    <row r="5295" spans="1:2">
      <c r="A5295" s="387" t="s">
        <v>16111</v>
      </c>
      <c r="B5295" s="387" t="s">
        <v>2891</v>
      </c>
    </row>
    <row r="5296" spans="1:2">
      <c r="A5296" s="387" t="s">
        <v>16112</v>
      </c>
      <c r="B5296" s="387" t="s">
        <v>2893</v>
      </c>
    </row>
    <row r="5297" spans="1:2">
      <c r="A5297" s="387" t="s">
        <v>16113</v>
      </c>
      <c r="B5297" s="387" t="s">
        <v>2973</v>
      </c>
    </row>
    <row r="5298" spans="1:2">
      <c r="A5298" s="387" t="s">
        <v>16114</v>
      </c>
      <c r="B5298" s="387" t="s">
        <v>2975</v>
      </c>
    </row>
    <row r="5299" spans="1:2">
      <c r="A5299" s="387" t="s">
        <v>16115</v>
      </c>
      <c r="B5299" s="387" t="s">
        <v>2977</v>
      </c>
    </row>
    <row r="5300" spans="1:2">
      <c r="A5300" s="387" t="s">
        <v>16116</v>
      </c>
      <c r="B5300" s="387" t="s">
        <v>12082</v>
      </c>
    </row>
    <row r="5301" spans="1:2">
      <c r="A5301" s="387" t="s">
        <v>16117</v>
      </c>
      <c r="B5301" s="387" t="s">
        <v>2647</v>
      </c>
    </row>
    <row r="5302" spans="1:2">
      <c r="A5302" s="387" t="s">
        <v>16118</v>
      </c>
      <c r="B5302" s="387" t="s">
        <v>3016</v>
      </c>
    </row>
    <row r="5303" spans="1:2">
      <c r="A5303" s="387" t="s">
        <v>16119</v>
      </c>
      <c r="B5303" s="387" t="s">
        <v>3018</v>
      </c>
    </row>
    <row r="5304" spans="1:2">
      <c r="A5304" s="387" t="s">
        <v>16120</v>
      </c>
      <c r="B5304" s="387" t="s">
        <v>3020</v>
      </c>
    </row>
    <row r="5305" spans="1:2">
      <c r="A5305" s="387" t="s">
        <v>16121</v>
      </c>
      <c r="B5305" s="387" t="s">
        <v>3024</v>
      </c>
    </row>
    <row r="5306" spans="1:2">
      <c r="A5306" s="387" t="s">
        <v>16122</v>
      </c>
      <c r="B5306" s="387" t="s">
        <v>16123</v>
      </c>
    </row>
    <row r="5307" spans="1:2">
      <c r="A5307" s="387" t="s">
        <v>16124</v>
      </c>
      <c r="B5307" s="387" t="s">
        <v>3175</v>
      </c>
    </row>
    <row r="5308" spans="1:2">
      <c r="A5308" s="387" t="s">
        <v>16125</v>
      </c>
      <c r="B5308" s="387" t="s">
        <v>3201</v>
      </c>
    </row>
    <row r="5309" spans="1:2">
      <c r="A5309" s="387" t="s">
        <v>16126</v>
      </c>
      <c r="B5309" s="387" t="s">
        <v>3203</v>
      </c>
    </row>
    <row r="5310" spans="1:2">
      <c r="A5310" s="387" t="s">
        <v>16127</v>
      </c>
      <c r="B5310" s="387" t="s">
        <v>3205</v>
      </c>
    </row>
    <row r="5311" spans="1:2">
      <c r="A5311" s="387" t="s">
        <v>16128</v>
      </c>
      <c r="B5311" s="387" t="s">
        <v>3384</v>
      </c>
    </row>
    <row r="5312" spans="1:2">
      <c r="A5312" s="387" t="s">
        <v>16129</v>
      </c>
      <c r="B5312" s="387" t="s">
        <v>3672</v>
      </c>
    </row>
    <row r="5313" spans="1:2">
      <c r="A5313" s="387" t="s">
        <v>16130</v>
      </c>
      <c r="B5313" s="387" t="s">
        <v>3674</v>
      </c>
    </row>
    <row r="5314" spans="1:2">
      <c r="A5314" s="387" t="s">
        <v>16131</v>
      </c>
      <c r="B5314" s="387" t="s">
        <v>16132</v>
      </c>
    </row>
    <row r="5315" spans="1:2">
      <c r="A5315" s="387" t="s">
        <v>16133</v>
      </c>
      <c r="B5315" s="387" t="s">
        <v>3963</v>
      </c>
    </row>
    <row r="5316" spans="1:2">
      <c r="A5316" s="387" t="s">
        <v>16134</v>
      </c>
      <c r="B5316" s="387" t="s">
        <v>4131</v>
      </c>
    </row>
    <row r="5317" spans="1:2">
      <c r="A5317" s="387" t="s">
        <v>16135</v>
      </c>
      <c r="B5317" s="387" t="s">
        <v>4180</v>
      </c>
    </row>
    <row r="5318" spans="1:2">
      <c r="A5318" s="387" t="s">
        <v>16136</v>
      </c>
      <c r="B5318" s="387" t="s">
        <v>4198</v>
      </c>
    </row>
    <row r="5319" spans="1:2">
      <c r="A5319" s="387" t="s">
        <v>16137</v>
      </c>
      <c r="B5319" s="387" t="s">
        <v>4280</v>
      </c>
    </row>
    <row r="5320" spans="1:2">
      <c r="A5320" s="387" t="s">
        <v>16138</v>
      </c>
      <c r="B5320" s="387" t="s">
        <v>4370</v>
      </c>
    </row>
    <row r="5321" spans="1:2">
      <c r="A5321" s="387" t="s">
        <v>16139</v>
      </c>
      <c r="B5321" s="387" t="s">
        <v>4772</v>
      </c>
    </row>
    <row r="5322" spans="1:2">
      <c r="A5322" s="387" t="s">
        <v>16140</v>
      </c>
      <c r="B5322" s="387" t="s">
        <v>16141</v>
      </c>
    </row>
    <row r="5323" spans="1:2">
      <c r="A5323" s="387" t="s">
        <v>16142</v>
      </c>
      <c r="B5323" s="387" t="s">
        <v>2641</v>
      </c>
    </row>
    <row r="5324" spans="1:2">
      <c r="A5324" s="387" t="s">
        <v>16143</v>
      </c>
      <c r="B5324" s="387" t="s">
        <v>5415</v>
      </c>
    </row>
    <row r="5325" spans="1:2">
      <c r="A5325" s="387" t="s">
        <v>16144</v>
      </c>
      <c r="B5325" s="387" t="s">
        <v>5489</v>
      </c>
    </row>
    <row r="5326" spans="1:2">
      <c r="A5326" s="387" t="s">
        <v>16145</v>
      </c>
      <c r="B5326" s="387" t="s">
        <v>4280</v>
      </c>
    </row>
    <row r="5327" spans="1:2">
      <c r="A5327" s="387" t="s">
        <v>16146</v>
      </c>
      <c r="B5327" s="387" t="s">
        <v>1649</v>
      </c>
    </row>
    <row r="5328" spans="1:2">
      <c r="A5328" s="387" t="s">
        <v>16147</v>
      </c>
      <c r="B5328" s="387" t="s">
        <v>5625</v>
      </c>
    </row>
    <row r="5329" spans="1:2">
      <c r="A5329" s="387" t="s">
        <v>16148</v>
      </c>
      <c r="B5329" s="387" t="s">
        <v>5627</v>
      </c>
    </row>
    <row r="5330" spans="1:2">
      <c r="A5330" s="387" t="s">
        <v>16149</v>
      </c>
      <c r="B5330" s="387" t="s">
        <v>2647</v>
      </c>
    </row>
    <row r="5331" spans="1:2">
      <c r="A5331" s="387" t="s">
        <v>16150</v>
      </c>
      <c r="B5331" s="387" t="s">
        <v>5894</v>
      </c>
    </row>
    <row r="5332" spans="1:2">
      <c r="A5332" s="387" t="s">
        <v>16151</v>
      </c>
      <c r="B5332" s="387" t="s">
        <v>3516</v>
      </c>
    </row>
    <row r="5333" spans="1:2">
      <c r="A5333" s="387" t="s">
        <v>16152</v>
      </c>
      <c r="B5333" s="387" t="s">
        <v>5961</v>
      </c>
    </row>
    <row r="5334" spans="1:2">
      <c r="A5334" s="387" t="s">
        <v>16153</v>
      </c>
      <c r="B5334" s="387" t="s">
        <v>1961</v>
      </c>
    </row>
    <row r="5335" spans="1:2">
      <c r="A5335" s="387" t="s">
        <v>16154</v>
      </c>
      <c r="B5335" s="387" t="s">
        <v>6008</v>
      </c>
    </row>
    <row r="5336" spans="1:2">
      <c r="A5336" s="387" t="s">
        <v>16155</v>
      </c>
      <c r="B5336" s="387" t="s">
        <v>6286</v>
      </c>
    </row>
    <row r="5337" spans="1:2">
      <c r="A5337" s="387" t="s">
        <v>16156</v>
      </c>
      <c r="B5337" s="387" t="s">
        <v>16157</v>
      </c>
    </row>
    <row r="5338" spans="1:2">
      <c r="A5338" s="387" t="s">
        <v>16158</v>
      </c>
      <c r="B5338" s="387" t="s">
        <v>6522</v>
      </c>
    </row>
    <row r="5339" spans="1:2">
      <c r="A5339" s="387" t="s">
        <v>16159</v>
      </c>
      <c r="B5339" s="387" t="s">
        <v>6542</v>
      </c>
    </row>
    <row r="5340" spans="1:2">
      <c r="A5340" s="387" t="s">
        <v>16160</v>
      </c>
      <c r="B5340" s="387" t="s">
        <v>4020</v>
      </c>
    </row>
    <row r="5341" spans="1:2">
      <c r="A5341" s="387" t="s">
        <v>16161</v>
      </c>
      <c r="B5341" s="387" t="s">
        <v>6595</v>
      </c>
    </row>
    <row r="5342" spans="1:2">
      <c r="A5342" s="387" t="s">
        <v>16162</v>
      </c>
      <c r="B5342" s="387" t="s">
        <v>6614</v>
      </c>
    </row>
    <row r="5343" spans="1:2">
      <c r="A5343" s="387" t="s">
        <v>16163</v>
      </c>
      <c r="B5343" s="387" t="s">
        <v>1070</v>
      </c>
    </row>
    <row r="5344" spans="1:2">
      <c r="A5344" s="387" t="s">
        <v>16164</v>
      </c>
      <c r="B5344" s="387" t="s">
        <v>6641</v>
      </c>
    </row>
    <row r="5345" spans="1:2">
      <c r="A5345" s="387" t="s">
        <v>16165</v>
      </c>
      <c r="B5345" s="387" t="s">
        <v>6871</v>
      </c>
    </row>
    <row r="5346" spans="1:2">
      <c r="A5346" s="387" t="s">
        <v>16166</v>
      </c>
      <c r="B5346" s="387" t="s">
        <v>6873</v>
      </c>
    </row>
    <row r="5347" spans="1:2">
      <c r="A5347" s="387" t="s">
        <v>8661</v>
      </c>
      <c r="B5347" s="387" t="s">
        <v>7579</v>
      </c>
    </row>
    <row r="5348" spans="1:2">
      <c r="A5348" s="387" t="s">
        <v>16167</v>
      </c>
      <c r="B5348" s="387" t="s">
        <v>16168</v>
      </c>
    </row>
    <row r="5349" spans="1:2">
      <c r="A5349" s="387" t="s">
        <v>473</v>
      </c>
      <c r="B5349" s="387" t="s">
        <v>1162</v>
      </c>
    </row>
    <row r="5350" spans="1:2">
      <c r="A5350" s="387" t="s">
        <v>456</v>
      </c>
      <c r="B5350" s="387" t="s">
        <v>1393</v>
      </c>
    </row>
    <row r="5351" spans="1:2">
      <c r="A5351" s="387" t="s">
        <v>16169</v>
      </c>
      <c r="B5351" s="387" t="s">
        <v>1757</v>
      </c>
    </row>
    <row r="5352" spans="1:2">
      <c r="A5352" s="387" t="s">
        <v>16170</v>
      </c>
      <c r="B5352" s="387" t="s">
        <v>1759</v>
      </c>
    </row>
    <row r="5353" spans="1:2">
      <c r="A5353" s="387" t="s">
        <v>16171</v>
      </c>
      <c r="B5353" s="387" t="s">
        <v>14728</v>
      </c>
    </row>
    <row r="5354" spans="1:2">
      <c r="A5354" s="387" t="s">
        <v>16172</v>
      </c>
      <c r="B5354" s="387" t="s">
        <v>2505</v>
      </c>
    </row>
    <row r="5355" spans="1:2">
      <c r="A5355" s="387" t="s">
        <v>16173</v>
      </c>
      <c r="B5355" s="387" t="s">
        <v>3363</v>
      </c>
    </row>
    <row r="5356" spans="1:2">
      <c r="A5356" s="387" t="s">
        <v>16174</v>
      </c>
      <c r="B5356" s="387" t="s">
        <v>3670</v>
      </c>
    </row>
    <row r="5357" spans="1:2">
      <c r="A5357" s="387" t="s">
        <v>16175</v>
      </c>
      <c r="B5357" s="387" t="s">
        <v>3966</v>
      </c>
    </row>
    <row r="5358" spans="1:2">
      <c r="A5358" s="387" t="s">
        <v>16176</v>
      </c>
      <c r="B5358" s="387" t="s">
        <v>4133</v>
      </c>
    </row>
    <row r="5359" spans="1:2">
      <c r="A5359" s="387" t="s">
        <v>16177</v>
      </c>
      <c r="B5359" s="387" t="s">
        <v>4196</v>
      </c>
    </row>
    <row r="5360" spans="1:2">
      <c r="A5360" s="387" t="s">
        <v>16178</v>
      </c>
      <c r="B5360" s="387" t="s">
        <v>4202</v>
      </c>
    </row>
    <row r="5361" spans="1:2">
      <c r="A5361" s="387" t="s">
        <v>16179</v>
      </c>
      <c r="B5361" s="387" t="s">
        <v>4406</v>
      </c>
    </row>
    <row r="5362" spans="1:2">
      <c r="A5362" s="387" t="s">
        <v>16180</v>
      </c>
      <c r="B5362" s="387" t="s">
        <v>16181</v>
      </c>
    </row>
    <row r="5363" spans="1:2">
      <c r="A5363" s="387" t="s">
        <v>16182</v>
      </c>
      <c r="B5363" s="387" t="s">
        <v>5014</v>
      </c>
    </row>
    <row r="5364" spans="1:2">
      <c r="A5364" s="387" t="s">
        <v>467</v>
      </c>
      <c r="B5364" s="387" t="s">
        <v>5471</v>
      </c>
    </row>
    <row r="5365" spans="1:2">
      <c r="A5365" s="387" t="s">
        <v>16183</v>
      </c>
      <c r="B5365" s="387" t="s">
        <v>3484</v>
      </c>
    </row>
    <row r="5366" spans="1:2">
      <c r="A5366" s="387" t="s">
        <v>16184</v>
      </c>
      <c r="B5366" s="387" t="s">
        <v>1704</v>
      </c>
    </row>
    <row r="5367" spans="1:2">
      <c r="A5367" s="387" t="s">
        <v>16185</v>
      </c>
      <c r="B5367" s="387" t="s">
        <v>16186</v>
      </c>
    </row>
    <row r="5368" spans="1:2">
      <c r="A5368" s="387" t="s">
        <v>749</v>
      </c>
      <c r="B5368" s="387" t="s">
        <v>750</v>
      </c>
    </row>
    <row r="5369" spans="1:2">
      <c r="A5369" s="387" t="s">
        <v>803</v>
      </c>
      <c r="B5369" s="387" t="s">
        <v>804</v>
      </c>
    </row>
    <row r="5370" spans="1:2">
      <c r="A5370" s="387" t="s">
        <v>767</v>
      </c>
      <c r="B5370" s="387" t="s">
        <v>768</v>
      </c>
    </row>
    <row r="5371" spans="1:2">
      <c r="A5371" s="387" t="s">
        <v>213</v>
      </c>
      <c r="B5371" s="387" t="s">
        <v>1253</v>
      </c>
    </row>
    <row r="5372" spans="1:2">
      <c r="A5372" s="387" t="s">
        <v>214</v>
      </c>
      <c r="B5372" s="387" t="s">
        <v>1370</v>
      </c>
    </row>
    <row r="5373" spans="1:2">
      <c r="A5373" s="387" t="s">
        <v>215</v>
      </c>
      <c r="B5373" s="387" t="s">
        <v>3146</v>
      </c>
    </row>
    <row r="5374" spans="1:2">
      <c r="A5374" s="387" t="s">
        <v>251</v>
      </c>
      <c r="B5374" s="387" t="s">
        <v>3445</v>
      </c>
    </row>
    <row r="5375" spans="1:2">
      <c r="A5375" s="387" t="s">
        <v>212</v>
      </c>
      <c r="B5375" s="387" t="s">
        <v>3688</v>
      </c>
    </row>
    <row r="5376" spans="1:2">
      <c r="A5376" s="387" t="s">
        <v>233</v>
      </c>
      <c r="B5376" s="387" t="s">
        <v>2260</v>
      </c>
    </row>
    <row r="5377" spans="1:2">
      <c r="A5377" s="387" t="s">
        <v>221</v>
      </c>
      <c r="B5377" s="387" t="s">
        <v>2590</v>
      </c>
    </row>
    <row r="5378" spans="1:2">
      <c r="A5378" s="387" t="s">
        <v>227</v>
      </c>
      <c r="B5378" s="387" t="s">
        <v>3646</v>
      </c>
    </row>
    <row r="5379" spans="1:2">
      <c r="A5379" s="387" t="s">
        <v>232</v>
      </c>
      <c r="B5379" s="387" t="s">
        <v>4160</v>
      </c>
    </row>
    <row r="5380" spans="1:2">
      <c r="A5380" s="387" t="s">
        <v>222</v>
      </c>
      <c r="B5380" s="387" t="s">
        <v>4400</v>
      </c>
    </row>
    <row r="5381" spans="1:2">
      <c r="A5381" s="387" t="s">
        <v>226</v>
      </c>
      <c r="B5381" s="387" t="s">
        <v>4479</v>
      </c>
    </row>
    <row r="5382" spans="1:2">
      <c r="A5382" s="387" t="s">
        <v>16187</v>
      </c>
      <c r="B5382" s="387" t="s">
        <v>16188</v>
      </c>
    </row>
    <row r="5383" spans="1:2">
      <c r="A5383" s="387" t="s">
        <v>223</v>
      </c>
      <c r="B5383" s="387" t="s">
        <v>5083</v>
      </c>
    </row>
    <row r="5384" spans="1:2">
      <c r="A5384" s="387" t="s">
        <v>219</v>
      </c>
      <c r="B5384" s="387" t="s">
        <v>5085</v>
      </c>
    </row>
    <row r="5385" spans="1:2">
      <c r="A5385" s="387" t="s">
        <v>220</v>
      </c>
      <c r="B5385" s="387" t="s">
        <v>5544</v>
      </c>
    </row>
    <row r="5386" spans="1:2">
      <c r="A5386" s="387" t="s">
        <v>8014</v>
      </c>
      <c r="B5386" s="387" t="s">
        <v>8015</v>
      </c>
    </row>
    <row r="5387" spans="1:2">
      <c r="A5387" s="387" t="s">
        <v>248</v>
      </c>
      <c r="B5387" s="387" t="s">
        <v>1449</v>
      </c>
    </row>
    <row r="5388" spans="1:2">
      <c r="A5388" s="387" t="s">
        <v>240</v>
      </c>
      <c r="B5388" s="387" t="s">
        <v>4233</v>
      </c>
    </row>
    <row r="5389" spans="1:2">
      <c r="A5389" s="387" t="s">
        <v>241</v>
      </c>
      <c r="B5389" s="387" t="s">
        <v>4154</v>
      </c>
    </row>
    <row r="5390" spans="1:2">
      <c r="A5390" s="387" t="s">
        <v>228</v>
      </c>
      <c r="B5390" s="387" t="s">
        <v>5031</v>
      </c>
    </row>
    <row r="5391" spans="1:2">
      <c r="A5391" s="387" t="s">
        <v>256</v>
      </c>
      <c r="B5391" s="387" t="s">
        <v>6356</v>
      </c>
    </row>
    <row r="5392" spans="1:2">
      <c r="A5392" s="387" t="s">
        <v>248</v>
      </c>
      <c r="B5392" s="387" t="s">
        <v>1449</v>
      </c>
    </row>
    <row r="5393" spans="1:2">
      <c r="A5393" s="387" t="s">
        <v>218</v>
      </c>
      <c r="B5393" s="387" t="s">
        <v>4402</v>
      </c>
    </row>
    <row r="5394" spans="1:2">
      <c r="A5394" s="387" t="s">
        <v>258</v>
      </c>
      <c r="B5394" s="387" t="s">
        <v>6028</v>
      </c>
    </row>
    <row r="5395" spans="1:2">
      <c r="A5395" s="387" t="s">
        <v>217</v>
      </c>
      <c r="B5395" s="387" t="s">
        <v>7775</v>
      </c>
    </row>
    <row r="5396" spans="1:2">
      <c r="A5396" s="387" t="s">
        <v>238</v>
      </c>
      <c r="B5396" s="387" t="s">
        <v>2214</v>
      </c>
    </row>
    <row r="5397" spans="1:2">
      <c r="A5397" s="387" t="s">
        <v>243</v>
      </c>
      <c r="B5397" s="387" t="s">
        <v>3818</v>
      </c>
    </row>
    <row r="5398" spans="1:2">
      <c r="A5398" s="387" t="s">
        <v>242</v>
      </c>
      <c r="B5398" s="387" t="s">
        <v>4285</v>
      </c>
    </row>
    <row r="5399" spans="1:2">
      <c r="A5399" s="387" t="s">
        <v>252</v>
      </c>
      <c r="B5399" s="387" t="s">
        <v>9217</v>
      </c>
    </row>
    <row r="5400" spans="1:2">
      <c r="A5400" s="387" t="s">
        <v>257</v>
      </c>
      <c r="B5400" s="387" t="s">
        <v>16189</v>
      </c>
    </row>
    <row r="5401" spans="1:2">
      <c r="A5401" s="387" t="s">
        <v>231</v>
      </c>
      <c r="B5401" s="387" t="s">
        <v>7053</v>
      </c>
    </row>
    <row r="5402" spans="1:2">
      <c r="A5402" s="387" t="s">
        <v>16190</v>
      </c>
      <c r="B5402" s="387" t="s">
        <v>9209</v>
      </c>
    </row>
    <row r="5403" spans="1:2">
      <c r="A5403" s="387" t="s">
        <v>237</v>
      </c>
      <c r="B5403" s="387" t="s">
        <v>7400</v>
      </c>
    </row>
    <row r="5404" spans="1:2">
      <c r="A5404" s="387" t="s">
        <v>229</v>
      </c>
      <c r="B5404" s="387" t="s">
        <v>9205</v>
      </c>
    </row>
    <row r="5405" spans="1:2">
      <c r="A5405" s="387" t="s">
        <v>809</v>
      </c>
      <c r="B5405" s="387" t="s">
        <v>7521</v>
      </c>
    </row>
    <row r="5406" spans="1:2">
      <c r="A5406" s="387" t="s">
        <v>254</v>
      </c>
      <c r="B5406" s="387" t="s">
        <v>7527</v>
      </c>
    </row>
    <row r="5407" spans="1:2">
      <c r="A5407" s="387" t="s">
        <v>234</v>
      </c>
      <c r="B5407" s="387" t="s">
        <v>7660</v>
      </c>
    </row>
    <row r="5408" spans="1:2">
      <c r="A5408" s="387" t="s">
        <v>767</v>
      </c>
      <c r="B5408" s="387" t="s">
        <v>768</v>
      </c>
    </row>
    <row r="5409" spans="1:2">
      <c r="A5409" s="387" t="s">
        <v>247</v>
      </c>
      <c r="B5409" s="387" t="s">
        <v>1673</v>
      </c>
    </row>
    <row r="5410" spans="1:2">
      <c r="A5410" s="387" t="s">
        <v>16191</v>
      </c>
      <c r="B5410" s="387" t="s">
        <v>16192</v>
      </c>
    </row>
    <row r="5411" spans="1:2">
      <c r="A5411" s="387" t="s">
        <v>236</v>
      </c>
      <c r="B5411" s="387" t="s">
        <v>4536</v>
      </c>
    </row>
    <row r="5412" spans="1:2">
      <c r="A5412" s="387" t="s">
        <v>253</v>
      </c>
      <c r="B5412" s="387" t="s">
        <v>5503</v>
      </c>
    </row>
    <row r="5413" spans="1:2">
      <c r="A5413" s="387" t="s">
        <v>255</v>
      </c>
      <c r="B5413" s="387" t="s">
        <v>7535</v>
      </c>
    </row>
    <row r="5414" spans="1:2">
      <c r="A5414" s="387" t="s">
        <v>224</v>
      </c>
      <c r="B5414" s="387" t="s">
        <v>7577</v>
      </c>
    </row>
    <row r="5415" spans="1:2">
      <c r="A5415" s="387" t="s">
        <v>250</v>
      </c>
      <c r="B5415" s="387" t="s">
        <v>2945</v>
      </c>
    </row>
    <row r="5416" spans="1:2">
      <c r="A5416" s="387" t="s">
        <v>246</v>
      </c>
      <c r="B5416" s="387" t="s">
        <v>4456</v>
      </c>
    </row>
    <row r="5417" spans="1:2">
      <c r="A5417" s="387" t="s">
        <v>244</v>
      </c>
      <c r="B5417" s="387" t="s">
        <v>4970</v>
      </c>
    </row>
    <row r="5418" spans="1:2">
      <c r="A5418" s="387" t="s">
        <v>249</v>
      </c>
      <c r="B5418" s="387" t="s">
        <v>5061</v>
      </c>
    </row>
    <row r="5419" spans="1:2">
      <c r="A5419" s="387" t="s">
        <v>230</v>
      </c>
      <c r="B5419" s="387" t="s">
        <v>5002</v>
      </c>
    </row>
    <row r="5420" spans="1:2">
      <c r="A5420" s="387" t="s">
        <v>245</v>
      </c>
      <c r="B5420" s="387" t="s">
        <v>4483</v>
      </c>
    </row>
    <row r="5421" spans="1:2">
      <c r="A5421" s="387" t="s">
        <v>225</v>
      </c>
      <c r="B5421" s="387" t="s">
        <v>5059</v>
      </c>
    </row>
    <row r="5422" spans="1:2">
      <c r="A5422" s="387" t="s">
        <v>235</v>
      </c>
      <c r="B5422" s="387" t="s">
        <v>16193</v>
      </c>
    </row>
    <row r="5423" spans="1:2">
      <c r="A5423" s="387" t="s">
        <v>16194</v>
      </c>
      <c r="B5423" s="387" t="s">
        <v>9229</v>
      </c>
    </row>
    <row r="5424" spans="1:2">
      <c r="A5424" s="387" t="s">
        <v>8665</v>
      </c>
      <c r="B5424" s="387" t="s">
        <v>8622</v>
      </c>
    </row>
    <row r="5425" spans="1:2">
      <c r="A5425" s="387" t="s">
        <v>10073</v>
      </c>
      <c r="B5425" s="387" t="s">
        <v>10917</v>
      </c>
    </row>
    <row r="5426" spans="1:2">
      <c r="A5426" s="387" t="s">
        <v>770</v>
      </c>
      <c r="B5426" s="387" t="s">
        <v>771</v>
      </c>
    </row>
    <row r="5427" spans="1:2">
      <c r="A5427" s="387" t="s">
        <v>777</v>
      </c>
      <c r="B5427" s="387" t="s">
        <v>778</v>
      </c>
    </row>
    <row r="5428" spans="1:2">
      <c r="A5428" s="387" t="s">
        <v>718</v>
      </c>
      <c r="B5428" s="387" t="s">
        <v>719</v>
      </c>
    </row>
    <row r="5429" spans="1:2">
      <c r="A5429" s="387" t="s">
        <v>555</v>
      </c>
      <c r="B5429" s="387" t="s">
        <v>976</v>
      </c>
    </row>
    <row r="5430" spans="1:2">
      <c r="A5430" s="387" t="s">
        <v>548</v>
      </c>
      <c r="B5430" s="387" t="s">
        <v>1717</v>
      </c>
    </row>
    <row r="5431" spans="1:2">
      <c r="A5431" s="387" t="s">
        <v>555</v>
      </c>
      <c r="B5431" s="387" t="s">
        <v>976</v>
      </c>
    </row>
    <row r="5432" spans="1:2">
      <c r="A5432" s="387" t="s">
        <v>535</v>
      </c>
      <c r="B5432" s="387" t="s">
        <v>1260</v>
      </c>
    </row>
    <row r="5433" spans="1:2">
      <c r="A5433" s="387" t="s">
        <v>538</v>
      </c>
      <c r="B5433" s="387" t="s">
        <v>1319</v>
      </c>
    </row>
    <row r="5434" spans="1:2">
      <c r="A5434" s="387" t="s">
        <v>534</v>
      </c>
      <c r="B5434" s="387" t="s">
        <v>1542</v>
      </c>
    </row>
    <row r="5435" spans="1:2">
      <c r="A5435" s="387" t="s">
        <v>16195</v>
      </c>
      <c r="B5435" s="387" t="s">
        <v>1746</v>
      </c>
    </row>
    <row r="5436" spans="1:2">
      <c r="A5436" s="387" t="s">
        <v>539</v>
      </c>
      <c r="B5436" s="387" t="s">
        <v>1447</v>
      </c>
    </row>
    <row r="5437" spans="1:2">
      <c r="A5437" s="387" t="s">
        <v>537</v>
      </c>
      <c r="B5437" s="387" t="s">
        <v>1524</v>
      </c>
    </row>
    <row r="5438" spans="1:2">
      <c r="A5438" s="387" t="s">
        <v>16196</v>
      </c>
      <c r="B5438" s="387" t="s">
        <v>1611</v>
      </c>
    </row>
    <row r="5439" spans="1:2">
      <c r="A5439" s="387" t="s">
        <v>7792</v>
      </c>
      <c r="B5439" s="387" t="s">
        <v>2708</v>
      </c>
    </row>
    <row r="5440" spans="1:2">
      <c r="A5440" s="387" t="s">
        <v>542</v>
      </c>
      <c r="B5440" s="387" t="s">
        <v>3756</v>
      </c>
    </row>
    <row r="5441" spans="1:2">
      <c r="A5441" s="387" t="s">
        <v>540</v>
      </c>
      <c r="B5441" s="387" t="s">
        <v>5585</v>
      </c>
    </row>
    <row r="5442" spans="1:2">
      <c r="A5442" s="387" t="s">
        <v>543</v>
      </c>
      <c r="B5442" s="387" t="s">
        <v>6165</v>
      </c>
    </row>
    <row r="5443" spans="1:2">
      <c r="A5443" s="387" t="s">
        <v>545</v>
      </c>
      <c r="B5443" s="387" t="s">
        <v>16197</v>
      </c>
    </row>
    <row r="5444" spans="1:2">
      <c r="A5444" s="387" t="s">
        <v>564</v>
      </c>
      <c r="B5444" s="387" t="s">
        <v>1330</v>
      </c>
    </row>
    <row r="5445" spans="1:2">
      <c r="A5445" s="387" t="s">
        <v>16198</v>
      </c>
      <c r="B5445" s="387" t="s">
        <v>1615</v>
      </c>
    </row>
    <row r="5446" spans="1:2">
      <c r="A5446" s="387" t="s">
        <v>16199</v>
      </c>
      <c r="B5446" s="387" t="s">
        <v>1704</v>
      </c>
    </row>
    <row r="5447" spans="1:2">
      <c r="A5447" s="387" t="s">
        <v>16200</v>
      </c>
      <c r="B5447" s="387" t="s">
        <v>1890</v>
      </c>
    </row>
    <row r="5448" spans="1:2">
      <c r="A5448" s="387" t="s">
        <v>16201</v>
      </c>
      <c r="B5448" s="387" t="s">
        <v>1929</v>
      </c>
    </row>
    <row r="5449" spans="1:2">
      <c r="A5449" s="387" t="s">
        <v>16202</v>
      </c>
      <c r="B5449" s="387" t="s">
        <v>16141</v>
      </c>
    </row>
    <row r="5450" spans="1:2">
      <c r="A5450" s="387" t="s">
        <v>16203</v>
      </c>
      <c r="B5450" s="387" t="s">
        <v>7208</v>
      </c>
    </row>
    <row r="5451" spans="1:2">
      <c r="A5451" s="387" t="s">
        <v>16204</v>
      </c>
      <c r="B5451" s="387" t="s">
        <v>2739</v>
      </c>
    </row>
    <row r="5452" spans="1:2">
      <c r="A5452" s="387" t="s">
        <v>16205</v>
      </c>
      <c r="B5452" s="387" t="s">
        <v>6661</v>
      </c>
    </row>
    <row r="5453" spans="1:2">
      <c r="A5453" s="387" t="s">
        <v>8646</v>
      </c>
      <c r="B5453" s="387" t="s">
        <v>6286</v>
      </c>
    </row>
    <row r="5454" spans="1:2">
      <c r="A5454" s="387" t="s">
        <v>8648</v>
      </c>
      <c r="B5454" s="387" t="s">
        <v>8517</v>
      </c>
    </row>
    <row r="5455" spans="1:2">
      <c r="A5455" s="387" t="s">
        <v>16206</v>
      </c>
      <c r="B5455" s="387" t="s">
        <v>8521</v>
      </c>
    </row>
    <row r="5456" spans="1:2">
      <c r="A5456" s="387" t="s">
        <v>8645</v>
      </c>
      <c r="B5456" s="387" t="s">
        <v>8582</v>
      </c>
    </row>
    <row r="5457" spans="1:2">
      <c r="A5457" s="387" t="s">
        <v>16207</v>
      </c>
      <c r="B5457" s="387" t="s">
        <v>8597</v>
      </c>
    </row>
    <row r="5458" spans="1:2">
      <c r="A5458" s="387" t="s">
        <v>8810</v>
      </c>
      <c r="B5458" s="387" t="s">
        <v>8628</v>
      </c>
    </row>
    <row r="5459" spans="1:2">
      <c r="A5459" s="387" t="s">
        <v>16208</v>
      </c>
      <c r="B5459" s="387" t="s">
        <v>7398</v>
      </c>
    </row>
    <row r="5460" spans="1:2">
      <c r="A5460" s="387" t="s">
        <v>8812</v>
      </c>
      <c r="B5460" s="387" t="s">
        <v>8695</v>
      </c>
    </row>
    <row r="5461" spans="1:2">
      <c r="A5461" s="387" t="s">
        <v>8642</v>
      </c>
      <c r="B5461" s="387" t="s">
        <v>8640</v>
      </c>
    </row>
    <row r="5462" spans="1:2">
      <c r="A5462" s="387" t="s">
        <v>8811</v>
      </c>
      <c r="B5462" s="387" t="s">
        <v>8704</v>
      </c>
    </row>
    <row r="5463" spans="1:2">
      <c r="A5463" s="387" t="s">
        <v>16209</v>
      </c>
      <c r="B5463" s="387" t="s">
        <v>1111</v>
      </c>
    </row>
    <row r="5464" spans="1:2">
      <c r="A5464" s="387" t="s">
        <v>16210</v>
      </c>
      <c r="B5464" s="387" t="s">
        <v>1342</v>
      </c>
    </row>
    <row r="5465" spans="1:2">
      <c r="A5465" s="387" t="s">
        <v>16211</v>
      </c>
      <c r="B5465" s="387" t="s">
        <v>1665</v>
      </c>
    </row>
    <row r="5466" spans="1:2">
      <c r="A5466" s="387" t="s">
        <v>536</v>
      </c>
      <c r="B5466" s="387" t="s">
        <v>1923</v>
      </c>
    </row>
    <row r="5467" spans="1:2">
      <c r="A5467" s="387" t="s">
        <v>16212</v>
      </c>
      <c r="B5467" s="387" t="s">
        <v>2260</v>
      </c>
    </row>
    <row r="5468" spans="1:2">
      <c r="A5468" s="387" t="s">
        <v>16213</v>
      </c>
      <c r="B5468" s="387" t="s">
        <v>2557</v>
      </c>
    </row>
    <row r="5469" spans="1:2">
      <c r="A5469" s="387" t="s">
        <v>16214</v>
      </c>
      <c r="B5469" s="387" t="s">
        <v>3553</v>
      </c>
    </row>
    <row r="5470" spans="1:2">
      <c r="A5470" s="387" t="s">
        <v>16215</v>
      </c>
      <c r="B5470" s="387" t="s">
        <v>3913</v>
      </c>
    </row>
    <row r="5471" spans="1:2">
      <c r="A5471" s="387" t="s">
        <v>16216</v>
      </c>
      <c r="B5471" s="387" t="s">
        <v>3977</v>
      </c>
    </row>
    <row r="5472" spans="1:2">
      <c r="A5472" s="387" t="s">
        <v>16217</v>
      </c>
      <c r="B5472" s="387" t="s">
        <v>4552</v>
      </c>
    </row>
    <row r="5473" spans="1:2">
      <c r="A5473" s="387" t="s">
        <v>16218</v>
      </c>
      <c r="B5473" s="387" t="s">
        <v>1898</v>
      </c>
    </row>
    <row r="5474" spans="1:2">
      <c r="A5474" s="387" t="s">
        <v>16219</v>
      </c>
      <c r="B5474" s="387" t="s">
        <v>2258</v>
      </c>
    </row>
    <row r="5475" spans="1:2">
      <c r="A5475" s="387" t="s">
        <v>16220</v>
      </c>
      <c r="B5475" s="387" t="s">
        <v>3848</v>
      </c>
    </row>
    <row r="5476" spans="1:2">
      <c r="A5476" s="387" t="s">
        <v>16221</v>
      </c>
      <c r="B5476" s="387" t="s">
        <v>1348</v>
      </c>
    </row>
    <row r="5477" spans="1:2">
      <c r="A5477" s="387" t="s">
        <v>16222</v>
      </c>
      <c r="B5477" s="387" t="s">
        <v>1854</v>
      </c>
    </row>
    <row r="5478" spans="1:2">
      <c r="A5478" s="387" t="s">
        <v>16223</v>
      </c>
      <c r="B5478" s="387" t="s">
        <v>1989</v>
      </c>
    </row>
    <row r="5479" spans="1:2">
      <c r="A5479" s="387" t="s">
        <v>16224</v>
      </c>
      <c r="B5479" s="387" t="s">
        <v>4171</v>
      </c>
    </row>
    <row r="5480" spans="1:2">
      <c r="A5480" s="387" t="s">
        <v>16225</v>
      </c>
      <c r="B5480" s="387" t="s">
        <v>5514</v>
      </c>
    </row>
    <row r="5481" spans="1:2">
      <c r="A5481" s="387" t="s">
        <v>16226</v>
      </c>
      <c r="B5481" s="387" t="s">
        <v>1473</v>
      </c>
    </row>
    <row r="5482" spans="1:2">
      <c r="A5482" s="387" t="s">
        <v>16227</v>
      </c>
      <c r="B5482" s="387" t="s">
        <v>1544</v>
      </c>
    </row>
    <row r="5483" spans="1:2">
      <c r="A5483" s="387" t="s">
        <v>16228</v>
      </c>
      <c r="B5483" s="387" t="s">
        <v>1810</v>
      </c>
    </row>
    <row r="5484" spans="1:2">
      <c r="A5484" s="387" t="s">
        <v>16229</v>
      </c>
      <c r="B5484" s="387" t="s">
        <v>2643</v>
      </c>
    </row>
    <row r="5485" spans="1:2">
      <c r="A5485" s="387" t="s">
        <v>16230</v>
      </c>
      <c r="B5485" s="387" t="s">
        <v>2369</v>
      </c>
    </row>
    <row r="5486" spans="1:2">
      <c r="A5486" s="387" t="s">
        <v>16231</v>
      </c>
      <c r="B5486" s="387" t="s">
        <v>2680</v>
      </c>
    </row>
    <row r="5487" spans="1:2">
      <c r="A5487" s="387" t="s">
        <v>16232</v>
      </c>
      <c r="B5487" s="387" t="s">
        <v>3849</v>
      </c>
    </row>
    <row r="5488" spans="1:2">
      <c r="A5488" s="387" t="s">
        <v>16233</v>
      </c>
      <c r="B5488" s="387" t="s">
        <v>2511</v>
      </c>
    </row>
    <row r="5489" spans="1:2">
      <c r="A5489" s="387" t="s">
        <v>16234</v>
      </c>
      <c r="B5489" s="387" t="s">
        <v>16235</v>
      </c>
    </row>
    <row r="5490" spans="1:2">
      <c r="A5490" s="387" t="s">
        <v>16236</v>
      </c>
      <c r="B5490" s="387" t="s">
        <v>6186</v>
      </c>
    </row>
    <row r="5491" spans="1:2">
      <c r="A5491" s="387" t="s">
        <v>16237</v>
      </c>
      <c r="B5491" s="387" t="s">
        <v>6591</v>
      </c>
    </row>
    <row r="5492" spans="1:2">
      <c r="A5492" s="387" t="s">
        <v>16238</v>
      </c>
      <c r="B5492" s="387" t="s">
        <v>16239</v>
      </c>
    </row>
    <row r="5493" spans="1:2">
      <c r="A5493" s="387" t="s">
        <v>16240</v>
      </c>
      <c r="B5493" s="387" t="s">
        <v>16241</v>
      </c>
    </row>
    <row r="5494" spans="1:2">
      <c r="A5494" s="387" t="s">
        <v>16242</v>
      </c>
      <c r="B5494" s="387" t="s">
        <v>16243</v>
      </c>
    </row>
    <row r="5495" spans="1:2">
      <c r="A5495" s="387" t="s">
        <v>16244</v>
      </c>
      <c r="B5495" s="387" t="s">
        <v>990</v>
      </c>
    </row>
    <row r="5496" spans="1:2">
      <c r="A5496" s="387" t="s">
        <v>16245</v>
      </c>
      <c r="B5496" s="387" t="s">
        <v>7426</v>
      </c>
    </row>
    <row r="5497" spans="1:2">
      <c r="A5497" s="387" t="s">
        <v>16246</v>
      </c>
      <c r="B5497" s="387" t="s">
        <v>7449</v>
      </c>
    </row>
    <row r="5498" spans="1:2">
      <c r="A5498" s="387" t="s">
        <v>16247</v>
      </c>
      <c r="B5498" s="387" t="s">
        <v>15168</v>
      </c>
    </row>
    <row r="5499" spans="1:2">
      <c r="A5499" s="387" t="s">
        <v>16248</v>
      </c>
      <c r="B5499" s="387" t="s">
        <v>5081</v>
      </c>
    </row>
    <row r="5500" spans="1:2">
      <c r="A5500" s="387" t="s">
        <v>16249</v>
      </c>
      <c r="B5500" s="387" t="s">
        <v>12375</v>
      </c>
    </row>
    <row r="5501" spans="1:2">
      <c r="A5501" s="387" t="s">
        <v>16250</v>
      </c>
      <c r="B5501" s="387" t="s">
        <v>14963</v>
      </c>
    </row>
    <row r="5502" spans="1:2">
      <c r="A5502" s="387" t="s">
        <v>16251</v>
      </c>
      <c r="B5502" s="387" t="s">
        <v>16252</v>
      </c>
    </row>
    <row r="5503" spans="1:2">
      <c r="A5503" s="387" t="s">
        <v>16253</v>
      </c>
      <c r="B5503" s="387" t="s">
        <v>7436</v>
      </c>
    </row>
    <row r="5504" spans="1:2">
      <c r="A5504" s="387" t="s">
        <v>16254</v>
      </c>
      <c r="B5504" s="387" t="s">
        <v>16255</v>
      </c>
    </row>
    <row r="5505" spans="1:2">
      <c r="A5505" s="387" t="s">
        <v>16256</v>
      </c>
      <c r="B5505" s="387" t="s">
        <v>16257</v>
      </c>
    </row>
    <row r="5506" spans="1:2">
      <c r="A5506" s="387" t="s">
        <v>16258</v>
      </c>
      <c r="B5506" s="387" t="s">
        <v>4634</v>
      </c>
    </row>
    <row r="5507" spans="1:2">
      <c r="A5507" s="387" t="s">
        <v>16259</v>
      </c>
      <c r="B5507" s="387" t="s">
        <v>16260</v>
      </c>
    </row>
    <row r="5508" spans="1:2">
      <c r="A5508" s="387" t="s">
        <v>16261</v>
      </c>
      <c r="B5508" s="387" t="s">
        <v>16262</v>
      </c>
    </row>
    <row r="5509" spans="1:2">
      <c r="A5509" s="387" t="s">
        <v>16263</v>
      </c>
      <c r="B5509" s="387" t="s">
        <v>16264</v>
      </c>
    </row>
    <row r="5510" spans="1:2">
      <c r="A5510" s="387" t="s">
        <v>16265</v>
      </c>
      <c r="B5510" s="387" t="s">
        <v>8415</v>
      </c>
    </row>
    <row r="5511" spans="1:2">
      <c r="A5511" s="387" t="s">
        <v>16266</v>
      </c>
      <c r="B5511" s="387" t="s">
        <v>16267</v>
      </c>
    </row>
    <row r="5512" spans="1:2">
      <c r="A5512" s="387" t="s">
        <v>16268</v>
      </c>
      <c r="B5512" s="387" t="s">
        <v>16269</v>
      </c>
    </row>
    <row r="5513" spans="1:2">
      <c r="A5513" s="387" t="s">
        <v>16270</v>
      </c>
      <c r="B5513" s="387" t="s">
        <v>16271</v>
      </c>
    </row>
    <row r="5514" spans="1:2">
      <c r="A5514" s="387" t="s">
        <v>16272</v>
      </c>
      <c r="B5514" s="387" t="s">
        <v>16273</v>
      </c>
    </row>
    <row r="5515" spans="1:2">
      <c r="A5515" s="387" t="s">
        <v>16274</v>
      </c>
      <c r="B5515" s="387" t="s">
        <v>16275</v>
      </c>
    </row>
    <row r="5516" spans="1:2">
      <c r="A5516" s="387" t="s">
        <v>16276</v>
      </c>
      <c r="B5516" s="387" t="s">
        <v>16277</v>
      </c>
    </row>
    <row r="5517" spans="1:2">
      <c r="A5517" s="387" t="s">
        <v>16278</v>
      </c>
      <c r="B5517" s="387" t="s">
        <v>16279</v>
      </c>
    </row>
    <row r="5518" spans="1:2">
      <c r="A5518" s="387" t="s">
        <v>16280</v>
      </c>
      <c r="B5518" s="387" t="s">
        <v>16281</v>
      </c>
    </row>
    <row r="5519" spans="1:2">
      <c r="A5519" s="387" t="s">
        <v>16282</v>
      </c>
      <c r="B5519" s="387" t="s">
        <v>16283</v>
      </c>
    </row>
    <row r="5520" spans="1:2">
      <c r="A5520" s="387" t="s">
        <v>16284</v>
      </c>
      <c r="B5520" s="387" t="s">
        <v>16285</v>
      </c>
    </row>
    <row r="5521" spans="1:2">
      <c r="A5521" s="387" t="s">
        <v>16286</v>
      </c>
      <c r="B5521" s="387" t="s">
        <v>16287</v>
      </c>
    </row>
    <row r="5522" spans="1:2">
      <c r="A5522" s="387" t="s">
        <v>16288</v>
      </c>
      <c r="B5522" s="387" t="s">
        <v>12787</v>
      </c>
    </row>
    <row r="5523" spans="1:2">
      <c r="A5523" s="387" t="s">
        <v>16289</v>
      </c>
      <c r="B5523" s="387" t="s">
        <v>5961</v>
      </c>
    </row>
    <row r="5524" spans="1:2">
      <c r="A5524" s="387" t="s">
        <v>16290</v>
      </c>
      <c r="B5524" s="387" t="s">
        <v>16291</v>
      </c>
    </row>
    <row r="5525" spans="1:2">
      <c r="A5525" s="387" t="s">
        <v>16292</v>
      </c>
      <c r="B5525" s="387" t="s">
        <v>16293</v>
      </c>
    </row>
    <row r="5526" spans="1:2">
      <c r="A5526" s="387" t="s">
        <v>16294</v>
      </c>
      <c r="B5526" s="387" t="s">
        <v>16295</v>
      </c>
    </row>
    <row r="5527" spans="1:2">
      <c r="A5527" s="387" t="s">
        <v>16296</v>
      </c>
      <c r="B5527" s="387" t="s">
        <v>16297</v>
      </c>
    </row>
    <row r="5528" spans="1:2">
      <c r="A5528" s="387" t="s">
        <v>16298</v>
      </c>
      <c r="B5528" s="387" t="s">
        <v>16299</v>
      </c>
    </row>
    <row r="5529" spans="1:2">
      <c r="A5529" s="387" t="s">
        <v>16300</v>
      </c>
      <c r="B5529" s="387" t="s">
        <v>16301</v>
      </c>
    </row>
    <row r="5530" spans="1:2">
      <c r="A5530" s="387" t="s">
        <v>16302</v>
      </c>
      <c r="B5530" s="387" t="s">
        <v>16303</v>
      </c>
    </row>
    <row r="5531" spans="1:2">
      <c r="A5531" s="387" t="s">
        <v>16304</v>
      </c>
      <c r="B5531" s="387" t="s">
        <v>7039</v>
      </c>
    </row>
    <row r="5532" spans="1:2">
      <c r="A5532" s="387" t="s">
        <v>16305</v>
      </c>
      <c r="B5532" s="387" t="s">
        <v>1083</v>
      </c>
    </row>
    <row r="5533" spans="1:2">
      <c r="A5533" s="387" t="s">
        <v>16306</v>
      </c>
      <c r="B5533" s="387" t="s">
        <v>8123</v>
      </c>
    </row>
    <row r="5534" spans="1:2">
      <c r="A5534" s="387" t="s">
        <v>16307</v>
      </c>
      <c r="B5534" s="387" t="s">
        <v>8159</v>
      </c>
    </row>
    <row r="5535" spans="1:2">
      <c r="A5535" s="387" t="s">
        <v>16308</v>
      </c>
      <c r="B5535" s="387" t="s">
        <v>4001</v>
      </c>
    </row>
    <row r="5536" spans="1:2">
      <c r="A5536" s="387" t="s">
        <v>16309</v>
      </c>
      <c r="B5536" s="387" t="s">
        <v>8172</v>
      </c>
    </row>
    <row r="5537" spans="1:2">
      <c r="A5537" s="387" t="s">
        <v>16310</v>
      </c>
      <c r="B5537" s="387" t="s">
        <v>16311</v>
      </c>
    </row>
    <row r="5538" spans="1:2">
      <c r="A5538" s="387" t="s">
        <v>16312</v>
      </c>
      <c r="B5538" s="387" t="s">
        <v>16313</v>
      </c>
    </row>
    <row r="5539" spans="1:2">
      <c r="A5539" s="387" t="s">
        <v>16314</v>
      </c>
      <c r="B5539" s="387" t="s">
        <v>16315</v>
      </c>
    </row>
    <row r="5540" spans="1:2">
      <c r="A5540" s="387" t="s">
        <v>16316</v>
      </c>
      <c r="B5540" s="387" t="s">
        <v>16317</v>
      </c>
    </row>
    <row r="5541" spans="1:2">
      <c r="A5541" s="387" t="s">
        <v>16318</v>
      </c>
      <c r="B5541" s="387" t="s">
        <v>5397</v>
      </c>
    </row>
    <row r="5542" spans="1:2">
      <c r="A5542" s="387" t="s">
        <v>16319</v>
      </c>
      <c r="B5542" s="387" t="s">
        <v>3668</v>
      </c>
    </row>
    <row r="5543" spans="1:2">
      <c r="A5543" s="387" t="s">
        <v>16320</v>
      </c>
      <c r="B5543" s="387" t="s">
        <v>16321</v>
      </c>
    </row>
    <row r="5544" spans="1:2">
      <c r="A5544" s="387" t="s">
        <v>16322</v>
      </c>
      <c r="B5544" s="387" t="s">
        <v>6104</v>
      </c>
    </row>
    <row r="5545" spans="1:2">
      <c r="A5545" s="387" t="s">
        <v>16323</v>
      </c>
      <c r="B5545" s="387" t="s">
        <v>16324</v>
      </c>
    </row>
    <row r="5546" spans="1:2">
      <c r="A5546" s="387" t="s">
        <v>16325</v>
      </c>
      <c r="B5546" s="387" t="s">
        <v>16326</v>
      </c>
    </row>
    <row r="5547" spans="1:2">
      <c r="A5547" s="387" t="s">
        <v>16327</v>
      </c>
      <c r="B5547" s="387" t="s">
        <v>16328</v>
      </c>
    </row>
    <row r="5548" spans="1:2">
      <c r="A5548" s="387" t="s">
        <v>16329</v>
      </c>
      <c r="B5548" s="387" t="s">
        <v>1983</v>
      </c>
    </row>
    <row r="5549" spans="1:2">
      <c r="A5549" s="387" t="s">
        <v>16330</v>
      </c>
      <c r="B5549" s="387" t="s">
        <v>1723</v>
      </c>
    </row>
    <row r="5550" spans="1:2">
      <c r="A5550" s="387" t="s">
        <v>16331</v>
      </c>
      <c r="B5550" s="387" t="s">
        <v>1945</v>
      </c>
    </row>
    <row r="5551" spans="1:2">
      <c r="A5551" s="387" t="s">
        <v>16332</v>
      </c>
      <c r="B5551" s="387" t="s">
        <v>2826</v>
      </c>
    </row>
    <row r="5552" spans="1:2">
      <c r="A5552" s="387" t="s">
        <v>16333</v>
      </c>
      <c r="B5552" s="387" t="s">
        <v>3787</v>
      </c>
    </row>
    <row r="5553" spans="1:2">
      <c r="A5553" s="387" t="s">
        <v>16334</v>
      </c>
      <c r="B5553" s="387" t="s">
        <v>3946</v>
      </c>
    </row>
    <row r="5554" spans="1:2">
      <c r="A5554" s="387" t="s">
        <v>16335</v>
      </c>
      <c r="B5554" s="387" t="s">
        <v>4309</v>
      </c>
    </row>
    <row r="5555" spans="1:2">
      <c r="A5555" s="387" t="s">
        <v>16336</v>
      </c>
      <c r="B5555" s="387" t="s">
        <v>4787</v>
      </c>
    </row>
    <row r="5556" spans="1:2">
      <c r="A5556" s="387" t="s">
        <v>16337</v>
      </c>
      <c r="B5556" s="387" t="s">
        <v>16338</v>
      </c>
    </row>
    <row r="5557" spans="1:2">
      <c r="A5557" s="387" t="s">
        <v>16339</v>
      </c>
      <c r="B5557" s="387" t="s">
        <v>1735</v>
      </c>
    </row>
    <row r="5558" spans="1:2">
      <c r="A5558" s="387" t="s">
        <v>16340</v>
      </c>
      <c r="B5558" s="387" t="s">
        <v>5686</v>
      </c>
    </row>
    <row r="5559" spans="1:2">
      <c r="A5559" s="387" t="s">
        <v>16341</v>
      </c>
      <c r="B5559" s="387" t="s">
        <v>16342</v>
      </c>
    </row>
    <row r="5560" spans="1:2">
      <c r="A5560" s="387" t="s">
        <v>16343</v>
      </c>
      <c r="B5560" s="387" t="s">
        <v>1580</v>
      </c>
    </row>
    <row r="5561" spans="1:2">
      <c r="A5561" s="387" t="s">
        <v>16344</v>
      </c>
      <c r="B5561" s="387" t="s">
        <v>7097</v>
      </c>
    </row>
    <row r="5562" spans="1:2">
      <c r="A5562" s="387" t="s">
        <v>16345</v>
      </c>
      <c r="B5562" s="387" t="s">
        <v>7099</v>
      </c>
    </row>
    <row r="5563" spans="1:2">
      <c r="A5563" s="387" t="s">
        <v>16346</v>
      </c>
      <c r="B5563" s="387" t="s">
        <v>16347</v>
      </c>
    </row>
    <row r="5564" spans="1:2">
      <c r="A5564" s="387" t="s">
        <v>16348</v>
      </c>
      <c r="B5564" s="387" t="s">
        <v>7321</v>
      </c>
    </row>
    <row r="5565" spans="1:2">
      <c r="A5565" s="387" t="s">
        <v>16349</v>
      </c>
      <c r="B5565" s="387" t="s">
        <v>16350</v>
      </c>
    </row>
    <row r="5566" spans="1:2">
      <c r="A5566" s="387" t="s">
        <v>16351</v>
      </c>
      <c r="B5566" s="387" t="s">
        <v>16352</v>
      </c>
    </row>
    <row r="5567" spans="1:2">
      <c r="A5567" s="387" t="s">
        <v>16353</v>
      </c>
      <c r="B5567" s="387" t="s">
        <v>2809</v>
      </c>
    </row>
    <row r="5568" spans="1:2">
      <c r="A5568" s="387" t="s">
        <v>16354</v>
      </c>
      <c r="B5568" s="387" t="s">
        <v>2984</v>
      </c>
    </row>
    <row r="5569" spans="1:2">
      <c r="A5569" s="387" t="s">
        <v>16355</v>
      </c>
      <c r="B5569" s="387" t="s">
        <v>13371</v>
      </c>
    </row>
    <row r="5570" spans="1:2">
      <c r="A5570" s="387" t="s">
        <v>16356</v>
      </c>
      <c r="B5570" s="387" t="s">
        <v>16357</v>
      </c>
    </row>
    <row r="5571" spans="1:2">
      <c r="A5571" s="387" t="s">
        <v>16358</v>
      </c>
      <c r="B5571" s="387" t="s">
        <v>1983</v>
      </c>
    </row>
    <row r="5572" spans="1:2">
      <c r="A5572" s="387" t="s">
        <v>16359</v>
      </c>
      <c r="B5572" s="387" t="s">
        <v>2643</v>
      </c>
    </row>
    <row r="5573" spans="1:2">
      <c r="A5573" s="387" t="s">
        <v>16360</v>
      </c>
      <c r="B5573" s="387" t="s">
        <v>16361</v>
      </c>
    </row>
    <row r="5574" spans="1:2">
      <c r="A5574" s="387" t="s">
        <v>16362</v>
      </c>
      <c r="B5574" s="387" t="s">
        <v>2651</v>
      </c>
    </row>
    <row r="5575" spans="1:2">
      <c r="A5575" s="387" t="s">
        <v>16363</v>
      </c>
      <c r="B5575" s="387" t="s">
        <v>1765</v>
      </c>
    </row>
    <row r="5576" spans="1:2">
      <c r="A5576" s="387" t="s">
        <v>16364</v>
      </c>
      <c r="B5576" s="387" t="s">
        <v>1931</v>
      </c>
    </row>
    <row r="5577" spans="1:2">
      <c r="A5577" s="387" t="s">
        <v>16365</v>
      </c>
      <c r="B5577" s="387" t="s">
        <v>1943</v>
      </c>
    </row>
    <row r="5578" spans="1:2">
      <c r="A5578" s="387" t="s">
        <v>16366</v>
      </c>
      <c r="B5578" s="387" t="s">
        <v>2509</v>
      </c>
    </row>
    <row r="5579" spans="1:2">
      <c r="A5579" s="387" t="s">
        <v>16367</v>
      </c>
      <c r="B5579" s="387" t="s">
        <v>16368</v>
      </c>
    </row>
    <row r="5580" spans="1:2">
      <c r="A5580" s="387" t="s">
        <v>16369</v>
      </c>
      <c r="B5580" s="387" t="s">
        <v>3789</v>
      </c>
    </row>
    <row r="5581" spans="1:2">
      <c r="A5581" s="387" t="s">
        <v>16370</v>
      </c>
      <c r="B5581" s="387" t="s">
        <v>3834</v>
      </c>
    </row>
    <row r="5582" spans="1:2">
      <c r="A5582" s="387" t="s">
        <v>16371</v>
      </c>
      <c r="B5582" s="387" t="s">
        <v>4294</v>
      </c>
    </row>
    <row r="5583" spans="1:2">
      <c r="A5583" s="387" t="s">
        <v>16372</v>
      </c>
      <c r="B5583" s="387" t="s">
        <v>5154</v>
      </c>
    </row>
    <row r="5584" spans="1:2">
      <c r="A5584" s="387" t="s">
        <v>16373</v>
      </c>
      <c r="B5584" s="387" t="s">
        <v>16374</v>
      </c>
    </row>
    <row r="5585" spans="1:2">
      <c r="A5585" s="387" t="s">
        <v>16375</v>
      </c>
      <c r="B5585" s="387" t="s">
        <v>6299</v>
      </c>
    </row>
    <row r="5586" spans="1:2">
      <c r="A5586" s="387" t="s">
        <v>555</v>
      </c>
      <c r="B5586" s="387" t="s">
        <v>976</v>
      </c>
    </row>
    <row r="5587" spans="1:2">
      <c r="A5587" s="387" t="s">
        <v>8024</v>
      </c>
      <c r="B5587" s="387" t="s">
        <v>1704</v>
      </c>
    </row>
    <row r="5588" spans="1:2">
      <c r="A5588" s="387" t="s">
        <v>16376</v>
      </c>
      <c r="B5588" s="387" t="s">
        <v>4715</v>
      </c>
    </row>
    <row r="5589" spans="1:2">
      <c r="A5589" s="387" t="s">
        <v>16377</v>
      </c>
      <c r="B5589" s="387" t="s">
        <v>4254</v>
      </c>
    </row>
    <row r="5590" spans="1:2">
      <c r="A5590" s="387" t="s">
        <v>16378</v>
      </c>
      <c r="B5590" s="387" t="s">
        <v>1763</v>
      </c>
    </row>
    <row r="5591" spans="1:2">
      <c r="A5591" s="387" t="s">
        <v>16379</v>
      </c>
      <c r="B5591" s="387" t="s">
        <v>1790</v>
      </c>
    </row>
    <row r="5592" spans="1:2">
      <c r="A5592" s="387" t="s">
        <v>16380</v>
      </c>
      <c r="B5592" s="387" t="s">
        <v>1975</v>
      </c>
    </row>
    <row r="5593" spans="1:2">
      <c r="A5593" s="387" t="s">
        <v>16381</v>
      </c>
      <c r="B5593" s="387" t="s">
        <v>2047</v>
      </c>
    </row>
    <row r="5594" spans="1:2">
      <c r="A5594" s="387" t="s">
        <v>16382</v>
      </c>
      <c r="B5594" s="387" t="s">
        <v>16383</v>
      </c>
    </row>
    <row r="5595" spans="1:2">
      <c r="A5595" s="387" t="s">
        <v>16384</v>
      </c>
      <c r="B5595" s="387" t="s">
        <v>2984</v>
      </c>
    </row>
    <row r="5596" spans="1:2">
      <c r="A5596" s="387" t="s">
        <v>16385</v>
      </c>
      <c r="B5596" s="387" t="s">
        <v>3246</v>
      </c>
    </row>
    <row r="5597" spans="1:2">
      <c r="A5597" s="387" t="s">
        <v>16386</v>
      </c>
      <c r="B5597" s="387" t="s">
        <v>2032</v>
      </c>
    </row>
    <row r="5598" spans="1:2">
      <c r="A5598" s="387" t="s">
        <v>16387</v>
      </c>
      <c r="B5598" s="387" t="s">
        <v>3649</v>
      </c>
    </row>
    <row r="5599" spans="1:2">
      <c r="A5599" s="387" t="s">
        <v>16388</v>
      </c>
      <c r="B5599" s="387" t="s">
        <v>4125</v>
      </c>
    </row>
    <row r="5600" spans="1:2">
      <c r="A5600" s="387" t="s">
        <v>16389</v>
      </c>
      <c r="B5600" s="387" t="s">
        <v>4241</v>
      </c>
    </row>
    <row r="5601" spans="1:2">
      <c r="A5601" s="387" t="s">
        <v>16390</v>
      </c>
      <c r="B5601" s="387" t="s">
        <v>4500</v>
      </c>
    </row>
    <row r="5602" spans="1:2">
      <c r="A5602" s="387" t="s">
        <v>16391</v>
      </c>
      <c r="B5602" s="387" t="s">
        <v>4602</v>
      </c>
    </row>
    <row r="5603" spans="1:2">
      <c r="A5603" s="387" t="s">
        <v>16392</v>
      </c>
      <c r="B5603" s="387" t="s">
        <v>4272</v>
      </c>
    </row>
    <row r="5604" spans="1:2">
      <c r="A5604" s="387" t="s">
        <v>16393</v>
      </c>
      <c r="B5604" s="387" t="s">
        <v>16394</v>
      </c>
    </row>
    <row r="5605" spans="1:2">
      <c r="A5605" s="387" t="s">
        <v>16395</v>
      </c>
      <c r="B5605" s="387" t="s">
        <v>4922</v>
      </c>
    </row>
    <row r="5606" spans="1:2">
      <c r="A5606" s="387" t="s">
        <v>16396</v>
      </c>
      <c r="B5606" s="387" t="s">
        <v>16397</v>
      </c>
    </row>
    <row r="5607" spans="1:2">
      <c r="A5607" s="387" t="s">
        <v>16398</v>
      </c>
      <c r="B5607" s="387" t="s">
        <v>4974</v>
      </c>
    </row>
    <row r="5608" spans="1:2">
      <c r="A5608" s="387" t="s">
        <v>16399</v>
      </c>
      <c r="B5608" s="387" t="s">
        <v>5074</v>
      </c>
    </row>
    <row r="5609" spans="1:2">
      <c r="A5609" s="387" t="s">
        <v>16400</v>
      </c>
      <c r="B5609" s="387" t="s">
        <v>1327</v>
      </c>
    </row>
    <row r="5610" spans="1:2">
      <c r="A5610" s="387" t="s">
        <v>16401</v>
      </c>
      <c r="B5610" s="387" t="s">
        <v>5299</v>
      </c>
    </row>
    <row r="5611" spans="1:2">
      <c r="A5611" s="387" t="s">
        <v>16402</v>
      </c>
      <c r="B5611" s="387" t="s">
        <v>5365</v>
      </c>
    </row>
    <row r="5612" spans="1:2">
      <c r="A5612" s="387" t="s">
        <v>16403</v>
      </c>
      <c r="B5612" s="387" t="s">
        <v>5388</v>
      </c>
    </row>
    <row r="5613" spans="1:2">
      <c r="A5613" s="387" t="s">
        <v>16404</v>
      </c>
      <c r="B5613" s="387" t="s">
        <v>5518</v>
      </c>
    </row>
    <row r="5614" spans="1:2">
      <c r="A5614" s="387" t="s">
        <v>16405</v>
      </c>
      <c r="B5614" s="387" t="s">
        <v>5535</v>
      </c>
    </row>
    <row r="5615" spans="1:2">
      <c r="A5615" s="387" t="s">
        <v>16406</v>
      </c>
      <c r="B5615" s="387" t="s">
        <v>16407</v>
      </c>
    </row>
    <row r="5616" spans="1:2">
      <c r="A5616" s="387" t="s">
        <v>16408</v>
      </c>
      <c r="B5616" s="387" t="s">
        <v>5753</v>
      </c>
    </row>
    <row r="5617" spans="1:2">
      <c r="A5617" s="387" t="s">
        <v>16409</v>
      </c>
      <c r="B5617" s="387" t="s">
        <v>5791</v>
      </c>
    </row>
    <row r="5618" spans="1:2">
      <c r="A5618" s="387" t="s">
        <v>16410</v>
      </c>
      <c r="B5618" s="387" t="s">
        <v>5795</v>
      </c>
    </row>
    <row r="5619" spans="1:2">
      <c r="A5619" s="387" t="s">
        <v>16411</v>
      </c>
      <c r="B5619" s="387" t="s">
        <v>16412</v>
      </c>
    </row>
    <row r="5620" spans="1:2">
      <c r="A5620" s="387" t="s">
        <v>16413</v>
      </c>
      <c r="B5620" s="387" t="s">
        <v>1142</v>
      </c>
    </row>
    <row r="5621" spans="1:2">
      <c r="A5621" s="387" t="s">
        <v>16414</v>
      </c>
      <c r="B5621" s="387" t="s">
        <v>5805</v>
      </c>
    </row>
    <row r="5622" spans="1:2">
      <c r="A5622" s="387" t="s">
        <v>16415</v>
      </c>
      <c r="B5622" s="387" t="s">
        <v>5807</v>
      </c>
    </row>
    <row r="5623" spans="1:2">
      <c r="A5623" s="387" t="s">
        <v>16416</v>
      </c>
      <c r="B5623" s="387" t="s">
        <v>5905</v>
      </c>
    </row>
    <row r="5624" spans="1:2">
      <c r="A5624" s="387" t="s">
        <v>16417</v>
      </c>
      <c r="B5624" s="387" t="s">
        <v>4496</v>
      </c>
    </row>
    <row r="5625" spans="1:2">
      <c r="A5625" s="387" t="s">
        <v>16418</v>
      </c>
      <c r="B5625" s="387" t="s">
        <v>1653</v>
      </c>
    </row>
    <row r="5626" spans="1:2">
      <c r="A5626" s="387" t="s">
        <v>16419</v>
      </c>
      <c r="B5626" s="387" t="s">
        <v>16420</v>
      </c>
    </row>
    <row r="5627" spans="1:2">
      <c r="A5627" s="387" t="s">
        <v>16421</v>
      </c>
      <c r="B5627" s="387" t="s">
        <v>4502</v>
      </c>
    </row>
    <row r="5628" spans="1:2">
      <c r="A5628" s="387" t="s">
        <v>16422</v>
      </c>
      <c r="B5628" s="387" t="s">
        <v>1053</v>
      </c>
    </row>
    <row r="5629" spans="1:2">
      <c r="A5629" s="387" t="s">
        <v>16423</v>
      </c>
      <c r="B5629" s="387" t="s">
        <v>6001</v>
      </c>
    </row>
    <row r="5630" spans="1:2">
      <c r="A5630" s="387" t="s">
        <v>16424</v>
      </c>
      <c r="B5630" s="387" t="s">
        <v>1898</v>
      </c>
    </row>
    <row r="5631" spans="1:2">
      <c r="A5631" s="387" t="s">
        <v>16425</v>
      </c>
      <c r="B5631" s="387" t="s">
        <v>16426</v>
      </c>
    </row>
    <row r="5632" spans="1:2">
      <c r="A5632" s="387" t="s">
        <v>16427</v>
      </c>
      <c r="B5632" s="387" t="s">
        <v>16428</v>
      </c>
    </row>
    <row r="5633" spans="1:2">
      <c r="A5633" s="387" t="s">
        <v>16429</v>
      </c>
      <c r="B5633" s="387" t="s">
        <v>5879</v>
      </c>
    </row>
    <row r="5634" spans="1:2">
      <c r="A5634" s="387" t="s">
        <v>16430</v>
      </c>
      <c r="B5634" s="387" t="s">
        <v>16431</v>
      </c>
    </row>
    <row r="5635" spans="1:2">
      <c r="A5635" s="387" t="s">
        <v>16432</v>
      </c>
      <c r="B5635" s="387" t="s">
        <v>6134</v>
      </c>
    </row>
    <row r="5636" spans="1:2">
      <c r="A5636" s="387" t="s">
        <v>16433</v>
      </c>
      <c r="B5636" s="387" t="s">
        <v>6017</v>
      </c>
    </row>
    <row r="5637" spans="1:2">
      <c r="A5637" s="387" t="s">
        <v>16434</v>
      </c>
      <c r="B5637" s="387" t="s">
        <v>6242</v>
      </c>
    </row>
    <row r="5638" spans="1:2">
      <c r="A5638" s="387" t="s">
        <v>16435</v>
      </c>
      <c r="B5638" s="387" t="s">
        <v>6253</v>
      </c>
    </row>
    <row r="5639" spans="1:2">
      <c r="A5639" s="387" t="s">
        <v>16436</v>
      </c>
      <c r="B5639" s="387" t="s">
        <v>6255</v>
      </c>
    </row>
    <row r="5640" spans="1:2">
      <c r="A5640" s="387" t="s">
        <v>16437</v>
      </c>
      <c r="B5640" s="387" t="s">
        <v>6289</v>
      </c>
    </row>
    <row r="5641" spans="1:2">
      <c r="A5641" s="387" t="s">
        <v>16438</v>
      </c>
      <c r="B5641" s="387" t="s">
        <v>2474</v>
      </c>
    </row>
    <row r="5642" spans="1:2">
      <c r="A5642" s="387" t="s">
        <v>16439</v>
      </c>
      <c r="B5642" s="387" t="s">
        <v>6341</v>
      </c>
    </row>
    <row r="5643" spans="1:2">
      <c r="A5643" s="387" t="s">
        <v>16440</v>
      </c>
      <c r="B5643" s="387" t="s">
        <v>6343</v>
      </c>
    </row>
    <row r="5644" spans="1:2">
      <c r="A5644" s="387" t="s">
        <v>16441</v>
      </c>
      <c r="B5644" s="387" t="s">
        <v>16442</v>
      </c>
    </row>
    <row r="5645" spans="1:2">
      <c r="A5645" s="387" t="s">
        <v>16443</v>
      </c>
      <c r="B5645" s="387" t="s">
        <v>6526</v>
      </c>
    </row>
    <row r="5646" spans="1:2">
      <c r="A5646" s="387" t="s">
        <v>16444</v>
      </c>
      <c r="B5646" s="387" t="s">
        <v>6582</v>
      </c>
    </row>
    <row r="5647" spans="1:2">
      <c r="A5647" s="387" t="s">
        <v>16445</v>
      </c>
      <c r="B5647" s="387" t="s">
        <v>16446</v>
      </c>
    </row>
    <row r="5648" spans="1:2">
      <c r="A5648" s="387" t="s">
        <v>16447</v>
      </c>
      <c r="B5648" s="387" t="s">
        <v>6643</v>
      </c>
    </row>
    <row r="5649" spans="1:2">
      <c r="A5649" s="387" t="s">
        <v>16448</v>
      </c>
      <c r="B5649" s="387" t="s">
        <v>1407</v>
      </c>
    </row>
    <row r="5650" spans="1:2">
      <c r="A5650" s="387" t="s">
        <v>16449</v>
      </c>
      <c r="B5650" s="387" t="s">
        <v>16450</v>
      </c>
    </row>
    <row r="5651" spans="1:2">
      <c r="A5651" s="387" t="s">
        <v>16451</v>
      </c>
      <c r="B5651" s="387" t="s">
        <v>4692</v>
      </c>
    </row>
    <row r="5652" spans="1:2">
      <c r="A5652" s="387" t="s">
        <v>16452</v>
      </c>
      <c r="B5652" s="387" t="s">
        <v>6802</v>
      </c>
    </row>
    <row r="5653" spans="1:2">
      <c r="A5653" s="387" t="s">
        <v>16453</v>
      </c>
      <c r="B5653" s="387" t="s">
        <v>2690</v>
      </c>
    </row>
    <row r="5654" spans="1:2">
      <c r="A5654" s="387" t="s">
        <v>16454</v>
      </c>
      <c r="B5654" s="387" t="s">
        <v>6855</v>
      </c>
    </row>
    <row r="5655" spans="1:2">
      <c r="A5655" s="387" t="s">
        <v>16455</v>
      </c>
      <c r="B5655" s="387" t="s">
        <v>1473</v>
      </c>
    </row>
    <row r="5656" spans="1:2">
      <c r="A5656" s="387" t="s">
        <v>16456</v>
      </c>
      <c r="B5656" s="387" t="s">
        <v>6886</v>
      </c>
    </row>
    <row r="5657" spans="1:2">
      <c r="A5657" s="387" t="s">
        <v>16457</v>
      </c>
      <c r="B5657" s="387" t="s">
        <v>1502</v>
      </c>
    </row>
    <row r="5658" spans="1:2">
      <c r="A5658" s="387" t="s">
        <v>16458</v>
      </c>
      <c r="B5658" s="387" t="s">
        <v>2790</v>
      </c>
    </row>
    <row r="5659" spans="1:2">
      <c r="A5659" s="387" t="s">
        <v>16459</v>
      </c>
      <c r="B5659" s="387" t="s">
        <v>6960</v>
      </c>
    </row>
    <row r="5660" spans="1:2">
      <c r="A5660" s="387" t="s">
        <v>16460</v>
      </c>
      <c r="B5660" s="387" t="s">
        <v>6964</v>
      </c>
    </row>
    <row r="5661" spans="1:2">
      <c r="A5661" s="387" t="s">
        <v>16461</v>
      </c>
      <c r="B5661" s="387" t="s">
        <v>5879</v>
      </c>
    </row>
    <row r="5662" spans="1:2">
      <c r="A5662" s="387" t="s">
        <v>16462</v>
      </c>
      <c r="B5662" s="387" t="s">
        <v>4358</v>
      </c>
    </row>
    <row r="5663" spans="1:2">
      <c r="A5663" s="387" t="s">
        <v>16463</v>
      </c>
      <c r="B5663" s="387" t="s">
        <v>7071</v>
      </c>
    </row>
    <row r="5664" spans="1:2">
      <c r="A5664" s="387" t="s">
        <v>16464</v>
      </c>
      <c r="B5664" s="387" t="s">
        <v>16465</v>
      </c>
    </row>
    <row r="5665" spans="1:2">
      <c r="A5665" s="387" t="s">
        <v>16466</v>
      </c>
      <c r="B5665" s="387" t="s">
        <v>16467</v>
      </c>
    </row>
    <row r="5666" spans="1:2">
      <c r="A5666" s="387" t="s">
        <v>16468</v>
      </c>
      <c r="B5666" s="387" t="s">
        <v>4276</v>
      </c>
    </row>
    <row r="5667" spans="1:2">
      <c r="A5667" s="387" t="s">
        <v>16469</v>
      </c>
      <c r="B5667" s="387" t="s">
        <v>16470</v>
      </c>
    </row>
    <row r="5668" spans="1:2">
      <c r="A5668" s="387" t="s">
        <v>16471</v>
      </c>
      <c r="B5668" s="387" t="s">
        <v>16472</v>
      </c>
    </row>
    <row r="5669" spans="1:2">
      <c r="A5669" s="387" t="s">
        <v>16473</v>
      </c>
      <c r="B5669" s="387" t="s">
        <v>1327</v>
      </c>
    </row>
    <row r="5670" spans="1:2">
      <c r="A5670" s="387" t="s">
        <v>16474</v>
      </c>
      <c r="B5670" s="387" t="s">
        <v>16475</v>
      </c>
    </row>
    <row r="5671" spans="1:2">
      <c r="A5671" s="387" t="s">
        <v>16476</v>
      </c>
      <c r="B5671" s="387" t="s">
        <v>1765</v>
      </c>
    </row>
    <row r="5672" spans="1:2">
      <c r="A5672" s="387" t="s">
        <v>16477</v>
      </c>
      <c r="B5672" s="387" t="s">
        <v>4972</v>
      </c>
    </row>
    <row r="5673" spans="1:2">
      <c r="A5673" s="387" t="s">
        <v>16478</v>
      </c>
      <c r="B5673" s="387" t="s">
        <v>16479</v>
      </c>
    </row>
    <row r="5674" spans="1:2">
      <c r="A5674" s="387" t="s">
        <v>16480</v>
      </c>
      <c r="B5674" s="387" t="s">
        <v>3195</v>
      </c>
    </row>
    <row r="5675" spans="1:2">
      <c r="A5675" s="387" t="s">
        <v>16481</v>
      </c>
      <c r="B5675" s="387" t="s">
        <v>996</v>
      </c>
    </row>
    <row r="5676" spans="1:2">
      <c r="A5676" s="387" t="s">
        <v>16482</v>
      </c>
      <c r="B5676" s="387" t="s">
        <v>7685</v>
      </c>
    </row>
    <row r="5677" spans="1:2">
      <c r="A5677" s="387" t="s">
        <v>16483</v>
      </c>
      <c r="B5677" s="387" t="s">
        <v>2371</v>
      </c>
    </row>
    <row r="5678" spans="1:2">
      <c r="A5678" s="387" t="s">
        <v>16484</v>
      </c>
      <c r="B5678" s="387" t="s">
        <v>7378</v>
      </c>
    </row>
    <row r="5679" spans="1:2">
      <c r="A5679" s="387" t="s">
        <v>16485</v>
      </c>
      <c r="B5679" s="387" t="s">
        <v>4262</v>
      </c>
    </row>
    <row r="5680" spans="1:2">
      <c r="A5680" s="387" t="s">
        <v>16486</v>
      </c>
      <c r="B5680" s="387" t="s">
        <v>11196</v>
      </c>
    </row>
    <row r="5681" spans="1:2">
      <c r="A5681" s="387" t="s">
        <v>16487</v>
      </c>
      <c r="B5681" s="387" t="s">
        <v>16488</v>
      </c>
    </row>
    <row r="5682" spans="1:2">
      <c r="A5682" s="387" t="s">
        <v>16489</v>
      </c>
      <c r="B5682" s="387" t="s">
        <v>7422</v>
      </c>
    </row>
    <row r="5683" spans="1:2">
      <c r="A5683" s="387" t="s">
        <v>16490</v>
      </c>
      <c r="B5683" s="387" t="s">
        <v>16491</v>
      </c>
    </row>
    <row r="5684" spans="1:2">
      <c r="A5684" s="387" t="s">
        <v>16492</v>
      </c>
      <c r="B5684" s="387" t="s">
        <v>1719</v>
      </c>
    </row>
    <row r="5685" spans="1:2">
      <c r="A5685" s="387" t="s">
        <v>16493</v>
      </c>
      <c r="B5685" s="387" t="s">
        <v>7440</v>
      </c>
    </row>
    <row r="5686" spans="1:2">
      <c r="A5686" s="387" t="s">
        <v>16494</v>
      </c>
      <c r="B5686" s="387" t="s">
        <v>16495</v>
      </c>
    </row>
    <row r="5687" spans="1:2">
      <c r="A5687" s="387" t="s">
        <v>16496</v>
      </c>
      <c r="B5687" s="387" t="s">
        <v>16497</v>
      </c>
    </row>
    <row r="5688" spans="1:2">
      <c r="A5688" s="387" t="s">
        <v>16498</v>
      </c>
      <c r="B5688" s="387" t="s">
        <v>6542</v>
      </c>
    </row>
    <row r="5689" spans="1:2">
      <c r="A5689" s="387" t="s">
        <v>16499</v>
      </c>
      <c r="B5689" s="387" t="s">
        <v>5588</v>
      </c>
    </row>
    <row r="5690" spans="1:2">
      <c r="A5690" s="387" t="s">
        <v>16500</v>
      </c>
      <c r="B5690" s="387" t="s">
        <v>2511</v>
      </c>
    </row>
    <row r="5691" spans="1:2">
      <c r="A5691" s="387" t="s">
        <v>16501</v>
      </c>
      <c r="B5691" s="387" t="s">
        <v>2114</v>
      </c>
    </row>
    <row r="5692" spans="1:2">
      <c r="A5692" s="387" t="s">
        <v>16502</v>
      </c>
      <c r="B5692" s="387" t="s">
        <v>7491</v>
      </c>
    </row>
    <row r="5693" spans="1:2">
      <c r="A5693" s="387" t="s">
        <v>16503</v>
      </c>
      <c r="B5693" s="387" t="s">
        <v>1128</v>
      </c>
    </row>
    <row r="5694" spans="1:2">
      <c r="A5694" s="387" t="s">
        <v>16504</v>
      </c>
      <c r="B5694" s="387" t="s">
        <v>16505</v>
      </c>
    </row>
    <row r="5695" spans="1:2">
      <c r="A5695" s="387" t="s">
        <v>16506</v>
      </c>
      <c r="B5695" s="387" t="s">
        <v>16507</v>
      </c>
    </row>
    <row r="5696" spans="1:2">
      <c r="A5696" s="387" t="s">
        <v>16508</v>
      </c>
      <c r="B5696" s="387" t="s">
        <v>7493</v>
      </c>
    </row>
    <row r="5697" spans="1:2">
      <c r="A5697" s="387" t="s">
        <v>16509</v>
      </c>
      <c r="B5697" s="387" t="s">
        <v>16510</v>
      </c>
    </row>
    <row r="5698" spans="1:2">
      <c r="A5698" s="387" t="s">
        <v>16511</v>
      </c>
      <c r="B5698" s="387" t="s">
        <v>976</v>
      </c>
    </row>
    <row r="5699" spans="1:2">
      <c r="A5699" s="387" t="s">
        <v>16512</v>
      </c>
      <c r="B5699" s="387" t="s">
        <v>16513</v>
      </c>
    </row>
    <row r="5700" spans="1:2">
      <c r="A5700" s="387" t="s">
        <v>16514</v>
      </c>
      <c r="B5700" s="387" t="s">
        <v>1309</v>
      </c>
    </row>
    <row r="5701" spans="1:2">
      <c r="A5701" s="387" t="s">
        <v>16515</v>
      </c>
      <c r="B5701" s="387" t="s">
        <v>9885</v>
      </c>
    </row>
    <row r="5702" spans="1:2">
      <c r="A5702" s="387" t="s">
        <v>16516</v>
      </c>
      <c r="B5702" s="387" t="s">
        <v>16517</v>
      </c>
    </row>
    <row r="5703" spans="1:2">
      <c r="A5703" s="387" t="s">
        <v>16518</v>
      </c>
      <c r="B5703" s="387" t="s">
        <v>7544</v>
      </c>
    </row>
    <row r="5704" spans="1:2">
      <c r="A5704" s="387" t="s">
        <v>16519</v>
      </c>
      <c r="B5704" s="387" t="s">
        <v>16520</v>
      </c>
    </row>
    <row r="5705" spans="1:2">
      <c r="A5705" s="387" t="s">
        <v>16521</v>
      </c>
      <c r="B5705" s="387" t="s">
        <v>16522</v>
      </c>
    </row>
    <row r="5706" spans="1:2">
      <c r="A5706" s="387" t="s">
        <v>16523</v>
      </c>
      <c r="B5706" s="387" t="s">
        <v>16524</v>
      </c>
    </row>
    <row r="5707" spans="1:2">
      <c r="A5707" s="387" t="s">
        <v>16525</v>
      </c>
      <c r="B5707" s="387" t="s">
        <v>2761</v>
      </c>
    </row>
    <row r="5708" spans="1:2">
      <c r="A5708" s="387" t="s">
        <v>16526</v>
      </c>
      <c r="B5708" s="387" t="s">
        <v>16527</v>
      </c>
    </row>
    <row r="5709" spans="1:2">
      <c r="A5709" s="387" t="s">
        <v>16528</v>
      </c>
      <c r="B5709" s="387" t="s">
        <v>7647</v>
      </c>
    </row>
    <row r="5710" spans="1:2">
      <c r="A5710" s="387" t="s">
        <v>16529</v>
      </c>
      <c r="B5710" s="387" t="s">
        <v>16530</v>
      </c>
    </row>
    <row r="5711" spans="1:2">
      <c r="A5711" s="387" t="s">
        <v>16531</v>
      </c>
      <c r="B5711" s="387" t="s">
        <v>16532</v>
      </c>
    </row>
    <row r="5712" spans="1:2">
      <c r="A5712" s="387" t="s">
        <v>16533</v>
      </c>
      <c r="B5712" s="387" t="s">
        <v>13957</v>
      </c>
    </row>
    <row r="5713" spans="1:2">
      <c r="A5713" s="387" t="s">
        <v>16534</v>
      </c>
      <c r="B5713" s="387" t="s">
        <v>14566</v>
      </c>
    </row>
    <row r="5714" spans="1:2">
      <c r="A5714" s="387" t="s">
        <v>16535</v>
      </c>
      <c r="B5714" s="387" t="s">
        <v>16536</v>
      </c>
    </row>
    <row r="5715" spans="1:2">
      <c r="A5715" s="387" t="s">
        <v>16537</v>
      </c>
      <c r="B5715" s="387" t="s">
        <v>16538</v>
      </c>
    </row>
    <row r="5716" spans="1:2">
      <c r="A5716" s="387" t="s">
        <v>16539</v>
      </c>
      <c r="B5716" s="387" t="s">
        <v>16540</v>
      </c>
    </row>
    <row r="5717" spans="1:2">
      <c r="A5717" s="387" t="s">
        <v>16541</v>
      </c>
      <c r="B5717" s="387" t="s">
        <v>6752</v>
      </c>
    </row>
    <row r="5718" spans="1:2">
      <c r="A5718" s="387" t="s">
        <v>16542</v>
      </c>
      <c r="B5718" s="387" t="s">
        <v>16543</v>
      </c>
    </row>
    <row r="5719" spans="1:2">
      <c r="A5719" s="387" t="s">
        <v>16544</v>
      </c>
      <c r="B5719" s="387" t="s">
        <v>16545</v>
      </c>
    </row>
    <row r="5720" spans="1:2">
      <c r="A5720" s="387" t="s">
        <v>16546</v>
      </c>
      <c r="B5720" s="387" t="s">
        <v>16547</v>
      </c>
    </row>
    <row r="5721" spans="1:2">
      <c r="A5721" s="387" t="s">
        <v>16548</v>
      </c>
      <c r="B5721" s="387" t="s">
        <v>11611</v>
      </c>
    </row>
    <row r="5722" spans="1:2">
      <c r="A5722" s="387" t="s">
        <v>16549</v>
      </c>
      <c r="B5722" s="387" t="s">
        <v>16550</v>
      </c>
    </row>
    <row r="5723" spans="1:2">
      <c r="A5723" s="387" t="s">
        <v>16551</v>
      </c>
      <c r="B5723" s="387" t="s">
        <v>5782</v>
      </c>
    </row>
    <row r="5724" spans="1:2">
      <c r="A5724" s="387" t="s">
        <v>16552</v>
      </c>
      <c r="B5724" s="387" t="s">
        <v>16553</v>
      </c>
    </row>
    <row r="5725" spans="1:2">
      <c r="A5725" s="387" t="s">
        <v>16554</v>
      </c>
      <c r="B5725" s="387" t="s">
        <v>16555</v>
      </c>
    </row>
    <row r="5726" spans="1:2">
      <c r="A5726" s="387" t="s">
        <v>16556</v>
      </c>
      <c r="B5726" s="387" t="s">
        <v>7834</v>
      </c>
    </row>
    <row r="5727" spans="1:2">
      <c r="A5727" s="387" t="s">
        <v>16557</v>
      </c>
      <c r="B5727" s="387" t="s">
        <v>16558</v>
      </c>
    </row>
    <row r="5728" spans="1:2">
      <c r="A5728" s="387" t="s">
        <v>16559</v>
      </c>
      <c r="B5728" s="387" t="s">
        <v>16560</v>
      </c>
    </row>
    <row r="5729" spans="1:2">
      <c r="A5729" s="387" t="s">
        <v>16561</v>
      </c>
      <c r="B5729" s="387" t="s">
        <v>2365</v>
      </c>
    </row>
    <row r="5730" spans="1:2">
      <c r="A5730" s="387" t="s">
        <v>16562</v>
      </c>
      <c r="B5730" s="387" t="s">
        <v>16563</v>
      </c>
    </row>
    <row r="5731" spans="1:2">
      <c r="A5731" s="387" t="s">
        <v>16564</v>
      </c>
      <c r="B5731" s="387" t="s">
        <v>16565</v>
      </c>
    </row>
    <row r="5732" spans="1:2">
      <c r="A5732" s="387" t="s">
        <v>16566</v>
      </c>
      <c r="B5732" s="387" t="s">
        <v>7838</v>
      </c>
    </row>
    <row r="5733" spans="1:2">
      <c r="A5733" s="387" t="s">
        <v>16567</v>
      </c>
      <c r="B5733" s="387" t="s">
        <v>16568</v>
      </c>
    </row>
    <row r="5734" spans="1:2">
      <c r="A5734" s="387" t="s">
        <v>16569</v>
      </c>
      <c r="B5734" s="387" t="s">
        <v>16570</v>
      </c>
    </row>
    <row r="5735" spans="1:2">
      <c r="A5735" s="387" t="s">
        <v>16571</v>
      </c>
      <c r="B5735" s="387" t="s">
        <v>7898</v>
      </c>
    </row>
    <row r="5736" spans="1:2">
      <c r="A5736" s="387" t="s">
        <v>16572</v>
      </c>
      <c r="B5736" s="387" t="s">
        <v>16573</v>
      </c>
    </row>
    <row r="5737" spans="1:2">
      <c r="A5737" s="387" t="s">
        <v>16574</v>
      </c>
      <c r="B5737" s="387" t="s">
        <v>16575</v>
      </c>
    </row>
    <row r="5738" spans="1:2">
      <c r="A5738" s="387" t="s">
        <v>16576</v>
      </c>
      <c r="B5738" s="387" t="s">
        <v>4502</v>
      </c>
    </row>
    <row r="5739" spans="1:2">
      <c r="A5739" s="387" t="s">
        <v>16577</v>
      </c>
      <c r="B5739" s="387" t="s">
        <v>16578</v>
      </c>
    </row>
    <row r="5740" spans="1:2">
      <c r="A5740" s="387" t="s">
        <v>16579</v>
      </c>
      <c r="B5740" s="387" t="s">
        <v>2647</v>
      </c>
    </row>
    <row r="5741" spans="1:2">
      <c r="A5741" s="387" t="s">
        <v>16580</v>
      </c>
      <c r="B5741" s="387" t="s">
        <v>16581</v>
      </c>
    </row>
    <row r="5742" spans="1:2">
      <c r="A5742" s="387" t="s">
        <v>16582</v>
      </c>
      <c r="B5742" s="387" t="s">
        <v>16583</v>
      </c>
    </row>
    <row r="5743" spans="1:2">
      <c r="A5743" s="387" t="s">
        <v>16584</v>
      </c>
      <c r="B5743" s="387" t="s">
        <v>16585</v>
      </c>
    </row>
    <row r="5744" spans="1:2">
      <c r="A5744" s="387" t="s">
        <v>16586</v>
      </c>
      <c r="B5744" s="387" t="s">
        <v>6880</v>
      </c>
    </row>
    <row r="5745" spans="1:2">
      <c r="A5745" s="387" t="s">
        <v>16587</v>
      </c>
      <c r="B5745" s="387" t="s">
        <v>1663</v>
      </c>
    </row>
    <row r="5746" spans="1:2">
      <c r="A5746" s="387" t="s">
        <v>16588</v>
      </c>
      <c r="B5746" s="387" t="s">
        <v>5144</v>
      </c>
    </row>
    <row r="5747" spans="1:2">
      <c r="A5747" s="387" t="s">
        <v>16589</v>
      </c>
      <c r="B5747" s="387" t="s">
        <v>14402</v>
      </c>
    </row>
    <row r="5748" spans="1:2">
      <c r="A5748" s="387" t="s">
        <v>16590</v>
      </c>
      <c r="B5748" s="387" t="s">
        <v>1961</v>
      </c>
    </row>
    <row r="5749" spans="1:2">
      <c r="A5749" s="387" t="s">
        <v>16591</v>
      </c>
      <c r="B5749" s="387" t="s">
        <v>16592</v>
      </c>
    </row>
    <row r="5750" spans="1:2">
      <c r="A5750" s="387" t="s">
        <v>16593</v>
      </c>
      <c r="B5750" s="387" t="s">
        <v>16594</v>
      </c>
    </row>
    <row r="5751" spans="1:2">
      <c r="A5751" s="387" t="s">
        <v>16595</v>
      </c>
      <c r="B5751" s="387" t="s">
        <v>2371</v>
      </c>
    </row>
    <row r="5752" spans="1:2">
      <c r="A5752" s="387" t="s">
        <v>16596</v>
      </c>
      <c r="B5752" s="387" t="s">
        <v>4615</v>
      </c>
    </row>
    <row r="5753" spans="1:2">
      <c r="A5753" s="387" t="s">
        <v>16597</v>
      </c>
      <c r="B5753" s="387" t="s">
        <v>16598</v>
      </c>
    </row>
    <row r="5754" spans="1:2">
      <c r="A5754" s="387" t="s">
        <v>16599</v>
      </c>
      <c r="B5754" s="387" t="s">
        <v>1798</v>
      </c>
    </row>
    <row r="5755" spans="1:2">
      <c r="A5755" s="387" t="s">
        <v>16600</v>
      </c>
      <c r="B5755" s="387" t="s">
        <v>16601</v>
      </c>
    </row>
    <row r="5756" spans="1:2">
      <c r="A5756" s="387" t="s">
        <v>16602</v>
      </c>
      <c r="B5756" s="387" t="s">
        <v>3226</v>
      </c>
    </row>
    <row r="5757" spans="1:2">
      <c r="A5757" s="387" t="s">
        <v>16603</v>
      </c>
      <c r="B5757" s="387" t="s">
        <v>8323</v>
      </c>
    </row>
    <row r="5758" spans="1:2">
      <c r="A5758" s="387" t="s">
        <v>16604</v>
      </c>
      <c r="B5758" s="387" t="s">
        <v>8339</v>
      </c>
    </row>
    <row r="5759" spans="1:2">
      <c r="A5759" s="387" t="s">
        <v>16605</v>
      </c>
      <c r="B5759" s="387" t="s">
        <v>16606</v>
      </c>
    </row>
    <row r="5760" spans="1:2">
      <c r="A5760" s="387" t="s">
        <v>16607</v>
      </c>
      <c r="B5760" s="387" t="s">
        <v>16608</v>
      </c>
    </row>
    <row r="5761" spans="1:2">
      <c r="A5761" s="387" t="s">
        <v>16609</v>
      </c>
      <c r="B5761" s="387" t="s">
        <v>1633</v>
      </c>
    </row>
    <row r="5762" spans="1:2">
      <c r="A5762" s="387" t="s">
        <v>16610</v>
      </c>
      <c r="B5762" s="387" t="s">
        <v>16611</v>
      </c>
    </row>
    <row r="5763" spans="1:2">
      <c r="A5763" s="387" t="s">
        <v>16612</v>
      </c>
      <c r="B5763" s="387" t="s">
        <v>16613</v>
      </c>
    </row>
    <row r="5764" spans="1:2">
      <c r="A5764" s="387" t="s">
        <v>16614</v>
      </c>
      <c r="B5764" s="387" t="s">
        <v>16615</v>
      </c>
    </row>
    <row r="5765" spans="1:2">
      <c r="A5765" s="387" t="s">
        <v>16616</v>
      </c>
      <c r="B5765" s="387" t="s">
        <v>7669</v>
      </c>
    </row>
    <row r="5766" spans="1:2">
      <c r="A5766" s="387" t="s">
        <v>16617</v>
      </c>
      <c r="B5766" s="387" t="s">
        <v>3431</v>
      </c>
    </row>
    <row r="5767" spans="1:2">
      <c r="A5767" s="387" t="s">
        <v>16618</v>
      </c>
      <c r="B5767" s="387" t="s">
        <v>2804</v>
      </c>
    </row>
    <row r="5768" spans="1:2">
      <c r="A5768" s="387" t="s">
        <v>16619</v>
      </c>
      <c r="B5768" s="387" t="s">
        <v>8274</v>
      </c>
    </row>
    <row r="5769" spans="1:2">
      <c r="A5769" s="387" t="s">
        <v>16620</v>
      </c>
      <c r="B5769" s="387" t="s">
        <v>16621</v>
      </c>
    </row>
    <row r="5770" spans="1:2">
      <c r="A5770" s="387" t="s">
        <v>16622</v>
      </c>
      <c r="B5770" s="387" t="s">
        <v>16623</v>
      </c>
    </row>
    <row r="5771" spans="1:2">
      <c r="A5771" s="387" t="s">
        <v>16624</v>
      </c>
      <c r="B5771" s="387" t="s">
        <v>16625</v>
      </c>
    </row>
    <row r="5772" spans="1:2">
      <c r="A5772" s="387" t="s">
        <v>16626</v>
      </c>
      <c r="B5772" s="387" t="s">
        <v>16627</v>
      </c>
    </row>
    <row r="5773" spans="1:2">
      <c r="A5773" s="387" t="s">
        <v>16628</v>
      </c>
      <c r="B5773" s="387" t="s">
        <v>3516</v>
      </c>
    </row>
    <row r="5774" spans="1:2">
      <c r="A5774" s="387" t="s">
        <v>16629</v>
      </c>
      <c r="B5774" s="387" t="s">
        <v>16630</v>
      </c>
    </row>
    <row r="5775" spans="1:2">
      <c r="A5775" s="387" t="s">
        <v>16631</v>
      </c>
      <c r="B5775" s="387" t="s">
        <v>16632</v>
      </c>
    </row>
    <row r="5776" spans="1:2">
      <c r="A5776" s="387" t="s">
        <v>16633</v>
      </c>
      <c r="B5776" s="387" t="s">
        <v>11041</v>
      </c>
    </row>
    <row r="5777" spans="1:2">
      <c r="A5777" s="387" t="s">
        <v>16634</v>
      </c>
      <c r="B5777" s="387" t="s">
        <v>3421</v>
      </c>
    </row>
    <row r="5778" spans="1:2">
      <c r="A5778" s="387" t="s">
        <v>16635</v>
      </c>
      <c r="B5778" s="387" t="s">
        <v>16636</v>
      </c>
    </row>
    <row r="5779" spans="1:2">
      <c r="A5779" s="387" t="s">
        <v>16637</v>
      </c>
      <c r="B5779" s="387" t="s">
        <v>16638</v>
      </c>
    </row>
    <row r="5780" spans="1:2">
      <c r="A5780" s="387" t="s">
        <v>16639</v>
      </c>
      <c r="B5780" s="387" t="s">
        <v>14493</v>
      </c>
    </row>
    <row r="5781" spans="1:2">
      <c r="A5781" s="387" t="s">
        <v>16640</v>
      </c>
      <c r="B5781" s="387" t="s">
        <v>8501</v>
      </c>
    </row>
    <row r="5782" spans="1:2">
      <c r="A5782" s="387" t="s">
        <v>16641</v>
      </c>
      <c r="B5782" s="387" t="s">
        <v>16642</v>
      </c>
    </row>
    <row r="5783" spans="1:2">
      <c r="A5783" s="387" t="s">
        <v>16643</v>
      </c>
      <c r="B5783" s="387" t="s">
        <v>16644</v>
      </c>
    </row>
    <row r="5784" spans="1:2">
      <c r="A5784" s="387" t="s">
        <v>16645</v>
      </c>
      <c r="B5784" s="387" t="s">
        <v>8511</v>
      </c>
    </row>
    <row r="5785" spans="1:2">
      <c r="A5785" s="387" t="s">
        <v>16646</v>
      </c>
      <c r="B5785" s="387" t="s">
        <v>8526</v>
      </c>
    </row>
    <row r="5786" spans="1:2">
      <c r="A5786" s="387" t="s">
        <v>16647</v>
      </c>
      <c r="B5786" s="387" t="s">
        <v>16648</v>
      </c>
    </row>
    <row r="5787" spans="1:2">
      <c r="A5787" s="387" t="s">
        <v>16649</v>
      </c>
      <c r="B5787" s="387" t="s">
        <v>8532</v>
      </c>
    </row>
    <row r="5788" spans="1:2">
      <c r="A5788" s="387" t="s">
        <v>16650</v>
      </c>
      <c r="B5788" s="387" t="s">
        <v>8556</v>
      </c>
    </row>
    <row r="5789" spans="1:2">
      <c r="A5789" s="387" t="s">
        <v>16651</v>
      </c>
      <c r="B5789" s="387" t="s">
        <v>16652</v>
      </c>
    </row>
    <row r="5790" spans="1:2">
      <c r="A5790" s="387" t="s">
        <v>16653</v>
      </c>
      <c r="B5790" s="387" t="s">
        <v>16654</v>
      </c>
    </row>
    <row r="5791" spans="1:2">
      <c r="A5791" s="387" t="s">
        <v>16655</v>
      </c>
      <c r="B5791" s="387" t="s">
        <v>8574</v>
      </c>
    </row>
    <row r="5792" spans="1:2">
      <c r="A5792" s="387" t="s">
        <v>16656</v>
      </c>
      <c r="B5792" s="387" t="s">
        <v>6511</v>
      </c>
    </row>
    <row r="5793" spans="1:2">
      <c r="A5793" s="387" t="s">
        <v>16657</v>
      </c>
      <c r="B5793" s="387" t="s">
        <v>1767</v>
      </c>
    </row>
    <row r="5794" spans="1:2">
      <c r="A5794" s="387" t="s">
        <v>16658</v>
      </c>
      <c r="B5794" s="387" t="s">
        <v>4380</v>
      </c>
    </row>
    <row r="5795" spans="1:2">
      <c r="A5795" s="387" t="s">
        <v>16659</v>
      </c>
      <c r="B5795" s="387" t="s">
        <v>16660</v>
      </c>
    </row>
    <row r="5796" spans="1:2">
      <c r="A5796" s="387" t="s">
        <v>16661</v>
      </c>
      <c r="B5796" s="387" t="s">
        <v>16662</v>
      </c>
    </row>
    <row r="5797" spans="1:2">
      <c r="A5797" s="387" t="s">
        <v>16663</v>
      </c>
      <c r="B5797" s="387" t="s">
        <v>4931</v>
      </c>
    </row>
    <row r="5798" spans="1:2">
      <c r="A5798" s="387" t="s">
        <v>16664</v>
      </c>
      <c r="B5798" s="387" t="s">
        <v>3380</v>
      </c>
    </row>
    <row r="5799" spans="1:2">
      <c r="A5799" s="387" t="s">
        <v>16665</v>
      </c>
      <c r="B5799" s="387" t="s">
        <v>2647</v>
      </c>
    </row>
    <row r="5800" spans="1:2">
      <c r="A5800" s="387" t="s">
        <v>16666</v>
      </c>
      <c r="B5800" s="387" t="s">
        <v>8632</v>
      </c>
    </row>
    <row r="5801" spans="1:2">
      <c r="A5801" s="387" t="s">
        <v>16667</v>
      </c>
      <c r="B5801" s="387" t="s">
        <v>12375</v>
      </c>
    </row>
    <row r="5802" spans="1:2">
      <c r="A5802" s="387" t="s">
        <v>16668</v>
      </c>
      <c r="B5802" s="387" t="s">
        <v>8691</v>
      </c>
    </row>
    <row r="5803" spans="1:2">
      <c r="A5803" s="387" t="s">
        <v>16669</v>
      </c>
      <c r="B5803" s="387" t="s">
        <v>8693</v>
      </c>
    </row>
    <row r="5804" spans="1:2">
      <c r="A5804" s="387" t="s">
        <v>16670</v>
      </c>
      <c r="B5804" s="387" t="s">
        <v>14502</v>
      </c>
    </row>
    <row r="5805" spans="1:2">
      <c r="A5805" s="387" t="s">
        <v>16671</v>
      </c>
      <c r="B5805" s="387" t="s">
        <v>2231</v>
      </c>
    </row>
    <row r="5806" spans="1:2">
      <c r="A5806" s="387" t="s">
        <v>16672</v>
      </c>
      <c r="B5806" s="387" t="s">
        <v>2734</v>
      </c>
    </row>
    <row r="5807" spans="1:2">
      <c r="A5807" s="387" t="s">
        <v>16673</v>
      </c>
      <c r="B5807" s="387" t="s">
        <v>2528</v>
      </c>
    </row>
    <row r="5808" spans="1:2">
      <c r="A5808" s="387" t="s">
        <v>16674</v>
      </c>
      <c r="B5808" s="387" t="s">
        <v>8798</v>
      </c>
    </row>
    <row r="5809" spans="1:2">
      <c r="A5809" s="387" t="s">
        <v>16675</v>
      </c>
      <c r="B5809" s="387" t="s">
        <v>16475</v>
      </c>
    </row>
    <row r="5810" spans="1:2">
      <c r="A5810" s="387" t="s">
        <v>16676</v>
      </c>
      <c r="B5810" s="387" t="s">
        <v>16677</v>
      </c>
    </row>
    <row r="5811" spans="1:2">
      <c r="A5811" s="387" t="s">
        <v>16678</v>
      </c>
      <c r="B5811" s="387" t="s">
        <v>4741</v>
      </c>
    </row>
    <row r="5812" spans="1:2">
      <c r="A5812" s="387" t="s">
        <v>16679</v>
      </c>
      <c r="B5812" s="387" t="s">
        <v>1708</v>
      </c>
    </row>
    <row r="5813" spans="1:2">
      <c r="A5813" s="387" t="s">
        <v>16680</v>
      </c>
      <c r="B5813" s="387" t="s">
        <v>1719</v>
      </c>
    </row>
    <row r="5814" spans="1:2">
      <c r="A5814" s="387" t="s">
        <v>16681</v>
      </c>
      <c r="B5814" s="387" t="s">
        <v>1719</v>
      </c>
    </row>
    <row r="5815" spans="1:2">
      <c r="A5815" s="387" t="s">
        <v>16682</v>
      </c>
      <c r="B5815" s="387" t="s">
        <v>1973</v>
      </c>
    </row>
    <row r="5816" spans="1:2">
      <c r="A5816" s="387" t="s">
        <v>16683</v>
      </c>
      <c r="B5816" s="387" t="s">
        <v>2623</v>
      </c>
    </row>
    <row r="5817" spans="1:2">
      <c r="A5817" s="387" t="s">
        <v>16684</v>
      </c>
      <c r="B5817" s="387" t="s">
        <v>990</v>
      </c>
    </row>
    <row r="5818" spans="1:2">
      <c r="A5818" s="387" t="s">
        <v>16685</v>
      </c>
      <c r="B5818" s="387" t="s">
        <v>3781</v>
      </c>
    </row>
    <row r="5819" spans="1:2">
      <c r="A5819" s="387" t="s">
        <v>16686</v>
      </c>
      <c r="B5819" s="387" t="s">
        <v>3983</v>
      </c>
    </row>
    <row r="5820" spans="1:2">
      <c r="A5820" s="387" t="s">
        <v>16687</v>
      </c>
      <c r="B5820" s="387" t="s">
        <v>4148</v>
      </c>
    </row>
    <row r="5821" spans="1:2">
      <c r="A5821" s="387" t="s">
        <v>16688</v>
      </c>
      <c r="B5821" s="387" t="s">
        <v>16689</v>
      </c>
    </row>
    <row r="5822" spans="1:2">
      <c r="A5822" s="387" t="s">
        <v>16690</v>
      </c>
      <c r="B5822" s="387" t="s">
        <v>4270</v>
      </c>
    </row>
    <row r="5823" spans="1:2">
      <c r="A5823" s="387" t="s">
        <v>16691</v>
      </c>
      <c r="B5823" s="387" t="s">
        <v>3185</v>
      </c>
    </row>
    <row r="5824" spans="1:2">
      <c r="A5824" s="387" t="s">
        <v>16692</v>
      </c>
      <c r="B5824" s="387" t="s">
        <v>4545</v>
      </c>
    </row>
    <row r="5825" spans="1:2">
      <c r="A5825" s="387" t="s">
        <v>16693</v>
      </c>
      <c r="B5825" s="387" t="s">
        <v>4634</v>
      </c>
    </row>
    <row r="5826" spans="1:2">
      <c r="A5826" s="387" t="s">
        <v>16694</v>
      </c>
      <c r="B5826" s="387" t="s">
        <v>4730</v>
      </c>
    </row>
    <row r="5827" spans="1:2">
      <c r="A5827" s="387" t="s">
        <v>16695</v>
      </c>
      <c r="B5827" s="387" t="s">
        <v>4847</v>
      </c>
    </row>
    <row r="5828" spans="1:2">
      <c r="A5828" s="387" t="s">
        <v>16696</v>
      </c>
      <c r="B5828" s="387" t="s">
        <v>4500</v>
      </c>
    </row>
    <row r="5829" spans="1:2">
      <c r="A5829" s="387" t="s">
        <v>16697</v>
      </c>
      <c r="B5829" s="387" t="s">
        <v>4878</v>
      </c>
    </row>
    <row r="5830" spans="1:2">
      <c r="A5830" s="387" t="s">
        <v>16698</v>
      </c>
      <c r="B5830" s="387" t="s">
        <v>16699</v>
      </c>
    </row>
    <row r="5831" spans="1:2">
      <c r="A5831" s="387" t="s">
        <v>16700</v>
      </c>
      <c r="B5831" s="387" t="s">
        <v>5171</v>
      </c>
    </row>
    <row r="5832" spans="1:2">
      <c r="A5832" s="387" t="s">
        <v>16701</v>
      </c>
      <c r="B5832" s="387" t="s">
        <v>5200</v>
      </c>
    </row>
    <row r="5833" spans="1:2">
      <c r="A5833" s="387" t="s">
        <v>16702</v>
      </c>
      <c r="B5833" s="387" t="s">
        <v>5202</v>
      </c>
    </row>
    <row r="5834" spans="1:2">
      <c r="A5834" s="387" t="s">
        <v>16703</v>
      </c>
      <c r="B5834" s="387" t="s">
        <v>5301</v>
      </c>
    </row>
    <row r="5835" spans="1:2">
      <c r="A5835" s="387" t="s">
        <v>16704</v>
      </c>
      <c r="B5835" s="387" t="s">
        <v>1500</v>
      </c>
    </row>
    <row r="5836" spans="1:2">
      <c r="A5836" s="387" t="s">
        <v>16705</v>
      </c>
      <c r="B5836" s="387" t="s">
        <v>1319</v>
      </c>
    </row>
    <row r="5837" spans="1:2">
      <c r="A5837" s="387" t="s">
        <v>16706</v>
      </c>
      <c r="B5837" s="387" t="s">
        <v>5650</v>
      </c>
    </row>
    <row r="5838" spans="1:2">
      <c r="A5838" s="387" t="s">
        <v>16707</v>
      </c>
      <c r="B5838" s="387" t="s">
        <v>5714</v>
      </c>
    </row>
    <row r="5839" spans="1:2">
      <c r="A5839" s="387" t="s">
        <v>16708</v>
      </c>
      <c r="B5839" s="387" t="s">
        <v>5729</v>
      </c>
    </row>
    <row r="5840" spans="1:2">
      <c r="A5840" s="387" t="s">
        <v>16709</v>
      </c>
      <c r="B5840" s="387" t="s">
        <v>5793</v>
      </c>
    </row>
    <row r="5841" spans="1:2">
      <c r="A5841" s="387" t="s">
        <v>16710</v>
      </c>
      <c r="B5841" s="387" t="s">
        <v>5809</v>
      </c>
    </row>
    <row r="5842" spans="1:2">
      <c r="A5842" s="387" t="s">
        <v>16711</v>
      </c>
      <c r="B5842" s="387" t="s">
        <v>5898</v>
      </c>
    </row>
    <row r="5843" spans="1:2">
      <c r="A5843" s="387" t="s">
        <v>16712</v>
      </c>
      <c r="B5843" s="387" t="s">
        <v>5947</v>
      </c>
    </row>
    <row r="5844" spans="1:2">
      <c r="A5844" s="387" t="s">
        <v>16713</v>
      </c>
      <c r="B5844" s="387" t="s">
        <v>6051</v>
      </c>
    </row>
    <row r="5845" spans="1:2">
      <c r="A5845" s="387" t="s">
        <v>16714</v>
      </c>
      <c r="B5845" s="387" t="s">
        <v>6053</v>
      </c>
    </row>
    <row r="5846" spans="1:2">
      <c r="A5846" s="387" t="s">
        <v>16715</v>
      </c>
      <c r="B5846" s="387" t="s">
        <v>6011</v>
      </c>
    </row>
    <row r="5847" spans="1:2">
      <c r="A5847" s="387" t="s">
        <v>16716</v>
      </c>
      <c r="B5847" s="387" t="s">
        <v>6094</v>
      </c>
    </row>
    <row r="5848" spans="1:2">
      <c r="A5848" s="387" t="s">
        <v>16717</v>
      </c>
      <c r="B5848" s="387" t="s">
        <v>5351</v>
      </c>
    </row>
    <row r="5849" spans="1:2">
      <c r="A5849" s="387" t="s">
        <v>16718</v>
      </c>
      <c r="B5849" s="387" t="s">
        <v>16719</v>
      </c>
    </row>
    <row r="5850" spans="1:2">
      <c r="A5850" s="387" t="s">
        <v>16720</v>
      </c>
      <c r="B5850" s="387" t="s">
        <v>1083</v>
      </c>
    </row>
    <row r="5851" spans="1:2">
      <c r="A5851" s="387" t="s">
        <v>16721</v>
      </c>
      <c r="B5851" s="387" t="s">
        <v>2511</v>
      </c>
    </row>
    <row r="5852" spans="1:2">
      <c r="A5852" s="387" t="s">
        <v>16722</v>
      </c>
      <c r="B5852" s="387" t="s">
        <v>6323</v>
      </c>
    </row>
    <row r="5853" spans="1:2">
      <c r="A5853" s="387" t="s">
        <v>16723</v>
      </c>
      <c r="B5853" s="387" t="s">
        <v>2440</v>
      </c>
    </row>
    <row r="5854" spans="1:2">
      <c r="A5854" s="387" t="s">
        <v>16724</v>
      </c>
      <c r="B5854" s="387" t="s">
        <v>960</v>
      </c>
    </row>
    <row r="5855" spans="1:2">
      <c r="A5855" s="387" t="s">
        <v>16725</v>
      </c>
      <c r="B5855" s="387" t="s">
        <v>6513</v>
      </c>
    </row>
    <row r="5856" spans="1:2">
      <c r="A5856" s="387" t="s">
        <v>16726</v>
      </c>
      <c r="B5856" s="387" t="s">
        <v>16727</v>
      </c>
    </row>
    <row r="5857" spans="1:2">
      <c r="A5857" s="387" t="s">
        <v>16728</v>
      </c>
      <c r="B5857" s="387" t="s">
        <v>6645</v>
      </c>
    </row>
    <row r="5858" spans="1:2">
      <c r="A5858" s="387" t="s">
        <v>16729</v>
      </c>
      <c r="B5858" s="387" t="s">
        <v>16730</v>
      </c>
    </row>
    <row r="5859" spans="1:2">
      <c r="A5859" s="387" t="s">
        <v>16731</v>
      </c>
      <c r="B5859" s="387" t="s">
        <v>6651</v>
      </c>
    </row>
    <row r="5860" spans="1:2">
      <c r="A5860" s="387" t="s">
        <v>16732</v>
      </c>
      <c r="B5860" s="387" t="s">
        <v>1502</v>
      </c>
    </row>
    <row r="5861" spans="1:2">
      <c r="A5861" s="387" t="s">
        <v>16733</v>
      </c>
      <c r="B5861" s="387" t="s">
        <v>6668</v>
      </c>
    </row>
    <row r="5862" spans="1:2">
      <c r="A5862" s="387" t="s">
        <v>16734</v>
      </c>
      <c r="B5862" s="387" t="s">
        <v>16558</v>
      </c>
    </row>
    <row r="5863" spans="1:2">
      <c r="A5863" s="387" t="s">
        <v>16735</v>
      </c>
      <c r="B5863" s="387" t="s">
        <v>16736</v>
      </c>
    </row>
    <row r="5864" spans="1:2">
      <c r="A5864" s="387" t="s">
        <v>16737</v>
      </c>
      <c r="B5864" s="387" t="s">
        <v>2276</v>
      </c>
    </row>
    <row r="5865" spans="1:2">
      <c r="A5865" s="387" t="s">
        <v>16738</v>
      </c>
      <c r="B5865" s="387" t="s">
        <v>6876</v>
      </c>
    </row>
    <row r="5866" spans="1:2">
      <c r="A5866" s="387" t="s">
        <v>16739</v>
      </c>
      <c r="B5866" s="387" t="s">
        <v>6878</v>
      </c>
    </row>
    <row r="5867" spans="1:2">
      <c r="A5867" s="387" t="s">
        <v>16740</v>
      </c>
      <c r="B5867" s="387" t="s">
        <v>6880</v>
      </c>
    </row>
    <row r="5868" spans="1:2">
      <c r="A5868" s="387" t="s">
        <v>16741</v>
      </c>
      <c r="B5868" s="387" t="s">
        <v>16742</v>
      </c>
    </row>
    <row r="5869" spans="1:2">
      <c r="A5869" s="387" t="s">
        <v>16743</v>
      </c>
      <c r="B5869" s="387" t="s">
        <v>2790</v>
      </c>
    </row>
    <row r="5870" spans="1:2">
      <c r="A5870" s="387" t="s">
        <v>16744</v>
      </c>
      <c r="B5870" s="387" t="s">
        <v>3197</v>
      </c>
    </row>
    <row r="5871" spans="1:2">
      <c r="A5871" s="387" t="s">
        <v>16745</v>
      </c>
      <c r="B5871" s="387" t="s">
        <v>16746</v>
      </c>
    </row>
    <row r="5872" spans="1:2">
      <c r="A5872" s="387" t="s">
        <v>16747</v>
      </c>
      <c r="B5872" s="387" t="s">
        <v>6952</v>
      </c>
    </row>
    <row r="5873" spans="1:2">
      <c r="A5873" s="387" t="s">
        <v>16748</v>
      </c>
      <c r="B5873" s="387" t="s">
        <v>9453</v>
      </c>
    </row>
    <row r="5874" spans="1:2">
      <c r="A5874" s="387" t="s">
        <v>16749</v>
      </c>
      <c r="B5874" s="387" t="s">
        <v>7044</v>
      </c>
    </row>
    <row r="5875" spans="1:2">
      <c r="A5875" s="387" t="s">
        <v>16750</v>
      </c>
      <c r="B5875" s="387" t="s">
        <v>16751</v>
      </c>
    </row>
    <row r="5876" spans="1:2">
      <c r="A5876" s="387" t="s">
        <v>16752</v>
      </c>
      <c r="B5876" s="387" t="s">
        <v>7156</v>
      </c>
    </row>
    <row r="5877" spans="1:2">
      <c r="A5877" s="387" t="s">
        <v>16753</v>
      </c>
      <c r="B5877" s="387" t="s">
        <v>3295</v>
      </c>
    </row>
    <row r="5878" spans="1:2">
      <c r="A5878" s="387" t="s">
        <v>16754</v>
      </c>
      <c r="B5878" s="387" t="s">
        <v>7205</v>
      </c>
    </row>
    <row r="5879" spans="1:2">
      <c r="A5879" s="387" t="s">
        <v>16755</v>
      </c>
      <c r="B5879" s="387" t="s">
        <v>16756</v>
      </c>
    </row>
    <row r="5880" spans="1:2">
      <c r="A5880" s="387" t="s">
        <v>16757</v>
      </c>
      <c r="B5880" s="387" t="s">
        <v>16758</v>
      </c>
    </row>
    <row r="5881" spans="1:2">
      <c r="A5881" s="387" t="s">
        <v>16759</v>
      </c>
      <c r="B5881" s="387" t="s">
        <v>16760</v>
      </c>
    </row>
    <row r="5882" spans="1:2">
      <c r="A5882" s="387" t="s">
        <v>16761</v>
      </c>
      <c r="B5882" s="387" t="s">
        <v>16762</v>
      </c>
    </row>
    <row r="5883" spans="1:2">
      <c r="A5883" s="387" t="s">
        <v>16763</v>
      </c>
      <c r="B5883" s="387" t="s">
        <v>6893</v>
      </c>
    </row>
    <row r="5884" spans="1:2">
      <c r="A5884" s="387" t="s">
        <v>16764</v>
      </c>
      <c r="B5884" s="387" t="s">
        <v>2726</v>
      </c>
    </row>
    <row r="5885" spans="1:2">
      <c r="A5885" s="387" t="s">
        <v>16765</v>
      </c>
      <c r="B5885" s="387" t="s">
        <v>1904</v>
      </c>
    </row>
    <row r="5886" spans="1:2">
      <c r="A5886" s="387" t="s">
        <v>16766</v>
      </c>
      <c r="B5886" s="387" t="s">
        <v>1287</v>
      </c>
    </row>
    <row r="5887" spans="1:2">
      <c r="A5887" s="387" t="s">
        <v>16767</v>
      </c>
      <c r="B5887" s="387" t="s">
        <v>7424</v>
      </c>
    </row>
    <row r="5888" spans="1:2">
      <c r="A5888" s="387" t="s">
        <v>16768</v>
      </c>
      <c r="B5888" s="387" t="s">
        <v>7118</v>
      </c>
    </row>
    <row r="5889" spans="1:2">
      <c r="A5889" s="387" t="s">
        <v>16769</v>
      </c>
      <c r="B5889" s="387" t="s">
        <v>16770</v>
      </c>
    </row>
    <row r="5890" spans="1:2">
      <c r="A5890" s="387" t="s">
        <v>16771</v>
      </c>
      <c r="B5890" s="387" t="s">
        <v>16772</v>
      </c>
    </row>
    <row r="5891" spans="1:2">
      <c r="A5891" s="387" t="s">
        <v>16773</v>
      </c>
      <c r="B5891" s="387" t="s">
        <v>4615</v>
      </c>
    </row>
    <row r="5892" spans="1:2">
      <c r="A5892" s="387" t="s">
        <v>16774</v>
      </c>
      <c r="B5892" s="387" t="s">
        <v>16775</v>
      </c>
    </row>
    <row r="5893" spans="1:2">
      <c r="A5893" s="387" t="s">
        <v>16776</v>
      </c>
      <c r="B5893" s="387" t="s">
        <v>4502</v>
      </c>
    </row>
    <row r="5894" spans="1:2">
      <c r="A5894" s="387" t="s">
        <v>16777</v>
      </c>
      <c r="B5894" s="387" t="s">
        <v>7481</v>
      </c>
    </row>
    <row r="5895" spans="1:2">
      <c r="A5895" s="387" t="s">
        <v>16778</v>
      </c>
      <c r="B5895" s="387" t="s">
        <v>16779</v>
      </c>
    </row>
    <row r="5896" spans="1:2">
      <c r="A5896" s="387" t="s">
        <v>16780</v>
      </c>
      <c r="B5896" s="387" t="s">
        <v>3492</v>
      </c>
    </row>
    <row r="5897" spans="1:2">
      <c r="A5897" s="387" t="s">
        <v>16781</v>
      </c>
      <c r="B5897" s="387" t="s">
        <v>6338</v>
      </c>
    </row>
    <row r="5898" spans="1:2">
      <c r="A5898" s="387" t="s">
        <v>16782</v>
      </c>
      <c r="B5898" s="387" t="s">
        <v>16783</v>
      </c>
    </row>
    <row r="5899" spans="1:2">
      <c r="A5899" s="387" t="s">
        <v>16784</v>
      </c>
      <c r="B5899" s="387" t="s">
        <v>2845</v>
      </c>
    </row>
    <row r="5900" spans="1:2">
      <c r="A5900" s="387" t="s">
        <v>16785</v>
      </c>
      <c r="B5900" s="387" t="s">
        <v>6542</v>
      </c>
    </row>
    <row r="5901" spans="1:2">
      <c r="A5901" s="387" t="s">
        <v>16786</v>
      </c>
      <c r="B5901" s="387" t="s">
        <v>4165</v>
      </c>
    </row>
    <row r="5902" spans="1:2">
      <c r="A5902" s="387" t="s">
        <v>16787</v>
      </c>
      <c r="B5902" s="387" t="s">
        <v>16788</v>
      </c>
    </row>
    <row r="5903" spans="1:2">
      <c r="A5903" s="387" t="s">
        <v>16789</v>
      </c>
      <c r="B5903" s="387" t="s">
        <v>16790</v>
      </c>
    </row>
    <row r="5904" spans="1:2">
      <c r="A5904" s="387" t="s">
        <v>16791</v>
      </c>
      <c r="B5904" s="387" t="s">
        <v>1767</v>
      </c>
    </row>
    <row r="5905" spans="1:2">
      <c r="A5905" s="387" t="s">
        <v>16792</v>
      </c>
      <c r="B5905" s="387" t="s">
        <v>3568</v>
      </c>
    </row>
    <row r="5906" spans="1:2">
      <c r="A5906" s="387" t="s">
        <v>16793</v>
      </c>
      <c r="B5906" s="387" t="s">
        <v>16794</v>
      </c>
    </row>
    <row r="5907" spans="1:2">
      <c r="A5907" s="387" t="s">
        <v>16795</v>
      </c>
      <c r="B5907" s="387" t="s">
        <v>7655</v>
      </c>
    </row>
    <row r="5908" spans="1:2">
      <c r="A5908" s="387" t="s">
        <v>16796</v>
      </c>
      <c r="B5908" s="387" t="s">
        <v>16797</v>
      </c>
    </row>
    <row r="5909" spans="1:2">
      <c r="A5909" s="387" t="s">
        <v>16798</v>
      </c>
      <c r="B5909" s="387" t="s">
        <v>16799</v>
      </c>
    </row>
    <row r="5910" spans="1:2">
      <c r="A5910" s="387" t="s">
        <v>16800</v>
      </c>
      <c r="B5910" s="387" t="s">
        <v>1438</v>
      </c>
    </row>
    <row r="5911" spans="1:2">
      <c r="A5911" s="387" t="s">
        <v>16801</v>
      </c>
      <c r="B5911" s="387" t="s">
        <v>1712</v>
      </c>
    </row>
    <row r="5912" spans="1:2">
      <c r="A5912" s="387" t="s">
        <v>16802</v>
      </c>
      <c r="B5912" s="387" t="s">
        <v>1991</v>
      </c>
    </row>
    <row r="5913" spans="1:2">
      <c r="A5913" s="387" t="s">
        <v>16803</v>
      </c>
      <c r="B5913" s="387" t="s">
        <v>2043</v>
      </c>
    </row>
    <row r="5914" spans="1:2">
      <c r="A5914" s="387" t="s">
        <v>16804</v>
      </c>
      <c r="B5914" s="387" t="s">
        <v>2154</v>
      </c>
    </row>
    <row r="5915" spans="1:2">
      <c r="A5915" s="387" t="s">
        <v>16805</v>
      </c>
      <c r="B5915" s="387" t="s">
        <v>2340</v>
      </c>
    </row>
    <row r="5916" spans="1:2">
      <c r="A5916" s="387" t="s">
        <v>16806</v>
      </c>
      <c r="B5916" s="387" t="s">
        <v>1588</v>
      </c>
    </row>
    <row r="5917" spans="1:2">
      <c r="A5917" s="387" t="s">
        <v>16807</v>
      </c>
      <c r="B5917" s="387" t="s">
        <v>3171</v>
      </c>
    </row>
    <row r="5918" spans="1:2">
      <c r="A5918" s="387" t="s">
        <v>16808</v>
      </c>
      <c r="B5918" s="387" t="s">
        <v>3304</v>
      </c>
    </row>
    <row r="5919" spans="1:2">
      <c r="A5919" s="387" t="s">
        <v>16809</v>
      </c>
      <c r="B5919" s="387" t="s">
        <v>4129</v>
      </c>
    </row>
    <row r="5920" spans="1:2">
      <c r="A5920" s="387" t="s">
        <v>16810</v>
      </c>
      <c r="B5920" s="387" t="s">
        <v>4250</v>
      </c>
    </row>
    <row r="5921" spans="1:2">
      <c r="A5921" s="387" t="s">
        <v>16811</v>
      </c>
      <c r="B5921" s="387" t="s">
        <v>4412</v>
      </c>
    </row>
    <row r="5922" spans="1:2">
      <c r="A5922" s="387" t="s">
        <v>16812</v>
      </c>
      <c r="B5922" s="387" t="s">
        <v>4600</v>
      </c>
    </row>
    <row r="5923" spans="1:2">
      <c r="A5923" s="387" t="s">
        <v>16813</v>
      </c>
      <c r="B5923" s="387" t="s">
        <v>3431</v>
      </c>
    </row>
    <row r="5924" spans="1:2">
      <c r="A5924" s="387" t="s">
        <v>16814</v>
      </c>
      <c r="B5924" s="387" t="s">
        <v>1356</v>
      </c>
    </row>
    <row r="5925" spans="1:2">
      <c r="A5925" s="387" t="s">
        <v>16815</v>
      </c>
      <c r="B5925" s="387" t="s">
        <v>5908</v>
      </c>
    </row>
    <row r="5926" spans="1:2">
      <c r="A5926" s="387" t="s">
        <v>16816</v>
      </c>
      <c r="B5926" s="387" t="s">
        <v>16817</v>
      </c>
    </row>
    <row r="5927" spans="1:2">
      <c r="A5927" s="387" t="s">
        <v>16818</v>
      </c>
      <c r="B5927" s="387" t="s">
        <v>6167</v>
      </c>
    </row>
    <row r="5928" spans="1:2">
      <c r="A5928" s="387" t="s">
        <v>16819</v>
      </c>
      <c r="B5928" s="387" t="s">
        <v>1442</v>
      </c>
    </row>
    <row r="5929" spans="1:2">
      <c r="A5929" s="387" t="s">
        <v>16820</v>
      </c>
      <c r="B5929" s="387" t="s">
        <v>16821</v>
      </c>
    </row>
    <row r="5930" spans="1:2">
      <c r="A5930" s="387" t="s">
        <v>16822</v>
      </c>
      <c r="B5930" s="387" t="s">
        <v>16823</v>
      </c>
    </row>
    <row r="5931" spans="1:2">
      <c r="A5931" s="387" t="s">
        <v>16824</v>
      </c>
      <c r="B5931" s="387" t="s">
        <v>6962</v>
      </c>
    </row>
    <row r="5932" spans="1:2">
      <c r="A5932" s="387" t="s">
        <v>16825</v>
      </c>
      <c r="B5932" s="387" t="s">
        <v>7101</v>
      </c>
    </row>
    <row r="5933" spans="1:2">
      <c r="A5933" s="387" t="s">
        <v>16826</v>
      </c>
      <c r="B5933" s="387" t="s">
        <v>16827</v>
      </c>
    </row>
    <row r="5934" spans="1:2">
      <c r="A5934" s="387" t="s">
        <v>16828</v>
      </c>
      <c r="B5934" s="387" t="s">
        <v>7189</v>
      </c>
    </row>
    <row r="5935" spans="1:2">
      <c r="A5935" s="387" t="s">
        <v>16829</v>
      </c>
      <c r="B5935" s="387" t="s">
        <v>7228</v>
      </c>
    </row>
    <row r="5936" spans="1:2">
      <c r="A5936" s="387" t="s">
        <v>16830</v>
      </c>
      <c r="B5936" s="387" t="s">
        <v>7287</v>
      </c>
    </row>
    <row r="5937" spans="1:2">
      <c r="A5937" s="387" t="s">
        <v>16831</v>
      </c>
      <c r="B5937" s="387" t="s">
        <v>7296</v>
      </c>
    </row>
    <row r="5938" spans="1:2">
      <c r="A5938" s="387" t="s">
        <v>16832</v>
      </c>
      <c r="B5938" s="387" t="s">
        <v>7304</v>
      </c>
    </row>
    <row r="5939" spans="1:2">
      <c r="A5939" s="387" t="s">
        <v>16833</v>
      </c>
      <c r="B5939" s="387" t="s">
        <v>7306</v>
      </c>
    </row>
    <row r="5940" spans="1:2">
      <c r="A5940" s="387" t="s">
        <v>16834</v>
      </c>
      <c r="B5940" s="387" t="s">
        <v>7428</v>
      </c>
    </row>
    <row r="5941" spans="1:2">
      <c r="A5941" s="387" t="s">
        <v>16835</v>
      </c>
      <c r="B5941" s="387" t="s">
        <v>7430</v>
      </c>
    </row>
    <row r="5942" spans="1:2">
      <c r="A5942" s="387" t="s">
        <v>16836</v>
      </c>
      <c r="B5942" s="387" t="s">
        <v>16837</v>
      </c>
    </row>
    <row r="5943" spans="1:2">
      <c r="A5943" s="387" t="s">
        <v>16838</v>
      </c>
      <c r="B5943" s="387" t="s">
        <v>2440</v>
      </c>
    </row>
    <row r="5944" spans="1:2">
      <c r="A5944" s="387" t="s">
        <v>16839</v>
      </c>
      <c r="B5944" s="387" t="s">
        <v>16840</v>
      </c>
    </row>
    <row r="5945" spans="1:2">
      <c r="A5945" s="387" t="s">
        <v>16841</v>
      </c>
      <c r="B5945" s="387" t="s">
        <v>4280</v>
      </c>
    </row>
    <row r="5946" spans="1:2">
      <c r="A5946" s="387" t="s">
        <v>16842</v>
      </c>
      <c r="B5946" s="387" t="s">
        <v>6104</v>
      </c>
    </row>
    <row r="5947" spans="1:2">
      <c r="A5947" s="387" t="s">
        <v>16843</v>
      </c>
      <c r="B5947" s="387" t="s">
        <v>2672</v>
      </c>
    </row>
    <row r="5948" spans="1:2">
      <c r="A5948" s="387" t="s">
        <v>8384</v>
      </c>
      <c r="B5948" s="387" t="s">
        <v>1422</v>
      </c>
    </row>
    <row r="5949" spans="1:2">
      <c r="A5949" s="387" t="s">
        <v>7796</v>
      </c>
      <c r="B5949" s="387" t="s">
        <v>1682</v>
      </c>
    </row>
    <row r="5950" spans="1:2">
      <c r="A5950" s="387" t="s">
        <v>548</v>
      </c>
      <c r="B5950" s="387" t="s">
        <v>1717</v>
      </c>
    </row>
    <row r="5951" spans="1:2">
      <c r="A5951" s="387" t="s">
        <v>551</v>
      </c>
      <c r="B5951" s="387" t="s">
        <v>2112</v>
      </c>
    </row>
    <row r="5952" spans="1:2">
      <c r="A5952" s="387" t="s">
        <v>559</v>
      </c>
      <c r="B5952" s="387" t="s">
        <v>5595</v>
      </c>
    </row>
    <row r="5953" spans="1:2">
      <c r="A5953" s="387" t="s">
        <v>16844</v>
      </c>
      <c r="B5953" s="387" t="s">
        <v>16845</v>
      </c>
    </row>
    <row r="5954" spans="1:2">
      <c r="A5954" s="387" t="s">
        <v>16846</v>
      </c>
      <c r="B5954" s="387" t="s">
        <v>4160</v>
      </c>
    </row>
    <row r="5955" spans="1:2">
      <c r="A5955" s="387" t="s">
        <v>16847</v>
      </c>
      <c r="B5955" s="387" t="s">
        <v>8706</v>
      </c>
    </row>
    <row r="5956" spans="1:2">
      <c r="A5956" s="387" t="s">
        <v>16848</v>
      </c>
      <c r="B5956" s="387" t="s">
        <v>1290</v>
      </c>
    </row>
    <row r="5957" spans="1:2">
      <c r="A5957" s="387" t="s">
        <v>16849</v>
      </c>
      <c r="B5957" s="387" t="s">
        <v>1300</v>
      </c>
    </row>
    <row r="5958" spans="1:2">
      <c r="A5958" s="387" t="s">
        <v>550</v>
      </c>
      <c r="B5958" s="387" t="s">
        <v>1432</v>
      </c>
    </row>
    <row r="5959" spans="1:2">
      <c r="A5959" s="387" t="s">
        <v>16850</v>
      </c>
      <c r="B5959" s="387" t="s">
        <v>1607</v>
      </c>
    </row>
    <row r="5960" spans="1:2">
      <c r="A5960" s="387" t="s">
        <v>16851</v>
      </c>
      <c r="B5960" s="387" t="s">
        <v>2094</v>
      </c>
    </row>
    <row r="5961" spans="1:2">
      <c r="A5961" s="387" t="s">
        <v>16852</v>
      </c>
      <c r="B5961" s="387" t="s">
        <v>3142</v>
      </c>
    </row>
    <row r="5962" spans="1:2">
      <c r="A5962" s="387" t="s">
        <v>16853</v>
      </c>
      <c r="B5962" s="387" t="s">
        <v>3331</v>
      </c>
    </row>
    <row r="5963" spans="1:2">
      <c r="A5963" s="387" t="s">
        <v>16854</v>
      </c>
      <c r="B5963" s="387" t="s">
        <v>4252</v>
      </c>
    </row>
    <row r="5964" spans="1:2">
      <c r="A5964" s="387" t="s">
        <v>16855</v>
      </c>
      <c r="B5964" s="387" t="s">
        <v>4719</v>
      </c>
    </row>
    <row r="5965" spans="1:2">
      <c r="A5965" s="387" t="s">
        <v>16856</v>
      </c>
      <c r="B5965" s="387" t="s">
        <v>16857</v>
      </c>
    </row>
    <row r="5966" spans="1:2">
      <c r="A5966" s="387" t="s">
        <v>16858</v>
      </c>
      <c r="B5966" s="387" t="s">
        <v>4924</v>
      </c>
    </row>
    <row r="5967" spans="1:2">
      <c r="A5967" s="387" t="s">
        <v>16859</v>
      </c>
      <c r="B5967" s="387" t="s">
        <v>16860</v>
      </c>
    </row>
    <row r="5968" spans="1:2">
      <c r="A5968" s="387" t="s">
        <v>16861</v>
      </c>
      <c r="B5968" s="387" t="s">
        <v>4944</v>
      </c>
    </row>
    <row r="5969" spans="1:2">
      <c r="A5969" s="387" t="s">
        <v>16862</v>
      </c>
      <c r="B5969" s="387" t="s">
        <v>4978</v>
      </c>
    </row>
    <row r="5970" spans="1:2">
      <c r="A5970" s="387" t="s">
        <v>16863</v>
      </c>
      <c r="B5970" s="387" t="s">
        <v>5033</v>
      </c>
    </row>
    <row r="5971" spans="1:2">
      <c r="A5971" s="387" t="s">
        <v>16864</v>
      </c>
      <c r="B5971" s="387" t="s">
        <v>5035</v>
      </c>
    </row>
    <row r="5972" spans="1:2">
      <c r="A5972" s="387" t="s">
        <v>16865</v>
      </c>
      <c r="B5972" s="387" t="s">
        <v>2718</v>
      </c>
    </row>
    <row r="5973" spans="1:2">
      <c r="A5973" s="387" t="s">
        <v>16866</v>
      </c>
      <c r="B5973" s="387" t="s">
        <v>16867</v>
      </c>
    </row>
    <row r="5974" spans="1:2">
      <c r="A5974" s="387" t="s">
        <v>16868</v>
      </c>
      <c r="B5974" s="387" t="s">
        <v>6144</v>
      </c>
    </row>
    <row r="5975" spans="1:2">
      <c r="A5975" s="387" t="s">
        <v>16869</v>
      </c>
      <c r="B5975" s="387" t="s">
        <v>3394</v>
      </c>
    </row>
    <row r="5976" spans="1:2">
      <c r="A5976" s="387" t="s">
        <v>16870</v>
      </c>
      <c r="B5976" s="387" t="s">
        <v>6928</v>
      </c>
    </row>
    <row r="5977" spans="1:2">
      <c r="A5977" s="387" t="s">
        <v>568</v>
      </c>
      <c r="B5977" s="387" t="s">
        <v>2049</v>
      </c>
    </row>
    <row r="5978" spans="1:2">
      <c r="A5978" s="387" t="s">
        <v>16871</v>
      </c>
      <c r="B5978" s="387" t="s">
        <v>3877</v>
      </c>
    </row>
    <row r="5979" spans="1:2">
      <c r="A5979" s="387" t="s">
        <v>16872</v>
      </c>
      <c r="B5979" s="387" t="s">
        <v>4444</v>
      </c>
    </row>
    <row r="5980" spans="1:2">
      <c r="A5980" s="387" t="s">
        <v>16873</v>
      </c>
      <c r="B5980" s="387" t="s">
        <v>11046</v>
      </c>
    </row>
    <row r="5981" spans="1:2">
      <c r="A5981" s="387" t="s">
        <v>16874</v>
      </c>
      <c r="B5981" s="387" t="s">
        <v>4950</v>
      </c>
    </row>
    <row r="5982" spans="1:2">
      <c r="A5982" s="387" t="s">
        <v>16875</v>
      </c>
      <c r="B5982" s="387" t="s">
        <v>16876</v>
      </c>
    </row>
    <row r="5983" spans="1:2">
      <c r="A5983" s="387" t="s">
        <v>16877</v>
      </c>
      <c r="B5983" s="387" t="s">
        <v>5384</v>
      </c>
    </row>
    <row r="5984" spans="1:2">
      <c r="A5984" s="387" t="s">
        <v>16878</v>
      </c>
      <c r="B5984" s="387" t="s">
        <v>5742</v>
      </c>
    </row>
    <row r="5985" spans="1:2">
      <c r="A5985" s="387" t="s">
        <v>16879</v>
      </c>
      <c r="B5985" s="387" t="s">
        <v>5853</v>
      </c>
    </row>
    <row r="5986" spans="1:2">
      <c r="A5986" s="387" t="s">
        <v>16880</v>
      </c>
      <c r="B5986" s="387" t="s">
        <v>16881</v>
      </c>
    </row>
    <row r="5987" spans="1:2">
      <c r="A5987" s="387" t="s">
        <v>16882</v>
      </c>
      <c r="B5987" s="387" t="s">
        <v>16883</v>
      </c>
    </row>
    <row r="5988" spans="1:2">
      <c r="A5988" s="387" t="s">
        <v>16884</v>
      </c>
      <c r="B5988" s="387" t="s">
        <v>16885</v>
      </c>
    </row>
    <row r="5989" spans="1:2">
      <c r="A5989" s="387" t="s">
        <v>16886</v>
      </c>
      <c r="B5989" s="387" t="s">
        <v>16887</v>
      </c>
    </row>
    <row r="5990" spans="1:2">
      <c r="A5990" s="387" t="s">
        <v>16888</v>
      </c>
      <c r="B5990" s="387" t="s">
        <v>13967</v>
      </c>
    </row>
    <row r="5991" spans="1:2">
      <c r="A5991" s="387" t="s">
        <v>16889</v>
      </c>
      <c r="B5991" s="387" t="s">
        <v>7359</v>
      </c>
    </row>
    <row r="5992" spans="1:2">
      <c r="A5992" s="387" t="s">
        <v>16890</v>
      </c>
      <c r="B5992" s="387" t="s">
        <v>13202</v>
      </c>
    </row>
    <row r="5993" spans="1:2">
      <c r="A5993" s="387" t="s">
        <v>16891</v>
      </c>
      <c r="B5993" s="387" t="s">
        <v>16892</v>
      </c>
    </row>
    <row r="5994" spans="1:2">
      <c r="A5994" s="387" t="s">
        <v>16893</v>
      </c>
      <c r="B5994" s="387" t="s">
        <v>16894</v>
      </c>
    </row>
    <row r="5995" spans="1:2">
      <c r="A5995" s="387" t="s">
        <v>16895</v>
      </c>
      <c r="B5995" s="387" t="s">
        <v>16896</v>
      </c>
    </row>
    <row r="5996" spans="1:2">
      <c r="A5996" s="387" t="s">
        <v>16897</v>
      </c>
      <c r="B5996" s="387" t="s">
        <v>16898</v>
      </c>
    </row>
    <row r="5997" spans="1:2">
      <c r="A5997" s="387" t="s">
        <v>16899</v>
      </c>
      <c r="B5997" s="387" t="s">
        <v>2401</v>
      </c>
    </row>
    <row r="5998" spans="1:2">
      <c r="A5998" s="387" t="s">
        <v>16900</v>
      </c>
      <c r="B5998" s="387" t="s">
        <v>979</v>
      </c>
    </row>
    <row r="5999" spans="1:2">
      <c r="A5999" s="387" t="s">
        <v>16901</v>
      </c>
      <c r="B5999" s="387" t="s">
        <v>16902</v>
      </c>
    </row>
    <row r="6000" spans="1:2">
      <c r="A6000" s="387" t="s">
        <v>16903</v>
      </c>
      <c r="B6000" s="387" t="s">
        <v>2845</v>
      </c>
    </row>
    <row r="6001" spans="1:2">
      <c r="A6001" s="387" t="s">
        <v>16904</v>
      </c>
      <c r="B6001" s="387" t="s">
        <v>1502</v>
      </c>
    </row>
    <row r="6002" spans="1:2">
      <c r="A6002" s="387" t="s">
        <v>16905</v>
      </c>
      <c r="B6002" s="387" t="s">
        <v>2146</v>
      </c>
    </row>
    <row r="6003" spans="1:2">
      <c r="A6003" s="387" t="s">
        <v>16906</v>
      </c>
      <c r="B6003" s="387" t="s">
        <v>1473</v>
      </c>
    </row>
    <row r="6004" spans="1:2">
      <c r="A6004" s="387" t="s">
        <v>16907</v>
      </c>
      <c r="B6004" s="387" t="s">
        <v>1383</v>
      </c>
    </row>
    <row r="6005" spans="1:2">
      <c r="A6005" s="387" t="s">
        <v>16908</v>
      </c>
      <c r="B6005" s="387" t="s">
        <v>16909</v>
      </c>
    </row>
    <row r="6006" spans="1:2">
      <c r="A6006" s="387" t="s">
        <v>557</v>
      </c>
      <c r="B6006" s="387" t="s">
        <v>1506</v>
      </c>
    </row>
    <row r="6007" spans="1:2">
      <c r="A6007" s="387" t="s">
        <v>547</v>
      </c>
      <c r="B6007" s="387" t="s">
        <v>16910</v>
      </c>
    </row>
    <row r="6008" spans="1:2">
      <c r="A6008" s="387" t="s">
        <v>16911</v>
      </c>
      <c r="B6008" s="387" t="s">
        <v>2774</v>
      </c>
    </row>
    <row r="6009" spans="1:2">
      <c r="A6009" s="387" t="s">
        <v>16912</v>
      </c>
      <c r="B6009" s="387" t="s">
        <v>3026</v>
      </c>
    </row>
    <row r="6010" spans="1:2">
      <c r="A6010" s="387" t="s">
        <v>16913</v>
      </c>
      <c r="B6010" s="387" t="s">
        <v>4127</v>
      </c>
    </row>
    <row r="6011" spans="1:2">
      <c r="A6011" s="387" t="s">
        <v>16914</v>
      </c>
      <c r="B6011" s="387" t="s">
        <v>4620</v>
      </c>
    </row>
    <row r="6012" spans="1:2">
      <c r="A6012" s="387" t="s">
        <v>16915</v>
      </c>
      <c r="B6012" s="387" t="s">
        <v>4925</v>
      </c>
    </row>
    <row r="6013" spans="1:2">
      <c r="A6013" s="387" t="s">
        <v>16916</v>
      </c>
      <c r="B6013" s="387" t="s">
        <v>3938</v>
      </c>
    </row>
    <row r="6014" spans="1:2">
      <c r="A6014" s="387" t="s">
        <v>16917</v>
      </c>
      <c r="B6014" s="387" t="s">
        <v>6071</v>
      </c>
    </row>
    <row r="6015" spans="1:2">
      <c r="A6015" s="387" t="s">
        <v>16918</v>
      </c>
      <c r="B6015" s="387" t="s">
        <v>2474</v>
      </c>
    </row>
    <row r="6016" spans="1:2">
      <c r="A6016" s="387" t="s">
        <v>16919</v>
      </c>
      <c r="B6016" s="387" t="s">
        <v>16920</v>
      </c>
    </row>
    <row r="6017" spans="1:2">
      <c r="A6017" s="387" t="s">
        <v>8655</v>
      </c>
      <c r="B6017" s="387" t="s">
        <v>6884</v>
      </c>
    </row>
    <row r="6018" spans="1:2">
      <c r="A6018" s="387" t="s">
        <v>16921</v>
      </c>
      <c r="B6018" s="387" t="s">
        <v>1000</v>
      </c>
    </row>
    <row r="6019" spans="1:2">
      <c r="A6019" s="387" t="s">
        <v>16922</v>
      </c>
      <c r="B6019" s="387" t="s">
        <v>1344</v>
      </c>
    </row>
    <row r="6020" spans="1:2">
      <c r="A6020" s="387" t="s">
        <v>16923</v>
      </c>
      <c r="B6020" s="387" t="s">
        <v>1680</v>
      </c>
    </row>
    <row r="6021" spans="1:2">
      <c r="A6021" s="387" t="s">
        <v>7796</v>
      </c>
      <c r="B6021" s="387" t="s">
        <v>1682</v>
      </c>
    </row>
    <row r="6022" spans="1:2">
      <c r="A6022" s="387" t="s">
        <v>560</v>
      </c>
      <c r="B6022" s="387" t="s">
        <v>1765</v>
      </c>
    </row>
    <row r="6023" spans="1:2">
      <c r="A6023" s="387" t="s">
        <v>16924</v>
      </c>
      <c r="B6023" s="387" t="s">
        <v>1416</v>
      </c>
    </row>
    <row r="6024" spans="1:2">
      <c r="A6024" s="387" t="s">
        <v>16925</v>
      </c>
      <c r="B6024" s="387" t="s">
        <v>2811</v>
      </c>
    </row>
    <row r="6025" spans="1:2">
      <c r="A6025" s="387" t="s">
        <v>16926</v>
      </c>
      <c r="B6025" s="387" t="s">
        <v>3792</v>
      </c>
    </row>
    <row r="6026" spans="1:2">
      <c r="A6026" s="387" t="s">
        <v>16927</v>
      </c>
      <c r="B6026" s="387" t="s">
        <v>4150</v>
      </c>
    </row>
    <row r="6027" spans="1:2">
      <c r="A6027" s="387" t="s">
        <v>16928</v>
      </c>
      <c r="B6027" s="387" t="s">
        <v>2150</v>
      </c>
    </row>
    <row r="6028" spans="1:2">
      <c r="A6028" s="387" t="s">
        <v>16929</v>
      </c>
      <c r="B6028" s="387" t="s">
        <v>16930</v>
      </c>
    </row>
    <row r="6029" spans="1:2">
      <c r="A6029" s="387" t="s">
        <v>16931</v>
      </c>
      <c r="B6029" s="387" t="s">
        <v>5390</v>
      </c>
    </row>
    <row r="6030" spans="1:2">
      <c r="A6030" s="387" t="s">
        <v>16932</v>
      </c>
      <c r="B6030" s="387" t="s">
        <v>2647</v>
      </c>
    </row>
    <row r="6031" spans="1:2">
      <c r="A6031" s="387" t="s">
        <v>16933</v>
      </c>
      <c r="B6031" s="387" t="s">
        <v>5939</v>
      </c>
    </row>
    <row r="6032" spans="1:2">
      <c r="A6032" s="387" t="s">
        <v>16934</v>
      </c>
      <c r="B6032" s="387" t="s">
        <v>16935</v>
      </c>
    </row>
    <row r="6033" spans="1:2">
      <c r="A6033" s="387" t="s">
        <v>16936</v>
      </c>
      <c r="B6033" s="387" t="s">
        <v>8350</v>
      </c>
    </row>
    <row r="6034" spans="1:2">
      <c r="A6034" s="387" t="s">
        <v>16937</v>
      </c>
      <c r="B6034" s="387" t="s">
        <v>7376</v>
      </c>
    </row>
    <row r="6035" spans="1:2">
      <c r="A6035" s="387" t="s">
        <v>16938</v>
      </c>
      <c r="B6035" s="387" t="s">
        <v>5388</v>
      </c>
    </row>
    <row r="6036" spans="1:2">
      <c r="A6036" s="387" t="s">
        <v>16939</v>
      </c>
      <c r="B6036" s="387" t="s">
        <v>16940</v>
      </c>
    </row>
    <row r="6037" spans="1:2">
      <c r="A6037" s="387" t="s">
        <v>16941</v>
      </c>
      <c r="B6037" s="387" t="s">
        <v>7489</v>
      </c>
    </row>
    <row r="6038" spans="1:2">
      <c r="A6038" s="387" t="s">
        <v>16942</v>
      </c>
      <c r="B6038" s="387" t="s">
        <v>16943</v>
      </c>
    </row>
    <row r="6039" spans="1:2">
      <c r="A6039" s="387" t="s">
        <v>555</v>
      </c>
      <c r="B6039" s="387" t="s">
        <v>976</v>
      </c>
    </row>
    <row r="6040" spans="1:2">
      <c r="A6040" s="387" t="s">
        <v>535</v>
      </c>
      <c r="B6040" s="387" t="s">
        <v>1260</v>
      </c>
    </row>
    <row r="6041" spans="1:2">
      <c r="A6041" s="387" t="s">
        <v>7791</v>
      </c>
      <c r="B6041" s="387" t="s">
        <v>2817</v>
      </c>
    </row>
    <row r="6042" spans="1:2">
      <c r="A6042" s="387" t="s">
        <v>16944</v>
      </c>
      <c r="B6042" s="387" t="s">
        <v>3857</v>
      </c>
    </row>
    <row r="6043" spans="1:2">
      <c r="A6043" s="387" t="s">
        <v>16945</v>
      </c>
      <c r="B6043" s="387" t="s">
        <v>7183</v>
      </c>
    </row>
    <row r="6044" spans="1:2">
      <c r="A6044" s="387" t="s">
        <v>541</v>
      </c>
      <c r="B6044" s="387" t="s">
        <v>1376</v>
      </c>
    </row>
    <row r="6045" spans="1:2">
      <c r="A6045" s="387" t="s">
        <v>16946</v>
      </c>
      <c r="B6045" s="387" t="s">
        <v>1458</v>
      </c>
    </row>
    <row r="6046" spans="1:2">
      <c r="A6046" s="387" t="s">
        <v>16947</v>
      </c>
      <c r="B6046" s="387" t="s">
        <v>1597</v>
      </c>
    </row>
    <row r="6047" spans="1:2">
      <c r="A6047" s="387" t="s">
        <v>16948</v>
      </c>
      <c r="B6047" s="387" t="s">
        <v>1639</v>
      </c>
    </row>
    <row r="6048" spans="1:2">
      <c r="A6048" s="387" t="s">
        <v>16949</v>
      </c>
      <c r="B6048" s="387" t="s">
        <v>2336</v>
      </c>
    </row>
    <row r="6049" spans="1:2">
      <c r="A6049" s="387" t="s">
        <v>7793</v>
      </c>
      <c r="B6049" s="387" t="s">
        <v>2606</v>
      </c>
    </row>
    <row r="6050" spans="1:2">
      <c r="A6050" s="387" t="s">
        <v>16950</v>
      </c>
      <c r="B6050" s="387" t="s">
        <v>2621</v>
      </c>
    </row>
    <row r="6051" spans="1:2">
      <c r="A6051" s="387" t="s">
        <v>16951</v>
      </c>
      <c r="B6051" s="387" t="s">
        <v>2714</v>
      </c>
    </row>
    <row r="6052" spans="1:2">
      <c r="A6052" s="387" t="s">
        <v>16952</v>
      </c>
      <c r="B6052" s="387" t="s">
        <v>2127</v>
      </c>
    </row>
    <row r="6053" spans="1:2">
      <c r="A6053" s="387" t="s">
        <v>7801</v>
      </c>
      <c r="B6053" s="387" t="s">
        <v>3750</v>
      </c>
    </row>
    <row r="6054" spans="1:2">
      <c r="A6054" s="387" t="s">
        <v>16953</v>
      </c>
      <c r="B6054" s="387" t="s">
        <v>7055</v>
      </c>
    </row>
    <row r="6055" spans="1:2">
      <c r="A6055" s="387" t="s">
        <v>16954</v>
      </c>
      <c r="B6055" s="387" t="s">
        <v>1302</v>
      </c>
    </row>
    <row r="6056" spans="1:2">
      <c r="A6056" s="387" t="s">
        <v>16955</v>
      </c>
      <c r="B6056" s="387" t="s">
        <v>1323</v>
      </c>
    </row>
    <row r="6057" spans="1:2">
      <c r="A6057" s="387" t="s">
        <v>16956</v>
      </c>
      <c r="B6057" s="387" t="s">
        <v>1752</v>
      </c>
    </row>
    <row r="6058" spans="1:2">
      <c r="A6058" s="387" t="s">
        <v>16957</v>
      </c>
      <c r="B6058" s="387" t="s">
        <v>2334</v>
      </c>
    </row>
    <row r="6059" spans="1:2">
      <c r="A6059" s="387" t="s">
        <v>16958</v>
      </c>
      <c r="B6059" s="387" t="s">
        <v>3752</v>
      </c>
    </row>
    <row r="6060" spans="1:2">
      <c r="A6060" s="387" t="s">
        <v>16959</v>
      </c>
      <c r="B6060" s="387" t="s">
        <v>3825</v>
      </c>
    </row>
    <row r="6061" spans="1:2">
      <c r="A6061" s="387" t="s">
        <v>16960</v>
      </c>
      <c r="B6061" s="387" t="s">
        <v>3249</v>
      </c>
    </row>
    <row r="6062" spans="1:2">
      <c r="A6062" s="387" t="s">
        <v>16961</v>
      </c>
      <c r="B6062" s="387" t="s">
        <v>1556</v>
      </c>
    </row>
    <row r="6063" spans="1:2">
      <c r="A6063" s="387" t="s">
        <v>16962</v>
      </c>
      <c r="B6063" s="387" t="s">
        <v>1196</v>
      </c>
    </row>
    <row r="6064" spans="1:2">
      <c r="A6064" s="387" t="s">
        <v>16963</v>
      </c>
      <c r="B6064" s="387" t="s">
        <v>1748</v>
      </c>
    </row>
    <row r="6065" spans="1:2">
      <c r="A6065" s="387" t="s">
        <v>16964</v>
      </c>
      <c r="B6065" s="387" t="s">
        <v>4705</v>
      </c>
    </row>
    <row r="6066" spans="1:2">
      <c r="A6066" s="387" t="s">
        <v>16965</v>
      </c>
      <c r="B6066" s="387" t="s">
        <v>1327</v>
      </c>
    </row>
    <row r="6067" spans="1:2">
      <c r="A6067" s="387" t="s">
        <v>16966</v>
      </c>
      <c r="B6067" s="387" t="s">
        <v>1381</v>
      </c>
    </row>
    <row r="6068" spans="1:2">
      <c r="A6068" s="387" t="s">
        <v>16967</v>
      </c>
      <c r="B6068" s="387" t="s">
        <v>1213</v>
      </c>
    </row>
    <row r="6069" spans="1:2">
      <c r="A6069" s="387" t="s">
        <v>16968</v>
      </c>
      <c r="B6069" s="387" t="s">
        <v>1669</v>
      </c>
    </row>
    <row r="6070" spans="1:2">
      <c r="A6070" s="387" t="s">
        <v>16969</v>
      </c>
      <c r="B6070" s="387" t="s">
        <v>2619</v>
      </c>
    </row>
    <row r="6071" spans="1:2">
      <c r="A6071" s="387" t="s">
        <v>16970</v>
      </c>
      <c r="B6071" s="387" t="s">
        <v>2804</v>
      </c>
    </row>
    <row r="6072" spans="1:2">
      <c r="A6072" s="387" t="s">
        <v>16971</v>
      </c>
      <c r="B6072" s="387" t="s">
        <v>2949</v>
      </c>
    </row>
    <row r="6073" spans="1:2">
      <c r="A6073" s="387" t="s">
        <v>16972</v>
      </c>
      <c r="B6073" s="387" t="s">
        <v>2951</v>
      </c>
    </row>
    <row r="6074" spans="1:2">
      <c r="A6074" s="387" t="s">
        <v>16973</v>
      </c>
      <c r="B6074" s="387" t="s">
        <v>2992</v>
      </c>
    </row>
    <row r="6075" spans="1:2">
      <c r="A6075" s="387" t="s">
        <v>16974</v>
      </c>
      <c r="B6075" s="387" t="s">
        <v>3246</v>
      </c>
    </row>
    <row r="6076" spans="1:2">
      <c r="A6076" s="387" t="s">
        <v>16975</v>
      </c>
      <c r="B6076" s="387" t="s">
        <v>3846</v>
      </c>
    </row>
    <row r="6077" spans="1:2">
      <c r="A6077" s="387" t="s">
        <v>16976</v>
      </c>
      <c r="B6077" s="387" t="s">
        <v>4380</v>
      </c>
    </row>
    <row r="6078" spans="1:2">
      <c r="A6078" s="387" t="s">
        <v>16977</v>
      </c>
      <c r="B6078" s="387" t="s">
        <v>4790</v>
      </c>
    </row>
    <row r="6079" spans="1:2">
      <c r="A6079" s="387" t="s">
        <v>16978</v>
      </c>
      <c r="B6079" s="387" t="s">
        <v>5078</v>
      </c>
    </row>
    <row r="6080" spans="1:2">
      <c r="A6080" s="387" t="s">
        <v>16979</v>
      </c>
      <c r="B6080" s="387" t="s">
        <v>6163</v>
      </c>
    </row>
    <row r="6081" spans="1:2">
      <c r="A6081" s="387" t="s">
        <v>16980</v>
      </c>
      <c r="B6081" s="387" t="s">
        <v>6327</v>
      </c>
    </row>
    <row r="6082" spans="1:2">
      <c r="A6082" s="387" t="s">
        <v>16981</v>
      </c>
      <c r="B6082" s="387" t="s">
        <v>6824</v>
      </c>
    </row>
    <row r="6083" spans="1:2">
      <c r="A6083" s="387" t="s">
        <v>16982</v>
      </c>
      <c r="B6083" s="387" t="s">
        <v>7067</v>
      </c>
    </row>
    <row r="6084" spans="1:2">
      <c r="A6084" s="387" t="s">
        <v>16983</v>
      </c>
      <c r="B6084" s="387" t="s">
        <v>16984</v>
      </c>
    </row>
    <row r="6085" spans="1:2">
      <c r="A6085" s="387" t="s">
        <v>16985</v>
      </c>
      <c r="B6085" s="387" t="s">
        <v>7219</v>
      </c>
    </row>
    <row r="6086" spans="1:2">
      <c r="A6086" s="387" t="s">
        <v>16986</v>
      </c>
      <c r="B6086" s="387" t="s">
        <v>1186</v>
      </c>
    </row>
    <row r="6087" spans="1:2">
      <c r="A6087" s="387" t="s">
        <v>16987</v>
      </c>
      <c r="B6087" s="387" t="s">
        <v>1588</v>
      </c>
    </row>
    <row r="6088" spans="1:2">
      <c r="A6088" s="387" t="s">
        <v>16988</v>
      </c>
      <c r="B6088" s="387" t="s">
        <v>1594</v>
      </c>
    </row>
    <row r="6089" spans="1:2">
      <c r="A6089" s="387" t="s">
        <v>16989</v>
      </c>
      <c r="B6089" s="387" t="s">
        <v>1605</v>
      </c>
    </row>
    <row r="6090" spans="1:2">
      <c r="A6090" s="387" t="s">
        <v>16990</v>
      </c>
      <c r="B6090" s="387" t="s">
        <v>1635</v>
      </c>
    </row>
    <row r="6091" spans="1:2">
      <c r="A6091" s="387" t="s">
        <v>16991</v>
      </c>
      <c r="B6091" s="387" t="s">
        <v>1987</v>
      </c>
    </row>
    <row r="6092" spans="1:2">
      <c r="A6092" s="387" t="s">
        <v>16992</v>
      </c>
      <c r="B6092" s="387" t="s">
        <v>1094</v>
      </c>
    </row>
    <row r="6093" spans="1:2">
      <c r="A6093" s="387" t="s">
        <v>16993</v>
      </c>
      <c r="B6093" s="387" t="s">
        <v>2100</v>
      </c>
    </row>
    <row r="6094" spans="1:2">
      <c r="A6094" s="387" t="s">
        <v>16994</v>
      </c>
      <c r="B6094" s="387" t="s">
        <v>1767</v>
      </c>
    </row>
    <row r="6095" spans="1:2">
      <c r="A6095" s="387" t="s">
        <v>16995</v>
      </c>
      <c r="B6095" s="387" t="s">
        <v>2338</v>
      </c>
    </row>
    <row r="6096" spans="1:2">
      <c r="A6096" s="387" t="s">
        <v>16996</v>
      </c>
      <c r="B6096" s="387" t="s">
        <v>2526</v>
      </c>
    </row>
    <row r="6097" spans="1:2">
      <c r="A6097" s="387" t="s">
        <v>16997</v>
      </c>
      <c r="B6097" s="387" t="s">
        <v>2712</v>
      </c>
    </row>
    <row r="6098" spans="1:2">
      <c r="A6098" s="387" t="s">
        <v>16998</v>
      </c>
      <c r="B6098" s="387" t="s">
        <v>2718</v>
      </c>
    </row>
    <row r="6099" spans="1:2">
      <c r="A6099" s="387" t="s">
        <v>16999</v>
      </c>
      <c r="B6099" s="387" t="s">
        <v>2767</v>
      </c>
    </row>
    <row r="6100" spans="1:2">
      <c r="A6100" s="387" t="s">
        <v>17000</v>
      </c>
      <c r="B6100" s="387" t="s">
        <v>2770</v>
      </c>
    </row>
    <row r="6101" spans="1:2">
      <c r="A6101" s="387" t="s">
        <v>17001</v>
      </c>
      <c r="B6101" s="387" t="s">
        <v>2800</v>
      </c>
    </row>
    <row r="6102" spans="1:2">
      <c r="A6102" s="387" t="s">
        <v>17002</v>
      </c>
      <c r="B6102" s="387" t="s">
        <v>2802</v>
      </c>
    </row>
    <row r="6103" spans="1:2">
      <c r="A6103" s="387" t="s">
        <v>17003</v>
      </c>
      <c r="B6103" s="387" t="s">
        <v>17004</v>
      </c>
    </row>
    <row r="6104" spans="1:2">
      <c r="A6104" s="387" t="s">
        <v>17005</v>
      </c>
      <c r="B6104" s="387" t="s">
        <v>2833</v>
      </c>
    </row>
    <row r="6105" spans="1:2">
      <c r="A6105" s="387" t="s">
        <v>17006</v>
      </c>
      <c r="B6105" s="387" t="s">
        <v>2899</v>
      </c>
    </row>
    <row r="6106" spans="1:2">
      <c r="A6106" s="387" t="s">
        <v>17007</v>
      </c>
      <c r="B6106" s="387" t="s">
        <v>2908</v>
      </c>
    </row>
    <row r="6107" spans="1:2">
      <c r="A6107" s="387" t="s">
        <v>17008</v>
      </c>
      <c r="B6107" s="387" t="s">
        <v>2947</v>
      </c>
    </row>
    <row r="6108" spans="1:2">
      <c r="A6108" s="387" t="s">
        <v>17009</v>
      </c>
      <c r="B6108" s="387" t="s">
        <v>2990</v>
      </c>
    </row>
    <row r="6109" spans="1:2">
      <c r="A6109" s="387" t="s">
        <v>17010</v>
      </c>
      <c r="B6109" s="387" t="s">
        <v>3003</v>
      </c>
    </row>
    <row r="6110" spans="1:2">
      <c r="A6110" s="387" t="s">
        <v>17011</v>
      </c>
      <c r="B6110" s="387" t="s">
        <v>2826</v>
      </c>
    </row>
    <row r="6111" spans="1:2">
      <c r="A6111" s="387" t="s">
        <v>17012</v>
      </c>
      <c r="B6111" s="387" t="s">
        <v>17013</v>
      </c>
    </row>
    <row r="6112" spans="1:2">
      <c r="A6112" s="387" t="s">
        <v>17014</v>
      </c>
      <c r="B6112" s="387" t="s">
        <v>3207</v>
      </c>
    </row>
    <row r="6113" spans="1:2">
      <c r="A6113" s="387" t="s">
        <v>17015</v>
      </c>
      <c r="B6113" s="387" t="s">
        <v>2772</v>
      </c>
    </row>
    <row r="6114" spans="1:2">
      <c r="A6114" s="387" t="s">
        <v>17016</v>
      </c>
      <c r="B6114" s="387" t="s">
        <v>3572</v>
      </c>
    </row>
    <row r="6115" spans="1:2">
      <c r="A6115" s="387" t="s">
        <v>17017</v>
      </c>
      <c r="B6115" s="387" t="s">
        <v>2240</v>
      </c>
    </row>
    <row r="6116" spans="1:2">
      <c r="A6116" s="387" t="s">
        <v>17018</v>
      </c>
      <c r="B6116" s="387" t="s">
        <v>2455</v>
      </c>
    </row>
    <row r="6117" spans="1:2">
      <c r="A6117" s="387" t="s">
        <v>17019</v>
      </c>
      <c r="B6117" s="387" t="s">
        <v>3844</v>
      </c>
    </row>
    <row r="6118" spans="1:2">
      <c r="A6118" s="387" t="s">
        <v>17020</v>
      </c>
      <c r="B6118" s="387" t="s">
        <v>3863</v>
      </c>
    </row>
    <row r="6119" spans="1:2">
      <c r="A6119" s="387" t="s">
        <v>17021</v>
      </c>
      <c r="B6119" s="387" t="s">
        <v>3873</v>
      </c>
    </row>
    <row r="6120" spans="1:2">
      <c r="A6120" s="387" t="s">
        <v>17022</v>
      </c>
      <c r="B6120" s="387" t="s">
        <v>3875</v>
      </c>
    </row>
    <row r="6121" spans="1:2">
      <c r="A6121" s="387" t="s">
        <v>17023</v>
      </c>
      <c r="B6121" s="387" t="s">
        <v>3928</v>
      </c>
    </row>
    <row r="6122" spans="1:2">
      <c r="A6122" s="387" t="s">
        <v>17024</v>
      </c>
      <c r="B6122" s="387" t="s">
        <v>3930</v>
      </c>
    </row>
    <row r="6123" spans="1:2">
      <c r="A6123" s="387" t="s">
        <v>17025</v>
      </c>
      <c r="B6123" s="387" t="s">
        <v>3942</v>
      </c>
    </row>
    <row r="6124" spans="1:2">
      <c r="A6124" s="387" t="s">
        <v>17026</v>
      </c>
      <c r="B6124" s="387" t="s">
        <v>4081</v>
      </c>
    </row>
    <row r="6125" spans="1:2">
      <c r="A6125" s="387" t="s">
        <v>17027</v>
      </c>
      <c r="B6125" s="387" t="s">
        <v>4121</v>
      </c>
    </row>
    <row r="6126" spans="1:2">
      <c r="A6126" s="387" t="s">
        <v>17028</v>
      </c>
      <c r="B6126" s="387" t="s">
        <v>4123</v>
      </c>
    </row>
    <row r="6127" spans="1:2">
      <c r="A6127" s="387" t="s">
        <v>17029</v>
      </c>
      <c r="B6127" s="387" t="s">
        <v>3840</v>
      </c>
    </row>
    <row r="6128" spans="1:2">
      <c r="A6128" s="387" t="s">
        <v>17030</v>
      </c>
      <c r="B6128" s="387" t="s">
        <v>4174</v>
      </c>
    </row>
    <row r="6129" spans="1:2">
      <c r="A6129" s="387" t="s">
        <v>17031</v>
      </c>
      <c r="B6129" s="387" t="s">
        <v>4235</v>
      </c>
    </row>
    <row r="6130" spans="1:2">
      <c r="A6130" s="387" t="s">
        <v>17032</v>
      </c>
      <c r="B6130" s="387" t="s">
        <v>4335</v>
      </c>
    </row>
    <row r="6131" spans="1:2">
      <c r="A6131" s="387" t="s">
        <v>17033</v>
      </c>
      <c r="B6131" s="387" t="s">
        <v>4415</v>
      </c>
    </row>
    <row r="6132" spans="1:2">
      <c r="A6132" s="387" t="s">
        <v>17034</v>
      </c>
      <c r="B6132" s="387" t="s">
        <v>4417</v>
      </c>
    </row>
    <row r="6133" spans="1:2">
      <c r="A6133" s="387" t="s">
        <v>17035</v>
      </c>
      <c r="B6133" s="387" t="s">
        <v>4548</v>
      </c>
    </row>
    <row r="6134" spans="1:2">
      <c r="A6134" s="387" t="s">
        <v>17036</v>
      </c>
      <c r="B6134" s="387" t="s">
        <v>4638</v>
      </c>
    </row>
    <row r="6135" spans="1:2">
      <c r="A6135" s="387" t="s">
        <v>17037</v>
      </c>
      <c r="B6135" s="387" t="s">
        <v>4658</v>
      </c>
    </row>
    <row r="6136" spans="1:2">
      <c r="A6136" s="387" t="s">
        <v>17038</v>
      </c>
      <c r="B6136" s="387" t="s">
        <v>4703</v>
      </c>
    </row>
    <row r="6137" spans="1:2">
      <c r="A6137" s="387" t="s">
        <v>17039</v>
      </c>
      <c r="B6137" s="387" t="s">
        <v>4732</v>
      </c>
    </row>
    <row r="6138" spans="1:2">
      <c r="A6138" s="387" t="s">
        <v>17040</v>
      </c>
      <c r="B6138" s="387" t="s">
        <v>4741</v>
      </c>
    </row>
    <row r="6139" spans="1:2">
      <c r="A6139" s="387" t="s">
        <v>17041</v>
      </c>
      <c r="B6139" s="387" t="s">
        <v>3091</v>
      </c>
    </row>
    <row r="6140" spans="1:2">
      <c r="A6140" s="387" t="s">
        <v>17042</v>
      </c>
      <c r="B6140" s="387" t="s">
        <v>1287</v>
      </c>
    </row>
    <row r="6141" spans="1:2">
      <c r="A6141" s="387" t="s">
        <v>17043</v>
      </c>
      <c r="B6141" s="387" t="s">
        <v>4874</v>
      </c>
    </row>
    <row r="6142" spans="1:2">
      <c r="A6142" s="387" t="s">
        <v>17044</v>
      </c>
      <c r="B6142" s="387" t="s">
        <v>17045</v>
      </c>
    </row>
    <row r="6143" spans="1:2">
      <c r="A6143" s="387" t="s">
        <v>17046</v>
      </c>
      <c r="B6143" s="387" t="s">
        <v>5008</v>
      </c>
    </row>
    <row r="6144" spans="1:2">
      <c r="A6144" s="387" t="s">
        <v>17047</v>
      </c>
      <c r="B6144" s="387" t="s">
        <v>5018</v>
      </c>
    </row>
    <row r="6145" spans="1:2">
      <c r="A6145" s="387" t="s">
        <v>17048</v>
      </c>
      <c r="B6145" s="387" t="s">
        <v>2511</v>
      </c>
    </row>
    <row r="6146" spans="1:2">
      <c r="A6146" s="387" t="s">
        <v>17049</v>
      </c>
      <c r="B6146" s="387" t="s">
        <v>17050</v>
      </c>
    </row>
    <row r="6147" spans="1:2">
      <c r="A6147" s="387" t="s">
        <v>17051</v>
      </c>
      <c r="B6147" s="387" t="s">
        <v>2949</v>
      </c>
    </row>
    <row r="6148" spans="1:2">
      <c r="A6148" s="387" t="s">
        <v>17052</v>
      </c>
      <c r="B6148" s="387" t="s">
        <v>5914</v>
      </c>
    </row>
    <row r="6149" spans="1:2">
      <c r="A6149" s="387" t="s">
        <v>17053</v>
      </c>
      <c r="B6149" s="387" t="s">
        <v>17054</v>
      </c>
    </row>
    <row r="6150" spans="1:2">
      <c r="A6150" s="387" t="s">
        <v>17055</v>
      </c>
      <c r="B6150" s="387" t="s">
        <v>6035</v>
      </c>
    </row>
    <row r="6151" spans="1:2">
      <c r="A6151" s="387" t="s">
        <v>17056</v>
      </c>
      <c r="B6151" s="387" t="s">
        <v>4670</v>
      </c>
    </row>
    <row r="6152" spans="1:2">
      <c r="A6152" s="387" t="s">
        <v>17057</v>
      </c>
      <c r="B6152" s="387" t="s">
        <v>3640</v>
      </c>
    </row>
    <row r="6153" spans="1:2">
      <c r="A6153" s="387" t="s">
        <v>17058</v>
      </c>
      <c r="B6153" s="387" t="s">
        <v>6417</v>
      </c>
    </row>
    <row r="6154" spans="1:2">
      <c r="A6154" s="387" t="s">
        <v>17059</v>
      </c>
      <c r="B6154" s="387" t="s">
        <v>6486</v>
      </c>
    </row>
    <row r="6155" spans="1:2">
      <c r="A6155" s="387" t="s">
        <v>17060</v>
      </c>
      <c r="B6155" s="387" t="s">
        <v>6792</v>
      </c>
    </row>
    <row r="6156" spans="1:2">
      <c r="A6156" s="387" t="s">
        <v>17061</v>
      </c>
      <c r="B6156" s="387" t="s">
        <v>1767</v>
      </c>
    </row>
    <row r="6157" spans="1:2">
      <c r="A6157" s="387" t="s">
        <v>17062</v>
      </c>
      <c r="B6157" s="387" t="s">
        <v>7037</v>
      </c>
    </row>
    <row r="6158" spans="1:2">
      <c r="A6158" s="387" t="s">
        <v>17063</v>
      </c>
      <c r="B6158" s="387" t="s">
        <v>7105</v>
      </c>
    </row>
    <row r="6159" spans="1:2">
      <c r="A6159" s="387" t="s">
        <v>17064</v>
      </c>
      <c r="B6159" s="387" t="s">
        <v>7169</v>
      </c>
    </row>
    <row r="6160" spans="1:2">
      <c r="A6160" s="387" t="s">
        <v>17065</v>
      </c>
      <c r="B6160" s="387" t="s">
        <v>7185</v>
      </c>
    </row>
    <row r="6161" spans="1:2">
      <c r="A6161" s="387" t="s">
        <v>17066</v>
      </c>
      <c r="B6161" s="387" t="s">
        <v>17067</v>
      </c>
    </row>
    <row r="6162" spans="1:2">
      <c r="A6162" s="387" t="s">
        <v>17068</v>
      </c>
      <c r="B6162" s="387" t="s">
        <v>7240</v>
      </c>
    </row>
    <row r="6163" spans="1:2">
      <c r="A6163" s="387" t="s">
        <v>17069</v>
      </c>
      <c r="B6163" s="387" t="s">
        <v>7242</v>
      </c>
    </row>
    <row r="6164" spans="1:2">
      <c r="A6164" s="387" t="s">
        <v>17070</v>
      </c>
      <c r="B6164" s="387" t="s">
        <v>17071</v>
      </c>
    </row>
    <row r="6165" spans="1:2">
      <c r="A6165" s="387" t="s">
        <v>17072</v>
      </c>
      <c r="B6165" s="387" t="s">
        <v>7292</v>
      </c>
    </row>
    <row r="6166" spans="1:2">
      <c r="A6166" s="387" t="s">
        <v>17073</v>
      </c>
      <c r="B6166" s="387" t="s">
        <v>7302</v>
      </c>
    </row>
    <row r="6167" spans="1:2">
      <c r="A6167" s="387" t="s">
        <v>17074</v>
      </c>
      <c r="B6167" s="387" t="s">
        <v>17075</v>
      </c>
    </row>
    <row r="6168" spans="1:2">
      <c r="A6168" s="387" t="s">
        <v>17076</v>
      </c>
      <c r="B6168" s="387" t="s">
        <v>6604</v>
      </c>
    </row>
    <row r="6169" spans="1:2">
      <c r="A6169" s="387" t="s">
        <v>17077</v>
      </c>
      <c r="B6169" s="387" t="s">
        <v>7710</v>
      </c>
    </row>
    <row r="6170" spans="1:2">
      <c r="A6170" s="387" t="s">
        <v>17078</v>
      </c>
      <c r="B6170" s="387" t="s">
        <v>11296</v>
      </c>
    </row>
    <row r="6171" spans="1:2">
      <c r="A6171" s="387" t="s">
        <v>17079</v>
      </c>
      <c r="B6171" s="387" t="s">
        <v>17080</v>
      </c>
    </row>
    <row r="6172" spans="1:2">
      <c r="A6172" s="387" t="s">
        <v>17081</v>
      </c>
      <c r="B6172" s="387" t="s">
        <v>17082</v>
      </c>
    </row>
    <row r="6173" spans="1:2">
      <c r="A6173" s="387" t="s">
        <v>17083</v>
      </c>
      <c r="B6173" s="387" t="s">
        <v>8209</v>
      </c>
    </row>
    <row r="6174" spans="1:2">
      <c r="A6174" s="387" t="s">
        <v>17084</v>
      </c>
      <c r="B6174" s="387" t="s">
        <v>8255</v>
      </c>
    </row>
    <row r="6175" spans="1:2">
      <c r="A6175" s="387" t="s">
        <v>17085</v>
      </c>
      <c r="B6175" s="387" t="s">
        <v>5405</v>
      </c>
    </row>
    <row r="6176" spans="1:2">
      <c r="A6176" s="387" t="s">
        <v>17086</v>
      </c>
      <c r="B6176" s="387" t="s">
        <v>8371</v>
      </c>
    </row>
    <row r="6177" spans="1:2">
      <c r="A6177" s="387" t="s">
        <v>17087</v>
      </c>
      <c r="B6177" s="387" t="s">
        <v>17088</v>
      </c>
    </row>
    <row r="6178" spans="1:2">
      <c r="A6178" s="387" t="s">
        <v>17089</v>
      </c>
      <c r="B6178" s="387" t="s">
        <v>17090</v>
      </c>
    </row>
    <row r="6179" spans="1:2">
      <c r="A6179" s="387" t="s">
        <v>17091</v>
      </c>
      <c r="B6179" s="387" t="s">
        <v>8714</v>
      </c>
    </row>
    <row r="6180" spans="1:2">
      <c r="A6180" s="387" t="s">
        <v>17092</v>
      </c>
      <c r="B6180" s="387" t="s">
        <v>17093</v>
      </c>
    </row>
    <row r="6181" spans="1:2">
      <c r="A6181" s="387" t="s">
        <v>17094</v>
      </c>
      <c r="B6181" s="387" t="s">
        <v>5094</v>
      </c>
    </row>
    <row r="6182" spans="1:2">
      <c r="A6182" s="387" t="s">
        <v>17095</v>
      </c>
      <c r="B6182" s="387" t="s">
        <v>17096</v>
      </c>
    </row>
    <row r="6183" spans="1:2">
      <c r="A6183" s="387" t="s">
        <v>17097</v>
      </c>
      <c r="B6183" s="387" t="s">
        <v>8452</v>
      </c>
    </row>
    <row r="6184" spans="1:2">
      <c r="A6184" s="387" t="s">
        <v>17098</v>
      </c>
      <c r="B6184" s="387" t="s">
        <v>8619</v>
      </c>
    </row>
    <row r="6185" spans="1:2">
      <c r="A6185" s="387" t="s">
        <v>17099</v>
      </c>
      <c r="B6185" s="387" t="s">
        <v>17100</v>
      </c>
    </row>
    <row r="6186" spans="1:2">
      <c r="A6186" s="387" t="s">
        <v>17101</v>
      </c>
      <c r="B6186" s="387" t="s">
        <v>1264</v>
      </c>
    </row>
    <row r="6187" spans="1:2">
      <c r="A6187" s="387" t="s">
        <v>17102</v>
      </c>
      <c r="B6187" s="387" t="s">
        <v>1325</v>
      </c>
    </row>
    <row r="6188" spans="1:2">
      <c r="A6188" s="387" t="s">
        <v>17103</v>
      </c>
      <c r="B6188" s="387" t="s">
        <v>1346</v>
      </c>
    </row>
    <row r="6189" spans="1:2">
      <c r="A6189" s="387" t="s">
        <v>17104</v>
      </c>
      <c r="B6189" s="387" t="s">
        <v>1452</v>
      </c>
    </row>
    <row r="6190" spans="1:2">
      <c r="A6190" s="387" t="s">
        <v>17105</v>
      </c>
      <c r="B6190" s="387" t="s">
        <v>1580</v>
      </c>
    </row>
    <row r="6191" spans="1:2">
      <c r="A6191" s="387" t="s">
        <v>17106</v>
      </c>
      <c r="B6191" s="387" t="s">
        <v>1584</v>
      </c>
    </row>
    <row r="6192" spans="1:2">
      <c r="A6192" s="387" t="s">
        <v>17107</v>
      </c>
      <c r="B6192" s="387" t="s">
        <v>1590</v>
      </c>
    </row>
    <row r="6193" spans="1:2">
      <c r="A6193" s="387" t="s">
        <v>17108</v>
      </c>
      <c r="B6193" s="387" t="s">
        <v>1601</v>
      </c>
    </row>
    <row r="6194" spans="1:2">
      <c r="A6194" s="387" t="s">
        <v>17109</v>
      </c>
      <c r="B6194" s="387" t="s">
        <v>1637</v>
      </c>
    </row>
    <row r="6195" spans="1:2">
      <c r="A6195" s="387" t="s">
        <v>17110</v>
      </c>
      <c r="B6195" s="387" t="s">
        <v>1653</v>
      </c>
    </row>
    <row r="6196" spans="1:2">
      <c r="A6196" s="387" t="s">
        <v>17111</v>
      </c>
      <c r="B6196" s="387" t="s">
        <v>1838</v>
      </c>
    </row>
    <row r="6197" spans="1:2">
      <c r="A6197" s="387" t="s">
        <v>17112</v>
      </c>
      <c r="B6197" s="387" t="s">
        <v>17113</v>
      </c>
    </row>
    <row r="6198" spans="1:2">
      <c r="A6198" s="387" t="s">
        <v>17114</v>
      </c>
      <c r="B6198" s="387" t="s">
        <v>1840</v>
      </c>
    </row>
    <row r="6199" spans="1:2">
      <c r="A6199" s="387" t="s">
        <v>17115</v>
      </c>
      <c r="B6199" s="387" t="s">
        <v>2016</v>
      </c>
    </row>
    <row r="6200" spans="1:2">
      <c r="A6200" s="387" t="s">
        <v>17116</v>
      </c>
      <c r="B6200" s="387" t="s">
        <v>2072</v>
      </c>
    </row>
    <row r="6201" spans="1:2">
      <c r="A6201" s="387" t="s">
        <v>17117</v>
      </c>
      <c r="B6201" s="387" t="s">
        <v>2332</v>
      </c>
    </row>
    <row r="6202" spans="1:2">
      <c r="A6202" s="387" t="s">
        <v>17118</v>
      </c>
      <c r="B6202" s="387" t="s">
        <v>2537</v>
      </c>
    </row>
    <row r="6203" spans="1:2">
      <c r="A6203" s="387" t="s">
        <v>17119</v>
      </c>
      <c r="B6203" s="387" t="s">
        <v>2560</v>
      </c>
    </row>
    <row r="6204" spans="1:2">
      <c r="A6204" s="387" t="s">
        <v>17120</v>
      </c>
      <c r="B6204" s="387" t="s">
        <v>2604</v>
      </c>
    </row>
    <row r="6205" spans="1:2">
      <c r="A6205" s="387" t="s">
        <v>17121</v>
      </c>
      <c r="B6205" s="387" t="s">
        <v>2694</v>
      </c>
    </row>
    <row r="6206" spans="1:2">
      <c r="A6206" s="387" t="s">
        <v>17122</v>
      </c>
      <c r="B6206" s="387" t="s">
        <v>2696</v>
      </c>
    </row>
    <row r="6207" spans="1:2">
      <c r="A6207" s="387" t="s">
        <v>17123</v>
      </c>
      <c r="B6207" s="387" t="s">
        <v>2557</v>
      </c>
    </row>
    <row r="6208" spans="1:2">
      <c r="A6208" s="387" t="s">
        <v>17124</v>
      </c>
      <c r="B6208" s="387" t="s">
        <v>2772</v>
      </c>
    </row>
    <row r="6209" spans="1:2">
      <c r="A6209" s="387" t="s">
        <v>17125</v>
      </c>
      <c r="B6209" s="387" t="s">
        <v>2809</v>
      </c>
    </row>
    <row r="6210" spans="1:2">
      <c r="A6210" s="387" t="s">
        <v>17126</v>
      </c>
      <c r="B6210" s="387" t="s">
        <v>2815</v>
      </c>
    </row>
    <row r="6211" spans="1:2">
      <c r="A6211" s="387" t="s">
        <v>17127</v>
      </c>
      <c r="B6211" s="387" t="s">
        <v>2889</v>
      </c>
    </row>
    <row r="6212" spans="1:2">
      <c r="A6212" s="387" t="s">
        <v>17128</v>
      </c>
      <c r="B6212" s="387" t="s">
        <v>2968</v>
      </c>
    </row>
    <row r="6213" spans="1:2">
      <c r="A6213" s="387" t="s">
        <v>17129</v>
      </c>
      <c r="B6213" s="387" t="s">
        <v>1442</v>
      </c>
    </row>
    <row r="6214" spans="1:2">
      <c r="A6214" s="387" t="s">
        <v>17130</v>
      </c>
      <c r="B6214" s="387" t="s">
        <v>3058</v>
      </c>
    </row>
    <row r="6215" spans="1:2">
      <c r="A6215" s="387" t="s">
        <v>17131</v>
      </c>
      <c r="B6215" s="387" t="s">
        <v>1452</v>
      </c>
    </row>
    <row r="6216" spans="1:2">
      <c r="A6216" s="387" t="s">
        <v>17132</v>
      </c>
      <c r="B6216" s="387" t="s">
        <v>3536</v>
      </c>
    </row>
    <row r="6217" spans="1:2">
      <c r="A6217" s="387" t="s">
        <v>17133</v>
      </c>
      <c r="B6217" s="387" t="s">
        <v>3548</v>
      </c>
    </row>
    <row r="6218" spans="1:2">
      <c r="A6218" s="387" t="s">
        <v>17134</v>
      </c>
      <c r="B6218" s="387" t="s">
        <v>2384</v>
      </c>
    </row>
    <row r="6219" spans="1:2">
      <c r="A6219" s="387" t="s">
        <v>17135</v>
      </c>
      <c r="B6219" s="387" t="s">
        <v>3734</v>
      </c>
    </row>
    <row r="6220" spans="1:2">
      <c r="A6220" s="387" t="s">
        <v>17136</v>
      </c>
      <c r="B6220" s="387" t="s">
        <v>3736</v>
      </c>
    </row>
    <row r="6221" spans="1:2">
      <c r="A6221" s="387" t="s">
        <v>17137</v>
      </c>
      <c r="B6221" s="387" t="s">
        <v>3738</v>
      </c>
    </row>
    <row r="6222" spans="1:2">
      <c r="A6222" s="387" t="s">
        <v>17138</v>
      </c>
      <c r="B6222" s="387" t="s">
        <v>3741</v>
      </c>
    </row>
    <row r="6223" spans="1:2">
      <c r="A6223" s="387" t="s">
        <v>17139</v>
      </c>
      <c r="B6223" s="387" t="s">
        <v>3754</v>
      </c>
    </row>
    <row r="6224" spans="1:2">
      <c r="A6224" s="387" t="s">
        <v>17140</v>
      </c>
      <c r="B6224" s="387" t="s">
        <v>3763</v>
      </c>
    </row>
    <row r="6225" spans="1:2">
      <c r="A6225" s="387" t="s">
        <v>17141</v>
      </c>
      <c r="B6225" s="387" t="s">
        <v>3827</v>
      </c>
    </row>
    <row r="6226" spans="1:2">
      <c r="A6226" s="387" t="s">
        <v>17142</v>
      </c>
      <c r="B6226" s="387" t="s">
        <v>3842</v>
      </c>
    </row>
    <row r="6227" spans="1:2">
      <c r="A6227" s="387" t="s">
        <v>17143</v>
      </c>
      <c r="B6227" s="387" t="s">
        <v>3855</v>
      </c>
    </row>
    <row r="6228" spans="1:2">
      <c r="A6228" s="387" t="s">
        <v>17144</v>
      </c>
      <c r="B6228" s="387" t="s">
        <v>3865</v>
      </c>
    </row>
    <row r="6229" spans="1:2">
      <c r="A6229" s="387" t="s">
        <v>17145</v>
      </c>
      <c r="B6229" s="387" t="s">
        <v>4074</v>
      </c>
    </row>
    <row r="6230" spans="1:2">
      <c r="A6230" s="387" t="s">
        <v>17146</v>
      </c>
      <c r="B6230" s="387" t="s">
        <v>4239</v>
      </c>
    </row>
    <row r="6231" spans="1:2">
      <c r="A6231" s="387" t="s">
        <v>17147</v>
      </c>
      <c r="B6231" s="387" t="s">
        <v>2551</v>
      </c>
    </row>
    <row r="6232" spans="1:2">
      <c r="A6232" s="387" t="s">
        <v>17148</v>
      </c>
      <c r="B6232" s="387" t="s">
        <v>4333</v>
      </c>
    </row>
    <row r="6233" spans="1:2">
      <c r="A6233" s="387" t="s">
        <v>17149</v>
      </c>
      <c r="B6233" s="387" t="s">
        <v>4177</v>
      </c>
    </row>
    <row r="6234" spans="1:2">
      <c r="A6234" s="387" t="s">
        <v>17150</v>
      </c>
      <c r="B6234" s="387" t="s">
        <v>4382</v>
      </c>
    </row>
    <row r="6235" spans="1:2">
      <c r="A6235" s="387" t="s">
        <v>17151</v>
      </c>
      <c r="B6235" s="387" t="s">
        <v>2647</v>
      </c>
    </row>
    <row r="6236" spans="1:2">
      <c r="A6236" s="387" t="s">
        <v>17152</v>
      </c>
      <c r="B6236" s="387" t="s">
        <v>4550</v>
      </c>
    </row>
    <row r="6237" spans="1:2">
      <c r="A6237" s="387" t="s">
        <v>17153</v>
      </c>
      <c r="B6237" s="387" t="s">
        <v>4656</v>
      </c>
    </row>
    <row r="6238" spans="1:2">
      <c r="A6238" s="387" t="s">
        <v>17154</v>
      </c>
      <c r="B6238" s="387" t="s">
        <v>1070</v>
      </c>
    </row>
    <row r="6239" spans="1:2">
      <c r="A6239" s="387" t="s">
        <v>17155</v>
      </c>
      <c r="B6239" s="387" t="s">
        <v>3666</v>
      </c>
    </row>
    <row r="6240" spans="1:2">
      <c r="A6240" s="387" t="s">
        <v>17156</v>
      </c>
      <c r="B6240" s="387" t="s">
        <v>4992</v>
      </c>
    </row>
    <row r="6241" spans="1:2">
      <c r="A6241" s="387" t="s">
        <v>17157</v>
      </c>
      <c r="B6241" s="387" t="s">
        <v>17158</v>
      </c>
    </row>
    <row r="6242" spans="1:2">
      <c r="A6242" s="387" t="s">
        <v>17159</v>
      </c>
      <c r="B6242" s="387" t="s">
        <v>5234</v>
      </c>
    </row>
    <row r="6243" spans="1:2">
      <c r="A6243" s="387" t="s">
        <v>17160</v>
      </c>
      <c r="B6243" s="387" t="s">
        <v>5923</v>
      </c>
    </row>
    <row r="6244" spans="1:2">
      <c r="A6244" s="387" t="s">
        <v>17161</v>
      </c>
      <c r="B6244" s="387" t="s">
        <v>4374</v>
      </c>
    </row>
    <row r="6245" spans="1:2">
      <c r="A6245" s="387" t="s">
        <v>17162</v>
      </c>
      <c r="B6245" s="387" t="s">
        <v>17163</v>
      </c>
    </row>
    <row r="6246" spans="1:2">
      <c r="A6246" s="387" t="s">
        <v>17164</v>
      </c>
      <c r="B6246" s="387" t="s">
        <v>17165</v>
      </c>
    </row>
    <row r="6247" spans="1:2">
      <c r="A6247" s="387" t="s">
        <v>17166</v>
      </c>
      <c r="B6247" s="387" t="s">
        <v>4094</v>
      </c>
    </row>
    <row r="6248" spans="1:2">
      <c r="A6248" s="387" t="s">
        <v>17167</v>
      </c>
      <c r="B6248" s="387" t="s">
        <v>6321</v>
      </c>
    </row>
    <row r="6249" spans="1:2">
      <c r="A6249" s="387" t="s">
        <v>17168</v>
      </c>
      <c r="B6249" s="387" t="s">
        <v>6419</v>
      </c>
    </row>
    <row r="6250" spans="1:2">
      <c r="A6250" s="387" t="s">
        <v>17169</v>
      </c>
      <c r="B6250" s="387" t="s">
        <v>6459</v>
      </c>
    </row>
    <row r="6251" spans="1:2">
      <c r="A6251" s="387" t="s">
        <v>17170</v>
      </c>
      <c r="B6251" s="387" t="s">
        <v>6528</v>
      </c>
    </row>
    <row r="6252" spans="1:2">
      <c r="A6252" s="387" t="s">
        <v>17171</v>
      </c>
      <c r="B6252" s="387" t="s">
        <v>1083</v>
      </c>
    </row>
    <row r="6253" spans="1:2">
      <c r="A6253" s="387" t="s">
        <v>17172</v>
      </c>
      <c r="B6253" s="387" t="s">
        <v>17173</v>
      </c>
    </row>
    <row r="6254" spans="1:2">
      <c r="A6254" s="387" t="s">
        <v>17174</v>
      </c>
      <c r="B6254" s="387" t="s">
        <v>6794</v>
      </c>
    </row>
    <row r="6255" spans="1:2">
      <c r="A6255" s="387" t="s">
        <v>17175</v>
      </c>
      <c r="B6255" s="387" t="s">
        <v>17176</v>
      </c>
    </row>
    <row r="6256" spans="1:2">
      <c r="A6256" s="387" t="s">
        <v>17177</v>
      </c>
      <c r="B6256" s="387" t="s">
        <v>1416</v>
      </c>
    </row>
    <row r="6257" spans="1:2">
      <c r="A6257" s="387" t="s">
        <v>17178</v>
      </c>
      <c r="B6257" s="387" t="s">
        <v>3516</v>
      </c>
    </row>
    <row r="6258" spans="1:2">
      <c r="A6258" s="387" t="s">
        <v>17179</v>
      </c>
      <c r="B6258" s="387" t="s">
        <v>6847</v>
      </c>
    </row>
    <row r="6259" spans="1:2">
      <c r="A6259" s="387" t="s">
        <v>17180</v>
      </c>
      <c r="B6259" s="387" t="s">
        <v>6849</v>
      </c>
    </row>
    <row r="6260" spans="1:2">
      <c r="A6260" s="387" t="s">
        <v>17181</v>
      </c>
      <c r="B6260" s="387" t="s">
        <v>4762</v>
      </c>
    </row>
    <row r="6261" spans="1:2">
      <c r="A6261" s="387" t="s">
        <v>17182</v>
      </c>
      <c r="B6261" s="387" t="s">
        <v>2576</v>
      </c>
    </row>
    <row r="6262" spans="1:2">
      <c r="A6262" s="387" t="s">
        <v>17183</v>
      </c>
      <c r="B6262" s="387" t="s">
        <v>5206</v>
      </c>
    </row>
    <row r="6263" spans="1:2">
      <c r="A6263" s="387" t="s">
        <v>17184</v>
      </c>
      <c r="B6263" s="387" t="s">
        <v>7158</v>
      </c>
    </row>
    <row r="6264" spans="1:2">
      <c r="A6264" s="387" t="s">
        <v>17185</v>
      </c>
      <c r="B6264" s="387" t="s">
        <v>2234</v>
      </c>
    </row>
    <row r="6265" spans="1:2">
      <c r="A6265" s="387" t="s">
        <v>17186</v>
      </c>
      <c r="B6265" s="387" t="s">
        <v>17187</v>
      </c>
    </row>
    <row r="6266" spans="1:2">
      <c r="A6266" s="387" t="s">
        <v>17188</v>
      </c>
      <c r="B6266" s="387" t="s">
        <v>7192</v>
      </c>
    </row>
    <row r="6267" spans="1:2">
      <c r="A6267" s="387" t="s">
        <v>17189</v>
      </c>
      <c r="B6267" s="387" t="s">
        <v>17190</v>
      </c>
    </row>
    <row r="6268" spans="1:2">
      <c r="A6268" s="387" t="s">
        <v>17191</v>
      </c>
      <c r="B6268" s="387" t="s">
        <v>17192</v>
      </c>
    </row>
    <row r="6269" spans="1:2">
      <c r="A6269" s="387" t="s">
        <v>17193</v>
      </c>
      <c r="B6269" s="387" t="s">
        <v>7256</v>
      </c>
    </row>
    <row r="6270" spans="1:2">
      <c r="A6270" s="387" t="s">
        <v>17194</v>
      </c>
      <c r="B6270" s="387" t="s">
        <v>7272</v>
      </c>
    </row>
    <row r="6271" spans="1:2">
      <c r="A6271" s="387" t="s">
        <v>17195</v>
      </c>
      <c r="B6271" s="387" t="s">
        <v>17196</v>
      </c>
    </row>
    <row r="6272" spans="1:2">
      <c r="A6272" s="387" t="s">
        <v>17197</v>
      </c>
      <c r="B6272" s="387" t="s">
        <v>17198</v>
      </c>
    </row>
    <row r="6273" spans="1:2">
      <c r="A6273" s="387" t="s">
        <v>17199</v>
      </c>
      <c r="B6273" s="387" t="s">
        <v>7294</v>
      </c>
    </row>
    <row r="6274" spans="1:2">
      <c r="A6274" s="387" t="s">
        <v>17200</v>
      </c>
      <c r="B6274" s="387" t="s">
        <v>17201</v>
      </c>
    </row>
    <row r="6275" spans="1:2">
      <c r="A6275" s="387" t="s">
        <v>17202</v>
      </c>
      <c r="B6275" s="387" t="s">
        <v>7319</v>
      </c>
    </row>
    <row r="6276" spans="1:2">
      <c r="A6276" s="387" t="s">
        <v>17203</v>
      </c>
      <c r="B6276" s="387" t="s">
        <v>3938</v>
      </c>
    </row>
    <row r="6277" spans="1:2">
      <c r="A6277" s="387" t="s">
        <v>17204</v>
      </c>
      <c r="B6277" s="387" t="s">
        <v>6580</v>
      </c>
    </row>
    <row r="6278" spans="1:2">
      <c r="A6278" s="387" t="s">
        <v>17205</v>
      </c>
      <c r="B6278" s="387" t="s">
        <v>4502</v>
      </c>
    </row>
    <row r="6279" spans="1:2">
      <c r="A6279" s="387" t="s">
        <v>17206</v>
      </c>
      <c r="B6279" s="387" t="s">
        <v>3743</v>
      </c>
    </row>
    <row r="6280" spans="1:2">
      <c r="A6280" s="387" t="s">
        <v>17207</v>
      </c>
      <c r="B6280" s="387" t="s">
        <v>17208</v>
      </c>
    </row>
    <row r="6281" spans="1:2">
      <c r="A6281" s="387" t="s">
        <v>17209</v>
      </c>
      <c r="B6281" s="387" t="s">
        <v>3619</v>
      </c>
    </row>
    <row r="6282" spans="1:2">
      <c r="A6282" s="387" t="s">
        <v>17210</v>
      </c>
      <c r="B6282" s="387" t="s">
        <v>2641</v>
      </c>
    </row>
    <row r="6283" spans="1:2">
      <c r="A6283" s="387" t="s">
        <v>17211</v>
      </c>
      <c r="B6283" s="387" t="s">
        <v>7719</v>
      </c>
    </row>
    <row r="6284" spans="1:2">
      <c r="A6284" s="387" t="s">
        <v>17212</v>
      </c>
      <c r="B6284" s="387" t="s">
        <v>8203</v>
      </c>
    </row>
    <row r="6285" spans="1:2">
      <c r="A6285" s="387" t="s">
        <v>17213</v>
      </c>
      <c r="B6285" s="387" t="s">
        <v>17214</v>
      </c>
    </row>
    <row r="6286" spans="1:2">
      <c r="A6286" s="387" t="s">
        <v>555</v>
      </c>
      <c r="B6286" s="387" t="s">
        <v>976</v>
      </c>
    </row>
    <row r="6287" spans="1:2">
      <c r="A6287" s="387" t="s">
        <v>17215</v>
      </c>
      <c r="B6287" s="387" t="s">
        <v>17216</v>
      </c>
    </row>
    <row r="6288" spans="1:2">
      <c r="A6288" s="387" t="s">
        <v>546</v>
      </c>
      <c r="B6288" s="387" t="s">
        <v>1710</v>
      </c>
    </row>
    <row r="6289" spans="1:2">
      <c r="A6289" s="387" t="s">
        <v>556</v>
      </c>
      <c r="B6289" s="387" t="s">
        <v>4049</v>
      </c>
    </row>
    <row r="6290" spans="1:2">
      <c r="A6290" s="387" t="s">
        <v>558</v>
      </c>
      <c r="B6290" s="387" t="s">
        <v>5537</v>
      </c>
    </row>
    <row r="6291" spans="1:2">
      <c r="A6291" s="387" t="s">
        <v>567</v>
      </c>
      <c r="B6291" s="387" t="s">
        <v>5996</v>
      </c>
    </row>
    <row r="6292" spans="1:2">
      <c r="A6292" s="387" t="s">
        <v>570</v>
      </c>
      <c r="B6292" s="387" t="s">
        <v>7171</v>
      </c>
    </row>
    <row r="6293" spans="1:2">
      <c r="A6293" s="387" t="s">
        <v>572</v>
      </c>
      <c r="B6293" s="387" t="s">
        <v>2173</v>
      </c>
    </row>
    <row r="6294" spans="1:2">
      <c r="A6294" s="387" t="s">
        <v>571</v>
      </c>
      <c r="B6294" s="387" t="s">
        <v>7340</v>
      </c>
    </row>
    <row r="6295" spans="1:2">
      <c r="A6295" s="387" t="s">
        <v>573</v>
      </c>
      <c r="B6295" s="387" t="s">
        <v>7523</v>
      </c>
    </row>
    <row r="6296" spans="1:2">
      <c r="A6296" s="387" t="s">
        <v>576</v>
      </c>
      <c r="B6296" s="387" t="s">
        <v>7525</v>
      </c>
    </row>
    <row r="6297" spans="1:2">
      <c r="A6297" s="387" t="s">
        <v>575</v>
      </c>
      <c r="B6297" s="387" t="s">
        <v>5144</v>
      </c>
    </row>
    <row r="6298" spans="1:2">
      <c r="A6298" s="387" t="s">
        <v>817</v>
      </c>
      <c r="B6298" s="387" t="s">
        <v>7530</v>
      </c>
    </row>
    <row r="6299" spans="1:2">
      <c r="A6299" s="387" t="s">
        <v>566</v>
      </c>
      <c r="B6299" s="387" t="s">
        <v>1539</v>
      </c>
    </row>
    <row r="6300" spans="1:2">
      <c r="A6300" s="387" t="s">
        <v>581</v>
      </c>
      <c r="B6300" s="387" t="s">
        <v>3917</v>
      </c>
    </row>
    <row r="6301" spans="1:2">
      <c r="A6301" s="387" t="s">
        <v>556</v>
      </c>
      <c r="B6301" s="387" t="s">
        <v>4049</v>
      </c>
    </row>
    <row r="6302" spans="1:2">
      <c r="A6302" s="387" t="s">
        <v>565</v>
      </c>
      <c r="B6302" s="387" t="s">
        <v>9492</v>
      </c>
    </row>
    <row r="6303" spans="1:2">
      <c r="A6303" s="387" t="s">
        <v>562</v>
      </c>
      <c r="B6303" s="387" t="s">
        <v>5516</v>
      </c>
    </row>
    <row r="6304" spans="1:2">
      <c r="A6304" s="387" t="s">
        <v>579</v>
      </c>
      <c r="B6304" s="387" t="s">
        <v>998</v>
      </c>
    </row>
    <row r="6305" spans="1:2">
      <c r="A6305" s="387" t="s">
        <v>549</v>
      </c>
      <c r="B6305" s="387" t="s">
        <v>6055</v>
      </c>
    </row>
    <row r="6306" spans="1:2">
      <c r="A6306" s="387" t="s">
        <v>563</v>
      </c>
      <c r="B6306" s="387" t="s">
        <v>6555</v>
      </c>
    </row>
    <row r="6307" spans="1:2">
      <c r="A6307" s="387" t="s">
        <v>561</v>
      </c>
      <c r="B6307" s="387" t="s">
        <v>6882</v>
      </c>
    </row>
    <row r="6308" spans="1:2">
      <c r="A6308" s="387" t="s">
        <v>8017</v>
      </c>
      <c r="B6308" s="387" t="s">
        <v>8021</v>
      </c>
    </row>
    <row r="6309" spans="1:2">
      <c r="A6309" s="387" t="s">
        <v>8802</v>
      </c>
      <c r="B6309" s="387" t="s">
        <v>8436</v>
      </c>
    </row>
    <row r="6310" spans="1:2">
      <c r="A6310" s="387" t="s">
        <v>17217</v>
      </c>
      <c r="B6310" s="387" t="s">
        <v>9618</v>
      </c>
    </row>
    <row r="6311" spans="1:2">
      <c r="A6311" s="387" t="s">
        <v>556</v>
      </c>
      <c r="B6311" s="387" t="s">
        <v>4049</v>
      </c>
    </row>
    <row r="6312" spans="1:2">
      <c r="A6312" s="387" t="s">
        <v>17218</v>
      </c>
      <c r="B6312" s="387" t="s">
        <v>4378</v>
      </c>
    </row>
    <row r="6313" spans="1:2">
      <c r="A6313" s="387" t="s">
        <v>17219</v>
      </c>
      <c r="B6313" s="387" t="s">
        <v>17220</v>
      </c>
    </row>
    <row r="6314" spans="1:2">
      <c r="A6314" s="387" t="s">
        <v>17221</v>
      </c>
      <c r="B6314" s="387" t="s">
        <v>4972</v>
      </c>
    </row>
    <row r="6315" spans="1:2">
      <c r="A6315" s="387" t="s">
        <v>17222</v>
      </c>
      <c r="B6315" s="387" t="s">
        <v>1128</v>
      </c>
    </row>
    <row r="6316" spans="1:2">
      <c r="A6316" s="387" t="s">
        <v>17223</v>
      </c>
      <c r="B6316" s="387" t="s">
        <v>6954</v>
      </c>
    </row>
    <row r="6317" spans="1:2">
      <c r="A6317" s="387" t="s">
        <v>274</v>
      </c>
      <c r="B6317" s="387" t="s">
        <v>7347</v>
      </c>
    </row>
    <row r="6318" spans="1:2">
      <c r="A6318" s="387" t="s">
        <v>556</v>
      </c>
      <c r="B6318" s="387" t="s">
        <v>4049</v>
      </c>
    </row>
    <row r="6319" spans="1:2">
      <c r="A6319" s="387" t="s">
        <v>17224</v>
      </c>
      <c r="B6319" s="387" t="s">
        <v>4237</v>
      </c>
    </row>
    <row r="6320" spans="1:2">
      <c r="A6320" s="387" t="s">
        <v>580</v>
      </c>
      <c r="B6320" s="387" t="s">
        <v>1898</v>
      </c>
    </row>
    <row r="6321" spans="1:2">
      <c r="A6321" s="387" t="s">
        <v>17225</v>
      </c>
      <c r="B6321" s="387" t="s">
        <v>6404</v>
      </c>
    </row>
    <row r="6322" spans="1:2">
      <c r="A6322" s="387" t="s">
        <v>574</v>
      </c>
      <c r="B6322" s="387" t="s">
        <v>9640</v>
      </c>
    </row>
    <row r="6323" spans="1:2">
      <c r="A6323" s="387" t="s">
        <v>17226</v>
      </c>
      <c r="B6323" s="387" t="s">
        <v>17227</v>
      </c>
    </row>
    <row r="6324" spans="1:2">
      <c r="A6324" s="387" t="s">
        <v>17228</v>
      </c>
      <c r="B6324" s="387" t="s">
        <v>17229</v>
      </c>
    </row>
    <row r="6325" spans="1:2">
      <c r="A6325" s="387" t="s">
        <v>17230</v>
      </c>
      <c r="B6325" s="387" t="s">
        <v>17231</v>
      </c>
    </row>
    <row r="6326" spans="1:2">
      <c r="A6326" s="387" t="s">
        <v>8644</v>
      </c>
      <c r="B6326" s="387" t="s">
        <v>4465</v>
      </c>
    </row>
    <row r="6327" spans="1:2">
      <c r="A6327" s="387" t="s">
        <v>8018</v>
      </c>
      <c r="B6327" s="387" t="s">
        <v>8022</v>
      </c>
    </row>
    <row r="6328" spans="1:2">
      <c r="A6328" s="387" t="s">
        <v>8643</v>
      </c>
      <c r="B6328" s="387" t="s">
        <v>8362</v>
      </c>
    </row>
    <row r="6329" spans="1:2">
      <c r="A6329" s="387" t="s">
        <v>552</v>
      </c>
      <c r="B6329" s="387" t="s">
        <v>3961</v>
      </c>
    </row>
    <row r="6330" spans="1:2">
      <c r="A6330" s="387" t="s">
        <v>556</v>
      </c>
      <c r="B6330" s="387" t="s">
        <v>4049</v>
      </c>
    </row>
    <row r="6331" spans="1:2">
      <c r="A6331" s="387" t="s">
        <v>554</v>
      </c>
      <c r="B6331" s="387" t="s">
        <v>5004</v>
      </c>
    </row>
    <row r="6332" spans="1:2">
      <c r="A6332" s="387" t="s">
        <v>569</v>
      </c>
      <c r="B6332" s="387" t="s">
        <v>5662</v>
      </c>
    </row>
    <row r="6333" spans="1:2">
      <c r="A6333" s="387" t="s">
        <v>553</v>
      </c>
      <c r="B6333" s="387" t="s">
        <v>6284</v>
      </c>
    </row>
    <row r="6334" spans="1:2">
      <c r="A6334" s="387" t="s">
        <v>8667</v>
      </c>
      <c r="B6334" s="387" t="s">
        <v>4072</v>
      </c>
    </row>
    <row r="6335" spans="1:2">
      <c r="A6335" s="387" t="s">
        <v>818</v>
      </c>
      <c r="B6335" s="387" t="s">
        <v>7453</v>
      </c>
    </row>
    <row r="6336" spans="1:2">
      <c r="A6336" s="387" t="s">
        <v>8666</v>
      </c>
      <c r="B6336" s="387" t="s">
        <v>7470</v>
      </c>
    </row>
    <row r="6337" spans="1:2">
      <c r="A6337" s="387" t="s">
        <v>7976</v>
      </c>
      <c r="B6337" s="387" t="s">
        <v>7840</v>
      </c>
    </row>
    <row r="6338" spans="1:2">
      <c r="A6338" s="387" t="s">
        <v>7977</v>
      </c>
      <c r="B6338" s="387" t="s">
        <v>9644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EDCC0-7158-4091-A4B9-7117B04F4F5F}">
  <sheetPr filterMode="1"/>
  <dimension ref="A1:O786"/>
  <sheetViews>
    <sheetView tabSelected="1" workbookViewId="0">
      <selection activeCell="I2" sqref="I2:I485"/>
    </sheetView>
  </sheetViews>
  <sheetFormatPr defaultRowHeight="15"/>
  <cols>
    <col min="3" max="3" width="26" customWidth="1"/>
    <col min="4" max="4" width="23.5703125" customWidth="1"/>
    <col min="5" max="5" width="21.42578125" customWidth="1"/>
    <col min="6" max="6" width="15.140625" customWidth="1"/>
    <col min="7" max="8" width="23.5703125" customWidth="1"/>
    <col min="9" max="9" width="14.5703125" customWidth="1"/>
    <col min="11" max="12" width="17.85546875" customWidth="1"/>
    <col min="13" max="13" width="10.42578125" bestFit="1" customWidth="1"/>
    <col min="14" max="14" width="17.140625" customWidth="1"/>
  </cols>
  <sheetData>
    <row r="1" spans="1:15">
      <c r="A1" s="388" t="s">
        <v>58</v>
      </c>
      <c r="B1" s="388" t="s">
        <v>59</v>
      </c>
      <c r="C1" s="388" t="s">
        <v>60</v>
      </c>
      <c r="D1" s="388" t="s">
        <v>885</v>
      </c>
      <c r="E1" s="388" t="s">
        <v>61</v>
      </c>
      <c r="F1" s="388" t="s">
        <v>62</v>
      </c>
      <c r="G1" s="388" t="s">
        <v>8814</v>
      </c>
      <c r="H1" s="390" t="s">
        <v>8820</v>
      </c>
      <c r="I1" s="390" t="s">
        <v>17233</v>
      </c>
      <c r="J1" s="388" t="s">
        <v>63</v>
      </c>
      <c r="K1" s="388" t="s">
        <v>64</v>
      </c>
      <c r="L1" s="388" t="s">
        <v>819</v>
      </c>
      <c r="M1" s="388" t="s">
        <v>820</v>
      </c>
      <c r="N1" s="388" t="s">
        <v>8381</v>
      </c>
      <c r="O1" s="388" t="s">
        <v>65</v>
      </c>
    </row>
    <row r="2" spans="1:15">
      <c r="A2">
        <v>298</v>
      </c>
      <c r="B2">
        <v>1</v>
      </c>
      <c r="C2" t="s">
        <v>835</v>
      </c>
      <c r="D2" t="s">
        <v>1546</v>
      </c>
      <c r="E2" t="s">
        <v>330</v>
      </c>
      <c r="F2" t="s">
        <v>10387</v>
      </c>
      <c r="G2" t="str">
        <f>VLOOKUP(E2,Table145678910111213141545678910111213146[[CODE]:[Email Local]],4,0)</f>
        <v>amt.01443</v>
      </c>
      <c r="H2">
        <f>VLOOKUP(E2,Table145678910111213141545678910111213146[[CODE]:[Email Local]],6,0)</f>
        <v>0</v>
      </c>
      <c r="I2" t="s">
        <v>17235</v>
      </c>
      <c r="J2" t="s">
        <v>67</v>
      </c>
      <c r="K2" s="389">
        <v>45404</v>
      </c>
      <c r="L2" s="389"/>
      <c r="M2" s="389"/>
      <c r="N2" t="s">
        <v>1444</v>
      </c>
    </row>
    <row r="3" spans="1:15">
      <c r="A3">
        <v>299</v>
      </c>
      <c r="B3">
        <v>2</v>
      </c>
      <c r="C3" t="s">
        <v>835</v>
      </c>
      <c r="D3" t="s">
        <v>2250</v>
      </c>
      <c r="E3" t="s">
        <v>331</v>
      </c>
      <c r="F3" t="s">
        <v>10388</v>
      </c>
      <c r="G3" t="str">
        <f>VLOOKUP(E3,Table145678910111213141545678910111213146[[CODE]:[Email Local]],4,0)</f>
        <v>amt.03502</v>
      </c>
      <c r="H3">
        <f>VLOOKUP(E3,Table145678910111213141545678910111213146[[CODE]:[Email Local]],6,0)</f>
        <v>0</v>
      </c>
      <c r="I3" t="s">
        <v>17235</v>
      </c>
      <c r="J3" t="s">
        <v>67</v>
      </c>
      <c r="K3" s="389">
        <v>45404</v>
      </c>
      <c r="L3" s="389"/>
      <c r="M3" s="389"/>
      <c r="N3" t="s">
        <v>1444</v>
      </c>
    </row>
    <row r="4" spans="1:15">
      <c r="A4">
        <v>301</v>
      </c>
      <c r="B4">
        <v>4</v>
      </c>
      <c r="C4" t="s">
        <v>835</v>
      </c>
      <c r="D4" t="e">
        <v>#N/A</v>
      </c>
      <c r="E4" t="s">
        <v>333</v>
      </c>
      <c r="F4" s="391" t="s">
        <v>10390</v>
      </c>
      <c r="G4" t="e">
        <f>VLOOKUP(E4,Table145678910111213141545678910111213146[[CODE]:[Email Local]],4,0)</f>
        <v>#N/A</v>
      </c>
      <c r="H4" t="e">
        <f>VLOOKUP(E4,Table145678910111213141545678910111213146[[CODE]:[Email Local]],6,0)</f>
        <v>#N/A</v>
      </c>
      <c r="I4" t="s">
        <v>17235</v>
      </c>
      <c r="J4" t="s">
        <v>67</v>
      </c>
      <c r="K4" s="389">
        <v>45404</v>
      </c>
      <c r="L4" s="389">
        <v>45729</v>
      </c>
      <c r="M4" s="389">
        <v>45729</v>
      </c>
      <c r="N4" t="e">
        <v>#N/A</v>
      </c>
    </row>
    <row r="5" spans="1:15">
      <c r="A5">
        <v>302</v>
      </c>
      <c r="B5">
        <v>5</v>
      </c>
      <c r="C5" t="s">
        <v>835</v>
      </c>
      <c r="D5" t="s">
        <v>3254</v>
      </c>
      <c r="E5" t="s">
        <v>334</v>
      </c>
      <c r="F5" t="s">
        <v>10391</v>
      </c>
      <c r="G5" t="e">
        <f>VLOOKUP(E5,Table145678910111213141545678910111213146[[CODE]:[Email Local]],4,0)</f>
        <v>#N/A</v>
      </c>
      <c r="H5" t="e">
        <f>VLOOKUP(E5,Table145678910111213141545678910111213146[[CODE]:[Email Local]],6,0)</f>
        <v>#N/A</v>
      </c>
      <c r="I5" t="s">
        <v>17235</v>
      </c>
      <c r="J5" t="s">
        <v>67</v>
      </c>
      <c r="K5" s="389">
        <v>45404</v>
      </c>
      <c r="L5" s="389">
        <v>45806</v>
      </c>
      <c r="M5" s="389">
        <v>45806</v>
      </c>
      <c r="N5" t="e">
        <v>#N/A</v>
      </c>
    </row>
    <row r="6" spans="1:15">
      <c r="A6">
        <v>303</v>
      </c>
      <c r="B6">
        <v>6</v>
      </c>
      <c r="C6" t="s">
        <v>835</v>
      </c>
      <c r="D6" t="s">
        <v>1407</v>
      </c>
      <c r="E6" t="s">
        <v>335</v>
      </c>
      <c r="F6" t="s">
        <v>10392</v>
      </c>
      <c r="G6" t="str">
        <f>VLOOKUP(E6,Table145678910111213141545678910111213146[[CODE]:[Email Local]],4,0)</f>
        <v>amt.03618</v>
      </c>
      <c r="H6">
        <f>VLOOKUP(E6,Table145678910111213141545678910111213146[[CODE]:[Email Local]],6,0)</f>
        <v>0</v>
      </c>
      <c r="I6" t="s">
        <v>17235</v>
      </c>
      <c r="J6" t="s">
        <v>67</v>
      </c>
      <c r="K6" s="389">
        <v>45404</v>
      </c>
      <c r="L6" s="389"/>
      <c r="M6" s="389"/>
      <c r="N6" t="s">
        <v>1444</v>
      </c>
    </row>
    <row r="7" spans="1:15">
      <c r="A7">
        <v>304</v>
      </c>
      <c r="B7">
        <v>7</v>
      </c>
      <c r="C7" t="s">
        <v>835</v>
      </c>
      <c r="D7" t="s">
        <v>1088</v>
      </c>
      <c r="E7" t="s">
        <v>336</v>
      </c>
      <c r="F7" t="s">
        <v>10393</v>
      </c>
      <c r="G7" t="str">
        <f>VLOOKUP(E7,Table145678910111213141545678910111213146[[CODE]:[Email Local]],4,0)</f>
        <v>amt.22261</v>
      </c>
      <c r="H7">
        <f>VLOOKUP(E7,Table145678910111213141545678910111213146[[CODE]:[Email Local]],6,0)</f>
        <v>0</v>
      </c>
      <c r="I7" t="s">
        <v>17235</v>
      </c>
      <c r="J7" t="s">
        <v>67</v>
      </c>
      <c r="K7" s="389">
        <v>45404</v>
      </c>
      <c r="L7" s="389">
        <v>45432</v>
      </c>
      <c r="M7" s="389">
        <v>45481</v>
      </c>
      <c r="N7" t="e">
        <v>#N/A</v>
      </c>
    </row>
    <row r="8" spans="1:15">
      <c r="A8">
        <v>305</v>
      </c>
      <c r="B8">
        <v>8</v>
      </c>
      <c r="C8" t="s">
        <v>835</v>
      </c>
      <c r="D8" t="s">
        <v>7909</v>
      </c>
      <c r="E8" t="s">
        <v>7806</v>
      </c>
      <c r="F8" t="s">
        <v>10394</v>
      </c>
      <c r="G8" t="str">
        <f>VLOOKUP(E8,Table145678910111213141545678910111213146[[CODE]:[Email Local]],4,0)</f>
        <v>25127.son</v>
      </c>
      <c r="H8">
        <f>VLOOKUP(E8,Table145678910111213141545678910111213146[[CODE]:[Email Local]],6,0)</f>
        <v>0</v>
      </c>
      <c r="I8" t="s">
        <v>17235</v>
      </c>
      <c r="J8" t="s">
        <v>67</v>
      </c>
      <c r="K8" s="389">
        <v>45509</v>
      </c>
      <c r="L8" s="389"/>
      <c r="M8" s="389"/>
      <c r="N8" t="s">
        <v>1444</v>
      </c>
    </row>
    <row r="9" spans="1:15">
      <c r="A9">
        <v>306</v>
      </c>
      <c r="B9">
        <v>8</v>
      </c>
      <c r="C9" t="s">
        <v>835</v>
      </c>
      <c r="D9" t="s">
        <v>7921</v>
      </c>
      <c r="E9" t="s">
        <v>8651</v>
      </c>
      <c r="F9" t="s">
        <v>10395</v>
      </c>
      <c r="G9" t="str">
        <f>VLOOKUP(E9,Table145678910111213141545678910111213146[[CODE]:[Email Local]],4,0)</f>
        <v>25148.anh</v>
      </c>
      <c r="H9">
        <f>VLOOKUP(E9,Table145678910111213141545678910111213146[[CODE]:[Email Local]],6,0)</f>
        <v>0</v>
      </c>
      <c r="I9" t="s">
        <v>17235</v>
      </c>
      <c r="J9" t="s">
        <v>67</v>
      </c>
      <c r="K9" s="389">
        <v>45807</v>
      </c>
      <c r="L9" s="389"/>
      <c r="M9" s="389"/>
      <c r="N9" t="s">
        <v>1444</v>
      </c>
    </row>
    <row r="10" spans="1:15">
      <c r="A10">
        <v>307</v>
      </c>
      <c r="B10">
        <v>9</v>
      </c>
      <c r="C10" t="s">
        <v>835</v>
      </c>
      <c r="D10" t="s">
        <v>6293</v>
      </c>
      <c r="E10" t="s">
        <v>8001</v>
      </c>
      <c r="F10" t="s">
        <v>10396</v>
      </c>
      <c r="G10" t="str">
        <f>VLOOKUP(E10,Table145678910111213141545678910111213146[[CODE]:[Email Local]],4,0)</f>
        <v>25678.duc</v>
      </c>
      <c r="H10">
        <f>VLOOKUP(E10,Table145678910111213141545678910111213146[[CODE]:[Email Local]],6,0)</f>
        <v>0</v>
      </c>
      <c r="I10" t="s">
        <v>17235</v>
      </c>
      <c r="J10" t="s">
        <v>67</v>
      </c>
      <c r="K10" s="389">
        <v>45729</v>
      </c>
      <c r="L10" s="389"/>
      <c r="M10" s="389"/>
      <c r="N10" t="s">
        <v>1444</v>
      </c>
    </row>
    <row r="11" spans="1:15">
      <c r="A11">
        <v>300</v>
      </c>
      <c r="B11">
        <v>3</v>
      </c>
      <c r="C11" t="s">
        <v>835</v>
      </c>
      <c r="D11" t="s">
        <v>5413</v>
      </c>
      <c r="E11" t="s">
        <v>332</v>
      </c>
      <c r="F11" t="s">
        <v>10389</v>
      </c>
      <c r="G11" t="str">
        <f>VLOOKUP(E11,Table145678910111213141545678910111213146[[CODE]:[Email Local]],4,0)</f>
        <v>amt.15950</v>
      </c>
      <c r="H11" t="str">
        <f>VLOOKUP(E11,Table145678910111213141545678910111213146[[CODE]:[Email Local]],6,0)</f>
        <v>ok</v>
      </c>
      <c r="I11" t="s">
        <v>17235</v>
      </c>
      <c r="J11" t="s">
        <v>67</v>
      </c>
      <c r="K11" s="389">
        <v>45404</v>
      </c>
      <c r="L11" s="389"/>
      <c r="M11" s="389"/>
      <c r="N11" t="s">
        <v>1444</v>
      </c>
    </row>
    <row r="12" spans="1:15">
      <c r="A12">
        <v>636</v>
      </c>
      <c r="B12">
        <v>1</v>
      </c>
      <c r="C12" t="s">
        <v>836</v>
      </c>
      <c r="D12" t="s">
        <v>5178</v>
      </c>
      <c r="E12" t="s">
        <v>603</v>
      </c>
      <c r="F12" t="s">
        <v>10715</v>
      </c>
      <c r="G12" t="e">
        <f>VLOOKUP(E12,Table145678910111213141545678910111213146[[CODE]:[Email Local]],4,0)</f>
        <v>#N/A</v>
      </c>
      <c r="H12" t="e">
        <f>VLOOKUP(E12,Table145678910111213141545678910111213146[[CODE]:[Email Local]],6,0)</f>
        <v>#N/A</v>
      </c>
      <c r="I12" t="s">
        <v>17235</v>
      </c>
      <c r="J12" t="s">
        <v>67</v>
      </c>
      <c r="K12" s="389">
        <v>45435</v>
      </c>
      <c r="L12" s="389"/>
      <c r="M12" s="389"/>
      <c r="N12" t="s">
        <v>5177</v>
      </c>
    </row>
    <row r="13" spans="1:15">
      <c r="A13">
        <v>133</v>
      </c>
      <c r="B13">
        <v>3</v>
      </c>
      <c r="C13" t="s">
        <v>837</v>
      </c>
      <c r="D13" t="s">
        <v>1070</v>
      </c>
      <c r="E13" t="s">
        <v>182</v>
      </c>
      <c r="F13" t="s">
        <v>10224</v>
      </c>
      <c r="G13" t="str">
        <f>VLOOKUP(E13,Table145678910111213141545678910111213146[[CODE]:[Email Local]],4,0)</f>
        <v>08917.son</v>
      </c>
      <c r="H13">
        <f>VLOOKUP(E13,Table145678910111213141545678910111213146[[CODE]:[Email Local]],6,0)</f>
        <v>0</v>
      </c>
      <c r="I13" t="s">
        <v>17235</v>
      </c>
      <c r="J13" t="s">
        <v>67</v>
      </c>
      <c r="K13" s="389">
        <v>45432</v>
      </c>
      <c r="L13" s="389"/>
      <c r="M13" s="389"/>
      <c r="N13" t="s">
        <v>8037</v>
      </c>
    </row>
    <row r="14" spans="1:15">
      <c r="A14">
        <v>136</v>
      </c>
      <c r="B14">
        <v>5</v>
      </c>
      <c r="C14" t="s">
        <v>837</v>
      </c>
      <c r="D14" t="s">
        <v>4972</v>
      </c>
      <c r="E14" t="s">
        <v>184</v>
      </c>
      <c r="F14" t="s">
        <v>10227</v>
      </c>
      <c r="G14" t="str">
        <f>VLOOKUP(E14,Table145678910111213141545678910111213146[[CODE]:[Email Local]],4,0)</f>
        <v>cat.15502</v>
      </c>
      <c r="H14">
        <f>VLOOKUP(E14,Table145678910111213141545678910111213146[[CODE]:[Email Local]],6,0)</f>
        <v>0</v>
      </c>
      <c r="I14" t="s">
        <v>17235</v>
      </c>
      <c r="J14" t="s">
        <v>67</v>
      </c>
      <c r="K14" s="389">
        <v>45432</v>
      </c>
      <c r="L14" s="389">
        <v>45806</v>
      </c>
      <c r="M14" s="389">
        <v>45807</v>
      </c>
      <c r="N14" t="e">
        <v>#N/A</v>
      </c>
    </row>
    <row r="15" spans="1:15">
      <c r="A15">
        <v>137</v>
      </c>
      <c r="B15">
        <v>6</v>
      </c>
      <c r="C15" t="s">
        <v>837</v>
      </c>
      <c r="D15" t="s">
        <v>3409</v>
      </c>
      <c r="E15" t="s">
        <v>185</v>
      </c>
      <c r="F15" t="s">
        <v>10228</v>
      </c>
      <c r="G15" t="str">
        <f>VLOOKUP(E15,Table145678910111213141545678910111213146[[CODE]:[Email Local]],4,0)</f>
        <v>cat.07839</v>
      </c>
      <c r="H15">
        <f>VLOOKUP(E15,Table145678910111213141545678910111213146[[CODE]:[Email Local]],6,0)</f>
        <v>0</v>
      </c>
      <c r="I15" t="s">
        <v>17235</v>
      </c>
      <c r="J15" t="s">
        <v>67</v>
      </c>
      <c r="K15" s="389">
        <v>45432</v>
      </c>
      <c r="L15" s="389">
        <v>45806</v>
      </c>
      <c r="M15" s="389">
        <v>45807</v>
      </c>
      <c r="N15" t="e">
        <v>#N/A</v>
      </c>
    </row>
    <row r="16" spans="1:15">
      <c r="A16">
        <v>139</v>
      </c>
      <c r="B16">
        <v>8</v>
      </c>
      <c r="C16" t="s">
        <v>837</v>
      </c>
      <c r="D16" t="s">
        <v>3228</v>
      </c>
      <c r="E16" t="s">
        <v>187</v>
      </c>
      <c r="F16" t="s">
        <v>10230</v>
      </c>
      <c r="G16" t="str">
        <f>VLOOKUP(E16,Table145678910111213141545678910111213146[[CODE]:[Email Local]],4,0)</f>
        <v>cat.07286</v>
      </c>
      <c r="H16">
        <f>VLOOKUP(E16,Table145678910111213141545678910111213146[[CODE]:[Email Local]],6,0)</f>
        <v>0</v>
      </c>
      <c r="I16" t="s">
        <v>17235</v>
      </c>
      <c r="J16" t="s">
        <v>67</v>
      </c>
      <c r="K16" s="389">
        <v>45432</v>
      </c>
      <c r="L16" s="389"/>
      <c r="M16" s="389"/>
      <c r="N16" t="s">
        <v>898</v>
      </c>
    </row>
    <row r="17" spans="1:14">
      <c r="A17">
        <v>132</v>
      </c>
      <c r="B17">
        <v>2</v>
      </c>
      <c r="C17" t="s">
        <v>837</v>
      </c>
      <c r="D17" t="s">
        <v>3185</v>
      </c>
      <c r="E17" t="s">
        <v>181</v>
      </c>
      <c r="F17" t="s">
        <v>10223</v>
      </c>
      <c r="G17" t="str">
        <f>VLOOKUP(E17,Table145678910111213141545678910111213146[[CODE]:[Email Local]],4,0)</f>
        <v>cat.19230</v>
      </c>
      <c r="H17" t="str">
        <f>VLOOKUP(E17,Table145678910111213141545678910111213146[[CODE]:[Email Local]],6,0)</f>
        <v>ok</v>
      </c>
      <c r="I17" t="s">
        <v>17235</v>
      </c>
      <c r="J17" t="s">
        <v>67</v>
      </c>
      <c r="K17" s="389">
        <v>45432</v>
      </c>
      <c r="L17" s="389"/>
      <c r="M17" s="389"/>
      <c r="N17" t="s">
        <v>8037</v>
      </c>
    </row>
    <row r="18" spans="1:14">
      <c r="A18">
        <v>134</v>
      </c>
      <c r="B18">
        <v>4</v>
      </c>
      <c r="C18" t="s">
        <v>837</v>
      </c>
      <c r="D18" t="s">
        <v>2006</v>
      </c>
      <c r="E18" t="s">
        <v>183</v>
      </c>
      <c r="F18" t="s">
        <v>10225</v>
      </c>
      <c r="G18" t="str">
        <f>VLOOKUP(E18,Table145678910111213141545678910111213146[[CODE]:[Email Local]],4,0)</f>
        <v>cat.02857</v>
      </c>
      <c r="H18" t="str">
        <f>VLOOKUP(E18,Table145678910111213141545678910111213146[[CODE]:[Email Local]],6,0)</f>
        <v>ok</v>
      </c>
      <c r="I18" t="s">
        <v>17235</v>
      </c>
      <c r="J18" t="s">
        <v>67</v>
      </c>
      <c r="K18" s="389">
        <v>45432</v>
      </c>
      <c r="L18" s="389"/>
      <c r="M18" s="389"/>
      <c r="N18" t="s">
        <v>8037</v>
      </c>
    </row>
    <row r="19" spans="1:14">
      <c r="A19">
        <v>138</v>
      </c>
      <c r="B19">
        <v>7</v>
      </c>
      <c r="C19" t="s">
        <v>837</v>
      </c>
      <c r="D19" t="s">
        <v>1298</v>
      </c>
      <c r="E19" t="s">
        <v>186</v>
      </c>
      <c r="F19" t="s">
        <v>10229</v>
      </c>
      <c r="G19" t="str">
        <f>VLOOKUP(E19,Table145678910111213141545678910111213146[[CODE]:[Email Local]],4,0)</f>
        <v>cat.00868</v>
      </c>
      <c r="H19" t="str">
        <f>VLOOKUP(E19,Table145678910111213141545678910111213146[[CODE]:[Email Local]],6,0)</f>
        <v>ok</v>
      </c>
      <c r="I19" t="s">
        <v>17235</v>
      </c>
      <c r="J19" t="s">
        <v>67</v>
      </c>
      <c r="K19" s="389">
        <v>45432</v>
      </c>
      <c r="L19" s="389"/>
      <c r="M19" s="389"/>
      <c r="N19" t="s">
        <v>8037</v>
      </c>
    </row>
    <row r="20" spans="1:14" hidden="1">
      <c r="A20">
        <v>517</v>
      </c>
      <c r="B20">
        <v>1</v>
      </c>
      <c r="C20" t="s">
        <v>838</v>
      </c>
      <c r="D20" t="s">
        <v>970</v>
      </c>
      <c r="E20" t="s">
        <v>511</v>
      </c>
      <c r="F20" t="s">
        <v>10598</v>
      </c>
      <c r="G20" t="e">
        <f>VLOOKUP(E20,Table145678910111213141545678910111213146[[CODE]:[Email Local]],4,0)</f>
        <v>#N/A</v>
      </c>
      <c r="H20" t="e">
        <f>VLOOKUP(E20,Table145678910111213141545678910111213146[[CODE]:[Email Local]],6,0)</f>
        <v>#N/A</v>
      </c>
      <c r="J20" t="s">
        <v>67</v>
      </c>
      <c r="K20" s="389">
        <v>45437</v>
      </c>
      <c r="L20" s="389"/>
      <c r="M20" s="389"/>
      <c r="N20" t="s">
        <v>797</v>
      </c>
    </row>
    <row r="21" spans="1:14" hidden="1">
      <c r="A21">
        <v>518</v>
      </c>
      <c r="B21">
        <v>2</v>
      </c>
      <c r="C21" t="s">
        <v>838</v>
      </c>
      <c r="D21" t="s">
        <v>3451</v>
      </c>
      <c r="E21" t="s">
        <v>512</v>
      </c>
      <c r="F21" t="s">
        <v>10599</v>
      </c>
      <c r="G21" t="str">
        <f>VLOOKUP(E21,Table145678910111213141545678910111213146[[CODE]:[Email Local]],4,0)</f>
        <v>cvu.07948</v>
      </c>
      <c r="H21">
        <f>VLOOKUP(E21,Table145678910111213141545678910111213146[[CODE]:[Email Local]],6,0)</f>
        <v>0</v>
      </c>
      <c r="J21" t="s">
        <v>67</v>
      </c>
      <c r="K21" s="389">
        <v>45437</v>
      </c>
      <c r="L21" s="389"/>
      <c r="M21" s="389"/>
      <c r="N21" t="s">
        <v>797</v>
      </c>
    </row>
    <row r="22" spans="1:14" hidden="1">
      <c r="A22">
        <v>94</v>
      </c>
      <c r="B22">
        <v>1</v>
      </c>
      <c r="C22" t="s">
        <v>839</v>
      </c>
      <c r="D22" t="s">
        <v>2407</v>
      </c>
      <c r="E22" t="s">
        <v>148</v>
      </c>
      <c r="F22" t="s">
        <v>10185</v>
      </c>
      <c r="G22" t="str">
        <f>VLOOKUP(E22,Table145678910111213141545678910111213146[[CODE]:[Email Local]],4,0)</f>
        <v>dap1.07790</v>
      </c>
      <c r="H22">
        <f>VLOOKUP(E22,Table145678910111213141545678910111213146[[CODE]:[Email Local]],6,0)</f>
        <v>0</v>
      </c>
      <c r="J22" t="s">
        <v>67</v>
      </c>
      <c r="K22" s="389">
        <v>45421</v>
      </c>
      <c r="L22" s="389"/>
      <c r="M22" s="389"/>
      <c r="N22" t="s">
        <v>985</v>
      </c>
    </row>
    <row r="23" spans="1:14" hidden="1">
      <c r="A23">
        <v>95</v>
      </c>
      <c r="B23">
        <v>2</v>
      </c>
      <c r="C23" t="s">
        <v>839</v>
      </c>
      <c r="D23" t="s">
        <v>2934</v>
      </c>
      <c r="E23" t="s">
        <v>149</v>
      </c>
      <c r="F23" t="s">
        <v>10186</v>
      </c>
      <c r="G23" t="e">
        <f>VLOOKUP(E23,Table145678910111213141545678910111213146[[CODE]:[Email Local]],4,0)</f>
        <v>#N/A</v>
      </c>
      <c r="H23" t="e">
        <f>VLOOKUP(E23,Table145678910111213141545678910111213146[[CODE]:[Email Local]],6,0)</f>
        <v>#N/A</v>
      </c>
      <c r="J23" t="s">
        <v>67</v>
      </c>
      <c r="K23" s="389">
        <v>45421</v>
      </c>
      <c r="L23" s="389">
        <v>45876</v>
      </c>
      <c r="M23" s="389">
        <v>45876</v>
      </c>
      <c r="N23" t="e">
        <v>#N/A</v>
      </c>
    </row>
    <row r="24" spans="1:14" hidden="1">
      <c r="A24">
        <v>96</v>
      </c>
      <c r="B24">
        <v>3</v>
      </c>
      <c r="C24" t="s">
        <v>839</v>
      </c>
      <c r="D24" t="s">
        <v>11707</v>
      </c>
      <c r="E24" t="s">
        <v>150</v>
      </c>
      <c r="F24" t="s">
        <v>10187</v>
      </c>
      <c r="G24" t="e">
        <f>VLOOKUP(E24,Table145678910111213141545678910111213146[[CODE]:[Email Local]],4,0)</f>
        <v>#N/A</v>
      </c>
      <c r="H24" t="e">
        <f>VLOOKUP(E24,Table145678910111213141545678910111213146[[CODE]:[Email Local]],6,0)</f>
        <v>#N/A</v>
      </c>
      <c r="J24" t="s">
        <v>67</v>
      </c>
      <c r="K24" s="389">
        <v>45421</v>
      </c>
      <c r="L24" s="389">
        <v>45929</v>
      </c>
      <c r="M24" s="389">
        <v>45960</v>
      </c>
      <c r="N24" t="e">
        <v>#N/A</v>
      </c>
    </row>
    <row r="25" spans="1:14" hidden="1">
      <c r="A25">
        <v>97</v>
      </c>
      <c r="B25">
        <v>4</v>
      </c>
      <c r="C25" t="s">
        <v>839</v>
      </c>
      <c r="D25" t="s">
        <v>2218</v>
      </c>
      <c r="E25" t="s">
        <v>151</v>
      </c>
      <c r="F25" t="s">
        <v>10188</v>
      </c>
      <c r="G25" t="e">
        <f>VLOOKUP(E25,Table145678910111213141545678910111213146[[CODE]:[Email Local]],4,0)</f>
        <v>#N/A</v>
      </c>
      <c r="H25" t="e">
        <f>VLOOKUP(E25,Table145678910111213141545678910111213146[[CODE]:[Email Local]],6,0)</f>
        <v>#N/A</v>
      </c>
      <c r="J25" t="s">
        <v>67</v>
      </c>
      <c r="K25" s="389">
        <v>45421</v>
      </c>
      <c r="L25" s="389"/>
      <c r="M25" s="389"/>
      <c r="N25" t="s">
        <v>985</v>
      </c>
    </row>
    <row r="26" spans="1:14" hidden="1">
      <c r="A26">
        <v>99</v>
      </c>
      <c r="B26">
        <v>6</v>
      </c>
      <c r="C26" t="s">
        <v>839</v>
      </c>
      <c r="D26" t="s">
        <v>5777</v>
      </c>
      <c r="E26" t="s">
        <v>153</v>
      </c>
      <c r="F26" t="s">
        <v>10190</v>
      </c>
      <c r="G26" t="e">
        <f>VLOOKUP(E26,Table145678910111213141545678910111213146[[CODE]:[Email Local]],4,0)</f>
        <v>#N/A</v>
      </c>
      <c r="H26" t="e">
        <f>VLOOKUP(E26,Table145678910111213141545678910111213146[[CODE]:[Email Local]],6,0)</f>
        <v>#N/A</v>
      </c>
      <c r="J26" t="s">
        <v>67</v>
      </c>
      <c r="K26" s="389">
        <v>45421</v>
      </c>
      <c r="L26" s="389"/>
      <c r="M26" s="389"/>
      <c r="N26" t="s">
        <v>985</v>
      </c>
    </row>
    <row r="27" spans="1:14" hidden="1">
      <c r="A27">
        <v>101</v>
      </c>
      <c r="B27">
        <v>8</v>
      </c>
      <c r="C27" t="s">
        <v>839</v>
      </c>
      <c r="D27" t="s">
        <v>983</v>
      </c>
      <c r="E27" t="s">
        <v>156</v>
      </c>
      <c r="F27" t="s">
        <v>10192</v>
      </c>
      <c r="G27" t="str">
        <f>VLOOKUP(E27,Table145678910111213141545678910111213146[[CODE]:[Email Local]],4,0)</f>
        <v>dap1.00254</v>
      </c>
      <c r="H27">
        <f>VLOOKUP(E27,Table145678910111213141545678910111213146[[CODE]:[Email Local]],6,0)</f>
        <v>0</v>
      </c>
      <c r="J27" t="s">
        <v>67</v>
      </c>
      <c r="K27" s="389">
        <v>45421</v>
      </c>
      <c r="L27" s="389"/>
      <c r="M27" s="389"/>
      <c r="N27" t="s">
        <v>985</v>
      </c>
    </row>
    <row r="28" spans="1:14" hidden="1">
      <c r="A28">
        <v>102</v>
      </c>
      <c r="B28">
        <v>9</v>
      </c>
      <c r="C28" t="s">
        <v>839</v>
      </c>
      <c r="D28" t="s">
        <v>11697</v>
      </c>
      <c r="E28" t="s">
        <v>7800</v>
      </c>
      <c r="F28" t="s">
        <v>10193</v>
      </c>
      <c r="G28" t="e">
        <f>VLOOKUP(E28,Table145678910111213141545678910111213146[[CODE]:[Email Local]],4,0)</f>
        <v>#N/A</v>
      </c>
      <c r="H28" t="e">
        <f>VLOOKUP(E28,Table145678910111213141545678910111213146[[CODE]:[Email Local]],6,0)</f>
        <v>#N/A</v>
      </c>
      <c r="J28" t="s">
        <v>67</v>
      </c>
      <c r="K28" s="389">
        <v>45421</v>
      </c>
      <c r="L28" s="389">
        <v>45806</v>
      </c>
      <c r="M28" s="389">
        <v>45806</v>
      </c>
      <c r="N28" t="e">
        <v>#N/A</v>
      </c>
    </row>
    <row r="29" spans="1:14" hidden="1">
      <c r="A29">
        <v>103</v>
      </c>
      <c r="B29">
        <v>10</v>
      </c>
      <c r="C29" t="s">
        <v>839</v>
      </c>
      <c r="D29" t="s">
        <v>1103</v>
      </c>
      <c r="E29" t="s">
        <v>7816</v>
      </c>
      <c r="F29" t="s">
        <v>10194</v>
      </c>
      <c r="G29" t="e">
        <f>VLOOKUP(E29,Table145678910111213141545678910111213146[[CODE]:[Email Local]],4,0)</f>
        <v>#N/A</v>
      </c>
      <c r="H29" t="e">
        <f>VLOOKUP(E29,Table145678910111213141545678910111213146[[CODE]:[Email Local]],6,0)</f>
        <v>#N/A</v>
      </c>
      <c r="J29" t="s">
        <v>67</v>
      </c>
      <c r="K29" s="389">
        <v>45562</v>
      </c>
      <c r="L29" s="389"/>
      <c r="M29" s="389"/>
      <c r="N29" t="s">
        <v>985</v>
      </c>
    </row>
    <row r="30" spans="1:14" hidden="1">
      <c r="A30">
        <v>104</v>
      </c>
      <c r="B30">
        <v>11</v>
      </c>
      <c r="C30" t="s">
        <v>839</v>
      </c>
      <c r="D30" t="s">
        <v>1296</v>
      </c>
      <c r="E30" t="s">
        <v>8003</v>
      </c>
      <c r="F30" t="s">
        <v>10195</v>
      </c>
      <c r="G30" t="e">
        <f>VLOOKUP(E30,Table145678910111213141545678910111213146[[CODE]:[Email Local]],4,0)</f>
        <v>#N/A</v>
      </c>
      <c r="H30" t="e">
        <f>VLOOKUP(E30,Table145678910111213141545678910111213146[[CODE]:[Email Local]],6,0)</f>
        <v>#N/A</v>
      </c>
      <c r="J30" t="s">
        <v>67</v>
      </c>
      <c r="K30" s="389">
        <v>45741</v>
      </c>
      <c r="L30" s="389"/>
      <c r="M30" s="389"/>
      <c r="N30" t="s">
        <v>985</v>
      </c>
    </row>
    <row r="31" spans="1:14" hidden="1">
      <c r="A31">
        <v>105</v>
      </c>
      <c r="C31" t="s">
        <v>839</v>
      </c>
      <c r="D31" t="s">
        <v>1399</v>
      </c>
      <c r="E31" t="s">
        <v>8388</v>
      </c>
      <c r="F31" t="s">
        <v>10196</v>
      </c>
      <c r="G31" t="e">
        <f>VLOOKUP(E31,Table145678910111213141545678910111213146[[CODE]:[Email Local]],4,0)</f>
        <v>#N/A</v>
      </c>
      <c r="H31" t="e">
        <f>VLOOKUP(E31,Table145678910111213141545678910111213146[[CODE]:[Email Local]],6,0)</f>
        <v>#N/A</v>
      </c>
      <c r="J31" t="s">
        <v>67</v>
      </c>
      <c r="K31" s="389">
        <v>45807</v>
      </c>
      <c r="L31" s="389"/>
      <c r="M31" s="389"/>
      <c r="N31" t="s">
        <v>985</v>
      </c>
    </row>
    <row r="32" spans="1:14" hidden="1">
      <c r="A32">
        <v>772</v>
      </c>
      <c r="C32" t="s">
        <v>839</v>
      </c>
      <c r="D32" t="s">
        <v>2388</v>
      </c>
      <c r="E32" t="s">
        <v>8805</v>
      </c>
      <c r="F32" t="s">
        <v>8806</v>
      </c>
      <c r="G32" t="e">
        <f>VLOOKUP(E32,Table145678910111213141545678910111213146[[CODE]:[Email Local]],4,0)</f>
        <v>#N/A</v>
      </c>
      <c r="H32" t="e">
        <f>VLOOKUP(E32,Table145678910111213141545678910111213146[[CODE]:[Email Local]],6,0)</f>
        <v>#N/A</v>
      </c>
      <c r="J32" t="s">
        <v>67</v>
      </c>
      <c r="K32" s="389" t="s">
        <v>8807</v>
      </c>
      <c r="L32" s="389"/>
      <c r="M32" s="389"/>
      <c r="N32" t="s">
        <v>985</v>
      </c>
    </row>
    <row r="33" spans="1:14" hidden="1">
      <c r="A33">
        <v>98</v>
      </c>
      <c r="B33">
        <v>5</v>
      </c>
      <c r="C33" t="s">
        <v>839</v>
      </c>
      <c r="D33" t="s">
        <v>11699</v>
      </c>
      <c r="E33" t="s">
        <v>152</v>
      </c>
      <c r="F33" t="s">
        <v>10189</v>
      </c>
      <c r="G33" t="str">
        <f>VLOOKUP(E33,Table145678910111213141545678910111213146[[CODE]:[Email Local]],4,0)</f>
        <v>dap1.03094</v>
      </c>
      <c r="H33" t="str">
        <f>VLOOKUP(E33,Table145678910111213141545678910111213146[[CODE]:[Email Local]],6,0)</f>
        <v>ok</v>
      </c>
      <c r="J33" t="s">
        <v>67</v>
      </c>
      <c r="K33" s="389">
        <v>45421</v>
      </c>
      <c r="L33" s="389"/>
      <c r="M33" s="389"/>
      <c r="N33" t="s">
        <v>985</v>
      </c>
    </row>
    <row r="34" spans="1:14" hidden="1">
      <c r="A34">
        <v>100</v>
      </c>
      <c r="B34">
        <v>7</v>
      </c>
      <c r="C34" t="s">
        <v>839</v>
      </c>
      <c r="D34" t="s">
        <v>1368</v>
      </c>
      <c r="E34" t="s">
        <v>154</v>
      </c>
      <c r="F34" t="s">
        <v>10191</v>
      </c>
      <c r="G34" t="str">
        <f>VLOOKUP(E34,Table145678910111213141545678910111213146[[CODE]:[Email Local]],4,0)</f>
        <v>00998.bang</v>
      </c>
      <c r="H34" t="str">
        <f>VLOOKUP(E34,Table145678910111213141545678910111213146[[CODE]:[Email Local]],6,0)</f>
        <v>ok</v>
      </c>
      <c r="J34" t="s">
        <v>67</v>
      </c>
      <c r="K34" s="389">
        <v>45421</v>
      </c>
      <c r="L34" s="389"/>
      <c r="M34" s="389"/>
      <c r="N34" t="s">
        <v>985</v>
      </c>
    </row>
    <row r="35" spans="1:14" hidden="1">
      <c r="A35">
        <v>140</v>
      </c>
      <c r="B35">
        <v>1</v>
      </c>
      <c r="C35" t="s">
        <v>840</v>
      </c>
      <c r="D35" t="s">
        <v>12562</v>
      </c>
      <c r="E35" t="s">
        <v>188</v>
      </c>
      <c r="F35" t="s">
        <v>10231</v>
      </c>
      <c r="G35" t="e">
        <f>VLOOKUP(E35,Table145678910111213141545678910111213146[[CODE]:[Email Local]],4,0)</f>
        <v>#N/A</v>
      </c>
      <c r="H35" t="e">
        <f>VLOOKUP(E35,Table145678910111213141545678910111213146[[CODE]:[Email Local]],6,0)</f>
        <v>#N/A</v>
      </c>
      <c r="J35" t="s">
        <v>67</v>
      </c>
      <c r="K35" s="389">
        <v>45432</v>
      </c>
      <c r="L35" s="389">
        <v>45929</v>
      </c>
      <c r="M35" s="389">
        <v>45929</v>
      </c>
      <c r="N35" t="e">
        <v>#N/A</v>
      </c>
    </row>
    <row r="36" spans="1:14" hidden="1">
      <c r="A36">
        <v>143</v>
      </c>
      <c r="B36">
        <v>4</v>
      </c>
      <c r="C36" t="s">
        <v>840</v>
      </c>
      <c r="D36" t="s">
        <v>1804</v>
      </c>
      <c r="E36" t="s">
        <v>190</v>
      </c>
      <c r="F36" t="s">
        <v>10234</v>
      </c>
      <c r="G36" t="str">
        <f>VLOOKUP(E36,Table145678910111213141545678910111213146[[CODE]:[Email Local]],4,0)</f>
        <v>dap3.9866</v>
      </c>
      <c r="H36">
        <f>VLOOKUP(E36,Table145678910111213141545678910111213146[[CODE]:[Email Local]],6,0)</f>
        <v>0</v>
      </c>
      <c r="J36" t="s">
        <v>67</v>
      </c>
      <c r="K36" s="389">
        <v>45432</v>
      </c>
      <c r="L36" s="389"/>
      <c r="M36" s="389"/>
      <c r="N36" t="s">
        <v>1034</v>
      </c>
    </row>
    <row r="37" spans="1:14" hidden="1">
      <c r="A37">
        <v>144</v>
      </c>
      <c r="B37">
        <v>5</v>
      </c>
      <c r="C37" t="s">
        <v>840</v>
      </c>
      <c r="D37" t="s">
        <v>4116</v>
      </c>
      <c r="E37" t="s">
        <v>192</v>
      </c>
      <c r="F37" t="s">
        <v>10235</v>
      </c>
      <c r="G37" t="str">
        <f>VLOOKUP(E37,Table145678910111213141545678910111213146[[CODE]:[Email Local]],4,0)</f>
        <v>dap3.10367</v>
      </c>
      <c r="H37">
        <f>VLOOKUP(E37,Table145678910111213141545678910111213146[[CODE]:[Email Local]],6,0)</f>
        <v>0</v>
      </c>
      <c r="J37" t="s">
        <v>67</v>
      </c>
      <c r="K37" s="389">
        <v>45432</v>
      </c>
      <c r="L37" s="389"/>
      <c r="M37" s="389"/>
      <c r="N37" t="s">
        <v>1034</v>
      </c>
    </row>
    <row r="38" spans="1:14" hidden="1">
      <c r="A38">
        <v>145</v>
      </c>
      <c r="B38">
        <v>6</v>
      </c>
      <c r="C38" t="s">
        <v>840</v>
      </c>
      <c r="D38" t="s">
        <v>4799</v>
      </c>
      <c r="E38" t="s">
        <v>191</v>
      </c>
      <c r="F38" t="s">
        <v>10236</v>
      </c>
      <c r="G38" t="e">
        <f>VLOOKUP(E38,Table145678910111213141545678910111213146[[CODE]:[Email Local]],4,0)</f>
        <v>#N/A</v>
      </c>
      <c r="H38" t="e">
        <f>VLOOKUP(E38,Table145678910111213141545678910111213146[[CODE]:[Email Local]],6,0)</f>
        <v>#N/A</v>
      </c>
      <c r="J38" t="s">
        <v>67</v>
      </c>
      <c r="K38" s="389">
        <v>45432</v>
      </c>
      <c r="L38" s="389"/>
      <c r="M38" s="389"/>
      <c r="N38" t="s">
        <v>1034</v>
      </c>
    </row>
    <row r="39" spans="1:14" hidden="1">
      <c r="A39">
        <v>146</v>
      </c>
      <c r="B39">
        <v>7</v>
      </c>
      <c r="C39" t="s">
        <v>840</v>
      </c>
      <c r="D39" t="s">
        <v>1202</v>
      </c>
      <c r="E39" t="s">
        <v>193</v>
      </c>
      <c r="F39" t="s">
        <v>10237</v>
      </c>
      <c r="G39" t="str">
        <f>VLOOKUP(E39,Table145678910111213141545678910111213146[[CODE]:[Email Local]],4,0)</f>
        <v>dap3.0677</v>
      </c>
      <c r="H39">
        <f>VLOOKUP(E39,Table145678910111213141545678910111213146[[CODE]:[Email Local]],6,0)</f>
        <v>0</v>
      </c>
      <c r="J39" t="s">
        <v>67</v>
      </c>
      <c r="K39" s="389">
        <v>45432</v>
      </c>
      <c r="L39" s="389"/>
      <c r="M39" s="389"/>
      <c r="N39" t="s">
        <v>1034</v>
      </c>
    </row>
    <row r="40" spans="1:14" hidden="1">
      <c r="A40">
        <v>148</v>
      </c>
      <c r="C40" t="s">
        <v>840</v>
      </c>
      <c r="D40" t="s">
        <v>8373</v>
      </c>
      <c r="E40" t="s">
        <v>8400</v>
      </c>
      <c r="F40" t="s">
        <v>10239</v>
      </c>
      <c r="G40" t="e">
        <f>VLOOKUP(E40,Table145678910111213141545678910111213146[[CODE]:[Email Local]],4,0)</f>
        <v>#N/A</v>
      </c>
      <c r="H40" t="e">
        <f>VLOOKUP(E40,Table145678910111213141545678910111213146[[CODE]:[Email Local]],6,0)</f>
        <v>#N/A</v>
      </c>
      <c r="J40" t="s">
        <v>67</v>
      </c>
      <c r="K40" s="389">
        <v>45839</v>
      </c>
      <c r="L40" s="389"/>
      <c r="M40" s="389"/>
      <c r="N40" t="s">
        <v>1380</v>
      </c>
    </row>
    <row r="41" spans="1:14" hidden="1">
      <c r="A41">
        <v>149</v>
      </c>
      <c r="C41" t="s">
        <v>840</v>
      </c>
      <c r="D41" t="s">
        <v>2140</v>
      </c>
      <c r="E41" t="s">
        <v>8537</v>
      </c>
      <c r="F41" t="s">
        <v>10240</v>
      </c>
      <c r="G41" t="e">
        <f>VLOOKUP(E41,Table145678910111213141545678910111213146[[CODE]:[Email Local]],4,0)</f>
        <v>#N/A</v>
      </c>
      <c r="H41" t="e">
        <f>VLOOKUP(E41,Table145678910111213141545678910111213146[[CODE]:[Email Local]],6,0)</f>
        <v>#N/A</v>
      </c>
      <c r="J41" t="s">
        <v>67</v>
      </c>
      <c r="K41" s="389">
        <v>45882</v>
      </c>
      <c r="L41" s="389"/>
      <c r="M41" s="389"/>
      <c r="N41" t="s">
        <v>1034</v>
      </c>
    </row>
    <row r="42" spans="1:14" hidden="1">
      <c r="A42">
        <v>141</v>
      </c>
      <c r="B42">
        <v>2</v>
      </c>
      <c r="C42" t="s">
        <v>840</v>
      </c>
      <c r="D42" t="s">
        <v>4118</v>
      </c>
      <c r="E42" t="s">
        <v>189</v>
      </c>
      <c r="F42" t="s">
        <v>10232</v>
      </c>
      <c r="G42" t="str">
        <f>VLOOKUP(E42,Table145678910111213141545678910111213146[[CODE]:[Email Local]],4,0)</f>
        <v>10368.hang</v>
      </c>
      <c r="H42" t="str">
        <f>VLOOKUP(E42,Table145678910111213141545678910111213146[[CODE]:[Email Local]],6,0)</f>
        <v>ok</v>
      </c>
      <c r="J42" t="s">
        <v>67</v>
      </c>
      <c r="K42" s="389">
        <v>45432</v>
      </c>
      <c r="L42" s="389"/>
      <c r="M42" s="389"/>
      <c r="N42" t="s">
        <v>1034</v>
      </c>
    </row>
    <row r="43" spans="1:14" hidden="1">
      <c r="A43">
        <v>147</v>
      </c>
      <c r="B43">
        <v>8</v>
      </c>
      <c r="C43" t="s">
        <v>840</v>
      </c>
      <c r="D43" t="s">
        <v>946</v>
      </c>
      <c r="E43" t="s">
        <v>672</v>
      </c>
      <c r="F43" t="s">
        <v>10238</v>
      </c>
      <c r="G43" t="str">
        <f>VLOOKUP(E43,Table145678910111213141545678910111213146[[CODE]:[Email Local]],4,0)</f>
        <v>vuthanh</v>
      </c>
      <c r="H43" t="str">
        <f>VLOOKUP(E43,Table145678910111213141545678910111213146[[CODE]:[Email Local]],6,0)</f>
        <v>ok</v>
      </c>
      <c r="J43" t="s">
        <v>67</v>
      </c>
      <c r="K43" s="389">
        <v>45399</v>
      </c>
      <c r="L43" s="389"/>
      <c r="M43" s="389"/>
      <c r="N43" t="s">
        <v>1034</v>
      </c>
    </row>
    <row r="44" spans="1:14" hidden="1">
      <c r="A44">
        <v>491</v>
      </c>
      <c r="B44">
        <v>2</v>
      </c>
      <c r="C44" t="s">
        <v>841</v>
      </c>
      <c r="D44" t="s">
        <v>1535</v>
      </c>
      <c r="E44" t="s">
        <v>496</v>
      </c>
      <c r="F44" t="s">
        <v>10573</v>
      </c>
      <c r="G44" t="str">
        <f>VLOOKUP(E44,Table145678910111213141545678910111213146[[CODE]:[Email Local]],4,0)</f>
        <v>han4.1413</v>
      </c>
      <c r="H44">
        <f>VLOOKUP(E44,Table145678910111213141545678910111213146[[CODE]:[Email Local]],6,0)</f>
        <v>0</v>
      </c>
      <c r="J44" t="s">
        <v>67</v>
      </c>
      <c r="K44" s="389">
        <v>45437</v>
      </c>
      <c r="L44" s="389"/>
      <c r="M44" s="389"/>
      <c r="N44" t="s">
        <v>927</v>
      </c>
    </row>
    <row r="45" spans="1:14" hidden="1">
      <c r="A45">
        <v>492</v>
      </c>
      <c r="B45">
        <v>3</v>
      </c>
      <c r="C45" t="s">
        <v>841</v>
      </c>
      <c r="D45" t="s">
        <v>4218</v>
      </c>
      <c r="E45" t="s">
        <v>497</v>
      </c>
      <c r="F45" t="s">
        <v>10574</v>
      </c>
      <c r="G45" t="str">
        <f>VLOOKUP(E45,Table145678910111213141545678910111213146[[CODE]:[Email Local]],4,0)</f>
        <v>dap5.10636</v>
      </c>
      <c r="H45">
        <f>VLOOKUP(E45,Table145678910111213141545678910111213146[[CODE]:[Email Local]],6,0)</f>
        <v>0</v>
      </c>
      <c r="J45" t="s">
        <v>67</v>
      </c>
      <c r="K45" s="389">
        <v>45437</v>
      </c>
      <c r="L45" s="389"/>
      <c r="M45" s="389"/>
      <c r="N45" t="s">
        <v>927</v>
      </c>
    </row>
    <row r="46" spans="1:14" hidden="1">
      <c r="A46">
        <v>493</v>
      </c>
      <c r="B46">
        <v>4</v>
      </c>
      <c r="C46" t="s">
        <v>841</v>
      </c>
      <c r="D46" t="s">
        <v>5357</v>
      </c>
      <c r="E46" t="s">
        <v>498</v>
      </c>
      <c r="F46" t="s">
        <v>10575</v>
      </c>
      <c r="G46" t="str">
        <f>VLOOKUP(E46,Table145678910111213141545678910111213146[[CODE]:[Email Local]],4,0)</f>
        <v>15705.soan</v>
      </c>
      <c r="H46">
        <f>VLOOKUP(E46,Table145678910111213141545678910111213146[[CODE]:[Email Local]],6,0)</f>
        <v>0</v>
      </c>
      <c r="J46" t="s">
        <v>67</v>
      </c>
      <c r="K46" s="389">
        <v>45437</v>
      </c>
      <c r="L46" s="389">
        <v>45806</v>
      </c>
      <c r="M46" s="389">
        <v>45806</v>
      </c>
      <c r="N46" t="e">
        <v>#N/A</v>
      </c>
    </row>
    <row r="47" spans="1:14" hidden="1">
      <c r="A47">
        <v>494</v>
      </c>
      <c r="B47">
        <v>5</v>
      </c>
      <c r="C47" t="s">
        <v>841</v>
      </c>
      <c r="D47" t="s">
        <v>499</v>
      </c>
      <c r="E47" t="s">
        <v>499</v>
      </c>
      <c r="F47" t="s">
        <v>834</v>
      </c>
      <c r="G47" t="e">
        <f>VLOOKUP(E47,Table145678910111213141545678910111213146[[CODE]:[Email Local]],4,0)</f>
        <v>#N/A</v>
      </c>
      <c r="H47" t="e">
        <f>VLOOKUP(E47,Table145678910111213141545678910111213146[[CODE]:[Email Local]],6,0)</f>
        <v>#N/A</v>
      </c>
      <c r="J47" t="s">
        <v>67</v>
      </c>
      <c r="K47" s="389">
        <v>45437</v>
      </c>
      <c r="L47" s="389"/>
      <c r="M47" s="389"/>
      <c r="N47" t="e">
        <v>#N/A</v>
      </c>
    </row>
    <row r="48" spans="1:14" hidden="1">
      <c r="A48">
        <v>495</v>
      </c>
      <c r="B48">
        <v>6</v>
      </c>
      <c r="C48" t="s">
        <v>841</v>
      </c>
      <c r="D48" t="s">
        <v>1372</v>
      </c>
      <c r="E48" t="s">
        <v>500</v>
      </c>
      <c r="F48" t="s">
        <v>10576</v>
      </c>
      <c r="G48" t="str">
        <f>VLOOKUP(E48,Table145678910111213141545678910111213146[[CODE]:[Email Local]],4,0)</f>
        <v>dap1.10595</v>
      </c>
      <c r="H48">
        <f>VLOOKUP(E48,Table145678910111213141545678910111213146[[CODE]:[Email Local]],6,0)</f>
        <v>0</v>
      </c>
      <c r="J48" t="s">
        <v>67</v>
      </c>
      <c r="K48" s="389">
        <v>45437</v>
      </c>
      <c r="L48" s="389"/>
      <c r="M48" s="389"/>
      <c r="N48" t="s">
        <v>927</v>
      </c>
    </row>
    <row r="49" spans="1:14" hidden="1">
      <c r="A49">
        <v>496</v>
      </c>
      <c r="B49">
        <v>7</v>
      </c>
      <c r="C49" t="s">
        <v>841</v>
      </c>
      <c r="D49" t="s">
        <v>5512</v>
      </c>
      <c r="E49" t="s">
        <v>501</v>
      </c>
      <c r="F49" t="s">
        <v>10577</v>
      </c>
      <c r="G49" t="e">
        <f>VLOOKUP(E49,Table145678910111213141545678910111213146[[CODE]:[Email Local]],4,0)</f>
        <v>#N/A</v>
      </c>
      <c r="H49" t="e">
        <f>VLOOKUP(E49,Table145678910111213141545678910111213146[[CODE]:[Email Local]],6,0)</f>
        <v>#N/A</v>
      </c>
      <c r="J49" t="s">
        <v>67</v>
      </c>
      <c r="K49" s="389">
        <v>45434</v>
      </c>
      <c r="L49" s="389"/>
      <c r="M49" s="389"/>
      <c r="N49" t="s">
        <v>927</v>
      </c>
    </row>
    <row r="50" spans="1:14" hidden="1">
      <c r="A50">
        <v>498</v>
      </c>
      <c r="B50">
        <v>9</v>
      </c>
      <c r="C50" t="s">
        <v>841</v>
      </c>
      <c r="D50" t="s">
        <v>4560</v>
      </c>
      <c r="E50" t="s">
        <v>495</v>
      </c>
      <c r="F50" t="s">
        <v>10579</v>
      </c>
      <c r="G50" t="str">
        <f>VLOOKUP(E50,Table145678910111213141545678910111213146[[CODE]:[Email Local]],4,0)</f>
        <v>dap5.11901</v>
      </c>
      <c r="H50">
        <f>VLOOKUP(E50,Table145678910111213141545678910111213146[[CODE]:[Email Local]],6,0)</f>
        <v>0</v>
      </c>
      <c r="J50" t="s">
        <v>67</v>
      </c>
      <c r="K50" s="389">
        <v>45437</v>
      </c>
      <c r="L50" s="389"/>
      <c r="M50" s="389"/>
      <c r="N50" t="s">
        <v>927</v>
      </c>
    </row>
    <row r="51" spans="1:14" hidden="1">
      <c r="A51">
        <v>499</v>
      </c>
      <c r="B51">
        <v>10</v>
      </c>
      <c r="C51" t="s">
        <v>841</v>
      </c>
      <c r="D51" t="s">
        <v>13079</v>
      </c>
      <c r="E51" t="s">
        <v>502</v>
      </c>
      <c r="F51" t="s">
        <v>10580</v>
      </c>
      <c r="G51" t="e">
        <f>VLOOKUP(E51,Table145678910111213141545678910111213146[[CODE]:[Email Local]],4,0)</f>
        <v>#N/A</v>
      </c>
      <c r="H51" t="e">
        <f>VLOOKUP(E51,Table145678910111213141545678910111213146[[CODE]:[Email Local]],6,0)</f>
        <v>#N/A</v>
      </c>
      <c r="J51" t="s">
        <v>67</v>
      </c>
      <c r="K51" s="389">
        <v>45437</v>
      </c>
      <c r="L51" s="389">
        <v>45919</v>
      </c>
      <c r="M51" s="389">
        <v>45919</v>
      </c>
      <c r="N51" t="e">
        <v>#N/A</v>
      </c>
    </row>
    <row r="52" spans="1:14" hidden="1">
      <c r="A52">
        <v>500</v>
      </c>
      <c r="B52">
        <v>11</v>
      </c>
      <c r="C52" t="s">
        <v>841</v>
      </c>
      <c r="D52" t="s">
        <v>1327</v>
      </c>
      <c r="E52" t="s">
        <v>7797</v>
      </c>
      <c r="F52" t="s">
        <v>10581</v>
      </c>
      <c r="G52" t="e">
        <f>VLOOKUP(E52,Table145678910111213141545678910111213146[[CODE]:[Email Local]],4,0)</f>
        <v>#N/A</v>
      </c>
      <c r="H52" t="e">
        <f>VLOOKUP(E52,Table145678910111213141545678910111213146[[CODE]:[Email Local]],6,0)</f>
        <v>#N/A</v>
      </c>
      <c r="J52" t="s">
        <v>67</v>
      </c>
      <c r="K52" s="389">
        <v>45469</v>
      </c>
      <c r="L52" s="389"/>
      <c r="M52" s="389"/>
      <c r="N52" t="s">
        <v>927</v>
      </c>
    </row>
    <row r="53" spans="1:14" hidden="1">
      <c r="A53">
        <v>501</v>
      </c>
      <c r="B53">
        <v>12</v>
      </c>
      <c r="C53" t="s">
        <v>841</v>
      </c>
      <c r="D53" t="s">
        <v>2472</v>
      </c>
      <c r="E53" t="s">
        <v>8005</v>
      </c>
      <c r="F53" t="s">
        <v>10582</v>
      </c>
      <c r="G53" t="e">
        <f>VLOOKUP(E53,Table145678910111213141545678910111213146[[CODE]:[Email Local]],4,0)</f>
        <v>#N/A</v>
      </c>
      <c r="H53" t="e">
        <f>VLOOKUP(E53,Table145678910111213141545678910111213146[[CODE]:[Email Local]],6,0)</f>
        <v>#N/A</v>
      </c>
      <c r="J53" t="s">
        <v>67</v>
      </c>
      <c r="K53" s="389">
        <v>45736</v>
      </c>
      <c r="L53" s="389"/>
      <c r="M53" s="389"/>
      <c r="N53" t="s">
        <v>927</v>
      </c>
    </row>
    <row r="54" spans="1:14" hidden="1">
      <c r="A54">
        <v>502</v>
      </c>
      <c r="B54">
        <v>13</v>
      </c>
      <c r="C54" t="s">
        <v>841</v>
      </c>
      <c r="D54" t="s">
        <v>4589</v>
      </c>
      <c r="E54" t="s">
        <v>8390</v>
      </c>
      <c r="F54" t="s">
        <v>10583</v>
      </c>
      <c r="G54" t="e">
        <f>VLOOKUP(E54,Table145678910111213141545678910111213146[[CODE]:[Email Local]],4,0)</f>
        <v>#N/A</v>
      </c>
      <c r="H54" t="e">
        <f>VLOOKUP(E54,Table145678910111213141545678910111213146[[CODE]:[Email Local]],6,0)</f>
        <v>#N/A</v>
      </c>
      <c r="J54" t="s">
        <v>67</v>
      </c>
      <c r="K54" s="389">
        <v>45811</v>
      </c>
      <c r="L54" s="389"/>
      <c r="M54" s="389"/>
      <c r="N54" t="s">
        <v>927</v>
      </c>
    </row>
    <row r="55" spans="1:14" hidden="1">
      <c r="A55">
        <v>503</v>
      </c>
      <c r="B55">
        <v>14</v>
      </c>
      <c r="C55" t="s">
        <v>841</v>
      </c>
      <c r="D55" t="s">
        <v>4070</v>
      </c>
      <c r="E55" t="s">
        <v>8394</v>
      </c>
      <c r="F55" t="s">
        <v>10584</v>
      </c>
      <c r="G55" t="str">
        <f>VLOOKUP(E55,Table145678910111213141545678910111213146[[CODE]:[Email Local]],4,0)</f>
        <v>han4.10199</v>
      </c>
      <c r="H55">
        <f>VLOOKUP(E55,Table145678910111213141545678910111213146[[CODE]:[Email Local]],6,0)</f>
        <v>0</v>
      </c>
      <c r="J55" t="s">
        <v>67</v>
      </c>
      <c r="K55" s="389">
        <v>45813</v>
      </c>
      <c r="L55" s="389"/>
      <c r="M55" s="389"/>
      <c r="N55" t="s">
        <v>927</v>
      </c>
    </row>
    <row r="56" spans="1:14" hidden="1">
      <c r="A56">
        <v>663</v>
      </c>
      <c r="B56">
        <v>2</v>
      </c>
      <c r="C56" t="s">
        <v>841</v>
      </c>
      <c r="D56" t="s">
        <v>2663</v>
      </c>
      <c r="E56" t="s">
        <v>624</v>
      </c>
      <c r="F56" t="s">
        <v>10741</v>
      </c>
      <c r="G56" t="str">
        <f>VLOOKUP(E56,Table145678910111213141545678910111213146[[CODE]:[Email Local]],4,0)</f>
        <v>dap5.05225</v>
      </c>
      <c r="H56">
        <f>VLOOKUP(E56,Table145678910111213141545678910111213146[[CODE]:[Email Local]],6,0)</f>
        <v>0</v>
      </c>
      <c r="J56" t="s">
        <v>67</v>
      </c>
      <c r="K56" s="389">
        <v>45435</v>
      </c>
      <c r="L56" s="389"/>
      <c r="M56" s="389"/>
      <c r="N56" t="s">
        <v>985</v>
      </c>
    </row>
    <row r="57" spans="1:14" hidden="1">
      <c r="A57">
        <v>770</v>
      </c>
      <c r="C57" t="s">
        <v>841</v>
      </c>
      <c r="D57" t="s">
        <v>8438</v>
      </c>
      <c r="E57" t="s">
        <v>8540</v>
      </c>
      <c r="F57" t="s">
        <v>10850</v>
      </c>
      <c r="G57" t="e">
        <f>VLOOKUP(E57,Table145678910111213141545678910111213146[[CODE]:[Email Local]],4,0)</f>
        <v>#N/A</v>
      </c>
      <c r="H57" t="e">
        <f>VLOOKUP(E57,Table145678910111213141545678910111213146[[CODE]:[Email Local]],6,0)</f>
        <v>#N/A</v>
      </c>
      <c r="J57" t="s">
        <v>8541</v>
      </c>
      <c r="K57" s="389">
        <v>45889</v>
      </c>
      <c r="L57" s="389"/>
      <c r="M57" s="389"/>
      <c r="N57" t="s">
        <v>927</v>
      </c>
    </row>
    <row r="58" spans="1:14" hidden="1">
      <c r="A58">
        <v>490</v>
      </c>
      <c r="B58">
        <v>1</v>
      </c>
      <c r="C58" t="s">
        <v>841</v>
      </c>
      <c r="D58" t="s">
        <v>5355</v>
      </c>
      <c r="E58" t="s">
        <v>493</v>
      </c>
      <c r="F58" t="s">
        <v>10572</v>
      </c>
      <c r="G58" t="str">
        <f>VLOOKUP(E58,Table145678910111213141545678910111213146[[CODE]:[Email Local]],4,0)</f>
        <v>dap4.15704</v>
      </c>
      <c r="H58" t="str">
        <f>VLOOKUP(E58,Table145678910111213141545678910111213146[[CODE]:[Email Local]],6,0)</f>
        <v>ok</v>
      </c>
      <c r="J58" t="s">
        <v>67</v>
      </c>
      <c r="K58" s="389">
        <v>45437</v>
      </c>
      <c r="L58" s="389"/>
      <c r="M58" s="389"/>
      <c r="N58" t="s">
        <v>927</v>
      </c>
    </row>
    <row r="59" spans="1:14" hidden="1">
      <c r="A59">
        <v>497</v>
      </c>
      <c r="B59">
        <v>8</v>
      </c>
      <c r="C59" t="s">
        <v>841</v>
      </c>
      <c r="D59" t="s">
        <v>4589</v>
      </c>
      <c r="E59" t="s">
        <v>494</v>
      </c>
      <c r="F59" t="s">
        <v>10578</v>
      </c>
      <c r="G59" t="str">
        <f>VLOOKUP(E59,Table145678910111213141545678910111213146[[CODE]:[Email Local]],4,0)</f>
        <v>dap4.12014</v>
      </c>
      <c r="H59" t="str">
        <f>VLOOKUP(E59,Table145678910111213141545678910111213146[[CODE]:[Email Local]],6,0)</f>
        <v>ok</v>
      </c>
      <c r="J59" t="s">
        <v>67</v>
      </c>
      <c r="K59" s="389">
        <v>45437</v>
      </c>
      <c r="L59" s="389">
        <v>45806</v>
      </c>
      <c r="M59" s="389">
        <v>45806</v>
      </c>
      <c r="N59" t="e">
        <v>#N/A</v>
      </c>
    </row>
    <row r="60" spans="1:14" hidden="1">
      <c r="A60">
        <v>665</v>
      </c>
      <c r="B60">
        <v>4</v>
      </c>
      <c r="C60" t="s">
        <v>841</v>
      </c>
      <c r="D60" t="s">
        <v>1954</v>
      </c>
      <c r="E60" t="s">
        <v>627</v>
      </c>
      <c r="F60" t="s">
        <v>10743</v>
      </c>
      <c r="G60" t="str">
        <f>VLOOKUP(E60,Table145678910111213141545678910111213146[[CODE]:[Email Local]],4,0)</f>
        <v>dap5.02696</v>
      </c>
      <c r="H60" t="str">
        <f>VLOOKUP(E60,Table145678910111213141545678910111213146[[CODE]:[Email Local]],6,0)</f>
        <v>ok</v>
      </c>
      <c r="J60" t="s">
        <v>67</v>
      </c>
      <c r="K60" s="389">
        <v>45435</v>
      </c>
      <c r="L60" s="389"/>
      <c r="M60" s="389"/>
      <c r="N60" t="s">
        <v>927</v>
      </c>
    </row>
    <row r="61" spans="1:14" hidden="1">
      <c r="A61">
        <v>664</v>
      </c>
      <c r="B61">
        <v>3</v>
      </c>
      <c r="C61" t="s">
        <v>842</v>
      </c>
      <c r="D61" t="s">
        <v>3179</v>
      </c>
      <c r="E61" t="s">
        <v>626</v>
      </c>
      <c r="F61" t="s">
        <v>10742</v>
      </c>
      <c r="G61" t="str">
        <f>VLOOKUP(E61,Table145678910111213141545678910111213146[[CODE]:[Email Local]],4,0)</f>
        <v>dap5.07195</v>
      </c>
      <c r="H61">
        <f>VLOOKUP(E61,Table145678910111213141545678910111213146[[CODE]:[Email Local]],6,0)</f>
        <v>0</v>
      </c>
      <c r="J61" t="s">
        <v>67</v>
      </c>
      <c r="K61" s="389">
        <v>45428</v>
      </c>
      <c r="L61" s="389"/>
      <c r="M61" s="389"/>
      <c r="N61" t="s">
        <v>1133</v>
      </c>
    </row>
    <row r="62" spans="1:14" hidden="1">
      <c r="A62">
        <v>666</v>
      </c>
      <c r="B62">
        <v>5</v>
      </c>
      <c r="C62" t="s">
        <v>842</v>
      </c>
      <c r="D62" t="s">
        <v>1844</v>
      </c>
      <c r="E62" t="s">
        <v>628</v>
      </c>
      <c r="F62" t="s">
        <v>10744</v>
      </c>
      <c r="G62" t="str">
        <f>VLOOKUP(E62,Table145678910111213141545678910111213146[[CODE]:[Email Local]],4,0)</f>
        <v>dap5.02413</v>
      </c>
      <c r="H62">
        <f>VLOOKUP(E62,Table145678910111213141545678910111213146[[CODE]:[Email Local]],6,0)</f>
        <v>0</v>
      </c>
      <c r="J62" t="s">
        <v>67</v>
      </c>
      <c r="K62" s="389">
        <v>45435</v>
      </c>
      <c r="L62" s="389"/>
      <c r="M62" s="389"/>
      <c r="N62" t="s">
        <v>1133</v>
      </c>
    </row>
    <row r="63" spans="1:14" hidden="1">
      <c r="A63">
        <v>667</v>
      </c>
      <c r="B63">
        <v>6</v>
      </c>
      <c r="C63" t="s">
        <v>842</v>
      </c>
      <c r="D63" t="s">
        <v>5278</v>
      </c>
      <c r="E63" t="s">
        <v>629</v>
      </c>
      <c r="F63" t="s">
        <v>10745</v>
      </c>
      <c r="G63" t="str">
        <f>VLOOKUP(E63,Table145678910111213141545678910111213146[[CODE]:[Email Local]],4,0)</f>
        <v>dap5.15388</v>
      </c>
      <c r="H63">
        <f>VLOOKUP(E63,Table145678910111213141545678910111213146[[CODE]:[Email Local]],6,0)</f>
        <v>0</v>
      </c>
      <c r="J63" t="s">
        <v>67</v>
      </c>
      <c r="K63" s="389">
        <v>45435</v>
      </c>
      <c r="L63" s="389"/>
      <c r="M63" s="389"/>
      <c r="N63" t="s">
        <v>1133</v>
      </c>
    </row>
    <row r="64" spans="1:14" hidden="1">
      <c r="A64">
        <v>668</v>
      </c>
      <c r="B64">
        <v>7</v>
      </c>
      <c r="C64" t="s">
        <v>842</v>
      </c>
      <c r="D64" t="s">
        <v>1702</v>
      </c>
      <c r="E64" t="s">
        <v>7794</v>
      </c>
      <c r="F64" t="s">
        <v>10746</v>
      </c>
      <c r="G64" t="e">
        <f>VLOOKUP(E64,Table145678910111213141545678910111213146[[CODE]:[Email Local]],4,0)</f>
        <v>#N/A</v>
      </c>
      <c r="H64" t="e">
        <f>VLOOKUP(E64,Table145678910111213141545678910111213146[[CODE]:[Email Local]],6,0)</f>
        <v>#N/A</v>
      </c>
      <c r="J64" t="s">
        <v>67</v>
      </c>
      <c r="K64" s="389">
        <v>45435</v>
      </c>
      <c r="L64" s="389"/>
      <c r="M64" s="389"/>
      <c r="N64" t="s">
        <v>1133</v>
      </c>
    </row>
    <row r="65" spans="1:14" hidden="1">
      <c r="A65">
        <v>669</v>
      </c>
      <c r="B65">
        <v>8</v>
      </c>
      <c r="C65" t="s">
        <v>842</v>
      </c>
      <c r="D65" t="e">
        <v>#N/A</v>
      </c>
      <c r="E65" t="s">
        <v>630</v>
      </c>
      <c r="F65" s="391" t="s">
        <v>10747</v>
      </c>
      <c r="G65" t="e">
        <f>VLOOKUP(E65,Table145678910111213141545678910111213146[[CODE]:[Email Local]],4,0)</f>
        <v>#N/A</v>
      </c>
      <c r="H65" t="e">
        <f>VLOOKUP(E65,Table145678910111213141545678910111213146[[CODE]:[Email Local]],6,0)</f>
        <v>#N/A</v>
      </c>
      <c r="J65" t="s">
        <v>67</v>
      </c>
      <c r="K65" s="389">
        <v>45435</v>
      </c>
      <c r="L65" s="389">
        <v>45464</v>
      </c>
      <c r="M65" s="389">
        <v>45464</v>
      </c>
      <c r="N65" t="e">
        <v>#N/A</v>
      </c>
    </row>
    <row r="66" spans="1:14" hidden="1">
      <c r="A66">
        <v>670</v>
      </c>
      <c r="B66">
        <v>9</v>
      </c>
      <c r="C66" t="s">
        <v>842</v>
      </c>
      <c r="D66" t="s">
        <v>631</v>
      </c>
      <c r="E66" t="s">
        <v>631</v>
      </c>
      <c r="F66" t="s">
        <v>632</v>
      </c>
      <c r="G66" t="e">
        <f>VLOOKUP(E66,Table145678910111213141545678910111213146[[CODE]:[Email Local]],4,0)</f>
        <v>#N/A</v>
      </c>
      <c r="H66" t="e">
        <f>VLOOKUP(E66,Table145678910111213141545678910111213146[[CODE]:[Email Local]],6,0)</f>
        <v>#N/A</v>
      </c>
      <c r="J66" t="s">
        <v>67</v>
      </c>
      <c r="K66" s="389">
        <v>45435</v>
      </c>
      <c r="L66" s="389"/>
      <c r="M66" s="389"/>
      <c r="N66" t="e">
        <v>#N/A</v>
      </c>
    </row>
    <row r="67" spans="1:14" hidden="1">
      <c r="A67">
        <v>671</v>
      </c>
      <c r="B67">
        <v>10</v>
      </c>
      <c r="C67" t="s">
        <v>842</v>
      </c>
      <c r="D67" t="s">
        <v>4276</v>
      </c>
      <c r="E67" t="s">
        <v>633</v>
      </c>
      <c r="F67" t="s">
        <v>10748</v>
      </c>
      <c r="G67" t="e">
        <f>VLOOKUP(E67,Table145678910111213141545678910111213146[[CODE]:[Email Local]],4,0)</f>
        <v>#N/A</v>
      </c>
      <c r="H67" t="e">
        <f>VLOOKUP(E67,Table145678910111213141545678910111213146[[CODE]:[Email Local]],6,0)</f>
        <v>#N/A</v>
      </c>
      <c r="J67" t="s">
        <v>67</v>
      </c>
      <c r="K67" s="389">
        <v>45435</v>
      </c>
      <c r="L67" s="389"/>
      <c r="M67" s="389"/>
      <c r="N67" t="s">
        <v>1133</v>
      </c>
    </row>
    <row r="68" spans="1:14" hidden="1">
      <c r="A68">
        <v>672</v>
      </c>
      <c r="B68">
        <v>11</v>
      </c>
      <c r="C68" t="s">
        <v>842</v>
      </c>
      <c r="D68" t="s">
        <v>3598</v>
      </c>
      <c r="E68" t="s">
        <v>634</v>
      </c>
      <c r="F68" t="s">
        <v>10749</v>
      </c>
      <c r="G68" t="str">
        <f>VLOOKUP(E68,Table145678910111213141545678910111213146[[CODE]:[Email Local]],4,0)</f>
        <v>dap5.08561</v>
      </c>
      <c r="H68">
        <f>VLOOKUP(E68,Table145678910111213141545678910111213146[[CODE]:[Email Local]],6,0)</f>
        <v>0</v>
      </c>
      <c r="J68" t="s">
        <v>67</v>
      </c>
      <c r="K68" s="389">
        <v>45435</v>
      </c>
      <c r="L68" s="389"/>
      <c r="M68" s="389"/>
      <c r="N68" t="s">
        <v>1133</v>
      </c>
    </row>
    <row r="69" spans="1:14" hidden="1">
      <c r="A69">
        <v>675</v>
      </c>
      <c r="B69">
        <v>14</v>
      </c>
      <c r="C69" t="s">
        <v>842</v>
      </c>
      <c r="D69" t="s">
        <v>5156</v>
      </c>
      <c r="E69" t="s">
        <v>7790</v>
      </c>
      <c r="F69" t="s">
        <v>10752</v>
      </c>
      <c r="G69" t="e">
        <f>VLOOKUP(E69,Table145678910111213141545678910111213146[[CODE]:[Email Local]],4,0)</f>
        <v>#N/A</v>
      </c>
      <c r="H69" t="e">
        <f>VLOOKUP(E69,Table145678910111213141545678910111213146[[CODE]:[Email Local]],6,0)</f>
        <v>#N/A</v>
      </c>
      <c r="J69" t="s">
        <v>67</v>
      </c>
      <c r="K69" s="389">
        <v>45463</v>
      </c>
      <c r="L69" s="389"/>
      <c r="M69" s="389"/>
      <c r="N69" t="s">
        <v>1133</v>
      </c>
    </row>
    <row r="70" spans="1:14" hidden="1">
      <c r="A70">
        <v>676</v>
      </c>
      <c r="B70">
        <v>15</v>
      </c>
      <c r="C70" t="s">
        <v>842</v>
      </c>
      <c r="D70" t="s">
        <v>4031</v>
      </c>
      <c r="E70" t="s">
        <v>8012</v>
      </c>
      <c r="F70" t="s">
        <v>10753</v>
      </c>
      <c r="G70" t="e">
        <f>VLOOKUP(E70,Table145678910111213141545678910111213146[[CODE]:[Email Local]],4,0)</f>
        <v>#N/A</v>
      </c>
      <c r="H70" t="e">
        <f>VLOOKUP(E70,Table145678910111213141545678910111213146[[CODE]:[Email Local]],6,0)</f>
        <v>#N/A</v>
      </c>
      <c r="J70" t="s">
        <v>67</v>
      </c>
      <c r="K70" s="389">
        <v>45755</v>
      </c>
      <c r="L70" s="389"/>
      <c r="M70" s="389"/>
      <c r="N70" t="s">
        <v>1133</v>
      </c>
    </row>
    <row r="71" spans="1:14" hidden="1">
      <c r="A71">
        <v>677</v>
      </c>
      <c r="B71">
        <v>16</v>
      </c>
      <c r="C71" t="s">
        <v>842</v>
      </c>
      <c r="D71" t="s">
        <v>998</v>
      </c>
      <c r="E71" t="s">
        <v>155</v>
      </c>
      <c r="F71" t="s">
        <v>10754</v>
      </c>
      <c r="G71" t="str">
        <f>VLOOKUP(E71,Table145678910111213141545678910111213146[[CODE]:[Email Local]],4,0)</f>
        <v>dap5.00279</v>
      </c>
      <c r="H71">
        <f>VLOOKUP(E71,Table145678910111213141545678910111213146[[CODE]:[Email Local]],6,0)</f>
        <v>0</v>
      </c>
      <c r="J71" t="s">
        <v>67</v>
      </c>
      <c r="K71" s="389">
        <v>45421</v>
      </c>
      <c r="L71" s="389"/>
      <c r="M71" s="389"/>
      <c r="N71" t="s">
        <v>1133</v>
      </c>
    </row>
    <row r="72" spans="1:14" hidden="1">
      <c r="A72">
        <v>662</v>
      </c>
      <c r="B72">
        <v>1</v>
      </c>
      <c r="C72" t="s">
        <v>842</v>
      </c>
      <c r="D72" t="s">
        <v>5130</v>
      </c>
      <c r="E72" t="s">
        <v>623</v>
      </c>
      <c r="F72" t="s">
        <v>10740</v>
      </c>
      <c r="G72" t="str">
        <f>VLOOKUP(E72,Table145678910111213141545678910111213146[[CODE]:[Email Local]],4,0)</f>
        <v>dap5.14798</v>
      </c>
      <c r="H72" t="str">
        <f>VLOOKUP(E72,Table145678910111213141545678910111213146[[CODE]:[Email Local]],6,0)</f>
        <v>ok</v>
      </c>
      <c r="J72" t="s">
        <v>67</v>
      </c>
      <c r="K72" s="389">
        <v>45435</v>
      </c>
      <c r="L72" s="389"/>
      <c r="M72" s="389"/>
      <c r="N72" t="s">
        <v>1133</v>
      </c>
    </row>
    <row r="73" spans="1:14" hidden="1">
      <c r="A73">
        <v>673</v>
      </c>
      <c r="B73">
        <v>12</v>
      </c>
      <c r="C73" t="s">
        <v>842</v>
      </c>
      <c r="D73" t="s">
        <v>4421</v>
      </c>
      <c r="E73" t="s">
        <v>625</v>
      </c>
      <c r="F73" t="s">
        <v>10750</v>
      </c>
      <c r="G73" t="str">
        <f>VLOOKUP(E73,Table145678910111213141545678910111213146[[CODE]:[Email Local]],4,0)</f>
        <v>dap5.11364</v>
      </c>
      <c r="H73" t="str">
        <f>VLOOKUP(E73,Table145678910111213141545678910111213146[[CODE]:[Email Local]],6,0)</f>
        <v>ok</v>
      </c>
      <c r="J73" t="s">
        <v>67</v>
      </c>
      <c r="K73" s="389">
        <v>45435</v>
      </c>
      <c r="L73" s="389"/>
      <c r="M73" s="389"/>
      <c r="N73" t="s">
        <v>1133</v>
      </c>
    </row>
    <row r="74" spans="1:14" hidden="1">
      <c r="A74">
        <v>674</v>
      </c>
      <c r="B74">
        <v>13</v>
      </c>
      <c r="C74" t="s">
        <v>842</v>
      </c>
      <c r="D74" t="s">
        <v>1148</v>
      </c>
      <c r="E74" t="s">
        <v>635</v>
      </c>
      <c r="F74" t="s">
        <v>10751</v>
      </c>
      <c r="G74" t="str">
        <f>VLOOKUP(E74,Table145678910111213141545678910111213146[[CODE]:[Email Local]],4,0)</f>
        <v>00576.kien</v>
      </c>
      <c r="H74" t="str">
        <f>VLOOKUP(E74,Table145678910111213141545678910111213146[[CODE]:[Email Local]],6,0)</f>
        <v>ok</v>
      </c>
      <c r="J74" t="s">
        <v>67</v>
      </c>
      <c r="K74" s="389">
        <v>45435</v>
      </c>
      <c r="L74" s="389"/>
      <c r="M74" s="389"/>
      <c r="N74" t="s">
        <v>927</v>
      </c>
    </row>
    <row r="75" spans="1:14" hidden="1">
      <c r="A75">
        <v>766</v>
      </c>
      <c r="C75" t="s">
        <v>842</v>
      </c>
      <c r="D75" t="s">
        <v>8397</v>
      </c>
      <c r="E75" t="s">
        <v>8395</v>
      </c>
      <c r="F75" t="s">
        <v>10846</v>
      </c>
      <c r="G75" t="str">
        <f>VLOOKUP(E75,Table145678910111213141545678910111213146[[CODE]:[Email Local]],4,0)</f>
        <v>26041.hanh</v>
      </c>
      <c r="H75" t="str">
        <f>VLOOKUP(E75,Table145678910111213141545678910111213146[[CODE]:[Email Local]],6,0)</f>
        <v>ok</v>
      </c>
      <c r="J75" t="s">
        <v>67</v>
      </c>
      <c r="K75" s="389">
        <v>45821</v>
      </c>
      <c r="L75" s="389"/>
      <c r="M75" s="389"/>
      <c r="N75" t="s">
        <v>1133</v>
      </c>
    </row>
    <row r="76" spans="1:14" hidden="1">
      <c r="A76">
        <v>716</v>
      </c>
      <c r="B76">
        <v>1</v>
      </c>
      <c r="C76" t="s">
        <v>843</v>
      </c>
      <c r="D76" t="s">
        <v>662</v>
      </c>
      <c r="E76" t="s">
        <v>662</v>
      </c>
      <c r="F76" t="s">
        <v>663</v>
      </c>
      <c r="G76" t="e">
        <f>VLOOKUP(E76,Table145678910111213141545678910111213146[[CODE]:[Email Local]],4,0)</f>
        <v>#N/A</v>
      </c>
      <c r="H76" t="e">
        <f>VLOOKUP(E76,Table145678910111213141545678910111213146[[CODE]:[Email Local]],6,0)</f>
        <v>#N/A</v>
      </c>
      <c r="J76" t="s">
        <v>67</v>
      </c>
      <c r="K76" s="389">
        <v>45399</v>
      </c>
      <c r="L76" s="389"/>
      <c r="M76" s="389"/>
      <c r="N76" t="e">
        <v>#N/A</v>
      </c>
    </row>
    <row r="77" spans="1:14" hidden="1">
      <c r="A77">
        <v>717</v>
      </c>
      <c r="B77">
        <v>3</v>
      </c>
      <c r="C77" t="s">
        <v>843</v>
      </c>
      <c r="D77" t="s">
        <v>14811</v>
      </c>
      <c r="E77" t="s">
        <v>664</v>
      </c>
      <c r="F77" t="s">
        <v>10792</v>
      </c>
      <c r="G77" t="e">
        <f>VLOOKUP(E77,Table145678910111213141545678910111213146[[CODE]:[Email Local]],4,0)</f>
        <v>#N/A</v>
      </c>
      <c r="H77" t="e">
        <f>VLOOKUP(E77,Table145678910111213141545678910111213146[[CODE]:[Email Local]],6,0)</f>
        <v>#N/A</v>
      </c>
      <c r="J77" t="s">
        <v>67</v>
      </c>
      <c r="K77" s="389">
        <v>45399</v>
      </c>
      <c r="L77" s="389">
        <v>45481</v>
      </c>
      <c r="M77" s="389">
        <v>45481</v>
      </c>
      <c r="N77" t="e">
        <v>#N/A</v>
      </c>
    </row>
    <row r="78" spans="1:14" hidden="1">
      <c r="A78">
        <v>720</v>
      </c>
      <c r="B78">
        <v>6</v>
      </c>
      <c r="C78" t="s">
        <v>843</v>
      </c>
      <c r="D78" t="s">
        <v>1852</v>
      </c>
      <c r="E78" t="s">
        <v>667</v>
      </c>
      <c r="F78" t="s">
        <v>10795</v>
      </c>
      <c r="G78" t="str">
        <f>VLOOKUP(E78,Table145678910111213141545678910111213146[[CODE]:[Email Local]],4,0)</f>
        <v>dap6.21313</v>
      </c>
      <c r="H78">
        <f>VLOOKUP(E78,Table145678910111213141545678910111213146[[CODE]:[Email Local]],6,0)</f>
        <v>0</v>
      </c>
      <c r="J78" t="s">
        <v>67</v>
      </c>
      <c r="K78" s="389">
        <v>45399</v>
      </c>
      <c r="L78" s="389"/>
      <c r="M78" s="389"/>
      <c r="N78" t="s">
        <v>948</v>
      </c>
    </row>
    <row r="79" spans="1:14" hidden="1">
      <c r="A79">
        <v>722</v>
      </c>
      <c r="B79">
        <v>8</v>
      </c>
      <c r="C79" t="s">
        <v>843</v>
      </c>
      <c r="D79" t="s">
        <v>6782</v>
      </c>
      <c r="E79" t="s">
        <v>669</v>
      </c>
      <c r="F79" t="s">
        <v>10797</v>
      </c>
      <c r="G79" t="str">
        <f>VLOOKUP(E79,Table145678910111213141545678910111213146[[CODE]:[Email Local]],4,0)</f>
        <v>21314.van</v>
      </c>
      <c r="H79">
        <f>VLOOKUP(E79,Table145678910111213141545678910111213146[[CODE]:[Email Local]],6,0)</f>
        <v>0</v>
      </c>
      <c r="J79" t="s">
        <v>67</v>
      </c>
      <c r="K79" s="389">
        <v>45399</v>
      </c>
      <c r="L79" s="389"/>
      <c r="M79" s="389"/>
      <c r="N79" t="s">
        <v>948</v>
      </c>
    </row>
    <row r="80" spans="1:14" hidden="1">
      <c r="A80">
        <v>723</v>
      </c>
      <c r="B80">
        <v>9</v>
      </c>
      <c r="C80" t="s">
        <v>843</v>
      </c>
      <c r="D80" t="s">
        <v>1714</v>
      </c>
      <c r="E80" t="s">
        <v>670</v>
      </c>
      <c r="F80" t="s">
        <v>10798</v>
      </c>
      <c r="G80" t="str">
        <f>VLOOKUP(E80,Table145678910111213141545678910111213146[[CODE]:[Email Local]],4,0)</f>
        <v>dap6.01909</v>
      </c>
      <c r="H80">
        <f>VLOOKUP(E80,Table145678910111213141545678910111213146[[CODE]:[Email Local]],6,0)</f>
        <v>0</v>
      </c>
      <c r="J80" t="s">
        <v>67</v>
      </c>
      <c r="K80" s="389">
        <v>45399</v>
      </c>
      <c r="L80" s="389"/>
      <c r="M80" s="389"/>
      <c r="N80" t="s">
        <v>1716</v>
      </c>
    </row>
    <row r="81" spans="1:14" hidden="1">
      <c r="A81">
        <v>726</v>
      </c>
      <c r="B81">
        <v>12</v>
      </c>
      <c r="C81" t="s">
        <v>843</v>
      </c>
      <c r="D81" t="s">
        <v>4160</v>
      </c>
      <c r="E81" t="s">
        <v>830</v>
      </c>
      <c r="F81" t="s">
        <v>10801</v>
      </c>
      <c r="G81" t="str">
        <f>VLOOKUP(E81,Table145678910111213141545678910111213146[[CODE]:[Email Local]],4,0)</f>
        <v>dap6.19951</v>
      </c>
      <c r="H81">
        <f>VLOOKUP(E81,Table145678910111213141545678910111213146[[CODE]:[Email Local]],6,0)</f>
        <v>0</v>
      </c>
      <c r="J81" t="s">
        <v>67</v>
      </c>
      <c r="K81" s="389">
        <v>45399</v>
      </c>
      <c r="L81" s="389">
        <v>45950</v>
      </c>
      <c r="M81" s="389"/>
      <c r="N81" t="s">
        <v>1716</v>
      </c>
    </row>
    <row r="82" spans="1:14" hidden="1">
      <c r="A82">
        <v>727</v>
      </c>
      <c r="B82">
        <v>13</v>
      </c>
      <c r="C82" t="s">
        <v>843</v>
      </c>
      <c r="D82" t="s">
        <v>6511</v>
      </c>
      <c r="E82" t="s">
        <v>831</v>
      </c>
      <c r="F82" t="s">
        <v>10802</v>
      </c>
      <c r="G82" t="str">
        <f>VLOOKUP(E82,Table145678910111213141545678910111213146[[CODE]:[Email Local]],4,0)</f>
        <v>dap6.20612</v>
      </c>
      <c r="H82">
        <f>VLOOKUP(E82,Table145678910111213141545678910111213146[[CODE]:[Email Local]],6,0)</f>
        <v>0</v>
      </c>
      <c r="J82" t="s">
        <v>67</v>
      </c>
      <c r="K82" s="389">
        <v>45399</v>
      </c>
      <c r="L82" s="389"/>
      <c r="M82" s="389"/>
      <c r="N82" t="s">
        <v>1716</v>
      </c>
    </row>
    <row r="83" spans="1:14" hidden="1">
      <c r="A83">
        <v>729</v>
      </c>
      <c r="B83">
        <v>15</v>
      </c>
      <c r="C83" t="s">
        <v>843</v>
      </c>
      <c r="D83" t="s">
        <v>2649</v>
      </c>
      <c r="E83" t="s">
        <v>7980</v>
      </c>
      <c r="F83" t="s">
        <v>10804</v>
      </c>
      <c r="G83" t="e">
        <f>VLOOKUP(E83,Table145678910111213141545678910111213146[[CODE]:[Email Local]],4,0)</f>
        <v>#N/A</v>
      </c>
      <c r="H83" t="e">
        <f>VLOOKUP(E83,Table145678910111213141545678910111213146[[CODE]:[Email Local]],6,0)</f>
        <v>#N/A</v>
      </c>
      <c r="J83" t="s">
        <v>67</v>
      </c>
      <c r="K83" s="389">
        <v>45665</v>
      </c>
      <c r="L83" s="389"/>
      <c r="M83" s="389"/>
      <c r="N83" t="s">
        <v>948</v>
      </c>
    </row>
    <row r="84" spans="1:14" hidden="1">
      <c r="A84">
        <v>730</v>
      </c>
      <c r="C84" t="s">
        <v>843</v>
      </c>
      <c r="D84" t="s">
        <v>8499</v>
      </c>
      <c r="E84" t="s">
        <v>8538</v>
      </c>
      <c r="F84" t="s">
        <v>10805</v>
      </c>
      <c r="G84" t="e">
        <f>VLOOKUP(E84,Table145678910111213141545678910111213146[[CODE]:[Email Local]],4,0)</f>
        <v>#N/A</v>
      </c>
      <c r="H84" t="e">
        <f>VLOOKUP(E84,Table145678910111213141545678910111213146[[CODE]:[Email Local]],6,0)</f>
        <v>#N/A</v>
      </c>
      <c r="J84" t="s">
        <v>67</v>
      </c>
      <c r="K84" s="389">
        <v>45887</v>
      </c>
      <c r="L84" s="389"/>
      <c r="M84" s="389"/>
      <c r="N84" t="s">
        <v>948</v>
      </c>
    </row>
    <row r="85" spans="1:14" hidden="1">
      <c r="A85">
        <v>718</v>
      </c>
      <c r="B85">
        <v>4</v>
      </c>
      <c r="C85" t="s">
        <v>843</v>
      </c>
      <c r="D85" t="s">
        <v>6599</v>
      </c>
      <c r="E85" t="s">
        <v>665</v>
      </c>
      <c r="F85" t="s">
        <v>10793</v>
      </c>
      <c r="G85" t="str">
        <f>VLOOKUP(E85,Table145678910111213141545678910111213146[[CODE]:[Email Local]],4,0)</f>
        <v>dap6.20599</v>
      </c>
      <c r="H85" t="str">
        <f>VLOOKUP(E85,Table145678910111213141545678910111213146[[CODE]:[Email Local]],6,0)</f>
        <v>ok</v>
      </c>
      <c r="J85" t="s">
        <v>67</v>
      </c>
      <c r="K85" s="389">
        <v>45399</v>
      </c>
      <c r="L85" s="389"/>
      <c r="M85" s="389"/>
      <c r="N85" t="s">
        <v>948</v>
      </c>
    </row>
    <row r="86" spans="1:14" hidden="1">
      <c r="A86">
        <v>719</v>
      </c>
      <c r="B86">
        <v>5</v>
      </c>
      <c r="C86" t="s">
        <v>843</v>
      </c>
      <c r="D86" t="s">
        <v>9729</v>
      </c>
      <c r="E86" t="s">
        <v>666</v>
      </c>
      <c r="F86" t="s">
        <v>10794</v>
      </c>
      <c r="G86" t="str">
        <f>VLOOKUP(E86,Table145678910111213141545678910111213146[[CODE]:[Email Local]],4,0)</f>
        <v>24508.binh</v>
      </c>
      <c r="H86" t="str">
        <f>VLOOKUP(E86,Table145678910111213141545678910111213146[[CODE]:[Email Local]],6,0)</f>
        <v>ok</v>
      </c>
      <c r="J86" t="s">
        <v>67</v>
      </c>
      <c r="K86" s="389">
        <v>45399</v>
      </c>
      <c r="L86" s="389">
        <v>45792</v>
      </c>
      <c r="M86" s="389">
        <v>45792</v>
      </c>
      <c r="N86" t="e">
        <v>#N/A</v>
      </c>
    </row>
    <row r="87" spans="1:14" hidden="1">
      <c r="A87">
        <v>721</v>
      </c>
      <c r="B87">
        <v>7</v>
      </c>
      <c r="C87" t="s">
        <v>843</v>
      </c>
      <c r="D87" t="s">
        <v>6740</v>
      </c>
      <c r="E87" t="s">
        <v>668</v>
      </c>
      <c r="F87" t="s">
        <v>10796</v>
      </c>
      <c r="G87" t="str">
        <f>VLOOKUP(E87,Table145678910111213141545678910111213146[[CODE]:[Email Local]],4,0)</f>
        <v>dap6.21137</v>
      </c>
      <c r="H87" t="str">
        <f>VLOOKUP(E87,Table145678910111213141545678910111213146[[CODE]:[Email Local]],6,0)</f>
        <v>ok</v>
      </c>
      <c r="J87" t="s">
        <v>67</v>
      </c>
      <c r="K87" s="389">
        <v>45399</v>
      </c>
      <c r="L87" s="389"/>
      <c r="M87" s="389"/>
      <c r="N87" t="s">
        <v>1716</v>
      </c>
    </row>
    <row r="88" spans="1:14" hidden="1">
      <c r="A88">
        <v>724</v>
      </c>
      <c r="B88">
        <v>10</v>
      </c>
      <c r="C88" t="s">
        <v>843</v>
      </c>
      <c r="D88" t="s">
        <v>2146</v>
      </c>
      <c r="E88" t="s">
        <v>671</v>
      </c>
      <c r="F88" t="s">
        <v>10799</v>
      </c>
      <c r="G88" t="str">
        <f>VLOOKUP(E88,Table145678910111213141545678910111213146[[CODE]:[Email Local]],4,0)</f>
        <v>03282.tam</v>
      </c>
      <c r="H88" t="str">
        <f>VLOOKUP(E88,Table145678910111213141545678910111213146[[CODE]:[Email Local]],6,0)</f>
        <v>ok</v>
      </c>
      <c r="J88" t="s">
        <v>67</v>
      </c>
      <c r="K88" s="389">
        <v>45399</v>
      </c>
      <c r="L88" s="389"/>
      <c r="M88" s="389"/>
      <c r="N88" t="s">
        <v>948</v>
      </c>
    </row>
    <row r="89" spans="1:14" hidden="1">
      <c r="A89">
        <v>725</v>
      </c>
      <c r="B89">
        <v>11</v>
      </c>
      <c r="C89" t="s">
        <v>843</v>
      </c>
      <c r="D89" t="s">
        <v>3985</v>
      </c>
      <c r="E89" t="s">
        <v>813</v>
      </c>
      <c r="F89" t="s">
        <v>10800</v>
      </c>
      <c r="G89" t="str">
        <f>VLOOKUP(E89,Table145678910111213141545678910111213146[[CODE]:[Email Local]],4,0)</f>
        <v>09874.thin</v>
      </c>
      <c r="H89" t="str">
        <f>VLOOKUP(E89,Table145678910111213141545678910111213146[[CODE]:[Email Local]],6,0)</f>
        <v>ok</v>
      </c>
      <c r="J89" t="s">
        <v>67</v>
      </c>
      <c r="K89" s="389">
        <v>45456</v>
      </c>
      <c r="L89" s="389"/>
      <c r="M89" s="389"/>
      <c r="N89" t="s">
        <v>1716</v>
      </c>
    </row>
    <row r="90" spans="1:14" hidden="1">
      <c r="A90">
        <v>728</v>
      </c>
      <c r="B90">
        <v>14</v>
      </c>
      <c r="C90" t="s">
        <v>843</v>
      </c>
      <c r="D90" t="s">
        <v>1072</v>
      </c>
      <c r="E90" t="s">
        <v>7817</v>
      </c>
      <c r="F90" t="s">
        <v>10803</v>
      </c>
      <c r="G90" t="str">
        <f>VLOOKUP(E90,Table145678910111213141545678910111213146[[CODE]:[Email Local]],4,0)</f>
        <v>00431.hien</v>
      </c>
      <c r="H90" t="str">
        <f>VLOOKUP(E90,Table145678910111213141545678910111213146[[CODE]:[Email Local]],6,0)</f>
        <v>ok</v>
      </c>
      <c r="J90" t="s">
        <v>67</v>
      </c>
      <c r="K90" s="389">
        <v>45561</v>
      </c>
      <c r="L90" s="389"/>
      <c r="M90" s="389"/>
      <c r="N90" t="s">
        <v>948</v>
      </c>
    </row>
    <row r="91" spans="1:14" hidden="1">
      <c r="A91">
        <v>540</v>
      </c>
      <c r="B91">
        <v>1</v>
      </c>
      <c r="C91" t="s">
        <v>844</v>
      </c>
      <c r="D91" t="s">
        <v>1542</v>
      </c>
      <c r="E91" t="s">
        <v>534</v>
      </c>
      <c r="F91" t="s">
        <v>10620</v>
      </c>
      <c r="G91" t="str">
        <f>VLOOKUP(E91,Table145678910111213141545678910111213146[[CODE]:[Email Local]],4,0)</f>
        <v>duc.01436</v>
      </c>
      <c r="H91">
        <f>VLOOKUP(E91,Table145678910111213141545678910111213146[[CODE]:[Email Local]],6,0)</f>
        <v>0</v>
      </c>
      <c r="J91" t="s">
        <v>67</v>
      </c>
      <c r="K91" s="389">
        <v>45434</v>
      </c>
      <c r="L91" s="389"/>
      <c r="M91" s="389"/>
      <c r="N91" t="s">
        <v>1113</v>
      </c>
    </row>
    <row r="92" spans="1:14" hidden="1">
      <c r="A92">
        <v>542</v>
      </c>
      <c r="B92">
        <v>3</v>
      </c>
      <c r="C92" t="s">
        <v>844</v>
      </c>
      <c r="D92" t="s">
        <v>1524</v>
      </c>
      <c r="E92" t="s">
        <v>537</v>
      </c>
      <c r="F92" t="s">
        <v>10622</v>
      </c>
      <c r="G92" t="str">
        <f>VLOOKUP(E92,Table145678910111213141545678910111213146[[CODE]:[Email Local]],4,0)</f>
        <v>duc.01373</v>
      </c>
      <c r="H92">
        <f>VLOOKUP(E92,Table145678910111213141545678910111213146[[CODE]:[Email Local]],6,0)</f>
        <v>0</v>
      </c>
      <c r="J92" t="s">
        <v>67</v>
      </c>
      <c r="K92" s="389">
        <v>45434</v>
      </c>
      <c r="L92" s="389"/>
      <c r="M92" s="389"/>
      <c r="N92" t="s">
        <v>1113</v>
      </c>
    </row>
    <row r="93" spans="1:14" hidden="1">
      <c r="A93">
        <v>543</v>
      </c>
      <c r="B93">
        <v>4</v>
      </c>
      <c r="C93" t="s">
        <v>844</v>
      </c>
      <c r="D93" t="s">
        <v>1319</v>
      </c>
      <c r="E93" t="s">
        <v>538</v>
      </c>
      <c r="F93" t="s">
        <v>10623</v>
      </c>
      <c r="G93" t="str">
        <f>VLOOKUP(E93,Table145678910111213141545678910111213146[[CODE]:[Email Local]],4,0)</f>
        <v>duc.00917</v>
      </c>
      <c r="H93">
        <f>VLOOKUP(E93,Table145678910111213141545678910111213146[[CODE]:[Email Local]],6,0)</f>
        <v>0</v>
      </c>
      <c r="J93" t="s">
        <v>67</v>
      </c>
      <c r="K93" s="389">
        <v>45434</v>
      </c>
      <c r="L93" s="389"/>
      <c r="M93" s="389"/>
      <c r="N93" t="s">
        <v>1113</v>
      </c>
    </row>
    <row r="94" spans="1:14" hidden="1">
      <c r="A94">
        <v>544</v>
      </c>
      <c r="B94">
        <v>5</v>
      </c>
      <c r="C94" t="s">
        <v>844</v>
      </c>
      <c r="D94" t="s">
        <v>1447</v>
      </c>
      <c r="E94" t="s">
        <v>539</v>
      </c>
      <c r="F94" t="s">
        <v>10624</v>
      </c>
      <c r="G94" t="str">
        <f>VLOOKUP(E94,Table145678910111213141545678910111213146[[CODE]:[Email Local]],4,0)</f>
        <v>duc.01198</v>
      </c>
      <c r="H94">
        <f>VLOOKUP(E94,Table145678910111213141545678910111213146[[CODE]:[Email Local]],6,0)</f>
        <v>0</v>
      </c>
      <c r="J94" t="s">
        <v>67</v>
      </c>
      <c r="K94" s="389">
        <v>45434</v>
      </c>
      <c r="L94" s="389"/>
      <c r="M94" s="389"/>
      <c r="N94" t="s">
        <v>1113</v>
      </c>
    </row>
    <row r="95" spans="1:14" hidden="1">
      <c r="A95">
        <v>545</v>
      </c>
      <c r="B95">
        <v>6</v>
      </c>
      <c r="C95" t="s">
        <v>844</v>
      </c>
      <c r="D95" t="s">
        <v>5585</v>
      </c>
      <c r="E95" t="s">
        <v>540</v>
      </c>
      <c r="F95" t="s">
        <v>10625</v>
      </c>
      <c r="G95" t="str">
        <f>VLOOKUP(E95,Table145678910111213141545678910111213146[[CODE]:[Email Local]],4,0)</f>
        <v>duc.16878</v>
      </c>
      <c r="H95">
        <f>VLOOKUP(E95,Table145678910111213141545678910111213146[[CODE]:[Email Local]],6,0)</f>
        <v>0</v>
      </c>
      <c r="J95" t="s">
        <v>67</v>
      </c>
      <c r="K95" s="389">
        <v>45434</v>
      </c>
      <c r="L95" s="389"/>
      <c r="M95" s="389"/>
      <c r="N95" t="s">
        <v>1113</v>
      </c>
    </row>
    <row r="96" spans="1:14" hidden="1">
      <c r="A96">
        <v>547</v>
      </c>
      <c r="B96">
        <v>8</v>
      </c>
      <c r="C96" t="s">
        <v>844</v>
      </c>
      <c r="D96" t="s">
        <v>3756</v>
      </c>
      <c r="E96" t="s">
        <v>542</v>
      </c>
      <c r="F96" t="s">
        <v>10627</v>
      </c>
      <c r="G96" t="str">
        <f>VLOOKUP(E96,Table145678910111213141545678910111213146[[CODE]:[Email Local]],4,0)</f>
        <v>duc.09194</v>
      </c>
      <c r="H96">
        <f>VLOOKUP(E96,Table145678910111213141545678910111213146[[CODE]:[Email Local]],6,0)</f>
        <v>0</v>
      </c>
      <c r="J96" t="s">
        <v>67</v>
      </c>
      <c r="K96" s="389">
        <v>45434</v>
      </c>
      <c r="L96" s="389"/>
      <c r="M96" s="389"/>
      <c r="N96" t="s">
        <v>1113</v>
      </c>
    </row>
    <row r="97" spans="1:14" hidden="1">
      <c r="A97">
        <v>549</v>
      </c>
      <c r="B97">
        <v>10</v>
      </c>
      <c r="C97" t="s">
        <v>844</v>
      </c>
      <c r="D97" t="s">
        <v>3750</v>
      </c>
      <c r="E97" t="s">
        <v>7801</v>
      </c>
      <c r="F97" t="s">
        <v>10629</v>
      </c>
      <c r="G97" t="str">
        <f>VLOOKUP(E97,Table145678910111213141545678910111213146[[CODE]:[Email Local]],4,0)</f>
        <v>db.09155</v>
      </c>
      <c r="H97">
        <f>VLOOKUP(E97,Table145678910111213141545678910111213146[[CODE]:[Email Local]],6,0)</f>
        <v>0</v>
      </c>
      <c r="J97" t="s">
        <v>67</v>
      </c>
      <c r="K97" s="389">
        <v>45500</v>
      </c>
      <c r="L97" s="389"/>
      <c r="M97" s="389"/>
      <c r="N97" t="s">
        <v>1188</v>
      </c>
    </row>
    <row r="98" spans="1:14" hidden="1">
      <c r="A98">
        <v>550</v>
      </c>
      <c r="B98">
        <v>11</v>
      </c>
      <c r="C98" t="s">
        <v>844</v>
      </c>
      <c r="D98" t="e">
        <v>#N/A</v>
      </c>
      <c r="E98" t="s">
        <v>544</v>
      </c>
      <c r="F98" s="391" t="s">
        <v>10630</v>
      </c>
      <c r="G98" t="e">
        <f>VLOOKUP(E98,Table145678910111213141545678910111213146[[CODE]:[Email Local]],4,0)</f>
        <v>#N/A</v>
      </c>
      <c r="H98" t="e">
        <f>VLOOKUP(E98,Table145678910111213141545678910111213146[[CODE]:[Email Local]],6,0)</f>
        <v>#N/A</v>
      </c>
      <c r="J98" t="s">
        <v>67</v>
      </c>
      <c r="K98" s="389">
        <v>45434</v>
      </c>
      <c r="L98" s="389">
        <v>45806</v>
      </c>
      <c r="M98" s="389">
        <v>45806</v>
      </c>
      <c r="N98" t="e">
        <v>#N/A</v>
      </c>
    </row>
    <row r="99" spans="1:14" hidden="1">
      <c r="A99">
        <v>551</v>
      </c>
      <c r="B99">
        <v>12</v>
      </c>
      <c r="C99" t="s">
        <v>844</v>
      </c>
      <c r="D99" t="s">
        <v>1260</v>
      </c>
      <c r="E99" t="s">
        <v>535</v>
      </c>
      <c r="F99" t="s">
        <v>10631</v>
      </c>
      <c r="G99" t="str">
        <f>VLOOKUP(E99,Table145678910111213141545678910111213146[[CODE]:[Email Local]],4,0)</f>
        <v>duc.00776</v>
      </c>
      <c r="H99">
        <f>VLOOKUP(E99,Table145678910111213141545678910111213146[[CODE]:[Email Local]],6,0)</f>
        <v>0</v>
      </c>
      <c r="J99" t="s">
        <v>67</v>
      </c>
      <c r="K99" s="389">
        <v>45434</v>
      </c>
      <c r="L99" s="389"/>
      <c r="M99" s="389"/>
      <c r="N99" t="s">
        <v>1113</v>
      </c>
    </row>
    <row r="100" spans="1:14" hidden="1">
      <c r="A100">
        <v>553</v>
      </c>
      <c r="B100">
        <v>14</v>
      </c>
      <c r="C100" t="s">
        <v>844</v>
      </c>
      <c r="D100" t="s">
        <v>16197</v>
      </c>
      <c r="E100" t="s">
        <v>545</v>
      </c>
      <c r="F100" t="s">
        <v>10633</v>
      </c>
      <c r="G100" t="e">
        <f>VLOOKUP(E100,Table145678910111213141545678910111213146[[CODE]:[Email Local]],4,0)</f>
        <v>#N/A</v>
      </c>
      <c r="H100" t="e">
        <f>VLOOKUP(E100,Table145678910111213141545678910111213146[[CODE]:[Email Local]],6,0)</f>
        <v>#N/A</v>
      </c>
      <c r="J100" t="s">
        <v>67</v>
      </c>
      <c r="K100" s="389">
        <v>45434</v>
      </c>
      <c r="L100" s="389">
        <v>45806</v>
      </c>
      <c r="M100" s="389">
        <v>45806</v>
      </c>
      <c r="N100" t="e">
        <v>#N/A</v>
      </c>
    </row>
    <row r="101" spans="1:14" hidden="1">
      <c r="A101">
        <v>554</v>
      </c>
      <c r="B101">
        <v>15</v>
      </c>
      <c r="C101" t="s">
        <v>844</v>
      </c>
      <c r="D101" t="s">
        <v>2708</v>
      </c>
      <c r="E101" t="s">
        <v>7792</v>
      </c>
      <c r="F101" t="s">
        <v>10634</v>
      </c>
      <c r="G101" t="str">
        <f>VLOOKUP(E101,Table145678910111213141545678910111213146[[CODE]:[Email Local]],4,0)</f>
        <v>duc.05479</v>
      </c>
      <c r="H101">
        <f>VLOOKUP(E101,Table145678910111213141545678910111213146[[CODE]:[Email Local]],6,0)</f>
        <v>0</v>
      </c>
      <c r="J101" t="s">
        <v>67</v>
      </c>
      <c r="K101" s="389">
        <v>45464</v>
      </c>
      <c r="L101" s="389">
        <v>45950</v>
      </c>
      <c r="M101" s="389">
        <v>45960</v>
      </c>
      <c r="N101" t="s">
        <v>1113</v>
      </c>
    </row>
    <row r="102" spans="1:14" hidden="1">
      <c r="A102">
        <v>555</v>
      </c>
      <c r="B102">
        <v>16</v>
      </c>
      <c r="C102" t="s">
        <v>844</v>
      </c>
      <c r="D102" t="s">
        <v>2606</v>
      </c>
      <c r="E102" t="s">
        <v>7793</v>
      </c>
      <c r="F102" t="s">
        <v>10635</v>
      </c>
      <c r="G102" t="e">
        <f>VLOOKUP(E102,Table145678910111213141545678910111213146[[CODE]:[Email Local]],4,0)</f>
        <v>#N/A</v>
      </c>
      <c r="H102" t="e">
        <f>VLOOKUP(E102,Table145678910111213141545678910111213146[[CODE]:[Email Local]],6,0)</f>
        <v>#N/A</v>
      </c>
      <c r="J102" t="s">
        <v>67</v>
      </c>
      <c r="K102" s="389">
        <v>45464</v>
      </c>
      <c r="L102" s="389"/>
      <c r="M102" s="389"/>
      <c r="N102" t="s">
        <v>1188</v>
      </c>
    </row>
    <row r="103" spans="1:14" hidden="1">
      <c r="A103">
        <v>574</v>
      </c>
      <c r="B103">
        <v>18</v>
      </c>
      <c r="C103" t="s">
        <v>844</v>
      </c>
      <c r="D103" t="s">
        <v>1330</v>
      </c>
      <c r="E103" t="s">
        <v>564</v>
      </c>
      <c r="F103" t="s">
        <v>10654</v>
      </c>
      <c r="G103" t="str">
        <f>VLOOKUP(E103,Table145678910111213141545678910111213146[[CODE]:[Email Local]],4,0)</f>
        <v>duc.00930</v>
      </c>
      <c r="H103">
        <f>VLOOKUP(E103,Table145678910111213141545678910111213146[[CODE]:[Email Local]],6,0)</f>
        <v>0</v>
      </c>
      <c r="J103" t="s">
        <v>67</v>
      </c>
      <c r="K103" s="389">
        <v>45434</v>
      </c>
      <c r="L103" s="389"/>
      <c r="M103" s="389"/>
      <c r="N103" t="s">
        <v>1113</v>
      </c>
    </row>
    <row r="104" spans="1:14" hidden="1">
      <c r="A104">
        <v>541</v>
      </c>
      <c r="B104">
        <v>2</v>
      </c>
      <c r="C104" t="s">
        <v>844</v>
      </c>
      <c r="D104" t="s">
        <v>1923</v>
      </c>
      <c r="E104" t="s">
        <v>536</v>
      </c>
      <c r="F104" t="s">
        <v>10621</v>
      </c>
      <c r="G104" t="str">
        <f>VLOOKUP(E104,Table145678910111213141545678910111213146[[CODE]:[Email Local]],4,0)</f>
        <v>duc.02611</v>
      </c>
      <c r="H104" t="str">
        <f>VLOOKUP(E104,Table145678910111213141545678910111213146[[CODE]:[Email Local]],6,0)</f>
        <v>ok</v>
      </c>
      <c r="J104" t="s">
        <v>67</v>
      </c>
      <c r="K104" s="389">
        <v>45434</v>
      </c>
      <c r="L104" s="389">
        <v>45950</v>
      </c>
      <c r="M104" s="389">
        <v>45960</v>
      </c>
      <c r="N104" t="s">
        <v>1113</v>
      </c>
    </row>
    <row r="105" spans="1:14" hidden="1">
      <c r="A105">
        <v>546</v>
      </c>
      <c r="B105">
        <v>7</v>
      </c>
      <c r="C105" t="s">
        <v>844</v>
      </c>
      <c r="D105" t="s">
        <v>1376</v>
      </c>
      <c r="E105" t="s">
        <v>541</v>
      </c>
      <c r="F105" t="s">
        <v>10626</v>
      </c>
      <c r="G105" t="str">
        <f>VLOOKUP(E105,Table145678910111213141545678910111213146[[CODE]:[Email Local]],4,0)</f>
        <v>db.01021</v>
      </c>
      <c r="H105" t="str">
        <f>VLOOKUP(E105,Table145678910111213141545678910111213146[[CODE]:[Email Local]],6,0)</f>
        <v>ok</v>
      </c>
      <c r="J105" t="s">
        <v>67</v>
      </c>
      <c r="K105" s="389">
        <v>45434</v>
      </c>
      <c r="L105" s="389"/>
      <c r="M105" s="389"/>
      <c r="N105" t="s">
        <v>1188</v>
      </c>
    </row>
    <row r="106" spans="1:14" hidden="1">
      <c r="A106">
        <v>548</v>
      </c>
      <c r="B106">
        <v>9</v>
      </c>
      <c r="C106" t="s">
        <v>844</v>
      </c>
      <c r="D106" t="s">
        <v>6165</v>
      </c>
      <c r="E106" t="s">
        <v>543</v>
      </c>
      <c r="F106" t="s">
        <v>10628</v>
      </c>
      <c r="G106" t="str">
        <f>VLOOKUP(E106,Table145678910111213141545678910111213146[[CODE]:[Email Local]],4,0)</f>
        <v>duc.19005</v>
      </c>
      <c r="H106" t="str">
        <f>VLOOKUP(E106,Table145678910111213141545678910111213146[[CODE]:[Email Local]],6,0)</f>
        <v>ok</v>
      </c>
      <c r="J106" t="s">
        <v>67</v>
      </c>
      <c r="K106" s="389">
        <v>45434</v>
      </c>
      <c r="L106" s="389"/>
      <c r="M106" s="389"/>
      <c r="N106" t="s">
        <v>1113</v>
      </c>
    </row>
    <row r="107" spans="1:14" hidden="1">
      <c r="A107">
        <v>552</v>
      </c>
      <c r="B107">
        <v>13</v>
      </c>
      <c r="C107" t="s">
        <v>844</v>
      </c>
      <c r="D107" t="s">
        <v>2817</v>
      </c>
      <c r="E107" t="s">
        <v>7791</v>
      </c>
      <c r="F107" t="s">
        <v>10632</v>
      </c>
      <c r="G107" t="str">
        <f>VLOOKUP(E107,Table145678910111213141545678910111213146[[CODE]:[Email Local]],4,0)</f>
        <v>duc.06000</v>
      </c>
      <c r="H107" t="str">
        <f>VLOOKUP(E107,Table145678910111213141545678910111213146[[CODE]:[Email Local]],6,0)</f>
        <v>ok</v>
      </c>
      <c r="J107" t="s">
        <v>67</v>
      </c>
      <c r="K107" s="389">
        <v>45434</v>
      </c>
      <c r="L107" s="389"/>
      <c r="M107" s="389"/>
      <c r="N107" t="s">
        <v>1188</v>
      </c>
    </row>
    <row r="108" spans="1:14" hidden="1">
      <c r="A108">
        <v>221</v>
      </c>
      <c r="B108">
        <v>1</v>
      </c>
      <c r="C108" t="s">
        <v>263</v>
      </c>
      <c r="D108" t="s">
        <v>9924</v>
      </c>
      <c r="E108" t="s">
        <v>264</v>
      </c>
      <c r="F108" t="s">
        <v>10311</v>
      </c>
      <c r="G108" t="str">
        <f>VLOOKUP(E108,Table145678910111213141545678910111213146[[CODE]:[Email Local]],4,0)</f>
        <v>vptgd.12122</v>
      </c>
      <c r="H108">
        <f>VLOOKUP(E108,Table145678910111213141545678910111213146[[CODE]:[Email Local]],6,0)</f>
        <v>0</v>
      </c>
      <c r="J108" t="s">
        <v>67</v>
      </c>
      <c r="K108" s="389">
        <v>45408</v>
      </c>
      <c r="L108" s="389">
        <v>45546</v>
      </c>
      <c r="M108" s="389">
        <v>45546</v>
      </c>
      <c r="N108" t="e">
        <v>#N/A</v>
      </c>
    </row>
    <row r="109" spans="1:14" hidden="1">
      <c r="A109">
        <v>222</v>
      </c>
      <c r="B109">
        <v>2</v>
      </c>
      <c r="C109" t="s">
        <v>263</v>
      </c>
      <c r="D109" t="s">
        <v>5758</v>
      </c>
      <c r="E109" t="s">
        <v>265</v>
      </c>
      <c r="F109" t="s">
        <v>10312</v>
      </c>
      <c r="G109" t="str">
        <f>VLOOKUP(E109,Table145678910111213141545678910111213146[[CODE]:[Email Local]],4,0)</f>
        <v>vptgd.17577</v>
      </c>
      <c r="H109">
        <f>VLOOKUP(E109,Table145678910111213141545678910111213146[[CODE]:[Email Local]],6,0)</f>
        <v>0</v>
      </c>
      <c r="J109" t="s">
        <v>67</v>
      </c>
      <c r="K109" s="389">
        <v>45408</v>
      </c>
      <c r="L109" s="389"/>
      <c r="M109" s="389"/>
      <c r="N109" t="s">
        <v>8683</v>
      </c>
    </row>
    <row r="110" spans="1:14" hidden="1">
      <c r="A110">
        <v>223</v>
      </c>
      <c r="B110">
        <v>3</v>
      </c>
      <c r="C110" t="s">
        <v>263</v>
      </c>
      <c r="D110" t="s">
        <v>3770</v>
      </c>
      <c r="E110" t="s">
        <v>266</v>
      </c>
      <c r="F110" t="s">
        <v>10313</v>
      </c>
      <c r="G110" t="str">
        <f>VLOOKUP(E110,Table145678910111213141545678910111213146[[CODE]:[Email Local]],4,0)</f>
        <v>09245.yen</v>
      </c>
      <c r="H110">
        <f>VLOOKUP(E110,Table145678910111213141545678910111213146[[CODE]:[Email Local]],6,0)</f>
        <v>0</v>
      </c>
      <c r="J110" t="s">
        <v>67</v>
      </c>
      <c r="K110" s="389">
        <v>45408</v>
      </c>
      <c r="L110" s="389"/>
      <c r="M110" s="389"/>
      <c r="N110" t="s">
        <v>1188</v>
      </c>
    </row>
    <row r="111" spans="1:14" hidden="1">
      <c r="A111">
        <v>224</v>
      </c>
      <c r="B111">
        <v>4</v>
      </c>
      <c r="C111" t="s">
        <v>263</v>
      </c>
      <c r="D111" t="s">
        <v>1192</v>
      </c>
      <c r="E111" t="s">
        <v>267</v>
      </c>
      <c r="F111" t="s">
        <v>10314</v>
      </c>
      <c r="G111" t="str">
        <f>VLOOKUP(E111,Table145678910111213141545678910111213146[[CODE]:[Email Local]],4,0)</f>
        <v>vptgd</v>
      </c>
      <c r="H111">
        <f>VLOOKUP(E111,Table145678910111213141545678910111213146[[CODE]:[Email Local]],6,0)</f>
        <v>0</v>
      </c>
      <c r="J111" t="s">
        <v>67</v>
      </c>
      <c r="K111" s="389">
        <v>45408</v>
      </c>
      <c r="L111" s="389"/>
      <c r="M111" s="389"/>
      <c r="N111" t="s">
        <v>8683</v>
      </c>
    </row>
    <row r="112" spans="1:14" hidden="1">
      <c r="A112">
        <v>225</v>
      </c>
      <c r="C112" t="s">
        <v>263</v>
      </c>
      <c r="D112" t="s">
        <v>5035</v>
      </c>
      <c r="E112" t="s">
        <v>8649</v>
      </c>
      <c r="F112" t="s">
        <v>10315</v>
      </c>
      <c r="G112" t="str">
        <f>VLOOKUP(E112,Table145678910111213141545678910111213146[[CODE]:[Email Local]],4,0)</f>
        <v>25149.linh</v>
      </c>
      <c r="H112">
        <f>VLOOKUP(E112,Table145678910111213141545678910111213146[[CODE]:[Email Local]],6,0)</f>
        <v>0</v>
      </c>
      <c r="J112" t="s">
        <v>67</v>
      </c>
      <c r="K112" s="389">
        <v>45546</v>
      </c>
      <c r="L112" s="389"/>
      <c r="M112" s="389"/>
      <c r="N112" t="s">
        <v>8683</v>
      </c>
    </row>
    <row r="113" spans="1:14" hidden="1">
      <c r="A113">
        <v>226</v>
      </c>
      <c r="B113">
        <v>5</v>
      </c>
      <c r="C113" t="s">
        <v>263</v>
      </c>
      <c r="D113" t="s">
        <v>10980</v>
      </c>
      <c r="E113" t="s">
        <v>8549</v>
      </c>
      <c r="F113" t="s">
        <v>10316</v>
      </c>
      <c r="G113" t="str">
        <f>VLOOKUP(E113,Table145678910111213141545678910111213146[[CODE]:[Email Local]],4,0)</f>
        <v>26345.huyen</v>
      </c>
      <c r="H113">
        <f>VLOOKUP(E113,Table145678910111213141545678910111213146[[CODE]:[Email Local]],6,0)</f>
        <v>0</v>
      </c>
      <c r="J113" t="s">
        <v>67</v>
      </c>
      <c r="K113" s="389">
        <v>45918</v>
      </c>
      <c r="L113" s="389"/>
      <c r="M113" s="389"/>
      <c r="N113" t="s">
        <v>8683</v>
      </c>
    </row>
    <row r="114" spans="1:14" hidden="1">
      <c r="A114">
        <v>226</v>
      </c>
      <c r="B114">
        <v>5</v>
      </c>
      <c r="C114" t="s">
        <v>263</v>
      </c>
      <c r="D114" t="s">
        <v>8497</v>
      </c>
      <c r="E114" t="s">
        <v>8650</v>
      </c>
      <c r="F114" t="s">
        <v>10317</v>
      </c>
      <c r="G114" t="str">
        <f>VLOOKUP(E114,Table145678910111213141545678910111213146[[CODE]:[Email Local]],4,0)</f>
        <v>26157.thuy</v>
      </c>
      <c r="H114">
        <f>VLOOKUP(E114,Table145678910111213141545678910111213146[[CODE]:[Email Local]],6,0)</f>
        <v>0</v>
      </c>
      <c r="J114" t="s">
        <v>67</v>
      </c>
      <c r="K114" s="389">
        <v>45852</v>
      </c>
      <c r="L114" s="389"/>
      <c r="M114" s="389"/>
      <c r="N114" t="s">
        <v>8683</v>
      </c>
    </row>
    <row r="115" spans="1:14" hidden="1">
      <c r="A115">
        <v>765</v>
      </c>
      <c r="B115">
        <v>1</v>
      </c>
      <c r="C115" t="s">
        <v>263</v>
      </c>
      <c r="D115" t="s">
        <v>8010</v>
      </c>
      <c r="E115" t="s">
        <v>8008</v>
      </c>
      <c r="F115" t="s">
        <v>10845</v>
      </c>
      <c r="G115" t="str">
        <f>VLOOKUP(E115,Table145678910111213141545678910111213146[[CODE]:[Email Local]],4,0)</f>
        <v>25814.xuan</v>
      </c>
      <c r="H115">
        <f>VLOOKUP(E115,Table145678910111213141545678910111213146[[CODE]:[Email Local]],6,0)</f>
        <v>0</v>
      </c>
      <c r="J115" t="s">
        <v>67</v>
      </c>
      <c r="K115" s="389">
        <v>45720</v>
      </c>
      <c r="L115" s="389"/>
      <c r="M115" s="389"/>
      <c r="N115" t="s">
        <v>8683</v>
      </c>
    </row>
    <row r="116" spans="1:14" hidden="1">
      <c r="A116">
        <v>557</v>
      </c>
      <c r="B116">
        <v>2</v>
      </c>
      <c r="C116" t="s">
        <v>845</v>
      </c>
      <c r="D116" t="s">
        <v>16910</v>
      </c>
      <c r="E116" t="s">
        <v>547</v>
      </c>
      <c r="F116" t="s">
        <v>10637</v>
      </c>
      <c r="G116" t="e">
        <f>VLOOKUP(E116,Table145678910111213141545678910111213146[[CODE]:[Email Local]],4,0)</f>
        <v>#N/A</v>
      </c>
      <c r="H116" t="e">
        <f>VLOOKUP(E116,Table145678910111213141545678910111213146[[CODE]:[Email Local]],6,0)</f>
        <v>#N/A</v>
      </c>
      <c r="J116" t="s">
        <v>67</v>
      </c>
      <c r="K116" s="389">
        <v>45434</v>
      </c>
      <c r="L116" s="389">
        <v>45806</v>
      </c>
      <c r="M116" s="389">
        <v>45806</v>
      </c>
      <c r="N116" t="e">
        <v>#N/A</v>
      </c>
    </row>
    <row r="117" spans="1:14" hidden="1">
      <c r="A117">
        <v>558</v>
      </c>
      <c r="B117">
        <v>3</v>
      </c>
      <c r="C117" t="s">
        <v>845</v>
      </c>
      <c r="D117" t="s">
        <v>1717</v>
      </c>
      <c r="E117" t="s">
        <v>548</v>
      </c>
      <c r="F117" t="s">
        <v>10638</v>
      </c>
      <c r="G117" t="str">
        <f>VLOOKUP(E117,Table145678910111213141545678910111213146[[CODE]:[Email Local]],4,0)</f>
        <v>gc.01911</v>
      </c>
      <c r="H117">
        <f>VLOOKUP(E117,Table145678910111213141545678910111213146[[CODE]:[Email Local]],6,0)</f>
        <v>0</v>
      </c>
      <c r="J117" t="s">
        <v>67</v>
      </c>
      <c r="K117" s="389">
        <v>45434</v>
      </c>
      <c r="L117" s="389"/>
      <c r="M117" s="389"/>
      <c r="N117" t="s">
        <v>978</v>
      </c>
    </row>
    <row r="118" spans="1:14" hidden="1">
      <c r="A118">
        <v>559</v>
      </c>
      <c r="B118">
        <v>4</v>
      </c>
      <c r="C118" t="s">
        <v>845</v>
      </c>
      <c r="D118" t="s">
        <v>1422</v>
      </c>
      <c r="E118" t="s">
        <v>8384</v>
      </c>
      <c r="F118" t="s">
        <v>10639</v>
      </c>
      <c r="G118" t="str">
        <f>VLOOKUP(E118,Table145678910111213141545678910111213146[[CODE]:[Email Local]],4,0)</f>
        <v>gc.01134</v>
      </c>
      <c r="H118">
        <f>VLOOKUP(E118,Table145678910111213141545678910111213146[[CODE]:[Email Local]],6,0)</f>
        <v>0</v>
      </c>
      <c r="J118" t="s">
        <v>67</v>
      </c>
      <c r="K118" s="389">
        <v>45434</v>
      </c>
      <c r="L118" s="389"/>
      <c r="M118" s="389"/>
      <c r="N118" t="s">
        <v>978</v>
      </c>
    </row>
    <row r="119" spans="1:14" hidden="1">
      <c r="A119">
        <v>562</v>
      </c>
      <c r="B119">
        <v>7</v>
      </c>
      <c r="C119" t="s">
        <v>845</v>
      </c>
      <c r="D119" t="s">
        <v>2112</v>
      </c>
      <c r="E119" t="s">
        <v>551</v>
      </c>
      <c r="F119" t="s">
        <v>10642</v>
      </c>
      <c r="G119" t="str">
        <f>VLOOKUP(E119,Table145678910111213141545678910111213146[[CODE]:[Email Local]],4,0)</f>
        <v>gc.11988</v>
      </c>
      <c r="H119">
        <f>VLOOKUP(E119,Table145678910111213141545678910111213146[[CODE]:[Email Local]],6,0)</f>
        <v>0</v>
      </c>
      <c r="J119" t="s">
        <v>67</v>
      </c>
      <c r="K119" s="389">
        <v>45434</v>
      </c>
      <c r="L119" s="389"/>
      <c r="M119" s="389"/>
      <c r="N119" t="s">
        <v>978</v>
      </c>
    </row>
    <row r="120" spans="1:14" hidden="1">
      <c r="A120">
        <v>566</v>
      </c>
      <c r="B120">
        <v>11</v>
      </c>
      <c r="C120" t="s">
        <v>845</v>
      </c>
      <c r="D120" t="s">
        <v>976</v>
      </c>
      <c r="E120" t="s">
        <v>555</v>
      </c>
      <c r="F120" t="s">
        <v>10646</v>
      </c>
      <c r="G120" t="str">
        <f>VLOOKUP(E120,Table145678910111213141545678910111213146[[CODE]:[Email Local]],4,0)</f>
        <v>gc.00234</v>
      </c>
      <c r="H120">
        <f>VLOOKUP(E120,Table145678910111213141545678910111213146[[CODE]:[Email Local]],6,0)</f>
        <v>0</v>
      </c>
      <c r="J120" t="s">
        <v>67</v>
      </c>
      <c r="K120" s="389">
        <v>45434</v>
      </c>
      <c r="L120" s="389"/>
      <c r="M120" s="389"/>
      <c r="N120" t="s">
        <v>978</v>
      </c>
    </row>
    <row r="121" spans="1:14" hidden="1">
      <c r="A121">
        <v>567</v>
      </c>
      <c r="B121">
        <v>12</v>
      </c>
      <c r="C121" t="s">
        <v>845</v>
      </c>
      <c r="D121" t="s">
        <v>1682</v>
      </c>
      <c r="E121" t="s">
        <v>7796</v>
      </c>
      <c r="F121" t="s">
        <v>10647</v>
      </c>
      <c r="G121" t="str">
        <f>VLOOKUP(E121,Table145678910111213141545678910111213146[[CODE]:[Email Local]],4,0)</f>
        <v>gc.01795</v>
      </c>
      <c r="H121">
        <f>VLOOKUP(E121,Table145678910111213141545678910111213146[[CODE]:[Email Local]],6,0)</f>
        <v>0</v>
      </c>
      <c r="J121" t="s">
        <v>67</v>
      </c>
      <c r="K121" s="389">
        <v>45467</v>
      </c>
      <c r="L121" s="389"/>
      <c r="M121" s="389"/>
      <c r="N121" t="s">
        <v>978</v>
      </c>
    </row>
    <row r="122" spans="1:14" hidden="1">
      <c r="A122">
        <v>568</v>
      </c>
      <c r="B122">
        <v>12</v>
      </c>
      <c r="C122" t="s">
        <v>845</v>
      </c>
      <c r="D122" t="s">
        <v>6884</v>
      </c>
      <c r="E122" t="s">
        <v>8655</v>
      </c>
      <c r="F122" t="s">
        <v>10648</v>
      </c>
      <c r="G122" t="e">
        <f>VLOOKUP(E122,Table145678910111213141545678910111213146[[CODE]:[Email Local]],4,0)</f>
        <v>#N/A</v>
      </c>
      <c r="H122" t="e">
        <f>VLOOKUP(E122,Table145678910111213141545678910111213146[[CODE]:[Email Local]],6,0)</f>
        <v>#N/A</v>
      </c>
      <c r="J122" t="s">
        <v>67</v>
      </c>
      <c r="K122" s="389">
        <v>45467</v>
      </c>
      <c r="L122" s="389"/>
      <c r="M122" s="389"/>
      <c r="N122" t="s">
        <v>978</v>
      </c>
    </row>
    <row r="123" spans="1:14" hidden="1">
      <c r="A123">
        <v>570</v>
      </c>
      <c r="B123">
        <v>14</v>
      </c>
      <c r="C123" t="s">
        <v>845</v>
      </c>
      <c r="D123" t="s">
        <v>5595</v>
      </c>
      <c r="E123" t="s">
        <v>559</v>
      </c>
      <c r="F123" t="s">
        <v>10650</v>
      </c>
      <c r="G123" t="str">
        <f>VLOOKUP(E123,Table145678910111213141545678910111213146[[CODE]:[Email Local]],4,0)</f>
        <v>gc.16917</v>
      </c>
      <c r="H123">
        <f>VLOOKUP(E123,Table145678910111213141545678910111213146[[CODE]:[Email Local]],6,0)</f>
        <v>0</v>
      </c>
      <c r="J123" t="s">
        <v>67</v>
      </c>
      <c r="K123" s="389">
        <v>45434</v>
      </c>
      <c r="L123" s="389"/>
      <c r="M123" s="389"/>
      <c r="N123" t="s">
        <v>978</v>
      </c>
    </row>
    <row r="124" spans="1:14" hidden="1">
      <c r="A124">
        <v>571</v>
      </c>
      <c r="B124">
        <v>15</v>
      </c>
      <c r="C124" t="s">
        <v>845</v>
      </c>
      <c r="D124" t="s">
        <v>1765</v>
      </c>
      <c r="E124" t="s">
        <v>560</v>
      </c>
      <c r="F124" t="s">
        <v>10651</v>
      </c>
      <c r="G124" t="e">
        <f>VLOOKUP(E124,Table145678910111213141545678910111213146[[CODE]:[Email Local]],4,0)</f>
        <v>#N/A</v>
      </c>
      <c r="H124" t="e">
        <f>VLOOKUP(E124,Table145678910111213141545678910111213146[[CODE]:[Email Local]],6,0)</f>
        <v>#N/A</v>
      </c>
      <c r="J124" t="s">
        <v>67</v>
      </c>
      <c r="K124" s="389">
        <v>45434</v>
      </c>
      <c r="L124" s="389"/>
      <c r="M124" s="389"/>
      <c r="N124" t="s">
        <v>978</v>
      </c>
    </row>
    <row r="125" spans="1:14" hidden="1">
      <c r="A125">
        <v>577</v>
      </c>
      <c r="B125">
        <v>21</v>
      </c>
      <c r="C125" t="s">
        <v>845</v>
      </c>
      <c r="D125" t="s">
        <v>2049</v>
      </c>
      <c r="E125" t="s">
        <v>568</v>
      </c>
      <c r="F125" t="s">
        <v>10657</v>
      </c>
      <c r="G125" t="e">
        <f>VLOOKUP(E125,Table145678910111213141545678910111213146[[CODE]:[Email Local]],4,0)</f>
        <v>#N/A</v>
      </c>
      <c r="H125" t="e">
        <f>VLOOKUP(E125,Table145678910111213141545678910111213146[[CODE]:[Email Local]],6,0)</f>
        <v>#N/A</v>
      </c>
      <c r="J125" t="s">
        <v>67</v>
      </c>
      <c r="K125" s="389">
        <v>45434</v>
      </c>
      <c r="L125" s="389"/>
      <c r="M125" s="389"/>
      <c r="N125" t="s">
        <v>978</v>
      </c>
    </row>
    <row r="126" spans="1:14" hidden="1">
      <c r="A126">
        <v>588</v>
      </c>
      <c r="B126">
        <v>32</v>
      </c>
      <c r="C126" t="s">
        <v>845</v>
      </c>
      <c r="D126" t="s">
        <v>5144</v>
      </c>
      <c r="E126" t="s">
        <v>575</v>
      </c>
      <c r="F126" t="s">
        <v>10668</v>
      </c>
      <c r="G126" t="e">
        <f>VLOOKUP(E126,Table145678910111213141545678910111213146[[CODE]:[Email Local]],4,0)</f>
        <v>#N/A</v>
      </c>
      <c r="H126" t="e">
        <f>VLOOKUP(E126,Table145678910111213141545678910111213146[[CODE]:[Email Local]],6,0)</f>
        <v>#N/A</v>
      </c>
      <c r="J126" t="s">
        <v>67</v>
      </c>
      <c r="K126" s="389">
        <v>45435</v>
      </c>
      <c r="L126" s="389">
        <v>45806</v>
      </c>
      <c r="M126" s="389">
        <v>45806</v>
      </c>
      <c r="N126" t="e">
        <v>#N/A</v>
      </c>
    </row>
    <row r="127" spans="1:14" hidden="1">
      <c r="A127">
        <v>591</v>
      </c>
      <c r="B127">
        <v>35</v>
      </c>
      <c r="C127" t="s">
        <v>845</v>
      </c>
      <c r="D127" t="s">
        <v>577</v>
      </c>
      <c r="E127" t="s">
        <v>577</v>
      </c>
      <c r="F127" t="s">
        <v>578</v>
      </c>
      <c r="G127" t="e">
        <f>VLOOKUP(E127,Table145678910111213141545678910111213146[[CODE]:[Email Local]],4,0)</f>
        <v>#N/A</v>
      </c>
      <c r="H127" t="e">
        <f>VLOOKUP(E127,Table145678910111213141545678910111213146[[CODE]:[Email Local]],6,0)</f>
        <v>#N/A</v>
      </c>
      <c r="J127" t="s">
        <v>67</v>
      </c>
      <c r="K127" s="389">
        <v>45435</v>
      </c>
      <c r="L127" s="389"/>
      <c r="M127" s="389"/>
      <c r="N127" t="e">
        <v>#N/A</v>
      </c>
    </row>
    <row r="128" spans="1:14" hidden="1">
      <c r="A128">
        <v>598</v>
      </c>
      <c r="C128" t="s">
        <v>845</v>
      </c>
      <c r="D128" t="s">
        <v>1704</v>
      </c>
      <c r="E128" t="s">
        <v>8024</v>
      </c>
      <c r="F128" t="s">
        <v>10677</v>
      </c>
      <c r="G128" t="e">
        <f>VLOOKUP(E128,Table145678910111213141545678910111213146[[CODE]:[Email Local]],4,0)</f>
        <v>#N/A</v>
      </c>
      <c r="H128" t="e">
        <f>VLOOKUP(E128,Table145678910111213141545678910111213146[[CODE]:[Email Local]],6,0)</f>
        <v>#N/A</v>
      </c>
      <c r="J128" t="s">
        <v>67</v>
      </c>
      <c r="K128" s="389">
        <v>45790</v>
      </c>
      <c r="L128" s="389"/>
      <c r="M128" s="389"/>
      <c r="N128" t="s">
        <v>978</v>
      </c>
    </row>
    <row r="129" spans="1:14" hidden="1">
      <c r="A129">
        <v>561</v>
      </c>
      <c r="B129">
        <v>6</v>
      </c>
      <c r="C129" t="s">
        <v>845</v>
      </c>
      <c r="D129" t="s">
        <v>1432</v>
      </c>
      <c r="E129" t="s">
        <v>550</v>
      </c>
      <c r="F129" t="s">
        <v>10641</v>
      </c>
      <c r="G129" t="str">
        <f>VLOOKUP(E129,Table145678910111213141545678910111213146[[CODE]:[Email Local]],4,0)</f>
        <v>gc.01167</v>
      </c>
      <c r="H129" t="str">
        <f>VLOOKUP(E129,Table145678910111213141545678910111213146[[CODE]:[Email Local]],6,0)</f>
        <v>ok</v>
      </c>
      <c r="J129" t="s">
        <v>67</v>
      </c>
      <c r="K129" s="389">
        <v>45434</v>
      </c>
      <c r="L129" s="389"/>
      <c r="M129" s="389"/>
      <c r="N129" t="s">
        <v>978</v>
      </c>
    </row>
    <row r="130" spans="1:14" hidden="1">
      <c r="A130">
        <v>578</v>
      </c>
      <c r="B130">
        <v>22</v>
      </c>
      <c r="C130" t="s">
        <v>845</v>
      </c>
      <c r="D130" t="s">
        <v>1506</v>
      </c>
      <c r="E130" t="s">
        <v>557</v>
      </c>
      <c r="F130" t="s">
        <v>10658</v>
      </c>
      <c r="G130" t="str">
        <f>VLOOKUP(E130,Table145678910111213141545678910111213146[[CODE]:[Email Local]],4,0)</f>
        <v>gc.01309</v>
      </c>
      <c r="H130" t="str">
        <f>VLOOKUP(E130,Table145678910111213141545678910111213146[[CODE]:[Email Local]],6,0)</f>
        <v>ok</v>
      </c>
      <c r="J130" t="s">
        <v>67</v>
      </c>
      <c r="K130" s="389">
        <v>45434</v>
      </c>
      <c r="L130" s="389"/>
      <c r="M130" s="389"/>
      <c r="N130" t="s">
        <v>978</v>
      </c>
    </row>
    <row r="131" spans="1:14" hidden="1">
      <c r="A131">
        <v>586</v>
      </c>
      <c r="B131">
        <v>30</v>
      </c>
      <c r="C131" t="s">
        <v>845</v>
      </c>
      <c r="D131" t="s">
        <v>9640</v>
      </c>
      <c r="E131" t="s">
        <v>574</v>
      </c>
      <c r="F131" t="s">
        <v>10666</v>
      </c>
      <c r="G131" t="str">
        <f>VLOOKUP(E131,Table145678910111213141545678910111213146[[CODE]:[Email Local]],4,0)</f>
        <v>24327.vinh</v>
      </c>
      <c r="H131" t="str">
        <f>VLOOKUP(E131,Table145678910111213141545678910111213146[[CODE]:[Email Local]],6,0)</f>
        <v>ok</v>
      </c>
      <c r="J131" t="s">
        <v>67</v>
      </c>
      <c r="K131" s="389">
        <v>45435</v>
      </c>
      <c r="L131" s="389">
        <v>45806</v>
      </c>
      <c r="M131" s="389">
        <v>45806</v>
      </c>
      <c r="N131" t="e">
        <v>#N/A</v>
      </c>
    </row>
    <row r="132" spans="1:14" hidden="1">
      <c r="A132">
        <v>763</v>
      </c>
      <c r="B132">
        <v>1</v>
      </c>
      <c r="C132" t="s">
        <v>845</v>
      </c>
      <c r="D132" t="s">
        <v>7840</v>
      </c>
      <c r="E132" t="s">
        <v>7976</v>
      </c>
      <c r="F132" t="s">
        <v>10843</v>
      </c>
      <c r="G132" t="str">
        <f>VLOOKUP(E132,Table145678910111213141545678910111213146[[CODE]:[Email Local]],4,0)</f>
        <v>24994.long</v>
      </c>
      <c r="H132" t="str">
        <f>VLOOKUP(E132,Table145678910111213141545678910111213146[[CODE]:[Email Local]],6,0)</f>
        <v>ok</v>
      </c>
      <c r="J132" t="s">
        <v>67</v>
      </c>
      <c r="K132" s="389">
        <v>45602</v>
      </c>
      <c r="L132" s="389"/>
      <c r="M132" s="389"/>
      <c r="N132" t="s">
        <v>1541</v>
      </c>
    </row>
    <row r="133" spans="1:14" hidden="1">
      <c r="A133">
        <v>764</v>
      </c>
      <c r="B133">
        <v>2</v>
      </c>
      <c r="C133" t="s">
        <v>845</v>
      </c>
      <c r="D133" t="s">
        <v>9644</v>
      </c>
      <c r="E133" t="s">
        <v>7977</v>
      </c>
      <c r="F133" t="s">
        <v>10844</v>
      </c>
      <c r="G133" t="str">
        <f>VLOOKUP(E133,Table145678910111213141545678910111213146[[CODE]:[Email Local]],4,0)</f>
        <v>25022.viet</v>
      </c>
      <c r="H133" t="str">
        <f>VLOOKUP(E133,Table145678910111213141545678910111213146[[CODE]:[Email Local]],6,0)</f>
        <v>ok</v>
      </c>
      <c r="J133" t="s">
        <v>67</v>
      </c>
      <c r="K133" s="389">
        <v>45602</v>
      </c>
      <c r="L133" s="389">
        <v>45980</v>
      </c>
      <c r="M133" s="389"/>
      <c r="N133" t="e">
        <v>#N/A</v>
      </c>
    </row>
    <row r="134" spans="1:14" hidden="1">
      <c r="A134">
        <v>84</v>
      </c>
      <c r="B134">
        <v>8</v>
      </c>
      <c r="C134" t="s">
        <v>846</v>
      </c>
      <c r="D134" t="s">
        <v>888</v>
      </c>
      <c r="E134" t="s">
        <v>139</v>
      </c>
      <c r="F134" t="s">
        <v>10174</v>
      </c>
      <c r="G134" t="str">
        <f>VLOOKUP(E134,Table145678910111213141545678910111213146[[CODE]:[Email Local]],4,0)</f>
        <v>han1.00038</v>
      </c>
      <c r="H134" t="str">
        <f>VLOOKUP(E134,Table145678910111213141545678910111213146[[CODE]:[Email Local]],6,0)</f>
        <v>ok</v>
      </c>
      <c r="J134" t="s">
        <v>67</v>
      </c>
      <c r="K134" s="389">
        <v>45421</v>
      </c>
      <c r="L134" s="389"/>
      <c r="M134" s="389"/>
      <c r="N134" t="s">
        <v>890</v>
      </c>
    </row>
    <row r="135" spans="1:14" hidden="1">
      <c r="A135">
        <v>77</v>
      </c>
      <c r="B135">
        <v>1</v>
      </c>
      <c r="C135" t="s">
        <v>846</v>
      </c>
      <c r="D135" t="s">
        <v>4106</v>
      </c>
      <c r="E135" t="s">
        <v>132</v>
      </c>
      <c r="F135" t="s">
        <v>10167</v>
      </c>
      <c r="G135" t="e">
        <f>VLOOKUP(E135,Table145678910111213141545678910111213146[[CODE]:[Email Local]],4,0)</f>
        <v>#N/A</v>
      </c>
      <c r="H135" t="e">
        <f>VLOOKUP(E135,Table145678910111213141545678910111213146[[CODE]:[Email Local]],6,0)</f>
        <v>#N/A</v>
      </c>
      <c r="J135" t="s">
        <v>67</v>
      </c>
      <c r="K135" s="389">
        <v>45421</v>
      </c>
      <c r="L135" s="389"/>
      <c r="M135" s="389"/>
      <c r="N135" t="s">
        <v>890</v>
      </c>
    </row>
    <row r="136" spans="1:14" hidden="1">
      <c r="A136">
        <v>78</v>
      </c>
      <c r="B136">
        <v>2</v>
      </c>
      <c r="C136" t="s">
        <v>846</v>
      </c>
      <c r="D136" t="s">
        <v>940</v>
      </c>
      <c r="E136" t="s">
        <v>133</v>
      </c>
      <c r="F136" t="s">
        <v>10168</v>
      </c>
      <c r="G136" t="str">
        <f>VLOOKUP(E136,Table145678910111213141545678910111213146[[CODE]:[Email Local]],4,0)</f>
        <v>han1.00138</v>
      </c>
      <c r="H136">
        <f>VLOOKUP(E136,Table145678910111213141545678910111213146[[CODE]:[Email Local]],6,0)</f>
        <v>0</v>
      </c>
      <c r="J136" t="s">
        <v>67</v>
      </c>
      <c r="K136" s="389">
        <v>45421</v>
      </c>
      <c r="L136" s="389"/>
      <c r="M136" s="389"/>
      <c r="N136" t="s">
        <v>890</v>
      </c>
    </row>
    <row r="137" spans="1:14" hidden="1">
      <c r="A137">
        <v>79</v>
      </c>
      <c r="B137">
        <v>3</v>
      </c>
      <c r="C137" t="s">
        <v>846</v>
      </c>
      <c r="D137" t="s">
        <v>1327</v>
      </c>
      <c r="E137" t="s">
        <v>134</v>
      </c>
      <c r="F137" t="s">
        <v>10169</v>
      </c>
      <c r="G137" t="str">
        <f>VLOOKUP(E137,Table145678910111213141545678910111213146[[CODE]:[Email Local]],4,0)</f>
        <v>han1.01566</v>
      </c>
      <c r="H137">
        <f>VLOOKUP(E137,Table145678910111213141545678910111213146[[CODE]:[Email Local]],6,0)</f>
        <v>0</v>
      </c>
      <c r="J137" t="s">
        <v>67</v>
      </c>
      <c r="K137" s="389">
        <v>45421</v>
      </c>
      <c r="L137" s="389"/>
      <c r="M137" s="389"/>
      <c r="N137" t="s">
        <v>890</v>
      </c>
    </row>
    <row r="138" spans="1:14" hidden="1">
      <c r="A138">
        <v>80</v>
      </c>
      <c r="B138">
        <v>4</v>
      </c>
      <c r="C138" t="s">
        <v>846</v>
      </c>
      <c r="D138" t="s">
        <v>1818</v>
      </c>
      <c r="E138" t="s">
        <v>135</v>
      </c>
      <c r="F138" t="s">
        <v>10170</v>
      </c>
      <c r="G138" t="str">
        <f>VLOOKUP(E138,Table145678910111213141545678910111213146[[CODE]:[Email Local]],4,0)</f>
        <v>han1.02322</v>
      </c>
      <c r="H138">
        <f>VLOOKUP(E138,Table145678910111213141545678910111213146[[CODE]:[Email Local]],6,0)</f>
        <v>0</v>
      </c>
      <c r="J138" t="s">
        <v>67</v>
      </c>
      <c r="K138" s="389">
        <v>45421</v>
      </c>
      <c r="L138" s="389"/>
      <c r="M138" s="389"/>
      <c r="N138" t="s">
        <v>890</v>
      </c>
    </row>
    <row r="139" spans="1:14" hidden="1">
      <c r="A139">
        <v>81</v>
      </c>
      <c r="B139">
        <v>5</v>
      </c>
      <c r="C139" t="s">
        <v>846</v>
      </c>
      <c r="D139" t="s">
        <v>3217</v>
      </c>
      <c r="E139" t="s">
        <v>136</v>
      </c>
      <c r="F139" t="s">
        <v>10171</v>
      </c>
      <c r="G139" t="e">
        <f>VLOOKUP(E139,Table145678910111213141545678910111213146[[CODE]:[Email Local]],4,0)</f>
        <v>#N/A</v>
      </c>
      <c r="H139" t="e">
        <f>VLOOKUP(E139,Table145678910111213141545678910111213146[[CODE]:[Email Local]],6,0)</f>
        <v>#N/A</v>
      </c>
      <c r="J139" t="s">
        <v>67</v>
      </c>
      <c r="K139" s="389">
        <v>45421</v>
      </c>
      <c r="L139" s="389"/>
      <c r="M139" s="389"/>
      <c r="N139" t="s">
        <v>890</v>
      </c>
    </row>
    <row r="140" spans="1:14" hidden="1">
      <c r="A140">
        <v>82</v>
      </c>
      <c r="B140">
        <v>6</v>
      </c>
      <c r="C140" t="s">
        <v>846</v>
      </c>
      <c r="D140" t="s">
        <v>1088</v>
      </c>
      <c r="E140" t="s">
        <v>137</v>
      </c>
      <c r="F140" t="s">
        <v>10172</v>
      </c>
      <c r="G140" t="str">
        <f>VLOOKUP(E140,Table145678910111213141545678910111213146[[CODE]:[Email Local]],4,0)</f>
        <v>han1.00470</v>
      </c>
      <c r="H140">
        <f>VLOOKUP(E140,Table145678910111213141545678910111213146[[CODE]:[Email Local]],6,0)</f>
        <v>0</v>
      </c>
      <c r="J140" t="s">
        <v>67</v>
      </c>
      <c r="K140" s="389">
        <v>45421</v>
      </c>
      <c r="L140" s="389"/>
      <c r="M140" s="389"/>
      <c r="N140" t="s">
        <v>890</v>
      </c>
    </row>
    <row r="141" spans="1:14" hidden="1">
      <c r="A141">
        <v>83</v>
      </c>
      <c r="B141">
        <v>7</v>
      </c>
      <c r="C141" t="s">
        <v>846</v>
      </c>
      <c r="D141" t="s">
        <v>2238</v>
      </c>
      <c r="E141" t="s">
        <v>138</v>
      </c>
      <c r="F141" t="s">
        <v>10173</v>
      </c>
      <c r="G141" t="str">
        <f>VLOOKUP(E141,Table145678910111213141545678910111213146[[CODE]:[Email Local]],4,0)</f>
        <v>han1.03481</v>
      </c>
      <c r="H141">
        <f>VLOOKUP(E141,Table145678910111213141545678910111213146[[CODE]:[Email Local]],6,0)</f>
        <v>0</v>
      </c>
      <c r="J141" t="s">
        <v>67</v>
      </c>
      <c r="K141" s="389">
        <v>45421</v>
      </c>
      <c r="L141" s="389"/>
      <c r="M141" s="389"/>
      <c r="N141" t="s">
        <v>890</v>
      </c>
    </row>
    <row r="142" spans="1:14" hidden="1">
      <c r="A142">
        <v>85</v>
      </c>
      <c r="B142">
        <v>9</v>
      </c>
      <c r="C142" t="s">
        <v>846</v>
      </c>
      <c r="D142" t="s">
        <v>3191</v>
      </c>
      <c r="E142" t="s">
        <v>140</v>
      </c>
      <c r="F142" t="s">
        <v>10175</v>
      </c>
      <c r="G142" t="e">
        <f>VLOOKUP(E142,Table145678910111213141545678910111213146[[CODE]:[Email Local]],4,0)</f>
        <v>#N/A</v>
      </c>
      <c r="H142" t="e">
        <f>VLOOKUP(E142,Table145678910111213141545678910111213146[[CODE]:[Email Local]],6,0)</f>
        <v>#N/A</v>
      </c>
      <c r="J142" t="s">
        <v>67</v>
      </c>
      <c r="K142" s="389">
        <v>45421</v>
      </c>
      <c r="L142" s="389"/>
      <c r="M142" s="389"/>
      <c r="N142" t="s">
        <v>924</v>
      </c>
    </row>
    <row r="143" spans="1:14" hidden="1">
      <c r="A143">
        <v>86</v>
      </c>
      <c r="B143">
        <v>10</v>
      </c>
      <c r="C143" t="s">
        <v>846</v>
      </c>
      <c r="D143" t="s">
        <v>1269</v>
      </c>
      <c r="E143" t="s">
        <v>141</v>
      </c>
      <c r="F143" t="s">
        <v>10176</v>
      </c>
      <c r="G143" t="str">
        <f>VLOOKUP(E143,Table145678910111213141545678910111213146[[CODE]:[Email Local]],4,0)</f>
        <v>han1.00798</v>
      </c>
      <c r="H143">
        <f>VLOOKUP(E143,Table145678910111213141545678910111213146[[CODE]:[Email Local]],6,0)</f>
        <v>0</v>
      </c>
      <c r="J143" t="s">
        <v>67</v>
      </c>
      <c r="K143" s="389">
        <v>45421</v>
      </c>
      <c r="L143" s="389"/>
      <c r="M143" s="389"/>
      <c r="N143" t="s">
        <v>890</v>
      </c>
    </row>
    <row r="144" spans="1:14" hidden="1">
      <c r="A144">
        <v>87</v>
      </c>
      <c r="B144">
        <v>11</v>
      </c>
      <c r="C144" t="s">
        <v>846</v>
      </c>
      <c r="D144" t="s">
        <v>1283</v>
      </c>
      <c r="E144" t="s">
        <v>142</v>
      </c>
      <c r="F144" t="s">
        <v>10177</v>
      </c>
      <c r="G144" t="str">
        <f>VLOOKUP(E144,Table145678910111213141545678910111213146[[CODE]:[Email Local]],4,0)</f>
        <v>han1.00832</v>
      </c>
      <c r="H144">
        <f>VLOOKUP(E144,Table145678910111213141545678910111213146[[CODE]:[Email Local]],6,0)</f>
        <v>0</v>
      </c>
      <c r="J144" t="s">
        <v>67</v>
      </c>
      <c r="K144" s="389">
        <v>45421</v>
      </c>
      <c r="L144" s="389"/>
      <c r="M144" s="389"/>
      <c r="N144" t="s">
        <v>890</v>
      </c>
    </row>
    <row r="145" spans="1:14" hidden="1">
      <c r="A145">
        <v>86</v>
      </c>
      <c r="B145">
        <v>10</v>
      </c>
      <c r="C145" t="s">
        <v>846</v>
      </c>
      <c r="D145" t="s">
        <v>1434</v>
      </c>
      <c r="E145" t="s">
        <v>8656</v>
      </c>
      <c r="F145" t="s">
        <v>10178</v>
      </c>
      <c r="G145" t="e">
        <f>VLOOKUP(E145,Table145678910111213141545678910111213146[[CODE]:[Email Local]],4,0)</f>
        <v>#N/A</v>
      </c>
      <c r="H145" t="e">
        <f>VLOOKUP(E145,Table145678910111213141545678910111213146[[CODE]:[Email Local]],6,0)</f>
        <v>#N/A</v>
      </c>
      <c r="J145" t="s">
        <v>67</v>
      </c>
      <c r="K145" s="389">
        <v>45437</v>
      </c>
      <c r="L145" s="389"/>
      <c r="M145" s="389"/>
      <c r="N145" t="s">
        <v>890</v>
      </c>
    </row>
    <row r="146" spans="1:14" hidden="1">
      <c r="A146">
        <v>87</v>
      </c>
      <c r="B146">
        <v>11</v>
      </c>
      <c r="C146" t="s">
        <v>846</v>
      </c>
      <c r="D146" t="s">
        <v>1307</v>
      </c>
      <c r="E146" t="s">
        <v>8657</v>
      </c>
      <c r="F146" t="s">
        <v>10179</v>
      </c>
      <c r="G146" t="e">
        <f>VLOOKUP(E146,Table145678910111213141545678910111213146[[CODE]:[Email Local]],4,0)</f>
        <v>#N/A</v>
      </c>
      <c r="H146" t="e">
        <f>VLOOKUP(E146,Table145678910111213141545678910111213146[[CODE]:[Email Local]],6,0)</f>
        <v>#N/A</v>
      </c>
      <c r="J146" t="s">
        <v>67</v>
      </c>
      <c r="K146" s="389">
        <v>45454</v>
      </c>
      <c r="L146" s="389"/>
      <c r="M146" s="389"/>
      <c r="N146" t="s">
        <v>890</v>
      </c>
    </row>
    <row r="147" spans="1:14" hidden="1">
      <c r="A147">
        <v>767</v>
      </c>
      <c r="C147" t="s">
        <v>846</v>
      </c>
      <c r="D147" t="s">
        <v>1963</v>
      </c>
      <c r="E147" t="s">
        <v>8403</v>
      </c>
      <c r="F147" t="s">
        <v>10847</v>
      </c>
      <c r="G147" t="e">
        <f>VLOOKUP(E147,Table145678910111213141545678910111213146[[CODE]:[Email Local]],4,0)</f>
        <v>#N/A</v>
      </c>
      <c r="H147" t="e">
        <f>VLOOKUP(E147,Table145678910111213141545678910111213146[[CODE]:[Email Local]],6,0)</f>
        <v>#N/A</v>
      </c>
      <c r="J147" t="s">
        <v>642</v>
      </c>
      <c r="K147" s="389">
        <v>45841</v>
      </c>
      <c r="L147" s="389"/>
      <c r="M147" s="389"/>
      <c r="N147" t="s">
        <v>8402</v>
      </c>
    </row>
    <row r="148" spans="1:14" hidden="1">
      <c r="A148">
        <v>158</v>
      </c>
      <c r="B148">
        <v>2</v>
      </c>
      <c r="C148" t="s">
        <v>847</v>
      </c>
      <c r="D148" t="s">
        <v>1556</v>
      </c>
      <c r="E148" t="s">
        <v>202</v>
      </c>
      <c r="F148" t="s">
        <v>10249</v>
      </c>
      <c r="G148" t="e">
        <f>VLOOKUP(E148,Table145678910111213141545678910111213146[[CODE]:[Email Local]],4,0)</f>
        <v>#N/A</v>
      </c>
      <c r="H148" t="e">
        <f>VLOOKUP(E148,Table145678910111213141545678910111213146[[CODE]:[Email Local]],6,0)</f>
        <v>#N/A</v>
      </c>
      <c r="J148" t="s">
        <v>67</v>
      </c>
      <c r="K148" s="389">
        <v>45432</v>
      </c>
      <c r="L148" s="389"/>
      <c r="M148" s="389"/>
      <c r="N148" t="s">
        <v>937</v>
      </c>
    </row>
    <row r="149" spans="1:14" hidden="1">
      <c r="A149">
        <v>159</v>
      </c>
      <c r="B149">
        <v>3</v>
      </c>
      <c r="C149" t="s">
        <v>847</v>
      </c>
      <c r="D149" t="s">
        <v>6213</v>
      </c>
      <c r="E149" t="s">
        <v>177</v>
      </c>
      <c r="F149" t="s">
        <v>10250</v>
      </c>
      <c r="G149" t="e">
        <f>VLOOKUP(E149,Table145678910111213141545678910111213146[[CODE]:[Email Local]],4,0)</f>
        <v>#N/A</v>
      </c>
      <c r="H149" t="e">
        <f>VLOOKUP(E149,Table145678910111213141545678910111213146[[CODE]:[Email Local]],6,0)</f>
        <v>#N/A</v>
      </c>
      <c r="J149" t="s">
        <v>67</v>
      </c>
      <c r="K149" s="389">
        <v>45432</v>
      </c>
      <c r="L149" s="389"/>
      <c r="M149" s="389"/>
      <c r="N149" t="s">
        <v>937</v>
      </c>
    </row>
    <row r="150" spans="1:14" hidden="1">
      <c r="A150">
        <v>160</v>
      </c>
      <c r="B150">
        <v>4</v>
      </c>
      <c r="C150" t="s">
        <v>847</v>
      </c>
      <c r="D150" t="s">
        <v>3412</v>
      </c>
      <c r="E150" t="s">
        <v>827</v>
      </c>
      <c r="F150" t="s">
        <v>10251</v>
      </c>
      <c r="G150" t="str">
        <f>VLOOKUP(E150,Table145678910111213141545678910111213146[[CODE]:[Email Local]],4,0)</f>
        <v>07844.giang</v>
      </c>
      <c r="H150">
        <f>VLOOKUP(E150,Table145678910111213141545678910111213146[[CODE]:[Email Local]],6,0)</f>
        <v>0</v>
      </c>
      <c r="J150" t="s">
        <v>67</v>
      </c>
      <c r="K150" s="389">
        <v>45432</v>
      </c>
      <c r="L150" s="389"/>
      <c r="M150" s="389"/>
      <c r="N150" t="s">
        <v>937</v>
      </c>
    </row>
    <row r="151" spans="1:14" hidden="1">
      <c r="A151">
        <v>161</v>
      </c>
      <c r="B151">
        <v>5</v>
      </c>
      <c r="C151" t="s">
        <v>847</v>
      </c>
      <c r="D151" t="s">
        <v>1407</v>
      </c>
      <c r="E151" t="s">
        <v>203</v>
      </c>
      <c r="F151" t="s">
        <v>10252</v>
      </c>
      <c r="G151" t="str">
        <f>VLOOKUP(E151,Table145678910111213141545678910111213146[[CODE]:[Email Local]],4,0)</f>
        <v>han3.01240</v>
      </c>
      <c r="H151">
        <f>VLOOKUP(E151,Table145678910111213141545678910111213146[[CODE]:[Email Local]],6,0)</f>
        <v>0</v>
      </c>
      <c r="J151" t="s">
        <v>67</v>
      </c>
      <c r="K151" s="389">
        <v>45432</v>
      </c>
      <c r="L151" s="389"/>
      <c r="M151" s="389"/>
      <c r="N151" t="s">
        <v>937</v>
      </c>
    </row>
    <row r="152" spans="1:14" hidden="1">
      <c r="A152">
        <v>162</v>
      </c>
      <c r="B152">
        <v>6</v>
      </c>
      <c r="C152" t="s">
        <v>847</v>
      </c>
      <c r="D152" t="s">
        <v>5400</v>
      </c>
      <c r="E152" t="s">
        <v>204</v>
      </c>
      <c r="F152" t="s">
        <v>10253</v>
      </c>
      <c r="G152" t="str">
        <f>VLOOKUP(E152,Table145678910111213141545678910111213146[[CODE]:[Email Local]],4,0)</f>
        <v>han3.15895</v>
      </c>
      <c r="H152">
        <f>VLOOKUP(E152,Table145678910111213141545678910111213146[[CODE]:[Email Local]],6,0)</f>
        <v>0</v>
      </c>
      <c r="J152" t="s">
        <v>67</v>
      </c>
      <c r="K152" s="389">
        <v>45432</v>
      </c>
      <c r="L152" s="389"/>
      <c r="M152" s="389"/>
      <c r="N152" t="s">
        <v>937</v>
      </c>
    </row>
    <row r="153" spans="1:14" hidden="1">
      <c r="A153">
        <v>163</v>
      </c>
      <c r="B153">
        <v>7</v>
      </c>
      <c r="C153" t="s">
        <v>847</v>
      </c>
      <c r="D153" t="s">
        <v>2262</v>
      </c>
      <c r="E153" t="s">
        <v>205</v>
      </c>
      <c r="F153" t="s">
        <v>10254</v>
      </c>
      <c r="G153" t="str">
        <f>VLOOKUP(E153,Table145678910111213141545678910111213146[[CODE]:[Email Local]],4,0)</f>
        <v>han3.03554</v>
      </c>
      <c r="H153">
        <f>VLOOKUP(E153,Table145678910111213141545678910111213146[[CODE]:[Email Local]],6,0)</f>
        <v>0</v>
      </c>
      <c r="J153" t="s">
        <v>67</v>
      </c>
      <c r="K153" s="389">
        <v>45432</v>
      </c>
      <c r="L153" s="389"/>
      <c r="M153" s="389"/>
      <c r="N153" t="s">
        <v>937</v>
      </c>
    </row>
    <row r="154" spans="1:14" hidden="1">
      <c r="A154">
        <v>165</v>
      </c>
      <c r="B154">
        <v>9</v>
      </c>
      <c r="C154" t="s">
        <v>847</v>
      </c>
      <c r="D154" t="s">
        <v>1171</v>
      </c>
      <c r="E154" t="s">
        <v>207</v>
      </c>
      <c r="F154" t="s">
        <v>10256</v>
      </c>
      <c r="G154" t="str">
        <f>VLOOKUP(E154,Table145678910111213141545678910111213146[[CODE]:[Email Local]],4,0)</f>
        <v>han3.00624</v>
      </c>
      <c r="H154">
        <f>VLOOKUP(E154,Table145678910111213141545678910111213146[[CODE]:[Email Local]],6,0)</f>
        <v>0</v>
      </c>
      <c r="J154" t="s">
        <v>67</v>
      </c>
      <c r="K154" s="389">
        <v>45432</v>
      </c>
      <c r="L154" s="389"/>
      <c r="M154" s="389"/>
      <c r="N154" t="s">
        <v>937</v>
      </c>
    </row>
    <row r="155" spans="1:14" hidden="1">
      <c r="A155">
        <v>166</v>
      </c>
      <c r="B155">
        <v>10</v>
      </c>
      <c r="C155" t="s">
        <v>847</v>
      </c>
      <c r="D155" t="s">
        <v>3728</v>
      </c>
      <c r="E155" t="s">
        <v>208</v>
      </c>
      <c r="F155" t="s">
        <v>10257</v>
      </c>
      <c r="G155" t="str">
        <f>VLOOKUP(E155,Table145678910111213141545678910111213146[[CODE]:[Email Local]],4,0)</f>
        <v>dap3.09096</v>
      </c>
      <c r="H155">
        <f>VLOOKUP(E155,Table145678910111213141545678910111213146[[CODE]:[Email Local]],6,0)</f>
        <v>0</v>
      </c>
      <c r="J155" t="s">
        <v>67</v>
      </c>
      <c r="K155" s="389">
        <v>45432</v>
      </c>
      <c r="L155" s="389"/>
      <c r="M155" s="389"/>
      <c r="N155" t="s">
        <v>937</v>
      </c>
    </row>
    <row r="156" spans="1:14" hidden="1">
      <c r="A156">
        <v>167</v>
      </c>
      <c r="B156">
        <v>11</v>
      </c>
      <c r="C156" t="s">
        <v>847</v>
      </c>
      <c r="D156" t="s">
        <v>1305</v>
      </c>
      <c r="E156" t="s">
        <v>209</v>
      </c>
      <c r="F156" t="s">
        <v>10258</v>
      </c>
      <c r="G156" t="str">
        <f>VLOOKUP(E156,Table145678910111213141545678910111213146[[CODE]:[Email Local]],4,0)</f>
        <v>han3.00884</v>
      </c>
      <c r="H156">
        <f>VLOOKUP(E156,Table145678910111213141545678910111213146[[CODE]:[Email Local]],6,0)</f>
        <v>0</v>
      </c>
      <c r="J156" t="s">
        <v>67</v>
      </c>
      <c r="K156" s="389">
        <v>45432</v>
      </c>
      <c r="L156" s="389"/>
      <c r="M156" s="389"/>
      <c r="N156" t="s">
        <v>937</v>
      </c>
    </row>
    <row r="157" spans="1:14" hidden="1">
      <c r="A157">
        <v>168</v>
      </c>
      <c r="B157">
        <v>12</v>
      </c>
      <c r="C157" t="s">
        <v>847</v>
      </c>
      <c r="D157" t="e">
        <v>#N/A</v>
      </c>
      <c r="E157" t="s">
        <v>210</v>
      </c>
      <c r="F157" s="391" t="s">
        <v>10259</v>
      </c>
      <c r="G157" t="e">
        <f>VLOOKUP(E157,Table145678910111213141545678910111213146[[CODE]:[Email Local]],4,0)</f>
        <v>#N/A</v>
      </c>
      <c r="H157" t="e">
        <f>VLOOKUP(E157,Table145678910111213141545678910111213146[[CODE]:[Email Local]],6,0)</f>
        <v>#N/A</v>
      </c>
      <c r="J157" t="s">
        <v>67</v>
      </c>
      <c r="K157" s="389">
        <v>45432</v>
      </c>
      <c r="L157" s="389">
        <v>45806</v>
      </c>
      <c r="M157" s="389">
        <v>45806</v>
      </c>
      <c r="N157" t="e">
        <v>#N/A</v>
      </c>
    </row>
    <row r="158" spans="1:14" hidden="1">
      <c r="A158">
        <v>170</v>
      </c>
      <c r="B158">
        <v>14</v>
      </c>
      <c r="C158" t="s">
        <v>847</v>
      </c>
      <c r="D158" t="s">
        <v>1009</v>
      </c>
      <c r="E158" t="s">
        <v>8004</v>
      </c>
      <c r="F158" t="s">
        <v>10261</v>
      </c>
      <c r="G158" t="e">
        <f>VLOOKUP(E158,Table145678910111213141545678910111213146[[CODE]:[Email Local]],4,0)</f>
        <v>#N/A</v>
      </c>
      <c r="H158" t="e">
        <f>VLOOKUP(E158,Table145678910111213141545678910111213146[[CODE]:[Email Local]],6,0)</f>
        <v>#N/A</v>
      </c>
      <c r="J158" t="s">
        <v>67</v>
      </c>
      <c r="K158" s="389">
        <v>45736</v>
      </c>
      <c r="L158" s="389"/>
      <c r="M158" s="389"/>
      <c r="N158" t="s">
        <v>937</v>
      </c>
    </row>
    <row r="159" spans="1:14" hidden="1">
      <c r="A159">
        <v>157</v>
      </c>
      <c r="B159">
        <v>1</v>
      </c>
      <c r="C159" t="s">
        <v>847</v>
      </c>
      <c r="D159" t="s">
        <v>3710</v>
      </c>
      <c r="E159" t="s">
        <v>201</v>
      </c>
      <c r="F159" t="s">
        <v>10248</v>
      </c>
      <c r="G159" t="str">
        <f>VLOOKUP(E159,Table145678910111213141545678910111213146[[CODE]:[Email Local]],4,0)</f>
        <v>09055.hung</v>
      </c>
      <c r="H159" t="str">
        <f>VLOOKUP(E159,Table145678910111213141545678910111213146[[CODE]:[Email Local]],6,0)</f>
        <v>ok</v>
      </c>
      <c r="J159" t="s">
        <v>67</v>
      </c>
      <c r="K159" s="389">
        <v>45432</v>
      </c>
      <c r="L159" s="389">
        <v>45771</v>
      </c>
      <c r="M159" s="389">
        <v>45771</v>
      </c>
      <c r="N159" t="e">
        <v>#N/A</v>
      </c>
    </row>
    <row r="160" spans="1:14" hidden="1">
      <c r="A160">
        <v>164</v>
      </c>
      <c r="B160">
        <v>8</v>
      </c>
      <c r="C160" t="s">
        <v>847</v>
      </c>
      <c r="D160" t="s">
        <v>1005</v>
      </c>
      <c r="E160" t="s">
        <v>206</v>
      </c>
      <c r="F160" t="s">
        <v>10255</v>
      </c>
      <c r="G160" t="str">
        <f>VLOOKUP(E160,Table145678910111213141545678910111213146[[CODE]:[Email Local]],4,0)</f>
        <v>han3.00288</v>
      </c>
      <c r="H160" t="str">
        <f>VLOOKUP(E160,Table145678910111213141545678910111213146[[CODE]:[Email Local]],6,0)</f>
        <v>ok</v>
      </c>
      <c r="J160" t="s">
        <v>67</v>
      </c>
      <c r="K160" s="389">
        <v>45432</v>
      </c>
      <c r="L160" s="389"/>
      <c r="M160" s="389"/>
      <c r="N160" t="s">
        <v>937</v>
      </c>
    </row>
    <row r="161" spans="1:14" hidden="1">
      <c r="A161">
        <v>171</v>
      </c>
      <c r="B161">
        <v>15</v>
      </c>
      <c r="C161" t="s">
        <v>847</v>
      </c>
      <c r="D161" t="s">
        <v>5447</v>
      </c>
      <c r="E161" t="s">
        <v>8023</v>
      </c>
      <c r="F161" t="s">
        <v>10262</v>
      </c>
      <c r="G161" t="str">
        <f>VLOOKUP(E161,Table145678910111213141545678910111213146[[CODE]:[Email Local]],4,0)</f>
        <v>16118.hoan</v>
      </c>
      <c r="H161" t="str">
        <f>VLOOKUP(E161,Table145678910111213141545678910111213146[[CODE]:[Email Local]],6,0)</f>
        <v>ok</v>
      </c>
      <c r="J161" t="s">
        <v>67</v>
      </c>
      <c r="K161" s="389">
        <v>45771</v>
      </c>
      <c r="L161" s="389"/>
      <c r="M161" s="389"/>
      <c r="N161" t="s">
        <v>937</v>
      </c>
    </row>
    <row r="162" spans="1:14" hidden="1">
      <c r="A162">
        <v>637</v>
      </c>
      <c r="B162">
        <v>2</v>
      </c>
      <c r="C162" t="s">
        <v>882</v>
      </c>
      <c r="D162" t="s">
        <v>2266</v>
      </c>
      <c r="E162" t="s">
        <v>604</v>
      </c>
      <c r="F162" t="s">
        <v>10716</v>
      </c>
      <c r="G162" t="e">
        <f>VLOOKUP(E162,Table145678910111213141545678910111213146[[CODE]:[Email Local]],4,0)</f>
        <v>#N/A</v>
      </c>
      <c r="H162" t="e">
        <f>VLOOKUP(E162,Table145678910111213141545678910111213146[[CODE]:[Email Local]],6,0)</f>
        <v>#N/A</v>
      </c>
      <c r="J162" t="s">
        <v>67</v>
      </c>
      <c r="K162" s="389">
        <v>45435</v>
      </c>
      <c r="L162" s="389"/>
      <c r="M162" s="389"/>
      <c r="N162" t="s">
        <v>1085</v>
      </c>
    </row>
    <row r="163" spans="1:14" hidden="1">
      <c r="A163">
        <v>679</v>
      </c>
      <c r="B163">
        <v>2</v>
      </c>
      <c r="C163" t="s">
        <v>882</v>
      </c>
      <c r="D163" t="s">
        <v>4859</v>
      </c>
      <c r="E163" t="s">
        <v>637</v>
      </c>
      <c r="F163" t="s">
        <v>10756</v>
      </c>
      <c r="G163" t="str">
        <f>VLOOKUP(E163,Table145678910111213141545678910111213146[[CODE]:[Email Local]],4,0)</f>
        <v>han5.13456</v>
      </c>
      <c r="H163">
        <f>VLOOKUP(E163,Table145678910111213141545678910111213146[[CODE]:[Email Local]],6,0)</f>
        <v>0</v>
      </c>
      <c r="J163" t="s">
        <v>67</v>
      </c>
      <c r="K163" s="389">
        <v>45435</v>
      </c>
      <c r="L163" s="389"/>
      <c r="M163" s="389"/>
      <c r="N163" t="s">
        <v>1085</v>
      </c>
    </row>
    <row r="164" spans="1:14" hidden="1">
      <c r="A164">
        <v>680</v>
      </c>
      <c r="B164">
        <v>3</v>
      </c>
      <c r="C164" t="s">
        <v>882</v>
      </c>
      <c r="D164" t="s">
        <v>4477</v>
      </c>
      <c r="E164" t="s">
        <v>638</v>
      </c>
      <c r="F164" t="s">
        <v>10757</v>
      </c>
      <c r="G164" t="str">
        <f>VLOOKUP(E164,Table145678910111213141545678910111213146[[CODE]:[Email Local]],4,0)</f>
        <v>han5.11580</v>
      </c>
      <c r="H164">
        <f>VLOOKUP(E164,Table145678910111213141545678910111213146[[CODE]:[Email Local]],6,0)</f>
        <v>0</v>
      </c>
      <c r="J164" t="s">
        <v>67</v>
      </c>
      <c r="K164" s="389">
        <v>45435</v>
      </c>
      <c r="L164" s="389"/>
      <c r="M164" s="389"/>
      <c r="N164" t="s">
        <v>1085</v>
      </c>
    </row>
    <row r="165" spans="1:14" hidden="1">
      <c r="A165">
        <v>681</v>
      </c>
      <c r="B165">
        <v>4</v>
      </c>
      <c r="C165" t="s">
        <v>882</v>
      </c>
      <c r="D165" t="s">
        <v>5483</v>
      </c>
      <c r="E165" t="s">
        <v>639</v>
      </c>
      <c r="F165" t="s">
        <v>10758</v>
      </c>
      <c r="G165" t="str">
        <f>VLOOKUP(E165,Table145678910111213141545678910111213146[[CODE]:[Email Local]],4,0)</f>
        <v>han5.16268</v>
      </c>
      <c r="H165">
        <f>VLOOKUP(E165,Table145678910111213141545678910111213146[[CODE]:[Email Local]],6,0)</f>
        <v>0</v>
      </c>
      <c r="J165" t="s">
        <v>67</v>
      </c>
      <c r="K165" s="389">
        <v>45435</v>
      </c>
      <c r="L165" s="389"/>
      <c r="M165" s="389"/>
      <c r="N165" t="s">
        <v>1085</v>
      </c>
    </row>
    <row r="166" spans="1:14" hidden="1">
      <c r="A166">
        <v>682</v>
      </c>
      <c r="B166">
        <v>5</v>
      </c>
      <c r="C166" t="s">
        <v>882</v>
      </c>
      <c r="D166" t="s">
        <v>1083</v>
      </c>
      <c r="E166" t="s">
        <v>640</v>
      </c>
      <c r="F166" t="s">
        <v>10759</v>
      </c>
      <c r="G166" t="str">
        <f>VLOOKUP(E166,Table145678910111213141545678910111213146[[CODE]:[Email Local]],4,0)</f>
        <v>han5.00462</v>
      </c>
      <c r="H166">
        <f>VLOOKUP(E166,Table145678910111213141545678910111213146[[CODE]:[Email Local]],6,0)</f>
        <v>0</v>
      </c>
      <c r="J166" t="s">
        <v>67</v>
      </c>
      <c r="K166" s="389">
        <v>45435</v>
      </c>
      <c r="L166" s="389"/>
      <c r="M166" s="389"/>
      <c r="N166" t="s">
        <v>1085</v>
      </c>
    </row>
    <row r="167" spans="1:14" hidden="1">
      <c r="A167">
        <v>678</v>
      </c>
      <c r="B167">
        <v>1</v>
      </c>
      <c r="C167" t="s">
        <v>882</v>
      </c>
      <c r="D167" t="s">
        <v>9576</v>
      </c>
      <c r="E167" t="s">
        <v>636</v>
      </c>
      <c r="F167" t="s">
        <v>10755</v>
      </c>
      <c r="G167" t="str">
        <f>VLOOKUP(E167,Table145678910111213141545678910111213146[[CODE]:[Email Local]],4,0)</f>
        <v>han5.06994</v>
      </c>
      <c r="H167" t="str">
        <f>VLOOKUP(E167,Table145678910111213141545678910111213146[[CODE]:[Email Local]],6,0)</f>
        <v>ok</v>
      </c>
      <c r="J167" t="s">
        <v>67</v>
      </c>
      <c r="K167" s="389">
        <v>45435</v>
      </c>
      <c r="L167" s="389">
        <v>45806</v>
      </c>
      <c r="M167" s="389">
        <v>45806</v>
      </c>
      <c r="N167" t="e">
        <v>#N/A</v>
      </c>
    </row>
    <row r="168" spans="1:14" hidden="1">
      <c r="A168">
        <v>683</v>
      </c>
      <c r="C168" t="s">
        <v>882</v>
      </c>
      <c r="D168" t="s">
        <v>8203</v>
      </c>
      <c r="E168" t="s">
        <v>8392</v>
      </c>
      <c r="F168" t="s">
        <v>10760</v>
      </c>
      <c r="G168" t="str">
        <f>VLOOKUP(E168,Table145678910111213141545678910111213146[[CODE]:[Email Local]],4,0)</f>
        <v>25606.duc</v>
      </c>
      <c r="H168" t="str">
        <f>VLOOKUP(E168,Table145678910111213141545678910111213146[[CODE]:[Email Local]],6,0)</f>
        <v>ok</v>
      </c>
      <c r="J168" t="s">
        <v>67</v>
      </c>
      <c r="K168" s="389">
        <v>45811</v>
      </c>
      <c r="L168" s="389"/>
      <c r="M168" s="389"/>
      <c r="N168" t="s">
        <v>1085</v>
      </c>
    </row>
    <row r="169" spans="1:14" hidden="1">
      <c r="A169">
        <v>731</v>
      </c>
      <c r="B169">
        <v>1</v>
      </c>
      <c r="C169" t="s">
        <v>848</v>
      </c>
      <c r="D169" t="s">
        <v>2945</v>
      </c>
      <c r="E169" t="s">
        <v>673</v>
      </c>
      <c r="F169" t="s">
        <v>10806</v>
      </c>
      <c r="G169" t="str">
        <f>VLOOKUP(E169,Table145678910111213141545678910111213146[[CODE]:[Email Local]],4,0)</f>
        <v>han6.12804</v>
      </c>
      <c r="H169">
        <f>VLOOKUP(E169,Table145678910111213141545678910111213146[[CODE]:[Email Local]],6,0)</f>
        <v>0</v>
      </c>
      <c r="J169" t="s">
        <v>67</v>
      </c>
      <c r="K169" s="389">
        <v>45402</v>
      </c>
      <c r="L169" s="389"/>
      <c r="M169" s="389"/>
      <c r="N169" t="s">
        <v>1098</v>
      </c>
    </row>
    <row r="170" spans="1:14" hidden="1">
      <c r="A170">
        <v>732</v>
      </c>
      <c r="B170">
        <v>2</v>
      </c>
      <c r="C170" t="s">
        <v>848</v>
      </c>
      <c r="D170" t="s">
        <v>4047</v>
      </c>
      <c r="E170" t="s">
        <v>674</v>
      </c>
      <c r="F170" t="s">
        <v>10807</v>
      </c>
      <c r="G170" t="str">
        <f>VLOOKUP(E170,Table145678910111213141545678910111213146[[CODE]:[Email Local]],4,0)</f>
        <v>han6.10109</v>
      </c>
      <c r="H170">
        <f>VLOOKUP(E170,Table145678910111213141545678910111213146[[CODE]:[Email Local]],6,0)</f>
        <v>0</v>
      </c>
      <c r="J170" t="s">
        <v>67</v>
      </c>
      <c r="K170" s="389">
        <v>45402</v>
      </c>
      <c r="L170" s="389"/>
      <c r="M170" s="389"/>
      <c r="N170" t="s">
        <v>1098</v>
      </c>
    </row>
    <row r="171" spans="1:14" hidden="1">
      <c r="A171">
        <v>736</v>
      </c>
      <c r="B171">
        <v>6</v>
      </c>
      <c r="C171" t="s">
        <v>848</v>
      </c>
      <c r="D171" t="s">
        <v>2305</v>
      </c>
      <c r="E171" t="s">
        <v>7799</v>
      </c>
      <c r="F171" t="s">
        <v>10811</v>
      </c>
      <c r="G171" t="e">
        <f>VLOOKUP(E171,Table145678910111213141545678910111213146[[CODE]:[Email Local]],4,0)</f>
        <v>#N/A</v>
      </c>
      <c r="H171" t="e">
        <f>VLOOKUP(E171,Table145678910111213141545678910111213146[[CODE]:[Email Local]],6,0)</f>
        <v>#N/A</v>
      </c>
      <c r="J171" t="s">
        <v>67</v>
      </c>
      <c r="K171" s="389">
        <v>45475</v>
      </c>
      <c r="L171" s="389"/>
      <c r="M171" s="389"/>
      <c r="N171" t="s">
        <v>1098</v>
      </c>
    </row>
    <row r="172" spans="1:14" hidden="1">
      <c r="A172">
        <v>740</v>
      </c>
      <c r="B172">
        <v>10</v>
      </c>
      <c r="C172" t="s">
        <v>848</v>
      </c>
      <c r="D172" t="s">
        <v>8035</v>
      </c>
      <c r="E172" t="s">
        <v>8033</v>
      </c>
      <c r="F172" t="s">
        <v>10815</v>
      </c>
      <c r="G172" t="str">
        <f>VLOOKUP(E172,Table145678910111213141545678910111213146[[CODE]:[Email Local]],4,0)</f>
        <v>25906.hai</v>
      </c>
      <c r="H172">
        <f>VLOOKUP(E172,Table145678910111213141545678910111213146[[CODE]:[Email Local]],6,0)</f>
        <v>0</v>
      </c>
      <c r="J172" t="s">
        <v>67</v>
      </c>
      <c r="K172" s="389">
        <v>45806</v>
      </c>
      <c r="L172" s="389"/>
      <c r="M172" s="389"/>
      <c r="N172" t="s">
        <v>1098</v>
      </c>
    </row>
    <row r="173" spans="1:14" hidden="1">
      <c r="A173">
        <v>733</v>
      </c>
      <c r="B173">
        <v>3</v>
      </c>
      <c r="C173" t="s">
        <v>848</v>
      </c>
      <c r="D173" t="s">
        <v>6311</v>
      </c>
      <c r="E173" t="s">
        <v>675</v>
      </c>
      <c r="F173" t="s">
        <v>10808</v>
      </c>
      <c r="G173" t="str">
        <f>VLOOKUP(E173,Table145678910111213141545678910111213146[[CODE]:[Email Local]],4,0)</f>
        <v>han6.19546</v>
      </c>
      <c r="H173" t="str">
        <f>VLOOKUP(E173,Table145678910111213141545678910111213146[[CODE]:[Email Local]],6,0)</f>
        <v>ok</v>
      </c>
      <c r="J173" t="s">
        <v>67</v>
      </c>
      <c r="K173" s="389">
        <v>45402</v>
      </c>
      <c r="L173" s="389"/>
      <c r="M173" s="389"/>
      <c r="N173" t="s">
        <v>1098</v>
      </c>
    </row>
    <row r="174" spans="1:14" hidden="1">
      <c r="A174">
        <v>734</v>
      </c>
      <c r="B174">
        <v>4</v>
      </c>
      <c r="C174" t="s">
        <v>848</v>
      </c>
      <c r="D174" t="s">
        <v>6972</v>
      </c>
      <c r="E174" t="s">
        <v>676</v>
      </c>
      <c r="F174" t="s">
        <v>10809</v>
      </c>
      <c r="G174" t="str">
        <f>VLOOKUP(E174,Table145678910111213141545678910111213146[[CODE]:[Email Local]],4,0)</f>
        <v>han6.22077</v>
      </c>
      <c r="H174" t="str">
        <f>VLOOKUP(E174,Table145678910111213141545678910111213146[[CODE]:[Email Local]],6,0)</f>
        <v>ok</v>
      </c>
      <c r="J174" t="s">
        <v>67</v>
      </c>
      <c r="K174" s="389">
        <v>45402</v>
      </c>
      <c r="L174" s="389"/>
      <c r="M174" s="389"/>
      <c r="N174" t="s">
        <v>1098</v>
      </c>
    </row>
    <row r="175" spans="1:14" hidden="1">
      <c r="A175">
        <v>735</v>
      </c>
      <c r="B175">
        <v>5</v>
      </c>
      <c r="C175" t="s">
        <v>848</v>
      </c>
      <c r="D175" t="s">
        <v>9586</v>
      </c>
      <c r="E175" t="s">
        <v>677</v>
      </c>
      <c r="F175" t="s">
        <v>10810</v>
      </c>
      <c r="G175" t="str">
        <f>VLOOKUP(E175,Table145678910111213141545678910111213146[[CODE]:[Email Local]],4,0)</f>
        <v>han6.02257</v>
      </c>
      <c r="H175" t="str">
        <f>VLOOKUP(E175,Table145678910111213141545678910111213146[[CODE]:[Email Local]],6,0)</f>
        <v>ok</v>
      </c>
      <c r="J175" t="s">
        <v>67</v>
      </c>
      <c r="K175" s="389">
        <v>45402</v>
      </c>
      <c r="L175" s="389">
        <v>45749</v>
      </c>
      <c r="M175" s="389">
        <v>45749</v>
      </c>
      <c r="N175" t="e">
        <v>#N/A</v>
      </c>
    </row>
    <row r="176" spans="1:14" hidden="1">
      <c r="A176">
        <v>737</v>
      </c>
      <c r="B176">
        <v>7</v>
      </c>
      <c r="C176" t="s">
        <v>848</v>
      </c>
      <c r="D176" t="s">
        <v>3783</v>
      </c>
      <c r="E176" t="s">
        <v>7807</v>
      </c>
      <c r="F176" t="s">
        <v>10812</v>
      </c>
      <c r="G176" t="str">
        <f>VLOOKUP(E176,Table145678910111213141545678910111213146[[CODE]:[Email Local]],4,0)</f>
        <v>09262.hung</v>
      </c>
      <c r="H176" t="str">
        <f>VLOOKUP(E176,Table145678910111213141545678910111213146[[CODE]:[Email Local]],6,0)</f>
        <v>ok</v>
      </c>
      <c r="J176" t="s">
        <v>67</v>
      </c>
      <c r="K176" s="389">
        <v>45518</v>
      </c>
      <c r="L176" s="389">
        <v>45572</v>
      </c>
      <c r="M176" s="389">
        <v>45572</v>
      </c>
      <c r="N176" t="s">
        <v>1098</v>
      </c>
    </row>
    <row r="177" spans="1:14" hidden="1">
      <c r="A177">
        <v>738</v>
      </c>
      <c r="B177">
        <v>8</v>
      </c>
      <c r="C177" t="s">
        <v>848</v>
      </c>
      <c r="D177" t="s">
        <v>5148</v>
      </c>
      <c r="E177" t="s">
        <v>7970</v>
      </c>
      <c r="F177" t="s">
        <v>10813</v>
      </c>
      <c r="G177" t="str">
        <f>VLOOKUP(E177,Table145678910111213141545678910111213146[[CODE]:[Email Local]],4,0)</f>
        <v>25156.hai</v>
      </c>
      <c r="H177" t="str">
        <f>VLOOKUP(E177,Table145678910111213141545678910111213146[[CODE]:[Email Local]],6,0)</f>
        <v>ok</v>
      </c>
      <c r="J177" t="s">
        <v>67</v>
      </c>
      <c r="K177" s="389">
        <v>45572</v>
      </c>
      <c r="L177" s="389"/>
      <c r="M177" s="389"/>
      <c r="N177" t="s">
        <v>1098</v>
      </c>
    </row>
    <row r="178" spans="1:14" hidden="1">
      <c r="A178">
        <v>739</v>
      </c>
      <c r="B178">
        <v>9</v>
      </c>
      <c r="C178" t="s">
        <v>848</v>
      </c>
      <c r="D178" t="s">
        <v>1066</v>
      </c>
      <c r="E178" t="s">
        <v>8006</v>
      </c>
      <c r="F178" t="s">
        <v>10814</v>
      </c>
      <c r="G178" t="str">
        <f>VLOOKUP(E178,Table145678910111213141545678910111213146[[CODE]:[Email Local]],4,0)</f>
        <v>00413.sang</v>
      </c>
      <c r="H178" t="str">
        <f>VLOOKUP(E178,Table145678910111213141545678910111213146[[CODE]:[Email Local]],6,0)</f>
        <v>ok</v>
      </c>
      <c r="J178" t="s">
        <v>67</v>
      </c>
      <c r="K178" s="389">
        <v>45743</v>
      </c>
      <c r="L178" s="389"/>
      <c r="M178" s="389"/>
      <c r="N178" t="s">
        <v>1098</v>
      </c>
    </row>
    <row r="179" spans="1:14" hidden="1">
      <c r="A179">
        <v>741</v>
      </c>
      <c r="B179">
        <v>11</v>
      </c>
      <c r="C179" t="s">
        <v>848</v>
      </c>
      <c r="D179" t="s">
        <v>1334</v>
      </c>
      <c r="E179" t="s">
        <v>127</v>
      </c>
      <c r="F179" t="s">
        <v>10816</v>
      </c>
      <c r="G179" t="str">
        <f>VLOOKUP(E179,Table145678910111213141545678910111213146[[CODE]:[Email Local]],4,0)</f>
        <v>00941.trung</v>
      </c>
      <c r="H179" t="str">
        <f>VLOOKUP(E179,Table145678910111213141545678910111213146[[CODE]:[Email Local]],6,0)</f>
        <v>ok</v>
      </c>
      <c r="J179" t="s">
        <v>67</v>
      </c>
      <c r="K179" s="389">
        <v>45421</v>
      </c>
      <c r="L179" s="389"/>
      <c r="M179" s="389"/>
      <c r="N179" t="s">
        <v>1098</v>
      </c>
    </row>
    <row r="180" spans="1:14" hidden="1">
      <c r="A180">
        <v>761</v>
      </c>
      <c r="B180">
        <v>5</v>
      </c>
      <c r="C180" t="s">
        <v>848</v>
      </c>
      <c r="D180" t="s">
        <v>896</v>
      </c>
      <c r="E180" t="s">
        <v>812</v>
      </c>
      <c r="F180" t="s">
        <v>10836</v>
      </c>
      <c r="G180" t="str">
        <f>VLOOKUP(E180,Table145678910111213141545678910111213146[[CODE]:[Email Local]],4,0)</f>
        <v>00046.hoan</v>
      </c>
      <c r="H180" t="str">
        <f>VLOOKUP(E180,Table145678910111213141545678910111213146[[CODE]:[Email Local]],6,0)</f>
        <v>ok</v>
      </c>
      <c r="J180" t="s">
        <v>67</v>
      </c>
      <c r="K180" s="389">
        <v>45432</v>
      </c>
      <c r="L180" s="389"/>
      <c r="M180" s="389"/>
      <c r="N180" t="s">
        <v>1098</v>
      </c>
    </row>
    <row r="181" spans="1:14" hidden="1">
      <c r="A181">
        <v>656</v>
      </c>
      <c r="B181">
        <v>6</v>
      </c>
      <c r="C181" t="s">
        <v>7818</v>
      </c>
      <c r="D181" t="s">
        <v>994</v>
      </c>
      <c r="E181" t="s">
        <v>621</v>
      </c>
      <c r="F181" t="s">
        <v>10735</v>
      </c>
      <c r="G181" t="e">
        <f>VLOOKUP(E181,Table145678910111213141545678910111213146[[CODE]:[Email Local]],4,0)</f>
        <v>#N/A</v>
      </c>
      <c r="H181" t="e">
        <f>VLOOKUP(E181,Table145678910111213141545678910111213146[[CODE]:[Email Local]],6,0)</f>
        <v>#N/A</v>
      </c>
      <c r="J181" t="s">
        <v>67</v>
      </c>
      <c r="K181" s="389">
        <v>45435</v>
      </c>
      <c r="L181" s="389"/>
      <c r="M181" s="389"/>
      <c r="N181" t="s">
        <v>7818</v>
      </c>
    </row>
    <row r="182" spans="1:14" hidden="1">
      <c r="A182">
        <v>657</v>
      </c>
      <c r="B182">
        <v>7</v>
      </c>
      <c r="C182" t="s">
        <v>7818</v>
      </c>
      <c r="D182" t="s">
        <v>2869</v>
      </c>
      <c r="E182" t="s">
        <v>618</v>
      </c>
      <c r="F182" t="s">
        <v>10736</v>
      </c>
      <c r="G182" t="str">
        <f>VLOOKUP(E182,Table145678910111213141545678910111213146[[CODE]:[Email Local]],4,0)</f>
        <v>han4.6404</v>
      </c>
      <c r="H182">
        <f>VLOOKUP(E182,Table145678910111213141545678910111213146[[CODE]:[Email Local]],6,0)</f>
        <v>0</v>
      </c>
      <c r="J182" t="s">
        <v>67</v>
      </c>
      <c r="K182" s="389">
        <v>45435</v>
      </c>
      <c r="L182" s="389"/>
      <c r="M182" s="389"/>
      <c r="N182" t="s">
        <v>7818</v>
      </c>
    </row>
    <row r="183" spans="1:14" hidden="1">
      <c r="A183">
        <v>658</v>
      </c>
      <c r="B183">
        <v>8</v>
      </c>
      <c r="C183" t="s">
        <v>7818</v>
      </c>
      <c r="D183" t="s">
        <v>2853</v>
      </c>
      <c r="E183" t="s">
        <v>8011</v>
      </c>
      <c r="F183" t="s">
        <v>10737</v>
      </c>
      <c r="G183" t="e">
        <f>VLOOKUP(E183,Table145678910111213141545678910111213146[[CODE]:[Email Local]],4,0)</f>
        <v>#N/A</v>
      </c>
      <c r="H183" t="e">
        <f>VLOOKUP(E183,Table145678910111213141545678910111213146[[CODE]:[Email Local]],6,0)</f>
        <v>#N/A</v>
      </c>
      <c r="J183" t="s">
        <v>67</v>
      </c>
      <c r="K183" s="389">
        <v>45755</v>
      </c>
      <c r="L183" s="389"/>
      <c r="M183" s="389"/>
      <c r="N183" t="s">
        <v>7818</v>
      </c>
    </row>
    <row r="184" spans="1:14" hidden="1">
      <c r="A184">
        <v>659</v>
      </c>
      <c r="B184">
        <v>9</v>
      </c>
      <c r="C184" t="s">
        <v>7818</v>
      </c>
      <c r="D184" t="s">
        <v>986</v>
      </c>
      <c r="E184" t="s">
        <v>622</v>
      </c>
      <c r="F184" t="s">
        <v>10738</v>
      </c>
      <c r="G184" t="str">
        <f>VLOOKUP(E184,Table145678910111213141545678910111213146[[CODE]:[Email Local]],4,0)</f>
        <v>han4.0256</v>
      </c>
      <c r="H184">
        <f>VLOOKUP(E184,Table145678910111213141545678910111213146[[CODE]:[Email Local]],6,0)</f>
        <v>0</v>
      </c>
      <c r="J184" t="s">
        <v>67</v>
      </c>
      <c r="K184" s="389">
        <v>45435</v>
      </c>
      <c r="L184" s="389"/>
      <c r="M184" s="389"/>
      <c r="N184" t="s">
        <v>7818</v>
      </c>
    </row>
    <row r="185" spans="1:14" hidden="1">
      <c r="A185">
        <v>661</v>
      </c>
      <c r="C185" t="s">
        <v>7818</v>
      </c>
      <c r="D185" t="s">
        <v>1372</v>
      </c>
      <c r="E185" t="s">
        <v>8551</v>
      </c>
      <c r="F185" t="s">
        <v>8550</v>
      </c>
      <c r="G185" t="e">
        <f>VLOOKUP(E185,Table145678910111213141545678910111213146[[CODE]:[Email Local]],4,0)</f>
        <v>#N/A</v>
      </c>
      <c r="H185" t="e">
        <f>VLOOKUP(E185,Table145678910111213141545678910111213146[[CODE]:[Email Local]],6,0)</f>
        <v>#N/A</v>
      </c>
      <c r="J185" t="s">
        <v>7985</v>
      </c>
      <c r="K185" s="389">
        <v>45925</v>
      </c>
      <c r="L185" s="389"/>
      <c r="M185" s="389"/>
      <c r="N185" t="s">
        <v>7818</v>
      </c>
    </row>
    <row r="186" spans="1:14" hidden="1">
      <c r="A186">
        <v>771</v>
      </c>
      <c r="C186" t="s">
        <v>7818</v>
      </c>
      <c r="D186" t="s">
        <v>3118</v>
      </c>
      <c r="E186" t="s">
        <v>8542</v>
      </c>
      <c r="F186" t="s">
        <v>10851</v>
      </c>
      <c r="G186" t="e">
        <f>VLOOKUP(E186,Table145678910111213141545678910111213146[[CODE]:[Email Local]],4,0)</f>
        <v>#N/A</v>
      </c>
      <c r="H186" t="e">
        <f>VLOOKUP(E186,Table145678910111213141545678910111213146[[CODE]:[Email Local]],6,0)</f>
        <v>#N/A</v>
      </c>
      <c r="J186" t="s">
        <v>8541</v>
      </c>
      <c r="K186" s="389">
        <v>45889</v>
      </c>
      <c r="L186" s="389"/>
      <c r="M186" s="389"/>
      <c r="N186" t="s">
        <v>7818</v>
      </c>
    </row>
    <row r="187" spans="1:14" hidden="1">
      <c r="A187">
        <v>651</v>
      </c>
      <c r="B187">
        <v>1</v>
      </c>
      <c r="C187" t="s">
        <v>7818</v>
      </c>
      <c r="D187" t="s">
        <v>2326</v>
      </c>
      <c r="E187" t="s">
        <v>615</v>
      </c>
      <c r="F187" t="s">
        <v>10730</v>
      </c>
      <c r="G187" t="str">
        <f>VLOOKUP(E187,Table145678910111213141545678910111213146[[CODE]:[Email Local]],4,0)</f>
        <v>han4.3790</v>
      </c>
      <c r="H187" t="str">
        <f>VLOOKUP(E187,Table145678910111213141545678910111213146[[CODE]:[Email Local]],6,0)</f>
        <v>ok</v>
      </c>
      <c r="J187" t="s">
        <v>67</v>
      </c>
      <c r="K187" s="389">
        <v>45435</v>
      </c>
      <c r="L187" s="389"/>
      <c r="M187" s="389"/>
      <c r="N187" t="s">
        <v>7818</v>
      </c>
    </row>
    <row r="188" spans="1:14" hidden="1">
      <c r="A188">
        <v>652</v>
      </c>
      <c r="B188">
        <v>2</v>
      </c>
      <c r="C188" t="s">
        <v>7818</v>
      </c>
      <c r="D188" t="s">
        <v>3191</v>
      </c>
      <c r="E188" t="s">
        <v>616</v>
      </c>
      <c r="F188" t="s">
        <v>10731</v>
      </c>
      <c r="G188" t="str">
        <f>VLOOKUP(E188,Table145678910111213141545678910111213146[[CODE]:[Email Local]],4,0)</f>
        <v>han4.10979</v>
      </c>
      <c r="H188" t="str">
        <f>VLOOKUP(E188,Table145678910111213141545678910111213146[[CODE]:[Email Local]],6,0)</f>
        <v>ok</v>
      </c>
      <c r="J188" t="s">
        <v>67</v>
      </c>
      <c r="K188" s="389">
        <v>45435</v>
      </c>
      <c r="L188" s="389">
        <v>45806</v>
      </c>
      <c r="M188" s="389">
        <v>45806</v>
      </c>
      <c r="N188" t="e">
        <v>#N/A</v>
      </c>
    </row>
    <row r="189" spans="1:14" hidden="1">
      <c r="A189">
        <v>653</v>
      </c>
      <c r="B189">
        <v>3</v>
      </c>
      <c r="C189" t="s">
        <v>7818</v>
      </c>
      <c r="D189" t="s">
        <v>1466</v>
      </c>
      <c r="E189" t="s">
        <v>617</v>
      </c>
      <c r="F189" t="s">
        <v>10732</v>
      </c>
      <c r="G189" t="str">
        <f>VLOOKUP(E189,Table145678910111213141545678910111213146[[CODE]:[Email Local]],4,0)</f>
        <v>han4.1235</v>
      </c>
      <c r="H189" t="str">
        <f>VLOOKUP(E189,Table145678910111213141545678910111213146[[CODE]:[Email Local]],6,0)</f>
        <v>ok</v>
      </c>
      <c r="J189" t="s">
        <v>67</v>
      </c>
      <c r="K189" s="389">
        <v>45435</v>
      </c>
      <c r="L189" s="389"/>
      <c r="M189" s="389"/>
      <c r="N189" t="s">
        <v>7818</v>
      </c>
    </row>
    <row r="190" spans="1:14" hidden="1">
      <c r="A190">
        <v>654</v>
      </c>
      <c r="B190">
        <v>4</v>
      </c>
      <c r="C190" t="s">
        <v>7818</v>
      </c>
      <c r="D190" t="s">
        <v>2119</v>
      </c>
      <c r="E190" t="s">
        <v>619</v>
      </c>
      <c r="F190" t="s">
        <v>10733</v>
      </c>
      <c r="G190" t="str">
        <f>VLOOKUP(E190,Table145678910111213141545678910111213146[[CODE]:[Email Local]],4,0)</f>
        <v>han4.3168</v>
      </c>
      <c r="H190" t="str">
        <f>VLOOKUP(E190,Table145678910111213141545678910111213146[[CODE]:[Email Local]],6,0)</f>
        <v>ok</v>
      </c>
      <c r="J190" t="s">
        <v>67</v>
      </c>
      <c r="K190" s="389">
        <v>45435</v>
      </c>
      <c r="L190" s="389"/>
      <c r="M190" s="389"/>
      <c r="N190" t="s">
        <v>7818</v>
      </c>
    </row>
    <row r="191" spans="1:14" hidden="1">
      <c r="A191">
        <v>655</v>
      </c>
      <c r="B191">
        <v>5</v>
      </c>
      <c r="C191" t="s">
        <v>7818</v>
      </c>
      <c r="D191" t="s">
        <v>3445</v>
      </c>
      <c r="E191" t="s">
        <v>620</v>
      </c>
      <c r="F191" t="s">
        <v>10734</v>
      </c>
      <c r="G191" t="str">
        <f>VLOOKUP(E191,Table145678910111213141545678910111213146[[CODE]:[Email Local]],4,0)</f>
        <v>han4.10070</v>
      </c>
      <c r="H191" t="str">
        <f>VLOOKUP(E191,Table145678910111213141545678910111213146[[CODE]:[Email Local]],6,0)</f>
        <v>ok</v>
      </c>
      <c r="J191" t="s">
        <v>67</v>
      </c>
      <c r="K191" s="389">
        <v>45435</v>
      </c>
      <c r="L191" s="389"/>
      <c r="M191" s="389"/>
      <c r="N191" t="s">
        <v>7818</v>
      </c>
    </row>
    <row r="192" spans="1:14" hidden="1">
      <c r="A192">
        <v>660</v>
      </c>
      <c r="C192" t="s">
        <v>7818</v>
      </c>
      <c r="D192" t="s">
        <v>3008</v>
      </c>
      <c r="E192" t="s">
        <v>8385</v>
      </c>
      <c r="F192" t="s">
        <v>10739</v>
      </c>
      <c r="G192" t="str">
        <f>VLOOKUP(E192,Table145678910111213141545678910111213146[[CODE]:[Email Local]],4,0)</f>
        <v>06762.cuong</v>
      </c>
      <c r="H192" t="str">
        <f>VLOOKUP(E192,Table145678910111213141545678910111213146[[CODE]:[Email Local]],6,0)</f>
        <v>ok</v>
      </c>
      <c r="J192" t="s">
        <v>67</v>
      </c>
      <c r="K192" s="389">
        <v>45807</v>
      </c>
      <c r="L192" s="389"/>
      <c r="M192" s="389"/>
      <c r="N192" t="s">
        <v>7818</v>
      </c>
    </row>
    <row r="193" spans="1:14" hidden="1">
      <c r="A193">
        <v>684</v>
      </c>
      <c r="B193">
        <v>1</v>
      </c>
      <c r="C193" t="s">
        <v>829</v>
      </c>
      <c r="D193" t="s">
        <v>2112</v>
      </c>
      <c r="E193" t="s">
        <v>641</v>
      </c>
      <c r="F193" t="s">
        <v>10761</v>
      </c>
      <c r="G193" t="str">
        <f>VLOOKUP(E193,Table145678910111213141545678910111213146[[CODE]:[Email Local]],4,0)</f>
        <v>mis.24210</v>
      </c>
      <c r="H193">
        <f>VLOOKUP(E193,Table145678910111213141545678910111213146[[CODE]:[Email Local]],6,0)</f>
        <v>0</v>
      </c>
      <c r="J193" t="s">
        <v>642</v>
      </c>
      <c r="K193" s="389">
        <v>45404</v>
      </c>
      <c r="L193" s="389"/>
      <c r="M193" s="389"/>
      <c r="N193" t="s">
        <v>7819</v>
      </c>
    </row>
    <row r="194" spans="1:14" hidden="1">
      <c r="A194">
        <v>704</v>
      </c>
      <c r="B194">
        <v>3</v>
      </c>
      <c r="C194" t="s">
        <v>829</v>
      </c>
      <c r="D194" t="s">
        <v>7784</v>
      </c>
      <c r="E194" t="s">
        <v>7975</v>
      </c>
      <c r="F194" t="s">
        <v>10780</v>
      </c>
      <c r="G194" t="str">
        <f>VLOOKUP(E194,Table145678910111213141545678910111213146[[CODE]:[Email Local]],4,0)</f>
        <v>24918.sen</v>
      </c>
      <c r="H194">
        <f>VLOOKUP(E194,Table145678910111213141545678910111213146[[CODE]:[Email Local]],6,0)</f>
        <v>0</v>
      </c>
      <c r="J194" t="s">
        <v>642</v>
      </c>
      <c r="K194" s="389">
        <v>45486</v>
      </c>
      <c r="L194" s="389"/>
      <c r="M194" s="389"/>
      <c r="N194" t="s">
        <v>7819</v>
      </c>
    </row>
    <row r="195" spans="1:14" hidden="1">
      <c r="A195">
        <v>702</v>
      </c>
      <c r="B195">
        <v>1</v>
      </c>
      <c r="C195" t="s">
        <v>829</v>
      </c>
      <c r="D195" t="s">
        <v>1500</v>
      </c>
      <c r="E195" t="s">
        <v>646</v>
      </c>
      <c r="F195" t="s">
        <v>10778</v>
      </c>
      <c r="G195" t="str">
        <f>VLOOKUP(E195,Table145678910111213141545678910111213146[[CODE]:[Email Local]],4,0)</f>
        <v>mis.24112</v>
      </c>
      <c r="H195" t="str">
        <f>VLOOKUP(E195,Table145678910111213141545678910111213146[[CODE]:[Email Local]],6,0)</f>
        <v>ok</v>
      </c>
      <c r="J195" t="s">
        <v>642</v>
      </c>
      <c r="K195" s="389">
        <v>45404</v>
      </c>
      <c r="L195" s="389"/>
      <c r="M195" s="389"/>
      <c r="N195" t="s">
        <v>7819</v>
      </c>
    </row>
    <row r="196" spans="1:14" hidden="1">
      <c r="A196">
        <v>330</v>
      </c>
      <c r="B196">
        <v>1</v>
      </c>
      <c r="C196" t="s">
        <v>849</v>
      </c>
      <c r="D196" t="e">
        <v>#N/A</v>
      </c>
      <c r="E196" t="s">
        <v>354</v>
      </c>
      <c r="F196" s="391" t="s">
        <v>10417</v>
      </c>
      <c r="G196" t="str">
        <f>VLOOKUP(E196,Table145678910111213141545678910111213146[[CODE]:[Email Local]],4,0)</f>
        <v>kf.19409</v>
      </c>
      <c r="H196">
        <f>VLOOKUP(E196,Table145678910111213141545678910111213146[[CODE]:[Email Local]],6,0)</f>
        <v>0</v>
      </c>
      <c r="J196" t="s">
        <v>67</v>
      </c>
      <c r="K196" s="389">
        <v>45440</v>
      </c>
      <c r="L196" s="389">
        <v>45806</v>
      </c>
      <c r="M196" s="389">
        <v>45806</v>
      </c>
      <c r="N196" t="e">
        <v>#N/A</v>
      </c>
    </row>
    <row r="197" spans="1:14" hidden="1">
      <c r="A197">
        <v>331</v>
      </c>
      <c r="B197">
        <v>2</v>
      </c>
      <c r="C197" t="s">
        <v>849</v>
      </c>
      <c r="D197" t="s">
        <v>5337</v>
      </c>
      <c r="E197" t="s">
        <v>355</v>
      </c>
      <c r="F197" t="s">
        <v>10418</v>
      </c>
      <c r="G197" t="str">
        <f>VLOOKUP(E197,Table145678910111213141545678910111213146[[CODE]:[Email Local]],4,0)</f>
        <v>kf.15626</v>
      </c>
      <c r="H197">
        <f>VLOOKUP(E197,Table145678910111213141545678910111213146[[CODE]:[Email Local]],6,0)</f>
        <v>0</v>
      </c>
      <c r="J197" t="s">
        <v>67</v>
      </c>
      <c r="K197" s="389">
        <v>45440</v>
      </c>
      <c r="L197" s="389"/>
      <c r="M197" s="389"/>
      <c r="N197" t="s">
        <v>1004</v>
      </c>
    </row>
    <row r="198" spans="1:14" hidden="1">
      <c r="A198">
        <v>332</v>
      </c>
      <c r="B198">
        <v>3</v>
      </c>
      <c r="C198" t="s">
        <v>849</v>
      </c>
      <c r="D198" t="s">
        <v>4736</v>
      </c>
      <c r="E198" t="s">
        <v>356</v>
      </c>
      <c r="F198" t="s">
        <v>10419</v>
      </c>
      <c r="G198" t="str">
        <f>VLOOKUP(E198,Table145678910111213141545678910111213146[[CODE]:[Email Local]],4,0)</f>
        <v>kf.12760</v>
      </c>
      <c r="H198">
        <f>VLOOKUP(E198,Table145678910111213141545678910111213146[[CODE]:[Email Local]],6,0)</f>
        <v>0</v>
      </c>
      <c r="J198" t="s">
        <v>67</v>
      </c>
      <c r="K198" s="389">
        <v>45440</v>
      </c>
      <c r="L198" s="389"/>
      <c r="M198" s="389"/>
      <c r="N198" t="s">
        <v>1004</v>
      </c>
    </row>
    <row r="199" spans="1:14" hidden="1">
      <c r="A199">
        <v>333</v>
      </c>
      <c r="B199">
        <v>4</v>
      </c>
      <c r="C199" t="s">
        <v>849</v>
      </c>
      <c r="D199" t="s">
        <v>4526</v>
      </c>
      <c r="E199" t="s">
        <v>357</v>
      </c>
      <c r="F199" t="s">
        <v>10420</v>
      </c>
      <c r="G199" t="str">
        <f>VLOOKUP(E199,Table145678910111213141545678910111213146[[CODE]:[Email Local]],4,0)</f>
        <v>kf.11725</v>
      </c>
      <c r="H199">
        <f>VLOOKUP(E199,Table145678910111213141545678910111213146[[CODE]:[Email Local]],6,0)</f>
        <v>0</v>
      </c>
      <c r="J199" t="s">
        <v>67</v>
      </c>
      <c r="K199" s="389">
        <v>45440</v>
      </c>
      <c r="L199" s="389"/>
      <c r="M199" s="389"/>
      <c r="N199" t="s">
        <v>1004</v>
      </c>
    </row>
    <row r="200" spans="1:14" hidden="1">
      <c r="A200">
        <v>334</v>
      </c>
      <c r="B200">
        <v>5</v>
      </c>
      <c r="C200" t="s">
        <v>849</v>
      </c>
      <c r="D200" t="s">
        <v>4366</v>
      </c>
      <c r="E200" t="s">
        <v>358</v>
      </c>
      <c r="F200" t="s">
        <v>10421</v>
      </c>
      <c r="G200" t="str">
        <f>VLOOKUP(E200,Table145678910111213141545678910111213146[[CODE]:[Email Local]],4,0)</f>
        <v>kf.11132</v>
      </c>
      <c r="H200">
        <f>VLOOKUP(E200,Table145678910111213141545678910111213146[[CODE]:[Email Local]],6,0)</f>
        <v>0</v>
      </c>
      <c r="J200" t="s">
        <v>67</v>
      </c>
      <c r="K200" s="389">
        <v>45440</v>
      </c>
      <c r="L200" s="389"/>
      <c r="M200" s="389"/>
      <c r="N200" t="s">
        <v>1004</v>
      </c>
    </row>
    <row r="201" spans="1:14" hidden="1">
      <c r="A201">
        <v>336</v>
      </c>
      <c r="B201">
        <v>7</v>
      </c>
      <c r="C201" t="s">
        <v>849</v>
      </c>
      <c r="D201" t="s">
        <v>4523</v>
      </c>
      <c r="E201" t="s">
        <v>360</v>
      </c>
      <c r="F201" t="s">
        <v>10423</v>
      </c>
      <c r="G201" t="str">
        <f>VLOOKUP(E201,Table145678910111213141545678910111213146[[CODE]:[Email Local]],4,0)</f>
        <v>kf.11723</v>
      </c>
      <c r="H201">
        <f>VLOOKUP(E201,Table145678910111213141545678910111213146[[CODE]:[Email Local]],6,0)</f>
        <v>0</v>
      </c>
      <c r="J201" t="s">
        <v>67</v>
      </c>
      <c r="K201" s="389">
        <v>45440</v>
      </c>
      <c r="L201" s="389"/>
      <c r="M201" s="389"/>
      <c r="N201" t="s">
        <v>1004</v>
      </c>
    </row>
    <row r="202" spans="1:14" hidden="1">
      <c r="A202">
        <v>337</v>
      </c>
      <c r="B202">
        <v>8</v>
      </c>
      <c r="C202" t="s">
        <v>849</v>
      </c>
      <c r="D202" t="s">
        <v>1002</v>
      </c>
      <c r="E202" t="s">
        <v>361</v>
      </c>
      <c r="F202" t="s">
        <v>10424</v>
      </c>
      <c r="G202" t="str">
        <f>VLOOKUP(E202,Table145678910111213141545678910111213146[[CODE]:[Email Local]],4,0)</f>
        <v>kf.00285</v>
      </c>
      <c r="H202">
        <f>VLOOKUP(E202,Table145678910111213141545678910111213146[[CODE]:[Email Local]],6,0)</f>
        <v>0</v>
      </c>
      <c r="J202" t="s">
        <v>67</v>
      </c>
      <c r="K202" s="389">
        <v>45440</v>
      </c>
      <c r="L202" s="389"/>
      <c r="M202" s="389"/>
      <c r="N202" t="s">
        <v>1004</v>
      </c>
    </row>
    <row r="203" spans="1:14" hidden="1">
      <c r="A203">
        <v>338</v>
      </c>
      <c r="B203">
        <v>9</v>
      </c>
      <c r="C203" t="s">
        <v>849</v>
      </c>
      <c r="D203" t="e">
        <v>#N/A</v>
      </c>
      <c r="E203" t="s">
        <v>362</v>
      </c>
      <c r="F203" t="s">
        <v>10425</v>
      </c>
      <c r="G203" t="str">
        <f>VLOOKUP(E203,Table145678910111213141545678910111213146[[CODE]:[Email Local]],4,0)</f>
        <v>kf.3798</v>
      </c>
      <c r="H203">
        <f>VLOOKUP(E203,Table145678910111213141545678910111213146[[CODE]:[Email Local]],6,0)</f>
        <v>0</v>
      </c>
      <c r="J203" t="s">
        <v>67</v>
      </c>
      <c r="K203" s="389">
        <v>45440</v>
      </c>
      <c r="L203" s="389"/>
      <c r="M203" s="389"/>
      <c r="N203" t="s">
        <v>1004</v>
      </c>
    </row>
    <row r="204" spans="1:14" hidden="1">
      <c r="A204">
        <v>340</v>
      </c>
      <c r="B204">
        <v>11</v>
      </c>
      <c r="C204" t="s">
        <v>849</v>
      </c>
      <c r="D204" t="e">
        <v>#N/A</v>
      </c>
      <c r="E204" t="s">
        <v>364</v>
      </c>
      <c r="F204" t="s">
        <v>10427</v>
      </c>
      <c r="G204" t="str">
        <f>VLOOKUP(E204,Table145678910111213141545678910111213146[[CODE]:[Email Local]],4,0)</f>
        <v>kf.18143</v>
      </c>
      <c r="H204">
        <f>VLOOKUP(E204,Table145678910111213141545678910111213146[[CODE]:[Email Local]],6,0)</f>
        <v>0</v>
      </c>
      <c r="J204" t="s">
        <v>67</v>
      </c>
      <c r="K204" s="389">
        <v>45440</v>
      </c>
      <c r="L204" s="389"/>
      <c r="M204" s="389"/>
      <c r="N204" t="s">
        <v>1004</v>
      </c>
    </row>
    <row r="205" spans="1:14" hidden="1">
      <c r="A205">
        <v>341</v>
      </c>
      <c r="B205">
        <v>12</v>
      </c>
      <c r="C205" t="s">
        <v>849</v>
      </c>
      <c r="D205" t="s">
        <v>2242</v>
      </c>
      <c r="E205" t="s">
        <v>365</v>
      </c>
      <c r="F205" t="s">
        <v>10428</v>
      </c>
      <c r="G205" t="str">
        <f>VLOOKUP(E205,Table145678910111213141545678910111213146[[CODE]:[Email Local]],4,0)</f>
        <v>kf.3487</v>
      </c>
      <c r="H205">
        <f>VLOOKUP(E205,Table145678910111213141545678910111213146[[CODE]:[Email Local]],6,0)</f>
        <v>0</v>
      </c>
      <c r="J205" t="s">
        <v>67</v>
      </c>
      <c r="K205" s="389">
        <v>45440</v>
      </c>
      <c r="L205" s="389"/>
      <c r="M205" s="389"/>
      <c r="N205" t="s">
        <v>1004</v>
      </c>
    </row>
    <row r="206" spans="1:14" hidden="1">
      <c r="A206">
        <v>342</v>
      </c>
      <c r="B206">
        <v>13</v>
      </c>
      <c r="C206" t="s">
        <v>849</v>
      </c>
      <c r="D206" t="e">
        <v>#N/A</v>
      </c>
      <c r="E206" t="s">
        <v>366</v>
      </c>
      <c r="F206" t="s">
        <v>10429</v>
      </c>
      <c r="G206" t="str">
        <f>VLOOKUP(E206,Table145678910111213141545678910111213146[[CODE]:[Email Local]],4,0)</f>
        <v>kf.17912</v>
      </c>
      <c r="H206">
        <f>VLOOKUP(E206,Table145678910111213141545678910111213146[[CODE]:[Email Local]],6,0)</f>
        <v>0</v>
      </c>
      <c r="J206" t="s">
        <v>67</v>
      </c>
      <c r="K206" s="389">
        <v>45440</v>
      </c>
      <c r="L206" s="389"/>
      <c r="M206" s="389"/>
      <c r="N206" t="s">
        <v>1004</v>
      </c>
    </row>
    <row r="207" spans="1:14" hidden="1">
      <c r="A207">
        <v>343</v>
      </c>
      <c r="B207">
        <v>14</v>
      </c>
      <c r="C207" t="s">
        <v>849</v>
      </c>
      <c r="D207" t="e">
        <v>#N/A</v>
      </c>
      <c r="E207" t="s">
        <v>367</v>
      </c>
      <c r="F207" t="s">
        <v>10430</v>
      </c>
      <c r="G207" t="e">
        <f>VLOOKUP(E207,Table145678910111213141545678910111213146[[CODE]:[Email Local]],4,0)</f>
        <v>#N/A</v>
      </c>
      <c r="H207" t="e">
        <f>VLOOKUP(E207,Table145678910111213141545678910111213146[[CODE]:[Email Local]],6,0)</f>
        <v>#N/A</v>
      </c>
      <c r="J207" t="s">
        <v>67</v>
      </c>
      <c r="K207" s="389">
        <v>45440</v>
      </c>
      <c r="L207" s="389">
        <v>45806</v>
      </c>
      <c r="M207" s="389"/>
      <c r="N207" t="e">
        <v>#N/A</v>
      </c>
    </row>
    <row r="208" spans="1:14" hidden="1">
      <c r="A208">
        <v>344</v>
      </c>
      <c r="B208">
        <v>15</v>
      </c>
      <c r="C208" t="s">
        <v>849</v>
      </c>
      <c r="D208" t="s">
        <v>2565</v>
      </c>
      <c r="E208" t="s">
        <v>368</v>
      </c>
      <c r="F208" t="s">
        <v>10431</v>
      </c>
      <c r="G208" t="str">
        <f>VLOOKUP(E208,Table145678910111213141545678910111213146[[CODE]:[Email Local]],4,0)</f>
        <v>kf.4751</v>
      </c>
      <c r="H208">
        <f>VLOOKUP(E208,Table145678910111213141545678910111213146[[CODE]:[Email Local]],6,0)</f>
        <v>0</v>
      </c>
      <c r="J208" t="s">
        <v>67</v>
      </c>
      <c r="K208" s="389">
        <v>45440</v>
      </c>
      <c r="L208" s="389"/>
      <c r="M208" s="389"/>
      <c r="N208" t="s">
        <v>1004</v>
      </c>
    </row>
    <row r="209" spans="1:14" hidden="1">
      <c r="A209">
        <v>345</v>
      </c>
      <c r="B209">
        <v>16</v>
      </c>
      <c r="C209" t="s">
        <v>849</v>
      </c>
      <c r="D209" t="s">
        <v>3896</v>
      </c>
      <c r="E209" t="s">
        <v>369</v>
      </c>
      <c r="F209" t="s">
        <v>10432</v>
      </c>
      <c r="G209" t="str">
        <f>VLOOKUP(E209,Table145678910111213141545678910111213146[[CODE]:[Email Local]],4,0)</f>
        <v>kf.9587</v>
      </c>
      <c r="H209">
        <f>VLOOKUP(E209,Table145678910111213141545678910111213146[[CODE]:[Email Local]],6,0)</f>
        <v>0</v>
      </c>
      <c r="J209" t="s">
        <v>67</v>
      </c>
      <c r="K209" s="389">
        <v>45440</v>
      </c>
      <c r="L209" s="389"/>
      <c r="M209" s="389"/>
      <c r="N209" t="s">
        <v>1004</v>
      </c>
    </row>
    <row r="210" spans="1:14" hidden="1">
      <c r="A210">
        <v>346</v>
      </c>
      <c r="B210">
        <v>17</v>
      </c>
      <c r="C210" t="s">
        <v>849</v>
      </c>
      <c r="D210" t="e">
        <v>#N/A</v>
      </c>
      <c r="E210" t="s">
        <v>370</v>
      </c>
      <c r="F210" t="s">
        <v>10433</v>
      </c>
      <c r="G210" t="str">
        <f>VLOOKUP(E210,Table145678910111213141545678910111213146[[CODE]:[Email Local]],4,0)</f>
        <v>kf.12582</v>
      </c>
      <c r="H210">
        <f>VLOOKUP(E210,Table145678910111213141545678910111213146[[CODE]:[Email Local]],6,0)</f>
        <v>0</v>
      </c>
      <c r="J210" t="s">
        <v>67</v>
      </c>
      <c r="K210" s="389">
        <v>45440</v>
      </c>
      <c r="L210" s="389"/>
      <c r="M210" s="389"/>
      <c r="N210" t="s">
        <v>1004</v>
      </c>
    </row>
    <row r="211" spans="1:14" hidden="1">
      <c r="A211">
        <v>347</v>
      </c>
      <c r="B211">
        <v>18</v>
      </c>
      <c r="C211" t="s">
        <v>849</v>
      </c>
      <c r="D211" t="s">
        <v>3173</v>
      </c>
      <c r="E211" t="s">
        <v>371</v>
      </c>
      <c r="F211" t="s">
        <v>10434</v>
      </c>
      <c r="G211" t="str">
        <f>VLOOKUP(E211,Table145678910111213141545678910111213146[[CODE]:[Email Local]],4,0)</f>
        <v>kf.7179</v>
      </c>
      <c r="H211">
        <f>VLOOKUP(E211,Table145678910111213141545678910111213146[[CODE]:[Email Local]],6,0)</f>
        <v>0</v>
      </c>
      <c r="J211" t="s">
        <v>67</v>
      </c>
      <c r="K211" s="389">
        <v>45440</v>
      </c>
      <c r="L211" s="389"/>
      <c r="M211" s="389"/>
      <c r="N211" t="s">
        <v>1004</v>
      </c>
    </row>
    <row r="212" spans="1:14" hidden="1">
      <c r="A212">
        <v>349</v>
      </c>
      <c r="B212">
        <v>20</v>
      </c>
      <c r="C212" t="s">
        <v>849</v>
      </c>
      <c r="D212" t="s">
        <v>5845</v>
      </c>
      <c r="E212" t="s">
        <v>373</v>
      </c>
      <c r="F212" t="s">
        <v>10436</v>
      </c>
      <c r="G212" t="str">
        <f>VLOOKUP(E212,Table145678910111213141545678910111213146[[CODE]:[Email Local]],4,0)</f>
        <v>kf.17794</v>
      </c>
      <c r="H212">
        <f>VLOOKUP(E212,Table145678910111213141545678910111213146[[CODE]:[Email Local]],6,0)</f>
        <v>0</v>
      </c>
      <c r="J212" t="s">
        <v>67</v>
      </c>
      <c r="K212" s="389">
        <v>45440</v>
      </c>
      <c r="L212" s="389"/>
      <c r="M212" s="389"/>
      <c r="N212" t="s">
        <v>1004</v>
      </c>
    </row>
    <row r="213" spans="1:14" hidden="1">
      <c r="A213">
        <v>350</v>
      </c>
      <c r="B213">
        <v>21</v>
      </c>
      <c r="C213" t="s">
        <v>849</v>
      </c>
      <c r="D213" t="s">
        <v>4300</v>
      </c>
      <c r="E213" t="s">
        <v>374</v>
      </c>
      <c r="F213" t="s">
        <v>10437</v>
      </c>
      <c r="G213" t="str">
        <f>VLOOKUP(E213,Table145678910111213141545678910111213146[[CODE]:[Email Local]],4,0)</f>
        <v>kf.10864</v>
      </c>
      <c r="H213">
        <f>VLOOKUP(E213,Table145678910111213141545678910111213146[[CODE]:[Email Local]],6,0)</f>
        <v>0</v>
      </c>
      <c r="J213" t="s">
        <v>67</v>
      </c>
      <c r="K213" s="389">
        <v>45440</v>
      </c>
      <c r="L213" s="389"/>
      <c r="M213" s="389"/>
      <c r="N213" t="s">
        <v>1004</v>
      </c>
    </row>
    <row r="214" spans="1:14" hidden="1">
      <c r="A214">
        <v>351</v>
      </c>
      <c r="B214">
        <v>22</v>
      </c>
      <c r="C214" t="s">
        <v>849</v>
      </c>
      <c r="D214" t="s">
        <v>2401</v>
      </c>
      <c r="E214" t="s">
        <v>375</v>
      </c>
      <c r="F214" t="s">
        <v>10438</v>
      </c>
      <c r="G214" t="str">
        <f>VLOOKUP(E214,Table145678910111213141545678910111213146[[CODE]:[Email Local]],4,0)</f>
        <v>kf.8232</v>
      </c>
      <c r="H214">
        <f>VLOOKUP(E214,Table145678910111213141545678910111213146[[CODE]:[Email Local]],6,0)</f>
        <v>0</v>
      </c>
      <c r="J214" t="s">
        <v>67</v>
      </c>
      <c r="K214" s="389">
        <v>45440</v>
      </c>
      <c r="L214" s="389"/>
      <c r="M214" s="389"/>
      <c r="N214" t="s">
        <v>1004</v>
      </c>
    </row>
    <row r="215" spans="1:14" hidden="1">
      <c r="A215">
        <v>352</v>
      </c>
      <c r="B215">
        <v>23</v>
      </c>
      <c r="C215" t="s">
        <v>849</v>
      </c>
      <c r="D215" t="s">
        <v>5769</v>
      </c>
      <c r="E215" t="s">
        <v>376</v>
      </c>
      <c r="F215" t="s">
        <v>10439</v>
      </c>
      <c r="G215" t="str">
        <f>VLOOKUP(E215,Table145678910111213141545678910111213146[[CODE]:[Email Local]],4,0)</f>
        <v>kf.17589</v>
      </c>
      <c r="H215">
        <f>VLOOKUP(E215,Table145678910111213141545678910111213146[[CODE]:[Email Local]],6,0)</f>
        <v>0</v>
      </c>
      <c r="J215" t="s">
        <v>67</v>
      </c>
      <c r="K215" s="389">
        <v>45440</v>
      </c>
      <c r="L215" s="389"/>
      <c r="M215" s="389"/>
      <c r="N215" t="s">
        <v>1004</v>
      </c>
    </row>
    <row r="216" spans="1:14" hidden="1">
      <c r="A216">
        <v>353</v>
      </c>
      <c r="B216">
        <v>24</v>
      </c>
      <c r="C216" t="s">
        <v>849</v>
      </c>
      <c r="D216" t="s">
        <v>5335</v>
      </c>
      <c r="E216" t="s">
        <v>377</v>
      </c>
      <c r="F216" t="s">
        <v>10440</v>
      </c>
      <c r="G216" t="str">
        <f>VLOOKUP(E216,Table145678910111213141545678910111213146[[CODE]:[Email Local]],4,0)</f>
        <v>kf.15625</v>
      </c>
      <c r="H216">
        <f>VLOOKUP(E216,Table145678910111213141545678910111213146[[CODE]:[Email Local]],6,0)</f>
        <v>0</v>
      </c>
      <c r="J216" t="s">
        <v>67</v>
      </c>
      <c r="K216" s="389">
        <v>45440</v>
      </c>
      <c r="L216" s="389"/>
      <c r="M216" s="389"/>
      <c r="N216" t="s">
        <v>1004</v>
      </c>
    </row>
    <row r="217" spans="1:14" hidden="1">
      <c r="A217">
        <v>354</v>
      </c>
      <c r="B217">
        <v>25</v>
      </c>
      <c r="C217" t="s">
        <v>849</v>
      </c>
      <c r="D217" t="s">
        <v>4028</v>
      </c>
      <c r="E217" t="s">
        <v>378</v>
      </c>
      <c r="F217" t="s">
        <v>10441</v>
      </c>
      <c r="G217" t="str">
        <f>VLOOKUP(E217,Table145678910111213141545678910111213146[[CODE]:[Email Local]],4,0)</f>
        <v>kf.13165</v>
      </c>
      <c r="H217">
        <f>VLOOKUP(E217,Table145678910111213141545678910111213146[[CODE]:[Email Local]],6,0)</f>
        <v>0</v>
      </c>
      <c r="J217" t="s">
        <v>67</v>
      </c>
      <c r="K217" s="389">
        <v>45440</v>
      </c>
      <c r="L217" s="389"/>
      <c r="M217" s="389"/>
      <c r="N217" t="s">
        <v>1004</v>
      </c>
    </row>
    <row r="218" spans="1:14" hidden="1">
      <c r="A218">
        <v>355</v>
      </c>
      <c r="B218">
        <v>26</v>
      </c>
      <c r="C218" t="s">
        <v>849</v>
      </c>
      <c r="D218" t="s">
        <v>3894</v>
      </c>
      <c r="E218" t="s">
        <v>379</v>
      </c>
      <c r="F218" t="s">
        <v>10442</v>
      </c>
      <c r="G218" t="str">
        <f>VLOOKUP(E218,Table145678910111213141545678910111213146[[CODE]:[Email Local]],4,0)</f>
        <v>kf.9586</v>
      </c>
      <c r="H218">
        <f>VLOOKUP(E218,Table145678910111213141545678910111213146[[CODE]:[Email Local]],6,0)</f>
        <v>0</v>
      </c>
      <c r="J218" t="s">
        <v>67</v>
      </c>
      <c r="K218" s="389">
        <v>45440</v>
      </c>
      <c r="L218" s="389"/>
      <c r="M218" s="389"/>
      <c r="N218" t="s">
        <v>1004</v>
      </c>
    </row>
    <row r="219" spans="1:14" hidden="1">
      <c r="A219">
        <v>356</v>
      </c>
      <c r="B219">
        <v>27</v>
      </c>
      <c r="C219" t="s">
        <v>849</v>
      </c>
      <c r="D219" t="s">
        <v>1729</v>
      </c>
      <c r="E219" t="s">
        <v>380</v>
      </c>
      <c r="F219" t="s">
        <v>10443</v>
      </c>
      <c r="G219" t="str">
        <f>VLOOKUP(E219,Table145678910111213141545678910111213146[[CODE]:[Email Local]],4,0)</f>
        <v>kf.17573</v>
      </c>
      <c r="H219">
        <f>VLOOKUP(E219,Table145678910111213141545678910111213146[[CODE]:[Email Local]],6,0)</f>
        <v>0</v>
      </c>
      <c r="J219" t="s">
        <v>67</v>
      </c>
      <c r="K219" s="389">
        <v>45440</v>
      </c>
      <c r="L219" s="389"/>
      <c r="M219" s="389"/>
      <c r="N219" t="s">
        <v>1004</v>
      </c>
    </row>
    <row r="220" spans="1:14" hidden="1">
      <c r="A220">
        <v>357</v>
      </c>
      <c r="B220">
        <v>28</v>
      </c>
      <c r="C220" t="s">
        <v>849</v>
      </c>
      <c r="D220" t="s">
        <v>5427</v>
      </c>
      <c r="E220" t="s">
        <v>381</v>
      </c>
      <c r="F220" t="s">
        <v>10444</v>
      </c>
      <c r="G220" t="str">
        <f>VLOOKUP(E220,Table145678910111213141545678910111213146[[CODE]:[Email Local]],4,0)</f>
        <v>kf.16002</v>
      </c>
      <c r="H220">
        <f>VLOOKUP(E220,Table145678910111213141545678910111213146[[CODE]:[Email Local]],6,0)</f>
        <v>0</v>
      </c>
      <c r="J220" t="s">
        <v>67</v>
      </c>
      <c r="K220" s="389">
        <v>45440</v>
      </c>
      <c r="L220" s="389"/>
      <c r="M220" s="389"/>
      <c r="N220" t="s">
        <v>1004</v>
      </c>
    </row>
    <row r="221" spans="1:14" hidden="1">
      <c r="A221">
        <v>358</v>
      </c>
      <c r="B221">
        <v>29</v>
      </c>
      <c r="C221" t="s">
        <v>849</v>
      </c>
      <c r="D221" t="s">
        <v>4267</v>
      </c>
      <c r="E221" t="s">
        <v>382</v>
      </c>
      <c r="F221" t="s">
        <v>10445</v>
      </c>
      <c r="G221" t="str">
        <f>VLOOKUP(E221,Table145678910111213141545678910111213146[[CODE]:[Email Local]],4,0)</f>
        <v>kf.10785</v>
      </c>
      <c r="H221">
        <f>VLOOKUP(E221,Table145678910111213141545678910111213146[[CODE]:[Email Local]],6,0)</f>
        <v>0</v>
      </c>
      <c r="J221" t="s">
        <v>67</v>
      </c>
      <c r="K221" s="389">
        <v>45440</v>
      </c>
      <c r="L221" s="389"/>
      <c r="M221" s="389"/>
      <c r="N221" t="s">
        <v>1004</v>
      </c>
    </row>
    <row r="222" spans="1:14" hidden="1">
      <c r="A222">
        <v>360</v>
      </c>
      <c r="B222">
        <v>31</v>
      </c>
      <c r="C222" t="s">
        <v>849</v>
      </c>
      <c r="D222" t="s">
        <v>4715</v>
      </c>
      <c r="E222" t="s">
        <v>384</v>
      </c>
      <c r="F222" t="s">
        <v>10447</v>
      </c>
      <c r="G222" t="str">
        <f>VLOOKUP(E222,Table145678910111213141545678910111213146[[CODE]:[Email Local]],4,0)</f>
        <v>kf.12584</v>
      </c>
      <c r="H222">
        <f>VLOOKUP(E222,Table145678910111213141545678910111213146[[CODE]:[Email Local]],6,0)</f>
        <v>0</v>
      </c>
      <c r="J222" t="s">
        <v>67</v>
      </c>
      <c r="K222" s="389">
        <v>45440</v>
      </c>
      <c r="L222" s="389"/>
      <c r="M222" s="389"/>
      <c r="N222" t="s">
        <v>1004</v>
      </c>
    </row>
    <row r="223" spans="1:14" hidden="1">
      <c r="A223">
        <v>361</v>
      </c>
      <c r="B223">
        <v>32</v>
      </c>
      <c r="C223" t="s">
        <v>849</v>
      </c>
      <c r="D223" t="e">
        <v>#N/A</v>
      </c>
      <c r="E223" t="s">
        <v>385</v>
      </c>
      <c r="F223" t="s">
        <v>10448</v>
      </c>
      <c r="G223" t="str">
        <f>VLOOKUP(E223,Table145678910111213141545678910111213146[[CODE]:[Email Local]],4,0)</f>
        <v>17886.luc</v>
      </c>
      <c r="H223">
        <f>VLOOKUP(E223,Table145678910111213141545678910111213146[[CODE]:[Email Local]],6,0)</f>
        <v>0</v>
      </c>
      <c r="J223" t="s">
        <v>67</v>
      </c>
      <c r="K223" s="389">
        <v>45440</v>
      </c>
      <c r="L223" s="389"/>
      <c r="M223" s="389"/>
      <c r="N223" t="s">
        <v>1004</v>
      </c>
    </row>
    <row r="224" spans="1:14" hidden="1">
      <c r="A224">
        <v>362</v>
      </c>
      <c r="B224">
        <v>33</v>
      </c>
      <c r="C224" t="s">
        <v>849</v>
      </c>
      <c r="D224" t="e">
        <v>#N/A</v>
      </c>
      <c r="E224" t="s">
        <v>386</v>
      </c>
      <c r="F224" t="s">
        <v>10449</v>
      </c>
      <c r="G224" t="str">
        <f>VLOOKUP(E224,Table145678910111213141545678910111213146[[CODE]:[Email Local]],4,0)</f>
        <v>kf.12580</v>
      </c>
      <c r="H224">
        <f>VLOOKUP(E224,Table145678910111213141545678910111213146[[CODE]:[Email Local]],6,0)</f>
        <v>0</v>
      </c>
      <c r="J224" t="s">
        <v>67</v>
      </c>
      <c r="K224" s="389">
        <v>45440</v>
      </c>
      <c r="L224" s="389"/>
      <c r="M224" s="389"/>
      <c r="N224" t="s">
        <v>1004</v>
      </c>
    </row>
    <row r="225" spans="1:14" hidden="1">
      <c r="A225">
        <v>363</v>
      </c>
      <c r="B225">
        <v>34</v>
      </c>
      <c r="C225" t="s">
        <v>849</v>
      </c>
      <c r="D225" t="s">
        <v>4304</v>
      </c>
      <c r="E225" t="s">
        <v>387</v>
      </c>
      <c r="F225" t="s">
        <v>10450</v>
      </c>
      <c r="G225" t="str">
        <f>VLOOKUP(E225,Table145678910111213141545678910111213146[[CODE]:[Email Local]],4,0)</f>
        <v>kf.10879</v>
      </c>
      <c r="H225">
        <f>VLOOKUP(E225,Table145678910111213141545678910111213146[[CODE]:[Email Local]],6,0)</f>
        <v>0</v>
      </c>
      <c r="J225" t="s">
        <v>67</v>
      </c>
      <c r="K225" s="389">
        <v>45440</v>
      </c>
      <c r="L225" s="389"/>
      <c r="M225" s="389"/>
      <c r="N225" t="s">
        <v>1004</v>
      </c>
    </row>
    <row r="226" spans="1:14" hidden="1">
      <c r="A226">
        <v>364</v>
      </c>
      <c r="B226">
        <v>35</v>
      </c>
      <c r="C226" t="s">
        <v>849</v>
      </c>
      <c r="D226" t="e">
        <v>#N/A</v>
      </c>
      <c r="E226" t="s">
        <v>388</v>
      </c>
      <c r="F226" t="s">
        <v>10451</v>
      </c>
      <c r="G226" t="str">
        <f>VLOOKUP(E226,Table145678910111213141545678910111213146[[CODE]:[Email Local]],4,0)</f>
        <v>kf.16290</v>
      </c>
      <c r="H226">
        <f>VLOOKUP(E226,Table145678910111213141545678910111213146[[CODE]:[Email Local]],6,0)</f>
        <v>0</v>
      </c>
      <c r="J226" t="s">
        <v>67</v>
      </c>
      <c r="K226" s="389">
        <v>45440</v>
      </c>
      <c r="L226" s="389"/>
      <c r="M226" s="389"/>
      <c r="N226" t="s">
        <v>1004</v>
      </c>
    </row>
    <row r="227" spans="1:14" hidden="1">
      <c r="A227">
        <v>365</v>
      </c>
      <c r="B227">
        <v>36</v>
      </c>
      <c r="C227" t="s">
        <v>849</v>
      </c>
      <c r="D227" t="e">
        <v>#N/A</v>
      </c>
      <c r="E227" t="s">
        <v>389</v>
      </c>
      <c r="F227" t="s">
        <v>10452</v>
      </c>
      <c r="G227" t="str">
        <f>VLOOKUP(E227,Table145678910111213141545678910111213146[[CODE]:[Email Local]],4,0)</f>
        <v>kf.15629</v>
      </c>
      <c r="H227">
        <f>VLOOKUP(E227,Table145678910111213141545678910111213146[[CODE]:[Email Local]],6,0)</f>
        <v>0</v>
      </c>
      <c r="J227" t="s">
        <v>67</v>
      </c>
      <c r="K227" s="389">
        <v>45440</v>
      </c>
      <c r="L227" s="389"/>
      <c r="M227" s="389"/>
      <c r="N227" t="s">
        <v>1004</v>
      </c>
    </row>
    <row r="228" spans="1:14" hidden="1">
      <c r="A228">
        <v>366</v>
      </c>
      <c r="B228">
        <v>37</v>
      </c>
      <c r="C228" t="s">
        <v>849</v>
      </c>
      <c r="D228" t="e">
        <v>#N/A</v>
      </c>
      <c r="E228" t="s">
        <v>390</v>
      </c>
      <c r="F228" t="s">
        <v>10453</v>
      </c>
      <c r="G228" t="str">
        <f>VLOOKUP(E228,Table145678910111213141545678910111213146[[CODE]:[Email Local]],4,0)</f>
        <v>kf.17474</v>
      </c>
      <c r="H228">
        <f>VLOOKUP(E228,Table145678910111213141545678910111213146[[CODE]:[Email Local]],6,0)</f>
        <v>0</v>
      </c>
      <c r="J228" t="s">
        <v>67</v>
      </c>
      <c r="K228" s="389">
        <v>45440</v>
      </c>
      <c r="L228" s="389"/>
      <c r="M228" s="389"/>
      <c r="N228" t="s">
        <v>1004</v>
      </c>
    </row>
    <row r="229" spans="1:14" hidden="1">
      <c r="A229">
        <v>368</v>
      </c>
      <c r="B229">
        <v>39</v>
      </c>
      <c r="C229" t="s">
        <v>849</v>
      </c>
      <c r="D229" t="s">
        <v>6799</v>
      </c>
      <c r="E229" t="s">
        <v>392</v>
      </c>
      <c r="F229" t="s">
        <v>10455</v>
      </c>
      <c r="G229" t="str">
        <f>VLOOKUP(E229,Table145678910111213141545678910111213146[[CODE]:[Email Local]],4,0)</f>
        <v>kf.21398</v>
      </c>
      <c r="H229">
        <f>VLOOKUP(E229,Table145678910111213141545678910111213146[[CODE]:[Email Local]],6,0)</f>
        <v>0</v>
      </c>
      <c r="J229" t="s">
        <v>67</v>
      </c>
      <c r="K229" s="389">
        <v>45440</v>
      </c>
      <c r="L229" s="389"/>
      <c r="M229" s="389"/>
      <c r="N229" t="s">
        <v>1004</v>
      </c>
    </row>
    <row r="230" spans="1:14" hidden="1">
      <c r="A230">
        <v>370</v>
      </c>
      <c r="B230">
        <v>41</v>
      </c>
      <c r="C230" t="s">
        <v>849</v>
      </c>
      <c r="D230" t="s">
        <v>2563</v>
      </c>
      <c r="E230" t="s">
        <v>394</v>
      </c>
      <c r="F230" t="s">
        <v>10457</v>
      </c>
      <c r="G230" t="str">
        <f>VLOOKUP(E230,Table145678910111213141545678910111213146[[CODE]:[Email Local]],4,0)</f>
        <v>kf.4750</v>
      </c>
      <c r="H230">
        <f>VLOOKUP(E230,Table145678910111213141545678910111213146[[CODE]:[Email Local]],6,0)</f>
        <v>0</v>
      </c>
      <c r="J230" t="s">
        <v>67</v>
      </c>
      <c r="K230" s="389">
        <v>45440</v>
      </c>
      <c r="L230" s="389"/>
      <c r="M230" s="389"/>
      <c r="N230" t="s">
        <v>1004</v>
      </c>
    </row>
    <row r="231" spans="1:14" hidden="1">
      <c r="A231">
        <v>372</v>
      </c>
      <c r="B231">
        <v>43</v>
      </c>
      <c r="C231" t="s">
        <v>849</v>
      </c>
      <c r="D231" t="s">
        <v>9010</v>
      </c>
      <c r="E231" t="s">
        <v>396</v>
      </c>
      <c r="F231" t="s">
        <v>10459</v>
      </c>
      <c r="G231" t="str">
        <f>VLOOKUP(E231,Table145678910111213141545678910111213146[[CODE]:[Email Local]],4,0)</f>
        <v>kf.17732</v>
      </c>
      <c r="H231">
        <f>VLOOKUP(E231,Table145678910111213141545678910111213146[[CODE]:[Email Local]],6,0)</f>
        <v>0</v>
      </c>
      <c r="J231" t="s">
        <v>67</v>
      </c>
      <c r="K231" s="389">
        <v>45440</v>
      </c>
      <c r="L231" s="389">
        <v>45761</v>
      </c>
      <c r="M231" s="389">
        <v>45761</v>
      </c>
      <c r="N231" t="e">
        <v>#N/A</v>
      </c>
    </row>
    <row r="232" spans="1:14" hidden="1">
      <c r="A232">
        <v>373</v>
      </c>
      <c r="B232">
        <v>44</v>
      </c>
      <c r="C232" t="s">
        <v>849</v>
      </c>
      <c r="D232" t="e">
        <v>#N/A</v>
      </c>
      <c r="E232" t="s">
        <v>397</v>
      </c>
      <c r="F232" t="s">
        <v>10460</v>
      </c>
      <c r="G232" t="str">
        <f>VLOOKUP(E232,Table145678910111213141545678910111213146[[CODE]:[Email Local]],4,0)</f>
        <v>kf.17795</v>
      </c>
      <c r="H232">
        <f>VLOOKUP(E232,Table145678910111213141545678910111213146[[CODE]:[Email Local]],6,0)</f>
        <v>0</v>
      </c>
      <c r="J232" t="s">
        <v>67</v>
      </c>
      <c r="K232" s="389">
        <v>45440</v>
      </c>
      <c r="L232" s="389"/>
      <c r="M232" s="389"/>
      <c r="N232" t="s">
        <v>1004</v>
      </c>
    </row>
    <row r="233" spans="1:14" hidden="1">
      <c r="A233">
        <v>374</v>
      </c>
      <c r="B233">
        <v>45</v>
      </c>
      <c r="C233" t="s">
        <v>849</v>
      </c>
      <c r="D233" t="s">
        <v>4678</v>
      </c>
      <c r="E233" t="s">
        <v>398</v>
      </c>
      <c r="F233" t="s">
        <v>10461</v>
      </c>
      <c r="G233" t="str">
        <f>VLOOKUP(E233,Table145678910111213141545678910111213146[[CODE]:[Email Local]],4,0)</f>
        <v>kf.12403</v>
      </c>
      <c r="H233">
        <f>VLOOKUP(E233,Table145678910111213141545678910111213146[[CODE]:[Email Local]],6,0)</f>
        <v>0</v>
      </c>
      <c r="J233" t="s">
        <v>67</v>
      </c>
      <c r="K233" s="389">
        <v>45440</v>
      </c>
      <c r="L233" s="389"/>
      <c r="M233" s="389"/>
      <c r="N233" t="s">
        <v>1004</v>
      </c>
    </row>
    <row r="234" spans="1:14" hidden="1">
      <c r="A234">
        <v>375</v>
      </c>
      <c r="B234">
        <v>46</v>
      </c>
      <c r="C234" t="s">
        <v>849</v>
      </c>
      <c r="D234" t="s">
        <v>8971</v>
      </c>
      <c r="E234" t="s">
        <v>399</v>
      </c>
      <c r="F234" t="s">
        <v>10462</v>
      </c>
      <c r="G234" t="str">
        <f>VLOOKUP(E234,Table145678910111213141545678910111213146[[CODE]:[Email Local]],4,0)</f>
        <v>kf.16003</v>
      </c>
      <c r="H234">
        <f>VLOOKUP(E234,Table145678910111213141545678910111213146[[CODE]:[Email Local]],6,0)</f>
        <v>0</v>
      </c>
      <c r="J234" t="s">
        <v>67</v>
      </c>
      <c r="K234" s="389">
        <v>45440</v>
      </c>
      <c r="L234" s="389">
        <v>45803</v>
      </c>
      <c r="M234" s="389">
        <v>45960</v>
      </c>
      <c r="N234" t="e">
        <v>#N/A</v>
      </c>
    </row>
    <row r="235" spans="1:14" hidden="1">
      <c r="A235">
        <v>376</v>
      </c>
      <c r="B235">
        <v>47</v>
      </c>
      <c r="C235" t="s">
        <v>849</v>
      </c>
      <c r="D235" t="s">
        <v>1173</v>
      </c>
      <c r="E235" t="s">
        <v>400</v>
      </c>
      <c r="F235" t="s">
        <v>10463</v>
      </c>
      <c r="G235" t="str">
        <f>VLOOKUP(E235,Table145678910111213141545678910111213146[[CODE]:[Email Local]],4,0)</f>
        <v>kf.10955</v>
      </c>
      <c r="H235">
        <f>VLOOKUP(E235,Table145678910111213141545678910111213146[[CODE]:[Email Local]],6,0)</f>
        <v>0</v>
      </c>
      <c r="J235" t="s">
        <v>67</v>
      </c>
      <c r="K235" s="389">
        <v>45440</v>
      </c>
      <c r="L235" s="389"/>
      <c r="M235" s="389"/>
      <c r="N235" t="s">
        <v>1004</v>
      </c>
    </row>
    <row r="236" spans="1:14" hidden="1">
      <c r="A236">
        <v>377</v>
      </c>
      <c r="B236">
        <v>48</v>
      </c>
      <c r="C236" t="s">
        <v>849</v>
      </c>
      <c r="D236" t="s">
        <v>4785</v>
      </c>
      <c r="E236" t="s">
        <v>401</v>
      </c>
      <c r="F236" t="s">
        <v>10464</v>
      </c>
      <c r="G236" t="str">
        <f>VLOOKUP(E236,Table145678910111213141545678910111213146[[CODE]:[Email Local]],4,0)</f>
        <v>kf.13090</v>
      </c>
      <c r="H236">
        <f>VLOOKUP(E236,Table145678910111213141545678910111213146[[CODE]:[Email Local]],6,0)</f>
        <v>0</v>
      </c>
      <c r="J236" t="s">
        <v>67</v>
      </c>
      <c r="K236" s="389">
        <v>45440</v>
      </c>
      <c r="L236" s="389"/>
      <c r="M236" s="389"/>
      <c r="N236" t="s">
        <v>1004</v>
      </c>
    </row>
    <row r="237" spans="1:14" hidden="1">
      <c r="A237">
        <v>378</v>
      </c>
      <c r="B237">
        <v>49</v>
      </c>
      <c r="C237" t="s">
        <v>849</v>
      </c>
      <c r="D237" t="s">
        <v>4914</v>
      </c>
      <c r="E237" t="s">
        <v>403</v>
      </c>
      <c r="F237" t="s">
        <v>10465</v>
      </c>
      <c r="G237" t="str">
        <f>VLOOKUP(E237,Table145678910111213141545678910111213146[[CODE]:[Email Local]],4,0)</f>
        <v>kf.13672</v>
      </c>
      <c r="H237">
        <f>VLOOKUP(E237,Table145678910111213141545678910111213146[[CODE]:[Email Local]],6,0)</f>
        <v>0</v>
      </c>
      <c r="J237" t="s">
        <v>67</v>
      </c>
      <c r="K237" s="389">
        <v>45440</v>
      </c>
      <c r="L237" s="389"/>
      <c r="M237" s="389"/>
      <c r="N237" t="s">
        <v>1004</v>
      </c>
    </row>
    <row r="238" spans="1:14" hidden="1">
      <c r="A238">
        <v>379</v>
      </c>
      <c r="B238">
        <v>50</v>
      </c>
      <c r="C238" t="s">
        <v>849</v>
      </c>
      <c r="D238" t="s">
        <v>4327</v>
      </c>
      <c r="E238" t="s">
        <v>405</v>
      </c>
      <c r="F238" t="s">
        <v>10466</v>
      </c>
      <c r="G238" t="str">
        <f>VLOOKUP(E238,Table145678910111213141545678910111213146[[CODE]:[Email Local]],4,0)</f>
        <v>kf.10954</v>
      </c>
      <c r="H238">
        <f>VLOOKUP(E238,Table145678910111213141545678910111213146[[CODE]:[Email Local]],6,0)</f>
        <v>0</v>
      </c>
      <c r="J238" t="s">
        <v>67</v>
      </c>
      <c r="K238" s="389">
        <v>45440</v>
      </c>
      <c r="L238" s="389"/>
      <c r="M238" s="389"/>
      <c r="N238" t="s">
        <v>1004</v>
      </c>
    </row>
    <row r="239" spans="1:14" hidden="1">
      <c r="A239">
        <v>380</v>
      </c>
      <c r="B239">
        <v>51</v>
      </c>
      <c r="C239" t="s">
        <v>849</v>
      </c>
      <c r="D239" t="s">
        <v>4316</v>
      </c>
      <c r="E239" t="s">
        <v>406</v>
      </c>
      <c r="F239" t="s">
        <v>10467</v>
      </c>
      <c r="G239" t="str">
        <f>VLOOKUP(E239,Table145678910111213141545678910111213146[[CODE]:[Email Local]],4,0)</f>
        <v>kf.10945</v>
      </c>
      <c r="H239">
        <f>VLOOKUP(E239,Table145678910111213141545678910111213146[[CODE]:[Email Local]],6,0)</f>
        <v>0</v>
      </c>
      <c r="J239" t="s">
        <v>67</v>
      </c>
      <c r="K239" s="389">
        <v>45440</v>
      </c>
      <c r="L239" s="389"/>
      <c r="M239" s="389"/>
      <c r="N239" t="s">
        <v>1004</v>
      </c>
    </row>
    <row r="240" spans="1:14" hidden="1">
      <c r="A240">
        <v>381</v>
      </c>
      <c r="B240">
        <v>52</v>
      </c>
      <c r="C240" t="s">
        <v>849</v>
      </c>
      <c r="D240" t="s">
        <v>2430</v>
      </c>
      <c r="E240" t="s">
        <v>407</v>
      </c>
      <c r="F240" t="s">
        <v>10468</v>
      </c>
      <c r="G240" t="str">
        <f>VLOOKUP(E240,Table145678910111213141545678910111213146[[CODE]:[Email Local]],4,0)</f>
        <v>kf.9589</v>
      </c>
      <c r="H240">
        <f>VLOOKUP(E240,Table145678910111213141545678910111213146[[CODE]:[Email Local]],6,0)</f>
        <v>0</v>
      </c>
      <c r="J240" t="s">
        <v>67</v>
      </c>
      <c r="K240" s="389">
        <v>45440</v>
      </c>
      <c r="L240" s="389"/>
      <c r="M240" s="389"/>
      <c r="N240" t="s">
        <v>1004</v>
      </c>
    </row>
    <row r="241" spans="1:14" hidden="1">
      <c r="A241">
        <v>382</v>
      </c>
      <c r="B241">
        <v>53</v>
      </c>
      <c r="C241" t="s">
        <v>849</v>
      </c>
      <c r="D241" t="s">
        <v>6202</v>
      </c>
      <c r="E241" t="s">
        <v>408</v>
      </c>
      <c r="F241" t="s">
        <v>10469</v>
      </c>
      <c r="G241" t="str">
        <f>VLOOKUP(E241,Table145678910111213141545678910111213146[[CODE]:[Email Local]],4,0)</f>
        <v>kf.19129</v>
      </c>
      <c r="H241">
        <f>VLOOKUP(E241,Table145678910111213141545678910111213146[[CODE]:[Email Local]],6,0)</f>
        <v>0</v>
      </c>
      <c r="J241" t="s">
        <v>67</v>
      </c>
      <c r="K241" s="389">
        <v>45440</v>
      </c>
      <c r="L241" s="389"/>
      <c r="M241" s="389"/>
      <c r="N241" t="s">
        <v>1004</v>
      </c>
    </row>
    <row r="242" spans="1:14" hidden="1">
      <c r="A242">
        <v>383</v>
      </c>
      <c r="B242">
        <v>54</v>
      </c>
      <c r="C242" t="s">
        <v>849</v>
      </c>
      <c r="D242" t="s">
        <v>410</v>
      </c>
      <c r="E242" t="s">
        <v>410</v>
      </c>
      <c r="F242" t="s">
        <v>411</v>
      </c>
      <c r="G242" t="e">
        <f>VLOOKUP(E242,Table145678910111213141545678910111213146[[CODE]:[Email Local]],4,0)</f>
        <v>#N/A</v>
      </c>
      <c r="H242" t="e">
        <f>VLOOKUP(E242,Table145678910111213141545678910111213146[[CODE]:[Email Local]],6,0)</f>
        <v>#N/A</v>
      </c>
      <c r="J242" t="s">
        <v>67</v>
      </c>
      <c r="K242" s="389">
        <v>45440</v>
      </c>
      <c r="L242" s="389"/>
      <c r="M242" s="389"/>
      <c r="N242" t="e">
        <v>#N/A</v>
      </c>
    </row>
    <row r="243" spans="1:14" hidden="1">
      <c r="A243">
        <v>384</v>
      </c>
      <c r="B243">
        <v>55</v>
      </c>
      <c r="C243" t="s">
        <v>849</v>
      </c>
      <c r="D243" t="e">
        <v>#N/A</v>
      </c>
      <c r="E243" t="s">
        <v>412</v>
      </c>
      <c r="F243" t="s">
        <v>10470</v>
      </c>
      <c r="G243" t="str">
        <f>VLOOKUP(E243,Table145678910111213141545678910111213146[[CODE]:[Email Local]],4,0)</f>
        <v>kf.17582</v>
      </c>
      <c r="H243">
        <f>VLOOKUP(E243,Table145678910111213141545678910111213146[[CODE]:[Email Local]],6,0)</f>
        <v>0</v>
      </c>
      <c r="J243" t="s">
        <v>67</v>
      </c>
      <c r="K243" s="389">
        <v>45440</v>
      </c>
      <c r="L243" s="389"/>
      <c r="M243" s="389"/>
      <c r="N243" t="s">
        <v>1004</v>
      </c>
    </row>
    <row r="244" spans="1:14" hidden="1">
      <c r="A244">
        <v>385</v>
      </c>
      <c r="B244">
        <v>56</v>
      </c>
      <c r="C244" t="s">
        <v>849</v>
      </c>
      <c r="D244" t="e">
        <v>#N/A</v>
      </c>
      <c r="E244" t="s">
        <v>413</v>
      </c>
      <c r="F244" t="s">
        <v>10471</v>
      </c>
      <c r="G244" t="str">
        <f>VLOOKUP(E244,Table145678910111213141545678910111213146[[CODE]:[Email Local]],4,0)</f>
        <v>kf.15627</v>
      </c>
      <c r="H244">
        <f>VLOOKUP(E244,Table145678910111213141545678910111213146[[CODE]:[Email Local]],6,0)</f>
        <v>0</v>
      </c>
      <c r="J244" t="s">
        <v>67</v>
      </c>
      <c r="K244" s="389">
        <v>45440</v>
      </c>
      <c r="L244" s="389"/>
      <c r="M244" s="389"/>
      <c r="N244" t="s">
        <v>1004</v>
      </c>
    </row>
    <row r="245" spans="1:14" hidden="1">
      <c r="A245">
        <v>386</v>
      </c>
      <c r="B245">
        <v>57</v>
      </c>
      <c r="C245" t="s">
        <v>849</v>
      </c>
      <c r="D245" t="e">
        <v>#N/A</v>
      </c>
      <c r="E245" t="s">
        <v>414</v>
      </c>
      <c r="F245" t="s">
        <v>10472</v>
      </c>
      <c r="G245" t="str">
        <f>VLOOKUP(E245,Table145678910111213141545678910111213146[[CODE]:[Email Local]],4,0)</f>
        <v>kf.12038</v>
      </c>
      <c r="H245">
        <f>VLOOKUP(E245,Table145678910111213141545678910111213146[[CODE]:[Email Local]],6,0)</f>
        <v>0</v>
      </c>
      <c r="J245" t="s">
        <v>67</v>
      </c>
      <c r="K245" s="389">
        <v>45440</v>
      </c>
      <c r="L245" s="389"/>
      <c r="M245" s="389"/>
      <c r="N245" t="s">
        <v>1004</v>
      </c>
    </row>
    <row r="246" spans="1:14" hidden="1">
      <c r="A246">
        <v>387</v>
      </c>
      <c r="B246">
        <v>58</v>
      </c>
      <c r="C246" t="s">
        <v>849</v>
      </c>
      <c r="D246" t="s">
        <v>4746</v>
      </c>
      <c r="E246" t="s">
        <v>415</v>
      </c>
      <c r="F246" t="s">
        <v>10473</v>
      </c>
      <c r="G246" t="str">
        <f>VLOOKUP(E246,Table145678910111213141545678910111213146[[CODE]:[Email Local]],4,0)</f>
        <v>kf.12808</v>
      </c>
      <c r="H246">
        <f>VLOOKUP(E246,Table145678910111213141545678910111213146[[CODE]:[Email Local]],6,0)</f>
        <v>0</v>
      </c>
      <c r="J246" t="s">
        <v>67</v>
      </c>
      <c r="K246" s="389">
        <v>45440</v>
      </c>
      <c r="L246" s="389"/>
      <c r="M246" s="389"/>
      <c r="N246" t="s">
        <v>1004</v>
      </c>
    </row>
    <row r="247" spans="1:14" hidden="1">
      <c r="A247">
        <v>388</v>
      </c>
      <c r="B247">
        <v>59</v>
      </c>
      <c r="C247" t="s">
        <v>849</v>
      </c>
      <c r="D247" t="s">
        <v>2984</v>
      </c>
      <c r="E247" t="s">
        <v>416</v>
      </c>
      <c r="F247" t="s">
        <v>10474</v>
      </c>
      <c r="G247" t="str">
        <f>VLOOKUP(E247,Table145678910111213141545678910111213146[[CODE]:[Email Local]],4,0)</f>
        <v>kf.10784</v>
      </c>
      <c r="H247">
        <f>VLOOKUP(E247,Table145678910111213141545678910111213146[[CODE]:[Email Local]],6,0)</f>
        <v>0</v>
      </c>
      <c r="J247" t="s">
        <v>67</v>
      </c>
      <c r="K247" s="389">
        <v>45440</v>
      </c>
      <c r="L247" s="389"/>
      <c r="M247" s="389"/>
      <c r="N247" t="s">
        <v>1004</v>
      </c>
    </row>
    <row r="248" spans="1:14" hidden="1">
      <c r="A248">
        <v>389</v>
      </c>
      <c r="B248">
        <v>60</v>
      </c>
      <c r="C248" t="s">
        <v>849</v>
      </c>
      <c r="D248" t="s">
        <v>5818</v>
      </c>
      <c r="E248" t="s">
        <v>418</v>
      </c>
      <c r="F248" t="s">
        <v>10475</v>
      </c>
      <c r="G248" t="str">
        <f>VLOOKUP(E248,Table145678910111213141545678910111213146[[CODE]:[Email Local]],4,0)</f>
        <v>kf.17730</v>
      </c>
      <c r="H248">
        <f>VLOOKUP(E248,Table145678910111213141545678910111213146[[CODE]:[Email Local]],6,0)</f>
        <v>0</v>
      </c>
      <c r="J248" t="s">
        <v>67</v>
      </c>
      <c r="K248" s="389">
        <v>45440</v>
      </c>
      <c r="L248" s="389"/>
      <c r="M248" s="389"/>
      <c r="N248" t="s">
        <v>1004</v>
      </c>
    </row>
    <row r="249" spans="1:14" hidden="1">
      <c r="A249">
        <v>390</v>
      </c>
      <c r="B249">
        <v>61</v>
      </c>
      <c r="C249" t="s">
        <v>849</v>
      </c>
      <c r="D249" t="s">
        <v>1556</v>
      </c>
      <c r="E249" t="s">
        <v>419</v>
      </c>
      <c r="F249" t="s">
        <v>10476</v>
      </c>
      <c r="G249" t="str">
        <f>VLOOKUP(E249,Table145678910111213141545678910111213146[[CODE]:[Email Local]],4,0)</f>
        <v>kf.10863</v>
      </c>
      <c r="H249">
        <f>VLOOKUP(E249,Table145678910111213141545678910111213146[[CODE]:[Email Local]],6,0)</f>
        <v>0</v>
      </c>
      <c r="J249" t="s">
        <v>67</v>
      </c>
      <c r="K249" s="389">
        <v>45440</v>
      </c>
      <c r="L249" s="389"/>
      <c r="M249" s="389"/>
      <c r="N249" t="s">
        <v>1004</v>
      </c>
    </row>
    <row r="250" spans="1:14" hidden="1">
      <c r="A250">
        <v>391</v>
      </c>
      <c r="B250">
        <v>62</v>
      </c>
      <c r="C250" t="s">
        <v>849</v>
      </c>
      <c r="D250" t="e">
        <v>#N/A</v>
      </c>
      <c r="E250" t="s">
        <v>420</v>
      </c>
      <c r="F250" t="s">
        <v>10477</v>
      </c>
      <c r="G250" t="str">
        <f>VLOOKUP(E250,Table145678910111213141545678910111213146[[CODE]:[Email Local]],4,0)</f>
        <v>kf.16289</v>
      </c>
      <c r="H250">
        <f>VLOOKUP(E250,Table145678910111213141545678910111213146[[CODE]:[Email Local]],6,0)</f>
        <v>0</v>
      </c>
      <c r="J250" t="s">
        <v>67</v>
      </c>
      <c r="K250" s="389">
        <v>45440</v>
      </c>
      <c r="L250" s="389"/>
      <c r="M250" s="389"/>
      <c r="N250" t="s">
        <v>1004</v>
      </c>
    </row>
    <row r="251" spans="1:14" hidden="1">
      <c r="A251">
        <v>392</v>
      </c>
      <c r="B251">
        <v>63</v>
      </c>
      <c r="C251" t="s">
        <v>849</v>
      </c>
      <c r="D251" t="e">
        <v>#N/A</v>
      </c>
      <c r="E251" t="s">
        <v>421</v>
      </c>
      <c r="F251" t="s">
        <v>10478</v>
      </c>
      <c r="G251" t="str">
        <f>VLOOKUP(E251,Table145678910111213141545678910111213146[[CODE]:[Email Local]],4,0)</f>
        <v>kf.17911</v>
      </c>
      <c r="H251">
        <f>VLOOKUP(E251,Table145678910111213141545678910111213146[[CODE]:[Email Local]],6,0)</f>
        <v>0</v>
      </c>
      <c r="J251" t="s">
        <v>67</v>
      </c>
      <c r="K251" s="389">
        <v>45440</v>
      </c>
      <c r="L251" s="389"/>
      <c r="M251" s="389"/>
      <c r="N251" t="s">
        <v>1004</v>
      </c>
    </row>
    <row r="252" spans="1:14" hidden="1">
      <c r="A252">
        <v>393</v>
      </c>
      <c r="B252">
        <v>64</v>
      </c>
      <c r="C252" t="s">
        <v>849</v>
      </c>
      <c r="D252" t="e">
        <v>#N/A</v>
      </c>
      <c r="E252" t="s">
        <v>422</v>
      </c>
      <c r="F252" t="s">
        <v>10479</v>
      </c>
      <c r="G252" t="str">
        <f>VLOOKUP(E252,Table145678910111213141545678910111213146[[CODE]:[Email Local]],4,0)</f>
        <v>kf.10610</v>
      </c>
      <c r="H252">
        <f>VLOOKUP(E252,Table145678910111213141545678910111213146[[CODE]:[Email Local]],6,0)</f>
        <v>0</v>
      </c>
      <c r="J252" t="s">
        <v>67</v>
      </c>
      <c r="K252" s="389">
        <v>45440</v>
      </c>
      <c r="L252" s="389"/>
      <c r="M252" s="389"/>
      <c r="N252" t="s">
        <v>1004</v>
      </c>
    </row>
    <row r="253" spans="1:14" hidden="1">
      <c r="A253">
        <v>396</v>
      </c>
      <c r="B253">
        <v>67</v>
      </c>
      <c r="C253" t="s">
        <v>849</v>
      </c>
      <c r="D253" t="s">
        <v>5820</v>
      </c>
      <c r="E253" t="s">
        <v>424</v>
      </c>
      <c r="F253" t="s">
        <v>10482</v>
      </c>
      <c r="G253" t="str">
        <f>VLOOKUP(E253,Table145678910111213141545678910111213146[[CODE]:[Email Local]],4,0)</f>
        <v>kf.17731</v>
      </c>
      <c r="H253">
        <f>VLOOKUP(E253,Table145678910111213141545678910111213146[[CODE]:[Email Local]],6,0)</f>
        <v>0</v>
      </c>
      <c r="J253" t="s">
        <v>67</v>
      </c>
      <c r="K253" s="389">
        <v>45440</v>
      </c>
      <c r="L253" s="389"/>
      <c r="M253" s="389"/>
      <c r="N253" t="s">
        <v>1004</v>
      </c>
    </row>
    <row r="254" spans="1:14" hidden="1">
      <c r="A254">
        <v>397</v>
      </c>
      <c r="B254">
        <v>68</v>
      </c>
      <c r="C254" t="s">
        <v>849</v>
      </c>
      <c r="D254" t="s">
        <v>4302</v>
      </c>
      <c r="E254" t="s">
        <v>425</v>
      </c>
      <c r="F254" t="s">
        <v>10483</v>
      </c>
      <c r="G254" t="str">
        <f>VLOOKUP(E254,Table145678910111213141545678910111213146[[CODE]:[Email Local]],4,0)</f>
        <v>10878.phuong</v>
      </c>
      <c r="H254">
        <f>VLOOKUP(E254,Table145678910111213141545678910111213146[[CODE]:[Email Local]],6,0)</f>
        <v>0</v>
      </c>
      <c r="J254" t="s">
        <v>67</v>
      </c>
      <c r="K254" s="389">
        <v>45440</v>
      </c>
      <c r="L254" s="389"/>
      <c r="M254" s="389"/>
      <c r="N254" t="s">
        <v>1004</v>
      </c>
    </row>
    <row r="255" spans="1:14" hidden="1">
      <c r="A255">
        <v>398</v>
      </c>
      <c r="B255">
        <v>69</v>
      </c>
      <c r="C255" t="s">
        <v>849</v>
      </c>
      <c r="D255" t="s">
        <v>4680</v>
      </c>
      <c r="E255" t="s">
        <v>426</v>
      </c>
      <c r="F255" t="s">
        <v>10484</v>
      </c>
      <c r="G255" t="str">
        <f>VLOOKUP(E255,Table145678910111213141545678910111213146[[CODE]:[Email Local]],4,0)</f>
        <v>kf.12405</v>
      </c>
      <c r="H255">
        <f>VLOOKUP(E255,Table145678910111213141545678910111213146[[CODE]:[Email Local]],6,0)</f>
        <v>0</v>
      </c>
      <c r="J255" t="s">
        <v>67</v>
      </c>
      <c r="K255" s="389">
        <v>45440</v>
      </c>
      <c r="L255" s="389"/>
      <c r="M255" s="389"/>
      <c r="N255" t="s">
        <v>1004</v>
      </c>
    </row>
    <row r="256" spans="1:14" hidden="1">
      <c r="A256">
        <v>400</v>
      </c>
      <c r="B256">
        <v>71</v>
      </c>
      <c r="C256" t="s">
        <v>849</v>
      </c>
      <c r="D256" t="e">
        <v>#N/A</v>
      </c>
      <c r="E256" t="s">
        <v>428</v>
      </c>
      <c r="F256" t="s">
        <v>10486</v>
      </c>
      <c r="G256" t="str">
        <f>VLOOKUP(E256,Table145678910111213141545678910111213146[[CODE]:[Email Local]],4,0)</f>
        <v>kf.1057</v>
      </c>
      <c r="H256">
        <f>VLOOKUP(E256,Table145678910111213141545678910111213146[[CODE]:[Email Local]],6,0)</f>
        <v>0</v>
      </c>
      <c r="J256" t="s">
        <v>67</v>
      </c>
      <c r="K256" s="389">
        <v>45440</v>
      </c>
      <c r="L256" s="389"/>
      <c r="M256" s="389"/>
      <c r="N256" t="s">
        <v>1004</v>
      </c>
    </row>
    <row r="257" spans="1:14" hidden="1">
      <c r="A257">
        <v>401</v>
      </c>
      <c r="B257">
        <v>72</v>
      </c>
      <c r="C257" t="s">
        <v>849</v>
      </c>
      <c r="D257" t="e">
        <v>#N/A</v>
      </c>
      <c r="E257" t="s">
        <v>429</v>
      </c>
      <c r="F257" t="s">
        <v>10487</v>
      </c>
      <c r="G257" t="str">
        <f>VLOOKUP(E257,Table145678910111213141545678910111213146[[CODE]:[Email Local]],4,0)</f>
        <v>kf.8552</v>
      </c>
      <c r="H257">
        <f>VLOOKUP(E257,Table145678910111213141545678910111213146[[CODE]:[Email Local]],6,0)</f>
        <v>0</v>
      </c>
      <c r="J257" t="s">
        <v>67</v>
      </c>
      <c r="K257" s="389">
        <v>45440</v>
      </c>
      <c r="L257" s="389"/>
      <c r="M257" s="389"/>
      <c r="N257" t="s">
        <v>1004</v>
      </c>
    </row>
    <row r="258" spans="1:14" hidden="1">
      <c r="A258">
        <v>402</v>
      </c>
      <c r="B258">
        <v>73</v>
      </c>
      <c r="C258" t="s">
        <v>849</v>
      </c>
      <c r="D258" t="e">
        <v>#N/A</v>
      </c>
      <c r="E258" t="s">
        <v>430</v>
      </c>
      <c r="F258" t="s">
        <v>10488</v>
      </c>
      <c r="G258" t="str">
        <f>VLOOKUP(E258,Table145678910111213141545678910111213146[[CODE]:[Email Local]],4,0)</f>
        <v>kf.12583</v>
      </c>
      <c r="H258">
        <f>VLOOKUP(E258,Table145678910111213141545678910111213146[[CODE]:[Email Local]],6,0)</f>
        <v>0</v>
      </c>
      <c r="J258" t="s">
        <v>67</v>
      </c>
      <c r="K258" s="389">
        <v>45440</v>
      </c>
      <c r="L258" s="389"/>
      <c r="M258" s="389"/>
      <c r="N258" t="s">
        <v>1004</v>
      </c>
    </row>
    <row r="259" spans="1:14" hidden="1">
      <c r="A259">
        <v>403</v>
      </c>
      <c r="B259">
        <v>74</v>
      </c>
      <c r="C259" t="s">
        <v>849</v>
      </c>
      <c r="D259" t="e">
        <v>#N/A</v>
      </c>
      <c r="E259" t="s">
        <v>409</v>
      </c>
      <c r="F259" t="s">
        <v>10489</v>
      </c>
      <c r="G259" t="str">
        <f>VLOOKUP(E259,Table145678910111213141545678910111213146[[CODE]:[Email Local]],4,0)</f>
        <v>kf.8128</v>
      </c>
      <c r="H259">
        <f>VLOOKUP(E259,Table145678910111213141545678910111213146[[CODE]:[Email Local]],6,0)</f>
        <v>0</v>
      </c>
      <c r="J259" t="s">
        <v>67</v>
      </c>
      <c r="K259" s="389">
        <v>45440</v>
      </c>
      <c r="L259" s="389"/>
      <c r="M259" s="389"/>
      <c r="N259" t="s">
        <v>1004</v>
      </c>
    </row>
    <row r="260" spans="1:14" hidden="1">
      <c r="A260">
        <v>405</v>
      </c>
      <c r="B260">
        <v>76</v>
      </c>
      <c r="C260" t="s">
        <v>849</v>
      </c>
      <c r="D260" t="s">
        <v>5761</v>
      </c>
      <c r="E260" t="s">
        <v>432</v>
      </c>
      <c r="F260" t="s">
        <v>10491</v>
      </c>
      <c r="G260" t="str">
        <f>VLOOKUP(E260,Table145678910111213141545678910111213146[[CODE]:[Email Local]],4,0)</f>
        <v>kf.17581</v>
      </c>
      <c r="H260">
        <f>VLOOKUP(E260,Table145678910111213141545678910111213146[[CODE]:[Email Local]],6,0)</f>
        <v>0</v>
      </c>
      <c r="J260" t="s">
        <v>67</v>
      </c>
      <c r="K260" s="389">
        <v>45440</v>
      </c>
      <c r="L260" s="389"/>
      <c r="M260" s="389"/>
      <c r="N260" t="s">
        <v>1004</v>
      </c>
    </row>
    <row r="261" spans="1:14" hidden="1">
      <c r="A261">
        <v>406</v>
      </c>
      <c r="B261">
        <v>77</v>
      </c>
      <c r="C261" t="s">
        <v>849</v>
      </c>
      <c r="D261" t="e">
        <v>#N/A</v>
      </c>
      <c r="E261" t="s">
        <v>433</v>
      </c>
      <c r="F261" t="s">
        <v>10492</v>
      </c>
      <c r="G261" t="str">
        <f>VLOOKUP(E261,Table145678910111213141545678910111213146[[CODE]:[Email Local]],4,0)</f>
        <v>kf.13321</v>
      </c>
      <c r="H261">
        <f>VLOOKUP(E261,Table145678910111213141545678910111213146[[CODE]:[Email Local]],6,0)</f>
        <v>0</v>
      </c>
      <c r="J261" t="s">
        <v>67</v>
      </c>
      <c r="K261" s="389">
        <v>45440</v>
      </c>
      <c r="L261" s="389"/>
      <c r="M261" s="389"/>
      <c r="N261" t="s">
        <v>1004</v>
      </c>
    </row>
    <row r="262" spans="1:14" hidden="1">
      <c r="A262">
        <v>407</v>
      </c>
      <c r="B262">
        <v>78</v>
      </c>
      <c r="C262" t="s">
        <v>849</v>
      </c>
      <c r="D262" t="s">
        <v>5581</v>
      </c>
      <c r="E262" t="s">
        <v>434</v>
      </c>
      <c r="F262" t="s">
        <v>10493</v>
      </c>
      <c r="G262" t="str">
        <f>VLOOKUP(E262,Table145678910111213141545678910111213146[[CODE]:[Email Local]],4,0)</f>
        <v>kf.16851</v>
      </c>
      <c r="H262">
        <f>VLOOKUP(E262,Table145678910111213141545678910111213146[[CODE]:[Email Local]],6,0)</f>
        <v>0</v>
      </c>
      <c r="J262" t="s">
        <v>67</v>
      </c>
      <c r="K262" s="389">
        <v>45440</v>
      </c>
      <c r="L262" s="389"/>
      <c r="M262" s="389"/>
      <c r="N262" t="s">
        <v>1004</v>
      </c>
    </row>
    <row r="263" spans="1:14" hidden="1">
      <c r="A263">
        <v>408</v>
      </c>
      <c r="B263">
        <v>79</v>
      </c>
      <c r="C263" t="s">
        <v>849</v>
      </c>
      <c r="D263" t="s">
        <v>5892</v>
      </c>
      <c r="E263" t="s">
        <v>435</v>
      </c>
      <c r="F263" t="s">
        <v>10494</v>
      </c>
      <c r="G263" t="str">
        <f>VLOOKUP(E263,Table145678910111213141545678910111213146[[CODE]:[Email Local]],4,0)</f>
        <v>kf.17913</v>
      </c>
      <c r="H263">
        <f>VLOOKUP(E263,Table145678910111213141545678910111213146[[CODE]:[Email Local]],6,0)</f>
        <v>0</v>
      </c>
      <c r="J263" t="s">
        <v>67</v>
      </c>
      <c r="K263" s="389">
        <v>45440</v>
      </c>
      <c r="L263" s="389"/>
      <c r="M263" s="389"/>
      <c r="N263" t="s">
        <v>1004</v>
      </c>
    </row>
    <row r="264" spans="1:14" hidden="1">
      <c r="A264">
        <v>409</v>
      </c>
      <c r="B264">
        <v>80</v>
      </c>
      <c r="C264" t="s">
        <v>849</v>
      </c>
      <c r="D264" t="s">
        <v>7924</v>
      </c>
      <c r="E264" t="s">
        <v>436</v>
      </c>
      <c r="F264" t="s">
        <v>10495</v>
      </c>
      <c r="G264" t="str">
        <f>VLOOKUP(E264,Table145678910111213141545678910111213146[[CODE]:[Email Local]],4,0)</f>
        <v>kf.17647</v>
      </c>
      <c r="H264">
        <f>VLOOKUP(E264,Table145678910111213141545678910111213146[[CODE]:[Email Local]],6,0)</f>
        <v>0</v>
      </c>
      <c r="J264" t="s">
        <v>67</v>
      </c>
      <c r="K264" s="389">
        <v>45440</v>
      </c>
      <c r="L264" s="389">
        <v>45806</v>
      </c>
      <c r="M264" s="389">
        <v>45806</v>
      </c>
      <c r="N264" t="e">
        <v>#N/A</v>
      </c>
    </row>
    <row r="265" spans="1:14" hidden="1">
      <c r="A265">
        <v>410</v>
      </c>
      <c r="B265">
        <v>81</v>
      </c>
      <c r="C265" t="s">
        <v>849</v>
      </c>
      <c r="D265" t="e">
        <v>#N/A</v>
      </c>
      <c r="E265" t="s">
        <v>437</v>
      </c>
      <c r="F265" t="s">
        <v>10496</v>
      </c>
      <c r="G265" t="str">
        <f>VLOOKUP(E265,Table145678910111213141545678910111213146[[CODE]:[Email Local]],4,0)</f>
        <v>kf.10611</v>
      </c>
      <c r="H265">
        <f>VLOOKUP(E265,Table145678910111213141545678910111213146[[CODE]:[Email Local]],6,0)</f>
        <v>0</v>
      </c>
      <c r="J265" t="s">
        <v>67</v>
      </c>
      <c r="K265" s="389">
        <v>45440</v>
      </c>
      <c r="L265" s="389"/>
      <c r="M265" s="389"/>
      <c r="N265" t="s">
        <v>1004</v>
      </c>
    </row>
    <row r="266" spans="1:14" hidden="1">
      <c r="A266">
        <v>411</v>
      </c>
      <c r="B266">
        <v>82</v>
      </c>
      <c r="C266" t="s">
        <v>849</v>
      </c>
      <c r="D266" t="s">
        <v>4465</v>
      </c>
      <c r="E266" t="s">
        <v>438</v>
      </c>
      <c r="F266" t="s">
        <v>10497</v>
      </c>
      <c r="G266" t="str">
        <f>VLOOKUP(E266,Table145678910111213141545678910111213146[[CODE]:[Email Local]],4,0)</f>
        <v>kf.18468</v>
      </c>
      <c r="H266">
        <f>VLOOKUP(E266,Table145678910111213141545678910111213146[[CODE]:[Email Local]],6,0)</f>
        <v>0</v>
      </c>
      <c r="J266" t="s">
        <v>67</v>
      </c>
      <c r="K266" s="389">
        <v>45440</v>
      </c>
      <c r="L266" s="389">
        <v>45806</v>
      </c>
      <c r="M266" s="389">
        <v>45806</v>
      </c>
      <c r="N266" t="e">
        <v>#N/A</v>
      </c>
    </row>
    <row r="267" spans="1:14" hidden="1">
      <c r="A267">
        <v>412</v>
      </c>
      <c r="B267">
        <v>83</v>
      </c>
      <c r="C267" t="s">
        <v>849</v>
      </c>
      <c r="D267" t="s">
        <v>4237</v>
      </c>
      <c r="E267" t="s">
        <v>439</v>
      </c>
      <c r="F267" t="s">
        <v>10498</v>
      </c>
      <c r="G267" t="str">
        <f>VLOOKUP(E267,Table145678910111213141545678910111213146[[CODE]:[Email Local]],4,0)</f>
        <v>kf.19545</v>
      </c>
      <c r="H267">
        <f>VLOOKUP(E267,Table145678910111213141545678910111213146[[CODE]:[Email Local]],6,0)</f>
        <v>0</v>
      </c>
      <c r="J267" t="s">
        <v>67</v>
      </c>
      <c r="K267" s="389">
        <v>45440</v>
      </c>
      <c r="L267" s="389"/>
      <c r="M267" s="389"/>
      <c r="N267" t="s">
        <v>1004</v>
      </c>
    </row>
    <row r="268" spans="1:14" hidden="1">
      <c r="A268">
        <v>414</v>
      </c>
      <c r="B268">
        <v>85</v>
      </c>
      <c r="C268" t="s">
        <v>849</v>
      </c>
      <c r="D268" t="s">
        <v>9002</v>
      </c>
      <c r="E268" t="s">
        <v>441</v>
      </c>
      <c r="F268" t="s">
        <v>10500</v>
      </c>
      <c r="G268" t="str">
        <f>VLOOKUP(E268,Table145678910111213141545678910111213146[[CODE]:[Email Local]],4,0)</f>
        <v>kf.19753</v>
      </c>
      <c r="H268">
        <f>VLOOKUP(E268,Table145678910111213141545678910111213146[[CODE]:[Email Local]],6,0)</f>
        <v>0</v>
      </c>
      <c r="J268" t="s">
        <v>67</v>
      </c>
      <c r="K268" s="389">
        <v>45440</v>
      </c>
      <c r="L268" s="389">
        <v>45806</v>
      </c>
      <c r="M268" s="389">
        <v>45806</v>
      </c>
      <c r="N268" t="e">
        <v>#N/A</v>
      </c>
    </row>
    <row r="269" spans="1:14" hidden="1">
      <c r="A269">
        <v>415</v>
      </c>
      <c r="B269">
        <v>86</v>
      </c>
      <c r="C269" t="s">
        <v>849</v>
      </c>
      <c r="D269" t="e">
        <v>#N/A</v>
      </c>
      <c r="E269" t="s">
        <v>442</v>
      </c>
      <c r="F269" t="s">
        <v>10501</v>
      </c>
      <c r="G269" t="str">
        <f>VLOOKUP(E269,Table145678910111213141545678910111213146[[CODE]:[Email Local]],4,0)</f>
        <v>kf.11658</v>
      </c>
      <c r="H269">
        <f>VLOOKUP(E269,Table145678910111213141545678910111213146[[CODE]:[Email Local]],6,0)</f>
        <v>0</v>
      </c>
      <c r="J269" t="s">
        <v>67</v>
      </c>
      <c r="K269" s="389">
        <v>45440</v>
      </c>
      <c r="L269" s="389"/>
      <c r="M269" s="389"/>
      <c r="N269" t="s">
        <v>1004</v>
      </c>
    </row>
    <row r="270" spans="1:14" hidden="1">
      <c r="A270">
        <v>416</v>
      </c>
      <c r="B270">
        <v>87</v>
      </c>
      <c r="C270" t="s">
        <v>849</v>
      </c>
      <c r="D270" t="e">
        <v>#N/A</v>
      </c>
      <c r="E270" t="s">
        <v>443</v>
      </c>
      <c r="F270" t="s">
        <v>10502</v>
      </c>
      <c r="G270" t="str">
        <f>VLOOKUP(E270,Table145678910111213141545678910111213146[[CODE]:[Email Local]],4,0)</f>
        <v>kf.11632</v>
      </c>
      <c r="H270">
        <f>VLOOKUP(E270,Table145678910111213141545678910111213146[[CODE]:[Email Local]],6,0)</f>
        <v>0</v>
      </c>
      <c r="J270" t="s">
        <v>67</v>
      </c>
      <c r="K270" s="389">
        <v>45440</v>
      </c>
      <c r="L270" s="389"/>
      <c r="M270" s="389"/>
      <c r="N270" t="s">
        <v>1004</v>
      </c>
    </row>
    <row r="271" spans="1:14" hidden="1">
      <c r="A271">
        <v>417</v>
      </c>
      <c r="B271">
        <v>88</v>
      </c>
      <c r="C271" t="s">
        <v>849</v>
      </c>
      <c r="D271" t="e">
        <v>#N/A</v>
      </c>
      <c r="E271" t="s">
        <v>444</v>
      </c>
      <c r="F271" t="s">
        <v>10503</v>
      </c>
      <c r="G271" t="str">
        <f>VLOOKUP(E271,Table145678910111213141545678910111213146[[CODE]:[Email Local]],4,0)</f>
        <v>kf.20149</v>
      </c>
      <c r="H271">
        <f>VLOOKUP(E271,Table145678910111213141545678910111213146[[CODE]:[Email Local]],6,0)</f>
        <v>0</v>
      </c>
      <c r="J271" t="s">
        <v>67</v>
      </c>
      <c r="K271" s="389">
        <v>45440</v>
      </c>
      <c r="L271" s="389"/>
      <c r="M271" s="389"/>
      <c r="N271" t="s">
        <v>1004</v>
      </c>
    </row>
    <row r="272" spans="1:14" hidden="1">
      <c r="A272">
        <v>418</v>
      </c>
      <c r="B272">
        <v>89</v>
      </c>
      <c r="C272" t="s">
        <v>849</v>
      </c>
      <c r="D272" t="s">
        <v>1105</v>
      </c>
      <c r="E272" t="s">
        <v>402</v>
      </c>
      <c r="F272" t="s">
        <v>10504</v>
      </c>
      <c r="G272" t="str">
        <f>VLOOKUP(E272,Table145678910111213141545678910111213146[[CODE]:[Email Local]],4,0)</f>
        <v>kf.0490</v>
      </c>
      <c r="H272">
        <f>VLOOKUP(E272,Table145678910111213141545678910111213146[[CODE]:[Email Local]],6,0)</f>
        <v>0</v>
      </c>
      <c r="J272" t="s">
        <v>67</v>
      </c>
      <c r="K272" s="389">
        <v>45440</v>
      </c>
      <c r="L272" s="389"/>
      <c r="M272" s="389"/>
      <c r="N272" t="s">
        <v>1004</v>
      </c>
    </row>
    <row r="273" spans="1:14" hidden="1">
      <c r="A273">
        <v>419</v>
      </c>
      <c r="B273">
        <v>90</v>
      </c>
      <c r="C273" t="s">
        <v>849</v>
      </c>
      <c r="D273" t="s">
        <v>4264</v>
      </c>
      <c r="E273" t="s">
        <v>363</v>
      </c>
      <c r="F273" t="s">
        <v>10505</v>
      </c>
      <c r="G273" t="str">
        <f>VLOOKUP(E273,Table145678910111213141545678910111213146[[CODE]:[Email Local]],4,0)</f>
        <v>kf.10783</v>
      </c>
      <c r="H273">
        <f>VLOOKUP(E273,Table145678910111213141545678910111213146[[CODE]:[Email Local]],6,0)</f>
        <v>0</v>
      </c>
      <c r="J273" t="s">
        <v>67</v>
      </c>
      <c r="K273" s="389">
        <v>45440</v>
      </c>
      <c r="L273" s="389"/>
      <c r="M273" s="389"/>
      <c r="N273" t="s">
        <v>1004</v>
      </c>
    </row>
    <row r="274" spans="1:14" hidden="1">
      <c r="A274">
        <v>421</v>
      </c>
      <c r="B274">
        <v>92</v>
      </c>
      <c r="C274" t="s">
        <v>849</v>
      </c>
      <c r="D274" t="s">
        <v>1906</v>
      </c>
      <c r="E274" t="s">
        <v>446</v>
      </c>
      <c r="F274" t="s">
        <v>10507</v>
      </c>
      <c r="G274" t="str">
        <f>VLOOKUP(E274,Table145678910111213141545678910111213146[[CODE]:[Email Local]],4,0)</f>
        <v>kf.2543</v>
      </c>
      <c r="H274">
        <f>VLOOKUP(E274,Table145678910111213141545678910111213146[[CODE]:[Email Local]],6,0)</f>
        <v>0</v>
      </c>
      <c r="J274" t="s">
        <v>67</v>
      </c>
      <c r="K274" s="389">
        <v>45440</v>
      </c>
      <c r="L274" s="389"/>
      <c r="M274" s="389"/>
      <c r="N274" t="s">
        <v>1004</v>
      </c>
    </row>
    <row r="275" spans="1:14" hidden="1">
      <c r="A275">
        <v>422</v>
      </c>
      <c r="B275">
        <v>93</v>
      </c>
      <c r="C275" t="s">
        <v>849</v>
      </c>
      <c r="D275" t="s">
        <v>1731</v>
      </c>
      <c r="E275" t="s">
        <v>404</v>
      </c>
      <c r="F275" t="s">
        <v>10508</v>
      </c>
      <c r="G275" t="str">
        <f>VLOOKUP(E275,Table145678910111213141545678910111213146[[CODE]:[Email Local]],4,0)</f>
        <v>kf.1955</v>
      </c>
      <c r="H275">
        <f>VLOOKUP(E275,Table145678910111213141545678910111213146[[CODE]:[Email Local]],6,0)</f>
        <v>0</v>
      </c>
      <c r="J275" t="s">
        <v>67</v>
      </c>
      <c r="K275" s="389">
        <v>45440</v>
      </c>
      <c r="L275" s="389"/>
      <c r="M275" s="389"/>
      <c r="N275" t="s">
        <v>1004</v>
      </c>
    </row>
    <row r="276" spans="1:14" hidden="1">
      <c r="A276">
        <v>423</v>
      </c>
      <c r="B276">
        <v>94</v>
      </c>
      <c r="C276" t="s">
        <v>849</v>
      </c>
      <c r="D276" t="s">
        <v>1937</v>
      </c>
      <c r="E276" t="s">
        <v>447</v>
      </c>
      <c r="F276" t="s">
        <v>10509</v>
      </c>
      <c r="G276" t="str">
        <f>VLOOKUP(E276,Table145678910111213141545678910111213146[[CODE]:[Email Local]],4,0)</f>
        <v>kf.2642</v>
      </c>
      <c r="H276">
        <f>VLOOKUP(E276,Table145678910111213141545678910111213146[[CODE]:[Email Local]],6,0)</f>
        <v>0</v>
      </c>
      <c r="J276" t="s">
        <v>67</v>
      </c>
      <c r="K276" s="389">
        <v>45440</v>
      </c>
      <c r="L276" s="389"/>
      <c r="M276" s="389"/>
      <c r="N276" t="s">
        <v>1004</v>
      </c>
    </row>
    <row r="277" spans="1:14" hidden="1">
      <c r="A277">
        <v>424</v>
      </c>
      <c r="B277">
        <v>95</v>
      </c>
      <c r="C277" t="s">
        <v>849</v>
      </c>
      <c r="D277" t="s">
        <v>6766</v>
      </c>
      <c r="E277" t="s">
        <v>448</v>
      </c>
      <c r="F277" t="s">
        <v>10510</v>
      </c>
      <c r="G277" t="str">
        <f>VLOOKUP(E277,Table145678910111213141545678910111213146[[CODE]:[Email Local]],4,0)</f>
        <v>kf.21265</v>
      </c>
      <c r="H277">
        <f>VLOOKUP(E277,Table145678910111213141545678910111213146[[CODE]:[Email Local]],6,0)</f>
        <v>0</v>
      </c>
      <c r="J277" t="s">
        <v>67</v>
      </c>
      <c r="K277" s="389">
        <v>45440</v>
      </c>
      <c r="L277" s="389"/>
      <c r="M277" s="389"/>
      <c r="N277" t="s">
        <v>1004</v>
      </c>
    </row>
    <row r="278" spans="1:14" hidden="1">
      <c r="A278">
        <v>425</v>
      </c>
      <c r="B278">
        <v>96</v>
      </c>
      <c r="C278" t="s">
        <v>849</v>
      </c>
      <c r="D278" t="s">
        <v>8929</v>
      </c>
      <c r="E278" t="s">
        <v>449</v>
      </c>
      <c r="F278" t="s">
        <v>10511</v>
      </c>
      <c r="G278" t="str">
        <f>VLOOKUP(E278,Table145678910111213141545678910111213146[[CODE]:[Email Local]],4,0)</f>
        <v>kf.13074</v>
      </c>
      <c r="H278">
        <f>VLOOKUP(E278,Table145678910111213141545678910111213146[[CODE]:[Email Local]],6,0)</f>
        <v>0</v>
      </c>
      <c r="J278" t="s">
        <v>67</v>
      </c>
      <c r="K278" s="389">
        <v>45440</v>
      </c>
      <c r="L278" s="389">
        <v>45876</v>
      </c>
      <c r="M278" s="389">
        <v>45876</v>
      </c>
      <c r="N278" t="e">
        <v>#N/A</v>
      </c>
    </row>
    <row r="279" spans="1:14" hidden="1">
      <c r="A279">
        <v>426</v>
      </c>
      <c r="B279">
        <v>97</v>
      </c>
      <c r="C279" t="s">
        <v>849</v>
      </c>
      <c r="D279" t="s">
        <v>2360</v>
      </c>
      <c r="E279" t="s">
        <v>417</v>
      </c>
      <c r="F279" t="s">
        <v>10512</v>
      </c>
      <c r="G279" t="str">
        <f>VLOOKUP(E279,Table145678910111213141545678910111213146[[CODE]:[Email Local]],4,0)</f>
        <v>kf.3889</v>
      </c>
      <c r="H279">
        <f>VLOOKUP(E279,Table145678910111213141545678910111213146[[CODE]:[Email Local]],6,0)</f>
        <v>0</v>
      </c>
      <c r="J279" t="s">
        <v>67</v>
      </c>
      <c r="K279" s="389">
        <v>45440</v>
      </c>
      <c r="L279" s="389"/>
      <c r="M279" s="389"/>
      <c r="N279" t="s">
        <v>1004</v>
      </c>
    </row>
    <row r="280" spans="1:14" hidden="1">
      <c r="A280">
        <v>427</v>
      </c>
      <c r="B280">
        <v>98</v>
      </c>
      <c r="C280" t="s">
        <v>849</v>
      </c>
      <c r="D280" t="e">
        <v>#N/A</v>
      </c>
      <c r="E280" t="s">
        <v>450</v>
      </c>
      <c r="F280" t="s">
        <v>10513</v>
      </c>
      <c r="G280" t="str">
        <f>VLOOKUP(E280,Table145678910111213141545678910111213146[[CODE]:[Email Local]],4,0)</f>
        <v>kf.0799</v>
      </c>
      <c r="H280">
        <f>VLOOKUP(E280,Table145678910111213141545678910111213146[[CODE]:[Email Local]],6,0)</f>
        <v>0</v>
      </c>
      <c r="J280" t="s">
        <v>67</v>
      </c>
      <c r="K280" s="389">
        <v>45435</v>
      </c>
      <c r="L280" s="389"/>
      <c r="M280" s="389"/>
      <c r="N280" t="s">
        <v>1004</v>
      </c>
    </row>
    <row r="281" spans="1:14" hidden="1">
      <c r="A281">
        <v>428</v>
      </c>
      <c r="B281">
        <v>99</v>
      </c>
      <c r="C281" t="s">
        <v>849</v>
      </c>
      <c r="D281" t="s">
        <v>6463</v>
      </c>
      <c r="E281" t="s">
        <v>451</v>
      </c>
      <c r="F281" t="s">
        <v>10514</v>
      </c>
      <c r="G281" t="str">
        <f>VLOOKUP(E281,Table145678910111213141545678910111213146[[CODE]:[Email Local]],4,0)</f>
        <v>kf.20024</v>
      </c>
      <c r="H281">
        <f>VLOOKUP(E281,Table145678910111213141545678910111213146[[CODE]:[Email Local]],6,0)</f>
        <v>0</v>
      </c>
      <c r="J281" t="s">
        <v>67</v>
      </c>
      <c r="K281" s="389">
        <v>45440</v>
      </c>
      <c r="L281" s="389"/>
      <c r="M281" s="389"/>
      <c r="N281" t="s">
        <v>1004</v>
      </c>
    </row>
    <row r="282" spans="1:14" hidden="1">
      <c r="A282">
        <v>429</v>
      </c>
      <c r="B282">
        <v>100</v>
      </c>
      <c r="C282" t="s">
        <v>849</v>
      </c>
      <c r="D282" t="s">
        <v>5935</v>
      </c>
      <c r="E282" t="s">
        <v>452</v>
      </c>
      <c r="F282" t="s">
        <v>10515</v>
      </c>
      <c r="G282" t="str">
        <f>VLOOKUP(E282,Table145678910111213141545678910111213146[[CODE]:[Email Local]],4,0)</f>
        <v>kf.18082</v>
      </c>
      <c r="H282">
        <f>VLOOKUP(E282,Table145678910111213141545678910111213146[[CODE]:[Email Local]],6,0)</f>
        <v>0</v>
      </c>
      <c r="J282" t="s">
        <v>67</v>
      </c>
      <c r="K282" s="389">
        <v>45440</v>
      </c>
      <c r="L282" s="389"/>
      <c r="M282" s="389"/>
      <c r="N282" t="s">
        <v>1004</v>
      </c>
    </row>
    <row r="283" spans="1:14" hidden="1">
      <c r="A283">
        <v>430</v>
      </c>
      <c r="B283">
        <v>101</v>
      </c>
      <c r="C283" t="s">
        <v>849</v>
      </c>
      <c r="D283" t="s">
        <v>4297</v>
      </c>
      <c r="E283" t="s">
        <v>453</v>
      </c>
      <c r="F283" t="s">
        <v>10516</v>
      </c>
      <c r="G283" t="str">
        <f>VLOOKUP(E283,Table145678910111213141545678910111213146[[CODE]:[Email Local]],4,0)</f>
        <v>kf.10861</v>
      </c>
      <c r="H283">
        <f>VLOOKUP(E283,Table145678910111213141545678910111213146[[CODE]:[Email Local]],6,0)</f>
        <v>0</v>
      </c>
      <c r="J283" t="s">
        <v>67</v>
      </c>
      <c r="K283" s="389">
        <v>45440</v>
      </c>
      <c r="L283" s="389"/>
      <c r="M283" s="389"/>
      <c r="N283" t="s">
        <v>1004</v>
      </c>
    </row>
    <row r="284" spans="1:14" hidden="1">
      <c r="A284">
        <v>431</v>
      </c>
      <c r="B284">
        <v>102</v>
      </c>
      <c r="C284" t="s">
        <v>849</v>
      </c>
      <c r="D284" t="e">
        <v>#N/A</v>
      </c>
      <c r="E284" t="s">
        <v>239</v>
      </c>
      <c r="F284" t="s">
        <v>10517</v>
      </c>
      <c r="G284" t="str">
        <f>VLOOKUP(E284,Table145678910111213141545678910111213146[[CODE]:[Email Local]],4,0)</f>
        <v>24323.linh</v>
      </c>
      <c r="H284">
        <f>VLOOKUP(E284,Table145678910111213141545678910111213146[[CODE]:[Email Local]],6,0)</f>
        <v>0</v>
      </c>
      <c r="J284" t="s">
        <v>67</v>
      </c>
      <c r="K284" s="389">
        <v>45440</v>
      </c>
      <c r="L284" s="389"/>
      <c r="M284" s="389"/>
      <c r="N284" t="s">
        <v>1004</v>
      </c>
    </row>
    <row r="285" spans="1:14" hidden="1">
      <c r="A285">
        <v>432</v>
      </c>
      <c r="B285">
        <v>103</v>
      </c>
      <c r="C285" t="s">
        <v>849</v>
      </c>
      <c r="D285" t="e">
        <v>#N/A</v>
      </c>
      <c r="E285" t="s">
        <v>454</v>
      </c>
      <c r="F285" t="s">
        <v>10518</v>
      </c>
      <c r="G285" t="str">
        <f>VLOOKUP(E285,Table145678910111213141545678910111213146[[CODE]:[Email Local]],4,0)</f>
        <v>kf.17885</v>
      </c>
      <c r="H285">
        <f>VLOOKUP(E285,Table145678910111213141545678910111213146[[CODE]:[Email Local]],6,0)</f>
        <v>0</v>
      </c>
      <c r="J285" t="s">
        <v>67</v>
      </c>
      <c r="K285" s="389">
        <v>45440</v>
      </c>
      <c r="L285" s="389"/>
      <c r="M285" s="389"/>
      <c r="N285" t="s">
        <v>1004</v>
      </c>
    </row>
    <row r="286" spans="1:14" hidden="1">
      <c r="A286">
        <v>433</v>
      </c>
      <c r="B286">
        <v>104</v>
      </c>
      <c r="C286" t="s">
        <v>849</v>
      </c>
      <c r="D286" t="s">
        <v>2867</v>
      </c>
      <c r="E286" t="s">
        <v>455</v>
      </c>
      <c r="F286" t="s">
        <v>10519</v>
      </c>
      <c r="G286" t="str">
        <f>VLOOKUP(E286,Table145678910111213141545678910111213146[[CODE]:[Email Local]],4,0)</f>
        <v>kf.6382</v>
      </c>
      <c r="H286">
        <f>VLOOKUP(E286,Table145678910111213141545678910111213146[[CODE]:[Email Local]],6,0)</f>
        <v>0</v>
      </c>
      <c r="J286" t="s">
        <v>67</v>
      </c>
      <c r="K286" s="389">
        <v>45435</v>
      </c>
      <c r="L286" s="389"/>
      <c r="M286" s="389"/>
      <c r="N286" t="s">
        <v>1004</v>
      </c>
    </row>
    <row r="287" spans="1:14" hidden="1">
      <c r="A287">
        <v>434</v>
      </c>
      <c r="B287">
        <v>105</v>
      </c>
      <c r="C287" t="s">
        <v>849</v>
      </c>
      <c r="D287" t="e">
        <v>#N/A</v>
      </c>
      <c r="E287" t="s">
        <v>7814</v>
      </c>
      <c r="F287" s="38" t="s">
        <v>10520</v>
      </c>
      <c r="G287" t="str">
        <f>VLOOKUP(E287,Table145678910111213141545678910111213146[[CODE]:[Email Local]],4,0)</f>
        <v>25150.chung</v>
      </c>
      <c r="H287">
        <f>VLOOKUP(E287,Table145678910111213141545678910111213146[[CODE]:[Email Local]],6,0)</f>
        <v>0</v>
      </c>
      <c r="J287" t="s">
        <v>67</v>
      </c>
      <c r="K287" s="389">
        <v>45553</v>
      </c>
      <c r="L287" s="389"/>
      <c r="M287" s="389"/>
      <c r="N287" t="s">
        <v>1004</v>
      </c>
    </row>
    <row r="288" spans="1:14" hidden="1">
      <c r="A288">
        <v>435</v>
      </c>
      <c r="B288">
        <v>106</v>
      </c>
      <c r="C288" t="s">
        <v>849</v>
      </c>
      <c r="D288" t="s">
        <v>7994</v>
      </c>
      <c r="E288" t="s">
        <v>7988</v>
      </c>
      <c r="F288" t="s">
        <v>10521</v>
      </c>
      <c r="G288" t="str">
        <f>VLOOKUP(E288,Table145678910111213141545678910111213146[[CODE]:[Email Local]],4,0)</f>
        <v>25658.phuc</v>
      </c>
      <c r="H288">
        <f>VLOOKUP(E288,Table145678910111213141545678910111213146[[CODE]:[Email Local]],6,0)</f>
        <v>0</v>
      </c>
      <c r="J288" t="s">
        <v>67</v>
      </c>
      <c r="K288" s="389">
        <v>45719</v>
      </c>
      <c r="L288" s="389"/>
      <c r="M288" s="389"/>
      <c r="N288" t="s">
        <v>1004</v>
      </c>
    </row>
    <row r="289" spans="1:14" hidden="1">
      <c r="A289">
        <v>436</v>
      </c>
      <c r="B289">
        <v>107</v>
      </c>
      <c r="C289" t="s">
        <v>849</v>
      </c>
      <c r="D289" t="s">
        <v>7993</v>
      </c>
      <c r="E289" t="s">
        <v>7989</v>
      </c>
      <c r="F289" t="s">
        <v>10522</v>
      </c>
      <c r="G289" t="str">
        <f>VLOOKUP(E289,Table145678910111213141545678910111213146[[CODE]:[Email Local]],4,0)</f>
        <v>25659.huy</v>
      </c>
      <c r="H289">
        <f>VLOOKUP(E289,Table145678910111213141545678910111213146[[CODE]:[Email Local]],6,0)</f>
        <v>0</v>
      </c>
      <c r="J289" t="s">
        <v>67</v>
      </c>
      <c r="K289" s="389">
        <v>45719</v>
      </c>
      <c r="L289" s="389"/>
      <c r="M289" s="389"/>
      <c r="N289" t="s">
        <v>1004</v>
      </c>
    </row>
    <row r="290" spans="1:14" hidden="1">
      <c r="A290">
        <v>437</v>
      </c>
      <c r="B290">
        <v>108</v>
      </c>
      <c r="C290" t="s">
        <v>849</v>
      </c>
      <c r="D290" t="s">
        <v>7999</v>
      </c>
      <c r="E290" t="s">
        <v>7995</v>
      </c>
      <c r="F290" t="s">
        <v>10523</v>
      </c>
      <c r="G290" t="str">
        <f>VLOOKUP(E290,Table145678910111213141545678910111213146[[CODE]:[Email Local]],4,0)</f>
        <v>25724.dang</v>
      </c>
      <c r="H290">
        <f>VLOOKUP(E290,Table145678910111213141545678910111213146[[CODE]:[Email Local]],6,0)</f>
        <v>0</v>
      </c>
      <c r="J290" t="s">
        <v>67</v>
      </c>
      <c r="K290" s="389">
        <v>45729</v>
      </c>
      <c r="L290" s="389"/>
      <c r="M290" s="389"/>
      <c r="N290" t="s">
        <v>1004</v>
      </c>
    </row>
    <row r="291" spans="1:14" hidden="1">
      <c r="A291">
        <v>438</v>
      </c>
      <c r="B291">
        <v>109</v>
      </c>
      <c r="C291" t="s">
        <v>849</v>
      </c>
      <c r="D291" t="s">
        <v>8000</v>
      </c>
      <c r="E291" t="s">
        <v>7996</v>
      </c>
      <c r="F291" t="s">
        <v>10524</v>
      </c>
      <c r="G291" t="str">
        <f>VLOOKUP(E291,Table145678910111213141545678910111213146[[CODE]:[Email Local]],4,0)</f>
        <v>25725.thanh</v>
      </c>
      <c r="H291">
        <f>VLOOKUP(E291,Table145678910111213141545678910111213146[[CODE]:[Email Local]],6,0)</f>
        <v>0</v>
      </c>
      <c r="J291" t="s">
        <v>67</v>
      </c>
      <c r="K291" s="389">
        <v>45729</v>
      </c>
      <c r="L291" s="389"/>
      <c r="M291" s="389"/>
      <c r="N291" t="s">
        <v>1004</v>
      </c>
    </row>
    <row r="292" spans="1:14" hidden="1">
      <c r="A292">
        <v>439</v>
      </c>
      <c r="B292">
        <v>110</v>
      </c>
      <c r="C292" t="s">
        <v>849</v>
      </c>
      <c r="D292" t="s">
        <v>8031</v>
      </c>
      <c r="E292" t="s">
        <v>8026</v>
      </c>
      <c r="F292" t="s">
        <v>10525</v>
      </c>
      <c r="G292" t="str">
        <f>VLOOKUP(E292,Table145678910111213141545678910111213146[[CODE]:[Email Local]],4,0)</f>
        <v>25956.linh</v>
      </c>
      <c r="H292">
        <f>VLOOKUP(E292,Table145678910111213141545678910111213146[[CODE]:[Email Local]],6,0)</f>
        <v>0</v>
      </c>
      <c r="J292" t="s">
        <v>67</v>
      </c>
      <c r="K292" s="389">
        <v>45799</v>
      </c>
      <c r="L292" s="389"/>
      <c r="M292" s="389"/>
      <c r="N292" t="s">
        <v>1004</v>
      </c>
    </row>
    <row r="293" spans="1:14" hidden="1">
      <c r="A293">
        <v>440</v>
      </c>
      <c r="B293">
        <v>111</v>
      </c>
      <c r="C293" t="s">
        <v>849</v>
      </c>
      <c r="D293" t="s">
        <v>8030</v>
      </c>
      <c r="E293" t="s">
        <v>8028</v>
      </c>
      <c r="F293" t="s">
        <v>10526</v>
      </c>
      <c r="G293" t="str">
        <f>VLOOKUP(E293,Table145678910111213141545678910111213146[[CODE]:[Email Local]],4,0)</f>
        <v>25957.tinh</v>
      </c>
      <c r="H293">
        <f>VLOOKUP(E293,Table145678910111213141545678910111213146[[CODE]:[Email Local]],6,0)</f>
        <v>0</v>
      </c>
      <c r="J293" t="s">
        <v>67</v>
      </c>
      <c r="K293" s="389">
        <v>45803</v>
      </c>
      <c r="L293" s="389"/>
      <c r="M293" s="389"/>
      <c r="N293" t="s">
        <v>1004</v>
      </c>
    </row>
    <row r="294" spans="1:14" hidden="1">
      <c r="A294">
        <v>441</v>
      </c>
      <c r="C294" t="s">
        <v>849</v>
      </c>
      <c r="D294" t="s">
        <v>8448</v>
      </c>
      <c r="E294" t="s">
        <v>8404</v>
      </c>
      <c r="F294" t="s">
        <v>10527</v>
      </c>
      <c r="G294" t="str">
        <f>VLOOKUP(E294,Table145678910111213141545678910111213146[[CODE]:[Email Local]],4,0)</f>
        <v>26092.hiep</v>
      </c>
      <c r="H294">
        <f>VLOOKUP(E294,Table145678910111213141545678910111213146[[CODE]:[Email Local]],6,0)</f>
        <v>0</v>
      </c>
      <c r="J294" t="s">
        <v>67</v>
      </c>
      <c r="K294" s="389">
        <v>45847</v>
      </c>
      <c r="L294" s="389"/>
      <c r="M294" s="389"/>
      <c r="N294" t="s">
        <v>1004</v>
      </c>
    </row>
    <row r="295" spans="1:14" hidden="1">
      <c r="A295">
        <v>442</v>
      </c>
      <c r="B295">
        <v>112</v>
      </c>
      <c r="C295" t="s">
        <v>849</v>
      </c>
      <c r="D295" t="s">
        <v>7376</v>
      </c>
      <c r="E295" t="s">
        <v>8545</v>
      </c>
      <c r="F295" t="s">
        <v>8547</v>
      </c>
      <c r="G295" t="str">
        <f>VLOOKUP(E295,Table145678910111213141545678910111213146[[CODE]:[Email Local]],4,0)</f>
        <v>26306.dang</v>
      </c>
      <c r="H295">
        <f>VLOOKUP(E295,Table145678910111213141545678910111213146[[CODE]:[Email Local]],6,0)</f>
        <v>0</v>
      </c>
      <c r="J295" t="s">
        <v>67</v>
      </c>
      <c r="K295" s="389">
        <v>45919</v>
      </c>
      <c r="L295" s="389"/>
      <c r="M295" s="389"/>
      <c r="N295" t="s">
        <v>1004</v>
      </c>
    </row>
    <row r="296" spans="1:14" hidden="1">
      <c r="A296">
        <v>443</v>
      </c>
      <c r="C296" t="s">
        <v>849</v>
      </c>
      <c r="D296" t="s">
        <v>8544</v>
      </c>
      <c r="E296" t="s">
        <v>8546</v>
      </c>
      <c r="F296" t="s">
        <v>8548</v>
      </c>
      <c r="G296" t="str">
        <f>VLOOKUP(E296,Table145678910111213141545678910111213146[[CODE]:[Email Local]],4,0)</f>
        <v>26307.truong</v>
      </c>
      <c r="H296">
        <f>VLOOKUP(E296,Table145678910111213141545678910111213146[[CODE]:[Email Local]],6,0)</f>
        <v>0</v>
      </c>
      <c r="J296" t="s">
        <v>67</v>
      </c>
      <c r="K296" s="389">
        <v>45919</v>
      </c>
      <c r="L296" s="389"/>
      <c r="M296" s="389"/>
      <c r="N296" t="s">
        <v>1004</v>
      </c>
    </row>
    <row r="297" spans="1:14" hidden="1">
      <c r="A297">
        <v>444</v>
      </c>
      <c r="B297">
        <v>111</v>
      </c>
      <c r="C297" t="s">
        <v>849</v>
      </c>
      <c r="D297" t="s">
        <v>4325</v>
      </c>
      <c r="E297" t="s">
        <v>8658</v>
      </c>
      <c r="F297" t="s">
        <v>10430</v>
      </c>
      <c r="G297" t="str">
        <f>VLOOKUP(E297,Table145678910111213141545678910111213146[[CODE]:[Email Local]],4,0)</f>
        <v>kf.10953</v>
      </c>
      <c r="H297">
        <f>VLOOKUP(E297,Table145678910111213141545678910111213146[[CODE]:[Email Local]],6,0)</f>
        <v>0</v>
      </c>
      <c r="J297" t="s">
        <v>67</v>
      </c>
      <c r="K297" s="389">
        <v>45440</v>
      </c>
      <c r="L297" s="389"/>
      <c r="M297" s="389"/>
      <c r="N297" t="s">
        <v>1004</v>
      </c>
    </row>
    <row r="298" spans="1:14" hidden="1">
      <c r="A298">
        <v>445</v>
      </c>
      <c r="C298" t="s">
        <v>849</v>
      </c>
      <c r="D298" t="s">
        <v>2949</v>
      </c>
      <c r="E298" t="s">
        <v>8659</v>
      </c>
      <c r="F298" t="s">
        <v>10528</v>
      </c>
      <c r="G298" t="str">
        <f>VLOOKUP(E298,Table145678910111213141545678910111213146[[CODE]:[Email Local]],4,0)</f>
        <v>26040.van</v>
      </c>
      <c r="H298">
        <f>VLOOKUP(E298,Table145678910111213141545678910111213146[[CODE]:[Email Local]],6,0)</f>
        <v>0</v>
      </c>
      <c r="J298" t="s">
        <v>67</v>
      </c>
      <c r="K298" s="389">
        <v>45817</v>
      </c>
      <c r="L298" s="389"/>
      <c r="M298" s="389"/>
      <c r="N298" t="s">
        <v>1004</v>
      </c>
    </row>
    <row r="299" spans="1:14" hidden="1">
      <c r="A299">
        <v>446</v>
      </c>
      <c r="B299">
        <v>112</v>
      </c>
      <c r="C299" t="s">
        <v>849</v>
      </c>
      <c r="D299" t="s">
        <v>4542</v>
      </c>
      <c r="E299" t="s">
        <v>8660</v>
      </c>
      <c r="F299" t="s">
        <v>10529</v>
      </c>
      <c r="G299" t="str">
        <f>VLOOKUP(E299,Table145678910111213141545678910111213146[[CODE]:[Email Local]],4,0)</f>
        <v>26038.cuong</v>
      </c>
      <c r="H299">
        <f>VLOOKUP(E299,Table145678910111213141545678910111213146[[CODE]:[Email Local]],6,0)</f>
        <v>0</v>
      </c>
      <c r="J299" t="s">
        <v>67</v>
      </c>
      <c r="K299" s="389">
        <v>45820</v>
      </c>
      <c r="L299" s="389"/>
      <c r="M299" s="389"/>
      <c r="N299" t="s">
        <v>1004</v>
      </c>
    </row>
    <row r="300" spans="1:14" hidden="1">
      <c r="A300">
        <v>447</v>
      </c>
      <c r="C300" t="s">
        <v>849</v>
      </c>
      <c r="D300" t="s">
        <v>7579</v>
      </c>
      <c r="E300" t="s">
        <v>8661</v>
      </c>
      <c r="F300" t="s">
        <v>10530</v>
      </c>
      <c r="G300" t="str">
        <f>VLOOKUP(E300,Table145678910111213141545678910111213146[[CODE]:[Email Local]],4,0)</f>
        <v>24410.cam</v>
      </c>
      <c r="H300">
        <f>VLOOKUP(E300,Table145678910111213141545678910111213146[[CODE]:[Email Local]],6,0)</f>
        <v>0</v>
      </c>
      <c r="J300" t="s">
        <v>67</v>
      </c>
      <c r="K300" s="389">
        <v>45896</v>
      </c>
      <c r="L300" s="389"/>
      <c r="M300" s="389"/>
      <c r="N300" t="s">
        <v>1004</v>
      </c>
    </row>
    <row r="301" spans="1:14" hidden="1">
      <c r="A301">
        <v>773</v>
      </c>
      <c r="C301" t="s">
        <v>849</v>
      </c>
      <c r="D301" s="38" t="s">
        <v>17234</v>
      </c>
      <c r="E301" t="s">
        <v>17232</v>
      </c>
      <c r="F301" s="38" t="s">
        <v>8808</v>
      </c>
      <c r="H301" t="e">
        <f>VLOOKUP(E301,Table145678910111213141545678910111213146[[CODE]:[Email Local]],6,0)</f>
        <v>#N/A</v>
      </c>
      <c r="J301" t="s">
        <v>67</v>
      </c>
      <c r="K301" s="389" t="s">
        <v>8809</v>
      </c>
      <c r="L301" s="389"/>
      <c r="M301" s="389"/>
      <c r="N301" t="s">
        <v>1004</v>
      </c>
    </row>
    <row r="302" spans="1:14" hidden="1">
      <c r="A302">
        <v>335</v>
      </c>
      <c r="B302">
        <v>6</v>
      </c>
      <c r="C302" t="s">
        <v>849</v>
      </c>
      <c r="D302" t="s">
        <v>4968</v>
      </c>
      <c r="E302" t="s">
        <v>359</v>
      </c>
      <c r="F302" t="s">
        <v>10422</v>
      </c>
      <c r="G302" t="str">
        <f>VLOOKUP(E302,Table145678910111213141545678910111213146[[CODE]:[Email Local]],4,0)</f>
        <v>kf.13852</v>
      </c>
      <c r="H302" t="str">
        <f>VLOOKUP(E302,Table145678910111213141545678910111213146[[CODE]:[Email Local]],6,0)</f>
        <v>ok</v>
      </c>
      <c r="J302" t="s">
        <v>67</v>
      </c>
      <c r="K302" s="389">
        <v>45440</v>
      </c>
      <c r="L302" s="389"/>
      <c r="M302" s="389"/>
      <c r="N302" t="s">
        <v>1004</v>
      </c>
    </row>
    <row r="303" spans="1:14" hidden="1">
      <c r="A303">
        <v>339</v>
      </c>
      <c r="B303">
        <v>10</v>
      </c>
      <c r="C303" t="s">
        <v>849</v>
      </c>
      <c r="D303" t="s">
        <v>9030</v>
      </c>
      <c r="E303" t="s">
        <v>810</v>
      </c>
      <c r="F303" t="s">
        <v>10426</v>
      </c>
      <c r="G303" t="str">
        <f>VLOOKUP(E303,Table145678910111213141545678910111213146[[CODE]:[Email Local]],4,0)</f>
        <v>24851.nga</v>
      </c>
      <c r="H303" t="str">
        <f>VLOOKUP(E303,Table145678910111213141545678910111213146[[CODE]:[Email Local]],6,0)</f>
        <v>ok</v>
      </c>
      <c r="J303" t="s">
        <v>67</v>
      </c>
      <c r="K303" s="389">
        <v>45440</v>
      </c>
      <c r="L303" s="389">
        <v>45749</v>
      </c>
      <c r="M303" s="389">
        <v>45749</v>
      </c>
      <c r="N303" t="e">
        <v>#N/A</v>
      </c>
    </row>
    <row r="304" spans="1:14" hidden="1">
      <c r="A304">
        <v>348</v>
      </c>
      <c r="B304">
        <v>19</v>
      </c>
      <c r="C304" t="s">
        <v>849</v>
      </c>
      <c r="D304" t="s">
        <v>15951</v>
      </c>
      <c r="E304" t="s">
        <v>372</v>
      </c>
      <c r="F304" t="s">
        <v>10435</v>
      </c>
      <c r="G304" t="str">
        <f>VLOOKUP(E304,Table145678910111213141545678910111213146[[CODE]:[Email Local]],4,0)</f>
        <v>kf.5224</v>
      </c>
      <c r="H304" t="str">
        <f>VLOOKUP(E304,Table145678910111213141545678910111213146[[CODE]:[Email Local]],6,0)</f>
        <v>ok</v>
      </c>
      <c r="J304" t="s">
        <v>67</v>
      </c>
      <c r="K304" s="389">
        <v>45440</v>
      </c>
      <c r="L304" s="389"/>
      <c r="M304" s="389"/>
      <c r="N304" t="s">
        <v>1004</v>
      </c>
    </row>
    <row r="305" spans="1:14" hidden="1">
      <c r="A305">
        <v>359</v>
      </c>
      <c r="B305">
        <v>30</v>
      </c>
      <c r="C305" t="s">
        <v>849</v>
      </c>
      <c r="D305" t="s">
        <v>5716</v>
      </c>
      <c r="E305" t="s">
        <v>383</v>
      </c>
      <c r="F305" t="s">
        <v>10446</v>
      </c>
      <c r="G305" t="str">
        <f>VLOOKUP(E305,Table145678910111213141545678910111213146[[CODE]:[Email Local]],4,0)</f>
        <v>kf.17356</v>
      </c>
      <c r="H305" t="str">
        <f>VLOOKUP(E305,Table145678910111213141545678910111213146[[CODE]:[Email Local]],6,0)</f>
        <v>ok</v>
      </c>
      <c r="J305" t="s">
        <v>67</v>
      </c>
      <c r="K305" s="389">
        <v>45440</v>
      </c>
      <c r="L305" s="389"/>
      <c r="M305" s="389"/>
      <c r="N305" t="s">
        <v>1004</v>
      </c>
    </row>
    <row r="306" spans="1:14" hidden="1">
      <c r="A306">
        <v>367</v>
      </c>
      <c r="B306">
        <v>38</v>
      </c>
      <c r="C306" t="s">
        <v>849</v>
      </c>
      <c r="D306" t="s">
        <v>4910</v>
      </c>
      <c r="E306" t="s">
        <v>391</v>
      </c>
      <c r="F306" t="s">
        <v>10454</v>
      </c>
      <c r="G306" t="str">
        <f>VLOOKUP(E306,Table145678910111213141545678910111213146[[CODE]:[Email Local]],4,0)</f>
        <v>kf.13668</v>
      </c>
      <c r="H306" t="str">
        <f>VLOOKUP(E306,Table145678910111213141545678910111213146[[CODE]:[Email Local]],6,0)</f>
        <v>ok</v>
      </c>
      <c r="J306" t="s">
        <v>67</v>
      </c>
      <c r="K306" s="389">
        <v>45440</v>
      </c>
      <c r="L306" s="389"/>
      <c r="M306" s="389"/>
      <c r="N306" t="s">
        <v>1004</v>
      </c>
    </row>
    <row r="307" spans="1:14" hidden="1">
      <c r="A307">
        <v>369</v>
      </c>
      <c r="B307">
        <v>40</v>
      </c>
      <c r="C307" t="s">
        <v>849</v>
      </c>
      <c r="D307" t="s">
        <v>8909</v>
      </c>
      <c r="E307" t="s">
        <v>393</v>
      </c>
      <c r="F307" t="s">
        <v>10456</v>
      </c>
      <c r="G307" t="str">
        <f>VLOOKUP(E307,Table145678910111213141545678910111213146[[CODE]:[Email Local]],4,0)</f>
        <v>kf.12404</v>
      </c>
      <c r="H307" t="str">
        <f>VLOOKUP(E307,Table145678910111213141545678910111213146[[CODE]:[Email Local]],6,0)</f>
        <v>ok</v>
      </c>
      <c r="J307" t="s">
        <v>67</v>
      </c>
      <c r="K307" s="389">
        <v>45440</v>
      </c>
      <c r="L307" s="389">
        <v>45919</v>
      </c>
      <c r="M307" s="389">
        <v>45919</v>
      </c>
      <c r="N307" t="e">
        <v>#N/A</v>
      </c>
    </row>
    <row r="308" spans="1:14" hidden="1">
      <c r="A308">
        <v>371</v>
      </c>
      <c r="B308">
        <v>42</v>
      </c>
      <c r="C308" t="s">
        <v>849</v>
      </c>
      <c r="D308" t="s">
        <v>4738</v>
      </c>
      <c r="E308" t="s">
        <v>395</v>
      </c>
      <c r="F308" t="s">
        <v>10458</v>
      </c>
      <c r="G308" t="str">
        <f>VLOOKUP(E308,Table145678910111213141545678910111213146[[CODE]:[Email Local]],4,0)</f>
        <v>kf.12761</v>
      </c>
      <c r="H308" t="str">
        <f>VLOOKUP(E308,Table145678910111213141545678910111213146[[CODE]:[Email Local]],6,0)</f>
        <v>ok</v>
      </c>
      <c r="J308" t="s">
        <v>67</v>
      </c>
      <c r="K308" s="389">
        <v>45440</v>
      </c>
      <c r="L308" s="389"/>
      <c r="M308" s="389"/>
      <c r="N308" t="s">
        <v>1004</v>
      </c>
    </row>
    <row r="309" spans="1:14" hidden="1">
      <c r="A309">
        <v>394</v>
      </c>
      <c r="B309">
        <v>65</v>
      </c>
      <c r="C309" t="s">
        <v>849</v>
      </c>
      <c r="D309" t="s">
        <v>4744</v>
      </c>
      <c r="E309" t="s">
        <v>8653</v>
      </c>
      <c r="F309" t="s">
        <v>10480</v>
      </c>
      <c r="G309" t="str">
        <f>VLOOKUP(E309,Table145678910111213141545678910111213146[[CODE]:[Email Local]],4,0)</f>
        <v>kf.12806</v>
      </c>
      <c r="H309" t="str">
        <f>VLOOKUP(E309,Table145678910111213141545678910111213146[[CODE]:[Email Local]],6,0)</f>
        <v>ok</v>
      </c>
      <c r="J309" t="s">
        <v>67</v>
      </c>
      <c r="K309" s="389">
        <v>45440</v>
      </c>
      <c r="L309" s="389"/>
      <c r="M309" s="389"/>
      <c r="N309" t="s">
        <v>1004</v>
      </c>
    </row>
    <row r="310" spans="1:14" hidden="1">
      <c r="A310">
        <v>395</v>
      </c>
      <c r="B310">
        <v>66</v>
      </c>
      <c r="C310" t="s">
        <v>849</v>
      </c>
      <c r="D310" t="s">
        <v>4364</v>
      </c>
      <c r="E310" t="s">
        <v>423</v>
      </c>
      <c r="F310" t="s">
        <v>10481</v>
      </c>
      <c r="G310" t="str">
        <f>VLOOKUP(E310,Table145678910111213141545678910111213146[[CODE]:[Email Local]],4,0)</f>
        <v>kf.11131</v>
      </c>
      <c r="H310" t="str">
        <f>VLOOKUP(E310,Table145678910111213141545678910111213146[[CODE]:[Email Local]],6,0)</f>
        <v>ok</v>
      </c>
      <c r="J310" t="s">
        <v>67</v>
      </c>
      <c r="K310" s="389">
        <v>45440</v>
      </c>
      <c r="L310" s="389"/>
      <c r="M310" s="389"/>
      <c r="N310" t="s">
        <v>1004</v>
      </c>
    </row>
    <row r="311" spans="1:14" hidden="1">
      <c r="A311">
        <v>399</v>
      </c>
      <c r="B311">
        <v>70</v>
      </c>
      <c r="C311" t="s">
        <v>849</v>
      </c>
      <c r="D311" t="s">
        <v>2647</v>
      </c>
      <c r="E311" t="s">
        <v>427</v>
      </c>
      <c r="F311" t="s">
        <v>10485</v>
      </c>
      <c r="G311" t="str">
        <f>VLOOKUP(E311,Table145678910111213141545678910111213146[[CODE]:[Email Local]],4,0)</f>
        <v>kf.11724</v>
      </c>
      <c r="H311" t="str">
        <f>VLOOKUP(E311,Table145678910111213141545678910111213146[[CODE]:[Email Local]],6,0)</f>
        <v>ok</v>
      </c>
      <c r="J311" t="s">
        <v>67</v>
      </c>
      <c r="K311" s="389">
        <v>45440</v>
      </c>
      <c r="L311" s="389"/>
      <c r="M311" s="389"/>
      <c r="N311" t="s">
        <v>1004</v>
      </c>
    </row>
    <row r="312" spans="1:14" hidden="1">
      <c r="A312">
        <v>404</v>
      </c>
      <c r="B312">
        <v>75</v>
      </c>
      <c r="C312" t="s">
        <v>849</v>
      </c>
      <c r="D312" t="s">
        <v>5926</v>
      </c>
      <c r="E312" t="s">
        <v>431</v>
      </c>
      <c r="F312" t="s">
        <v>10490</v>
      </c>
      <c r="G312" t="str">
        <f>VLOOKUP(E312,Table145678910111213141545678910111213146[[CODE]:[Email Local]],4,0)</f>
        <v>kf.18062</v>
      </c>
      <c r="H312" t="str">
        <f>VLOOKUP(E312,Table145678910111213141545678910111213146[[CODE]:[Email Local]],6,0)</f>
        <v>ok</v>
      </c>
      <c r="J312" t="s">
        <v>67</v>
      </c>
      <c r="K312" s="389">
        <v>45440</v>
      </c>
      <c r="L312" s="389"/>
      <c r="M312" s="389"/>
      <c r="N312" t="s">
        <v>1004</v>
      </c>
    </row>
    <row r="313" spans="1:14" hidden="1">
      <c r="A313">
        <v>413</v>
      </c>
      <c r="B313">
        <v>84</v>
      </c>
      <c r="C313" t="s">
        <v>849</v>
      </c>
      <c r="D313" t="e">
        <v>#N/A</v>
      </c>
      <c r="E313" t="s">
        <v>440</v>
      </c>
      <c r="F313" s="38" t="s">
        <v>10499</v>
      </c>
      <c r="G313" t="str">
        <f>VLOOKUP(E313,Table145678910111213141545678910111213146[[CODE]:[Email Local]],4,0)</f>
        <v>kf.13669</v>
      </c>
      <c r="H313" t="str">
        <f>VLOOKUP(E313,Table145678910111213141545678910111213146[[CODE]:[Email Local]],6,0)</f>
        <v>ok</v>
      </c>
      <c r="J313" t="s">
        <v>67</v>
      </c>
      <c r="K313" s="389">
        <v>45440</v>
      </c>
      <c r="L313" s="389"/>
      <c r="M313" s="389"/>
      <c r="N313" t="s">
        <v>1004</v>
      </c>
    </row>
    <row r="314" spans="1:14" hidden="1">
      <c r="A314">
        <v>172</v>
      </c>
      <c r="B314">
        <v>1</v>
      </c>
      <c r="C314" t="s">
        <v>216</v>
      </c>
      <c r="D314" t="s">
        <v>3688</v>
      </c>
      <c r="E314" t="s">
        <v>212</v>
      </c>
      <c r="F314" t="s">
        <v>10263</v>
      </c>
      <c r="G314" t="str">
        <f>VLOOKUP(E314,Table145678910111213141545678910111213146[[CODE]:[Email Local]],4,0)</f>
        <v>kd.08954</v>
      </c>
      <c r="H314">
        <f>VLOOKUP(E314,Table145678910111213141545678910111213146[[CODE]:[Email Local]],6,0)</f>
        <v>0</v>
      </c>
      <c r="J314" t="s">
        <v>67</v>
      </c>
      <c r="K314" s="389">
        <v>45415</v>
      </c>
      <c r="L314" s="389"/>
      <c r="M314" s="389"/>
      <c r="N314" t="s">
        <v>1255</v>
      </c>
    </row>
    <row r="315" spans="1:14" hidden="1">
      <c r="A315">
        <v>173</v>
      </c>
      <c r="B315">
        <v>2</v>
      </c>
      <c r="C315" t="s">
        <v>216</v>
      </c>
      <c r="D315" t="s">
        <v>1253</v>
      </c>
      <c r="E315" t="s">
        <v>213</v>
      </c>
      <c r="F315" t="s">
        <v>10264</v>
      </c>
      <c r="G315" t="str">
        <f>VLOOKUP(E315,Table145678910111213141545678910111213146[[CODE]:[Email Local]],4,0)</f>
        <v>kd.0766</v>
      </c>
      <c r="H315">
        <f>VLOOKUP(E315,Table145678910111213141545678910111213146[[CODE]:[Email Local]],6,0)</f>
        <v>0</v>
      </c>
      <c r="J315" t="s">
        <v>67</v>
      </c>
      <c r="K315" s="389">
        <v>45415</v>
      </c>
      <c r="L315" s="389"/>
      <c r="M315" s="389"/>
      <c r="N315" t="s">
        <v>1255</v>
      </c>
    </row>
    <row r="316" spans="1:14" hidden="1">
      <c r="A316">
        <v>174</v>
      </c>
      <c r="B316">
        <v>3</v>
      </c>
      <c r="C316" t="s">
        <v>216</v>
      </c>
      <c r="D316" t="s">
        <v>1370</v>
      </c>
      <c r="E316" t="s">
        <v>214</v>
      </c>
      <c r="F316" t="s">
        <v>10265</v>
      </c>
      <c r="G316" t="str">
        <f>VLOOKUP(E316,Table145678910111213141545678910111213146[[CODE]:[Email Local]],4,0)</f>
        <v>kd.1014</v>
      </c>
      <c r="H316">
        <f>VLOOKUP(E316,Table145678910111213141545678910111213146[[CODE]:[Email Local]],6,0)</f>
        <v>0</v>
      </c>
      <c r="J316" t="s">
        <v>67</v>
      </c>
      <c r="K316" s="389">
        <v>45415</v>
      </c>
      <c r="L316" s="389"/>
      <c r="M316" s="389"/>
      <c r="N316" t="s">
        <v>1255</v>
      </c>
    </row>
    <row r="317" spans="1:14" hidden="1">
      <c r="A317">
        <v>175</v>
      </c>
      <c r="B317">
        <v>4</v>
      </c>
      <c r="C317" t="s">
        <v>216</v>
      </c>
      <c r="D317" t="s">
        <v>5544</v>
      </c>
      <c r="E317" t="s">
        <v>220</v>
      </c>
      <c r="F317" t="s">
        <v>10266</v>
      </c>
      <c r="G317" t="str">
        <f>VLOOKUP(E317,Table145678910111213141545678910111213146[[CODE]:[Email Local]],4,0)</f>
        <v>kd.16629</v>
      </c>
      <c r="H317">
        <f>VLOOKUP(E317,Table145678910111213141545678910111213146[[CODE]:[Email Local]],6,0)</f>
        <v>0</v>
      </c>
      <c r="J317" t="s">
        <v>67</v>
      </c>
      <c r="K317" s="389">
        <v>45415</v>
      </c>
      <c r="L317" s="389"/>
      <c r="M317" s="389"/>
      <c r="N317" t="s">
        <v>1255</v>
      </c>
    </row>
    <row r="318" spans="1:14" hidden="1">
      <c r="A318">
        <v>176</v>
      </c>
      <c r="B318">
        <v>5</v>
      </c>
      <c r="C318" t="s">
        <v>216</v>
      </c>
      <c r="D318" t="s">
        <v>4285</v>
      </c>
      <c r="E318" t="s">
        <v>242</v>
      </c>
      <c r="F318" t="s">
        <v>10267</v>
      </c>
      <c r="G318" t="str">
        <f>VLOOKUP(E318,Table145678910111213141545678910111213146[[CODE]:[Email Local]],4,0)</f>
        <v>kd.10839</v>
      </c>
      <c r="H318">
        <f>VLOOKUP(E318,Table145678910111213141545678910111213146[[CODE]:[Email Local]],6,0)</f>
        <v>0</v>
      </c>
      <c r="J318" t="s">
        <v>67</v>
      </c>
      <c r="K318" s="389">
        <v>45415</v>
      </c>
      <c r="L318" s="389"/>
      <c r="M318" s="389"/>
      <c r="N318" t="s">
        <v>1451</v>
      </c>
    </row>
    <row r="319" spans="1:14" hidden="1">
      <c r="A319">
        <v>177</v>
      </c>
      <c r="B319">
        <v>6</v>
      </c>
      <c r="C319" t="s">
        <v>216</v>
      </c>
      <c r="D319" t="s">
        <v>4400</v>
      </c>
      <c r="E319" t="s">
        <v>222</v>
      </c>
      <c r="F319" t="s">
        <v>10268</v>
      </c>
      <c r="G319" t="str">
        <f>VLOOKUP(E319,Table145678910111213141545678910111213146[[CODE]:[Email Local]],4,0)</f>
        <v>kd.11287</v>
      </c>
      <c r="H319">
        <f>VLOOKUP(E319,Table145678910111213141545678910111213146[[CODE]:[Email Local]],6,0)</f>
        <v>0</v>
      </c>
      <c r="J319" t="s">
        <v>67</v>
      </c>
      <c r="K319" s="389">
        <v>45415</v>
      </c>
      <c r="L319" s="389"/>
      <c r="M319" s="389"/>
      <c r="N319" t="s">
        <v>1255</v>
      </c>
    </row>
    <row r="320" spans="1:14" hidden="1">
      <c r="A320">
        <v>178</v>
      </c>
      <c r="B320">
        <v>7</v>
      </c>
      <c r="C320" t="s">
        <v>216</v>
      </c>
      <c r="D320" t="s">
        <v>7400</v>
      </c>
      <c r="E320" t="s">
        <v>237</v>
      </c>
      <c r="F320" t="s">
        <v>10269</v>
      </c>
      <c r="G320" t="str">
        <f>VLOOKUP(E320,Table145678910111213141545678910111213146[[CODE]:[Email Local]],4,0)</f>
        <v>kd.23987</v>
      </c>
      <c r="H320">
        <f>VLOOKUP(E320,Table145678910111213141545678910111213146[[CODE]:[Email Local]],6,0)</f>
        <v>0</v>
      </c>
      <c r="J320" t="s">
        <v>67</v>
      </c>
      <c r="K320" s="389">
        <v>45415</v>
      </c>
      <c r="L320" s="389"/>
      <c r="M320" s="389"/>
      <c r="N320" t="s">
        <v>1451</v>
      </c>
    </row>
    <row r="321" spans="1:14" hidden="1">
      <c r="A321">
        <v>179</v>
      </c>
      <c r="B321">
        <v>8</v>
      </c>
      <c r="C321" t="s">
        <v>216</v>
      </c>
      <c r="D321" t="s">
        <v>4479</v>
      </c>
      <c r="E321" t="s">
        <v>226</v>
      </c>
      <c r="F321" t="s">
        <v>10270</v>
      </c>
      <c r="G321" t="str">
        <f>VLOOKUP(E321,Table145678910111213141545678910111213146[[CODE]:[Email Local]],4,0)</f>
        <v>kd.11581</v>
      </c>
      <c r="H321">
        <f>VLOOKUP(E321,Table145678910111213141545678910111213146[[CODE]:[Email Local]],6,0)</f>
        <v>0</v>
      </c>
      <c r="J321" t="s">
        <v>67</v>
      </c>
      <c r="K321" s="389">
        <v>45415</v>
      </c>
      <c r="L321" s="389"/>
      <c r="M321" s="389"/>
      <c r="N321" t="s">
        <v>1255</v>
      </c>
    </row>
    <row r="322" spans="1:14" hidden="1">
      <c r="A322">
        <v>180</v>
      </c>
      <c r="B322">
        <v>9</v>
      </c>
      <c r="C322" t="s">
        <v>216</v>
      </c>
      <c r="D322" t="s">
        <v>4402</v>
      </c>
      <c r="E322" t="s">
        <v>218</v>
      </c>
      <c r="F322" t="s">
        <v>10271</v>
      </c>
      <c r="G322" t="str">
        <f>VLOOKUP(E322,Table145678910111213141545678910111213146[[CODE]:[Email Local]],4,0)</f>
        <v>kd.11288</v>
      </c>
      <c r="H322">
        <f>VLOOKUP(E322,Table145678910111213141545678910111213146[[CODE]:[Email Local]],6,0)</f>
        <v>0</v>
      </c>
      <c r="J322" t="s">
        <v>67</v>
      </c>
      <c r="K322" s="389">
        <v>45415</v>
      </c>
      <c r="L322" s="389"/>
      <c r="M322" s="389"/>
      <c r="N322" t="s">
        <v>1451</v>
      </c>
    </row>
    <row r="323" spans="1:14" hidden="1">
      <c r="A323">
        <v>181</v>
      </c>
      <c r="B323">
        <v>10</v>
      </c>
      <c r="C323" t="s">
        <v>216</v>
      </c>
      <c r="D323" t="s">
        <v>1673</v>
      </c>
      <c r="E323" t="s">
        <v>247</v>
      </c>
      <c r="F323" t="s">
        <v>10272</v>
      </c>
      <c r="G323" t="str">
        <f>VLOOKUP(E323,Table145678910111213141545678910111213146[[CODE]:[Email Local]],4,0)</f>
        <v>kd.1777</v>
      </c>
      <c r="H323">
        <f>VLOOKUP(E323,Table145678910111213141545678910111213146[[CODE]:[Email Local]],6,0)</f>
        <v>0</v>
      </c>
      <c r="J323" t="s">
        <v>67</v>
      </c>
      <c r="K323" s="389">
        <v>45415</v>
      </c>
      <c r="L323" s="389"/>
      <c r="M323" s="389"/>
      <c r="N323" t="s">
        <v>1675</v>
      </c>
    </row>
    <row r="324" spans="1:14" hidden="1">
      <c r="A324">
        <v>182</v>
      </c>
      <c r="B324">
        <v>11</v>
      </c>
      <c r="C324" t="s">
        <v>216</v>
      </c>
      <c r="D324" t="s">
        <v>3646</v>
      </c>
      <c r="E324" t="s">
        <v>227</v>
      </c>
      <c r="F324" t="s">
        <v>10273</v>
      </c>
      <c r="G324" t="str">
        <f>VLOOKUP(E324,Table145678910111213141545678910111213146[[CODE]:[Email Local]],4,0)</f>
        <v>kd.8787</v>
      </c>
      <c r="H324">
        <f>VLOOKUP(E324,Table145678910111213141545678910111213146[[CODE]:[Email Local]],6,0)</f>
        <v>0</v>
      </c>
      <c r="J324" t="s">
        <v>67</v>
      </c>
      <c r="K324" s="389">
        <v>45415</v>
      </c>
      <c r="L324" s="389"/>
      <c r="M324" s="389"/>
      <c r="N324" t="s">
        <v>1255</v>
      </c>
    </row>
    <row r="325" spans="1:14" hidden="1">
      <c r="A325">
        <v>183</v>
      </c>
      <c r="B325">
        <v>12</v>
      </c>
      <c r="C325" t="s">
        <v>216</v>
      </c>
      <c r="D325" t="s">
        <v>4160</v>
      </c>
      <c r="E325" t="s">
        <v>232</v>
      </c>
      <c r="F325" t="s">
        <v>10274</v>
      </c>
      <c r="G325" t="str">
        <f>VLOOKUP(E325,Table145678910111213141545678910111213146[[CODE]:[Email Local]],4,0)</f>
        <v>kd.10507</v>
      </c>
      <c r="H325">
        <f>VLOOKUP(E325,Table145678910111213141545678910111213146[[CODE]:[Email Local]],6,0)</f>
        <v>0</v>
      </c>
      <c r="J325" t="s">
        <v>67</v>
      </c>
      <c r="K325" s="389">
        <v>45415</v>
      </c>
      <c r="L325" s="389">
        <v>45806</v>
      </c>
      <c r="M325" s="389">
        <v>45806</v>
      </c>
      <c r="N325" t="e">
        <v>#N/A</v>
      </c>
    </row>
    <row r="326" spans="1:14" hidden="1">
      <c r="A326">
        <v>184</v>
      </c>
      <c r="B326">
        <v>13</v>
      </c>
      <c r="C326" t="s">
        <v>216</v>
      </c>
      <c r="D326" t="s">
        <v>7775</v>
      </c>
      <c r="E326" t="s">
        <v>217</v>
      </c>
      <c r="F326" t="s">
        <v>10275</v>
      </c>
      <c r="G326" t="str">
        <f>VLOOKUP(E326,Table145678910111213141545678910111213146[[CODE]:[Email Local]],4,0)</f>
        <v>24870.hoai</v>
      </c>
      <c r="H326">
        <f>VLOOKUP(E326,Table145678910111213141545678910111213146[[CODE]:[Email Local]],6,0)</f>
        <v>0</v>
      </c>
      <c r="J326" t="s">
        <v>67</v>
      </c>
      <c r="K326" s="389">
        <v>45444</v>
      </c>
      <c r="L326" s="389"/>
      <c r="M326" s="389"/>
      <c r="N326" t="s">
        <v>1451</v>
      </c>
    </row>
    <row r="327" spans="1:14" hidden="1">
      <c r="A327">
        <v>185</v>
      </c>
      <c r="B327">
        <v>14</v>
      </c>
      <c r="C327" t="s">
        <v>216</v>
      </c>
      <c r="D327" t="s">
        <v>2590</v>
      </c>
      <c r="E327" t="s">
        <v>221</v>
      </c>
      <c r="F327" t="s">
        <v>10276</v>
      </c>
      <c r="G327" t="str">
        <f>VLOOKUP(E327,Table145678910111213141545678910111213146[[CODE]:[Email Local]],4,0)</f>
        <v>kd.4844</v>
      </c>
      <c r="H327">
        <f>VLOOKUP(E327,Table145678910111213141545678910111213146[[CODE]:[Email Local]],6,0)</f>
        <v>0</v>
      </c>
      <c r="J327" t="s">
        <v>67</v>
      </c>
      <c r="K327" s="389">
        <v>45415</v>
      </c>
      <c r="L327" s="389"/>
      <c r="M327" s="389"/>
      <c r="N327" t="s">
        <v>1255</v>
      </c>
    </row>
    <row r="328" spans="1:14" hidden="1">
      <c r="A328">
        <v>186</v>
      </c>
      <c r="B328">
        <v>15</v>
      </c>
      <c r="C328" t="s">
        <v>216</v>
      </c>
      <c r="D328" t="s">
        <v>4970</v>
      </c>
      <c r="E328" t="s">
        <v>244</v>
      </c>
      <c r="F328" t="s">
        <v>10277</v>
      </c>
      <c r="G328" t="str">
        <f>VLOOKUP(E328,Table145678910111213141545678910111213146[[CODE]:[Email Local]],4,0)</f>
        <v>kd.13855</v>
      </c>
      <c r="H328">
        <f>VLOOKUP(E328,Table145678910111213141545678910111213146[[CODE]:[Email Local]],6,0)</f>
        <v>0</v>
      </c>
      <c r="J328" t="s">
        <v>67</v>
      </c>
      <c r="K328" s="389">
        <v>45415</v>
      </c>
      <c r="L328" s="389"/>
      <c r="M328" s="389"/>
      <c r="N328" t="s">
        <v>1675</v>
      </c>
    </row>
    <row r="329" spans="1:14" hidden="1">
      <c r="A329">
        <v>187</v>
      </c>
      <c r="B329">
        <v>16</v>
      </c>
      <c r="C329" t="s">
        <v>216</v>
      </c>
      <c r="D329" t="s">
        <v>7577</v>
      </c>
      <c r="E329" t="s">
        <v>224</v>
      </c>
      <c r="F329" t="s">
        <v>10278</v>
      </c>
      <c r="G329" t="str">
        <f>VLOOKUP(E329,Table145678910111213141545678910111213146[[CODE]:[Email Local]],4,0)</f>
        <v>24409.yen</v>
      </c>
      <c r="H329">
        <f>VLOOKUP(E329,Table145678910111213141545678910111213146[[CODE]:[Email Local]],6,0)</f>
        <v>0</v>
      </c>
      <c r="J329" t="s">
        <v>67</v>
      </c>
      <c r="K329" s="389">
        <v>45415</v>
      </c>
      <c r="L329" s="389"/>
      <c r="M329" s="389"/>
      <c r="N329" t="s">
        <v>1675</v>
      </c>
    </row>
    <row r="330" spans="1:14" hidden="1">
      <c r="A330">
        <v>188</v>
      </c>
      <c r="B330">
        <v>17</v>
      </c>
      <c r="C330" t="s">
        <v>216</v>
      </c>
      <c r="D330" t="s">
        <v>16193</v>
      </c>
      <c r="E330" t="s">
        <v>235</v>
      </c>
      <c r="F330" t="s">
        <v>10279</v>
      </c>
      <c r="G330" t="e">
        <f>VLOOKUP(E330,Table145678910111213141545678910111213146[[CODE]:[Email Local]],4,0)</f>
        <v>#N/A</v>
      </c>
      <c r="H330" t="e">
        <f>VLOOKUP(E330,Table145678910111213141545678910111213146[[CODE]:[Email Local]],6,0)</f>
        <v>#N/A</v>
      </c>
      <c r="J330" t="s">
        <v>67</v>
      </c>
      <c r="K330" s="389">
        <v>45415</v>
      </c>
      <c r="L330" s="389">
        <v>45925</v>
      </c>
      <c r="M330" s="389">
        <v>45960</v>
      </c>
      <c r="N330" t="e">
        <v>#N/A</v>
      </c>
    </row>
    <row r="331" spans="1:14" hidden="1">
      <c r="A331">
        <v>189</v>
      </c>
      <c r="B331">
        <v>18</v>
      </c>
      <c r="C331" t="s">
        <v>216</v>
      </c>
      <c r="D331" t="s">
        <v>2214</v>
      </c>
      <c r="E331" t="s">
        <v>238</v>
      </c>
      <c r="F331" t="s">
        <v>10280</v>
      </c>
      <c r="G331" t="str">
        <f>VLOOKUP(E331,Table145678910111213141545678910111213146[[CODE]:[Email Local]],4,0)</f>
        <v>kd.3423</v>
      </c>
      <c r="H331">
        <f>VLOOKUP(E331,Table145678910111213141545678910111213146[[CODE]:[Email Local]],6,0)</f>
        <v>0</v>
      </c>
      <c r="J331" t="s">
        <v>67</v>
      </c>
      <c r="K331" s="389">
        <v>45415</v>
      </c>
      <c r="L331" s="389"/>
      <c r="M331" s="389"/>
      <c r="N331" t="s">
        <v>1451</v>
      </c>
    </row>
    <row r="332" spans="1:14" hidden="1">
      <c r="A332">
        <v>190</v>
      </c>
      <c r="B332">
        <v>19</v>
      </c>
      <c r="C332" t="s">
        <v>216</v>
      </c>
      <c r="D332" t="s">
        <v>1449</v>
      </c>
      <c r="E332" t="s">
        <v>248</v>
      </c>
      <c r="F332" t="s">
        <v>10281</v>
      </c>
      <c r="G332" t="str">
        <f>VLOOKUP(E332,Table145678910111213141545678910111213146[[CODE]:[Email Local]],4,0)</f>
        <v>kd.1204</v>
      </c>
      <c r="H332">
        <f>VLOOKUP(E332,Table145678910111213141545678910111213146[[CODE]:[Email Local]],6,0)</f>
        <v>0</v>
      </c>
      <c r="J332" t="s">
        <v>67</v>
      </c>
      <c r="K332" s="389">
        <v>45415</v>
      </c>
      <c r="L332" s="389"/>
      <c r="M332" s="389"/>
      <c r="N332" t="s">
        <v>1451</v>
      </c>
    </row>
    <row r="333" spans="1:14" hidden="1">
      <c r="A333">
        <v>191</v>
      </c>
      <c r="B333">
        <v>20</v>
      </c>
      <c r="C333" t="s">
        <v>216</v>
      </c>
      <c r="D333" t="s">
        <v>7527</v>
      </c>
      <c r="E333" t="s">
        <v>254</v>
      </c>
      <c r="F333" t="s">
        <v>10282</v>
      </c>
      <c r="G333" t="str">
        <f>VLOOKUP(E333,Table145678910111213141545678910111213146[[CODE]:[Email Local]],4,0)</f>
        <v>24329.huyen</v>
      </c>
      <c r="H333">
        <f>VLOOKUP(E333,Table145678910111213141545678910111213146[[CODE]:[Email Local]],6,0)</f>
        <v>0</v>
      </c>
      <c r="J333" t="s">
        <v>67</v>
      </c>
      <c r="K333" s="389">
        <v>45415</v>
      </c>
      <c r="L333" s="389"/>
      <c r="M333" s="389"/>
      <c r="N333" t="s">
        <v>1451</v>
      </c>
    </row>
    <row r="334" spans="1:14" hidden="1">
      <c r="A334">
        <v>192</v>
      </c>
      <c r="B334">
        <v>21</v>
      </c>
      <c r="C334" t="s">
        <v>216</v>
      </c>
      <c r="D334" t="s">
        <v>2260</v>
      </c>
      <c r="E334" t="s">
        <v>233</v>
      </c>
      <c r="F334" t="s">
        <v>10283</v>
      </c>
      <c r="G334" t="str">
        <f>VLOOKUP(E334,Table145678910111213141545678910111213146[[CODE]:[Email Local]],4,0)</f>
        <v>kd.03550</v>
      </c>
      <c r="H334">
        <f>VLOOKUP(E334,Table145678910111213141545678910111213146[[CODE]:[Email Local]],6,0)</f>
        <v>0</v>
      </c>
      <c r="J334" t="s">
        <v>67</v>
      </c>
      <c r="K334" s="389">
        <v>45415</v>
      </c>
      <c r="L334" s="389"/>
      <c r="M334" s="389"/>
      <c r="N334" t="s">
        <v>1255</v>
      </c>
    </row>
    <row r="335" spans="1:14" hidden="1">
      <c r="A335">
        <v>193</v>
      </c>
      <c r="B335">
        <v>22</v>
      </c>
      <c r="C335" t="s">
        <v>216</v>
      </c>
      <c r="D335" t="s">
        <v>5061</v>
      </c>
      <c r="E335" t="s">
        <v>249</v>
      </c>
      <c r="F335" t="s">
        <v>10284</v>
      </c>
      <c r="G335" t="str">
        <f>VLOOKUP(E335,Table145678910111213141545678910111213146[[CODE]:[Email Local]],4,0)</f>
        <v>kd.14394</v>
      </c>
      <c r="H335">
        <f>VLOOKUP(E335,Table145678910111213141545678910111213146[[CODE]:[Email Local]],6,0)</f>
        <v>0</v>
      </c>
      <c r="J335" t="s">
        <v>67</v>
      </c>
      <c r="K335" s="389">
        <v>45415</v>
      </c>
      <c r="L335" s="389"/>
      <c r="M335" s="389"/>
      <c r="N335" t="s">
        <v>1675</v>
      </c>
    </row>
    <row r="336" spans="1:14" hidden="1">
      <c r="A336">
        <v>194</v>
      </c>
      <c r="B336">
        <v>23</v>
      </c>
      <c r="C336" t="s">
        <v>216</v>
      </c>
      <c r="D336" t="s">
        <v>6356</v>
      </c>
      <c r="E336" t="s">
        <v>256</v>
      </c>
      <c r="F336" t="s">
        <v>10285</v>
      </c>
      <c r="G336" t="str">
        <f>VLOOKUP(E336,Table145678910111213141545678910111213146[[CODE]:[Email Local]],4,0)</f>
        <v>kd.19818</v>
      </c>
      <c r="H336">
        <f>VLOOKUP(E336,Table145678910111213141545678910111213146[[CODE]:[Email Local]],6,0)</f>
        <v>0</v>
      </c>
      <c r="J336" t="s">
        <v>67</v>
      </c>
      <c r="K336" s="389">
        <v>45415</v>
      </c>
      <c r="L336" s="389"/>
      <c r="M336" s="389"/>
      <c r="N336" t="s">
        <v>1451</v>
      </c>
    </row>
    <row r="337" spans="1:14" hidden="1">
      <c r="A337">
        <v>195</v>
      </c>
      <c r="B337">
        <v>24</v>
      </c>
      <c r="C337" t="s">
        <v>216</v>
      </c>
      <c r="D337" t="s">
        <v>4233</v>
      </c>
      <c r="E337" t="s">
        <v>240</v>
      </c>
      <c r="F337" t="s">
        <v>10286</v>
      </c>
      <c r="G337" t="str">
        <f>VLOOKUP(E337,Table145678910111213141545678910111213146[[CODE]:[Email Local]],4,0)</f>
        <v>kd.10704</v>
      </c>
      <c r="H337">
        <f>VLOOKUP(E337,Table145678910111213141545678910111213146[[CODE]:[Email Local]],6,0)</f>
        <v>0</v>
      </c>
      <c r="J337" t="s">
        <v>67</v>
      </c>
      <c r="K337" s="389">
        <v>45415</v>
      </c>
      <c r="L337" s="389"/>
      <c r="M337" s="389"/>
      <c r="N337" t="s">
        <v>1451</v>
      </c>
    </row>
    <row r="338" spans="1:14" hidden="1">
      <c r="A338">
        <v>196</v>
      </c>
      <c r="B338">
        <v>25</v>
      </c>
      <c r="C338" t="s">
        <v>216</v>
      </c>
      <c r="D338" t="s">
        <v>7535</v>
      </c>
      <c r="E338" t="s">
        <v>255</v>
      </c>
      <c r="F338" t="s">
        <v>10287</v>
      </c>
      <c r="G338" t="str">
        <f>VLOOKUP(E338,Table145678910111213141545678910111213146[[CODE]:[Email Local]],4,0)</f>
        <v>24338.mai</v>
      </c>
      <c r="H338">
        <f>VLOOKUP(E338,Table145678910111213141545678910111213146[[CODE]:[Email Local]],6,0)</f>
        <v>0</v>
      </c>
      <c r="J338" t="s">
        <v>67</v>
      </c>
      <c r="K338" s="389">
        <v>45415</v>
      </c>
      <c r="L338" s="389"/>
      <c r="M338" s="389"/>
      <c r="N338" t="s">
        <v>1675</v>
      </c>
    </row>
    <row r="339" spans="1:14" hidden="1">
      <c r="A339">
        <v>197</v>
      </c>
      <c r="B339">
        <v>26</v>
      </c>
      <c r="C339" t="s">
        <v>216</v>
      </c>
      <c r="D339" t="s">
        <v>4456</v>
      </c>
      <c r="E339" t="s">
        <v>246</v>
      </c>
      <c r="F339" t="s">
        <v>10288</v>
      </c>
      <c r="G339" t="str">
        <f>VLOOKUP(E339,Table145678910111213141545678910111213146[[CODE]:[Email Local]],4,0)</f>
        <v>kd.11458</v>
      </c>
      <c r="H339">
        <f>VLOOKUP(E339,Table145678910111213141545678910111213146[[CODE]:[Email Local]],6,0)</f>
        <v>0</v>
      </c>
      <c r="J339" t="s">
        <v>67</v>
      </c>
      <c r="K339" s="389">
        <v>45415</v>
      </c>
      <c r="L339" s="389"/>
      <c r="M339" s="389"/>
      <c r="N339" t="s">
        <v>1675</v>
      </c>
    </row>
    <row r="340" spans="1:14" hidden="1">
      <c r="A340">
        <v>198</v>
      </c>
      <c r="B340">
        <v>27</v>
      </c>
      <c r="C340" t="s">
        <v>216</v>
      </c>
      <c r="D340" t="s">
        <v>16189</v>
      </c>
      <c r="E340" t="s">
        <v>257</v>
      </c>
      <c r="F340" t="s">
        <v>10289</v>
      </c>
      <c r="G340" t="e">
        <f>VLOOKUP(E340,Table145678910111213141545678910111213146[[CODE]:[Email Local]],4,0)</f>
        <v>#N/A</v>
      </c>
      <c r="H340" t="e">
        <f>VLOOKUP(E340,Table145678910111213141545678910111213146[[CODE]:[Email Local]],6,0)</f>
        <v>#N/A</v>
      </c>
      <c r="J340" t="s">
        <v>67</v>
      </c>
      <c r="K340" s="389">
        <v>45415</v>
      </c>
      <c r="L340" s="389">
        <v>45806</v>
      </c>
      <c r="M340" s="389">
        <v>45806</v>
      </c>
      <c r="N340" t="e">
        <v>#N/A</v>
      </c>
    </row>
    <row r="341" spans="1:14" hidden="1">
      <c r="A341">
        <v>199</v>
      </c>
      <c r="B341">
        <v>28</v>
      </c>
      <c r="C341" t="s">
        <v>216</v>
      </c>
      <c r="D341" t="s">
        <v>5059</v>
      </c>
      <c r="E341" t="s">
        <v>225</v>
      </c>
      <c r="F341" t="s">
        <v>10290</v>
      </c>
      <c r="G341" t="str">
        <f>VLOOKUP(E341,Table145678910111213141545678910111213146[[CODE]:[Email Local]],4,0)</f>
        <v>kd.14377</v>
      </c>
      <c r="H341">
        <f>VLOOKUP(E341,Table145678910111213141545678910111213146[[CODE]:[Email Local]],6,0)</f>
        <v>0</v>
      </c>
      <c r="J341" t="s">
        <v>67</v>
      </c>
      <c r="K341" s="389">
        <v>45415</v>
      </c>
      <c r="L341" s="389"/>
      <c r="M341" s="389"/>
      <c r="N341" t="s">
        <v>1675</v>
      </c>
    </row>
    <row r="342" spans="1:14" hidden="1">
      <c r="A342">
        <v>200</v>
      </c>
      <c r="B342">
        <v>29</v>
      </c>
      <c r="C342" t="s">
        <v>216</v>
      </c>
      <c r="D342" t="s">
        <v>7521</v>
      </c>
      <c r="E342" t="s">
        <v>809</v>
      </c>
      <c r="F342" t="s">
        <v>10291</v>
      </c>
      <c r="G342" t="str">
        <f>VLOOKUP(E342,Table145678910111213141545678910111213146[[CODE]:[Email Local]],4,0)</f>
        <v>24324.nhung</v>
      </c>
      <c r="H342">
        <f>VLOOKUP(E342,Table145678910111213141545678910111213146[[CODE]:[Email Local]],6,0)</f>
        <v>0</v>
      </c>
      <c r="J342" t="s">
        <v>67</v>
      </c>
      <c r="K342" s="389">
        <v>45415</v>
      </c>
      <c r="L342" s="389"/>
      <c r="M342" s="389"/>
      <c r="N342" t="s">
        <v>1451</v>
      </c>
    </row>
    <row r="343" spans="1:14" hidden="1">
      <c r="A343">
        <v>201</v>
      </c>
      <c r="B343">
        <v>30</v>
      </c>
      <c r="C343" t="s">
        <v>216</v>
      </c>
      <c r="D343" t="s">
        <v>4536</v>
      </c>
      <c r="E343" t="s">
        <v>236</v>
      </c>
      <c r="F343" t="s">
        <v>10292</v>
      </c>
      <c r="G343" t="str">
        <f>VLOOKUP(E343,Table145678910111213141545678910111213146[[CODE]:[Email Local]],4,0)</f>
        <v>kd.11799</v>
      </c>
      <c r="H343">
        <f>VLOOKUP(E343,Table145678910111213141545678910111213146[[CODE]:[Email Local]],6,0)</f>
        <v>0</v>
      </c>
      <c r="J343" t="s">
        <v>67</v>
      </c>
      <c r="K343" s="389">
        <v>45415</v>
      </c>
      <c r="L343" s="389"/>
      <c r="M343" s="389"/>
      <c r="N343" t="s">
        <v>1675</v>
      </c>
    </row>
    <row r="344" spans="1:14" hidden="1">
      <c r="A344">
        <v>202</v>
      </c>
      <c r="B344">
        <v>31</v>
      </c>
      <c r="C344" t="s">
        <v>216</v>
      </c>
      <c r="D344" t="s">
        <v>5085</v>
      </c>
      <c r="E344" t="s">
        <v>219</v>
      </c>
      <c r="F344" t="s">
        <v>10293</v>
      </c>
      <c r="G344" t="str">
        <f>VLOOKUP(E344,Table145678910111213141545678910111213146[[CODE]:[Email Local]],4,0)</f>
        <v>kd.14517</v>
      </c>
      <c r="H344">
        <f>VLOOKUP(E344,Table145678910111213141545678910111213146[[CODE]:[Email Local]],6,0)</f>
        <v>0</v>
      </c>
      <c r="J344" t="s">
        <v>67</v>
      </c>
      <c r="K344" s="389">
        <v>45415</v>
      </c>
      <c r="L344" s="389"/>
      <c r="M344" s="389"/>
      <c r="N344" t="s">
        <v>1255</v>
      </c>
    </row>
    <row r="345" spans="1:14" hidden="1">
      <c r="A345">
        <v>203</v>
      </c>
      <c r="B345">
        <v>32</v>
      </c>
      <c r="C345" t="s">
        <v>216</v>
      </c>
      <c r="D345" t="s">
        <v>3445</v>
      </c>
      <c r="E345" t="s">
        <v>251</v>
      </c>
      <c r="F345" t="s">
        <v>10294</v>
      </c>
      <c r="G345" t="str">
        <f>VLOOKUP(E345,Table145678910111213141545678910111213146[[CODE]:[Email Local]],4,0)</f>
        <v>kd.7918</v>
      </c>
      <c r="H345">
        <f>VLOOKUP(E345,Table145678910111213141545678910111213146[[CODE]:[Email Local]],6,0)</f>
        <v>0</v>
      </c>
      <c r="J345" t="s">
        <v>67</v>
      </c>
      <c r="K345" s="389">
        <v>45415</v>
      </c>
      <c r="L345" s="389"/>
      <c r="M345" s="389"/>
      <c r="N345" t="s">
        <v>1255</v>
      </c>
    </row>
    <row r="346" spans="1:14" hidden="1">
      <c r="A346">
        <v>204</v>
      </c>
      <c r="B346">
        <v>33</v>
      </c>
      <c r="C346" t="s">
        <v>216</v>
      </c>
      <c r="D346" t="s">
        <v>2945</v>
      </c>
      <c r="E346" t="s">
        <v>250</v>
      </c>
      <c r="F346" t="s">
        <v>10295</v>
      </c>
      <c r="G346" t="str">
        <f>VLOOKUP(E346,Table145678910111213141545678910111213146[[CODE]:[Email Local]],4,0)</f>
        <v>kd.10369</v>
      </c>
      <c r="H346">
        <f>VLOOKUP(E346,Table145678910111213141545678910111213146[[CODE]:[Email Local]],6,0)</f>
        <v>0</v>
      </c>
      <c r="J346" t="s">
        <v>67</v>
      </c>
      <c r="K346" s="389">
        <v>45415</v>
      </c>
      <c r="L346" s="389"/>
      <c r="M346" s="389"/>
      <c r="N346" t="s">
        <v>1675</v>
      </c>
    </row>
    <row r="347" spans="1:14" hidden="1">
      <c r="A347">
        <v>205</v>
      </c>
      <c r="B347">
        <v>34</v>
      </c>
      <c r="C347" t="s">
        <v>216</v>
      </c>
      <c r="D347" t="s">
        <v>5031</v>
      </c>
      <c r="E347" t="s">
        <v>228</v>
      </c>
      <c r="F347" t="s">
        <v>10296</v>
      </c>
      <c r="G347" t="str">
        <f>VLOOKUP(E347,Table145678910111213141545678910111213146[[CODE]:[Email Local]],4,0)</f>
        <v>kd.14150</v>
      </c>
      <c r="H347">
        <f>VLOOKUP(E347,Table145678910111213141545678910111213146[[CODE]:[Email Local]],6,0)</f>
        <v>0</v>
      </c>
      <c r="J347" t="s">
        <v>67</v>
      </c>
      <c r="K347" s="389">
        <v>45415</v>
      </c>
      <c r="L347" s="389"/>
      <c r="M347" s="389"/>
      <c r="N347" t="s">
        <v>1451</v>
      </c>
    </row>
    <row r="348" spans="1:14" hidden="1">
      <c r="A348">
        <v>206</v>
      </c>
      <c r="B348">
        <v>35</v>
      </c>
      <c r="C348" t="s">
        <v>216</v>
      </c>
      <c r="D348" t="s">
        <v>9217</v>
      </c>
      <c r="E348" t="s">
        <v>252</v>
      </c>
      <c r="F348" t="s">
        <v>10297</v>
      </c>
      <c r="G348" t="str">
        <f>VLOOKUP(E348,Table145678910111213141545678910111213146[[CODE]:[Email Local]],4,0)</f>
        <v>kd.19423</v>
      </c>
      <c r="H348">
        <f>VLOOKUP(E348,Table145678910111213141545678910111213146[[CODE]:[Email Local]],6,0)</f>
        <v>0</v>
      </c>
      <c r="J348" t="s">
        <v>67</v>
      </c>
      <c r="K348" s="389">
        <v>45415</v>
      </c>
      <c r="L348" s="389"/>
      <c r="M348" s="389"/>
      <c r="N348" t="s">
        <v>1451</v>
      </c>
    </row>
    <row r="349" spans="1:14" hidden="1">
      <c r="A349">
        <v>207</v>
      </c>
      <c r="B349">
        <v>36</v>
      </c>
      <c r="C349" t="s">
        <v>216</v>
      </c>
      <c r="D349" t="s">
        <v>9205</v>
      </c>
      <c r="E349" t="s">
        <v>229</v>
      </c>
      <c r="F349" t="s">
        <v>10298</v>
      </c>
      <c r="G349" t="str">
        <f>VLOOKUP(E349,Table145678910111213141545678910111213146[[CODE]:[Email Local]],4,0)</f>
        <v>kd.24014</v>
      </c>
      <c r="H349">
        <f>VLOOKUP(E349,Table145678910111213141545678910111213146[[CODE]:[Email Local]],6,0)</f>
        <v>0</v>
      </c>
      <c r="J349" t="s">
        <v>67</v>
      </c>
      <c r="K349" s="389">
        <v>45415</v>
      </c>
      <c r="L349" s="389">
        <v>45806</v>
      </c>
      <c r="M349" s="389">
        <v>45806</v>
      </c>
      <c r="N349" t="e">
        <v>#N/A</v>
      </c>
    </row>
    <row r="350" spans="1:14" hidden="1">
      <c r="A350">
        <v>208</v>
      </c>
      <c r="B350">
        <v>37</v>
      </c>
      <c r="C350" t="s">
        <v>216</v>
      </c>
      <c r="D350" t="s">
        <v>7660</v>
      </c>
      <c r="E350" t="s">
        <v>234</v>
      </c>
      <c r="F350" t="s">
        <v>10299</v>
      </c>
      <c r="G350" t="str">
        <f>VLOOKUP(E350,Table145678910111213141545678910111213146[[CODE]:[Email Local]],4,0)</f>
        <v>24570.thu</v>
      </c>
      <c r="H350">
        <f>VLOOKUP(E350,Table145678910111213141545678910111213146[[CODE]:[Email Local]],6,0)</f>
        <v>0</v>
      </c>
      <c r="J350" t="s">
        <v>67</v>
      </c>
      <c r="K350" s="389">
        <v>45415</v>
      </c>
      <c r="L350" s="389"/>
      <c r="M350" s="389"/>
      <c r="N350" t="s">
        <v>1451</v>
      </c>
    </row>
    <row r="351" spans="1:14" hidden="1">
      <c r="A351">
        <v>209</v>
      </c>
      <c r="B351">
        <v>38</v>
      </c>
      <c r="C351" t="s">
        <v>216</v>
      </c>
      <c r="D351" t="s">
        <v>4154</v>
      </c>
      <c r="E351" t="s">
        <v>241</v>
      </c>
      <c r="F351" t="s">
        <v>10300</v>
      </c>
      <c r="G351" t="str">
        <f>VLOOKUP(E351,Table145678910111213141545678910111213146[[CODE]:[Email Local]],4,0)</f>
        <v>kd.10951</v>
      </c>
      <c r="H351">
        <f>VLOOKUP(E351,Table145678910111213141545678910111213146[[CODE]:[Email Local]],6,0)</f>
        <v>0</v>
      </c>
      <c r="J351" t="s">
        <v>67</v>
      </c>
      <c r="K351" s="389">
        <v>45415</v>
      </c>
      <c r="L351" s="389"/>
      <c r="M351" s="389"/>
      <c r="N351" t="s">
        <v>1451</v>
      </c>
    </row>
    <row r="352" spans="1:14" hidden="1">
      <c r="A352">
        <v>210</v>
      </c>
      <c r="B352">
        <v>39</v>
      </c>
      <c r="C352" t="s">
        <v>216</v>
      </c>
      <c r="D352" t="s">
        <v>5002</v>
      </c>
      <c r="E352" t="s">
        <v>230</v>
      </c>
      <c r="F352" t="s">
        <v>10301</v>
      </c>
      <c r="G352" t="str">
        <f>VLOOKUP(E352,Table145678910111213141545678910111213146[[CODE]:[Email Local]],4,0)</f>
        <v>kd.15628</v>
      </c>
      <c r="H352">
        <f>VLOOKUP(E352,Table145678910111213141545678910111213146[[CODE]:[Email Local]],6,0)</f>
        <v>0</v>
      </c>
      <c r="J352" t="s">
        <v>67</v>
      </c>
      <c r="K352" s="389">
        <v>45415</v>
      </c>
      <c r="L352" s="389"/>
      <c r="M352" s="389"/>
      <c r="N352" t="s">
        <v>1675</v>
      </c>
    </row>
    <row r="353" spans="1:14" hidden="1">
      <c r="A353">
        <v>211</v>
      </c>
      <c r="B353">
        <v>40</v>
      </c>
      <c r="C353" t="s">
        <v>216</v>
      </c>
      <c r="D353" t="s">
        <v>5083</v>
      </c>
      <c r="E353" t="s">
        <v>223</v>
      </c>
      <c r="F353" t="s">
        <v>10302</v>
      </c>
      <c r="G353" t="str">
        <f>VLOOKUP(E353,Table145678910111213141545678910111213146[[CODE]:[Email Local]],4,0)</f>
        <v>kd.14516</v>
      </c>
      <c r="H353">
        <f>VLOOKUP(E353,Table145678910111213141545678910111213146[[CODE]:[Email Local]],6,0)</f>
        <v>0</v>
      </c>
      <c r="J353" t="s">
        <v>67</v>
      </c>
      <c r="K353" s="389">
        <v>45415</v>
      </c>
      <c r="L353" s="389"/>
      <c r="M353" s="389"/>
      <c r="N353" t="s">
        <v>1255</v>
      </c>
    </row>
    <row r="354" spans="1:14" hidden="1">
      <c r="A354">
        <v>212</v>
      </c>
      <c r="B354">
        <v>41</v>
      </c>
      <c r="C354" t="s">
        <v>216</v>
      </c>
      <c r="D354" t="s">
        <v>4483</v>
      </c>
      <c r="E354" t="s">
        <v>245</v>
      </c>
      <c r="F354" t="s">
        <v>10303</v>
      </c>
      <c r="G354" t="str">
        <f>VLOOKUP(E354,Table145678910111213141545678910111213146[[CODE]:[Email Local]],4,0)</f>
        <v>kd.11593</v>
      </c>
      <c r="H354">
        <f>VLOOKUP(E354,Table145678910111213141545678910111213146[[CODE]:[Email Local]],6,0)</f>
        <v>0</v>
      </c>
      <c r="J354" t="s">
        <v>67</v>
      </c>
      <c r="K354" s="389">
        <v>45415</v>
      </c>
      <c r="L354" s="389"/>
      <c r="M354" s="389"/>
      <c r="N354" t="s">
        <v>1675</v>
      </c>
    </row>
    <row r="355" spans="1:14" hidden="1">
      <c r="A355">
        <v>213</v>
      </c>
      <c r="B355">
        <v>42</v>
      </c>
      <c r="C355" t="s">
        <v>216</v>
      </c>
      <c r="D355" t="s">
        <v>3818</v>
      </c>
      <c r="E355" t="s">
        <v>243</v>
      </c>
      <c r="F355" t="s">
        <v>10304</v>
      </c>
      <c r="G355" t="str">
        <f>VLOOKUP(E355,Table145678910111213141545678910111213146[[CODE]:[Email Local]],4,0)</f>
        <v>kd.09441</v>
      </c>
      <c r="H355">
        <f>VLOOKUP(E355,Table145678910111213141545678910111213146[[CODE]:[Email Local]],6,0)</f>
        <v>0</v>
      </c>
      <c r="J355" t="s">
        <v>67</v>
      </c>
      <c r="K355" s="389">
        <v>45415</v>
      </c>
      <c r="L355" s="389"/>
      <c r="M355" s="389"/>
      <c r="N355" t="s">
        <v>1451</v>
      </c>
    </row>
    <row r="356" spans="1:14" hidden="1">
      <c r="A356">
        <v>214</v>
      </c>
      <c r="B356">
        <v>43</v>
      </c>
      <c r="C356" t="s">
        <v>216</v>
      </c>
      <c r="D356" t="s">
        <v>6028</v>
      </c>
      <c r="E356" t="s">
        <v>258</v>
      </c>
      <c r="F356" t="s">
        <v>10305</v>
      </c>
      <c r="G356" t="str">
        <f>VLOOKUP(E356,Table145678910111213141545678910111213146[[CODE]:[Email Local]],4,0)</f>
        <v>kd.18500</v>
      </c>
      <c r="H356">
        <f>VLOOKUP(E356,Table145678910111213141545678910111213146[[CODE]:[Email Local]],6,0)</f>
        <v>0</v>
      </c>
      <c r="J356" t="s">
        <v>67</v>
      </c>
      <c r="K356" s="389">
        <v>45415</v>
      </c>
      <c r="L356" s="389"/>
      <c r="M356" s="389"/>
      <c r="N356" t="s">
        <v>1451</v>
      </c>
    </row>
    <row r="357" spans="1:14" hidden="1">
      <c r="A357">
        <v>215</v>
      </c>
      <c r="B357">
        <v>44</v>
      </c>
      <c r="C357" t="s">
        <v>216</v>
      </c>
      <c r="D357" t="s">
        <v>3146</v>
      </c>
      <c r="E357" t="s">
        <v>215</v>
      </c>
      <c r="F357" t="s">
        <v>10306</v>
      </c>
      <c r="G357" t="str">
        <f>VLOOKUP(E357,Table145678910111213141545678910111213146[[CODE]:[Email Local]],4,0)</f>
        <v>kd.7119</v>
      </c>
      <c r="H357">
        <f>VLOOKUP(E357,Table145678910111213141545678910111213146[[CODE]:[Email Local]],6,0)</f>
        <v>0</v>
      </c>
      <c r="J357" t="s">
        <v>67</v>
      </c>
      <c r="K357" s="389">
        <v>45415</v>
      </c>
      <c r="L357" s="389"/>
      <c r="M357" s="389"/>
      <c r="N357" t="s">
        <v>1255</v>
      </c>
    </row>
    <row r="358" spans="1:14" hidden="1">
      <c r="A358">
        <v>216</v>
      </c>
      <c r="B358">
        <v>45</v>
      </c>
      <c r="C358" t="s">
        <v>216</v>
      </c>
      <c r="D358" t="s">
        <v>5503</v>
      </c>
      <c r="E358" t="s">
        <v>253</v>
      </c>
      <c r="F358" t="s">
        <v>10307</v>
      </c>
      <c r="G358" t="str">
        <f>VLOOKUP(E358,Table145678910111213141545678910111213146[[CODE]:[Email Local]],4,0)</f>
        <v>kd.16363</v>
      </c>
      <c r="H358">
        <f>VLOOKUP(E358,Table145678910111213141545678910111213146[[CODE]:[Email Local]],6,0)</f>
        <v>0</v>
      </c>
      <c r="J358" t="s">
        <v>67</v>
      </c>
      <c r="K358" s="389">
        <v>45415</v>
      </c>
      <c r="L358" s="389"/>
      <c r="M358" s="389"/>
      <c r="N358" t="s">
        <v>1675</v>
      </c>
    </row>
    <row r="359" spans="1:14" hidden="1">
      <c r="A359">
        <v>217</v>
      </c>
      <c r="B359">
        <v>46</v>
      </c>
      <c r="C359" t="s">
        <v>216</v>
      </c>
      <c r="D359" t="s">
        <v>7053</v>
      </c>
      <c r="E359" t="s">
        <v>231</v>
      </c>
      <c r="F359" t="s">
        <v>10308</v>
      </c>
      <c r="G359" t="str">
        <f>VLOOKUP(E359,Table145678910111213141545678910111213146[[CODE]:[Email Local]],4,0)</f>
        <v>kd.22391</v>
      </c>
      <c r="H359">
        <f>VLOOKUP(E359,Table145678910111213141545678910111213146[[CODE]:[Email Local]],6,0)</f>
        <v>0</v>
      </c>
      <c r="J359" t="s">
        <v>67</v>
      </c>
      <c r="K359" s="389">
        <v>45415</v>
      </c>
      <c r="L359" s="389"/>
      <c r="M359" s="389"/>
      <c r="N359" t="s">
        <v>1451</v>
      </c>
    </row>
    <row r="360" spans="1:14" hidden="1">
      <c r="A360">
        <v>218</v>
      </c>
      <c r="B360">
        <v>47</v>
      </c>
      <c r="C360" t="s">
        <v>216</v>
      </c>
      <c r="D360" t="s">
        <v>8015</v>
      </c>
      <c r="E360" t="s">
        <v>8014</v>
      </c>
      <c r="F360" t="s">
        <v>10309</v>
      </c>
      <c r="G360" t="str">
        <f>VLOOKUP(E360,Table145678910111213141545678910111213146[[CODE]:[Email Local]],4,0)</f>
        <v>25842.thao</v>
      </c>
      <c r="H360">
        <f>VLOOKUP(E360,Table145678910111213141545678910111213146[[CODE]:[Email Local]],6,0)</f>
        <v>0</v>
      </c>
      <c r="J360" t="s">
        <v>67</v>
      </c>
      <c r="K360" s="389">
        <v>45764</v>
      </c>
      <c r="L360" s="389"/>
      <c r="M360" s="389"/>
      <c r="N360" t="s">
        <v>1255</v>
      </c>
    </row>
    <row r="361" spans="1:14" hidden="1">
      <c r="A361">
        <v>218</v>
      </c>
      <c r="B361">
        <v>47</v>
      </c>
      <c r="C361" t="s">
        <v>216</v>
      </c>
      <c r="D361" t="s">
        <v>8622</v>
      </c>
      <c r="E361" t="s">
        <v>8665</v>
      </c>
      <c r="F361" t="s">
        <v>10310</v>
      </c>
      <c r="G361" t="str">
        <f>VLOOKUP(E361,Table145678910111213141545678910111213146[[CODE]:[Email Local]],4,0)</f>
        <v>26344.thanh</v>
      </c>
      <c r="H361">
        <f>VLOOKUP(E361,Table145678910111213141545678910111213146[[CODE]:[Email Local]],6,0)</f>
        <v>0</v>
      </c>
      <c r="J361" t="s">
        <v>67</v>
      </c>
      <c r="K361" s="389">
        <v>45924</v>
      </c>
      <c r="L361" s="389"/>
      <c r="M361" s="389"/>
      <c r="N361" t="s">
        <v>1675</v>
      </c>
    </row>
    <row r="362" spans="1:14" hidden="1">
      <c r="A362">
        <v>219</v>
      </c>
      <c r="B362">
        <v>48</v>
      </c>
      <c r="C362" t="s">
        <v>216</v>
      </c>
      <c r="D362" t="s">
        <v>259</v>
      </c>
      <c r="E362" t="s">
        <v>259</v>
      </c>
      <c r="F362" t="s">
        <v>260</v>
      </c>
      <c r="G362" t="e">
        <f>VLOOKUP(E362,Table145678910111213141545678910111213146[[CODE]:[Email Local]],4,0)</f>
        <v>#N/A</v>
      </c>
      <c r="H362" t="e">
        <f>VLOOKUP(E362,Table145678910111213141545678910111213146[[CODE]:[Email Local]],6,0)</f>
        <v>#N/A</v>
      </c>
      <c r="J362" t="s">
        <v>67</v>
      </c>
      <c r="K362" s="389">
        <v>45415</v>
      </c>
      <c r="L362" s="389"/>
      <c r="M362" s="389"/>
      <c r="N362" t="e">
        <v>#N/A</v>
      </c>
    </row>
    <row r="363" spans="1:14" hidden="1">
      <c r="A363">
        <v>220</v>
      </c>
      <c r="B363">
        <v>49</v>
      </c>
      <c r="C363" t="s">
        <v>216</v>
      </c>
      <c r="D363" t="s">
        <v>261</v>
      </c>
      <c r="E363" t="s">
        <v>261</v>
      </c>
      <c r="F363" t="s">
        <v>262</v>
      </c>
      <c r="G363" t="e">
        <f>VLOOKUP(E363,Table145678910111213141545678910111213146[[CODE]:[Email Local]],4,0)</f>
        <v>#N/A</v>
      </c>
      <c r="H363" t="e">
        <f>VLOOKUP(E363,Table145678910111213141545678910111213146[[CODE]:[Email Local]],6,0)</f>
        <v>#N/A</v>
      </c>
      <c r="J363" t="s">
        <v>67</v>
      </c>
      <c r="K363" s="389">
        <v>45415</v>
      </c>
      <c r="L363" s="389"/>
      <c r="M363" s="389"/>
      <c r="N363" t="e">
        <v>#N/A</v>
      </c>
    </row>
    <row r="364" spans="1:14" hidden="1">
      <c r="A364">
        <v>321</v>
      </c>
      <c r="B364">
        <v>1</v>
      </c>
      <c r="C364" t="s">
        <v>854</v>
      </c>
      <c r="D364" t="s">
        <v>4106</v>
      </c>
      <c r="E364" t="s">
        <v>348</v>
      </c>
      <c r="F364" t="s">
        <v>10408</v>
      </c>
      <c r="G364" t="str">
        <f>VLOOKUP(E364,Table145678910111213141545678910111213146[[CODE]:[Email Local]],4,0)</f>
        <v>24294.anh</v>
      </c>
      <c r="H364" t="str">
        <f>VLOOKUP(E364,Table145678910111213141545678910111213146[[CODE]:[Email Local]],6,0)</f>
        <v>ok</v>
      </c>
      <c r="J364" t="s">
        <v>67</v>
      </c>
      <c r="K364" s="389">
        <v>45408</v>
      </c>
      <c r="L364" s="389"/>
      <c r="M364" s="389"/>
      <c r="N364" t="s">
        <v>792</v>
      </c>
    </row>
    <row r="365" spans="1:14" hidden="1">
      <c r="A365">
        <v>322</v>
      </c>
      <c r="B365">
        <v>2</v>
      </c>
      <c r="C365" t="s">
        <v>854</v>
      </c>
      <c r="D365" t="s">
        <v>1223</v>
      </c>
      <c r="E365" t="s">
        <v>349</v>
      </c>
      <c r="F365" t="s">
        <v>10409</v>
      </c>
      <c r="G365" t="str">
        <f>VLOOKUP(E365,Table145678910111213141545678910111213146[[CODE]:[Email Local]],4,0)</f>
        <v>ksnb.720</v>
      </c>
      <c r="H365">
        <f>VLOOKUP(E365,Table145678910111213141545678910111213146[[CODE]:[Email Local]],6,0)</f>
        <v>0</v>
      </c>
      <c r="J365" t="s">
        <v>67</v>
      </c>
      <c r="K365" s="389">
        <v>45408</v>
      </c>
      <c r="L365" s="389"/>
      <c r="M365" s="389"/>
      <c r="N365" t="s">
        <v>792</v>
      </c>
    </row>
    <row r="366" spans="1:14" hidden="1">
      <c r="A366">
        <v>323</v>
      </c>
      <c r="B366">
        <v>3</v>
      </c>
      <c r="C366" t="s">
        <v>854</v>
      </c>
      <c r="D366" t="s">
        <v>5751</v>
      </c>
      <c r="E366" t="s">
        <v>8539</v>
      </c>
      <c r="F366" t="s">
        <v>10410</v>
      </c>
      <c r="G366" t="str">
        <f>VLOOKUP(E366,Table145678910111213141545678910111213146[[CODE]:[Email Local]],4,0)</f>
        <v>26277.linh</v>
      </c>
      <c r="H366">
        <f>VLOOKUP(E366,Table145678910111213141545678910111213146[[CODE]:[Email Local]],6,0)</f>
        <v>0</v>
      </c>
      <c r="J366" t="s">
        <v>67</v>
      </c>
      <c r="K366" s="389">
        <v>45408</v>
      </c>
      <c r="L366" s="389">
        <v>45461</v>
      </c>
      <c r="M366" s="389"/>
      <c r="N366" t="s">
        <v>792</v>
      </c>
    </row>
    <row r="367" spans="1:14" hidden="1">
      <c r="A367">
        <v>324</v>
      </c>
      <c r="B367">
        <v>4</v>
      </c>
      <c r="C367" t="s">
        <v>854</v>
      </c>
      <c r="D367" t="s">
        <v>886</v>
      </c>
      <c r="E367" t="s">
        <v>884</v>
      </c>
      <c r="F367" t="s">
        <v>10411</v>
      </c>
      <c r="G367" t="str">
        <f>VLOOKUP(E367,Table145678910111213141545678910111213146[[CODE]:[Email Local]],4,0)</f>
        <v>24901.cuong</v>
      </c>
      <c r="H367">
        <f>VLOOKUP(E367,Table145678910111213141545678910111213146[[CODE]:[Email Local]],6,0)</f>
        <v>0</v>
      </c>
      <c r="J367" t="s">
        <v>67</v>
      </c>
      <c r="K367" s="389">
        <v>45461</v>
      </c>
      <c r="L367" s="389"/>
      <c r="M367" s="389"/>
      <c r="N367" t="s">
        <v>792</v>
      </c>
    </row>
    <row r="368" spans="1:14" hidden="1">
      <c r="A368">
        <v>325</v>
      </c>
      <c r="B368">
        <v>5</v>
      </c>
      <c r="C368" t="s">
        <v>854</v>
      </c>
      <c r="D368" t="s">
        <v>7804</v>
      </c>
      <c r="E368" t="s">
        <v>7805</v>
      </c>
      <c r="F368" t="s">
        <v>10412</v>
      </c>
      <c r="G368" t="str">
        <f>VLOOKUP(E368,Table145678910111213141545678910111213146[[CODE]:[Email Local]],4,0)</f>
        <v>25126.tam</v>
      </c>
      <c r="H368">
        <f>VLOOKUP(E368,Table145678910111213141545678910111213146[[CODE]:[Email Local]],6,0)</f>
        <v>0</v>
      </c>
      <c r="J368" t="s">
        <v>67</v>
      </c>
      <c r="K368" s="389">
        <v>45506</v>
      </c>
      <c r="L368" s="389">
        <v>45887</v>
      </c>
      <c r="M368" s="389">
        <v>45960</v>
      </c>
      <c r="N368" t="e">
        <v>#N/A</v>
      </c>
    </row>
    <row r="369" spans="1:14" hidden="1">
      <c r="A369">
        <v>420</v>
      </c>
      <c r="B369">
        <v>91</v>
      </c>
      <c r="C369" t="s">
        <v>1541</v>
      </c>
      <c r="D369" t="e">
        <v>#N/A</v>
      </c>
      <c r="E369" t="s">
        <v>445</v>
      </c>
      <c r="F369" s="38" t="s">
        <v>10506</v>
      </c>
      <c r="G369" t="str">
        <f>VLOOKUP(E369,Table145678910111213141545678910111213146[[CODE]:[Email Local]],4,0)</f>
        <v>kf.14081</v>
      </c>
      <c r="H369">
        <f>VLOOKUP(E369,Table145678910111213141545678910111213146[[CODE]:[Email Local]],6,0)</f>
        <v>0</v>
      </c>
      <c r="J369" t="s">
        <v>67</v>
      </c>
      <c r="K369" s="389">
        <v>45440</v>
      </c>
      <c r="L369" s="389">
        <v>45950</v>
      </c>
      <c r="M369" s="389">
        <v>45960</v>
      </c>
      <c r="N369" t="e">
        <v>#N/A</v>
      </c>
    </row>
    <row r="370" spans="1:14" hidden="1">
      <c r="A370">
        <v>556</v>
      </c>
      <c r="B370">
        <v>1</v>
      </c>
      <c r="C370" t="s">
        <v>1541</v>
      </c>
      <c r="D370" t="s">
        <v>1710</v>
      </c>
      <c r="E370" t="s">
        <v>546</v>
      </c>
      <c r="F370" t="s">
        <v>10636</v>
      </c>
      <c r="G370" t="str">
        <f>VLOOKUP(E370,Table145678910111213141545678910111213146[[CODE]:[Email Local]],4,0)</f>
        <v>gc.01906</v>
      </c>
      <c r="H370">
        <f>VLOOKUP(E370,Table145678910111213141545678910111213146[[CODE]:[Email Local]],6,0)</f>
        <v>0</v>
      </c>
      <c r="J370" t="s">
        <v>67</v>
      </c>
      <c r="K370" s="389">
        <v>45434</v>
      </c>
      <c r="L370" s="389"/>
      <c r="M370" s="389"/>
      <c r="N370" t="s">
        <v>1541</v>
      </c>
    </row>
    <row r="371" spans="1:14" hidden="1">
      <c r="A371">
        <v>565</v>
      </c>
      <c r="B371">
        <v>10</v>
      </c>
      <c r="C371" t="s">
        <v>1541</v>
      </c>
      <c r="D371" t="s">
        <v>5004</v>
      </c>
      <c r="E371" t="s">
        <v>554</v>
      </c>
      <c r="F371" t="s">
        <v>10645</v>
      </c>
      <c r="G371" t="str">
        <f>VLOOKUP(E371,Table145678910111213141545678910111213146[[CODE]:[Email Local]],4,0)</f>
        <v>gc.14019</v>
      </c>
      <c r="H371">
        <f>VLOOKUP(E371,Table145678910111213141545678910111213146[[CODE]:[Email Local]],6,0)</f>
        <v>0</v>
      </c>
      <c r="J371" t="s">
        <v>67</v>
      </c>
      <c r="K371" s="389">
        <v>45434</v>
      </c>
      <c r="L371" s="389"/>
      <c r="M371" s="389"/>
      <c r="N371" t="s">
        <v>1541</v>
      </c>
    </row>
    <row r="372" spans="1:14" hidden="1">
      <c r="A372">
        <v>573</v>
      </c>
      <c r="B372">
        <v>17</v>
      </c>
      <c r="C372" t="s">
        <v>1541</v>
      </c>
      <c r="D372" t="s">
        <v>5516</v>
      </c>
      <c r="E372" t="s">
        <v>562</v>
      </c>
      <c r="F372" t="s">
        <v>10653</v>
      </c>
      <c r="G372" t="str">
        <f>VLOOKUP(E372,Table145678910111213141545678910111213146[[CODE]:[Email Local]],4,0)</f>
        <v>duc.16439</v>
      </c>
      <c r="H372">
        <f>VLOOKUP(E372,Table145678910111213141545678910111213146[[CODE]:[Email Local]],6,0)</f>
        <v>0</v>
      </c>
      <c r="J372" t="s">
        <v>67</v>
      </c>
      <c r="K372" s="389">
        <v>45434</v>
      </c>
      <c r="L372" s="389"/>
      <c r="M372" s="389"/>
      <c r="N372" t="s">
        <v>1541</v>
      </c>
    </row>
    <row r="373" spans="1:14" hidden="1">
      <c r="A373">
        <v>575</v>
      </c>
      <c r="B373">
        <v>19</v>
      </c>
      <c r="C373" t="s">
        <v>1541</v>
      </c>
      <c r="D373" t="s">
        <v>1539</v>
      </c>
      <c r="E373" t="s">
        <v>566</v>
      </c>
      <c r="F373" t="s">
        <v>10655</v>
      </c>
      <c r="G373" t="str">
        <f>VLOOKUP(E373,Table145678910111213141545678910111213146[[CODE]:[Email Local]],4,0)</f>
        <v>duc.01434</v>
      </c>
      <c r="H373">
        <f>VLOOKUP(E373,Table145678910111213141545678910111213146[[CODE]:[Email Local]],6,0)</f>
        <v>0</v>
      </c>
      <c r="J373" t="s">
        <v>67</v>
      </c>
      <c r="K373" s="389">
        <v>45434</v>
      </c>
      <c r="L373" s="389"/>
      <c r="M373" s="389"/>
      <c r="N373" t="s">
        <v>1541</v>
      </c>
    </row>
    <row r="374" spans="1:14" hidden="1">
      <c r="A374">
        <v>576</v>
      </c>
      <c r="B374">
        <v>20</v>
      </c>
      <c r="C374" t="s">
        <v>1541</v>
      </c>
      <c r="D374" t="s">
        <v>5996</v>
      </c>
      <c r="E374" t="s">
        <v>567</v>
      </c>
      <c r="F374" t="s">
        <v>10656</v>
      </c>
      <c r="G374" t="e">
        <f>VLOOKUP(E374,Table145678910111213141545678910111213146[[CODE]:[Email Local]],4,0)</f>
        <v>#N/A</v>
      </c>
      <c r="H374" t="e">
        <f>VLOOKUP(E374,Table145678910111213141545678910111213146[[CODE]:[Email Local]],6,0)</f>
        <v>#N/A</v>
      </c>
      <c r="J374" t="s">
        <v>67</v>
      </c>
      <c r="K374" s="389">
        <v>45434</v>
      </c>
      <c r="L374" s="389"/>
      <c r="M374" s="389"/>
      <c r="N374" t="s">
        <v>1541</v>
      </c>
    </row>
    <row r="375" spans="1:14" hidden="1">
      <c r="A375">
        <v>581</v>
      </c>
      <c r="B375">
        <v>25</v>
      </c>
      <c r="C375" t="s">
        <v>1541</v>
      </c>
      <c r="D375" t="s">
        <v>2173</v>
      </c>
      <c r="E375" t="s">
        <v>572</v>
      </c>
      <c r="F375" t="s">
        <v>10661</v>
      </c>
      <c r="G375" t="str">
        <f>VLOOKUP(E375,Table145678910111213141545678910111213146[[CODE]:[Email Local]],4,0)</f>
        <v>gc.23101</v>
      </c>
      <c r="H375">
        <f>VLOOKUP(E375,Table145678910111213141545678910111213146[[CODE]:[Email Local]],6,0)</f>
        <v>0</v>
      </c>
      <c r="J375" t="s">
        <v>67</v>
      </c>
      <c r="K375" s="389">
        <v>45435</v>
      </c>
      <c r="L375" s="389"/>
      <c r="M375" s="389"/>
      <c r="N375" t="s">
        <v>1541</v>
      </c>
    </row>
    <row r="376" spans="1:14" hidden="1">
      <c r="A376">
        <v>587</v>
      </c>
      <c r="B376">
        <v>31</v>
      </c>
      <c r="C376" t="s">
        <v>1541</v>
      </c>
      <c r="D376" t="s">
        <v>9492</v>
      </c>
      <c r="E376" t="s">
        <v>565</v>
      </c>
      <c r="F376" t="s">
        <v>10667</v>
      </c>
      <c r="G376" t="str">
        <f>VLOOKUP(E376,Table145678910111213141545678910111213146[[CODE]:[Email Local]],4,0)</f>
        <v>duc.15378</v>
      </c>
      <c r="H376">
        <f>VLOOKUP(E376,Table145678910111213141545678910111213146[[CODE]:[Email Local]],6,0)</f>
        <v>0</v>
      </c>
      <c r="J376" t="s">
        <v>67</v>
      </c>
      <c r="K376" s="389">
        <v>45435</v>
      </c>
      <c r="L376" s="389">
        <v>45876</v>
      </c>
      <c r="M376" s="389">
        <v>45876</v>
      </c>
      <c r="N376" t="e">
        <v>#N/A</v>
      </c>
    </row>
    <row r="377" spans="1:14" hidden="1">
      <c r="A377">
        <v>592</v>
      </c>
      <c r="B377">
        <v>36</v>
      </c>
      <c r="C377" t="s">
        <v>1541</v>
      </c>
      <c r="D377" t="s">
        <v>998</v>
      </c>
      <c r="E377" t="s">
        <v>579</v>
      </c>
      <c r="F377" t="s">
        <v>10671</v>
      </c>
      <c r="G377" t="str">
        <f>VLOOKUP(E377,Table145678910111213141545678910111213146[[CODE]:[Email Local]],4,0)</f>
        <v>gc.17950</v>
      </c>
      <c r="H377">
        <f>VLOOKUP(E377,Table145678910111213141545678910111213146[[CODE]:[Email Local]],6,0)</f>
        <v>0</v>
      </c>
      <c r="J377" t="s">
        <v>67</v>
      </c>
      <c r="K377" s="389">
        <v>45435</v>
      </c>
      <c r="L377" s="389"/>
      <c r="M377" s="389"/>
      <c r="N377" t="s">
        <v>1541</v>
      </c>
    </row>
    <row r="378" spans="1:14" hidden="1">
      <c r="A378">
        <v>594</v>
      </c>
      <c r="B378">
        <v>38</v>
      </c>
      <c r="C378" t="s">
        <v>1541</v>
      </c>
      <c r="D378" t="s">
        <v>3917</v>
      </c>
      <c r="E378" t="s">
        <v>581</v>
      </c>
      <c r="F378" t="s">
        <v>10673</v>
      </c>
      <c r="G378" t="str">
        <f>VLOOKUP(E378,Table145678910111213141545678910111213146[[CODE]:[Email Local]],4,0)</f>
        <v>QC.09655</v>
      </c>
      <c r="H378">
        <f>VLOOKUP(E378,Table145678910111213141545678910111213146[[CODE]:[Email Local]],6,0)</f>
        <v>0</v>
      </c>
      <c r="J378" t="s">
        <v>67</v>
      </c>
      <c r="K378" s="389">
        <v>45435</v>
      </c>
      <c r="L378" s="389"/>
      <c r="M378" s="389"/>
      <c r="N378" t="s">
        <v>1541</v>
      </c>
    </row>
    <row r="379" spans="1:14" hidden="1">
      <c r="A379">
        <v>596</v>
      </c>
      <c r="B379">
        <v>40</v>
      </c>
      <c r="C379" t="s">
        <v>1541</v>
      </c>
      <c r="D379" t="s">
        <v>8021</v>
      </c>
      <c r="E379" t="s">
        <v>8017</v>
      </c>
      <c r="F379" t="s">
        <v>10675</v>
      </c>
      <c r="G379" t="str">
        <f>VLOOKUP(E379,Table145678910111213141545678910111213146[[CODE]:[Email Local]],4,0)</f>
        <v>25843.nhu</v>
      </c>
      <c r="H379">
        <f>VLOOKUP(E379,Table145678910111213141545678910111213146[[CODE]:[Email Local]],6,0)</f>
        <v>0</v>
      </c>
      <c r="J379" t="s">
        <v>67</v>
      </c>
      <c r="K379" s="389">
        <v>45768</v>
      </c>
      <c r="L379" s="389"/>
      <c r="M379" s="389"/>
      <c r="N379" t="s">
        <v>1541</v>
      </c>
    </row>
    <row r="380" spans="1:14" hidden="1">
      <c r="A380">
        <v>599</v>
      </c>
      <c r="C380" t="s">
        <v>1541</v>
      </c>
      <c r="D380" t="s">
        <v>8640</v>
      </c>
      <c r="E380" t="s">
        <v>8642</v>
      </c>
      <c r="F380" t="s">
        <v>10678</v>
      </c>
      <c r="G380" t="e">
        <f>VLOOKUP(E380,Table145678910111213141545678910111213146[[CODE]:[Email Local]],4,0)</f>
        <v>#N/A</v>
      </c>
      <c r="H380" t="e">
        <f>VLOOKUP(E380,Table145678910111213141545678910111213146[[CODE]:[Email Local]],6,0)</f>
        <v>#N/A</v>
      </c>
      <c r="J380" t="s">
        <v>67</v>
      </c>
      <c r="K380" s="389">
        <v>45943</v>
      </c>
      <c r="L380" s="389"/>
      <c r="M380" s="389"/>
      <c r="N380" t="s">
        <v>1541</v>
      </c>
    </row>
    <row r="381" spans="1:14" hidden="1">
      <c r="A381">
        <v>560</v>
      </c>
      <c r="B381">
        <v>5</v>
      </c>
      <c r="C381" t="s">
        <v>1541</v>
      </c>
      <c r="D381" t="s">
        <v>6055</v>
      </c>
      <c r="E381" t="s">
        <v>549</v>
      </c>
      <c r="F381" t="s">
        <v>10640</v>
      </c>
      <c r="G381" t="str">
        <f>VLOOKUP(E381,Table145678910111213141545678910111213146[[CODE]:[Email Local]],4,0)</f>
        <v>qlsx.18616</v>
      </c>
      <c r="H381" t="str">
        <f>VLOOKUP(E381,Table145678910111213141545678910111213146[[CODE]:[Email Local]],6,0)</f>
        <v>ok</v>
      </c>
      <c r="J381" t="s">
        <v>67</v>
      </c>
      <c r="K381" s="389">
        <v>45428</v>
      </c>
      <c r="L381" s="389"/>
      <c r="M381" s="389"/>
      <c r="N381" t="s">
        <v>1541</v>
      </c>
    </row>
    <row r="382" spans="1:14" hidden="1">
      <c r="A382">
        <v>563</v>
      </c>
      <c r="B382">
        <v>8</v>
      </c>
      <c r="C382" t="s">
        <v>1541</v>
      </c>
      <c r="D382" t="s">
        <v>3961</v>
      </c>
      <c r="E382" t="s">
        <v>552</v>
      </c>
      <c r="F382" t="s">
        <v>10643</v>
      </c>
      <c r="G382" t="str">
        <f>VLOOKUP(E382,Table145678910111213141545678910111213146[[CODE]:[Email Local]],4,0)</f>
        <v>duc.09784</v>
      </c>
      <c r="H382" t="str">
        <f>VLOOKUP(E382,Table145678910111213141545678910111213146[[CODE]:[Email Local]],6,0)</f>
        <v>ok</v>
      </c>
      <c r="J382" t="s">
        <v>67</v>
      </c>
      <c r="K382" s="389">
        <v>45434</v>
      </c>
      <c r="L382" s="389"/>
      <c r="M382" s="389"/>
      <c r="N382" t="s">
        <v>1541</v>
      </c>
    </row>
    <row r="383" spans="1:14" hidden="1">
      <c r="A383">
        <v>564</v>
      </c>
      <c r="B383">
        <v>9</v>
      </c>
      <c r="C383" t="s">
        <v>1541</v>
      </c>
      <c r="D383" t="s">
        <v>6284</v>
      </c>
      <c r="E383" t="s">
        <v>553</v>
      </c>
      <c r="F383" t="s">
        <v>10644</v>
      </c>
      <c r="G383" t="str">
        <f>VLOOKUP(E383,Table145678910111213141545678910111213146[[CODE]:[Email Local]],4,0)</f>
        <v>19427.hieu</v>
      </c>
      <c r="H383" t="str">
        <f>VLOOKUP(E383,Table145678910111213141545678910111213146[[CODE]:[Email Local]],6,0)</f>
        <v>ok</v>
      </c>
      <c r="J383" t="s">
        <v>67</v>
      </c>
      <c r="K383" s="389">
        <v>45434</v>
      </c>
      <c r="L383" s="389"/>
      <c r="M383" s="389"/>
      <c r="N383" t="s">
        <v>1541</v>
      </c>
    </row>
    <row r="384" spans="1:14" hidden="1">
      <c r="A384">
        <v>569</v>
      </c>
      <c r="B384">
        <v>13</v>
      </c>
      <c r="C384" t="s">
        <v>1541</v>
      </c>
      <c r="D384" t="s">
        <v>5537</v>
      </c>
      <c r="E384" t="s">
        <v>558</v>
      </c>
      <c r="F384" t="s">
        <v>10649</v>
      </c>
      <c r="G384" t="str">
        <f>VLOOKUP(E384,Table145678910111213141545678910111213146[[CODE]:[Email Local]],4,0)</f>
        <v>gc.16577</v>
      </c>
      <c r="H384" t="str">
        <f>VLOOKUP(E384,Table145678910111213141545678910111213146[[CODE]:[Email Local]],6,0)</f>
        <v>ok</v>
      </c>
      <c r="J384" t="s">
        <v>67</v>
      </c>
      <c r="K384" s="389">
        <v>45434</v>
      </c>
      <c r="L384" s="389"/>
      <c r="M384" s="389"/>
      <c r="N384" t="s">
        <v>1541</v>
      </c>
    </row>
    <row r="385" spans="1:14" hidden="1">
      <c r="A385">
        <v>572</v>
      </c>
      <c r="B385">
        <v>16</v>
      </c>
      <c r="C385" t="s">
        <v>1541</v>
      </c>
      <c r="D385" t="s">
        <v>7530</v>
      </c>
      <c r="E385" t="s">
        <v>817</v>
      </c>
      <c r="F385" t="s">
        <v>10652</v>
      </c>
      <c r="G385" t="str">
        <f>VLOOKUP(E385,Table145678910111213141545678910111213146[[CODE]:[Email Local]],4,0)</f>
        <v>24332.doanh</v>
      </c>
      <c r="H385" t="str">
        <f>VLOOKUP(E385,Table145678910111213141545678910111213146[[CODE]:[Email Local]],6,0)</f>
        <v>ok</v>
      </c>
      <c r="J385" t="s">
        <v>67</v>
      </c>
      <c r="K385" s="389">
        <v>45434</v>
      </c>
      <c r="L385" s="389"/>
      <c r="M385" s="389"/>
      <c r="N385" t="s">
        <v>1541</v>
      </c>
    </row>
    <row r="386" spans="1:14" hidden="1">
      <c r="A386">
        <v>579</v>
      </c>
      <c r="B386">
        <v>23</v>
      </c>
      <c r="C386" t="s">
        <v>1541</v>
      </c>
      <c r="D386" t="s">
        <v>5662</v>
      </c>
      <c r="E386" t="s">
        <v>569</v>
      </c>
      <c r="F386" t="s">
        <v>10659</v>
      </c>
      <c r="G386" t="str">
        <f>VLOOKUP(E386,Table145678910111213141545678910111213146[[CODE]:[Email Local]],4,0)</f>
        <v>17213.duc</v>
      </c>
      <c r="H386" t="str">
        <f>VLOOKUP(E386,Table145678910111213141545678910111213146[[CODE]:[Email Local]],6,0)</f>
        <v>ok</v>
      </c>
      <c r="J386" t="s">
        <v>67</v>
      </c>
      <c r="K386" s="389">
        <v>45435</v>
      </c>
      <c r="L386" s="389"/>
      <c r="M386" s="389"/>
      <c r="N386" t="s">
        <v>1541</v>
      </c>
    </row>
    <row r="387" spans="1:14" hidden="1">
      <c r="A387">
        <v>580</v>
      </c>
      <c r="B387">
        <v>24</v>
      </c>
      <c r="C387" t="s">
        <v>1541</v>
      </c>
      <c r="D387" t="s">
        <v>7453</v>
      </c>
      <c r="E387" t="s">
        <v>818</v>
      </c>
      <c r="F387" t="s">
        <v>10660</v>
      </c>
      <c r="G387" t="str">
        <f>VLOOKUP(E387,Table145678910111213141545678910111213146[[CODE]:[Email Local]],4,0)</f>
        <v>24124.tung</v>
      </c>
      <c r="H387" t="str">
        <f>VLOOKUP(E387,Table145678910111213141545678910111213146[[CODE]:[Email Local]],6,0)</f>
        <v>ok</v>
      </c>
      <c r="J387" t="s">
        <v>67</v>
      </c>
      <c r="K387" s="389">
        <v>45435</v>
      </c>
      <c r="L387" s="389"/>
      <c r="M387" s="389"/>
      <c r="N387" t="s">
        <v>1541</v>
      </c>
    </row>
    <row r="388" spans="1:14" hidden="1">
      <c r="A388">
        <v>582</v>
      </c>
      <c r="B388">
        <v>26</v>
      </c>
      <c r="C388" t="s">
        <v>1541</v>
      </c>
      <c r="D388" t="s">
        <v>6555</v>
      </c>
      <c r="E388" t="s">
        <v>563</v>
      </c>
      <c r="F388" t="s">
        <v>10662</v>
      </c>
      <c r="G388" t="str">
        <f>VLOOKUP(E388,Table145678910111213141545678910111213146[[CODE]:[Email Local]],4,0)</f>
        <v>gc.20363</v>
      </c>
      <c r="H388" t="str">
        <f>VLOOKUP(E388,Table145678910111213141545678910111213146[[CODE]:[Email Local]],6,0)</f>
        <v>ok</v>
      </c>
      <c r="J388" t="s">
        <v>67</v>
      </c>
      <c r="K388" s="389">
        <v>45435</v>
      </c>
      <c r="L388" s="389"/>
      <c r="M388" s="389"/>
      <c r="N388" t="s">
        <v>1541</v>
      </c>
    </row>
    <row r="389" spans="1:14" hidden="1">
      <c r="A389">
        <v>583</v>
      </c>
      <c r="B389">
        <v>27</v>
      </c>
      <c r="C389" t="s">
        <v>1541</v>
      </c>
      <c r="D389" t="s">
        <v>7171</v>
      </c>
      <c r="E389" t="s">
        <v>570</v>
      </c>
      <c r="F389" t="s">
        <v>10663</v>
      </c>
      <c r="G389" t="str">
        <f>VLOOKUP(E389,Table145678910111213141545678910111213146[[CODE]:[Email Local]],4,0)</f>
        <v>22881.canh</v>
      </c>
      <c r="H389" t="str">
        <f>VLOOKUP(E389,Table145678910111213141545678910111213146[[CODE]:[Email Local]],6,0)</f>
        <v>ok</v>
      </c>
      <c r="J389" t="s">
        <v>67</v>
      </c>
      <c r="K389" s="389">
        <v>45435</v>
      </c>
      <c r="L389" s="389"/>
      <c r="M389" s="389"/>
      <c r="N389" t="s">
        <v>1541</v>
      </c>
    </row>
    <row r="390" spans="1:14" hidden="1">
      <c r="A390">
        <v>584</v>
      </c>
      <c r="B390">
        <v>28</v>
      </c>
      <c r="C390" t="s">
        <v>1541</v>
      </c>
      <c r="D390" t="s">
        <v>7523</v>
      </c>
      <c r="E390" t="s">
        <v>573</v>
      </c>
      <c r="F390" t="s">
        <v>10664</v>
      </c>
      <c r="G390" t="str">
        <f>VLOOKUP(E390,Table145678910111213141545678910111213146[[CODE]:[Email Local]],4,0)</f>
        <v>24325.quang</v>
      </c>
      <c r="H390" t="str">
        <f>VLOOKUP(E390,Table145678910111213141545678910111213146[[CODE]:[Email Local]],6,0)</f>
        <v>ok</v>
      </c>
      <c r="J390" t="s">
        <v>67</v>
      </c>
      <c r="K390" s="389">
        <v>45435</v>
      </c>
      <c r="L390" s="389"/>
      <c r="M390" s="389"/>
      <c r="N390" t="s">
        <v>1541</v>
      </c>
    </row>
    <row r="391" spans="1:14" hidden="1">
      <c r="A391">
        <v>585</v>
      </c>
      <c r="B391">
        <v>29</v>
      </c>
      <c r="C391" t="s">
        <v>1541</v>
      </c>
      <c r="D391" t="s">
        <v>7340</v>
      </c>
      <c r="E391" t="s">
        <v>571</v>
      </c>
      <c r="F391" t="s">
        <v>10665</v>
      </c>
      <c r="G391" t="str">
        <f>VLOOKUP(E391,Table145678910111213141545678910111213146[[CODE]:[Email Local]],4,0)</f>
        <v>23748.duc</v>
      </c>
      <c r="H391" t="str">
        <f>VLOOKUP(E391,Table145678910111213141545678910111213146[[CODE]:[Email Local]],6,0)</f>
        <v>ok</v>
      </c>
      <c r="J391" t="s">
        <v>67</v>
      </c>
      <c r="K391" s="389">
        <v>45435</v>
      </c>
      <c r="L391" s="389"/>
      <c r="M391" s="389"/>
      <c r="N391" t="s">
        <v>1541</v>
      </c>
    </row>
    <row r="392" spans="1:14" hidden="1">
      <c r="A392">
        <v>589</v>
      </c>
      <c r="B392">
        <v>33</v>
      </c>
      <c r="C392" t="s">
        <v>1541</v>
      </c>
      <c r="D392" t="s">
        <v>6882</v>
      </c>
      <c r="E392" t="s">
        <v>561</v>
      </c>
      <c r="F392" t="s">
        <v>10669</v>
      </c>
      <c r="G392" t="str">
        <f>VLOOKUP(E392,Table145678910111213141545678910111213146[[CODE]:[Email Local]],4,0)</f>
        <v>21794.quan</v>
      </c>
      <c r="H392" t="str">
        <f>VLOOKUP(E392,Table145678910111213141545678910111213146[[CODE]:[Email Local]],6,0)</f>
        <v>ok</v>
      </c>
      <c r="J392" t="s">
        <v>67</v>
      </c>
      <c r="K392" s="389">
        <v>45435</v>
      </c>
      <c r="L392" s="389"/>
      <c r="M392" s="389"/>
      <c r="N392" t="s">
        <v>1541</v>
      </c>
    </row>
    <row r="393" spans="1:14" hidden="1">
      <c r="A393">
        <v>590</v>
      </c>
      <c r="B393">
        <v>34</v>
      </c>
      <c r="C393" t="s">
        <v>1541</v>
      </c>
      <c r="D393" t="s">
        <v>7525</v>
      </c>
      <c r="E393" t="s">
        <v>576</v>
      </c>
      <c r="F393" t="s">
        <v>10670</v>
      </c>
      <c r="G393" t="str">
        <f>VLOOKUP(E393,Table145678910111213141545678910111213146[[CODE]:[Email Local]],4,0)</f>
        <v>24326.buu</v>
      </c>
      <c r="H393" t="str">
        <f>VLOOKUP(E393,Table145678910111213141545678910111213146[[CODE]:[Email Local]],6,0)</f>
        <v>ok</v>
      </c>
      <c r="J393" t="s">
        <v>67</v>
      </c>
      <c r="K393" s="389">
        <v>45435</v>
      </c>
      <c r="L393" s="389"/>
      <c r="M393" s="389"/>
      <c r="N393" t="s">
        <v>1541</v>
      </c>
    </row>
    <row r="394" spans="1:14" hidden="1">
      <c r="A394">
        <v>593</v>
      </c>
      <c r="B394">
        <v>37</v>
      </c>
      <c r="C394" t="s">
        <v>1541</v>
      </c>
      <c r="D394" t="s">
        <v>1898</v>
      </c>
      <c r="E394" t="s">
        <v>580</v>
      </c>
      <c r="F394" t="s">
        <v>10672</v>
      </c>
      <c r="G394" t="str">
        <f>VLOOKUP(E394,Table145678910111213141545678910111213146[[CODE]:[Email Local]],4,0)</f>
        <v>11314.hung</v>
      </c>
      <c r="H394" t="str">
        <f>VLOOKUP(E394,Table145678910111213141545678910111213146[[CODE]:[Email Local]],6,0)</f>
        <v>ok</v>
      </c>
      <c r="J394" t="s">
        <v>67</v>
      </c>
      <c r="K394" s="389">
        <v>45435</v>
      </c>
      <c r="L394" s="389"/>
      <c r="M394" s="389"/>
      <c r="N394" t="s">
        <v>1541</v>
      </c>
    </row>
    <row r="395" spans="1:14" hidden="1">
      <c r="A395">
        <v>595</v>
      </c>
      <c r="B395">
        <v>39</v>
      </c>
      <c r="C395" t="s">
        <v>1541</v>
      </c>
      <c r="D395" t="s">
        <v>4049</v>
      </c>
      <c r="E395" t="s">
        <v>556</v>
      </c>
      <c r="F395" t="s">
        <v>10674</v>
      </c>
      <c r="G395" t="str">
        <f>VLOOKUP(E395,Table145678910111213141545678910111213146[[CODE]:[Email Local]],4,0)</f>
        <v>gc.10140</v>
      </c>
      <c r="H395" t="str">
        <f>VLOOKUP(E395,Table145678910111213141545678910111213146[[CODE]:[Email Local]],6,0)</f>
        <v>ok</v>
      </c>
      <c r="J395" t="s">
        <v>67</v>
      </c>
      <c r="K395" s="389">
        <v>45435</v>
      </c>
      <c r="L395" s="389"/>
      <c r="M395" s="389"/>
      <c r="N395" t="s">
        <v>1541</v>
      </c>
    </row>
    <row r="396" spans="1:14" hidden="1">
      <c r="A396">
        <v>597</v>
      </c>
      <c r="B396">
        <v>41</v>
      </c>
      <c r="C396" t="s">
        <v>1541</v>
      </c>
      <c r="D396" t="s">
        <v>8022</v>
      </c>
      <c r="E396" t="s">
        <v>8018</v>
      </c>
      <c r="F396" t="s">
        <v>10676</v>
      </c>
      <c r="G396" t="str">
        <f>VLOOKUP(E396,Table145678910111213141545678910111213146[[CODE]:[Email Local]],4,0)</f>
        <v>25860.hung</v>
      </c>
      <c r="H396" t="str">
        <f>VLOOKUP(E396,Table145678910111213141545678910111213146[[CODE]:[Email Local]],6,0)</f>
        <v>ok</v>
      </c>
      <c r="J396" t="s">
        <v>67</v>
      </c>
      <c r="K396" s="389">
        <v>45768</v>
      </c>
      <c r="L396" s="389"/>
      <c r="M396" s="389"/>
      <c r="N396" t="s">
        <v>1541</v>
      </c>
    </row>
    <row r="397" spans="1:14" hidden="1">
      <c r="A397">
        <v>600</v>
      </c>
      <c r="C397" t="s">
        <v>1541</v>
      </c>
      <c r="D397" t="s">
        <v>8362</v>
      </c>
      <c r="E397" t="s">
        <v>8643</v>
      </c>
      <c r="F397" t="s">
        <v>10679</v>
      </c>
      <c r="G397" t="str">
        <f>VLOOKUP(E397,Table145678910111213141545678910111213146[[CODE]:[Email Local]],4,0)</f>
        <v>25978.tuyen</v>
      </c>
      <c r="H397" t="str">
        <f>VLOOKUP(E397,Table145678910111213141545678910111213146[[CODE]:[Email Local]],6,0)</f>
        <v>ok</v>
      </c>
      <c r="J397" t="s">
        <v>67</v>
      </c>
      <c r="K397" s="389">
        <v>45946</v>
      </c>
      <c r="L397" s="389"/>
      <c r="M397" s="389"/>
      <c r="N397" t="s">
        <v>1541</v>
      </c>
    </row>
    <row r="398" spans="1:14" hidden="1">
      <c r="A398">
        <v>601</v>
      </c>
      <c r="C398" t="s">
        <v>1541</v>
      </c>
      <c r="D398" t="s">
        <v>4465</v>
      </c>
      <c r="E398" t="s">
        <v>8644</v>
      </c>
      <c r="F398" t="s">
        <v>10680</v>
      </c>
      <c r="G398" t="str">
        <f>VLOOKUP(E398,Table145678910111213141545678910111213146[[CODE]:[Email Local]],4,0)</f>
        <v>25844.tuan</v>
      </c>
      <c r="H398" t="str">
        <f>VLOOKUP(E398,Table145678910111213141545678910111213146[[CODE]:[Email Local]],6,0)</f>
        <v>ok</v>
      </c>
      <c r="J398" t="s">
        <v>67</v>
      </c>
      <c r="K398" s="389">
        <v>45946</v>
      </c>
      <c r="L398" s="389"/>
      <c r="M398" s="389"/>
      <c r="N398" t="s">
        <v>1541</v>
      </c>
    </row>
    <row r="399" spans="1:14" hidden="1">
      <c r="A399">
        <v>602</v>
      </c>
      <c r="C399" t="s">
        <v>1541</v>
      </c>
      <c r="D399" t="s">
        <v>8582</v>
      </c>
      <c r="E399" t="s">
        <v>8645</v>
      </c>
      <c r="F399" t="s">
        <v>10681</v>
      </c>
      <c r="G399" t="str">
        <f>VLOOKUP(E399,Table145678910111213141545678910111213146[[CODE]:[Email Local]],4,0)</f>
        <v>26285.toan</v>
      </c>
      <c r="H399" t="str">
        <f>VLOOKUP(E399,Table145678910111213141545678910111213146[[CODE]:[Email Local]],6,0)</f>
        <v>ok</v>
      </c>
      <c r="J399" t="s">
        <v>67</v>
      </c>
      <c r="K399" s="389">
        <v>45946</v>
      </c>
      <c r="L399" s="389"/>
      <c r="M399" s="389"/>
      <c r="N399" t="s">
        <v>1541</v>
      </c>
    </row>
    <row r="400" spans="1:14" hidden="1">
      <c r="A400">
        <v>603</v>
      </c>
      <c r="C400" t="s">
        <v>1541</v>
      </c>
      <c r="D400" t="s">
        <v>6286</v>
      </c>
      <c r="E400" t="s">
        <v>8646</v>
      </c>
      <c r="F400" t="s">
        <v>10682</v>
      </c>
      <c r="G400" t="str">
        <f>VLOOKUP(E400,Table145678910111213141545678910111213146[[CODE]:[Email Local]],4,0)</f>
        <v>26183.cuong</v>
      </c>
      <c r="H400" t="str">
        <f>VLOOKUP(E400,Table145678910111213141545678910111213146[[CODE]:[Email Local]],6,0)</f>
        <v>ok</v>
      </c>
      <c r="J400" t="s">
        <v>67</v>
      </c>
      <c r="K400" s="389">
        <v>45946</v>
      </c>
      <c r="L400" s="389"/>
      <c r="M400" s="389"/>
      <c r="N400" t="s">
        <v>1541</v>
      </c>
    </row>
    <row r="401" spans="1:14" hidden="1">
      <c r="A401">
        <v>604</v>
      </c>
      <c r="C401" t="s">
        <v>1541</v>
      </c>
      <c r="D401" t="s">
        <v>7691</v>
      </c>
      <c r="E401" t="s">
        <v>8647</v>
      </c>
      <c r="F401" t="s">
        <v>10683</v>
      </c>
      <c r="G401" t="str">
        <f>VLOOKUP(E401,Table145678910111213141545678910111213146[[CODE]:[Email Local]],4,0)</f>
        <v>24995.anh</v>
      </c>
      <c r="H401" t="str">
        <f>VLOOKUP(E401,Table145678910111213141545678910111213146[[CODE]:[Email Local]],6,0)</f>
        <v>ok</v>
      </c>
      <c r="J401" t="s">
        <v>67</v>
      </c>
      <c r="K401" s="389">
        <v>45946</v>
      </c>
      <c r="L401" s="389"/>
      <c r="M401" s="389"/>
      <c r="N401" t="s">
        <v>1541</v>
      </c>
    </row>
    <row r="402" spans="1:14" hidden="1">
      <c r="A402">
        <v>605</v>
      </c>
      <c r="C402" t="s">
        <v>1541</v>
      </c>
      <c r="D402" t="s">
        <v>8517</v>
      </c>
      <c r="E402" t="s">
        <v>8648</v>
      </c>
      <c r="F402" t="s">
        <v>10684</v>
      </c>
      <c r="G402" t="str">
        <f>VLOOKUP(E402,Table145678910111213141545678910111213146[[CODE]:[Email Local]],4,0)</f>
        <v>26204.vinh</v>
      </c>
      <c r="H402" t="str">
        <f>VLOOKUP(E402,Table145678910111213141545678910111213146[[CODE]:[Email Local]],6,0)</f>
        <v>ok</v>
      </c>
      <c r="J402" t="s">
        <v>67</v>
      </c>
      <c r="K402" s="389">
        <v>45946</v>
      </c>
      <c r="L402" s="389"/>
      <c r="M402" s="389"/>
      <c r="N402" t="s">
        <v>1541</v>
      </c>
    </row>
    <row r="403" spans="1:14" hidden="1">
      <c r="A403">
        <v>606</v>
      </c>
      <c r="C403" t="s">
        <v>1541</v>
      </c>
      <c r="D403" t="s">
        <v>7470</v>
      </c>
      <c r="E403" t="s">
        <v>8666</v>
      </c>
      <c r="F403" t="s">
        <v>10685</v>
      </c>
      <c r="G403" t="str">
        <f>VLOOKUP(E403,Table145678910111213141545678910111213146[[CODE]:[Email Local]],4,0)</f>
        <v>24203.thuc</v>
      </c>
      <c r="H403" t="str">
        <f>VLOOKUP(E403,Table145678910111213141545678910111213146[[CODE]:[Email Local]],6,0)</f>
        <v>ok</v>
      </c>
      <c r="J403" t="s">
        <v>67</v>
      </c>
      <c r="K403" s="389">
        <v>45461</v>
      </c>
      <c r="L403" s="389"/>
      <c r="M403" s="389"/>
      <c r="N403" t="s">
        <v>1541</v>
      </c>
    </row>
    <row r="404" spans="1:14" hidden="1">
      <c r="A404">
        <v>607</v>
      </c>
      <c r="C404" t="s">
        <v>1541</v>
      </c>
      <c r="D404" t="s">
        <v>4072</v>
      </c>
      <c r="E404" t="s">
        <v>8667</v>
      </c>
      <c r="F404" t="s">
        <v>10686</v>
      </c>
      <c r="G404" t="str">
        <f>VLOOKUP(E404,Table145678910111213141545678910111213146[[CODE]:[Email Local]],4,0)</f>
        <v>23055.nam</v>
      </c>
      <c r="H404" t="str">
        <f>VLOOKUP(E404,Table145678910111213141545678910111213146[[CODE]:[Email Local]],6,0)</f>
        <v>ok</v>
      </c>
      <c r="J404" t="s">
        <v>67</v>
      </c>
      <c r="K404" s="389">
        <v>45461</v>
      </c>
      <c r="L404" s="389"/>
      <c r="M404" s="389"/>
      <c r="N404" t="s">
        <v>1541</v>
      </c>
    </row>
    <row r="405" spans="1:14" hidden="1">
      <c r="A405">
        <v>608</v>
      </c>
      <c r="B405">
        <v>608</v>
      </c>
      <c r="C405" t="s">
        <v>1541</v>
      </c>
      <c r="D405" t="s">
        <v>8436</v>
      </c>
      <c r="E405" t="s">
        <v>8802</v>
      </c>
      <c r="F405" t="s">
        <v>10687</v>
      </c>
      <c r="G405" t="str">
        <f>VLOOKUP(E405,Table145678910111213141545678910111213146[[CODE]:[Email Local]],4,0)</f>
        <v>26067.chang</v>
      </c>
      <c r="H405" t="str">
        <f>VLOOKUP(E405,Table145678910111213141545678910111213146[[CODE]:[Email Local]],6,0)</f>
        <v>ok</v>
      </c>
      <c r="J405" t="s">
        <v>67</v>
      </c>
      <c r="K405" s="389">
        <v>46024</v>
      </c>
      <c r="L405" s="389"/>
      <c r="M405" s="389"/>
      <c r="N405" t="s">
        <v>1541</v>
      </c>
    </row>
    <row r="406" spans="1:14" hidden="1">
      <c r="A406">
        <v>609</v>
      </c>
      <c r="B406">
        <v>609</v>
      </c>
      <c r="C406" t="s">
        <v>1541</v>
      </c>
      <c r="D406" t="s">
        <v>8628</v>
      </c>
      <c r="E406" t="s">
        <v>8810</v>
      </c>
      <c r="F406" t="s">
        <v>10688</v>
      </c>
      <c r="G406" t="str">
        <f>VLOOKUP(E406,Table145678910111213141545678910111213146[[CODE]:[Email Local]],4,0)</f>
        <v>26349.dung</v>
      </c>
      <c r="H406" t="str">
        <f>VLOOKUP(E406,Table145678910111213141545678910111213146[[CODE]:[Email Local]],6,0)</f>
        <v>ok</v>
      </c>
      <c r="J406" t="s">
        <v>67</v>
      </c>
      <c r="K406" s="389">
        <v>46029</v>
      </c>
      <c r="L406" s="389"/>
      <c r="M406" s="389"/>
      <c r="N406" t="s">
        <v>1541</v>
      </c>
    </row>
    <row r="407" spans="1:14" hidden="1">
      <c r="A407">
        <v>610</v>
      </c>
      <c r="B407">
        <v>610</v>
      </c>
      <c r="C407" t="s">
        <v>1541</v>
      </c>
      <c r="D407" t="s">
        <v>8704</v>
      </c>
      <c r="E407" t="s">
        <v>8811</v>
      </c>
      <c r="F407" t="s">
        <v>10689</v>
      </c>
      <c r="G407" t="str">
        <f>VLOOKUP(E407,Table145678910111213141545678910111213146[[CODE]:[Email Local]],4,0)</f>
        <v>26379.sang</v>
      </c>
      <c r="H407" t="str">
        <f>VLOOKUP(E407,Table145678910111213141545678910111213146[[CODE]:[Email Local]],6,0)</f>
        <v>ok</v>
      </c>
      <c r="J407" t="s">
        <v>67</v>
      </c>
      <c r="K407" s="389">
        <v>46029</v>
      </c>
      <c r="L407" s="389"/>
      <c r="M407" s="389"/>
      <c r="N407" t="s">
        <v>1541</v>
      </c>
    </row>
    <row r="408" spans="1:14" hidden="1">
      <c r="A408">
        <v>611</v>
      </c>
      <c r="B408">
        <v>611</v>
      </c>
      <c r="C408" t="s">
        <v>1541</v>
      </c>
      <c r="D408" t="s">
        <v>8695</v>
      </c>
      <c r="E408" t="s">
        <v>8812</v>
      </c>
      <c r="F408" t="s">
        <v>10690</v>
      </c>
      <c r="G408" t="str">
        <f>VLOOKUP(E408,Table145678910111213141545678910111213146[[CODE]:[Email Local]],4,0)</f>
        <v>26367.quan</v>
      </c>
      <c r="H408" t="str">
        <f>VLOOKUP(E408,Table145678910111213141545678910111213146[[CODE]:[Email Local]],6,0)</f>
        <v>ok</v>
      </c>
      <c r="J408" t="s">
        <v>67</v>
      </c>
      <c r="K408" s="389">
        <v>46029</v>
      </c>
      <c r="L408" s="389"/>
      <c r="M408" s="389"/>
      <c r="N408" t="s">
        <v>1541</v>
      </c>
    </row>
    <row r="409" spans="1:14" hidden="1">
      <c r="A409">
        <v>227</v>
      </c>
      <c r="B409">
        <v>1</v>
      </c>
      <c r="C409" t="s">
        <v>268</v>
      </c>
      <c r="D409" t="s">
        <v>5455</v>
      </c>
      <c r="E409" t="s">
        <v>269</v>
      </c>
      <c r="F409" t="s">
        <v>10318</v>
      </c>
      <c r="G409" t="str">
        <f>VLOOKUP(E409,Table145678910111213141545678910111213146[[CODE]:[Email Local]],4,0)</f>
        <v>16143.chung</v>
      </c>
      <c r="H409" t="str">
        <f>VLOOKUP(E409,Table145678910111213141545678910111213146[[CODE]:[Email Local]],6,0)</f>
        <v>ok</v>
      </c>
      <c r="J409" t="s">
        <v>67</v>
      </c>
      <c r="K409" s="389">
        <v>45405</v>
      </c>
      <c r="L409" s="389"/>
      <c r="M409" s="389"/>
      <c r="N409" t="s">
        <v>743</v>
      </c>
    </row>
    <row r="410" spans="1:14" hidden="1">
      <c r="A410">
        <v>228</v>
      </c>
      <c r="B410">
        <v>2</v>
      </c>
      <c r="C410" t="s">
        <v>268</v>
      </c>
      <c r="D410" t="s">
        <v>9762</v>
      </c>
      <c r="E410" t="s">
        <v>270</v>
      </c>
      <c r="F410" t="s">
        <v>10319</v>
      </c>
      <c r="G410" t="str">
        <f>VLOOKUP(E410,Table145678910111213141545678910111213146[[CODE]:[Email Local]],4,0)</f>
        <v>ktsx.17925</v>
      </c>
      <c r="H410" t="str">
        <f>VLOOKUP(E410,Table145678910111213141545678910111213146[[CODE]:[Email Local]],6,0)</f>
        <v>ok</v>
      </c>
      <c r="J410" t="s">
        <v>67</v>
      </c>
      <c r="K410" s="389">
        <v>45405</v>
      </c>
      <c r="L410" s="389">
        <v>45461</v>
      </c>
      <c r="M410" s="389">
        <v>45461</v>
      </c>
      <c r="N410" t="e">
        <v>#N/A</v>
      </c>
    </row>
    <row r="411" spans="1:14" hidden="1">
      <c r="A411">
        <v>230</v>
      </c>
      <c r="B411">
        <v>4</v>
      </c>
      <c r="C411" t="s">
        <v>268</v>
      </c>
      <c r="D411" t="s">
        <v>9772</v>
      </c>
      <c r="E411" t="s">
        <v>272</v>
      </c>
      <c r="F411" t="s">
        <v>10321</v>
      </c>
      <c r="G411" t="str">
        <f>VLOOKUP(E411,Table145678910111213141545678910111213146[[CODE]:[Email Local]],4,0)</f>
        <v>24328.lam</v>
      </c>
      <c r="H411" t="str">
        <f>VLOOKUP(E411,Table145678910111213141545678910111213146[[CODE]:[Email Local]],6,0)</f>
        <v>ok</v>
      </c>
      <c r="J411" t="s">
        <v>67</v>
      </c>
      <c r="K411" s="389">
        <v>45405</v>
      </c>
      <c r="L411" s="389">
        <v>45806</v>
      </c>
      <c r="M411" s="389">
        <v>45806</v>
      </c>
      <c r="N411" t="e">
        <v>#N/A</v>
      </c>
    </row>
    <row r="412" spans="1:14" hidden="1">
      <c r="A412">
        <v>232</v>
      </c>
      <c r="B412">
        <v>6</v>
      </c>
      <c r="C412" t="s">
        <v>268</v>
      </c>
      <c r="D412" t="s">
        <v>7347</v>
      </c>
      <c r="E412" t="s">
        <v>274</v>
      </c>
      <c r="F412" t="s">
        <v>10323</v>
      </c>
      <c r="G412" t="str">
        <f>VLOOKUP(E412,Table145678910111213141545678910111213146[[CODE]:[Email Local]],4,0)</f>
        <v>ktsx.23792</v>
      </c>
      <c r="H412" t="str">
        <f>VLOOKUP(E412,Table145678910111213141545678910111213146[[CODE]:[Email Local]],6,0)</f>
        <v>ok</v>
      </c>
      <c r="J412" t="s">
        <v>67</v>
      </c>
      <c r="K412" s="389">
        <v>45405</v>
      </c>
      <c r="L412" s="389"/>
      <c r="M412" s="389"/>
      <c r="N412" t="s">
        <v>743</v>
      </c>
    </row>
    <row r="413" spans="1:14" hidden="1">
      <c r="A413">
        <v>234</v>
      </c>
      <c r="B413">
        <v>8</v>
      </c>
      <c r="C413" t="s">
        <v>268</v>
      </c>
      <c r="D413" t="s">
        <v>7781</v>
      </c>
      <c r="E413" t="s">
        <v>7789</v>
      </c>
      <c r="F413" t="s">
        <v>10325</v>
      </c>
      <c r="G413" t="str">
        <f>VLOOKUP(E413,Table145678910111213141545678910111213146[[CODE]:[Email Local]],4,0)</f>
        <v>24900.duy</v>
      </c>
      <c r="H413" t="str">
        <f>VLOOKUP(E413,Table145678910111213141545678910111213146[[CODE]:[Email Local]],6,0)</f>
        <v>ok</v>
      </c>
      <c r="J413" t="s">
        <v>67</v>
      </c>
      <c r="K413" s="389">
        <v>45462</v>
      </c>
      <c r="L413" s="389"/>
      <c r="M413" s="389"/>
      <c r="N413" t="s">
        <v>743</v>
      </c>
    </row>
    <row r="414" spans="1:14" hidden="1">
      <c r="A414">
        <v>236</v>
      </c>
      <c r="B414">
        <v>9</v>
      </c>
      <c r="C414" t="s">
        <v>268</v>
      </c>
      <c r="D414" t="s">
        <v>8678</v>
      </c>
      <c r="E414" t="s">
        <v>8679</v>
      </c>
      <c r="F414" t="s">
        <v>10327</v>
      </c>
      <c r="G414" t="str">
        <f>VLOOKUP(E414,Table145678910111213141545678910111213146[[CODE]:[Email Local]],4,0)</f>
        <v>26415.dong</v>
      </c>
      <c r="H414" t="str">
        <f>VLOOKUP(E414,Table145678910111213141545678910111213146[[CODE]:[Email Local]],6,0)</f>
        <v>ok</v>
      </c>
      <c r="J414" t="s">
        <v>67</v>
      </c>
      <c r="K414" s="389">
        <v>45968</v>
      </c>
      <c r="L414" s="389"/>
      <c r="M414" s="389"/>
      <c r="N414" t="s">
        <v>743</v>
      </c>
    </row>
    <row r="415" spans="1:14" hidden="1">
      <c r="A415">
        <v>169</v>
      </c>
      <c r="B415">
        <v>13</v>
      </c>
      <c r="C415" t="s">
        <v>268</v>
      </c>
      <c r="D415" t="s">
        <v>2244</v>
      </c>
      <c r="E415" t="s">
        <v>211</v>
      </c>
      <c r="F415" t="s">
        <v>10260</v>
      </c>
      <c r="G415" t="str">
        <f>VLOOKUP(E415,Table145678910111213141545678910111213146[[CODE]:[Email Local]],4,0)</f>
        <v>19617.nhung</v>
      </c>
      <c r="H415">
        <f>VLOOKUP(E415,Table145678910111213141545678910111213146[[CODE]:[Email Local]],6,0)</f>
        <v>0</v>
      </c>
      <c r="J415" t="s">
        <v>67</v>
      </c>
      <c r="K415" s="389">
        <v>45432</v>
      </c>
      <c r="L415" s="389"/>
      <c r="M415" s="389"/>
      <c r="N415" t="s">
        <v>743</v>
      </c>
    </row>
    <row r="416" spans="1:14" hidden="1">
      <c r="A416">
        <v>231</v>
      </c>
      <c r="B416">
        <v>5</v>
      </c>
      <c r="C416" t="s">
        <v>268</v>
      </c>
      <c r="D416" t="s">
        <v>1356</v>
      </c>
      <c r="E416" t="s">
        <v>273</v>
      </c>
      <c r="F416" t="s">
        <v>10322</v>
      </c>
      <c r="G416" t="str">
        <f>VLOOKUP(E416,Table145678910111213141545678910111213146[[CODE]:[Email Local]],4,0)</f>
        <v>ktsx.23793</v>
      </c>
      <c r="H416">
        <f>VLOOKUP(E416,Table145678910111213141545678910111213146[[CODE]:[Email Local]],6,0)</f>
        <v>0</v>
      </c>
      <c r="J416" t="s">
        <v>67</v>
      </c>
      <c r="K416" s="389">
        <v>45405</v>
      </c>
      <c r="L416" s="389"/>
      <c r="M416" s="389"/>
      <c r="N416" t="s">
        <v>743</v>
      </c>
    </row>
    <row r="417" spans="1:14" hidden="1">
      <c r="A417">
        <v>233</v>
      </c>
      <c r="B417">
        <v>7</v>
      </c>
      <c r="C417" t="s">
        <v>268</v>
      </c>
      <c r="D417" t="s">
        <v>930</v>
      </c>
      <c r="E417" t="s">
        <v>275</v>
      </c>
      <c r="F417" t="s">
        <v>10324</v>
      </c>
      <c r="G417" t="str">
        <f>VLOOKUP(E417,Table145678910111213141545678910111213146[[CODE]:[Email Local]],4,0)</f>
        <v>vptgd.00127</v>
      </c>
      <c r="H417">
        <f>VLOOKUP(E417,Table145678910111213141545678910111213146[[CODE]:[Email Local]],6,0)</f>
        <v>0</v>
      </c>
      <c r="J417" t="s">
        <v>67</v>
      </c>
      <c r="K417" s="389">
        <v>45405</v>
      </c>
      <c r="L417" s="389"/>
      <c r="M417" s="389"/>
      <c r="N417" t="s">
        <v>743</v>
      </c>
    </row>
    <row r="418" spans="1:14" hidden="1">
      <c r="A418">
        <v>235</v>
      </c>
      <c r="B418">
        <v>9</v>
      </c>
      <c r="C418" t="s">
        <v>268</v>
      </c>
      <c r="D418" t="s">
        <v>15178</v>
      </c>
      <c r="E418" t="s">
        <v>8002</v>
      </c>
      <c r="F418" t="s">
        <v>10326</v>
      </c>
      <c r="G418" t="e">
        <f>VLOOKUP(E418,Table145678910111213141545678910111213146[[CODE]:[Email Local]],4,0)</f>
        <v>#N/A</v>
      </c>
      <c r="H418" t="e">
        <f>VLOOKUP(E418,Table145678910111213141545678910111213146[[CODE]:[Email Local]],6,0)</f>
        <v>#N/A</v>
      </c>
      <c r="J418" t="s">
        <v>67</v>
      </c>
      <c r="K418" s="389">
        <v>45736</v>
      </c>
      <c r="L418" s="389">
        <v>45876</v>
      </c>
      <c r="M418" s="389">
        <v>45876</v>
      </c>
      <c r="N418" t="e">
        <v>#N/A</v>
      </c>
    </row>
    <row r="419" spans="1:14" hidden="1">
      <c r="A419">
        <v>115</v>
      </c>
      <c r="B419">
        <v>3</v>
      </c>
      <c r="C419" t="s">
        <v>850</v>
      </c>
      <c r="D419" t="s">
        <v>891</v>
      </c>
      <c r="E419" t="s">
        <v>8382</v>
      </c>
      <c r="F419" t="s">
        <v>10206</v>
      </c>
      <c r="G419" t="str">
        <f>VLOOKUP(E419,Table145678910111213141545678910111213146[[CODE]:[Email Local]],4,0)</f>
        <v>qlk.17908</v>
      </c>
      <c r="H419" t="str">
        <f>VLOOKUP(E419,Table145678910111213141545678910111213146[[CODE]:[Email Local]],6,0)</f>
        <v>ok</v>
      </c>
      <c r="J419" t="s">
        <v>67</v>
      </c>
      <c r="K419" s="389">
        <v>45421</v>
      </c>
      <c r="L419" s="389">
        <v>45876</v>
      </c>
      <c r="M419" s="389">
        <v>45876</v>
      </c>
      <c r="N419" t="e">
        <v>#N/A</v>
      </c>
    </row>
    <row r="420" spans="1:14" hidden="1">
      <c r="A420">
        <v>113</v>
      </c>
      <c r="B420">
        <v>1</v>
      </c>
      <c r="C420" t="s">
        <v>850</v>
      </c>
      <c r="D420" t="s">
        <v>928</v>
      </c>
      <c r="E420" t="s">
        <v>164</v>
      </c>
      <c r="F420" t="s">
        <v>10204</v>
      </c>
      <c r="G420" t="str">
        <f>VLOOKUP(E420,Table145678910111213141545678910111213146[[CODE]:[Email Local]],4,0)</f>
        <v>qlk.00125</v>
      </c>
      <c r="H420">
        <f>VLOOKUP(E420,Table145678910111213141545678910111213146[[CODE]:[Email Local]],6,0)</f>
        <v>0</v>
      </c>
      <c r="J420" t="s">
        <v>67</v>
      </c>
      <c r="K420" s="389">
        <v>45421</v>
      </c>
      <c r="L420" s="389"/>
      <c r="M420" s="389"/>
      <c r="N420" t="s">
        <v>895</v>
      </c>
    </row>
    <row r="421" spans="1:14" hidden="1">
      <c r="A421">
        <v>114</v>
      </c>
      <c r="B421">
        <v>2</v>
      </c>
      <c r="C421" t="s">
        <v>850</v>
      </c>
      <c r="D421" t="s">
        <v>9092</v>
      </c>
      <c r="E421" t="s">
        <v>165</v>
      </c>
      <c r="F421" t="s">
        <v>10205</v>
      </c>
      <c r="G421" t="str">
        <f>VLOOKUP(E421,Table145678910111213141545678910111213146[[CODE]:[Email Local]],4,0)</f>
        <v>qlk.00807</v>
      </c>
      <c r="H421">
        <f>VLOOKUP(E421,Table145678910111213141545678910111213146[[CODE]:[Email Local]],6,0)</f>
        <v>0</v>
      </c>
      <c r="J421" t="s">
        <v>67</v>
      </c>
      <c r="K421" s="389">
        <v>45421</v>
      </c>
      <c r="L421" s="389"/>
      <c r="M421" s="389"/>
      <c r="N421" t="s">
        <v>895</v>
      </c>
    </row>
    <row r="422" spans="1:14" hidden="1">
      <c r="A422">
        <v>116</v>
      </c>
      <c r="B422">
        <v>4</v>
      </c>
      <c r="C422" t="s">
        <v>850</v>
      </c>
      <c r="D422" t="s">
        <v>1442</v>
      </c>
      <c r="E422" t="s">
        <v>7802</v>
      </c>
      <c r="F422" t="s">
        <v>10207</v>
      </c>
      <c r="G422" t="e">
        <f>VLOOKUP(E422,Table145678910111213141545678910111213146[[CODE]:[Email Local]],4,0)</f>
        <v>#N/A</v>
      </c>
      <c r="H422" t="e">
        <f>VLOOKUP(E422,Table145678910111213141545678910111213146[[CODE]:[Email Local]],6,0)</f>
        <v>#N/A</v>
      </c>
      <c r="J422" t="s">
        <v>67</v>
      </c>
      <c r="K422" s="389">
        <v>45421</v>
      </c>
      <c r="L422" s="389"/>
      <c r="M422" s="389"/>
      <c r="N422" t="s">
        <v>895</v>
      </c>
    </row>
    <row r="423" spans="1:14" hidden="1">
      <c r="A423">
        <v>135</v>
      </c>
      <c r="C423" t="s">
        <v>850</v>
      </c>
      <c r="D423" t="s">
        <v>3589</v>
      </c>
      <c r="E423" t="s">
        <v>8383</v>
      </c>
      <c r="F423" t="s">
        <v>10226</v>
      </c>
      <c r="G423" t="str">
        <f>VLOOKUP(E423,Table145678910111213141545678910111213146[[CODE]:[Email Local]],4,0)</f>
        <v>qlk.08553</v>
      </c>
      <c r="H423">
        <f>VLOOKUP(E423,Table145678910111213141545678910111213146[[CODE]:[Email Local]],6,0)</f>
        <v>0</v>
      </c>
      <c r="J423" t="s">
        <v>67</v>
      </c>
      <c r="K423" s="389">
        <v>45421</v>
      </c>
      <c r="L423" s="389"/>
      <c r="M423" s="389"/>
      <c r="N423" t="s">
        <v>895</v>
      </c>
    </row>
    <row r="424" spans="1:14" hidden="1">
      <c r="A424">
        <v>125</v>
      </c>
      <c r="B424">
        <v>1</v>
      </c>
      <c r="C424" t="s">
        <v>851</v>
      </c>
      <c r="D424" t="s">
        <v>1241</v>
      </c>
      <c r="E424" t="s">
        <v>166</v>
      </c>
      <c r="F424" t="s">
        <v>10216</v>
      </c>
      <c r="G424" t="str">
        <f>VLOOKUP(E424,Table145678910111213141545678910111213146[[CODE]:[Email Local]],4,0)</f>
        <v>qlk.00844</v>
      </c>
      <c r="H424" t="str">
        <f>VLOOKUP(E424,Table145678910111213141545678910111213146[[CODE]:[Email Local]],6,0)</f>
        <v>ok</v>
      </c>
      <c r="J424" t="s">
        <v>67</v>
      </c>
      <c r="K424" s="389">
        <v>45421</v>
      </c>
      <c r="L424" s="389"/>
      <c r="M424" s="389"/>
      <c r="N424" t="s">
        <v>895</v>
      </c>
    </row>
    <row r="425" spans="1:14" hidden="1">
      <c r="A425">
        <v>128</v>
      </c>
      <c r="B425">
        <v>4</v>
      </c>
      <c r="C425" t="s">
        <v>851</v>
      </c>
      <c r="D425" t="s">
        <v>1927</v>
      </c>
      <c r="E425" t="s">
        <v>176</v>
      </c>
      <c r="F425" t="s">
        <v>10219</v>
      </c>
      <c r="G425" t="str">
        <f>VLOOKUP(E425,Table145678910111213141545678910111213146[[CODE]:[Email Local]],4,0)</f>
        <v>qlk.02630</v>
      </c>
      <c r="H425" t="str">
        <f>VLOOKUP(E425,Table145678910111213141545678910111213146[[CODE]:[Email Local]],6,0)</f>
        <v>ok</v>
      </c>
      <c r="J425" t="s">
        <v>67</v>
      </c>
      <c r="K425" s="389">
        <v>45432</v>
      </c>
      <c r="L425" s="389"/>
      <c r="M425" s="389"/>
      <c r="N425" t="s">
        <v>895</v>
      </c>
    </row>
    <row r="426" spans="1:14" hidden="1">
      <c r="A426">
        <v>129</v>
      </c>
      <c r="B426">
        <v>5</v>
      </c>
      <c r="C426" t="s">
        <v>851</v>
      </c>
      <c r="D426" t="s">
        <v>1676</v>
      </c>
      <c r="E426" t="s">
        <v>175</v>
      </c>
      <c r="F426" t="s">
        <v>10220</v>
      </c>
      <c r="G426" t="str">
        <f>VLOOKUP(E426,Table145678910111213141545678910111213146[[CODE]:[Email Local]],4,0)</f>
        <v>qlk.01787</v>
      </c>
      <c r="H426" t="str">
        <f>VLOOKUP(E426,Table145678910111213141545678910111213146[[CODE]:[Email Local]],6,0)</f>
        <v>ok</v>
      </c>
      <c r="J426" t="s">
        <v>67</v>
      </c>
      <c r="K426" s="389">
        <v>45437</v>
      </c>
      <c r="L426" s="389"/>
      <c r="M426" s="389"/>
      <c r="N426" t="s">
        <v>895</v>
      </c>
    </row>
    <row r="427" spans="1:14" hidden="1">
      <c r="A427">
        <v>129</v>
      </c>
      <c r="B427">
        <v>5</v>
      </c>
      <c r="C427" t="s">
        <v>851</v>
      </c>
      <c r="D427" t="s">
        <v>7451</v>
      </c>
      <c r="E427" t="s">
        <v>8662</v>
      </c>
      <c r="F427" t="s">
        <v>10221</v>
      </c>
      <c r="G427" t="str">
        <f>VLOOKUP(E427,Table145678910111213141545678910111213146[[CODE]:[Email Local]],4,0)</f>
        <v>qlk.24123</v>
      </c>
      <c r="H427" t="str">
        <f>VLOOKUP(E427,Table145678910111213141545678910111213146[[CODE]:[Email Local]],6,0)</f>
        <v>ok</v>
      </c>
      <c r="J427" t="s">
        <v>67</v>
      </c>
      <c r="K427" s="389">
        <v>45456</v>
      </c>
      <c r="L427" s="389"/>
      <c r="M427" s="389"/>
      <c r="N427" t="s">
        <v>895</v>
      </c>
    </row>
    <row r="428" spans="1:14" hidden="1">
      <c r="A428">
        <v>126</v>
      </c>
      <c r="B428">
        <v>2</v>
      </c>
      <c r="C428" t="s">
        <v>851</v>
      </c>
      <c r="D428" t="s">
        <v>2635</v>
      </c>
      <c r="E428" t="s">
        <v>814</v>
      </c>
      <c r="F428" t="s">
        <v>10217</v>
      </c>
      <c r="G428" t="e">
        <f>VLOOKUP(E428,Table145678910111213141545678910111213146[[CODE]:[Email Local]],4,0)</f>
        <v>#N/A</v>
      </c>
      <c r="H428" t="e">
        <f>VLOOKUP(E428,Table145678910111213141545678910111213146[[CODE]:[Email Local]],6,0)</f>
        <v>#N/A</v>
      </c>
      <c r="J428" t="s">
        <v>67</v>
      </c>
      <c r="K428" s="389">
        <v>45421</v>
      </c>
      <c r="L428" s="389"/>
      <c r="M428" s="389"/>
      <c r="N428" t="s">
        <v>895</v>
      </c>
    </row>
    <row r="429" spans="1:14" hidden="1">
      <c r="A429">
        <v>127</v>
      </c>
      <c r="B429">
        <v>3</v>
      </c>
      <c r="C429" t="s">
        <v>851</v>
      </c>
      <c r="D429" t="s">
        <v>2198</v>
      </c>
      <c r="E429" t="s">
        <v>811</v>
      </c>
      <c r="F429" t="s">
        <v>10218</v>
      </c>
      <c r="G429" t="e">
        <f>VLOOKUP(E429,Table145678910111213141545678910111213146[[CODE]:[Email Local]],4,0)</f>
        <v>#N/A</v>
      </c>
      <c r="H429" t="e">
        <f>VLOOKUP(E429,Table145678910111213141545678910111213146[[CODE]:[Email Local]],6,0)</f>
        <v>#N/A</v>
      </c>
      <c r="J429" t="s">
        <v>67</v>
      </c>
      <c r="K429" s="389">
        <v>45432</v>
      </c>
      <c r="L429" s="389"/>
      <c r="M429" s="389"/>
      <c r="N429" t="s">
        <v>895</v>
      </c>
    </row>
    <row r="430" spans="1:14" hidden="1">
      <c r="A430">
        <v>89</v>
      </c>
      <c r="B430">
        <v>1</v>
      </c>
      <c r="C430" t="s">
        <v>852</v>
      </c>
      <c r="D430" t="s">
        <v>3113</v>
      </c>
      <c r="E430" t="s">
        <v>143</v>
      </c>
      <c r="F430" t="s">
        <v>10180</v>
      </c>
      <c r="G430" t="str">
        <f>VLOOKUP(E430,Table145678910111213141545678910111213146[[CODE]:[Email Local]],4,0)</f>
        <v>qlk.07039</v>
      </c>
      <c r="H430" t="str">
        <f>VLOOKUP(E430,Table145678910111213141545678910111213146[[CODE]:[Email Local]],6,0)</f>
        <v>ok</v>
      </c>
      <c r="J430" t="s">
        <v>67</v>
      </c>
      <c r="K430" s="389">
        <v>45421</v>
      </c>
      <c r="L430" s="389"/>
      <c r="M430" s="389"/>
      <c r="N430" t="s">
        <v>895</v>
      </c>
    </row>
    <row r="431" spans="1:14" hidden="1">
      <c r="A431">
        <v>90</v>
      </c>
      <c r="B431">
        <v>2</v>
      </c>
      <c r="C431" t="s">
        <v>852</v>
      </c>
      <c r="D431" t="s">
        <v>6788</v>
      </c>
      <c r="E431" t="s">
        <v>144</v>
      </c>
      <c r="F431" t="s">
        <v>10181</v>
      </c>
      <c r="G431" t="str">
        <f>VLOOKUP(E431,Table145678910111213141545678910111213146[[CODE]:[Email Local]],4,0)</f>
        <v>21343.hien</v>
      </c>
      <c r="H431" t="str">
        <f>VLOOKUP(E431,Table145678910111213141545678910111213146[[CODE]:[Email Local]],6,0)</f>
        <v>ok</v>
      </c>
      <c r="J431" t="s">
        <v>67</v>
      </c>
      <c r="K431" s="389">
        <v>45421</v>
      </c>
      <c r="L431" s="389"/>
      <c r="M431" s="389"/>
      <c r="N431" t="s">
        <v>895</v>
      </c>
    </row>
    <row r="432" spans="1:14" hidden="1">
      <c r="A432">
        <v>91</v>
      </c>
      <c r="B432">
        <v>3</v>
      </c>
      <c r="C432" t="s">
        <v>852</v>
      </c>
      <c r="D432" t="s">
        <v>1057</v>
      </c>
      <c r="E432" t="s">
        <v>145</v>
      </c>
      <c r="F432" t="s">
        <v>10182</v>
      </c>
      <c r="G432" t="str">
        <f>VLOOKUP(E432,Table145678910111213141545678910111213146[[CODE]:[Email Local]],4,0)</f>
        <v>qlk.00400</v>
      </c>
      <c r="H432" t="str">
        <f>VLOOKUP(E432,Table145678910111213141545678910111213146[[CODE]:[Email Local]],6,0)</f>
        <v>ok</v>
      </c>
      <c r="J432" t="s">
        <v>67</v>
      </c>
      <c r="K432" s="389">
        <v>45421</v>
      </c>
      <c r="L432" s="389"/>
      <c r="M432" s="389"/>
      <c r="N432" t="s">
        <v>895</v>
      </c>
    </row>
    <row r="433" spans="1:14" hidden="1">
      <c r="A433">
        <v>92</v>
      </c>
      <c r="B433">
        <v>4</v>
      </c>
      <c r="C433" t="s">
        <v>852</v>
      </c>
      <c r="D433" t="s">
        <v>1776</v>
      </c>
      <c r="E433" t="s">
        <v>147</v>
      </c>
      <c r="F433" t="s">
        <v>10183</v>
      </c>
      <c r="G433" t="str">
        <f>VLOOKUP(E433,Table145678910111213141545678910111213146[[CODE]:[Email Local]],4,0)</f>
        <v>qlk.02183</v>
      </c>
      <c r="H433" t="str">
        <f>VLOOKUP(E433,Table145678910111213141545678910111213146[[CODE]:[Email Local]],6,0)</f>
        <v>ok</v>
      </c>
      <c r="J433" t="s">
        <v>67</v>
      </c>
      <c r="K433" s="389">
        <v>45421</v>
      </c>
      <c r="L433" s="389"/>
      <c r="M433" s="389"/>
      <c r="N433" t="s">
        <v>895</v>
      </c>
    </row>
    <row r="434" spans="1:14" hidden="1">
      <c r="A434">
        <v>93</v>
      </c>
      <c r="B434">
        <v>5</v>
      </c>
      <c r="C434" t="s">
        <v>852</v>
      </c>
      <c r="D434" t="s">
        <v>3705</v>
      </c>
      <c r="E434" t="s">
        <v>7809</v>
      </c>
      <c r="F434" t="s">
        <v>10184</v>
      </c>
      <c r="G434" t="e">
        <f>VLOOKUP(E434,Table145678910111213141545678910111213146[[CODE]:[Email Local]],4,0)</f>
        <v>#N/A</v>
      </c>
      <c r="H434" t="e">
        <f>VLOOKUP(E434,Table145678910111213141545678910111213146[[CODE]:[Email Local]],6,0)</f>
        <v>#N/A</v>
      </c>
      <c r="J434" t="s">
        <v>67</v>
      </c>
      <c r="K434" s="389">
        <v>45528</v>
      </c>
      <c r="L434" s="389"/>
      <c r="M434" s="389"/>
      <c r="N434" t="s">
        <v>895</v>
      </c>
    </row>
    <row r="435" spans="1:14" hidden="1">
      <c r="A435">
        <v>448</v>
      </c>
      <c r="B435">
        <v>1</v>
      </c>
      <c r="C435" t="s">
        <v>853</v>
      </c>
      <c r="D435" t="s">
        <v>1393</v>
      </c>
      <c r="E435" t="s">
        <v>456</v>
      </c>
      <c r="F435" t="s">
        <v>10531</v>
      </c>
      <c r="G435" t="e">
        <f>VLOOKUP(E435,Table145678910111213141545678910111213146[[CODE]:[Email Local]],4,0)</f>
        <v>#N/A</v>
      </c>
      <c r="H435" t="e">
        <f>VLOOKUP(E435,Table145678910111213141545678910111213146[[CODE]:[Email Local]],6,0)</f>
        <v>#N/A</v>
      </c>
      <c r="J435" t="s">
        <v>67</v>
      </c>
      <c r="K435" s="389">
        <v>45439</v>
      </c>
      <c r="L435" s="389"/>
      <c r="M435" s="389"/>
      <c r="N435" t="s">
        <v>906</v>
      </c>
    </row>
    <row r="436" spans="1:14" hidden="1">
      <c r="A436">
        <v>449</v>
      </c>
      <c r="B436">
        <v>2</v>
      </c>
      <c r="C436" t="s">
        <v>853</v>
      </c>
      <c r="D436" t="s">
        <v>1179</v>
      </c>
      <c r="E436" t="s">
        <v>457</v>
      </c>
      <c r="F436" t="s">
        <v>10532</v>
      </c>
      <c r="G436" t="str">
        <f>VLOOKUP(E436,Table145678910111213141545678910111213146[[CODE]:[Email Local]],4,0)</f>
        <v>km.00640</v>
      </c>
      <c r="H436">
        <f>VLOOKUP(E436,Table145678910111213141545678910111213146[[CODE]:[Email Local]],6,0)</f>
        <v>0</v>
      </c>
      <c r="J436" t="s">
        <v>67</v>
      </c>
      <c r="K436" s="389">
        <v>45439</v>
      </c>
      <c r="L436" s="389"/>
      <c r="M436" s="389"/>
      <c r="N436" t="s">
        <v>906</v>
      </c>
    </row>
    <row r="437" spans="1:14" hidden="1">
      <c r="A437">
        <v>450</v>
      </c>
      <c r="B437">
        <v>3</v>
      </c>
      <c r="C437" t="s">
        <v>853</v>
      </c>
      <c r="D437" t="s">
        <v>4200</v>
      </c>
      <c r="E437" t="s">
        <v>458</v>
      </c>
      <c r="F437" t="s">
        <v>10533</v>
      </c>
      <c r="G437" t="e">
        <f>VLOOKUP(E437,Table145678910111213141545678910111213146[[CODE]:[Email Local]],4,0)</f>
        <v>#N/A</v>
      </c>
      <c r="H437" t="e">
        <f>VLOOKUP(E437,Table145678910111213141545678910111213146[[CODE]:[Email Local]],6,0)</f>
        <v>#N/A</v>
      </c>
      <c r="J437" t="s">
        <v>67</v>
      </c>
      <c r="K437" s="389">
        <v>45439</v>
      </c>
      <c r="L437" s="389"/>
      <c r="M437" s="389"/>
      <c r="N437" t="s">
        <v>906</v>
      </c>
    </row>
    <row r="438" spans="1:14" hidden="1">
      <c r="A438">
        <v>451</v>
      </c>
      <c r="B438">
        <v>4</v>
      </c>
      <c r="C438" t="s">
        <v>853</v>
      </c>
      <c r="D438" t="s">
        <v>4515</v>
      </c>
      <c r="E438" t="s">
        <v>459</v>
      </c>
      <c r="F438" t="s">
        <v>10534</v>
      </c>
      <c r="G438" t="e">
        <f>VLOOKUP(E438,Table145678910111213141545678910111213146[[CODE]:[Email Local]],4,0)</f>
        <v>#N/A</v>
      </c>
      <c r="H438" t="e">
        <f>VLOOKUP(E438,Table145678910111213141545678910111213146[[CODE]:[Email Local]],6,0)</f>
        <v>#N/A</v>
      </c>
      <c r="J438" t="s">
        <v>67</v>
      </c>
      <c r="K438" s="389">
        <v>45439</v>
      </c>
      <c r="L438" s="389"/>
      <c r="M438" s="389"/>
      <c r="N438" t="s">
        <v>906</v>
      </c>
    </row>
    <row r="439" spans="1:14" hidden="1">
      <c r="A439">
        <v>452</v>
      </c>
      <c r="B439">
        <v>5</v>
      </c>
      <c r="C439" t="s">
        <v>853</v>
      </c>
      <c r="D439" t="s">
        <v>9762</v>
      </c>
      <c r="E439" t="s">
        <v>460</v>
      </c>
      <c r="F439" t="s">
        <v>10535</v>
      </c>
      <c r="G439" t="e">
        <f>VLOOKUP(E439,Table145678910111213141545678910111213146[[CODE]:[Email Local]],4,0)</f>
        <v>#N/A</v>
      </c>
      <c r="H439" t="e">
        <f>VLOOKUP(E439,Table145678910111213141545678910111213146[[CODE]:[Email Local]],6,0)</f>
        <v>#N/A</v>
      </c>
      <c r="J439" t="s">
        <v>67</v>
      </c>
      <c r="K439" s="389">
        <v>45439</v>
      </c>
      <c r="L439" s="389">
        <v>45876</v>
      </c>
      <c r="M439" s="389">
        <v>45876</v>
      </c>
      <c r="N439" t="e">
        <v>#N/A</v>
      </c>
    </row>
    <row r="440" spans="1:14" hidden="1">
      <c r="A440">
        <v>453</v>
      </c>
      <c r="B440">
        <v>6</v>
      </c>
      <c r="C440" t="s">
        <v>853</v>
      </c>
      <c r="D440" t="s">
        <v>1645</v>
      </c>
      <c r="E440" t="s">
        <v>461</v>
      </c>
      <c r="F440" t="s">
        <v>10536</v>
      </c>
      <c r="G440" t="str">
        <f>VLOOKUP(E440,Table145678910111213141545678910111213146[[CODE]:[Email Local]],4,0)</f>
        <v>km.01705</v>
      </c>
      <c r="H440">
        <f>VLOOKUP(E440,Table145678910111213141545678910111213146[[CODE]:[Email Local]],6,0)</f>
        <v>0</v>
      </c>
      <c r="J440" t="s">
        <v>67</v>
      </c>
      <c r="K440" s="389">
        <v>45439</v>
      </c>
      <c r="L440" s="389"/>
      <c r="M440" s="389"/>
      <c r="N440" t="s">
        <v>906</v>
      </c>
    </row>
    <row r="441" spans="1:14" hidden="1">
      <c r="A441">
        <v>454</v>
      </c>
      <c r="B441">
        <v>7</v>
      </c>
      <c r="C441" t="s">
        <v>853</v>
      </c>
      <c r="D441" t="s">
        <v>4177</v>
      </c>
      <c r="E441" t="s">
        <v>462</v>
      </c>
      <c r="F441" t="s">
        <v>10537</v>
      </c>
      <c r="G441" t="e">
        <f>VLOOKUP(E441,Table145678910111213141545678910111213146[[CODE]:[Email Local]],4,0)</f>
        <v>#N/A</v>
      </c>
      <c r="H441" t="e">
        <f>VLOOKUP(E441,Table145678910111213141545678910111213146[[CODE]:[Email Local]],6,0)</f>
        <v>#N/A</v>
      </c>
      <c r="J441" t="s">
        <v>67</v>
      </c>
      <c r="K441" s="389">
        <v>45439</v>
      </c>
      <c r="L441" s="389"/>
      <c r="M441" s="389"/>
      <c r="N441" t="s">
        <v>906</v>
      </c>
    </row>
    <row r="442" spans="1:14" hidden="1">
      <c r="A442">
        <v>455</v>
      </c>
      <c r="B442">
        <v>8</v>
      </c>
      <c r="C442" t="s">
        <v>853</v>
      </c>
      <c r="D442" t="s">
        <v>3254</v>
      </c>
      <c r="E442" t="s">
        <v>463</v>
      </c>
      <c r="F442" t="s">
        <v>10538</v>
      </c>
      <c r="G442" t="str">
        <f>VLOOKUP(E442,Table145678910111213141545678910111213146[[CODE]:[Email Local]],4,0)</f>
        <v>km.07702</v>
      </c>
      <c r="H442">
        <f>VLOOKUP(E442,Table145678910111213141545678910111213146[[CODE]:[Email Local]],6,0)</f>
        <v>0</v>
      </c>
      <c r="J442" t="s">
        <v>67</v>
      </c>
      <c r="K442" s="389">
        <v>45439</v>
      </c>
      <c r="L442" s="389"/>
      <c r="M442" s="389"/>
      <c r="N442" t="s">
        <v>906</v>
      </c>
    </row>
    <row r="443" spans="1:14" hidden="1">
      <c r="A443">
        <v>456</v>
      </c>
      <c r="B443">
        <v>9</v>
      </c>
      <c r="C443" t="s">
        <v>853</v>
      </c>
      <c r="D443" t="s">
        <v>3162</v>
      </c>
      <c r="E443" t="s">
        <v>464</v>
      </c>
      <c r="F443" t="s">
        <v>10539</v>
      </c>
      <c r="G443" t="str">
        <f>VLOOKUP(E443,Table145678910111213141545678910111213146[[CODE]:[Email Local]],4,0)</f>
        <v>km.07153</v>
      </c>
      <c r="H443">
        <f>VLOOKUP(E443,Table145678910111213141545678910111213146[[CODE]:[Email Local]],6,0)</f>
        <v>0</v>
      </c>
      <c r="J443" t="s">
        <v>67</v>
      </c>
      <c r="K443" s="389">
        <v>45439</v>
      </c>
      <c r="L443" s="389"/>
      <c r="M443" s="389"/>
      <c r="N443" t="s">
        <v>906</v>
      </c>
    </row>
    <row r="444" spans="1:14" hidden="1">
      <c r="A444">
        <v>458</v>
      </c>
      <c r="B444">
        <v>11</v>
      </c>
      <c r="C444" t="s">
        <v>853</v>
      </c>
      <c r="D444" t="s">
        <v>3254</v>
      </c>
      <c r="E444" t="s">
        <v>466</v>
      </c>
      <c r="F444" t="s">
        <v>10541</v>
      </c>
      <c r="G444" t="e">
        <f>VLOOKUP(E444,Table145678910111213141545678910111213146[[CODE]:[Email Local]],4,0)</f>
        <v>#N/A</v>
      </c>
      <c r="H444" t="e">
        <f>VLOOKUP(E444,Table145678910111213141545678910111213146[[CODE]:[Email Local]],6,0)</f>
        <v>#N/A</v>
      </c>
      <c r="J444" t="s">
        <v>67</v>
      </c>
      <c r="K444" s="389">
        <v>45439</v>
      </c>
      <c r="L444" s="389"/>
      <c r="M444" s="389"/>
      <c r="N444" t="s">
        <v>906</v>
      </c>
    </row>
    <row r="445" spans="1:14" hidden="1">
      <c r="A445">
        <v>460</v>
      </c>
      <c r="B445">
        <v>13</v>
      </c>
      <c r="C445" t="s">
        <v>853</v>
      </c>
      <c r="D445" t="s">
        <v>2078</v>
      </c>
      <c r="E445" t="s">
        <v>468</v>
      </c>
      <c r="F445" t="s">
        <v>10543</v>
      </c>
      <c r="G445" t="str">
        <f>VLOOKUP(E445,Table145678910111213141545678910111213146[[CODE]:[Email Local]],4,0)</f>
        <v>km.03048</v>
      </c>
      <c r="H445">
        <f>VLOOKUP(E445,Table145678910111213141545678910111213146[[CODE]:[Email Local]],6,0)</f>
        <v>0</v>
      </c>
      <c r="J445" t="s">
        <v>67</v>
      </c>
      <c r="K445" s="389">
        <v>45439</v>
      </c>
      <c r="L445" s="389"/>
      <c r="M445" s="389"/>
      <c r="N445" t="s">
        <v>906</v>
      </c>
    </row>
    <row r="446" spans="1:14" hidden="1">
      <c r="A446">
        <v>461</v>
      </c>
      <c r="B446">
        <v>14</v>
      </c>
      <c r="C446" t="s">
        <v>853</v>
      </c>
      <c r="D446" t="s">
        <v>6138</v>
      </c>
      <c r="E446" t="s">
        <v>469</v>
      </c>
      <c r="F446" t="s">
        <v>10544</v>
      </c>
      <c r="G446" t="e">
        <f>VLOOKUP(E446,Table145678910111213141545678910111213146[[CODE]:[Email Local]],4,0)</f>
        <v>#N/A</v>
      </c>
      <c r="H446" t="e">
        <f>VLOOKUP(E446,Table145678910111213141545678910111213146[[CODE]:[Email Local]],6,0)</f>
        <v>#N/A</v>
      </c>
      <c r="J446" t="s">
        <v>67</v>
      </c>
      <c r="K446" s="389">
        <v>45439</v>
      </c>
      <c r="L446" s="389"/>
      <c r="M446" s="389"/>
      <c r="N446" t="s">
        <v>906</v>
      </c>
    </row>
    <row r="447" spans="1:14" hidden="1">
      <c r="A447">
        <v>462</v>
      </c>
      <c r="B447">
        <v>15</v>
      </c>
      <c r="C447" t="s">
        <v>853</v>
      </c>
      <c r="D447" t="s">
        <v>2881</v>
      </c>
      <c r="E447" t="s">
        <v>470</v>
      </c>
      <c r="F447" t="s">
        <v>10545</v>
      </c>
      <c r="G447" t="str">
        <f>VLOOKUP(E447,Table145678910111213141545678910111213146[[CODE]:[Email Local]],4,0)</f>
        <v>06436.giang</v>
      </c>
      <c r="H447">
        <f>VLOOKUP(E447,Table145678910111213141545678910111213146[[CODE]:[Email Local]],6,0)</f>
        <v>0</v>
      </c>
      <c r="J447" t="s">
        <v>67</v>
      </c>
      <c r="K447" s="389">
        <v>45434</v>
      </c>
      <c r="L447" s="389"/>
      <c r="M447" s="389"/>
      <c r="N447" t="s">
        <v>906</v>
      </c>
    </row>
    <row r="448" spans="1:14" hidden="1">
      <c r="A448">
        <v>464</v>
      </c>
      <c r="B448">
        <v>17</v>
      </c>
      <c r="C448" t="s">
        <v>853</v>
      </c>
      <c r="D448" t="s">
        <v>2830</v>
      </c>
      <c r="E448" t="s">
        <v>472</v>
      </c>
      <c r="F448" t="s">
        <v>10547</v>
      </c>
      <c r="G448" t="str">
        <f>VLOOKUP(E448,Table145678910111213141545678910111213146[[CODE]:[Email Local]],4,0)</f>
        <v>km.09787</v>
      </c>
      <c r="H448">
        <f>VLOOKUP(E448,Table145678910111213141545678910111213146[[CODE]:[Email Local]],6,0)</f>
        <v>0</v>
      </c>
      <c r="J448" t="s">
        <v>67</v>
      </c>
      <c r="K448" s="389">
        <v>45439</v>
      </c>
      <c r="L448" s="389"/>
      <c r="M448" s="389"/>
      <c r="N448" t="s">
        <v>906</v>
      </c>
    </row>
    <row r="449" spans="1:14" hidden="1">
      <c r="A449">
        <v>465</v>
      </c>
      <c r="B449">
        <v>18</v>
      </c>
      <c r="C449" t="s">
        <v>853</v>
      </c>
      <c r="D449" t="s">
        <v>1162</v>
      </c>
      <c r="E449" t="s">
        <v>473</v>
      </c>
      <c r="F449" t="s">
        <v>10548</v>
      </c>
      <c r="G449" t="str">
        <f>VLOOKUP(E449,Table145678910111213141545678910111213146[[CODE]:[Email Local]],4,0)</f>
        <v>km.00606</v>
      </c>
      <c r="H449">
        <f>VLOOKUP(E449,Table145678910111213141545678910111213146[[CODE]:[Email Local]],6,0)</f>
        <v>0</v>
      </c>
      <c r="J449" t="s">
        <v>67</v>
      </c>
      <c r="K449" s="389">
        <v>45439</v>
      </c>
      <c r="L449" s="389"/>
      <c r="M449" s="389"/>
      <c r="N449" t="s">
        <v>906</v>
      </c>
    </row>
    <row r="450" spans="1:14" hidden="1">
      <c r="A450">
        <v>466</v>
      </c>
      <c r="B450">
        <v>19</v>
      </c>
      <c r="C450" t="s">
        <v>853</v>
      </c>
      <c r="D450" t="s">
        <v>7987</v>
      </c>
      <c r="E450" t="s">
        <v>7987</v>
      </c>
      <c r="F450" t="s">
        <v>7987</v>
      </c>
      <c r="G450" t="e">
        <f>VLOOKUP(E450,Table145678910111213141545678910111213146[[CODE]:[Email Local]],4,0)</f>
        <v>#N/A</v>
      </c>
      <c r="H450" t="e">
        <f>VLOOKUP(E450,Table145678910111213141545678910111213146[[CODE]:[Email Local]],6,0)</f>
        <v>#N/A</v>
      </c>
      <c r="J450" t="s">
        <v>67</v>
      </c>
      <c r="K450" s="389">
        <v>45713</v>
      </c>
      <c r="L450" s="389"/>
      <c r="M450" s="389"/>
      <c r="N450" t="e">
        <v>#N/A</v>
      </c>
    </row>
    <row r="451" spans="1:14" hidden="1">
      <c r="A451">
        <v>467</v>
      </c>
      <c r="B451">
        <v>20</v>
      </c>
      <c r="C451" t="s">
        <v>853</v>
      </c>
      <c r="D451" t="s">
        <v>992</v>
      </c>
      <c r="E451" t="s">
        <v>8032</v>
      </c>
      <c r="F451" t="s">
        <v>10549</v>
      </c>
      <c r="G451" t="e">
        <f>VLOOKUP(E451,Table145678910111213141545678910111213146[[CODE]:[Email Local]],4,0)</f>
        <v>#N/A</v>
      </c>
      <c r="H451" t="e">
        <f>VLOOKUP(E451,Table145678910111213141545678910111213146[[CODE]:[Email Local]],6,0)</f>
        <v>#N/A</v>
      </c>
      <c r="J451" t="s">
        <v>7985</v>
      </c>
      <c r="K451" s="389">
        <v>45803</v>
      </c>
      <c r="L451" s="389"/>
      <c r="M451" s="389"/>
      <c r="N451" t="s">
        <v>906</v>
      </c>
    </row>
    <row r="452" spans="1:14" hidden="1">
      <c r="A452">
        <v>457</v>
      </c>
      <c r="B452">
        <v>10</v>
      </c>
      <c r="C452" t="s">
        <v>853</v>
      </c>
      <c r="D452" t="s">
        <v>1556</v>
      </c>
      <c r="E452" t="s">
        <v>465</v>
      </c>
      <c r="F452" t="s">
        <v>10540</v>
      </c>
      <c r="G452" t="str">
        <f>VLOOKUP(E452,Table145678910111213141545678910111213146[[CODE]:[Email Local]],4,0)</f>
        <v>km.01465</v>
      </c>
      <c r="H452" t="str">
        <f>VLOOKUP(E452,Table145678910111213141545678910111213146[[CODE]:[Email Local]],6,0)</f>
        <v>ok</v>
      </c>
      <c r="J452" t="s">
        <v>67</v>
      </c>
      <c r="K452" s="389">
        <v>45439</v>
      </c>
      <c r="L452" s="389"/>
      <c r="M452" s="389"/>
      <c r="N452" t="s">
        <v>906</v>
      </c>
    </row>
    <row r="453" spans="1:14" hidden="1">
      <c r="A453">
        <v>459</v>
      </c>
      <c r="B453">
        <v>12</v>
      </c>
      <c r="C453" t="s">
        <v>853</v>
      </c>
      <c r="D453" t="s">
        <v>5471</v>
      </c>
      <c r="E453" t="s">
        <v>467</v>
      </c>
      <c r="F453" t="s">
        <v>10542</v>
      </c>
      <c r="G453" t="str">
        <f>VLOOKUP(E453,Table145678910111213141545678910111213146[[CODE]:[Email Local]],4,0)</f>
        <v>km.16198</v>
      </c>
      <c r="H453" t="str">
        <f>VLOOKUP(E453,Table145678910111213141545678910111213146[[CODE]:[Email Local]],6,0)</f>
        <v>ok</v>
      </c>
      <c r="J453" t="s">
        <v>67</v>
      </c>
      <c r="K453" s="389">
        <v>45439</v>
      </c>
      <c r="L453" s="389"/>
      <c r="M453" s="389"/>
      <c r="N453" t="s">
        <v>906</v>
      </c>
    </row>
    <row r="454" spans="1:14" hidden="1">
      <c r="A454">
        <v>463</v>
      </c>
      <c r="B454">
        <v>16</v>
      </c>
      <c r="C454" t="s">
        <v>853</v>
      </c>
      <c r="D454" t="s">
        <v>1647</v>
      </c>
      <c r="E454" t="s">
        <v>471</v>
      </c>
      <c r="F454" t="s">
        <v>10546</v>
      </c>
      <c r="G454" t="str">
        <f>VLOOKUP(E454,Table145678910111213141545678910111213146[[CODE]:[Email Local]],4,0)</f>
        <v>km.01706</v>
      </c>
      <c r="H454" t="str">
        <f>VLOOKUP(E454,Table145678910111213141545678910111213146[[CODE]:[Email Local]],6,0)</f>
        <v>ok</v>
      </c>
      <c r="J454" t="s">
        <v>67</v>
      </c>
      <c r="K454" s="389">
        <v>45439</v>
      </c>
      <c r="L454" s="389"/>
      <c r="M454" s="389"/>
      <c r="N454" t="s">
        <v>906</v>
      </c>
    </row>
    <row r="455" spans="1:14" hidden="1">
      <c r="A455">
        <v>743</v>
      </c>
      <c r="B455">
        <v>2</v>
      </c>
      <c r="C455" t="s">
        <v>855</v>
      </c>
      <c r="D455" t="s">
        <v>1485</v>
      </c>
      <c r="E455" t="s">
        <v>679</v>
      </c>
      <c r="F455" t="s">
        <v>10818</v>
      </c>
      <c r="G455" t="str">
        <f>VLOOKUP(E455,Table145678910111213141545678910111213146[[CODE]:[Email Local]],4,0)</f>
        <v>lr6.01268</v>
      </c>
      <c r="H455">
        <f>VLOOKUP(E455,Table145678910111213141545678910111213146[[CODE]:[Email Local]],6,0)</f>
        <v>0</v>
      </c>
      <c r="J455" t="s">
        <v>67</v>
      </c>
      <c r="K455" s="389">
        <v>45402</v>
      </c>
      <c r="L455" s="389"/>
      <c r="M455" s="389"/>
      <c r="N455" t="s">
        <v>1487</v>
      </c>
    </row>
    <row r="456" spans="1:14" hidden="1">
      <c r="A456">
        <v>744</v>
      </c>
      <c r="B456">
        <v>3</v>
      </c>
      <c r="C456" t="s">
        <v>855</v>
      </c>
      <c r="D456" t="s">
        <v>7057</v>
      </c>
      <c r="E456" t="s">
        <v>680</v>
      </c>
      <c r="F456" t="s">
        <v>10819</v>
      </c>
      <c r="G456" t="e">
        <f>VLOOKUP(E456,Table145678910111213141545678910111213146[[CODE]:[Email Local]],4,0)</f>
        <v>#N/A</v>
      </c>
      <c r="H456" t="e">
        <f>VLOOKUP(E456,Table145678910111213141545678910111213146[[CODE]:[Email Local]],6,0)</f>
        <v>#N/A</v>
      </c>
      <c r="J456" t="s">
        <v>67</v>
      </c>
      <c r="K456" s="389">
        <v>45402</v>
      </c>
      <c r="L456" s="389"/>
      <c r="M456" s="389"/>
      <c r="N456" t="s">
        <v>1487</v>
      </c>
    </row>
    <row r="457" spans="1:14" hidden="1">
      <c r="A457">
        <v>742</v>
      </c>
      <c r="B457">
        <v>1</v>
      </c>
      <c r="C457" t="s">
        <v>855</v>
      </c>
      <c r="D457" t="s">
        <v>7059</v>
      </c>
      <c r="E457" t="s">
        <v>678</v>
      </c>
      <c r="F457" t="s">
        <v>10817</v>
      </c>
      <c r="G457" t="str">
        <f>VLOOKUP(E457,Table145678910111213141545678910111213146[[CODE]:[Email Local]],4,0)</f>
        <v>lr6.22410</v>
      </c>
      <c r="H457" t="str">
        <f>VLOOKUP(E457,Table145678910111213141545678910111213146[[CODE]:[Email Local]],6,0)</f>
        <v>ok</v>
      </c>
      <c r="J457" t="s">
        <v>67</v>
      </c>
      <c r="K457" s="389">
        <v>45402</v>
      </c>
      <c r="L457" s="389"/>
      <c r="M457" s="389"/>
      <c r="N457" t="s">
        <v>1487</v>
      </c>
    </row>
    <row r="458" spans="1:14" hidden="1">
      <c r="A458">
        <v>745</v>
      </c>
      <c r="B458">
        <v>4</v>
      </c>
      <c r="C458" t="s">
        <v>855</v>
      </c>
      <c r="D458" t="s">
        <v>1582</v>
      </c>
      <c r="E458" t="s">
        <v>681</v>
      </c>
      <c r="F458" t="s">
        <v>10820</v>
      </c>
      <c r="G458" t="str">
        <f>VLOOKUP(E458,Table145678910111213141545678910111213146[[CODE]:[Email Local]],4,0)</f>
        <v>lr6.01543</v>
      </c>
      <c r="H458" t="str">
        <f>VLOOKUP(E458,Table145678910111213141545678910111213146[[CODE]:[Email Local]],6,0)</f>
        <v>ok</v>
      </c>
      <c r="J458" t="s">
        <v>67</v>
      </c>
      <c r="K458" s="389">
        <v>45402</v>
      </c>
      <c r="L458" s="389"/>
      <c r="M458" s="389"/>
      <c r="N458" t="s">
        <v>1487</v>
      </c>
    </row>
    <row r="459" spans="1:14" hidden="1">
      <c r="A459">
        <v>746</v>
      </c>
      <c r="B459">
        <v>5</v>
      </c>
      <c r="C459" t="s">
        <v>855</v>
      </c>
      <c r="D459" t="s">
        <v>2229</v>
      </c>
      <c r="E459" t="s">
        <v>682</v>
      </c>
      <c r="F459" t="s">
        <v>10821</v>
      </c>
      <c r="G459" t="str">
        <f>VLOOKUP(E459,Table145678910111213141545678910111213146[[CODE]:[Email Local]],4,0)</f>
        <v>lr6.06887</v>
      </c>
      <c r="H459" t="str">
        <f>VLOOKUP(E459,Table145678910111213141545678910111213146[[CODE]:[Email Local]],6,0)</f>
        <v>ok</v>
      </c>
      <c r="J459" t="s">
        <v>67</v>
      </c>
      <c r="K459" s="389">
        <v>45402</v>
      </c>
      <c r="L459" s="389"/>
      <c r="M459" s="389"/>
      <c r="N459" t="s">
        <v>1487</v>
      </c>
    </row>
    <row r="460" spans="1:14" hidden="1">
      <c r="A460">
        <v>747</v>
      </c>
      <c r="B460">
        <v>6</v>
      </c>
      <c r="C460" t="s">
        <v>855</v>
      </c>
      <c r="D460" t="s">
        <v>3857</v>
      </c>
      <c r="E460" t="s">
        <v>683</v>
      </c>
      <c r="F460" t="s">
        <v>10822</v>
      </c>
      <c r="G460" t="str">
        <f>VLOOKUP(E460,Table145678910111213141545678910111213146[[CODE]:[Email Local]],4,0)</f>
        <v>24765.nhung</v>
      </c>
      <c r="H460" t="str">
        <f>VLOOKUP(E460,Table145678910111213141545678910111213146[[CODE]:[Email Local]],6,0)</f>
        <v>ok</v>
      </c>
      <c r="J460" t="s">
        <v>67</v>
      </c>
      <c r="K460" s="389">
        <v>45402</v>
      </c>
      <c r="L460" s="389"/>
      <c r="M460" s="389"/>
      <c r="N460" t="s">
        <v>1487</v>
      </c>
    </row>
    <row r="461" spans="1:14" hidden="1">
      <c r="A461">
        <v>748</v>
      </c>
      <c r="B461">
        <v>2</v>
      </c>
      <c r="C461" t="s">
        <v>855</v>
      </c>
      <c r="D461" t="s">
        <v>9716</v>
      </c>
      <c r="E461" t="s">
        <v>8401</v>
      </c>
      <c r="F461" t="s">
        <v>10823</v>
      </c>
      <c r="G461" t="str">
        <f>VLOOKUP(E461,Table145678910111213141545678910111213146[[CODE]:[Email Local]],4,0)</f>
        <v>26068.lan</v>
      </c>
      <c r="H461" t="str">
        <f>VLOOKUP(E461,Table145678910111213141545678910111213146[[CODE]:[Email Local]],6,0)</f>
        <v>ok</v>
      </c>
      <c r="J461" t="s">
        <v>67</v>
      </c>
      <c r="K461" s="389">
        <v>45831</v>
      </c>
      <c r="L461" s="389">
        <v>45978</v>
      </c>
      <c r="M461" s="389"/>
      <c r="N461" t="e">
        <v>#N/A</v>
      </c>
    </row>
    <row r="462" spans="1:14" hidden="1">
      <c r="A462">
        <v>131</v>
      </c>
      <c r="B462">
        <v>1</v>
      </c>
      <c r="C462" t="s">
        <v>856</v>
      </c>
      <c r="D462" t="s">
        <v>2220</v>
      </c>
      <c r="E462" t="s">
        <v>179</v>
      </c>
      <c r="F462" t="s">
        <v>10222</v>
      </c>
      <c r="G462" t="str">
        <f>VLOOKUP(E462,Table145678910111213141545678910111213146[[CODE]:[Email Local]],4,0)</f>
        <v>cat.03441</v>
      </c>
      <c r="H462" t="str">
        <f>VLOOKUP(E462,Table145678910111213141545678910111213146[[CODE]:[Email Local]],6,0)</f>
        <v>ok</v>
      </c>
      <c r="J462" t="s">
        <v>67</v>
      </c>
      <c r="K462" s="389">
        <v>45432</v>
      </c>
      <c r="L462" s="389"/>
      <c r="M462" s="389"/>
      <c r="N462" t="s">
        <v>1380</v>
      </c>
    </row>
    <row r="463" spans="1:14" hidden="1">
      <c r="A463">
        <v>142</v>
      </c>
      <c r="B463">
        <v>3</v>
      </c>
      <c r="C463" t="s">
        <v>856</v>
      </c>
      <c r="D463" t="s">
        <v>4438</v>
      </c>
      <c r="E463" t="s">
        <v>815</v>
      </c>
      <c r="F463" t="s">
        <v>10233</v>
      </c>
      <c r="G463" t="str">
        <f>VLOOKUP(E463,Table145678910111213141545678910111213146[[CODE]:[Email Local]],4,0)</f>
        <v>11422.thuong</v>
      </c>
      <c r="H463" t="str">
        <f>VLOOKUP(E463,Table145678910111213141545678910111213146[[CODE]:[Email Local]],6,0)</f>
        <v>ok</v>
      </c>
      <c r="J463" t="s">
        <v>67</v>
      </c>
      <c r="K463" s="389">
        <v>45432</v>
      </c>
      <c r="L463" s="389"/>
      <c r="M463" s="389"/>
      <c r="N463" t="s">
        <v>1380</v>
      </c>
    </row>
    <row r="464" spans="1:14" hidden="1">
      <c r="A464">
        <v>150</v>
      </c>
      <c r="B464">
        <v>1</v>
      </c>
      <c r="C464" t="s">
        <v>856</v>
      </c>
      <c r="D464" t="s">
        <v>1053</v>
      </c>
      <c r="E464" t="s">
        <v>194</v>
      </c>
      <c r="F464" t="s">
        <v>10241</v>
      </c>
      <c r="G464" t="str">
        <f>VLOOKUP(E464,Table145678910111213141545678910111213146[[CODE]:[Email Local]],4,0)</f>
        <v>13581.hoa</v>
      </c>
      <c r="H464" t="str">
        <f>VLOOKUP(E464,Table145678910111213141545678910111213146[[CODE]:[Email Local]],6,0)</f>
        <v>ok</v>
      </c>
      <c r="J464" t="s">
        <v>67</v>
      </c>
      <c r="K464" s="389">
        <v>45432</v>
      </c>
      <c r="L464" s="389"/>
      <c r="M464" s="389"/>
      <c r="N464" t="s">
        <v>1380</v>
      </c>
    </row>
    <row r="465" spans="1:14" hidden="1">
      <c r="A465">
        <v>151</v>
      </c>
      <c r="B465">
        <v>2</v>
      </c>
      <c r="C465" t="s">
        <v>856</v>
      </c>
      <c r="D465" t="s">
        <v>1327</v>
      </c>
      <c r="E465" t="s">
        <v>195</v>
      </c>
      <c r="F465" t="s">
        <v>10242</v>
      </c>
      <c r="G465" t="e">
        <f>VLOOKUP(E465,Table145678910111213141545678910111213146[[CODE]:[Email Local]],4,0)</f>
        <v>#N/A</v>
      </c>
      <c r="H465" t="e">
        <f>VLOOKUP(E465,Table145678910111213141545678910111213146[[CODE]:[Email Local]],6,0)</f>
        <v>#N/A</v>
      </c>
      <c r="J465" t="s">
        <v>67</v>
      </c>
      <c r="K465" s="389">
        <v>45432</v>
      </c>
      <c r="L465" s="389">
        <v>45929</v>
      </c>
      <c r="M465" s="389">
        <v>45960</v>
      </c>
      <c r="N465" t="e">
        <v>#N/A</v>
      </c>
    </row>
    <row r="466" spans="1:14" hidden="1">
      <c r="A466">
        <v>155</v>
      </c>
      <c r="B466">
        <v>6</v>
      </c>
      <c r="C466" t="s">
        <v>856</v>
      </c>
      <c r="D466" t="s">
        <v>2161</v>
      </c>
      <c r="E466" t="s">
        <v>199</v>
      </c>
      <c r="F466" t="s">
        <v>10246</v>
      </c>
      <c r="G466" t="str">
        <f>VLOOKUP(E466,Table145678910111213141545678910111213146[[CODE]:[Email Local]],4,0)</f>
        <v>lr.03299</v>
      </c>
      <c r="H466">
        <f>VLOOKUP(E466,Table145678910111213141545678910111213146[[CODE]:[Email Local]],6,0)</f>
        <v>0</v>
      </c>
      <c r="J466" t="s">
        <v>67</v>
      </c>
      <c r="K466" s="389">
        <v>45432</v>
      </c>
      <c r="L466" s="389"/>
      <c r="M466" s="389"/>
      <c r="N466" t="s">
        <v>1380</v>
      </c>
    </row>
    <row r="467" spans="1:14">
      <c r="A467">
        <v>686</v>
      </c>
      <c r="B467">
        <v>3</v>
      </c>
      <c r="C467" t="s">
        <v>51</v>
      </c>
      <c r="D467" t="s">
        <v>5451</v>
      </c>
      <c r="E467" t="s">
        <v>644</v>
      </c>
      <c r="F467" t="s">
        <v>10763</v>
      </c>
      <c r="G467" t="str">
        <f>VLOOKUP(E467,Table145678910111213141545678910111213146[[CODE]:[Email Local]],4,0)</f>
        <v>mis.16138</v>
      </c>
      <c r="H467">
        <f>VLOOKUP(E467,Table145678910111213141545678910111213146[[CODE]:[Email Local]],6,0)</f>
        <v>0</v>
      </c>
      <c r="I467" t="s">
        <v>17235</v>
      </c>
      <c r="J467" t="s">
        <v>642</v>
      </c>
      <c r="K467" s="389">
        <v>45404</v>
      </c>
      <c r="L467" s="389"/>
      <c r="M467" s="389"/>
      <c r="N467" t="s">
        <v>773</v>
      </c>
    </row>
    <row r="468" spans="1:14">
      <c r="A468">
        <v>691</v>
      </c>
      <c r="B468">
        <v>8</v>
      </c>
      <c r="C468" t="s">
        <v>51</v>
      </c>
      <c r="D468" t="s">
        <v>7438</v>
      </c>
      <c r="E468" t="s">
        <v>645</v>
      </c>
      <c r="F468" t="s">
        <v>10768</v>
      </c>
      <c r="G468" t="str">
        <f>VLOOKUP(E468,Table145678910111213141545678910111213146[[CODE]:[Email Local]],4,0)</f>
        <v>mis.24085</v>
      </c>
      <c r="H468">
        <f>VLOOKUP(E468,Table145678910111213141545678910111213146[[CODE]:[Email Local]],6,0)</f>
        <v>0</v>
      </c>
      <c r="I468" t="s">
        <v>17235</v>
      </c>
      <c r="J468" t="s">
        <v>642</v>
      </c>
      <c r="K468" s="389">
        <v>45404</v>
      </c>
      <c r="L468" s="389"/>
      <c r="M468" s="389"/>
      <c r="N468" t="s">
        <v>773</v>
      </c>
    </row>
    <row r="469" spans="1:14">
      <c r="A469">
        <v>693</v>
      </c>
      <c r="B469">
        <v>11</v>
      </c>
      <c r="C469" t="s">
        <v>51</v>
      </c>
      <c r="D469" t="s">
        <v>649</v>
      </c>
      <c r="E469" t="s">
        <v>649</v>
      </c>
      <c r="F469" t="s">
        <v>650</v>
      </c>
      <c r="G469" t="e">
        <f>VLOOKUP(E469,Table145678910111213141545678910111213146[[CODE]:[Email Local]],4,0)</f>
        <v>#N/A</v>
      </c>
      <c r="H469" t="e">
        <f>VLOOKUP(E469,Table145678910111213141545678910111213146[[CODE]:[Email Local]],6,0)</f>
        <v>#N/A</v>
      </c>
      <c r="I469" t="s">
        <v>17235</v>
      </c>
      <c r="J469" t="s">
        <v>67</v>
      </c>
      <c r="K469" s="389">
        <v>45404</v>
      </c>
      <c r="L469" s="389"/>
      <c r="M469" s="389"/>
      <c r="N469" t="e">
        <v>#N/A</v>
      </c>
    </row>
    <row r="470" spans="1:14">
      <c r="A470">
        <v>694</v>
      </c>
      <c r="B470">
        <v>12</v>
      </c>
      <c r="C470" t="s">
        <v>51</v>
      </c>
      <c r="D470" t="s">
        <v>1733</v>
      </c>
      <c r="E470" t="s">
        <v>651</v>
      </c>
      <c r="F470" t="s">
        <v>10770</v>
      </c>
      <c r="G470" t="str">
        <f>VLOOKUP(E470,Table145678910111213141545678910111213146[[CODE]:[Email Local]],4,0)</f>
        <v>haivp1</v>
      </c>
      <c r="H470">
        <f>VLOOKUP(E470,Table145678910111213141545678910111213146[[CODE]:[Email Local]],6,0)</f>
        <v>0</v>
      </c>
      <c r="I470" t="s">
        <v>17235</v>
      </c>
      <c r="J470" t="s">
        <v>642</v>
      </c>
      <c r="K470" s="389">
        <v>45404</v>
      </c>
      <c r="L470" s="389"/>
      <c r="M470" s="389"/>
      <c r="N470" t="s">
        <v>773</v>
      </c>
    </row>
    <row r="471" spans="1:14">
      <c r="A471">
        <v>698</v>
      </c>
      <c r="B471">
        <v>18</v>
      </c>
      <c r="C471" t="s">
        <v>51</v>
      </c>
      <c r="D471" t="s">
        <v>8260</v>
      </c>
      <c r="E471" t="s">
        <v>8007</v>
      </c>
      <c r="F471" t="s">
        <v>10774</v>
      </c>
      <c r="G471" t="str">
        <f>VLOOKUP(E471,Table145678910111213141545678910111213146[[CODE]:[Email Local]],4,0)</f>
        <v>25758.nga</v>
      </c>
      <c r="H471">
        <f>VLOOKUP(E471,Table145678910111213141545678910111213146[[CODE]:[Email Local]],6,0)</f>
        <v>0</v>
      </c>
      <c r="I471" t="s">
        <v>17235</v>
      </c>
      <c r="J471" t="s">
        <v>642</v>
      </c>
      <c r="K471" s="389">
        <v>45749</v>
      </c>
      <c r="L471" s="389"/>
      <c r="M471" s="389"/>
      <c r="N471" t="s">
        <v>773</v>
      </c>
    </row>
    <row r="472" spans="1:14">
      <c r="A472">
        <v>699</v>
      </c>
      <c r="C472" t="s">
        <v>51</v>
      </c>
      <c r="D472" t="e">
        <v>#N/A</v>
      </c>
      <c r="E472" t="s">
        <v>8399</v>
      </c>
      <c r="F472" s="38" t="s">
        <v>10775</v>
      </c>
      <c r="G472" t="str">
        <f>VLOOKUP(E472,Table145678910111213141545678910111213146[[CODE]:[Email Local]],4,0)</f>
        <v>26094.long</v>
      </c>
      <c r="H472">
        <f>VLOOKUP(E472,Table145678910111213141545678910111213146[[CODE]:[Email Local]],6,0)</f>
        <v>0</v>
      </c>
      <c r="I472" t="s">
        <v>17235</v>
      </c>
      <c r="J472" t="s">
        <v>67</v>
      </c>
      <c r="K472" s="389">
        <v>45831</v>
      </c>
      <c r="L472" s="389">
        <v>45834</v>
      </c>
      <c r="M472" s="389">
        <v>45834</v>
      </c>
      <c r="N472" t="e">
        <v>#N/A</v>
      </c>
    </row>
    <row r="473" spans="1:14">
      <c r="A473">
        <v>701</v>
      </c>
      <c r="C473" t="s">
        <v>51</v>
      </c>
      <c r="D473" t="s">
        <v>8603</v>
      </c>
      <c r="E473" t="s">
        <v>8637</v>
      </c>
      <c r="F473" t="s">
        <v>10777</v>
      </c>
      <c r="G473" t="str">
        <f>VLOOKUP(E473,Table145678910111213141545678910111213146[[CODE]:[Email Local]],4,0)</f>
        <v>26315.dung</v>
      </c>
      <c r="H473">
        <f>VLOOKUP(E473,Table145678910111213141545678910111213146[[CODE]:[Email Local]],6,0)</f>
        <v>0</v>
      </c>
      <c r="I473" t="s">
        <v>17235</v>
      </c>
      <c r="J473" t="s">
        <v>67</v>
      </c>
      <c r="K473" s="389">
        <v>45924</v>
      </c>
      <c r="L473" s="389"/>
      <c r="M473" s="389"/>
      <c r="N473" t="s">
        <v>773</v>
      </c>
    </row>
    <row r="474" spans="1:14">
      <c r="A474">
        <v>703</v>
      </c>
      <c r="B474">
        <v>2</v>
      </c>
      <c r="C474" t="s">
        <v>51</v>
      </c>
      <c r="D474" t="s">
        <v>7517</v>
      </c>
      <c r="E474" t="s">
        <v>647</v>
      </c>
      <c r="F474" t="s">
        <v>10779</v>
      </c>
      <c r="G474" t="str">
        <f>VLOOKUP(E474,Table145678910111213141545678910111213146[[CODE]:[Email Local]],4,0)</f>
        <v>24322.hue</v>
      </c>
      <c r="H474">
        <f>VLOOKUP(E474,Table145678910111213141545678910111213146[[CODE]:[Email Local]],6,0)</f>
        <v>0</v>
      </c>
      <c r="I474" t="s">
        <v>17235</v>
      </c>
      <c r="J474" t="s">
        <v>642</v>
      </c>
      <c r="K474" s="389">
        <v>45404</v>
      </c>
      <c r="L474" s="389"/>
      <c r="M474" s="389"/>
      <c r="N474" t="s">
        <v>773</v>
      </c>
    </row>
    <row r="475" spans="1:14">
      <c r="A475">
        <v>685</v>
      </c>
      <c r="B475">
        <v>2</v>
      </c>
      <c r="C475" t="s">
        <v>51</v>
      </c>
      <c r="D475" t="s">
        <v>1852</v>
      </c>
      <c r="E475" t="s">
        <v>643</v>
      </c>
      <c r="F475" t="s">
        <v>10762</v>
      </c>
      <c r="G475" t="str">
        <f>VLOOKUP(E475,Table145678910111213141545678910111213146[[CODE]:[Email Local]],4,0)</f>
        <v>22028.hien</v>
      </c>
      <c r="H475" t="str">
        <f>VLOOKUP(E475,Table145678910111213141545678910111213146[[CODE]:[Email Local]],6,0)</f>
        <v>ok</v>
      </c>
      <c r="I475" t="s">
        <v>17235</v>
      </c>
      <c r="J475" t="s">
        <v>642</v>
      </c>
      <c r="K475" s="389">
        <v>45404</v>
      </c>
      <c r="L475" s="389"/>
      <c r="M475" s="389"/>
      <c r="N475" t="s">
        <v>773</v>
      </c>
    </row>
    <row r="476" spans="1:14">
      <c r="A476">
        <v>687</v>
      </c>
      <c r="B476">
        <v>4</v>
      </c>
      <c r="C476" t="s">
        <v>51</v>
      </c>
      <c r="D476" t="s">
        <v>6457</v>
      </c>
      <c r="E476" t="s">
        <v>54</v>
      </c>
      <c r="F476" t="s">
        <v>10764</v>
      </c>
      <c r="G476" t="str">
        <f>VLOOKUP(E476,Table145678910111213141545678910111213146[[CODE]:[Email Local]],4,0)</f>
        <v>mis.20021</v>
      </c>
      <c r="H476" t="str">
        <f>VLOOKUP(E476,Table145678910111213141545678910111213146[[CODE]:[Email Local]],6,0)</f>
        <v>ok</v>
      </c>
      <c r="I476" t="s">
        <v>17235</v>
      </c>
      <c r="J476" t="s">
        <v>642</v>
      </c>
      <c r="K476" s="389">
        <v>45404</v>
      </c>
      <c r="L476" s="389"/>
      <c r="M476" s="389"/>
      <c r="N476" t="s">
        <v>773</v>
      </c>
    </row>
    <row r="477" spans="1:14">
      <c r="A477">
        <v>688</v>
      </c>
      <c r="B477">
        <v>5</v>
      </c>
      <c r="C477" t="s">
        <v>51</v>
      </c>
      <c r="D477" t="s">
        <v>5788</v>
      </c>
      <c r="E477" t="s">
        <v>56</v>
      </c>
      <c r="F477" t="s">
        <v>10765</v>
      </c>
      <c r="G477" t="str">
        <f>VLOOKUP(E477,Table145678910111213141545678910111213146[[CODE]:[Email Local]],4,0)</f>
        <v>mis.17655</v>
      </c>
      <c r="H477" t="str">
        <f>VLOOKUP(E477,Table145678910111213141545678910111213146[[CODE]:[Email Local]],6,0)</f>
        <v>ok</v>
      </c>
      <c r="I477" t="s">
        <v>17235</v>
      </c>
      <c r="J477" t="s">
        <v>642</v>
      </c>
      <c r="K477" s="389">
        <v>45404</v>
      </c>
      <c r="L477" s="389"/>
      <c r="M477" s="389"/>
      <c r="N477" t="s">
        <v>773</v>
      </c>
    </row>
    <row r="478" spans="1:14">
      <c r="A478">
        <v>689</v>
      </c>
      <c r="B478">
        <v>6</v>
      </c>
      <c r="C478" t="s">
        <v>51</v>
      </c>
      <c r="D478" t="s">
        <v>2455</v>
      </c>
      <c r="E478" t="s">
        <v>53</v>
      </c>
      <c r="F478" t="s">
        <v>10766</v>
      </c>
      <c r="G478" t="str">
        <f>VLOOKUP(E478,Table145678910111213141545678910111213146[[CODE]:[Email Local]],4,0)</f>
        <v>mis.23169</v>
      </c>
      <c r="H478" t="str">
        <f>VLOOKUP(E478,Table145678910111213141545678910111213146[[CODE]:[Email Local]],6,0)</f>
        <v>ok</v>
      </c>
      <c r="I478" t="s">
        <v>17235</v>
      </c>
      <c r="J478" t="s">
        <v>642</v>
      </c>
      <c r="K478" s="389">
        <v>45404</v>
      </c>
      <c r="L478" s="389">
        <v>45839</v>
      </c>
      <c r="M478" s="389">
        <v>45876</v>
      </c>
      <c r="N478" t="e">
        <v>#N/A</v>
      </c>
    </row>
    <row r="479" spans="1:14">
      <c r="A479">
        <v>690</v>
      </c>
      <c r="B479">
        <v>7</v>
      </c>
      <c r="C479" t="s">
        <v>51</v>
      </c>
      <c r="D479" t="s">
        <v>5187</v>
      </c>
      <c r="E479" t="s">
        <v>55</v>
      </c>
      <c r="F479" t="s">
        <v>10767</v>
      </c>
      <c r="G479" t="str">
        <f>VLOOKUP(E479,Table145678910111213141545678910111213146[[CODE]:[Email Local]],4,0)</f>
        <v>mis.15060</v>
      </c>
      <c r="H479" t="str">
        <f>VLOOKUP(E479,Table145678910111213141545678910111213146[[CODE]:[Email Local]],6,0)</f>
        <v>ok</v>
      </c>
      <c r="I479" t="s">
        <v>17235</v>
      </c>
      <c r="J479" t="s">
        <v>642</v>
      </c>
      <c r="K479" s="389">
        <v>45404</v>
      </c>
      <c r="L479" s="389"/>
      <c r="M479" s="389"/>
      <c r="N479" t="s">
        <v>773</v>
      </c>
    </row>
    <row r="480" spans="1:14">
      <c r="A480">
        <v>692</v>
      </c>
      <c r="B480">
        <v>9</v>
      </c>
      <c r="C480" t="s">
        <v>51</v>
      </c>
      <c r="D480" t="s">
        <v>7515</v>
      </c>
      <c r="E480" t="s">
        <v>648</v>
      </c>
      <c r="F480" t="s">
        <v>10769</v>
      </c>
      <c r="G480" t="str">
        <f>VLOOKUP(E480,Table145678910111213141545678910111213146[[CODE]:[Email Local]],4,0)</f>
        <v>24320.linh</v>
      </c>
      <c r="H480" t="str">
        <f>VLOOKUP(E480,Table145678910111213141545678910111213146[[CODE]:[Email Local]],6,0)</f>
        <v>ok</v>
      </c>
      <c r="I480" t="s">
        <v>17235</v>
      </c>
      <c r="J480" t="s">
        <v>642</v>
      </c>
      <c r="K480" s="389">
        <v>45404</v>
      </c>
      <c r="L480" s="389"/>
      <c r="M480" s="389"/>
      <c r="N480" t="s">
        <v>773</v>
      </c>
    </row>
    <row r="481" spans="1:14">
      <c r="A481">
        <v>695</v>
      </c>
      <c r="B481">
        <v>13</v>
      </c>
      <c r="C481" t="s">
        <v>51</v>
      </c>
      <c r="D481" t="s">
        <v>5949</v>
      </c>
      <c r="E481" t="s">
        <v>652</v>
      </c>
      <c r="F481" t="s">
        <v>10771</v>
      </c>
      <c r="G481" t="str">
        <f>VLOOKUP(E481,Table145678910111213141545678910111213146[[CODE]:[Email Local]],4,0)</f>
        <v>mis.18119</v>
      </c>
      <c r="H481" t="str">
        <f>VLOOKUP(E481,Table145678910111213141545678910111213146[[CODE]:[Email Local]],6,0)</f>
        <v>ok</v>
      </c>
      <c r="I481" t="s">
        <v>17235</v>
      </c>
      <c r="J481" t="s">
        <v>642</v>
      </c>
      <c r="K481" s="389">
        <v>45404</v>
      </c>
      <c r="L481" s="389"/>
      <c r="M481" s="389"/>
      <c r="N481" t="s">
        <v>773</v>
      </c>
    </row>
    <row r="482" spans="1:14">
      <c r="A482">
        <v>696</v>
      </c>
      <c r="B482">
        <v>14</v>
      </c>
      <c r="C482" t="s">
        <v>51</v>
      </c>
      <c r="D482" t="s">
        <v>6026</v>
      </c>
      <c r="E482" t="s">
        <v>52</v>
      </c>
      <c r="F482" t="s">
        <v>10772</v>
      </c>
      <c r="G482" t="str">
        <f>VLOOKUP(E482,Table145678910111213141545678910111213146[[CODE]:[Email Local]],4,0)</f>
        <v>mis.18499</v>
      </c>
      <c r="H482" t="str">
        <f>VLOOKUP(E482,Table145678910111213141545678910111213146[[CODE]:[Email Local]],6,0)</f>
        <v>ok</v>
      </c>
      <c r="I482" t="s">
        <v>17235</v>
      </c>
      <c r="J482" t="s">
        <v>642</v>
      </c>
      <c r="K482" s="389">
        <v>45404</v>
      </c>
      <c r="L482" s="389"/>
      <c r="M482" s="389"/>
      <c r="N482" t="s">
        <v>773</v>
      </c>
    </row>
    <row r="483" spans="1:14">
      <c r="A483">
        <v>697</v>
      </c>
      <c r="B483">
        <v>17</v>
      </c>
      <c r="C483" t="s">
        <v>51</v>
      </c>
      <c r="D483" t="s">
        <v>7983</v>
      </c>
      <c r="E483" t="s">
        <v>7981</v>
      </c>
      <c r="F483" t="s">
        <v>10773</v>
      </c>
      <c r="G483" t="str">
        <f>VLOOKUP(E483,Table145678910111213141545678910111213146[[CODE]:[Email Local]],4,0)</f>
        <v>25575.duy</v>
      </c>
      <c r="H483" t="str">
        <f>VLOOKUP(E483,Table145678910111213141545678910111213146[[CODE]:[Email Local]],6,0)</f>
        <v>ok</v>
      </c>
      <c r="I483" t="s">
        <v>17235</v>
      </c>
      <c r="J483" t="s">
        <v>642</v>
      </c>
      <c r="K483" s="389">
        <v>45708</v>
      </c>
      <c r="L483" s="389"/>
      <c r="M483" s="389"/>
      <c r="N483" t="s">
        <v>773</v>
      </c>
    </row>
    <row r="484" spans="1:14">
      <c r="A484">
        <v>700</v>
      </c>
      <c r="C484" t="s">
        <v>51</v>
      </c>
      <c r="D484" t="s">
        <v>1690</v>
      </c>
      <c r="E484" t="s">
        <v>8636</v>
      </c>
      <c r="F484" t="s">
        <v>10776</v>
      </c>
      <c r="G484" t="str">
        <f>VLOOKUP(E484,Table145678910111213141545678910111213146[[CODE]:[Email Local]],4,0)</f>
        <v>26350.truong</v>
      </c>
      <c r="H484" t="str">
        <f>VLOOKUP(E484,Table145678910111213141545678910111213146[[CODE]:[Email Local]],6,0)</f>
        <v>ok</v>
      </c>
      <c r="I484" t="s">
        <v>17235</v>
      </c>
      <c r="J484" t="s">
        <v>67</v>
      </c>
      <c r="K484" s="389">
        <v>45924</v>
      </c>
      <c r="L484" s="389">
        <v>45973</v>
      </c>
      <c r="M484" s="389"/>
      <c r="N484" t="e">
        <v>#N/A</v>
      </c>
    </row>
    <row r="485" spans="1:14">
      <c r="A485">
        <v>769</v>
      </c>
      <c r="C485" t="s">
        <v>51</v>
      </c>
      <c r="D485" t="s">
        <v>8530</v>
      </c>
      <c r="E485" t="s">
        <v>8485</v>
      </c>
      <c r="F485" t="s">
        <v>10849</v>
      </c>
      <c r="G485" t="str">
        <f>VLOOKUP(E485,Table145678910111213141545678910111213146[[CODE]:[Email Local]],4,0)</f>
        <v>26223.kien</v>
      </c>
      <c r="H485" t="str">
        <f>VLOOKUP(E485,Table145678910111213141545678910111213146[[CODE]:[Email Local]],6,0)</f>
        <v>ok</v>
      </c>
      <c r="I485" t="s">
        <v>17235</v>
      </c>
      <c r="J485" t="s">
        <v>642</v>
      </c>
      <c r="K485" s="389">
        <v>45875</v>
      </c>
      <c r="L485" s="389"/>
      <c r="M485" s="389"/>
      <c r="N485" t="s">
        <v>773</v>
      </c>
    </row>
    <row r="486" spans="1:14" hidden="1">
      <c r="A486">
        <v>276</v>
      </c>
      <c r="B486">
        <v>2</v>
      </c>
      <c r="C486" t="s">
        <v>857</v>
      </c>
      <c r="D486" t="s">
        <v>4665</v>
      </c>
      <c r="E486" t="s">
        <v>314</v>
      </c>
      <c r="F486" t="s">
        <v>10367</v>
      </c>
      <c r="G486" t="str">
        <f>VLOOKUP(E486,Table145678910111213141545678910111213146[[CODE]:[Email Local]],4,0)</f>
        <v>ns.18258</v>
      </c>
      <c r="H486" t="str">
        <f>VLOOKUP(E486,Table145678910111213141545678910111213146[[CODE]:[Email Local]],6,0)</f>
        <v>ok</v>
      </c>
      <c r="J486" t="s">
        <v>67</v>
      </c>
      <c r="K486" s="389">
        <v>45408</v>
      </c>
      <c r="L486" s="389"/>
      <c r="M486" s="389"/>
      <c r="N486" t="s">
        <v>1029</v>
      </c>
    </row>
    <row r="487" spans="1:14" hidden="1">
      <c r="A487">
        <v>281</v>
      </c>
      <c r="B487">
        <v>7</v>
      </c>
      <c r="C487" t="s">
        <v>857</v>
      </c>
      <c r="D487" t="s">
        <v>1046</v>
      </c>
      <c r="E487" t="s">
        <v>319</v>
      </c>
      <c r="F487" t="s">
        <v>10372</v>
      </c>
      <c r="G487" t="str">
        <f>VLOOKUP(E487,Table145678910111213141545678910111213146[[CODE]:[Email Local]],4,0)</f>
        <v>tv.00369</v>
      </c>
      <c r="H487" t="str">
        <f>VLOOKUP(E487,Table145678910111213141545678910111213146[[CODE]:[Email Local]],6,0)</f>
        <v>ok</v>
      </c>
      <c r="J487" t="s">
        <v>67</v>
      </c>
      <c r="K487" s="389">
        <v>45408</v>
      </c>
      <c r="L487" s="389"/>
      <c r="M487" s="389"/>
      <c r="N487" t="s">
        <v>934</v>
      </c>
    </row>
    <row r="488" spans="1:14" hidden="1">
      <c r="A488">
        <v>283</v>
      </c>
      <c r="B488">
        <v>9</v>
      </c>
      <c r="C488" t="s">
        <v>857</v>
      </c>
      <c r="D488" t="s">
        <v>2246</v>
      </c>
      <c r="E488" t="s">
        <v>321</v>
      </c>
      <c r="F488" t="s">
        <v>10374</v>
      </c>
      <c r="G488" t="str">
        <f>VLOOKUP(E488,Table145678910111213141545678910111213146[[CODE]:[Email Local]],4,0)</f>
        <v>ns.03499</v>
      </c>
      <c r="H488" t="str">
        <f>VLOOKUP(E488,Table145678910111213141545678910111213146[[CODE]:[Email Local]],6,0)</f>
        <v>ok</v>
      </c>
      <c r="J488" t="s">
        <v>67</v>
      </c>
      <c r="K488" s="389">
        <v>45408</v>
      </c>
      <c r="L488" s="389"/>
      <c r="M488" s="389"/>
      <c r="N488" t="s">
        <v>1029</v>
      </c>
    </row>
    <row r="489" spans="1:14" hidden="1">
      <c r="A489">
        <v>287</v>
      </c>
      <c r="B489">
        <v>13</v>
      </c>
      <c r="C489" t="s">
        <v>857</v>
      </c>
      <c r="D489" t="s">
        <v>6676</v>
      </c>
      <c r="E489" t="s">
        <v>325</v>
      </c>
      <c r="F489" t="s">
        <v>10378</v>
      </c>
      <c r="G489" t="str">
        <f>VLOOKUP(E489,Table145678910111213141545678910111213146[[CODE]:[Email Local]],4,0)</f>
        <v>ns.20907</v>
      </c>
      <c r="H489" t="str">
        <f>VLOOKUP(E489,Table145678910111213141545678910111213146[[CODE]:[Email Local]],6,0)</f>
        <v>ok</v>
      </c>
      <c r="J489" t="s">
        <v>67</v>
      </c>
      <c r="K489" s="389">
        <v>45408</v>
      </c>
      <c r="L489" s="389"/>
      <c r="M489" s="389"/>
      <c r="N489" t="s">
        <v>1029</v>
      </c>
    </row>
    <row r="490" spans="1:14" hidden="1">
      <c r="A490">
        <v>290</v>
      </c>
      <c r="B490">
        <v>16</v>
      </c>
      <c r="C490" t="s">
        <v>857</v>
      </c>
      <c r="D490" t="s">
        <v>4094</v>
      </c>
      <c r="E490" t="s">
        <v>327</v>
      </c>
      <c r="F490" t="s">
        <v>10380</v>
      </c>
      <c r="G490" t="str">
        <f>VLOOKUP(E490,Table145678910111213141545678910111213146[[CODE]:[Email Local]],4,0)</f>
        <v>10294.hien</v>
      </c>
      <c r="H490" t="str">
        <f>VLOOKUP(E490,Table145678910111213141545678910111213146[[CODE]:[Email Local]],6,0)</f>
        <v>ok</v>
      </c>
      <c r="J490" t="s">
        <v>67</v>
      </c>
      <c r="K490" s="389">
        <v>45408</v>
      </c>
      <c r="L490" s="389"/>
      <c r="M490" s="389"/>
      <c r="N490" t="s">
        <v>934</v>
      </c>
    </row>
    <row r="491" spans="1:14" hidden="1">
      <c r="A491">
        <v>292</v>
      </c>
      <c r="B491">
        <v>18</v>
      </c>
      <c r="C491" t="s">
        <v>857</v>
      </c>
      <c r="D491" t="s">
        <v>3836</v>
      </c>
      <c r="E491" t="s">
        <v>329</v>
      </c>
      <c r="F491" t="s">
        <v>10382</v>
      </c>
      <c r="G491" t="str">
        <f>VLOOKUP(E491,Table145678910111213141545678910111213146[[CODE]:[Email Local]],4,0)</f>
        <v>tv.09481</v>
      </c>
      <c r="H491" t="str">
        <f>VLOOKUP(E491,Table145678910111213141545678910111213146[[CODE]:[Email Local]],6,0)</f>
        <v>ok</v>
      </c>
      <c r="J491" t="s">
        <v>67</v>
      </c>
      <c r="K491" s="389">
        <v>45408</v>
      </c>
      <c r="L491" s="389"/>
      <c r="M491" s="389"/>
      <c r="N491" t="s">
        <v>934</v>
      </c>
    </row>
    <row r="492" spans="1:14" hidden="1">
      <c r="A492">
        <v>295</v>
      </c>
      <c r="C492" t="s">
        <v>857</v>
      </c>
      <c r="D492" t="s">
        <v>5756</v>
      </c>
      <c r="E492" t="s">
        <v>8638</v>
      </c>
      <c r="F492" t="s">
        <v>10384</v>
      </c>
      <c r="G492" t="str">
        <f>VLOOKUP(E492,Table145678910111213141545678910111213146[[CODE]:[Email Local]],4,0)</f>
        <v>17574.thu</v>
      </c>
      <c r="H492" t="str">
        <f>VLOOKUP(E492,Table145678910111213141545678910111213146[[CODE]:[Email Local]],6,0)</f>
        <v>ok</v>
      </c>
      <c r="J492" t="s">
        <v>67</v>
      </c>
      <c r="K492" s="389">
        <v>45938</v>
      </c>
      <c r="L492" s="389"/>
      <c r="M492" s="389"/>
      <c r="N492" t="s">
        <v>934</v>
      </c>
    </row>
    <row r="493" spans="1:14" hidden="1">
      <c r="A493">
        <v>296</v>
      </c>
      <c r="C493" t="s">
        <v>857</v>
      </c>
      <c r="D493" t="s">
        <v>1500</v>
      </c>
      <c r="E493" t="s">
        <v>8668</v>
      </c>
      <c r="F493" t="s">
        <v>10385</v>
      </c>
      <c r="G493" t="str">
        <f>VLOOKUP(E493,Table145678910111213141545678910111213146[[CODE]:[Email Local]],4,0)</f>
        <v>06682.thom</v>
      </c>
      <c r="H493" t="str">
        <f>VLOOKUP(E493,Table145678910111213141545678910111213146[[CODE]:[Email Local]],6,0)</f>
        <v>ok</v>
      </c>
      <c r="J493" t="s">
        <v>67</v>
      </c>
      <c r="K493" s="389">
        <v>45458</v>
      </c>
      <c r="L493" s="389"/>
      <c r="M493" s="389"/>
      <c r="N493" t="s">
        <v>934</v>
      </c>
    </row>
    <row r="494" spans="1:14" hidden="1">
      <c r="A494">
        <v>275</v>
      </c>
      <c r="B494">
        <v>1</v>
      </c>
      <c r="C494" t="s">
        <v>857</v>
      </c>
      <c r="D494" t="s">
        <v>1985</v>
      </c>
      <c r="E494" t="s">
        <v>313</v>
      </c>
      <c r="F494" t="s">
        <v>10366</v>
      </c>
      <c r="G494" t="str">
        <f>VLOOKUP(E494,Table145678910111213141545678910111213146[[CODE]:[Email Local]],4,0)</f>
        <v>ns.02824</v>
      </c>
      <c r="H494">
        <f>VLOOKUP(E494,Table145678910111213141545678910111213146[[CODE]:[Email Local]],6,0)</f>
        <v>0</v>
      </c>
      <c r="J494" t="s">
        <v>67</v>
      </c>
      <c r="K494" s="389">
        <v>45408</v>
      </c>
      <c r="L494" s="389"/>
      <c r="M494" s="389"/>
      <c r="N494" t="s">
        <v>934</v>
      </c>
    </row>
    <row r="495" spans="1:14" hidden="1">
      <c r="A495">
        <v>277</v>
      </c>
      <c r="B495">
        <v>3</v>
      </c>
      <c r="C495" t="s">
        <v>857</v>
      </c>
      <c r="D495" t="s">
        <v>1237</v>
      </c>
      <c r="E495" t="s">
        <v>315</v>
      </c>
      <c r="F495" t="s">
        <v>10368</v>
      </c>
      <c r="G495" t="str">
        <f>VLOOKUP(E495,Table145678910111213141545678910111213146[[CODE]:[Email Local]],4,0)</f>
        <v>ns.00740</v>
      </c>
      <c r="H495">
        <f>VLOOKUP(E495,Table145678910111213141545678910111213146[[CODE]:[Email Local]],6,0)</f>
        <v>0</v>
      </c>
      <c r="J495" t="s">
        <v>67</v>
      </c>
      <c r="K495" s="389">
        <v>45408</v>
      </c>
      <c r="L495" s="389"/>
      <c r="M495" s="389"/>
      <c r="N495" t="s">
        <v>1029</v>
      </c>
    </row>
    <row r="496" spans="1:14" hidden="1">
      <c r="A496">
        <v>278</v>
      </c>
      <c r="B496">
        <v>4</v>
      </c>
      <c r="C496" t="s">
        <v>857</v>
      </c>
      <c r="D496" t="s">
        <v>1027</v>
      </c>
      <c r="E496" t="s">
        <v>316</v>
      </c>
      <c r="F496" t="s">
        <v>10369</v>
      </c>
      <c r="G496" t="str">
        <f>VLOOKUP(E496,Table145678910111213141545678910111213146[[CODE]:[Email Local]],4,0)</f>
        <v>ns.00336</v>
      </c>
      <c r="H496">
        <f>VLOOKUP(E496,Table145678910111213141545678910111213146[[CODE]:[Email Local]],6,0)</f>
        <v>0</v>
      </c>
      <c r="J496" t="s">
        <v>67</v>
      </c>
      <c r="K496" s="389">
        <v>45408</v>
      </c>
      <c r="L496" s="389"/>
      <c r="M496" s="389"/>
      <c r="N496" t="s">
        <v>1029</v>
      </c>
    </row>
    <row r="497" spans="1:14" hidden="1">
      <c r="A497">
        <v>279</v>
      </c>
      <c r="B497">
        <v>5</v>
      </c>
      <c r="C497" t="s">
        <v>857</v>
      </c>
      <c r="D497" t="s">
        <v>2244</v>
      </c>
      <c r="E497" t="s">
        <v>317</v>
      </c>
      <c r="F497" t="s">
        <v>10370</v>
      </c>
      <c r="G497" t="str">
        <f>VLOOKUP(E497,Table145678910111213141545678910111213146[[CODE]:[Email Local]],4,0)</f>
        <v>ns.03489</v>
      </c>
      <c r="H497">
        <f>VLOOKUP(E497,Table145678910111213141545678910111213146[[CODE]:[Email Local]],6,0)</f>
        <v>0</v>
      </c>
      <c r="J497" t="s">
        <v>67</v>
      </c>
      <c r="K497" s="389">
        <v>45408</v>
      </c>
      <c r="L497" s="389"/>
      <c r="M497" s="389"/>
      <c r="N497" t="s">
        <v>1029</v>
      </c>
    </row>
    <row r="498" spans="1:14" hidden="1">
      <c r="A498">
        <v>280</v>
      </c>
      <c r="B498">
        <v>6</v>
      </c>
      <c r="C498" t="s">
        <v>857</v>
      </c>
      <c r="D498" t="s">
        <v>1440</v>
      </c>
      <c r="E498" t="s">
        <v>318</v>
      </c>
      <c r="F498" t="s">
        <v>10371</v>
      </c>
      <c r="G498" t="str">
        <f>VLOOKUP(E498,Table145678910111213141545678910111213146[[CODE]:[Email Local]],4,0)</f>
        <v>ns.01188</v>
      </c>
      <c r="H498">
        <f>VLOOKUP(E498,Table145678910111213141545678910111213146[[CODE]:[Email Local]],6,0)</f>
        <v>0</v>
      </c>
      <c r="J498" t="s">
        <v>67</v>
      </c>
      <c r="K498" s="389">
        <v>45408</v>
      </c>
      <c r="L498" s="389"/>
      <c r="M498" s="389"/>
      <c r="N498" t="s">
        <v>1029</v>
      </c>
    </row>
    <row r="499" spans="1:14" hidden="1">
      <c r="A499">
        <v>282</v>
      </c>
      <c r="B499">
        <v>8</v>
      </c>
      <c r="C499" t="s">
        <v>857</v>
      </c>
      <c r="D499" t="s">
        <v>1430</v>
      </c>
      <c r="E499" t="s">
        <v>320</v>
      </c>
      <c r="F499" t="s">
        <v>10373</v>
      </c>
      <c r="G499" t="str">
        <f>VLOOKUP(E499,Table145678910111213141545678910111213146[[CODE]:[Email Local]],4,0)</f>
        <v>tv.01162</v>
      </c>
      <c r="H499">
        <f>VLOOKUP(E499,Table145678910111213141545678910111213146[[CODE]:[Email Local]],6,0)</f>
        <v>0</v>
      </c>
      <c r="J499" t="s">
        <v>67</v>
      </c>
      <c r="K499" s="389">
        <v>45408</v>
      </c>
      <c r="L499" s="389"/>
      <c r="M499" s="389"/>
      <c r="N499" t="s">
        <v>934</v>
      </c>
    </row>
    <row r="500" spans="1:14" hidden="1">
      <c r="A500">
        <v>284</v>
      </c>
      <c r="B500">
        <v>10</v>
      </c>
      <c r="C500" t="s">
        <v>857</v>
      </c>
      <c r="D500" t="s">
        <v>5782</v>
      </c>
      <c r="E500" t="s">
        <v>322</v>
      </c>
      <c r="F500" t="s">
        <v>10375</v>
      </c>
      <c r="G500" t="str">
        <f>VLOOKUP(E500,Table145678910111213141545678910111213146[[CODE]:[Email Local]],4,0)</f>
        <v>ns.17645</v>
      </c>
      <c r="H500">
        <f>VLOOKUP(E500,Table145678910111213141545678910111213146[[CODE]:[Email Local]],6,0)</f>
        <v>0</v>
      </c>
      <c r="J500" t="s">
        <v>67</v>
      </c>
      <c r="K500" s="389">
        <v>45408</v>
      </c>
      <c r="L500" s="389"/>
      <c r="M500" s="389"/>
      <c r="N500" t="s">
        <v>1029</v>
      </c>
    </row>
    <row r="501" spans="1:14" hidden="1">
      <c r="A501">
        <v>285</v>
      </c>
      <c r="B501">
        <v>11</v>
      </c>
      <c r="C501" t="s">
        <v>857</v>
      </c>
      <c r="D501" t="s">
        <v>3981</v>
      </c>
      <c r="E501" t="s">
        <v>323</v>
      </c>
      <c r="F501" t="s">
        <v>10376</v>
      </c>
      <c r="G501" t="e">
        <f>VLOOKUP(E501,Table145678910111213141545678910111213146[[CODE]:[Email Local]],4,0)</f>
        <v>#N/A</v>
      </c>
      <c r="H501" t="e">
        <f>VLOOKUP(E501,Table145678910111213141545678910111213146[[CODE]:[Email Local]],6,0)</f>
        <v>#N/A</v>
      </c>
      <c r="J501" t="s">
        <v>67</v>
      </c>
      <c r="K501" s="389">
        <v>45408</v>
      </c>
      <c r="L501" s="389"/>
      <c r="M501" s="389"/>
      <c r="N501" t="s">
        <v>934</v>
      </c>
    </row>
    <row r="502" spans="1:14" hidden="1">
      <c r="A502">
        <v>286</v>
      </c>
      <c r="B502">
        <v>12</v>
      </c>
      <c r="C502" t="s">
        <v>857</v>
      </c>
      <c r="D502" t="s">
        <v>4790</v>
      </c>
      <c r="E502" t="s">
        <v>324</v>
      </c>
      <c r="F502" t="s">
        <v>10377</v>
      </c>
      <c r="G502" t="str">
        <f>VLOOKUP(E502,Table145678910111213141545678910111213146[[CODE]:[Email Local]],4,0)</f>
        <v>ns.20019</v>
      </c>
      <c r="H502">
        <f>VLOOKUP(E502,Table145678910111213141545678910111213146[[CODE]:[Email Local]],6,0)</f>
        <v>0</v>
      </c>
      <c r="J502" t="s">
        <v>67</v>
      </c>
      <c r="K502" s="389">
        <v>45408</v>
      </c>
      <c r="L502" s="389"/>
      <c r="M502" s="389"/>
      <c r="N502" t="s">
        <v>1029</v>
      </c>
    </row>
    <row r="503" spans="1:14" hidden="1">
      <c r="A503">
        <v>288</v>
      </c>
      <c r="B503">
        <v>14</v>
      </c>
      <c r="C503" t="s">
        <v>857</v>
      </c>
      <c r="D503" s="38" t="s">
        <v>326</v>
      </c>
      <c r="E503" t="s">
        <v>326</v>
      </c>
      <c r="F503" t="s">
        <v>326</v>
      </c>
      <c r="G503" t="e">
        <f>VLOOKUP(E503,Table145678910111213141545678910111213146[[CODE]:[Email Local]],4,0)</f>
        <v>#N/A</v>
      </c>
      <c r="H503" t="e">
        <f>VLOOKUP(E503,Table145678910111213141545678910111213146[[CODE]:[Email Local]],6,0)</f>
        <v>#N/A</v>
      </c>
      <c r="J503" t="s">
        <v>67</v>
      </c>
      <c r="K503" s="389">
        <v>45408</v>
      </c>
      <c r="L503" s="389"/>
      <c r="M503" s="389"/>
      <c r="N503" t="e">
        <v>#N/A</v>
      </c>
    </row>
    <row r="504" spans="1:14" hidden="1">
      <c r="A504">
        <v>289</v>
      </c>
      <c r="B504">
        <v>15</v>
      </c>
      <c r="C504" t="s">
        <v>857</v>
      </c>
      <c r="D504" t="s">
        <v>8170</v>
      </c>
      <c r="E504" t="s">
        <v>833</v>
      </c>
      <c r="F504" t="s">
        <v>10379</v>
      </c>
      <c r="G504" t="str">
        <f>VLOOKUP(E504,Table145678910111213141545678910111213146[[CODE]:[Email Local]],4,0)</f>
        <v>24333.them</v>
      </c>
      <c r="H504">
        <f>VLOOKUP(E504,Table145678910111213141545678910111213146[[CODE]:[Email Local]],6,0)</f>
        <v>0</v>
      </c>
      <c r="J504" t="s">
        <v>67</v>
      </c>
      <c r="K504" s="389">
        <v>45408</v>
      </c>
      <c r="L504" s="389">
        <v>45876</v>
      </c>
      <c r="M504" s="389">
        <v>45876</v>
      </c>
      <c r="N504" t="e">
        <v>#N/A</v>
      </c>
    </row>
    <row r="505" spans="1:14" hidden="1">
      <c r="A505">
        <v>291</v>
      </c>
      <c r="B505">
        <v>17</v>
      </c>
      <c r="C505" t="s">
        <v>857</v>
      </c>
      <c r="D505" t="s">
        <v>6515</v>
      </c>
      <c r="E505" t="s">
        <v>328</v>
      </c>
      <c r="F505" t="s">
        <v>10381</v>
      </c>
      <c r="G505" t="e">
        <f>VLOOKUP(E505,Table145678910111213141545678910111213146[[CODE]:[Email Local]],4,0)</f>
        <v>#N/A</v>
      </c>
      <c r="H505" t="e">
        <f>VLOOKUP(E505,Table145678910111213141545678910111213146[[CODE]:[Email Local]],6,0)</f>
        <v>#N/A</v>
      </c>
      <c r="J505" t="s">
        <v>67</v>
      </c>
      <c r="K505" s="389">
        <v>45408</v>
      </c>
      <c r="L505" s="389"/>
      <c r="M505" s="389"/>
      <c r="N505" t="s">
        <v>934</v>
      </c>
    </row>
    <row r="506" spans="1:14" hidden="1">
      <c r="A506">
        <v>293</v>
      </c>
      <c r="B506">
        <v>19</v>
      </c>
      <c r="C506" t="s">
        <v>857</v>
      </c>
      <c r="D506" t="s">
        <v>8098</v>
      </c>
      <c r="E506" t="s">
        <v>7984</v>
      </c>
      <c r="F506" t="s">
        <v>10383</v>
      </c>
      <c r="G506" t="str">
        <f>VLOOKUP(E506,Table145678910111213141545678910111213146[[CODE]:[Email Local]],4,0)</f>
        <v>25319.trang</v>
      </c>
      <c r="H506">
        <f>VLOOKUP(E506,Table145678910111213141545678910111213146[[CODE]:[Email Local]],6,0)</f>
        <v>0</v>
      </c>
      <c r="J506" t="s">
        <v>67</v>
      </c>
      <c r="K506" s="389">
        <v>45712</v>
      </c>
      <c r="L506" s="389"/>
      <c r="M506" s="389"/>
      <c r="N506" t="s">
        <v>1029</v>
      </c>
    </row>
    <row r="507" spans="1:14" hidden="1">
      <c r="A507">
        <v>294</v>
      </c>
      <c r="B507">
        <v>20</v>
      </c>
      <c r="C507" t="s">
        <v>857</v>
      </c>
      <c r="D507" t="s">
        <v>8016</v>
      </c>
      <c r="E507" t="s">
        <v>8016</v>
      </c>
      <c r="F507" t="s">
        <v>8016</v>
      </c>
      <c r="G507" t="e">
        <f>VLOOKUP(E507,Table145678910111213141545678910111213146[[CODE]:[Email Local]],4,0)</f>
        <v>#N/A</v>
      </c>
      <c r="H507" t="e">
        <f>VLOOKUP(E507,Table145678910111213141545678910111213146[[CODE]:[Email Local]],6,0)</f>
        <v>#N/A</v>
      </c>
      <c r="J507" t="s">
        <v>67</v>
      </c>
      <c r="K507" s="389">
        <v>45765</v>
      </c>
      <c r="L507" s="389"/>
      <c r="M507" s="389"/>
      <c r="N507" t="e">
        <v>#N/A</v>
      </c>
    </row>
    <row r="508" spans="1:14" hidden="1">
      <c r="A508">
        <v>297</v>
      </c>
      <c r="C508" t="s">
        <v>857</v>
      </c>
      <c r="D508" t="s">
        <v>8687</v>
      </c>
      <c r="E508" t="s">
        <v>8677</v>
      </c>
      <c r="F508" t="s">
        <v>10386</v>
      </c>
      <c r="G508" t="e">
        <f>VLOOKUP(E508,Table145678910111213141545678910111213146[[CODE]:[Email Local]],4,0)</f>
        <v>#N/A</v>
      </c>
      <c r="H508" t="e">
        <f>VLOOKUP(E508,Table145678910111213141545678910111213146[[CODE]:[Email Local]],6,0)</f>
        <v>#N/A</v>
      </c>
      <c r="J508" t="s">
        <v>67</v>
      </c>
      <c r="K508" s="389">
        <v>45961</v>
      </c>
      <c r="L508" s="389"/>
      <c r="M508" s="389"/>
      <c r="N508" t="s">
        <v>1029</v>
      </c>
    </row>
    <row r="509" spans="1:14" hidden="1">
      <c r="A509">
        <v>271</v>
      </c>
      <c r="B509">
        <v>35</v>
      </c>
      <c r="C509" t="s">
        <v>57</v>
      </c>
      <c r="D509" t="s">
        <v>1364</v>
      </c>
      <c r="E509" t="s">
        <v>310</v>
      </c>
      <c r="F509" t="s">
        <v>10363</v>
      </c>
      <c r="G509" t="str">
        <f>VLOOKUP(E509,Table145678910111213141545678910111213146[[CODE]:[Email Local]],4,0)</f>
        <v>qc.00993</v>
      </c>
      <c r="H509">
        <f>VLOOKUP(E509,Table145678910111213141545678910111213146[[CODE]:[Email Local]],6,0)</f>
        <v>0</v>
      </c>
      <c r="J509" t="s">
        <v>67</v>
      </c>
      <c r="K509" s="389">
        <v>45415</v>
      </c>
      <c r="L509" s="389"/>
      <c r="M509" s="389"/>
      <c r="N509" t="s">
        <v>721</v>
      </c>
    </row>
    <row r="510" spans="1:14" hidden="1">
      <c r="A510">
        <v>468</v>
      </c>
      <c r="B510">
        <v>1</v>
      </c>
      <c r="C510" t="s">
        <v>57</v>
      </c>
      <c r="D510" t="s">
        <v>988</v>
      </c>
      <c r="E510" t="s">
        <v>474</v>
      </c>
      <c r="F510" t="s">
        <v>10550</v>
      </c>
      <c r="G510" t="str">
        <f>VLOOKUP(E510,Table145678910111213141545678910111213146[[CODE]:[Email Local]],4,0)</f>
        <v>qc.00259</v>
      </c>
      <c r="H510">
        <f>VLOOKUP(E510,Table145678910111213141545678910111213146[[CODE]:[Email Local]],6,0)</f>
        <v>0</v>
      </c>
      <c r="J510" t="s">
        <v>67</v>
      </c>
      <c r="K510" s="389">
        <v>45439</v>
      </c>
      <c r="L510" s="389"/>
      <c r="M510" s="389"/>
      <c r="N510" t="s">
        <v>721</v>
      </c>
    </row>
    <row r="511" spans="1:14" hidden="1">
      <c r="A511">
        <v>469</v>
      </c>
      <c r="B511">
        <v>2</v>
      </c>
      <c r="C511" t="s">
        <v>57</v>
      </c>
      <c r="D511" t="s">
        <v>4521</v>
      </c>
      <c r="E511" t="s">
        <v>475</v>
      </c>
      <c r="F511" t="s">
        <v>10551</v>
      </c>
      <c r="G511" t="str">
        <f>VLOOKUP(E511,Table145678910111213141545678910111213146[[CODE]:[Email Local]],4,0)</f>
        <v>qc.11714</v>
      </c>
      <c r="H511">
        <f>VLOOKUP(E511,Table145678910111213141545678910111213146[[CODE]:[Email Local]],6,0)</f>
        <v>0</v>
      </c>
      <c r="J511" t="s">
        <v>67</v>
      </c>
      <c r="K511" s="389">
        <v>45439</v>
      </c>
      <c r="L511" s="389"/>
      <c r="M511" s="389"/>
      <c r="N511" t="s">
        <v>721</v>
      </c>
    </row>
    <row r="512" spans="1:14" hidden="1">
      <c r="A512">
        <v>470</v>
      </c>
      <c r="B512">
        <v>3</v>
      </c>
      <c r="C512" t="s">
        <v>57</v>
      </c>
      <c r="D512" t="s">
        <v>6280</v>
      </c>
      <c r="E512" t="s">
        <v>476</v>
      </c>
      <c r="F512" t="s">
        <v>10552</v>
      </c>
      <c r="G512" t="str">
        <f>VLOOKUP(E512,Table145678910111213141545678910111213146[[CODE]:[Email Local]],4,0)</f>
        <v>qc.19425</v>
      </c>
      <c r="H512">
        <f>VLOOKUP(E512,Table145678910111213141545678910111213146[[CODE]:[Email Local]],6,0)</f>
        <v>0</v>
      </c>
      <c r="J512" t="s">
        <v>67</v>
      </c>
      <c r="K512" s="389">
        <v>45439</v>
      </c>
      <c r="L512" s="389"/>
      <c r="M512" s="389"/>
      <c r="N512" t="s">
        <v>721</v>
      </c>
    </row>
    <row r="513" spans="1:14" hidden="1">
      <c r="A513">
        <v>471</v>
      </c>
      <c r="B513">
        <v>4</v>
      </c>
      <c r="C513" t="s">
        <v>57</v>
      </c>
      <c r="D513" t="s">
        <v>3064</v>
      </c>
      <c r="E513" t="s">
        <v>477</v>
      </c>
      <c r="F513" t="s">
        <v>10553</v>
      </c>
      <c r="G513" t="str">
        <f>VLOOKUP(E513,Table145678910111213141545678910111213146[[CODE]:[Email Local]],4,0)</f>
        <v>qc.24125</v>
      </c>
      <c r="H513">
        <f>VLOOKUP(E513,Table145678910111213141545678910111213146[[CODE]:[Email Local]],6,0)</f>
        <v>0</v>
      </c>
      <c r="J513" t="s">
        <v>67</v>
      </c>
      <c r="K513" s="389">
        <v>45439</v>
      </c>
      <c r="L513" s="389"/>
      <c r="M513" s="389"/>
      <c r="N513" t="s">
        <v>721</v>
      </c>
    </row>
    <row r="514" spans="1:14" hidden="1">
      <c r="A514">
        <v>473</v>
      </c>
      <c r="B514">
        <v>6</v>
      </c>
      <c r="C514" t="s">
        <v>57</v>
      </c>
      <c r="D514" t="s">
        <v>911</v>
      </c>
      <c r="E514" t="s">
        <v>480</v>
      </c>
      <c r="F514" t="s">
        <v>10555</v>
      </c>
      <c r="G514" t="str">
        <f>VLOOKUP(E514,Table145678910111213141545678910111213146[[CODE]:[Email Local]],4,0)</f>
        <v>qc.00079</v>
      </c>
      <c r="H514">
        <f>VLOOKUP(E514,Table145678910111213141545678910111213146[[CODE]:[Email Local]],6,0)</f>
        <v>0</v>
      </c>
      <c r="J514" t="s">
        <v>67</v>
      </c>
      <c r="K514" s="389">
        <v>45439</v>
      </c>
      <c r="L514" s="389"/>
      <c r="M514" s="389"/>
      <c r="N514" t="s">
        <v>721</v>
      </c>
    </row>
    <row r="515" spans="1:14" hidden="1">
      <c r="A515">
        <v>474</v>
      </c>
      <c r="B515">
        <v>7</v>
      </c>
      <c r="C515" t="s">
        <v>57</v>
      </c>
      <c r="D515" t="s">
        <v>2407</v>
      </c>
      <c r="E515" t="s">
        <v>481</v>
      </c>
      <c r="F515" t="s">
        <v>10556</v>
      </c>
      <c r="G515" t="str">
        <f>VLOOKUP(E515,Table145678910111213141545678910111213146[[CODE]:[Email Local]],4,0)</f>
        <v>qc.04104</v>
      </c>
      <c r="H515">
        <f>VLOOKUP(E515,Table145678910111213141545678910111213146[[CODE]:[Email Local]],6,0)</f>
        <v>0</v>
      </c>
      <c r="J515" t="s">
        <v>67</v>
      </c>
      <c r="K515" s="389">
        <v>45439</v>
      </c>
      <c r="L515" s="389"/>
      <c r="M515" s="389"/>
      <c r="N515" t="s">
        <v>721</v>
      </c>
    </row>
    <row r="516" spans="1:14" hidden="1">
      <c r="A516">
        <v>475</v>
      </c>
      <c r="B516">
        <v>8</v>
      </c>
      <c r="C516" t="s">
        <v>57</v>
      </c>
      <c r="D516" t="s">
        <v>9310</v>
      </c>
      <c r="E516" t="s">
        <v>482</v>
      </c>
      <c r="F516" t="s">
        <v>10557</v>
      </c>
      <c r="G516" t="str">
        <f>VLOOKUP(E516,Table145678910111213141545678910111213146[[CODE]:[Email Local]],4,0)</f>
        <v>24525.sang</v>
      </c>
      <c r="H516">
        <f>VLOOKUP(E516,Table145678910111213141545678910111213146[[CODE]:[Email Local]],6,0)</f>
        <v>0</v>
      </c>
      <c r="J516" t="s">
        <v>67</v>
      </c>
      <c r="K516" s="389">
        <v>45439</v>
      </c>
      <c r="L516" s="389">
        <v>45806</v>
      </c>
      <c r="M516" s="389">
        <v>45806</v>
      </c>
      <c r="N516" t="e">
        <v>#N/A</v>
      </c>
    </row>
    <row r="517" spans="1:14" hidden="1">
      <c r="A517">
        <v>476</v>
      </c>
      <c r="B517">
        <v>9</v>
      </c>
      <c r="C517" t="s">
        <v>57</v>
      </c>
      <c r="D517" t="s">
        <v>4227</v>
      </c>
      <c r="E517" t="s">
        <v>483</v>
      </c>
      <c r="F517" t="s">
        <v>10558</v>
      </c>
      <c r="G517" t="str">
        <f>VLOOKUP(E517,Table145678910111213141545678910111213146[[CODE]:[Email Local]],4,0)</f>
        <v>qc.10693</v>
      </c>
      <c r="H517">
        <f>VLOOKUP(E517,Table145678910111213141545678910111213146[[CODE]:[Email Local]],6,0)</f>
        <v>0</v>
      </c>
      <c r="J517" t="s">
        <v>67</v>
      </c>
      <c r="K517" s="389">
        <v>45439</v>
      </c>
      <c r="L517" s="389"/>
      <c r="M517" s="389"/>
      <c r="N517" t="s">
        <v>721</v>
      </c>
    </row>
    <row r="518" spans="1:14" hidden="1">
      <c r="A518">
        <v>477</v>
      </c>
      <c r="B518">
        <v>10</v>
      </c>
      <c r="C518" t="s">
        <v>57</v>
      </c>
      <c r="D518" t="s">
        <v>7432</v>
      </c>
      <c r="E518" t="s">
        <v>484</v>
      </c>
      <c r="F518" t="s">
        <v>10559</v>
      </c>
      <c r="G518" t="str">
        <f>VLOOKUP(E518,Table145678910111213141545678910111213146[[CODE]:[Email Local]],4,0)</f>
        <v>24081.phi</v>
      </c>
      <c r="H518">
        <f>VLOOKUP(E518,Table145678910111213141545678910111213146[[CODE]:[Email Local]],6,0)</f>
        <v>0</v>
      </c>
      <c r="J518" t="s">
        <v>67</v>
      </c>
      <c r="K518" s="389">
        <v>45439</v>
      </c>
      <c r="L518" s="389"/>
      <c r="M518" s="389"/>
      <c r="N518" t="s">
        <v>721</v>
      </c>
    </row>
    <row r="519" spans="1:14" hidden="1">
      <c r="A519">
        <v>478</v>
      </c>
      <c r="B519">
        <v>11</v>
      </c>
      <c r="C519" t="s">
        <v>57</v>
      </c>
      <c r="D519" t="s">
        <v>4431</v>
      </c>
      <c r="E519" t="s">
        <v>486</v>
      </c>
      <c r="F519" t="s">
        <v>10560</v>
      </c>
      <c r="G519" t="str">
        <f>VLOOKUP(E519,Table145678910111213141545678910111213146[[CODE]:[Email Local]],4,0)</f>
        <v>qc.11402</v>
      </c>
      <c r="H519">
        <f>VLOOKUP(E519,Table145678910111213141545678910111213146[[CODE]:[Email Local]],6,0)</f>
        <v>0</v>
      </c>
      <c r="J519" t="s">
        <v>67</v>
      </c>
      <c r="K519" s="389">
        <v>45439</v>
      </c>
      <c r="L519" s="389"/>
      <c r="M519" s="389"/>
      <c r="N519" t="s">
        <v>721</v>
      </c>
    </row>
    <row r="520" spans="1:14" hidden="1">
      <c r="A520">
        <v>479</v>
      </c>
      <c r="B520">
        <v>12</v>
      </c>
      <c r="C520" t="s">
        <v>57</v>
      </c>
      <c r="D520" t="s">
        <v>2839</v>
      </c>
      <c r="E520" t="s">
        <v>487</v>
      </c>
      <c r="F520" t="s">
        <v>10561</v>
      </c>
      <c r="G520" t="str">
        <f>VLOOKUP(E520,Table145678910111213141545678910111213146[[CODE]:[Email Local]],4,0)</f>
        <v>qc.06237</v>
      </c>
      <c r="H520">
        <f>VLOOKUP(E520,Table145678910111213141545678910111213146[[CODE]:[Email Local]],6,0)</f>
        <v>0</v>
      </c>
      <c r="J520" t="s">
        <v>67</v>
      </c>
      <c r="K520" s="389">
        <v>45439</v>
      </c>
      <c r="L520" s="389"/>
      <c r="M520" s="389"/>
      <c r="N520" t="s">
        <v>721</v>
      </c>
    </row>
    <row r="521" spans="1:14" hidden="1">
      <c r="A521">
        <v>480</v>
      </c>
      <c r="B521">
        <v>13</v>
      </c>
      <c r="C521" t="s">
        <v>57</v>
      </c>
      <c r="D521" t="s">
        <v>2236</v>
      </c>
      <c r="E521" t="s">
        <v>488</v>
      </c>
      <c r="F521" t="s">
        <v>10562</v>
      </c>
      <c r="G521" t="str">
        <f>VLOOKUP(E521,Table145678910111213141545678910111213146[[CODE]:[Email Local]],4,0)</f>
        <v>qc.03480</v>
      </c>
      <c r="H521">
        <f>VLOOKUP(E521,Table145678910111213141545678910111213146[[CODE]:[Email Local]],6,0)</f>
        <v>0</v>
      </c>
      <c r="J521" t="s">
        <v>67</v>
      </c>
      <c r="K521" s="389">
        <v>45439</v>
      </c>
      <c r="L521" s="389"/>
      <c r="M521" s="389"/>
      <c r="N521" t="s">
        <v>721</v>
      </c>
    </row>
    <row r="522" spans="1:14" hidden="1">
      <c r="A522">
        <v>481</v>
      </c>
      <c r="B522">
        <v>14</v>
      </c>
      <c r="C522" t="s">
        <v>57</v>
      </c>
      <c r="D522" t="s">
        <v>5613</v>
      </c>
      <c r="E522" t="s">
        <v>489</v>
      </c>
      <c r="F522" t="s">
        <v>10563</v>
      </c>
      <c r="G522" t="e">
        <f>VLOOKUP(E522,Table145678910111213141545678910111213146[[CODE]:[Email Local]],4,0)</f>
        <v>#N/A</v>
      </c>
      <c r="H522" t="e">
        <f>VLOOKUP(E522,Table145678910111213141545678910111213146[[CODE]:[Email Local]],6,0)</f>
        <v>#N/A</v>
      </c>
      <c r="J522" t="s">
        <v>67</v>
      </c>
      <c r="K522" s="389">
        <v>45439</v>
      </c>
      <c r="L522" s="389"/>
      <c r="M522" s="389"/>
      <c r="N522" t="s">
        <v>721</v>
      </c>
    </row>
    <row r="523" spans="1:14" hidden="1">
      <c r="A523">
        <v>482</v>
      </c>
      <c r="B523">
        <v>15</v>
      </c>
      <c r="C523" t="s">
        <v>57</v>
      </c>
      <c r="D523" t="s">
        <v>7436</v>
      </c>
      <c r="E523" t="s">
        <v>490</v>
      </c>
      <c r="F523" t="s">
        <v>10564</v>
      </c>
      <c r="G523" t="str">
        <f>VLOOKUP(E523,Table145678910111213141545678910111213146[[CODE]:[Email Local]],4,0)</f>
        <v>qc.24084</v>
      </c>
      <c r="H523">
        <f>VLOOKUP(E523,Table145678910111213141545678910111213146[[CODE]:[Email Local]],6,0)</f>
        <v>0</v>
      </c>
      <c r="J523" t="s">
        <v>67</v>
      </c>
      <c r="K523" s="389">
        <v>45439</v>
      </c>
      <c r="L523" s="389"/>
      <c r="M523" s="389"/>
      <c r="N523" t="s">
        <v>721</v>
      </c>
    </row>
    <row r="524" spans="1:14" hidden="1">
      <c r="A524">
        <v>483</v>
      </c>
      <c r="B524">
        <v>16</v>
      </c>
      <c r="C524" t="s">
        <v>57</v>
      </c>
      <c r="D524" t="s">
        <v>1317</v>
      </c>
      <c r="E524" t="s">
        <v>485</v>
      </c>
      <c r="F524" t="s">
        <v>10565</v>
      </c>
      <c r="G524" t="str">
        <f>VLOOKUP(E524,Table145678910111213141545678910111213146[[CODE]:[Email Local]],4,0)</f>
        <v>qc.00913</v>
      </c>
      <c r="H524">
        <f>VLOOKUP(E524,Table145678910111213141545678910111213146[[CODE]:[Email Local]],6,0)</f>
        <v>0</v>
      </c>
      <c r="J524" t="s">
        <v>67</v>
      </c>
      <c r="K524" s="389">
        <v>45439</v>
      </c>
      <c r="L524" s="389"/>
      <c r="M524" s="389"/>
      <c r="N524" t="s">
        <v>721</v>
      </c>
    </row>
    <row r="525" spans="1:14" hidden="1">
      <c r="A525">
        <v>485</v>
      </c>
      <c r="B525">
        <v>18</v>
      </c>
      <c r="C525" t="s">
        <v>57</v>
      </c>
      <c r="D525" t="s">
        <v>2666</v>
      </c>
      <c r="E525" t="s">
        <v>492</v>
      </c>
      <c r="F525" t="s">
        <v>10567</v>
      </c>
      <c r="G525" t="str">
        <f>VLOOKUP(E525,Table145678910111213141545678910111213146[[CODE]:[Email Local]],4,0)</f>
        <v>qc.13847</v>
      </c>
      <c r="H525">
        <f>VLOOKUP(E525,Table145678910111213141545678910111213146[[CODE]:[Email Local]],6,0)</f>
        <v>0</v>
      </c>
      <c r="J525" t="s">
        <v>67</v>
      </c>
      <c r="K525" s="389">
        <v>45439</v>
      </c>
      <c r="L525" s="389"/>
      <c r="M525" s="389"/>
      <c r="N525" t="s">
        <v>721</v>
      </c>
    </row>
    <row r="526" spans="1:14" hidden="1">
      <c r="A526">
        <v>486</v>
      </c>
      <c r="B526">
        <v>19</v>
      </c>
      <c r="C526" t="s">
        <v>57</v>
      </c>
      <c r="D526" t="s">
        <v>1580</v>
      </c>
      <c r="E526" t="s">
        <v>478</v>
      </c>
      <c r="F526" t="s">
        <v>10568</v>
      </c>
      <c r="G526" t="str">
        <f>VLOOKUP(E526,Table145678910111213141545678910111213146[[CODE]:[Email Local]],4,0)</f>
        <v>qc.03408</v>
      </c>
      <c r="H526">
        <f>VLOOKUP(E526,Table145678910111213141545678910111213146[[CODE]:[Email Local]],6,0)</f>
        <v>0</v>
      </c>
      <c r="J526" t="s">
        <v>67</v>
      </c>
      <c r="K526" s="389">
        <v>45439</v>
      </c>
      <c r="L526" s="389"/>
      <c r="M526" s="389"/>
      <c r="N526" t="s">
        <v>721</v>
      </c>
    </row>
    <row r="527" spans="1:14" hidden="1">
      <c r="A527">
        <v>488</v>
      </c>
      <c r="B527">
        <v>19</v>
      </c>
      <c r="C527" t="s">
        <v>57</v>
      </c>
      <c r="D527" t="s">
        <v>1142</v>
      </c>
      <c r="E527" t="s">
        <v>8670</v>
      </c>
      <c r="F527" t="s">
        <v>10570</v>
      </c>
      <c r="G527" t="str">
        <f>VLOOKUP(E527,Table145678910111213141545678910111213146[[CODE]:[Email Local]],4,0)</f>
        <v>25894.khanh</v>
      </c>
      <c r="H527">
        <f>VLOOKUP(E527,Table145678910111213141545678910111213146[[CODE]:[Email Local]],6,0)</f>
        <v>0</v>
      </c>
      <c r="J527" t="s">
        <v>67</v>
      </c>
      <c r="K527" s="389">
        <v>45909</v>
      </c>
      <c r="L527" s="389"/>
      <c r="M527" s="389"/>
      <c r="N527" t="s">
        <v>721</v>
      </c>
    </row>
    <row r="528" spans="1:14" hidden="1">
      <c r="A528">
        <v>489</v>
      </c>
      <c r="B528">
        <v>20</v>
      </c>
      <c r="C528" t="s">
        <v>57</v>
      </c>
      <c r="D528" t="s">
        <v>4782</v>
      </c>
      <c r="E528" t="s">
        <v>8671</v>
      </c>
      <c r="F528" t="s">
        <v>10571</v>
      </c>
      <c r="G528" t="str">
        <f>VLOOKUP(E528,Table145678910111213141545678910111213146[[CODE]:[Email Local]],4,0)</f>
        <v>qc.13073</v>
      </c>
      <c r="H528">
        <f>VLOOKUP(E528,Table145678910111213141545678910111213146[[CODE]:[Email Local]],6,0)</f>
        <v>0</v>
      </c>
      <c r="J528" t="s">
        <v>67</v>
      </c>
      <c r="K528" s="389">
        <v>45435</v>
      </c>
      <c r="L528" s="389"/>
      <c r="M528" s="389"/>
      <c r="N528" t="s">
        <v>721</v>
      </c>
    </row>
    <row r="529" spans="1:14" hidden="1">
      <c r="A529">
        <v>472</v>
      </c>
      <c r="B529">
        <v>5</v>
      </c>
      <c r="C529" t="s">
        <v>57</v>
      </c>
      <c r="D529" t="s">
        <v>9296</v>
      </c>
      <c r="E529" t="s">
        <v>479</v>
      </c>
      <c r="F529" t="s">
        <v>10554</v>
      </c>
      <c r="G529" t="str">
        <f>VLOOKUP(E529,Table145678910111213141545678910111213146[[CODE]:[Email Local]],4,0)</f>
        <v>qc.20193</v>
      </c>
      <c r="H529" t="str">
        <f>VLOOKUP(E529,Table145678910111213141545678910111213146[[CODE]:[Email Local]],6,0)</f>
        <v>ok</v>
      </c>
      <c r="J529" t="s">
        <v>67</v>
      </c>
      <c r="K529" s="389">
        <v>45439</v>
      </c>
      <c r="L529" s="389">
        <v>45806</v>
      </c>
      <c r="M529" s="389">
        <v>45806</v>
      </c>
      <c r="N529" t="e">
        <v>#N/A</v>
      </c>
    </row>
    <row r="530" spans="1:14" hidden="1">
      <c r="A530">
        <v>484</v>
      </c>
      <c r="B530">
        <v>17</v>
      </c>
      <c r="C530" t="s">
        <v>57</v>
      </c>
      <c r="D530" t="s">
        <v>6360</v>
      </c>
      <c r="E530" t="s">
        <v>491</v>
      </c>
      <c r="F530" t="s">
        <v>10566</v>
      </c>
      <c r="G530" t="str">
        <f>VLOOKUP(E530,Table145678910111213141545678910111213146[[CODE]:[Email Local]],4,0)</f>
        <v>qc.19777</v>
      </c>
      <c r="H530" t="str">
        <f>VLOOKUP(E530,Table145678910111213141545678910111213146[[CODE]:[Email Local]],6,0)</f>
        <v>ok</v>
      </c>
      <c r="J530" t="s">
        <v>67</v>
      </c>
      <c r="K530" s="389">
        <v>45439</v>
      </c>
      <c r="L530" s="389"/>
      <c r="M530" s="389"/>
      <c r="N530" t="s">
        <v>721</v>
      </c>
    </row>
    <row r="531" spans="1:14" hidden="1">
      <c r="A531">
        <v>487</v>
      </c>
      <c r="B531">
        <v>20</v>
      </c>
      <c r="C531" t="s">
        <v>57</v>
      </c>
      <c r="D531" t="s">
        <v>2680</v>
      </c>
      <c r="E531" t="s">
        <v>8391</v>
      </c>
      <c r="F531" t="s">
        <v>10569</v>
      </c>
      <c r="G531" t="str">
        <f>VLOOKUP(E531,Table145678910111213141545678910111213146[[CODE]:[Email Local]],4,0)</f>
        <v>26003.thai</v>
      </c>
      <c r="H531" t="str">
        <f>VLOOKUP(E531,Table145678910111213141545678910111213146[[CODE]:[Email Local]],6,0)</f>
        <v>ok</v>
      </c>
      <c r="J531" t="s">
        <v>67</v>
      </c>
      <c r="K531" s="389">
        <v>45812</v>
      </c>
      <c r="L531" s="389"/>
      <c r="M531" s="389"/>
      <c r="N531" t="s">
        <v>721</v>
      </c>
    </row>
    <row r="532" spans="1:14" hidden="1">
      <c r="A532">
        <v>53</v>
      </c>
      <c r="B532">
        <v>3</v>
      </c>
      <c r="C532" t="s">
        <v>858</v>
      </c>
      <c r="D532" t="s">
        <v>4425</v>
      </c>
      <c r="E532" t="s">
        <v>109</v>
      </c>
      <c r="F532" t="s">
        <v>10142</v>
      </c>
      <c r="G532" t="str">
        <f>VLOOKUP(E532,Table145678910111213141545678910111213146[[CODE]:[Email Local]],4,0)</f>
        <v>qc.11403</v>
      </c>
      <c r="H532" t="str">
        <f>VLOOKUP(E532,Table145678910111213141545678910111213146[[CODE]:[Email Local]],6,0)</f>
        <v>ok</v>
      </c>
      <c r="J532" t="s">
        <v>67</v>
      </c>
      <c r="K532" s="389">
        <v>45421</v>
      </c>
      <c r="L532" s="389">
        <v>45806</v>
      </c>
      <c r="M532" s="389">
        <v>45806</v>
      </c>
      <c r="N532" t="e">
        <v>#N/A</v>
      </c>
    </row>
    <row r="533" spans="1:14" hidden="1">
      <c r="A533">
        <v>61</v>
      </c>
      <c r="B533">
        <v>11</v>
      </c>
      <c r="C533" t="s">
        <v>858</v>
      </c>
      <c r="D533" t="s">
        <v>5407</v>
      </c>
      <c r="E533" t="s">
        <v>117</v>
      </c>
      <c r="F533" t="s">
        <v>10150</v>
      </c>
      <c r="G533" t="str">
        <f>VLOOKUP(E533,Table145678910111213141545678910111213146[[CODE]:[Email Local]],4,0)</f>
        <v>qc.15940</v>
      </c>
      <c r="H533" t="str">
        <f>VLOOKUP(E533,Table145678910111213141545678910111213146[[CODE]:[Email Local]],6,0)</f>
        <v>ok</v>
      </c>
      <c r="J533" t="s">
        <v>67</v>
      </c>
      <c r="K533" s="389">
        <v>45421</v>
      </c>
      <c r="L533" s="389"/>
      <c r="M533" s="389"/>
      <c r="N533" t="s">
        <v>721</v>
      </c>
    </row>
    <row r="534" spans="1:14" hidden="1">
      <c r="A534">
        <v>63</v>
      </c>
      <c r="B534">
        <v>13</v>
      </c>
      <c r="C534" t="s">
        <v>858</v>
      </c>
      <c r="D534" t="s">
        <v>6674</v>
      </c>
      <c r="E534" t="s">
        <v>119</v>
      </c>
      <c r="F534" t="s">
        <v>10152</v>
      </c>
      <c r="G534" t="str">
        <f>VLOOKUP(E534,Table145678910111213141545678910111213146[[CODE]:[Email Local]],4,0)</f>
        <v>qc.20906</v>
      </c>
      <c r="H534" t="str">
        <f>VLOOKUP(E534,Table145678910111213141545678910111213146[[CODE]:[Email Local]],6,0)</f>
        <v>ok</v>
      </c>
      <c r="J534" t="s">
        <v>67</v>
      </c>
      <c r="K534" s="389">
        <v>45421</v>
      </c>
      <c r="L534" s="389"/>
      <c r="M534" s="389"/>
      <c r="N534" t="s">
        <v>721</v>
      </c>
    </row>
    <row r="535" spans="1:14" hidden="1">
      <c r="A535">
        <v>51</v>
      </c>
      <c r="B535">
        <v>1</v>
      </c>
      <c r="C535" t="s">
        <v>858</v>
      </c>
      <c r="D535" t="s">
        <v>1362</v>
      </c>
      <c r="E535" t="s">
        <v>107</v>
      </c>
      <c r="F535" t="s">
        <v>10140</v>
      </c>
      <c r="G535" t="str">
        <f>VLOOKUP(E535,Table145678910111213141545678910111213146[[CODE]:[Email Local]],4,0)</f>
        <v>qc.00990</v>
      </c>
      <c r="H535">
        <f>VLOOKUP(E535,Table145678910111213141545678910111213146[[CODE]:[Email Local]],6,0)</f>
        <v>0</v>
      </c>
      <c r="J535" t="s">
        <v>67</v>
      </c>
      <c r="K535" s="389">
        <v>45421</v>
      </c>
      <c r="L535" s="389"/>
      <c r="M535" s="389"/>
      <c r="N535" t="s">
        <v>721</v>
      </c>
    </row>
    <row r="536" spans="1:14" hidden="1">
      <c r="A536">
        <v>52</v>
      </c>
      <c r="B536">
        <v>2</v>
      </c>
      <c r="C536" t="s">
        <v>858</v>
      </c>
      <c r="D536" t="s">
        <v>1735</v>
      </c>
      <c r="E536" t="s">
        <v>108</v>
      </c>
      <c r="F536" t="s">
        <v>10141</v>
      </c>
      <c r="G536" t="str">
        <f>VLOOKUP(E536,Table145678910111213141545678910111213146[[CODE]:[Email Local]],4,0)</f>
        <v>qc.01960</v>
      </c>
      <c r="H536">
        <f>VLOOKUP(E536,Table145678910111213141545678910111213146[[CODE]:[Email Local]],6,0)</f>
        <v>0</v>
      </c>
      <c r="J536" t="s">
        <v>67</v>
      </c>
      <c r="K536" s="389">
        <v>45421</v>
      </c>
      <c r="L536" s="389"/>
      <c r="M536" s="389"/>
      <c r="N536" t="s">
        <v>721</v>
      </c>
    </row>
    <row r="537" spans="1:14" hidden="1">
      <c r="A537">
        <v>54</v>
      </c>
      <c r="B537">
        <v>4</v>
      </c>
      <c r="C537" t="s">
        <v>858</v>
      </c>
      <c r="D537" t="s">
        <v>1947</v>
      </c>
      <c r="E537" t="s">
        <v>110</v>
      </c>
      <c r="F537" t="s">
        <v>10143</v>
      </c>
      <c r="G537" t="str">
        <f>VLOOKUP(E537,Table145678910111213141545678910111213146[[CODE]:[Email Local]],4,0)</f>
        <v>qc.02684</v>
      </c>
      <c r="H537">
        <f>VLOOKUP(E537,Table145678910111213141545678910111213146[[CODE]:[Email Local]],6,0)</f>
        <v>0</v>
      </c>
      <c r="J537" t="s">
        <v>67</v>
      </c>
      <c r="K537" s="389">
        <v>45421</v>
      </c>
      <c r="L537" s="389"/>
      <c r="M537" s="389"/>
      <c r="N537" t="s">
        <v>721</v>
      </c>
    </row>
    <row r="538" spans="1:14" hidden="1">
      <c r="A538">
        <v>55</v>
      </c>
      <c r="B538">
        <v>5</v>
      </c>
      <c r="C538" t="s">
        <v>858</v>
      </c>
      <c r="D538" t="s">
        <v>1206</v>
      </c>
      <c r="E538" t="s">
        <v>111</v>
      </c>
      <c r="F538" t="s">
        <v>10144</v>
      </c>
      <c r="G538" t="str">
        <f>VLOOKUP(E538,Table145678910111213141545678910111213146[[CODE]:[Email Local]],4,0)</f>
        <v>qc.00683</v>
      </c>
      <c r="H538">
        <f>VLOOKUP(E538,Table145678910111213141545678910111213146[[CODE]:[Email Local]],6,0)</f>
        <v>0</v>
      </c>
      <c r="J538" t="s">
        <v>67</v>
      </c>
      <c r="K538" s="389">
        <v>45421</v>
      </c>
      <c r="L538" s="389"/>
      <c r="M538" s="389"/>
      <c r="N538" t="s">
        <v>721</v>
      </c>
    </row>
    <row r="539" spans="1:14" hidden="1">
      <c r="A539">
        <v>56</v>
      </c>
      <c r="B539">
        <v>6</v>
      </c>
      <c r="C539" t="s">
        <v>858</v>
      </c>
      <c r="D539" t="s">
        <v>1083</v>
      </c>
      <c r="E539" t="s">
        <v>112</v>
      </c>
      <c r="F539" t="s">
        <v>10145</v>
      </c>
      <c r="G539" t="str">
        <f>VLOOKUP(E539,Table145678910111213141545678910111213146[[CODE]:[Email Local]],4,0)</f>
        <v>qc.00883</v>
      </c>
      <c r="H539">
        <f>VLOOKUP(E539,Table145678910111213141545678910111213146[[CODE]:[Email Local]],6,0)</f>
        <v>0</v>
      </c>
      <c r="J539" t="s">
        <v>67</v>
      </c>
      <c r="K539" s="389">
        <v>45421</v>
      </c>
      <c r="L539" s="389"/>
      <c r="M539" s="389"/>
      <c r="N539" t="s">
        <v>721</v>
      </c>
    </row>
    <row r="540" spans="1:14" hidden="1">
      <c r="A540">
        <v>57</v>
      </c>
      <c r="B540">
        <v>7</v>
      </c>
      <c r="C540" t="s">
        <v>858</v>
      </c>
      <c r="D540" t="s">
        <v>1456</v>
      </c>
      <c r="E540" t="s">
        <v>113</v>
      </c>
      <c r="F540" t="s">
        <v>10146</v>
      </c>
      <c r="G540" t="str">
        <f>VLOOKUP(E540,Table145678910111213141545678910111213146[[CODE]:[Email Local]],4,0)</f>
        <v>qc.01214</v>
      </c>
      <c r="H540">
        <f>VLOOKUP(E540,Table145678910111213141545678910111213146[[CODE]:[Email Local]],6,0)</f>
        <v>0</v>
      </c>
      <c r="J540" t="s">
        <v>67</v>
      </c>
      <c r="K540" s="389">
        <v>45421</v>
      </c>
      <c r="L540" s="389"/>
      <c r="M540" s="389"/>
      <c r="N540" t="s">
        <v>721</v>
      </c>
    </row>
    <row r="541" spans="1:14" hidden="1">
      <c r="A541">
        <v>58</v>
      </c>
      <c r="B541">
        <v>8</v>
      </c>
      <c r="C541" t="s">
        <v>858</v>
      </c>
      <c r="D541" t="s">
        <v>1496</v>
      </c>
      <c r="E541" t="s">
        <v>114</v>
      </c>
      <c r="F541" t="s">
        <v>10147</v>
      </c>
      <c r="G541" t="str">
        <f>VLOOKUP(E541,Table145678910111213141545678910111213146[[CODE]:[Email Local]],4,0)</f>
        <v>qc.01285</v>
      </c>
      <c r="H541">
        <f>VLOOKUP(E541,Table145678910111213141545678910111213146[[CODE]:[Email Local]],6,0)</f>
        <v>0</v>
      </c>
      <c r="J541" t="s">
        <v>67</v>
      </c>
      <c r="K541" s="389">
        <v>45421</v>
      </c>
      <c r="L541" s="389"/>
      <c r="M541" s="389"/>
      <c r="N541" t="s">
        <v>721</v>
      </c>
    </row>
    <row r="542" spans="1:14" hidden="1">
      <c r="A542">
        <v>59</v>
      </c>
      <c r="B542">
        <v>9</v>
      </c>
      <c r="C542" t="s">
        <v>858</v>
      </c>
      <c r="D542" t="s">
        <v>4534</v>
      </c>
      <c r="E542" t="s">
        <v>115</v>
      </c>
      <c r="F542" t="s">
        <v>10148</v>
      </c>
      <c r="G542" t="str">
        <f>VLOOKUP(E542,Table145678910111213141545678910111213146[[CODE]:[Email Local]],4,0)</f>
        <v>qc.11798</v>
      </c>
      <c r="H542">
        <f>VLOOKUP(E542,Table145678910111213141545678910111213146[[CODE]:[Email Local]],6,0)</f>
        <v>0</v>
      </c>
      <c r="J542" t="s">
        <v>67</v>
      </c>
      <c r="K542" s="389">
        <v>45421</v>
      </c>
      <c r="L542" s="389"/>
      <c r="M542" s="389"/>
      <c r="N542" t="s">
        <v>721</v>
      </c>
    </row>
    <row r="543" spans="1:14" hidden="1">
      <c r="A543">
        <v>60</v>
      </c>
      <c r="B543">
        <v>10</v>
      </c>
      <c r="C543" t="s">
        <v>858</v>
      </c>
      <c r="D543" t="s">
        <v>4638</v>
      </c>
      <c r="E543" t="s">
        <v>116</v>
      </c>
      <c r="F543" t="s">
        <v>10149</v>
      </c>
      <c r="G543" t="str">
        <f>VLOOKUP(E543,Table145678910111213141545678910111213146[[CODE]:[Email Local]],4,0)</f>
        <v>qc.13743</v>
      </c>
      <c r="H543">
        <f>VLOOKUP(E543,Table145678910111213141545678910111213146[[CODE]:[Email Local]],6,0)</f>
        <v>0</v>
      </c>
      <c r="J543" t="s">
        <v>67</v>
      </c>
      <c r="K543" s="389">
        <v>45421</v>
      </c>
      <c r="L543" s="389"/>
      <c r="M543" s="389"/>
      <c r="N543" t="s">
        <v>721</v>
      </c>
    </row>
    <row r="544" spans="1:14" hidden="1">
      <c r="A544">
        <v>62</v>
      </c>
      <c r="B544">
        <v>12</v>
      </c>
      <c r="C544" t="s">
        <v>858</v>
      </c>
      <c r="D544" t="s">
        <v>4606</v>
      </c>
      <c r="E544" t="s">
        <v>118</v>
      </c>
      <c r="F544" t="s">
        <v>10151</v>
      </c>
      <c r="G544" t="str">
        <f>VLOOKUP(E544,Table145678910111213141545678910111213146[[CODE]:[Email Local]],4,0)</f>
        <v>qc.12095</v>
      </c>
      <c r="H544">
        <f>VLOOKUP(E544,Table145678910111213141545678910111213146[[CODE]:[Email Local]],6,0)</f>
        <v>0</v>
      </c>
      <c r="J544" t="s">
        <v>67</v>
      </c>
      <c r="K544" s="389">
        <v>45421</v>
      </c>
      <c r="L544" s="389"/>
      <c r="M544" s="389"/>
      <c r="N544" t="s">
        <v>721</v>
      </c>
    </row>
    <row r="545" spans="1:14" hidden="1">
      <c r="A545">
        <v>64</v>
      </c>
      <c r="B545">
        <v>14</v>
      </c>
      <c r="C545" t="s">
        <v>858</v>
      </c>
      <c r="D545" t="s">
        <v>3820</v>
      </c>
      <c r="E545" t="s">
        <v>120</v>
      </c>
      <c r="F545" t="s">
        <v>10153</v>
      </c>
      <c r="G545" t="e">
        <f>VLOOKUP(E545,Table145678910111213141545678910111213146[[CODE]:[Email Local]],4,0)</f>
        <v>#N/A</v>
      </c>
      <c r="H545" t="e">
        <f>VLOOKUP(E545,Table145678910111213141545678910111213146[[CODE]:[Email Local]],6,0)</f>
        <v>#N/A</v>
      </c>
      <c r="J545" t="s">
        <v>67</v>
      </c>
      <c r="K545" s="389">
        <v>45421</v>
      </c>
      <c r="L545" s="389"/>
      <c r="M545" s="389"/>
      <c r="N545" t="s">
        <v>721</v>
      </c>
    </row>
    <row r="546" spans="1:14" hidden="1">
      <c r="A546">
        <v>65</v>
      </c>
      <c r="B546">
        <v>15</v>
      </c>
      <c r="C546" t="s">
        <v>858</v>
      </c>
      <c r="D546" t="s">
        <v>2068</v>
      </c>
      <c r="E546" t="s">
        <v>121</v>
      </c>
      <c r="F546" t="s">
        <v>10154</v>
      </c>
      <c r="G546" t="str">
        <f>VLOOKUP(E546,Table145678910111213141545678910111213146[[CODE]:[Email Local]],4,0)</f>
        <v>qc.03037</v>
      </c>
      <c r="H546">
        <f>VLOOKUP(E546,Table145678910111213141545678910111213146[[CODE]:[Email Local]],6,0)</f>
        <v>0</v>
      </c>
      <c r="J546" t="s">
        <v>67</v>
      </c>
      <c r="K546" s="389">
        <v>45421</v>
      </c>
      <c r="L546" s="389"/>
      <c r="M546" s="389"/>
      <c r="N546" t="s">
        <v>721</v>
      </c>
    </row>
    <row r="547" spans="1:14" hidden="1">
      <c r="A547">
        <v>66</v>
      </c>
      <c r="B547">
        <v>16</v>
      </c>
      <c r="C547" t="s">
        <v>858</v>
      </c>
      <c r="D547" t="s">
        <v>7446</v>
      </c>
      <c r="E547" t="s">
        <v>122</v>
      </c>
      <c r="F547" t="s">
        <v>10155</v>
      </c>
      <c r="G547" t="str">
        <f>VLOOKUP(E547,Table145678910111213141545678910111213146[[CODE]:[Email Local]],4,0)</f>
        <v>qc.24110</v>
      </c>
      <c r="H547">
        <f>VLOOKUP(E547,Table145678910111213141545678910111213146[[CODE]:[Email Local]],6,0)</f>
        <v>0</v>
      </c>
      <c r="J547" t="s">
        <v>67</v>
      </c>
      <c r="K547" s="389">
        <v>45421</v>
      </c>
      <c r="L547" s="389"/>
      <c r="M547" s="389"/>
      <c r="N547" t="s">
        <v>721</v>
      </c>
    </row>
    <row r="548" spans="1:14" hidden="1">
      <c r="A548">
        <v>67</v>
      </c>
      <c r="B548">
        <v>17</v>
      </c>
      <c r="C548" t="s">
        <v>858</v>
      </c>
      <c r="D548" t="s">
        <v>3949</v>
      </c>
      <c r="E548" t="s">
        <v>123</v>
      </c>
      <c r="F548" t="s">
        <v>10156</v>
      </c>
      <c r="G548" t="str">
        <f>VLOOKUP(E548,Table145678910111213141545678910111213146[[CODE]:[Email Local]],4,0)</f>
        <v>qc.09755</v>
      </c>
      <c r="H548">
        <f>VLOOKUP(E548,Table145678910111213141545678910111213146[[CODE]:[Email Local]],6,0)</f>
        <v>0</v>
      </c>
      <c r="J548" t="s">
        <v>67</v>
      </c>
      <c r="K548" s="389">
        <v>45421</v>
      </c>
      <c r="L548" s="389"/>
      <c r="M548" s="389"/>
      <c r="N548" t="s">
        <v>721</v>
      </c>
    </row>
    <row r="549" spans="1:14" hidden="1">
      <c r="A549">
        <v>68</v>
      </c>
      <c r="B549">
        <v>18</v>
      </c>
      <c r="C549" t="s">
        <v>858</v>
      </c>
      <c r="D549" t="s">
        <v>891</v>
      </c>
      <c r="E549" t="s">
        <v>124</v>
      </c>
      <c r="F549" t="s">
        <v>10157</v>
      </c>
      <c r="G549" t="str">
        <f>VLOOKUP(E549,Table145678910111213141545678910111213146[[CODE]:[Email Local]],4,0)</f>
        <v>qc.00039</v>
      </c>
      <c r="H549">
        <f>VLOOKUP(E549,Table145678910111213141545678910111213146[[CODE]:[Email Local]],6,0)</f>
        <v>0</v>
      </c>
      <c r="J549" t="s">
        <v>67</v>
      </c>
      <c r="K549" s="389">
        <v>45421</v>
      </c>
      <c r="L549" s="389"/>
      <c r="M549" s="389"/>
      <c r="N549" t="s">
        <v>721</v>
      </c>
    </row>
    <row r="550" spans="1:14" hidden="1">
      <c r="A550">
        <v>69</v>
      </c>
      <c r="B550">
        <v>19</v>
      </c>
      <c r="C550" t="s">
        <v>858</v>
      </c>
      <c r="D550" t="s">
        <v>4060</v>
      </c>
      <c r="E550" t="s">
        <v>125</v>
      </c>
      <c r="F550" t="s">
        <v>10158</v>
      </c>
      <c r="G550" t="str">
        <f>VLOOKUP(E550,Table145678910111213141545678910111213146[[CODE]:[Email Local]],4,0)</f>
        <v>qc.10186</v>
      </c>
      <c r="H550">
        <f>VLOOKUP(E550,Table145678910111213141545678910111213146[[CODE]:[Email Local]],6,0)</f>
        <v>0</v>
      </c>
      <c r="J550" t="s">
        <v>67</v>
      </c>
      <c r="K550" s="389">
        <v>45421</v>
      </c>
      <c r="L550" s="389"/>
      <c r="M550" s="389"/>
      <c r="N550" t="s">
        <v>721</v>
      </c>
    </row>
    <row r="551" spans="1:14" hidden="1">
      <c r="A551">
        <v>70</v>
      </c>
      <c r="B551">
        <v>20</v>
      </c>
      <c r="C551" t="s">
        <v>858</v>
      </c>
      <c r="D551" t="s">
        <v>2041</v>
      </c>
      <c r="E551" t="s">
        <v>126</v>
      </c>
      <c r="F551" t="s">
        <v>10159</v>
      </c>
      <c r="G551" t="str">
        <f>VLOOKUP(E551,Table145678910111213141545678910111213146[[CODE]:[Email Local]],4,0)</f>
        <v>qc.02972</v>
      </c>
      <c r="H551">
        <f>VLOOKUP(E551,Table145678910111213141545678910111213146[[CODE]:[Email Local]],6,0)</f>
        <v>0</v>
      </c>
      <c r="J551" t="s">
        <v>67</v>
      </c>
      <c r="K551" s="389">
        <v>45421</v>
      </c>
      <c r="L551" s="389"/>
      <c r="M551" s="389"/>
      <c r="N551" t="s">
        <v>721</v>
      </c>
    </row>
    <row r="552" spans="1:14" hidden="1">
      <c r="A552">
        <v>71</v>
      </c>
      <c r="B552">
        <v>22</v>
      </c>
      <c r="C552" t="s">
        <v>858</v>
      </c>
      <c r="D552" t="s">
        <v>1158</v>
      </c>
      <c r="E552" t="s">
        <v>128</v>
      </c>
      <c r="F552" t="s">
        <v>10160</v>
      </c>
      <c r="G552" t="str">
        <f>VLOOKUP(E552,Table145678910111213141545678910111213146[[CODE]:[Email Local]],4,0)</f>
        <v>qc.00602</v>
      </c>
      <c r="H552">
        <f>VLOOKUP(E552,Table145678910111213141545678910111213146[[CODE]:[Email Local]],6,0)</f>
        <v>0</v>
      </c>
      <c r="J552" t="s">
        <v>67</v>
      </c>
      <c r="K552" s="389">
        <v>45421</v>
      </c>
      <c r="L552" s="389"/>
      <c r="M552" s="389"/>
      <c r="N552" t="s">
        <v>721</v>
      </c>
    </row>
    <row r="553" spans="1:14" hidden="1">
      <c r="A553">
        <v>72</v>
      </c>
      <c r="B553">
        <v>23</v>
      </c>
      <c r="C553" t="s">
        <v>858</v>
      </c>
      <c r="D553" t="s">
        <v>2178</v>
      </c>
      <c r="E553" t="s">
        <v>129</v>
      </c>
      <c r="F553" t="s">
        <v>10161</v>
      </c>
      <c r="G553" t="str">
        <f>VLOOKUP(E553,Table145678910111213141545678910111213146[[CODE]:[Email Local]],4,0)</f>
        <v>qc.03359</v>
      </c>
      <c r="H553">
        <f>VLOOKUP(E553,Table145678910111213141545678910111213146[[CODE]:[Email Local]],6,0)</f>
        <v>0</v>
      </c>
      <c r="J553" t="s">
        <v>67</v>
      </c>
      <c r="K553" s="389">
        <v>45421</v>
      </c>
      <c r="L553" s="389"/>
      <c r="M553" s="389"/>
      <c r="N553" t="s">
        <v>721</v>
      </c>
    </row>
    <row r="554" spans="1:14" hidden="1">
      <c r="A554">
        <v>73</v>
      </c>
      <c r="B554">
        <v>24</v>
      </c>
      <c r="C554" t="s">
        <v>858</v>
      </c>
      <c r="D554" t="s">
        <v>2588</v>
      </c>
      <c r="E554" t="s">
        <v>130</v>
      </c>
      <c r="F554" t="s">
        <v>10162</v>
      </c>
      <c r="G554" t="str">
        <f>VLOOKUP(E554,Table145678910111213141545678910111213146[[CODE]:[Email Local]],4,0)</f>
        <v>qc.04843</v>
      </c>
      <c r="H554">
        <f>VLOOKUP(E554,Table145678910111213141545678910111213146[[CODE]:[Email Local]],6,0)</f>
        <v>0</v>
      </c>
      <c r="J554" t="s">
        <v>67</v>
      </c>
      <c r="K554" s="389">
        <v>45421</v>
      </c>
      <c r="L554" s="389"/>
      <c r="M554" s="389"/>
      <c r="N554" t="s">
        <v>721</v>
      </c>
    </row>
    <row r="555" spans="1:14" hidden="1">
      <c r="A555">
        <v>74</v>
      </c>
      <c r="B555">
        <v>25</v>
      </c>
      <c r="C555" t="s">
        <v>858</v>
      </c>
      <c r="D555" t="s">
        <v>7405</v>
      </c>
      <c r="E555" t="s">
        <v>131</v>
      </c>
      <c r="F555" t="s">
        <v>10163</v>
      </c>
      <c r="G555" t="e">
        <f>VLOOKUP(E555,Table145678910111213141545678910111213146[[CODE]:[Email Local]],4,0)</f>
        <v>#N/A</v>
      </c>
      <c r="H555" t="e">
        <f>VLOOKUP(E555,Table145678910111213141545678910111213146[[CODE]:[Email Local]],6,0)</f>
        <v>#N/A</v>
      </c>
      <c r="J555" t="s">
        <v>67</v>
      </c>
      <c r="K555" s="389">
        <v>45421</v>
      </c>
      <c r="L555" s="389"/>
      <c r="M555" s="389"/>
      <c r="N555" t="s">
        <v>721</v>
      </c>
    </row>
    <row r="556" spans="1:14" hidden="1">
      <c r="A556">
        <v>75</v>
      </c>
      <c r="B556">
        <v>26</v>
      </c>
      <c r="C556" t="s">
        <v>858</v>
      </c>
      <c r="D556" t="s">
        <v>4064</v>
      </c>
      <c r="E556" t="s">
        <v>7972</v>
      </c>
      <c r="F556" t="s">
        <v>10164</v>
      </c>
      <c r="G556" t="str">
        <f>VLOOKUP(E556,Table145678910111213141545678910111213146[[CODE]:[Email Local]],4,0)</f>
        <v>qc.10188</v>
      </c>
      <c r="H556">
        <f>VLOOKUP(E556,Table145678910111213141545678910111213146[[CODE]:[Email Local]],6,0)</f>
        <v>0</v>
      </c>
      <c r="J556" t="s">
        <v>67</v>
      </c>
      <c r="K556" s="389">
        <v>45574</v>
      </c>
      <c r="L556" s="389"/>
      <c r="M556" s="389"/>
      <c r="N556" t="s">
        <v>721</v>
      </c>
    </row>
    <row r="557" spans="1:14" hidden="1">
      <c r="A557">
        <v>76</v>
      </c>
      <c r="B557">
        <v>27</v>
      </c>
      <c r="C557" t="s">
        <v>858</v>
      </c>
      <c r="D557" t="s">
        <v>7843</v>
      </c>
      <c r="E557" t="s">
        <v>7974</v>
      </c>
      <c r="F557" t="s">
        <v>10165</v>
      </c>
      <c r="G557" t="str">
        <f>VLOOKUP(E557,Table145678910111213141545678910111213146[[CODE]:[Email Local]],4,0)</f>
        <v>24996.nha</v>
      </c>
      <c r="H557">
        <f>VLOOKUP(E557,Table145678910111213141545678910111213146[[CODE]:[Email Local]],6,0)</f>
        <v>0</v>
      </c>
      <c r="J557" t="s">
        <v>67</v>
      </c>
      <c r="K557" s="389">
        <v>45598</v>
      </c>
      <c r="L557" s="389">
        <v>45950</v>
      </c>
      <c r="M557" s="389">
        <v>45960</v>
      </c>
      <c r="N557" t="s">
        <v>721</v>
      </c>
    </row>
    <row r="558" spans="1:14" hidden="1">
      <c r="A558">
        <v>76</v>
      </c>
      <c r="B558">
        <v>27</v>
      </c>
      <c r="C558" t="s">
        <v>858</v>
      </c>
      <c r="D558" t="s">
        <v>1544</v>
      </c>
      <c r="E558" t="s">
        <v>8672</v>
      </c>
      <c r="F558" t="s">
        <v>10166</v>
      </c>
      <c r="G558" t="str">
        <f>VLOOKUP(E558,Table145678910111213141545678910111213146[[CODE]:[Email Local]],4,0)</f>
        <v>19779.nguyen</v>
      </c>
      <c r="H558">
        <f>VLOOKUP(E558,Table145678910111213141545678910111213146[[CODE]:[Email Local]],6,0)</f>
        <v>0</v>
      </c>
      <c r="J558" t="s">
        <v>67</v>
      </c>
      <c r="K558" s="389">
        <v>45486</v>
      </c>
      <c r="L558" s="389"/>
      <c r="M558" s="389"/>
      <c r="N558" t="s">
        <v>721</v>
      </c>
    </row>
    <row r="559" spans="1:14" hidden="1">
      <c r="A559">
        <v>711</v>
      </c>
      <c r="B559">
        <v>1</v>
      </c>
      <c r="C559" t="s">
        <v>858</v>
      </c>
      <c r="D559" t="s">
        <v>1340</v>
      </c>
      <c r="E559" t="s">
        <v>658</v>
      </c>
      <c r="F559" t="s">
        <v>10787</v>
      </c>
      <c r="G559" t="str">
        <f>VLOOKUP(E559,Table145678910111213141545678910111213146[[CODE]:[Email Local]],4,0)</f>
        <v>00952.quan</v>
      </c>
      <c r="H559" t="str">
        <f>VLOOKUP(E559,Table145678910111213141545678910111213146[[CODE]:[Email Local]],6,0)</f>
        <v>ok</v>
      </c>
      <c r="J559" t="s">
        <v>67</v>
      </c>
      <c r="K559" s="389">
        <v>45405</v>
      </c>
      <c r="L559" s="389"/>
      <c r="M559" s="389"/>
      <c r="N559" t="s">
        <v>721</v>
      </c>
    </row>
    <row r="560" spans="1:14" hidden="1">
      <c r="A560">
        <v>713</v>
      </c>
      <c r="B560">
        <v>3</v>
      </c>
      <c r="C560" t="s">
        <v>858</v>
      </c>
      <c r="D560" t="s">
        <v>1175</v>
      </c>
      <c r="E560" t="s">
        <v>660</v>
      </c>
      <c r="F560" t="s">
        <v>10789</v>
      </c>
      <c r="G560" t="str">
        <f>VLOOKUP(E560,Table145678910111213141545678910111213146[[CODE]:[Email Local]],4,0)</f>
        <v>qc.19164</v>
      </c>
      <c r="H560" t="str">
        <f>VLOOKUP(E560,Table145678910111213141545678910111213146[[CODE]:[Email Local]],6,0)</f>
        <v>ok</v>
      </c>
      <c r="J560" t="s">
        <v>67</v>
      </c>
      <c r="K560" s="389">
        <v>45405</v>
      </c>
      <c r="L560" s="389"/>
      <c r="M560" s="389"/>
      <c r="N560" t="s">
        <v>721</v>
      </c>
    </row>
    <row r="561" spans="1:14" hidden="1">
      <c r="A561">
        <v>612</v>
      </c>
      <c r="B561">
        <v>1</v>
      </c>
      <c r="C561" t="s">
        <v>859</v>
      </c>
      <c r="D561" t="s">
        <v>3033</v>
      </c>
      <c r="E561" t="s">
        <v>582</v>
      </c>
      <c r="F561" t="s">
        <v>10691</v>
      </c>
      <c r="G561" t="str">
        <f>VLOOKUP(E561,Table145678910111213141545678910111213146[[CODE]:[Email Local]],4,0)</f>
        <v>qc.06831</v>
      </c>
      <c r="H561">
        <f>VLOOKUP(E561,Table145678910111213141545678910111213146[[CODE]:[Email Local]],6,0)</f>
        <v>0</v>
      </c>
      <c r="J561" t="s">
        <v>67</v>
      </c>
      <c r="K561" s="389">
        <v>45434</v>
      </c>
      <c r="L561" s="389"/>
      <c r="M561" s="389"/>
      <c r="N561" t="s">
        <v>721</v>
      </c>
    </row>
    <row r="562" spans="1:14" hidden="1">
      <c r="A562">
        <v>613</v>
      </c>
      <c r="B562">
        <v>2</v>
      </c>
      <c r="C562" t="s">
        <v>859</v>
      </c>
      <c r="D562" t="s">
        <v>1796</v>
      </c>
      <c r="E562" t="s">
        <v>584</v>
      </c>
      <c r="F562" t="s">
        <v>10692</v>
      </c>
      <c r="G562" t="str">
        <f>VLOOKUP(E562,Table145678910111213141545678910111213146[[CODE]:[Email Local]],4,0)</f>
        <v>qc.02261</v>
      </c>
      <c r="H562">
        <f>VLOOKUP(E562,Table145678910111213141545678910111213146[[CODE]:[Email Local]],6,0)</f>
        <v>0</v>
      </c>
      <c r="J562" t="s">
        <v>67</v>
      </c>
      <c r="K562" s="389">
        <v>45434</v>
      </c>
      <c r="L562" s="389"/>
      <c r="M562" s="389"/>
      <c r="N562" t="s">
        <v>721</v>
      </c>
    </row>
    <row r="563" spans="1:14" hidden="1">
      <c r="A563">
        <v>614</v>
      </c>
      <c r="B563">
        <v>2</v>
      </c>
      <c r="C563" t="s">
        <v>859</v>
      </c>
      <c r="D563" t="s">
        <v>4425</v>
      </c>
      <c r="E563" t="s">
        <v>8669</v>
      </c>
      <c r="F563" t="s">
        <v>10693</v>
      </c>
      <c r="G563" t="e">
        <f>VLOOKUP(E563,Table145678910111213141545678910111213146[[CODE]:[Email Local]],4,0)</f>
        <v>#N/A</v>
      </c>
      <c r="H563" t="e">
        <f>VLOOKUP(E563,Table145678910111213141545678910111213146[[CODE]:[Email Local]],6,0)</f>
        <v>#N/A</v>
      </c>
      <c r="J563" t="s">
        <v>67</v>
      </c>
      <c r="K563" s="389">
        <v>45725</v>
      </c>
      <c r="L563" s="389"/>
      <c r="M563" s="389"/>
      <c r="N563" t="s">
        <v>721</v>
      </c>
    </row>
    <row r="564" spans="1:14" hidden="1">
      <c r="A564">
        <v>615</v>
      </c>
      <c r="B564">
        <v>3</v>
      </c>
      <c r="C564" t="s">
        <v>859</v>
      </c>
      <c r="D564" t="s">
        <v>9266</v>
      </c>
      <c r="E564" t="s">
        <v>585</v>
      </c>
      <c r="F564" t="s">
        <v>10694</v>
      </c>
      <c r="G564" t="str">
        <f>VLOOKUP(E564,Table145678910111213141545678910111213146[[CODE]:[Email Local]],4,0)</f>
        <v>qc.08753</v>
      </c>
      <c r="H564">
        <f>VLOOKUP(E564,Table145678910111213141545678910111213146[[CODE]:[Email Local]],6,0)</f>
        <v>0</v>
      </c>
      <c r="J564" t="s">
        <v>67</v>
      </c>
      <c r="K564" s="389">
        <v>45434</v>
      </c>
      <c r="L564" s="389">
        <v>45806</v>
      </c>
      <c r="M564" s="389">
        <v>45806</v>
      </c>
      <c r="N564" t="e">
        <v>#N/A</v>
      </c>
    </row>
    <row r="565" spans="1:14" hidden="1">
      <c r="A565">
        <v>616</v>
      </c>
      <c r="B565">
        <v>4</v>
      </c>
      <c r="C565" t="s">
        <v>859</v>
      </c>
      <c r="D565" t="s">
        <v>1332</v>
      </c>
      <c r="E565" t="s">
        <v>583</v>
      </c>
      <c r="F565" t="s">
        <v>10695</v>
      </c>
      <c r="G565" t="str">
        <f>VLOOKUP(E565,Table145678910111213141545678910111213146[[CODE]:[Email Local]],4,0)</f>
        <v>qc.00931</v>
      </c>
      <c r="H565">
        <f>VLOOKUP(E565,Table145678910111213141545678910111213146[[CODE]:[Email Local]],6,0)</f>
        <v>0</v>
      </c>
      <c r="J565" t="s">
        <v>67</v>
      </c>
      <c r="K565" s="389">
        <v>45434</v>
      </c>
      <c r="L565" s="389"/>
      <c r="M565" s="389"/>
      <c r="N565" t="s">
        <v>721</v>
      </c>
    </row>
    <row r="566" spans="1:14" hidden="1">
      <c r="A566">
        <v>617</v>
      </c>
      <c r="B566">
        <v>5</v>
      </c>
      <c r="C566" t="s">
        <v>859</v>
      </c>
      <c r="D566" t="s">
        <v>979</v>
      </c>
      <c r="E566" t="s">
        <v>586</v>
      </c>
      <c r="F566" t="s">
        <v>10696</v>
      </c>
      <c r="G566" t="str">
        <f>VLOOKUP(E566,Table145678910111213141545678910111213146[[CODE]:[Email Local]],4,0)</f>
        <v>qc.08555</v>
      </c>
      <c r="H566">
        <f>VLOOKUP(E566,Table145678910111213141545678910111213146[[CODE]:[Email Local]],6,0)</f>
        <v>0</v>
      </c>
      <c r="J566" t="s">
        <v>67</v>
      </c>
      <c r="K566" s="389">
        <v>45434</v>
      </c>
      <c r="L566" s="389"/>
      <c r="M566" s="389"/>
      <c r="N566" t="s">
        <v>721</v>
      </c>
    </row>
    <row r="567" spans="1:14" hidden="1">
      <c r="A567">
        <v>647</v>
      </c>
      <c r="B567">
        <v>1</v>
      </c>
      <c r="C567" t="s">
        <v>860</v>
      </c>
      <c r="D567" t="s">
        <v>3951</v>
      </c>
      <c r="E567" t="s">
        <v>611</v>
      </c>
      <c r="F567" t="s">
        <v>10726</v>
      </c>
      <c r="G567" t="str">
        <f>VLOOKUP(E567,Table145678910111213141545678910111213146[[CODE]:[Email Local]],4,0)</f>
        <v>qc.09759</v>
      </c>
      <c r="H567">
        <f>VLOOKUP(E567,Table145678910111213141545678910111213146[[CODE]:[Email Local]],6,0)</f>
        <v>0</v>
      </c>
      <c r="J567" t="s">
        <v>67</v>
      </c>
      <c r="K567" s="389">
        <v>45435</v>
      </c>
      <c r="L567" s="389"/>
      <c r="M567" s="389"/>
      <c r="N567" t="s">
        <v>721</v>
      </c>
    </row>
    <row r="568" spans="1:14" hidden="1">
      <c r="A568">
        <v>648</v>
      </c>
      <c r="B568">
        <v>2</v>
      </c>
      <c r="C568" t="s">
        <v>860</v>
      </c>
      <c r="D568" t="s">
        <v>3223</v>
      </c>
      <c r="E568" t="s">
        <v>612</v>
      </c>
      <c r="F568" t="s">
        <v>10727</v>
      </c>
      <c r="G568" t="str">
        <f>VLOOKUP(E568,Table145678910111213141545678910111213146[[CODE]:[Email Local]],4,0)</f>
        <v>qc.07279</v>
      </c>
      <c r="H568">
        <f>VLOOKUP(E568,Table145678910111213141545678910111213146[[CODE]:[Email Local]],6,0)</f>
        <v>0</v>
      </c>
      <c r="J568" t="s">
        <v>67</v>
      </c>
      <c r="K568" s="389">
        <v>45435</v>
      </c>
      <c r="L568" s="389"/>
      <c r="M568" s="389"/>
      <c r="N568" t="s">
        <v>721</v>
      </c>
    </row>
    <row r="569" spans="1:14" hidden="1">
      <c r="A569">
        <v>649</v>
      </c>
      <c r="B569">
        <v>3</v>
      </c>
      <c r="C569" t="s">
        <v>860</v>
      </c>
      <c r="D569" t="s">
        <v>2320</v>
      </c>
      <c r="E569" t="s">
        <v>613</v>
      </c>
      <c r="F569" t="s">
        <v>10728</v>
      </c>
      <c r="G569" t="str">
        <f>VLOOKUP(E569,Table145678910111213141545678910111213146[[CODE]:[Email Local]],4,0)</f>
        <v>qc.04021</v>
      </c>
      <c r="H569">
        <f>VLOOKUP(E569,Table145678910111213141545678910111213146[[CODE]:[Email Local]],6,0)</f>
        <v>0</v>
      </c>
      <c r="J569" t="s">
        <v>67</v>
      </c>
      <c r="K569" s="389">
        <v>45435</v>
      </c>
      <c r="L569" s="389"/>
      <c r="M569" s="389"/>
      <c r="N569" t="s">
        <v>721</v>
      </c>
    </row>
    <row r="570" spans="1:14" hidden="1">
      <c r="A570">
        <v>650</v>
      </c>
      <c r="B570">
        <v>4</v>
      </c>
      <c r="C570" t="s">
        <v>860</v>
      </c>
      <c r="D570" t="s">
        <v>6282</v>
      </c>
      <c r="E570" t="s">
        <v>614</v>
      </c>
      <c r="F570" t="s">
        <v>10729</v>
      </c>
      <c r="G570" t="e">
        <f>VLOOKUP(E570,Table145678910111213141545678910111213146[[CODE]:[Email Local]],4,0)</f>
        <v>#N/A</v>
      </c>
      <c r="H570" t="e">
        <f>VLOOKUP(E570,Table145678910111213141545678910111213146[[CODE]:[Email Local]],6,0)</f>
        <v>#N/A</v>
      </c>
      <c r="J570" t="s">
        <v>67</v>
      </c>
      <c r="K570" s="389">
        <v>45435</v>
      </c>
      <c r="L570" s="389"/>
      <c r="M570" s="389"/>
      <c r="N570" t="s">
        <v>721</v>
      </c>
    </row>
    <row r="571" spans="1:14" hidden="1">
      <c r="A571">
        <v>709</v>
      </c>
      <c r="B571">
        <v>4</v>
      </c>
      <c r="C571" t="s">
        <v>861</v>
      </c>
      <c r="D571" t="s">
        <v>7476</v>
      </c>
      <c r="E571" t="s">
        <v>656</v>
      </c>
      <c r="F571" t="s">
        <v>10785</v>
      </c>
      <c r="G571" t="e">
        <f>VLOOKUP(E571,Table145678910111213141545678910111213146[[CODE]:[Email Local]],4,0)</f>
        <v>#N/A</v>
      </c>
      <c r="H571" t="e">
        <f>VLOOKUP(E571,Table145678910111213141545678910111213146[[CODE]:[Email Local]],6,0)</f>
        <v>#N/A</v>
      </c>
      <c r="J571" t="s">
        <v>67</v>
      </c>
      <c r="K571" s="389">
        <v>45405</v>
      </c>
      <c r="L571" s="389"/>
      <c r="M571" s="389"/>
      <c r="N571" t="s">
        <v>721</v>
      </c>
    </row>
    <row r="572" spans="1:14" hidden="1">
      <c r="A572">
        <v>712</v>
      </c>
      <c r="B572">
        <v>2</v>
      </c>
      <c r="C572" t="s">
        <v>861</v>
      </c>
      <c r="D572" t="s">
        <v>3838</v>
      </c>
      <c r="E572" t="s">
        <v>659</v>
      </c>
      <c r="F572" t="s">
        <v>10788</v>
      </c>
      <c r="G572" t="str">
        <f>VLOOKUP(E572,Table145678910111213141545678910111213146[[CODE]:[Email Local]],4,0)</f>
        <v>qc.09482</v>
      </c>
      <c r="H572">
        <f>VLOOKUP(E572,Table145678910111213141545678910111213146[[CODE]:[Email Local]],6,0)</f>
        <v>0</v>
      </c>
      <c r="J572" t="s">
        <v>67</v>
      </c>
      <c r="K572" s="389">
        <v>45405</v>
      </c>
      <c r="L572" s="389"/>
      <c r="M572" s="389"/>
      <c r="N572" t="s">
        <v>721</v>
      </c>
    </row>
    <row r="573" spans="1:14" hidden="1">
      <c r="A573">
        <v>715</v>
      </c>
      <c r="B573">
        <v>5</v>
      </c>
      <c r="C573" t="s">
        <v>861</v>
      </c>
      <c r="D573" t="s">
        <v>979</v>
      </c>
      <c r="E573" t="s">
        <v>661</v>
      </c>
      <c r="F573" t="s">
        <v>10791</v>
      </c>
      <c r="G573" t="str">
        <f>VLOOKUP(E573,Table145678910111213141545678910111213146[[CODE]:[Email Local]],4,0)</f>
        <v>qc.00235</v>
      </c>
      <c r="H573">
        <f>VLOOKUP(E573,Table145678910111213141545678910111213146[[CODE]:[Email Local]],6,0)</f>
        <v>0</v>
      </c>
      <c r="J573" t="s">
        <v>67</v>
      </c>
      <c r="K573" s="389">
        <v>45405</v>
      </c>
      <c r="L573" s="389"/>
      <c r="M573" s="389"/>
      <c r="N573" t="s">
        <v>721</v>
      </c>
    </row>
    <row r="574" spans="1:14" hidden="1">
      <c r="A574">
        <v>714</v>
      </c>
      <c r="B574">
        <v>4</v>
      </c>
      <c r="C574" t="s">
        <v>861</v>
      </c>
      <c r="D574" t="s">
        <v>4454</v>
      </c>
      <c r="E574" t="s">
        <v>8013</v>
      </c>
      <c r="F574" t="s">
        <v>10790</v>
      </c>
      <c r="G574" t="str">
        <f>VLOOKUP(E574,Table145678910111213141545678910111213146[[CODE]:[Email Local]],4,0)</f>
        <v>11457.bach</v>
      </c>
      <c r="H574" t="str">
        <f>VLOOKUP(E574,Table145678910111213141545678910111213146[[CODE]:[Email Local]],6,0)</f>
        <v>ok</v>
      </c>
      <c r="J574" t="s">
        <v>67</v>
      </c>
      <c r="K574" s="389">
        <v>45756</v>
      </c>
      <c r="L574" s="389"/>
      <c r="M574" s="389"/>
      <c r="N574" t="s">
        <v>721</v>
      </c>
    </row>
    <row r="575" spans="1:14" hidden="1">
      <c r="A575">
        <v>30</v>
      </c>
      <c r="B575">
        <v>30</v>
      </c>
      <c r="C575" t="s">
        <v>895</v>
      </c>
      <c r="D575" t="s">
        <v>4728</v>
      </c>
      <c r="E575" t="s">
        <v>89</v>
      </c>
      <c r="F575" t="s">
        <v>10120</v>
      </c>
      <c r="G575" t="str">
        <f>VLOOKUP(E575,Table145678910111213141545678910111213146[[CODE]:[Email Local]],4,0)</f>
        <v>qlk.12694</v>
      </c>
      <c r="H575" t="str">
        <f>VLOOKUP(E575,Table145678910111213141545678910111213146[[CODE]:[Email Local]],6,0)</f>
        <v>ok</v>
      </c>
      <c r="J575" t="s">
        <v>67</v>
      </c>
      <c r="K575" s="389">
        <v>45415</v>
      </c>
      <c r="L575" s="389"/>
      <c r="M575" s="389"/>
      <c r="N575" t="s">
        <v>895</v>
      </c>
    </row>
    <row r="576" spans="1:14" hidden="1">
      <c r="A576">
        <v>41</v>
      </c>
      <c r="B576">
        <v>41</v>
      </c>
      <c r="C576" t="s">
        <v>895</v>
      </c>
      <c r="D576" t="s">
        <v>920</v>
      </c>
      <c r="E576" t="s">
        <v>100</v>
      </c>
      <c r="F576" t="s">
        <v>10131</v>
      </c>
      <c r="G576" t="str">
        <f>VLOOKUP(E576,Table145678910111213141545678910111213146[[CODE]:[Email Local]],4,0)</f>
        <v>qlk.116</v>
      </c>
      <c r="H576">
        <f>VLOOKUP(E576,Table145678910111213141545678910111213146[[CODE]:[Email Local]],6,0)</f>
        <v>0</v>
      </c>
      <c r="J576" t="s">
        <v>67</v>
      </c>
      <c r="K576" s="389">
        <v>45415</v>
      </c>
      <c r="L576" s="389"/>
      <c r="M576" s="389"/>
      <c r="N576" t="s">
        <v>895</v>
      </c>
    </row>
    <row r="577" spans="1:14" hidden="1">
      <c r="A577">
        <v>624</v>
      </c>
      <c r="B577">
        <v>1</v>
      </c>
      <c r="C577" t="s">
        <v>862</v>
      </c>
      <c r="D577" t="s">
        <v>1631</v>
      </c>
      <c r="E577" t="s">
        <v>591</v>
      </c>
      <c r="F577" t="s">
        <v>10703</v>
      </c>
      <c r="G577" t="str">
        <f>VLOOKUP(E577,Table145678910111213141545678910111213146[[CODE]:[Email Local]],4,0)</f>
        <v>qlk.01662</v>
      </c>
      <c r="H577">
        <f>VLOOKUP(E577,Table145678910111213141545678910111213146[[CODE]:[Email Local]],6,0)</f>
        <v>0</v>
      </c>
      <c r="J577" t="s">
        <v>67</v>
      </c>
      <c r="K577" s="389">
        <v>45434</v>
      </c>
      <c r="L577" s="389"/>
      <c r="M577" s="389"/>
      <c r="N577" t="s">
        <v>895</v>
      </c>
    </row>
    <row r="578" spans="1:14" hidden="1">
      <c r="A578">
        <v>625</v>
      </c>
      <c r="B578">
        <v>2</v>
      </c>
      <c r="C578" t="s">
        <v>862</v>
      </c>
      <c r="D578" t="s">
        <v>1725</v>
      </c>
      <c r="E578" t="s">
        <v>592</v>
      </c>
      <c r="F578" t="s">
        <v>10704</v>
      </c>
      <c r="G578" t="str">
        <f>VLOOKUP(E578,Table145678910111213141545678910111213146[[CODE]:[Email Local]],4,0)</f>
        <v>qlk.01932</v>
      </c>
      <c r="H578">
        <f>VLOOKUP(E578,Table145678910111213141545678910111213146[[CODE]:[Email Local]],6,0)</f>
        <v>0</v>
      </c>
      <c r="J578" t="s">
        <v>67</v>
      </c>
      <c r="K578" s="389">
        <v>45434</v>
      </c>
      <c r="L578" s="389"/>
      <c r="M578" s="389"/>
      <c r="N578" t="s">
        <v>895</v>
      </c>
    </row>
    <row r="579" spans="1:14" hidden="1">
      <c r="A579">
        <v>626</v>
      </c>
      <c r="B579">
        <v>3</v>
      </c>
      <c r="C579" t="s">
        <v>862</v>
      </c>
      <c r="D579" t="s">
        <v>5319</v>
      </c>
      <c r="E579" t="s">
        <v>593</v>
      </c>
      <c r="F579" t="s">
        <v>10705</v>
      </c>
      <c r="G579" t="str">
        <f>VLOOKUP(E579,Table145678910111213141545678910111213146[[CODE]:[Email Local]],4,0)</f>
        <v>qlk.15573</v>
      </c>
      <c r="H579" t="str">
        <f>VLOOKUP(E579,Table145678910111213141545678910111213146[[CODE]:[Email Local]],6,0)</f>
        <v>ok</v>
      </c>
      <c r="J579" t="s">
        <v>67</v>
      </c>
      <c r="K579" s="389">
        <v>45434</v>
      </c>
      <c r="L579" s="389"/>
      <c r="M579" s="389"/>
      <c r="N579" t="s">
        <v>895</v>
      </c>
    </row>
    <row r="580" spans="1:14" hidden="1">
      <c r="A580">
        <v>505</v>
      </c>
      <c r="B580">
        <v>2</v>
      </c>
      <c r="C580" t="s">
        <v>863</v>
      </c>
      <c r="D580" t="s">
        <v>1064</v>
      </c>
      <c r="E580" t="s">
        <v>504</v>
      </c>
      <c r="F580" t="s">
        <v>10586</v>
      </c>
      <c r="G580" t="str">
        <f>VLOOKUP(E580,Table145678910111213141545678910111213146[[CODE]:[Email Local]],4,0)</f>
        <v>qlk.00405</v>
      </c>
      <c r="H580">
        <f>VLOOKUP(E580,Table145678910111213141545678910111213146[[CODE]:[Email Local]],6,0)</f>
        <v>0</v>
      </c>
      <c r="J580" t="s">
        <v>67</v>
      </c>
      <c r="K580" s="389">
        <v>45437</v>
      </c>
      <c r="L580" s="389"/>
      <c r="M580" s="389"/>
      <c r="N580" t="s">
        <v>895</v>
      </c>
    </row>
    <row r="581" spans="1:14" hidden="1">
      <c r="A581">
        <v>506</v>
      </c>
      <c r="B581">
        <v>3</v>
      </c>
      <c r="C581" t="s">
        <v>863</v>
      </c>
      <c r="D581" t="s">
        <v>3686</v>
      </c>
      <c r="E581" t="s">
        <v>505</v>
      </c>
      <c r="F581" t="s">
        <v>10587</v>
      </c>
      <c r="G581" t="str">
        <f>VLOOKUP(E581,Table145678910111213141545678910111213146[[CODE]:[Email Local]],4,0)</f>
        <v>qlk.08949</v>
      </c>
      <c r="H581">
        <f>VLOOKUP(E581,Table145678910111213141545678910111213146[[CODE]:[Email Local]],6,0)</f>
        <v>0</v>
      </c>
      <c r="J581" t="s">
        <v>67</v>
      </c>
      <c r="K581" s="389">
        <v>45437</v>
      </c>
      <c r="L581" s="389"/>
      <c r="M581" s="389"/>
      <c r="N581" t="s">
        <v>895</v>
      </c>
    </row>
    <row r="582" spans="1:14" hidden="1">
      <c r="A582">
        <v>507</v>
      </c>
      <c r="B582">
        <v>4</v>
      </c>
      <c r="C582" t="s">
        <v>863</v>
      </c>
      <c r="D582" t="s">
        <v>974</v>
      </c>
      <c r="E582" t="s">
        <v>506</v>
      </c>
      <c r="F582" t="s">
        <v>10588</v>
      </c>
      <c r="G582" t="str">
        <f>VLOOKUP(E582,Table145678910111213141545678910111213146[[CODE]:[Email Local]],4,0)</f>
        <v>qlk.00231</v>
      </c>
      <c r="H582">
        <f>VLOOKUP(E582,Table145678910111213141545678910111213146[[CODE]:[Email Local]],6,0)</f>
        <v>0</v>
      </c>
      <c r="J582" t="s">
        <v>67</v>
      </c>
      <c r="K582" s="389">
        <v>45437</v>
      </c>
      <c r="L582" s="389"/>
      <c r="M582" s="389"/>
      <c r="N582" t="s">
        <v>895</v>
      </c>
    </row>
    <row r="583" spans="1:14" hidden="1">
      <c r="A583">
        <v>508</v>
      </c>
      <c r="B583">
        <v>5</v>
      </c>
      <c r="C583" t="s">
        <v>863</v>
      </c>
      <c r="D583" t="s">
        <v>1804</v>
      </c>
      <c r="E583" t="s">
        <v>507</v>
      </c>
      <c r="F583" t="s">
        <v>10589</v>
      </c>
      <c r="G583" t="str">
        <f>VLOOKUP(E583,Table145678910111213141545678910111213146[[CODE]:[Email Local]],4,0)</f>
        <v>qlk.02295</v>
      </c>
      <c r="H583">
        <f>VLOOKUP(E583,Table145678910111213141545678910111213146[[CODE]:[Email Local]],6,0)</f>
        <v>0</v>
      </c>
      <c r="J583" t="s">
        <v>67</v>
      </c>
      <c r="K583" s="389">
        <v>45437</v>
      </c>
      <c r="L583" s="389"/>
      <c r="M583" s="389"/>
      <c r="N583" t="s">
        <v>895</v>
      </c>
    </row>
    <row r="584" spans="1:14" hidden="1">
      <c r="A584">
        <v>510</v>
      </c>
      <c r="B584">
        <v>7</v>
      </c>
      <c r="C584" t="s">
        <v>863</v>
      </c>
      <c r="D584" t="s">
        <v>1053</v>
      </c>
      <c r="E584" t="s">
        <v>510</v>
      </c>
      <c r="F584" t="s">
        <v>10591</v>
      </c>
      <c r="G584" t="str">
        <f>VLOOKUP(E584,Table145678910111213141545678910111213146[[CODE]:[Email Local]],4,0)</f>
        <v>qlk.00379</v>
      </c>
      <c r="H584">
        <f>VLOOKUP(E584,Table145678910111213141545678910111213146[[CODE]:[Email Local]],6,0)</f>
        <v>0</v>
      </c>
      <c r="J584" t="s">
        <v>67</v>
      </c>
      <c r="K584" s="389">
        <v>45437</v>
      </c>
      <c r="L584" s="389"/>
      <c r="M584" s="389"/>
      <c r="N584" t="s">
        <v>895</v>
      </c>
    </row>
    <row r="585" spans="1:14" hidden="1">
      <c r="A585">
        <v>511</v>
      </c>
      <c r="B585">
        <v>8</v>
      </c>
      <c r="C585" t="s">
        <v>863</v>
      </c>
      <c r="D585" t="s">
        <v>1848</v>
      </c>
      <c r="E585" t="s">
        <v>146</v>
      </c>
      <c r="F585" t="s">
        <v>10592</v>
      </c>
      <c r="G585" t="e">
        <f>VLOOKUP(E585,Table145678910111213141545678910111213146[[CODE]:[Email Local]],4,0)</f>
        <v>#N/A</v>
      </c>
      <c r="H585" t="e">
        <f>VLOOKUP(E585,Table145678910111213141545678910111213146[[CODE]:[Email Local]],6,0)</f>
        <v>#N/A</v>
      </c>
      <c r="J585" t="s">
        <v>67</v>
      </c>
      <c r="K585" s="389">
        <v>45437</v>
      </c>
      <c r="L585" s="389"/>
      <c r="M585" s="389"/>
      <c r="N585" t="s">
        <v>895</v>
      </c>
    </row>
    <row r="586" spans="1:14" hidden="1">
      <c r="A586">
        <v>504</v>
      </c>
      <c r="B586">
        <v>1</v>
      </c>
      <c r="C586" t="s">
        <v>863</v>
      </c>
      <c r="D586" t="s">
        <v>1247</v>
      </c>
      <c r="E586" t="s">
        <v>503</v>
      </c>
      <c r="F586" t="s">
        <v>10585</v>
      </c>
      <c r="G586" t="str">
        <f>VLOOKUP(E586,Table145678910111213141545678910111213146[[CODE]:[Email Local]],4,0)</f>
        <v>qlk.00758</v>
      </c>
      <c r="H586" t="str">
        <f>VLOOKUP(E586,Table145678910111213141545678910111213146[[CODE]:[Email Local]],6,0)</f>
        <v>ok</v>
      </c>
      <c r="J586" t="s">
        <v>67</v>
      </c>
      <c r="K586" s="389">
        <v>45437</v>
      </c>
      <c r="L586" s="389"/>
      <c r="M586" s="389"/>
      <c r="N586" t="s">
        <v>895</v>
      </c>
    </row>
    <row r="587" spans="1:14" hidden="1">
      <c r="A587">
        <v>512</v>
      </c>
      <c r="B587">
        <v>9</v>
      </c>
      <c r="C587" t="s">
        <v>863</v>
      </c>
      <c r="D587" t="s">
        <v>1727</v>
      </c>
      <c r="E587" t="s">
        <v>178</v>
      </c>
      <c r="F587" t="s">
        <v>10593</v>
      </c>
      <c r="G587" t="str">
        <f>VLOOKUP(E587,Table145678910111213141545678910111213146[[CODE]:[Email Local]],4,0)</f>
        <v>qlk.01936</v>
      </c>
      <c r="H587">
        <f>VLOOKUP(E587,Table145678910111213141545678910111213146[[CODE]:[Email Local]],6,0)</f>
        <v>0</v>
      </c>
      <c r="J587" t="s">
        <v>67</v>
      </c>
      <c r="K587" s="389">
        <v>45437</v>
      </c>
      <c r="L587" s="389"/>
      <c r="M587" s="389"/>
      <c r="N587" t="s">
        <v>895</v>
      </c>
    </row>
    <row r="588" spans="1:14" hidden="1">
      <c r="A588">
        <v>513</v>
      </c>
      <c r="B588">
        <v>10</v>
      </c>
      <c r="C588" t="s">
        <v>863</v>
      </c>
      <c r="D588" t="s">
        <v>1778</v>
      </c>
      <c r="E588" t="s">
        <v>508</v>
      </c>
      <c r="F588" t="s">
        <v>10594</v>
      </c>
      <c r="G588" t="str">
        <f>VLOOKUP(E588,Table145678910111213141545678910111213146[[CODE]:[Email Local]],4,0)</f>
        <v>qlk.02196</v>
      </c>
      <c r="H588">
        <f>VLOOKUP(E588,Table145678910111213141545678910111213146[[CODE]:[Email Local]],6,0)</f>
        <v>0</v>
      </c>
      <c r="J588" t="s">
        <v>67</v>
      </c>
      <c r="K588" s="389">
        <v>45437</v>
      </c>
      <c r="L588" s="389"/>
      <c r="M588" s="389"/>
      <c r="N588" t="s">
        <v>895</v>
      </c>
    </row>
    <row r="589" spans="1:14" hidden="1">
      <c r="A589">
        <v>515</v>
      </c>
      <c r="B589">
        <v>10</v>
      </c>
      <c r="C589" t="s">
        <v>863</v>
      </c>
      <c r="D589" t="s">
        <v>2739</v>
      </c>
      <c r="E589" t="s">
        <v>8664</v>
      </c>
      <c r="F589" t="s">
        <v>10596</v>
      </c>
      <c r="G589" t="e">
        <f>VLOOKUP(E589,Table145678910111213141545678910111213146[[CODE]:[Email Local]],4,0)</f>
        <v>#N/A</v>
      </c>
      <c r="H589" t="e">
        <f>VLOOKUP(E589,Table145678910111213141545678910111213146[[CODE]:[Email Local]],6,0)</f>
        <v>#N/A</v>
      </c>
      <c r="J589" t="s">
        <v>67</v>
      </c>
      <c r="K589" s="389">
        <v>45471</v>
      </c>
      <c r="L589" s="389"/>
      <c r="M589" s="389"/>
      <c r="N589" t="s">
        <v>895</v>
      </c>
    </row>
    <row r="590" spans="1:14" hidden="1">
      <c r="A590">
        <v>516</v>
      </c>
      <c r="B590">
        <v>10</v>
      </c>
      <c r="C590" t="s">
        <v>863</v>
      </c>
      <c r="D590" t="s">
        <v>8584</v>
      </c>
      <c r="E590" t="s">
        <v>8680</v>
      </c>
      <c r="F590" t="s">
        <v>10597</v>
      </c>
      <c r="G590" t="e">
        <f>VLOOKUP(E590,Table145678910111213141545678910111213146[[CODE]:[Email Local]],4,0)</f>
        <v>#N/A</v>
      </c>
      <c r="H590" t="e">
        <f>VLOOKUP(E590,Table145678910111213141545678910111213146[[CODE]:[Email Local]],6,0)</f>
        <v>#N/A</v>
      </c>
      <c r="J590" t="s">
        <v>67</v>
      </c>
      <c r="K590" s="389">
        <v>45976</v>
      </c>
      <c r="L590" s="389"/>
      <c r="M590" s="389"/>
      <c r="N590" t="s">
        <v>895</v>
      </c>
    </row>
    <row r="591" spans="1:14" hidden="1">
      <c r="A591">
        <v>509</v>
      </c>
      <c r="B591">
        <v>6</v>
      </c>
      <c r="C591" t="s">
        <v>863</v>
      </c>
      <c r="D591" t="s">
        <v>3913</v>
      </c>
      <c r="E591" t="s">
        <v>509</v>
      </c>
      <c r="F591" t="s">
        <v>10590</v>
      </c>
      <c r="G591" t="str">
        <f>VLOOKUP(E591,Table145678910111213141545678910111213146[[CODE]:[Email Local]],4,0)</f>
        <v>qlk.24199</v>
      </c>
      <c r="H591" t="str">
        <f>VLOOKUP(E591,Table145678910111213141545678910111213146[[CODE]:[Email Local]],6,0)</f>
        <v>ok</v>
      </c>
      <c r="J591" t="s">
        <v>67</v>
      </c>
      <c r="K591" s="389">
        <v>45437</v>
      </c>
      <c r="L591" s="389">
        <v>45976</v>
      </c>
      <c r="M591" s="389">
        <v>45976</v>
      </c>
      <c r="N591" t="e">
        <v>#N/A</v>
      </c>
    </row>
    <row r="592" spans="1:14" hidden="1">
      <c r="A592">
        <v>514</v>
      </c>
      <c r="B592">
        <v>10</v>
      </c>
      <c r="C592" t="s">
        <v>863</v>
      </c>
      <c r="D592" t="s">
        <v>6413</v>
      </c>
      <c r="E592" t="s">
        <v>8663</v>
      </c>
      <c r="F592" t="s">
        <v>10595</v>
      </c>
      <c r="G592" t="str">
        <f>VLOOKUP(E592,Table145678910111213141545678910111213146[[CODE]:[Email Local]],4,0)</f>
        <v>qlk.19908</v>
      </c>
      <c r="H592" t="str">
        <f>VLOOKUP(E592,Table145678910111213141545678910111213146[[CODE]:[Email Local]],6,0)</f>
        <v>ok</v>
      </c>
      <c r="J592" t="s">
        <v>67</v>
      </c>
      <c r="K592" s="389">
        <v>45737</v>
      </c>
      <c r="L592" s="389"/>
      <c r="M592" s="389"/>
      <c r="N592" t="s">
        <v>895</v>
      </c>
    </row>
    <row r="593" spans="1:14" hidden="1">
      <c r="A593">
        <v>638</v>
      </c>
      <c r="B593">
        <v>1</v>
      </c>
      <c r="C593" t="s">
        <v>864</v>
      </c>
      <c r="D593" t="s">
        <v>5918</v>
      </c>
      <c r="E593" t="s">
        <v>605</v>
      </c>
      <c r="F593" t="s">
        <v>10717</v>
      </c>
      <c r="G593" t="str">
        <f>VLOOKUP(E593,Table145678910111213141545678910111213146[[CODE]:[Email Local]],4,0)</f>
        <v>qlk.06747</v>
      </c>
      <c r="H593">
        <f>VLOOKUP(E593,Table145678910111213141545678910111213146[[CODE]:[Email Local]],6,0)</f>
        <v>0</v>
      </c>
      <c r="J593" t="s">
        <v>67</v>
      </c>
      <c r="K593" s="389">
        <v>45435</v>
      </c>
      <c r="L593" s="389">
        <v>45464</v>
      </c>
      <c r="M593" s="389">
        <v>45464</v>
      </c>
      <c r="N593" t="e">
        <v>#N/A</v>
      </c>
    </row>
    <row r="594" spans="1:14" hidden="1">
      <c r="A594">
        <v>639</v>
      </c>
      <c r="B594">
        <v>2</v>
      </c>
      <c r="C594" t="s">
        <v>864</v>
      </c>
      <c r="D594" t="s">
        <v>2295</v>
      </c>
      <c r="E594" t="s">
        <v>832</v>
      </c>
      <c r="F594" t="s">
        <v>10718</v>
      </c>
      <c r="G594" t="e">
        <f>VLOOKUP(E594,Table145678910111213141545678910111213146[[CODE]:[Email Local]],4,0)</f>
        <v>#N/A</v>
      </c>
      <c r="H594" t="e">
        <f>VLOOKUP(E594,Table145678910111213141545678910111213146[[CODE]:[Email Local]],6,0)</f>
        <v>#N/A</v>
      </c>
      <c r="J594" t="s">
        <v>67</v>
      </c>
      <c r="K594" s="389">
        <v>45435</v>
      </c>
      <c r="L594" s="389"/>
      <c r="M594" s="389"/>
      <c r="N594" t="s">
        <v>895</v>
      </c>
    </row>
    <row r="595" spans="1:14" hidden="1">
      <c r="A595">
        <v>640</v>
      </c>
      <c r="B595">
        <v>3</v>
      </c>
      <c r="C595" t="s">
        <v>864</v>
      </c>
      <c r="D595" t="s">
        <v>3721</v>
      </c>
      <c r="E595" t="s">
        <v>606</v>
      </c>
      <c r="F595" t="s">
        <v>10719</v>
      </c>
      <c r="G595" t="str">
        <f>VLOOKUP(E595,Table145678910111213141545678910111213146[[CODE]:[Email Local]],4,0)</f>
        <v>qlk.09077</v>
      </c>
      <c r="H595">
        <f>VLOOKUP(E595,Table145678910111213141545678910111213146[[CODE]:[Email Local]],6,0)</f>
        <v>0</v>
      </c>
      <c r="J595" t="s">
        <v>67</v>
      </c>
      <c r="K595" s="389">
        <v>45435</v>
      </c>
      <c r="L595" s="389"/>
      <c r="M595" s="389"/>
      <c r="N595" t="s">
        <v>895</v>
      </c>
    </row>
    <row r="596" spans="1:14" hidden="1">
      <c r="A596">
        <v>642</v>
      </c>
      <c r="B596">
        <v>5</v>
      </c>
      <c r="C596" t="s">
        <v>864</v>
      </c>
      <c r="D596" t="s">
        <v>1850</v>
      </c>
      <c r="E596" t="s">
        <v>608</v>
      </c>
      <c r="F596" t="s">
        <v>10721</v>
      </c>
      <c r="G596" t="str">
        <f>VLOOKUP(E596,Table145678910111213141545678910111213146[[CODE]:[Email Local]],4,0)</f>
        <v>qlk.02420</v>
      </c>
      <c r="H596">
        <f>VLOOKUP(E596,Table145678910111213141545678910111213146[[CODE]:[Email Local]],6,0)</f>
        <v>0</v>
      </c>
      <c r="J596" t="s">
        <v>67</v>
      </c>
      <c r="K596" s="389">
        <v>45435</v>
      </c>
      <c r="L596" s="389"/>
      <c r="M596" s="389"/>
      <c r="N596" t="s">
        <v>895</v>
      </c>
    </row>
    <row r="597" spans="1:14" hidden="1">
      <c r="A597">
        <v>643</v>
      </c>
      <c r="B597">
        <v>6</v>
      </c>
      <c r="C597" t="s">
        <v>864</v>
      </c>
      <c r="D597" t="s">
        <v>2084</v>
      </c>
      <c r="E597" t="s">
        <v>8386</v>
      </c>
      <c r="F597" t="s">
        <v>10722</v>
      </c>
      <c r="G597" t="e">
        <f>VLOOKUP(E597,Table145678910111213141545678910111213146[[CODE]:[Email Local]],4,0)</f>
        <v>#N/A</v>
      </c>
      <c r="H597" t="e">
        <f>VLOOKUP(E597,Table145678910111213141545678910111213146[[CODE]:[Email Local]],6,0)</f>
        <v>#N/A</v>
      </c>
      <c r="J597" t="s">
        <v>67</v>
      </c>
      <c r="K597" s="389">
        <v>45435</v>
      </c>
      <c r="L597" s="389"/>
      <c r="M597" s="389"/>
      <c r="N597" t="s">
        <v>895</v>
      </c>
    </row>
    <row r="598" spans="1:14" hidden="1">
      <c r="A598">
        <v>644</v>
      </c>
      <c r="B598">
        <v>7</v>
      </c>
      <c r="C598" t="s">
        <v>864</v>
      </c>
      <c r="D598" t="s">
        <v>2399</v>
      </c>
      <c r="E598" t="s">
        <v>609</v>
      </c>
      <c r="F598" t="s">
        <v>10723</v>
      </c>
      <c r="G598" t="e">
        <f>VLOOKUP(E598,Table145678910111213141545678910111213146[[CODE]:[Email Local]],4,0)</f>
        <v>#N/A</v>
      </c>
      <c r="H598" t="e">
        <f>VLOOKUP(E598,Table145678910111213141545678910111213146[[CODE]:[Email Local]],6,0)</f>
        <v>#N/A</v>
      </c>
      <c r="J598" t="s">
        <v>67</v>
      </c>
      <c r="K598" s="389">
        <v>45435</v>
      </c>
      <c r="L598" s="389"/>
      <c r="M598" s="389"/>
      <c r="N598" t="s">
        <v>895</v>
      </c>
    </row>
    <row r="599" spans="1:14" hidden="1">
      <c r="A599">
        <v>645</v>
      </c>
      <c r="B599">
        <v>8</v>
      </c>
      <c r="C599" t="s">
        <v>864</v>
      </c>
      <c r="D599" t="s">
        <v>11192</v>
      </c>
      <c r="E599" t="s">
        <v>7795</v>
      </c>
      <c r="F599" t="s">
        <v>10724</v>
      </c>
      <c r="G599" t="e">
        <f>VLOOKUP(E599,Table145678910111213141545678910111213146[[CODE]:[Email Local]],4,0)</f>
        <v>#N/A</v>
      </c>
      <c r="H599" t="e">
        <f>VLOOKUP(E599,Table145678910111213141545678910111213146[[CODE]:[Email Local]],6,0)</f>
        <v>#N/A</v>
      </c>
      <c r="J599" t="s">
        <v>67</v>
      </c>
      <c r="K599" s="389">
        <v>45464</v>
      </c>
      <c r="L599" s="389"/>
      <c r="M599" s="389"/>
      <c r="N599" t="s">
        <v>895</v>
      </c>
    </row>
    <row r="600" spans="1:14" hidden="1">
      <c r="A600">
        <v>646</v>
      </c>
      <c r="B600">
        <v>9</v>
      </c>
      <c r="C600" t="s">
        <v>864</v>
      </c>
      <c r="D600" t="s">
        <v>1904</v>
      </c>
      <c r="E600" t="s">
        <v>610</v>
      </c>
      <c r="F600" t="s">
        <v>10725</v>
      </c>
      <c r="G600" t="str">
        <f>VLOOKUP(E600,Table145678910111213141545678910111213146[[CODE]:[Email Local]],4,0)</f>
        <v>qlk.02529</v>
      </c>
      <c r="H600">
        <f>VLOOKUP(E600,Table145678910111213141545678910111213146[[CODE]:[Email Local]],6,0)</f>
        <v>0</v>
      </c>
      <c r="J600" t="s">
        <v>67</v>
      </c>
      <c r="K600" s="389">
        <v>45435</v>
      </c>
      <c r="L600" s="389"/>
      <c r="M600" s="389"/>
      <c r="N600" t="s">
        <v>895</v>
      </c>
    </row>
    <row r="601" spans="1:14" hidden="1">
      <c r="A601">
        <v>641</v>
      </c>
      <c r="B601">
        <v>4</v>
      </c>
      <c r="C601" t="s">
        <v>864</v>
      </c>
      <c r="D601" t="s">
        <v>3455</v>
      </c>
      <c r="E601" t="s">
        <v>607</v>
      </c>
      <c r="F601" t="s">
        <v>10720</v>
      </c>
      <c r="G601" t="str">
        <f>VLOOKUP(E601,Table145678910111213141545678910111213146[[CODE]:[Email Local]],4,0)</f>
        <v>qlk.07966</v>
      </c>
      <c r="H601" t="str">
        <f>VLOOKUP(E601,Table145678910111213141545678910111213146[[CODE]:[Email Local]],6,0)</f>
        <v>ok</v>
      </c>
      <c r="J601" t="s">
        <v>67</v>
      </c>
      <c r="K601" s="389">
        <v>45435</v>
      </c>
      <c r="L601" s="389"/>
      <c r="M601" s="389"/>
      <c r="N601" t="s">
        <v>895</v>
      </c>
    </row>
    <row r="602" spans="1:14" hidden="1">
      <c r="A602">
        <v>705</v>
      </c>
      <c r="B602">
        <v>1</v>
      </c>
      <c r="C602" t="s">
        <v>865</v>
      </c>
      <c r="D602" t="s">
        <v>1627</v>
      </c>
      <c r="E602" t="s">
        <v>653</v>
      </c>
      <c r="F602" t="s">
        <v>10781</v>
      </c>
      <c r="G602" t="str">
        <f>VLOOKUP(E602,Table145678910111213141545678910111213146[[CODE]:[Email Local]],4,0)</f>
        <v>qlk.01653</v>
      </c>
      <c r="H602">
        <f>VLOOKUP(E602,Table145678910111213141545678910111213146[[CODE]:[Email Local]],6,0)</f>
        <v>0</v>
      </c>
      <c r="J602" t="s">
        <v>67</v>
      </c>
      <c r="K602" s="389">
        <v>45405</v>
      </c>
      <c r="L602" s="389"/>
      <c r="M602" s="389"/>
      <c r="N602" t="s">
        <v>895</v>
      </c>
    </row>
    <row r="603" spans="1:14" hidden="1">
      <c r="A603">
        <v>706</v>
      </c>
      <c r="B603">
        <v>2</v>
      </c>
      <c r="C603" t="s">
        <v>865</v>
      </c>
      <c r="D603" t="s">
        <v>2064</v>
      </c>
      <c r="E603" t="s">
        <v>654</v>
      </c>
      <c r="F603" t="s">
        <v>10782</v>
      </c>
      <c r="G603" t="str">
        <f>VLOOKUP(E603,Table145678910111213141545678910111213146[[CODE]:[Email Local]],4,0)</f>
        <v>qlk.03027</v>
      </c>
      <c r="H603">
        <f>VLOOKUP(E603,Table145678910111213141545678910111213146[[CODE]:[Email Local]],6,0)</f>
        <v>0</v>
      </c>
      <c r="J603" t="s">
        <v>67</v>
      </c>
      <c r="K603" s="389">
        <v>45405</v>
      </c>
      <c r="L603" s="389"/>
      <c r="M603" s="389"/>
      <c r="N603" t="s">
        <v>895</v>
      </c>
    </row>
    <row r="604" spans="1:14" hidden="1">
      <c r="A604">
        <v>708</v>
      </c>
      <c r="B604">
        <v>3</v>
      </c>
      <c r="C604" t="s">
        <v>865</v>
      </c>
      <c r="D604" t="s">
        <v>2039</v>
      </c>
      <c r="E604" t="s">
        <v>8654</v>
      </c>
      <c r="F604" t="s">
        <v>10784</v>
      </c>
      <c r="G604" t="e">
        <f>VLOOKUP(E604,Table145678910111213141545678910111213146[[CODE]:[Email Local]],4,0)</f>
        <v>#N/A</v>
      </c>
      <c r="H604" t="e">
        <f>VLOOKUP(E604,Table145678910111213141545678910111213146[[CODE]:[Email Local]],6,0)</f>
        <v>#N/A</v>
      </c>
      <c r="J604" t="s">
        <v>67</v>
      </c>
      <c r="K604" s="389">
        <v>45405</v>
      </c>
      <c r="L604" s="389"/>
      <c r="M604" s="389"/>
      <c r="N604" t="s">
        <v>895</v>
      </c>
    </row>
    <row r="605" spans="1:14" hidden="1">
      <c r="A605">
        <v>710</v>
      </c>
      <c r="B605">
        <v>5</v>
      </c>
      <c r="C605" t="s">
        <v>865</v>
      </c>
      <c r="D605" t="s">
        <v>5646</v>
      </c>
      <c r="E605" t="s">
        <v>657</v>
      </c>
      <c r="F605" t="s">
        <v>10786</v>
      </c>
      <c r="G605" t="e">
        <f>VLOOKUP(E605,Table145678910111213141545678910111213146[[CODE]:[Email Local]],4,0)</f>
        <v>#N/A</v>
      </c>
      <c r="H605" t="e">
        <f>VLOOKUP(E605,Table145678910111213141545678910111213146[[CODE]:[Email Local]],6,0)</f>
        <v>#N/A</v>
      </c>
      <c r="J605" t="s">
        <v>67</v>
      </c>
      <c r="K605" s="389">
        <v>45405</v>
      </c>
      <c r="L605" s="389"/>
      <c r="M605" s="389"/>
      <c r="N605" t="s">
        <v>895</v>
      </c>
    </row>
    <row r="606" spans="1:14" hidden="1">
      <c r="A606">
        <v>707</v>
      </c>
      <c r="B606">
        <v>3</v>
      </c>
      <c r="C606" t="s">
        <v>865</v>
      </c>
      <c r="D606" t="s">
        <v>1950</v>
      </c>
      <c r="E606" t="s">
        <v>655</v>
      </c>
      <c r="F606" t="s">
        <v>10783</v>
      </c>
      <c r="G606" t="str">
        <f>VLOOKUP(E606,Table145678910111213141545678910111213146[[CODE]:[Email Local]],4,0)</f>
        <v>qlk.02692</v>
      </c>
      <c r="H606" t="str">
        <f>VLOOKUP(E606,Table145678910111213141545678910111213146[[CODE]:[Email Local]],6,0)</f>
        <v>ok</v>
      </c>
      <c r="J606" t="s">
        <v>67</v>
      </c>
      <c r="K606" s="389">
        <v>45405</v>
      </c>
      <c r="L606" s="389"/>
      <c r="M606" s="389"/>
      <c r="N606" t="s">
        <v>895</v>
      </c>
    </row>
    <row r="607" spans="1:14" hidden="1">
      <c r="A607">
        <v>18</v>
      </c>
      <c r="B607">
        <v>18</v>
      </c>
      <c r="C607" t="s">
        <v>866</v>
      </c>
      <c r="D607" t="s">
        <v>2489</v>
      </c>
      <c r="E607" t="s">
        <v>823</v>
      </c>
      <c r="F607" t="s">
        <v>10108</v>
      </c>
      <c r="G607" t="str">
        <f>VLOOKUP(E607,Table145678910111213141545678910111213146[[CODE]:[Email Local]],4,0)</f>
        <v>qlsx.4427</v>
      </c>
      <c r="H607" t="str">
        <f>VLOOKUP(E607,Table145678910111213141545678910111213146[[CODE]:[Email Local]],6,0)</f>
        <v>ok</v>
      </c>
      <c r="J607" t="s">
        <v>67</v>
      </c>
      <c r="K607" s="389">
        <v>45415</v>
      </c>
      <c r="L607" s="389"/>
      <c r="M607" s="389"/>
      <c r="N607" t="s">
        <v>752</v>
      </c>
    </row>
    <row r="608" spans="1:14" hidden="1">
      <c r="A608">
        <v>19</v>
      </c>
      <c r="B608">
        <v>19</v>
      </c>
      <c r="C608" t="s">
        <v>866</v>
      </c>
      <c r="D608" t="s">
        <v>1578</v>
      </c>
      <c r="E608" t="s">
        <v>824</v>
      </c>
      <c r="F608" t="s">
        <v>10109</v>
      </c>
      <c r="G608" t="str">
        <f>VLOOKUP(E608,Table145678910111213141545678910111213146[[CODE]:[Email Local]],4,0)</f>
        <v>qlsx.1534</v>
      </c>
      <c r="H608" t="str">
        <f>VLOOKUP(E608,Table145678910111213141545678910111213146[[CODE]:[Email Local]],6,0)</f>
        <v>ok</v>
      </c>
      <c r="J608" t="s">
        <v>67</v>
      </c>
      <c r="K608" s="389">
        <v>45415</v>
      </c>
      <c r="L608" s="389"/>
      <c r="M608" s="389"/>
      <c r="N608" t="s">
        <v>752</v>
      </c>
    </row>
    <row r="609" spans="1:14" hidden="1">
      <c r="A609">
        <v>26</v>
      </c>
      <c r="B609">
        <v>26</v>
      </c>
      <c r="C609" t="s">
        <v>866</v>
      </c>
      <c r="D609" t="s">
        <v>6540</v>
      </c>
      <c r="E609" t="s">
        <v>85</v>
      </c>
      <c r="F609" t="s">
        <v>10116</v>
      </c>
      <c r="G609" t="str">
        <f>VLOOKUP(E609,Table145678910111213141545678910111213146[[CODE]:[Email Local]],4,0)</f>
        <v>qlsx.20328</v>
      </c>
      <c r="H609" t="str">
        <f>VLOOKUP(E609,Table145678910111213141545678910111213146[[CODE]:[Email Local]],6,0)</f>
        <v>ok</v>
      </c>
      <c r="J609" t="s">
        <v>67</v>
      </c>
      <c r="K609" s="389">
        <v>45415</v>
      </c>
      <c r="L609" s="389"/>
      <c r="M609" s="389"/>
      <c r="N609" t="s">
        <v>752</v>
      </c>
    </row>
    <row r="610" spans="1:14" hidden="1">
      <c r="A610">
        <v>1</v>
      </c>
      <c r="B610">
        <v>1</v>
      </c>
      <c r="C610" t="s">
        <v>866</v>
      </c>
      <c r="D610" t="s">
        <v>9824</v>
      </c>
      <c r="E610" t="s">
        <v>66</v>
      </c>
      <c r="F610" t="s">
        <v>10091</v>
      </c>
      <c r="G610" t="str">
        <f>VLOOKUP(E610,Table145678910111213141545678910111213146[[CODE]:[Email Local]],4,0)</f>
        <v>qlsx.10437</v>
      </c>
      <c r="H610">
        <f>VLOOKUP(E610,Table145678910111213141545678910111213146[[CODE]:[Email Local]],6,0)</f>
        <v>0</v>
      </c>
      <c r="J610" t="s">
        <v>67</v>
      </c>
      <c r="K610" s="389">
        <v>45415</v>
      </c>
      <c r="L610" s="389">
        <v>45806</v>
      </c>
      <c r="M610" s="389">
        <v>45806</v>
      </c>
      <c r="N610" t="e">
        <v>#N/A</v>
      </c>
    </row>
    <row r="611" spans="1:14" hidden="1">
      <c r="A611">
        <v>2</v>
      </c>
      <c r="B611">
        <v>2</v>
      </c>
      <c r="C611" t="s">
        <v>866</v>
      </c>
      <c r="D611" t="s">
        <v>1023</v>
      </c>
      <c r="E611" t="s">
        <v>68</v>
      </c>
      <c r="F611" t="s">
        <v>10092</v>
      </c>
      <c r="G611" t="str">
        <f>VLOOKUP(E611,Table145678910111213141545678910111213146[[CODE]:[Email Local]],4,0)</f>
        <v>qlsx.328</v>
      </c>
      <c r="H611">
        <f>VLOOKUP(E611,Table145678910111213141545678910111213146[[CODE]:[Email Local]],6,0)</f>
        <v>0</v>
      </c>
      <c r="J611" t="s">
        <v>67</v>
      </c>
      <c r="K611" s="389">
        <v>45415</v>
      </c>
      <c r="L611" s="389"/>
      <c r="M611" s="389"/>
      <c r="N611" t="s">
        <v>752</v>
      </c>
    </row>
    <row r="612" spans="1:14" hidden="1">
      <c r="A612">
        <v>3</v>
      </c>
      <c r="B612">
        <v>3</v>
      </c>
      <c r="C612" t="s">
        <v>866</v>
      </c>
      <c r="D612" t="s">
        <v>1128</v>
      </c>
      <c r="E612" t="s">
        <v>69</v>
      </c>
      <c r="F612" t="s">
        <v>10093</v>
      </c>
      <c r="G612" t="e">
        <f>VLOOKUP(E612,Table145678910111213141545678910111213146[[CODE]:[Email Local]],4,0)</f>
        <v>#N/A</v>
      </c>
      <c r="H612" t="e">
        <f>VLOOKUP(E612,Table145678910111213141545678910111213146[[CODE]:[Email Local]],6,0)</f>
        <v>#N/A</v>
      </c>
      <c r="J612" t="s">
        <v>67</v>
      </c>
      <c r="K612" s="389">
        <v>45415</v>
      </c>
      <c r="L612" s="389">
        <v>45530</v>
      </c>
      <c r="M612" s="389">
        <v>45530</v>
      </c>
      <c r="N612" t="e">
        <v>#N/A</v>
      </c>
    </row>
    <row r="613" spans="1:14" hidden="1">
      <c r="A613">
        <v>4</v>
      </c>
      <c r="B613">
        <v>4</v>
      </c>
      <c r="C613" t="s">
        <v>866</v>
      </c>
      <c r="D613" t="s">
        <v>1292</v>
      </c>
      <c r="E613" t="s">
        <v>7808</v>
      </c>
      <c r="F613" t="s">
        <v>10094</v>
      </c>
      <c r="G613" t="e">
        <f>VLOOKUP(E613,Table145678910111213141545678910111213146[[CODE]:[Email Local]],4,0)</f>
        <v>#N/A</v>
      </c>
      <c r="H613" t="e">
        <f>VLOOKUP(E613,Table145678910111213141545678910111213146[[CODE]:[Email Local]],6,0)</f>
        <v>#N/A</v>
      </c>
      <c r="J613" t="s">
        <v>67</v>
      </c>
      <c r="K613" s="389">
        <v>45530</v>
      </c>
      <c r="L613" s="389"/>
      <c r="M613" s="389"/>
      <c r="N613" t="s">
        <v>752</v>
      </c>
    </row>
    <row r="614" spans="1:14" hidden="1">
      <c r="A614">
        <v>5</v>
      </c>
      <c r="B614">
        <v>5</v>
      </c>
      <c r="C614" t="s">
        <v>866</v>
      </c>
      <c r="D614" t="s">
        <v>2416</v>
      </c>
      <c r="E614" t="s">
        <v>70</v>
      </c>
      <c r="F614" t="s">
        <v>10095</v>
      </c>
      <c r="G614" t="str">
        <f>VLOOKUP(E614,Table145678910111213141545678910111213146[[CODE]:[Email Local]],4,0)</f>
        <v>qlsx.04202</v>
      </c>
      <c r="H614">
        <f>VLOOKUP(E614,Table145678910111213141545678910111213146[[CODE]:[Email Local]],6,0)</f>
        <v>0</v>
      </c>
      <c r="J614" t="s">
        <v>67</v>
      </c>
      <c r="K614" s="389">
        <v>45415</v>
      </c>
      <c r="L614" s="389"/>
      <c r="M614" s="389"/>
      <c r="N614" t="s">
        <v>752</v>
      </c>
    </row>
    <row r="615" spans="1:14" hidden="1">
      <c r="A615">
        <v>6</v>
      </c>
      <c r="B615">
        <v>6</v>
      </c>
      <c r="C615" t="s">
        <v>866</v>
      </c>
      <c r="D615" t="s">
        <v>3394</v>
      </c>
      <c r="E615" t="s">
        <v>71</v>
      </c>
      <c r="F615" t="s">
        <v>10096</v>
      </c>
      <c r="G615" t="str">
        <f>VLOOKUP(E615,Table145678910111213141545678910111213146[[CODE]:[Email Local]],4,0)</f>
        <v>qlsx.7789</v>
      </c>
      <c r="H615">
        <f>VLOOKUP(E615,Table145678910111213141545678910111213146[[CODE]:[Email Local]],6,0)</f>
        <v>0</v>
      </c>
      <c r="J615" t="s">
        <v>67</v>
      </c>
      <c r="K615" s="389">
        <v>45415</v>
      </c>
      <c r="L615" s="389"/>
      <c r="M615" s="389"/>
      <c r="N615" t="s">
        <v>752</v>
      </c>
    </row>
    <row r="616" spans="1:14" hidden="1">
      <c r="A616">
        <v>7</v>
      </c>
      <c r="B616">
        <v>7</v>
      </c>
      <c r="C616" t="s">
        <v>866</v>
      </c>
      <c r="D616" t="s">
        <v>4881</v>
      </c>
      <c r="E616" t="s">
        <v>72</v>
      </c>
      <c r="F616" t="s">
        <v>10097</v>
      </c>
      <c r="G616" t="str">
        <f>VLOOKUP(E616,Table145678910111213141545678910111213146[[CODE]:[Email Local]],4,0)</f>
        <v>qlsx.13582</v>
      </c>
      <c r="H616">
        <f>VLOOKUP(E616,Table145678910111213141545678910111213146[[CODE]:[Email Local]],6,0)</f>
        <v>0</v>
      </c>
      <c r="J616" t="s">
        <v>67</v>
      </c>
      <c r="K616" s="389">
        <v>45415</v>
      </c>
      <c r="L616" s="389"/>
      <c r="M616" s="389"/>
      <c r="N616" t="s">
        <v>752</v>
      </c>
    </row>
    <row r="617" spans="1:14" hidden="1">
      <c r="A617">
        <v>8</v>
      </c>
      <c r="B617">
        <v>8</v>
      </c>
      <c r="C617" t="s">
        <v>866</v>
      </c>
      <c r="D617" t="s">
        <v>3585</v>
      </c>
      <c r="E617" t="s">
        <v>73</v>
      </c>
      <c r="F617" t="s">
        <v>10098</v>
      </c>
      <c r="G617" t="str">
        <f>VLOOKUP(E617,Table145678910111213141545678910111213146[[CODE]:[Email Local]],4,0)</f>
        <v>qlsx.8550</v>
      </c>
      <c r="H617">
        <f>VLOOKUP(E617,Table145678910111213141545678910111213146[[CODE]:[Email Local]],6,0)</f>
        <v>0</v>
      </c>
      <c r="J617" t="s">
        <v>67</v>
      </c>
      <c r="K617" s="389">
        <v>45415</v>
      </c>
      <c r="L617" s="389"/>
      <c r="M617" s="389"/>
      <c r="N617" t="s">
        <v>752</v>
      </c>
    </row>
    <row r="618" spans="1:14" hidden="1">
      <c r="A618">
        <v>9</v>
      </c>
      <c r="B618">
        <v>9</v>
      </c>
      <c r="C618" t="s">
        <v>866</v>
      </c>
      <c r="D618" t="s">
        <v>3232</v>
      </c>
      <c r="E618" t="s">
        <v>74</v>
      </c>
      <c r="F618" t="s">
        <v>10099</v>
      </c>
      <c r="G618" t="e">
        <f>VLOOKUP(E618,Table145678910111213141545678910111213146[[CODE]:[Email Local]],4,0)</f>
        <v>#N/A</v>
      </c>
      <c r="H618" t="e">
        <f>VLOOKUP(E618,Table145678910111213141545678910111213146[[CODE]:[Email Local]],6,0)</f>
        <v>#N/A</v>
      </c>
      <c r="J618" t="s">
        <v>67</v>
      </c>
      <c r="K618" s="389">
        <v>45415</v>
      </c>
      <c r="L618" s="389"/>
      <c r="M618" s="389"/>
      <c r="N618" t="s">
        <v>752</v>
      </c>
    </row>
    <row r="619" spans="1:14" hidden="1">
      <c r="A619">
        <v>10</v>
      </c>
      <c r="B619">
        <v>10</v>
      </c>
      <c r="C619" t="s">
        <v>866</v>
      </c>
      <c r="D619" t="s">
        <v>9836</v>
      </c>
      <c r="E619" t="s">
        <v>75</v>
      </c>
      <c r="F619" t="s">
        <v>10100</v>
      </c>
      <c r="G619" t="str">
        <f>VLOOKUP(E619,Table145678910111213141545678910111213146[[CODE]:[Email Local]],4,0)</f>
        <v>qlsx.8759</v>
      </c>
      <c r="H619">
        <f>VLOOKUP(E619,Table145678910111213141545678910111213146[[CODE]:[Email Local]],6,0)</f>
        <v>0</v>
      </c>
      <c r="J619" t="s">
        <v>67</v>
      </c>
      <c r="K619" s="389">
        <v>45415</v>
      </c>
      <c r="L619" s="389">
        <v>45876</v>
      </c>
      <c r="M619" s="389">
        <v>45876</v>
      </c>
      <c r="N619" t="e">
        <v>#N/A</v>
      </c>
    </row>
    <row r="620" spans="1:14" hidden="1">
      <c r="A620">
        <v>11</v>
      </c>
      <c r="B620">
        <v>11</v>
      </c>
      <c r="C620" t="s">
        <v>866</v>
      </c>
      <c r="D620" t="s">
        <v>10991</v>
      </c>
      <c r="E620" t="s">
        <v>76</v>
      </c>
      <c r="F620" t="s">
        <v>10101</v>
      </c>
      <c r="G620" t="e">
        <f>VLOOKUP(E620,Table145678910111213141545678910111213146[[CODE]:[Email Local]],4,0)</f>
        <v>#N/A</v>
      </c>
      <c r="H620" t="e">
        <f>VLOOKUP(E620,Table145678910111213141545678910111213146[[CODE]:[Email Local]],6,0)</f>
        <v>#N/A</v>
      </c>
      <c r="J620" t="s">
        <v>67</v>
      </c>
      <c r="K620" s="389">
        <v>45415</v>
      </c>
      <c r="L620" s="389">
        <v>45530</v>
      </c>
      <c r="M620" s="389">
        <v>45806</v>
      </c>
      <c r="N620" t="e">
        <v>#N/A</v>
      </c>
    </row>
    <row r="621" spans="1:14" hidden="1">
      <c r="A621">
        <v>12</v>
      </c>
      <c r="B621">
        <v>12</v>
      </c>
      <c r="C621" t="s">
        <v>866</v>
      </c>
      <c r="D621" t="s">
        <v>2474</v>
      </c>
      <c r="E621" t="s">
        <v>77</v>
      </c>
      <c r="F621" t="s">
        <v>10102</v>
      </c>
      <c r="G621" t="e">
        <f>VLOOKUP(E621,Table145678910111213141545678910111213146[[CODE]:[Email Local]],4,0)</f>
        <v>#N/A</v>
      </c>
      <c r="H621" t="e">
        <f>VLOOKUP(E621,Table145678910111213141545678910111213146[[CODE]:[Email Local]],6,0)</f>
        <v>#N/A</v>
      </c>
      <c r="J621" t="s">
        <v>67</v>
      </c>
      <c r="K621" s="389">
        <v>45415</v>
      </c>
      <c r="L621" s="389"/>
      <c r="M621" s="389"/>
      <c r="N621" t="s">
        <v>752</v>
      </c>
    </row>
    <row r="622" spans="1:14" hidden="1">
      <c r="A622">
        <v>13</v>
      </c>
      <c r="B622">
        <v>13</v>
      </c>
      <c r="C622" t="s">
        <v>866</v>
      </c>
      <c r="D622" t="s">
        <v>1198</v>
      </c>
      <c r="E622" t="s">
        <v>78</v>
      </c>
      <c r="F622" t="s">
        <v>10103</v>
      </c>
      <c r="G622" t="str">
        <f>VLOOKUP(E622,Table145678910111213141545678910111213146[[CODE]:[Email Local]],4,0)</f>
        <v>qlsx.665</v>
      </c>
      <c r="H622">
        <f>VLOOKUP(E622,Table145678910111213141545678910111213146[[CODE]:[Email Local]],6,0)</f>
        <v>0</v>
      </c>
      <c r="J622" t="s">
        <v>67</v>
      </c>
      <c r="K622" s="389">
        <v>45415</v>
      </c>
      <c r="L622" s="389"/>
      <c r="M622" s="389"/>
      <c r="N622" t="s">
        <v>752</v>
      </c>
    </row>
    <row r="623" spans="1:14" hidden="1">
      <c r="A623">
        <v>14</v>
      </c>
      <c r="B623">
        <v>14</v>
      </c>
      <c r="C623" t="s">
        <v>866</v>
      </c>
      <c r="D623" t="s">
        <v>1502</v>
      </c>
      <c r="E623" t="s">
        <v>79</v>
      </c>
      <c r="F623" t="s">
        <v>10104</v>
      </c>
      <c r="G623" t="str">
        <f>VLOOKUP(E623,Table145678910111213141545678910111213146[[CODE]:[Email Local]],4,0)</f>
        <v>qlsx.6748</v>
      </c>
      <c r="H623">
        <f>VLOOKUP(E623,Table145678910111213141545678910111213146[[CODE]:[Email Local]],6,0)</f>
        <v>0</v>
      </c>
      <c r="J623" t="s">
        <v>67</v>
      </c>
      <c r="K623" s="389">
        <v>45415</v>
      </c>
      <c r="L623" s="389"/>
      <c r="M623" s="389"/>
      <c r="N623" t="s">
        <v>752</v>
      </c>
    </row>
    <row r="624" spans="1:14" hidden="1">
      <c r="A624">
        <v>15</v>
      </c>
      <c r="B624">
        <v>15</v>
      </c>
      <c r="C624" t="s">
        <v>866</v>
      </c>
      <c r="D624" t="s">
        <v>2248</v>
      </c>
      <c r="E624" t="s">
        <v>822</v>
      </c>
      <c r="F624" t="s">
        <v>10105</v>
      </c>
      <c r="G624" t="str">
        <f>VLOOKUP(E624,Table145678910111213141545678910111213146[[CODE]:[Email Local]],4,0)</f>
        <v>qlsx.03500</v>
      </c>
      <c r="H624">
        <f>VLOOKUP(E624,Table145678910111213141545678910111213146[[CODE]:[Email Local]],6,0)</f>
        <v>0</v>
      </c>
      <c r="J624" t="s">
        <v>67</v>
      </c>
      <c r="K624" s="389">
        <v>45415</v>
      </c>
      <c r="L624" s="389">
        <v>45950</v>
      </c>
      <c r="M624" s="389">
        <v>45960</v>
      </c>
      <c r="N624" t="s">
        <v>752</v>
      </c>
    </row>
    <row r="625" spans="1:14" hidden="1">
      <c r="A625">
        <v>16</v>
      </c>
      <c r="B625">
        <v>16</v>
      </c>
      <c r="C625" t="s">
        <v>866</v>
      </c>
      <c r="D625" t="s">
        <v>4012</v>
      </c>
      <c r="E625" t="s">
        <v>821</v>
      </c>
      <c r="F625" t="s">
        <v>10106</v>
      </c>
      <c r="G625" t="str">
        <f>VLOOKUP(E625,Table145678910111213141545678910111213146[[CODE]:[Email Local]],4,0)</f>
        <v>qlsx.15725</v>
      </c>
      <c r="H625">
        <f>VLOOKUP(E625,Table145678910111213141545678910111213146[[CODE]:[Email Local]],6,0)</f>
        <v>0</v>
      </c>
      <c r="J625" t="s">
        <v>67</v>
      </c>
      <c r="K625" s="389">
        <v>45415</v>
      </c>
      <c r="L625" s="389"/>
      <c r="M625" s="389"/>
      <c r="N625" t="s">
        <v>752</v>
      </c>
    </row>
    <row r="626" spans="1:14" hidden="1">
      <c r="A626">
        <v>17</v>
      </c>
      <c r="B626">
        <v>17</v>
      </c>
      <c r="C626" t="s">
        <v>866</v>
      </c>
      <c r="D626" t="s">
        <v>958</v>
      </c>
      <c r="E626" t="s">
        <v>80</v>
      </c>
      <c r="F626" t="s">
        <v>10107</v>
      </c>
      <c r="G626" t="str">
        <f>VLOOKUP(E626,Table145678910111213141545678910111213146[[CODE]:[Email Local]],4,0)</f>
        <v>qlsx.0186</v>
      </c>
      <c r="H626">
        <f>VLOOKUP(E626,Table145678910111213141545678910111213146[[CODE]:[Email Local]],6,0)</f>
        <v>0</v>
      </c>
      <c r="J626" t="s">
        <v>67</v>
      </c>
      <c r="K626" s="389">
        <v>45415</v>
      </c>
      <c r="L626" s="389"/>
      <c r="M626" s="389"/>
      <c r="N626" t="s">
        <v>752</v>
      </c>
    </row>
    <row r="627" spans="1:14" hidden="1">
      <c r="A627">
        <v>20</v>
      </c>
      <c r="B627">
        <v>20</v>
      </c>
      <c r="C627" t="s">
        <v>866</v>
      </c>
      <c r="D627" t="s">
        <v>3427</v>
      </c>
      <c r="E627" t="s">
        <v>81</v>
      </c>
      <c r="F627" t="s">
        <v>10110</v>
      </c>
      <c r="G627" t="e">
        <f>VLOOKUP(E627,Table145678910111213141545678910111213146[[CODE]:[Email Local]],4,0)</f>
        <v>#N/A</v>
      </c>
      <c r="H627" t="e">
        <f>VLOOKUP(E627,Table145678910111213141545678910111213146[[CODE]:[Email Local]],6,0)</f>
        <v>#N/A</v>
      </c>
      <c r="J627" t="s">
        <v>67</v>
      </c>
      <c r="K627" s="389">
        <v>45415</v>
      </c>
      <c r="L627" s="389"/>
      <c r="M627" s="389"/>
      <c r="N627" t="s">
        <v>752</v>
      </c>
    </row>
    <row r="628" spans="1:14" hidden="1">
      <c r="A628">
        <v>21</v>
      </c>
      <c r="B628">
        <v>21</v>
      </c>
      <c r="C628" t="s">
        <v>866</v>
      </c>
      <c r="D628" t="s">
        <v>3743</v>
      </c>
      <c r="E628" t="s">
        <v>82</v>
      </c>
      <c r="F628" t="s">
        <v>10111</v>
      </c>
      <c r="G628" t="str">
        <f>VLOOKUP(E628,Table145678910111213141545678910111213146[[CODE]:[Email Local]],4,0)</f>
        <v>qlsx.9145</v>
      </c>
      <c r="H628">
        <f>VLOOKUP(E628,Table145678910111213141545678910111213146[[CODE]:[Email Local]],6,0)</f>
        <v>0</v>
      </c>
      <c r="J628" t="s">
        <v>67</v>
      </c>
      <c r="K628" s="389">
        <v>45415</v>
      </c>
      <c r="L628" s="389"/>
      <c r="M628" s="389"/>
      <c r="N628" t="s">
        <v>752</v>
      </c>
    </row>
    <row r="629" spans="1:14" hidden="1">
      <c r="A629">
        <v>22</v>
      </c>
      <c r="B629">
        <v>22</v>
      </c>
      <c r="C629" t="s">
        <v>866</v>
      </c>
      <c r="D629" t="s">
        <v>7532</v>
      </c>
      <c r="E629" t="s">
        <v>826</v>
      </c>
      <c r="F629" t="s">
        <v>10112</v>
      </c>
      <c r="G629" t="str">
        <f>VLOOKUP(E629,Table145678910111213141545678910111213146[[CODE]:[Email Local]],4,0)</f>
        <v>24335.chinh</v>
      </c>
      <c r="H629">
        <f>VLOOKUP(E629,Table145678910111213141545678910111213146[[CODE]:[Email Local]],6,0)</f>
        <v>0</v>
      </c>
      <c r="J629" t="s">
        <v>67</v>
      </c>
      <c r="K629" s="389">
        <v>45442</v>
      </c>
      <c r="L629" s="389"/>
      <c r="M629" s="389"/>
      <c r="N629" t="s">
        <v>752</v>
      </c>
    </row>
    <row r="630" spans="1:14" hidden="1">
      <c r="A630">
        <v>23</v>
      </c>
      <c r="B630">
        <v>23</v>
      </c>
      <c r="C630" t="s">
        <v>866</v>
      </c>
      <c r="D630" t="s">
        <v>2912</v>
      </c>
      <c r="E630" t="s">
        <v>825</v>
      </c>
      <c r="F630" t="s">
        <v>10113</v>
      </c>
      <c r="G630" t="e">
        <f>VLOOKUP(E630,Table145678910111213141545678910111213146[[CODE]:[Email Local]],4,0)</f>
        <v>#N/A</v>
      </c>
      <c r="H630" t="e">
        <f>VLOOKUP(E630,Table145678910111213141545678910111213146[[CODE]:[Email Local]],6,0)</f>
        <v>#N/A</v>
      </c>
      <c r="J630" t="s">
        <v>67</v>
      </c>
      <c r="K630" s="389">
        <v>45442</v>
      </c>
      <c r="L630" s="389">
        <v>45806</v>
      </c>
      <c r="M630" s="389">
        <v>45806</v>
      </c>
      <c r="N630" t="e">
        <v>#N/A</v>
      </c>
    </row>
    <row r="631" spans="1:14" hidden="1">
      <c r="A631">
        <v>24</v>
      </c>
      <c r="B631">
        <v>24</v>
      </c>
      <c r="C631" t="s">
        <v>866</v>
      </c>
      <c r="D631" t="s">
        <v>2320</v>
      </c>
      <c r="E631" t="s">
        <v>83</v>
      </c>
      <c r="F631" t="s">
        <v>10114</v>
      </c>
      <c r="G631" t="str">
        <f>VLOOKUP(E631,Table145678910111213141545678910111213146[[CODE]:[Email Local]],4,0)</f>
        <v>qlsx.3747</v>
      </c>
      <c r="H631">
        <f>VLOOKUP(E631,Table145678910111213141545678910111213146[[CODE]:[Email Local]],6,0)</f>
        <v>0</v>
      </c>
      <c r="J631" t="s">
        <v>67</v>
      </c>
      <c r="K631" s="389">
        <v>45415</v>
      </c>
      <c r="L631" s="389"/>
      <c r="M631" s="389"/>
      <c r="N631" t="s">
        <v>752</v>
      </c>
    </row>
    <row r="632" spans="1:14" hidden="1">
      <c r="A632">
        <v>25</v>
      </c>
      <c r="B632">
        <v>25</v>
      </c>
      <c r="C632" t="s">
        <v>866</v>
      </c>
      <c r="D632" t="s">
        <v>2491</v>
      </c>
      <c r="E632" t="s">
        <v>84</v>
      </c>
      <c r="F632" t="s">
        <v>10115</v>
      </c>
      <c r="G632" t="str">
        <f>VLOOKUP(E632,Table145678910111213141545678910111213146[[CODE]:[Email Local]],4,0)</f>
        <v>qlsx.4428</v>
      </c>
      <c r="H632">
        <f>VLOOKUP(E632,Table145678910111213141545678910111213146[[CODE]:[Email Local]],6,0)</f>
        <v>0</v>
      </c>
      <c r="J632" t="s">
        <v>67</v>
      </c>
      <c r="K632" s="389">
        <v>45415</v>
      </c>
      <c r="L632" s="389"/>
      <c r="M632" s="389"/>
      <c r="N632" t="s">
        <v>752</v>
      </c>
    </row>
    <row r="633" spans="1:14" hidden="1">
      <c r="A633">
        <v>27</v>
      </c>
      <c r="B633">
        <v>27</v>
      </c>
      <c r="C633" t="s">
        <v>866</v>
      </c>
      <c r="D633" t="s">
        <v>2284</v>
      </c>
      <c r="E633" t="s">
        <v>86</v>
      </c>
      <c r="F633" t="s">
        <v>10117</v>
      </c>
      <c r="G633" t="str">
        <f>VLOOKUP(E633,Table145678910111213141545678910111213146[[CODE]:[Email Local]],4,0)</f>
        <v>qlsx.03613</v>
      </c>
      <c r="H633">
        <f>VLOOKUP(E633,Table145678910111213141545678910111213146[[CODE]:[Email Local]],6,0)</f>
        <v>0</v>
      </c>
      <c r="J633" t="s">
        <v>67</v>
      </c>
      <c r="K633" s="389">
        <v>45415</v>
      </c>
      <c r="L633" s="389"/>
      <c r="M633" s="389"/>
      <c r="N633" t="s">
        <v>752</v>
      </c>
    </row>
    <row r="634" spans="1:14" hidden="1">
      <c r="A634">
        <v>28</v>
      </c>
      <c r="B634">
        <v>28</v>
      </c>
      <c r="C634" t="s">
        <v>866</v>
      </c>
      <c r="D634" t="s">
        <v>3064</v>
      </c>
      <c r="E634" t="s">
        <v>87</v>
      </c>
      <c r="F634" t="s">
        <v>10118</v>
      </c>
      <c r="G634" t="e">
        <f>VLOOKUP(E634,Table145678910111213141545678910111213146[[CODE]:[Email Local]],4,0)</f>
        <v>#N/A</v>
      </c>
      <c r="H634" t="e">
        <f>VLOOKUP(E634,Table145678910111213141545678910111213146[[CODE]:[Email Local]],6,0)</f>
        <v>#N/A</v>
      </c>
      <c r="J634" t="s">
        <v>67</v>
      </c>
      <c r="K634" s="389">
        <v>45415</v>
      </c>
      <c r="L634" s="389"/>
      <c r="M634" s="389"/>
      <c r="N634" t="s">
        <v>752</v>
      </c>
    </row>
    <row r="635" spans="1:14" hidden="1">
      <c r="A635">
        <v>29</v>
      </c>
      <c r="B635">
        <v>29</v>
      </c>
      <c r="C635" t="s">
        <v>866</v>
      </c>
      <c r="D635" t="s">
        <v>9876</v>
      </c>
      <c r="E635" t="s">
        <v>88</v>
      </c>
      <c r="F635" t="s">
        <v>10119</v>
      </c>
      <c r="G635" t="str">
        <f>VLOOKUP(E635,Table145678910111213141545678910111213146[[CODE]:[Email Local]],4,0)</f>
        <v>qlsx.19767</v>
      </c>
      <c r="H635">
        <f>VLOOKUP(E635,Table145678910111213141545678910111213146[[CODE]:[Email Local]],6,0)</f>
        <v>0</v>
      </c>
      <c r="J635" t="s">
        <v>67</v>
      </c>
      <c r="K635" s="389">
        <v>45415</v>
      </c>
      <c r="L635" s="389">
        <v>45839</v>
      </c>
      <c r="M635" s="389">
        <v>45839</v>
      </c>
      <c r="N635" t="e">
        <v>#N/A</v>
      </c>
    </row>
    <row r="636" spans="1:14" hidden="1">
      <c r="A636">
        <v>31</v>
      </c>
      <c r="B636">
        <v>31</v>
      </c>
      <c r="C636" t="s">
        <v>866</v>
      </c>
      <c r="D636" t="s">
        <v>1462</v>
      </c>
      <c r="E636" t="s">
        <v>90</v>
      </c>
      <c r="F636" t="s">
        <v>10121</v>
      </c>
      <c r="G636" t="str">
        <f>VLOOKUP(E636,Table145678910111213141545678910111213146[[CODE]:[Email Local]],4,0)</f>
        <v>qlsx.1232</v>
      </c>
      <c r="H636">
        <f>VLOOKUP(E636,Table145678910111213141545678910111213146[[CODE]:[Email Local]],6,0)</f>
        <v>0</v>
      </c>
      <c r="J636" t="s">
        <v>67</v>
      </c>
      <c r="K636" s="389">
        <v>45415</v>
      </c>
      <c r="L636" s="389"/>
      <c r="M636" s="389"/>
      <c r="N636" t="s">
        <v>752</v>
      </c>
    </row>
    <row r="637" spans="1:14" hidden="1">
      <c r="A637">
        <v>32</v>
      </c>
      <c r="B637">
        <v>32</v>
      </c>
      <c r="C637" t="s">
        <v>866</v>
      </c>
      <c r="D637" t="s">
        <v>2444</v>
      </c>
      <c r="E637" t="s">
        <v>91</v>
      </c>
      <c r="F637" t="s">
        <v>10122</v>
      </c>
      <c r="G637" t="str">
        <f>VLOOKUP(E637,Table145678910111213141545678910111213146[[CODE]:[Email Local]],4,0)</f>
        <v>qlsx.10788</v>
      </c>
      <c r="H637">
        <f>VLOOKUP(E637,Table145678910111213141545678910111213146[[CODE]:[Email Local]],6,0)</f>
        <v>0</v>
      </c>
      <c r="J637" t="s">
        <v>67</v>
      </c>
      <c r="K637" s="389">
        <v>45415</v>
      </c>
      <c r="L637" s="389"/>
      <c r="M637" s="389"/>
      <c r="N637" t="s">
        <v>1191</v>
      </c>
    </row>
    <row r="638" spans="1:14" hidden="1">
      <c r="A638">
        <v>33</v>
      </c>
      <c r="B638">
        <v>33</v>
      </c>
      <c r="C638" t="s">
        <v>866</v>
      </c>
      <c r="D638" t="s">
        <v>4029</v>
      </c>
      <c r="E638" t="s">
        <v>92</v>
      </c>
      <c r="F638" t="s">
        <v>10123</v>
      </c>
      <c r="G638" t="str">
        <f>VLOOKUP(E638,Table145678910111213141545678910111213146[[CODE]:[Email Local]],4,0)</f>
        <v>10029.tuan</v>
      </c>
      <c r="H638">
        <f>VLOOKUP(E638,Table145678910111213141545678910111213146[[CODE]:[Email Local]],6,0)</f>
        <v>0</v>
      </c>
      <c r="J638" t="s">
        <v>67</v>
      </c>
      <c r="K638" s="389">
        <v>45415</v>
      </c>
      <c r="L638" s="389"/>
      <c r="M638" s="389"/>
      <c r="N638" t="s">
        <v>752</v>
      </c>
    </row>
    <row r="639" spans="1:14" hidden="1">
      <c r="A639">
        <v>34</v>
      </c>
      <c r="B639">
        <v>34</v>
      </c>
      <c r="C639" t="s">
        <v>866</v>
      </c>
      <c r="D639" t="s">
        <v>1256</v>
      </c>
      <c r="E639" t="s">
        <v>93</v>
      </c>
      <c r="F639" t="s">
        <v>10124</v>
      </c>
      <c r="G639" t="str">
        <f>VLOOKUP(E639,Table145678910111213141545678910111213146[[CODE]:[Email Local]],4,0)</f>
        <v>qlsx.767</v>
      </c>
      <c r="H639">
        <f>VLOOKUP(E639,Table145678910111213141545678910111213146[[CODE]:[Email Local]],6,0)</f>
        <v>0</v>
      </c>
      <c r="J639" t="s">
        <v>67</v>
      </c>
      <c r="K639" s="389">
        <v>45415</v>
      </c>
      <c r="L639" s="389"/>
      <c r="M639" s="389"/>
      <c r="N639" t="s">
        <v>752</v>
      </c>
    </row>
    <row r="640" spans="1:14" hidden="1">
      <c r="A640">
        <v>35</v>
      </c>
      <c r="B640">
        <v>35</v>
      </c>
      <c r="C640" t="s">
        <v>866</v>
      </c>
      <c r="D640" t="s">
        <v>4574</v>
      </c>
      <c r="E640" t="s">
        <v>94</v>
      </c>
      <c r="F640" t="s">
        <v>10125</v>
      </c>
      <c r="G640" t="str">
        <f>VLOOKUP(E640,Table145678910111213141545678910111213146[[CODE]:[Email Local]],4,0)</f>
        <v>qlsx.11937</v>
      </c>
      <c r="H640">
        <f>VLOOKUP(E640,Table145678910111213141545678910111213146[[CODE]:[Email Local]],6,0)</f>
        <v>0</v>
      </c>
      <c r="J640" t="s">
        <v>67</v>
      </c>
      <c r="K640" s="389">
        <v>45415</v>
      </c>
      <c r="L640" s="389"/>
      <c r="M640" s="389"/>
      <c r="N640" t="s">
        <v>752</v>
      </c>
    </row>
    <row r="641" spans="1:14" hidden="1">
      <c r="A641">
        <v>37</v>
      </c>
      <c r="B641">
        <v>37</v>
      </c>
      <c r="C641" t="s">
        <v>866</v>
      </c>
      <c r="D641" t="s">
        <v>7409</v>
      </c>
      <c r="E641" t="s">
        <v>96</v>
      </c>
      <c r="F641" t="s">
        <v>10127</v>
      </c>
      <c r="G641" t="e">
        <f>VLOOKUP(E641,Table145678910111213141545678910111213146[[CODE]:[Email Local]],4,0)</f>
        <v>#N/A</v>
      </c>
      <c r="H641" t="e">
        <f>VLOOKUP(E641,Table145678910111213141545678910111213146[[CODE]:[Email Local]],6,0)</f>
        <v>#N/A</v>
      </c>
      <c r="J641" t="s">
        <v>67</v>
      </c>
      <c r="K641" s="389">
        <v>45415</v>
      </c>
      <c r="L641" s="389"/>
      <c r="M641" s="389"/>
      <c r="N641" t="s">
        <v>752</v>
      </c>
    </row>
    <row r="642" spans="1:14" hidden="1">
      <c r="A642">
        <v>38</v>
      </c>
      <c r="B642">
        <v>38</v>
      </c>
      <c r="C642" t="s">
        <v>866</v>
      </c>
      <c r="D642" t="s">
        <v>6415</v>
      </c>
      <c r="E642" t="s">
        <v>97</v>
      </c>
      <c r="F642" t="s">
        <v>10128</v>
      </c>
      <c r="G642" t="str">
        <f>VLOOKUP(E642,Table145678910111213141545678910111213146[[CODE]:[Email Local]],4,0)</f>
        <v>qlsx.19909</v>
      </c>
      <c r="H642">
        <f>VLOOKUP(E642,Table145678910111213141545678910111213146[[CODE]:[Email Local]],6,0)</f>
        <v>0</v>
      </c>
      <c r="J642" t="s">
        <v>67</v>
      </c>
      <c r="K642" s="389">
        <v>45415</v>
      </c>
      <c r="L642" s="389"/>
      <c r="M642" s="389"/>
      <c r="N642" t="s">
        <v>752</v>
      </c>
    </row>
    <row r="643" spans="1:14" hidden="1">
      <c r="A643">
        <v>39</v>
      </c>
      <c r="B643">
        <v>39</v>
      </c>
      <c r="C643" t="s">
        <v>866</v>
      </c>
      <c r="D643" t="s">
        <v>1908</v>
      </c>
      <c r="E643" t="s">
        <v>98</v>
      </c>
      <c r="F643" t="s">
        <v>10129</v>
      </c>
      <c r="G643" t="str">
        <f>VLOOKUP(E643,Table145678910111213141545678910111213146[[CODE]:[Email Local]],4,0)</f>
        <v>qlsx.2547</v>
      </c>
      <c r="H643">
        <f>VLOOKUP(E643,Table145678910111213141545678910111213146[[CODE]:[Email Local]],6,0)</f>
        <v>0</v>
      </c>
      <c r="J643" t="s">
        <v>67</v>
      </c>
      <c r="K643" s="389">
        <v>45415</v>
      </c>
      <c r="L643" s="389"/>
      <c r="M643" s="389"/>
      <c r="N643" t="s">
        <v>752</v>
      </c>
    </row>
    <row r="644" spans="1:14" hidden="1">
      <c r="A644">
        <v>40</v>
      </c>
      <c r="B644">
        <v>40</v>
      </c>
      <c r="C644" t="s">
        <v>866</v>
      </c>
      <c r="D644" t="s">
        <v>1481</v>
      </c>
      <c r="E644" t="s">
        <v>99</v>
      </c>
      <c r="F644" t="s">
        <v>10130</v>
      </c>
      <c r="G644" t="e">
        <f>VLOOKUP(E644,Table145678910111213141545678910111213146[[CODE]:[Email Local]],4,0)</f>
        <v>#N/A</v>
      </c>
      <c r="H644" t="e">
        <f>VLOOKUP(E644,Table145678910111213141545678910111213146[[CODE]:[Email Local]],6,0)</f>
        <v>#N/A</v>
      </c>
      <c r="J644" t="s">
        <v>67</v>
      </c>
      <c r="K644" s="389">
        <v>45415</v>
      </c>
      <c r="L644" s="389">
        <v>45806</v>
      </c>
      <c r="M644" s="389">
        <v>45806</v>
      </c>
      <c r="N644" t="e">
        <v>#N/A</v>
      </c>
    </row>
    <row r="645" spans="1:14" hidden="1">
      <c r="A645">
        <v>42</v>
      </c>
      <c r="B645">
        <v>42</v>
      </c>
      <c r="C645" t="s">
        <v>866</v>
      </c>
      <c r="D645" t="s">
        <v>1177</v>
      </c>
      <c r="E645" t="s">
        <v>101</v>
      </c>
      <c r="F645" t="s">
        <v>10132</v>
      </c>
      <c r="G645" t="str">
        <f>VLOOKUP(E645,Table145678910111213141545678910111213146[[CODE]:[Email Local]],4,0)</f>
        <v>qlsx.637</v>
      </c>
      <c r="H645">
        <f>VLOOKUP(E645,Table145678910111213141545678910111213146[[CODE]:[Email Local]],6,0)</f>
        <v>0</v>
      </c>
      <c r="J645" t="s">
        <v>67</v>
      </c>
      <c r="K645" s="389">
        <v>45415</v>
      </c>
      <c r="L645" s="389"/>
      <c r="M645" s="389"/>
      <c r="N645" t="s">
        <v>752</v>
      </c>
    </row>
    <row r="646" spans="1:14" hidden="1">
      <c r="A646">
        <v>43</v>
      </c>
      <c r="B646">
        <v>43</v>
      </c>
      <c r="C646" t="s">
        <v>866</v>
      </c>
      <c r="D646" t="s">
        <v>909</v>
      </c>
      <c r="E646" t="s">
        <v>102</v>
      </c>
      <c r="F646" t="s">
        <v>10133</v>
      </c>
      <c r="G646" t="str">
        <f>VLOOKUP(E646,Table145678910111213141545678910111213146[[CODE]:[Email Local]],4,0)</f>
        <v>qlsx.00072</v>
      </c>
      <c r="H646">
        <f>VLOOKUP(E646,Table145678910111213141545678910111213146[[CODE]:[Email Local]],6,0)</f>
        <v>0</v>
      </c>
      <c r="J646" t="s">
        <v>67</v>
      </c>
      <c r="K646" s="389">
        <v>45415</v>
      </c>
      <c r="L646" s="389"/>
      <c r="M646" s="389"/>
      <c r="N646" t="s">
        <v>752</v>
      </c>
    </row>
    <row r="647" spans="1:14" hidden="1">
      <c r="A647">
        <v>44</v>
      </c>
      <c r="B647">
        <v>44</v>
      </c>
      <c r="C647" t="s">
        <v>866</v>
      </c>
      <c r="D647" t="s">
        <v>2647</v>
      </c>
      <c r="E647" t="s">
        <v>103</v>
      </c>
      <c r="F647" t="s">
        <v>10134</v>
      </c>
      <c r="G647" t="str">
        <f>VLOOKUP(E647,Table145678910111213141545678910111213146[[CODE]:[Email Local]],4,0)</f>
        <v>qlsx.8886</v>
      </c>
      <c r="H647">
        <f>VLOOKUP(E647,Table145678910111213141545678910111213146[[CODE]:[Email Local]],6,0)</f>
        <v>0</v>
      </c>
      <c r="J647" t="s">
        <v>67</v>
      </c>
      <c r="K647" s="389">
        <v>45415</v>
      </c>
      <c r="L647" s="389"/>
      <c r="M647" s="389"/>
      <c r="N647" t="s">
        <v>752</v>
      </c>
    </row>
    <row r="648" spans="1:14" hidden="1">
      <c r="A648">
        <v>45</v>
      </c>
      <c r="B648">
        <v>45</v>
      </c>
      <c r="C648" t="s">
        <v>866</v>
      </c>
      <c r="D648" t="s">
        <v>104</v>
      </c>
      <c r="E648" t="s">
        <v>104</v>
      </c>
      <c r="F648" t="s">
        <v>105</v>
      </c>
      <c r="G648" t="e">
        <f>VLOOKUP(E648,Table145678910111213141545678910111213146[[CODE]:[Email Local]],4,0)</f>
        <v>#N/A</v>
      </c>
      <c r="H648" t="e">
        <f>VLOOKUP(E648,Table145678910111213141545678910111213146[[CODE]:[Email Local]],6,0)</f>
        <v>#N/A</v>
      </c>
      <c r="J648" t="s">
        <v>67</v>
      </c>
      <c r="K648" s="389">
        <v>45415</v>
      </c>
      <c r="L648" s="389"/>
      <c r="M648" s="389"/>
      <c r="N648" t="e">
        <v>#N/A</v>
      </c>
    </row>
    <row r="649" spans="1:14" hidden="1">
      <c r="A649">
        <v>46</v>
      </c>
      <c r="B649">
        <v>46</v>
      </c>
      <c r="C649" t="s">
        <v>866</v>
      </c>
      <c r="D649" t="s">
        <v>106</v>
      </c>
      <c r="E649" t="s">
        <v>106</v>
      </c>
      <c r="F649" t="s">
        <v>106</v>
      </c>
      <c r="G649" t="e">
        <f>VLOOKUP(E649,Table145678910111213141545678910111213146[[CODE]:[Email Local]],4,0)</f>
        <v>#N/A</v>
      </c>
      <c r="H649" t="e">
        <f>VLOOKUP(E649,Table145678910111213141545678910111213146[[CODE]:[Email Local]],6,0)</f>
        <v>#N/A</v>
      </c>
      <c r="J649" t="s">
        <v>67</v>
      </c>
      <c r="K649" s="389">
        <v>45415</v>
      </c>
      <c r="L649" s="389"/>
      <c r="M649" s="389"/>
      <c r="N649" t="e">
        <v>#N/A</v>
      </c>
    </row>
    <row r="650" spans="1:14" hidden="1">
      <c r="A650">
        <v>47</v>
      </c>
      <c r="B650">
        <v>47</v>
      </c>
      <c r="C650" t="s">
        <v>866</v>
      </c>
      <c r="D650" t="s">
        <v>1309</v>
      </c>
      <c r="E650" t="s">
        <v>8380</v>
      </c>
      <c r="F650" t="s">
        <v>10135</v>
      </c>
      <c r="G650" t="str">
        <f>VLOOKUP(E650,Table145678910111213141545678910111213146[[CODE]:[Email Local]],4,0)</f>
        <v>qlsx.25374</v>
      </c>
      <c r="H650">
        <f>VLOOKUP(E650,Table145678910111213141545678910111213146[[CODE]:[Email Local]],6,0)</f>
        <v>0</v>
      </c>
      <c r="J650" t="s">
        <v>67</v>
      </c>
      <c r="K650" s="389">
        <v>45621</v>
      </c>
      <c r="L650" s="389"/>
      <c r="M650" s="389"/>
      <c r="N650" t="s">
        <v>752</v>
      </c>
    </row>
    <row r="651" spans="1:14" hidden="1">
      <c r="A651">
        <v>48</v>
      </c>
      <c r="B651">
        <v>48</v>
      </c>
      <c r="C651" t="s">
        <v>866</v>
      </c>
      <c r="D651" t="s">
        <v>5357</v>
      </c>
      <c r="E651" t="s">
        <v>8398</v>
      </c>
      <c r="F651" t="s">
        <v>10136</v>
      </c>
      <c r="G651" t="e">
        <f>VLOOKUP(E651,Table145678910111213141545678910111213146[[CODE]:[Email Local]],4,0)</f>
        <v>#N/A</v>
      </c>
      <c r="H651" t="e">
        <f>VLOOKUP(E651,Table145678910111213141545678910111213146[[CODE]:[Email Local]],6,0)</f>
        <v>#N/A</v>
      </c>
      <c r="J651" t="s">
        <v>67</v>
      </c>
      <c r="K651" s="389">
        <v>45825</v>
      </c>
      <c r="L651" s="389"/>
      <c r="M651" s="389"/>
      <c r="N651" t="s">
        <v>752</v>
      </c>
    </row>
    <row r="652" spans="1:14" hidden="1">
      <c r="A652">
        <v>49</v>
      </c>
      <c r="C652" t="s">
        <v>866</v>
      </c>
      <c r="D652" t="s">
        <v>8274</v>
      </c>
      <c r="E652" t="s">
        <v>8387</v>
      </c>
      <c r="F652" t="s">
        <v>10137</v>
      </c>
      <c r="G652" t="e">
        <f>VLOOKUP(E652,Table145678910111213141545678910111213146[[CODE]:[Email Local]],4,0)</f>
        <v>#N/A</v>
      </c>
      <c r="H652" t="e">
        <f>VLOOKUP(E652,Table145678910111213141545678910111213146[[CODE]:[Email Local]],6,0)</f>
        <v>#N/A</v>
      </c>
      <c r="J652" t="s">
        <v>67</v>
      </c>
      <c r="K652" s="389">
        <v>45807</v>
      </c>
      <c r="L652" s="389"/>
      <c r="M652" s="389"/>
      <c r="N652" t="s">
        <v>752</v>
      </c>
    </row>
    <row r="653" spans="1:14" hidden="1">
      <c r="A653">
        <v>50</v>
      </c>
      <c r="C653" t="s">
        <v>866</v>
      </c>
      <c r="D653" t="s">
        <v>1128</v>
      </c>
      <c r="E653" t="s">
        <v>8652</v>
      </c>
      <c r="F653" t="s">
        <v>10138</v>
      </c>
      <c r="G653" t="e">
        <f>VLOOKUP(E653,Table145678910111213141545678910111213146[[CODE]:[Email Local]],4,0)</f>
        <v>#N/A</v>
      </c>
      <c r="H653" t="e">
        <f>VLOOKUP(E653,Table145678910111213141545678910111213146[[CODE]:[Email Local]],6,0)</f>
        <v>#N/A</v>
      </c>
      <c r="J653" t="s">
        <v>67</v>
      </c>
      <c r="K653" s="389">
        <v>45839</v>
      </c>
      <c r="L653" s="389"/>
      <c r="M653" s="389"/>
      <c r="N653" t="s">
        <v>752</v>
      </c>
    </row>
    <row r="654" spans="1:14" hidden="1">
      <c r="A654">
        <v>51</v>
      </c>
      <c r="C654" t="s">
        <v>866</v>
      </c>
      <c r="D654" t="s">
        <v>8599</v>
      </c>
      <c r="E654" t="s">
        <v>8639</v>
      </c>
      <c r="F654" t="s">
        <v>10139</v>
      </c>
      <c r="G654" t="str">
        <f>VLOOKUP(E654,Table145678910111213141545678910111213146[[CODE]:[Email Local]],4,0)</f>
        <v>26309.trong</v>
      </c>
      <c r="H654">
        <f>VLOOKUP(E654,Table145678910111213141545678910111213146[[CODE]:[Email Local]],6,0)</f>
        <v>0</v>
      </c>
      <c r="J654" t="s">
        <v>67</v>
      </c>
      <c r="K654" s="389">
        <v>45933</v>
      </c>
      <c r="L654" s="389"/>
      <c r="M654" s="389"/>
      <c r="N654" t="s">
        <v>752</v>
      </c>
    </row>
    <row r="655" spans="1:14" hidden="1">
      <c r="A655">
        <v>229</v>
      </c>
      <c r="B655">
        <v>3</v>
      </c>
      <c r="C655" t="s">
        <v>866</v>
      </c>
      <c r="D655" t="s">
        <v>1325</v>
      </c>
      <c r="E655" t="s">
        <v>271</v>
      </c>
      <c r="F655" t="s">
        <v>10320</v>
      </c>
      <c r="G655" t="str">
        <f>VLOOKUP(E655,Table145678910111213141545678910111213146[[CODE]:[Email Local]],4,0)</f>
        <v>ktsx.23862</v>
      </c>
      <c r="H655">
        <f>VLOOKUP(E655,Table145678910111213141545678910111213146[[CODE]:[Email Local]],6,0)</f>
        <v>0</v>
      </c>
      <c r="J655" t="s">
        <v>67</v>
      </c>
      <c r="K655" s="389">
        <v>45405</v>
      </c>
      <c r="L655" s="389"/>
      <c r="M655" s="389"/>
      <c r="N655" t="s">
        <v>752</v>
      </c>
    </row>
    <row r="656" spans="1:14" hidden="1">
      <c r="A656">
        <v>627</v>
      </c>
      <c r="B656">
        <v>1</v>
      </c>
      <c r="C656" t="s">
        <v>867</v>
      </c>
      <c r="D656" t="s">
        <v>1464</v>
      </c>
      <c r="E656" t="s">
        <v>594</v>
      </c>
      <c r="F656" t="s">
        <v>10706</v>
      </c>
      <c r="G656" t="str">
        <f>VLOOKUP(E656,Table145678910111213141545678910111213146[[CODE]:[Email Local]],4,0)</f>
        <v>qlsx.1233</v>
      </c>
      <c r="H656">
        <f>VLOOKUP(E656,Table145678910111213141545678910111213146[[CODE]:[Email Local]],6,0)</f>
        <v>0</v>
      </c>
      <c r="J656" t="s">
        <v>67</v>
      </c>
      <c r="K656" s="389">
        <v>45434</v>
      </c>
      <c r="L656" s="389"/>
      <c r="M656" s="389"/>
      <c r="N656" t="s">
        <v>752</v>
      </c>
    </row>
    <row r="657" spans="1:14" hidden="1">
      <c r="A657">
        <v>629</v>
      </c>
      <c r="B657">
        <v>3</v>
      </c>
      <c r="C657" t="s">
        <v>867</v>
      </c>
      <c r="D657" t="s">
        <v>2346</v>
      </c>
      <c r="E657" t="s">
        <v>596</v>
      </c>
      <c r="F657" t="s">
        <v>10708</v>
      </c>
      <c r="G657" t="str">
        <f>VLOOKUP(E657,Table145678910111213141545678910111213146[[CODE]:[Email Local]],4,0)</f>
        <v>qlsx.4267</v>
      </c>
      <c r="H657">
        <f>VLOOKUP(E657,Table145678910111213141545678910111213146[[CODE]:[Email Local]],6,0)</f>
        <v>0</v>
      </c>
      <c r="J657" t="s">
        <v>67</v>
      </c>
      <c r="K657" s="389">
        <v>45434</v>
      </c>
      <c r="L657" s="389"/>
      <c r="M657" s="389"/>
      <c r="N657" t="s">
        <v>752</v>
      </c>
    </row>
    <row r="658" spans="1:14" hidden="1">
      <c r="A658">
        <v>630</v>
      </c>
      <c r="B658">
        <v>4</v>
      </c>
      <c r="C658" t="s">
        <v>867</v>
      </c>
      <c r="D658" t="s">
        <v>6726</v>
      </c>
      <c r="E658" t="s">
        <v>597</v>
      </c>
      <c r="F658" t="s">
        <v>10709</v>
      </c>
      <c r="G658" t="e">
        <f>VLOOKUP(E658,Table145678910111213141545678910111213146[[CODE]:[Email Local]],4,0)</f>
        <v>#N/A</v>
      </c>
      <c r="H658" t="e">
        <f>VLOOKUP(E658,Table145678910111213141545678910111213146[[CODE]:[Email Local]],6,0)</f>
        <v>#N/A</v>
      </c>
      <c r="J658" t="s">
        <v>67</v>
      </c>
      <c r="K658" s="389">
        <v>45434</v>
      </c>
      <c r="L658" s="389"/>
      <c r="M658" s="389"/>
      <c r="N658" t="s">
        <v>752</v>
      </c>
    </row>
    <row r="659" spans="1:14" hidden="1">
      <c r="A659">
        <v>631</v>
      </c>
      <c r="B659">
        <v>5</v>
      </c>
      <c r="C659" t="s">
        <v>867</v>
      </c>
      <c r="D659" t="s">
        <v>2447</v>
      </c>
      <c r="E659" t="s">
        <v>598</v>
      </c>
      <c r="F659" t="s">
        <v>10710</v>
      </c>
      <c r="G659" t="str">
        <f>VLOOKUP(E659,Table145678910111213141545678910111213146[[CODE]:[Email Local]],4,0)</f>
        <v>qlsx.4268</v>
      </c>
      <c r="H659">
        <f>VLOOKUP(E659,Table145678910111213141545678910111213146[[CODE]:[Email Local]],6,0)</f>
        <v>0</v>
      </c>
      <c r="J659" t="s">
        <v>67</v>
      </c>
      <c r="K659" s="389">
        <v>45434</v>
      </c>
      <c r="L659" s="389"/>
      <c r="M659" s="389"/>
      <c r="N659" t="s">
        <v>752</v>
      </c>
    </row>
    <row r="660" spans="1:14" hidden="1">
      <c r="A660">
        <v>632</v>
      </c>
      <c r="B660">
        <v>6</v>
      </c>
      <c r="C660" t="s">
        <v>867</v>
      </c>
      <c r="D660" t="s">
        <v>2897</v>
      </c>
      <c r="E660" t="s">
        <v>599</v>
      </c>
      <c r="F660" t="s">
        <v>10711</v>
      </c>
      <c r="G660" t="str">
        <f>VLOOKUP(E660,Table145678910111213141545678910111213146[[CODE]:[Email Local]],4,0)</f>
        <v>qlsx.6492</v>
      </c>
      <c r="H660">
        <f>VLOOKUP(E660,Table145678910111213141545678910111213146[[CODE]:[Email Local]],6,0)</f>
        <v>0</v>
      </c>
      <c r="J660" t="s">
        <v>67</v>
      </c>
      <c r="K660" s="389">
        <v>45434</v>
      </c>
      <c r="L660" s="389"/>
      <c r="M660" s="389"/>
      <c r="N660" t="s">
        <v>752</v>
      </c>
    </row>
    <row r="661" spans="1:14" hidden="1">
      <c r="A661">
        <v>633</v>
      </c>
      <c r="B661">
        <v>7</v>
      </c>
      <c r="C661" t="s">
        <v>867</v>
      </c>
      <c r="D661" t="s">
        <v>1492</v>
      </c>
      <c r="E661" t="s">
        <v>600</v>
      </c>
      <c r="F661" t="s">
        <v>10712</v>
      </c>
      <c r="G661" t="str">
        <f>VLOOKUP(E661,Table145678910111213141545678910111213146[[CODE]:[Email Local]],4,0)</f>
        <v>qlsx.1273</v>
      </c>
      <c r="H661">
        <f>VLOOKUP(E661,Table145678910111213141545678910111213146[[CODE]:[Email Local]],6,0)</f>
        <v>0</v>
      </c>
      <c r="J661" t="s">
        <v>67</v>
      </c>
      <c r="K661" s="389">
        <v>45434</v>
      </c>
      <c r="L661" s="389"/>
      <c r="M661" s="389"/>
      <c r="N661" t="s">
        <v>752</v>
      </c>
    </row>
    <row r="662" spans="1:14" hidden="1">
      <c r="A662">
        <v>635</v>
      </c>
      <c r="B662">
        <v>9</v>
      </c>
      <c r="C662" t="s">
        <v>867</v>
      </c>
      <c r="D662" t="s">
        <v>6981</v>
      </c>
      <c r="E662" t="s">
        <v>602</v>
      </c>
      <c r="F662" t="s">
        <v>10714</v>
      </c>
      <c r="G662" t="e">
        <f>VLOOKUP(E662,Table145678910111213141545678910111213146[[CODE]:[Email Local]],4,0)</f>
        <v>#N/A</v>
      </c>
      <c r="H662" t="e">
        <f>VLOOKUP(E662,Table145678910111213141545678910111213146[[CODE]:[Email Local]],6,0)</f>
        <v>#N/A</v>
      </c>
      <c r="J662" t="s">
        <v>67</v>
      </c>
      <c r="K662" s="389">
        <v>45434</v>
      </c>
      <c r="L662" s="389"/>
      <c r="M662" s="389"/>
      <c r="N662" t="s">
        <v>752</v>
      </c>
    </row>
    <row r="663" spans="1:14" hidden="1">
      <c r="A663">
        <v>628</v>
      </c>
      <c r="B663">
        <v>2</v>
      </c>
      <c r="C663" t="s">
        <v>867</v>
      </c>
      <c r="D663" t="s">
        <v>1852</v>
      </c>
      <c r="E663" t="s">
        <v>595</v>
      </c>
      <c r="F663" t="s">
        <v>10707</v>
      </c>
      <c r="G663" t="str">
        <f>VLOOKUP(E663,Table145678910111213141545678910111213146[[CODE]:[Email Local]],4,0)</f>
        <v>qlsx.2421</v>
      </c>
      <c r="H663" t="str">
        <f>VLOOKUP(E663,Table145678910111213141545678910111213146[[CODE]:[Email Local]],6,0)</f>
        <v>ok</v>
      </c>
      <c r="J663" t="s">
        <v>67</v>
      </c>
      <c r="K663" s="389">
        <v>45434</v>
      </c>
      <c r="L663" s="389"/>
      <c r="M663" s="389"/>
      <c r="N663" t="s">
        <v>752</v>
      </c>
    </row>
    <row r="664" spans="1:14" hidden="1">
      <c r="A664">
        <v>634</v>
      </c>
      <c r="B664">
        <v>8</v>
      </c>
      <c r="C664" t="s">
        <v>867</v>
      </c>
      <c r="D664" t="s">
        <v>990</v>
      </c>
      <c r="E664" t="s">
        <v>601</v>
      </c>
      <c r="F664" t="s">
        <v>10713</v>
      </c>
      <c r="G664" t="str">
        <f>VLOOKUP(E664,Table145678910111213141545678910111213146[[CODE]:[Email Local]],4,0)</f>
        <v>qlsx.0433</v>
      </c>
      <c r="H664" t="str">
        <f>VLOOKUP(E664,Table145678910111213141545678910111213146[[CODE]:[Email Local]],6,0)</f>
        <v>ok</v>
      </c>
      <c r="J664" t="s">
        <v>67</v>
      </c>
      <c r="K664" s="389">
        <v>45434</v>
      </c>
      <c r="L664" s="389">
        <v>45950</v>
      </c>
      <c r="M664" s="389">
        <v>45960</v>
      </c>
      <c r="N664" t="s">
        <v>752</v>
      </c>
    </row>
    <row r="665" spans="1:14" hidden="1">
      <c r="A665">
        <v>749</v>
      </c>
      <c r="B665">
        <v>1</v>
      </c>
      <c r="C665" t="s">
        <v>868</v>
      </c>
      <c r="D665" t="s">
        <v>1129</v>
      </c>
      <c r="E665" t="s">
        <v>684</v>
      </c>
      <c r="F665" t="s">
        <v>10824</v>
      </c>
      <c r="G665" t="str">
        <f>VLOOKUP(E665,Table145678910111213141545678910111213146[[CODE]:[Email Local]],4,0)</f>
        <v>qlsx.533</v>
      </c>
      <c r="H665">
        <f>VLOOKUP(E665,Table145678910111213141545678910111213146[[CODE]:[Email Local]],6,0)</f>
        <v>0</v>
      </c>
      <c r="J665" t="s">
        <v>67</v>
      </c>
      <c r="K665" s="389">
        <v>45405</v>
      </c>
      <c r="L665" s="389"/>
      <c r="M665" s="389"/>
      <c r="N665" t="s">
        <v>752</v>
      </c>
    </row>
    <row r="666" spans="1:14" hidden="1">
      <c r="A666">
        <v>750</v>
      </c>
      <c r="B666">
        <v>2</v>
      </c>
      <c r="C666" t="s">
        <v>868</v>
      </c>
      <c r="D666" t="s">
        <v>9858</v>
      </c>
      <c r="E666" t="s">
        <v>685</v>
      </c>
      <c r="F666" t="s">
        <v>10825</v>
      </c>
      <c r="G666" t="str">
        <f>VLOOKUP(E666,Table145678910111213141545678910111213146[[CODE]:[Email Local]],4,0)</f>
        <v>qlsx6.20292</v>
      </c>
      <c r="H666" t="str">
        <f>VLOOKUP(E666,Table145678910111213141545678910111213146[[CODE]:[Email Local]],6,0)</f>
        <v>ok</v>
      </c>
      <c r="J666" t="s">
        <v>67</v>
      </c>
      <c r="K666" s="389">
        <v>45405</v>
      </c>
      <c r="L666" s="389">
        <v>45819</v>
      </c>
      <c r="M666" s="389">
        <v>45819</v>
      </c>
      <c r="N666" t="e">
        <v>#N/A</v>
      </c>
    </row>
    <row r="667" spans="1:14" hidden="1">
      <c r="A667">
        <v>751</v>
      </c>
      <c r="B667">
        <v>3</v>
      </c>
      <c r="C667" t="s">
        <v>868</v>
      </c>
      <c r="D667" t="s">
        <v>6983</v>
      </c>
      <c r="E667" t="s">
        <v>686</v>
      </c>
      <c r="F667" t="s">
        <v>10826</v>
      </c>
      <c r="G667" t="str">
        <f>VLOOKUP(E667,Table145678910111213141545678910111213146[[CODE]:[Email Local]],4,0)</f>
        <v>qlsx6.22095</v>
      </c>
      <c r="H667" t="str">
        <f>VLOOKUP(E667,Table145678910111213141545678910111213146[[CODE]:[Email Local]],6,0)</f>
        <v>ok</v>
      </c>
      <c r="J667" t="s">
        <v>67</v>
      </c>
      <c r="K667" s="389">
        <v>45405</v>
      </c>
      <c r="L667" s="389"/>
      <c r="M667" s="389"/>
      <c r="N667" t="s">
        <v>752</v>
      </c>
    </row>
    <row r="668" spans="1:14" hidden="1">
      <c r="A668">
        <v>752</v>
      </c>
      <c r="B668">
        <v>4</v>
      </c>
      <c r="C668" t="s">
        <v>868</v>
      </c>
      <c r="D668" t="s">
        <v>990</v>
      </c>
      <c r="E668" t="s">
        <v>687</v>
      </c>
      <c r="F668" t="s">
        <v>10827</v>
      </c>
      <c r="G668" t="str">
        <f>VLOOKUP(E668,Table145678910111213141545678910111213146[[CODE]:[Email Local]],4,0)</f>
        <v>qlsx.19406</v>
      </c>
      <c r="H668" t="str">
        <f>VLOOKUP(E668,Table145678910111213141545678910111213146[[CODE]:[Email Local]],6,0)</f>
        <v>ok</v>
      </c>
      <c r="J668" t="s">
        <v>67</v>
      </c>
      <c r="K668" s="389">
        <v>45405</v>
      </c>
      <c r="L668" s="389"/>
      <c r="M668" s="389"/>
      <c r="N668" t="s">
        <v>752</v>
      </c>
    </row>
    <row r="669" spans="1:14" hidden="1">
      <c r="A669">
        <v>753</v>
      </c>
      <c r="B669">
        <v>5</v>
      </c>
      <c r="C669" t="s">
        <v>868</v>
      </c>
      <c r="D669" t="s">
        <v>9885</v>
      </c>
      <c r="E669" t="s">
        <v>688</v>
      </c>
      <c r="F669" t="s">
        <v>10828</v>
      </c>
      <c r="G669" t="str">
        <f>VLOOKUP(E669,Table145678910111213141545678910111213146[[CODE]:[Email Local]],4,0)</f>
        <v>24751.thien</v>
      </c>
      <c r="H669" t="str">
        <f>VLOOKUP(E669,Table145678910111213141545678910111213146[[CODE]:[Email Local]],6,0)</f>
        <v>ok</v>
      </c>
      <c r="J669" t="s">
        <v>67</v>
      </c>
      <c r="K669" s="389">
        <v>45423</v>
      </c>
      <c r="L669" s="389">
        <v>45474</v>
      </c>
      <c r="M669" s="389">
        <v>45474</v>
      </c>
      <c r="N669" t="e">
        <v>#N/A</v>
      </c>
    </row>
    <row r="670" spans="1:14" hidden="1">
      <c r="A670">
        <v>754</v>
      </c>
      <c r="B670">
        <v>6</v>
      </c>
      <c r="C670" t="s">
        <v>868</v>
      </c>
      <c r="D670" t="s">
        <v>7777</v>
      </c>
      <c r="E670" t="s">
        <v>7803</v>
      </c>
      <c r="F670" t="s">
        <v>10829</v>
      </c>
      <c r="G670" t="str">
        <f>VLOOKUP(E670,Table145678910111213141545678910111213146[[CODE]:[Email Local]],4,0)</f>
        <v>24871.hoang</v>
      </c>
      <c r="H670" t="str">
        <f>VLOOKUP(E670,Table145678910111213141545678910111213146[[CODE]:[Email Local]],6,0)</f>
        <v>ok</v>
      </c>
      <c r="J670" t="s">
        <v>67</v>
      </c>
      <c r="K670" s="389">
        <v>45504</v>
      </c>
      <c r="L670" s="389"/>
      <c r="M670" s="389"/>
      <c r="N670" t="s">
        <v>752</v>
      </c>
    </row>
    <row r="671" spans="1:14" hidden="1">
      <c r="A671">
        <v>755</v>
      </c>
      <c r="C671" t="s">
        <v>868</v>
      </c>
      <c r="D671" t="e">
        <v>#N/A</v>
      </c>
      <c r="E671" t="s">
        <v>8543</v>
      </c>
      <c r="F671" s="38" t="s">
        <v>10830</v>
      </c>
      <c r="G671" t="str">
        <f>VLOOKUP(E671,Table145678910111213141545678910111213146[[CODE]:[Email Local]],4,0)</f>
        <v>26158.kiet</v>
      </c>
      <c r="H671" t="str">
        <f>VLOOKUP(E671,Table145678910111213141545678910111213146[[CODE]:[Email Local]],6,0)</f>
        <v>ok</v>
      </c>
      <c r="J671" t="s">
        <v>67</v>
      </c>
      <c r="K671" s="389">
        <v>45911</v>
      </c>
      <c r="L671" s="389"/>
      <c r="M671" s="389"/>
      <c r="N671" t="s">
        <v>752</v>
      </c>
    </row>
    <row r="672" spans="1:14" hidden="1">
      <c r="A672">
        <v>756</v>
      </c>
      <c r="B672">
        <v>7</v>
      </c>
      <c r="C672" t="s">
        <v>868</v>
      </c>
      <c r="D672" t="s">
        <v>9868</v>
      </c>
      <c r="E672" t="s">
        <v>689</v>
      </c>
      <c r="F672" t="s">
        <v>10831</v>
      </c>
      <c r="G672" t="str">
        <f>VLOOKUP(E672,Table145678910111213141545678910111213146[[CODE]:[Email Local]],4,0)</f>
        <v>24318.cuong</v>
      </c>
      <c r="H672" t="str">
        <f>VLOOKUP(E672,Table145678910111213141545678910111213146[[CODE]:[Email Local]],6,0)</f>
        <v>ok</v>
      </c>
      <c r="J672" t="s">
        <v>67</v>
      </c>
      <c r="K672" s="389">
        <v>45405</v>
      </c>
      <c r="L672" s="389">
        <v>45474</v>
      </c>
      <c r="M672" s="389">
        <v>45474</v>
      </c>
      <c r="N672" t="e">
        <v>#N/A</v>
      </c>
    </row>
    <row r="673" spans="1:14" hidden="1">
      <c r="A673">
        <v>519</v>
      </c>
      <c r="B673">
        <v>1</v>
      </c>
      <c r="C673" t="s">
        <v>869</v>
      </c>
      <c r="D673" t="s">
        <v>1502</v>
      </c>
      <c r="E673" t="s">
        <v>513</v>
      </c>
      <c r="F673" t="s">
        <v>10600</v>
      </c>
      <c r="G673" t="str">
        <f>VLOOKUP(E673,Table145678910111213141545678910111213146[[CODE]:[Email Local]],4,0)</f>
        <v>qltb.07281</v>
      </c>
      <c r="H673" t="str">
        <f>VLOOKUP(E673,Table145678910111213141545678910111213146[[CODE]:[Email Local]],6,0)</f>
        <v>ok</v>
      </c>
      <c r="J673" t="s">
        <v>67</v>
      </c>
      <c r="K673" s="389">
        <v>45432</v>
      </c>
      <c r="L673" s="389"/>
      <c r="M673" s="389"/>
      <c r="N673" t="s">
        <v>796</v>
      </c>
    </row>
    <row r="674" spans="1:14" hidden="1">
      <c r="A674">
        <v>520</v>
      </c>
      <c r="B674">
        <v>2</v>
      </c>
      <c r="C674" t="s">
        <v>869</v>
      </c>
      <c r="D674" t="s">
        <v>1025</v>
      </c>
      <c r="E674" t="s">
        <v>514</v>
      </c>
      <c r="F674" t="s">
        <v>10601</v>
      </c>
      <c r="G674" t="str">
        <f>VLOOKUP(E674,Table145678910111213141545678910111213146[[CODE]:[Email Local]],4,0)</f>
        <v>qltb.0334</v>
      </c>
      <c r="H674">
        <f>VLOOKUP(E674,Table145678910111213141545678910111213146[[CODE]:[Email Local]],6,0)</f>
        <v>0</v>
      </c>
      <c r="J674" t="s">
        <v>67</v>
      </c>
      <c r="K674" s="389">
        <v>45432</v>
      </c>
      <c r="L674" s="389"/>
      <c r="M674" s="389"/>
      <c r="N674" t="s">
        <v>796</v>
      </c>
    </row>
    <row r="675" spans="1:14" hidden="1">
      <c r="A675">
        <v>521</v>
      </c>
      <c r="B675">
        <v>3</v>
      </c>
      <c r="C675" t="s">
        <v>869</v>
      </c>
      <c r="D675" t="s">
        <v>2396</v>
      </c>
      <c r="E675" t="s">
        <v>515</v>
      </c>
      <c r="F675" t="s">
        <v>10602</v>
      </c>
      <c r="G675" t="e">
        <f>VLOOKUP(E675,Table145678910111213141545678910111213146[[CODE]:[Email Local]],4,0)</f>
        <v>#N/A</v>
      </c>
      <c r="H675" t="e">
        <f>VLOOKUP(E675,Table145678910111213141545678910111213146[[CODE]:[Email Local]],6,0)</f>
        <v>#N/A</v>
      </c>
      <c r="J675" t="s">
        <v>67</v>
      </c>
      <c r="K675" s="389">
        <v>45432</v>
      </c>
      <c r="L675" s="389">
        <v>45950</v>
      </c>
      <c r="M675" s="389"/>
      <c r="N675" t="s">
        <v>796</v>
      </c>
    </row>
    <row r="676" spans="1:14" hidden="1">
      <c r="A676">
        <v>36</v>
      </c>
      <c r="B676">
        <v>36</v>
      </c>
      <c r="C676" t="s">
        <v>870</v>
      </c>
      <c r="D676" t="s">
        <v>3407</v>
      </c>
      <c r="E676" t="s">
        <v>95</v>
      </c>
      <c r="F676" t="s">
        <v>10126</v>
      </c>
      <c r="G676" t="str">
        <f>VLOOKUP(E676,Table145678910111213141545678910111213146[[CODE]:[Email Local]],4,0)</f>
        <v>qlsx6.24016</v>
      </c>
      <c r="H676" t="str">
        <f>VLOOKUP(E676,Table145678910111213141545678910111213146[[CODE]:[Email Local]],6,0)</f>
        <v>ok</v>
      </c>
      <c r="J676" t="s">
        <v>67</v>
      </c>
      <c r="K676" s="389">
        <v>45443</v>
      </c>
      <c r="L676" s="389"/>
      <c r="M676" s="389"/>
      <c r="N676" t="s">
        <v>1063</v>
      </c>
    </row>
    <row r="677" spans="1:14" hidden="1">
      <c r="A677">
        <v>108</v>
      </c>
      <c r="B677">
        <v>3</v>
      </c>
      <c r="C677" t="s">
        <v>870</v>
      </c>
      <c r="D677" t="s">
        <v>2549</v>
      </c>
      <c r="E677" t="s">
        <v>158</v>
      </c>
      <c r="F677" t="s">
        <v>10199</v>
      </c>
      <c r="G677" t="str">
        <f>VLOOKUP(E677,Table145678910111213141545678910111213146[[CODE]:[Email Local]],4,0)</f>
        <v>son1.11064</v>
      </c>
      <c r="H677" t="str">
        <f>VLOOKUP(E677,Table145678910111213141545678910111213146[[CODE]:[Email Local]],6,0)</f>
        <v>ok</v>
      </c>
      <c r="J677" t="s">
        <v>67</v>
      </c>
      <c r="K677" s="389">
        <v>45421</v>
      </c>
      <c r="L677" s="389"/>
      <c r="M677" s="389"/>
      <c r="N677" t="s">
        <v>1063</v>
      </c>
    </row>
    <row r="678" spans="1:14" hidden="1">
      <c r="A678">
        <v>109</v>
      </c>
      <c r="B678">
        <v>4</v>
      </c>
      <c r="C678" t="s">
        <v>870</v>
      </c>
      <c r="D678" t="s">
        <v>3879</v>
      </c>
      <c r="E678" t="s">
        <v>159</v>
      </c>
      <c r="F678" t="s">
        <v>10200</v>
      </c>
      <c r="G678" t="str">
        <f>VLOOKUP(E678,Table145678910111213141545678910111213146[[CODE]:[Email Local]],4,0)</f>
        <v>son1.09567</v>
      </c>
      <c r="H678" t="str">
        <f>VLOOKUP(E678,Table145678910111213141545678910111213146[[CODE]:[Email Local]],6,0)</f>
        <v>ok</v>
      </c>
      <c r="J678" t="s">
        <v>67</v>
      </c>
      <c r="K678" s="389">
        <v>45421</v>
      </c>
      <c r="L678" s="389"/>
      <c r="M678" s="389"/>
      <c r="N678" t="s">
        <v>1063</v>
      </c>
    </row>
    <row r="679" spans="1:14" hidden="1">
      <c r="A679">
        <v>106</v>
      </c>
      <c r="B679">
        <v>1</v>
      </c>
      <c r="C679" t="s">
        <v>870</v>
      </c>
      <c r="D679" t="e">
        <v>#N/A</v>
      </c>
      <c r="E679" t="s">
        <v>8673</v>
      </c>
      <c r="F679" s="38" t="s">
        <v>10197</v>
      </c>
      <c r="G679" t="e">
        <f>VLOOKUP(E679,Table145678910111213141545678910111213146[[CODE]:[Email Local]],4,0)</f>
        <v>#N/A</v>
      </c>
      <c r="H679" t="e">
        <f>VLOOKUP(E679,Table145678910111213141545678910111213146[[CODE]:[Email Local]],6,0)</f>
        <v>#N/A</v>
      </c>
      <c r="J679" t="s">
        <v>67</v>
      </c>
      <c r="K679" s="389">
        <v>45421</v>
      </c>
      <c r="L679" s="389">
        <v>45951</v>
      </c>
      <c r="M679" s="389">
        <v>45960</v>
      </c>
      <c r="N679" t="e">
        <v>#N/A</v>
      </c>
    </row>
    <row r="680" spans="1:14" hidden="1">
      <c r="A680">
        <v>107</v>
      </c>
      <c r="B680">
        <v>2</v>
      </c>
      <c r="C680" t="s">
        <v>870</v>
      </c>
      <c r="D680" t="s">
        <v>4470</v>
      </c>
      <c r="E680" t="s">
        <v>157</v>
      </c>
      <c r="F680" t="s">
        <v>10198</v>
      </c>
      <c r="G680" t="str">
        <f>VLOOKUP(E680,Table145678910111213141545678910111213146[[CODE]:[Email Local]],4,0)</f>
        <v>son1.11553</v>
      </c>
      <c r="H680">
        <f>VLOOKUP(E680,Table145678910111213141545678910111213146[[CODE]:[Email Local]],6,0)</f>
        <v>0</v>
      </c>
      <c r="J680" t="s">
        <v>67</v>
      </c>
      <c r="K680" s="389">
        <v>45421</v>
      </c>
      <c r="L680" s="389"/>
      <c r="M680" s="389"/>
      <c r="N680" t="s">
        <v>1063</v>
      </c>
    </row>
    <row r="681" spans="1:14" hidden="1">
      <c r="A681">
        <v>109</v>
      </c>
      <c r="B681">
        <v>4</v>
      </c>
      <c r="C681" t="s">
        <v>870</v>
      </c>
      <c r="D681" t="s">
        <v>4427</v>
      </c>
      <c r="E681" t="s">
        <v>8674</v>
      </c>
      <c r="F681" t="s">
        <v>10201</v>
      </c>
      <c r="G681" t="e">
        <f>VLOOKUP(E681,Table145678910111213141545678910111213146[[CODE]:[Email Local]],4,0)</f>
        <v>#N/A</v>
      </c>
      <c r="H681" t="e">
        <f>VLOOKUP(E681,Table145678910111213141545678910111213146[[CODE]:[Email Local]],6,0)</f>
        <v>#N/A</v>
      </c>
      <c r="J681" t="s">
        <v>67</v>
      </c>
      <c r="K681" s="389">
        <v>45919</v>
      </c>
      <c r="L681" s="389"/>
      <c r="M681" s="389"/>
      <c r="N681" t="s">
        <v>1063</v>
      </c>
    </row>
    <row r="682" spans="1:14" hidden="1">
      <c r="A682">
        <v>110</v>
      </c>
      <c r="B682">
        <v>5</v>
      </c>
      <c r="C682" t="s">
        <v>870</v>
      </c>
      <c r="D682" t="s">
        <v>160</v>
      </c>
      <c r="E682" t="s">
        <v>160</v>
      </c>
      <c r="F682" t="s">
        <v>161</v>
      </c>
      <c r="G682" t="e">
        <f>VLOOKUP(E682,Table145678910111213141545678910111213146[[CODE]:[Email Local]],4,0)</f>
        <v>#N/A</v>
      </c>
      <c r="H682" t="e">
        <f>VLOOKUP(E682,Table145678910111213141545678910111213146[[CODE]:[Email Local]],6,0)</f>
        <v>#N/A</v>
      </c>
      <c r="J682" t="s">
        <v>67</v>
      </c>
      <c r="K682" s="389">
        <v>45421</v>
      </c>
      <c r="L682" s="389"/>
      <c r="M682" s="389"/>
      <c r="N682" t="e">
        <v>#N/A</v>
      </c>
    </row>
    <row r="683" spans="1:14" hidden="1">
      <c r="A683">
        <v>111</v>
      </c>
      <c r="B683">
        <v>6</v>
      </c>
      <c r="C683" t="s">
        <v>870</v>
      </c>
      <c r="D683" t="s">
        <v>3977</v>
      </c>
      <c r="E683" t="s">
        <v>162</v>
      </c>
      <c r="F683" t="s">
        <v>10202</v>
      </c>
      <c r="G683" t="str">
        <f>VLOOKUP(E683,Table145678910111213141545678910111213146[[CODE]:[Email Local]],4,0)</f>
        <v>son1.20055</v>
      </c>
      <c r="H683">
        <f>VLOOKUP(E683,Table145678910111213141545678910111213146[[CODE]:[Email Local]],6,0)</f>
        <v>0</v>
      </c>
      <c r="J683" t="s">
        <v>67</v>
      </c>
      <c r="K683" s="389">
        <v>45421</v>
      </c>
      <c r="L683" s="389">
        <v>45806</v>
      </c>
      <c r="M683" s="389">
        <v>45806</v>
      </c>
      <c r="N683" t="e">
        <v>#N/A</v>
      </c>
    </row>
    <row r="684" spans="1:14" hidden="1">
      <c r="A684">
        <v>156</v>
      </c>
      <c r="B684">
        <v>7</v>
      </c>
      <c r="C684" t="s">
        <v>870</v>
      </c>
      <c r="D684" t="s">
        <v>1621</v>
      </c>
      <c r="E684" t="s">
        <v>200</v>
      </c>
      <c r="F684" t="s">
        <v>10247</v>
      </c>
      <c r="G684" t="str">
        <f>VLOOKUP(E684,Table145678910111213141545678910111213146[[CODE]:[Email Local]],4,0)</f>
        <v>lr.01644</v>
      </c>
      <c r="H684">
        <f>VLOOKUP(E684,Table145678910111213141545678910111213146[[CODE]:[Email Local]],6,0)</f>
        <v>0</v>
      </c>
      <c r="J684" t="s">
        <v>67</v>
      </c>
      <c r="K684" s="389">
        <v>45432</v>
      </c>
      <c r="L684" s="389"/>
      <c r="M684" s="389"/>
      <c r="N684" t="s">
        <v>1063</v>
      </c>
    </row>
    <row r="685" spans="1:14" hidden="1">
      <c r="A685">
        <v>623</v>
      </c>
      <c r="B685">
        <v>4</v>
      </c>
      <c r="C685" t="s">
        <v>870</v>
      </c>
      <c r="D685" t="s">
        <v>1609</v>
      </c>
      <c r="E685" t="s">
        <v>590</v>
      </c>
      <c r="F685" t="s">
        <v>10702</v>
      </c>
      <c r="G685" t="str">
        <f>VLOOKUP(E685,Table145678910111213141545678910111213146[[CODE]:[Email Local]],4,0)</f>
        <v>son.01614</v>
      </c>
      <c r="H685">
        <f>VLOOKUP(E685,Table145678910111213141545678910111213146[[CODE]:[Email Local]],6,0)</f>
        <v>0</v>
      </c>
      <c r="J685" t="s">
        <v>67</v>
      </c>
      <c r="K685" s="389">
        <v>45432</v>
      </c>
      <c r="L685" s="389"/>
      <c r="M685" s="389"/>
      <c r="N685" t="s">
        <v>1063</v>
      </c>
    </row>
    <row r="686" spans="1:14" hidden="1">
      <c r="A686">
        <v>618</v>
      </c>
      <c r="B686">
        <v>1</v>
      </c>
      <c r="C686" t="s">
        <v>871</v>
      </c>
      <c r="D686" t="s">
        <v>1150</v>
      </c>
      <c r="E686" t="s">
        <v>587</v>
      </c>
      <c r="F686" t="s">
        <v>10697</v>
      </c>
      <c r="G686" t="str">
        <f>VLOOKUP(E686,Table145678910111213141545678910111213146[[CODE]:[Email Local]],4,0)</f>
        <v>son.14121</v>
      </c>
      <c r="H686">
        <f>VLOOKUP(E686,Table145678910111213141545678910111213146[[CODE]:[Email Local]],6,0)</f>
        <v>0</v>
      </c>
      <c r="J686" t="s">
        <v>67</v>
      </c>
      <c r="K686" s="389">
        <v>45432</v>
      </c>
      <c r="L686" s="389"/>
      <c r="M686" s="389"/>
      <c r="N686" t="s">
        <v>1043</v>
      </c>
    </row>
    <row r="687" spans="1:14" hidden="1">
      <c r="A687">
        <v>619</v>
      </c>
      <c r="B687">
        <v>2</v>
      </c>
      <c r="C687" t="s">
        <v>871</v>
      </c>
      <c r="D687" t="s">
        <v>1275</v>
      </c>
      <c r="E687" t="s">
        <v>588</v>
      </c>
      <c r="F687" t="s">
        <v>10698</v>
      </c>
      <c r="G687" t="str">
        <f>VLOOKUP(E687,Table145678910111213141545678910111213146[[CODE]:[Email Local]],4,0)</f>
        <v>son.00806</v>
      </c>
      <c r="H687">
        <f>VLOOKUP(E687,Table145678910111213141545678910111213146[[CODE]:[Email Local]],6,0)</f>
        <v>0</v>
      </c>
      <c r="J687" t="s">
        <v>67</v>
      </c>
      <c r="K687" s="389">
        <v>45432</v>
      </c>
      <c r="L687" s="389"/>
      <c r="M687" s="389"/>
      <c r="N687" t="s">
        <v>1043</v>
      </c>
    </row>
    <row r="688" spans="1:14" hidden="1">
      <c r="A688">
        <v>620</v>
      </c>
      <c r="B688">
        <v>3</v>
      </c>
      <c r="C688" t="s">
        <v>871</v>
      </c>
      <c r="D688" t="s">
        <v>3778</v>
      </c>
      <c r="E688" t="s">
        <v>589</v>
      </c>
      <c r="F688" t="s">
        <v>10699</v>
      </c>
      <c r="G688" t="str">
        <f>VLOOKUP(E688,Table145678910111213141545678910111213146[[CODE]:[Email Local]],4,0)</f>
        <v>son1.09253</v>
      </c>
      <c r="H688">
        <f>VLOOKUP(E688,Table145678910111213141545678910111213146[[CODE]:[Email Local]],6,0)</f>
        <v>0</v>
      </c>
      <c r="J688" t="s">
        <v>67</v>
      </c>
      <c r="K688" s="389">
        <v>45432</v>
      </c>
      <c r="L688" s="389"/>
      <c r="M688" s="389"/>
      <c r="N688" t="s">
        <v>1043</v>
      </c>
    </row>
    <row r="689" spans="1:14" hidden="1">
      <c r="A689">
        <v>621</v>
      </c>
      <c r="B689">
        <v>2</v>
      </c>
      <c r="C689" t="s">
        <v>871</v>
      </c>
      <c r="D689" t="s">
        <v>1418</v>
      </c>
      <c r="E689" t="s">
        <v>8675</v>
      </c>
      <c r="F689" t="s">
        <v>10700</v>
      </c>
      <c r="G689" t="e">
        <f>VLOOKUP(E689,Table145678910111213141545678910111213146[[CODE]:[Email Local]],4,0)</f>
        <v>#N/A</v>
      </c>
      <c r="H689" t="e">
        <f>VLOOKUP(E689,Table145678910111213141545678910111213146[[CODE]:[Email Local]],6,0)</f>
        <v>#N/A</v>
      </c>
      <c r="J689" t="s">
        <v>67</v>
      </c>
      <c r="K689" s="389">
        <v>45455</v>
      </c>
      <c r="L689" s="389"/>
      <c r="M689" s="389"/>
      <c r="N689" t="s">
        <v>1043</v>
      </c>
    </row>
    <row r="690" spans="1:14" hidden="1">
      <c r="A690">
        <v>622</v>
      </c>
      <c r="B690">
        <v>3</v>
      </c>
      <c r="C690" t="s">
        <v>871</v>
      </c>
      <c r="D690" t="s">
        <v>6624</v>
      </c>
      <c r="E690" t="s">
        <v>8676</v>
      </c>
      <c r="F690" t="s">
        <v>10701</v>
      </c>
      <c r="G690" t="str">
        <f>VLOOKUP(E690,Table145678910111213141545678910111213146[[CODE]:[Email Local]],4,0)</f>
        <v>20718.huong</v>
      </c>
      <c r="H690">
        <f>VLOOKUP(E690,Table145678910111213141545678910111213146[[CODE]:[Email Local]],6,0)</f>
        <v>0</v>
      </c>
      <c r="J690" t="s">
        <v>67</v>
      </c>
      <c r="K690" s="389">
        <v>45531</v>
      </c>
      <c r="L690" s="389"/>
      <c r="M690" s="389"/>
      <c r="N690" t="s">
        <v>1043</v>
      </c>
    </row>
    <row r="691" spans="1:14" hidden="1">
      <c r="A691">
        <v>123</v>
      </c>
      <c r="B691">
        <v>7</v>
      </c>
      <c r="C691" t="s">
        <v>872</v>
      </c>
      <c r="D691" t="s">
        <v>1311</v>
      </c>
      <c r="E691" t="s">
        <v>173</v>
      </c>
      <c r="F691" t="s">
        <v>10214</v>
      </c>
      <c r="G691" t="str">
        <f>VLOOKUP(E691,Table145678910111213141545678910111213146[[CODE]:[Email Local]],4,0)</f>
        <v>son.00895</v>
      </c>
      <c r="H691" t="str">
        <f>VLOOKUP(E691,Table145678910111213141545678910111213146[[CODE]:[Email Local]],6,0)</f>
        <v>ok</v>
      </c>
      <c r="J691" t="s">
        <v>67</v>
      </c>
      <c r="K691" s="389">
        <v>45432</v>
      </c>
      <c r="L691" s="389"/>
      <c r="M691" s="389"/>
      <c r="N691" t="s">
        <v>903</v>
      </c>
    </row>
    <row r="692" spans="1:14" hidden="1">
      <c r="A692">
        <v>117</v>
      </c>
      <c r="B692">
        <v>1</v>
      </c>
      <c r="C692" t="s">
        <v>872</v>
      </c>
      <c r="D692" t="s">
        <v>1360</v>
      </c>
      <c r="E692" t="s">
        <v>167</v>
      </c>
      <c r="F692" t="s">
        <v>10208</v>
      </c>
      <c r="G692" t="str">
        <f>VLOOKUP(E692,Table145678910111213141545678910111213146[[CODE]:[Email Local]],4,0)</f>
        <v>son.00987</v>
      </c>
      <c r="H692">
        <f>VLOOKUP(E692,Table145678910111213141545678910111213146[[CODE]:[Email Local]],6,0)</f>
        <v>0</v>
      </c>
      <c r="J692" t="s">
        <v>67</v>
      </c>
      <c r="K692" s="389">
        <v>45432</v>
      </c>
      <c r="L692" s="389"/>
      <c r="M692" s="389"/>
      <c r="N692" t="s">
        <v>903</v>
      </c>
    </row>
    <row r="693" spans="1:14" hidden="1">
      <c r="A693">
        <v>118</v>
      </c>
      <c r="B693">
        <v>2</v>
      </c>
      <c r="C693" t="s">
        <v>872</v>
      </c>
      <c r="D693" t="s">
        <v>2720</v>
      </c>
      <c r="E693" t="s">
        <v>168</v>
      </c>
      <c r="F693" t="s">
        <v>10209</v>
      </c>
      <c r="G693" t="str">
        <f>VLOOKUP(E693,Table145678910111213141545678910111213146[[CODE]:[Email Local]],4,0)</f>
        <v>son.05539</v>
      </c>
      <c r="H693">
        <f>VLOOKUP(E693,Table145678910111213141545678910111213146[[CODE]:[Email Local]],6,0)</f>
        <v>0</v>
      </c>
      <c r="J693" t="s">
        <v>67</v>
      </c>
      <c r="K693" s="389">
        <v>45432</v>
      </c>
      <c r="L693" s="389"/>
      <c r="M693" s="389"/>
      <c r="N693" t="s">
        <v>957</v>
      </c>
    </row>
    <row r="694" spans="1:14" hidden="1">
      <c r="A694">
        <v>119</v>
      </c>
      <c r="B694">
        <v>3</v>
      </c>
      <c r="C694" t="s">
        <v>872</v>
      </c>
      <c r="D694" t="s">
        <v>3311</v>
      </c>
      <c r="E694" t="s">
        <v>169</v>
      </c>
      <c r="F694" t="s">
        <v>10210</v>
      </c>
      <c r="G694" t="str">
        <f>VLOOKUP(E694,Table145678910111213141545678910111213146[[CODE]:[Email Local]],4,0)</f>
        <v>son.09592</v>
      </c>
      <c r="H694">
        <f>VLOOKUP(E694,Table145678910111213141545678910111213146[[CODE]:[Email Local]],6,0)</f>
        <v>0</v>
      </c>
      <c r="J694" t="s">
        <v>67</v>
      </c>
      <c r="K694" s="389">
        <v>45432</v>
      </c>
      <c r="L694" s="389"/>
      <c r="M694" s="389"/>
      <c r="N694" t="s">
        <v>957</v>
      </c>
    </row>
    <row r="695" spans="1:14" hidden="1">
      <c r="A695">
        <v>120</v>
      </c>
      <c r="B695">
        <v>4</v>
      </c>
      <c r="C695" t="s">
        <v>872</v>
      </c>
      <c r="D695" t="s">
        <v>4208</v>
      </c>
      <c r="E695" t="s">
        <v>170</v>
      </c>
      <c r="F695" t="s">
        <v>10211</v>
      </c>
      <c r="G695" t="str">
        <f>VLOOKUP(E695,Table145678910111213141545678910111213146[[CODE]:[Email Local]],4,0)</f>
        <v>son.10613</v>
      </c>
      <c r="H695">
        <f>VLOOKUP(E695,Table145678910111213141545678910111213146[[CODE]:[Email Local]],6,0)</f>
        <v>0</v>
      </c>
      <c r="J695" t="s">
        <v>67</v>
      </c>
      <c r="K695" s="389">
        <v>45432</v>
      </c>
      <c r="L695" s="389"/>
      <c r="M695" s="389"/>
      <c r="N695" t="s">
        <v>903</v>
      </c>
    </row>
    <row r="696" spans="1:14" hidden="1">
      <c r="A696">
        <v>121</v>
      </c>
      <c r="B696">
        <v>5</v>
      </c>
      <c r="C696" t="s">
        <v>872</v>
      </c>
      <c r="D696" t="s">
        <v>1438</v>
      </c>
      <c r="E696" t="s">
        <v>171</v>
      </c>
      <c r="F696" t="s">
        <v>10212</v>
      </c>
      <c r="G696" t="str">
        <f>VLOOKUP(E696,Table145678910111213141545678910111213146[[CODE]:[Email Local]],4,0)</f>
        <v>son.01187</v>
      </c>
      <c r="H696">
        <f>VLOOKUP(E696,Table145678910111213141545678910111213146[[CODE]:[Email Local]],6,0)</f>
        <v>0</v>
      </c>
      <c r="J696" t="s">
        <v>67</v>
      </c>
      <c r="K696" s="389">
        <v>45432</v>
      </c>
      <c r="L696" s="389"/>
      <c r="M696" s="389"/>
      <c r="N696" t="s">
        <v>903</v>
      </c>
    </row>
    <row r="697" spans="1:14" hidden="1">
      <c r="A697">
        <v>122</v>
      </c>
      <c r="B697">
        <v>6</v>
      </c>
      <c r="C697" t="s">
        <v>872</v>
      </c>
      <c r="D697" t="s">
        <v>1279</v>
      </c>
      <c r="E697" t="s">
        <v>172</v>
      </c>
      <c r="F697" t="s">
        <v>10213</v>
      </c>
      <c r="G697" t="e">
        <f>VLOOKUP(E697,Table145678910111213141545678910111213146[[CODE]:[Email Local]],4,0)</f>
        <v>#N/A</v>
      </c>
      <c r="H697" t="e">
        <f>VLOOKUP(E697,Table145678910111213141545678910111213146[[CODE]:[Email Local]],6,0)</f>
        <v>#N/A</v>
      </c>
      <c r="J697" t="s">
        <v>67</v>
      </c>
      <c r="K697" s="389">
        <v>45432</v>
      </c>
      <c r="L697" s="389"/>
      <c r="M697" s="389"/>
      <c r="N697" t="s">
        <v>903</v>
      </c>
    </row>
    <row r="698" spans="1:14" hidden="1">
      <c r="A698">
        <v>124</v>
      </c>
      <c r="B698">
        <v>8</v>
      </c>
      <c r="C698" t="s">
        <v>872</v>
      </c>
      <c r="D698" t="s">
        <v>2438</v>
      </c>
      <c r="E698" t="s">
        <v>816</v>
      </c>
      <c r="F698" t="s">
        <v>10215</v>
      </c>
      <c r="G698" t="str">
        <f>VLOOKUP(E698,Table145678910111213141545678910111213146[[CODE]:[Email Local]],4,0)</f>
        <v>son.04254</v>
      </c>
      <c r="H698">
        <f>VLOOKUP(E698,Table145678910111213141545678910111213146[[CODE]:[Email Local]],6,0)</f>
        <v>0</v>
      </c>
      <c r="J698" t="s">
        <v>67</v>
      </c>
      <c r="K698" s="389">
        <v>45457</v>
      </c>
      <c r="L698" s="389"/>
      <c r="M698" s="389"/>
      <c r="N698" t="s">
        <v>957</v>
      </c>
    </row>
    <row r="699" spans="1:14" hidden="1">
      <c r="A699">
        <v>760</v>
      </c>
      <c r="B699">
        <v>4</v>
      </c>
      <c r="C699" t="s">
        <v>873</v>
      </c>
      <c r="D699" t="s">
        <v>913</v>
      </c>
      <c r="E699" t="s">
        <v>693</v>
      </c>
      <c r="F699" t="s">
        <v>10835</v>
      </c>
      <c r="G699" t="str">
        <f>VLOOKUP(E699,Table145678910111213141545678910111213146[[CODE]:[Email Local]],4,0)</f>
        <v>son6.00082</v>
      </c>
      <c r="H699">
        <f>VLOOKUP(E699,Table145678910111213141545678910111213146[[CODE]:[Email Local]],6,0)</f>
        <v>0</v>
      </c>
      <c r="J699" t="s">
        <v>67</v>
      </c>
      <c r="K699" s="389">
        <v>45402</v>
      </c>
      <c r="L699" s="389"/>
      <c r="M699" s="389"/>
      <c r="N699" t="s">
        <v>915</v>
      </c>
    </row>
    <row r="700" spans="1:14" hidden="1">
      <c r="A700">
        <v>764</v>
      </c>
      <c r="B700">
        <v>8</v>
      </c>
      <c r="C700" t="s">
        <v>873</v>
      </c>
      <c r="D700" t="s">
        <v>1285</v>
      </c>
      <c r="E700" t="s">
        <v>180</v>
      </c>
      <c r="F700" t="s">
        <v>10839</v>
      </c>
      <c r="G700" t="str">
        <f>VLOOKUP(E700,Table145678910111213141545678910111213146[[CODE]:[Email Local]],4,0)</f>
        <v>00834.quynh</v>
      </c>
      <c r="H700">
        <f>VLOOKUP(E700,Table145678910111213141545678910111213146[[CODE]:[Email Local]],6,0)</f>
        <v>0</v>
      </c>
      <c r="J700" t="s">
        <v>67</v>
      </c>
      <c r="K700" s="389">
        <v>45432</v>
      </c>
      <c r="L700" s="389"/>
      <c r="M700" s="389"/>
      <c r="N700" t="s">
        <v>915</v>
      </c>
    </row>
    <row r="701" spans="1:14" hidden="1">
      <c r="C701" t="s">
        <v>873</v>
      </c>
      <c r="D701" t="s">
        <v>9707</v>
      </c>
      <c r="E701" t="s">
        <v>8681</v>
      </c>
      <c r="F701" t="s">
        <v>10840</v>
      </c>
      <c r="G701" t="str">
        <f>VLOOKUP(E701,Table145678910111213141545678910111213146[[CODE]:[Email Local]],4,0)</f>
        <v>26470.anh</v>
      </c>
      <c r="H701">
        <f>VLOOKUP(E701,Table145678910111213141545678910111213146[[CODE]:[Email Local]],6,0)</f>
        <v>0</v>
      </c>
      <c r="J701" t="s">
        <v>67</v>
      </c>
      <c r="K701" s="389">
        <v>46002</v>
      </c>
      <c r="L701" s="389"/>
      <c r="M701" s="389"/>
      <c r="N701" t="e">
        <v>#N/A</v>
      </c>
    </row>
    <row r="702" spans="1:14" hidden="1">
      <c r="A702">
        <v>757</v>
      </c>
      <c r="B702">
        <v>1</v>
      </c>
      <c r="C702" t="s">
        <v>873</v>
      </c>
      <c r="D702" t="s">
        <v>6014</v>
      </c>
      <c r="E702" t="s">
        <v>690</v>
      </c>
      <c r="F702" t="s">
        <v>10832</v>
      </c>
      <c r="G702" t="str">
        <f>VLOOKUP(E702,Table145678910111213141545678910111213146[[CODE]:[Email Local]],4,0)</f>
        <v>18433.long</v>
      </c>
      <c r="H702" t="str">
        <f>VLOOKUP(E702,Table145678910111213141545678910111213146[[CODE]:[Email Local]],6,0)</f>
        <v>ok</v>
      </c>
      <c r="J702" t="s">
        <v>67</v>
      </c>
      <c r="K702" s="389">
        <v>45402</v>
      </c>
      <c r="L702" s="389">
        <v>45580</v>
      </c>
      <c r="M702" s="389"/>
      <c r="N702" t="e">
        <v>#N/A</v>
      </c>
    </row>
    <row r="703" spans="1:14" hidden="1">
      <c r="A703">
        <v>758</v>
      </c>
      <c r="B703">
        <v>2</v>
      </c>
      <c r="C703" t="s">
        <v>873</v>
      </c>
      <c r="D703" t="s">
        <v>4142</v>
      </c>
      <c r="E703" t="s">
        <v>691</v>
      </c>
      <c r="F703" t="s">
        <v>10833</v>
      </c>
      <c r="G703" t="str">
        <f>VLOOKUP(E703,Table145678910111213141545678910111213146[[CODE]:[Email Local]],4,0)</f>
        <v>10452.cuong</v>
      </c>
      <c r="H703" t="str">
        <f>VLOOKUP(E703,Table145678910111213141545678910111213146[[CODE]:[Email Local]],6,0)</f>
        <v>ok</v>
      </c>
      <c r="J703" t="s">
        <v>67</v>
      </c>
      <c r="K703" s="389">
        <v>45402</v>
      </c>
      <c r="L703" s="389"/>
      <c r="M703" s="389"/>
      <c r="N703" t="s">
        <v>1215</v>
      </c>
    </row>
    <row r="704" spans="1:14" hidden="1">
      <c r="A704">
        <v>759</v>
      </c>
      <c r="B704">
        <v>3</v>
      </c>
      <c r="C704" t="s">
        <v>873</v>
      </c>
      <c r="D704" t="s">
        <v>7146</v>
      </c>
      <c r="E704" t="s">
        <v>692</v>
      </c>
      <c r="F704" t="s">
        <v>10834</v>
      </c>
      <c r="G704" t="str">
        <f>VLOOKUP(E704,Table145678910111213141545678910111213146[[CODE]:[Email Local]],4,0)</f>
        <v>son6.22757</v>
      </c>
      <c r="H704" t="str">
        <f>VLOOKUP(E704,Table145678910111213141545678910111213146[[CODE]:[Email Local]],6,0)</f>
        <v>ok</v>
      </c>
      <c r="J704" t="s">
        <v>67</v>
      </c>
      <c r="K704" s="389">
        <v>45402</v>
      </c>
      <c r="L704" s="389"/>
      <c r="M704" s="389"/>
      <c r="N704" t="s">
        <v>915</v>
      </c>
    </row>
    <row r="705" spans="1:14" hidden="1">
      <c r="A705">
        <v>762</v>
      </c>
      <c r="B705">
        <v>6</v>
      </c>
      <c r="C705" t="s">
        <v>873</v>
      </c>
      <c r="D705" t="s">
        <v>6691</v>
      </c>
      <c r="E705" t="s">
        <v>7798</v>
      </c>
      <c r="F705" t="s">
        <v>10837</v>
      </c>
      <c r="G705" t="str">
        <f>VLOOKUP(E705,Table145678910111213141545678910111213146[[CODE]:[Email Local]],4,0)</f>
        <v>20977.hanh</v>
      </c>
      <c r="H705" t="str">
        <f>VLOOKUP(E705,Table145678910111213141545678910111213146[[CODE]:[Email Local]],6,0)</f>
        <v>ok</v>
      </c>
      <c r="J705" t="s">
        <v>67</v>
      </c>
      <c r="K705" s="389">
        <v>45474</v>
      </c>
      <c r="L705" s="389"/>
      <c r="M705" s="389"/>
      <c r="N705" t="s">
        <v>915</v>
      </c>
    </row>
    <row r="706" spans="1:14" hidden="1">
      <c r="A706">
        <v>763</v>
      </c>
      <c r="B706">
        <v>7</v>
      </c>
      <c r="C706" t="s">
        <v>873</v>
      </c>
      <c r="D706" t="s">
        <v>4694</v>
      </c>
      <c r="E706" t="s">
        <v>7973</v>
      </c>
      <c r="F706" t="s">
        <v>10838</v>
      </c>
      <c r="G706" t="str">
        <f>VLOOKUP(E706,Table145678910111213141545678910111213146[[CODE]:[Email Local]],4,0)</f>
        <v>12479.van</v>
      </c>
      <c r="H706" t="str">
        <f>VLOOKUP(E706,Table145678910111213141545678910111213146[[CODE]:[Email Local]],6,0)</f>
        <v>ok</v>
      </c>
      <c r="J706" t="s">
        <v>67</v>
      </c>
      <c r="K706" s="389">
        <v>45580</v>
      </c>
      <c r="L706" s="389"/>
      <c r="M706" s="389"/>
      <c r="N706" t="s">
        <v>915</v>
      </c>
    </row>
    <row r="707" spans="1:14" hidden="1">
      <c r="A707">
        <v>522</v>
      </c>
      <c r="B707">
        <v>1</v>
      </c>
      <c r="C707" t="s">
        <v>874</v>
      </c>
      <c r="D707" t="s">
        <v>9429</v>
      </c>
      <c r="E707" t="s">
        <v>516</v>
      </c>
      <c r="F707" t="s">
        <v>10603</v>
      </c>
      <c r="G707" t="str">
        <f>VLOOKUP(E707,Table145678910111213141545678910111213146[[CODE]:[Email Local]],4,0)</f>
        <v>kt.1919</v>
      </c>
      <c r="H707">
        <f>VLOOKUP(E707,Table145678910111213141545678910111213146[[CODE]:[Email Local]],6,0)</f>
        <v>0</v>
      </c>
      <c r="J707" t="s">
        <v>67</v>
      </c>
      <c r="K707" s="389">
        <v>45434</v>
      </c>
      <c r="L707" s="389">
        <v>45803</v>
      </c>
      <c r="M707" s="389">
        <v>45803</v>
      </c>
      <c r="N707" t="e">
        <v>#N/A</v>
      </c>
    </row>
    <row r="708" spans="1:14" hidden="1">
      <c r="A708">
        <v>523</v>
      </c>
      <c r="B708">
        <v>2</v>
      </c>
      <c r="C708" t="s">
        <v>874</v>
      </c>
      <c r="D708" t="s">
        <v>1086</v>
      </c>
      <c r="E708" t="s">
        <v>517</v>
      </c>
      <c r="F708" t="s">
        <v>10604</v>
      </c>
      <c r="G708" t="str">
        <f>VLOOKUP(E708,Table145678910111213141545678910111213146[[CODE]:[Email Local]],4,0)</f>
        <v>kt.464</v>
      </c>
      <c r="H708">
        <f>VLOOKUP(E708,Table145678910111213141545678910111213146[[CODE]:[Email Local]],6,0)</f>
        <v>0</v>
      </c>
      <c r="J708" t="s">
        <v>67</v>
      </c>
      <c r="K708" s="389">
        <v>45434</v>
      </c>
      <c r="L708" s="389"/>
      <c r="M708" s="389"/>
      <c r="N708" t="s">
        <v>759</v>
      </c>
    </row>
    <row r="709" spans="1:14" hidden="1">
      <c r="A709">
        <v>524</v>
      </c>
      <c r="B709">
        <v>3</v>
      </c>
      <c r="C709" t="s">
        <v>874</v>
      </c>
      <c r="D709" t="s">
        <v>3988</v>
      </c>
      <c r="E709" t="s">
        <v>518</v>
      </c>
      <c r="F709" t="s">
        <v>10605</v>
      </c>
      <c r="G709" t="str">
        <f>VLOOKUP(E709,Table145678910111213141545678910111213146[[CODE]:[Email Local]],4,0)</f>
        <v>kt.9879</v>
      </c>
      <c r="H709">
        <f>VLOOKUP(E709,Table145678910111213141545678910111213146[[CODE]:[Email Local]],6,0)</f>
        <v>0</v>
      </c>
      <c r="J709" t="s">
        <v>67</v>
      </c>
      <c r="K709" s="389">
        <v>45434</v>
      </c>
      <c r="L709" s="389"/>
      <c r="M709" s="389"/>
      <c r="N709" t="s">
        <v>759</v>
      </c>
    </row>
    <row r="710" spans="1:14" hidden="1">
      <c r="A710">
        <v>525</v>
      </c>
      <c r="B710">
        <v>4</v>
      </c>
      <c r="C710" t="s">
        <v>874</v>
      </c>
      <c r="D710" t="s">
        <v>1530</v>
      </c>
      <c r="E710" t="s">
        <v>519</v>
      </c>
      <c r="F710" t="s">
        <v>10606</v>
      </c>
      <c r="G710" t="str">
        <f>VLOOKUP(E710,Table145678910111213141545678910111213146[[CODE]:[Email Local]],4,0)</f>
        <v>kt.1386</v>
      </c>
      <c r="H710">
        <f>VLOOKUP(E710,Table145678910111213141545678910111213146[[CODE]:[Email Local]],6,0)</f>
        <v>0</v>
      </c>
      <c r="J710" t="s">
        <v>67</v>
      </c>
      <c r="K710" s="389">
        <v>45434</v>
      </c>
      <c r="L710" s="389"/>
      <c r="M710" s="389"/>
      <c r="N710" t="s">
        <v>759</v>
      </c>
    </row>
    <row r="711" spans="1:14" hidden="1">
      <c r="A711">
        <v>526</v>
      </c>
      <c r="B711">
        <v>5</v>
      </c>
      <c r="C711" t="s">
        <v>874</v>
      </c>
      <c r="D711" t="s">
        <v>3857</v>
      </c>
      <c r="E711" t="s">
        <v>520</v>
      </c>
      <c r="F711" t="s">
        <v>10607</v>
      </c>
      <c r="G711" t="str">
        <f>VLOOKUP(E711,Table145678910111213141545678910111213146[[CODE]:[Email Local]],4,0)</f>
        <v>kt.14021</v>
      </c>
      <c r="H711">
        <f>VLOOKUP(E711,Table145678910111213141545678910111213146[[CODE]:[Email Local]],6,0)</f>
        <v>0</v>
      </c>
      <c r="J711" t="s">
        <v>67</v>
      </c>
      <c r="K711" s="389">
        <v>45434</v>
      </c>
      <c r="L711" s="389"/>
      <c r="M711" s="389"/>
      <c r="N711" t="s">
        <v>759</v>
      </c>
    </row>
    <row r="712" spans="1:14" hidden="1">
      <c r="A712">
        <v>527</v>
      </c>
      <c r="B712">
        <v>6</v>
      </c>
      <c r="C712" t="s">
        <v>874</v>
      </c>
      <c r="D712" t="s">
        <v>3410</v>
      </c>
      <c r="E712" t="s">
        <v>521</v>
      </c>
      <c r="F712" t="s">
        <v>10608</v>
      </c>
      <c r="G712" t="str">
        <f>VLOOKUP(E712,Table145678910111213141545678910111213146[[CODE]:[Email Local]],4,0)</f>
        <v>kt.7843</v>
      </c>
      <c r="H712">
        <f>VLOOKUP(E712,Table145678910111213141545678910111213146[[CODE]:[Email Local]],6,0)</f>
        <v>0</v>
      </c>
      <c r="J712" t="s">
        <v>67</v>
      </c>
      <c r="K712" s="389">
        <v>45434</v>
      </c>
      <c r="L712" s="389"/>
      <c r="M712" s="389"/>
      <c r="N712" t="s">
        <v>759</v>
      </c>
    </row>
    <row r="713" spans="1:14" hidden="1">
      <c r="A713">
        <v>528</v>
      </c>
      <c r="B713">
        <v>7</v>
      </c>
      <c r="C713" t="s">
        <v>874</v>
      </c>
      <c r="D713" t="s">
        <v>1576</v>
      </c>
      <c r="E713" t="s">
        <v>522</v>
      </c>
      <c r="F713" t="s">
        <v>10609</v>
      </c>
      <c r="G713" t="str">
        <f>VLOOKUP(E713,Table145678910111213141545678910111213146[[CODE]:[Email Local]],4,0)</f>
        <v>kt.1527</v>
      </c>
      <c r="H713">
        <f>VLOOKUP(E713,Table145678910111213141545678910111213146[[CODE]:[Email Local]],6,0)</f>
        <v>0</v>
      </c>
      <c r="J713" t="s">
        <v>67</v>
      </c>
      <c r="K713" s="389">
        <v>45434</v>
      </c>
      <c r="L713" s="389"/>
      <c r="M713" s="389"/>
      <c r="N713" t="s">
        <v>759</v>
      </c>
    </row>
    <row r="714" spans="1:14" hidden="1">
      <c r="A714">
        <v>529</v>
      </c>
      <c r="B714">
        <v>8</v>
      </c>
      <c r="C714" t="s">
        <v>874</v>
      </c>
      <c r="D714" t="s">
        <v>1372</v>
      </c>
      <c r="E714" t="s">
        <v>523</v>
      </c>
      <c r="F714" t="s">
        <v>10610</v>
      </c>
      <c r="G714" t="str">
        <f>VLOOKUP(E714,Table145678910111213141545678910111213146[[CODE]:[Email Local]],4,0)</f>
        <v>kt.1015</v>
      </c>
      <c r="H714">
        <f>VLOOKUP(E714,Table145678910111213141545678910111213146[[CODE]:[Email Local]],6,0)</f>
        <v>0</v>
      </c>
      <c r="J714" t="s">
        <v>67</v>
      </c>
      <c r="K714" s="389">
        <v>45434</v>
      </c>
      <c r="L714" s="389"/>
      <c r="M714" s="389"/>
      <c r="N714" t="s">
        <v>759</v>
      </c>
    </row>
    <row r="715" spans="1:14" hidden="1">
      <c r="A715">
        <v>530</v>
      </c>
      <c r="B715">
        <v>9</v>
      </c>
      <c r="C715" t="s">
        <v>874</v>
      </c>
      <c r="D715" t="s">
        <v>2411</v>
      </c>
      <c r="E715" t="s">
        <v>524</v>
      </c>
      <c r="F715" t="s">
        <v>10611</v>
      </c>
      <c r="G715" t="str">
        <f>VLOOKUP(E715,Table145678910111213141545678910111213146[[CODE]:[Email Local]],4,0)</f>
        <v>kt.4197</v>
      </c>
      <c r="H715">
        <f>VLOOKUP(E715,Table145678910111213141545678910111213146[[CODE]:[Email Local]],6,0)</f>
        <v>0</v>
      </c>
      <c r="J715" t="s">
        <v>67</v>
      </c>
      <c r="K715" s="389">
        <v>45434</v>
      </c>
      <c r="L715" s="389"/>
      <c r="M715" s="389"/>
      <c r="N715" t="s">
        <v>759</v>
      </c>
    </row>
    <row r="716" spans="1:14" hidden="1">
      <c r="A716">
        <v>531</v>
      </c>
      <c r="B716">
        <v>10</v>
      </c>
      <c r="C716" t="s">
        <v>874</v>
      </c>
      <c r="D716" t="s">
        <v>10898</v>
      </c>
      <c r="E716" t="s">
        <v>526</v>
      </c>
      <c r="F716" t="s">
        <v>10612</v>
      </c>
      <c r="G716" t="str">
        <f>VLOOKUP(E716,Table145678910111213141545678910111213146[[CODE]:[Email Local]],4,0)</f>
        <v>kt.662</v>
      </c>
      <c r="H716">
        <f>VLOOKUP(E716,Table145678910111213141545678910111213146[[CODE]:[Email Local]],6,0)</f>
        <v>0</v>
      </c>
      <c r="J716" t="s">
        <v>67</v>
      </c>
      <c r="K716" s="389">
        <v>45434</v>
      </c>
      <c r="L716" s="389"/>
      <c r="M716" s="389"/>
      <c r="N716" t="s">
        <v>759</v>
      </c>
    </row>
    <row r="717" spans="1:14" hidden="1">
      <c r="A717">
        <v>532</v>
      </c>
      <c r="B717">
        <v>11</v>
      </c>
      <c r="C717" t="s">
        <v>874</v>
      </c>
      <c r="D717" t="s">
        <v>1500</v>
      </c>
      <c r="E717" t="s">
        <v>527</v>
      </c>
      <c r="F717" t="s">
        <v>10613</v>
      </c>
      <c r="G717" t="str">
        <f>VLOOKUP(E717,Table145678910111213141545678910111213146[[CODE]:[Email Local]],4,0)</f>
        <v>kt.1294</v>
      </c>
      <c r="H717">
        <f>VLOOKUP(E717,Table145678910111213141545678910111213146[[CODE]:[Email Local]],6,0)</f>
        <v>0</v>
      </c>
      <c r="J717" t="s">
        <v>67</v>
      </c>
      <c r="K717" s="389">
        <v>45434</v>
      </c>
      <c r="L717" s="389"/>
      <c r="M717" s="389"/>
      <c r="N717" t="s">
        <v>759</v>
      </c>
    </row>
    <row r="718" spans="1:14" hidden="1">
      <c r="A718">
        <v>533</v>
      </c>
      <c r="B718">
        <v>12</v>
      </c>
      <c r="C718" t="s">
        <v>874</v>
      </c>
      <c r="D718" t="s">
        <v>7215</v>
      </c>
      <c r="E718" t="s">
        <v>528</v>
      </c>
      <c r="F718" t="s">
        <v>10614</v>
      </c>
      <c r="G718" t="e">
        <f>VLOOKUP(E718,Table145678910111213141545678910111213146[[CODE]:[Email Local]],4,0)</f>
        <v>#N/A</v>
      </c>
      <c r="H718" t="e">
        <f>VLOOKUP(E718,Table145678910111213141545678910111213146[[CODE]:[Email Local]],6,0)</f>
        <v>#N/A</v>
      </c>
      <c r="J718" t="s">
        <v>67</v>
      </c>
      <c r="K718" s="389">
        <v>45434</v>
      </c>
      <c r="L718" s="389"/>
      <c r="M718" s="389"/>
      <c r="N718" t="s">
        <v>759</v>
      </c>
    </row>
    <row r="719" spans="1:14" hidden="1">
      <c r="A719">
        <v>534</v>
      </c>
      <c r="B719">
        <v>13</v>
      </c>
      <c r="C719" t="s">
        <v>874</v>
      </c>
      <c r="D719" t="s">
        <v>1939</v>
      </c>
      <c r="E719" t="s">
        <v>529</v>
      </c>
      <c r="F719" t="s">
        <v>10615</v>
      </c>
      <c r="G719" t="str">
        <f>VLOOKUP(E719,Table145678910111213141545678910111213146[[CODE]:[Email Local]],4,0)</f>
        <v>kt.2646</v>
      </c>
      <c r="H719">
        <f>VLOOKUP(E719,Table145678910111213141545678910111213146[[CODE]:[Email Local]],6,0)</f>
        <v>0</v>
      </c>
      <c r="J719" t="s">
        <v>67</v>
      </c>
      <c r="K719" s="389">
        <v>45434</v>
      </c>
      <c r="L719" s="389"/>
      <c r="M719" s="389"/>
      <c r="N719" t="s">
        <v>759</v>
      </c>
    </row>
    <row r="720" spans="1:14" hidden="1">
      <c r="A720">
        <v>535</v>
      </c>
      <c r="B720">
        <v>14</v>
      </c>
      <c r="C720" t="s">
        <v>874</v>
      </c>
      <c r="D720" t="s">
        <v>2286</v>
      </c>
      <c r="E720" t="s">
        <v>530</v>
      </c>
      <c r="F720" t="s">
        <v>10616</v>
      </c>
      <c r="G720" t="str">
        <f>VLOOKUP(E720,Table145678910111213141545678910111213146[[CODE]:[Email Local]],4,0)</f>
        <v>kt.3615</v>
      </c>
      <c r="H720">
        <f>VLOOKUP(E720,Table145678910111213141545678910111213146[[CODE]:[Email Local]],6,0)</f>
        <v>0</v>
      </c>
      <c r="J720" t="s">
        <v>67</v>
      </c>
      <c r="K720" s="389">
        <v>45434</v>
      </c>
      <c r="L720" s="389"/>
      <c r="M720" s="389"/>
      <c r="N720" t="s">
        <v>759</v>
      </c>
    </row>
    <row r="721" spans="1:14" hidden="1">
      <c r="A721">
        <v>536</v>
      </c>
      <c r="B721">
        <v>15</v>
      </c>
      <c r="C721" t="s">
        <v>874</v>
      </c>
      <c r="D721" t="s">
        <v>531</v>
      </c>
      <c r="E721" t="s">
        <v>531</v>
      </c>
      <c r="F721" t="s">
        <v>532</v>
      </c>
      <c r="G721" t="e">
        <f>VLOOKUP(E721,Table145678910111213141545678910111213146[[CODE]:[Email Local]],4,0)</f>
        <v>#N/A</v>
      </c>
      <c r="H721" t="e">
        <f>VLOOKUP(E721,Table145678910111213141545678910111213146[[CODE]:[Email Local]],6,0)</f>
        <v>#N/A</v>
      </c>
      <c r="J721" t="s">
        <v>67</v>
      </c>
      <c r="K721" s="389">
        <v>45434</v>
      </c>
      <c r="L721" s="389"/>
      <c r="M721" s="389"/>
      <c r="N721" t="e">
        <v>#N/A</v>
      </c>
    </row>
    <row r="722" spans="1:14" hidden="1">
      <c r="A722">
        <v>537</v>
      </c>
      <c r="B722">
        <v>16</v>
      </c>
      <c r="C722" t="s">
        <v>874</v>
      </c>
      <c r="D722" t="s">
        <v>1574</v>
      </c>
      <c r="E722" t="s">
        <v>533</v>
      </c>
      <c r="F722" t="s">
        <v>10617</v>
      </c>
      <c r="G722" t="str">
        <f>VLOOKUP(E722,Table145678910111213141545678910111213146[[CODE]:[Email Local]],4,0)</f>
        <v>kt.1525</v>
      </c>
      <c r="H722">
        <f>VLOOKUP(E722,Table145678910111213141545678910111213146[[CODE]:[Email Local]],6,0)</f>
        <v>0</v>
      </c>
      <c r="J722" t="s">
        <v>67</v>
      </c>
      <c r="K722" s="389">
        <v>45434</v>
      </c>
      <c r="L722" s="389"/>
      <c r="M722" s="389"/>
      <c r="N722" t="s">
        <v>759</v>
      </c>
    </row>
    <row r="723" spans="1:14" hidden="1">
      <c r="A723">
        <v>538</v>
      </c>
      <c r="B723">
        <v>17</v>
      </c>
      <c r="C723" t="s">
        <v>874</v>
      </c>
      <c r="D723" t="s">
        <v>1586</v>
      </c>
      <c r="E723" t="s">
        <v>525</v>
      </c>
      <c r="F723" t="s">
        <v>10618</v>
      </c>
      <c r="G723" t="str">
        <f>VLOOKUP(E723,Table145678910111213141545678910111213146[[CODE]:[Email Local]],4,0)</f>
        <v>kt.1555</v>
      </c>
      <c r="H723">
        <f>VLOOKUP(E723,Table145678910111213141545678910111213146[[CODE]:[Email Local]],6,0)</f>
        <v>0</v>
      </c>
      <c r="J723" t="s">
        <v>67</v>
      </c>
      <c r="K723" s="389">
        <v>45434</v>
      </c>
      <c r="L723" s="389"/>
      <c r="M723" s="389"/>
      <c r="N723" t="s">
        <v>759</v>
      </c>
    </row>
    <row r="724" spans="1:14" hidden="1">
      <c r="A724">
        <v>539</v>
      </c>
      <c r="B724">
        <v>18</v>
      </c>
      <c r="C724" t="s">
        <v>874</v>
      </c>
      <c r="D724" t="s">
        <v>8226</v>
      </c>
      <c r="E724" t="s">
        <v>8027</v>
      </c>
      <c r="F724" t="s">
        <v>10619</v>
      </c>
      <c r="G724" t="str">
        <f>VLOOKUP(E724,Table145678910111213141545678910111213146[[CODE]:[Email Local]],4,0)</f>
        <v>25677.vuong</v>
      </c>
      <c r="H724">
        <f>VLOOKUP(E724,Table145678910111213141545678910111213146[[CODE]:[Email Local]],6,0)</f>
        <v>0</v>
      </c>
      <c r="J724" t="s">
        <v>67</v>
      </c>
      <c r="K724" s="389">
        <v>45803</v>
      </c>
      <c r="L724" s="389"/>
      <c r="M724" s="389"/>
      <c r="N724" t="s">
        <v>759</v>
      </c>
    </row>
    <row r="725" spans="1:14" hidden="1">
      <c r="A725">
        <v>237</v>
      </c>
      <c r="B725">
        <v>1</v>
      </c>
      <c r="C725" t="s">
        <v>875</v>
      </c>
      <c r="D725" t="s">
        <v>3668</v>
      </c>
      <c r="E725" t="s">
        <v>276</v>
      </c>
      <c r="F725" t="s">
        <v>10328</v>
      </c>
      <c r="G725" t="str">
        <f>VLOOKUP(E725,Table145678910111213141545678910111213146[[CODE]:[Email Local]],4,0)</f>
        <v>24337.van</v>
      </c>
      <c r="H725">
        <f>VLOOKUP(E725,Table145678910111213141545678910111213146[[CODE]:[Email Local]],6,0)</f>
        <v>0</v>
      </c>
      <c r="J725" t="s">
        <v>67</v>
      </c>
      <c r="K725" s="389">
        <v>45415</v>
      </c>
      <c r="L725" s="389"/>
      <c r="M725" s="389"/>
      <c r="N725" t="s">
        <v>1191</v>
      </c>
    </row>
    <row r="726" spans="1:14" hidden="1">
      <c r="A726">
        <v>238</v>
      </c>
      <c r="B726">
        <v>2</v>
      </c>
      <c r="C726" t="s">
        <v>875</v>
      </c>
      <c r="D726" t="s">
        <v>4320</v>
      </c>
      <c r="E726" t="s">
        <v>277</v>
      </c>
      <c r="F726" t="s">
        <v>10329</v>
      </c>
      <c r="G726" t="str">
        <f>VLOOKUP(E726,Table145678910111213141545678910111213146[[CODE]:[Email Local]],4,0)</f>
        <v>tm.10949</v>
      </c>
      <c r="H726">
        <f>VLOOKUP(E726,Table145678910111213141545678910111213146[[CODE]:[Email Local]],6,0)</f>
        <v>0</v>
      </c>
      <c r="J726" t="s">
        <v>67</v>
      </c>
      <c r="K726" s="389">
        <v>45415</v>
      </c>
      <c r="L726" s="389"/>
      <c r="M726" s="389"/>
      <c r="N726" t="s">
        <v>1191</v>
      </c>
    </row>
    <row r="727" spans="1:14" hidden="1">
      <c r="A727">
        <v>239</v>
      </c>
      <c r="B727">
        <v>3</v>
      </c>
      <c r="C727" t="s">
        <v>875</v>
      </c>
      <c r="D727" t="s">
        <v>5621</v>
      </c>
      <c r="E727" t="s">
        <v>278</v>
      </c>
      <c r="F727" t="s">
        <v>10330</v>
      </c>
      <c r="G727" t="str">
        <f>VLOOKUP(E727,Table145678910111213141545678910111213146[[CODE]:[Email Local]],4,0)</f>
        <v>tm.17064</v>
      </c>
      <c r="H727">
        <f>VLOOKUP(E727,Table145678910111213141545678910111213146[[CODE]:[Email Local]],6,0)</f>
        <v>0</v>
      </c>
      <c r="J727" t="s">
        <v>67</v>
      </c>
      <c r="K727" s="389">
        <v>45415</v>
      </c>
      <c r="L727" s="389"/>
      <c r="M727" s="389"/>
      <c r="N727" t="s">
        <v>1191</v>
      </c>
    </row>
    <row r="728" spans="1:14" hidden="1">
      <c r="A728">
        <v>240</v>
      </c>
      <c r="B728">
        <v>4</v>
      </c>
      <c r="C728" t="s">
        <v>875</v>
      </c>
      <c r="D728" t="s">
        <v>1818</v>
      </c>
      <c r="E728" t="s">
        <v>279</v>
      </c>
      <c r="F728" t="s">
        <v>10331</v>
      </c>
      <c r="G728" t="str">
        <f>VLOOKUP(E728,Table145678910111213141545678910111213146[[CODE]:[Email Local]],4,0)</f>
        <v>tm.17952</v>
      </c>
      <c r="H728">
        <f>VLOOKUP(E728,Table145678910111213141545678910111213146[[CODE]:[Email Local]],6,0)</f>
        <v>0</v>
      </c>
      <c r="J728" t="s">
        <v>67</v>
      </c>
      <c r="K728" s="389">
        <v>45415</v>
      </c>
      <c r="L728" s="389"/>
      <c r="M728" s="389"/>
      <c r="N728" t="s">
        <v>1191</v>
      </c>
    </row>
    <row r="729" spans="1:14" hidden="1">
      <c r="A729">
        <v>241</v>
      </c>
      <c r="B729">
        <v>5</v>
      </c>
      <c r="C729" t="s">
        <v>875</v>
      </c>
      <c r="D729" t="s">
        <v>5565</v>
      </c>
      <c r="E729" t="s">
        <v>280</v>
      </c>
      <c r="F729" t="s">
        <v>10332</v>
      </c>
      <c r="G729" t="e">
        <f>VLOOKUP(E729,Table145678910111213141545678910111213146[[CODE]:[Email Local]],4,0)</f>
        <v>#N/A</v>
      </c>
      <c r="H729" t="e">
        <f>VLOOKUP(E729,Table145678910111213141545678910111213146[[CODE]:[Email Local]],6,0)</f>
        <v>#N/A</v>
      </c>
      <c r="J729" t="s">
        <v>67</v>
      </c>
      <c r="K729" s="389">
        <v>45415</v>
      </c>
      <c r="L729" s="389"/>
      <c r="M729" s="389"/>
      <c r="N729" t="s">
        <v>1191</v>
      </c>
    </row>
    <row r="730" spans="1:14" hidden="1">
      <c r="A730">
        <v>242</v>
      </c>
      <c r="B730">
        <v>6</v>
      </c>
      <c r="C730" t="s">
        <v>875</v>
      </c>
      <c r="D730" t="s">
        <v>5963</v>
      </c>
      <c r="E730" t="s">
        <v>281</v>
      </c>
      <c r="F730" t="s">
        <v>10333</v>
      </c>
      <c r="G730" t="str">
        <f>VLOOKUP(E730,Table145678910111213141545678910111213146[[CODE]:[Email Local]],4,0)</f>
        <v>tm.18155</v>
      </c>
      <c r="H730">
        <f>VLOOKUP(E730,Table145678910111213141545678910111213146[[CODE]:[Email Local]],6,0)</f>
        <v>0</v>
      </c>
      <c r="J730" t="s">
        <v>67</v>
      </c>
      <c r="K730" s="389">
        <v>45415</v>
      </c>
      <c r="L730" s="389"/>
      <c r="M730" s="389"/>
      <c r="N730" t="s">
        <v>1191</v>
      </c>
    </row>
    <row r="731" spans="1:14" hidden="1">
      <c r="A731">
        <v>243</v>
      </c>
      <c r="B731">
        <v>7</v>
      </c>
      <c r="C731" t="s">
        <v>875</v>
      </c>
      <c r="D731" t="s">
        <v>6263</v>
      </c>
      <c r="E731" t="s">
        <v>282</v>
      </c>
      <c r="F731" t="s">
        <v>10334</v>
      </c>
      <c r="G731" t="str">
        <f>VLOOKUP(E731,Table145678910111213141545678910111213146[[CODE]:[Email Local]],4,0)</f>
        <v>tm.19343</v>
      </c>
      <c r="H731">
        <f>VLOOKUP(E731,Table145678910111213141545678910111213146[[CODE]:[Email Local]],6,0)</f>
        <v>0</v>
      </c>
      <c r="J731" t="s">
        <v>67</v>
      </c>
      <c r="K731" s="389">
        <v>45415</v>
      </c>
      <c r="L731" s="389"/>
      <c r="M731" s="389"/>
      <c r="N731" t="s">
        <v>1191</v>
      </c>
    </row>
    <row r="732" spans="1:14" hidden="1">
      <c r="A732">
        <v>244</v>
      </c>
      <c r="B732">
        <v>8</v>
      </c>
      <c r="C732" t="s">
        <v>875</v>
      </c>
      <c r="D732" t="s">
        <v>1595</v>
      </c>
      <c r="E732" t="s">
        <v>283</v>
      </c>
      <c r="F732" t="s">
        <v>10335</v>
      </c>
      <c r="G732" t="str">
        <f>VLOOKUP(E732,Table145678910111213141545678910111213146[[CODE]:[Email Local]],4,0)</f>
        <v>tm.01574</v>
      </c>
      <c r="H732">
        <f>VLOOKUP(E732,Table145678910111213141545678910111213146[[CODE]:[Email Local]],6,0)</f>
        <v>0</v>
      </c>
      <c r="J732" t="s">
        <v>67</v>
      </c>
      <c r="K732" s="389">
        <v>45415</v>
      </c>
      <c r="L732" s="389"/>
      <c r="M732" s="389"/>
      <c r="N732" t="s">
        <v>1191</v>
      </c>
    </row>
    <row r="733" spans="1:14" hidden="1">
      <c r="A733">
        <v>245</v>
      </c>
      <c r="B733">
        <v>9</v>
      </c>
      <c r="C733" t="s">
        <v>875</v>
      </c>
      <c r="D733" t="s">
        <v>7034</v>
      </c>
      <c r="E733" t="s">
        <v>284</v>
      </c>
      <c r="F733" t="s">
        <v>10336</v>
      </c>
      <c r="G733" t="str">
        <f>VLOOKUP(E733,Table145678910111213141545678910111213146[[CODE]:[Email Local]],4,0)</f>
        <v>tm.22259</v>
      </c>
      <c r="H733">
        <f>VLOOKUP(E733,Table145678910111213141545678910111213146[[CODE]:[Email Local]],6,0)</f>
        <v>0</v>
      </c>
      <c r="J733" t="s">
        <v>67</v>
      </c>
      <c r="K733" s="389">
        <v>45415</v>
      </c>
      <c r="L733" s="389"/>
      <c r="M733" s="389"/>
      <c r="N733" t="s">
        <v>1191</v>
      </c>
    </row>
    <row r="734" spans="1:14" hidden="1">
      <c r="A734">
        <v>246</v>
      </c>
      <c r="B734">
        <v>10</v>
      </c>
      <c r="C734" t="s">
        <v>875</v>
      </c>
      <c r="D734" t="s">
        <v>6945</v>
      </c>
      <c r="E734" t="s">
        <v>285</v>
      </c>
      <c r="F734" t="s">
        <v>10337</v>
      </c>
      <c r="G734" t="str">
        <f>VLOOKUP(E734,Table145678910111213141545678910111213146[[CODE]:[Email Local]],4,0)</f>
        <v>24569.phuong</v>
      </c>
      <c r="H734">
        <f>VLOOKUP(E734,Table145678910111213141545678910111213146[[CODE]:[Email Local]],6,0)</f>
        <v>0</v>
      </c>
      <c r="J734" t="s">
        <v>67</v>
      </c>
      <c r="K734" s="389">
        <v>45415</v>
      </c>
      <c r="L734" s="389"/>
      <c r="M734" s="389"/>
      <c r="N734" t="s">
        <v>1191</v>
      </c>
    </row>
    <row r="735" spans="1:14" hidden="1">
      <c r="A735">
        <v>247</v>
      </c>
      <c r="B735">
        <v>11</v>
      </c>
      <c r="C735" t="s">
        <v>875</v>
      </c>
      <c r="D735" t="s">
        <v>10915</v>
      </c>
      <c r="E735" t="s">
        <v>286</v>
      </c>
      <c r="F735" t="s">
        <v>10338</v>
      </c>
      <c r="G735" t="str">
        <f>VLOOKUP(E735,Table145678910111213141545678910111213146[[CODE]:[Email Local]],4,0)</f>
        <v>24295.son</v>
      </c>
      <c r="H735">
        <f>VLOOKUP(E735,Table145678910111213141545678910111213146[[CODE]:[Email Local]],6,0)</f>
        <v>0</v>
      </c>
      <c r="J735" t="s">
        <v>67</v>
      </c>
      <c r="K735" s="389">
        <v>45415</v>
      </c>
      <c r="L735" s="389">
        <v>45806</v>
      </c>
      <c r="M735" s="389">
        <v>45806</v>
      </c>
      <c r="N735" t="e">
        <v>#N/A</v>
      </c>
    </row>
    <row r="736" spans="1:14" hidden="1">
      <c r="A736">
        <v>248</v>
      </c>
      <c r="B736">
        <v>12</v>
      </c>
      <c r="C736" t="s">
        <v>875</v>
      </c>
      <c r="D736" t="s">
        <v>3668</v>
      </c>
      <c r="E736" t="s">
        <v>287</v>
      </c>
      <c r="F736" t="s">
        <v>10339</v>
      </c>
      <c r="G736" t="str">
        <f>VLOOKUP(E736,Table145678910111213141545678910111213146[[CODE]:[Email Local]],4,0)</f>
        <v>tm.08898</v>
      </c>
      <c r="H736">
        <f>VLOOKUP(E736,Table145678910111213141545678910111213146[[CODE]:[Email Local]],6,0)</f>
        <v>0</v>
      </c>
      <c r="J736" t="s">
        <v>67</v>
      </c>
      <c r="K736" s="389">
        <v>45415</v>
      </c>
      <c r="L736" s="389"/>
      <c r="M736" s="389"/>
      <c r="N736" t="s">
        <v>1191</v>
      </c>
    </row>
    <row r="737" spans="1:14" hidden="1">
      <c r="A737">
        <v>249</v>
      </c>
      <c r="B737">
        <v>13</v>
      </c>
      <c r="C737" t="s">
        <v>875</v>
      </c>
      <c r="D737" t="s">
        <v>3638</v>
      </c>
      <c r="E737" t="s">
        <v>288</v>
      </c>
      <c r="F737" t="s">
        <v>10340</v>
      </c>
      <c r="G737" t="str">
        <f>VLOOKUP(E737,Table145678910111213141545678910111213146[[CODE]:[Email Local]],4,0)</f>
        <v>tm.08755</v>
      </c>
      <c r="H737">
        <f>VLOOKUP(E737,Table145678910111213141545678910111213146[[CODE]:[Email Local]],6,0)</f>
        <v>0</v>
      </c>
      <c r="J737" t="s">
        <v>67</v>
      </c>
      <c r="K737" s="389">
        <v>45415</v>
      </c>
      <c r="L737" s="389"/>
      <c r="M737" s="389"/>
      <c r="N737" t="s">
        <v>1191</v>
      </c>
    </row>
    <row r="738" spans="1:14" hidden="1">
      <c r="A738">
        <v>250</v>
      </c>
      <c r="B738">
        <v>14</v>
      </c>
      <c r="C738" t="s">
        <v>875</v>
      </c>
      <c r="D738" t="s">
        <v>6356</v>
      </c>
      <c r="E738" t="s">
        <v>289</v>
      </c>
      <c r="F738" t="s">
        <v>10341</v>
      </c>
      <c r="G738" t="e">
        <f>VLOOKUP(E738,Table145678910111213141545678910111213146[[CODE]:[Email Local]],4,0)</f>
        <v>#N/A</v>
      </c>
      <c r="H738" t="e">
        <f>VLOOKUP(E738,Table145678910111213141545678910111213146[[CODE]:[Email Local]],6,0)</f>
        <v>#N/A</v>
      </c>
      <c r="J738" t="s">
        <v>67</v>
      </c>
      <c r="K738" s="389">
        <v>45415</v>
      </c>
      <c r="L738" s="389"/>
      <c r="M738" s="389"/>
      <c r="N738" t="s">
        <v>1191</v>
      </c>
    </row>
    <row r="739" spans="1:14" hidden="1">
      <c r="A739">
        <v>251</v>
      </c>
      <c r="B739">
        <v>15</v>
      </c>
      <c r="C739" t="s">
        <v>875</v>
      </c>
      <c r="D739" t="s">
        <v>3951</v>
      </c>
      <c r="E739" t="s">
        <v>290</v>
      </c>
      <c r="F739" t="s">
        <v>10342</v>
      </c>
      <c r="G739" t="str">
        <f>VLOOKUP(E739,Table145678910111213141545678910111213146[[CODE]:[Email Local]],4,0)</f>
        <v>tm.13167</v>
      </c>
      <c r="H739">
        <f>VLOOKUP(E739,Table145678910111213141545678910111213146[[CODE]:[Email Local]],6,0)</f>
        <v>0</v>
      </c>
      <c r="J739" t="s">
        <v>67</v>
      </c>
      <c r="K739" s="389">
        <v>45415</v>
      </c>
      <c r="L739" s="389"/>
      <c r="M739" s="389"/>
      <c r="N739" t="s">
        <v>1191</v>
      </c>
    </row>
    <row r="740" spans="1:14" hidden="1">
      <c r="A740">
        <v>252</v>
      </c>
      <c r="B740">
        <v>16</v>
      </c>
      <c r="C740" t="s">
        <v>875</v>
      </c>
      <c r="D740" t="s">
        <v>3666</v>
      </c>
      <c r="E740" t="s">
        <v>291</v>
      </c>
      <c r="F740" t="s">
        <v>10343</v>
      </c>
      <c r="G740" t="str">
        <f>VLOOKUP(E740,Table145678910111213141545678910111213146[[CODE]:[Email Local]],4,0)</f>
        <v>tm.08894</v>
      </c>
      <c r="H740">
        <f>VLOOKUP(E740,Table145678910111213141545678910111213146[[CODE]:[Email Local]],6,0)</f>
        <v>0</v>
      </c>
      <c r="J740" t="s">
        <v>67</v>
      </c>
      <c r="K740" s="389">
        <v>45415</v>
      </c>
      <c r="L740" s="389"/>
      <c r="M740" s="389"/>
      <c r="N740" t="s">
        <v>1191</v>
      </c>
    </row>
    <row r="741" spans="1:14" hidden="1">
      <c r="A741">
        <v>253</v>
      </c>
      <c r="B741">
        <v>17</v>
      </c>
      <c r="C741" t="s">
        <v>875</v>
      </c>
      <c r="D741" t="s">
        <v>4924</v>
      </c>
      <c r="E741" t="s">
        <v>292</v>
      </c>
      <c r="F741" t="s">
        <v>10344</v>
      </c>
      <c r="G741" t="str">
        <f>VLOOKUP(E741,Table145678910111213141545678910111213146[[CODE]:[Email Local]],4,0)</f>
        <v>tm.16669</v>
      </c>
      <c r="H741">
        <f>VLOOKUP(E741,Table145678910111213141545678910111213146[[CODE]:[Email Local]],6,0)</f>
        <v>0</v>
      </c>
      <c r="J741" t="s">
        <v>67</v>
      </c>
      <c r="K741" s="389">
        <v>45415</v>
      </c>
      <c r="L741" s="389"/>
      <c r="M741" s="389"/>
      <c r="N741" t="s">
        <v>1191</v>
      </c>
    </row>
    <row r="742" spans="1:14" hidden="1">
      <c r="A742">
        <v>254</v>
      </c>
      <c r="B742">
        <v>18</v>
      </c>
      <c r="C742" t="s">
        <v>875</v>
      </c>
      <c r="D742" t="s">
        <v>5092</v>
      </c>
      <c r="E742" t="s">
        <v>293</v>
      </c>
      <c r="F742" t="s">
        <v>10345</v>
      </c>
      <c r="G742" t="str">
        <f>VLOOKUP(E742,Table145678910111213141545678910111213146[[CODE]:[Email Local]],4,0)</f>
        <v>tm.14595</v>
      </c>
      <c r="H742">
        <f>VLOOKUP(E742,Table145678910111213141545678910111213146[[CODE]:[Email Local]],6,0)</f>
        <v>0</v>
      </c>
      <c r="J742" t="s">
        <v>67</v>
      </c>
      <c r="K742" s="389">
        <v>45415</v>
      </c>
      <c r="L742" s="389">
        <v>46024</v>
      </c>
      <c r="M742" s="389">
        <v>46024</v>
      </c>
      <c r="N742" t="s">
        <v>1191</v>
      </c>
    </row>
    <row r="743" spans="1:14" hidden="1">
      <c r="A743">
        <v>255</v>
      </c>
      <c r="B743">
        <v>19</v>
      </c>
      <c r="C743" t="s">
        <v>875</v>
      </c>
      <c r="D743" t="s">
        <v>8804</v>
      </c>
      <c r="E743" t="s">
        <v>8803</v>
      </c>
      <c r="F743" t="s">
        <v>10346</v>
      </c>
      <c r="G743" t="e">
        <f>VLOOKUP(E743,Table145678910111213141545678910111213146[[CODE]:[Email Local]],4,0)</f>
        <v>#N/A</v>
      </c>
      <c r="H743" t="e">
        <f>VLOOKUP(E743,Table145678910111213141545678910111213146[[CODE]:[Email Local]],6,0)</f>
        <v>#N/A</v>
      </c>
      <c r="J743" t="s">
        <v>67</v>
      </c>
      <c r="K743" s="389">
        <v>46024</v>
      </c>
      <c r="L743" s="389"/>
      <c r="M743" s="389"/>
      <c r="N743" t="s">
        <v>1191</v>
      </c>
    </row>
    <row r="744" spans="1:14" hidden="1">
      <c r="A744">
        <v>255</v>
      </c>
      <c r="B744">
        <v>19</v>
      </c>
      <c r="C744" t="s">
        <v>875</v>
      </c>
      <c r="D744" t="s">
        <v>7144</v>
      </c>
      <c r="E744" t="s">
        <v>294</v>
      </c>
      <c r="F744" t="s">
        <v>10347</v>
      </c>
      <c r="G744" t="str">
        <f>VLOOKUP(E744,Table145678910111213141545678910111213146[[CODE]:[Email Local]],4,0)</f>
        <v>tm.22756</v>
      </c>
      <c r="H744">
        <f>VLOOKUP(E744,Table145678910111213141545678910111213146[[CODE]:[Email Local]],6,0)</f>
        <v>0</v>
      </c>
      <c r="J744" t="s">
        <v>67</v>
      </c>
      <c r="K744" s="389">
        <v>45415</v>
      </c>
      <c r="L744" s="389"/>
      <c r="M744" s="389"/>
      <c r="N744" t="s">
        <v>1191</v>
      </c>
    </row>
    <row r="745" spans="1:14" hidden="1">
      <c r="A745">
        <v>256</v>
      </c>
      <c r="B745">
        <v>20</v>
      </c>
      <c r="C745" t="s">
        <v>875</v>
      </c>
      <c r="D745" t="s">
        <v>7701</v>
      </c>
      <c r="E745" t="s">
        <v>295</v>
      </c>
      <c r="F745" t="s">
        <v>10348</v>
      </c>
      <c r="G745" t="str">
        <f>VLOOKUP(E745,Table145678910111213141545678910111213146[[CODE]:[Email Local]],4,0)</f>
        <v>24642.linh</v>
      </c>
      <c r="H745">
        <f>VLOOKUP(E745,Table145678910111213141545678910111213146[[CODE]:[Email Local]],6,0)</f>
        <v>0</v>
      </c>
      <c r="J745" t="s">
        <v>67</v>
      </c>
      <c r="K745" s="389">
        <v>45415</v>
      </c>
      <c r="L745" s="389"/>
      <c r="M745" s="389"/>
      <c r="N745" t="s">
        <v>1191</v>
      </c>
    </row>
    <row r="746" spans="1:14" hidden="1">
      <c r="A746">
        <v>257</v>
      </c>
      <c r="B746">
        <v>21</v>
      </c>
      <c r="C746" t="s">
        <v>875</v>
      </c>
      <c r="D746" t="s">
        <v>2761</v>
      </c>
      <c r="E746" t="s">
        <v>296</v>
      </c>
      <c r="F746" t="s">
        <v>10349</v>
      </c>
      <c r="G746" t="str">
        <f>VLOOKUP(E746,Table145678910111213141545678910111213146[[CODE]:[Email Local]],4,0)</f>
        <v>tm.17578</v>
      </c>
      <c r="H746">
        <f>VLOOKUP(E746,Table145678910111213141545678910111213146[[CODE]:[Email Local]],6,0)</f>
        <v>0</v>
      </c>
      <c r="J746" t="s">
        <v>67</v>
      </c>
      <c r="K746" s="389">
        <v>45415</v>
      </c>
      <c r="L746" s="389"/>
      <c r="M746" s="389"/>
      <c r="N746" t="s">
        <v>1191</v>
      </c>
    </row>
    <row r="747" spans="1:14" hidden="1">
      <c r="A747">
        <v>258</v>
      </c>
      <c r="B747">
        <v>22</v>
      </c>
      <c r="C747" t="s">
        <v>875</v>
      </c>
      <c r="D747" t="s">
        <v>9408</v>
      </c>
      <c r="E747" t="s">
        <v>297</v>
      </c>
      <c r="F747" t="s">
        <v>10350</v>
      </c>
      <c r="G747" t="str">
        <f>VLOOKUP(E747,Table145678910111213141545678910111213146[[CODE]:[Email Local]],4,0)</f>
        <v>24336.hau</v>
      </c>
      <c r="H747">
        <f>VLOOKUP(E747,Table145678910111213141545678910111213146[[CODE]:[Email Local]],6,0)</f>
        <v>0</v>
      </c>
      <c r="J747" t="s">
        <v>67</v>
      </c>
      <c r="K747" s="389">
        <v>45415</v>
      </c>
      <c r="L747" s="389">
        <v>45806</v>
      </c>
      <c r="M747" s="389"/>
      <c r="N747" t="e">
        <v>#N/A</v>
      </c>
    </row>
    <row r="748" spans="1:14" hidden="1">
      <c r="A748">
        <v>259</v>
      </c>
      <c r="B748">
        <v>23</v>
      </c>
      <c r="C748" t="s">
        <v>875</v>
      </c>
      <c r="D748" t="s">
        <v>5057</v>
      </c>
      <c r="E748" t="s">
        <v>298</v>
      </c>
      <c r="F748" t="s">
        <v>10351</v>
      </c>
      <c r="G748" t="str">
        <f>VLOOKUP(E748,Table145678910111213141545678910111213146[[CODE]:[Email Local]],4,0)</f>
        <v>chungan</v>
      </c>
      <c r="H748">
        <f>VLOOKUP(E748,Table145678910111213141545678910111213146[[CODE]:[Email Local]],6,0)</f>
        <v>0</v>
      </c>
      <c r="J748" t="s">
        <v>67</v>
      </c>
      <c r="K748" s="389">
        <v>45415</v>
      </c>
      <c r="L748" s="389"/>
      <c r="M748" s="389"/>
      <c r="N748" t="s">
        <v>1191</v>
      </c>
    </row>
    <row r="749" spans="1:14" hidden="1">
      <c r="A749">
        <v>260</v>
      </c>
      <c r="B749">
        <v>24</v>
      </c>
      <c r="C749" t="s">
        <v>875</v>
      </c>
      <c r="D749" t="s">
        <v>5784</v>
      </c>
      <c r="E749" t="s">
        <v>299</v>
      </c>
      <c r="F749" t="s">
        <v>10352</v>
      </c>
      <c r="G749" t="str">
        <f>VLOOKUP(E749,Table145678910111213141545678910111213146[[CODE]:[Email Local]],4,0)</f>
        <v>17646.thuy</v>
      </c>
      <c r="H749">
        <f>VLOOKUP(E749,Table145678910111213141545678910111213146[[CODE]:[Email Local]],6,0)</f>
        <v>0</v>
      </c>
      <c r="J749" t="s">
        <v>67</v>
      </c>
      <c r="K749" s="389">
        <v>45415</v>
      </c>
      <c r="L749" s="389"/>
      <c r="M749" s="389"/>
      <c r="N749" t="s">
        <v>1191</v>
      </c>
    </row>
    <row r="750" spans="1:14" hidden="1">
      <c r="A750">
        <v>261</v>
      </c>
      <c r="B750">
        <v>25</v>
      </c>
      <c r="C750" t="s">
        <v>875</v>
      </c>
      <c r="D750" t="s">
        <v>4938</v>
      </c>
      <c r="E750" t="s">
        <v>300</v>
      </c>
      <c r="F750" t="s">
        <v>10353</v>
      </c>
      <c r="G750" t="str">
        <f>VLOOKUP(E750,Table145678910111213141545678910111213146[[CODE]:[Email Local]],4,0)</f>
        <v>tm.13750</v>
      </c>
      <c r="H750">
        <f>VLOOKUP(E750,Table145678910111213141545678910111213146[[CODE]:[Email Local]],6,0)</f>
        <v>0</v>
      </c>
      <c r="J750" t="s">
        <v>67</v>
      </c>
      <c r="K750" s="389">
        <v>45415</v>
      </c>
      <c r="L750" s="389"/>
      <c r="M750" s="389"/>
      <c r="N750" t="s">
        <v>1191</v>
      </c>
    </row>
    <row r="751" spans="1:14" hidden="1">
      <c r="A751">
        <v>262</v>
      </c>
      <c r="B751">
        <v>26</v>
      </c>
      <c r="C751" t="s">
        <v>875</v>
      </c>
      <c r="D751" t="s">
        <v>6888</v>
      </c>
      <c r="E751" t="s">
        <v>301</v>
      </c>
      <c r="F751" t="s">
        <v>10354</v>
      </c>
      <c r="G751" t="e">
        <f>VLOOKUP(E751,Table145678910111213141545678910111213146[[CODE]:[Email Local]],4,0)</f>
        <v>#N/A</v>
      </c>
      <c r="H751" t="e">
        <f>VLOOKUP(E751,Table145678910111213141545678910111213146[[CODE]:[Email Local]],6,0)</f>
        <v>#N/A</v>
      </c>
      <c r="J751" t="s">
        <v>67</v>
      </c>
      <c r="K751" s="389">
        <v>45415</v>
      </c>
      <c r="L751" s="389"/>
      <c r="M751" s="389"/>
      <c r="N751" t="s">
        <v>1191</v>
      </c>
    </row>
    <row r="752" spans="1:14" hidden="1">
      <c r="A752">
        <v>263</v>
      </c>
      <c r="B752">
        <v>27</v>
      </c>
      <c r="C752" t="s">
        <v>875</v>
      </c>
      <c r="D752" t="s">
        <v>3640</v>
      </c>
      <c r="E752" t="s">
        <v>302</v>
      </c>
      <c r="F752" t="s">
        <v>10355</v>
      </c>
      <c r="G752" t="str">
        <f>VLOOKUP(E752,Table145678910111213141545678910111213146[[CODE]:[Email Local]],4,0)</f>
        <v>tm.08756</v>
      </c>
      <c r="H752">
        <f>VLOOKUP(E752,Table145678910111213141545678910111213146[[CODE]:[Email Local]],6,0)</f>
        <v>0</v>
      </c>
      <c r="J752" t="s">
        <v>67</v>
      </c>
      <c r="K752" s="389">
        <v>45415</v>
      </c>
      <c r="L752" s="389"/>
      <c r="M752" s="389"/>
      <c r="N752" t="s">
        <v>1191</v>
      </c>
    </row>
    <row r="753" spans="1:14" hidden="1">
      <c r="A753">
        <v>264</v>
      </c>
      <c r="B753">
        <v>28</v>
      </c>
      <c r="C753" t="s">
        <v>875</v>
      </c>
      <c r="D753" t="s">
        <v>1189</v>
      </c>
      <c r="E753" t="s">
        <v>303</v>
      </c>
      <c r="F753" t="s">
        <v>10356</v>
      </c>
      <c r="G753" t="str">
        <f>VLOOKUP(E753,Table145678910111213141545678910111213146[[CODE]:[Email Local]],4,0)</f>
        <v>tm.00658</v>
      </c>
      <c r="H753">
        <f>VLOOKUP(E753,Table145678910111213141545678910111213146[[CODE]:[Email Local]],6,0)</f>
        <v>0</v>
      </c>
      <c r="J753" t="s">
        <v>67</v>
      </c>
      <c r="K753" s="389">
        <v>45415</v>
      </c>
      <c r="L753" s="389"/>
      <c r="M753" s="389"/>
      <c r="N753" t="s">
        <v>1191</v>
      </c>
    </row>
    <row r="754" spans="1:14" hidden="1">
      <c r="A754">
        <v>265</v>
      </c>
      <c r="B754">
        <v>29</v>
      </c>
      <c r="C754" t="s">
        <v>875</v>
      </c>
      <c r="D754" t="s">
        <v>3548</v>
      </c>
      <c r="E754" t="s">
        <v>304</v>
      </c>
      <c r="F754" t="s">
        <v>10357</v>
      </c>
      <c r="G754" t="str">
        <f>VLOOKUP(E754,Table145678910111213141545678910111213146[[CODE]:[Email Local]],4,0)</f>
        <v>tm.18013</v>
      </c>
      <c r="H754">
        <f>VLOOKUP(E754,Table145678910111213141545678910111213146[[CODE]:[Email Local]],6,0)</f>
        <v>0</v>
      </c>
      <c r="J754" t="s">
        <v>67</v>
      </c>
      <c r="K754" s="389">
        <v>45415</v>
      </c>
      <c r="L754" s="389">
        <v>45876</v>
      </c>
      <c r="M754" s="389">
        <v>45876</v>
      </c>
      <c r="N754" t="e">
        <v>#N/A</v>
      </c>
    </row>
    <row r="755" spans="1:14" hidden="1">
      <c r="A755">
        <v>266</v>
      </c>
      <c r="B755">
        <v>30</v>
      </c>
      <c r="C755" t="s">
        <v>875</v>
      </c>
      <c r="D755" t="s">
        <v>3899</v>
      </c>
      <c r="E755" t="s">
        <v>305</v>
      </c>
      <c r="F755" t="s">
        <v>10358</v>
      </c>
      <c r="G755" t="str">
        <f>VLOOKUP(E755,Table145678910111213141545678910111213146[[CODE]:[Email Local]],4,0)</f>
        <v>tm.09590</v>
      </c>
      <c r="H755">
        <f>VLOOKUP(E755,Table145678910111213141545678910111213146[[CODE]:[Email Local]],6,0)</f>
        <v>0</v>
      </c>
      <c r="J755" t="s">
        <v>67</v>
      </c>
      <c r="K755" s="389">
        <v>45415</v>
      </c>
      <c r="L755" s="389"/>
      <c r="M755" s="389"/>
      <c r="N755" t="s">
        <v>1191</v>
      </c>
    </row>
    <row r="756" spans="1:14" hidden="1">
      <c r="A756">
        <v>267</v>
      </c>
      <c r="B756">
        <v>31</v>
      </c>
      <c r="C756" t="s">
        <v>875</v>
      </c>
      <c r="D756" t="s">
        <v>3768</v>
      </c>
      <c r="E756" t="s">
        <v>306</v>
      </c>
      <c r="F756" t="s">
        <v>10359</v>
      </c>
      <c r="G756" t="str">
        <f>VLOOKUP(E756,Table145678910111213141545678910111213146[[CODE]:[Email Local]],4,0)</f>
        <v>tm.09244</v>
      </c>
      <c r="H756">
        <f>VLOOKUP(E756,Table145678910111213141545678910111213146[[CODE]:[Email Local]],6,0)</f>
        <v>0</v>
      </c>
      <c r="J756" t="s">
        <v>67</v>
      </c>
      <c r="K756" s="389">
        <v>45415</v>
      </c>
      <c r="L756" s="389"/>
      <c r="M756" s="389"/>
      <c r="N756" t="s">
        <v>1191</v>
      </c>
    </row>
    <row r="757" spans="1:14" hidden="1">
      <c r="A757">
        <v>268</v>
      </c>
      <c r="B757">
        <v>32</v>
      </c>
      <c r="C757" t="s">
        <v>875</v>
      </c>
      <c r="D757" t="s">
        <v>1655</v>
      </c>
      <c r="E757" t="s">
        <v>307</v>
      </c>
      <c r="F757" t="s">
        <v>10360</v>
      </c>
      <c r="G757" t="str">
        <f>VLOOKUP(E757,Table145678910111213141545678910111213146[[CODE]:[Email Local]],4,0)</f>
        <v>tm.01737</v>
      </c>
      <c r="H757">
        <f>VLOOKUP(E757,Table145678910111213141545678910111213146[[CODE]:[Email Local]],6,0)</f>
        <v>0</v>
      </c>
      <c r="J757" t="s">
        <v>67</v>
      </c>
      <c r="K757" s="389">
        <v>45415</v>
      </c>
      <c r="L757" s="389"/>
      <c r="M757" s="389"/>
      <c r="N757" t="s">
        <v>1191</v>
      </c>
    </row>
    <row r="758" spans="1:14" hidden="1">
      <c r="A758">
        <v>269</v>
      </c>
      <c r="B758">
        <v>33</v>
      </c>
      <c r="C758" t="s">
        <v>875</v>
      </c>
      <c r="D758" t="s">
        <v>1629</v>
      </c>
      <c r="E758" t="s">
        <v>308</v>
      </c>
      <c r="F758" t="s">
        <v>10361</v>
      </c>
      <c r="G758" t="str">
        <f>VLOOKUP(E758,Table145678910111213141545678910111213146[[CODE]:[Email Local]],4,0)</f>
        <v>tm.01656</v>
      </c>
      <c r="H758">
        <f>VLOOKUP(E758,Table145678910111213141545678910111213146[[CODE]:[Email Local]],6,0)</f>
        <v>0</v>
      </c>
      <c r="J758" t="s">
        <v>67</v>
      </c>
      <c r="K758" s="389">
        <v>45415</v>
      </c>
      <c r="L758" s="389"/>
      <c r="M758" s="389"/>
      <c r="N758" t="s">
        <v>1191</v>
      </c>
    </row>
    <row r="759" spans="1:14" hidden="1">
      <c r="A759">
        <v>270</v>
      </c>
      <c r="B759">
        <v>34</v>
      </c>
      <c r="C759" t="s">
        <v>875</v>
      </c>
      <c r="D759" t="s">
        <v>1721</v>
      </c>
      <c r="E759" t="s">
        <v>309</v>
      </c>
      <c r="F759" t="s">
        <v>10362</v>
      </c>
      <c r="G759" t="str">
        <f>VLOOKUP(E759,Table145678910111213141545678910111213146[[CODE]:[Email Local]],4,0)</f>
        <v>tm.01914</v>
      </c>
      <c r="H759">
        <f>VLOOKUP(E759,Table145678910111213141545678910111213146[[CODE]:[Email Local]],6,0)</f>
        <v>0</v>
      </c>
      <c r="J759" t="s">
        <v>67</v>
      </c>
      <c r="K759" s="389">
        <v>45415</v>
      </c>
      <c r="L759" s="389"/>
      <c r="M759" s="389"/>
      <c r="N759" t="s">
        <v>1191</v>
      </c>
    </row>
    <row r="760" spans="1:14" hidden="1">
      <c r="A760">
        <v>272</v>
      </c>
      <c r="B760">
        <v>36</v>
      </c>
      <c r="C760" t="s">
        <v>875</v>
      </c>
      <c r="D760" t="s">
        <v>3664</v>
      </c>
      <c r="E760" t="s">
        <v>311</v>
      </c>
      <c r="F760" t="s">
        <v>10364</v>
      </c>
      <c r="G760" t="str">
        <f>VLOOKUP(E760,Table145678910111213141545678910111213146[[CODE]:[Email Local]],4,0)</f>
        <v>tm.08889</v>
      </c>
      <c r="H760">
        <f>VLOOKUP(E760,Table145678910111213141545678910111213146[[CODE]:[Email Local]],6,0)</f>
        <v>0</v>
      </c>
      <c r="J760" t="s">
        <v>67</v>
      </c>
      <c r="K760" s="389">
        <v>45415</v>
      </c>
      <c r="L760" s="389"/>
      <c r="M760" s="389"/>
      <c r="N760" t="s">
        <v>1191</v>
      </c>
    </row>
    <row r="761" spans="1:14" hidden="1">
      <c r="A761">
        <v>273</v>
      </c>
      <c r="B761">
        <v>37</v>
      </c>
      <c r="C761" t="s">
        <v>875</v>
      </c>
      <c r="D761" t="s">
        <v>5088</v>
      </c>
      <c r="E761" t="s">
        <v>312</v>
      </c>
      <c r="F761" t="s">
        <v>10365</v>
      </c>
      <c r="G761" t="str">
        <f>VLOOKUP(E761,Table145678910111213141545678910111213146[[CODE]:[Email Local]],4,0)</f>
        <v>24509.linh</v>
      </c>
      <c r="H761">
        <f>VLOOKUP(E761,Table145678910111213141545678910111213146[[CODE]:[Email Local]],6,0)</f>
        <v>0</v>
      </c>
      <c r="J761" t="s">
        <v>67</v>
      </c>
      <c r="K761" s="389">
        <v>45415</v>
      </c>
      <c r="L761" s="389"/>
      <c r="M761" s="389"/>
      <c r="N761" t="s">
        <v>1191</v>
      </c>
    </row>
    <row r="762" spans="1:14" hidden="1">
      <c r="A762">
        <v>274</v>
      </c>
      <c r="C762" t="s">
        <v>875</v>
      </c>
      <c r="D762" t="s">
        <v>1327</v>
      </c>
      <c r="E762" t="s">
        <v>8389</v>
      </c>
      <c r="F762" t="s">
        <v>9413</v>
      </c>
      <c r="G762" t="str">
        <f>VLOOKUP(E762,Table145678910111213141545678910111213146[[CODE]:[Email Local]],4,0)</f>
        <v>VN25757</v>
      </c>
      <c r="H762">
        <f>VLOOKUP(E762,Table145678910111213141545678910111213146[[CODE]:[Email Local]],6,0)</f>
        <v>0</v>
      </c>
      <c r="J762" t="s">
        <v>67</v>
      </c>
      <c r="K762" s="389">
        <v>45810</v>
      </c>
      <c r="L762" s="389"/>
      <c r="M762" s="389"/>
      <c r="N762" t="s">
        <v>1191</v>
      </c>
    </row>
    <row r="763" spans="1:14" hidden="1">
      <c r="A763">
        <v>768</v>
      </c>
      <c r="C763" t="s">
        <v>875</v>
      </c>
      <c r="D763" t="s">
        <v>8483</v>
      </c>
      <c r="E763" t="s">
        <v>8484</v>
      </c>
      <c r="F763" t="s">
        <v>10848</v>
      </c>
      <c r="G763" t="str">
        <f>VLOOKUP(E763,Table145678910111213141545678910111213146[[CODE]:[Email Local]],4,0)</f>
        <v>26156.huyen</v>
      </c>
      <c r="H763">
        <f>VLOOKUP(E763,Table145678910111213141545678910111213146[[CODE]:[Email Local]],6,0)</f>
        <v>0</v>
      </c>
      <c r="J763" t="s">
        <v>67</v>
      </c>
      <c r="K763" s="389">
        <v>45870</v>
      </c>
      <c r="L763" s="389"/>
      <c r="M763" s="389"/>
      <c r="N763" t="s">
        <v>1191</v>
      </c>
    </row>
    <row r="764" spans="1:14" hidden="1">
      <c r="A764">
        <v>152</v>
      </c>
      <c r="B764">
        <v>3</v>
      </c>
      <c r="C764" t="s">
        <v>7810</v>
      </c>
      <c r="D764" t="s">
        <v>3881</v>
      </c>
      <c r="E764" t="s">
        <v>196</v>
      </c>
      <c r="F764" t="s">
        <v>10243</v>
      </c>
      <c r="G764" t="str">
        <f>VLOOKUP(E764,Table145678910111213141545678910111213146[[CODE]:[Email Local]],4,0)</f>
        <v>lr.09568</v>
      </c>
      <c r="H764" t="str">
        <f>VLOOKUP(E764,Table145678910111213141545678910111213146[[CODE]:[Email Local]],6,0)</f>
        <v>ok</v>
      </c>
      <c r="J764" t="s">
        <v>67</v>
      </c>
      <c r="K764" s="389">
        <v>45432</v>
      </c>
      <c r="L764" s="389"/>
      <c r="M764" s="389"/>
      <c r="N764" t="s">
        <v>7788</v>
      </c>
    </row>
    <row r="765" spans="1:14" hidden="1">
      <c r="A765">
        <v>154</v>
      </c>
      <c r="B765">
        <v>5</v>
      </c>
      <c r="C765" t="s">
        <v>7810</v>
      </c>
      <c r="D765" t="s">
        <v>4152</v>
      </c>
      <c r="E765" t="s">
        <v>198</v>
      </c>
      <c r="F765" t="s">
        <v>10245</v>
      </c>
      <c r="G765" t="str">
        <f>VLOOKUP(E765,Table145678910111213141545678910111213146[[CODE]:[Email Local]],4,0)</f>
        <v>lr.10495</v>
      </c>
      <c r="H765" t="str">
        <f>VLOOKUP(E765,Table145678910111213141545678910111213146[[CODE]:[Email Local]],6,0)</f>
        <v>ok</v>
      </c>
      <c r="J765" t="s">
        <v>67</v>
      </c>
      <c r="K765" s="389">
        <v>45432</v>
      </c>
      <c r="L765" s="389"/>
      <c r="M765" s="389"/>
      <c r="N765" t="s">
        <v>7788</v>
      </c>
    </row>
    <row r="766" spans="1:14" hidden="1">
      <c r="A766">
        <v>112</v>
      </c>
      <c r="B766">
        <v>7</v>
      </c>
      <c r="C766" t="s">
        <v>7810</v>
      </c>
      <c r="D766" t="s">
        <v>3407</v>
      </c>
      <c r="E766" t="s">
        <v>163</v>
      </c>
      <c r="F766" t="s">
        <v>10203</v>
      </c>
      <c r="G766" t="str">
        <f>VLOOKUP(E766,Table145678910111213141545678910111213146[[CODE]:[Email Local]],4,0)</f>
        <v>son1.08605</v>
      </c>
      <c r="H766">
        <f>VLOOKUP(E766,Table145678910111213141545678910111213146[[CODE]:[Email Local]],6,0)</f>
        <v>0</v>
      </c>
      <c r="J766" t="s">
        <v>67</v>
      </c>
      <c r="K766" s="389">
        <v>45421</v>
      </c>
      <c r="L766" s="389"/>
      <c r="M766" s="389"/>
      <c r="N766" t="s">
        <v>7788</v>
      </c>
    </row>
    <row r="767" spans="1:14" hidden="1">
      <c r="A767">
        <v>153</v>
      </c>
      <c r="B767">
        <v>4</v>
      </c>
      <c r="C767" t="s">
        <v>7810</v>
      </c>
      <c r="D767" t="s">
        <v>1378</v>
      </c>
      <c r="E767" t="s">
        <v>197</v>
      </c>
      <c r="F767" t="s">
        <v>10244</v>
      </c>
      <c r="G767" t="str">
        <f>VLOOKUP(E767,Table145678910111213141545678910111213146[[CODE]:[Email Local]],4,0)</f>
        <v>lr.01034</v>
      </c>
      <c r="H767">
        <f>VLOOKUP(E767,Table145678910111213141545678910111213146[[CODE]:[Email Local]],6,0)</f>
        <v>0</v>
      </c>
      <c r="J767" t="s">
        <v>67</v>
      </c>
      <c r="K767" s="389">
        <v>45432</v>
      </c>
      <c r="L767" s="389"/>
      <c r="M767" s="389"/>
      <c r="N767" t="s">
        <v>7788</v>
      </c>
    </row>
    <row r="768" spans="1:14" hidden="1">
      <c r="A768">
        <v>761</v>
      </c>
      <c r="B768">
        <v>1</v>
      </c>
      <c r="C768" t="s">
        <v>7810</v>
      </c>
      <c r="D768" t="s">
        <v>7786</v>
      </c>
      <c r="E768" t="s">
        <v>7811</v>
      </c>
      <c r="F768" t="s">
        <v>10841</v>
      </c>
      <c r="G768" t="str">
        <f>VLOOKUP(E768,Table145678910111213141545678910111213146[[CODE]:[Email Local]],4,0)</f>
        <v>24919.binh</v>
      </c>
      <c r="H768">
        <f>VLOOKUP(E768,Table145678910111213141545678910111213146[[CODE]:[Email Local]],6,0)</f>
        <v>0</v>
      </c>
      <c r="J768" t="s">
        <v>67</v>
      </c>
      <c r="K768" s="389" t="s">
        <v>7812</v>
      </c>
      <c r="L768" s="389"/>
      <c r="M768" s="389"/>
      <c r="N768" t="s">
        <v>7788</v>
      </c>
    </row>
    <row r="769" spans="1:14" hidden="1">
      <c r="A769">
        <v>762</v>
      </c>
      <c r="B769">
        <v>2</v>
      </c>
      <c r="C769" t="s">
        <v>7810</v>
      </c>
      <c r="D769" t="s">
        <v>3507</v>
      </c>
      <c r="E769" t="s">
        <v>7813</v>
      </c>
      <c r="F769" t="s">
        <v>10842</v>
      </c>
      <c r="G769" t="e">
        <f>VLOOKUP(E769,Table145678910111213141545678910111213146[[CODE]:[Email Local]],4,0)</f>
        <v>#N/A</v>
      </c>
      <c r="H769" t="e">
        <f>VLOOKUP(E769,Table145678910111213141545678910111213146[[CODE]:[Email Local]],6,0)</f>
        <v>#N/A</v>
      </c>
      <c r="J769" t="s">
        <v>67</v>
      </c>
      <c r="K769" s="389" t="s">
        <v>7812</v>
      </c>
      <c r="L769" s="389"/>
      <c r="M769" s="389"/>
      <c r="N769" t="s">
        <v>7788</v>
      </c>
    </row>
    <row r="770" spans="1:14" hidden="1">
      <c r="A770">
        <v>308</v>
      </c>
      <c r="B770">
        <v>1</v>
      </c>
      <c r="C770" t="s">
        <v>876</v>
      </c>
      <c r="D770" t="s">
        <v>1166</v>
      </c>
      <c r="E770" t="s">
        <v>337</v>
      </c>
      <c r="F770" t="s">
        <v>10397</v>
      </c>
      <c r="G770" t="str">
        <f>VLOOKUP(E770,Table145678910111213141545678910111213146[[CODE]:[Email Local]],4,0)</f>
        <v>xnk.00610</v>
      </c>
      <c r="H770">
        <f>VLOOKUP(E770,Table145678910111213141545678910111213146[[CODE]:[Email Local]],6,0)</f>
        <v>0</v>
      </c>
      <c r="J770" t="s">
        <v>67</v>
      </c>
      <c r="K770" s="389">
        <v>45408</v>
      </c>
      <c r="L770" s="389"/>
      <c r="M770" s="389"/>
      <c r="N770" t="s">
        <v>1168</v>
      </c>
    </row>
    <row r="771" spans="1:14" hidden="1">
      <c r="A771">
        <v>309</v>
      </c>
      <c r="B771">
        <v>2</v>
      </c>
      <c r="C771" t="s">
        <v>876</v>
      </c>
      <c r="D771" t="s">
        <v>2403</v>
      </c>
      <c r="E771" t="s">
        <v>338</v>
      </c>
      <c r="F771" t="s">
        <v>10398</v>
      </c>
      <c r="G771" t="str">
        <f>VLOOKUP(E771,Table145678910111213141545678910111213146[[CODE]:[Email Local]],4,0)</f>
        <v>xnk.04036</v>
      </c>
      <c r="H771">
        <f>VLOOKUP(E771,Table145678910111213141545678910111213146[[CODE]:[Email Local]],6,0)</f>
        <v>0</v>
      </c>
      <c r="J771" t="s">
        <v>67</v>
      </c>
      <c r="K771" s="389">
        <v>45408</v>
      </c>
      <c r="L771" s="389"/>
      <c r="M771" s="389"/>
      <c r="N771" t="s">
        <v>1168</v>
      </c>
    </row>
    <row r="772" spans="1:14" hidden="1">
      <c r="A772">
        <v>310</v>
      </c>
      <c r="B772">
        <v>3</v>
      </c>
      <c r="C772" t="s">
        <v>876</v>
      </c>
      <c r="D772" t="s">
        <v>3867</v>
      </c>
      <c r="E772" t="s">
        <v>339</v>
      </c>
      <c r="F772" t="s">
        <v>10399</v>
      </c>
      <c r="G772" t="str">
        <f>VLOOKUP(E772,Table145678910111213141545678910111213146[[CODE]:[Email Local]],4,0)</f>
        <v>xnk.09527</v>
      </c>
      <c r="H772">
        <f>VLOOKUP(E772,Table145678910111213141545678910111213146[[CODE]:[Email Local]],6,0)</f>
        <v>0</v>
      </c>
      <c r="J772" t="s">
        <v>67</v>
      </c>
      <c r="K772" s="389">
        <v>45408</v>
      </c>
      <c r="L772" s="389"/>
      <c r="M772" s="389"/>
      <c r="N772" t="s">
        <v>1168</v>
      </c>
    </row>
    <row r="773" spans="1:14" hidden="1">
      <c r="A773">
        <v>311</v>
      </c>
      <c r="B773">
        <v>4</v>
      </c>
      <c r="C773" t="s">
        <v>876</v>
      </c>
      <c r="D773" t="s">
        <v>3682</v>
      </c>
      <c r="E773" t="s">
        <v>340</v>
      </c>
      <c r="F773" t="s">
        <v>10400</v>
      </c>
      <c r="G773" t="str">
        <f>VLOOKUP(E773,Table145678910111213141545678910111213146[[CODE]:[Email Local]],4,0)</f>
        <v>xnk.08941</v>
      </c>
      <c r="H773">
        <f>VLOOKUP(E773,Table145678910111213141545678910111213146[[CODE]:[Email Local]],6,0)</f>
        <v>0</v>
      </c>
      <c r="J773" t="s">
        <v>67</v>
      </c>
      <c r="K773" s="389">
        <v>45408</v>
      </c>
      <c r="L773" s="389"/>
      <c r="M773" s="389"/>
      <c r="N773" t="s">
        <v>1168</v>
      </c>
    </row>
    <row r="774" spans="1:14" hidden="1">
      <c r="A774">
        <v>312</v>
      </c>
      <c r="B774">
        <v>5</v>
      </c>
      <c r="C774" t="s">
        <v>876</v>
      </c>
      <c r="D774" t="s">
        <v>4146</v>
      </c>
      <c r="E774" t="s">
        <v>341</v>
      </c>
      <c r="F774" t="s">
        <v>10401</v>
      </c>
      <c r="G774" t="str">
        <f>VLOOKUP(E774,Table145678910111213141545678910111213146[[CODE]:[Email Local]],4,0)</f>
        <v>xnk.10480</v>
      </c>
      <c r="H774">
        <f>VLOOKUP(E774,Table145678910111213141545678910111213146[[CODE]:[Email Local]],6,0)</f>
        <v>0</v>
      </c>
      <c r="J774" t="s">
        <v>67</v>
      </c>
      <c r="K774" s="389">
        <v>45408</v>
      </c>
      <c r="L774" s="389"/>
      <c r="M774" s="389"/>
      <c r="N774" t="s">
        <v>1168</v>
      </c>
    </row>
    <row r="775" spans="1:14" hidden="1">
      <c r="A775">
        <v>313</v>
      </c>
      <c r="B775">
        <v>6</v>
      </c>
      <c r="C775" t="s">
        <v>876</v>
      </c>
      <c r="D775" t="s">
        <v>7001</v>
      </c>
      <c r="E775" t="s">
        <v>342</v>
      </c>
      <c r="F775" t="s">
        <v>10402</v>
      </c>
      <c r="G775" t="str">
        <f>VLOOKUP(E775,Table145678910111213141545678910111213146[[CODE]:[Email Local]],4,0)</f>
        <v>xnk.22147</v>
      </c>
      <c r="H775">
        <f>VLOOKUP(E775,Table145678910111213141545678910111213146[[CODE]:[Email Local]],6,0)</f>
        <v>0</v>
      </c>
      <c r="J775" t="s">
        <v>67</v>
      </c>
      <c r="K775" s="389">
        <v>45408</v>
      </c>
      <c r="L775" s="389"/>
      <c r="M775" s="389"/>
      <c r="N775" t="s">
        <v>1168</v>
      </c>
    </row>
    <row r="776" spans="1:14" hidden="1">
      <c r="A776">
        <v>314</v>
      </c>
      <c r="B776">
        <v>7</v>
      </c>
      <c r="C776" t="s">
        <v>876</v>
      </c>
      <c r="D776" t="s">
        <v>4990</v>
      </c>
      <c r="E776" t="s">
        <v>343</v>
      </c>
      <c r="F776" t="s">
        <v>10403</v>
      </c>
      <c r="G776" t="str">
        <f>VLOOKUP(E776,Table145678910111213141545678910111213146[[CODE]:[Email Local]],4,0)</f>
        <v>xnk.13986</v>
      </c>
      <c r="H776">
        <f>VLOOKUP(E776,Table145678910111213141545678910111213146[[CODE]:[Email Local]],6,0)</f>
        <v>0</v>
      </c>
      <c r="J776" t="s">
        <v>67</v>
      </c>
      <c r="K776" s="389">
        <v>45408</v>
      </c>
      <c r="L776" s="389"/>
      <c r="M776" s="389"/>
      <c r="N776" t="s">
        <v>1168</v>
      </c>
    </row>
    <row r="777" spans="1:14" hidden="1">
      <c r="A777">
        <v>315</v>
      </c>
      <c r="B777">
        <v>8</v>
      </c>
      <c r="C777" t="s">
        <v>876</v>
      </c>
      <c r="D777" t="s">
        <v>2716</v>
      </c>
      <c r="E777" t="s">
        <v>344</v>
      </c>
      <c r="F777" t="s">
        <v>10404</v>
      </c>
      <c r="G777" t="str">
        <f>VLOOKUP(E777,Table145678910111213141545678910111213146[[CODE]:[Email Local]],4,0)</f>
        <v>xnk.09878</v>
      </c>
      <c r="H777">
        <f>VLOOKUP(E777,Table145678910111213141545678910111213146[[CODE]:[Email Local]],6,0)</f>
        <v>0</v>
      </c>
      <c r="J777" t="s">
        <v>67</v>
      </c>
      <c r="K777" s="389">
        <v>45408</v>
      </c>
      <c r="L777" s="389"/>
      <c r="M777" s="389"/>
      <c r="N777" t="s">
        <v>1168</v>
      </c>
    </row>
    <row r="778" spans="1:14" hidden="1">
      <c r="A778">
        <v>316</v>
      </c>
      <c r="B778">
        <v>9</v>
      </c>
      <c r="C778" t="s">
        <v>876</v>
      </c>
      <c r="D778" t="s">
        <v>9331</v>
      </c>
      <c r="E778" t="s">
        <v>345</v>
      </c>
      <c r="F778" t="s">
        <v>10405</v>
      </c>
      <c r="G778" t="str">
        <f>VLOOKUP(E778,Table145678910111213141545678910111213146[[CODE]:[Email Local]],4,0)</f>
        <v>xnk.01790</v>
      </c>
      <c r="H778">
        <f>VLOOKUP(E778,Table145678910111213141545678910111213146[[CODE]:[Email Local]],6,0)</f>
        <v>0</v>
      </c>
      <c r="J778" t="s">
        <v>67</v>
      </c>
      <c r="K778" s="389">
        <v>45408</v>
      </c>
      <c r="L778" s="389">
        <v>45813</v>
      </c>
      <c r="M778" s="389">
        <v>45813</v>
      </c>
      <c r="N778" t="e">
        <v>#N/A</v>
      </c>
    </row>
    <row r="779" spans="1:14" hidden="1">
      <c r="A779">
        <v>317</v>
      </c>
      <c r="B779">
        <v>10</v>
      </c>
      <c r="C779" t="s">
        <v>876</v>
      </c>
      <c r="D779" t="s">
        <v>7978</v>
      </c>
      <c r="E779" t="s">
        <v>7979</v>
      </c>
      <c r="F779" t="s">
        <v>10406</v>
      </c>
      <c r="G779" t="e">
        <f>VLOOKUP(E779,Table145678910111213141545678910111213146[[CODE]:[Email Local]],4,0)</f>
        <v>#N/A</v>
      </c>
      <c r="H779" t="e">
        <f>VLOOKUP(E779,Table145678910111213141545678910111213146[[CODE]:[Email Local]],6,0)</f>
        <v>#N/A</v>
      </c>
      <c r="J779" t="s">
        <v>67</v>
      </c>
      <c r="K779" s="389">
        <v>45633</v>
      </c>
      <c r="L779" s="389"/>
      <c r="M779" s="389"/>
      <c r="N779" t="s">
        <v>1168</v>
      </c>
    </row>
    <row r="780" spans="1:14" hidden="1">
      <c r="A780">
        <v>318</v>
      </c>
      <c r="B780">
        <v>11</v>
      </c>
      <c r="C780" t="s">
        <v>876</v>
      </c>
      <c r="D780" t="s">
        <v>828</v>
      </c>
      <c r="E780" t="s">
        <v>828</v>
      </c>
      <c r="F780" t="s">
        <v>346</v>
      </c>
      <c r="G780" t="e">
        <f>VLOOKUP(E780,Table145678910111213141545678910111213146[[CODE]:[Email Local]],4,0)</f>
        <v>#N/A</v>
      </c>
      <c r="H780" t="e">
        <f>VLOOKUP(E780,Table145678910111213141545678910111213146[[CODE]:[Email Local]],6,0)</f>
        <v>#N/A</v>
      </c>
      <c r="J780" t="s">
        <v>67</v>
      </c>
      <c r="K780" s="389">
        <v>45408</v>
      </c>
      <c r="L780" s="389">
        <v>45813</v>
      </c>
      <c r="M780" s="389"/>
      <c r="N780" t="e">
        <v>#N/A</v>
      </c>
    </row>
    <row r="781" spans="1:14" hidden="1">
      <c r="A781">
        <v>319</v>
      </c>
      <c r="B781">
        <v>12</v>
      </c>
      <c r="C781" t="s">
        <v>876</v>
      </c>
      <c r="D781" t="s">
        <v>347</v>
      </c>
      <c r="E781" t="s">
        <v>347</v>
      </c>
      <c r="F781" t="s">
        <v>347</v>
      </c>
      <c r="G781" t="e">
        <f>VLOOKUP(E781,Table145678910111213141545678910111213146[[CODE]:[Email Local]],4,0)</f>
        <v>#N/A</v>
      </c>
      <c r="H781" t="e">
        <f>VLOOKUP(E781,Table145678910111213141545678910111213146[[CODE]:[Email Local]],6,0)</f>
        <v>#N/A</v>
      </c>
      <c r="J781" t="s">
        <v>67</v>
      </c>
      <c r="K781" s="389">
        <v>45408</v>
      </c>
      <c r="L781" s="389"/>
      <c r="M781" s="389"/>
      <c r="N781" t="e">
        <v>#N/A</v>
      </c>
    </row>
    <row r="782" spans="1:14" hidden="1">
      <c r="A782">
        <v>320</v>
      </c>
      <c r="B782">
        <v>13</v>
      </c>
      <c r="C782" t="s">
        <v>876</v>
      </c>
      <c r="D782" t="s">
        <v>10911</v>
      </c>
      <c r="E782" t="s">
        <v>8393</v>
      </c>
      <c r="F782" t="s">
        <v>10407</v>
      </c>
      <c r="G782" t="str">
        <f>VLOOKUP(E782,Table145678910111213141545678910111213146[[CODE]:[Email Local]],4,0)</f>
        <v>26027.chau</v>
      </c>
      <c r="H782">
        <f>VLOOKUP(E782,Table145678910111213141545678910111213146[[CODE]:[Email Local]],6,0)</f>
        <v>0</v>
      </c>
      <c r="J782" t="s">
        <v>67</v>
      </c>
      <c r="K782" s="389">
        <v>45813</v>
      </c>
      <c r="L782" s="389"/>
      <c r="M782" s="389"/>
      <c r="N782" t="s">
        <v>1168</v>
      </c>
    </row>
    <row r="783" spans="1:14" hidden="1">
      <c r="A783">
        <v>327</v>
      </c>
      <c r="B783">
        <v>2</v>
      </c>
      <c r="C783" t="s">
        <v>877</v>
      </c>
      <c r="D783" t="s">
        <v>2633</v>
      </c>
      <c r="E783" t="s">
        <v>351</v>
      </c>
      <c r="F783" t="s">
        <v>10414</v>
      </c>
      <c r="G783" t="str">
        <f>VLOOKUP(E783,Table145678910111213141545678910111213146[[CODE]:[Email Local]],4,0)</f>
        <v>tv.05074</v>
      </c>
      <c r="H783" t="str">
        <f>VLOOKUP(E783,Table145678910111213141545678910111213146[[CODE]:[Email Local]],6,0)</f>
        <v>ok</v>
      </c>
      <c r="J783" t="s">
        <v>67</v>
      </c>
      <c r="K783" s="389">
        <v>45428</v>
      </c>
      <c r="L783" s="389"/>
      <c r="M783" s="389"/>
      <c r="N783" t="s">
        <v>1052</v>
      </c>
    </row>
    <row r="784" spans="1:14" hidden="1">
      <c r="A784">
        <v>329</v>
      </c>
      <c r="B784">
        <v>4</v>
      </c>
      <c r="C784" t="s">
        <v>877</v>
      </c>
      <c r="D784" t="s">
        <v>1659</v>
      </c>
      <c r="E784" t="s">
        <v>353</v>
      </c>
      <c r="F784" t="s">
        <v>10416</v>
      </c>
      <c r="G784" t="str">
        <f>VLOOKUP(E784,Table145678910111213141545678910111213146[[CODE]:[Email Local]],4,0)</f>
        <v>yte.01742</v>
      </c>
      <c r="H784" t="str">
        <f>VLOOKUP(E784,Table145678910111213141545678910111213146[[CODE]:[Email Local]],6,0)</f>
        <v>ok</v>
      </c>
      <c r="J784" t="s">
        <v>67</v>
      </c>
      <c r="K784" s="389">
        <v>45408</v>
      </c>
      <c r="L784" s="389"/>
      <c r="M784" s="389"/>
      <c r="N784" t="s">
        <v>1052</v>
      </c>
    </row>
    <row r="785" spans="1:14" hidden="1">
      <c r="A785">
        <v>326</v>
      </c>
      <c r="B785">
        <v>1</v>
      </c>
      <c r="C785" t="s">
        <v>877</v>
      </c>
      <c r="D785" t="s">
        <v>1050</v>
      </c>
      <c r="E785" t="s">
        <v>350</v>
      </c>
      <c r="F785" t="s">
        <v>10413</v>
      </c>
      <c r="G785" t="str">
        <f>VLOOKUP(E785,Table145678910111213141545678910111213146[[CODE]:[Email Local]],4,0)</f>
        <v>tv.00376</v>
      </c>
      <c r="H785">
        <f>VLOOKUP(E785,Table145678910111213141545678910111213146[[CODE]:[Email Local]],6,0)</f>
        <v>0</v>
      </c>
      <c r="J785" t="s">
        <v>67</v>
      </c>
      <c r="K785" s="389">
        <v>45408</v>
      </c>
      <c r="L785" s="389"/>
      <c r="M785" s="389"/>
      <c r="N785" t="s">
        <v>1052</v>
      </c>
    </row>
    <row r="786" spans="1:14" hidden="1">
      <c r="A786">
        <v>328</v>
      </c>
      <c r="B786">
        <v>3</v>
      </c>
      <c r="C786" t="s">
        <v>877</v>
      </c>
      <c r="D786" t="s">
        <v>1739</v>
      </c>
      <c r="E786" t="s">
        <v>352</v>
      </c>
      <c r="F786" t="s">
        <v>10415</v>
      </c>
      <c r="G786" t="e">
        <f>VLOOKUP(E786,Table145678910111213141545678910111213146[[CODE]:[Email Local]],4,0)</f>
        <v>#N/A</v>
      </c>
      <c r="H786" t="e">
        <f>VLOOKUP(E786,Table145678910111213141545678910111213146[[CODE]:[Email Local]],6,0)</f>
        <v>#N/A</v>
      </c>
      <c r="J786" t="s">
        <v>67</v>
      </c>
      <c r="K786" s="389">
        <v>45428</v>
      </c>
      <c r="L786" s="389"/>
      <c r="M786" s="389"/>
      <c r="N786" t="s">
        <v>1052</v>
      </c>
    </row>
  </sheetData>
  <autoFilter ref="A1:O786" xr:uid="{B698188F-9916-4AEB-AA86-6BAF90488160}">
    <filterColumn colId="2">
      <filters>
        <filter val="An toàn - Môi trường 安環室"/>
        <filter val="Cán ống 製管事業部"/>
        <filter val="Cắt 3 三 廠素材"/>
        <filter val="MIS"/>
      </filters>
    </filterColumn>
    <sortState ref="A2:O786">
      <sortCondition ref="C1:C786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260"/>
  <sheetViews>
    <sheetView topLeftCell="A4226" workbookViewId="0">
      <selection activeCell="B4" sqref="B4"/>
    </sheetView>
  </sheetViews>
  <sheetFormatPr defaultRowHeight="15"/>
  <cols>
    <col min="1" max="1" width="10.28515625" style="89" customWidth="1"/>
    <col min="2" max="2" width="12.5703125" style="146" customWidth="1"/>
    <col min="3" max="3" width="25.5703125" style="146" customWidth="1"/>
    <col min="4" max="4" width="16.140625" style="89" customWidth="1"/>
    <col min="5" max="5" width="16.7109375" style="89" customWidth="1"/>
  </cols>
  <sheetData>
    <row r="1" spans="1:5" ht="56.25">
      <c r="B1" s="88" t="s">
        <v>8036</v>
      </c>
      <c r="C1" s="88" t="s">
        <v>8552</v>
      </c>
      <c r="D1" s="232" t="s">
        <v>8682</v>
      </c>
      <c r="E1" s="88" t="s">
        <v>887</v>
      </c>
    </row>
    <row r="2" spans="1:5" ht="18.75">
      <c r="A2" s="89" t="str">
        <f>"#"&amp;B2</f>
        <v>#</v>
      </c>
      <c r="B2" s="204"/>
      <c r="C2" s="204"/>
      <c r="D2" s="233"/>
      <c r="E2" s="204"/>
    </row>
    <row r="3" spans="1:5" ht="18.75">
      <c r="A3" s="89" t="str">
        <f t="shared" ref="A3:A66" si="0">"#"&amp;B3</f>
        <v>#</v>
      </c>
      <c r="B3" s="205"/>
      <c r="C3" s="205"/>
      <c r="D3" s="234"/>
      <c r="E3" s="205"/>
    </row>
    <row r="4" spans="1:5" ht="15.75">
      <c r="A4" s="89" t="str">
        <f t="shared" si="0"/>
        <v>#00038</v>
      </c>
      <c r="B4" s="138" t="s">
        <v>889</v>
      </c>
      <c r="C4" s="139" t="s">
        <v>888</v>
      </c>
      <c r="D4" s="138">
        <v>37216</v>
      </c>
      <c r="E4" s="138" t="s">
        <v>890</v>
      </c>
    </row>
    <row r="5" spans="1:5" ht="15.75">
      <c r="A5" s="89" t="str">
        <f t="shared" si="0"/>
        <v>#00039</v>
      </c>
      <c r="B5" s="138" t="s">
        <v>892</v>
      </c>
      <c r="C5" s="139" t="s">
        <v>891</v>
      </c>
      <c r="D5" s="138">
        <v>37216</v>
      </c>
      <c r="E5" s="138" t="s">
        <v>721</v>
      </c>
    </row>
    <row r="6" spans="1:5" ht="15.75">
      <c r="A6" s="89" t="str">
        <f t="shared" si="0"/>
        <v>#00041</v>
      </c>
      <c r="B6" s="138" t="s">
        <v>894</v>
      </c>
      <c r="C6" s="139" t="s">
        <v>893</v>
      </c>
      <c r="D6" s="138">
        <v>37217</v>
      </c>
      <c r="E6" s="138" t="s">
        <v>895</v>
      </c>
    </row>
    <row r="7" spans="1:5" ht="15.75">
      <c r="A7" s="89" t="str">
        <f t="shared" si="0"/>
        <v>#00046</v>
      </c>
      <c r="B7" s="138" t="s">
        <v>897</v>
      </c>
      <c r="C7" s="139" t="s">
        <v>896</v>
      </c>
      <c r="D7" s="138">
        <v>37222</v>
      </c>
      <c r="E7" s="138" t="s">
        <v>1098</v>
      </c>
    </row>
    <row r="8" spans="1:5" ht="15.75">
      <c r="A8" s="89" t="str">
        <f t="shared" si="0"/>
        <v>#00056</v>
      </c>
      <c r="B8" s="138" t="s">
        <v>900</v>
      </c>
      <c r="C8" s="139" t="s">
        <v>899</v>
      </c>
      <c r="D8" s="138">
        <v>37312</v>
      </c>
      <c r="E8" s="138" t="s">
        <v>721</v>
      </c>
    </row>
    <row r="9" spans="1:5" ht="15.75">
      <c r="A9" s="89" t="str">
        <f t="shared" si="0"/>
        <v>#00063</v>
      </c>
      <c r="B9" s="138" t="s">
        <v>902</v>
      </c>
      <c r="C9" s="139" t="s">
        <v>901</v>
      </c>
      <c r="D9" s="138">
        <v>37411</v>
      </c>
      <c r="E9" s="138" t="s">
        <v>903</v>
      </c>
    </row>
    <row r="10" spans="1:5" ht="15.75">
      <c r="A10" s="89" t="str">
        <f t="shared" si="0"/>
        <v>#00067</v>
      </c>
      <c r="B10" s="138" t="s">
        <v>905</v>
      </c>
      <c r="C10" s="139" t="s">
        <v>904</v>
      </c>
      <c r="D10" s="138">
        <v>37411</v>
      </c>
      <c r="E10" s="138" t="s">
        <v>906</v>
      </c>
    </row>
    <row r="11" spans="1:5" ht="15.75">
      <c r="A11" s="89" t="str">
        <f t="shared" si="0"/>
        <v>#00069</v>
      </c>
      <c r="B11" s="138" t="s">
        <v>908</v>
      </c>
      <c r="C11" s="139" t="s">
        <v>907</v>
      </c>
      <c r="D11" s="138">
        <v>37411</v>
      </c>
      <c r="E11" s="138" t="s">
        <v>895</v>
      </c>
    </row>
    <row r="12" spans="1:5" ht="15.75">
      <c r="A12" s="89" t="str">
        <f t="shared" si="0"/>
        <v>#00072</v>
      </c>
      <c r="B12" s="138" t="s">
        <v>910</v>
      </c>
      <c r="C12" s="139" t="s">
        <v>909</v>
      </c>
      <c r="D12" s="138">
        <v>37411</v>
      </c>
      <c r="E12" s="138" t="s">
        <v>752</v>
      </c>
    </row>
    <row r="13" spans="1:5" ht="15.75">
      <c r="A13" s="89" t="str">
        <f t="shared" si="0"/>
        <v>#00079</v>
      </c>
      <c r="B13" s="138" t="s">
        <v>912</v>
      </c>
      <c r="C13" s="139" t="s">
        <v>911</v>
      </c>
      <c r="D13" s="138">
        <v>37420</v>
      </c>
      <c r="E13" s="138" t="s">
        <v>721</v>
      </c>
    </row>
    <row r="14" spans="1:5" ht="15.75">
      <c r="A14" s="89" t="str">
        <f t="shared" si="0"/>
        <v>#00082</v>
      </c>
      <c r="B14" s="138" t="s">
        <v>914</v>
      </c>
      <c r="C14" s="139" t="s">
        <v>913</v>
      </c>
      <c r="D14" s="138">
        <v>37439</v>
      </c>
      <c r="E14" s="138" t="s">
        <v>915</v>
      </c>
    </row>
    <row r="15" spans="1:5" ht="15.75">
      <c r="A15" s="89" t="str">
        <f t="shared" si="0"/>
        <v>#00110</v>
      </c>
      <c r="B15" s="138" t="s">
        <v>917</v>
      </c>
      <c r="C15" s="139" t="s">
        <v>916</v>
      </c>
      <c r="D15" s="138">
        <v>37369</v>
      </c>
      <c r="E15" s="138" t="s">
        <v>890</v>
      </c>
    </row>
    <row r="16" spans="1:5" ht="15.75">
      <c r="A16" s="89" t="str">
        <f t="shared" si="0"/>
        <v>#00112</v>
      </c>
      <c r="B16" s="138" t="s">
        <v>919</v>
      </c>
      <c r="C16" s="139" t="s">
        <v>918</v>
      </c>
      <c r="D16" s="138">
        <v>37379</v>
      </c>
      <c r="E16" s="138" t="s">
        <v>721</v>
      </c>
    </row>
    <row r="17" spans="1:5" ht="15.75">
      <c r="A17" s="89" t="str">
        <f t="shared" si="0"/>
        <v>#00116</v>
      </c>
      <c r="B17" s="138" t="s">
        <v>921</v>
      </c>
      <c r="C17" s="139" t="s">
        <v>920</v>
      </c>
      <c r="D17" s="138">
        <v>37452</v>
      </c>
      <c r="E17" s="138" t="s">
        <v>895</v>
      </c>
    </row>
    <row r="18" spans="1:5" ht="15.75">
      <c r="A18" s="89" t="str">
        <f t="shared" si="0"/>
        <v>#00119</v>
      </c>
      <c r="B18" s="138" t="s">
        <v>923</v>
      </c>
      <c r="C18" s="139" t="s">
        <v>922</v>
      </c>
      <c r="D18" s="138">
        <v>37452</v>
      </c>
      <c r="E18" s="138" t="s">
        <v>924</v>
      </c>
    </row>
    <row r="19" spans="1:5" ht="15.75">
      <c r="A19" s="89" t="str">
        <f t="shared" si="0"/>
        <v>#00121</v>
      </c>
      <c r="B19" s="138" t="s">
        <v>926</v>
      </c>
      <c r="C19" s="139" t="s">
        <v>925</v>
      </c>
      <c r="D19" s="138">
        <v>37452</v>
      </c>
      <c r="E19" s="138" t="s">
        <v>927</v>
      </c>
    </row>
    <row r="20" spans="1:5" ht="15.75">
      <c r="A20" s="89" t="str">
        <f t="shared" si="0"/>
        <v>#00125</v>
      </c>
      <c r="B20" s="138" t="s">
        <v>929</v>
      </c>
      <c r="C20" s="139" t="s">
        <v>928</v>
      </c>
      <c r="D20" s="138">
        <v>37452</v>
      </c>
      <c r="E20" s="138" t="s">
        <v>895</v>
      </c>
    </row>
    <row r="21" spans="1:5" ht="15.75">
      <c r="A21" s="89" t="str">
        <f t="shared" si="0"/>
        <v>#00127</v>
      </c>
      <c r="B21" s="138" t="s">
        <v>931</v>
      </c>
      <c r="C21" s="139" t="s">
        <v>930</v>
      </c>
      <c r="D21" s="138">
        <v>37452</v>
      </c>
      <c r="E21" s="138" t="s">
        <v>743</v>
      </c>
    </row>
    <row r="22" spans="1:5" ht="15.75">
      <c r="A22" s="89" t="str">
        <f t="shared" si="0"/>
        <v>#00130</v>
      </c>
      <c r="B22" s="138" t="s">
        <v>933</v>
      </c>
      <c r="C22" s="139" t="s">
        <v>932</v>
      </c>
      <c r="D22" s="138">
        <v>37452</v>
      </c>
      <c r="E22" s="138" t="s">
        <v>934</v>
      </c>
    </row>
    <row r="23" spans="1:5" ht="15.75">
      <c r="A23" s="89" t="str">
        <f t="shared" si="0"/>
        <v>#00135</v>
      </c>
      <c r="B23" s="138" t="s">
        <v>936</v>
      </c>
      <c r="C23" s="139" t="s">
        <v>935</v>
      </c>
      <c r="D23" s="138">
        <v>37452</v>
      </c>
      <c r="E23" s="138" t="s">
        <v>937</v>
      </c>
    </row>
    <row r="24" spans="1:5" ht="15.75">
      <c r="A24" s="89" t="str">
        <f t="shared" si="0"/>
        <v>#00137</v>
      </c>
      <c r="B24" s="138" t="s">
        <v>939</v>
      </c>
      <c r="C24" s="139" t="s">
        <v>938</v>
      </c>
      <c r="D24" s="138">
        <v>37452</v>
      </c>
      <c r="E24" s="138" t="s">
        <v>890</v>
      </c>
    </row>
    <row r="25" spans="1:5" ht="15.75">
      <c r="A25" s="89" t="str">
        <f t="shared" si="0"/>
        <v>#00138</v>
      </c>
      <c r="B25" s="138" t="s">
        <v>941</v>
      </c>
      <c r="C25" s="139" t="s">
        <v>940</v>
      </c>
      <c r="D25" s="138">
        <v>37452</v>
      </c>
      <c r="E25" s="138" t="s">
        <v>890</v>
      </c>
    </row>
    <row r="26" spans="1:5" ht="15.75">
      <c r="A26" s="89" t="str">
        <f t="shared" si="0"/>
        <v>#00140</v>
      </c>
      <c r="B26" s="138" t="s">
        <v>943</v>
      </c>
      <c r="C26" s="139" t="s">
        <v>942</v>
      </c>
      <c r="D26" s="138">
        <v>35643</v>
      </c>
      <c r="E26" s="138" t="s">
        <v>927</v>
      </c>
    </row>
    <row r="27" spans="1:5" ht="15.75">
      <c r="A27" s="89" t="str">
        <f t="shared" si="0"/>
        <v>#00168</v>
      </c>
      <c r="B27" s="138" t="s">
        <v>945</v>
      </c>
      <c r="C27" s="139" t="s">
        <v>944</v>
      </c>
      <c r="D27" s="138">
        <v>37467</v>
      </c>
      <c r="E27" s="138" t="s">
        <v>721</v>
      </c>
    </row>
    <row r="28" spans="1:5" ht="15.75">
      <c r="A28" s="89" t="str">
        <f t="shared" si="0"/>
        <v>#00172</v>
      </c>
      <c r="B28" s="138" t="s">
        <v>947</v>
      </c>
      <c r="C28" s="139" t="s">
        <v>946</v>
      </c>
      <c r="D28" s="138">
        <v>37469</v>
      </c>
      <c r="E28" s="138" t="s">
        <v>1034</v>
      </c>
    </row>
    <row r="29" spans="1:5" ht="15.75">
      <c r="A29" s="89" t="str">
        <f t="shared" si="0"/>
        <v>#00179</v>
      </c>
      <c r="B29" s="138" t="s">
        <v>950</v>
      </c>
      <c r="C29" s="139" t="s">
        <v>949</v>
      </c>
      <c r="D29" s="138">
        <v>37469</v>
      </c>
      <c r="E29" s="138" t="s">
        <v>934</v>
      </c>
    </row>
    <row r="30" spans="1:5" ht="15.75">
      <c r="A30" s="89" t="str">
        <f t="shared" si="0"/>
        <v>#00180</v>
      </c>
      <c r="B30" s="138" t="s">
        <v>952</v>
      </c>
      <c r="C30" s="139" t="s">
        <v>951</v>
      </c>
      <c r="D30" s="138">
        <v>37469</v>
      </c>
      <c r="E30" s="138" t="s">
        <v>924</v>
      </c>
    </row>
    <row r="31" spans="1:5" ht="15.75">
      <c r="A31" s="89" t="str">
        <f t="shared" si="0"/>
        <v>#00181</v>
      </c>
      <c r="B31" s="138" t="s">
        <v>954</v>
      </c>
      <c r="C31" s="139" t="s">
        <v>953</v>
      </c>
      <c r="D31" s="138">
        <v>37469</v>
      </c>
      <c r="E31" s="138" t="s">
        <v>924</v>
      </c>
    </row>
    <row r="32" spans="1:5" ht="15.75">
      <c r="A32" s="89" t="str">
        <f t="shared" si="0"/>
        <v>#00182</v>
      </c>
      <c r="B32" s="138" t="s">
        <v>956</v>
      </c>
      <c r="C32" s="139" t="s">
        <v>955</v>
      </c>
      <c r="D32" s="138">
        <v>37469</v>
      </c>
      <c r="E32" s="138" t="s">
        <v>957</v>
      </c>
    </row>
    <row r="33" spans="1:5" ht="15.75">
      <c r="A33" s="89" t="str">
        <f t="shared" si="0"/>
        <v>#00186</v>
      </c>
      <c r="B33" s="138" t="s">
        <v>959</v>
      </c>
      <c r="C33" s="139" t="s">
        <v>958</v>
      </c>
      <c r="D33" s="138">
        <v>37474</v>
      </c>
      <c r="E33" s="138" t="s">
        <v>752</v>
      </c>
    </row>
    <row r="34" spans="1:5" ht="15.75">
      <c r="A34" s="89" t="str">
        <f t="shared" si="0"/>
        <v>#00189</v>
      </c>
      <c r="B34" s="138" t="s">
        <v>961</v>
      </c>
      <c r="C34" s="139" t="s">
        <v>960</v>
      </c>
      <c r="D34" s="138">
        <v>37474</v>
      </c>
      <c r="E34" s="138" t="s">
        <v>1098</v>
      </c>
    </row>
    <row r="35" spans="1:5" ht="15.75">
      <c r="A35" s="89" t="str">
        <f t="shared" si="0"/>
        <v>#00193</v>
      </c>
      <c r="B35" s="138" t="s">
        <v>963</v>
      </c>
      <c r="C35" s="139" t="s">
        <v>962</v>
      </c>
      <c r="D35" s="138">
        <v>37371</v>
      </c>
      <c r="E35" s="138" t="s">
        <v>927</v>
      </c>
    </row>
    <row r="36" spans="1:5" ht="15.75">
      <c r="A36" s="89" t="str">
        <f t="shared" si="0"/>
        <v>#00197</v>
      </c>
      <c r="B36" s="138" t="s">
        <v>965</v>
      </c>
      <c r="C36" s="139" t="s">
        <v>964</v>
      </c>
      <c r="D36" s="138">
        <v>37482</v>
      </c>
      <c r="E36" s="138" t="s">
        <v>895</v>
      </c>
    </row>
    <row r="37" spans="1:5" ht="15.75">
      <c r="A37" s="89" t="str">
        <f t="shared" si="0"/>
        <v>#00200</v>
      </c>
      <c r="B37" s="138" t="s">
        <v>967</v>
      </c>
      <c r="C37" s="139" t="s">
        <v>966</v>
      </c>
      <c r="D37" s="138">
        <v>37482</v>
      </c>
      <c r="E37" s="138" t="s">
        <v>937</v>
      </c>
    </row>
    <row r="38" spans="1:5" ht="15.75">
      <c r="A38" s="89" t="str">
        <f t="shared" si="0"/>
        <v>#00208</v>
      </c>
      <c r="B38" s="138" t="s">
        <v>969</v>
      </c>
      <c r="C38" s="139" t="s">
        <v>968</v>
      </c>
      <c r="D38" s="138">
        <v>37357</v>
      </c>
      <c r="E38" s="138" t="s">
        <v>7818</v>
      </c>
    </row>
    <row r="39" spans="1:5" ht="15.75">
      <c r="A39" s="89" t="str">
        <f t="shared" si="0"/>
        <v>#00213</v>
      </c>
      <c r="B39" s="138" t="s">
        <v>971</v>
      </c>
      <c r="C39" s="139" t="s">
        <v>970</v>
      </c>
      <c r="D39" s="138">
        <v>37502</v>
      </c>
      <c r="E39" s="138" t="s">
        <v>797</v>
      </c>
    </row>
    <row r="40" spans="1:5" ht="15.75">
      <c r="A40" s="89" t="str">
        <f t="shared" si="0"/>
        <v>#00221</v>
      </c>
      <c r="B40" s="138" t="s">
        <v>973</v>
      </c>
      <c r="C40" s="139" t="s">
        <v>972</v>
      </c>
      <c r="D40" s="138">
        <v>37509</v>
      </c>
      <c r="E40" s="138" t="s">
        <v>890</v>
      </c>
    </row>
    <row r="41" spans="1:5" ht="15.75">
      <c r="A41" s="89" t="str">
        <f t="shared" si="0"/>
        <v>#00231</v>
      </c>
      <c r="B41" s="138" t="s">
        <v>975</v>
      </c>
      <c r="C41" s="139" t="s">
        <v>974</v>
      </c>
      <c r="D41" s="138">
        <v>37515</v>
      </c>
      <c r="E41" s="138" t="s">
        <v>895</v>
      </c>
    </row>
    <row r="42" spans="1:5" ht="15.75">
      <c r="A42" s="89" t="str">
        <f t="shared" si="0"/>
        <v>#00234</v>
      </c>
      <c r="B42" s="138" t="s">
        <v>977</v>
      </c>
      <c r="C42" s="139" t="s">
        <v>976</v>
      </c>
      <c r="D42" s="138">
        <v>37519</v>
      </c>
      <c r="E42" s="138" t="s">
        <v>978</v>
      </c>
    </row>
    <row r="43" spans="1:5" ht="15.75">
      <c r="A43" s="89" t="str">
        <f t="shared" si="0"/>
        <v>#00235</v>
      </c>
      <c r="B43" s="138" t="s">
        <v>980</v>
      </c>
      <c r="C43" s="139" t="s">
        <v>979</v>
      </c>
      <c r="D43" s="138">
        <v>37519</v>
      </c>
      <c r="E43" s="138" t="s">
        <v>721</v>
      </c>
    </row>
    <row r="44" spans="1:5" ht="15.75">
      <c r="A44" s="89" t="str">
        <f t="shared" si="0"/>
        <v>#00248</v>
      </c>
      <c r="B44" s="138" t="s">
        <v>982</v>
      </c>
      <c r="C44" s="139" t="s">
        <v>981</v>
      </c>
      <c r="D44" s="138">
        <v>37523</v>
      </c>
      <c r="E44" s="138" t="s">
        <v>906</v>
      </c>
    </row>
    <row r="45" spans="1:5" ht="15.75">
      <c r="A45" s="89" t="str">
        <f t="shared" si="0"/>
        <v>#00254</v>
      </c>
      <c r="B45" s="138" t="s">
        <v>984</v>
      </c>
      <c r="C45" s="139" t="s">
        <v>983</v>
      </c>
      <c r="D45" s="138">
        <v>37531</v>
      </c>
      <c r="E45" s="138" t="s">
        <v>985</v>
      </c>
    </row>
    <row r="46" spans="1:5" ht="15.75">
      <c r="A46" s="89" t="str">
        <f t="shared" si="0"/>
        <v>#00256</v>
      </c>
      <c r="B46" s="138" t="s">
        <v>987</v>
      </c>
      <c r="C46" s="139" t="s">
        <v>986</v>
      </c>
      <c r="D46" s="138">
        <v>37533</v>
      </c>
      <c r="E46" s="138" t="s">
        <v>7818</v>
      </c>
    </row>
    <row r="47" spans="1:5" ht="15.75">
      <c r="A47" s="89" t="str">
        <f t="shared" si="0"/>
        <v>#00259</v>
      </c>
      <c r="B47" s="138" t="s">
        <v>989</v>
      </c>
      <c r="C47" s="139" t="s">
        <v>988</v>
      </c>
      <c r="D47" s="138">
        <v>37531</v>
      </c>
      <c r="E47" s="138" t="s">
        <v>721</v>
      </c>
    </row>
    <row r="48" spans="1:5" ht="15.75">
      <c r="A48" s="89" t="str">
        <f t="shared" si="0"/>
        <v>#00260</v>
      </c>
      <c r="B48" s="138" t="s">
        <v>991</v>
      </c>
      <c r="C48" s="139" t="s">
        <v>990</v>
      </c>
      <c r="D48" s="138">
        <v>37534</v>
      </c>
      <c r="E48" s="138" t="s">
        <v>906</v>
      </c>
    </row>
    <row r="49" spans="1:5" ht="15.75">
      <c r="A49" s="89" t="str">
        <f t="shared" si="0"/>
        <v>#00264</v>
      </c>
      <c r="B49" s="138" t="s">
        <v>993</v>
      </c>
      <c r="C49" s="139" t="s">
        <v>992</v>
      </c>
      <c r="D49" s="138">
        <v>36931</v>
      </c>
      <c r="E49" s="138" t="s">
        <v>906</v>
      </c>
    </row>
    <row r="50" spans="1:5" ht="15.75">
      <c r="A50" s="89" t="str">
        <f t="shared" si="0"/>
        <v>#00269</v>
      </c>
      <c r="B50" s="138" t="s">
        <v>995</v>
      </c>
      <c r="C50" s="139" t="s">
        <v>994</v>
      </c>
      <c r="D50" s="138">
        <v>37564</v>
      </c>
      <c r="E50" s="138" t="s">
        <v>7818</v>
      </c>
    </row>
    <row r="51" spans="1:5" ht="15.75">
      <c r="A51" s="89" t="str">
        <f t="shared" si="0"/>
        <v>#00277</v>
      </c>
      <c r="B51" s="138" t="s">
        <v>997</v>
      </c>
      <c r="C51" s="139" t="s">
        <v>996</v>
      </c>
      <c r="D51" s="138">
        <v>37585</v>
      </c>
      <c r="E51" s="138" t="s">
        <v>721</v>
      </c>
    </row>
    <row r="52" spans="1:5" ht="15.75">
      <c r="A52" s="89" t="str">
        <f t="shared" si="0"/>
        <v>#00279</v>
      </c>
      <c r="B52" s="138" t="s">
        <v>999</v>
      </c>
      <c r="C52" s="139" t="s">
        <v>998</v>
      </c>
      <c r="D52" s="138">
        <v>37585</v>
      </c>
      <c r="E52" s="138" t="s">
        <v>1133</v>
      </c>
    </row>
    <row r="53" spans="1:5" ht="15.75">
      <c r="A53" s="89" t="str">
        <f t="shared" si="0"/>
        <v>#00281</v>
      </c>
      <c r="B53" s="138" t="s">
        <v>1001</v>
      </c>
      <c r="C53" s="139" t="s">
        <v>1000</v>
      </c>
      <c r="D53" s="138">
        <v>37585</v>
      </c>
      <c r="E53" s="138" t="s">
        <v>978</v>
      </c>
    </row>
    <row r="54" spans="1:5" ht="15.75">
      <c r="A54" s="89" t="str">
        <f t="shared" si="0"/>
        <v>#00285</v>
      </c>
      <c r="B54" s="138" t="s">
        <v>1003</v>
      </c>
      <c r="C54" s="139" t="s">
        <v>1002</v>
      </c>
      <c r="D54" s="138">
        <v>37586</v>
      </c>
      <c r="E54" s="138" t="s">
        <v>1004</v>
      </c>
    </row>
    <row r="55" spans="1:5" ht="15.75">
      <c r="A55" s="89" t="str">
        <f t="shared" si="0"/>
        <v>#00288</v>
      </c>
      <c r="B55" s="138" t="s">
        <v>1006</v>
      </c>
      <c r="C55" s="139" t="s">
        <v>1005</v>
      </c>
      <c r="D55" s="138">
        <v>37285</v>
      </c>
      <c r="E55" s="138" t="s">
        <v>937</v>
      </c>
    </row>
    <row r="56" spans="1:5" ht="15.75">
      <c r="A56" s="89" t="str">
        <f t="shared" si="0"/>
        <v>#00289</v>
      </c>
      <c r="B56" s="138" t="s">
        <v>1008</v>
      </c>
      <c r="C56" s="139" t="s">
        <v>1007</v>
      </c>
      <c r="D56" s="138">
        <v>37350</v>
      </c>
      <c r="E56" s="138" t="s">
        <v>721</v>
      </c>
    </row>
    <row r="57" spans="1:5" ht="15.75">
      <c r="A57" s="89" t="str">
        <f t="shared" si="0"/>
        <v>#00293</v>
      </c>
      <c r="B57" s="138" t="s">
        <v>1010</v>
      </c>
      <c r="C57" s="139" t="s">
        <v>1009</v>
      </c>
      <c r="D57" s="138">
        <v>37377</v>
      </c>
      <c r="E57" s="138" t="s">
        <v>937</v>
      </c>
    </row>
    <row r="58" spans="1:5" ht="15.75">
      <c r="A58" s="89" t="str">
        <f t="shared" si="0"/>
        <v>#00295</v>
      </c>
      <c r="B58" s="138" t="s">
        <v>1012</v>
      </c>
      <c r="C58" s="139" t="s">
        <v>1011</v>
      </c>
      <c r="D58" s="138">
        <v>37377</v>
      </c>
      <c r="E58" s="138" t="s">
        <v>721</v>
      </c>
    </row>
    <row r="59" spans="1:5" ht="15.75">
      <c r="A59" s="89" t="str">
        <f t="shared" si="0"/>
        <v>#00296</v>
      </c>
      <c r="B59" s="138" t="s">
        <v>1014</v>
      </c>
      <c r="C59" s="139" t="s">
        <v>1013</v>
      </c>
      <c r="D59" s="138">
        <v>37591</v>
      </c>
      <c r="E59" s="138" t="s">
        <v>985</v>
      </c>
    </row>
    <row r="60" spans="1:5" ht="15.75">
      <c r="A60" s="89" t="str">
        <f t="shared" si="0"/>
        <v>#00299</v>
      </c>
      <c r="B60" s="138" t="s">
        <v>1016</v>
      </c>
      <c r="C60" s="139" t="s">
        <v>1015</v>
      </c>
      <c r="D60" s="138">
        <v>37591</v>
      </c>
      <c r="E60" s="138" t="s">
        <v>985</v>
      </c>
    </row>
    <row r="61" spans="1:5" ht="15.75">
      <c r="A61" s="89" t="str">
        <f t="shared" si="0"/>
        <v>#00303</v>
      </c>
      <c r="B61" s="138" t="s">
        <v>1018</v>
      </c>
      <c r="C61" s="139" t="s">
        <v>1017</v>
      </c>
      <c r="D61" s="138">
        <v>37591</v>
      </c>
      <c r="E61" s="138" t="s">
        <v>937</v>
      </c>
    </row>
    <row r="62" spans="1:5" ht="15.75">
      <c r="A62" s="89" t="str">
        <f t="shared" si="0"/>
        <v>#00315</v>
      </c>
      <c r="B62" s="138" t="s">
        <v>1020</v>
      </c>
      <c r="C62" s="139" t="s">
        <v>1019</v>
      </c>
      <c r="D62" s="138">
        <v>37600</v>
      </c>
      <c r="E62" s="138" t="s">
        <v>924</v>
      </c>
    </row>
    <row r="63" spans="1:5" ht="15.75">
      <c r="A63" s="89" t="str">
        <f t="shared" si="0"/>
        <v>#00326</v>
      </c>
      <c r="B63" s="138" t="s">
        <v>1022</v>
      </c>
      <c r="C63" s="139" t="s">
        <v>1021</v>
      </c>
      <c r="D63" s="138">
        <v>37618</v>
      </c>
      <c r="E63" s="138" t="s">
        <v>985</v>
      </c>
    </row>
    <row r="64" spans="1:5" ht="15.75">
      <c r="A64" s="89" t="str">
        <f t="shared" si="0"/>
        <v>#00328</v>
      </c>
      <c r="B64" s="138" t="s">
        <v>1024</v>
      </c>
      <c r="C64" s="139" t="s">
        <v>1023</v>
      </c>
      <c r="D64" s="138">
        <v>37618</v>
      </c>
      <c r="E64" s="138" t="s">
        <v>752</v>
      </c>
    </row>
    <row r="65" spans="1:5" ht="15.75">
      <c r="A65" s="89" t="str">
        <f t="shared" si="0"/>
        <v>#00334</v>
      </c>
      <c r="B65" s="138" t="s">
        <v>1026</v>
      </c>
      <c r="C65" s="139" t="s">
        <v>1025</v>
      </c>
      <c r="D65" s="138">
        <v>37627</v>
      </c>
      <c r="E65" s="138" t="s">
        <v>796</v>
      </c>
    </row>
    <row r="66" spans="1:5" ht="15.75">
      <c r="A66" s="89" t="str">
        <f t="shared" si="0"/>
        <v>#00336</v>
      </c>
      <c r="B66" s="138" t="s">
        <v>1028</v>
      </c>
      <c r="C66" s="139" t="s">
        <v>1027</v>
      </c>
      <c r="D66" s="138">
        <v>37634</v>
      </c>
      <c r="E66" s="138" t="s">
        <v>1029</v>
      </c>
    </row>
    <row r="67" spans="1:5" ht="15.75">
      <c r="A67" s="89" t="str">
        <f t="shared" ref="A67:A130" si="1">"#"&amp;B67</f>
        <v>#00337</v>
      </c>
      <c r="B67" s="138" t="s">
        <v>1031</v>
      </c>
      <c r="C67" s="139" t="s">
        <v>1030</v>
      </c>
      <c r="D67" s="138">
        <v>37634</v>
      </c>
      <c r="E67" s="138" t="s">
        <v>8037</v>
      </c>
    </row>
    <row r="68" spans="1:5" ht="15.75">
      <c r="A68" s="89" t="str">
        <f t="shared" si="1"/>
        <v>#00338</v>
      </c>
      <c r="B68" s="138" t="s">
        <v>1033</v>
      </c>
      <c r="C68" s="139" t="s">
        <v>1032</v>
      </c>
      <c r="D68" s="138">
        <v>37634</v>
      </c>
      <c r="E68" s="138" t="s">
        <v>1034</v>
      </c>
    </row>
    <row r="69" spans="1:5" ht="15.75">
      <c r="A69" s="89" t="str">
        <f t="shared" si="1"/>
        <v>#00339</v>
      </c>
      <c r="B69" s="138" t="s">
        <v>1036</v>
      </c>
      <c r="C69" s="139" t="s">
        <v>1035</v>
      </c>
      <c r="D69" s="138">
        <v>37639</v>
      </c>
      <c r="E69" s="138" t="s">
        <v>934</v>
      </c>
    </row>
    <row r="70" spans="1:5" ht="15.75">
      <c r="A70" s="89" t="str">
        <f t="shared" si="1"/>
        <v>#00341</v>
      </c>
      <c r="B70" s="138" t="s">
        <v>1038</v>
      </c>
      <c r="C70" s="139" t="s">
        <v>1037</v>
      </c>
      <c r="D70" s="138">
        <v>37639</v>
      </c>
      <c r="E70" s="138" t="s">
        <v>1034</v>
      </c>
    </row>
    <row r="71" spans="1:5" ht="15.75">
      <c r="A71" s="89" t="str">
        <f t="shared" si="1"/>
        <v>#00348</v>
      </c>
      <c r="B71" s="138" t="s">
        <v>1040</v>
      </c>
      <c r="C71" s="139" t="s">
        <v>1039</v>
      </c>
      <c r="D71" s="138">
        <v>37659</v>
      </c>
      <c r="E71" s="138" t="s">
        <v>937</v>
      </c>
    </row>
    <row r="72" spans="1:5" ht="15.75">
      <c r="A72" s="89" t="str">
        <f t="shared" si="1"/>
        <v>#00349</v>
      </c>
      <c r="B72" s="138" t="s">
        <v>1042</v>
      </c>
      <c r="C72" s="139" t="s">
        <v>1041</v>
      </c>
      <c r="D72" s="138">
        <v>37659</v>
      </c>
      <c r="E72" s="138" t="s">
        <v>1043</v>
      </c>
    </row>
    <row r="73" spans="1:5" ht="15.75">
      <c r="A73" s="89" t="str">
        <f t="shared" si="1"/>
        <v>#00350</v>
      </c>
      <c r="B73" s="138" t="s">
        <v>1045</v>
      </c>
      <c r="C73" s="139" t="s">
        <v>1044</v>
      </c>
      <c r="D73" s="138">
        <v>37659</v>
      </c>
      <c r="E73" s="138" t="s">
        <v>1380</v>
      </c>
    </row>
    <row r="74" spans="1:5" ht="15.75">
      <c r="A74" s="89" t="str">
        <f t="shared" si="1"/>
        <v>#00369</v>
      </c>
      <c r="B74" s="138" t="s">
        <v>1047</v>
      </c>
      <c r="C74" s="139" t="s">
        <v>1046</v>
      </c>
      <c r="D74" s="138">
        <v>37676</v>
      </c>
      <c r="E74" s="138" t="s">
        <v>934</v>
      </c>
    </row>
    <row r="75" spans="1:5" ht="15.75">
      <c r="A75" s="89" t="str">
        <f t="shared" si="1"/>
        <v>#00370</v>
      </c>
      <c r="B75" s="138" t="s">
        <v>1049</v>
      </c>
      <c r="C75" s="139" t="s">
        <v>1048</v>
      </c>
      <c r="D75" s="138">
        <v>37688</v>
      </c>
      <c r="E75" s="138" t="s">
        <v>985</v>
      </c>
    </row>
    <row r="76" spans="1:5" ht="15.75">
      <c r="A76" s="89" t="str">
        <f t="shared" si="1"/>
        <v>#00376</v>
      </c>
      <c r="B76" s="138" t="s">
        <v>1051</v>
      </c>
      <c r="C76" s="139" t="s">
        <v>1050</v>
      </c>
      <c r="D76" s="138">
        <v>37712</v>
      </c>
      <c r="E76" s="138" t="s">
        <v>1052</v>
      </c>
    </row>
    <row r="77" spans="1:5" ht="15.75">
      <c r="A77" s="89" t="str">
        <f t="shared" si="1"/>
        <v>#00379</v>
      </c>
      <c r="B77" s="138" t="s">
        <v>1054</v>
      </c>
      <c r="C77" s="139" t="s">
        <v>1053</v>
      </c>
      <c r="D77" s="138">
        <v>37767</v>
      </c>
      <c r="E77" s="138" t="s">
        <v>895</v>
      </c>
    </row>
    <row r="78" spans="1:5" ht="15.75">
      <c r="A78" s="89" t="str">
        <f t="shared" si="1"/>
        <v>#00384</v>
      </c>
      <c r="B78" s="138" t="s">
        <v>1056</v>
      </c>
      <c r="C78" s="139" t="s">
        <v>1055</v>
      </c>
      <c r="D78" s="138">
        <v>37774</v>
      </c>
      <c r="E78" s="138" t="s">
        <v>890</v>
      </c>
    </row>
    <row r="79" spans="1:5" ht="15.75">
      <c r="A79" s="89" t="str">
        <f t="shared" si="1"/>
        <v>#00400</v>
      </c>
      <c r="B79" s="138" t="s">
        <v>1058</v>
      </c>
      <c r="C79" s="139" t="s">
        <v>1057</v>
      </c>
      <c r="D79" s="138">
        <v>37855</v>
      </c>
      <c r="E79" s="138" t="s">
        <v>895</v>
      </c>
    </row>
    <row r="80" spans="1:5" ht="15.75">
      <c r="A80" s="89" t="str">
        <f t="shared" si="1"/>
        <v>#00402</v>
      </c>
      <c r="B80" s="138" t="s">
        <v>1060</v>
      </c>
      <c r="C80" s="139" t="s">
        <v>1059</v>
      </c>
      <c r="D80" s="138">
        <v>37855</v>
      </c>
      <c r="E80" s="138" t="s">
        <v>906</v>
      </c>
    </row>
    <row r="81" spans="1:5" ht="15.75">
      <c r="A81" s="89" t="str">
        <f t="shared" si="1"/>
        <v>#00404</v>
      </c>
      <c r="B81" s="138" t="s">
        <v>1062</v>
      </c>
      <c r="C81" s="139" t="s">
        <v>1061</v>
      </c>
      <c r="D81" s="138">
        <v>37856</v>
      </c>
      <c r="E81" s="138" t="s">
        <v>1063</v>
      </c>
    </row>
    <row r="82" spans="1:5" ht="15.75">
      <c r="A82" s="89" t="str">
        <f t="shared" si="1"/>
        <v>#00405</v>
      </c>
      <c r="B82" s="138" t="s">
        <v>1065</v>
      </c>
      <c r="C82" s="139" t="s">
        <v>1064</v>
      </c>
      <c r="D82" s="138">
        <v>37856</v>
      </c>
      <c r="E82" s="138" t="s">
        <v>895</v>
      </c>
    </row>
    <row r="83" spans="1:5" ht="15.75">
      <c r="A83" s="89" t="str">
        <f t="shared" si="1"/>
        <v>#00413</v>
      </c>
      <c r="B83" s="138" t="s">
        <v>1067</v>
      </c>
      <c r="C83" s="139" t="s">
        <v>1066</v>
      </c>
      <c r="D83" s="138">
        <v>37869</v>
      </c>
      <c r="E83" s="138" t="s">
        <v>1098</v>
      </c>
    </row>
    <row r="84" spans="1:5" ht="15.75">
      <c r="A84" s="89" t="str">
        <f t="shared" si="1"/>
        <v>#00416</v>
      </c>
      <c r="B84" s="138" t="s">
        <v>1069</v>
      </c>
      <c r="C84" s="139" t="s">
        <v>1068</v>
      </c>
      <c r="D84" s="138">
        <v>37870</v>
      </c>
      <c r="E84" s="138" t="s">
        <v>895</v>
      </c>
    </row>
    <row r="85" spans="1:5" ht="15.75">
      <c r="A85" s="89" t="str">
        <f t="shared" si="1"/>
        <v>#00418</v>
      </c>
      <c r="B85" s="138" t="s">
        <v>1071</v>
      </c>
      <c r="C85" s="139" t="s">
        <v>1070</v>
      </c>
      <c r="D85" s="138">
        <v>37872</v>
      </c>
      <c r="E85" s="138" t="s">
        <v>903</v>
      </c>
    </row>
    <row r="86" spans="1:5" ht="15.75">
      <c r="A86" s="89" t="str">
        <f t="shared" si="1"/>
        <v>#00431</v>
      </c>
      <c r="B86" s="138" t="s">
        <v>1073</v>
      </c>
      <c r="C86" s="139" t="s">
        <v>1072</v>
      </c>
      <c r="D86" s="138">
        <v>37893</v>
      </c>
      <c r="E86" s="138" t="s">
        <v>948</v>
      </c>
    </row>
    <row r="87" spans="1:5" ht="15.75">
      <c r="A87" s="89" t="str">
        <f t="shared" si="1"/>
        <v>#00433</v>
      </c>
      <c r="B87" s="138" t="s">
        <v>1074</v>
      </c>
      <c r="C87" s="139" t="s">
        <v>990</v>
      </c>
      <c r="D87" s="138">
        <v>37893</v>
      </c>
      <c r="E87" s="138" t="s">
        <v>752</v>
      </c>
    </row>
    <row r="88" spans="1:5" ht="15.75">
      <c r="A88" s="89" t="str">
        <f t="shared" si="1"/>
        <v>#00443</v>
      </c>
      <c r="B88" s="138" t="s">
        <v>1076</v>
      </c>
      <c r="C88" s="139" t="s">
        <v>1075</v>
      </c>
      <c r="D88" s="138">
        <v>37926</v>
      </c>
      <c r="E88" s="138" t="s">
        <v>797</v>
      </c>
    </row>
    <row r="89" spans="1:5" ht="15.75">
      <c r="A89" s="89" t="str">
        <f t="shared" si="1"/>
        <v>#00444</v>
      </c>
      <c r="B89" s="138" t="s">
        <v>1078</v>
      </c>
      <c r="C89" s="139" t="s">
        <v>1077</v>
      </c>
      <c r="D89" s="138">
        <v>37931</v>
      </c>
      <c r="E89" s="138" t="s">
        <v>8037</v>
      </c>
    </row>
    <row r="90" spans="1:5" ht="15.75">
      <c r="A90" s="89" t="str">
        <f t="shared" si="1"/>
        <v>#00455</v>
      </c>
      <c r="B90" s="138" t="s">
        <v>1080</v>
      </c>
      <c r="C90" s="139" t="s">
        <v>1079</v>
      </c>
      <c r="D90" s="138">
        <v>37958</v>
      </c>
      <c r="E90" s="138" t="s">
        <v>890</v>
      </c>
    </row>
    <row r="91" spans="1:5" ht="15.75">
      <c r="A91" s="89" t="str">
        <f t="shared" si="1"/>
        <v>#00458</v>
      </c>
      <c r="B91" s="138" t="s">
        <v>1082</v>
      </c>
      <c r="C91" s="139" t="s">
        <v>1081</v>
      </c>
      <c r="D91" s="138">
        <v>37958</v>
      </c>
      <c r="E91" s="138" t="s">
        <v>1063</v>
      </c>
    </row>
    <row r="92" spans="1:5" ht="15.75">
      <c r="A92" s="89" t="str">
        <f t="shared" si="1"/>
        <v>#00462</v>
      </c>
      <c r="B92" s="138" t="s">
        <v>1084</v>
      </c>
      <c r="C92" s="139" t="s">
        <v>1083</v>
      </c>
      <c r="D92" s="138">
        <v>37958</v>
      </c>
      <c r="E92" s="138" t="s">
        <v>1085</v>
      </c>
    </row>
    <row r="93" spans="1:5" ht="15.75">
      <c r="A93" s="89" t="str">
        <f t="shared" si="1"/>
        <v>#00464</v>
      </c>
      <c r="B93" s="138" t="s">
        <v>1087</v>
      </c>
      <c r="C93" s="139" t="s">
        <v>1086</v>
      </c>
      <c r="D93" s="138">
        <v>37958</v>
      </c>
      <c r="E93" s="138" t="s">
        <v>759</v>
      </c>
    </row>
    <row r="94" spans="1:5" ht="15.75">
      <c r="A94" s="89" t="str">
        <f t="shared" si="1"/>
        <v>#00470</v>
      </c>
      <c r="B94" s="138" t="s">
        <v>1089</v>
      </c>
      <c r="C94" s="139" t="s">
        <v>1088</v>
      </c>
      <c r="D94" s="138">
        <v>37964</v>
      </c>
      <c r="E94" s="138" t="s">
        <v>890</v>
      </c>
    </row>
    <row r="95" spans="1:5" ht="15.75">
      <c r="A95" s="89" t="str">
        <f t="shared" si="1"/>
        <v>#00471</v>
      </c>
      <c r="B95" s="138" t="s">
        <v>1091</v>
      </c>
      <c r="C95" s="139" t="s">
        <v>1090</v>
      </c>
      <c r="D95" s="138">
        <v>37965</v>
      </c>
      <c r="E95" s="138" t="s">
        <v>7818</v>
      </c>
    </row>
    <row r="96" spans="1:5" ht="15.75">
      <c r="A96" s="89" t="str">
        <f t="shared" si="1"/>
        <v>#00478</v>
      </c>
      <c r="B96" s="138" t="s">
        <v>1093</v>
      </c>
      <c r="C96" s="139" t="s">
        <v>1092</v>
      </c>
      <c r="D96" s="138">
        <v>37967</v>
      </c>
      <c r="E96" s="138" t="s">
        <v>1043</v>
      </c>
    </row>
    <row r="97" spans="1:5" ht="15.75">
      <c r="A97" s="89" t="str">
        <f t="shared" si="1"/>
        <v>#00479</v>
      </c>
      <c r="B97" s="138" t="s">
        <v>1095</v>
      </c>
      <c r="C97" s="139" t="s">
        <v>1094</v>
      </c>
      <c r="D97" s="138">
        <v>37965</v>
      </c>
      <c r="E97" s="138" t="s">
        <v>1063</v>
      </c>
    </row>
    <row r="98" spans="1:5" ht="15.75">
      <c r="A98" s="89" t="str">
        <f t="shared" si="1"/>
        <v>#00483</v>
      </c>
      <c r="B98" s="138" t="s">
        <v>1097</v>
      </c>
      <c r="C98" s="139" t="s">
        <v>1096</v>
      </c>
      <c r="D98" s="138">
        <v>37973</v>
      </c>
      <c r="E98" s="138" t="s">
        <v>1098</v>
      </c>
    </row>
    <row r="99" spans="1:5" ht="15.75">
      <c r="A99" s="89" t="str">
        <f t="shared" si="1"/>
        <v>#00484</v>
      </c>
      <c r="B99" s="138" t="s">
        <v>1100</v>
      </c>
      <c r="C99" s="139" t="s">
        <v>1099</v>
      </c>
      <c r="D99" s="138">
        <v>37973</v>
      </c>
      <c r="E99" s="138" t="s">
        <v>7818</v>
      </c>
    </row>
    <row r="100" spans="1:5" ht="15.75">
      <c r="A100" s="89" t="str">
        <f t="shared" si="1"/>
        <v>#00486</v>
      </c>
      <c r="B100" s="138" t="s">
        <v>1102</v>
      </c>
      <c r="C100" s="139" t="s">
        <v>1101</v>
      </c>
      <c r="D100" s="138">
        <v>37977</v>
      </c>
      <c r="E100" s="138" t="s">
        <v>1034</v>
      </c>
    </row>
    <row r="101" spans="1:5" ht="15.75">
      <c r="A101" s="89" t="str">
        <f t="shared" si="1"/>
        <v>#00487</v>
      </c>
      <c r="B101" s="138" t="s">
        <v>1104</v>
      </c>
      <c r="C101" s="139" t="s">
        <v>1103</v>
      </c>
      <c r="D101" s="138">
        <v>37977</v>
      </c>
      <c r="E101" s="138" t="s">
        <v>985</v>
      </c>
    </row>
    <row r="102" spans="1:5" ht="15.75">
      <c r="A102" s="89" t="str">
        <f t="shared" si="1"/>
        <v>#00490</v>
      </c>
      <c r="B102" s="138" t="s">
        <v>1106</v>
      </c>
      <c r="C102" s="139" t="s">
        <v>1105</v>
      </c>
      <c r="D102" s="138">
        <v>37979</v>
      </c>
      <c r="E102" s="138" t="s">
        <v>1004</v>
      </c>
    </row>
    <row r="103" spans="1:5" ht="15.75">
      <c r="A103" s="89" t="str">
        <f t="shared" si="1"/>
        <v>#00493</v>
      </c>
      <c r="B103" s="138" t="s">
        <v>1108</v>
      </c>
      <c r="C103" s="139" t="s">
        <v>1107</v>
      </c>
      <c r="D103" s="138">
        <v>37981</v>
      </c>
      <c r="E103" s="138" t="s">
        <v>1063</v>
      </c>
    </row>
    <row r="104" spans="1:5" ht="15.75">
      <c r="A104" s="89" t="str">
        <f t="shared" si="1"/>
        <v>#00498</v>
      </c>
      <c r="B104" s="138" t="s">
        <v>1110</v>
      </c>
      <c r="C104" s="139" t="s">
        <v>1109</v>
      </c>
      <c r="D104" s="138">
        <v>37952</v>
      </c>
      <c r="E104" s="138" t="s">
        <v>934</v>
      </c>
    </row>
    <row r="105" spans="1:5" ht="15.75">
      <c r="A105" s="89" t="str">
        <f t="shared" si="1"/>
        <v>#00499</v>
      </c>
      <c r="B105" s="138" t="s">
        <v>1112</v>
      </c>
      <c r="C105" s="139" t="s">
        <v>1111</v>
      </c>
      <c r="D105" s="138">
        <v>37666</v>
      </c>
      <c r="E105" s="138" t="s">
        <v>1113</v>
      </c>
    </row>
    <row r="106" spans="1:5" ht="15.75">
      <c r="A106" s="89" t="str">
        <f t="shared" si="1"/>
        <v>#00510</v>
      </c>
      <c r="B106" s="138" t="s">
        <v>1115</v>
      </c>
      <c r="C106" s="139" t="s">
        <v>1114</v>
      </c>
      <c r="D106" s="138">
        <v>37996</v>
      </c>
      <c r="E106" s="138" t="s">
        <v>1034</v>
      </c>
    </row>
    <row r="107" spans="1:5" ht="15.75">
      <c r="A107" s="89" t="str">
        <f t="shared" si="1"/>
        <v>#00512</v>
      </c>
      <c r="B107" s="138" t="s">
        <v>1116</v>
      </c>
      <c r="C107" s="139" t="s">
        <v>1053</v>
      </c>
      <c r="D107" s="138">
        <v>37998</v>
      </c>
      <c r="E107" s="138" t="s">
        <v>1034</v>
      </c>
    </row>
    <row r="108" spans="1:5" ht="15.75">
      <c r="A108" s="89" t="str">
        <f t="shared" si="1"/>
        <v>#00513</v>
      </c>
      <c r="B108" s="138" t="s">
        <v>1118</v>
      </c>
      <c r="C108" s="139" t="s">
        <v>1117</v>
      </c>
      <c r="D108" s="138">
        <v>37999</v>
      </c>
      <c r="E108" s="138" t="s">
        <v>985</v>
      </c>
    </row>
    <row r="109" spans="1:5" ht="15.75">
      <c r="A109" s="89" t="str">
        <f t="shared" si="1"/>
        <v>#00514</v>
      </c>
      <c r="B109" s="138" t="s">
        <v>1120</v>
      </c>
      <c r="C109" s="139" t="s">
        <v>1119</v>
      </c>
      <c r="D109" s="138">
        <v>37999</v>
      </c>
      <c r="E109" s="138" t="s">
        <v>985</v>
      </c>
    </row>
    <row r="110" spans="1:5" ht="15.75">
      <c r="A110" s="89" t="str">
        <f t="shared" si="1"/>
        <v>#00516</v>
      </c>
      <c r="B110" s="138" t="s">
        <v>1122</v>
      </c>
      <c r="C110" s="139" t="s">
        <v>1121</v>
      </c>
      <c r="D110" s="138">
        <v>37999</v>
      </c>
      <c r="E110" s="138" t="s">
        <v>721</v>
      </c>
    </row>
    <row r="111" spans="1:5" ht="15.75">
      <c r="A111" s="89" t="str">
        <f t="shared" si="1"/>
        <v>#00519</v>
      </c>
      <c r="B111" s="138" t="s">
        <v>1124</v>
      </c>
      <c r="C111" s="139" t="s">
        <v>1123</v>
      </c>
      <c r="D111" s="138">
        <v>38000</v>
      </c>
      <c r="E111" s="138" t="s">
        <v>8037</v>
      </c>
    </row>
    <row r="112" spans="1:5" ht="15.75">
      <c r="A112" s="89" t="str">
        <f t="shared" si="1"/>
        <v>#00524</v>
      </c>
      <c r="B112" s="138" t="s">
        <v>1125</v>
      </c>
      <c r="C112" s="139" t="s">
        <v>990</v>
      </c>
      <c r="D112" s="138">
        <v>38003</v>
      </c>
      <c r="E112" s="138" t="s">
        <v>1133</v>
      </c>
    </row>
    <row r="113" spans="1:5" ht="15.75">
      <c r="A113" s="89" t="str">
        <f t="shared" si="1"/>
        <v>#00525</v>
      </c>
      <c r="B113" s="138" t="s">
        <v>1127</v>
      </c>
      <c r="C113" s="139" t="s">
        <v>1126</v>
      </c>
      <c r="D113" s="138">
        <v>38002</v>
      </c>
      <c r="E113" s="138" t="s">
        <v>985</v>
      </c>
    </row>
    <row r="114" spans="1:5" ht="15.75">
      <c r="A114" s="89" t="str">
        <f t="shared" si="1"/>
        <v>#00533</v>
      </c>
      <c r="B114" s="138" t="s">
        <v>1130</v>
      </c>
      <c r="C114" s="139" t="s">
        <v>1129</v>
      </c>
      <c r="D114" s="138">
        <v>38014</v>
      </c>
      <c r="E114" s="138" t="s">
        <v>752</v>
      </c>
    </row>
    <row r="115" spans="1:5" ht="15.75">
      <c r="A115" s="89" t="str">
        <f t="shared" si="1"/>
        <v>#00535</v>
      </c>
      <c r="B115" s="138" t="s">
        <v>1132</v>
      </c>
      <c r="C115" s="139" t="s">
        <v>1131</v>
      </c>
      <c r="D115" s="138">
        <v>38014</v>
      </c>
      <c r="E115" s="138" t="s">
        <v>1133</v>
      </c>
    </row>
    <row r="116" spans="1:5" ht="15.75">
      <c r="A116" s="89" t="str">
        <f t="shared" si="1"/>
        <v>#00540</v>
      </c>
      <c r="B116" s="138" t="s">
        <v>1135</v>
      </c>
      <c r="C116" s="139" t="s">
        <v>1134</v>
      </c>
      <c r="D116" s="138">
        <v>38015</v>
      </c>
      <c r="E116" s="138" t="s">
        <v>895</v>
      </c>
    </row>
    <row r="117" spans="1:5" ht="15.75">
      <c r="A117" s="89" t="str">
        <f t="shared" si="1"/>
        <v>#00543</v>
      </c>
      <c r="B117" s="138" t="s">
        <v>1137</v>
      </c>
      <c r="C117" s="139" t="s">
        <v>1136</v>
      </c>
      <c r="D117" s="138">
        <v>38015</v>
      </c>
      <c r="E117" s="138" t="s">
        <v>796</v>
      </c>
    </row>
    <row r="118" spans="1:5" ht="15.75">
      <c r="A118" s="89" t="str">
        <f t="shared" si="1"/>
        <v>#00552</v>
      </c>
      <c r="B118" s="138" t="s">
        <v>1139</v>
      </c>
      <c r="C118" s="139" t="s">
        <v>1138</v>
      </c>
      <c r="D118" s="138">
        <v>38016</v>
      </c>
      <c r="E118" s="138" t="s">
        <v>985</v>
      </c>
    </row>
    <row r="119" spans="1:5" ht="15.75">
      <c r="A119" s="89" t="str">
        <f t="shared" si="1"/>
        <v>#00563</v>
      </c>
      <c r="B119" s="138" t="s">
        <v>1141</v>
      </c>
      <c r="C119" s="139" t="s">
        <v>1140</v>
      </c>
      <c r="D119" s="138">
        <v>38019</v>
      </c>
      <c r="E119" s="138" t="s">
        <v>985</v>
      </c>
    </row>
    <row r="120" spans="1:5" ht="15.75">
      <c r="A120" s="89" t="str">
        <f t="shared" si="1"/>
        <v>#00564</v>
      </c>
      <c r="B120" s="138" t="s">
        <v>1143</v>
      </c>
      <c r="C120" s="139" t="s">
        <v>1142</v>
      </c>
      <c r="D120" s="138">
        <v>38019</v>
      </c>
      <c r="E120" s="138" t="s">
        <v>985</v>
      </c>
    </row>
    <row r="121" spans="1:5" ht="15.75">
      <c r="A121" s="89" t="str">
        <f t="shared" si="1"/>
        <v>#00572</v>
      </c>
      <c r="B121" s="138" t="s">
        <v>1145</v>
      </c>
      <c r="C121" s="139" t="s">
        <v>1144</v>
      </c>
      <c r="D121" s="138">
        <v>38019</v>
      </c>
      <c r="E121" s="138" t="s">
        <v>1133</v>
      </c>
    </row>
    <row r="122" spans="1:5" ht="15.75">
      <c r="A122" s="89" t="str">
        <f t="shared" si="1"/>
        <v>#00575</v>
      </c>
      <c r="B122" s="138" t="s">
        <v>1147</v>
      </c>
      <c r="C122" s="139" t="s">
        <v>1146</v>
      </c>
      <c r="D122" s="138">
        <v>38020</v>
      </c>
      <c r="E122" s="138" t="s">
        <v>895</v>
      </c>
    </row>
    <row r="123" spans="1:5" ht="15.75">
      <c r="A123" s="89" t="str">
        <f t="shared" si="1"/>
        <v>#00576</v>
      </c>
      <c r="B123" s="138" t="s">
        <v>1149</v>
      </c>
      <c r="C123" s="139" t="s">
        <v>1148</v>
      </c>
      <c r="D123" s="138">
        <v>38020</v>
      </c>
      <c r="E123" s="138" t="s">
        <v>927</v>
      </c>
    </row>
    <row r="124" spans="1:5" ht="15.75">
      <c r="A124" s="89" t="str">
        <f t="shared" si="1"/>
        <v>#00590</v>
      </c>
      <c r="B124" s="138" t="s">
        <v>1151</v>
      </c>
      <c r="C124" s="139" t="s">
        <v>1150</v>
      </c>
      <c r="D124" s="138">
        <v>38022</v>
      </c>
      <c r="E124" s="138" t="s">
        <v>1043</v>
      </c>
    </row>
    <row r="125" spans="1:5" ht="15.75">
      <c r="A125" s="89" t="str">
        <f t="shared" si="1"/>
        <v>#00591</v>
      </c>
      <c r="B125" s="138" t="s">
        <v>1153</v>
      </c>
      <c r="C125" s="139" t="s">
        <v>1152</v>
      </c>
      <c r="D125" s="138">
        <v>38022</v>
      </c>
      <c r="E125" s="138" t="s">
        <v>7788</v>
      </c>
    </row>
    <row r="126" spans="1:5" ht="15.75">
      <c r="A126" s="89" t="str">
        <f t="shared" si="1"/>
        <v>#00593</v>
      </c>
      <c r="B126" s="138" t="s">
        <v>1155</v>
      </c>
      <c r="C126" s="139" t="s">
        <v>1154</v>
      </c>
      <c r="D126" s="138">
        <v>38022</v>
      </c>
      <c r="E126" s="138" t="s">
        <v>8037</v>
      </c>
    </row>
    <row r="127" spans="1:5" ht="15.75">
      <c r="A127" s="89" t="str">
        <f t="shared" si="1"/>
        <v>#00596</v>
      </c>
      <c r="B127" s="138" t="s">
        <v>1157</v>
      </c>
      <c r="C127" s="139" t="s">
        <v>1156</v>
      </c>
      <c r="D127" s="138">
        <v>38023</v>
      </c>
      <c r="E127" s="138" t="s">
        <v>927</v>
      </c>
    </row>
    <row r="128" spans="1:5" ht="15.75">
      <c r="A128" s="89" t="str">
        <f t="shared" si="1"/>
        <v>#00602</v>
      </c>
      <c r="B128" s="138" t="s">
        <v>1159</v>
      </c>
      <c r="C128" s="139" t="s">
        <v>1158</v>
      </c>
      <c r="D128" s="138">
        <v>38026</v>
      </c>
      <c r="E128" s="138" t="s">
        <v>721</v>
      </c>
    </row>
    <row r="129" spans="1:5" ht="15.75">
      <c r="A129" s="89" t="str">
        <f t="shared" si="1"/>
        <v>#00605</v>
      </c>
      <c r="B129" s="138" t="s">
        <v>1161</v>
      </c>
      <c r="C129" s="139" t="s">
        <v>1160</v>
      </c>
      <c r="D129" s="138">
        <v>38028</v>
      </c>
      <c r="E129" s="138" t="s">
        <v>906</v>
      </c>
    </row>
    <row r="130" spans="1:5" ht="15.75">
      <c r="A130" s="89" t="str">
        <f t="shared" si="1"/>
        <v>#00606</v>
      </c>
      <c r="B130" s="138" t="s">
        <v>1163</v>
      </c>
      <c r="C130" s="139" t="s">
        <v>1162</v>
      </c>
      <c r="D130" s="138">
        <v>38027</v>
      </c>
      <c r="E130" s="138" t="s">
        <v>906</v>
      </c>
    </row>
    <row r="131" spans="1:5" ht="15.75">
      <c r="A131" s="89" t="str">
        <f t="shared" ref="A131:A194" si="2">"#"&amp;B131</f>
        <v>#00607</v>
      </c>
      <c r="B131" s="138" t="s">
        <v>1165</v>
      </c>
      <c r="C131" s="139" t="s">
        <v>1164</v>
      </c>
      <c r="D131" s="138">
        <v>38022</v>
      </c>
      <c r="E131" s="138" t="s">
        <v>927</v>
      </c>
    </row>
    <row r="132" spans="1:5" ht="15.75">
      <c r="A132" s="89" t="str">
        <f t="shared" si="2"/>
        <v>#00610</v>
      </c>
      <c r="B132" s="138" t="s">
        <v>1167</v>
      </c>
      <c r="C132" s="139" t="s">
        <v>1166</v>
      </c>
      <c r="D132" s="138">
        <v>38033</v>
      </c>
      <c r="E132" s="138" t="s">
        <v>1168</v>
      </c>
    </row>
    <row r="133" spans="1:5" ht="15.75">
      <c r="A133" s="89" t="str">
        <f t="shared" si="2"/>
        <v>#00620</v>
      </c>
      <c r="B133" s="138" t="s">
        <v>1170</v>
      </c>
      <c r="C133" s="139" t="s">
        <v>1169</v>
      </c>
      <c r="D133" s="138">
        <v>38034</v>
      </c>
      <c r="E133" s="138" t="s">
        <v>906</v>
      </c>
    </row>
    <row r="134" spans="1:5" ht="15.75">
      <c r="A134" s="89" t="str">
        <f t="shared" si="2"/>
        <v>#00624</v>
      </c>
      <c r="B134" s="138" t="s">
        <v>1172</v>
      </c>
      <c r="C134" s="139" t="s">
        <v>1171</v>
      </c>
      <c r="D134" s="138">
        <v>38037</v>
      </c>
      <c r="E134" s="138" t="s">
        <v>937</v>
      </c>
    </row>
    <row r="135" spans="1:5" ht="15.75">
      <c r="A135" s="89" t="str">
        <f t="shared" si="2"/>
        <v>#00625</v>
      </c>
      <c r="B135" s="138" t="s">
        <v>1174</v>
      </c>
      <c r="C135" s="139" t="s">
        <v>1173</v>
      </c>
      <c r="D135" s="138">
        <v>38037</v>
      </c>
      <c r="E135" s="138" t="s">
        <v>924</v>
      </c>
    </row>
    <row r="136" spans="1:5" ht="15.75">
      <c r="A136" s="89" t="str">
        <f t="shared" si="2"/>
        <v>#00634</v>
      </c>
      <c r="B136" s="138" t="s">
        <v>1176</v>
      </c>
      <c r="C136" s="139" t="s">
        <v>1175</v>
      </c>
      <c r="D136" s="138">
        <v>38042</v>
      </c>
      <c r="E136" s="138" t="s">
        <v>924</v>
      </c>
    </row>
    <row r="137" spans="1:5" ht="15.75">
      <c r="A137" s="89" t="str">
        <f t="shared" si="2"/>
        <v>#00637</v>
      </c>
      <c r="B137" s="138" t="s">
        <v>1178</v>
      </c>
      <c r="C137" s="139" t="s">
        <v>1177</v>
      </c>
      <c r="D137" s="138">
        <v>38042</v>
      </c>
      <c r="E137" s="138" t="s">
        <v>752</v>
      </c>
    </row>
    <row r="138" spans="1:5" ht="15.75">
      <c r="A138" s="89" t="str">
        <f t="shared" si="2"/>
        <v>#00640</v>
      </c>
      <c r="B138" s="138" t="s">
        <v>1180</v>
      </c>
      <c r="C138" s="139" t="s">
        <v>1179</v>
      </c>
      <c r="D138" s="138">
        <v>38043</v>
      </c>
      <c r="E138" s="138" t="s">
        <v>906</v>
      </c>
    </row>
    <row r="139" spans="1:5" ht="15.75">
      <c r="A139" s="89" t="str">
        <f t="shared" si="2"/>
        <v>#00643</v>
      </c>
      <c r="B139" s="138" t="s">
        <v>1181</v>
      </c>
      <c r="C139" s="139" t="s">
        <v>1053</v>
      </c>
      <c r="D139" s="138">
        <v>38047</v>
      </c>
      <c r="E139" s="138" t="s">
        <v>890</v>
      </c>
    </row>
    <row r="140" spans="1:5" ht="15.75">
      <c r="A140" s="89" t="str">
        <f t="shared" si="2"/>
        <v>#00647</v>
      </c>
      <c r="B140" s="138" t="s">
        <v>1183</v>
      </c>
      <c r="C140" s="139" t="s">
        <v>1182</v>
      </c>
      <c r="D140" s="138">
        <v>38057</v>
      </c>
      <c r="E140" s="138" t="s">
        <v>924</v>
      </c>
    </row>
    <row r="141" spans="1:5" ht="15.75">
      <c r="A141" s="89" t="str">
        <f t="shared" si="2"/>
        <v>#00649</v>
      </c>
      <c r="B141" s="138" t="s">
        <v>1185</v>
      </c>
      <c r="C141" s="139" t="s">
        <v>1184</v>
      </c>
      <c r="D141" s="138">
        <v>38057</v>
      </c>
      <c r="E141" s="138" t="s">
        <v>7818</v>
      </c>
    </row>
    <row r="142" spans="1:5" ht="15.75">
      <c r="A142" s="89" t="str">
        <f t="shared" si="2"/>
        <v>#00651</v>
      </c>
      <c r="B142" s="138" t="s">
        <v>1187</v>
      </c>
      <c r="C142" s="139" t="s">
        <v>1186</v>
      </c>
      <c r="D142" s="138">
        <v>38057</v>
      </c>
      <c r="E142" s="138" t="s">
        <v>1188</v>
      </c>
    </row>
    <row r="143" spans="1:5" ht="15.75">
      <c r="A143" s="89" t="str">
        <f t="shared" si="2"/>
        <v>#00658</v>
      </c>
      <c r="B143" s="138" t="s">
        <v>1190</v>
      </c>
      <c r="C143" s="139" t="s">
        <v>1189</v>
      </c>
      <c r="D143" s="138">
        <v>38075</v>
      </c>
      <c r="E143" s="138" t="s">
        <v>1191</v>
      </c>
    </row>
    <row r="144" spans="1:5" ht="15.75">
      <c r="A144" s="89" t="str">
        <f t="shared" si="2"/>
        <v>#00661</v>
      </c>
      <c r="B144" s="138" t="s">
        <v>1193</v>
      </c>
      <c r="C144" s="139" t="s">
        <v>1192</v>
      </c>
      <c r="D144" s="138">
        <v>38078</v>
      </c>
      <c r="E144" s="235" t="s">
        <v>8683</v>
      </c>
    </row>
    <row r="145" spans="1:5" ht="15.75">
      <c r="A145" s="89" t="str">
        <f t="shared" si="2"/>
        <v>#00662</v>
      </c>
      <c r="B145" s="138" t="s">
        <v>1195</v>
      </c>
      <c r="C145" s="139" t="s">
        <v>1194</v>
      </c>
      <c r="D145" s="138">
        <v>38084</v>
      </c>
      <c r="E145" s="138" t="s">
        <v>759</v>
      </c>
    </row>
    <row r="146" spans="1:5" ht="15.75">
      <c r="A146" s="89" t="str">
        <f t="shared" si="2"/>
        <v>#00664</v>
      </c>
      <c r="B146" s="138" t="s">
        <v>1197</v>
      </c>
      <c r="C146" s="139" t="s">
        <v>1196</v>
      </c>
      <c r="D146" s="138">
        <v>38089</v>
      </c>
      <c r="E146" s="138" t="s">
        <v>1188</v>
      </c>
    </row>
    <row r="147" spans="1:5" ht="15.75">
      <c r="A147" s="89" t="str">
        <f t="shared" si="2"/>
        <v>#00665</v>
      </c>
      <c r="B147" s="138" t="s">
        <v>1199</v>
      </c>
      <c r="C147" s="139" t="s">
        <v>1198</v>
      </c>
      <c r="D147" s="138">
        <v>38089</v>
      </c>
      <c r="E147" s="138" t="s">
        <v>752</v>
      </c>
    </row>
    <row r="148" spans="1:5" ht="15.75">
      <c r="A148" s="89" t="str">
        <f t="shared" si="2"/>
        <v>#00669</v>
      </c>
      <c r="B148" s="138" t="s">
        <v>1201</v>
      </c>
      <c r="C148" s="139" t="s">
        <v>1200</v>
      </c>
      <c r="D148" s="138">
        <v>38131</v>
      </c>
      <c r="E148" s="138" t="s">
        <v>1063</v>
      </c>
    </row>
    <row r="149" spans="1:5" ht="15.75">
      <c r="A149" s="89" t="str">
        <f t="shared" si="2"/>
        <v>#00677</v>
      </c>
      <c r="B149" s="138" t="s">
        <v>1203</v>
      </c>
      <c r="C149" s="139" t="s">
        <v>1202</v>
      </c>
      <c r="D149" s="138">
        <v>38131</v>
      </c>
      <c r="E149" s="138" t="s">
        <v>1034</v>
      </c>
    </row>
    <row r="150" spans="1:5" ht="15.75">
      <c r="A150" s="89" t="str">
        <f t="shared" si="2"/>
        <v>#00682</v>
      </c>
      <c r="B150" s="138" t="s">
        <v>1205</v>
      </c>
      <c r="C150" s="139" t="s">
        <v>1204</v>
      </c>
      <c r="D150" s="138">
        <v>38142</v>
      </c>
      <c r="E150" s="138" t="s">
        <v>1063</v>
      </c>
    </row>
    <row r="151" spans="1:5" ht="15.75">
      <c r="A151" s="89" t="str">
        <f t="shared" si="2"/>
        <v>#00683</v>
      </c>
      <c r="B151" s="138" t="s">
        <v>1207</v>
      </c>
      <c r="C151" s="139" t="s">
        <v>1206</v>
      </c>
      <c r="D151" s="138">
        <v>38142</v>
      </c>
      <c r="E151" s="138" t="s">
        <v>721</v>
      </c>
    </row>
    <row r="152" spans="1:5" ht="15.75">
      <c r="A152" s="89" t="str">
        <f t="shared" si="2"/>
        <v>#00688</v>
      </c>
      <c r="B152" s="138" t="s">
        <v>1210</v>
      </c>
      <c r="C152" s="139" t="s">
        <v>1209</v>
      </c>
      <c r="D152" s="138">
        <v>38170</v>
      </c>
      <c r="E152" s="138" t="s">
        <v>1098</v>
      </c>
    </row>
    <row r="153" spans="1:5" ht="15.75">
      <c r="A153" s="89" t="str">
        <f t="shared" si="2"/>
        <v>#00693</v>
      </c>
      <c r="B153" s="138" t="s">
        <v>1212</v>
      </c>
      <c r="C153" s="139" t="s">
        <v>1211</v>
      </c>
      <c r="D153" s="138">
        <v>38170</v>
      </c>
      <c r="E153" s="138" t="s">
        <v>903</v>
      </c>
    </row>
    <row r="154" spans="1:5" ht="15.75">
      <c r="A154" s="89" t="str">
        <f t="shared" si="2"/>
        <v>#00695</v>
      </c>
      <c r="B154" s="138" t="s">
        <v>1214</v>
      </c>
      <c r="C154" s="139" t="s">
        <v>1213</v>
      </c>
      <c r="D154" s="138">
        <v>38175</v>
      </c>
      <c r="E154" s="138" t="s">
        <v>915</v>
      </c>
    </row>
    <row r="155" spans="1:5" ht="15.75">
      <c r="A155" s="89" t="str">
        <f t="shared" si="2"/>
        <v>#00699</v>
      </c>
      <c r="B155" s="138" t="s">
        <v>1217</v>
      </c>
      <c r="C155" s="139" t="s">
        <v>1216</v>
      </c>
      <c r="D155" s="138">
        <v>38175</v>
      </c>
      <c r="E155" s="138" t="s">
        <v>915</v>
      </c>
    </row>
    <row r="156" spans="1:5" ht="15.75">
      <c r="A156" s="89" t="str">
        <f t="shared" si="2"/>
        <v>#00701</v>
      </c>
      <c r="B156" s="138" t="s">
        <v>1218</v>
      </c>
      <c r="C156" s="139" t="s">
        <v>998</v>
      </c>
      <c r="D156" s="138">
        <v>38175</v>
      </c>
      <c r="E156" s="138" t="s">
        <v>1063</v>
      </c>
    </row>
    <row r="157" spans="1:5" ht="15.75">
      <c r="A157" s="89" t="str">
        <f t="shared" si="2"/>
        <v>#00717</v>
      </c>
      <c r="B157" s="138" t="s">
        <v>1220</v>
      </c>
      <c r="C157" s="139" t="s">
        <v>1219</v>
      </c>
      <c r="D157" s="138">
        <v>38215</v>
      </c>
      <c r="E157" s="138" t="s">
        <v>906</v>
      </c>
    </row>
    <row r="158" spans="1:5" ht="15.75">
      <c r="A158" s="89" t="str">
        <f t="shared" si="2"/>
        <v>#00718</v>
      </c>
      <c r="B158" s="138" t="s">
        <v>1222</v>
      </c>
      <c r="C158" s="139" t="s">
        <v>1221</v>
      </c>
      <c r="D158" s="138">
        <v>38215</v>
      </c>
      <c r="E158" s="138" t="s">
        <v>985</v>
      </c>
    </row>
    <row r="159" spans="1:5" ht="15.75">
      <c r="A159" s="89" t="str">
        <f t="shared" si="2"/>
        <v>#00720</v>
      </c>
      <c r="B159" s="138" t="s">
        <v>1224</v>
      </c>
      <c r="C159" s="139" t="s">
        <v>1223</v>
      </c>
      <c r="D159" s="138">
        <v>38218</v>
      </c>
      <c r="E159" s="138" t="s">
        <v>792</v>
      </c>
    </row>
    <row r="160" spans="1:5" ht="15.75">
      <c r="A160" s="89" t="str">
        <f t="shared" si="2"/>
        <v>#00723</v>
      </c>
      <c r="B160" s="138" t="s">
        <v>1226</v>
      </c>
      <c r="C160" s="139" t="s">
        <v>1225</v>
      </c>
      <c r="D160" s="138">
        <v>38236</v>
      </c>
      <c r="E160" s="138" t="s">
        <v>796</v>
      </c>
    </row>
    <row r="161" spans="1:5" ht="15.75">
      <c r="A161" s="89" t="str">
        <f t="shared" si="2"/>
        <v>#00724</v>
      </c>
      <c r="B161" s="138" t="s">
        <v>1228</v>
      </c>
      <c r="C161" s="139" t="s">
        <v>1227</v>
      </c>
      <c r="D161" s="138">
        <v>38236</v>
      </c>
      <c r="E161" s="138" t="s">
        <v>796</v>
      </c>
    </row>
    <row r="162" spans="1:5" ht="15.75">
      <c r="A162" s="89" t="str">
        <f t="shared" si="2"/>
        <v>#00727</v>
      </c>
      <c r="B162" s="138" t="s">
        <v>1230</v>
      </c>
      <c r="C162" s="139" t="s">
        <v>1229</v>
      </c>
      <c r="D162" s="138">
        <v>38243</v>
      </c>
      <c r="E162" s="138" t="s">
        <v>906</v>
      </c>
    </row>
    <row r="163" spans="1:5" ht="15.75">
      <c r="A163" s="89" t="str">
        <f t="shared" si="2"/>
        <v>#00731</v>
      </c>
      <c r="B163" s="138" t="s">
        <v>1232</v>
      </c>
      <c r="C163" s="139" t="s">
        <v>1231</v>
      </c>
      <c r="D163" s="138">
        <v>38244</v>
      </c>
      <c r="E163" s="138" t="s">
        <v>985</v>
      </c>
    </row>
    <row r="164" spans="1:5" ht="15.75">
      <c r="A164" s="89" t="str">
        <f t="shared" si="2"/>
        <v>#00734</v>
      </c>
      <c r="B164" s="138" t="s">
        <v>1234</v>
      </c>
      <c r="C164" s="139" t="s">
        <v>1233</v>
      </c>
      <c r="D164" s="138">
        <v>38244</v>
      </c>
      <c r="E164" s="138" t="s">
        <v>927</v>
      </c>
    </row>
    <row r="165" spans="1:5" ht="15.75">
      <c r="A165" s="89" t="str">
        <f t="shared" si="2"/>
        <v>#00737</v>
      </c>
      <c r="B165" s="138" t="s">
        <v>1236</v>
      </c>
      <c r="C165" s="139" t="s">
        <v>1235</v>
      </c>
      <c r="D165" s="138">
        <v>38244</v>
      </c>
      <c r="E165" s="138" t="s">
        <v>1133</v>
      </c>
    </row>
    <row r="166" spans="1:5" ht="15.75">
      <c r="A166" s="89" t="str">
        <f t="shared" si="2"/>
        <v>#00740</v>
      </c>
      <c r="B166" s="138" t="s">
        <v>1238</v>
      </c>
      <c r="C166" s="139" t="s">
        <v>1237</v>
      </c>
      <c r="D166" s="138">
        <v>38247</v>
      </c>
      <c r="E166" s="138" t="s">
        <v>1029</v>
      </c>
    </row>
    <row r="167" spans="1:5" ht="15.75">
      <c r="A167" s="89" t="str">
        <f t="shared" si="2"/>
        <v>#00743</v>
      </c>
      <c r="B167" s="138" t="s">
        <v>1240</v>
      </c>
      <c r="C167" s="139" t="s">
        <v>1239</v>
      </c>
      <c r="D167" s="138">
        <v>38247</v>
      </c>
      <c r="E167" s="138" t="s">
        <v>1043</v>
      </c>
    </row>
    <row r="168" spans="1:5" ht="15.75">
      <c r="A168" s="89" t="str">
        <f t="shared" si="2"/>
        <v>#00748</v>
      </c>
      <c r="B168" s="138" t="s">
        <v>1242</v>
      </c>
      <c r="C168" s="139" t="s">
        <v>1241</v>
      </c>
      <c r="D168" s="138">
        <v>38248</v>
      </c>
      <c r="E168" s="138" t="s">
        <v>1043</v>
      </c>
    </row>
    <row r="169" spans="1:5" ht="15.75">
      <c r="A169" s="89" t="str">
        <f t="shared" si="2"/>
        <v>#00753</v>
      </c>
      <c r="B169" s="138" t="s">
        <v>1244</v>
      </c>
      <c r="C169" s="139" t="s">
        <v>1243</v>
      </c>
      <c r="D169" s="138">
        <v>38265</v>
      </c>
      <c r="E169" s="138" t="s">
        <v>906</v>
      </c>
    </row>
    <row r="170" spans="1:5" ht="15.75">
      <c r="A170" s="89" t="str">
        <f t="shared" si="2"/>
        <v>#00756</v>
      </c>
      <c r="B170" s="138" t="s">
        <v>1246</v>
      </c>
      <c r="C170" s="139" t="s">
        <v>1245</v>
      </c>
      <c r="D170" s="138">
        <v>38265</v>
      </c>
      <c r="E170" s="138" t="s">
        <v>985</v>
      </c>
    </row>
    <row r="171" spans="1:5" ht="15.75">
      <c r="A171" s="89" t="str">
        <f t="shared" si="2"/>
        <v>#00758</v>
      </c>
      <c r="B171" s="138" t="s">
        <v>1248</v>
      </c>
      <c r="C171" s="139" t="s">
        <v>1247</v>
      </c>
      <c r="D171" s="138">
        <v>38265</v>
      </c>
      <c r="E171" s="138" t="s">
        <v>895</v>
      </c>
    </row>
    <row r="172" spans="1:5" ht="15.75">
      <c r="A172" s="89" t="str">
        <f t="shared" si="2"/>
        <v>#00760</v>
      </c>
      <c r="B172" s="138" t="s">
        <v>1250</v>
      </c>
      <c r="C172" s="139" t="s">
        <v>1249</v>
      </c>
      <c r="D172" s="138">
        <v>38271</v>
      </c>
      <c r="E172" s="138" t="s">
        <v>1034</v>
      </c>
    </row>
    <row r="173" spans="1:5" ht="15.75">
      <c r="A173" s="89" t="str">
        <f t="shared" si="2"/>
        <v>#00762</v>
      </c>
      <c r="B173" s="138" t="s">
        <v>1252</v>
      </c>
      <c r="C173" s="139" t="s">
        <v>1251</v>
      </c>
      <c r="D173" s="138">
        <v>38271</v>
      </c>
      <c r="E173" s="138" t="s">
        <v>1133</v>
      </c>
    </row>
    <row r="174" spans="1:5" ht="15.75">
      <c r="A174" s="89" t="str">
        <f t="shared" si="2"/>
        <v>#00766</v>
      </c>
      <c r="B174" s="138" t="s">
        <v>1254</v>
      </c>
      <c r="C174" s="139" t="s">
        <v>1253</v>
      </c>
      <c r="D174" s="138">
        <v>38274</v>
      </c>
      <c r="E174" s="138" t="s">
        <v>1255</v>
      </c>
    </row>
    <row r="175" spans="1:5" ht="15.75">
      <c r="A175" s="89" t="str">
        <f t="shared" si="2"/>
        <v>#00767</v>
      </c>
      <c r="B175" s="138" t="s">
        <v>1257</v>
      </c>
      <c r="C175" s="139" t="s">
        <v>1256</v>
      </c>
      <c r="D175" s="138">
        <v>38274</v>
      </c>
      <c r="E175" s="138" t="s">
        <v>752</v>
      </c>
    </row>
    <row r="176" spans="1:5" ht="15.75">
      <c r="A176" s="89" t="str">
        <f t="shared" si="2"/>
        <v>#00769</v>
      </c>
      <c r="B176" s="138" t="s">
        <v>1259</v>
      </c>
      <c r="C176" s="139" t="s">
        <v>1258</v>
      </c>
      <c r="D176" s="138">
        <v>38274</v>
      </c>
      <c r="E176" s="138" t="s">
        <v>895</v>
      </c>
    </row>
    <row r="177" spans="1:5" ht="15.75">
      <c r="A177" s="89" t="str">
        <f t="shared" si="2"/>
        <v>#00776</v>
      </c>
      <c r="B177" s="138" t="s">
        <v>1261</v>
      </c>
      <c r="C177" s="139" t="s">
        <v>1260</v>
      </c>
      <c r="D177" s="138">
        <v>38279</v>
      </c>
      <c r="E177" s="138" t="s">
        <v>1113</v>
      </c>
    </row>
    <row r="178" spans="1:5" ht="15.75">
      <c r="A178" s="89" t="str">
        <f t="shared" si="2"/>
        <v>#00777</v>
      </c>
      <c r="B178" s="138" t="s">
        <v>1263</v>
      </c>
      <c r="C178" s="139" t="s">
        <v>1262</v>
      </c>
      <c r="D178" s="138">
        <v>38282</v>
      </c>
      <c r="E178" s="138" t="s">
        <v>985</v>
      </c>
    </row>
    <row r="179" spans="1:5" ht="15.75">
      <c r="A179" s="89" t="str">
        <f t="shared" si="2"/>
        <v>#00788</v>
      </c>
      <c r="B179" s="138" t="s">
        <v>1265</v>
      </c>
      <c r="C179" s="139" t="s">
        <v>1264</v>
      </c>
      <c r="D179" s="138">
        <v>38287</v>
      </c>
      <c r="E179" s="138" t="s">
        <v>1188</v>
      </c>
    </row>
    <row r="180" spans="1:5" ht="15.75">
      <c r="A180" s="89" t="str">
        <f t="shared" si="2"/>
        <v>#00789</v>
      </c>
      <c r="B180" s="138" t="s">
        <v>1267</v>
      </c>
      <c r="C180" s="139" t="s">
        <v>1266</v>
      </c>
      <c r="D180" s="138">
        <v>38287</v>
      </c>
      <c r="E180" s="138" t="s">
        <v>721</v>
      </c>
    </row>
    <row r="181" spans="1:5" ht="15.75">
      <c r="A181" s="89" t="str">
        <f t="shared" si="2"/>
        <v>#00790</v>
      </c>
      <c r="B181" s="138" t="s">
        <v>1268</v>
      </c>
      <c r="C181" s="139" t="s">
        <v>1041</v>
      </c>
      <c r="D181" s="138">
        <v>38287</v>
      </c>
      <c r="E181" s="138" t="s">
        <v>721</v>
      </c>
    </row>
    <row r="182" spans="1:5" ht="15.75">
      <c r="A182" s="89" t="str">
        <f t="shared" si="2"/>
        <v>#00798</v>
      </c>
      <c r="B182" s="138" t="s">
        <v>1270</v>
      </c>
      <c r="C182" s="139" t="s">
        <v>1269</v>
      </c>
      <c r="D182" s="138">
        <v>38292</v>
      </c>
      <c r="E182" s="138" t="s">
        <v>890</v>
      </c>
    </row>
    <row r="183" spans="1:5" ht="15.75">
      <c r="A183" s="89" t="str">
        <f t="shared" si="2"/>
        <v>#00799</v>
      </c>
      <c r="B183" s="138" t="s">
        <v>1272</v>
      </c>
      <c r="C183" s="139" t="s">
        <v>1271</v>
      </c>
      <c r="D183" s="138">
        <v>38292</v>
      </c>
      <c r="E183" s="138" t="s">
        <v>1004</v>
      </c>
    </row>
    <row r="184" spans="1:5" ht="15.75">
      <c r="A184" s="89" t="str">
        <f t="shared" si="2"/>
        <v>#00804</v>
      </c>
      <c r="B184" s="138" t="s">
        <v>1274</v>
      </c>
      <c r="C184" s="139" t="s">
        <v>1273</v>
      </c>
      <c r="D184" s="138">
        <v>38292</v>
      </c>
      <c r="E184" s="138" t="s">
        <v>934</v>
      </c>
    </row>
    <row r="185" spans="1:5" ht="15.75">
      <c r="A185" s="89" t="str">
        <f t="shared" si="2"/>
        <v>#00806</v>
      </c>
      <c r="B185" s="138" t="s">
        <v>1276</v>
      </c>
      <c r="C185" s="139" t="s">
        <v>1275</v>
      </c>
      <c r="D185" s="138">
        <v>38292</v>
      </c>
      <c r="E185" s="138" t="s">
        <v>1043</v>
      </c>
    </row>
    <row r="186" spans="1:5" ht="15.75">
      <c r="A186" s="89" t="str">
        <f t="shared" si="2"/>
        <v>#00807</v>
      </c>
      <c r="B186" s="138" t="s">
        <v>1278</v>
      </c>
      <c r="C186" s="139" t="s">
        <v>1277</v>
      </c>
      <c r="D186" s="138">
        <v>38292</v>
      </c>
      <c r="E186" s="138" t="s">
        <v>895</v>
      </c>
    </row>
    <row r="187" spans="1:5" ht="15.75">
      <c r="A187" s="89" t="str">
        <f t="shared" si="2"/>
        <v>#00811</v>
      </c>
      <c r="B187" s="138" t="s">
        <v>1280</v>
      </c>
      <c r="C187" s="139" t="s">
        <v>1279</v>
      </c>
      <c r="D187" s="138">
        <v>38295</v>
      </c>
      <c r="E187" s="138" t="s">
        <v>903</v>
      </c>
    </row>
    <row r="188" spans="1:5" ht="15.75">
      <c r="A188" s="89" t="str">
        <f t="shared" si="2"/>
        <v>#00816</v>
      </c>
      <c r="B188" s="138" t="s">
        <v>1282</v>
      </c>
      <c r="C188" s="139" t="s">
        <v>1281</v>
      </c>
      <c r="D188" s="138">
        <v>38295</v>
      </c>
      <c r="E188" s="138" t="s">
        <v>1063</v>
      </c>
    </row>
    <row r="189" spans="1:5" ht="15.75">
      <c r="A189" s="89" t="str">
        <f t="shared" si="2"/>
        <v>#00832</v>
      </c>
      <c r="B189" s="138" t="s">
        <v>1284</v>
      </c>
      <c r="C189" s="139" t="s">
        <v>1283</v>
      </c>
      <c r="D189" s="138">
        <v>38295</v>
      </c>
      <c r="E189" s="138" t="s">
        <v>890</v>
      </c>
    </row>
    <row r="190" spans="1:5" ht="15.75">
      <c r="A190" s="89" t="str">
        <f t="shared" si="2"/>
        <v>#00834</v>
      </c>
      <c r="B190" s="138" t="s">
        <v>1286</v>
      </c>
      <c r="C190" s="139" t="s">
        <v>1285</v>
      </c>
      <c r="D190" s="138">
        <v>38295</v>
      </c>
      <c r="E190" s="138" t="s">
        <v>915</v>
      </c>
    </row>
    <row r="191" spans="1:5" ht="15.75">
      <c r="A191" s="89" t="str">
        <f t="shared" si="2"/>
        <v>#00841</v>
      </c>
      <c r="B191" s="138" t="s">
        <v>1288</v>
      </c>
      <c r="C191" s="139" t="s">
        <v>1287</v>
      </c>
      <c r="D191" s="138">
        <v>38302</v>
      </c>
      <c r="E191" s="138" t="s">
        <v>7818</v>
      </c>
    </row>
    <row r="192" spans="1:5" ht="15.75">
      <c r="A192" s="89" t="str">
        <f t="shared" si="2"/>
        <v>#00844</v>
      </c>
      <c r="B192" s="138" t="s">
        <v>1289</v>
      </c>
      <c r="C192" s="139" t="s">
        <v>1241</v>
      </c>
      <c r="D192" s="138">
        <v>38302</v>
      </c>
      <c r="E192" s="138" t="s">
        <v>895</v>
      </c>
    </row>
    <row r="193" spans="1:5" ht="15.75">
      <c r="A193" s="89" t="str">
        <f t="shared" si="2"/>
        <v>#00850</v>
      </c>
      <c r="B193" s="138" t="s">
        <v>1291</v>
      </c>
      <c r="C193" s="139" t="s">
        <v>1290</v>
      </c>
      <c r="D193" s="138">
        <v>38302</v>
      </c>
      <c r="E193" s="138" t="s">
        <v>978</v>
      </c>
    </row>
    <row r="194" spans="1:5" ht="15.75">
      <c r="A194" s="89" t="str">
        <f t="shared" si="2"/>
        <v>#00854</v>
      </c>
      <c r="B194" s="138" t="s">
        <v>1293</v>
      </c>
      <c r="C194" s="139" t="s">
        <v>1292</v>
      </c>
      <c r="D194" s="138">
        <v>38302</v>
      </c>
      <c r="E194" s="138" t="s">
        <v>752</v>
      </c>
    </row>
    <row r="195" spans="1:5" ht="15.75">
      <c r="A195" s="89" t="str">
        <f t="shared" ref="A195:A258" si="3">"#"&amp;B195</f>
        <v>#00858</v>
      </c>
      <c r="B195" s="138" t="s">
        <v>1295</v>
      </c>
      <c r="C195" s="139" t="s">
        <v>1294</v>
      </c>
      <c r="D195" s="138">
        <v>38302</v>
      </c>
      <c r="E195" s="138" t="s">
        <v>985</v>
      </c>
    </row>
    <row r="196" spans="1:5" ht="15.75">
      <c r="A196" s="89" t="str">
        <f t="shared" si="3"/>
        <v>#00860</v>
      </c>
      <c r="B196" s="138" t="s">
        <v>1297</v>
      </c>
      <c r="C196" s="139" t="s">
        <v>1296</v>
      </c>
      <c r="D196" s="138">
        <v>38302</v>
      </c>
      <c r="E196" s="138" t="s">
        <v>985</v>
      </c>
    </row>
    <row r="197" spans="1:5" ht="15.75">
      <c r="A197" s="89" t="str">
        <f t="shared" si="3"/>
        <v>#00868</v>
      </c>
      <c r="B197" s="138" t="s">
        <v>1299</v>
      </c>
      <c r="C197" s="139" t="s">
        <v>1298</v>
      </c>
      <c r="D197" s="138">
        <v>38302</v>
      </c>
      <c r="E197" s="138" t="s">
        <v>8037</v>
      </c>
    </row>
    <row r="198" spans="1:5" ht="15.75">
      <c r="A198" s="89" t="str">
        <f t="shared" si="3"/>
        <v>#00869</v>
      </c>
      <c r="B198" s="138" t="s">
        <v>1301</v>
      </c>
      <c r="C198" s="139" t="s">
        <v>1300</v>
      </c>
      <c r="D198" s="138">
        <v>38302</v>
      </c>
      <c r="E198" s="138" t="s">
        <v>978</v>
      </c>
    </row>
    <row r="199" spans="1:5" ht="15.75">
      <c r="A199" s="89" t="str">
        <f t="shared" si="3"/>
        <v>#00872</v>
      </c>
      <c r="B199" s="138" t="s">
        <v>1303</v>
      </c>
      <c r="C199" s="139" t="s">
        <v>1302</v>
      </c>
      <c r="D199" s="138">
        <v>38302</v>
      </c>
      <c r="E199" s="138" t="s">
        <v>1188</v>
      </c>
    </row>
    <row r="200" spans="1:5" ht="15.75">
      <c r="A200" s="89" t="str">
        <f t="shared" si="3"/>
        <v>#00883</v>
      </c>
      <c r="B200" s="138" t="s">
        <v>1304</v>
      </c>
      <c r="C200" s="139" t="s">
        <v>1083</v>
      </c>
      <c r="D200" s="138">
        <v>38307</v>
      </c>
      <c r="E200" s="138" t="s">
        <v>721</v>
      </c>
    </row>
    <row r="201" spans="1:5" ht="15.75">
      <c r="A201" s="89" t="str">
        <f t="shared" si="3"/>
        <v>#00884</v>
      </c>
      <c r="B201" s="138" t="s">
        <v>1306</v>
      </c>
      <c r="C201" s="139" t="s">
        <v>1305</v>
      </c>
      <c r="D201" s="138">
        <v>38308</v>
      </c>
      <c r="E201" s="138" t="s">
        <v>937</v>
      </c>
    </row>
    <row r="202" spans="1:5" ht="15.75">
      <c r="A202" s="89" t="str">
        <f t="shared" si="3"/>
        <v>#00886</v>
      </c>
      <c r="B202" s="138" t="s">
        <v>1308</v>
      </c>
      <c r="C202" s="139" t="s">
        <v>1307</v>
      </c>
      <c r="D202" s="138">
        <v>38308</v>
      </c>
      <c r="E202" s="138" t="s">
        <v>890</v>
      </c>
    </row>
    <row r="203" spans="1:5" ht="15.75">
      <c r="A203" s="89" t="str">
        <f t="shared" si="3"/>
        <v>#00889</v>
      </c>
      <c r="B203" s="138" t="s">
        <v>1310</v>
      </c>
      <c r="C203" s="139" t="s">
        <v>1309</v>
      </c>
      <c r="D203" s="138">
        <v>38308</v>
      </c>
      <c r="E203" s="138" t="s">
        <v>7818</v>
      </c>
    </row>
    <row r="204" spans="1:5" ht="15.75">
      <c r="A204" s="89" t="str">
        <f t="shared" si="3"/>
        <v>#00895</v>
      </c>
      <c r="B204" s="138" t="s">
        <v>1312</v>
      </c>
      <c r="C204" s="139" t="s">
        <v>1311</v>
      </c>
      <c r="D204" s="138">
        <v>38308</v>
      </c>
      <c r="E204" s="138" t="s">
        <v>903</v>
      </c>
    </row>
    <row r="205" spans="1:5" ht="15.75">
      <c r="A205" s="89" t="str">
        <f t="shared" si="3"/>
        <v>#00902</v>
      </c>
      <c r="B205" s="138" t="s">
        <v>1314</v>
      </c>
      <c r="C205" s="139" t="s">
        <v>1313</v>
      </c>
      <c r="D205" s="138">
        <v>38309</v>
      </c>
      <c r="E205" s="138" t="s">
        <v>890</v>
      </c>
    </row>
    <row r="206" spans="1:5" ht="15.75">
      <c r="A206" s="89" t="str">
        <f t="shared" si="3"/>
        <v>#00908</v>
      </c>
      <c r="B206" s="138" t="s">
        <v>1316</v>
      </c>
      <c r="C206" s="139" t="s">
        <v>1315</v>
      </c>
      <c r="D206" s="138">
        <v>38311</v>
      </c>
      <c r="E206" s="138" t="s">
        <v>895</v>
      </c>
    </row>
    <row r="207" spans="1:5" ht="15.75">
      <c r="A207" s="89" t="str">
        <f t="shared" si="3"/>
        <v>#00913</v>
      </c>
      <c r="B207" s="138" t="s">
        <v>1318</v>
      </c>
      <c r="C207" s="139" t="s">
        <v>1317</v>
      </c>
      <c r="D207" s="138">
        <v>38315</v>
      </c>
      <c r="E207" s="138" t="s">
        <v>721</v>
      </c>
    </row>
    <row r="208" spans="1:5" ht="15.75">
      <c r="A208" s="89" t="str">
        <f t="shared" si="3"/>
        <v>#00917</v>
      </c>
      <c r="B208" s="138" t="s">
        <v>1320</v>
      </c>
      <c r="C208" s="139" t="s">
        <v>1319</v>
      </c>
      <c r="D208" s="138">
        <v>38315</v>
      </c>
      <c r="E208" s="138" t="s">
        <v>1113</v>
      </c>
    </row>
    <row r="209" spans="1:5" ht="15.75">
      <c r="A209" s="89" t="str">
        <f t="shared" si="3"/>
        <v>#00918</v>
      </c>
      <c r="B209" s="138" t="s">
        <v>1322</v>
      </c>
      <c r="C209" s="139" t="s">
        <v>1321</v>
      </c>
      <c r="D209" s="138">
        <v>38315</v>
      </c>
      <c r="E209" s="138" t="s">
        <v>915</v>
      </c>
    </row>
    <row r="210" spans="1:5" ht="15.75">
      <c r="A210" s="89" t="str">
        <f t="shared" si="3"/>
        <v>#00919</v>
      </c>
      <c r="B210" s="138" t="s">
        <v>1324</v>
      </c>
      <c r="C210" s="139" t="s">
        <v>1323</v>
      </c>
      <c r="D210" s="138">
        <v>38315</v>
      </c>
      <c r="E210" s="138" t="s">
        <v>1188</v>
      </c>
    </row>
    <row r="211" spans="1:5" ht="15.75">
      <c r="A211" s="89" t="str">
        <f t="shared" si="3"/>
        <v>#00921</v>
      </c>
      <c r="B211" s="138" t="s">
        <v>1326</v>
      </c>
      <c r="C211" s="139" t="s">
        <v>1325</v>
      </c>
      <c r="D211" s="138">
        <v>38315</v>
      </c>
      <c r="E211" s="138" t="s">
        <v>1188</v>
      </c>
    </row>
    <row r="212" spans="1:5" ht="15.75">
      <c r="A212" s="89" t="str">
        <f t="shared" si="3"/>
        <v>#00923</v>
      </c>
      <c r="B212" s="138" t="s">
        <v>1329</v>
      </c>
      <c r="C212" s="139" t="s">
        <v>1328</v>
      </c>
      <c r="D212" s="138">
        <v>38315</v>
      </c>
      <c r="E212" s="138" t="s">
        <v>957</v>
      </c>
    </row>
    <row r="213" spans="1:5" ht="15.75">
      <c r="A213" s="89" t="str">
        <f t="shared" si="3"/>
        <v>#00930</v>
      </c>
      <c r="B213" s="138" t="s">
        <v>1331</v>
      </c>
      <c r="C213" s="139" t="s">
        <v>1330</v>
      </c>
      <c r="D213" s="138">
        <v>38315</v>
      </c>
      <c r="E213" s="138" t="s">
        <v>1113</v>
      </c>
    </row>
    <row r="214" spans="1:5" ht="15.75">
      <c r="A214" s="89" t="str">
        <f t="shared" si="3"/>
        <v>#00931</v>
      </c>
      <c r="B214" s="138" t="s">
        <v>1333</v>
      </c>
      <c r="C214" s="139" t="s">
        <v>1332</v>
      </c>
      <c r="D214" s="138">
        <v>38315</v>
      </c>
      <c r="E214" s="138" t="s">
        <v>721</v>
      </c>
    </row>
    <row r="215" spans="1:5" ht="15.75">
      <c r="A215" s="89" t="str">
        <f t="shared" si="3"/>
        <v>#00941</v>
      </c>
      <c r="B215" s="138" t="s">
        <v>1335</v>
      </c>
      <c r="C215" s="139" t="s">
        <v>1334</v>
      </c>
      <c r="D215" s="138">
        <v>38322</v>
      </c>
      <c r="E215" s="138" t="s">
        <v>1098</v>
      </c>
    </row>
    <row r="216" spans="1:5" ht="15.75">
      <c r="A216" s="89" t="str">
        <f t="shared" si="3"/>
        <v>#00944</v>
      </c>
      <c r="B216" s="138" t="s">
        <v>1337</v>
      </c>
      <c r="C216" s="139" t="s">
        <v>1336</v>
      </c>
      <c r="D216" s="138">
        <v>38323</v>
      </c>
      <c r="E216" s="138" t="s">
        <v>1043</v>
      </c>
    </row>
    <row r="217" spans="1:5" ht="15.75">
      <c r="A217" s="89" t="str">
        <f t="shared" si="3"/>
        <v>#00946</v>
      </c>
      <c r="B217" s="138" t="s">
        <v>1339</v>
      </c>
      <c r="C217" s="139" t="s">
        <v>1338</v>
      </c>
      <c r="D217" s="138">
        <v>38323</v>
      </c>
      <c r="E217" s="138" t="s">
        <v>985</v>
      </c>
    </row>
    <row r="218" spans="1:5" ht="15.75">
      <c r="A218" s="89" t="str">
        <f t="shared" si="3"/>
        <v>#00952</v>
      </c>
      <c r="B218" s="138" t="s">
        <v>1341</v>
      </c>
      <c r="C218" s="139" t="s">
        <v>1340</v>
      </c>
      <c r="D218" s="138">
        <v>38324</v>
      </c>
      <c r="E218" s="138" t="s">
        <v>721</v>
      </c>
    </row>
    <row r="219" spans="1:5" ht="15.75">
      <c r="A219" s="89" t="str">
        <f t="shared" si="3"/>
        <v>#00956</v>
      </c>
      <c r="B219" s="138" t="s">
        <v>1343</v>
      </c>
      <c r="C219" s="139" t="s">
        <v>1342</v>
      </c>
      <c r="D219" s="138">
        <v>38327</v>
      </c>
      <c r="E219" s="138" t="s">
        <v>1113</v>
      </c>
    </row>
    <row r="220" spans="1:5" ht="15.75">
      <c r="A220" s="89" t="str">
        <f t="shared" si="3"/>
        <v>#00958</v>
      </c>
      <c r="B220" s="138" t="s">
        <v>1345</v>
      </c>
      <c r="C220" s="139" t="s">
        <v>1344</v>
      </c>
      <c r="D220" s="138">
        <v>38325</v>
      </c>
      <c r="E220" s="138" t="s">
        <v>978</v>
      </c>
    </row>
    <row r="221" spans="1:5" ht="15.75">
      <c r="A221" s="89" t="str">
        <f t="shared" si="3"/>
        <v>#00959</v>
      </c>
      <c r="B221" s="138" t="s">
        <v>1347</v>
      </c>
      <c r="C221" s="139" t="s">
        <v>1346</v>
      </c>
      <c r="D221" s="138">
        <v>38325</v>
      </c>
      <c r="E221" s="138" t="s">
        <v>1188</v>
      </c>
    </row>
    <row r="222" spans="1:5" ht="15.75">
      <c r="A222" s="89" t="str">
        <f t="shared" si="3"/>
        <v>#00962</v>
      </c>
      <c r="B222" s="138" t="s">
        <v>1349</v>
      </c>
      <c r="C222" s="139" t="s">
        <v>1348</v>
      </c>
      <c r="D222" s="138">
        <v>38325</v>
      </c>
      <c r="E222" s="138" t="s">
        <v>1113</v>
      </c>
    </row>
    <row r="223" spans="1:5" ht="15.75">
      <c r="A223" s="89" t="str">
        <f t="shared" si="3"/>
        <v>#00964</v>
      </c>
      <c r="B223" s="138" t="s">
        <v>1351</v>
      </c>
      <c r="C223" s="139" t="s">
        <v>1350</v>
      </c>
      <c r="D223" s="138">
        <v>38325</v>
      </c>
      <c r="E223" s="138" t="s">
        <v>898</v>
      </c>
    </row>
    <row r="224" spans="1:5" ht="15.75">
      <c r="A224" s="89" t="str">
        <f t="shared" si="3"/>
        <v>#00974</v>
      </c>
      <c r="B224" s="138" t="s">
        <v>1353</v>
      </c>
      <c r="C224" s="139" t="s">
        <v>1352</v>
      </c>
      <c r="D224" s="138">
        <v>38330</v>
      </c>
      <c r="E224" s="138" t="s">
        <v>7818</v>
      </c>
    </row>
    <row r="225" spans="1:5" ht="15.75">
      <c r="A225" s="89" t="str">
        <f t="shared" si="3"/>
        <v>#00980</v>
      </c>
      <c r="B225" s="138" t="s">
        <v>1355</v>
      </c>
      <c r="C225" s="139" t="s">
        <v>1354</v>
      </c>
      <c r="D225" s="138">
        <v>38335</v>
      </c>
      <c r="E225" s="138" t="s">
        <v>721</v>
      </c>
    </row>
    <row r="226" spans="1:5" ht="15.75">
      <c r="A226" s="89" t="str">
        <f t="shared" si="3"/>
        <v>#00984</v>
      </c>
      <c r="B226" s="138" t="s">
        <v>1357</v>
      </c>
      <c r="C226" s="139" t="s">
        <v>1356</v>
      </c>
      <c r="D226" s="138">
        <v>38335</v>
      </c>
      <c r="E226" s="138" t="s">
        <v>895</v>
      </c>
    </row>
    <row r="227" spans="1:5" ht="15.75">
      <c r="A227" s="89" t="str">
        <f t="shared" si="3"/>
        <v>#00986</v>
      </c>
      <c r="B227" s="138" t="s">
        <v>1359</v>
      </c>
      <c r="C227" s="139" t="s">
        <v>1358</v>
      </c>
      <c r="D227" s="138">
        <v>38332</v>
      </c>
      <c r="E227" s="138" t="s">
        <v>903</v>
      </c>
    </row>
    <row r="228" spans="1:5" ht="15.75">
      <c r="A228" s="89" t="str">
        <f t="shared" si="3"/>
        <v>#00987</v>
      </c>
      <c r="B228" s="138" t="s">
        <v>1361</v>
      </c>
      <c r="C228" s="139" t="s">
        <v>1360</v>
      </c>
      <c r="D228" s="138">
        <v>38332</v>
      </c>
      <c r="E228" s="138" t="s">
        <v>903</v>
      </c>
    </row>
    <row r="229" spans="1:5" ht="15.75">
      <c r="A229" s="89" t="str">
        <f t="shared" si="3"/>
        <v>#00990</v>
      </c>
      <c r="B229" s="138" t="s">
        <v>1363</v>
      </c>
      <c r="C229" s="139" t="s">
        <v>1362</v>
      </c>
      <c r="D229" s="138">
        <v>38337</v>
      </c>
      <c r="E229" s="138" t="s">
        <v>721</v>
      </c>
    </row>
    <row r="230" spans="1:5" ht="15.75">
      <c r="A230" s="89" t="str">
        <f t="shared" si="3"/>
        <v>#00993</v>
      </c>
      <c r="B230" s="138" t="s">
        <v>1365</v>
      </c>
      <c r="C230" s="139" t="s">
        <v>1364</v>
      </c>
      <c r="D230" s="138">
        <v>38342</v>
      </c>
      <c r="E230" s="138" t="s">
        <v>721</v>
      </c>
    </row>
    <row r="231" spans="1:5" ht="15.75">
      <c r="A231" s="89" t="str">
        <f t="shared" si="3"/>
        <v>#00996</v>
      </c>
      <c r="B231" s="138" t="s">
        <v>1367</v>
      </c>
      <c r="C231" s="139" t="s">
        <v>1366</v>
      </c>
      <c r="D231" s="138">
        <v>38342</v>
      </c>
      <c r="E231" s="138" t="s">
        <v>1133</v>
      </c>
    </row>
    <row r="232" spans="1:5" ht="15.75">
      <c r="A232" s="89" t="str">
        <f t="shared" si="3"/>
        <v>#00998</v>
      </c>
      <c r="B232" s="138" t="s">
        <v>1369</v>
      </c>
      <c r="C232" s="139" t="s">
        <v>1368</v>
      </c>
      <c r="D232" s="138">
        <v>38342</v>
      </c>
      <c r="E232" s="138" t="s">
        <v>985</v>
      </c>
    </row>
    <row r="233" spans="1:5" ht="15.75">
      <c r="A233" s="89" t="str">
        <f t="shared" si="3"/>
        <v>#01014</v>
      </c>
      <c r="B233" s="138" t="s">
        <v>1371</v>
      </c>
      <c r="C233" s="139" t="s">
        <v>1370</v>
      </c>
      <c r="D233" s="138">
        <v>38355</v>
      </c>
      <c r="E233" s="138" t="s">
        <v>1255</v>
      </c>
    </row>
    <row r="234" spans="1:5" ht="15.75">
      <c r="A234" s="89" t="str">
        <f t="shared" si="3"/>
        <v>#01015</v>
      </c>
      <c r="B234" s="138" t="s">
        <v>1373</v>
      </c>
      <c r="C234" s="139" t="s">
        <v>1372</v>
      </c>
      <c r="D234" s="138">
        <v>38362</v>
      </c>
      <c r="E234" s="138" t="s">
        <v>759</v>
      </c>
    </row>
    <row r="235" spans="1:5" ht="15.75">
      <c r="A235" s="89" t="str">
        <f t="shared" si="3"/>
        <v>#01019</v>
      </c>
      <c r="B235" s="138" t="s">
        <v>1375</v>
      </c>
      <c r="C235" s="139" t="s">
        <v>1374</v>
      </c>
      <c r="D235" s="138">
        <v>38397</v>
      </c>
      <c r="E235" s="138" t="s">
        <v>1034</v>
      </c>
    </row>
    <row r="236" spans="1:5" ht="15.75">
      <c r="A236" s="89" t="str">
        <f t="shared" si="3"/>
        <v>#01021</v>
      </c>
      <c r="B236" s="138" t="s">
        <v>1377</v>
      </c>
      <c r="C236" s="139" t="s">
        <v>1376</v>
      </c>
      <c r="D236" s="138">
        <v>38407</v>
      </c>
      <c r="E236" s="138" t="s">
        <v>1188</v>
      </c>
    </row>
    <row r="237" spans="1:5" ht="15.75">
      <c r="A237" s="89" t="str">
        <f t="shared" si="3"/>
        <v>#01034</v>
      </c>
      <c r="B237" s="138" t="s">
        <v>1379</v>
      </c>
      <c r="C237" s="139" t="s">
        <v>1378</v>
      </c>
      <c r="D237" s="138">
        <v>38406</v>
      </c>
      <c r="E237" s="138" t="s">
        <v>7788</v>
      </c>
    </row>
    <row r="238" spans="1:5" ht="15.75">
      <c r="A238" s="89" t="str">
        <f t="shared" si="3"/>
        <v>#01039</v>
      </c>
      <c r="B238" s="138" t="s">
        <v>1382</v>
      </c>
      <c r="C238" s="139" t="s">
        <v>1381</v>
      </c>
      <c r="D238" s="138">
        <v>38406</v>
      </c>
      <c r="E238" s="138" t="s">
        <v>1188</v>
      </c>
    </row>
    <row r="239" spans="1:5" ht="15.75">
      <c r="A239" s="89" t="str">
        <f t="shared" si="3"/>
        <v>#01040</v>
      </c>
      <c r="B239" s="138" t="s">
        <v>1384</v>
      </c>
      <c r="C239" s="139" t="s">
        <v>1383</v>
      </c>
      <c r="D239" s="138">
        <v>38406</v>
      </c>
      <c r="E239" s="138" t="s">
        <v>978</v>
      </c>
    </row>
    <row r="240" spans="1:5" ht="15.75">
      <c r="A240" s="89" t="str">
        <f t="shared" si="3"/>
        <v>#01041</v>
      </c>
      <c r="B240" s="138" t="s">
        <v>1386</v>
      </c>
      <c r="C240" s="139" t="s">
        <v>1385</v>
      </c>
      <c r="D240" s="138">
        <v>38406</v>
      </c>
      <c r="E240" s="138" t="s">
        <v>1043</v>
      </c>
    </row>
    <row r="241" spans="1:5" ht="15.75">
      <c r="A241" s="89" t="str">
        <f t="shared" si="3"/>
        <v>#01048</v>
      </c>
      <c r="B241" s="138" t="s">
        <v>1388</v>
      </c>
      <c r="C241" s="139" t="s">
        <v>1387</v>
      </c>
      <c r="D241" s="138">
        <v>38406</v>
      </c>
      <c r="E241" s="138" t="s">
        <v>1380</v>
      </c>
    </row>
    <row r="242" spans="1:5" ht="15.75">
      <c r="A242" s="89" t="str">
        <f t="shared" si="3"/>
        <v>#01057</v>
      </c>
      <c r="B242" s="138" t="s">
        <v>1390</v>
      </c>
      <c r="C242" s="139" t="s">
        <v>1389</v>
      </c>
      <c r="D242" s="138">
        <v>38411</v>
      </c>
      <c r="E242" s="138" t="s">
        <v>1004</v>
      </c>
    </row>
    <row r="243" spans="1:5" ht="15.75">
      <c r="A243" s="89" t="str">
        <f t="shared" si="3"/>
        <v>#01062</v>
      </c>
      <c r="B243" s="138" t="s">
        <v>1392</v>
      </c>
      <c r="C243" s="139" t="s">
        <v>1391</v>
      </c>
      <c r="D243" s="138">
        <v>38418</v>
      </c>
      <c r="E243" s="138" t="s">
        <v>906</v>
      </c>
    </row>
    <row r="244" spans="1:5" ht="15.75">
      <c r="A244" s="89" t="str">
        <f t="shared" si="3"/>
        <v>#01066</v>
      </c>
      <c r="B244" s="138" t="s">
        <v>1394</v>
      </c>
      <c r="C244" s="139" t="s">
        <v>1393</v>
      </c>
      <c r="D244" s="138">
        <v>38418</v>
      </c>
      <c r="E244" s="138" t="s">
        <v>906</v>
      </c>
    </row>
    <row r="245" spans="1:5" ht="15.75">
      <c r="A245" s="89" t="str">
        <f t="shared" si="3"/>
        <v>#01069</v>
      </c>
      <c r="B245" s="138" t="s">
        <v>1396</v>
      </c>
      <c r="C245" s="139" t="s">
        <v>1395</v>
      </c>
      <c r="D245" s="138">
        <v>38418</v>
      </c>
      <c r="E245" s="138" t="s">
        <v>903</v>
      </c>
    </row>
    <row r="246" spans="1:5" ht="15.75">
      <c r="A246" s="89" t="str">
        <f t="shared" si="3"/>
        <v>#01078</v>
      </c>
      <c r="B246" s="138" t="s">
        <v>1398</v>
      </c>
      <c r="C246" s="139" t="s">
        <v>1397</v>
      </c>
      <c r="D246" s="138">
        <v>38418</v>
      </c>
      <c r="E246" s="138" t="s">
        <v>927</v>
      </c>
    </row>
    <row r="247" spans="1:5" ht="15.75">
      <c r="A247" s="89" t="str">
        <f t="shared" si="3"/>
        <v>#01086</v>
      </c>
      <c r="B247" s="138" t="s">
        <v>1400</v>
      </c>
      <c r="C247" s="139" t="s">
        <v>1399</v>
      </c>
      <c r="D247" s="138">
        <v>38418</v>
      </c>
      <c r="E247" s="138" t="s">
        <v>957</v>
      </c>
    </row>
    <row r="248" spans="1:5" ht="15.75">
      <c r="A248" s="89" t="str">
        <f t="shared" si="3"/>
        <v>#01094</v>
      </c>
      <c r="B248" s="138" t="s">
        <v>1402</v>
      </c>
      <c r="C248" s="139" t="s">
        <v>1401</v>
      </c>
      <c r="D248" s="138">
        <v>38418</v>
      </c>
      <c r="E248" s="138" t="s">
        <v>957</v>
      </c>
    </row>
    <row r="249" spans="1:5" ht="15.75">
      <c r="A249" s="89" t="str">
        <f t="shared" si="3"/>
        <v>#01097</v>
      </c>
      <c r="B249" s="138" t="s">
        <v>1404</v>
      </c>
      <c r="C249" s="139" t="s">
        <v>1403</v>
      </c>
      <c r="D249" s="138">
        <v>38418</v>
      </c>
      <c r="E249" s="138" t="s">
        <v>957</v>
      </c>
    </row>
    <row r="250" spans="1:5" ht="15.75">
      <c r="A250" s="89" t="str">
        <f t="shared" si="3"/>
        <v>#01099</v>
      </c>
      <c r="B250" s="138" t="s">
        <v>1406</v>
      </c>
      <c r="C250" s="139" t="s">
        <v>1405</v>
      </c>
      <c r="D250" s="138">
        <v>38421</v>
      </c>
      <c r="E250" s="138" t="s">
        <v>1063</v>
      </c>
    </row>
    <row r="251" spans="1:5" ht="15.75">
      <c r="A251" s="89" t="str">
        <f t="shared" si="3"/>
        <v>#01100</v>
      </c>
      <c r="B251" s="138" t="s">
        <v>1408</v>
      </c>
      <c r="C251" s="139" t="s">
        <v>1407</v>
      </c>
      <c r="D251" s="138">
        <v>38421</v>
      </c>
      <c r="E251" s="138" t="s">
        <v>797</v>
      </c>
    </row>
    <row r="252" spans="1:5" ht="15.75">
      <c r="A252" s="89" t="str">
        <f t="shared" si="3"/>
        <v>#01101</v>
      </c>
      <c r="B252" s="138" t="s">
        <v>1410</v>
      </c>
      <c r="C252" s="139" t="s">
        <v>1409</v>
      </c>
      <c r="D252" s="138">
        <v>38421</v>
      </c>
      <c r="E252" s="138" t="s">
        <v>797</v>
      </c>
    </row>
    <row r="253" spans="1:5" ht="15.75">
      <c r="A253" s="89" t="str">
        <f t="shared" si="3"/>
        <v>#01106</v>
      </c>
      <c r="B253" s="138" t="s">
        <v>1412</v>
      </c>
      <c r="C253" s="139" t="s">
        <v>1411</v>
      </c>
      <c r="D253" s="138">
        <v>38421</v>
      </c>
      <c r="E253" s="138" t="s">
        <v>796</v>
      </c>
    </row>
    <row r="254" spans="1:5" ht="15.75">
      <c r="A254" s="89" t="str">
        <f t="shared" si="3"/>
        <v>#01119</v>
      </c>
      <c r="B254" s="138" t="s">
        <v>1413</v>
      </c>
      <c r="C254" s="139" t="s">
        <v>1374</v>
      </c>
      <c r="D254" s="138">
        <v>38421</v>
      </c>
      <c r="E254" s="138" t="s">
        <v>957</v>
      </c>
    </row>
    <row r="255" spans="1:5" ht="15.75">
      <c r="A255" s="89" t="str">
        <f t="shared" si="3"/>
        <v>#01120</v>
      </c>
      <c r="B255" s="138" t="s">
        <v>1415</v>
      </c>
      <c r="C255" s="139" t="s">
        <v>1414</v>
      </c>
      <c r="D255" s="138">
        <v>38421</v>
      </c>
      <c r="E255" s="138" t="s">
        <v>1215</v>
      </c>
    </row>
    <row r="256" spans="1:5" ht="15.75">
      <c r="A256" s="89" t="str">
        <f t="shared" si="3"/>
        <v>#01121</v>
      </c>
      <c r="B256" s="138" t="s">
        <v>1417</v>
      </c>
      <c r="C256" s="139" t="s">
        <v>1416</v>
      </c>
      <c r="D256" s="138">
        <v>38421</v>
      </c>
      <c r="E256" s="138" t="s">
        <v>903</v>
      </c>
    </row>
    <row r="257" spans="1:5" ht="15.75">
      <c r="A257" s="89" t="str">
        <f t="shared" si="3"/>
        <v>#01122</v>
      </c>
      <c r="B257" s="138" t="s">
        <v>1419</v>
      </c>
      <c r="C257" s="139" t="s">
        <v>1418</v>
      </c>
      <c r="D257" s="138">
        <v>38421</v>
      </c>
      <c r="E257" s="138" t="s">
        <v>1043</v>
      </c>
    </row>
    <row r="258" spans="1:5" ht="15.75">
      <c r="A258" s="89" t="str">
        <f t="shared" si="3"/>
        <v>#01124</v>
      </c>
      <c r="B258" s="138" t="s">
        <v>1421</v>
      </c>
      <c r="C258" s="139" t="s">
        <v>1420</v>
      </c>
      <c r="D258" s="138">
        <v>38421</v>
      </c>
      <c r="E258" s="138" t="s">
        <v>957</v>
      </c>
    </row>
    <row r="259" spans="1:5" ht="15.75">
      <c r="A259" s="89" t="str">
        <f t="shared" ref="A259:A322" si="4">"#"&amp;B259</f>
        <v>#01134</v>
      </c>
      <c r="B259" s="138" t="s">
        <v>1423</v>
      </c>
      <c r="C259" s="139" t="s">
        <v>1422</v>
      </c>
      <c r="D259" s="138">
        <v>38421</v>
      </c>
      <c r="E259" s="138" t="s">
        <v>978</v>
      </c>
    </row>
    <row r="260" spans="1:5" ht="15.75">
      <c r="A260" s="89" t="str">
        <f t="shared" si="4"/>
        <v>#01140</v>
      </c>
      <c r="B260" s="138" t="s">
        <v>1425</v>
      </c>
      <c r="C260" s="139" t="s">
        <v>1424</v>
      </c>
      <c r="D260" s="138">
        <v>38421</v>
      </c>
      <c r="E260" s="138" t="s">
        <v>895</v>
      </c>
    </row>
    <row r="261" spans="1:5" ht="15.75">
      <c r="A261" s="89" t="str">
        <f t="shared" si="4"/>
        <v>#01143</v>
      </c>
      <c r="B261" s="138" t="s">
        <v>1427</v>
      </c>
      <c r="C261" s="139" t="s">
        <v>1426</v>
      </c>
      <c r="D261" s="138">
        <v>38421</v>
      </c>
      <c r="E261" s="138" t="s">
        <v>985</v>
      </c>
    </row>
    <row r="262" spans="1:5" ht="15.75">
      <c r="A262" s="89" t="str">
        <f t="shared" si="4"/>
        <v>#01151</v>
      </c>
      <c r="B262" s="138" t="s">
        <v>1429</v>
      </c>
      <c r="C262" s="139" t="s">
        <v>1428</v>
      </c>
      <c r="D262" s="138">
        <v>38427</v>
      </c>
      <c r="E262" s="138" t="s">
        <v>895</v>
      </c>
    </row>
    <row r="263" spans="1:5" ht="15.75">
      <c r="A263" s="89" t="str">
        <f t="shared" si="4"/>
        <v>#01162</v>
      </c>
      <c r="B263" s="138" t="s">
        <v>1431</v>
      </c>
      <c r="C263" s="139" t="s">
        <v>1430</v>
      </c>
      <c r="D263" s="138">
        <v>38435</v>
      </c>
      <c r="E263" s="138" t="s">
        <v>934</v>
      </c>
    </row>
    <row r="264" spans="1:5" ht="15.75">
      <c r="A264" s="89" t="str">
        <f t="shared" si="4"/>
        <v>#01167</v>
      </c>
      <c r="B264" s="138" t="s">
        <v>1433</v>
      </c>
      <c r="C264" s="139" t="s">
        <v>1432</v>
      </c>
      <c r="D264" s="138">
        <v>38443</v>
      </c>
      <c r="E264" s="138" t="s">
        <v>978</v>
      </c>
    </row>
    <row r="265" spans="1:5" ht="15.75">
      <c r="A265" s="89" t="str">
        <f t="shared" si="4"/>
        <v>#01177</v>
      </c>
      <c r="B265" s="138" t="s">
        <v>1435</v>
      </c>
      <c r="C265" s="139" t="s">
        <v>1434</v>
      </c>
      <c r="D265" s="138">
        <v>38443</v>
      </c>
      <c r="E265" s="138" t="s">
        <v>890</v>
      </c>
    </row>
    <row r="266" spans="1:5" ht="15.75">
      <c r="A266" s="89" t="str">
        <f t="shared" si="4"/>
        <v>#01179</v>
      </c>
      <c r="B266" s="138" t="s">
        <v>1437</v>
      </c>
      <c r="C266" s="139" t="s">
        <v>1436</v>
      </c>
      <c r="D266" s="138">
        <v>38443</v>
      </c>
      <c r="E266" s="138" t="s">
        <v>7818</v>
      </c>
    </row>
    <row r="267" spans="1:5" ht="15.75">
      <c r="A267" s="89" t="str">
        <f t="shared" si="4"/>
        <v>#01187</v>
      </c>
      <c r="B267" s="138" t="s">
        <v>1439</v>
      </c>
      <c r="C267" s="139" t="s">
        <v>1438</v>
      </c>
      <c r="D267" s="138">
        <v>38448</v>
      </c>
      <c r="E267" s="138" t="s">
        <v>903</v>
      </c>
    </row>
    <row r="268" spans="1:5" ht="15.75">
      <c r="A268" s="89" t="str">
        <f t="shared" si="4"/>
        <v>#01188</v>
      </c>
      <c r="B268" s="138" t="s">
        <v>1441</v>
      </c>
      <c r="C268" s="139" t="s">
        <v>1440</v>
      </c>
      <c r="D268" s="138">
        <v>38448</v>
      </c>
      <c r="E268" s="138" t="s">
        <v>1029</v>
      </c>
    </row>
    <row r="269" spans="1:5" ht="15.75">
      <c r="A269" s="89" t="str">
        <f t="shared" si="4"/>
        <v>#01191</v>
      </c>
      <c r="B269" s="138" t="s">
        <v>1443</v>
      </c>
      <c r="C269" s="139" t="s">
        <v>1442</v>
      </c>
      <c r="D269" s="138">
        <v>38455</v>
      </c>
      <c r="E269" s="138" t="s">
        <v>1444</v>
      </c>
    </row>
    <row r="270" spans="1:5" ht="15.75">
      <c r="A270" s="89" t="str">
        <f t="shared" si="4"/>
        <v>#01197</v>
      </c>
      <c r="B270" s="138" t="s">
        <v>1446</v>
      </c>
      <c r="C270" s="139" t="s">
        <v>1445</v>
      </c>
      <c r="D270" s="138">
        <v>38455</v>
      </c>
      <c r="E270" s="138" t="s">
        <v>721</v>
      </c>
    </row>
    <row r="271" spans="1:5" ht="15.75">
      <c r="A271" s="89" t="str">
        <f t="shared" si="4"/>
        <v>#01198</v>
      </c>
      <c r="B271" s="138" t="s">
        <v>1448</v>
      </c>
      <c r="C271" s="139" t="s">
        <v>1447</v>
      </c>
      <c r="D271" s="138">
        <v>38455</v>
      </c>
      <c r="E271" s="138" t="s">
        <v>1113</v>
      </c>
    </row>
    <row r="272" spans="1:5" ht="15.75">
      <c r="A272" s="89" t="str">
        <f t="shared" si="4"/>
        <v>#01204</v>
      </c>
      <c r="B272" s="138" t="s">
        <v>1450</v>
      </c>
      <c r="C272" s="139" t="s">
        <v>1449</v>
      </c>
      <c r="D272" s="138">
        <v>38460</v>
      </c>
      <c r="E272" s="138" t="s">
        <v>1451</v>
      </c>
    </row>
    <row r="273" spans="1:5" ht="15.75">
      <c r="A273" s="89" t="str">
        <f t="shared" si="4"/>
        <v>#01207</v>
      </c>
      <c r="B273" s="138" t="s">
        <v>1453</v>
      </c>
      <c r="C273" s="139" t="s">
        <v>1452</v>
      </c>
      <c r="D273" s="138">
        <v>38462</v>
      </c>
      <c r="E273" s="138" t="s">
        <v>1188</v>
      </c>
    </row>
    <row r="274" spans="1:5" ht="15.75">
      <c r="A274" s="89" t="str">
        <f t="shared" si="4"/>
        <v>#01211</v>
      </c>
      <c r="B274" s="138" t="s">
        <v>1455</v>
      </c>
      <c r="C274" s="139" t="s">
        <v>1454</v>
      </c>
      <c r="D274" s="138">
        <v>38462</v>
      </c>
      <c r="E274" s="138" t="s">
        <v>903</v>
      </c>
    </row>
    <row r="275" spans="1:5" ht="15.75">
      <c r="A275" s="89" t="str">
        <f t="shared" si="4"/>
        <v>#01214</v>
      </c>
      <c r="B275" s="138" t="s">
        <v>1457</v>
      </c>
      <c r="C275" s="139" t="s">
        <v>1456</v>
      </c>
      <c r="D275" s="138">
        <v>38462</v>
      </c>
      <c r="E275" s="138" t="s">
        <v>721</v>
      </c>
    </row>
    <row r="276" spans="1:5" ht="15.75">
      <c r="A276" s="89" t="str">
        <f t="shared" si="4"/>
        <v>#01226</v>
      </c>
      <c r="B276" s="138" t="s">
        <v>1459</v>
      </c>
      <c r="C276" s="139" t="s">
        <v>1458</v>
      </c>
      <c r="D276" s="138">
        <v>38462</v>
      </c>
      <c r="E276" s="138" t="s">
        <v>1188</v>
      </c>
    </row>
    <row r="277" spans="1:5" ht="15.75">
      <c r="A277" s="89" t="str">
        <f t="shared" si="4"/>
        <v>#01227</v>
      </c>
      <c r="B277" s="138" t="s">
        <v>1461</v>
      </c>
      <c r="C277" s="139" t="s">
        <v>1460</v>
      </c>
      <c r="D277" s="138">
        <v>38462</v>
      </c>
      <c r="E277" s="138" t="s">
        <v>1085</v>
      </c>
    </row>
    <row r="278" spans="1:5" ht="15.75">
      <c r="A278" s="89" t="str">
        <f t="shared" si="4"/>
        <v>#01232</v>
      </c>
      <c r="B278" s="138" t="s">
        <v>1463</v>
      </c>
      <c r="C278" s="139" t="s">
        <v>1462</v>
      </c>
      <c r="D278" s="138">
        <v>38467</v>
      </c>
      <c r="E278" s="138" t="s">
        <v>752</v>
      </c>
    </row>
    <row r="279" spans="1:5" ht="15.75">
      <c r="A279" s="89" t="str">
        <f t="shared" si="4"/>
        <v>#01233</v>
      </c>
      <c r="B279" s="138" t="s">
        <v>1465</v>
      </c>
      <c r="C279" s="139" t="s">
        <v>1464</v>
      </c>
      <c r="D279" s="138">
        <v>38467</v>
      </c>
      <c r="E279" s="138" t="s">
        <v>752</v>
      </c>
    </row>
    <row r="280" spans="1:5" ht="15.75">
      <c r="A280" s="89" t="str">
        <f t="shared" si="4"/>
        <v>#01235</v>
      </c>
      <c r="B280" s="138" t="s">
        <v>1467</v>
      </c>
      <c r="C280" s="139" t="s">
        <v>1466</v>
      </c>
      <c r="D280" s="138">
        <v>38475</v>
      </c>
      <c r="E280" s="138" t="s">
        <v>7818</v>
      </c>
    </row>
    <row r="281" spans="1:5" ht="15.75">
      <c r="A281" s="89" t="str">
        <f t="shared" si="4"/>
        <v>#01240</v>
      </c>
      <c r="B281" s="138" t="s">
        <v>1468</v>
      </c>
      <c r="C281" s="139" t="s">
        <v>1407</v>
      </c>
      <c r="D281" s="138">
        <v>38475</v>
      </c>
      <c r="E281" s="138" t="s">
        <v>937</v>
      </c>
    </row>
    <row r="282" spans="1:5" ht="15.75">
      <c r="A282" s="89" t="str">
        <f t="shared" si="4"/>
        <v>#01242</v>
      </c>
      <c r="B282" s="138" t="s">
        <v>1470</v>
      </c>
      <c r="C282" s="139" t="s">
        <v>1469</v>
      </c>
      <c r="D282" s="138">
        <v>38475</v>
      </c>
      <c r="E282" s="138" t="s">
        <v>1380</v>
      </c>
    </row>
    <row r="283" spans="1:5" ht="15.75">
      <c r="A283" s="89" t="str">
        <f t="shared" si="4"/>
        <v>#01246</v>
      </c>
      <c r="B283" s="138" t="s">
        <v>1472</v>
      </c>
      <c r="C283" s="139" t="s">
        <v>1471</v>
      </c>
      <c r="D283" s="138">
        <v>38475</v>
      </c>
      <c r="E283" s="138" t="s">
        <v>1133</v>
      </c>
    </row>
    <row r="284" spans="1:5" ht="15.75">
      <c r="A284" s="89" t="str">
        <f t="shared" si="4"/>
        <v>#01251</v>
      </c>
      <c r="B284" s="138" t="s">
        <v>1474</v>
      </c>
      <c r="C284" s="139" t="s">
        <v>1473</v>
      </c>
      <c r="D284" s="138">
        <v>38481</v>
      </c>
      <c r="E284" s="138" t="s">
        <v>890</v>
      </c>
    </row>
    <row r="285" spans="1:5" ht="15.75">
      <c r="A285" s="89" t="str">
        <f t="shared" si="4"/>
        <v>#01252</v>
      </c>
      <c r="B285" s="138" t="s">
        <v>1476</v>
      </c>
      <c r="C285" s="139" t="s">
        <v>1475</v>
      </c>
      <c r="D285" s="138">
        <v>38481</v>
      </c>
      <c r="E285" s="138" t="s">
        <v>924</v>
      </c>
    </row>
    <row r="286" spans="1:5" ht="15.75">
      <c r="A286" s="89" t="str">
        <f t="shared" si="4"/>
        <v>#01255</v>
      </c>
      <c r="B286" s="138" t="s">
        <v>1478</v>
      </c>
      <c r="C286" s="139" t="s">
        <v>1477</v>
      </c>
      <c r="D286" s="138">
        <v>38481</v>
      </c>
      <c r="E286" s="138" t="s">
        <v>924</v>
      </c>
    </row>
    <row r="287" spans="1:5" ht="15.75">
      <c r="A287" s="89" t="str">
        <f t="shared" si="4"/>
        <v>#01258</v>
      </c>
      <c r="B287" s="138" t="s">
        <v>1480</v>
      </c>
      <c r="C287" s="139" t="s">
        <v>1479</v>
      </c>
      <c r="D287" s="138">
        <v>38481</v>
      </c>
      <c r="E287" s="138" t="s">
        <v>890</v>
      </c>
    </row>
    <row r="288" spans="1:5" ht="15.75">
      <c r="A288" s="89" t="str">
        <f t="shared" si="4"/>
        <v>#01259</v>
      </c>
      <c r="B288" s="138" t="s">
        <v>1482</v>
      </c>
      <c r="C288" s="139" t="s">
        <v>1481</v>
      </c>
      <c r="D288" s="138">
        <v>38481</v>
      </c>
      <c r="E288" s="138" t="s">
        <v>1133</v>
      </c>
    </row>
    <row r="289" spans="1:5" ht="15.75">
      <c r="A289" s="89" t="str">
        <f t="shared" si="4"/>
        <v>#01260</v>
      </c>
      <c r="B289" s="138" t="s">
        <v>1484</v>
      </c>
      <c r="C289" s="139" t="s">
        <v>1483</v>
      </c>
      <c r="D289" s="138">
        <v>38481</v>
      </c>
      <c r="E289" s="138" t="s">
        <v>927</v>
      </c>
    </row>
    <row r="290" spans="1:5" ht="15.75">
      <c r="A290" s="89" t="str">
        <f t="shared" si="4"/>
        <v>#01268</v>
      </c>
      <c r="B290" s="138" t="s">
        <v>1486</v>
      </c>
      <c r="C290" s="139" t="s">
        <v>1485</v>
      </c>
      <c r="D290" s="138">
        <v>38482</v>
      </c>
      <c r="E290" s="138" t="s">
        <v>1487</v>
      </c>
    </row>
    <row r="291" spans="1:5" ht="15.75">
      <c r="A291" s="89" t="str">
        <f t="shared" si="4"/>
        <v>#01270</v>
      </c>
      <c r="B291" s="138" t="s">
        <v>1489</v>
      </c>
      <c r="C291" s="139" t="s">
        <v>1488</v>
      </c>
      <c r="D291" s="138">
        <v>38490</v>
      </c>
      <c r="E291" s="138" t="s">
        <v>906</v>
      </c>
    </row>
    <row r="292" spans="1:5" ht="15.75">
      <c r="A292" s="89" t="str">
        <f t="shared" si="4"/>
        <v>#01271</v>
      </c>
      <c r="B292" s="138" t="s">
        <v>1491</v>
      </c>
      <c r="C292" s="139" t="s">
        <v>1490</v>
      </c>
      <c r="D292" s="138">
        <v>38490</v>
      </c>
      <c r="E292" s="138" t="s">
        <v>906</v>
      </c>
    </row>
    <row r="293" spans="1:5" ht="15.75">
      <c r="A293" s="89" t="str">
        <f t="shared" si="4"/>
        <v>#01273</v>
      </c>
      <c r="B293" s="138" t="s">
        <v>1493</v>
      </c>
      <c r="C293" s="139" t="s">
        <v>1492</v>
      </c>
      <c r="D293" s="138">
        <v>38493</v>
      </c>
      <c r="E293" s="138" t="s">
        <v>752</v>
      </c>
    </row>
    <row r="294" spans="1:5" ht="15.75">
      <c r="A294" s="89" t="str">
        <f t="shared" si="4"/>
        <v>#01283</v>
      </c>
      <c r="B294" s="138" t="s">
        <v>1495</v>
      </c>
      <c r="C294" s="139" t="s">
        <v>1494</v>
      </c>
      <c r="D294" s="138">
        <v>38498</v>
      </c>
      <c r="E294" s="138" t="s">
        <v>1034</v>
      </c>
    </row>
    <row r="295" spans="1:5" ht="15.75">
      <c r="A295" s="89" t="str">
        <f t="shared" si="4"/>
        <v>#01285</v>
      </c>
      <c r="B295" s="138" t="s">
        <v>1497</v>
      </c>
      <c r="C295" s="139" t="s">
        <v>1496</v>
      </c>
      <c r="D295" s="138">
        <v>38498</v>
      </c>
      <c r="E295" s="138" t="s">
        <v>721</v>
      </c>
    </row>
    <row r="296" spans="1:5" ht="15.75">
      <c r="A296" s="89" t="str">
        <f t="shared" si="4"/>
        <v>#01286</v>
      </c>
      <c r="B296" s="138" t="s">
        <v>1499</v>
      </c>
      <c r="C296" s="139" t="s">
        <v>1498</v>
      </c>
      <c r="D296" s="138">
        <v>38500</v>
      </c>
      <c r="E296" s="138" t="s">
        <v>1133</v>
      </c>
    </row>
    <row r="297" spans="1:5" ht="15.75">
      <c r="A297" s="89" t="str">
        <f t="shared" si="4"/>
        <v>#01294</v>
      </c>
      <c r="B297" s="138" t="s">
        <v>1501</v>
      </c>
      <c r="C297" s="139" t="s">
        <v>1500</v>
      </c>
      <c r="D297" s="138">
        <v>38516</v>
      </c>
      <c r="E297" s="138" t="s">
        <v>759</v>
      </c>
    </row>
    <row r="298" spans="1:5" ht="15.75">
      <c r="A298" s="89" t="str">
        <f t="shared" si="4"/>
        <v>#01297</v>
      </c>
      <c r="B298" s="138" t="s">
        <v>1503</v>
      </c>
      <c r="C298" s="139" t="s">
        <v>1502</v>
      </c>
      <c r="D298" s="138">
        <v>38516</v>
      </c>
      <c r="E298" s="138" t="s">
        <v>906</v>
      </c>
    </row>
    <row r="299" spans="1:5" ht="15.75">
      <c r="A299" s="89" t="str">
        <f t="shared" si="4"/>
        <v>#01299</v>
      </c>
      <c r="B299" s="138" t="s">
        <v>1505</v>
      </c>
      <c r="C299" s="139" t="s">
        <v>1504</v>
      </c>
      <c r="D299" s="138">
        <v>38516</v>
      </c>
      <c r="E299" s="138" t="s">
        <v>721</v>
      </c>
    </row>
    <row r="300" spans="1:5" ht="15.75">
      <c r="A300" s="89" t="str">
        <f t="shared" si="4"/>
        <v>#01309</v>
      </c>
      <c r="B300" s="138" t="s">
        <v>1507</v>
      </c>
      <c r="C300" s="139" t="s">
        <v>1506</v>
      </c>
      <c r="D300" s="138">
        <v>38517</v>
      </c>
      <c r="E300" s="138" t="s">
        <v>978</v>
      </c>
    </row>
    <row r="301" spans="1:5" ht="15.75">
      <c r="A301" s="89" t="str">
        <f t="shared" si="4"/>
        <v>#01310</v>
      </c>
      <c r="B301" s="138" t="s">
        <v>1509</v>
      </c>
      <c r="C301" s="139" t="s">
        <v>1508</v>
      </c>
      <c r="D301" s="138">
        <v>38517</v>
      </c>
      <c r="E301" s="138" t="s">
        <v>937</v>
      </c>
    </row>
    <row r="302" spans="1:5" ht="15.75">
      <c r="A302" s="89" t="str">
        <f t="shared" si="4"/>
        <v>#01312</v>
      </c>
      <c r="B302" s="138" t="s">
        <v>1511</v>
      </c>
      <c r="C302" s="139" t="s">
        <v>1510</v>
      </c>
      <c r="D302" s="138">
        <v>38517</v>
      </c>
      <c r="E302" s="138" t="s">
        <v>937</v>
      </c>
    </row>
    <row r="303" spans="1:5" ht="15.75">
      <c r="A303" s="89" t="str">
        <f t="shared" si="4"/>
        <v>#01315</v>
      </c>
      <c r="B303" s="138" t="s">
        <v>1513</v>
      </c>
      <c r="C303" s="139" t="s">
        <v>1512</v>
      </c>
      <c r="D303" s="138">
        <v>38517</v>
      </c>
      <c r="E303" s="138" t="s">
        <v>797</v>
      </c>
    </row>
    <row r="304" spans="1:5" ht="15.75">
      <c r="A304" s="89" t="str">
        <f t="shared" si="4"/>
        <v>#01344</v>
      </c>
      <c r="B304" s="138" t="s">
        <v>1515</v>
      </c>
      <c r="C304" s="139" t="s">
        <v>1514</v>
      </c>
      <c r="D304" s="138">
        <v>38524</v>
      </c>
      <c r="E304" s="138" t="s">
        <v>895</v>
      </c>
    </row>
    <row r="305" spans="1:5" ht="15.75">
      <c r="A305" s="89" t="str">
        <f t="shared" si="4"/>
        <v>#01348</v>
      </c>
      <c r="B305" s="138" t="s">
        <v>1517</v>
      </c>
      <c r="C305" s="139" t="s">
        <v>1516</v>
      </c>
      <c r="D305" s="138">
        <v>38524</v>
      </c>
      <c r="E305" s="138" t="s">
        <v>985</v>
      </c>
    </row>
    <row r="306" spans="1:5" ht="15.75">
      <c r="A306" s="89" t="str">
        <f t="shared" si="4"/>
        <v>#01351</v>
      </c>
      <c r="B306" s="138" t="s">
        <v>1519</v>
      </c>
      <c r="C306" s="139" t="s">
        <v>1518</v>
      </c>
      <c r="D306" s="138">
        <v>38524</v>
      </c>
      <c r="E306" s="138" t="s">
        <v>985</v>
      </c>
    </row>
    <row r="307" spans="1:5" ht="15.75">
      <c r="A307" s="89" t="str">
        <f t="shared" si="4"/>
        <v>#01353</v>
      </c>
      <c r="B307" s="138" t="s">
        <v>1521</v>
      </c>
      <c r="C307" s="139" t="s">
        <v>1520</v>
      </c>
      <c r="D307" s="138">
        <v>38524</v>
      </c>
      <c r="E307" s="138" t="s">
        <v>985</v>
      </c>
    </row>
    <row r="308" spans="1:5" ht="15.75">
      <c r="A308" s="89" t="str">
        <f t="shared" si="4"/>
        <v>#01365</v>
      </c>
      <c r="B308" s="138" t="s">
        <v>1523</v>
      </c>
      <c r="C308" s="139" t="s">
        <v>1522</v>
      </c>
      <c r="D308" s="138">
        <v>38530</v>
      </c>
      <c r="E308" s="138" t="s">
        <v>924</v>
      </c>
    </row>
    <row r="309" spans="1:5" ht="15.75">
      <c r="A309" s="89" t="str">
        <f t="shared" si="4"/>
        <v>#01373</v>
      </c>
      <c r="B309" s="138" t="s">
        <v>1525</v>
      </c>
      <c r="C309" s="139" t="s">
        <v>1524</v>
      </c>
      <c r="D309" s="138">
        <v>38531</v>
      </c>
      <c r="E309" s="138" t="s">
        <v>1113</v>
      </c>
    </row>
    <row r="310" spans="1:5" ht="15.75">
      <c r="A310" s="89" t="str">
        <f t="shared" si="4"/>
        <v>#01378</v>
      </c>
      <c r="B310" s="138" t="s">
        <v>1527</v>
      </c>
      <c r="C310" s="139" t="s">
        <v>1526</v>
      </c>
      <c r="D310" s="138">
        <v>38531</v>
      </c>
      <c r="E310" s="138" t="s">
        <v>915</v>
      </c>
    </row>
    <row r="311" spans="1:5" ht="15.75">
      <c r="A311" s="89" t="str">
        <f t="shared" si="4"/>
        <v>#01379</v>
      </c>
      <c r="B311" s="138" t="s">
        <v>1529</v>
      </c>
      <c r="C311" s="139" t="s">
        <v>1528</v>
      </c>
      <c r="D311" s="138">
        <v>38531</v>
      </c>
      <c r="E311" s="138" t="s">
        <v>903</v>
      </c>
    </row>
    <row r="312" spans="1:5" ht="15.75">
      <c r="A312" s="89" t="str">
        <f t="shared" si="4"/>
        <v>#01386</v>
      </c>
      <c r="B312" s="138" t="s">
        <v>1531</v>
      </c>
      <c r="C312" s="139" t="s">
        <v>1530</v>
      </c>
      <c r="D312" s="138">
        <v>38539</v>
      </c>
      <c r="E312" s="138" t="s">
        <v>759</v>
      </c>
    </row>
    <row r="313" spans="1:5" ht="15.75">
      <c r="A313" s="89" t="str">
        <f t="shared" si="4"/>
        <v>#01395</v>
      </c>
      <c r="B313" s="138" t="s">
        <v>1532</v>
      </c>
      <c r="C313" s="139" t="s">
        <v>1037</v>
      </c>
      <c r="D313" s="138">
        <v>38541</v>
      </c>
      <c r="E313" s="138" t="s">
        <v>903</v>
      </c>
    </row>
    <row r="314" spans="1:5" ht="15.75">
      <c r="A314" s="89" t="str">
        <f t="shared" si="4"/>
        <v>#01406</v>
      </c>
      <c r="B314" s="138" t="s">
        <v>1534</v>
      </c>
      <c r="C314" s="139" t="s">
        <v>1533</v>
      </c>
      <c r="D314" s="138">
        <v>38541</v>
      </c>
      <c r="E314" s="138" t="s">
        <v>721</v>
      </c>
    </row>
    <row r="315" spans="1:5" ht="15.75">
      <c r="A315" s="89" t="str">
        <f t="shared" si="4"/>
        <v>#01413</v>
      </c>
      <c r="B315" s="138" t="s">
        <v>1536</v>
      </c>
      <c r="C315" s="139" t="s">
        <v>1535</v>
      </c>
      <c r="D315" s="138">
        <v>38541</v>
      </c>
      <c r="E315" s="138" t="s">
        <v>927</v>
      </c>
    </row>
    <row r="316" spans="1:5" ht="15.75">
      <c r="A316" s="89" t="str">
        <f t="shared" si="4"/>
        <v>#01414</v>
      </c>
      <c r="B316" s="138" t="s">
        <v>1538</v>
      </c>
      <c r="C316" s="139" t="s">
        <v>1537</v>
      </c>
      <c r="D316" s="138">
        <v>38541</v>
      </c>
      <c r="E316" s="138" t="s">
        <v>890</v>
      </c>
    </row>
    <row r="317" spans="1:5" ht="15.75">
      <c r="A317" s="89" t="str">
        <f t="shared" si="4"/>
        <v>#01434</v>
      </c>
      <c r="B317" s="138" t="s">
        <v>1540</v>
      </c>
      <c r="C317" s="139" t="s">
        <v>1539</v>
      </c>
      <c r="D317" s="138">
        <v>38546</v>
      </c>
      <c r="E317" s="138" t="s">
        <v>1541</v>
      </c>
    </row>
    <row r="318" spans="1:5" ht="15.75">
      <c r="A318" s="89" t="str">
        <f t="shared" si="4"/>
        <v>#01436</v>
      </c>
      <c r="B318" s="138" t="s">
        <v>1543</v>
      </c>
      <c r="C318" s="139" t="s">
        <v>1542</v>
      </c>
      <c r="D318" s="138">
        <v>38547</v>
      </c>
      <c r="E318" s="138" t="s">
        <v>1113</v>
      </c>
    </row>
    <row r="319" spans="1:5" ht="15.75">
      <c r="A319" s="89" t="str">
        <f t="shared" si="4"/>
        <v>#01439</v>
      </c>
      <c r="B319" s="138" t="s">
        <v>1545</v>
      </c>
      <c r="C319" s="139" t="s">
        <v>1544</v>
      </c>
      <c r="D319" s="138">
        <v>38546</v>
      </c>
      <c r="E319" s="138" t="s">
        <v>1113</v>
      </c>
    </row>
    <row r="320" spans="1:5" ht="15.75">
      <c r="A320" s="89" t="str">
        <f t="shared" si="4"/>
        <v>#01443</v>
      </c>
      <c r="B320" s="138" t="s">
        <v>1547</v>
      </c>
      <c r="C320" s="139" t="s">
        <v>1546</v>
      </c>
      <c r="D320" s="138">
        <v>38558</v>
      </c>
      <c r="E320" s="138" t="s">
        <v>1444</v>
      </c>
    </row>
    <row r="321" spans="1:5" ht="15.75">
      <c r="A321" s="89" t="str">
        <f t="shared" si="4"/>
        <v>#01445</v>
      </c>
      <c r="B321" s="138" t="s">
        <v>1549</v>
      </c>
      <c r="C321" s="139" t="s">
        <v>1548</v>
      </c>
      <c r="D321" s="138">
        <v>38560</v>
      </c>
      <c r="E321" s="138" t="s">
        <v>985</v>
      </c>
    </row>
    <row r="322" spans="1:5" ht="15.75">
      <c r="A322" s="89" t="str">
        <f t="shared" si="4"/>
        <v>#01448</v>
      </c>
      <c r="B322" s="138" t="s">
        <v>1551</v>
      </c>
      <c r="C322" s="139" t="s">
        <v>1550</v>
      </c>
      <c r="D322" s="138">
        <v>38561</v>
      </c>
      <c r="E322" s="138" t="s">
        <v>1133</v>
      </c>
    </row>
    <row r="323" spans="1:5" ht="15.75">
      <c r="A323" s="89" t="str">
        <f t="shared" ref="A323:A386" si="5">"#"&amp;B323</f>
        <v>#01450</v>
      </c>
      <c r="B323" s="138" t="s">
        <v>1553</v>
      </c>
      <c r="C323" s="139" t="s">
        <v>1552</v>
      </c>
      <c r="D323" s="138">
        <v>38561</v>
      </c>
      <c r="E323" s="138" t="s">
        <v>721</v>
      </c>
    </row>
    <row r="324" spans="1:5" ht="15.75">
      <c r="A324" s="89" t="str">
        <f t="shared" si="5"/>
        <v>#01458</v>
      </c>
      <c r="B324" s="138" t="s">
        <v>1555</v>
      </c>
      <c r="C324" s="139" t="s">
        <v>1554</v>
      </c>
      <c r="D324" s="138">
        <v>38562</v>
      </c>
      <c r="E324" s="138" t="s">
        <v>8037</v>
      </c>
    </row>
    <row r="325" spans="1:5" ht="15.75">
      <c r="A325" s="89" t="str">
        <f t="shared" si="5"/>
        <v>#01465</v>
      </c>
      <c r="B325" s="138" t="s">
        <v>1557</v>
      </c>
      <c r="C325" s="139" t="s">
        <v>1556</v>
      </c>
      <c r="D325" s="138">
        <v>38565</v>
      </c>
      <c r="E325" s="138" t="s">
        <v>906</v>
      </c>
    </row>
    <row r="326" spans="1:5" ht="15.75">
      <c r="A326" s="89" t="str">
        <f t="shared" si="5"/>
        <v>#01467</v>
      </c>
      <c r="B326" s="138" t="s">
        <v>1559</v>
      </c>
      <c r="C326" s="139" t="s">
        <v>1558</v>
      </c>
      <c r="D326" s="138">
        <v>38565</v>
      </c>
      <c r="E326" s="138" t="s">
        <v>906</v>
      </c>
    </row>
    <row r="327" spans="1:5" ht="15.75">
      <c r="A327" s="89" t="str">
        <f t="shared" si="5"/>
        <v>#01479</v>
      </c>
      <c r="B327" s="138" t="s">
        <v>1561</v>
      </c>
      <c r="C327" s="139" t="s">
        <v>1560</v>
      </c>
      <c r="D327" s="138">
        <v>38567</v>
      </c>
      <c r="E327" s="138" t="s">
        <v>927</v>
      </c>
    </row>
    <row r="328" spans="1:5" ht="15.75">
      <c r="A328" s="89" t="str">
        <f t="shared" si="5"/>
        <v>#01482</v>
      </c>
      <c r="B328" s="138" t="s">
        <v>1563</v>
      </c>
      <c r="C328" s="139" t="s">
        <v>1562</v>
      </c>
      <c r="D328" s="138">
        <v>38567</v>
      </c>
      <c r="E328" s="138" t="s">
        <v>985</v>
      </c>
    </row>
    <row r="329" spans="1:5" ht="15.75">
      <c r="A329" s="89" t="str">
        <f t="shared" si="5"/>
        <v>#01485</v>
      </c>
      <c r="B329" s="138" t="s">
        <v>1565</v>
      </c>
      <c r="C329" s="139" t="s">
        <v>1564</v>
      </c>
      <c r="D329" s="138">
        <v>38567</v>
      </c>
      <c r="E329" s="138" t="s">
        <v>985</v>
      </c>
    </row>
    <row r="330" spans="1:5" ht="15.75">
      <c r="A330" s="89" t="str">
        <f t="shared" si="5"/>
        <v>#01488</v>
      </c>
      <c r="B330" s="138" t="s">
        <v>1567</v>
      </c>
      <c r="C330" s="139" t="s">
        <v>1566</v>
      </c>
      <c r="D330" s="138">
        <v>38567</v>
      </c>
      <c r="E330" s="138" t="s">
        <v>797</v>
      </c>
    </row>
    <row r="331" spans="1:5" ht="15.75">
      <c r="A331" s="89" t="str">
        <f t="shared" si="5"/>
        <v>#01489</v>
      </c>
      <c r="B331" s="138" t="s">
        <v>1569</v>
      </c>
      <c r="C331" s="139" t="s">
        <v>1568</v>
      </c>
      <c r="D331" s="138">
        <v>38567</v>
      </c>
      <c r="E331" s="138" t="s">
        <v>985</v>
      </c>
    </row>
    <row r="332" spans="1:5" ht="15.75">
      <c r="A332" s="89" t="str">
        <f t="shared" si="5"/>
        <v>#01490</v>
      </c>
      <c r="B332" s="138" t="s">
        <v>1571</v>
      </c>
      <c r="C332" s="139" t="s">
        <v>1570</v>
      </c>
      <c r="D332" s="138">
        <v>38567</v>
      </c>
      <c r="E332" s="138" t="s">
        <v>985</v>
      </c>
    </row>
    <row r="333" spans="1:5" ht="15.75">
      <c r="A333" s="89" t="str">
        <f t="shared" si="5"/>
        <v>#01503</v>
      </c>
      <c r="B333" s="138" t="s">
        <v>1573</v>
      </c>
      <c r="C333" s="139" t="s">
        <v>1572</v>
      </c>
      <c r="D333" s="138">
        <v>38567</v>
      </c>
      <c r="E333" s="138" t="s">
        <v>1098</v>
      </c>
    </row>
    <row r="334" spans="1:5" ht="15.75">
      <c r="A334" s="89" t="str">
        <f t="shared" si="5"/>
        <v>#01525</v>
      </c>
      <c r="B334" s="138" t="s">
        <v>1575</v>
      </c>
      <c r="C334" s="139" t="s">
        <v>1574</v>
      </c>
      <c r="D334" s="138">
        <v>38572</v>
      </c>
      <c r="E334" s="138" t="s">
        <v>759</v>
      </c>
    </row>
    <row r="335" spans="1:5" ht="15.75">
      <c r="A335" s="89" t="str">
        <f t="shared" si="5"/>
        <v>#01527</v>
      </c>
      <c r="B335" s="138" t="s">
        <v>1577</v>
      </c>
      <c r="C335" s="139" t="s">
        <v>1576</v>
      </c>
      <c r="D335" s="138">
        <v>38577</v>
      </c>
      <c r="E335" s="138" t="s">
        <v>759</v>
      </c>
    </row>
    <row r="336" spans="1:5" ht="15.75">
      <c r="A336" s="89" t="str">
        <f t="shared" si="5"/>
        <v>#01534</v>
      </c>
      <c r="B336" s="138" t="s">
        <v>1579</v>
      </c>
      <c r="C336" s="139" t="s">
        <v>1578</v>
      </c>
      <c r="D336" s="138">
        <v>38600</v>
      </c>
      <c r="E336" s="138" t="s">
        <v>752</v>
      </c>
    </row>
    <row r="337" spans="1:5" ht="15.75">
      <c r="A337" s="89" t="str">
        <f t="shared" si="5"/>
        <v>#01535</v>
      </c>
      <c r="B337" s="138" t="s">
        <v>1581</v>
      </c>
      <c r="C337" s="139" t="s">
        <v>1580</v>
      </c>
      <c r="D337" s="138">
        <v>38600</v>
      </c>
      <c r="E337" s="138" t="s">
        <v>1188</v>
      </c>
    </row>
    <row r="338" spans="1:5" ht="15.75">
      <c r="A338" s="89" t="str">
        <f t="shared" si="5"/>
        <v>#01543</v>
      </c>
      <c r="B338" s="138" t="s">
        <v>1583</v>
      </c>
      <c r="C338" s="139" t="s">
        <v>1582</v>
      </c>
      <c r="D338" s="138">
        <v>38600</v>
      </c>
      <c r="E338" s="138" t="s">
        <v>1487</v>
      </c>
    </row>
    <row r="339" spans="1:5" ht="15.75">
      <c r="A339" s="89" t="str">
        <f t="shared" si="5"/>
        <v>#01554</v>
      </c>
      <c r="B339" s="138" t="s">
        <v>1585</v>
      </c>
      <c r="C339" s="139" t="s">
        <v>1584</v>
      </c>
      <c r="D339" s="138">
        <v>38600</v>
      </c>
      <c r="E339" s="138" t="s">
        <v>1188</v>
      </c>
    </row>
    <row r="340" spans="1:5" ht="15.75">
      <c r="A340" s="89" t="str">
        <f t="shared" si="5"/>
        <v>#01555</v>
      </c>
      <c r="B340" s="138" t="s">
        <v>1587</v>
      </c>
      <c r="C340" s="139" t="s">
        <v>1586</v>
      </c>
      <c r="D340" s="138">
        <v>38600</v>
      </c>
      <c r="E340" s="138" t="s">
        <v>759</v>
      </c>
    </row>
    <row r="341" spans="1:5" ht="15.75">
      <c r="A341" s="89" t="str">
        <f t="shared" si="5"/>
        <v>#01561</v>
      </c>
      <c r="B341" s="138" t="s">
        <v>1589</v>
      </c>
      <c r="C341" s="139" t="s">
        <v>1588</v>
      </c>
      <c r="D341" s="138">
        <v>38615</v>
      </c>
      <c r="E341" s="138" t="s">
        <v>1188</v>
      </c>
    </row>
    <row r="342" spans="1:5" ht="15.75">
      <c r="A342" s="89" t="str">
        <f t="shared" si="5"/>
        <v>#01562</v>
      </c>
      <c r="B342" s="138" t="s">
        <v>1591</v>
      </c>
      <c r="C342" s="139" t="s">
        <v>1590</v>
      </c>
      <c r="D342" s="138">
        <v>38615</v>
      </c>
      <c r="E342" s="138" t="s">
        <v>1188</v>
      </c>
    </row>
    <row r="343" spans="1:5" ht="15.75">
      <c r="A343" s="89" t="str">
        <f t="shared" si="5"/>
        <v>#01564</v>
      </c>
      <c r="B343" s="138" t="s">
        <v>1592</v>
      </c>
      <c r="C343" s="139" t="s">
        <v>1213</v>
      </c>
      <c r="D343" s="138">
        <v>38615</v>
      </c>
      <c r="E343" s="138" t="s">
        <v>1188</v>
      </c>
    </row>
    <row r="344" spans="1:5" ht="15.75">
      <c r="A344" s="89" t="str">
        <f t="shared" si="5"/>
        <v>#01566</v>
      </c>
      <c r="B344" s="138" t="s">
        <v>1593</v>
      </c>
      <c r="C344" s="139" t="s">
        <v>1327</v>
      </c>
      <c r="D344" s="138">
        <v>38615</v>
      </c>
      <c r="E344" s="138" t="s">
        <v>890</v>
      </c>
    </row>
    <row r="345" spans="1:5" ht="15.75">
      <c r="A345" s="89" t="str">
        <f t="shared" si="5"/>
        <v>#01574</v>
      </c>
      <c r="B345" s="138" t="s">
        <v>1596</v>
      </c>
      <c r="C345" s="139" t="s">
        <v>1595</v>
      </c>
      <c r="D345" s="138">
        <v>38615</v>
      </c>
      <c r="E345" s="138" t="s">
        <v>1191</v>
      </c>
    </row>
    <row r="346" spans="1:5" ht="15.75">
      <c r="A346" s="89" t="str">
        <f t="shared" si="5"/>
        <v>#01577</v>
      </c>
      <c r="B346" s="138" t="s">
        <v>1598</v>
      </c>
      <c r="C346" s="139" t="s">
        <v>1597</v>
      </c>
      <c r="D346" s="138">
        <v>38615</v>
      </c>
      <c r="E346" s="138" t="s">
        <v>1188</v>
      </c>
    </row>
    <row r="347" spans="1:5" ht="15.75">
      <c r="A347" s="89" t="str">
        <f t="shared" si="5"/>
        <v>#01578</v>
      </c>
      <c r="B347" s="138" t="s">
        <v>1600</v>
      </c>
      <c r="C347" s="139" t="s">
        <v>1599</v>
      </c>
      <c r="D347" s="138">
        <v>38615</v>
      </c>
      <c r="E347" s="138" t="s">
        <v>898</v>
      </c>
    </row>
    <row r="348" spans="1:5" ht="15.75">
      <c r="A348" s="89" t="str">
        <f t="shared" si="5"/>
        <v>#01579</v>
      </c>
      <c r="B348" s="138" t="s">
        <v>1602</v>
      </c>
      <c r="C348" s="139" t="s">
        <v>1601</v>
      </c>
      <c r="D348" s="138">
        <v>38615</v>
      </c>
      <c r="E348" s="138" t="s">
        <v>1188</v>
      </c>
    </row>
    <row r="349" spans="1:5" ht="15.75">
      <c r="A349" s="89" t="str">
        <f t="shared" si="5"/>
        <v>#01580</v>
      </c>
      <c r="B349" s="138" t="s">
        <v>1604</v>
      </c>
      <c r="C349" s="139" t="s">
        <v>1603</v>
      </c>
      <c r="D349" s="138">
        <v>38616</v>
      </c>
      <c r="E349" s="138" t="s">
        <v>1043</v>
      </c>
    </row>
    <row r="350" spans="1:5" ht="15.75">
      <c r="A350" s="89" t="str">
        <f t="shared" si="5"/>
        <v>#01607</v>
      </c>
      <c r="B350" s="138" t="s">
        <v>1606</v>
      </c>
      <c r="C350" s="139" t="s">
        <v>1605</v>
      </c>
      <c r="D350" s="138">
        <v>38628</v>
      </c>
      <c r="E350" s="138" t="s">
        <v>1188</v>
      </c>
    </row>
    <row r="351" spans="1:5" ht="15.75">
      <c r="A351" s="89" t="str">
        <f t="shared" si="5"/>
        <v>#01609</v>
      </c>
      <c r="B351" s="138" t="s">
        <v>1608</v>
      </c>
      <c r="C351" s="139" t="s">
        <v>1607</v>
      </c>
      <c r="D351" s="138">
        <v>38628</v>
      </c>
      <c r="E351" s="138" t="s">
        <v>978</v>
      </c>
    </row>
    <row r="352" spans="1:5" ht="15.75">
      <c r="A352" s="89" t="str">
        <f t="shared" si="5"/>
        <v>#01614</v>
      </c>
      <c r="B352" s="138" t="s">
        <v>1610</v>
      </c>
      <c r="C352" s="139" t="s">
        <v>1609</v>
      </c>
      <c r="D352" s="138">
        <v>38628</v>
      </c>
      <c r="E352" s="138" t="s">
        <v>1063</v>
      </c>
    </row>
    <row r="353" spans="1:5" ht="15.75">
      <c r="A353" s="89" t="str">
        <f t="shared" si="5"/>
        <v>#01625</v>
      </c>
      <c r="B353" s="138" t="s">
        <v>1612</v>
      </c>
      <c r="C353" s="139" t="s">
        <v>1611</v>
      </c>
      <c r="D353" s="138">
        <v>38628</v>
      </c>
      <c r="E353" s="138" t="s">
        <v>1113</v>
      </c>
    </row>
    <row r="354" spans="1:5" ht="15.75">
      <c r="A354" s="89" t="str">
        <f t="shared" si="5"/>
        <v>#01626</v>
      </c>
      <c r="B354" s="138" t="s">
        <v>1614</v>
      </c>
      <c r="C354" s="139" t="s">
        <v>1613</v>
      </c>
      <c r="D354" s="138">
        <v>38628</v>
      </c>
      <c r="E354" s="138" t="s">
        <v>895</v>
      </c>
    </row>
    <row r="355" spans="1:5" ht="15.75">
      <c r="A355" s="89" t="str">
        <f t="shared" si="5"/>
        <v>#01633</v>
      </c>
      <c r="B355" s="138" t="s">
        <v>1616</v>
      </c>
      <c r="C355" s="139" t="s">
        <v>1615</v>
      </c>
      <c r="D355" s="138">
        <v>38628</v>
      </c>
      <c r="E355" s="138" t="s">
        <v>1113</v>
      </c>
    </row>
    <row r="356" spans="1:5" ht="15.75">
      <c r="A356" s="89" t="str">
        <f t="shared" si="5"/>
        <v>#01638</v>
      </c>
      <c r="B356" s="138" t="s">
        <v>1618</v>
      </c>
      <c r="C356" s="139" t="s">
        <v>1617</v>
      </c>
      <c r="D356" s="138">
        <v>38635</v>
      </c>
      <c r="E356" s="138" t="s">
        <v>797</v>
      </c>
    </row>
    <row r="357" spans="1:5" ht="15.75">
      <c r="A357" s="89" t="str">
        <f t="shared" si="5"/>
        <v>#01643</v>
      </c>
      <c r="B357" s="138" t="s">
        <v>1620</v>
      </c>
      <c r="C357" s="139" t="s">
        <v>1619</v>
      </c>
      <c r="D357" s="138">
        <v>38635</v>
      </c>
      <c r="E357" s="138" t="s">
        <v>797</v>
      </c>
    </row>
    <row r="358" spans="1:5" ht="15.75">
      <c r="A358" s="89" t="str">
        <f t="shared" si="5"/>
        <v>#01644</v>
      </c>
      <c r="B358" s="138" t="s">
        <v>1622</v>
      </c>
      <c r="C358" s="139" t="s">
        <v>1621</v>
      </c>
      <c r="D358" s="138">
        <v>38635</v>
      </c>
      <c r="E358" s="138" t="s">
        <v>1063</v>
      </c>
    </row>
    <row r="359" spans="1:5" ht="15.75">
      <c r="A359" s="89" t="str">
        <f t="shared" si="5"/>
        <v>#01645</v>
      </c>
      <c r="B359" s="138" t="s">
        <v>1624</v>
      </c>
      <c r="C359" s="139" t="s">
        <v>1623</v>
      </c>
      <c r="D359" s="138">
        <v>38635</v>
      </c>
      <c r="E359" s="138" t="s">
        <v>797</v>
      </c>
    </row>
    <row r="360" spans="1:5" ht="15.75">
      <c r="A360" s="89" t="str">
        <f t="shared" si="5"/>
        <v>#01648</v>
      </c>
      <c r="B360" s="138" t="s">
        <v>1626</v>
      </c>
      <c r="C360" s="139" t="s">
        <v>1625</v>
      </c>
      <c r="D360" s="138">
        <v>38635</v>
      </c>
      <c r="E360" s="138" t="s">
        <v>796</v>
      </c>
    </row>
    <row r="361" spans="1:5" ht="15.75">
      <c r="A361" s="89" t="str">
        <f t="shared" si="5"/>
        <v>#01653</v>
      </c>
      <c r="B361" s="138" t="s">
        <v>1628</v>
      </c>
      <c r="C361" s="139" t="s">
        <v>1627</v>
      </c>
      <c r="D361" s="138">
        <v>38644</v>
      </c>
      <c r="E361" s="138" t="s">
        <v>895</v>
      </c>
    </row>
    <row r="362" spans="1:5" ht="15.75">
      <c r="A362" s="89" t="str">
        <f t="shared" si="5"/>
        <v>#01656</v>
      </c>
      <c r="B362" s="138" t="s">
        <v>1630</v>
      </c>
      <c r="C362" s="139" t="s">
        <v>1629</v>
      </c>
      <c r="D362" s="138">
        <v>38650</v>
      </c>
      <c r="E362" s="138" t="s">
        <v>1191</v>
      </c>
    </row>
    <row r="363" spans="1:5" ht="15.75">
      <c r="A363" s="89" t="str">
        <f t="shared" si="5"/>
        <v>#01662</v>
      </c>
      <c r="B363" s="138" t="s">
        <v>1632</v>
      </c>
      <c r="C363" s="139" t="s">
        <v>1631</v>
      </c>
      <c r="D363" s="138">
        <v>38649</v>
      </c>
      <c r="E363" s="138" t="s">
        <v>895</v>
      </c>
    </row>
    <row r="364" spans="1:5" ht="15.75">
      <c r="A364" s="89" t="str">
        <f t="shared" si="5"/>
        <v>#01678</v>
      </c>
      <c r="B364" s="138" t="s">
        <v>1634</v>
      </c>
      <c r="C364" s="139" t="s">
        <v>1633</v>
      </c>
      <c r="D364" s="138">
        <v>38649</v>
      </c>
      <c r="E364" s="138" t="s">
        <v>903</v>
      </c>
    </row>
    <row r="365" spans="1:5" ht="15.75">
      <c r="A365" s="89" t="str">
        <f t="shared" si="5"/>
        <v>#01680</v>
      </c>
      <c r="B365" s="138" t="s">
        <v>1636</v>
      </c>
      <c r="C365" s="139" t="s">
        <v>1635</v>
      </c>
      <c r="D365" s="138">
        <v>38649</v>
      </c>
      <c r="E365" s="138" t="s">
        <v>1188</v>
      </c>
    </row>
    <row r="366" spans="1:5" ht="15.75">
      <c r="A366" s="89" t="str">
        <f t="shared" si="5"/>
        <v>#01683</v>
      </c>
      <c r="B366" s="138" t="s">
        <v>1638</v>
      </c>
      <c r="C366" s="139" t="s">
        <v>1637</v>
      </c>
      <c r="D366" s="138">
        <v>38649</v>
      </c>
      <c r="E366" s="138" t="s">
        <v>1188</v>
      </c>
    </row>
    <row r="367" spans="1:5" ht="15.75">
      <c r="A367" s="89" t="str">
        <f t="shared" si="5"/>
        <v>#01684</v>
      </c>
      <c r="B367" s="138" t="s">
        <v>1640</v>
      </c>
      <c r="C367" s="139" t="s">
        <v>1639</v>
      </c>
      <c r="D367" s="138">
        <v>38649</v>
      </c>
      <c r="E367" s="138" t="s">
        <v>1188</v>
      </c>
    </row>
    <row r="368" spans="1:5" ht="15.75">
      <c r="A368" s="89" t="str">
        <f t="shared" si="5"/>
        <v>#01688</v>
      </c>
      <c r="B368" s="138" t="s">
        <v>1642</v>
      </c>
      <c r="C368" s="139" t="s">
        <v>1641</v>
      </c>
      <c r="D368" s="138">
        <v>38649</v>
      </c>
      <c r="E368" s="138" t="s">
        <v>1063</v>
      </c>
    </row>
    <row r="369" spans="1:5" ht="15.75">
      <c r="A369" s="89" t="str">
        <f t="shared" si="5"/>
        <v>#01703</v>
      </c>
      <c r="B369" s="138" t="s">
        <v>1644</v>
      </c>
      <c r="C369" s="139" t="s">
        <v>1643</v>
      </c>
      <c r="D369" s="138">
        <v>38649</v>
      </c>
      <c r="E369" s="138" t="s">
        <v>906</v>
      </c>
    </row>
    <row r="370" spans="1:5" ht="15.75">
      <c r="A370" s="89" t="str">
        <f t="shared" si="5"/>
        <v>#01705</v>
      </c>
      <c r="B370" s="138" t="s">
        <v>1646</v>
      </c>
      <c r="C370" s="139" t="s">
        <v>1645</v>
      </c>
      <c r="D370" s="138">
        <v>38649</v>
      </c>
      <c r="E370" s="138" t="s">
        <v>906</v>
      </c>
    </row>
    <row r="371" spans="1:5" ht="15.75">
      <c r="A371" s="89" t="str">
        <f t="shared" si="5"/>
        <v>#01706</v>
      </c>
      <c r="B371" s="138" t="s">
        <v>1648</v>
      </c>
      <c r="C371" s="139" t="s">
        <v>1647</v>
      </c>
      <c r="D371" s="138">
        <v>38649</v>
      </c>
      <c r="E371" s="138" t="s">
        <v>906</v>
      </c>
    </row>
    <row r="372" spans="1:5" ht="15.75">
      <c r="A372" s="89" t="str">
        <f t="shared" si="5"/>
        <v>#01709</v>
      </c>
      <c r="B372" s="138" t="s">
        <v>1650</v>
      </c>
      <c r="C372" s="139" t="s">
        <v>1649</v>
      </c>
      <c r="D372" s="138">
        <v>38649</v>
      </c>
      <c r="E372" s="138" t="s">
        <v>7818</v>
      </c>
    </row>
    <row r="373" spans="1:5" ht="15.75">
      <c r="A373" s="89" t="str">
        <f t="shared" si="5"/>
        <v>#01710</v>
      </c>
      <c r="B373" s="138" t="s">
        <v>1652</v>
      </c>
      <c r="C373" s="139" t="s">
        <v>1651</v>
      </c>
      <c r="D373" s="138">
        <v>38649</v>
      </c>
      <c r="E373" s="138" t="s">
        <v>890</v>
      </c>
    </row>
    <row r="374" spans="1:5" ht="15.75">
      <c r="A374" s="89" t="str">
        <f t="shared" si="5"/>
        <v>#01716</v>
      </c>
      <c r="B374" s="138" t="s">
        <v>1654</v>
      </c>
      <c r="C374" s="139" t="s">
        <v>1653</v>
      </c>
      <c r="D374" s="138">
        <v>38649</v>
      </c>
      <c r="E374" s="138" t="s">
        <v>1188</v>
      </c>
    </row>
    <row r="375" spans="1:5" ht="15.75">
      <c r="A375" s="89" t="str">
        <f t="shared" si="5"/>
        <v>#01737</v>
      </c>
      <c r="B375" s="138" t="s">
        <v>1656</v>
      </c>
      <c r="C375" s="139" t="s">
        <v>1655</v>
      </c>
      <c r="D375" s="138">
        <v>38673</v>
      </c>
      <c r="E375" s="138" t="s">
        <v>1191</v>
      </c>
    </row>
    <row r="376" spans="1:5" ht="15.75">
      <c r="A376" s="89" t="str">
        <f t="shared" si="5"/>
        <v>#01738</v>
      </c>
      <c r="B376" s="138" t="s">
        <v>1658</v>
      </c>
      <c r="C376" s="139" t="s">
        <v>1657</v>
      </c>
      <c r="D376" s="138">
        <v>38673</v>
      </c>
      <c r="E376" s="138" t="s">
        <v>895</v>
      </c>
    </row>
    <row r="377" spans="1:5" ht="15.75">
      <c r="A377" s="89" t="str">
        <f t="shared" si="5"/>
        <v>#01742</v>
      </c>
      <c r="B377" s="138" t="s">
        <v>1660</v>
      </c>
      <c r="C377" s="139" t="s">
        <v>1659</v>
      </c>
      <c r="D377" s="138">
        <v>38674</v>
      </c>
      <c r="E377" s="138" t="s">
        <v>1052</v>
      </c>
    </row>
    <row r="378" spans="1:5" ht="15.75">
      <c r="A378" s="89" t="str">
        <f t="shared" si="5"/>
        <v>#01743</v>
      </c>
      <c r="B378" s="138" t="s">
        <v>1662</v>
      </c>
      <c r="C378" s="139" t="s">
        <v>1661</v>
      </c>
      <c r="D378" s="138">
        <v>38680</v>
      </c>
      <c r="E378" s="138" t="s">
        <v>934</v>
      </c>
    </row>
    <row r="379" spans="1:5" ht="15.75">
      <c r="A379" s="89" t="str">
        <f t="shared" si="5"/>
        <v>#01754</v>
      </c>
      <c r="B379" s="138" t="s">
        <v>1664</v>
      </c>
      <c r="C379" s="139" t="s">
        <v>1663</v>
      </c>
      <c r="D379" s="138">
        <v>38696</v>
      </c>
      <c r="E379" s="138" t="s">
        <v>7818</v>
      </c>
    </row>
    <row r="380" spans="1:5" ht="15.75">
      <c r="A380" s="89" t="str">
        <f t="shared" si="5"/>
        <v>#01755</v>
      </c>
      <c r="B380" s="138" t="s">
        <v>1666</v>
      </c>
      <c r="C380" s="139" t="s">
        <v>1665</v>
      </c>
      <c r="D380" s="138">
        <v>38695</v>
      </c>
      <c r="E380" s="138" t="s">
        <v>1113</v>
      </c>
    </row>
    <row r="381" spans="1:5" ht="15.75">
      <c r="A381" s="89" t="str">
        <f t="shared" si="5"/>
        <v>#01759</v>
      </c>
      <c r="B381" s="138" t="s">
        <v>1668</v>
      </c>
      <c r="C381" s="139" t="s">
        <v>1667</v>
      </c>
      <c r="D381" s="138">
        <v>38695</v>
      </c>
      <c r="E381" s="138" t="s">
        <v>895</v>
      </c>
    </row>
    <row r="382" spans="1:5" ht="15.75">
      <c r="A382" s="89" t="str">
        <f t="shared" si="5"/>
        <v>#01760</v>
      </c>
      <c r="B382" s="138" t="s">
        <v>1670</v>
      </c>
      <c r="C382" s="139" t="s">
        <v>1669</v>
      </c>
      <c r="D382" s="138">
        <v>38695</v>
      </c>
      <c r="E382" s="138" t="s">
        <v>1188</v>
      </c>
    </row>
    <row r="383" spans="1:5" ht="15.75">
      <c r="A383" s="89" t="str">
        <f t="shared" si="5"/>
        <v>#01763</v>
      </c>
      <c r="B383" s="138" t="s">
        <v>1672</v>
      </c>
      <c r="C383" s="139" t="s">
        <v>1671</v>
      </c>
      <c r="D383" s="138">
        <v>38695</v>
      </c>
      <c r="E383" s="138" t="s">
        <v>1085</v>
      </c>
    </row>
    <row r="384" spans="1:5" ht="15.75">
      <c r="A384" s="89" t="str">
        <f t="shared" si="5"/>
        <v>#01777</v>
      </c>
      <c r="B384" s="138" t="s">
        <v>1674</v>
      </c>
      <c r="C384" s="139" t="s">
        <v>1673</v>
      </c>
      <c r="D384" s="138">
        <v>38712</v>
      </c>
      <c r="E384" s="138" t="s">
        <v>1675</v>
      </c>
    </row>
    <row r="385" spans="1:5" ht="15.75">
      <c r="A385" s="89" t="str">
        <f t="shared" si="5"/>
        <v>#01787</v>
      </c>
      <c r="B385" s="138" t="s">
        <v>1677</v>
      </c>
      <c r="C385" s="139" t="s">
        <v>1676</v>
      </c>
      <c r="D385" s="138">
        <v>38713</v>
      </c>
      <c r="E385" s="138" t="s">
        <v>895</v>
      </c>
    </row>
    <row r="386" spans="1:5" ht="15.75">
      <c r="A386" s="89" t="str">
        <f t="shared" si="5"/>
        <v>#01788</v>
      </c>
      <c r="B386" s="138" t="s">
        <v>1679</v>
      </c>
      <c r="C386" s="139" t="s">
        <v>1678</v>
      </c>
      <c r="D386" s="138">
        <v>38726</v>
      </c>
      <c r="E386" s="138" t="s">
        <v>1133</v>
      </c>
    </row>
    <row r="387" spans="1:5" ht="15.75">
      <c r="A387" s="89" t="str">
        <f t="shared" ref="A387:A450" si="6">"#"&amp;B387</f>
        <v>#01793</v>
      </c>
      <c r="B387" s="138" t="s">
        <v>1681</v>
      </c>
      <c r="C387" s="139" t="s">
        <v>1680</v>
      </c>
      <c r="D387" s="138">
        <v>38768</v>
      </c>
      <c r="E387" s="138" t="s">
        <v>978</v>
      </c>
    </row>
    <row r="388" spans="1:5" ht="15.75">
      <c r="A388" s="89" t="str">
        <f t="shared" si="6"/>
        <v>#01795</v>
      </c>
      <c r="B388" s="138" t="s">
        <v>1683</v>
      </c>
      <c r="C388" s="139" t="s">
        <v>1682</v>
      </c>
      <c r="D388" s="138">
        <v>38768</v>
      </c>
      <c r="E388" s="138" t="s">
        <v>978</v>
      </c>
    </row>
    <row r="389" spans="1:5" ht="15.75">
      <c r="A389" s="89" t="str">
        <f t="shared" si="6"/>
        <v>#01808</v>
      </c>
      <c r="B389" s="138" t="s">
        <v>1685</v>
      </c>
      <c r="C389" s="139" t="s">
        <v>1684</v>
      </c>
      <c r="D389" s="138">
        <v>38770</v>
      </c>
      <c r="E389" s="138" t="s">
        <v>796</v>
      </c>
    </row>
    <row r="390" spans="1:5" ht="15.75">
      <c r="A390" s="89" t="str">
        <f t="shared" si="6"/>
        <v>#01827</v>
      </c>
      <c r="B390" s="138" t="s">
        <v>1687</v>
      </c>
      <c r="C390" s="139" t="s">
        <v>1686</v>
      </c>
      <c r="D390" s="138">
        <v>38771</v>
      </c>
      <c r="E390" s="138" t="s">
        <v>1380</v>
      </c>
    </row>
    <row r="391" spans="1:5" ht="15.75">
      <c r="A391" s="89" t="str">
        <f t="shared" si="6"/>
        <v>#01835</v>
      </c>
      <c r="B391" s="138" t="s">
        <v>1689</v>
      </c>
      <c r="C391" s="139" t="s">
        <v>1688</v>
      </c>
      <c r="D391" s="138">
        <v>38775</v>
      </c>
      <c r="E391" s="138" t="s">
        <v>927</v>
      </c>
    </row>
    <row r="392" spans="1:5" ht="15.75">
      <c r="A392" s="89" t="str">
        <f t="shared" si="6"/>
        <v>#01846</v>
      </c>
      <c r="B392" s="138" t="s">
        <v>1691</v>
      </c>
      <c r="C392" s="139" t="s">
        <v>1690</v>
      </c>
      <c r="D392" s="138">
        <v>38778</v>
      </c>
      <c r="E392" s="138" t="s">
        <v>937</v>
      </c>
    </row>
    <row r="393" spans="1:5" ht="15.75">
      <c r="A393" s="89" t="str">
        <f t="shared" si="6"/>
        <v>#01847</v>
      </c>
      <c r="B393" s="138" t="s">
        <v>1693</v>
      </c>
      <c r="C393" s="139" t="s">
        <v>1692</v>
      </c>
      <c r="D393" s="138">
        <v>38778</v>
      </c>
      <c r="E393" s="138" t="s">
        <v>797</v>
      </c>
    </row>
    <row r="394" spans="1:5" ht="15.75">
      <c r="A394" s="89" t="str">
        <f t="shared" si="6"/>
        <v>#01853</v>
      </c>
      <c r="B394" s="138" t="s">
        <v>1695</v>
      </c>
      <c r="C394" s="139" t="s">
        <v>1694</v>
      </c>
      <c r="D394" s="138">
        <v>38778</v>
      </c>
      <c r="E394" s="138" t="s">
        <v>797</v>
      </c>
    </row>
    <row r="395" spans="1:5" ht="15.75">
      <c r="A395" s="89" t="str">
        <f t="shared" si="6"/>
        <v>#01856</v>
      </c>
      <c r="B395" s="138" t="s">
        <v>1697</v>
      </c>
      <c r="C395" s="139" t="s">
        <v>1696</v>
      </c>
      <c r="D395" s="138">
        <v>38778</v>
      </c>
      <c r="E395" s="138" t="s">
        <v>797</v>
      </c>
    </row>
    <row r="396" spans="1:5" ht="15.75">
      <c r="A396" s="89" t="str">
        <f t="shared" si="6"/>
        <v>#01869</v>
      </c>
      <c r="B396" s="138" t="s">
        <v>1699</v>
      </c>
      <c r="C396" s="139" t="s">
        <v>1698</v>
      </c>
      <c r="D396" s="138">
        <v>38803</v>
      </c>
      <c r="E396" s="138" t="s">
        <v>1085</v>
      </c>
    </row>
    <row r="397" spans="1:5" ht="15.75">
      <c r="A397" s="89" t="str">
        <f t="shared" si="6"/>
        <v>#01870</v>
      </c>
      <c r="B397" s="138" t="s">
        <v>1701</v>
      </c>
      <c r="C397" s="139" t="s">
        <v>1700</v>
      </c>
      <c r="D397" s="138">
        <v>38803</v>
      </c>
      <c r="E397" s="138" t="s">
        <v>1380</v>
      </c>
    </row>
    <row r="398" spans="1:5" ht="15.75">
      <c r="A398" s="89" t="str">
        <f t="shared" si="6"/>
        <v>#01874</v>
      </c>
      <c r="B398" s="138" t="s">
        <v>1703</v>
      </c>
      <c r="C398" s="139" t="s">
        <v>1702</v>
      </c>
      <c r="D398" s="138">
        <v>38883</v>
      </c>
      <c r="E398" s="138" t="s">
        <v>1133</v>
      </c>
    </row>
    <row r="399" spans="1:5" ht="15.75">
      <c r="A399" s="89" t="str">
        <f t="shared" si="6"/>
        <v>#01876</v>
      </c>
      <c r="B399" s="138" t="s">
        <v>1705</v>
      </c>
      <c r="C399" s="139" t="s">
        <v>1704</v>
      </c>
      <c r="D399" s="138">
        <v>38315</v>
      </c>
      <c r="E399" s="138" t="s">
        <v>978</v>
      </c>
    </row>
    <row r="400" spans="1:5" ht="15.75">
      <c r="A400" s="89" t="str">
        <f t="shared" si="6"/>
        <v>#01884</v>
      </c>
      <c r="B400" s="138" t="s">
        <v>1707</v>
      </c>
      <c r="C400" s="139" t="s">
        <v>1706</v>
      </c>
      <c r="D400" s="138">
        <v>38534</v>
      </c>
      <c r="E400" s="138" t="s">
        <v>1133</v>
      </c>
    </row>
    <row r="401" spans="1:5" ht="15.75">
      <c r="A401" s="89" t="str">
        <f t="shared" si="6"/>
        <v>#01885</v>
      </c>
      <c r="B401" s="138" t="s">
        <v>1709</v>
      </c>
      <c r="C401" s="139" t="s">
        <v>1708</v>
      </c>
      <c r="D401" s="138">
        <v>38534</v>
      </c>
      <c r="E401" s="138" t="s">
        <v>978</v>
      </c>
    </row>
    <row r="402" spans="1:5" ht="15.75">
      <c r="A402" s="89" t="str">
        <f t="shared" si="6"/>
        <v>#01906</v>
      </c>
      <c r="B402" s="138" t="s">
        <v>1711</v>
      </c>
      <c r="C402" s="139" t="s">
        <v>1710</v>
      </c>
      <c r="D402" s="138">
        <v>38726</v>
      </c>
      <c r="E402" s="138" t="s">
        <v>1541</v>
      </c>
    </row>
    <row r="403" spans="1:5" ht="15.75">
      <c r="A403" s="89" t="str">
        <f t="shared" si="6"/>
        <v>#01907</v>
      </c>
      <c r="B403" s="138" t="s">
        <v>1713</v>
      </c>
      <c r="C403" s="139" t="s">
        <v>1712</v>
      </c>
      <c r="D403" s="138">
        <v>38726</v>
      </c>
      <c r="E403" s="138" t="s">
        <v>978</v>
      </c>
    </row>
    <row r="404" spans="1:5" ht="15.75">
      <c r="A404" s="89" t="str">
        <f t="shared" si="6"/>
        <v>#01909</v>
      </c>
      <c r="B404" s="138" t="s">
        <v>1715</v>
      </c>
      <c r="C404" s="139" t="s">
        <v>1714</v>
      </c>
      <c r="D404" s="138">
        <v>38726</v>
      </c>
      <c r="E404" s="138" t="s">
        <v>1716</v>
      </c>
    </row>
    <row r="405" spans="1:5" ht="15.75">
      <c r="A405" s="89" t="str">
        <f t="shared" si="6"/>
        <v>#01911</v>
      </c>
      <c r="B405" s="138" t="s">
        <v>1718</v>
      </c>
      <c r="C405" s="139" t="s">
        <v>1717</v>
      </c>
      <c r="D405" s="138">
        <v>38726</v>
      </c>
      <c r="E405" s="138" t="s">
        <v>978</v>
      </c>
    </row>
    <row r="406" spans="1:5" ht="15.75">
      <c r="A406" s="89" t="str">
        <f t="shared" si="6"/>
        <v>#01912</v>
      </c>
      <c r="B406" s="138" t="s">
        <v>1720</v>
      </c>
      <c r="C406" s="139" t="s">
        <v>1719</v>
      </c>
      <c r="D406" s="138">
        <v>38755</v>
      </c>
      <c r="E406" s="138" t="s">
        <v>978</v>
      </c>
    </row>
    <row r="407" spans="1:5" ht="15.75">
      <c r="A407" s="89" t="str">
        <f t="shared" si="6"/>
        <v>#01914</v>
      </c>
      <c r="B407" s="138" t="s">
        <v>1722</v>
      </c>
      <c r="C407" s="139" t="s">
        <v>1721</v>
      </c>
      <c r="D407" s="138">
        <v>38901</v>
      </c>
      <c r="E407" s="138" t="s">
        <v>1191</v>
      </c>
    </row>
    <row r="408" spans="1:5" ht="15.75">
      <c r="A408" s="89" t="str">
        <f t="shared" si="6"/>
        <v>#01926</v>
      </c>
      <c r="B408" s="138" t="s">
        <v>1724</v>
      </c>
      <c r="C408" s="139" t="s">
        <v>1723</v>
      </c>
      <c r="D408" s="138">
        <v>38922</v>
      </c>
      <c r="E408" s="138" t="s">
        <v>1113</v>
      </c>
    </row>
    <row r="409" spans="1:5" ht="15.75">
      <c r="A409" s="89" t="str">
        <f t="shared" si="6"/>
        <v>#01932</v>
      </c>
      <c r="B409" s="138" t="s">
        <v>1726</v>
      </c>
      <c r="C409" s="139" t="s">
        <v>1725</v>
      </c>
      <c r="D409" s="138">
        <v>38922</v>
      </c>
      <c r="E409" s="138" t="s">
        <v>895</v>
      </c>
    </row>
    <row r="410" spans="1:5" ht="15.75">
      <c r="A410" s="89" t="str">
        <f t="shared" si="6"/>
        <v>#01936</v>
      </c>
      <c r="B410" s="138" t="s">
        <v>1728</v>
      </c>
      <c r="C410" s="139" t="s">
        <v>1727</v>
      </c>
      <c r="D410" s="138">
        <v>38930</v>
      </c>
      <c r="E410" s="138" t="s">
        <v>895</v>
      </c>
    </row>
    <row r="411" spans="1:5" ht="15.75">
      <c r="A411" s="89" t="str">
        <f t="shared" si="6"/>
        <v>#01945</v>
      </c>
      <c r="B411" s="138" t="s">
        <v>1730</v>
      </c>
      <c r="C411" s="139" t="s">
        <v>1729</v>
      </c>
      <c r="D411" s="138">
        <v>38930</v>
      </c>
      <c r="E411" s="138" t="s">
        <v>1380</v>
      </c>
    </row>
    <row r="412" spans="1:5" ht="15.75">
      <c r="A412" s="89" t="str">
        <f t="shared" si="6"/>
        <v>#01955</v>
      </c>
      <c r="B412" s="138" t="s">
        <v>1732</v>
      </c>
      <c r="C412" s="139" t="s">
        <v>1731</v>
      </c>
      <c r="D412" s="138">
        <v>38936</v>
      </c>
      <c r="E412" s="138" t="s">
        <v>1004</v>
      </c>
    </row>
    <row r="413" spans="1:5" ht="15.75">
      <c r="A413" s="89" t="str">
        <f t="shared" si="6"/>
        <v>#01959</v>
      </c>
      <c r="B413" s="138" t="s">
        <v>1734</v>
      </c>
      <c r="C413" s="139" t="s">
        <v>1733</v>
      </c>
      <c r="D413" s="138">
        <v>38945</v>
      </c>
      <c r="E413" s="138" t="s">
        <v>773</v>
      </c>
    </row>
    <row r="414" spans="1:5" ht="15.75">
      <c r="A414" s="89" t="str">
        <f t="shared" si="6"/>
        <v>#01960</v>
      </c>
      <c r="B414" s="138" t="s">
        <v>1736</v>
      </c>
      <c r="C414" s="139" t="s">
        <v>1735</v>
      </c>
      <c r="D414" s="138">
        <v>38952</v>
      </c>
      <c r="E414" s="138" t="s">
        <v>721</v>
      </c>
    </row>
    <row r="415" spans="1:5" ht="15.75">
      <c r="A415" s="89" t="str">
        <f t="shared" si="6"/>
        <v>#01961</v>
      </c>
      <c r="B415" s="138" t="s">
        <v>1738</v>
      </c>
      <c r="C415" s="139" t="s">
        <v>1737</v>
      </c>
      <c r="D415" s="138">
        <v>38951</v>
      </c>
      <c r="E415" s="138" t="s">
        <v>1034</v>
      </c>
    </row>
    <row r="416" spans="1:5" ht="15.75">
      <c r="A416" s="89" t="str">
        <f t="shared" si="6"/>
        <v>#01967</v>
      </c>
      <c r="B416" s="138" t="s">
        <v>1740</v>
      </c>
      <c r="C416" s="139" t="s">
        <v>1739</v>
      </c>
      <c r="D416" s="138">
        <v>38964</v>
      </c>
      <c r="E416" s="138" t="s">
        <v>1052</v>
      </c>
    </row>
    <row r="417" spans="1:5" ht="15.75">
      <c r="A417" s="89" t="str">
        <f t="shared" si="6"/>
        <v>#01974</v>
      </c>
      <c r="B417" s="138" t="s">
        <v>1742</v>
      </c>
      <c r="C417" s="139" t="s">
        <v>1741</v>
      </c>
      <c r="D417" s="138">
        <v>38992</v>
      </c>
      <c r="E417" s="138" t="s">
        <v>721</v>
      </c>
    </row>
    <row r="418" spans="1:5" ht="15.75">
      <c r="A418" s="89" t="str">
        <f t="shared" si="6"/>
        <v>#01978</v>
      </c>
      <c r="B418" s="138" t="s">
        <v>1743</v>
      </c>
      <c r="C418" s="139" t="s">
        <v>1719</v>
      </c>
      <c r="D418" s="138">
        <v>39006</v>
      </c>
      <c r="E418" s="138" t="s">
        <v>895</v>
      </c>
    </row>
    <row r="419" spans="1:5" ht="15.75">
      <c r="A419" s="89" t="str">
        <f t="shared" si="6"/>
        <v>#01985</v>
      </c>
      <c r="B419" s="138" t="s">
        <v>1745</v>
      </c>
      <c r="C419" s="139" t="s">
        <v>1744</v>
      </c>
      <c r="D419" s="138">
        <v>39006</v>
      </c>
      <c r="E419" s="138" t="s">
        <v>890</v>
      </c>
    </row>
    <row r="420" spans="1:5" ht="15.75">
      <c r="A420" s="89" t="str">
        <f t="shared" si="6"/>
        <v>#02065</v>
      </c>
      <c r="B420" s="138" t="s">
        <v>1747</v>
      </c>
      <c r="C420" s="139" t="s">
        <v>1746</v>
      </c>
      <c r="D420" s="138">
        <v>39022</v>
      </c>
      <c r="E420" s="138" t="s">
        <v>1113</v>
      </c>
    </row>
    <row r="421" spans="1:5" ht="15.75">
      <c r="A421" s="89" t="str">
        <f t="shared" si="6"/>
        <v>#02091</v>
      </c>
      <c r="B421" s="138" t="s">
        <v>1749</v>
      </c>
      <c r="C421" s="139" t="s">
        <v>1748</v>
      </c>
      <c r="D421" s="138">
        <v>39036</v>
      </c>
      <c r="E421" s="138" t="s">
        <v>1188</v>
      </c>
    </row>
    <row r="422" spans="1:5" ht="15.75">
      <c r="A422" s="89" t="str">
        <f t="shared" si="6"/>
        <v>#02097</v>
      </c>
      <c r="B422" s="138" t="s">
        <v>1751</v>
      </c>
      <c r="C422" s="139" t="s">
        <v>1750</v>
      </c>
      <c r="D422" s="138">
        <v>39052</v>
      </c>
      <c r="E422" s="138" t="s">
        <v>1085</v>
      </c>
    </row>
    <row r="423" spans="1:5" ht="15.75">
      <c r="A423" s="89" t="str">
        <f t="shared" si="6"/>
        <v>#02103</v>
      </c>
      <c r="B423" s="138" t="s">
        <v>1753</v>
      </c>
      <c r="C423" s="139" t="s">
        <v>1752</v>
      </c>
      <c r="D423" s="138">
        <v>39052</v>
      </c>
      <c r="E423" s="138" t="s">
        <v>1188</v>
      </c>
    </row>
    <row r="424" spans="1:5" ht="15.75">
      <c r="A424" s="89" t="str">
        <f t="shared" si="6"/>
        <v>#02106</v>
      </c>
      <c r="B424" s="138" t="s">
        <v>1754</v>
      </c>
      <c r="C424" s="139" t="s">
        <v>1323</v>
      </c>
      <c r="D424" s="138">
        <v>39052</v>
      </c>
      <c r="E424" s="138" t="s">
        <v>895</v>
      </c>
    </row>
    <row r="425" spans="1:5" ht="15.75">
      <c r="A425" s="89" t="str">
        <f t="shared" si="6"/>
        <v>#02109</v>
      </c>
      <c r="B425" s="138" t="s">
        <v>1756</v>
      </c>
      <c r="C425" s="139" t="s">
        <v>1755</v>
      </c>
      <c r="D425" s="138">
        <v>39052</v>
      </c>
      <c r="E425" s="138" t="s">
        <v>1034</v>
      </c>
    </row>
    <row r="426" spans="1:5" ht="15.75">
      <c r="A426" s="89" t="str">
        <f t="shared" si="6"/>
        <v>#02115</v>
      </c>
      <c r="B426" s="138" t="s">
        <v>1758</v>
      </c>
      <c r="C426" s="139" t="s">
        <v>1757</v>
      </c>
      <c r="D426" s="138">
        <v>39062</v>
      </c>
      <c r="E426" s="138" t="s">
        <v>906</v>
      </c>
    </row>
    <row r="427" spans="1:5" ht="15.75">
      <c r="A427" s="89" t="str">
        <f t="shared" si="6"/>
        <v>#02116</v>
      </c>
      <c r="B427" s="138" t="s">
        <v>1760</v>
      </c>
      <c r="C427" s="139" t="s">
        <v>1759</v>
      </c>
      <c r="D427" s="138">
        <v>39062</v>
      </c>
      <c r="E427" s="138" t="s">
        <v>906</v>
      </c>
    </row>
    <row r="428" spans="1:5" ht="15.75">
      <c r="A428" s="89" t="str">
        <f t="shared" si="6"/>
        <v>#02119</v>
      </c>
      <c r="B428" s="138" t="s">
        <v>1762</v>
      </c>
      <c r="C428" s="139" t="s">
        <v>1761</v>
      </c>
      <c r="D428" s="138">
        <v>39049</v>
      </c>
      <c r="E428" s="138" t="s">
        <v>934</v>
      </c>
    </row>
    <row r="429" spans="1:5" ht="15.75">
      <c r="A429" s="89" t="str">
        <f t="shared" si="6"/>
        <v>#02123</v>
      </c>
      <c r="B429" s="138" t="s">
        <v>1764</v>
      </c>
      <c r="C429" s="139" t="s">
        <v>1763</v>
      </c>
      <c r="D429" s="138">
        <v>39066</v>
      </c>
      <c r="E429" s="138" t="s">
        <v>978</v>
      </c>
    </row>
    <row r="430" spans="1:5" ht="15.75">
      <c r="A430" s="89" t="str">
        <f t="shared" si="6"/>
        <v>#02131</v>
      </c>
      <c r="B430" s="138" t="s">
        <v>1766</v>
      </c>
      <c r="C430" s="139" t="s">
        <v>1765</v>
      </c>
      <c r="D430" s="138">
        <v>39078</v>
      </c>
      <c r="E430" s="138" t="s">
        <v>978</v>
      </c>
    </row>
    <row r="431" spans="1:5" ht="15.75">
      <c r="A431" s="89" t="str">
        <f t="shared" si="6"/>
        <v>#02139</v>
      </c>
      <c r="B431" s="138" t="s">
        <v>1768</v>
      </c>
      <c r="C431" s="139" t="s">
        <v>1767</v>
      </c>
      <c r="D431" s="138">
        <v>39087</v>
      </c>
      <c r="E431" s="138" t="s">
        <v>8037</v>
      </c>
    </row>
    <row r="432" spans="1:5" ht="15.75">
      <c r="A432" s="89" t="str">
        <f t="shared" si="6"/>
        <v>#02153</v>
      </c>
      <c r="B432" s="138" t="s">
        <v>1770</v>
      </c>
      <c r="C432" s="139" t="s">
        <v>1769</v>
      </c>
      <c r="D432" s="138">
        <v>39088</v>
      </c>
      <c r="E432" s="138" t="s">
        <v>1034</v>
      </c>
    </row>
    <row r="433" spans="1:5" ht="15.75">
      <c r="A433" s="89" t="str">
        <f t="shared" si="6"/>
        <v>#02170</v>
      </c>
      <c r="B433" s="138" t="s">
        <v>1771</v>
      </c>
      <c r="C433" s="139" t="s">
        <v>1704</v>
      </c>
      <c r="D433" s="138">
        <v>39090</v>
      </c>
      <c r="E433" s="138" t="s">
        <v>1113</v>
      </c>
    </row>
    <row r="434" spans="1:5" ht="15.75">
      <c r="A434" s="89" t="str">
        <f t="shared" si="6"/>
        <v>#02175</v>
      </c>
      <c r="B434" s="138" t="s">
        <v>1773</v>
      </c>
      <c r="C434" s="139" t="s">
        <v>1772</v>
      </c>
      <c r="D434" s="138">
        <v>39104</v>
      </c>
      <c r="E434" s="138" t="s">
        <v>8037</v>
      </c>
    </row>
    <row r="435" spans="1:5" ht="15.75">
      <c r="A435" s="89" t="str">
        <f t="shared" si="6"/>
        <v>#02176</v>
      </c>
      <c r="B435" s="138" t="s">
        <v>1775</v>
      </c>
      <c r="C435" s="139" t="s">
        <v>1774</v>
      </c>
      <c r="D435" s="138">
        <v>39104</v>
      </c>
      <c r="E435" s="138" t="s">
        <v>937</v>
      </c>
    </row>
    <row r="436" spans="1:5" ht="15.75">
      <c r="A436" s="89" t="str">
        <f t="shared" si="6"/>
        <v>#02183</v>
      </c>
      <c r="B436" s="138" t="s">
        <v>1777</v>
      </c>
      <c r="C436" s="139" t="s">
        <v>1776</v>
      </c>
      <c r="D436" s="138">
        <v>39091</v>
      </c>
      <c r="E436" s="138" t="s">
        <v>895</v>
      </c>
    </row>
    <row r="437" spans="1:5" ht="15.75">
      <c r="A437" s="89" t="str">
        <f t="shared" si="6"/>
        <v>#02196</v>
      </c>
      <c r="B437" s="138" t="s">
        <v>1779</v>
      </c>
      <c r="C437" s="139" t="s">
        <v>1778</v>
      </c>
      <c r="D437" s="138">
        <v>39111</v>
      </c>
      <c r="E437" s="138" t="s">
        <v>895</v>
      </c>
    </row>
    <row r="438" spans="1:5" ht="15.75">
      <c r="A438" s="89" t="str">
        <f t="shared" si="6"/>
        <v>#02204</v>
      </c>
      <c r="B438" s="138" t="s">
        <v>1781</v>
      </c>
      <c r="C438" s="139" t="s">
        <v>1780</v>
      </c>
      <c r="D438" s="138">
        <v>39111</v>
      </c>
      <c r="E438" s="138" t="s">
        <v>1487</v>
      </c>
    </row>
    <row r="439" spans="1:5" ht="15.75">
      <c r="A439" s="89" t="str">
        <f t="shared" si="6"/>
        <v>#02210</v>
      </c>
      <c r="B439" s="138" t="s">
        <v>1783</v>
      </c>
      <c r="C439" s="139" t="s">
        <v>1782</v>
      </c>
      <c r="D439" s="138">
        <v>39111</v>
      </c>
      <c r="E439" s="138" t="s">
        <v>985</v>
      </c>
    </row>
    <row r="440" spans="1:5" ht="15.75">
      <c r="A440" s="89" t="str">
        <f t="shared" si="6"/>
        <v>#02213</v>
      </c>
      <c r="B440" s="138" t="s">
        <v>1785</v>
      </c>
      <c r="C440" s="139" t="s">
        <v>1784</v>
      </c>
      <c r="D440" s="138">
        <v>39111</v>
      </c>
      <c r="E440" s="138" t="s">
        <v>1034</v>
      </c>
    </row>
    <row r="441" spans="1:5" ht="15.75">
      <c r="A441" s="89" t="str">
        <f t="shared" si="6"/>
        <v>#02220</v>
      </c>
      <c r="B441" s="138" t="s">
        <v>1787</v>
      </c>
      <c r="C441" s="139" t="s">
        <v>1786</v>
      </c>
      <c r="D441" s="138">
        <v>39111</v>
      </c>
      <c r="E441" s="138" t="s">
        <v>1034</v>
      </c>
    </row>
    <row r="442" spans="1:5" ht="15.75">
      <c r="A442" s="89" t="str">
        <f t="shared" si="6"/>
        <v>#02228</v>
      </c>
      <c r="B442" s="138" t="s">
        <v>1789</v>
      </c>
      <c r="C442" s="139" t="s">
        <v>1788</v>
      </c>
      <c r="D442" s="138">
        <v>39121</v>
      </c>
      <c r="E442" s="138" t="s">
        <v>890</v>
      </c>
    </row>
    <row r="443" spans="1:5" ht="15.75">
      <c r="A443" s="89" t="str">
        <f t="shared" si="6"/>
        <v>#02247</v>
      </c>
      <c r="B443" s="138" t="s">
        <v>1791</v>
      </c>
      <c r="C443" s="139" t="s">
        <v>1790</v>
      </c>
      <c r="D443" s="138">
        <v>39115</v>
      </c>
      <c r="E443" s="138" t="s">
        <v>978</v>
      </c>
    </row>
    <row r="444" spans="1:5" ht="15.75">
      <c r="A444" s="89" t="str">
        <f t="shared" si="6"/>
        <v>#02251</v>
      </c>
      <c r="B444" s="138" t="s">
        <v>1792</v>
      </c>
      <c r="C444" s="139" t="s">
        <v>1719</v>
      </c>
      <c r="D444" s="138">
        <v>39142</v>
      </c>
      <c r="E444" s="138" t="s">
        <v>978</v>
      </c>
    </row>
    <row r="445" spans="1:5" ht="15.75">
      <c r="A445" s="89" t="str">
        <f t="shared" si="6"/>
        <v>#02259</v>
      </c>
      <c r="B445" s="138" t="s">
        <v>1794</v>
      </c>
      <c r="C445" s="139" t="s">
        <v>1793</v>
      </c>
      <c r="D445" s="138">
        <v>39142</v>
      </c>
      <c r="E445" s="138" t="s">
        <v>1085</v>
      </c>
    </row>
    <row r="446" spans="1:5" ht="15.75">
      <c r="A446" s="89" t="str">
        <f t="shared" si="6"/>
        <v>#02260</v>
      </c>
      <c r="B446" s="138" t="s">
        <v>1795</v>
      </c>
      <c r="C446" s="139" t="s">
        <v>1556</v>
      </c>
      <c r="D446" s="138">
        <v>39143</v>
      </c>
      <c r="E446" s="138" t="s">
        <v>937</v>
      </c>
    </row>
    <row r="447" spans="1:5" ht="15.75">
      <c r="A447" s="89" t="str">
        <f t="shared" si="6"/>
        <v>#02261</v>
      </c>
      <c r="B447" s="138" t="s">
        <v>1797</v>
      </c>
      <c r="C447" s="139" t="s">
        <v>1796</v>
      </c>
      <c r="D447" s="138">
        <v>39142</v>
      </c>
      <c r="E447" s="138" t="s">
        <v>721</v>
      </c>
    </row>
    <row r="448" spans="1:5" ht="15.75">
      <c r="A448" s="89" t="str">
        <f t="shared" si="6"/>
        <v>#02264</v>
      </c>
      <c r="B448" s="138" t="s">
        <v>1799</v>
      </c>
      <c r="C448" s="139" t="s">
        <v>1798</v>
      </c>
      <c r="D448" s="138">
        <v>39143</v>
      </c>
      <c r="E448" s="138" t="s">
        <v>7818</v>
      </c>
    </row>
    <row r="449" spans="1:5" ht="15.75">
      <c r="A449" s="89" t="str">
        <f t="shared" si="6"/>
        <v>#02265</v>
      </c>
      <c r="B449" s="138" t="s">
        <v>1801</v>
      </c>
      <c r="C449" s="139" t="s">
        <v>1800</v>
      </c>
      <c r="D449" s="138">
        <v>39142</v>
      </c>
      <c r="E449" s="138" t="s">
        <v>895</v>
      </c>
    </row>
    <row r="450" spans="1:5" ht="15.75">
      <c r="A450" s="89" t="str">
        <f t="shared" si="6"/>
        <v>#02279</v>
      </c>
      <c r="B450" s="138" t="s">
        <v>1803</v>
      </c>
      <c r="C450" s="139" t="s">
        <v>1802</v>
      </c>
      <c r="D450" s="138">
        <v>39143</v>
      </c>
      <c r="E450" s="138" t="s">
        <v>1133</v>
      </c>
    </row>
    <row r="451" spans="1:5" ht="15.75">
      <c r="A451" s="89" t="str">
        <f t="shared" ref="A451:A514" si="7">"#"&amp;B451</f>
        <v>#02295</v>
      </c>
      <c r="B451" s="138" t="s">
        <v>1805</v>
      </c>
      <c r="C451" s="139" t="s">
        <v>1804</v>
      </c>
      <c r="D451" s="138">
        <v>39146</v>
      </c>
      <c r="E451" s="138" t="s">
        <v>895</v>
      </c>
    </row>
    <row r="452" spans="1:5" ht="15.75">
      <c r="A452" s="89" t="str">
        <f t="shared" si="7"/>
        <v>#02306</v>
      </c>
      <c r="B452" s="138" t="s">
        <v>1807</v>
      </c>
      <c r="C452" s="139" t="s">
        <v>1806</v>
      </c>
      <c r="D452" s="138">
        <v>39146</v>
      </c>
      <c r="E452" s="138" t="s">
        <v>1043</v>
      </c>
    </row>
    <row r="453" spans="1:5" ht="15.75">
      <c r="A453" s="89" t="str">
        <f t="shared" si="7"/>
        <v>#02309</v>
      </c>
      <c r="B453" s="138" t="s">
        <v>1809</v>
      </c>
      <c r="C453" s="139" t="s">
        <v>1808</v>
      </c>
      <c r="D453" s="138">
        <v>39146</v>
      </c>
      <c r="E453" s="138" t="s">
        <v>937</v>
      </c>
    </row>
    <row r="454" spans="1:5" ht="15.75">
      <c r="A454" s="89" t="str">
        <f t="shared" si="7"/>
        <v>#02314</v>
      </c>
      <c r="B454" s="138" t="s">
        <v>1811</v>
      </c>
      <c r="C454" s="139" t="s">
        <v>1810</v>
      </c>
      <c r="D454" s="138">
        <v>39148</v>
      </c>
      <c r="E454" s="138" t="s">
        <v>1113</v>
      </c>
    </row>
    <row r="455" spans="1:5" ht="15.75">
      <c r="A455" s="89" t="str">
        <f t="shared" si="7"/>
        <v>#02315</v>
      </c>
      <c r="B455" s="138" t="s">
        <v>1813</v>
      </c>
      <c r="C455" s="139" t="s">
        <v>1812</v>
      </c>
      <c r="D455" s="138">
        <v>39148</v>
      </c>
      <c r="E455" s="138" t="s">
        <v>8037</v>
      </c>
    </row>
    <row r="456" spans="1:5" ht="15.75">
      <c r="A456" s="89" t="str">
        <f t="shared" si="7"/>
        <v>#02318</v>
      </c>
      <c r="B456" s="138" t="s">
        <v>1815</v>
      </c>
      <c r="C456" s="139" t="s">
        <v>1814</v>
      </c>
      <c r="D456" s="138">
        <v>39148</v>
      </c>
      <c r="E456" s="138" t="s">
        <v>8037</v>
      </c>
    </row>
    <row r="457" spans="1:5" ht="15.75">
      <c r="A457" s="89" t="str">
        <f t="shared" si="7"/>
        <v>#02319</v>
      </c>
      <c r="B457" s="138" t="s">
        <v>1817</v>
      </c>
      <c r="C457" s="139" t="s">
        <v>1816</v>
      </c>
      <c r="D457" s="138">
        <v>39148</v>
      </c>
      <c r="E457" s="138" t="s">
        <v>8037</v>
      </c>
    </row>
    <row r="458" spans="1:5" ht="15.75">
      <c r="A458" s="89" t="str">
        <f t="shared" si="7"/>
        <v>#02322</v>
      </c>
      <c r="B458" s="138" t="s">
        <v>1819</v>
      </c>
      <c r="C458" s="139" t="s">
        <v>1818</v>
      </c>
      <c r="D458" s="138">
        <v>39148</v>
      </c>
      <c r="E458" s="138" t="s">
        <v>890</v>
      </c>
    </row>
    <row r="459" spans="1:5" ht="15.75">
      <c r="A459" s="89" t="str">
        <f t="shared" si="7"/>
        <v>#02324</v>
      </c>
      <c r="B459" s="138" t="s">
        <v>1821</v>
      </c>
      <c r="C459" s="139" t="s">
        <v>1820</v>
      </c>
      <c r="D459" s="138">
        <v>39148</v>
      </c>
      <c r="E459" s="138" t="s">
        <v>8037</v>
      </c>
    </row>
    <row r="460" spans="1:5" ht="15.75">
      <c r="A460" s="89" t="str">
        <f t="shared" si="7"/>
        <v>#02331</v>
      </c>
      <c r="B460" s="138" t="s">
        <v>1823</v>
      </c>
      <c r="C460" s="139" t="s">
        <v>1822</v>
      </c>
      <c r="D460" s="138">
        <v>39148</v>
      </c>
      <c r="E460" s="138" t="s">
        <v>924</v>
      </c>
    </row>
    <row r="461" spans="1:5" ht="15.75">
      <c r="A461" s="89" t="str">
        <f t="shared" si="7"/>
        <v>#02332</v>
      </c>
      <c r="B461" s="138" t="s">
        <v>1825</v>
      </c>
      <c r="C461" s="139" t="s">
        <v>1824</v>
      </c>
      <c r="D461" s="138">
        <v>39148</v>
      </c>
      <c r="E461" s="138" t="s">
        <v>890</v>
      </c>
    </row>
    <row r="462" spans="1:5" ht="15.75">
      <c r="A462" s="89" t="str">
        <f t="shared" si="7"/>
        <v>#02336</v>
      </c>
      <c r="B462" s="138" t="s">
        <v>1827</v>
      </c>
      <c r="C462" s="139" t="s">
        <v>1826</v>
      </c>
      <c r="D462" s="138">
        <v>39148</v>
      </c>
      <c r="E462" s="138" t="s">
        <v>985</v>
      </c>
    </row>
    <row r="463" spans="1:5" ht="15.75">
      <c r="A463" s="89" t="str">
        <f t="shared" si="7"/>
        <v>#02340</v>
      </c>
      <c r="B463" s="138" t="s">
        <v>1829</v>
      </c>
      <c r="C463" s="139" t="s">
        <v>1828</v>
      </c>
      <c r="D463" s="138">
        <v>39148</v>
      </c>
      <c r="E463" s="138" t="s">
        <v>927</v>
      </c>
    </row>
    <row r="464" spans="1:5" ht="15.75">
      <c r="A464" s="89" t="str">
        <f t="shared" si="7"/>
        <v>#02351</v>
      </c>
      <c r="B464" s="138" t="s">
        <v>1831</v>
      </c>
      <c r="C464" s="139" t="s">
        <v>1830</v>
      </c>
      <c r="D464" s="138">
        <v>39153</v>
      </c>
      <c r="E464" s="138" t="s">
        <v>985</v>
      </c>
    </row>
    <row r="465" spans="1:5" ht="15.75">
      <c r="A465" s="89" t="str">
        <f t="shared" si="7"/>
        <v>#02365</v>
      </c>
      <c r="B465" s="138" t="s">
        <v>1833</v>
      </c>
      <c r="C465" s="139" t="s">
        <v>1832</v>
      </c>
      <c r="D465" s="138">
        <v>39153</v>
      </c>
      <c r="E465" s="138" t="s">
        <v>1716</v>
      </c>
    </row>
    <row r="466" spans="1:5" ht="15.75">
      <c r="A466" s="89" t="str">
        <f t="shared" si="7"/>
        <v>#02366</v>
      </c>
      <c r="B466" s="138" t="s">
        <v>1835</v>
      </c>
      <c r="C466" s="139" t="s">
        <v>1834</v>
      </c>
      <c r="D466" s="138">
        <v>39153</v>
      </c>
      <c r="E466" s="138" t="s">
        <v>895</v>
      </c>
    </row>
    <row r="467" spans="1:5" ht="15.75">
      <c r="A467" s="89" t="str">
        <f t="shared" si="7"/>
        <v>#02375</v>
      </c>
      <c r="B467" s="138" t="s">
        <v>1837</v>
      </c>
      <c r="C467" s="139" t="s">
        <v>1836</v>
      </c>
      <c r="D467" s="138">
        <v>39153</v>
      </c>
      <c r="E467" s="138" t="s">
        <v>924</v>
      </c>
    </row>
    <row r="468" spans="1:5" ht="15.75">
      <c r="A468" s="89" t="str">
        <f t="shared" si="7"/>
        <v>#02379</v>
      </c>
      <c r="B468" s="138" t="s">
        <v>1839</v>
      </c>
      <c r="C468" s="139" t="s">
        <v>1838</v>
      </c>
      <c r="D468" s="138">
        <v>39153</v>
      </c>
      <c r="E468" s="138" t="s">
        <v>1188</v>
      </c>
    </row>
    <row r="469" spans="1:5" ht="15.75">
      <c r="A469" s="89" t="str">
        <f t="shared" si="7"/>
        <v>#02386</v>
      </c>
      <c r="B469" s="138" t="s">
        <v>1841</v>
      </c>
      <c r="C469" s="139" t="s">
        <v>1840</v>
      </c>
      <c r="D469" s="138">
        <v>39153</v>
      </c>
      <c r="E469" s="138" t="s">
        <v>1188</v>
      </c>
    </row>
    <row r="470" spans="1:5" ht="15.75">
      <c r="A470" s="89" t="str">
        <f t="shared" si="7"/>
        <v>#02401</v>
      </c>
      <c r="B470" s="138" t="s">
        <v>1843</v>
      </c>
      <c r="C470" s="139" t="s">
        <v>1842</v>
      </c>
      <c r="D470" s="138">
        <v>39160</v>
      </c>
      <c r="E470" s="138" t="s">
        <v>1133</v>
      </c>
    </row>
    <row r="471" spans="1:5" ht="15.75">
      <c r="A471" s="89" t="str">
        <f t="shared" si="7"/>
        <v>#02413</v>
      </c>
      <c r="B471" s="138" t="s">
        <v>1845</v>
      </c>
      <c r="C471" s="139" t="s">
        <v>1844</v>
      </c>
      <c r="D471" s="138">
        <v>39160</v>
      </c>
      <c r="E471" s="138" t="s">
        <v>1133</v>
      </c>
    </row>
    <row r="472" spans="1:5" ht="18.75">
      <c r="A472" s="89" t="str">
        <f t="shared" si="7"/>
        <v>#02416</v>
      </c>
      <c r="B472" s="138" t="s">
        <v>1847</v>
      </c>
      <c r="C472" s="139" t="s">
        <v>1846</v>
      </c>
      <c r="D472" s="138">
        <v>39160</v>
      </c>
      <c r="E472" s="206" t="s">
        <v>1380</v>
      </c>
    </row>
    <row r="473" spans="1:5" ht="15.75">
      <c r="A473" s="89" t="str">
        <f t="shared" si="7"/>
        <v>#02419</v>
      </c>
      <c r="B473" s="138" t="s">
        <v>1849</v>
      </c>
      <c r="C473" s="139" t="s">
        <v>1848</v>
      </c>
      <c r="D473" s="138">
        <v>39160</v>
      </c>
      <c r="E473" s="138" t="s">
        <v>895</v>
      </c>
    </row>
    <row r="474" spans="1:5" ht="15.75">
      <c r="A474" s="89" t="str">
        <f t="shared" si="7"/>
        <v>#02420</v>
      </c>
      <c r="B474" s="138" t="s">
        <v>1851</v>
      </c>
      <c r="C474" s="139" t="s">
        <v>1850</v>
      </c>
      <c r="D474" s="138">
        <v>39160</v>
      </c>
      <c r="E474" s="138" t="s">
        <v>895</v>
      </c>
    </row>
    <row r="475" spans="1:5" ht="15.75">
      <c r="A475" s="89" t="str">
        <f t="shared" si="7"/>
        <v>#02421</v>
      </c>
      <c r="B475" s="138" t="s">
        <v>1853</v>
      </c>
      <c r="C475" s="139" t="s">
        <v>1852</v>
      </c>
      <c r="D475" s="138">
        <v>39160</v>
      </c>
      <c r="E475" s="138" t="s">
        <v>752</v>
      </c>
    </row>
    <row r="476" spans="1:5" ht="15.75">
      <c r="A476" s="89" t="str">
        <f t="shared" si="7"/>
        <v>#02431</v>
      </c>
      <c r="B476" s="138" t="s">
        <v>1855</v>
      </c>
      <c r="C476" s="139" t="s">
        <v>1854</v>
      </c>
      <c r="D476" s="138">
        <v>39160</v>
      </c>
      <c r="E476" s="138" t="s">
        <v>1113</v>
      </c>
    </row>
    <row r="477" spans="1:5" ht="15.75">
      <c r="A477" s="89" t="str">
        <f t="shared" si="7"/>
        <v>#02441</v>
      </c>
      <c r="B477" s="138" t="s">
        <v>1856</v>
      </c>
      <c r="C477" s="139" t="s">
        <v>1241</v>
      </c>
      <c r="D477" s="138">
        <v>39160</v>
      </c>
      <c r="E477" s="138" t="s">
        <v>895</v>
      </c>
    </row>
    <row r="478" spans="1:5" ht="15.75">
      <c r="A478" s="89" t="str">
        <f t="shared" si="7"/>
        <v>#02442</v>
      </c>
      <c r="B478" s="138" t="s">
        <v>1858</v>
      </c>
      <c r="C478" s="139" t="s">
        <v>1857</v>
      </c>
      <c r="D478" s="138">
        <v>39164</v>
      </c>
      <c r="E478" s="138" t="s">
        <v>890</v>
      </c>
    </row>
    <row r="479" spans="1:5" ht="15.75">
      <c r="A479" s="89" t="str">
        <f t="shared" si="7"/>
        <v>#02445</v>
      </c>
      <c r="B479" s="138" t="s">
        <v>1860</v>
      </c>
      <c r="C479" s="139" t="s">
        <v>1859</v>
      </c>
      <c r="D479" s="138">
        <v>39164</v>
      </c>
      <c r="E479" s="138" t="s">
        <v>890</v>
      </c>
    </row>
    <row r="480" spans="1:5" ht="15.75">
      <c r="A480" s="89" t="str">
        <f t="shared" si="7"/>
        <v>#02450</v>
      </c>
      <c r="B480" s="138" t="s">
        <v>1862</v>
      </c>
      <c r="C480" s="139" t="s">
        <v>1861</v>
      </c>
      <c r="D480" s="138">
        <v>39164</v>
      </c>
      <c r="E480" s="138" t="s">
        <v>924</v>
      </c>
    </row>
    <row r="481" spans="1:5" ht="15.75">
      <c r="A481" s="89" t="str">
        <f t="shared" si="7"/>
        <v>#02451</v>
      </c>
      <c r="B481" s="138" t="s">
        <v>1864</v>
      </c>
      <c r="C481" s="139" t="s">
        <v>1863</v>
      </c>
      <c r="D481" s="138">
        <v>39164</v>
      </c>
      <c r="E481" s="138" t="s">
        <v>937</v>
      </c>
    </row>
    <row r="482" spans="1:5" ht="15.75">
      <c r="A482" s="89" t="str">
        <f t="shared" si="7"/>
        <v>#02452</v>
      </c>
      <c r="B482" s="138" t="s">
        <v>1866</v>
      </c>
      <c r="C482" s="139" t="s">
        <v>1865</v>
      </c>
      <c r="D482" s="138">
        <v>39164</v>
      </c>
      <c r="E482" s="138" t="s">
        <v>1085</v>
      </c>
    </row>
    <row r="483" spans="1:5" ht="15.75">
      <c r="A483" s="89" t="str">
        <f t="shared" si="7"/>
        <v>#02460</v>
      </c>
      <c r="B483" s="138" t="s">
        <v>1868</v>
      </c>
      <c r="C483" s="139" t="s">
        <v>1867</v>
      </c>
      <c r="D483" s="138">
        <v>39164</v>
      </c>
      <c r="E483" s="138" t="s">
        <v>797</v>
      </c>
    </row>
    <row r="484" spans="1:5" ht="15.75">
      <c r="A484" s="89" t="str">
        <f t="shared" si="7"/>
        <v>#02465</v>
      </c>
      <c r="B484" s="138" t="s">
        <v>1870</v>
      </c>
      <c r="C484" s="139" t="s">
        <v>1869</v>
      </c>
      <c r="D484" s="138">
        <v>39165</v>
      </c>
      <c r="E484" s="138" t="s">
        <v>7818</v>
      </c>
    </row>
    <row r="485" spans="1:5" ht="15.75">
      <c r="A485" s="89" t="str">
        <f t="shared" si="7"/>
        <v>#02468</v>
      </c>
      <c r="B485" s="138" t="s">
        <v>1871</v>
      </c>
      <c r="C485" s="139" t="s">
        <v>1690</v>
      </c>
      <c r="D485" s="138">
        <v>39168</v>
      </c>
      <c r="E485" s="138" t="s">
        <v>906</v>
      </c>
    </row>
    <row r="486" spans="1:5" ht="15.75">
      <c r="A486" s="89" t="str">
        <f t="shared" si="7"/>
        <v>#02469</v>
      </c>
      <c r="B486" s="138" t="s">
        <v>1872</v>
      </c>
      <c r="C486" s="139" t="s">
        <v>1568</v>
      </c>
      <c r="D486" s="138">
        <v>39168</v>
      </c>
      <c r="E486" s="138" t="s">
        <v>906</v>
      </c>
    </row>
    <row r="487" spans="1:5" ht="15.75">
      <c r="A487" s="89" t="str">
        <f t="shared" si="7"/>
        <v>#02471</v>
      </c>
      <c r="B487" s="138" t="s">
        <v>1874</v>
      </c>
      <c r="C487" s="139" t="s">
        <v>1873</v>
      </c>
      <c r="D487" s="138">
        <v>39168</v>
      </c>
      <c r="E487" s="138" t="s">
        <v>895</v>
      </c>
    </row>
    <row r="488" spans="1:5" ht="15.75">
      <c r="A488" s="89" t="str">
        <f t="shared" si="7"/>
        <v>#02475</v>
      </c>
      <c r="B488" s="138" t="s">
        <v>1876</v>
      </c>
      <c r="C488" s="139" t="s">
        <v>1875</v>
      </c>
      <c r="D488" s="138">
        <v>39169</v>
      </c>
      <c r="E488" s="138" t="s">
        <v>7818</v>
      </c>
    </row>
    <row r="489" spans="1:5" ht="15.75">
      <c r="A489" s="89" t="str">
        <f t="shared" si="7"/>
        <v>#02478</v>
      </c>
      <c r="B489" s="138" t="s">
        <v>1878</v>
      </c>
      <c r="C489" s="139" t="s">
        <v>1877</v>
      </c>
      <c r="D489" s="138">
        <v>39169</v>
      </c>
      <c r="E489" s="138" t="s">
        <v>7818</v>
      </c>
    </row>
    <row r="490" spans="1:5" ht="15.75">
      <c r="A490" s="89" t="str">
        <f t="shared" si="7"/>
        <v>#02485</v>
      </c>
      <c r="B490" s="138" t="s">
        <v>1880</v>
      </c>
      <c r="C490" s="139" t="s">
        <v>1879</v>
      </c>
      <c r="D490" s="138">
        <v>39182</v>
      </c>
      <c r="E490" s="138" t="s">
        <v>937</v>
      </c>
    </row>
    <row r="491" spans="1:5" ht="15.75">
      <c r="A491" s="89" t="str">
        <f t="shared" si="7"/>
        <v>#02494</v>
      </c>
      <c r="B491" s="138" t="s">
        <v>1882</v>
      </c>
      <c r="C491" s="139" t="s">
        <v>1881</v>
      </c>
      <c r="D491" s="138">
        <v>39182</v>
      </c>
      <c r="E491" s="138" t="s">
        <v>1034</v>
      </c>
    </row>
    <row r="492" spans="1:5" ht="15.75">
      <c r="A492" s="89" t="str">
        <f t="shared" si="7"/>
        <v>#02495</v>
      </c>
      <c r="B492" s="138" t="s">
        <v>1884</v>
      </c>
      <c r="C492" s="139" t="s">
        <v>1883</v>
      </c>
      <c r="D492" s="138">
        <v>39182</v>
      </c>
      <c r="E492" s="138" t="s">
        <v>948</v>
      </c>
    </row>
    <row r="493" spans="1:5" ht="15.75">
      <c r="A493" s="89" t="str">
        <f t="shared" si="7"/>
        <v>#02496</v>
      </c>
      <c r="B493" s="138" t="s">
        <v>1886</v>
      </c>
      <c r="C493" s="139" t="s">
        <v>1885</v>
      </c>
      <c r="D493" s="138">
        <v>39182</v>
      </c>
      <c r="E493" s="138" t="s">
        <v>1034</v>
      </c>
    </row>
    <row r="494" spans="1:5" ht="15.75">
      <c r="A494" s="89" t="str">
        <f t="shared" si="7"/>
        <v>#02497</v>
      </c>
      <c r="B494" s="138" t="s">
        <v>1888</v>
      </c>
      <c r="C494" s="139" t="s">
        <v>1887</v>
      </c>
      <c r="D494" s="138">
        <v>39182</v>
      </c>
      <c r="E494" s="138" t="s">
        <v>1034</v>
      </c>
    </row>
    <row r="495" spans="1:5" ht="15.75">
      <c r="A495" s="89" t="str">
        <f t="shared" si="7"/>
        <v>#02499</v>
      </c>
      <c r="B495" s="138" t="s">
        <v>1889</v>
      </c>
      <c r="C495" s="139" t="s">
        <v>981</v>
      </c>
      <c r="D495" s="138">
        <v>39182</v>
      </c>
      <c r="E495" s="138" t="s">
        <v>1034</v>
      </c>
    </row>
    <row r="496" spans="1:5" ht="15.75">
      <c r="A496" s="89" t="str">
        <f t="shared" si="7"/>
        <v>#02501</v>
      </c>
      <c r="B496" s="138" t="s">
        <v>1891</v>
      </c>
      <c r="C496" s="139" t="s">
        <v>1890</v>
      </c>
      <c r="D496" s="138">
        <v>39182</v>
      </c>
      <c r="E496" s="138" t="s">
        <v>1113</v>
      </c>
    </row>
    <row r="497" spans="1:5" ht="15.75">
      <c r="A497" s="89" t="str">
        <f t="shared" si="7"/>
        <v>#02506</v>
      </c>
      <c r="B497" s="138" t="s">
        <v>1893</v>
      </c>
      <c r="C497" s="139" t="s">
        <v>1892</v>
      </c>
      <c r="D497" s="138">
        <v>39183</v>
      </c>
      <c r="E497" s="138" t="s">
        <v>895</v>
      </c>
    </row>
    <row r="498" spans="1:5" ht="15.75">
      <c r="A498" s="89" t="str">
        <f t="shared" si="7"/>
        <v>#02511</v>
      </c>
      <c r="B498" s="138" t="s">
        <v>1895</v>
      </c>
      <c r="C498" s="139" t="s">
        <v>1894</v>
      </c>
      <c r="D498" s="138">
        <v>39183</v>
      </c>
      <c r="E498" s="138" t="s">
        <v>1380</v>
      </c>
    </row>
    <row r="499" spans="1:5" ht="15.75">
      <c r="A499" s="89" t="str">
        <f t="shared" si="7"/>
        <v>#02515</v>
      </c>
      <c r="B499" s="138" t="s">
        <v>1897</v>
      </c>
      <c r="C499" s="139" t="s">
        <v>1896</v>
      </c>
      <c r="D499" s="138">
        <v>39183</v>
      </c>
      <c r="E499" s="138" t="s">
        <v>1034</v>
      </c>
    </row>
    <row r="500" spans="1:5" ht="15.75">
      <c r="A500" s="89" t="str">
        <f t="shared" si="7"/>
        <v>#02518</v>
      </c>
      <c r="B500" s="138" t="s">
        <v>1899</v>
      </c>
      <c r="C500" s="139" t="s">
        <v>1898</v>
      </c>
      <c r="D500" s="138">
        <v>39188</v>
      </c>
      <c r="E500" s="138" t="s">
        <v>7818</v>
      </c>
    </row>
    <row r="501" spans="1:5" ht="15.75">
      <c r="A501" s="89" t="str">
        <f t="shared" si="7"/>
        <v>#02519</v>
      </c>
      <c r="B501" s="138" t="s">
        <v>1901</v>
      </c>
      <c r="C501" s="139" t="s">
        <v>1900</v>
      </c>
      <c r="D501" s="138">
        <v>39188</v>
      </c>
      <c r="E501" s="138" t="s">
        <v>937</v>
      </c>
    </row>
    <row r="502" spans="1:5" ht="15.75">
      <c r="A502" s="89" t="str">
        <f t="shared" si="7"/>
        <v>#02524</v>
      </c>
      <c r="B502" s="138" t="s">
        <v>1903</v>
      </c>
      <c r="C502" s="139" t="s">
        <v>1902</v>
      </c>
      <c r="D502" s="138">
        <v>39188</v>
      </c>
      <c r="E502" s="138" t="s">
        <v>927</v>
      </c>
    </row>
    <row r="503" spans="1:5" ht="15.75">
      <c r="A503" s="89" t="str">
        <f t="shared" si="7"/>
        <v>#02529</v>
      </c>
      <c r="B503" s="138" t="s">
        <v>1905</v>
      </c>
      <c r="C503" s="139" t="s">
        <v>1904</v>
      </c>
      <c r="D503" s="138">
        <v>39188</v>
      </c>
      <c r="E503" s="138" t="s">
        <v>895</v>
      </c>
    </row>
    <row r="504" spans="1:5" ht="15.75">
      <c r="A504" s="89" t="str">
        <f t="shared" si="7"/>
        <v>#02543</v>
      </c>
      <c r="B504" s="138" t="s">
        <v>1907</v>
      </c>
      <c r="C504" s="139" t="s">
        <v>1906</v>
      </c>
      <c r="D504" s="138">
        <v>39204</v>
      </c>
      <c r="E504" s="138" t="s">
        <v>1004</v>
      </c>
    </row>
    <row r="505" spans="1:5" ht="15.75">
      <c r="A505" s="89" t="str">
        <f t="shared" si="7"/>
        <v>#02547</v>
      </c>
      <c r="B505" s="138" t="s">
        <v>1909</v>
      </c>
      <c r="C505" s="139" t="s">
        <v>1908</v>
      </c>
      <c r="D505" s="138">
        <v>39209</v>
      </c>
      <c r="E505" s="138" t="s">
        <v>752</v>
      </c>
    </row>
    <row r="506" spans="1:5" ht="15.75">
      <c r="A506" s="89" t="str">
        <f t="shared" si="7"/>
        <v>#02561</v>
      </c>
      <c r="B506" s="138" t="s">
        <v>1911</v>
      </c>
      <c r="C506" s="139" t="s">
        <v>1910</v>
      </c>
      <c r="D506" s="138">
        <v>39223</v>
      </c>
      <c r="E506" s="138" t="s">
        <v>915</v>
      </c>
    </row>
    <row r="507" spans="1:5" ht="15.75">
      <c r="A507" s="89" t="str">
        <f t="shared" si="7"/>
        <v>#02566</v>
      </c>
      <c r="B507" s="138" t="s">
        <v>1913</v>
      </c>
      <c r="C507" s="139" t="s">
        <v>1912</v>
      </c>
      <c r="D507" s="138">
        <v>39234</v>
      </c>
      <c r="E507" s="138" t="s">
        <v>895</v>
      </c>
    </row>
    <row r="508" spans="1:5" ht="15.75">
      <c r="A508" s="89" t="str">
        <f t="shared" si="7"/>
        <v>#02567</v>
      </c>
      <c r="B508" s="138" t="s">
        <v>1915</v>
      </c>
      <c r="C508" s="139" t="s">
        <v>1914</v>
      </c>
      <c r="D508" s="138">
        <v>39234</v>
      </c>
      <c r="E508" s="138" t="s">
        <v>895</v>
      </c>
    </row>
    <row r="509" spans="1:5" ht="15.75">
      <c r="A509" s="89" t="str">
        <f t="shared" si="7"/>
        <v>#02598</v>
      </c>
      <c r="B509" s="138" t="s">
        <v>1916</v>
      </c>
      <c r="C509" s="139" t="s">
        <v>1765</v>
      </c>
      <c r="D509" s="138">
        <v>39258</v>
      </c>
      <c r="E509" s="138" t="s">
        <v>1113</v>
      </c>
    </row>
    <row r="510" spans="1:5" ht="15.75">
      <c r="A510" s="89" t="str">
        <f t="shared" si="7"/>
        <v>#02599</v>
      </c>
      <c r="B510" s="138" t="s">
        <v>1918</v>
      </c>
      <c r="C510" s="139" t="s">
        <v>1917</v>
      </c>
      <c r="D510" s="138">
        <v>39258</v>
      </c>
      <c r="E510" s="138" t="s">
        <v>7818</v>
      </c>
    </row>
    <row r="511" spans="1:5" ht="15.75">
      <c r="A511" s="89" t="str">
        <f t="shared" si="7"/>
        <v>#02607</v>
      </c>
      <c r="B511" s="138" t="s">
        <v>1920</v>
      </c>
      <c r="C511" s="139" t="s">
        <v>1919</v>
      </c>
      <c r="D511" s="138">
        <v>39279</v>
      </c>
      <c r="E511" s="138" t="s">
        <v>1063</v>
      </c>
    </row>
    <row r="512" spans="1:5" ht="15.75">
      <c r="A512" s="89" t="str">
        <f t="shared" si="7"/>
        <v>#02608</v>
      </c>
      <c r="B512" s="138" t="s">
        <v>1922</v>
      </c>
      <c r="C512" s="139" t="s">
        <v>1921</v>
      </c>
      <c r="D512" s="138">
        <v>39279</v>
      </c>
      <c r="E512" s="138" t="s">
        <v>1063</v>
      </c>
    </row>
    <row r="513" spans="1:5" ht="15.75">
      <c r="A513" s="89" t="str">
        <f t="shared" si="7"/>
        <v>#02611</v>
      </c>
      <c r="B513" s="138" t="s">
        <v>1924</v>
      </c>
      <c r="C513" s="139" t="s">
        <v>1923</v>
      </c>
      <c r="D513" s="138">
        <v>39287</v>
      </c>
      <c r="E513" s="138" t="s">
        <v>1113</v>
      </c>
    </row>
    <row r="514" spans="1:5" ht="15.75">
      <c r="A514" s="89" t="str">
        <f t="shared" si="7"/>
        <v>#02623</v>
      </c>
      <c r="B514" s="138" t="s">
        <v>1926</v>
      </c>
      <c r="C514" s="139" t="s">
        <v>1925</v>
      </c>
      <c r="D514" s="138">
        <v>39295</v>
      </c>
      <c r="E514" s="138" t="s">
        <v>937</v>
      </c>
    </row>
    <row r="515" spans="1:5" ht="15.75">
      <c r="A515" s="89" t="str">
        <f t="shared" ref="A515:A578" si="8">"#"&amp;B515</f>
        <v>#02630</v>
      </c>
      <c r="B515" s="138" t="s">
        <v>1928</v>
      </c>
      <c r="C515" s="139" t="s">
        <v>1927</v>
      </c>
      <c r="D515" s="138">
        <v>39300</v>
      </c>
      <c r="E515" s="138" t="s">
        <v>895</v>
      </c>
    </row>
    <row r="516" spans="1:5" ht="15.75">
      <c r="A516" s="89" t="str">
        <f t="shared" si="8"/>
        <v>#02635</v>
      </c>
      <c r="B516" s="138" t="s">
        <v>1930</v>
      </c>
      <c r="C516" s="139" t="s">
        <v>1929</v>
      </c>
      <c r="D516" s="138">
        <v>39303</v>
      </c>
      <c r="E516" s="138" t="s">
        <v>1113</v>
      </c>
    </row>
    <row r="517" spans="1:5" ht="15.75">
      <c r="A517" s="89" t="str">
        <f t="shared" si="8"/>
        <v>#02637</v>
      </c>
      <c r="B517" s="138" t="s">
        <v>1932</v>
      </c>
      <c r="C517" s="139" t="s">
        <v>1931</v>
      </c>
      <c r="D517" s="138">
        <v>39303</v>
      </c>
      <c r="E517" s="138" t="s">
        <v>1113</v>
      </c>
    </row>
    <row r="518" spans="1:5" ht="15.75">
      <c r="A518" s="89" t="str">
        <f t="shared" si="8"/>
        <v>#02638</v>
      </c>
      <c r="B518" s="138" t="s">
        <v>1934</v>
      </c>
      <c r="C518" s="139" t="s">
        <v>1933</v>
      </c>
      <c r="D518" s="138">
        <v>39303</v>
      </c>
      <c r="E518" s="138" t="s">
        <v>895</v>
      </c>
    </row>
    <row r="519" spans="1:5" ht="15.75">
      <c r="A519" s="89" t="str">
        <f t="shared" si="8"/>
        <v>#02639</v>
      </c>
      <c r="B519" s="138" t="s">
        <v>1936</v>
      </c>
      <c r="C519" s="139" t="s">
        <v>1935</v>
      </c>
      <c r="D519" s="138">
        <v>39303</v>
      </c>
      <c r="E519" s="138" t="s">
        <v>7818</v>
      </c>
    </row>
    <row r="520" spans="1:5" ht="15.75">
      <c r="A520" s="89" t="str">
        <f t="shared" si="8"/>
        <v>#02642</v>
      </c>
      <c r="B520" s="138" t="s">
        <v>1938</v>
      </c>
      <c r="C520" s="139" t="s">
        <v>1937</v>
      </c>
      <c r="D520" s="138">
        <v>39307</v>
      </c>
      <c r="E520" s="138" t="s">
        <v>1004</v>
      </c>
    </row>
    <row r="521" spans="1:5" ht="15.75">
      <c r="A521" s="89" t="str">
        <f t="shared" si="8"/>
        <v>#02646</v>
      </c>
      <c r="B521" s="138" t="s">
        <v>1940</v>
      </c>
      <c r="C521" s="139" t="s">
        <v>1939</v>
      </c>
      <c r="D521" s="138">
        <v>39295</v>
      </c>
      <c r="E521" s="138" t="s">
        <v>759</v>
      </c>
    </row>
    <row r="522" spans="1:5" ht="15.75">
      <c r="A522" s="89" t="str">
        <f t="shared" si="8"/>
        <v>#02666</v>
      </c>
      <c r="B522" s="138" t="s">
        <v>1942</v>
      </c>
      <c r="C522" s="139" t="s">
        <v>1941</v>
      </c>
      <c r="D522" s="138">
        <v>39335</v>
      </c>
      <c r="E522" s="138" t="s">
        <v>1043</v>
      </c>
    </row>
    <row r="523" spans="1:5" ht="15.75">
      <c r="A523" s="89" t="str">
        <f t="shared" si="8"/>
        <v>#02675</v>
      </c>
      <c r="B523" s="138" t="s">
        <v>1944</v>
      </c>
      <c r="C523" s="139" t="s">
        <v>1943</v>
      </c>
      <c r="D523" s="138">
        <v>39335</v>
      </c>
      <c r="E523" s="138" t="s">
        <v>1113</v>
      </c>
    </row>
    <row r="524" spans="1:5" ht="15.75">
      <c r="A524" s="89" t="str">
        <f t="shared" si="8"/>
        <v>#02679</v>
      </c>
      <c r="B524" s="138" t="s">
        <v>1946</v>
      </c>
      <c r="C524" s="139" t="s">
        <v>1945</v>
      </c>
      <c r="D524" s="138">
        <v>39335</v>
      </c>
      <c r="E524" s="138" t="s">
        <v>1113</v>
      </c>
    </row>
    <row r="525" spans="1:5" ht="15.75">
      <c r="A525" s="89" t="str">
        <f t="shared" si="8"/>
        <v>#02684</v>
      </c>
      <c r="B525" s="138" t="s">
        <v>1948</v>
      </c>
      <c r="C525" s="139" t="s">
        <v>1947</v>
      </c>
      <c r="D525" s="138">
        <v>39336</v>
      </c>
      <c r="E525" s="138" t="s">
        <v>721</v>
      </c>
    </row>
    <row r="526" spans="1:5" ht="15.75">
      <c r="A526" s="89" t="str">
        <f t="shared" si="8"/>
        <v>#02690</v>
      </c>
      <c r="B526" s="138" t="s">
        <v>1949</v>
      </c>
      <c r="C526" s="139" t="s">
        <v>1765</v>
      </c>
      <c r="D526" s="138">
        <v>39336</v>
      </c>
      <c r="E526" s="138" t="s">
        <v>906</v>
      </c>
    </row>
    <row r="527" spans="1:5" ht="15.75">
      <c r="A527" s="89" t="str">
        <f t="shared" si="8"/>
        <v>#02692</v>
      </c>
      <c r="B527" s="138" t="s">
        <v>1951</v>
      </c>
      <c r="C527" s="139" t="s">
        <v>1950</v>
      </c>
      <c r="D527" s="138">
        <v>39338</v>
      </c>
      <c r="E527" s="138" t="s">
        <v>895</v>
      </c>
    </row>
    <row r="528" spans="1:5" ht="15.75">
      <c r="A528" s="89" t="str">
        <f t="shared" si="8"/>
        <v>#02694</v>
      </c>
      <c r="B528" s="138" t="s">
        <v>1953</v>
      </c>
      <c r="C528" s="139" t="s">
        <v>1952</v>
      </c>
      <c r="D528" s="138">
        <v>39338</v>
      </c>
      <c r="E528" s="138" t="s">
        <v>927</v>
      </c>
    </row>
    <row r="529" spans="1:5" ht="15.75">
      <c r="A529" s="89" t="str">
        <f t="shared" si="8"/>
        <v>#02696</v>
      </c>
      <c r="B529" s="138" t="s">
        <v>1955</v>
      </c>
      <c r="C529" s="139" t="s">
        <v>1954</v>
      </c>
      <c r="D529" s="138">
        <v>39338</v>
      </c>
      <c r="E529" s="138" t="s">
        <v>927</v>
      </c>
    </row>
    <row r="530" spans="1:5" ht="15.75">
      <c r="A530" s="89" t="str">
        <f t="shared" si="8"/>
        <v>#02697</v>
      </c>
      <c r="B530" s="138" t="s">
        <v>1957</v>
      </c>
      <c r="C530" s="139" t="s">
        <v>1956</v>
      </c>
      <c r="D530" s="138">
        <v>39338</v>
      </c>
      <c r="E530" s="138" t="s">
        <v>937</v>
      </c>
    </row>
    <row r="531" spans="1:5" ht="15.75">
      <c r="A531" s="89" t="str">
        <f t="shared" si="8"/>
        <v>#02701</v>
      </c>
      <c r="B531" s="138" t="s">
        <v>1958</v>
      </c>
      <c r="C531" s="139" t="s">
        <v>8486</v>
      </c>
      <c r="D531" s="138">
        <v>39338</v>
      </c>
      <c r="E531" s="138" t="s">
        <v>1098</v>
      </c>
    </row>
    <row r="532" spans="1:5" ht="15.75">
      <c r="A532" s="89" t="str">
        <f t="shared" si="8"/>
        <v>#02706</v>
      </c>
      <c r="B532" s="138" t="s">
        <v>1960</v>
      </c>
      <c r="C532" s="139" t="s">
        <v>1959</v>
      </c>
      <c r="D532" s="138">
        <v>39338</v>
      </c>
      <c r="E532" s="138" t="s">
        <v>924</v>
      </c>
    </row>
    <row r="533" spans="1:5" ht="15.75">
      <c r="A533" s="89" t="str">
        <f t="shared" si="8"/>
        <v>#02713</v>
      </c>
      <c r="B533" s="138" t="s">
        <v>1962</v>
      </c>
      <c r="C533" s="139" t="s">
        <v>1961</v>
      </c>
      <c r="D533" s="138">
        <v>39338</v>
      </c>
      <c r="E533" s="138" t="s">
        <v>7818</v>
      </c>
    </row>
    <row r="534" spans="1:5" ht="15.75">
      <c r="A534" s="89" t="str">
        <f t="shared" si="8"/>
        <v>#02716</v>
      </c>
      <c r="B534" s="138" t="s">
        <v>1964</v>
      </c>
      <c r="C534" s="139" t="s">
        <v>1963</v>
      </c>
      <c r="D534" s="138">
        <v>39338</v>
      </c>
      <c r="E534" s="138" t="s">
        <v>924</v>
      </c>
    </row>
    <row r="535" spans="1:5" ht="15.75">
      <c r="A535" s="89" t="str">
        <f t="shared" si="8"/>
        <v>#02754</v>
      </c>
      <c r="B535" s="138" t="s">
        <v>1966</v>
      </c>
      <c r="C535" s="139" t="s">
        <v>1965</v>
      </c>
      <c r="D535" s="138">
        <v>39344</v>
      </c>
      <c r="E535" s="138" t="s">
        <v>1133</v>
      </c>
    </row>
    <row r="536" spans="1:5" ht="15.75">
      <c r="A536" s="89" t="str">
        <f t="shared" si="8"/>
        <v>#02757</v>
      </c>
      <c r="B536" s="138" t="s">
        <v>1968</v>
      </c>
      <c r="C536" s="139" t="s">
        <v>1967</v>
      </c>
      <c r="D536" s="138">
        <v>39345</v>
      </c>
      <c r="E536" s="138" t="s">
        <v>1043</v>
      </c>
    </row>
    <row r="537" spans="1:5" ht="15.75">
      <c r="A537" s="89" t="str">
        <f t="shared" si="8"/>
        <v>#02764</v>
      </c>
      <c r="B537" s="138" t="s">
        <v>1970</v>
      </c>
      <c r="C537" s="139" t="s">
        <v>1969</v>
      </c>
      <c r="D537" s="138">
        <v>39345</v>
      </c>
      <c r="E537" s="138" t="s">
        <v>985</v>
      </c>
    </row>
    <row r="538" spans="1:5" ht="15.75">
      <c r="A538" s="89" t="str">
        <f t="shared" si="8"/>
        <v>#02773</v>
      </c>
      <c r="B538" s="138" t="s">
        <v>1972</v>
      </c>
      <c r="C538" s="139" t="s">
        <v>1971</v>
      </c>
      <c r="D538" s="138">
        <v>39349</v>
      </c>
      <c r="E538" s="138" t="s">
        <v>890</v>
      </c>
    </row>
    <row r="539" spans="1:5" ht="15.75">
      <c r="A539" s="89" t="str">
        <f t="shared" si="8"/>
        <v>#02782</v>
      </c>
      <c r="B539" s="138" t="s">
        <v>1974</v>
      </c>
      <c r="C539" s="139" t="s">
        <v>1973</v>
      </c>
      <c r="D539" s="138">
        <v>39345</v>
      </c>
      <c r="E539" s="138" t="s">
        <v>978</v>
      </c>
    </row>
    <row r="540" spans="1:5" ht="15.75">
      <c r="A540" s="89" t="str">
        <f t="shared" si="8"/>
        <v>#02791</v>
      </c>
      <c r="B540" s="138" t="s">
        <v>1976</v>
      </c>
      <c r="C540" s="139" t="s">
        <v>1975</v>
      </c>
      <c r="D540" s="138">
        <v>39345</v>
      </c>
      <c r="E540" s="138" t="s">
        <v>978</v>
      </c>
    </row>
    <row r="541" spans="1:5" ht="15.75">
      <c r="A541" s="89" t="str">
        <f t="shared" si="8"/>
        <v>#02792</v>
      </c>
      <c r="B541" s="138" t="s">
        <v>1978</v>
      </c>
      <c r="C541" s="139" t="s">
        <v>1977</v>
      </c>
      <c r="D541" s="138">
        <v>39345</v>
      </c>
      <c r="E541" s="138" t="s">
        <v>948</v>
      </c>
    </row>
    <row r="542" spans="1:5" ht="15.75">
      <c r="A542" s="89" t="str">
        <f t="shared" si="8"/>
        <v>#02814</v>
      </c>
      <c r="B542" s="138" t="s">
        <v>1980</v>
      </c>
      <c r="C542" s="139" t="s">
        <v>1979</v>
      </c>
      <c r="D542" s="138">
        <v>39357</v>
      </c>
      <c r="E542" s="138" t="s">
        <v>895</v>
      </c>
    </row>
    <row r="543" spans="1:5" ht="15.75">
      <c r="A543" s="89" t="str">
        <f t="shared" si="8"/>
        <v>#02821</v>
      </c>
      <c r="B543" s="138" t="s">
        <v>1982</v>
      </c>
      <c r="C543" s="139" t="s">
        <v>1981</v>
      </c>
      <c r="D543" s="138">
        <v>39356</v>
      </c>
      <c r="E543" s="138" t="s">
        <v>906</v>
      </c>
    </row>
    <row r="544" spans="1:5" ht="15.75">
      <c r="A544" s="89" t="str">
        <f t="shared" si="8"/>
        <v>#02823</v>
      </c>
      <c r="B544" s="138" t="s">
        <v>1984</v>
      </c>
      <c r="C544" s="139" t="s">
        <v>1983</v>
      </c>
      <c r="D544" s="138">
        <v>39356</v>
      </c>
      <c r="E544" s="138" t="s">
        <v>906</v>
      </c>
    </row>
    <row r="545" spans="1:5" ht="15.75">
      <c r="A545" s="89" t="str">
        <f t="shared" si="8"/>
        <v>#02824</v>
      </c>
      <c r="B545" s="138" t="s">
        <v>1986</v>
      </c>
      <c r="C545" s="139" t="s">
        <v>1985</v>
      </c>
      <c r="D545" s="138">
        <v>39356</v>
      </c>
      <c r="E545" s="138" t="s">
        <v>934</v>
      </c>
    </row>
    <row r="546" spans="1:5" ht="15.75">
      <c r="A546" s="89" t="str">
        <f t="shared" si="8"/>
        <v>#02830</v>
      </c>
      <c r="B546" s="138" t="s">
        <v>1988</v>
      </c>
      <c r="C546" s="139" t="s">
        <v>1987</v>
      </c>
      <c r="D546" s="138">
        <v>39363</v>
      </c>
      <c r="E546" s="138" t="s">
        <v>1188</v>
      </c>
    </row>
    <row r="547" spans="1:5" ht="15.75">
      <c r="A547" s="89" t="str">
        <f t="shared" si="8"/>
        <v>#02831</v>
      </c>
      <c r="B547" s="138" t="s">
        <v>1990</v>
      </c>
      <c r="C547" s="139" t="s">
        <v>1989</v>
      </c>
      <c r="D547" s="138">
        <v>39363</v>
      </c>
      <c r="E547" s="138" t="s">
        <v>1113</v>
      </c>
    </row>
    <row r="548" spans="1:5" ht="15.75">
      <c r="A548" s="89" t="str">
        <f t="shared" si="8"/>
        <v>#02840</v>
      </c>
      <c r="B548" s="138" t="s">
        <v>1992</v>
      </c>
      <c r="C548" s="139" t="s">
        <v>1991</v>
      </c>
      <c r="D548" s="138">
        <v>39363</v>
      </c>
      <c r="E548" s="138" t="s">
        <v>978</v>
      </c>
    </row>
    <row r="549" spans="1:5" ht="15.75">
      <c r="A549" s="89" t="str">
        <f t="shared" si="8"/>
        <v>#02843</v>
      </c>
      <c r="B549" s="138" t="s">
        <v>1994</v>
      </c>
      <c r="C549" s="139" t="s">
        <v>1993</v>
      </c>
      <c r="D549" s="138">
        <v>39363</v>
      </c>
      <c r="E549" s="138" t="s">
        <v>8037</v>
      </c>
    </row>
    <row r="550" spans="1:5" ht="15.75">
      <c r="A550" s="89" t="str">
        <f t="shared" si="8"/>
        <v>#02847</v>
      </c>
      <c r="B550" s="138" t="s">
        <v>1996</v>
      </c>
      <c r="C550" s="139" t="s">
        <v>1995</v>
      </c>
      <c r="D550" s="138">
        <v>39363</v>
      </c>
      <c r="E550" s="138" t="s">
        <v>8037</v>
      </c>
    </row>
    <row r="551" spans="1:5" ht="15.75">
      <c r="A551" s="89" t="str">
        <f t="shared" si="8"/>
        <v>#02849</v>
      </c>
      <c r="B551" s="138" t="s">
        <v>1998</v>
      </c>
      <c r="C551" s="139" t="s">
        <v>1997</v>
      </c>
      <c r="D551" s="138">
        <v>39363</v>
      </c>
      <c r="E551" s="138" t="s">
        <v>8037</v>
      </c>
    </row>
    <row r="552" spans="1:5" ht="15.75">
      <c r="A552" s="89" t="str">
        <f t="shared" si="8"/>
        <v>#02850</v>
      </c>
      <c r="B552" s="138" t="s">
        <v>2000</v>
      </c>
      <c r="C552" s="139" t="s">
        <v>1999</v>
      </c>
      <c r="D552" s="138">
        <v>39363</v>
      </c>
      <c r="E552" s="138" t="s">
        <v>8037</v>
      </c>
    </row>
    <row r="553" spans="1:5" ht="15.75">
      <c r="A553" s="89" t="str">
        <f t="shared" si="8"/>
        <v>#02851</v>
      </c>
      <c r="B553" s="138" t="s">
        <v>2002</v>
      </c>
      <c r="C553" s="139" t="s">
        <v>2001</v>
      </c>
      <c r="D553" s="138">
        <v>39363</v>
      </c>
      <c r="E553" s="138" t="s">
        <v>8037</v>
      </c>
    </row>
    <row r="554" spans="1:5" ht="15.75">
      <c r="A554" s="89" t="str">
        <f t="shared" si="8"/>
        <v>#02855</v>
      </c>
      <c r="B554" s="138" t="s">
        <v>2004</v>
      </c>
      <c r="C554" s="139" t="s">
        <v>2003</v>
      </c>
      <c r="D554" s="138">
        <v>39363</v>
      </c>
      <c r="E554" s="138" t="s">
        <v>1716</v>
      </c>
    </row>
    <row r="555" spans="1:5" ht="15.75">
      <c r="A555" s="89" t="str">
        <f t="shared" si="8"/>
        <v>#02856</v>
      </c>
      <c r="B555" s="138" t="s">
        <v>2005</v>
      </c>
      <c r="C555" s="139" t="s">
        <v>1189</v>
      </c>
      <c r="D555" s="138">
        <v>39363</v>
      </c>
      <c r="E555" s="138" t="s">
        <v>985</v>
      </c>
    </row>
    <row r="556" spans="1:5" ht="15.75">
      <c r="A556" s="89" t="str">
        <f t="shared" si="8"/>
        <v>#02857</v>
      </c>
      <c r="B556" s="138" t="s">
        <v>2007</v>
      </c>
      <c r="C556" s="139" t="s">
        <v>2006</v>
      </c>
      <c r="D556" s="138">
        <v>39363</v>
      </c>
      <c r="E556" s="138" t="s">
        <v>8037</v>
      </c>
    </row>
    <row r="557" spans="1:5" ht="15.75">
      <c r="A557" s="89" t="str">
        <f t="shared" si="8"/>
        <v>#02859</v>
      </c>
      <c r="B557" s="138" t="s">
        <v>2009</v>
      </c>
      <c r="C557" s="139" t="s">
        <v>2008</v>
      </c>
      <c r="D557" s="138">
        <v>39363</v>
      </c>
      <c r="E557" s="138" t="s">
        <v>890</v>
      </c>
    </row>
    <row r="558" spans="1:5" ht="15.75">
      <c r="A558" s="89" t="str">
        <f t="shared" si="8"/>
        <v>#02860</v>
      </c>
      <c r="B558" s="138" t="s">
        <v>2011</v>
      </c>
      <c r="C558" s="139" t="s">
        <v>2010</v>
      </c>
      <c r="D558" s="138">
        <v>39363</v>
      </c>
      <c r="E558" s="138" t="s">
        <v>1034</v>
      </c>
    </row>
    <row r="559" spans="1:5" ht="15.75">
      <c r="A559" s="89" t="str">
        <f t="shared" si="8"/>
        <v>#02861</v>
      </c>
      <c r="B559" s="138" t="s">
        <v>2013</v>
      </c>
      <c r="C559" s="139" t="s">
        <v>2012</v>
      </c>
      <c r="D559" s="138">
        <v>39363</v>
      </c>
      <c r="E559" s="138" t="s">
        <v>937</v>
      </c>
    </row>
    <row r="560" spans="1:5" ht="15.75">
      <c r="A560" s="89" t="str">
        <f t="shared" si="8"/>
        <v>#02862</v>
      </c>
      <c r="B560" s="138" t="s">
        <v>2015</v>
      </c>
      <c r="C560" s="139" t="s">
        <v>2014</v>
      </c>
      <c r="D560" s="138">
        <v>39363</v>
      </c>
      <c r="E560" s="138" t="s">
        <v>890</v>
      </c>
    </row>
    <row r="561" spans="1:5" ht="15.75">
      <c r="A561" s="89" t="str">
        <f t="shared" si="8"/>
        <v>#02865</v>
      </c>
      <c r="B561" s="138" t="s">
        <v>2017</v>
      </c>
      <c r="C561" s="139" t="s">
        <v>2016</v>
      </c>
      <c r="D561" s="138">
        <v>39363</v>
      </c>
      <c r="E561" s="138" t="s">
        <v>1188</v>
      </c>
    </row>
    <row r="562" spans="1:5" ht="15.75">
      <c r="A562" s="89" t="str">
        <f t="shared" si="8"/>
        <v>#02868</v>
      </c>
      <c r="B562" s="138" t="s">
        <v>2019</v>
      </c>
      <c r="C562" s="139" t="s">
        <v>2018</v>
      </c>
      <c r="D562" s="138">
        <v>39363</v>
      </c>
      <c r="E562" s="138" t="s">
        <v>7818</v>
      </c>
    </row>
    <row r="563" spans="1:5" ht="15.75">
      <c r="A563" s="89" t="str">
        <f t="shared" si="8"/>
        <v>#02880</v>
      </c>
      <c r="B563" s="138" t="s">
        <v>2021</v>
      </c>
      <c r="C563" s="139" t="s">
        <v>2020</v>
      </c>
      <c r="D563" s="138">
        <v>39372</v>
      </c>
      <c r="E563" s="138" t="s">
        <v>924</v>
      </c>
    </row>
    <row r="564" spans="1:5" ht="15.75">
      <c r="A564" s="89" t="str">
        <f t="shared" si="8"/>
        <v>#02884</v>
      </c>
      <c r="B564" s="138" t="s">
        <v>2023</v>
      </c>
      <c r="C564" s="139" t="s">
        <v>2022</v>
      </c>
      <c r="D564" s="138">
        <v>39372</v>
      </c>
      <c r="E564" s="138" t="s">
        <v>890</v>
      </c>
    </row>
    <row r="565" spans="1:5" ht="15.75">
      <c r="A565" s="89" t="str">
        <f t="shared" si="8"/>
        <v>#02885</v>
      </c>
      <c r="B565" s="138" t="s">
        <v>2025</v>
      </c>
      <c r="C565" s="139" t="s">
        <v>2024</v>
      </c>
      <c r="D565" s="138">
        <v>39372</v>
      </c>
      <c r="E565" s="138" t="s">
        <v>7818</v>
      </c>
    </row>
    <row r="566" spans="1:5" ht="15.75">
      <c r="A566" s="89" t="str">
        <f t="shared" si="8"/>
        <v>#02886</v>
      </c>
      <c r="B566" s="138" t="s">
        <v>2027</v>
      </c>
      <c r="C566" s="139" t="s">
        <v>2026</v>
      </c>
      <c r="D566" s="138">
        <v>39372</v>
      </c>
      <c r="E566" s="138" t="s">
        <v>797</v>
      </c>
    </row>
    <row r="567" spans="1:5" ht="15.75">
      <c r="A567" s="89" t="str">
        <f t="shared" si="8"/>
        <v>#02887</v>
      </c>
      <c r="B567" s="138" t="s">
        <v>2029</v>
      </c>
      <c r="C567" s="139" t="s">
        <v>2028</v>
      </c>
      <c r="D567" s="138">
        <v>39372</v>
      </c>
      <c r="E567" s="138" t="s">
        <v>890</v>
      </c>
    </row>
    <row r="568" spans="1:5" ht="15.75">
      <c r="A568" s="89" t="str">
        <f t="shared" si="8"/>
        <v>#02891</v>
      </c>
      <c r="B568" s="138" t="s">
        <v>2031</v>
      </c>
      <c r="C568" s="139" t="s">
        <v>2030</v>
      </c>
      <c r="D568" s="138">
        <v>39372</v>
      </c>
      <c r="E568" s="138" t="s">
        <v>985</v>
      </c>
    </row>
    <row r="569" spans="1:5" ht="15.75">
      <c r="A569" s="89" t="str">
        <f t="shared" si="8"/>
        <v>#02903</v>
      </c>
      <c r="B569" s="138" t="s">
        <v>2033</v>
      </c>
      <c r="C569" s="139" t="s">
        <v>2032</v>
      </c>
      <c r="D569" s="138">
        <v>39372</v>
      </c>
      <c r="E569" s="138" t="s">
        <v>985</v>
      </c>
    </row>
    <row r="570" spans="1:5" ht="15.75">
      <c r="A570" s="89" t="str">
        <f t="shared" si="8"/>
        <v>#02927</v>
      </c>
      <c r="B570" s="138" t="s">
        <v>2035</v>
      </c>
      <c r="C570" s="139" t="s">
        <v>2034</v>
      </c>
      <c r="D570" s="138">
        <v>39372</v>
      </c>
      <c r="E570" s="138" t="s">
        <v>7818</v>
      </c>
    </row>
    <row r="571" spans="1:5" ht="15.75">
      <c r="A571" s="89" t="str">
        <f t="shared" si="8"/>
        <v>#02928</v>
      </c>
      <c r="B571" s="138" t="s">
        <v>2037</v>
      </c>
      <c r="C571" s="139" t="s">
        <v>2036</v>
      </c>
      <c r="D571" s="138">
        <v>39372</v>
      </c>
      <c r="E571" s="138" t="s">
        <v>1034</v>
      </c>
    </row>
    <row r="572" spans="1:5" ht="15.75">
      <c r="A572" s="89" t="str">
        <f t="shared" si="8"/>
        <v>#02951</v>
      </c>
      <c r="B572" s="138" t="s">
        <v>2038</v>
      </c>
      <c r="C572" s="139" t="s">
        <v>1364</v>
      </c>
      <c r="D572" s="138">
        <v>39384</v>
      </c>
      <c r="E572" s="138" t="s">
        <v>1133</v>
      </c>
    </row>
    <row r="573" spans="1:5" ht="15.75">
      <c r="A573" s="89" t="str">
        <f t="shared" si="8"/>
        <v>#02954</v>
      </c>
      <c r="B573" s="138" t="s">
        <v>2040</v>
      </c>
      <c r="C573" s="139" t="s">
        <v>2039</v>
      </c>
      <c r="D573" s="138">
        <v>39384</v>
      </c>
      <c r="E573" s="138" t="s">
        <v>895</v>
      </c>
    </row>
    <row r="574" spans="1:5" ht="15.75">
      <c r="A574" s="89" t="str">
        <f t="shared" si="8"/>
        <v>#02972</v>
      </c>
      <c r="B574" s="138" t="s">
        <v>2042</v>
      </c>
      <c r="C574" s="139" t="s">
        <v>2041</v>
      </c>
      <c r="D574" s="138">
        <v>39391</v>
      </c>
      <c r="E574" s="138" t="s">
        <v>721</v>
      </c>
    </row>
    <row r="575" spans="1:5" ht="15.75">
      <c r="A575" s="89" t="str">
        <f t="shared" si="8"/>
        <v>#02973</v>
      </c>
      <c r="B575" s="138" t="s">
        <v>2044</v>
      </c>
      <c r="C575" s="139" t="s">
        <v>2043</v>
      </c>
      <c r="D575" s="138">
        <v>39391</v>
      </c>
      <c r="E575" s="138" t="s">
        <v>978</v>
      </c>
    </row>
    <row r="576" spans="1:5" ht="15.75">
      <c r="A576" s="89" t="str">
        <f t="shared" si="8"/>
        <v>#02982</v>
      </c>
      <c r="B576" s="138" t="s">
        <v>2046</v>
      </c>
      <c r="C576" s="139" t="s">
        <v>2045</v>
      </c>
      <c r="D576" s="138">
        <v>39393</v>
      </c>
      <c r="E576" s="138" t="s">
        <v>906</v>
      </c>
    </row>
    <row r="577" spans="1:5" ht="15.75">
      <c r="A577" s="89" t="str">
        <f t="shared" si="8"/>
        <v>#02984</v>
      </c>
      <c r="B577" s="138" t="s">
        <v>2048</v>
      </c>
      <c r="C577" s="139" t="s">
        <v>2047</v>
      </c>
      <c r="D577" s="138">
        <v>39398</v>
      </c>
      <c r="E577" s="138" t="s">
        <v>978</v>
      </c>
    </row>
    <row r="578" spans="1:5" ht="15.75">
      <c r="A578" s="89" t="str">
        <f t="shared" si="8"/>
        <v>#02985</v>
      </c>
      <c r="B578" s="138" t="s">
        <v>2050</v>
      </c>
      <c r="C578" s="139" t="s">
        <v>2049</v>
      </c>
      <c r="D578" s="138">
        <v>39398</v>
      </c>
      <c r="E578" s="138" t="s">
        <v>978</v>
      </c>
    </row>
    <row r="579" spans="1:5" ht="15.75">
      <c r="A579" s="89" t="str">
        <f t="shared" ref="A579:A642" si="9">"#"&amp;B579</f>
        <v>#02990</v>
      </c>
      <c r="B579" s="138" t="s">
        <v>2052</v>
      </c>
      <c r="C579" s="139" t="s">
        <v>2051</v>
      </c>
      <c r="D579" s="138">
        <v>39395</v>
      </c>
      <c r="E579" s="138" t="s">
        <v>1380</v>
      </c>
    </row>
    <row r="580" spans="1:5" ht="15.75">
      <c r="A580" s="89" t="str">
        <f t="shared" si="9"/>
        <v>#03001</v>
      </c>
      <c r="B580" s="138" t="s">
        <v>2054</v>
      </c>
      <c r="C580" s="139" t="s">
        <v>2053</v>
      </c>
      <c r="D580" s="138">
        <v>39407</v>
      </c>
      <c r="E580" s="138" t="s">
        <v>948</v>
      </c>
    </row>
    <row r="581" spans="1:5" ht="15.75">
      <c r="A581" s="89" t="str">
        <f t="shared" si="9"/>
        <v>#03010</v>
      </c>
      <c r="B581" s="138" t="s">
        <v>2056</v>
      </c>
      <c r="C581" s="139" t="s">
        <v>2055</v>
      </c>
      <c r="D581" s="138">
        <v>39419</v>
      </c>
      <c r="E581" s="138" t="s">
        <v>7818</v>
      </c>
    </row>
    <row r="582" spans="1:5" ht="15.75">
      <c r="A582" s="89" t="str">
        <f t="shared" si="9"/>
        <v>#03015</v>
      </c>
      <c r="B582" s="138" t="s">
        <v>2058</v>
      </c>
      <c r="C582" s="139" t="s">
        <v>2057</v>
      </c>
      <c r="D582" s="138">
        <v>39419</v>
      </c>
      <c r="E582" s="138" t="s">
        <v>7818</v>
      </c>
    </row>
    <row r="583" spans="1:5" ht="15.75">
      <c r="A583" s="89" t="str">
        <f t="shared" si="9"/>
        <v>#03019</v>
      </c>
      <c r="B583" s="138" t="s">
        <v>2059</v>
      </c>
      <c r="C583" s="139" t="s">
        <v>1502</v>
      </c>
      <c r="D583" s="138">
        <v>39419</v>
      </c>
      <c r="E583" s="138" t="s">
        <v>7818</v>
      </c>
    </row>
    <row r="584" spans="1:5" ht="15.75">
      <c r="A584" s="89" t="str">
        <f t="shared" si="9"/>
        <v>#03020</v>
      </c>
      <c r="B584" s="138" t="s">
        <v>2061</v>
      </c>
      <c r="C584" s="139" t="s">
        <v>2060</v>
      </c>
      <c r="D584" s="138">
        <v>39419</v>
      </c>
      <c r="E584" s="138" t="s">
        <v>721</v>
      </c>
    </row>
    <row r="585" spans="1:5" ht="15.75">
      <c r="A585" s="89" t="str">
        <f t="shared" si="9"/>
        <v>#03021</v>
      </c>
      <c r="B585" s="138" t="s">
        <v>2063</v>
      </c>
      <c r="C585" s="139" t="s">
        <v>2062</v>
      </c>
      <c r="D585" s="138">
        <v>39419</v>
      </c>
      <c r="E585" s="138" t="s">
        <v>937</v>
      </c>
    </row>
    <row r="586" spans="1:5" ht="15.75">
      <c r="A586" s="89" t="str">
        <f t="shared" si="9"/>
        <v>#03027</v>
      </c>
      <c r="B586" s="138" t="s">
        <v>2065</v>
      </c>
      <c r="C586" s="139" t="s">
        <v>2064</v>
      </c>
      <c r="D586" s="138">
        <v>39419</v>
      </c>
      <c r="E586" s="138" t="s">
        <v>895</v>
      </c>
    </row>
    <row r="587" spans="1:5" ht="15.75">
      <c r="A587" s="89" t="str">
        <f t="shared" si="9"/>
        <v>#03030</v>
      </c>
      <c r="B587" s="138" t="s">
        <v>2067</v>
      </c>
      <c r="C587" s="139" t="s">
        <v>2066</v>
      </c>
      <c r="D587" s="138">
        <v>39419</v>
      </c>
      <c r="E587" s="138" t="s">
        <v>985</v>
      </c>
    </row>
    <row r="588" spans="1:5" ht="15.75">
      <c r="A588" s="89" t="str">
        <f t="shared" si="9"/>
        <v>#03037</v>
      </c>
      <c r="B588" s="138" t="s">
        <v>2069</v>
      </c>
      <c r="C588" s="139" t="s">
        <v>2068</v>
      </c>
      <c r="D588" s="138">
        <v>39421</v>
      </c>
      <c r="E588" s="138" t="s">
        <v>721</v>
      </c>
    </row>
    <row r="589" spans="1:5" ht="15.75">
      <c r="A589" s="89" t="str">
        <f t="shared" si="9"/>
        <v>#03038</v>
      </c>
      <c r="B589" s="138" t="s">
        <v>2071</v>
      </c>
      <c r="C589" s="139" t="s">
        <v>2070</v>
      </c>
      <c r="D589" s="138">
        <v>39427</v>
      </c>
      <c r="E589" s="138" t="s">
        <v>985</v>
      </c>
    </row>
    <row r="590" spans="1:5" ht="15.75">
      <c r="A590" s="89" t="str">
        <f t="shared" si="9"/>
        <v>#03041</v>
      </c>
      <c r="B590" s="138" t="s">
        <v>2073</v>
      </c>
      <c r="C590" s="139" t="s">
        <v>2072</v>
      </c>
      <c r="D590" s="138">
        <v>39427</v>
      </c>
      <c r="E590" s="138" t="s">
        <v>1188</v>
      </c>
    </row>
    <row r="591" spans="1:5" ht="15.75">
      <c r="A591" s="89" t="str">
        <f t="shared" si="9"/>
        <v>#03042</v>
      </c>
      <c r="B591" s="138" t="s">
        <v>2074</v>
      </c>
      <c r="C591" s="139" t="s">
        <v>1442</v>
      </c>
      <c r="D591" s="138">
        <v>39427</v>
      </c>
      <c r="E591" s="138" t="s">
        <v>895</v>
      </c>
    </row>
    <row r="592" spans="1:5" ht="15.75">
      <c r="A592" s="89" t="str">
        <f t="shared" si="9"/>
        <v>#03045</v>
      </c>
      <c r="B592" s="138" t="s">
        <v>2075</v>
      </c>
      <c r="C592" s="139" t="s">
        <v>1094</v>
      </c>
      <c r="D592" s="138">
        <v>39427</v>
      </c>
      <c r="E592" s="138" t="s">
        <v>1188</v>
      </c>
    </row>
    <row r="593" spans="1:5" ht="15.75">
      <c r="A593" s="89" t="str">
        <f t="shared" si="9"/>
        <v>#03046</v>
      </c>
      <c r="B593" s="138" t="s">
        <v>2077</v>
      </c>
      <c r="C593" s="139" t="s">
        <v>2076</v>
      </c>
      <c r="D593" s="138">
        <v>39427</v>
      </c>
      <c r="E593" s="138" t="s">
        <v>906</v>
      </c>
    </row>
    <row r="594" spans="1:5" ht="15.75">
      <c r="A594" s="89" t="str">
        <f t="shared" si="9"/>
        <v>#03048</v>
      </c>
      <c r="B594" s="138" t="s">
        <v>2079</v>
      </c>
      <c r="C594" s="139" t="s">
        <v>2078</v>
      </c>
      <c r="D594" s="138">
        <v>39427</v>
      </c>
      <c r="E594" s="138" t="s">
        <v>906</v>
      </c>
    </row>
    <row r="595" spans="1:5" ht="15.75">
      <c r="A595" s="89" t="str">
        <f t="shared" si="9"/>
        <v>#03057</v>
      </c>
      <c r="B595" s="138" t="s">
        <v>2081</v>
      </c>
      <c r="C595" s="139" t="s">
        <v>2080</v>
      </c>
      <c r="D595" s="138">
        <v>39427</v>
      </c>
      <c r="E595" s="138" t="s">
        <v>7818</v>
      </c>
    </row>
    <row r="596" spans="1:5" ht="15.75">
      <c r="A596" s="89" t="str">
        <f t="shared" si="9"/>
        <v>#03069</v>
      </c>
      <c r="B596" s="138" t="s">
        <v>2083</v>
      </c>
      <c r="C596" s="139" t="s">
        <v>2082</v>
      </c>
      <c r="D596" s="138">
        <v>39427</v>
      </c>
      <c r="E596" s="138" t="s">
        <v>937</v>
      </c>
    </row>
    <row r="597" spans="1:5" ht="15.75">
      <c r="A597" s="89" t="str">
        <f t="shared" si="9"/>
        <v>#03070</v>
      </c>
      <c r="B597" s="138" t="s">
        <v>2085</v>
      </c>
      <c r="C597" s="139" t="s">
        <v>2084</v>
      </c>
      <c r="D597" s="138">
        <v>39427</v>
      </c>
      <c r="E597" s="138" t="s">
        <v>890</v>
      </c>
    </row>
    <row r="598" spans="1:5" ht="15.75">
      <c r="A598" s="89" t="str">
        <f t="shared" si="9"/>
        <v>#03073</v>
      </c>
      <c r="B598" s="138" t="s">
        <v>2087</v>
      </c>
      <c r="C598" s="139" t="s">
        <v>2086</v>
      </c>
      <c r="D598" s="138">
        <v>39427</v>
      </c>
      <c r="E598" s="138" t="s">
        <v>895</v>
      </c>
    </row>
    <row r="599" spans="1:5" ht="15.75">
      <c r="A599" s="89" t="str">
        <f t="shared" si="9"/>
        <v>#03079</v>
      </c>
      <c r="B599" s="138" t="s">
        <v>2089</v>
      </c>
      <c r="C599" s="139" t="s">
        <v>2088</v>
      </c>
      <c r="D599" s="138">
        <v>39427</v>
      </c>
      <c r="E599" s="138" t="s">
        <v>1133</v>
      </c>
    </row>
    <row r="600" spans="1:5" ht="15.75">
      <c r="A600" s="89" t="str">
        <f t="shared" si="9"/>
        <v>#03083</v>
      </c>
      <c r="B600" s="138" t="s">
        <v>2091</v>
      </c>
      <c r="C600" s="139" t="s">
        <v>2090</v>
      </c>
      <c r="D600" s="138">
        <v>39427</v>
      </c>
      <c r="E600" s="138" t="s">
        <v>895</v>
      </c>
    </row>
    <row r="601" spans="1:5" ht="15.75">
      <c r="A601" s="89" t="str">
        <f t="shared" si="9"/>
        <v>#03086</v>
      </c>
      <c r="B601" s="138" t="s">
        <v>2093</v>
      </c>
      <c r="C601" s="139" t="s">
        <v>2092</v>
      </c>
      <c r="D601" s="138">
        <v>39427</v>
      </c>
      <c r="E601" s="138" t="s">
        <v>895</v>
      </c>
    </row>
    <row r="602" spans="1:5" ht="15.75">
      <c r="A602" s="89" t="str">
        <f t="shared" si="9"/>
        <v>#03090</v>
      </c>
      <c r="B602" s="138" t="s">
        <v>2095</v>
      </c>
      <c r="C602" s="139" t="s">
        <v>2094</v>
      </c>
      <c r="D602" s="138">
        <v>39427</v>
      </c>
      <c r="E602" s="138" t="s">
        <v>978</v>
      </c>
    </row>
    <row r="603" spans="1:5" ht="15.75">
      <c r="A603" s="89" t="str">
        <f t="shared" si="9"/>
        <v>#03094</v>
      </c>
      <c r="B603" s="138" t="s">
        <v>2097</v>
      </c>
      <c r="C603" s="139" t="s">
        <v>2096</v>
      </c>
      <c r="D603" s="138">
        <v>39428</v>
      </c>
      <c r="E603" s="138" t="s">
        <v>985</v>
      </c>
    </row>
    <row r="604" spans="1:5" ht="15.75">
      <c r="A604" s="89" t="str">
        <f t="shared" si="9"/>
        <v>#03095</v>
      </c>
      <c r="B604" s="138" t="s">
        <v>2099</v>
      </c>
      <c r="C604" s="139" t="s">
        <v>2098</v>
      </c>
      <c r="D604" s="138">
        <v>39428</v>
      </c>
      <c r="E604" s="138" t="s">
        <v>924</v>
      </c>
    </row>
    <row r="605" spans="1:5" ht="15.75">
      <c r="A605" s="89" t="str">
        <f t="shared" si="9"/>
        <v>#03098</v>
      </c>
      <c r="B605" s="138" t="s">
        <v>2101</v>
      </c>
      <c r="C605" s="139" t="s">
        <v>2100</v>
      </c>
      <c r="D605" s="138">
        <v>39437</v>
      </c>
      <c r="E605" s="138" t="s">
        <v>1188</v>
      </c>
    </row>
    <row r="606" spans="1:5" ht="15.75">
      <c r="A606" s="89" t="str">
        <f t="shared" si="9"/>
        <v>#03105</v>
      </c>
      <c r="B606" s="138" t="s">
        <v>2103</v>
      </c>
      <c r="C606" s="139" t="s">
        <v>2102</v>
      </c>
      <c r="D606" s="138">
        <v>39440</v>
      </c>
      <c r="E606" s="138" t="s">
        <v>937</v>
      </c>
    </row>
    <row r="607" spans="1:5" ht="15.75">
      <c r="A607" s="89" t="str">
        <f t="shared" si="9"/>
        <v>#03125</v>
      </c>
      <c r="B607" s="138" t="s">
        <v>2105</v>
      </c>
      <c r="C607" s="139" t="s">
        <v>2104</v>
      </c>
      <c r="D607" s="138">
        <v>39449</v>
      </c>
      <c r="E607" s="138" t="s">
        <v>924</v>
      </c>
    </row>
    <row r="608" spans="1:5" ht="15.75">
      <c r="A608" s="89" t="str">
        <f t="shared" si="9"/>
        <v>#03130</v>
      </c>
      <c r="B608" s="138" t="s">
        <v>2107</v>
      </c>
      <c r="C608" s="139" t="s">
        <v>2106</v>
      </c>
      <c r="D608" s="138">
        <v>39449</v>
      </c>
      <c r="E608" s="138" t="s">
        <v>895</v>
      </c>
    </row>
    <row r="609" spans="1:5" ht="15.75">
      <c r="A609" s="89" t="str">
        <f t="shared" si="9"/>
        <v>#03137</v>
      </c>
      <c r="B609" s="138" t="s">
        <v>2109</v>
      </c>
      <c r="C609" s="139" t="s">
        <v>2108</v>
      </c>
      <c r="D609" s="138">
        <v>39449</v>
      </c>
      <c r="E609" s="138" t="s">
        <v>985</v>
      </c>
    </row>
    <row r="610" spans="1:5" ht="15.75">
      <c r="A610" s="89" t="str">
        <f t="shared" si="9"/>
        <v>#03139</v>
      </c>
      <c r="B610" s="138" t="s">
        <v>2111</v>
      </c>
      <c r="C610" s="139" t="s">
        <v>2110</v>
      </c>
      <c r="D610" s="138">
        <v>39449</v>
      </c>
      <c r="E610" s="138" t="s">
        <v>1133</v>
      </c>
    </row>
    <row r="611" spans="1:5" ht="15.75">
      <c r="A611" s="89" t="str">
        <f t="shared" si="9"/>
        <v>#03144</v>
      </c>
      <c r="B611" s="138" t="s">
        <v>2113</v>
      </c>
      <c r="C611" s="139" t="s">
        <v>2112</v>
      </c>
      <c r="D611" s="138">
        <v>39450</v>
      </c>
      <c r="E611" s="138" t="s">
        <v>937</v>
      </c>
    </row>
    <row r="612" spans="1:5" ht="15.75">
      <c r="A612" s="89" t="str">
        <f t="shared" si="9"/>
        <v>#03146</v>
      </c>
      <c r="B612" s="138" t="s">
        <v>2115</v>
      </c>
      <c r="C612" s="139" t="s">
        <v>2114</v>
      </c>
      <c r="D612" s="138">
        <v>39449</v>
      </c>
      <c r="E612" s="138" t="s">
        <v>1133</v>
      </c>
    </row>
    <row r="613" spans="1:5" ht="15.75">
      <c r="A613" s="89" t="str">
        <f t="shared" si="9"/>
        <v>#03147</v>
      </c>
      <c r="B613" s="138" t="s">
        <v>2116</v>
      </c>
      <c r="C613" s="139" t="s">
        <v>979</v>
      </c>
      <c r="D613" s="138">
        <v>39450</v>
      </c>
      <c r="E613" s="138" t="s">
        <v>1098</v>
      </c>
    </row>
    <row r="614" spans="1:5" ht="15.75">
      <c r="A614" s="89" t="str">
        <f t="shared" si="9"/>
        <v>#03158</v>
      </c>
      <c r="B614" s="138" t="s">
        <v>2118</v>
      </c>
      <c r="C614" s="139" t="s">
        <v>2117</v>
      </c>
      <c r="D614" s="138">
        <v>39456</v>
      </c>
      <c r="E614" s="138" t="s">
        <v>7818</v>
      </c>
    </row>
    <row r="615" spans="1:5" ht="15.75">
      <c r="A615" s="89" t="str">
        <f t="shared" si="9"/>
        <v>#03168</v>
      </c>
      <c r="B615" s="138" t="s">
        <v>2120</v>
      </c>
      <c r="C615" s="139" t="s">
        <v>2119</v>
      </c>
      <c r="D615" s="138">
        <v>39456</v>
      </c>
      <c r="E615" s="138" t="s">
        <v>7818</v>
      </c>
    </row>
    <row r="616" spans="1:5" ht="15.75">
      <c r="A616" s="89" t="str">
        <f t="shared" si="9"/>
        <v>#03171</v>
      </c>
      <c r="B616" s="138" t="s">
        <v>2122</v>
      </c>
      <c r="C616" s="139" t="s">
        <v>2121</v>
      </c>
      <c r="D616" s="138">
        <v>39456</v>
      </c>
      <c r="E616" s="138" t="s">
        <v>1133</v>
      </c>
    </row>
    <row r="617" spans="1:5" ht="15.75">
      <c r="A617" s="89" t="str">
        <f t="shared" si="9"/>
        <v>#03177</v>
      </c>
      <c r="B617" s="138" t="s">
        <v>2124</v>
      </c>
      <c r="C617" s="139" t="s">
        <v>2123</v>
      </c>
      <c r="D617" s="138">
        <v>39456</v>
      </c>
      <c r="E617" s="138" t="s">
        <v>985</v>
      </c>
    </row>
    <row r="618" spans="1:5" ht="15.75">
      <c r="A618" s="89" t="str">
        <f t="shared" si="9"/>
        <v>#03178</v>
      </c>
      <c r="B618" s="138" t="s">
        <v>2126</v>
      </c>
      <c r="C618" s="139" t="s">
        <v>2125</v>
      </c>
      <c r="D618" s="138">
        <v>39456</v>
      </c>
      <c r="E618" s="138" t="s">
        <v>985</v>
      </c>
    </row>
    <row r="619" spans="1:5" ht="15.75">
      <c r="A619" s="89" t="str">
        <f t="shared" si="9"/>
        <v>#03180</v>
      </c>
      <c r="B619" s="138" t="s">
        <v>2129</v>
      </c>
      <c r="C619" s="139" t="s">
        <v>2128</v>
      </c>
      <c r="D619" s="138">
        <v>39456</v>
      </c>
      <c r="E619" s="138" t="s">
        <v>985</v>
      </c>
    </row>
    <row r="620" spans="1:5" ht="15.75">
      <c r="A620" s="89" t="str">
        <f t="shared" si="9"/>
        <v>#03184</v>
      </c>
      <c r="B620" s="138" t="s">
        <v>2131</v>
      </c>
      <c r="C620" s="139" t="s">
        <v>2130</v>
      </c>
      <c r="D620" s="138">
        <v>39456</v>
      </c>
      <c r="E620" s="138" t="s">
        <v>1133</v>
      </c>
    </row>
    <row r="621" spans="1:5" ht="15.75">
      <c r="A621" s="89" t="str">
        <f t="shared" si="9"/>
        <v>#03196</v>
      </c>
      <c r="B621" s="138" t="s">
        <v>2133</v>
      </c>
      <c r="C621" s="139" t="s">
        <v>2132</v>
      </c>
      <c r="D621" s="138">
        <v>39457</v>
      </c>
      <c r="E621" s="138" t="s">
        <v>934</v>
      </c>
    </row>
    <row r="622" spans="1:5" ht="15.75">
      <c r="A622" s="89" t="str">
        <f t="shared" si="9"/>
        <v>#03197</v>
      </c>
      <c r="B622" s="138" t="s">
        <v>2135</v>
      </c>
      <c r="C622" s="139" t="s">
        <v>2134</v>
      </c>
      <c r="D622" s="138">
        <v>39457</v>
      </c>
      <c r="E622" s="138" t="s">
        <v>895</v>
      </c>
    </row>
    <row r="623" spans="1:5" ht="15.75">
      <c r="A623" s="89" t="str">
        <f t="shared" si="9"/>
        <v>#03198</v>
      </c>
      <c r="B623" s="138" t="s">
        <v>2137</v>
      </c>
      <c r="C623" s="139" t="s">
        <v>2136</v>
      </c>
      <c r="D623" s="138">
        <v>39457</v>
      </c>
      <c r="E623" s="138" t="s">
        <v>895</v>
      </c>
    </row>
    <row r="624" spans="1:5" ht="15.75">
      <c r="A624" s="89" t="str">
        <f t="shared" si="9"/>
        <v>#03203</v>
      </c>
      <c r="B624" s="138" t="s">
        <v>2139</v>
      </c>
      <c r="C624" s="139" t="s">
        <v>2138</v>
      </c>
      <c r="D624" s="138">
        <v>39462</v>
      </c>
      <c r="E624" s="138" t="s">
        <v>906</v>
      </c>
    </row>
    <row r="625" spans="1:5" ht="15.75">
      <c r="A625" s="89" t="str">
        <f t="shared" si="9"/>
        <v>#03229</v>
      </c>
      <c r="B625" s="138" t="s">
        <v>2141</v>
      </c>
      <c r="C625" s="139" t="s">
        <v>2140</v>
      </c>
      <c r="D625" s="138">
        <v>39471</v>
      </c>
      <c r="E625" s="138" t="s">
        <v>1034</v>
      </c>
    </row>
    <row r="626" spans="1:5" ht="15.75">
      <c r="A626" s="89" t="str">
        <f t="shared" si="9"/>
        <v>#03264</v>
      </c>
      <c r="B626" s="138" t="s">
        <v>2143</v>
      </c>
      <c r="C626" s="139" t="s">
        <v>2142</v>
      </c>
      <c r="D626" s="138">
        <v>39500</v>
      </c>
      <c r="E626" s="138" t="s">
        <v>906</v>
      </c>
    </row>
    <row r="627" spans="1:5" ht="15.75">
      <c r="A627" s="89" t="str">
        <f t="shared" si="9"/>
        <v>#03274</v>
      </c>
      <c r="B627" s="138" t="s">
        <v>2145</v>
      </c>
      <c r="C627" s="139" t="s">
        <v>2144</v>
      </c>
      <c r="D627" s="138">
        <v>39500</v>
      </c>
      <c r="E627" s="138" t="s">
        <v>7818</v>
      </c>
    </row>
    <row r="628" spans="1:5" ht="15.75">
      <c r="A628" s="89" t="str">
        <f t="shared" si="9"/>
        <v>#03282</v>
      </c>
      <c r="B628" s="138" t="s">
        <v>2147</v>
      </c>
      <c r="C628" s="139" t="s">
        <v>2146</v>
      </c>
      <c r="D628" s="138">
        <v>39501</v>
      </c>
      <c r="E628" s="138" t="s">
        <v>948</v>
      </c>
    </row>
    <row r="629" spans="1:5" ht="15.75">
      <c r="A629" s="89" t="str">
        <f t="shared" si="9"/>
        <v>#03283</v>
      </c>
      <c r="B629" s="138" t="s">
        <v>2149</v>
      </c>
      <c r="C629" s="139" t="s">
        <v>2148</v>
      </c>
      <c r="D629" s="138">
        <v>39500</v>
      </c>
      <c r="E629" s="138" t="s">
        <v>937</v>
      </c>
    </row>
    <row r="630" spans="1:5" ht="15.75">
      <c r="A630" s="89" t="str">
        <f t="shared" si="9"/>
        <v>#03285</v>
      </c>
      <c r="B630" s="138" t="s">
        <v>2151</v>
      </c>
      <c r="C630" s="139" t="s">
        <v>2150</v>
      </c>
      <c r="D630" s="138">
        <v>39500</v>
      </c>
      <c r="E630" s="138" t="s">
        <v>937</v>
      </c>
    </row>
    <row r="631" spans="1:5" ht="15.75">
      <c r="A631" s="89" t="str">
        <f t="shared" si="9"/>
        <v>#03290</v>
      </c>
      <c r="B631" s="138" t="s">
        <v>2153</v>
      </c>
      <c r="C631" s="139" t="s">
        <v>2152</v>
      </c>
      <c r="D631" s="138">
        <v>39500</v>
      </c>
      <c r="E631" s="138" t="s">
        <v>1380</v>
      </c>
    </row>
    <row r="632" spans="1:5" ht="15.75">
      <c r="A632" s="89" t="str">
        <f t="shared" si="9"/>
        <v>#03292</v>
      </c>
      <c r="B632" s="138" t="s">
        <v>2155</v>
      </c>
      <c r="C632" s="139" t="s">
        <v>2154</v>
      </c>
      <c r="D632" s="138">
        <v>39500</v>
      </c>
      <c r="E632" s="138" t="s">
        <v>978</v>
      </c>
    </row>
    <row r="633" spans="1:5" ht="15.75">
      <c r="A633" s="89" t="str">
        <f t="shared" si="9"/>
        <v>#03293</v>
      </c>
      <c r="B633" s="138" t="s">
        <v>2157</v>
      </c>
      <c r="C633" s="139" t="s">
        <v>2156</v>
      </c>
      <c r="D633" s="138">
        <v>39500</v>
      </c>
      <c r="E633" s="138" t="s">
        <v>1380</v>
      </c>
    </row>
    <row r="634" spans="1:5" ht="15.75">
      <c r="A634" s="89" t="str">
        <f t="shared" si="9"/>
        <v>#03294</v>
      </c>
      <c r="B634" s="138" t="s">
        <v>2159</v>
      </c>
      <c r="C634" s="139" t="s">
        <v>2158</v>
      </c>
      <c r="D634" s="138">
        <v>39500</v>
      </c>
      <c r="E634" s="138" t="s">
        <v>1034</v>
      </c>
    </row>
    <row r="635" spans="1:5" ht="15.75">
      <c r="A635" s="89" t="str">
        <f t="shared" si="9"/>
        <v>#03298</v>
      </c>
      <c r="B635" s="138" t="s">
        <v>2160</v>
      </c>
      <c r="C635" s="139" t="s">
        <v>1395</v>
      </c>
      <c r="D635" s="138">
        <v>39500</v>
      </c>
      <c r="E635" s="138" t="s">
        <v>1043</v>
      </c>
    </row>
    <row r="636" spans="1:5" ht="15.75">
      <c r="A636" s="89" t="str">
        <f t="shared" si="9"/>
        <v>#03299</v>
      </c>
      <c r="B636" s="138" t="s">
        <v>2162</v>
      </c>
      <c r="C636" s="139" t="s">
        <v>2161</v>
      </c>
      <c r="D636" s="138">
        <v>39500</v>
      </c>
      <c r="E636" s="138" t="s">
        <v>1380</v>
      </c>
    </row>
    <row r="637" spans="1:5" ht="15.75">
      <c r="A637" s="89" t="str">
        <f t="shared" si="9"/>
        <v>#03304</v>
      </c>
      <c r="B637" s="138" t="s">
        <v>2164</v>
      </c>
      <c r="C637" s="139" t="s">
        <v>2163</v>
      </c>
      <c r="D637" s="138">
        <v>39500</v>
      </c>
      <c r="E637" s="138" t="s">
        <v>1063</v>
      </c>
    </row>
    <row r="638" spans="1:5" ht="15.75">
      <c r="A638" s="89" t="str">
        <f t="shared" si="9"/>
        <v>#03308</v>
      </c>
      <c r="B638" s="138" t="s">
        <v>2166</v>
      </c>
      <c r="C638" s="139" t="s">
        <v>2165</v>
      </c>
      <c r="D638" s="138">
        <v>39500</v>
      </c>
      <c r="E638" s="138" t="s">
        <v>1063</v>
      </c>
    </row>
    <row r="639" spans="1:5" ht="15.75">
      <c r="A639" s="89" t="str">
        <f t="shared" si="9"/>
        <v>#03324</v>
      </c>
      <c r="B639" s="138" t="s">
        <v>2167</v>
      </c>
      <c r="C639" s="139" t="s">
        <v>2150</v>
      </c>
      <c r="D639" s="138">
        <v>39505</v>
      </c>
      <c r="E639" s="138" t="s">
        <v>8037</v>
      </c>
    </row>
    <row r="640" spans="1:5" ht="15.75">
      <c r="A640" s="89" t="str">
        <f t="shared" si="9"/>
        <v>#03327</v>
      </c>
      <c r="B640" s="138" t="s">
        <v>2169</v>
      </c>
      <c r="C640" s="139" t="s">
        <v>2168</v>
      </c>
      <c r="D640" s="138">
        <v>39505</v>
      </c>
      <c r="E640" s="138" t="s">
        <v>985</v>
      </c>
    </row>
    <row r="641" spans="1:5" ht="15.75">
      <c r="A641" s="89" t="str">
        <f t="shared" si="9"/>
        <v>#03330</v>
      </c>
      <c r="B641" s="138" t="s">
        <v>2170</v>
      </c>
      <c r="C641" s="139" t="s">
        <v>938</v>
      </c>
      <c r="D641" s="138">
        <v>39505</v>
      </c>
      <c r="E641" s="138" t="s">
        <v>948</v>
      </c>
    </row>
    <row r="642" spans="1:5" ht="15.75">
      <c r="A642" s="89" t="str">
        <f t="shared" si="9"/>
        <v>#03345</v>
      </c>
      <c r="B642" s="138" t="s">
        <v>2172</v>
      </c>
      <c r="C642" s="139" t="s">
        <v>2171</v>
      </c>
      <c r="D642" s="138">
        <v>39505</v>
      </c>
      <c r="E642" s="138" t="s">
        <v>937</v>
      </c>
    </row>
    <row r="643" spans="1:5" ht="15.75">
      <c r="A643" s="89" t="str">
        <f t="shared" ref="A643:A706" si="10">"#"&amp;B643</f>
        <v>#03352</v>
      </c>
      <c r="B643" s="138" t="s">
        <v>2174</v>
      </c>
      <c r="C643" s="139" t="s">
        <v>2173</v>
      </c>
      <c r="D643" s="138">
        <v>39505</v>
      </c>
      <c r="E643" s="138" t="s">
        <v>957</v>
      </c>
    </row>
    <row r="644" spans="1:5" ht="15.75">
      <c r="A644" s="89" t="str">
        <f t="shared" si="10"/>
        <v>#03354</v>
      </c>
      <c r="B644" s="138" t="s">
        <v>2175</v>
      </c>
      <c r="C644" s="139" t="s">
        <v>2112</v>
      </c>
      <c r="D644" s="138">
        <v>39505</v>
      </c>
      <c r="E644" s="138" t="s">
        <v>903</v>
      </c>
    </row>
    <row r="645" spans="1:5" ht="15.75">
      <c r="A645" s="89" t="str">
        <f t="shared" si="10"/>
        <v>#03356</v>
      </c>
      <c r="B645" s="138" t="s">
        <v>2177</v>
      </c>
      <c r="C645" s="139" t="s">
        <v>2176</v>
      </c>
      <c r="D645" s="138">
        <v>39505</v>
      </c>
      <c r="E645" s="138" t="s">
        <v>797</v>
      </c>
    </row>
    <row r="646" spans="1:5" ht="15.75">
      <c r="A646" s="89" t="str">
        <f t="shared" si="10"/>
        <v>#03359</v>
      </c>
      <c r="B646" s="138" t="s">
        <v>2179</v>
      </c>
      <c r="C646" s="139" t="s">
        <v>2178</v>
      </c>
      <c r="D646" s="138">
        <v>39505</v>
      </c>
      <c r="E646" s="138" t="s">
        <v>721</v>
      </c>
    </row>
    <row r="647" spans="1:5" ht="15.75">
      <c r="A647" s="89" t="str">
        <f t="shared" si="10"/>
        <v>#03361</v>
      </c>
      <c r="B647" s="138" t="s">
        <v>2181</v>
      </c>
      <c r="C647" s="139" t="s">
        <v>2180</v>
      </c>
      <c r="D647" s="138">
        <v>39506</v>
      </c>
      <c r="E647" s="138" t="s">
        <v>1063</v>
      </c>
    </row>
    <row r="648" spans="1:5" ht="15.75">
      <c r="A648" s="89" t="str">
        <f t="shared" si="10"/>
        <v>#03363</v>
      </c>
      <c r="B648" s="138" t="s">
        <v>2183</v>
      </c>
      <c r="C648" s="139" t="s">
        <v>2182</v>
      </c>
      <c r="D648" s="138">
        <v>39510</v>
      </c>
      <c r="E648" s="138" t="s">
        <v>906</v>
      </c>
    </row>
    <row r="649" spans="1:5" ht="31.5">
      <c r="A649" s="89" t="str">
        <f t="shared" si="10"/>
        <v>#03366</v>
      </c>
      <c r="B649" s="138" t="s">
        <v>2185</v>
      </c>
      <c r="C649" s="139" t="s">
        <v>2184</v>
      </c>
      <c r="D649" s="138">
        <v>39510</v>
      </c>
      <c r="E649" s="138" t="s">
        <v>1133</v>
      </c>
    </row>
    <row r="650" spans="1:5" ht="15.75">
      <c r="A650" s="89" t="str">
        <f t="shared" si="10"/>
        <v>#03368</v>
      </c>
      <c r="B650" s="138" t="s">
        <v>2187</v>
      </c>
      <c r="C650" s="139" t="s">
        <v>2186</v>
      </c>
      <c r="D650" s="138">
        <v>39510</v>
      </c>
      <c r="E650" s="138" t="s">
        <v>1034</v>
      </c>
    </row>
    <row r="651" spans="1:5" ht="15.75">
      <c r="A651" s="89" t="str">
        <f t="shared" si="10"/>
        <v>#03371</v>
      </c>
      <c r="B651" s="138" t="s">
        <v>2189</v>
      </c>
      <c r="C651" s="139" t="s">
        <v>2188</v>
      </c>
      <c r="D651" s="138">
        <v>39510</v>
      </c>
      <c r="E651" s="138" t="s">
        <v>1034</v>
      </c>
    </row>
    <row r="652" spans="1:5" ht="15.75">
      <c r="A652" s="89" t="str">
        <f t="shared" si="10"/>
        <v>#03372</v>
      </c>
      <c r="B652" s="138" t="s">
        <v>2191</v>
      </c>
      <c r="C652" s="139" t="s">
        <v>2190</v>
      </c>
      <c r="D652" s="138">
        <v>39510</v>
      </c>
      <c r="E652" s="138" t="s">
        <v>1133</v>
      </c>
    </row>
    <row r="653" spans="1:5" ht="15.75">
      <c r="A653" s="89" t="str">
        <f t="shared" si="10"/>
        <v>#03373</v>
      </c>
      <c r="B653" s="138" t="s">
        <v>2193</v>
      </c>
      <c r="C653" s="139" t="s">
        <v>2192</v>
      </c>
      <c r="D653" s="138">
        <v>39510</v>
      </c>
      <c r="E653" s="138" t="s">
        <v>1133</v>
      </c>
    </row>
    <row r="654" spans="1:5" ht="15.75">
      <c r="A654" s="89" t="str">
        <f t="shared" si="10"/>
        <v>#03376</v>
      </c>
      <c r="B654" s="138" t="s">
        <v>2194</v>
      </c>
      <c r="C654" s="139" t="s">
        <v>981</v>
      </c>
      <c r="D654" s="138">
        <v>39510</v>
      </c>
      <c r="E654" s="138" t="s">
        <v>985</v>
      </c>
    </row>
    <row r="655" spans="1:5" ht="15.75">
      <c r="A655" s="89" t="str">
        <f t="shared" si="10"/>
        <v>#03384</v>
      </c>
      <c r="B655" s="138" t="s">
        <v>2195</v>
      </c>
      <c r="C655" s="139" t="s">
        <v>1767</v>
      </c>
      <c r="D655" s="138">
        <v>39510</v>
      </c>
      <c r="E655" s="138" t="s">
        <v>1188</v>
      </c>
    </row>
    <row r="656" spans="1:5" ht="15.75">
      <c r="A656" s="89" t="str">
        <f t="shared" si="10"/>
        <v>#03385</v>
      </c>
      <c r="B656" s="138" t="s">
        <v>2197</v>
      </c>
      <c r="C656" s="139" t="s">
        <v>2196</v>
      </c>
      <c r="D656" s="138">
        <v>39510</v>
      </c>
      <c r="E656" s="138" t="s">
        <v>937</v>
      </c>
    </row>
    <row r="657" spans="1:5" ht="15.75">
      <c r="A657" s="89" t="str">
        <f t="shared" si="10"/>
        <v>#03387</v>
      </c>
      <c r="B657" s="138" t="s">
        <v>2199</v>
      </c>
      <c r="C657" s="139" t="s">
        <v>2198</v>
      </c>
      <c r="D657" s="138">
        <v>39510</v>
      </c>
      <c r="E657" s="138" t="s">
        <v>895</v>
      </c>
    </row>
    <row r="658" spans="1:5" ht="15.75">
      <c r="A658" s="89" t="str">
        <f t="shared" si="10"/>
        <v>#03390</v>
      </c>
      <c r="B658" s="138" t="s">
        <v>2201</v>
      </c>
      <c r="C658" s="139" t="s">
        <v>2200</v>
      </c>
      <c r="D658" s="138">
        <v>39510</v>
      </c>
      <c r="E658" s="138" t="s">
        <v>895</v>
      </c>
    </row>
    <row r="659" spans="1:5" ht="15.75">
      <c r="A659" s="89" t="str">
        <f t="shared" si="10"/>
        <v>#03392</v>
      </c>
      <c r="B659" s="138" t="s">
        <v>2203</v>
      </c>
      <c r="C659" s="139" t="s">
        <v>2202</v>
      </c>
      <c r="D659" s="138">
        <v>39510</v>
      </c>
      <c r="E659" s="138" t="s">
        <v>895</v>
      </c>
    </row>
    <row r="660" spans="1:5" ht="15.75">
      <c r="A660" s="89" t="str">
        <f t="shared" si="10"/>
        <v>#03401</v>
      </c>
      <c r="B660" s="138" t="s">
        <v>2204</v>
      </c>
      <c r="C660" s="139" t="s">
        <v>1790</v>
      </c>
      <c r="D660" s="138">
        <v>39510</v>
      </c>
      <c r="E660" s="138" t="s">
        <v>1043</v>
      </c>
    </row>
    <row r="661" spans="1:5" ht="15.75">
      <c r="A661" s="89" t="str">
        <f t="shared" si="10"/>
        <v>#03408</v>
      </c>
      <c r="B661" s="138" t="s">
        <v>2205</v>
      </c>
      <c r="C661" s="139" t="s">
        <v>1580</v>
      </c>
      <c r="D661" s="138">
        <v>39512</v>
      </c>
      <c r="E661" s="138" t="s">
        <v>721</v>
      </c>
    </row>
    <row r="662" spans="1:5" ht="15.75">
      <c r="A662" s="89" t="str">
        <f t="shared" si="10"/>
        <v>#03410</v>
      </c>
      <c r="B662" s="138" t="s">
        <v>2207</v>
      </c>
      <c r="C662" s="139" t="s">
        <v>2206</v>
      </c>
      <c r="D662" s="138">
        <v>39512</v>
      </c>
      <c r="E662" s="138" t="s">
        <v>906</v>
      </c>
    </row>
    <row r="663" spans="1:5" ht="15.75">
      <c r="A663" s="89" t="str">
        <f t="shared" si="10"/>
        <v>#03412</v>
      </c>
      <c r="B663" s="138" t="s">
        <v>2209</v>
      </c>
      <c r="C663" s="139" t="s">
        <v>2208</v>
      </c>
      <c r="D663" s="138">
        <v>39513</v>
      </c>
      <c r="E663" s="138" t="s">
        <v>906</v>
      </c>
    </row>
    <row r="664" spans="1:5" ht="15.75">
      <c r="A664" s="89" t="str">
        <f t="shared" si="10"/>
        <v>#03413</v>
      </c>
      <c r="B664" s="138" t="s">
        <v>2211</v>
      </c>
      <c r="C664" s="139" t="s">
        <v>2210</v>
      </c>
      <c r="D664" s="138">
        <v>39512</v>
      </c>
      <c r="E664" s="138" t="s">
        <v>906</v>
      </c>
    </row>
    <row r="665" spans="1:5" ht="15.75">
      <c r="A665" s="89" t="str">
        <f t="shared" si="10"/>
        <v>#03417</v>
      </c>
      <c r="B665" s="138" t="s">
        <v>2213</v>
      </c>
      <c r="C665" s="139" t="s">
        <v>2212</v>
      </c>
      <c r="D665" s="138">
        <v>39512</v>
      </c>
      <c r="E665" s="138" t="s">
        <v>906</v>
      </c>
    </row>
    <row r="666" spans="1:5" ht="15.75">
      <c r="A666" s="89" t="str">
        <f t="shared" si="10"/>
        <v>#03423</v>
      </c>
      <c r="B666" s="138" t="s">
        <v>2215</v>
      </c>
      <c r="C666" s="139" t="s">
        <v>2214</v>
      </c>
      <c r="D666" s="138">
        <v>39517</v>
      </c>
      <c r="E666" s="138" t="s">
        <v>1451</v>
      </c>
    </row>
    <row r="667" spans="1:5" ht="15.75">
      <c r="A667" s="89" t="str">
        <f t="shared" si="10"/>
        <v>#03429</v>
      </c>
      <c r="B667" s="138" t="s">
        <v>2217</v>
      </c>
      <c r="C667" s="139" t="s">
        <v>2216</v>
      </c>
      <c r="D667" s="138">
        <v>39520</v>
      </c>
      <c r="E667" s="138" t="s">
        <v>7818</v>
      </c>
    </row>
    <row r="668" spans="1:5" ht="15.75">
      <c r="A668" s="89" t="str">
        <f t="shared" si="10"/>
        <v>#03439</v>
      </c>
      <c r="B668" s="138" t="s">
        <v>2219</v>
      </c>
      <c r="C668" s="139" t="s">
        <v>2218</v>
      </c>
      <c r="D668" s="138">
        <v>39520</v>
      </c>
      <c r="E668" s="138" t="s">
        <v>985</v>
      </c>
    </row>
    <row r="669" spans="1:5" ht="15.75">
      <c r="A669" s="89" t="str">
        <f t="shared" si="10"/>
        <v>#03441</v>
      </c>
      <c r="B669" s="138" t="s">
        <v>2221</v>
      </c>
      <c r="C669" s="139" t="s">
        <v>2220</v>
      </c>
      <c r="D669" s="138">
        <v>39520</v>
      </c>
      <c r="E669" s="138" t="s">
        <v>1380</v>
      </c>
    </row>
    <row r="670" spans="1:5" ht="15.75">
      <c r="A670" s="89" t="str">
        <f t="shared" si="10"/>
        <v>#03447</v>
      </c>
      <c r="B670" s="138" t="s">
        <v>2223</v>
      </c>
      <c r="C670" s="139" t="s">
        <v>2222</v>
      </c>
      <c r="D670" s="138">
        <v>39520</v>
      </c>
      <c r="E670" s="138" t="s">
        <v>924</v>
      </c>
    </row>
    <row r="671" spans="1:5" ht="15.75">
      <c r="A671" s="89" t="str">
        <f t="shared" si="10"/>
        <v>#03454</v>
      </c>
      <c r="B671" s="138" t="s">
        <v>2224</v>
      </c>
      <c r="C671" s="139" t="s">
        <v>1645</v>
      </c>
      <c r="D671" s="138">
        <v>39520</v>
      </c>
      <c r="E671" s="138" t="s">
        <v>895</v>
      </c>
    </row>
    <row r="672" spans="1:5" ht="15.75">
      <c r="A672" s="89" t="str">
        <f t="shared" si="10"/>
        <v>#03459</v>
      </c>
      <c r="B672" s="138" t="s">
        <v>2226</v>
      </c>
      <c r="C672" s="139" t="s">
        <v>2225</v>
      </c>
      <c r="D672" s="138">
        <v>39520</v>
      </c>
      <c r="E672" s="138" t="s">
        <v>1098</v>
      </c>
    </row>
    <row r="673" spans="1:5" ht="15.75">
      <c r="A673" s="89" t="str">
        <f t="shared" si="10"/>
        <v>#03464</v>
      </c>
      <c r="B673" s="138" t="s">
        <v>2228</v>
      </c>
      <c r="C673" s="139" t="s">
        <v>2227</v>
      </c>
      <c r="D673" s="138">
        <v>39520</v>
      </c>
      <c r="E673" s="138" t="s">
        <v>1133</v>
      </c>
    </row>
    <row r="674" spans="1:5" ht="15.75">
      <c r="A674" s="89" t="str">
        <f t="shared" si="10"/>
        <v>#03469</v>
      </c>
      <c r="B674" s="138" t="s">
        <v>2230</v>
      </c>
      <c r="C674" s="139" t="s">
        <v>2229</v>
      </c>
      <c r="D674" s="138">
        <v>39520</v>
      </c>
      <c r="E674" s="138" t="s">
        <v>1380</v>
      </c>
    </row>
    <row r="675" spans="1:5" ht="15.75">
      <c r="A675" s="89" t="str">
        <f t="shared" si="10"/>
        <v>#03470</v>
      </c>
      <c r="B675" s="138" t="s">
        <v>2232</v>
      </c>
      <c r="C675" s="139" t="s">
        <v>2231</v>
      </c>
      <c r="D675" s="138">
        <v>39520</v>
      </c>
      <c r="E675" s="138" t="s">
        <v>985</v>
      </c>
    </row>
    <row r="676" spans="1:5" ht="15.75">
      <c r="A676" s="89" t="str">
        <f t="shared" si="10"/>
        <v>#03473</v>
      </c>
      <c r="B676" s="138" t="s">
        <v>2233</v>
      </c>
      <c r="C676" s="139" t="s">
        <v>1239</v>
      </c>
      <c r="D676" s="138">
        <v>39520</v>
      </c>
      <c r="E676" s="138" t="s">
        <v>985</v>
      </c>
    </row>
    <row r="677" spans="1:5" ht="15.75">
      <c r="A677" s="89" t="str">
        <f t="shared" si="10"/>
        <v>#03475</v>
      </c>
      <c r="B677" s="138" t="s">
        <v>2235</v>
      </c>
      <c r="C677" s="139" t="s">
        <v>2234</v>
      </c>
      <c r="D677" s="138">
        <v>39520</v>
      </c>
      <c r="E677" s="138" t="s">
        <v>985</v>
      </c>
    </row>
    <row r="678" spans="1:5" ht="15.75">
      <c r="A678" s="89" t="str">
        <f t="shared" si="10"/>
        <v>#03480</v>
      </c>
      <c r="B678" s="138" t="s">
        <v>2237</v>
      </c>
      <c r="C678" s="139" t="s">
        <v>2236</v>
      </c>
      <c r="D678" s="138">
        <v>39521</v>
      </c>
      <c r="E678" s="138" t="s">
        <v>721</v>
      </c>
    </row>
    <row r="679" spans="1:5" ht="15.75">
      <c r="A679" s="89" t="str">
        <f t="shared" si="10"/>
        <v>#03481</v>
      </c>
      <c r="B679" s="138" t="s">
        <v>2239</v>
      </c>
      <c r="C679" s="139" t="s">
        <v>2238</v>
      </c>
      <c r="D679" s="138">
        <v>39521</v>
      </c>
      <c r="E679" s="138" t="s">
        <v>890</v>
      </c>
    </row>
    <row r="680" spans="1:5" ht="15.75">
      <c r="A680" s="89" t="str">
        <f t="shared" si="10"/>
        <v>#03483</v>
      </c>
      <c r="B680" s="138" t="s">
        <v>2241</v>
      </c>
      <c r="C680" s="139" t="s">
        <v>2240</v>
      </c>
      <c r="D680" s="138">
        <v>39524</v>
      </c>
      <c r="E680" s="138" t="s">
        <v>721</v>
      </c>
    </row>
    <row r="681" spans="1:5" ht="15.75">
      <c r="A681" s="89" t="str">
        <f t="shared" si="10"/>
        <v>#03487</v>
      </c>
      <c r="B681" s="138" t="s">
        <v>2243</v>
      </c>
      <c r="C681" s="139" t="s">
        <v>2242</v>
      </c>
      <c r="D681" s="138">
        <v>39524</v>
      </c>
      <c r="E681" s="138" t="s">
        <v>1004</v>
      </c>
    </row>
    <row r="682" spans="1:5" ht="15.75">
      <c r="A682" s="89" t="str">
        <f t="shared" si="10"/>
        <v>#03489</v>
      </c>
      <c r="B682" s="138" t="s">
        <v>2245</v>
      </c>
      <c r="C682" s="139" t="s">
        <v>2244</v>
      </c>
      <c r="D682" s="138">
        <v>39526</v>
      </c>
      <c r="E682" s="138" t="s">
        <v>1029</v>
      </c>
    </row>
    <row r="683" spans="1:5" ht="15.75">
      <c r="A683" s="89" t="str">
        <f t="shared" si="10"/>
        <v>#03499</v>
      </c>
      <c r="B683" s="138" t="s">
        <v>2247</v>
      </c>
      <c r="C683" s="139" t="s">
        <v>2246</v>
      </c>
      <c r="D683" s="138">
        <v>39533</v>
      </c>
      <c r="E683" s="138" t="s">
        <v>1029</v>
      </c>
    </row>
    <row r="684" spans="1:5" ht="15.75">
      <c r="A684" s="89" t="str">
        <f t="shared" si="10"/>
        <v>#03500</v>
      </c>
      <c r="B684" s="138" t="s">
        <v>2249</v>
      </c>
      <c r="C684" s="139" t="s">
        <v>2248</v>
      </c>
      <c r="D684" s="138">
        <v>39533</v>
      </c>
      <c r="E684" s="138" t="s">
        <v>752</v>
      </c>
    </row>
    <row r="685" spans="1:5" ht="15.75">
      <c r="A685" s="89" t="str">
        <f t="shared" si="10"/>
        <v>#03502</v>
      </c>
      <c r="B685" s="138" t="s">
        <v>2251</v>
      </c>
      <c r="C685" s="139" t="s">
        <v>2250</v>
      </c>
      <c r="D685" s="138">
        <v>39534</v>
      </c>
      <c r="E685" s="138" t="s">
        <v>1444</v>
      </c>
    </row>
    <row r="686" spans="1:5" ht="15.75">
      <c r="A686" s="89" t="str">
        <f t="shared" si="10"/>
        <v>#03521</v>
      </c>
      <c r="B686" s="138" t="s">
        <v>2253</v>
      </c>
      <c r="C686" s="139" t="s">
        <v>2252</v>
      </c>
      <c r="D686" s="138">
        <v>39539</v>
      </c>
      <c r="E686" s="138" t="s">
        <v>1380</v>
      </c>
    </row>
    <row r="687" spans="1:5" ht="15.75">
      <c r="A687" s="89" t="str">
        <f t="shared" si="10"/>
        <v>#03528</v>
      </c>
      <c r="B687" s="138" t="s">
        <v>2255</v>
      </c>
      <c r="C687" s="139" t="s">
        <v>2254</v>
      </c>
      <c r="D687" s="138">
        <v>39539</v>
      </c>
      <c r="E687" s="138" t="s">
        <v>7818</v>
      </c>
    </row>
    <row r="688" spans="1:5" ht="15.75">
      <c r="A688" s="89" t="str">
        <f t="shared" si="10"/>
        <v>#03534</v>
      </c>
      <c r="B688" s="138" t="s">
        <v>2257</v>
      </c>
      <c r="C688" s="139" t="s">
        <v>2256</v>
      </c>
      <c r="D688" s="138">
        <v>39540</v>
      </c>
      <c r="E688" s="138" t="s">
        <v>1487</v>
      </c>
    </row>
    <row r="689" spans="1:5" ht="15.75">
      <c r="A689" s="89" t="str">
        <f t="shared" si="10"/>
        <v>#03538</v>
      </c>
      <c r="B689" s="138" t="s">
        <v>2259</v>
      </c>
      <c r="C689" s="139" t="s">
        <v>2258</v>
      </c>
      <c r="D689" s="138">
        <v>39540</v>
      </c>
      <c r="E689" s="138" t="s">
        <v>1113</v>
      </c>
    </row>
    <row r="690" spans="1:5" ht="15.75">
      <c r="A690" s="89" t="str">
        <f t="shared" si="10"/>
        <v>#03550</v>
      </c>
      <c r="B690" s="138" t="s">
        <v>2261</v>
      </c>
      <c r="C690" s="139" t="s">
        <v>2260</v>
      </c>
      <c r="D690" s="138">
        <v>39546</v>
      </c>
      <c r="E690" s="138" t="s">
        <v>1255</v>
      </c>
    </row>
    <row r="691" spans="1:5" ht="15.75">
      <c r="A691" s="89" t="str">
        <f t="shared" si="10"/>
        <v>#03554</v>
      </c>
      <c r="B691" s="138" t="s">
        <v>2263</v>
      </c>
      <c r="C691" s="139" t="s">
        <v>2262</v>
      </c>
      <c r="D691" s="138">
        <v>39548</v>
      </c>
      <c r="E691" s="138" t="s">
        <v>937</v>
      </c>
    </row>
    <row r="692" spans="1:5" ht="15.75">
      <c r="A692" s="89" t="str">
        <f t="shared" si="10"/>
        <v>#03560</v>
      </c>
      <c r="B692" s="138" t="s">
        <v>2265</v>
      </c>
      <c r="C692" s="139" t="s">
        <v>2264</v>
      </c>
      <c r="D692" s="138">
        <v>39548</v>
      </c>
      <c r="E692" s="138" t="s">
        <v>1085</v>
      </c>
    </row>
    <row r="693" spans="1:5" ht="15.75">
      <c r="A693" s="89" t="str">
        <f t="shared" si="10"/>
        <v>#03562</v>
      </c>
      <c r="B693" s="138" t="s">
        <v>2267</v>
      </c>
      <c r="C693" s="139" t="s">
        <v>2266</v>
      </c>
      <c r="D693" s="138">
        <v>39549</v>
      </c>
      <c r="E693" s="138" t="s">
        <v>1085</v>
      </c>
    </row>
    <row r="694" spans="1:5" ht="15.75">
      <c r="A694" s="89" t="str">
        <f t="shared" si="10"/>
        <v>#03565</v>
      </c>
      <c r="B694" s="138" t="s">
        <v>2269</v>
      </c>
      <c r="C694" s="139" t="s">
        <v>2268</v>
      </c>
      <c r="D694" s="138">
        <v>39548</v>
      </c>
      <c r="E694" s="138" t="s">
        <v>927</v>
      </c>
    </row>
    <row r="695" spans="1:5" ht="15.75">
      <c r="A695" s="89" t="str">
        <f t="shared" si="10"/>
        <v>#03582</v>
      </c>
      <c r="B695" s="138" t="s">
        <v>2271</v>
      </c>
      <c r="C695" s="139" t="s">
        <v>2270</v>
      </c>
      <c r="D695" s="138">
        <v>39549</v>
      </c>
      <c r="E695" s="138" t="s">
        <v>906</v>
      </c>
    </row>
    <row r="696" spans="1:5" ht="15.75">
      <c r="A696" s="89" t="str">
        <f t="shared" si="10"/>
        <v>#03583</v>
      </c>
      <c r="B696" s="138" t="s">
        <v>2273</v>
      </c>
      <c r="C696" s="139" t="s">
        <v>2272</v>
      </c>
      <c r="D696" s="138">
        <v>39548</v>
      </c>
      <c r="E696" s="138" t="s">
        <v>906</v>
      </c>
    </row>
    <row r="697" spans="1:5" ht="15.75">
      <c r="A697" s="89" t="str">
        <f t="shared" si="10"/>
        <v>#03584</v>
      </c>
      <c r="B697" s="138" t="s">
        <v>2274</v>
      </c>
      <c r="C697" s="139" t="s">
        <v>1814</v>
      </c>
      <c r="D697" s="138">
        <v>39549</v>
      </c>
      <c r="E697" s="138" t="s">
        <v>906</v>
      </c>
    </row>
    <row r="698" spans="1:5" ht="15.75">
      <c r="A698" s="89" t="str">
        <f t="shared" si="10"/>
        <v>#03585</v>
      </c>
      <c r="B698" s="138" t="s">
        <v>2275</v>
      </c>
      <c r="C698" s="139" t="s">
        <v>1502</v>
      </c>
      <c r="D698" s="138">
        <v>39549</v>
      </c>
      <c r="E698" s="138" t="s">
        <v>906</v>
      </c>
    </row>
    <row r="699" spans="1:5" ht="15.75">
      <c r="A699" s="89" t="str">
        <f t="shared" si="10"/>
        <v>#03591</v>
      </c>
      <c r="B699" s="138" t="s">
        <v>2277</v>
      </c>
      <c r="C699" s="139" t="s">
        <v>2276</v>
      </c>
      <c r="D699" s="138">
        <v>39549</v>
      </c>
      <c r="E699" s="138" t="s">
        <v>895</v>
      </c>
    </row>
    <row r="700" spans="1:5" ht="15.75">
      <c r="A700" s="89" t="str">
        <f t="shared" si="10"/>
        <v>#03599</v>
      </c>
      <c r="B700" s="138" t="s">
        <v>2279</v>
      </c>
      <c r="C700" s="139" t="s">
        <v>2278</v>
      </c>
      <c r="D700" s="138">
        <v>39548</v>
      </c>
      <c r="E700" s="138" t="s">
        <v>957</v>
      </c>
    </row>
    <row r="701" spans="1:5" ht="15.75">
      <c r="A701" s="89" t="str">
        <f t="shared" si="10"/>
        <v>#03601</v>
      </c>
      <c r="B701" s="138" t="s">
        <v>2281</v>
      </c>
      <c r="C701" s="139" t="s">
        <v>2280</v>
      </c>
      <c r="D701" s="138">
        <v>39548</v>
      </c>
      <c r="E701" s="138" t="s">
        <v>957</v>
      </c>
    </row>
    <row r="702" spans="1:5" ht="15.75">
      <c r="A702" s="89" t="str">
        <f t="shared" si="10"/>
        <v>#03602</v>
      </c>
      <c r="B702" s="138" t="s">
        <v>2282</v>
      </c>
      <c r="C702" s="139" t="s">
        <v>1374</v>
      </c>
      <c r="D702" s="138">
        <v>39548</v>
      </c>
      <c r="E702" s="138" t="s">
        <v>957</v>
      </c>
    </row>
    <row r="703" spans="1:5" ht="15.75">
      <c r="A703" s="89" t="str">
        <f t="shared" si="10"/>
        <v>#03603</v>
      </c>
      <c r="B703" s="138" t="s">
        <v>2283</v>
      </c>
      <c r="C703" s="139" t="s">
        <v>1595</v>
      </c>
      <c r="D703" s="138">
        <v>39548</v>
      </c>
      <c r="E703" s="138" t="s">
        <v>1043</v>
      </c>
    </row>
    <row r="704" spans="1:5" ht="15.75">
      <c r="A704" s="89" t="str">
        <f t="shared" si="10"/>
        <v>#03613</v>
      </c>
      <c r="B704" s="138" t="s">
        <v>2285</v>
      </c>
      <c r="C704" s="139" t="s">
        <v>2284</v>
      </c>
      <c r="D704" s="138">
        <v>39549</v>
      </c>
      <c r="E704" s="138" t="s">
        <v>752</v>
      </c>
    </row>
    <row r="705" spans="1:5" ht="15.75">
      <c r="A705" s="89" t="str">
        <f t="shared" si="10"/>
        <v>#03615</v>
      </c>
      <c r="B705" s="138" t="s">
        <v>2287</v>
      </c>
      <c r="C705" s="139" t="s">
        <v>2286</v>
      </c>
      <c r="D705" s="138">
        <v>39550</v>
      </c>
      <c r="E705" s="138" t="s">
        <v>759</v>
      </c>
    </row>
    <row r="706" spans="1:5" ht="15.75">
      <c r="A706" s="89" t="str">
        <f t="shared" si="10"/>
        <v>#03618</v>
      </c>
      <c r="B706" s="138" t="s">
        <v>2288</v>
      </c>
      <c r="C706" s="139" t="s">
        <v>1407</v>
      </c>
      <c r="D706" s="138">
        <v>39554</v>
      </c>
      <c r="E706" s="138" t="s">
        <v>1444</v>
      </c>
    </row>
    <row r="707" spans="1:5" ht="18.75">
      <c r="A707" s="89" t="str">
        <f t="shared" ref="A707:A770" si="11">"#"&amp;B707</f>
        <v>#03649</v>
      </c>
      <c r="B707" s="138" t="s">
        <v>2290</v>
      </c>
      <c r="C707" s="236" t="s">
        <v>2289</v>
      </c>
      <c r="D707" s="206">
        <v>39562</v>
      </c>
      <c r="E707" s="138" t="s">
        <v>937</v>
      </c>
    </row>
    <row r="708" spans="1:5" ht="18.75">
      <c r="A708" s="89" t="str">
        <f t="shared" si="11"/>
        <v>#03657</v>
      </c>
      <c r="B708" s="138" t="s">
        <v>2292</v>
      </c>
      <c r="C708" s="236" t="s">
        <v>2291</v>
      </c>
      <c r="D708" s="206">
        <v>39562</v>
      </c>
      <c r="E708" s="138" t="s">
        <v>1085</v>
      </c>
    </row>
    <row r="709" spans="1:5" ht="18.75">
      <c r="A709" s="89" t="str">
        <f t="shared" si="11"/>
        <v>#03658</v>
      </c>
      <c r="B709" s="138" t="s">
        <v>2294</v>
      </c>
      <c r="C709" s="236" t="s">
        <v>2293</v>
      </c>
      <c r="D709" s="206">
        <v>39562</v>
      </c>
      <c r="E709" s="138" t="s">
        <v>7818</v>
      </c>
    </row>
    <row r="710" spans="1:5" ht="18.75">
      <c r="A710" s="89" t="str">
        <f t="shared" si="11"/>
        <v>#03671</v>
      </c>
      <c r="B710" s="138" t="s">
        <v>2296</v>
      </c>
      <c r="C710" s="236" t="s">
        <v>2295</v>
      </c>
      <c r="D710" s="206">
        <v>39562</v>
      </c>
      <c r="E710" s="138" t="s">
        <v>895</v>
      </c>
    </row>
    <row r="711" spans="1:5" ht="18.75">
      <c r="A711" s="89" t="str">
        <f t="shared" si="11"/>
        <v>#03680</v>
      </c>
      <c r="B711" s="138" t="s">
        <v>2298</v>
      </c>
      <c r="C711" s="236" t="s">
        <v>2297</v>
      </c>
      <c r="D711" s="206">
        <v>39575</v>
      </c>
      <c r="E711" s="138" t="s">
        <v>937</v>
      </c>
    </row>
    <row r="712" spans="1:5" ht="18.75">
      <c r="A712" s="89" t="str">
        <f t="shared" si="11"/>
        <v>#03685</v>
      </c>
      <c r="B712" s="138" t="s">
        <v>2300</v>
      </c>
      <c r="C712" s="236" t="s">
        <v>2299</v>
      </c>
      <c r="D712" s="206">
        <v>39575</v>
      </c>
      <c r="E712" s="138" t="s">
        <v>937</v>
      </c>
    </row>
    <row r="713" spans="1:5" ht="18.75">
      <c r="A713" s="89" t="str">
        <f t="shared" si="11"/>
        <v>#03693</v>
      </c>
      <c r="B713" s="138" t="s">
        <v>2302</v>
      </c>
      <c r="C713" s="236" t="s">
        <v>2301</v>
      </c>
      <c r="D713" s="206">
        <v>39575</v>
      </c>
      <c r="E713" s="138" t="s">
        <v>957</v>
      </c>
    </row>
    <row r="714" spans="1:5" ht="18.75">
      <c r="A714" s="89" t="str">
        <f t="shared" si="11"/>
        <v>#03697</v>
      </c>
      <c r="B714" s="138" t="s">
        <v>2304</v>
      </c>
      <c r="C714" s="236" t="s">
        <v>2303</v>
      </c>
      <c r="D714" s="206">
        <v>39576</v>
      </c>
      <c r="E714" s="138" t="s">
        <v>1098</v>
      </c>
    </row>
    <row r="715" spans="1:5" ht="18.75">
      <c r="A715" s="89" t="str">
        <f t="shared" si="11"/>
        <v>#03699</v>
      </c>
      <c r="B715" s="138" t="s">
        <v>2306</v>
      </c>
      <c r="C715" s="236" t="s">
        <v>2305</v>
      </c>
      <c r="D715" s="206">
        <v>39576</v>
      </c>
      <c r="E715" s="138" t="s">
        <v>1098</v>
      </c>
    </row>
    <row r="716" spans="1:5" ht="18.75">
      <c r="A716" s="89" t="str">
        <f t="shared" si="11"/>
        <v>#03712</v>
      </c>
      <c r="B716" s="138" t="s">
        <v>2307</v>
      </c>
      <c r="C716" s="236" t="s">
        <v>998</v>
      </c>
      <c r="D716" s="206">
        <v>39582</v>
      </c>
      <c r="E716" s="138" t="s">
        <v>1034</v>
      </c>
    </row>
    <row r="717" spans="1:5" ht="18.75">
      <c r="A717" s="89" t="str">
        <f t="shared" si="11"/>
        <v>#03718</v>
      </c>
      <c r="B717" s="138" t="s">
        <v>2309</v>
      </c>
      <c r="C717" s="236" t="s">
        <v>2308</v>
      </c>
      <c r="D717" s="206">
        <v>39582</v>
      </c>
      <c r="E717" s="138" t="s">
        <v>8037</v>
      </c>
    </row>
    <row r="718" spans="1:5" ht="18.75">
      <c r="A718" s="89" t="str">
        <f t="shared" si="11"/>
        <v>#03726</v>
      </c>
      <c r="B718" s="138" t="s">
        <v>2311</v>
      </c>
      <c r="C718" s="236" t="s">
        <v>2310</v>
      </c>
      <c r="D718" s="206">
        <v>39582</v>
      </c>
      <c r="E718" s="138" t="s">
        <v>8037</v>
      </c>
    </row>
    <row r="719" spans="1:5" ht="18.75">
      <c r="A719" s="89" t="str">
        <f t="shared" si="11"/>
        <v>#03735</v>
      </c>
      <c r="B719" s="138" t="s">
        <v>2312</v>
      </c>
      <c r="C719" s="236" t="s">
        <v>1175</v>
      </c>
      <c r="D719" s="206">
        <v>39582</v>
      </c>
      <c r="E719" s="138" t="s">
        <v>1043</v>
      </c>
    </row>
    <row r="720" spans="1:5" ht="18.75">
      <c r="A720" s="89" t="str">
        <f t="shared" si="11"/>
        <v>#03737</v>
      </c>
      <c r="B720" s="138" t="s">
        <v>2314</v>
      </c>
      <c r="C720" s="236" t="s">
        <v>2313</v>
      </c>
      <c r="D720" s="206">
        <v>39582</v>
      </c>
      <c r="E720" s="138" t="s">
        <v>903</v>
      </c>
    </row>
    <row r="721" spans="1:5" ht="18.75">
      <c r="A721" s="89" t="str">
        <f t="shared" si="11"/>
        <v>#03739</v>
      </c>
      <c r="B721" s="138" t="s">
        <v>2315</v>
      </c>
      <c r="C721" s="236" t="s">
        <v>976</v>
      </c>
      <c r="D721" s="206">
        <v>39582</v>
      </c>
      <c r="E721" s="138" t="s">
        <v>895</v>
      </c>
    </row>
    <row r="722" spans="1:5" ht="18.75">
      <c r="A722" s="89" t="str">
        <f t="shared" si="11"/>
        <v>#03745</v>
      </c>
      <c r="B722" s="138" t="s">
        <v>2317</v>
      </c>
      <c r="C722" s="236" t="s">
        <v>2316</v>
      </c>
      <c r="D722" s="206">
        <v>39584</v>
      </c>
      <c r="E722" s="138" t="s">
        <v>927</v>
      </c>
    </row>
    <row r="723" spans="1:5" ht="18.75">
      <c r="A723" s="89" t="str">
        <f t="shared" si="11"/>
        <v>#03746</v>
      </c>
      <c r="B723" s="138" t="s">
        <v>2319</v>
      </c>
      <c r="C723" s="236" t="s">
        <v>2318</v>
      </c>
      <c r="D723" s="206">
        <v>39587</v>
      </c>
      <c r="E723" s="138" t="s">
        <v>895</v>
      </c>
    </row>
    <row r="724" spans="1:5" ht="18.75">
      <c r="A724" s="89" t="str">
        <f t="shared" si="11"/>
        <v>#03747</v>
      </c>
      <c r="B724" s="138" t="s">
        <v>2321</v>
      </c>
      <c r="C724" s="236" t="s">
        <v>2320</v>
      </c>
      <c r="D724" s="206">
        <v>39588</v>
      </c>
      <c r="E724" s="138" t="s">
        <v>752</v>
      </c>
    </row>
    <row r="725" spans="1:5" ht="18.75">
      <c r="A725" s="89" t="str">
        <f t="shared" si="11"/>
        <v>#03760</v>
      </c>
      <c r="B725" s="138" t="s">
        <v>2323</v>
      </c>
      <c r="C725" s="236" t="s">
        <v>2322</v>
      </c>
      <c r="D725" s="206">
        <v>39589</v>
      </c>
      <c r="E725" s="138" t="s">
        <v>7818</v>
      </c>
    </row>
    <row r="726" spans="1:5" ht="18.75">
      <c r="A726" s="89" t="str">
        <f t="shared" si="11"/>
        <v>#03765</v>
      </c>
      <c r="B726" s="138" t="s">
        <v>2325</v>
      </c>
      <c r="C726" s="236" t="s">
        <v>2324</v>
      </c>
      <c r="D726" s="206">
        <v>39589</v>
      </c>
      <c r="E726" s="138" t="s">
        <v>721</v>
      </c>
    </row>
    <row r="727" spans="1:5" ht="18.75">
      <c r="A727" s="89" t="str">
        <f t="shared" si="11"/>
        <v>#03790</v>
      </c>
      <c r="B727" s="138" t="s">
        <v>2327</v>
      </c>
      <c r="C727" s="236" t="s">
        <v>2326</v>
      </c>
      <c r="D727" s="206">
        <v>39597</v>
      </c>
      <c r="E727" s="138" t="s">
        <v>7818</v>
      </c>
    </row>
    <row r="728" spans="1:5" ht="18.75">
      <c r="A728" s="89" t="str">
        <f t="shared" si="11"/>
        <v>#03793</v>
      </c>
      <c r="B728" s="138" t="s">
        <v>2329</v>
      </c>
      <c r="C728" s="236" t="s">
        <v>2328</v>
      </c>
      <c r="D728" s="206">
        <v>39597</v>
      </c>
      <c r="E728" s="138" t="s">
        <v>937</v>
      </c>
    </row>
    <row r="729" spans="1:5" ht="18.75">
      <c r="A729" s="89" t="str">
        <f t="shared" si="11"/>
        <v>#03798</v>
      </c>
      <c r="B729" s="138" t="s">
        <v>2331</v>
      </c>
      <c r="C729" s="236" t="s">
        <v>2330</v>
      </c>
      <c r="D729" s="206">
        <v>39601</v>
      </c>
      <c r="E729" s="138" t="s">
        <v>1004</v>
      </c>
    </row>
    <row r="730" spans="1:5" ht="18.75">
      <c r="A730" s="89" t="str">
        <f t="shared" si="11"/>
        <v>#03818</v>
      </c>
      <c r="B730" s="138" t="s">
        <v>2333</v>
      </c>
      <c r="C730" s="236" t="s">
        <v>2332</v>
      </c>
      <c r="D730" s="206">
        <v>39609</v>
      </c>
      <c r="E730" s="138" t="s">
        <v>1188</v>
      </c>
    </row>
    <row r="731" spans="1:5" ht="18.75">
      <c r="A731" s="89" t="str">
        <f t="shared" si="11"/>
        <v>#03819</v>
      </c>
      <c r="B731" s="138" t="s">
        <v>2335</v>
      </c>
      <c r="C731" s="236" t="s">
        <v>2334</v>
      </c>
      <c r="D731" s="206">
        <v>39609</v>
      </c>
      <c r="E731" s="138" t="s">
        <v>1188</v>
      </c>
    </row>
    <row r="732" spans="1:5" ht="18.75">
      <c r="A732" s="89" t="str">
        <f t="shared" si="11"/>
        <v>#03821</v>
      </c>
      <c r="B732" s="138" t="s">
        <v>2337</v>
      </c>
      <c r="C732" s="236" t="s">
        <v>2336</v>
      </c>
      <c r="D732" s="206">
        <v>39609</v>
      </c>
      <c r="E732" s="138" t="s">
        <v>1188</v>
      </c>
    </row>
    <row r="733" spans="1:5" ht="18.75">
      <c r="A733" s="89" t="str">
        <f t="shared" si="11"/>
        <v>#03823</v>
      </c>
      <c r="B733" s="138" t="s">
        <v>2339</v>
      </c>
      <c r="C733" s="236" t="s">
        <v>2338</v>
      </c>
      <c r="D733" s="206">
        <v>39609</v>
      </c>
      <c r="E733" s="138" t="s">
        <v>1188</v>
      </c>
    </row>
    <row r="734" spans="1:5" ht="18.75">
      <c r="A734" s="89" t="str">
        <f t="shared" si="11"/>
        <v>#03828</v>
      </c>
      <c r="B734" s="138" t="s">
        <v>2341</v>
      </c>
      <c r="C734" s="236" t="s">
        <v>2340</v>
      </c>
      <c r="D734" s="206">
        <v>39609</v>
      </c>
      <c r="E734" s="206" t="s">
        <v>1113</v>
      </c>
    </row>
    <row r="735" spans="1:5" ht="18.75">
      <c r="A735" s="89" t="str">
        <f t="shared" si="11"/>
        <v>#03832</v>
      </c>
      <c r="B735" s="138" t="s">
        <v>2343</v>
      </c>
      <c r="C735" s="236" t="s">
        <v>2342</v>
      </c>
      <c r="D735" s="206">
        <v>39609</v>
      </c>
      <c r="E735" s="138" t="s">
        <v>906</v>
      </c>
    </row>
    <row r="736" spans="1:5" ht="18.75">
      <c r="A736" s="89" t="str">
        <f t="shared" si="11"/>
        <v>#03846</v>
      </c>
      <c r="B736" s="138" t="s">
        <v>2345</v>
      </c>
      <c r="C736" s="236" t="s">
        <v>2344</v>
      </c>
      <c r="D736" s="206">
        <v>39613</v>
      </c>
      <c r="E736" s="138" t="s">
        <v>895</v>
      </c>
    </row>
    <row r="737" spans="1:5" ht="18.75">
      <c r="A737" s="89" t="str">
        <f t="shared" si="11"/>
        <v>#03851</v>
      </c>
      <c r="B737" s="138" t="s">
        <v>2347</v>
      </c>
      <c r="C737" s="236" t="s">
        <v>2346</v>
      </c>
      <c r="D737" s="206">
        <v>39613</v>
      </c>
      <c r="E737" s="138" t="s">
        <v>1133</v>
      </c>
    </row>
    <row r="738" spans="1:5" ht="18.75">
      <c r="A738" s="89" t="str">
        <f t="shared" si="11"/>
        <v>#03852</v>
      </c>
      <c r="B738" s="138" t="s">
        <v>2349</v>
      </c>
      <c r="C738" s="236" t="s">
        <v>2348</v>
      </c>
      <c r="D738" s="206">
        <v>39615</v>
      </c>
      <c r="E738" s="138" t="s">
        <v>985</v>
      </c>
    </row>
    <row r="739" spans="1:5" ht="18.75">
      <c r="A739" s="89" t="str">
        <f t="shared" si="11"/>
        <v>#03853</v>
      </c>
      <c r="B739" s="138" t="s">
        <v>2351</v>
      </c>
      <c r="C739" s="236" t="s">
        <v>2350</v>
      </c>
      <c r="D739" s="206">
        <v>39613</v>
      </c>
      <c r="E739" s="138" t="s">
        <v>985</v>
      </c>
    </row>
    <row r="740" spans="1:5" ht="18.75">
      <c r="A740" s="89" t="str">
        <f t="shared" si="11"/>
        <v>#03857</v>
      </c>
      <c r="B740" s="138" t="s">
        <v>2353</v>
      </c>
      <c r="C740" s="236" t="s">
        <v>2352</v>
      </c>
      <c r="D740" s="206">
        <v>39615</v>
      </c>
      <c r="E740" s="138" t="s">
        <v>985</v>
      </c>
    </row>
    <row r="741" spans="1:5" ht="18.75">
      <c r="A741" s="89" t="str">
        <f t="shared" si="11"/>
        <v>#03877</v>
      </c>
      <c r="B741" s="138" t="s">
        <v>2355</v>
      </c>
      <c r="C741" s="236" t="s">
        <v>2354</v>
      </c>
      <c r="D741" s="206">
        <v>39623</v>
      </c>
      <c r="E741" s="138" t="s">
        <v>1034</v>
      </c>
    </row>
    <row r="742" spans="1:5" ht="18.75">
      <c r="A742" s="89" t="str">
        <f t="shared" si="11"/>
        <v>#03879</v>
      </c>
      <c r="B742" s="138" t="s">
        <v>2357</v>
      </c>
      <c r="C742" s="236" t="s">
        <v>2356</v>
      </c>
      <c r="D742" s="206">
        <v>39623</v>
      </c>
      <c r="E742" s="138" t="s">
        <v>1034</v>
      </c>
    </row>
    <row r="743" spans="1:5" ht="18.75">
      <c r="A743" s="89" t="str">
        <f t="shared" si="11"/>
        <v>#03883</v>
      </c>
      <c r="B743" s="138" t="s">
        <v>2359</v>
      </c>
      <c r="C743" s="236" t="s">
        <v>2358</v>
      </c>
      <c r="D743" s="206">
        <v>39623</v>
      </c>
      <c r="E743" s="138" t="s">
        <v>1034</v>
      </c>
    </row>
    <row r="744" spans="1:5" ht="18.75">
      <c r="A744" s="89" t="str">
        <f t="shared" si="11"/>
        <v>#03889</v>
      </c>
      <c r="B744" s="138" t="s">
        <v>2361</v>
      </c>
      <c r="C744" s="236" t="s">
        <v>2360</v>
      </c>
      <c r="D744" s="206">
        <v>39630</v>
      </c>
      <c r="E744" s="138" t="s">
        <v>1004</v>
      </c>
    </row>
    <row r="745" spans="1:5" ht="18.75">
      <c r="A745" s="89" t="str">
        <f t="shared" si="11"/>
        <v>#03908</v>
      </c>
      <c r="B745" s="138" t="s">
        <v>2363</v>
      </c>
      <c r="C745" s="236" t="s">
        <v>2362</v>
      </c>
      <c r="D745" s="206">
        <v>39630</v>
      </c>
      <c r="E745" s="138" t="s">
        <v>1063</v>
      </c>
    </row>
    <row r="746" spans="1:5" ht="18.75">
      <c r="A746" s="89" t="str">
        <f t="shared" si="11"/>
        <v>#03909</v>
      </c>
      <c r="B746" s="138" t="s">
        <v>2364</v>
      </c>
      <c r="C746" s="236" t="s">
        <v>1416</v>
      </c>
      <c r="D746" s="206">
        <v>39630</v>
      </c>
      <c r="E746" s="138" t="s">
        <v>978</v>
      </c>
    </row>
    <row r="747" spans="1:5" ht="18.75">
      <c r="A747" s="89" t="str">
        <f t="shared" si="11"/>
        <v>#03910</v>
      </c>
      <c r="B747" s="138" t="s">
        <v>2366</v>
      </c>
      <c r="C747" s="236" t="s">
        <v>2365</v>
      </c>
      <c r="D747" s="206">
        <v>39630</v>
      </c>
      <c r="E747" s="138" t="s">
        <v>906</v>
      </c>
    </row>
    <row r="748" spans="1:5" ht="18.75">
      <c r="A748" s="89" t="str">
        <f t="shared" si="11"/>
        <v>#03919</v>
      </c>
      <c r="B748" s="138" t="s">
        <v>2368</v>
      </c>
      <c r="C748" s="236" t="s">
        <v>2367</v>
      </c>
      <c r="D748" s="206">
        <v>39664</v>
      </c>
      <c r="E748" s="138" t="s">
        <v>906</v>
      </c>
    </row>
    <row r="749" spans="1:5" ht="18.75">
      <c r="A749" s="89" t="str">
        <f t="shared" si="11"/>
        <v>#03924</v>
      </c>
      <c r="B749" s="138" t="s">
        <v>2370</v>
      </c>
      <c r="C749" s="236" t="s">
        <v>2369</v>
      </c>
      <c r="D749" s="206">
        <v>39664</v>
      </c>
      <c r="E749" s="138" t="s">
        <v>906</v>
      </c>
    </row>
    <row r="750" spans="1:5" ht="18.75">
      <c r="A750" s="89" t="str">
        <f t="shared" si="11"/>
        <v>#03936</v>
      </c>
      <c r="B750" s="138" t="s">
        <v>2372</v>
      </c>
      <c r="C750" s="236" t="s">
        <v>2371</v>
      </c>
      <c r="D750" s="206">
        <v>39671</v>
      </c>
      <c r="E750" s="138" t="s">
        <v>1133</v>
      </c>
    </row>
    <row r="751" spans="1:5" ht="18.75">
      <c r="A751" s="89" t="str">
        <f t="shared" si="11"/>
        <v>#03937</v>
      </c>
      <c r="B751" s="138" t="s">
        <v>2374</v>
      </c>
      <c r="C751" s="236" t="s">
        <v>2373</v>
      </c>
      <c r="D751" s="206">
        <v>39671</v>
      </c>
      <c r="E751" s="138" t="s">
        <v>1133</v>
      </c>
    </row>
    <row r="752" spans="1:5" ht="18.75">
      <c r="A752" s="89" t="str">
        <f t="shared" si="11"/>
        <v>#03943</v>
      </c>
      <c r="B752" s="138" t="s">
        <v>2376</v>
      </c>
      <c r="C752" s="236" t="s">
        <v>2375</v>
      </c>
      <c r="D752" s="206">
        <v>39671</v>
      </c>
      <c r="E752" s="138" t="s">
        <v>7818</v>
      </c>
    </row>
    <row r="753" spans="1:5" ht="18.75">
      <c r="A753" s="89" t="str">
        <f t="shared" si="11"/>
        <v>#03944</v>
      </c>
      <c r="B753" s="138" t="s">
        <v>2378</v>
      </c>
      <c r="C753" s="236" t="s">
        <v>2377</v>
      </c>
      <c r="D753" s="206">
        <v>39671</v>
      </c>
      <c r="E753" s="138" t="s">
        <v>1716</v>
      </c>
    </row>
    <row r="754" spans="1:5" ht="18.75">
      <c r="A754" s="89" t="str">
        <f t="shared" si="11"/>
        <v>#03954</v>
      </c>
      <c r="B754" s="138" t="s">
        <v>2380</v>
      </c>
      <c r="C754" s="236" t="s">
        <v>2379</v>
      </c>
      <c r="D754" s="206">
        <v>39671</v>
      </c>
      <c r="E754" s="138" t="s">
        <v>937</v>
      </c>
    </row>
    <row r="755" spans="1:5" ht="18.75">
      <c r="A755" s="89" t="str">
        <f t="shared" si="11"/>
        <v>#03955</v>
      </c>
      <c r="B755" s="138" t="s">
        <v>2381</v>
      </c>
      <c r="C755" s="236" t="s">
        <v>1935</v>
      </c>
      <c r="D755" s="206">
        <v>39671</v>
      </c>
      <c r="E755" s="138" t="s">
        <v>937</v>
      </c>
    </row>
    <row r="756" spans="1:5" ht="18.75">
      <c r="A756" s="89" t="str">
        <f t="shared" si="11"/>
        <v>#03956</v>
      </c>
      <c r="B756" s="138" t="s">
        <v>2383</v>
      </c>
      <c r="C756" s="236" t="s">
        <v>2382</v>
      </c>
      <c r="D756" s="206">
        <v>39671</v>
      </c>
      <c r="E756" s="138" t="s">
        <v>7818</v>
      </c>
    </row>
    <row r="757" spans="1:5" ht="18.75">
      <c r="A757" s="89" t="str">
        <f t="shared" si="11"/>
        <v>#03958</v>
      </c>
      <c r="B757" s="138" t="s">
        <v>2385</v>
      </c>
      <c r="C757" s="236" t="s">
        <v>2384</v>
      </c>
      <c r="D757" s="206">
        <v>39671</v>
      </c>
      <c r="E757" s="138" t="s">
        <v>895</v>
      </c>
    </row>
    <row r="758" spans="1:5" ht="18.75">
      <c r="A758" s="89" t="str">
        <f t="shared" si="11"/>
        <v>#03960</v>
      </c>
      <c r="B758" s="138" t="s">
        <v>2387</v>
      </c>
      <c r="C758" s="236" t="s">
        <v>2386</v>
      </c>
      <c r="D758" s="206">
        <v>39671</v>
      </c>
      <c r="E758" s="138" t="s">
        <v>937</v>
      </c>
    </row>
    <row r="759" spans="1:5" ht="18.75">
      <c r="A759" s="89" t="str">
        <f t="shared" si="11"/>
        <v>#03965</v>
      </c>
      <c r="B759" s="138" t="s">
        <v>2389</v>
      </c>
      <c r="C759" s="236" t="s">
        <v>2388</v>
      </c>
      <c r="D759" s="206">
        <v>39671</v>
      </c>
      <c r="E759" s="138" t="s">
        <v>985</v>
      </c>
    </row>
    <row r="760" spans="1:5" ht="18.75">
      <c r="A760" s="89" t="str">
        <f t="shared" si="11"/>
        <v>#03976</v>
      </c>
      <c r="B760" s="138" t="s">
        <v>2391</v>
      </c>
      <c r="C760" s="236" t="s">
        <v>2390</v>
      </c>
      <c r="D760" s="206">
        <v>39671</v>
      </c>
      <c r="E760" s="138" t="s">
        <v>797</v>
      </c>
    </row>
    <row r="761" spans="1:5" ht="18.75">
      <c r="A761" s="89" t="str">
        <f t="shared" si="11"/>
        <v>#03978</v>
      </c>
      <c r="B761" s="138" t="s">
        <v>2393</v>
      </c>
      <c r="C761" s="236" t="s">
        <v>2392</v>
      </c>
      <c r="D761" s="206">
        <v>39671</v>
      </c>
      <c r="E761" s="138" t="s">
        <v>797</v>
      </c>
    </row>
    <row r="762" spans="1:5" ht="18.75">
      <c r="A762" s="89" t="str">
        <f t="shared" si="11"/>
        <v>#03979</v>
      </c>
      <c r="B762" s="138" t="s">
        <v>2395</v>
      </c>
      <c r="C762" s="236" t="s">
        <v>2394</v>
      </c>
      <c r="D762" s="206">
        <v>39671</v>
      </c>
      <c r="E762" s="138" t="s">
        <v>797</v>
      </c>
    </row>
    <row r="763" spans="1:5" ht="18.75">
      <c r="A763" s="89" t="str">
        <f t="shared" si="11"/>
        <v>#04015</v>
      </c>
      <c r="B763" s="138" t="s">
        <v>2397</v>
      </c>
      <c r="C763" s="236" t="s">
        <v>2396</v>
      </c>
      <c r="D763" s="206">
        <v>39682</v>
      </c>
      <c r="E763" s="138" t="s">
        <v>796</v>
      </c>
    </row>
    <row r="764" spans="1:5" ht="18.75">
      <c r="A764" s="89" t="str">
        <f t="shared" si="11"/>
        <v>#04021</v>
      </c>
      <c r="B764" s="138" t="s">
        <v>2398</v>
      </c>
      <c r="C764" s="236" t="s">
        <v>2320</v>
      </c>
      <c r="D764" s="206">
        <v>39687</v>
      </c>
      <c r="E764" s="138" t="s">
        <v>721</v>
      </c>
    </row>
    <row r="765" spans="1:5" ht="18.75">
      <c r="A765" s="89" t="str">
        <f t="shared" si="11"/>
        <v>#04029</v>
      </c>
      <c r="B765" s="138" t="s">
        <v>2400</v>
      </c>
      <c r="C765" s="236" t="s">
        <v>2399</v>
      </c>
      <c r="D765" s="206">
        <v>39695</v>
      </c>
      <c r="E765" s="138" t="s">
        <v>895</v>
      </c>
    </row>
    <row r="766" spans="1:5" ht="18.75">
      <c r="A766" s="89" t="str">
        <f t="shared" si="11"/>
        <v>#04035</v>
      </c>
      <c r="B766" s="138" t="s">
        <v>2402</v>
      </c>
      <c r="C766" s="236" t="s">
        <v>2401</v>
      </c>
      <c r="D766" s="206">
        <v>39695</v>
      </c>
      <c r="E766" s="138" t="s">
        <v>927</v>
      </c>
    </row>
    <row r="767" spans="1:5" ht="18.75">
      <c r="A767" s="89" t="str">
        <f t="shared" si="11"/>
        <v>#04036</v>
      </c>
      <c r="B767" s="138" t="s">
        <v>2404</v>
      </c>
      <c r="C767" s="236" t="s">
        <v>2403</v>
      </c>
      <c r="D767" s="206">
        <v>39701</v>
      </c>
      <c r="E767" s="138" t="s">
        <v>1168</v>
      </c>
    </row>
    <row r="768" spans="1:5" ht="18.75">
      <c r="A768" s="89" t="str">
        <f t="shared" si="11"/>
        <v>#04042</v>
      </c>
      <c r="B768" s="138" t="s">
        <v>2406</v>
      </c>
      <c r="C768" s="236" t="s">
        <v>2405</v>
      </c>
      <c r="D768" s="206">
        <v>39720</v>
      </c>
      <c r="E768" s="138" t="s">
        <v>906</v>
      </c>
    </row>
    <row r="769" spans="1:5" ht="18.75">
      <c r="A769" s="89" t="str">
        <f t="shared" si="11"/>
        <v>#04104</v>
      </c>
      <c r="B769" s="138" t="s">
        <v>2408</v>
      </c>
      <c r="C769" s="236" t="s">
        <v>2407</v>
      </c>
      <c r="D769" s="206">
        <v>39724</v>
      </c>
      <c r="E769" s="138" t="s">
        <v>721</v>
      </c>
    </row>
    <row r="770" spans="1:5" ht="18.75">
      <c r="A770" s="89" t="str">
        <f t="shared" si="11"/>
        <v>#04106</v>
      </c>
      <c r="B770" s="138" t="s">
        <v>2410</v>
      </c>
      <c r="C770" s="236" t="s">
        <v>2409</v>
      </c>
      <c r="D770" s="206">
        <v>39725</v>
      </c>
      <c r="E770" s="138" t="s">
        <v>721</v>
      </c>
    </row>
    <row r="771" spans="1:5" ht="18.75">
      <c r="A771" s="89" t="str">
        <f t="shared" ref="A771:A834" si="12">"#"&amp;B771</f>
        <v>#04197</v>
      </c>
      <c r="B771" s="138" t="s">
        <v>2412</v>
      </c>
      <c r="C771" s="236" t="s">
        <v>2411</v>
      </c>
      <c r="D771" s="206">
        <v>39772</v>
      </c>
      <c r="E771" s="138" t="s">
        <v>759</v>
      </c>
    </row>
    <row r="772" spans="1:5" ht="18.75">
      <c r="A772" s="89" t="str">
        <f t="shared" si="12"/>
        <v>#04199</v>
      </c>
      <c r="B772" s="138" t="s">
        <v>2413</v>
      </c>
      <c r="C772" s="236" t="s">
        <v>1128</v>
      </c>
      <c r="D772" s="206">
        <v>39846</v>
      </c>
      <c r="E772" s="138" t="s">
        <v>7818</v>
      </c>
    </row>
    <row r="773" spans="1:5" ht="18.75">
      <c r="A773" s="89" t="str">
        <f t="shared" si="12"/>
        <v>#04201</v>
      </c>
      <c r="B773" s="138" t="s">
        <v>2415</v>
      </c>
      <c r="C773" s="236" t="s">
        <v>2414</v>
      </c>
      <c r="D773" s="206">
        <v>39846</v>
      </c>
      <c r="E773" s="138" t="s">
        <v>937</v>
      </c>
    </row>
    <row r="774" spans="1:5" ht="18.75">
      <c r="A774" s="89" t="str">
        <f t="shared" si="12"/>
        <v>#04202</v>
      </c>
      <c r="B774" s="138" t="s">
        <v>2417</v>
      </c>
      <c r="C774" s="236" t="s">
        <v>2416</v>
      </c>
      <c r="D774" s="206">
        <v>39846</v>
      </c>
      <c r="E774" s="138" t="s">
        <v>752</v>
      </c>
    </row>
    <row r="775" spans="1:5" ht="18.75">
      <c r="A775" s="89" t="str">
        <f t="shared" si="12"/>
        <v>#04203</v>
      </c>
      <c r="B775" s="138" t="s">
        <v>2418</v>
      </c>
      <c r="C775" s="236" t="s">
        <v>1580</v>
      </c>
      <c r="D775" s="206">
        <v>39846</v>
      </c>
      <c r="E775" s="138" t="s">
        <v>1133</v>
      </c>
    </row>
    <row r="776" spans="1:5" ht="18.75">
      <c r="A776" s="89" t="str">
        <f t="shared" si="12"/>
        <v>#04222</v>
      </c>
      <c r="B776" s="138" t="s">
        <v>2420</v>
      </c>
      <c r="C776" s="236" t="s">
        <v>2419</v>
      </c>
      <c r="D776" s="206">
        <v>39874</v>
      </c>
      <c r="E776" s="138" t="s">
        <v>937</v>
      </c>
    </row>
    <row r="777" spans="1:5" ht="18.75">
      <c r="A777" s="89" t="str">
        <f t="shared" si="12"/>
        <v>#04223</v>
      </c>
      <c r="B777" s="138" t="s">
        <v>2422</v>
      </c>
      <c r="C777" s="236" t="s">
        <v>2421</v>
      </c>
      <c r="D777" s="206">
        <v>39874</v>
      </c>
      <c r="E777" s="138" t="s">
        <v>895</v>
      </c>
    </row>
    <row r="778" spans="1:5" ht="18.75">
      <c r="A778" s="89" t="str">
        <f t="shared" si="12"/>
        <v>#04224</v>
      </c>
      <c r="B778" s="138" t="s">
        <v>2424</v>
      </c>
      <c r="C778" s="236" t="s">
        <v>2423</v>
      </c>
      <c r="D778" s="206">
        <v>39874</v>
      </c>
      <c r="E778" s="138" t="s">
        <v>1380</v>
      </c>
    </row>
    <row r="779" spans="1:5" ht="18.75">
      <c r="A779" s="89" t="str">
        <f t="shared" si="12"/>
        <v>#04226</v>
      </c>
      <c r="B779" s="138" t="s">
        <v>2426</v>
      </c>
      <c r="C779" s="236" t="s">
        <v>2425</v>
      </c>
      <c r="D779" s="206">
        <v>39874</v>
      </c>
      <c r="E779" s="138" t="s">
        <v>927</v>
      </c>
    </row>
    <row r="780" spans="1:5" ht="18.75">
      <c r="A780" s="89" t="str">
        <f t="shared" si="12"/>
        <v>#04230</v>
      </c>
      <c r="B780" s="138" t="s">
        <v>2428</v>
      </c>
      <c r="C780" s="236" t="s">
        <v>2427</v>
      </c>
      <c r="D780" s="206">
        <v>39874</v>
      </c>
      <c r="E780" s="138" t="s">
        <v>7818</v>
      </c>
    </row>
    <row r="781" spans="1:5" ht="18.75">
      <c r="A781" s="89" t="str">
        <f t="shared" si="12"/>
        <v>#04231</v>
      </c>
      <c r="B781" s="138" t="s">
        <v>2429</v>
      </c>
      <c r="C781" s="236" t="s">
        <v>960</v>
      </c>
      <c r="D781" s="206">
        <v>39874</v>
      </c>
      <c r="E781" s="138" t="s">
        <v>7818</v>
      </c>
    </row>
    <row r="782" spans="1:5" ht="18.75">
      <c r="A782" s="89" t="str">
        <f t="shared" si="12"/>
        <v>#04233</v>
      </c>
      <c r="B782" s="138" t="s">
        <v>2431</v>
      </c>
      <c r="C782" s="236" t="s">
        <v>2430</v>
      </c>
      <c r="D782" s="206">
        <v>39874</v>
      </c>
      <c r="E782" s="138" t="s">
        <v>927</v>
      </c>
    </row>
    <row r="783" spans="1:5" ht="18.75">
      <c r="A783" s="89" t="str">
        <f t="shared" si="12"/>
        <v>#04240</v>
      </c>
      <c r="B783" s="138" t="s">
        <v>2433</v>
      </c>
      <c r="C783" s="236" t="s">
        <v>2432</v>
      </c>
      <c r="D783" s="206">
        <v>39877</v>
      </c>
      <c r="E783" s="138" t="s">
        <v>1063</v>
      </c>
    </row>
    <row r="784" spans="1:5" ht="18.75">
      <c r="A784" s="89" t="str">
        <f t="shared" si="12"/>
        <v>#04241</v>
      </c>
      <c r="B784" s="138" t="s">
        <v>2434</v>
      </c>
      <c r="C784" s="236" t="s">
        <v>1175</v>
      </c>
      <c r="D784" s="206">
        <v>39877</v>
      </c>
      <c r="E784" s="138" t="s">
        <v>1043</v>
      </c>
    </row>
    <row r="785" spans="1:5" ht="18.75">
      <c r="A785" s="89" t="str">
        <f t="shared" si="12"/>
        <v>#04242</v>
      </c>
      <c r="B785" s="138" t="s">
        <v>2436</v>
      </c>
      <c r="C785" s="236" t="s">
        <v>2435</v>
      </c>
      <c r="D785" s="206">
        <v>39877</v>
      </c>
      <c r="E785" s="138" t="s">
        <v>1043</v>
      </c>
    </row>
    <row r="786" spans="1:5" ht="18.75">
      <c r="A786" s="89" t="str">
        <f t="shared" si="12"/>
        <v>#04252</v>
      </c>
      <c r="B786" s="138" t="s">
        <v>2437</v>
      </c>
      <c r="C786" s="236" t="s">
        <v>2062</v>
      </c>
      <c r="D786" s="206">
        <v>39881</v>
      </c>
      <c r="E786" s="138" t="s">
        <v>1098</v>
      </c>
    </row>
    <row r="787" spans="1:5" ht="18.75">
      <c r="A787" s="89" t="str">
        <f t="shared" si="12"/>
        <v>#04254</v>
      </c>
      <c r="B787" s="138" t="s">
        <v>2439</v>
      </c>
      <c r="C787" s="236" t="s">
        <v>2438</v>
      </c>
      <c r="D787" s="206">
        <v>39881</v>
      </c>
      <c r="E787" s="138" t="s">
        <v>957</v>
      </c>
    </row>
    <row r="788" spans="1:5" ht="18.75">
      <c r="A788" s="89" t="str">
        <f t="shared" si="12"/>
        <v>#04257</v>
      </c>
      <c r="B788" s="138" t="s">
        <v>2441</v>
      </c>
      <c r="C788" s="236" t="s">
        <v>2440</v>
      </c>
      <c r="D788" s="206">
        <v>39890</v>
      </c>
      <c r="E788" s="138" t="s">
        <v>937</v>
      </c>
    </row>
    <row r="789" spans="1:5" ht="18.75">
      <c r="A789" s="89" t="str">
        <f t="shared" si="12"/>
        <v>#04258</v>
      </c>
      <c r="B789" s="138" t="s">
        <v>2443</v>
      </c>
      <c r="C789" s="236" t="s">
        <v>2442</v>
      </c>
      <c r="D789" s="206">
        <v>39890</v>
      </c>
      <c r="E789" s="138" t="s">
        <v>895</v>
      </c>
    </row>
    <row r="790" spans="1:5" ht="18.75">
      <c r="A790" s="89" t="str">
        <f t="shared" si="12"/>
        <v>#04261</v>
      </c>
      <c r="B790" s="138" t="s">
        <v>2445</v>
      </c>
      <c r="C790" s="236" t="s">
        <v>2444</v>
      </c>
      <c r="D790" s="206">
        <v>39895</v>
      </c>
      <c r="E790" s="138" t="s">
        <v>1133</v>
      </c>
    </row>
    <row r="791" spans="1:5" ht="18.75">
      <c r="A791" s="89" t="str">
        <f t="shared" si="12"/>
        <v>#04267</v>
      </c>
      <c r="B791" s="138" t="s">
        <v>2446</v>
      </c>
      <c r="C791" s="236" t="s">
        <v>2346</v>
      </c>
      <c r="D791" s="206">
        <v>39897</v>
      </c>
      <c r="E791" s="138" t="s">
        <v>752</v>
      </c>
    </row>
    <row r="792" spans="1:5" ht="18.75">
      <c r="A792" s="89" t="str">
        <f t="shared" si="12"/>
        <v>#04268</v>
      </c>
      <c r="B792" s="138" t="s">
        <v>2448</v>
      </c>
      <c r="C792" s="236" t="s">
        <v>2447</v>
      </c>
      <c r="D792" s="206">
        <v>39897</v>
      </c>
      <c r="E792" s="138" t="s">
        <v>752</v>
      </c>
    </row>
    <row r="793" spans="1:5" ht="18.75">
      <c r="A793" s="89" t="str">
        <f t="shared" si="12"/>
        <v>#04272</v>
      </c>
      <c r="B793" s="138" t="s">
        <v>2450</v>
      </c>
      <c r="C793" s="236" t="s">
        <v>2449</v>
      </c>
      <c r="D793" s="206">
        <v>39912</v>
      </c>
      <c r="E793" s="138" t="s">
        <v>927</v>
      </c>
    </row>
    <row r="794" spans="1:5" ht="18.75">
      <c r="A794" s="89" t="str">
        <f t="shared" si="12"/>
        <v>#04273</v>
      </c>
      <c r="B794" s="138" t="s">
        <v>2452</v>
      </c>
      <c r="C794" s="236" t="s">
        <v>2451</v>
      </c>
      <c r="D794" s="206">
        <v>39912</v>
      </c>
      <c r="E794" s="138" t="s">
        <v>927</v>
      </c>
    </row>
    <row r="795" spans="1:5" ht="18.75">
      <c r="A795" s="89" t="str">
        <f t="shared" si="12"/>
        <v>#04276</v>
      </c>
      <c r="B795" s="138" t="s">
        <v>2454</v>
      </c>
      <c r="C795" s="236" t="s">
        <v>2453</v>
      </c>
      <c r="D795" s="206">
        <v>39912</v>
      </c>
      <c r="E795" s="138" t="s">
        <v>927</v>
      </c>
    </row>
    <row r="796" spans="1:5" ht="18.75">
      <c r="A796" s="89" t="str">
        <f t="shared" si="12"/>
        <v>#04283</v>
      </c>
      <c r="B796" s="138" t="s">
        <v>2456</v>
      </c>
      <c r="C796" s="236" t="s">
        <v>2455</v>
      </c>
      <c r="D796" s="206">
        <v>39912</v>
      </c>
      <c r="E796" s="138" t="s">
        <v>906</v>
      </c>
    </row>
    <row r="797" spans="1:5" ht="18.75">
      <c r="A797" s="89" t="str">
        <f t="shared" si="12"/>
        <v>#04290</v>
      </c>
      <c r="B797" s="138" t="s">
        <v>2458</v>
      </c>
      <c r="C797" s="236" t="s">
        <v>2457</v>
      </c>
      <c r="D797" s="206">
        <v>39916</v>
      </c>
      <c r="E797" s="138" t="s">
        <v>1380</v>
      </c>
    </row>
    <row r="798" spans="1:5" ht="18.75">
      <c r="A798" s="89" t="str">
        <f t="shared" si="12"/>
        <v>#04309</v>
      </c>
      <c r="B798" s="138" t="s">
        <v>2460</v>
      </c>
      <c r="C798" s="236" t="s">
        <v>2459</v>
      </c>
      <c r="D798" s="206">
        <v>39917</v>
      </c>
      <c r="E798" s="138" t="s">
        <v>906</v>
      </c>
    </row>
    <row r="799" spans="1:5" ht="18.75">
      <c r="A799" s="89" t="str">
        <f t="shared" si="12"/>
        <v>#04316</v>
      </c>
      <c r="B799" s="138" t="s">
        <v>2462</v>
      </c>
      <c r="C799" s="236" t="s">
        <v>2461</v>
      </c>
      <c r="D799" s="206">
        <v>39920</v>
      </c>
      <c r="E799" s="138" t="s">
        <v>1133</v>
      </c>
    </row>
    <row r="800" spans="1:5" ht="18.75">
      <c r="A800" s="89" t="str">
        <f t="shared" si="12"/>
        <v>#04324</v>
      </c>
      <c r="B800" s="138" t="s">
        <v>2464</v>
      </c>
      <c r="C800" s="236" t="s">
        <v>2463</v>
      </c>
      <c r="D800" s="206">
        <v>39920</v>
      </c>
      <c r="E800" s="138" t="s">
        <v>937</v>
      </c>
    </row>
    <row r="801" spans="1:5" ht="18.75">
      <c r="A801" s="89" t="str">
        <f t="shared" si="12"/>
        <v>#04332</v>
      </c>
      <c r="B801" s="138" t="s">
        <v>2466</v>
      </c>
      <c r="C801" s="236" t="s">
        <v>2465</v>
      </c>
      <c r="D801" s="206">
        <v>39920</v>
      </c>
      <c r="E801" s="138" t="s">
        <v>895</v>
      </c>
    </row>
    <row r="802" spans="1:5" ht="18.75">
      <c r="A802" s="89" t="str">
        <f t="shared" si="12"/>
        <v>#04345</v>
      </c>
      <c r="B802" s="138" t="s">
        <v>2468</v>
      </c>
      <c r="C802" s="236" t="s">
        <v>2467</v>
      </c>
      <c r="D802" s="206">
        <v>39923</v>
      </c>
      <c r="E802" s="138" t="s">
        <v>906</v>
      </c>
    </row>
    <row r="803" spans="1:5" ht="18.75">
      <c r="A803" s="89" t="str">
        <f t="shared" si="12"/>
        <v>#04351</v>
      </c>
      <c r="B803" s="138" t="s">
        <v>2470</v>
      </c>
      <c r="C803" s="236" t="s">
        <v>2469</v>
      </c>
      <c r="D803" s="206">
        <v>39937</v>
      </c>
      <c r="E803" s="138" t="s">
        <v>927</v>
      </c>
    </row>
    <row r="804" spans="1:5" ht="18.75">
      <c r="A804" s="89" t="str">
        <f t="shared" si="12"/>
        <v>#04362</v>
      </c>
      <c r="B804" s="138" t="s">
        <v>2471</v>
      </c>
      <c r="C804" s="236" t="s">
        <v>1633</v>
      </c>
      <c r="D804" s="206">
        <v>39937</v>
      </c>
      <c r="E804" s="138" t="s">
        <v>1034</v>
      </c>
    </row>
    <row r="805" spans="1:5" ht="18.75">
      <c r="A805" s="89" t="str">
        <f t="shared" si="12"/>
        <v>#04365</v>
      </c>
      <c r="B805" s="138" t="s">
        <v>2473</v>
      </c>
      <c r="C805" s="236" t="s">
        <v>2472</v>
      </c>
      <c r="D805" s="206">
        <v>39937</v>
      </c>
      <c r="E805" s="138" t="s">
        <v>927</v>
      </c>
    </row>
    <row r="806" spans="1:5" ht="18.75">
      <c r="A806" s="89" t="str">
        <f t="shared" si="12"/>
        <v>#04366</v>
      </c>
      <c r="B806" s="138" t="s">
        <v>2475</v>
      </c>
      <c r="C806" s="236" t="s">
        <v>2474</v>
      </c>
      <c r="D806" s="206">
        <v>39937</v>
      </c>
      <c r="E806" s="138" t="s">
        <v>927</v>
      </c>
    </row>
    <row r="807" spans="1:5" ht="18.75">
      <c r="A807" s="89" t="str">
        <f t="shared" si="12"/>
        <v>#04392</v>
      </c>
      <c r="B807" s="138" t="s">
        <v>2477</v>
      </c>
      <c r="C807" s="236" t="s">
        <v>2476</v>
      </c>
      <c r="D807" s="206">
        <v>39944</v>
      </c>
      <c r="E807" s="138" t="s">
        <v>903</v>
      </c>
    </row>
    <row r="808" spans="1:5" ht="18.75">
      <c r="A808" s="89" t="str">
        <f t="shared" si="12"/>
        <v>#04394</v>
      </c>
      <c r="B808" s="138" t="s">
        <v>2479</v>
      </c>
      <c r="C808" s="236" t="s">
        <v>2478</v>
      </c>
      <c r="D808" s="206">
        <v>39944</v>
      </c>
      <c r="E808" s="138" t="s">
        <v>1063</v>
      </c>
    </row>
    <row r="809" spans="1:5" ht="18.75">
      <c r="A809" s="89" t="str">
        <f t="shared" si="12"/>
        <v>#04403</v>
      </c>
      <c r="B809" s="138" t="s">
        <v>2481</v>
      </c>
      <c r="C809" s="236" t="s">
        <v>2480</v>
      </c>
      <c r="D809" s="206">
        <v>39945</v>
      </c>
      <c r="E809" s="138" t="s">
        <v>985</v>
      </c>
    </row>
    <row r="810" spans="1:5" ht="18.75">
      <c r="A810" s="89" t="str">
        <f t="shared" si="12"/>
        <v>#04404</v>
      </c>
      <c r="B810" s="138" t="s">
        <v>2482</v>
      </c>
      <c r="C810" s="236" t="s">
        <v>1099</v>
      </c>
      <c r="D810" s="206">
        <v>39945</v>
      </c>
      <c r="E810" s="138" t="s">
        <v>1133</v>
      </c>
    </row>
    <row r="811" spans="1:5" ht="18.75">
      <c r="A811" s="89" t="str">
        <f t="shared" si="12"/>
        <v>#04421</v>
      </c>
      <c r="B811" s="138" t="s">
        <v>2484</v>
      </c>
      <c r="C811" s="236" t="s">
        <v>2483</v>
      </c>
      <c r="D811" s="206">
        <v>39945</v>
      </c>
      <c r="E811" s="138" t="s">
        <v>924</v>
      </c>
    </row>
    <row r="812" spans="1:5" ht="18.75">
      <c r="A812" s="89" t="str">
        <f t="shared" si="12"/>
        <v>#04423</v>
      </c>
      <c r="B812" s="138" t="s">
        <v>2486</v>
      </c>
      <c r="C812" s="236" t="s">
        <v>2485</v>
      </c>
      <c r="D812" s="206">
        <v>39945</v>
      </c>
      <c r="E812" s="138" t="s">
        <v>890</v>
      </c>
    </row>
    <row r="813" spans="1:5" ht="18.75">
      <c r="A813" s="89" t="str">
        <f t="shared" si="12"/>
        <v>#04426</v>
      </c>
      <c r="B813" s="138" t="s">
        <v>2488</v>
      </c>
      <c r="C813" s="236" t="s">
        <v>2487</v>
      </c>
      <c r="D813" s="206">
        <v>39945</v>
      </c>
      <c r="E813" s="138" t="s">
        <v>895</v>
      </c>
    </row>
    <row r="814" spans="1:5" ht="18.75">
      <c r="A814" s="89" t="str">
        <f t="shared" si="12"/>
        <v>#04427</v>
      </c>
      <c r="B814" s="138" t="s">
        <v>2490</v>
      </c>
      <c r="C814" s="236" t="s">
        <v>2489</v>
      </c>
      <c r="D814" s="206">
        <v>39945</v>
      </c>
      <c r="E814" s="138" t="s">
        <v>752</v>
      </c>
    </row>
    <row r="815" spans="1:5" ht="18.75">
      <c r="A815" s="89" t="str">
        <f t="shared" si="12"/>
        <v>#04428</v>
      </c>
      <c r="B815" s="138" t="s">
        <v>2492</v>
      </c>
      <c r="C815" s="236" t="s">
        <v>2491</v>
      </c>
      <c r="D815" s="206">
        <v>39945</v>
      </c>
      <c r="E815" s="138" t="s">
        <v>752</v>
      </c>
    </row>
    <row r="816" spans="1:5" ht="18.75">
      <c r="A816" s="89" t="str">
        <f t="shared" si="12"/>
        <v>#04432</v>
      </c>
      <c r="B816" s="138" t="s">
        <v>2494</v>
      </c>
      <c r="C816" s="236" t="s">
        <v>2493</v>
      </c>
      <c r="D816" s="206">
        <v>39945</v>
      </c>
      <c r="E816" s="138" t="s">
        <v>721</v>
      </c>
    </row>
    <row r="817" spans="1:5" ht="18.75">
      <c r="A817" s="89" t="str">
        <f t="shared" si="12"/>
        <v>#04433</v>
      </c>
      <c r="B817" s="138" t="s">
        <v>2496</v>
      </c>
      <c r="C817" s="236" t="s">
        <v>2495</v>
      </c>
      <c r="D817" s="206">
        <v>39945</v>
      </c>
      <c r="E817" s="138" t="s">
        <v>1034</v>
      </c>
    </row>
    <row r="818" spans="1:5" ht="18.75">
      <c r="A818" s="89" t="str">
        <f t="shared" si="12"/>
        <v>#04441</v>
      </c>
      <c r="B818" s="138" t="s">
        <v>2498</v>
      </c>
      <c r="C818" s="236" t="s">
        <v>2497</v>
      </c>
      <c r="D818" s="206">
        <v>39945</v>
      </c>
      <c r="E818" s="138" t="s">
        <v>721</v>
      </c>
    </row>
    <row r="819" spans="1:5" ht="18.75">
      <c r="A819" s="89" t="str">
        <f t="shared" si="12"/>
        <v>#04455</v>
      </c>
      <c r="B819" s="138" t="s">
        <v>2500</v>
      </c>
      <c r="C819" s="236" t="s">
        <v>2499</v>
      </c>
      <c r="D819" s="206">
        <v>39953</v>
      </c>
      <c r="E819" s="138" t="s">
        <v>1034</v>
      </c>
    </row>
    <row r="820" spans="1:5" ht="18.75">
      <c r="A820" s="89" t="str">
        <f t="shared" si="12"/>
        <v>#04461</v>
      </c>
      <c r="B820" s="138" t="s">
        <v>2502</v>
      </c>
      <c r="C820" s="236" t="s">
        <v>2501</v>
      </c>
      <c r="D820" s="206">
        <v>39953</v>
      </c>
      <c r="E820" s="138" t="s">
        <v>937</v>
      </c>
    </row>
    <row r="821" spans="1:5" ht="18.75">
      <c r="A821" s="89" t="str">
        <f t="shared" si="12"/>
        <v>#04492</v>
      </c>
      <c r="B821" s="138" t="s">
        <v>2504</v>
      </c>
      <c r="C821" s="236" t="s">
        <v>2503</v>
      </c>
      <c r="D821" s="206">
        <v>39953</v>
      </c>
      <c r="E821" s="138" t="s">
        <v>890</v>
      </c>
    </row>
    <row r="822" spans="1:5" ht="18.75">
      <c r="A822" s="89" t="str">
        <f t="shared" si="12"/>
        <v>#04506</v>
      </c>
      <c r="B822" s="138" t="s">
        <v>2506</v>
      </c>
      <c r="C822" s="236" t="s">
        <v>2505</v>
      </c>
      <c r="D822" s="206">
        <v>39958</v>
      </c>
      <c r="E822" s="138" t="s">
        <v>906</v>
      </c>
    </row>
    <row r="823" spans="1:5" ht="18.75">
      <c r="A823" s="89" t="str">
        <f t="shared" si="12"/>
        <v>#04509</v>
      </c>
      <c r="B823" s="138" t="s">
        <v>2508</v>
      </c>
      <c r="C823" s="236" t="s">
        <v>2507</v>
      </c>
      <c r="D823" s="206">
        <v>39958</v>
      </c>
      <c r="E823" s="138" t="s">
        <v>906</v>
      </c>
    </row>
    <row r="824" spans="1:5" ht="18.75">
      <c r="A824" s="89" t="str">
        <f t="shared" si="12"/>
        <v>#04512</v>
      </c>
      <c r="B824" s="138" t="s">
        <v>2510</v>
      </c>
      <c r="C824" s="236" t="s">
        <v>2509</v>
      </c>
      <c r="D824" s="206">
        <v>39961</v>
      </c>
      <c r="E824" s="138" t="s">
        <v>1113</v>
      </c>
    </row>
    <row r="825" spans="1:5" ht="18.75">
      <c r="A825" s="89" t="str">
        <f t="shared" si="12"/>
        <v>#04539</v>
      </c>
      <c r="B825" s="138" t="s">
        <v>2513</v>
      </c>
      <c r="C825" s="236" t="s">
        <v>2512</v>
      </c>
      <c r="D825" s="206">
        <v>39967</v>
      </c>
      <c r="E825" s="138" t="s">
        <v>1085</v>
      </c>
    </row>
    <row r="826" spans="1:5" ht="18.75">
      <c r="A826" s="89" t="str">
        <f t="shared" si="12"/>
        <v>#04555</v>
      </c>
      <c r="B826" s="138" t="s">
        <v>2515</v>
      </c>
      <c r="C826" s="236" t="s">
        <v>2514</v>
      </c>
      <c r="D826" s="206">
        <v>39967</v>
      </c>
      <c r="E826" s="138" t="s">
        <v>915</v>
      </c>
    </row>
    <row r="827" spans="1:5" ht="18.75">
      <c r="A827" s="89" t="str">
        <f t="shared" si="12"/>
        <v>#04557</v>
      </c>
      <c r="B827" s="138" t="s">
        <v>2517</v>
      </c>
      <c r="C827" s="236" t="s">
        <v>2516</v>
      </c>
      <c r="D827" s="206">
        <v>39967</v>
      </c>
      <c r="E827" s="138" t="s">
        <v>797</v>
      </c>
    </row>
    <row r="828" spans="1:5" ht="18.75">
      <c r="A828" s="89" t="str">
        <f t="shared" si="12"/>
        <v>#04559</v>
      </c>
      <c r="B828" s="138" t="s">
        <v>2519</v>
      </c>
      <c r="C828" s="236" t="s">
        <v>2518</v>
      </c>
      <c r="D828" s="206">
        <v>39966</v>
      </c>
      <c r="E828" s="138" t="s">
        <v>1043</v>
      </c>
    </row>
    <row r="829" spans="1:5" ht="18.75">
      <c r="A829" s="89" t="str">
        <f t="shared" si="12"/>
        <v>#04584</v>
      </c>
      <c r="B829" s="138" t="s">
        <v>2521</v>
      </c>
      <c r="C829" s="236" t="s">
        <v>2520</v>
      </c>
      <c r="D829" s="206">
        <v>39975</v>
      </c>
      <c r="E829" s="138" t="s">
        <v>1133</v>
      </c>
    </row>
    <row r="830" spans="1:5" ht="18.75">
      <c r="A830" s="89" t="str">
        <f t="shared" si="12"/>
        <v>#04594</v>
      </c>
      <c r="B830" s="138" t="s">
        <v>2523</v>
      </c>
      <c r="C830" s="236" t="s">
        <v>2522</v>
      </c>
      <c r="D830" s="206">
        <v>39979</v>
      </c>
      <c r="E830" s="138" t="s">
        <v>1034</v>
      </c>
    </row>
    <row r="831" spans="1:5" ht="18.75">
      <c r="A831" s="89" t="str">
        <f t="shared" si="12"/>
        <v>#04603</v>
      </c>
      <c r="B831" s="138" t="s">
        <v>2525</v>
      </c>
      <c r="C831" s="236" t="s">
        <v>2524</v>
      </c>
      <c r="D831" s="206">
        <v>39979</v>
      </c>
      <c r="E831" s="138" t="s">
        <v>8037</v>
      </c>
    </row>
    <row r="832" spans="1:5" ht="18.75">
      <c r="A832" s="89" t="str">
        <f t="shared" si="12"/>
        <v>#04608</v>
      </c>
      <c r="B832" s="138" t="s">
        <v>2527</v>
      </c>
      <c r="C832" s="236" t="s">
        <v>2526</v>
      </c>
      <c r="D832" s="206">
        <v>39979</v>
      </c>
      <c r="E832" s="138" t="s">
        <v>1188</v>
      </c>
    </row>
    <row r="833" spans="1:5" ht="18.75">
      <c r="A833" s="89" t="str">
        <f t="shared" si="12"/>
        <v>#04609</v>
      </c>
      <c r="B833" s="138" t="s">
        <v>2529</v>
      </c>
      <c r="C833" s="236" t="s">
        <v>2528</v>
      </c>
      <c r="D833" s="206">
        <v>39979</v>
      </c>
      <c r="E833" s="138" t="s">
        <v>7788</v>
      </c>
    </row>
    <row r="834" spans="1:5" ht="18.75">
      <c r="A834" s="89" t="str">
        <f t="shared" si="12"/>
        <v>#04614</v>
      </c>
      <c r="B834" s="138" t="s">
        <v>2531</v>
      </c>
      <c r="C834" s="236" t="s">
        <v>2530</v>
      </c>
      <c r="D834" s="206">
        <v>39982</v>
      </c>
      <c r="E834" s="138" t="s">
        <v>1063</v>
      </c>
    </row>
    <row r="835" spans="1:5" ht="18.75">
      <c r="A835" s="89" t="str">
        <f t="shared" ref="A835:A898" si="13">"#"&amp;B835</f>
        <v>#04619</v>
      </c>
      <c r="B835" s="138" t="s">
        <v>2532</v>
      </c>
      <c r="C835" s="236" t="s">
        <v>1023</v>
      </c>
      <c r="D835" s="206">
        <v>39986</v>
      </c>
      <c r="E835" s="138" t="s">
        <v>985</v>
      </c>
    </row>
    <row r="836" spans="1:5" ht="18.75">
      <c r="A836" s="89" t="str">
        <f t="shared" si="13"/>
        <v>#04621</v>
      </c>
      <c r="B836" s="138" t="s">
        <v>2534</v>
      </c>
      <c r="C836" s="236" t="s">
        <v>2533</v>
      </c>
      <c r="D836" s="206">
        <v>39986</v>
      </c>
      <c r="E836" s="138" t="s">
        <v>797</v>
      </c>
    </row>
    <row r="837" spans="1:5" ht="18.75">
      <c r="A837" s="89" t="str">
        <f t="shared" si="13"/>
        <v>#04622</v>
      </c>
      <c r="B837" s="138" t="s">
        <v>2536</v>
      </c>
      <c r="C837" s="236" t="s">
        <v>2535</v>
      </c>
      <c r="D837" s="206">
        <v>39986</v>
      </c>
      <c r="E837" s="138" t="s">
        <v>797</v>
      </c>
    </row>
    <row r="838" spans="1:5" ht="18.75">
      <c r="A838" s="89" t="str">
        <f t="shared" si="13"/>
        <v>#04637</v>
      </c>
      <c r="B838" s="138" t="s">
        <v>2538</v>
      </c>
      <c r="C838" s="236" t="s">
        <v>2537</v>
      </c>
      <c r="D838" s="206">
        <v>39986</v>
      </c>
      <c r="E838" s="138" t="s">
        <v>1188</v>
      </c>
    </row>
    <row r="839" spans="1:5" ht="18.75">
      <c r="A839" s="89" t="str">
        <f t="shared" si="13"/>
        <v>#04646</v>
      </c>
      <c r="B839" s="138" t="s">
        <v>2540</v>
      </c>
      <c r="C839" s="236" t="s">
        <v>2539</v>
      </c>
      <c r="D839" s="206">
        <v>39988</v>
      </c>
      <c r="E839" s="138" t="s">
        <v>903</v>
      </c>
    </row>
    <row r="840" spans="1:5" ht="18.75">
      <c r="A840" s="89" t="str">
        <f t="shared" si="13"/>
        <v>#04675</v>
      </c>
      <c r="B840" s="138" t="s">
        <v>2542</v>
      </c>
      <c r="C840" s="236" t="s">
        <v>2541</v>
      </c>
      <c r="D840" s="206">
        <v>39989</v>
      </c>
      <c r="E840" s="138" t="s">
        <v>797</v>
      </c>
    </row>
    <row r="841" spans="1:5" ht="18.75">
      <c r="A841" s="89" t="str">
        <f t="shared" si="13"/>
        <v>#04676</v>
      </c>
      <c r="B841" s="138" t="s">
        <v>2544</v>
      </c>
      <c r="C841" s="236" t="s">
        <v>2543</v>
      </c>
      <c r="D841" s="206">
        <v>39990</v>
      </c>
      <c r="E841" s="138" t="s">
        <v>1043</v>
      </c>
    </row>
    <row r="842" spans="1:5" ht="18.75">
      <c r="A842" s="89" t="str">
        <f t="shared" si="13"/>
        <v>#04682</v>
      </c>
      <c r="B842" s="138" t="s">
        <v>2546</v>
      </c>
      <c r="C842" s="236" t="s">
        <v>2545</v>
      </c>
      <c r="D842" s="206">
        <v>39996</v>
      </c>
      <c r="E842" s="138" t="s">
        <v>890</v>
      </c>
    </row>
    <row r="843" spans="1:5" ht="18.75">
      <c r="A843" s="89" t="str">
        <f t="shared" si="13"/>
        <v>#04686</v>
      </c>
      <c r="B843" s="138" t="s">
        <v>2548</v>
      </c>
      <c r="C843" s="236" t="s">
        <v>2547</v>
      </c>
      <c r="D843" s="206">
        <v>39996</v>
      </c>
      <c r="E843" s="138" t="s">
        <v>937</v>
      </c>
    </row>
    <row r="844" spans="1:5" ht="18.75">
      <c r="A844" s="89" t="str">
        <f t="shared" si="13"/>
        <v>#04688</v>
      </c>
      <c r="B844" s="138" t="s">
        <v>2550</v>
      </c>
      <c r="C844" s="236" t="s">
        <v>2549</v>
      </c>
      <c r="D844" s="206">
        <v>39996</v>
      </c>
      <c r="E844" s="138" t="s">
        <v>1085</v>
      </c>
    </row>
    <row r="845" spans="1:5" ht="18.75">
      <c r="A845" s="89" t="str">
        <f t="shared" si="13"/>
        <v>#04689</v>
      </c>
      <c r="B845" s="138" t="s">
        <v>2552</v>
      </c>
      <c r="C845" s="236" t="s">
        <v>2551</v>
      </c>
      <c r="D845" s="206">
        <v>39996</v>
      </c>
      <c r="E845" s="138" t="s">
        <v>937</v>
      </c>
    </row>
    <row r="846" spans="1:5" ht="18.75">
      <c r="A846" s="89" t="str">
        <f t="shared" si="13"/>
        <v>#04690</v>
      </c>
      <c r="B846" s="138" t="s">
        <v>2554</v>
      </c>
      <c r="C846" s="236" t="s">
        <v>2553</v>
      </c>
      <c r="D846" s="206">
        <v>39996</v>
      </c>
      <c r="E846" s="138" t="s">
        <v>7818</v>
      </c>
    </row>
    <row r="847" spans="1:5" ht="18.75">
      <c r="A847" s="89" t="str">
        <f t="shared" si="13"/>
        <v>#04694</v>
      </c>
      <c r="B847" s="138" t="s">
        <v>2556</v>
      </c>
      <c r="C847" s="236" t="s">
        <v>2555</v>
      </c>
      <c r="D847" s="206">
        <v>39996</v>
      </c>
      <c r="E847" s="138" t="s">
        <v>937</v>
      </c>
    </row>
    <row r="848" spans="1:5" ht="18.75">
      <c r="A848" s="89" t="str">
        <f t="shared" si="13"/>
        <v>#04706</v>
      </c>
      <c r="B848" s="138" t="s">
        <v>2558</v>
      </c>
      <c r="C848" s="236" t="s">
        <v>2557</v>
      </c>
      <c r="D848" s="206">
        <v>39996</v>
      </c>
      <c r="E848" s="138" t="s">
        <v>1133</v>
      </c>
    </row>
    <row r="849" spans="1:5" ht="18.75">
      <c r="A849" s="89" t="str">
        <f t="shared" si="13"/>
        <v>#04707</v>
      </c>
      <c r="B849" s="138" t="s">
        <v>2559</v>
      </c>
      <c r="C849" s="236" t="s">
        <v>2557</v>
      </c>
      <c r="D849" s="206">
        <v>39996</v>
      </c>
      <c r="E849" s="138" t="s">
        <v>927</v>
      </c>
    </row>
    <row r="850" spans="1:5" ht="18.75">
      <c r="A850" s="89" t="str">
        <f t="shared" si="13"/>
        <v>#04715</v>
      </c>
      <c r="B850" s="138" t="s">
        <v>2561</v>
      </c>
      <c r="C850" s="236" t="s">
        <v>2560</v>
      </c>
      <c r="D850" s="206">
        <v>39995</v>
      </c>
      <c r="E850" s="138" t="s">
        <v>1188</v>
      </c>
    </row>
    <row r="851" spans="1:5" ht="18.75">
      <c r="A851" s="89" t="str">
        <f t="shared" si="13"/>
        <v>#04725</v>
      </c>
      <c r="B851" s="138" t="s">
        <v>2562</v>
      </c>
      <c r="C851" s="236" t="s">
        <v>1356</v>
      </c>
      <c r="D851" s="206">
        <v>40003</v>
      </c>
      <c r="E851" s="138" t="s">
        <v>8037</v>
      </c>
    </row>
    <row r="852" spans="1:5" ht="18.75">
      <c r="A852" s="89" t="str">
        <f t="shared" si="13"/>
        <v>#04750</v>
      </c>
      <c r="B852" s="138" t="s">
        <v>2564</v>
      </c>
      <c r="C852" s="236" t="s">
        <v>2563</v>
      </c>
      <c r="D852" s="206">
        <v>40007</v>
      </c>
      <c r="E852" s="138" t="s">
        <v>1004</v>
      </c>
    </row>
    <row r="853" spans="1:5" ht="18.75">
      <c r="A853" s="89" t="str">
        <f t="shared" si="13"/>
        <v>#04751</v>
      </c>
      <c r="B853" s="138" t="s">
        <v>2566</v>
      </c>
      <c r="C853" s="236" t="s">
        <v>2565</v>
      </c>
      <c r="D853" s="206">
        <v>40007</v>
      </c>
      <c r="E853" s="138" t="s">
        <v>1004</v>
      </c>
    </row>
    <row r="854" spans="1:5" ht="18.75">
      <c r="A854" s="89" t="str">
        <f t="shared" si="13"/>
        <v>#04753</v>
      </c>
      <c r="B854" s="138" t="s">
        <v>2568</v>
      </c>
      <c r="C854" s="236" t="s">
        <v>2567</v>
      </c>
      <c r="D854" s="206">
        <v>40007</v>
      </c>
      <c r="E854" s="138" t="s">
        <v>721</v>
      </c>
    </row>
    <row r="855" spans="1:5" ht="18.75">
      <c r="A855" s="89" t="str">
        <f t="shared" si="13"/>
        <v>#04754</v>
      </c>
      <c r="B855" s="138" t="s">
        <v>2570</v>
      </c>
      <c r="C855" s="236" t="s">
        <v>2569</v>
      </c>
      <c r="D855" s="206">
        <v>40007</v>
      </c>
      <c r="E855" s="138" t="s">
        <v>957</v>
      </c>
    </row>
    <row r="856" spans="1:5" ht="18.75">
      <c r="A856" s="89" t="str">
        <f t="shared" si="13"/>
        <v>#04774</v>
      </c>
      <c r="B856" s="138" t="s">
        <v>2572</v>
      </c>
      <c r="C856" s="236" t="s">
        <v>2571</v>
      </c>
      <c r="D856" s="206">
        <v>40011</v>
      </c>
      <c r="E856" s="138" t="s">
        <v>937</v>
      </c>
    </row>
    <row r="857" spans="1:5" ht="18.75">
      <c r="A857" s="89" t="str">
        <f t="shared" si="13"/>
        <v>#04789</v>
      </c>
      <c r="B857" s="138" t="s">
        <v>2574</v>
      </c>
      <c r="C857" s="236" t="s">
        <v>2573</v>
      </c>
      <c r="D857" s="206">
        <v>40011</v>
      </c>
      <c r="E857" s="138" t="s">
        <v>1085</v>
      </c>
    </row>
    <row r="858" spans="1:5" ht="18.75">
      <c r="A858" s="89" t="str">
        <f t="shared" si="13"/>
        <v>#04796</v>
      </c>
      <c r="B858" s="138" t="s">
        <v>2575</v>
      </c>
      <c r="C858" s="236" t="s">
        <v>1309</v>
      </c>
      <c r="D858" s="206">
        <v>40011</v>
      </c>
      <c r="E858" s="138" t="s">
        <v>895</v>
      </c>
    </row>
    <row r="859" spans="1:5" ht="18.75">
      <c r="A859" s="89" t="str">
        <f t="shared" si="13"/>
        <v>#04809</v>
      </c>
      <c r="B859" s="138" t="s">
        <v>2577</v>
      </c>
      <c r="C859" s="236" t="s">
        <v>2576</v>
      </c>
      <c r="D859" s="206">
        <v>40011</v>
      </c>
      <c r="E859" s="138" t="s">
        <v>924</v>
      </c>
    </row>
    <row r="860" spans="1:5" ht="18.75">
      <c r="A860" s="89" t="str">
        <f t="shared" si="13"/>
        <v>#04815</v>
      </c>
      <c r="B860" s="138" t="s">
        <v>2579</v>
      </c>
      <c r="C860" s="236" t="s">
        <v>2578</v>
      </c>
      <c r="D860" s="206">
        <v>40011</v>
      </c>
      <c r="E860" s="138" t="s">
        <v>895</v>
      </c>
    </row>
    <row r="861" spans="1:5" ht="18.75">
      <c r="A861" s="89" t="str">
        <f t="shared" si="13"/>
        <v>#04818</v>
      </c>
      <c r="B861" s="138" t="s">
        <v>2581</v>
      </c>
      <c r="C861" s="236" t="s">
        <v>2580</v>
      </c>
      <c r="D861" s="206">
        <v>40011</v>
      </c>
      <c r="E861" s="138" t="s">
        <v>895</v>
      </c>
    </row>
    <row r="862" spans="1:5" ht="18.75">
      <c r="A862" s="89" t="str">
        <f t="shared" si="13"/>
        <v>#04822</v>
      </c>
      <c r="B862" s="138" t="s">
        <v>2583</v>
      </c>
      <c r="C862" s="236" t="s">
        <v>2582</v>
      </c>
      <c r="D862" s="206">
        <v>40011</v>
      </c>
      <c r="E862" s="138" t="s">
        <v>948</v>
      </c>
    </row>
    <row r="863" spans="1:5" ht="18.75">
      <c r="A863" s="89" t="str">
        <f t="shared" si="13"/>
        <v>#04823</v>
      </c>
      <c r="B863" s="138" t="s">
        <v>2585</v>
      </c>
      <c r="C863" s="236" t="s">
        <v>2584</v>
      </c>
      <c r="D863" s="206">
        <v>40011</v>
      </c>
      <c r="E863" s="138" t="s">
        <v>8037</v>
      </c>
    </row>
    <row r="864" spans="1:5" ht="18.75">
      <c r="A864" s="89" t="str">
        <f t="shared" si="13"/>
        <v>#04836</v>
      </c>
      <c r="B864" s="138" t="s">
        <v>2587</v>
      </c>
      <c r="C864" s="236" t="s">
        <v>2586</v>
      </c>
      <c r="D864" s="206">
        <v>40022</v>
      </c>
      <c r="E864" s="138" t="s">
        <v>903</v>
      </c>
    </row>
    <row r="865" spans="1:5" ht="18.75">
      <c r="A865" s="89" t="str">
        <f t="shared" si="13"/>
        <v>#04843</v>
      </c>
      <c r="B865" s="138" t="s">
        <v>2589</v>
      </c>
      <c r="C865" s="236" t="s">
        <v>2588</v>
      </c>
      <c r="D865" s="206">
        <v>40028</v>
      </c>
      <c r="E865" s="138" t="s">
        <v>721</v>
      </c>
    </row>
    <row r="866" spans="1:5" ht="18.75">
      <c r="A866" s="89" t="str">
        <f t="shared" si="13"/>
        <v>#04844</v>
      </c>
      <c r="B866" s="138" t="s">
        <v>2591</v>
      </c>
      <c r="C866" s="236" t="s">
        <v>2590</v>
      </c>
      <c r="D866" s="206">
        <v>40026</v>
      </c>
      <c r="E866" s="138" t="s">
        <v>1255</v>
      </c>
    </row>
    <row r="867" spans="1:5" ht="18.75">
      <c r="A867" s="89" t="str">
        <f t="shared" si="13"/>
        <v>#04863</v>
      </c>
      <c r="B867" s="138" t="s">
        <v>2593</v>
      </c>
      <c r="C867" s="236" t="s">
        <v>2592</v>
      </c>
      <c r="D867" s="206">
        <v>40028</v>
      </c>
      <c r="E867" s="138" t="s">
        <v>1043</v>
      </c>
    </row>
    <row r="868" spans="1:5" ht="18.75">
      <c r="A868" s="89" t="str">
        <f t="shared" si="13"/>
        <v>#04868</v>
      </c>
      <c r="B868" s="138" t="s">
        <v>2595</v>
      </c>
      <c r="C868" s="236" t="s">
        <v>2594</v>
      </c>
      <c r="D868" s="206">
        <v>40029</v>
      </c>
      <c r="E868" s="138" t="s">
        <v>890</v>
      </c>
    </row>
    <row r="869" spans="1:5" ht="18.75">
      <c r="A869" s="89" t="str">
        <f t="shared" si="13"/>
        <v>#04880</v>
      </c>
      <c r="B869" s="138" t="s">
        <v>2597</v>
      </c>
      <c r="C869" s="236" t="s">
        <v>2596</v>
      </c>
      <c r="D869" s="206">
        <v>40029</v>
      </c>
      <c r="E869" s="138" t="s">
        <v>1133</v>
      </c>
    </row>
    <row r="870" spans="1:5" ht="18.75">
      <c r="A870" s="89" t="str">
        <f t="shared" si="13"/>
        <v>#04882</v>
      </c>
      <c r="B870" s="138" t="s">
        <v>2599</v>
      </c>
      <c r="C870" s="236" t="s">
        <v>2598</v>
      </c>
      <c r="D870" s="206">
        <v>40032</v>
      </c>
      <c r="E870" s="138" t="s">
        <v>985</v>
      </c>
    </row>
    <row r="871" spans="1:5" ht="18.75">
      <c r="A871" s="89" t="str">
        <f t="shared" si="13"/>
        <v>#04883</v>
      </c>
      <c r="B871" s="138" t="s">
        <v>2601</v>
      </c>
      <c r="C871" s="236" t="s">
        <v>2600</v>
      </c>
      <c r="D871" s="206">
        <v>40032</v>
      </c>
      <c r="E871" s="138" t="s">
        <v>985</v>
      </c>
    </row>
    <row r="872" spans="1:5" ht="18.75">
      <c r="A872" s="89" t="str">
        <f t="shared" si="13"/>
        <v>#04888</v>
      </c>
      <c r="B872" s="138" t="s">
        <v>2603</v>
      </c>
      <c r="C872" s="236" t="s">
        <v>2602</v>
      </c>
      <c r="D872" s="206">
        <v>40035</v>
      </c>
      <c r="E872" s="138" t="s">
        <v>895</v>
      </c>
    </row>
    <row r="873" spans="1:5" ht="18.75">
      <c r="A873" s="89" t="str">
        <f t="shared" si="13"/>
        <v>#04902</v>
      </c>
      <c r="B873" s="138" t="s">
        <v>2605</v>
      </c>
      <c r="C873" s="236" t="s">
        <v>2604</v>
      </c>
      <c r="D873" s="206">
        <v>40035</v>
      </c>
      <c r="E873" s="138" t="s">
        <v>1188</v>
      </c>
    </row>
    <row r="874" spans="1:5" ht="18.75">
      <c r="A874" s="89" t="str">
        <f t="shared" si="13"/>
        <v>#04914</v>
      </c>
      <c r="B874" s="138" t="s">
        <v>2607</v>
      </c>
      <c r="C874" s="236" t="s">
        <v>2606</v>
      </c>
      <c r="D874" s="206">
        <v>40032</v>
      </c>
      <c r="E874" s="138" t="s">
        <v>1188</v>
      </c>
    </row>
    <row r="875" spans="1:5" ht="18.75">
      <c r="A875" s="89" t="str">
        <f t="shared" si="13"/>
        <v>#04924</v>
      </c>
      <c r="B875" s="138" t="s">
        <v>2609</v>
      </c>
      <c r="C875" s="236" t="s">
        <v>2608</v>
      </c>
      <c r="D875" s="206">
        <v>40032</v>
      </c>
      <c r="E875" s="138" t="s">
        <v>1063</v>
      </c>
    </row>
    <row r="876" spans="1:5" ht="18.75">
      <c r="A876" s="89" t="str">
        <f t="shared" si="13"/>
        <v>#04926</v>
      </c>
      <c r="B876" s="138" t="s">
        <v>2611</v>
      </c>
      <c r="C876" s="236" t="s">
        <v>2610</v>
      </c>
      <c r="D876" s="206">
        <v>40032</v>
      </c>
      <c r="E876" s="138" t="s">
        <v>927</v>
      </c>
    </row>
    <row r="877" spans="1:5" ht="18.75">
      <c r="A877" s="89" t="str">
        <f t="shared" si="13"/>
        <v>#04927</v>
      </c>
      <c r="B877" s="138" t="s">
        <v>2613</v>
      </c>
      <c r="C877" s="236" t="s">
        <v>2612</v>
      </c>
      <c r="D877" s="206">
        <v>40032</v>
      </c>
      <c r="E877" s="138" t="s">
        <v>1133</v>
      </c>
    </row>
    <row r="878" spans="1:5" ht="18.75">
      <c r="A878" s="89" t="str">
        <f t="shared" si="13"/>
        <v>#04961</v>
      </c>
      <c r="B878" s="138" t="s">
        <v>2615</v>
      </c>
      <c r="C878" s="236" t="s">
        <v>2614</v>
      </c>
      <c r="D878" s="206">
        <v>40043</v>
      </c>
      <c r="E878" s="138" t="s">
        <v>937</v>
      </c>
    </row>
    <row r="879" spans="1:5" ht="18.75">
      <c r="A879" s="89" t="str">
        <f t="shared" si="13"/>
        <v>#04962</v>
      </c>
      <c r="B879" s="138" t="s">
        <v>2617</v>
      </c>
      <c r="C879" s="236" t="s">
        <v>2616</v>
      </c>
      <c r="D879" s="206">
        <v>40042</v>
      </c>
      <c r="E879" s="138" t="s">
        <v>1085</v>
      </c>
    </row>
    <row r="880" spans="1:5" ht="18.75">
      <c r="A880" s="89" t="str">
        <f t="shared" si="13"/>
        <v>#05001</v>
      </c>
      <c r="B880" s="138" t="s">
        <v>2618</v>
      </c>
      <c r="C880" s="236" t="s">
        <v>2336</v>
      </c>
      <c r="D880" s="206">
        <v>40050</v>
      </c>
      <c r="E880" s="138" t="s">
        <v>895</v>
      </c>
    </row>
    <row r="881" spans="1:5" ht="18.75">
      <c r="A881" s="89" t="str">
        <f t="shared" si="13"/>
        <v>#05024</v>
      </c>
      <c r="B881" s="138" t="s">
        <v>2620</v>
      </c>
      <c r="C881" s="236" t="s">
        <v>2619</v>
      </c>
      <c r="D881" s="206">
        <v>40050</v>
      </c>
      <c r="E881" s="138" t="s">
        <v>1188</v>
      </c>
    </row>
    <row r="882" spans="1:5" ht="18.75">
      <c r="A882" s="89" t="str">
        <f t="shared" si="13"/>
        <v>#05026</v>
      </c>
      <c r="B882" s="138" t="s">
        <v>2622</v>
      </c>
      <c r="C882" s="236" t="s">
        <v>2621</v>
      </c>
      <c r="D882" s="206">
        <v>40050</v>
      </c>
      <c r="E882" s="138" t="s">
        <v>1188</v>
      </c>
    </row>
    <row r="883" spans="1:5" ht="18.75">
      <c r="A883" s="89" t="str">
        <f t="shared" si="13"/>
        <v>#05035</v>
      </c>
      <c r="B883" s="138" t="s">
        <v>2624</v>
      </c>
      <c r="C883" s="236" t="s">
        <v>2623</v>
      </c>
      <c r="D883" s="206">
        <v>40050</v>
      </c>
      <c r="E883" s="138" t="s">
        <v>978</v>
      </c>
    </row>
    <row r="884" spans="1:5" ht="18.75">
      <c r="A884" s="89" t="str">
        <f t="shared" si="13"/>
        <v>#05041</v>
      </c>
      <c r="B884" s="138" t="s">
        <v>2626</v>
      </c>
      <c r="C884" s="236" t="s">
        <v>2625</v>
      </c>
      <c r="D884" s="206">
        <v>40063</v>
      </c>
      <c r="E884" s="138" t="s">
        <v>924</v>
      </c>
    </row>
    <row r="885" spans="1:5" ht="18.75">
      <c r="A885" s="89" t="str">
        <f t="shared" si="13"/>
        <v>#05056</v>
      </c>
      <c r="B885" s="138" t="s">
        <v>2628</v>
      </c>
      <c r="C885" s="236" t="s">
        <v>2627</v>
      </c>
      <c r="D885" s="206">
        <v>40063</v>
      </c>
      <c r="E885" s="138" t="s">
        <v>985</v>
      </c>
    </row>
    <row r="886" spans="1:5" ht="18.75">
      <c r="A886" s="89" t="str">
        <f t="shared" si="13"/>
        <v>#05057</v>
      </c>
      <c r="B886" s="138" t="s">
        <v>2630</v>
      </c>
      <c r="C886" s="236" t="s">
        <v>2629</v>
      </c>
      <c r="D886" s="206">
        <v>40063</v>
      </c>
      <c r="E886" s="138" t="s">
        <v>937</v>
      </c>
    </row>
    <row r="887" spans="1:5" ht="18.75">
      <c r="A887" s="89" t="str">
        <f t="shared" si="13"/>
        <v>#05059</v>
      </c>
      <c r="B887" s="138" t="s">
        <v>2632</v>
      </c>
      <c r="C887" s="236" t="s">
        <v>2631</v>
      </c>
      <c r="D887" s="206">
        <v>40063</v>
      </c>
      <c r="E887" s="138" t="s">
        <v>985</v>
      </c>
    </row>
    <row r="888" spans="1:5" ht="18.75">
      <c r="A888" s="89" t="str">
        <f t="shared" si="13"/>
        <v>#05074</v>
      </c>
      <c r="B888" s="138" t="s">
        <v>2634</v>
      </c>
      <c r="C888" s="236" t="s">
        <v>2633</v>
      </c>
      <c r="D888" s="206">
        <v>40063</v>
      </c>
      <c r="E888" s="138" t="s">
        <v>1052</v>
      </c>
    </row>
    <row r="889" spans="1:5" ht="18.75">
      <c r="A889" s="89" t="str">
        <f t="shared" si="13"/>
        <v>#05077</v>
      </c>
      <c r="B889" s="138" t="s">
        <v>2636</v>
      </c>
      <c r="C889" s="236" t="s">
        <v>2635</v>
      </c>
      <c r="D889" s="206">
        <v>40070</v>
      </c>
      <c r="E889" s="138" t="s">
        <v>895</v>
      </c>
    </row>
    <row r="890" spans="1:5" ht="18.75">
      <c r="A890" s="89" t="str">
        <f t="shared" si="13"/>
        <v>#05079</v>
      </c>
      <c r="B890" s="138" t="s">
        <v>2638</v>
      </c>
      <c r="C890" s="236" t="s">
        <v>2637</v>
      </c>
      <c r="D890" s="206">
        <v>40070</v>
      </c>
      <c r="E890" s="138" t="s">
        <v>1133</v>
      </c>
    </row>
    <row r="891" spans="1:5" ht="18.75">
      <c r="A891" s="89" t="str">
        <f t="shared" si="13"/>
        <v>#05095</v>
      </c>
      <c r="B891" s="138" t="s">
        <v>2640</v>
      </c>
      <c r="C891" s="236" t="s">
        <v>2639</v>
      </c>
      <c r="D891" s="206">
        <v>40070</v>
      </c>
      <c r="E891" s="138" t="s">
        <v>937</v>
      </c>
    </row>
    <row r="892" spans="1:5" ht="18.75">
      <c r="A892" s="89" t="str">
        <f t="shared" si="13"/>
        <v>#05096</v>
      </c>
      <c r="B892" s="138" t="s">
        <v>2642</v>
      </c>
      <c r="C892" s="236" t="s">
        <v>2641</v>
      </c>
      <c r="D892" s="206">
        <v>40070</v>
      </c>
      <c r="E892" s="138" t="s">
        <v>7818</v>
      </c>
    </row>
    <row r="893" spans="1:5" ht="18.75">
      <c r="A893" s="89" t="str">
        <f t="shared" si="13"/>
        <v>#05114</v>
      </c>
      <c r="B893" s="138" t="s">
        <v>2644</v>
      </c>
      <c r="C893" s="236" t="s">
        <v>2643</v>
      </c>
      <c r="D893" s="206">
        <v>40070</v>
      </c>
      <c r="E893" s="138" t="s">
        <v>1113</v>
      </c>
    </row>
    <row r="894" spans="1:5" ht="18.75">
      <c r="A894" s="89" t="str">
        <f t="shared" si="13"/>
        <v>#05132</v>
      </c>
      <c r="B894" s="138" t="s">
        <v>2646</v>
      </c>
      <c r="C894" s="236" t="s">
        <v>2645</v>
      </c>
      <c r="D894" s="206">
        <v>40078</v>
      </c>
      <c r="E894" s="138" t="s">
        <v>937</v>
      </c>
    </row>
    <row r="895" spans="1:5" ht="18.75">
      <c r="A895" s="89" t="str">
        <f t="shared" si="13"/>
        <v>#05139</v>
      </c>
      <c r="B895" s="138" t="s">
        <v>2648</v>
      </c>
      <c r="C895" s="236" t="s">
        <v>2647</v>
      </c>
      <c r="D895" s="206">
        <v>40078</v>
      </c>
      <c r="E895" s="138" t="s">
        <v>937</v>
      </c>
    </row>
    <row r="896" spans="1:5" ht="18.75">
      <c r="A896" s="89" t="str">
        <f t="shared" si="13"/>
        <v>#05141</v>
      </c>
      <c r="B896" s="138" t="s">
        <v>2650</v>
      </c>
      <c r="C896" s="236" t="s">
        <v>2649</v>
      </c>
      <c r="D896" s="206">
        <v>40078</v>
      </c>
      <c r="E896" s="138" t="s">
        <v>1380</v>
      </c>
    </row>
    <row r="897" spans="1:5" ht="18.75">
      <c r="A897" s="89" t="str">
        <f t="shared" si="13"/>
        <v>#05147</v>
      </c>
      <c r="B897" s="138" t="s">
        <v>2652</v>
      </c>
      <c r="C897" s="236" t="s">
        <v>2651</v>
      </c>
      <c r="D897" s="206">
        <v>40078</v>
      </c>
      <c r="E897" s="138" t="s">
        <v>985</v>
      </c>
    </row>
    <row r="898" spans="1:5" ht="18.75">
      <c r="A898" s="89" t="str">
        <f t="shared" si="13"/>
        <v>#05152</v>
      </c>
      <c r="B898" s="138" t="s">
        <v>2653</v>
      </c>
      <c r="C898" s="236" t="s">
        <v>2511</v>
      </c>
      <c r="D898" s="206">
        <v>40078</v>
      </c>
      <c r="E898" s="138" t="s">
        <v>890</v>
      </c>
    </row>
    <row r="899" spans="1:5" ht="18.75">
      <c r="A899" s="89" t="str">
        <f t="shared" ref="A899:A962" si="14">"#"&amp;B899</f>
        <v>#05157</v>
      </c>
      <c r="B899" s="138" t="s">
        <v>2655</v>
      </c>
      <c r="C899" s="236" t="s">
        <v>2654</v>
      </c>
      <c r="D899" s="206">
        <v>40078</v>
      </c>
      <c r="E899" s="138" t="s">
        <v>890</v>
      </c>
    </row>
    <row r="900" spans="1:5" ht="18.75">
      <c r="A900" s="89" t="str">
        <f t="shared" si="14"/>
        <v>#05160</v>
      </c>
      <c r="B900" s="138" t="s">
        <v>2657</v>
      </c>
      <c r="C900" s="236" t="s">
        <v>2656</v>
      </c>
      <c r="D900" s="206">
        <v>40078</v>
      </c>
      <c r="E900" s="138" t="s">
        <v>7818</v>
      </c>
    </row>
    <row r="901" spans="1:5" ht="18.75">
      <c r="A901" s="89" t="str">
        <f t="shared" si="14"/>
        <v>#05166</v>
      </c>
      <c r="B901" s="138" t="s">
        <v>2658</v>
      </c>
      <c r="C901" s="236" t="s">
        <v>1704</v>
      </c>
      <c r="D901" s="206">
        <v>40078</v>
      </c>
      <c r="E901" s="138" t="s">
        <v>890</v>
      </c>
    </row>
    <row r="902" spans="1:5" ht="18.75">
      <c r="A902" s="89" t="str">
        <f t="shared" si="14"/>
        <v>#05177</v>
      </c>
      <c r="B902" s="138" t="s">
        <v>2660</v>
      </c>
      <c r="C902" s="236" t="s">
        <v>2659</v>
      </c>
      <c r="D902" s="206">
        <v>40080</v>
      </c>
      <c r="E902" s="138" t="s">
        <v>906</v>
      </c>
    </row>
    <row r="903" spans="1:5" ht="18.75">
      <c r="A903" s="89" t="str">
        <f t="shared" si="14"/>
        <v>#05224</v>
      </c>
      <c r="B903" s="138" t="s">
        <v>2662</v>
      </c>
      <c r="C903" s="236" t="s">
        <v>2661</v>
      </c>
      <c r="D903" s="206">
        <v>40082</v>
      </c>
      <c r="E903" s="138" t="s">
        <v>1004</v>
      </c>
    </row>
    <row r="904" spans="1:5" ht="18.75">
      <c r="A904" s="89" t="str">
        <f t="shared" si="14"/>
        <v>#05225</v>
      </c>
      <c r="B904" s="138" t="s">
        <v>2664</v>
      </c>
      <c r="C904" s="236" t="s">
        <v>2663</v>
      </c>
      <c r="D904" s="206">
        <v>40082</v>
      </c>
      <c r="E904" s="138" t="s">
        <v>985</v>
      </c>
    </row>
    <row r="905" spans="1:5" ht="18.75">
      <c r="A905" s="89" t="str">
        <f t="shared" si="14"/>
        <v>#05231</v>
      </c>
      <c r="B905" s="138" t="s">
        <v>2665</v>
      </c>
      <c r="C905" s="236" t="s">
        <v>2369</v>
      </c>
      <c r="D905" s="206">
        <v>40088</v>
      </c>
      <c r="E905" s="138" t="s">
        <v>1113</v>
      </c>
    </row>
    <row r="906" spans="1:5" ht="18.75">
      <c r="A906" s="89" t="str">
        <f t="shared" si="14"/>
        <v>#05278</v>
      </c>
      <c r="B906" s="138" t="s">
        <v>2667</v>
      </c>
      <c r="C906" s="236" t="s">
        <v>2666</v>
      </c>
      <c r="D906" s="206">
        <v>40088</v>
      </c>
      <c r="E906" s="138" t="s">
        <v>1043</v>
      </c>
    </row>
    <row r="907" spans="1:5" ht="18.75">
      <c r="A907" s="89" t="str">
        <f t="shared" si="14"/>
        <v>#05294</v>
      </c>
      <c r="B907" s="138" t="s">
        <v>2669</v>
      </c>
      <c r="C907" s="236" t="s">
        <v>2668</v>
      </c>
      <c r="D907" s="206">
        <v>40091</v>
      </c>
      <c r="E907" s="138" t="s">
        <v>1063</v>
      </c>
    </row>
    <row r="908" spans="1:5" ht="18.75">
      <c r="A908" s="89" t="str">
        <f t="shared" si="14"/>
        <v>#05296</v>
      </c>
      <c r="B908" s="138" t="s">
        <v>2671</v>
      </c>
      <c r="C908" s="236" t="s">
        <v>2670</v>
      </c>
      <c r="D908" s="206">
        <v>40095</v>
      </c>
      <c r="E908" s="138" t="s">
        <v>890</v>
      </c>
    </row>
    <row r="909" spans="1:5" ht="18.75">
      <c r="A909" s="89" t="str">
        <f t="shared" si="14"/>
        <v>#05303</v>
      </c>
      <c r="B909" s="138" t="s">
        <v>2673</v>
      </c>
      <c r="C909" s="236" t="s">
        <v>2672</v>
      </c>
      <c r="D909" s="206">
        <v>40095</v>
      </c>
      <c r="E909" s="138" t="s">
        <v>7818</v>
      </c>
    </row>
    <row r="910" spans="1:5" ht="18.75">
      <c r="A910" s="89" t="str">
        <f t="shared" si="14"/>
        <v>#05313</v>
      </c>
      <c r="B910" s="138" t="s">
        <v>2675</v>
      </c>
      <c r="C910" s="236" t="s">
        <v>2674</v>
      </c>
      <c r="D910" s="206">
        <v>40095</v>
      </c>
      <c r="E910" s="138" t="s">
        <v>895</v>
      </c>
    </row>
    <row r="911" spans="1:5" ht="18.75">
      <c r="A911" s="89" t="str">
        <f t="shared" si="14"/>
        <v>#05325</v>
      </c>
      <c r="B911" s="138" t="s">
        <v>2677</v>
      </c>
      <c r="C911" s="236" t="s">
        <v>2676</v>
      </c>
      <c r="D911" s="206">
        <v>40095</v>
      </c>
      <c r="E911" s="138" t="s">
        <v>957</v>
      </c>
    </row>
    <row r="912" spans="1:5" ht="18.75">
      <c r="A912" s="89" t="str">
        <f t="shared" si="14"/>
        <v>#05329</v>
      </c>
      <c r="B912" s="138" t="s">
        <v>2679</v>
      </c>
      <c r="C912" s="236" t="s">
        <v>2678</v>
      </c>
      <c r="D912" s="206">
        <v>40095</v>
      </c>
      <c r="E912" s="138" t="s">
        <v>1043</v>
      </c>
    </row>
    <row r="913" spans="1:5" ht="18.75">
      <c r="A913" s="89" t="str">
        <f t="shared" si="14"/>
        <v>#05353</v>
      </c>
      <c r="B913" s="138" t="s">
        <v>2681</v>
      </c>
      <c r="C913" s="236" t="s">
        <v>2680</v>
      </c>
      <c r="D913" s="206">
        <v>40095</v>
      </c>
      <c r="E913" s="138" t="s">
        <v>985</v>
      </c>
    </row>
    <row r="914" spans="1:5" ht="18.75">
      <c r="A914" s="89" t="str">
        <f t="shared" si="14"/>
        <v>#05397</v>
      </c>
      <c r="B914" s="138" t="s">
        <v>2683</v>
      </c>
      <c r="C914" s="236" t="s">
        <v>2682</v>
      </c>
      <c r="D914" s="206">
        <v>40102</v>
      </c>
      <c r="E914" s="138" t="s">
        <v>1063</v>
      </c>
    </row>
    <row r="915" spans="1:5" ht="18.75">
      <c r="A915" s="89" t="str">
        <f t="shared" si="14"/>
        <v>#05398</v>
      </c>
      <c r="B915" s="138" t="s">
        <v>2685</v>
      </c>
      <c r="C915" s="236" t="s">
        <v>2684</v>
      </c>
      <c r="D915" s="206">
        <v>40102</v>
      </c>
      <c r="E915" s="138" t="s">
        <v>957</v>
      </c>
    </row>
    <row r="916" spans="1:5" ht="18.75">
      <c r="A916" s="89" t="str">
        <f t="shared" si="14"/>
        <v>#05401</v>
      </c>
      <c r="B916" s="138" t="s">
        <v>2687</v>
      </c>
      <c r="C916" s="236" t="s">
        <v>2686</v>
      </c>
      <c r="D916" s="206">
        <v>40102</v>
      </c>
      <c r="E916" s="138" t="s">
        <v>1043</v>
      </c>
    </row>
    <row r="917" spans="1:5" ht="18.75">
      <c r="A917" s="89" t="str">
        <f t="shared" si="14"/>
        <v>#05402</v>
      </c>
      <c r="B917" s="138" t="s">
        <v>2689</v>
      </c>
      <c r="C917" s="236" t="s">
        <v>2688</v>
      </c>
      <c r="D917" s="206">
        <v>40102</v>
      </c>
      <c r="E917" s="138" t="s">
        <v>8037</v>
      </c>
    </row>
    <row r="918" spans="1:5" ht="15.75">
      <c r="A918" s="89" t="str">
        <f t="shared" si="14"/>
        <v>#05416</v>
      </c>
      <c r="B918" s="138" t="s">
        <v>2691</v>
      </c>
      <c r="C918" s="139" t="s">
        <v>2690</v>
      </c>
      <c r="D918" s="138">
        <v>40102</v>
      </c>
      <c r="E918" s="138" t="s">
        <v>1043</v>
      </c>
    </row>
    <row r="919" spans="1:5" ht="18.75">
      <c r="A919" s="89" t="str">
        <f t="shared" si="14"/>
        <v>#05420</v>
      </c>
      <c r="B919" s="138" t="s">
        <v>2693</v>
      </c>
      <c r="C919" s="236" t="s">
        <v>2692</v>
      </c>
      <c r="D919" s="206">
        <v>40102</v>
      </c>
      <c r="E919" s="138" t="s">
        <v>1133</v>
      </c>
    </row>
    <row r="920" spans="1:5" ht="18.75">
      <c r="A920" s="89" t="str">
        <f t="shared" si="14"/>
        <v>#05425</v>
      </c>
      <c r="B920" s="138" t="s">
        <v>2695</v>
      </c>
      <c r="C920" s="236" t="s">
        <v>2694</v>
      </c>
      <c r="D920" s="206">
        <v>40102</v>
      </c>
      <c r="E920" s="138" t="s">
        <v>1188</v>
      </c>
    </row>
    <row r="921" spans="1:5" ht="18.75">
      <c r="A921" s="89" t="str">
        <f t="shared" si="14"/>
        <v>#05428</v>
      </c>
      <c r="B921" s="138" t="s">
        <v>2697</v>
      </c>
      <c r="C921" s="236" t="s">
        <v>2696</v>
      </c>
      <c r="D921" s="206">
        <v>40102</v>
      </c>
      <c r="E921" s="138" t="s">
        <v>1188</v>
      </c>
    </row>
    <row r="922" spans="1:5" ht="18.75">
      <c r="A922" s="89" t="str">
        <f t="shared" si="14"/>
        <v>#05430</v>
      </c>
      <c r="B922" s="138" t="s">
        <v>2699</v>
      </c>
      <c r="C922" s="236" t="s">
        <v>2698</v>
      </c>
      <c r="D922" s="206">
        <v>40102</v>
      </c>
      <c r="E922" s="138" t="s">
        <v>1043</v>
      </c>
    </row>
    <row r="923" spans="1:5" ht="18.75">
      <c r="A923" s="89" t="str">
        <f t="shared" si="14"/>
        <v>#05464</v>
      </c>
      <c r="B923" s="138" t="s">
        <v>2701</v>
      </c>
      <c r="C923" s="236" t="s">
        <v>2700</v>
      </c>
      <c r="D923" s="206">
        <v>40102</v>
      </c>
      <c r="E923" s="138" t="s">
        <v>903</v>
      </c>
    </row>
    <row r="924" spans="1:5" ht="18.75">
      <c r="A924" s="89" t="str">
        <f t="shared" si="14"/>
        <v>#05472</v>
      </c>
      <c r="B924" s="138" t="s">
        <v>2703</v>
      </c>
      <c r="C924" s="236" t="s">
        <v>2702</v>
      </c>
      <c r="D924" s="206">
        <v>40102</v>
      </c>
      <c r="E924" s="138" t="s">
        <v>1380</v>
      </c>
    </row>
    <row r="925" spans="1:5" ht="18.75">
      <c r="A925" s="89" t="str">
        <f t="shared" si="14"/>
        <v>#05474</v>
      </c>
      <c r="B925" s="138" t="s">
        <v>2705</v>
      </c>
      <c r="C925" s="236" t="s">
        <v>2704</v>
      </c>
      <c r="D925" s="206">
        <v>40102</v>
      </c>
      <c r="E925" s="138" t="s">
        <v>1034</v>
      </c>
    </row>
    <row r="926" spans="1:5" ht="18.75">
      <c r="A926" s="89" t="str">
        <f t="shared" si="14"/>
        <v>#05478</v>
      </c>
      <c r="B926" s="138" t="s">
        <v>2707</v>
      </c>
      <c r="C926" s="236" t="s">
        <v>2706</v>
      </c>
      <c r="D926" s="206">
        <v>40102</v>
      </c>
      <c r="E926" s="138" t="s">
        <v>1380</v>
      </c>
    </row>
    <row r="927" spans="1:5" ht="18.75">
      <c r="A927" s="89" t="str">
        <f t="shared" si="14"/>
        <v>#05479</v>
      </c>
      <c r="B927" s="138" t="s">
        <v>2709</v>
      </c>
      <c r="C927" s="236" t="s">
        <v>2708</v>
      </c>
      <c r="D927" s="206">
        <v>40102</v>
      </c>
      <c r="E927" s="138" t="s">
        <v>1113</v>
      </c>
    </row>
    <row r="928" spans="1:5" ht="18.75">
      <c r="A928" s="89" t="str">
        <f t="shared" si="14"/>
        <v>#05481</v>
      </c>
      <c r="B928" s="138" t="s">
        <v>2711</v>
      </c>
      <c r="C928" s="236" t="s">
        <v>2710</v>
      </c>
      <c r="D928" s="206">
        <v>40102</v>
      </c>
      <c r="E928" s="138" t="s">
        <v>895</v>
      </c>
    </row>
    <row r="929" spans="1:5" ht="18.75">
      <c r="A929" s="89" t="str">
        <f t="shared" si="14"/>
        <v>#05483</v>
      </c>
      <c r="B929" s="138" t="s">
        <v>2713</v>
      </c>
      <c r="C929" s="236" t="s">
        <v>2712</v>
      </c>
      <c r="D929" s="206">
        <v>40102</v>
      </c>
      <c r="E929" s="138" t="s">
        <v>1188</v>
      </c>
    </row>
    <row r="930" spans="1:5" ht="18.75">
      <c r="A930" s="89" t="str">
        <f t="shared" si="14"/>
        <v>#05484</v>
      </c>
      <c r="B930" s="138" t="s">
        <v>2715</v>
      </c>
      <c r="C930" s="236" t="s">
        <v>2714</v>
      </c>
      <c r="D930" s="206">
        <v>40102</v>
      </c>
      <c r="E930" s="138" t="s">
        <v>1188</v>
      </c>
    </row>
    <row r="931" spans="1:5" ht="18.75">
      <c r="A931" s="89" t="str">
        <f t="shared" si="14"/>
        <v>#05493</v>
      </c>
      <c r="B931" s="138" t="s">
        <v>2717</v>
      </c>
      <c r="C931" s="236" t="s">
        <v>2716</v>
      </c>
      <c r="D931" s="206">
        <v>40102</v>
      </c>
      <c r="E931" s="138" t="s">
        <v>890</v>
      </c>
    </row>
    <row r="932" spans="1:5" ht="18.75">
      <c r="A932" s="89" t="str">
        <f t="shared" si="14"/>
        <v>#05496</v>
      </c>
      <c r="B932" s="138" t="s">
        <v>2719</v>
      </c>
      <c r="C932" s="236" t="s">
        <v>2718</v>
      </c>
      <c r="D932" s="206">
        <v>40102</v>
      </c>
      <c r="E932" s="138" t="s">
        <v>1113</v>
      </c>
    </row>
    <row r="933" spans="1:5" ht="18.75">
      <c r="A933" s="89" t="str">
        <f t="shared" si="14"/>
        <v>#05539</v>
      </c>
      <c r="B933" s="138" t="s">
        <v>2721</v>
      </c>
      <c r="C933" s="236" t="s">
        <v>2720</v>
      </c>
      <c r="D933" s="206">
        <v>40102</v>
      </c>
      <c r="E933" s="138" t="s">
        <v>957</v>
      </c>
    </row>
    <row r="934" spans="1:5" ht="18.75">
      <c r="A934" s="89" t="str">
        <f t="shared" si="14"/>
        <v>#05542</v>
      </c>
      <c r="B934" s="138" t="s">
        <v>2723</v>
      </c>
      <c r="C934" s="236" t="s">
        <v>2722</v>
      </c>
      <c r="D934" s="206">
        <v>40102</v>
      </c>
      <c r="E934" s="138" t="s">
        <v>903</v>
      </c>
    </row>
    <row r="935" spans="1:5" ht="18.75">
      <c r="A935" s="89" t="str">
        <f t="shared" si="14"/>
        <v>#05563</v>
      </c>
      <c r="B935" s="138" t="s">
        <v>2725</v>
      </c>
      <c r="C935" s="236" t="s">
        <v>2724</v>
      </c>
      <c r="D935" s="206">
        <v>40106</v>
      </c>
      <c r="E935" s="138" t="s">
        <v>890</v>
      </c>
    </row>
    <row r="936" spans="1:5" ht="18.75">
      <c r="A936" s="89" t="str">
        <f t="shared" si="14"/>
        <v>#05573</v>
      </c>
      <c r="B936" s="138" t="s">
        <v>2727</v>
      </c>
      <c r="C936" s="236" t="s">
        <v>2726</v>
      </c>
      <c r="D936" s="206">
        <v>40106</v>
      </c>
      <c r="E936" s="138" t="s">
        <v>895</v>
      </c>
    </row>
    <row r="937" spans="1:5" ht="18.75">
      <c r="A937" s="89" t="str">
        <f t="shared" si="14"/>
        <v>#05574</v>
      </c>
      <c r="B937" s="138" t="s">
        <v>2728</v>
      </c>
      <c r="C937" s="236" t="s">
        <v>1774</v>
      </c>
      <c r="D937" s="206">
        <v>40106</v>
      </c>
      <c r="E937" s="138" t="s">
        <v>895</v>
      </c>
    </row>
    <row r="938" spans="1:5" ht="18.75">
      <c r="A938" s="89" t="str">
        <f t="shared" si="14"/>
        <v>#05575</v>
      </c>
      <c r="B938" s="138" t="s">
        <v>2730</v>
      </c>
      <c r="C938" s="236" t="s">
        <v>2729</v>
      </c>
      <c r="D938" s="206">
        <v>40106</v>
      </c>
      <c r="E938" s="138" t="s">
        <v>721</v>
      </c>
    </row>
    <row r="939" spans="1:5" ht="18.75">
      <c r="A939" s="89" t="str">
        <f t="shared" si="14"/>
        <v>#05576</v>
      </c>
      <c r="B939" s="138" t="s">
        <v>2732</v>
      </c>
      <c r="C939" s="236" t="s">
        <v>2731</v>
      </c>
      <c r="D939" s="206">
        <v>40106</v>
      </c>
      <c r="E939" s="138" t="s">
        <v>721</v>
      </c>
    </row>
    <row r="940" spans="1:5" ht="18.75">
      <c r="A940" s="89" t="str">
        <f t="shared" si="14"/>
        <v>#05593</v>
      </c>
      <c r="B940" s="138" t="s">
        <v>2733</v>
      </c>
      <c r="C940" s="236" t="s">
        <v>1804</v>
      </c>
      <c r="D940" s="206">
        <v>40106</v>
      </c>
      <c r="E940" s="138" t="s">
        <v>1380</v>
      </c>
    </row>
    <row r="941" spans="1:5" ht="18.75">
      <c r="A941" s="89" t="str">
        <f t="shared" si="14"/>
        <v>#05596</v>
      </c>
      <c r="B941" s="138" t="s">
        <v>2735</v>
      </c>
      <c r="C941" s="236" t="s">
        <v>2734</v>
      </c>
      <c r="D941" s="206">
        <v>40107</v>
      </c>
      <c r="E941" s="138" t="s">
        <v>1380</v>
      </c>
    </row>
    <row r="942" spans="1:5" ht="18.75">
      <c r="A942" s="89" t="str">
        <f t="shared" si="14"/>
        <v>#05597</v>
      </c>
      <c r="B942" s="138" t="s">
        <v>2736</v>
      </c>
      <c r="C942" s="236" t="s">
        <v>1599</v>
      </c>
      <c r="D942" s="206">
        <v>40106</v>
      </c>
      <c r="E942" s="138" t="s">
        <v>1380</v>
      </c>
    </row>
    <row r="943" spans="1:5" ht="18.75">
      <c r="A943" s="89" t="str">
        <f t="shared" si="14"/>
        <v>#05603</v>
      </c>
      <c r="B943" s="138" t="s">
        <v>2738</v>
      </c>
      <c r="C943" s="236" t="s">
        <v>2737</v>
      </c>
      <c r="D943" s="206">
        <v>40106</v>
      </c>
      <c r="E943" s="138" t="s">
        <v>1380</v>
      </c>
    </row>
    <row r="944" spans="1:5" ht="18.75">
      <c r="A944" s="89" t="str">
        <f t="shared" si="14"/>
        <v>#05617</v>
      </c>
      <c r="B944" s="138" t="s">
        <v>2741</v>
      </c>
      <c r="C944" s="236" t="s">
        <v>2740</v>
      </c>
      <c r="D944" s="206">
        <v>40113</v>
      </c>
      <c r="E944" s="138" t="s">
        <v>937</v>
      </c>
    </row>
    <row r="945" spans="1:5" ht="18.75">
      <c r="A945" s="89" t="str">
        <f t="shared" si="14"/>
        <v>#05624</v>
      </c>
      <c r="B945" s="138" t="s">
        <v>2743</v>
      </c>
      <c r="C945" s="236" t="s">
        <v>2742</v>
      </c>
      <c r="D945" s="206">
        <v>40113</v>
      </c>
      <c r="E945" s="138" t="s">
        <v>915</v>
      </c>
    </row>
    <row r="946" spans="1:5" ht="18.75">
      <c r="A946" s="89" t="str">
        <f t="shared" si="14"/>
        <v>#05645</v>
      </c>
      <c r="B946" s="138" t="s">
        <v>2745</v>
      </c>
      <c r="C946" s="236" t="s">
        <v>2744</v>
      </c>
      <c r="D946" s="206">
        <v>40113</v>
      </c>
      <c r="E946" s="138" t="s">
        <v>890</v>
      </c>
    </row>
    <row r="947" spans="1:5" ht="18.75">
      <c r="A947" s="89" t="str">
        <f t="shared" si="14"/>
        <v>#05650</v>
      </c>
      <c r="B947" s="138" t="s">
        <v>2747</v>
      </c>
      <c r="C947" s="236" t="s">
        <v>2746</v>
      </c>
      <c r="D947" s="206">
        <v>40113</v>
      </c>
      <c r="E947" s="138" t="s">
        <v>985</v>
      </c>
    </row>
    <row r="948" spans="1:5" ht="18.75">
      <c r="A948" s="89" t="str">
        <f t="shared" si="14"/>
        <v>#05668</v>
      </c>
      <c r="B948" s="138" t="s">
        <v>2749</v>
      </c>
      <c r="C948" s="236" t="s">
        <v>2748</v>
      </c>
      <c r="D948" s="206">
        <v>40113</v>
      </c>
      <c r="E948" s="138" t="s">
        <v>985</v>
      </c>
    </row>
    <row r="949" spans="1:5" ht="18.75">
      <c r="A949" s="89" t="str">
        <f t="shared" si="14"/>
        <v>#05672</v>
      </c>
      <c r="B949" s="138" t="s">
        <v>2751</v>
      </c>
      <c r="C949" s="236" t="s">
        <v>2750</v>
      </c>
      <c r="D949" s="206">
        <v>40119</v>
      </c>
      <c r="E949" s="138" t="s">
        <v>906</v>
      </c>
    </row>
    <row r="950" spans="1:5" ht="18.75">
      <c r="A950" s="89" t="str">
        <f t="shared" si="14"/>
        <v>#05680</v>
      </c>
      <c r="B950" s="138" t="s">
        <v>2752</v>
      </c>
      <c r="C950" s="236" t="s">
        <v>2557</v>
      </c>
      <c r="D950" s="206">
        <v>40120</v>
      </c>
      <c r="E950" s="138" t="s">
        <v>1188</v>
      </c>
    </row>
    <row r="951" spans="1:5" ht="18.75">
      <c r="A951" s="89" t="str">
        <f t="shared" si="14"/>
        <v>#05689</v>
      </c>
      <c r="B951" s="138" t="s">
        <v>2754</v>
      </c>
      <c r="C951" s="236" t="s">
        <v>2753</v>
      </c>
      <c r="D951" s="206">
        <v>40120</v>
      </c>
      <c r="E951" s="138" t="s">
        <v>895</v>
      </c>
    </row>
    <row r="952" spans="1:5" ht="18.75">
      <c r="A952" s="89" t="str">
        <f t="shared" si="14"/>
        <v>#05710</v>
      </c>
      <c r="B952" s="138" t="s">
        <v>2756</v>
      </c>
      <c r="C952" s="236" t="s">
        <v>2755</v>
      </c>
      <c r="D952" s="206">
        <v>40120</v>
      </c>
      <c r="E952" s="138" t="s">
        <v>7818</v>
      </c>
    </row>
    <row r="953" spans="1:5" ht="18.75">
      <c r="A953" s="89" t="str">
        <f t="shared" si="14"/>
        <v>#05714</v>
      </c>
      <c r="B953" s="138" t="s">
        <v>2758</v>
      </c>
      <c r="C953" s="236" t="s">
        <v>2757</v>
      </c>
      <c r="D953" s="206">
        <v>40120</v>
      </c>
      <c r="E953" s="138" t="s">
        <v>1133</v>
      </c>
    </row>
    <row r="954" spans="1:5" ht="18.75">
      <c r="A954" s="89" t="str">
        <f t="shared" si="14"/>
        <v>#05729</v>
      </c>
      <c r="B954" s="138" t="s">
        <v>2760</v>
      </c>
      <c r="C954" s="236" t="s">
        <v>2759</v>
      </c>
      <c r="D954" s="206">
        <v>40120</v>
      </c>
      <c r="E954" s="138" t="s">
        <v>890</v>
      </c>
    </row>
    <row r="955" spans="1:5" ht="18.75">
      <c r="A955" s="89" t="str">
        <f t="shared" si="14"/>
        <v>#05754</v>
      </c>
      <c r="B955" s="138" t="s">
        <v>2762</v>
      </c>
      <c r="C955" s="236" t="s">
        <v>2761</v>
      </c>
      <c r="D955" s="206">
        <v>40120</v>
      </c>
      <c r="E955" s="138" t="s">
        <v>1133</v>
      </c>
    </row>
    <row r="956" spans="1:5" ht="18.75">
      <c r="A956" s="89" t="str">
        <f t="shared" si="14"/>
        <v>#05771</v>
      </c>
      <c r="B956" s="138" t="s">
        <v>2764</v>
      </c>
      <c r="C956" s="236" t="s">
        <v>2763</v>
      </c>
      <c r="D956" s="206">
        <v>40127</v>
      </c>
      <c r="E956" s="138" t="s">
        <v>1043</v>
      </c>
    </row>
    <row r="957" spans="1:5" ht="18.75">
      <c r="A957" s="89" t="str">
        <f t="shared" si="14"/>
        <v>#05826</v>
      </c>
      <c r="B957" s="138" t="s">
        <v>2766</v>
      </c>
      <c r="C957" s="236" t="s">
        <v>2765</v>
      </c>
      <c r="D957" s="206">
        <v>40127</v>
      </c>
      <c r="E957" s="138" t="s">
        <v>7818</v>
      </c>
    </row>
    <row r="958" spans="1:5" ht="18.75">
      <c r="A958" s="89" t="str">
        <f t="shared" si="14"/>
        <v>#05832</v>
      </c>
      <c r="B958" s="138" t="s">
        <v>2768</v>
      </c>
      <c r="C958" s="236" t="s">
        <v>2767</v>
      </c>
      <c r="D958" s="206">
        <v>40131</v>
      </c>
      <c r="E958" s="138" t="s">
        <v>1188</v>
      </c>
    </row>
    <row r="959" spans="1:5" ht="18.75">
      <c r="A959" s="89" t="str">
        <f t="shared" si="14"/>
        <v>#05833</v>
      </c>
      <c r="B959" s="138" t="s">
        <v>2769</v>
      </c>
      <c r="C959" s="236" t="s">
        <v>1588</v>
      </c>
      <c r="D959" s="206">
        <v>40131</v>
      </c>
      <c r="E959" s="138" t="s">
        <v>978</v>
      </c>
    </row>
    <row r="960" spans="1:5" ht="18.75">
      <c r="A960" s="89" t="str">
        <f t="shared" si="14"/>
        <v>#05835</v>
      </c>
      <c r="B960" s="138" t="s">
        <v>2771</v>
      </c>
      <c r="C960" s="236" t="s">
        <v>2770</v>
      </c>
      <c r="D960" s="206">
        <v>40131</v>
      </c>
      <c r="E960" s="138" t="s">
        <v>1188</v>
      </c>
    </row>
    <row r="961" spans="1:5" ht="18.75">
      <c r="A961" s="89" t="str">
        <f t="shared" si="14"/>
        <v>#05837</v>
      </c>
      <c r="B961" s="138" t="s">
        <v>2773</v>
      </c>
      <c r="C961" s="236" t="s">
        <v>2772</v>
      </c>
      <c r="D961" s="206">
        <v>40131</v>
      </c>
      <c r="E961" s="138" t="s">
        <v>1188</v>
      </c>
    </row>
    <row r="962" spans="1:5" ht="18.75">
      <c r="A962" s="89" t="str">
        <f t="shared" si="14"/>
        <v>#05839</v>
      </c>
      <c r="B962" s="138" t="s">
        <v>2775</v>
      </c>
      <c r="C962" s="236" t="s">
        <v>2774</v>
      </c>
      <c r="D962" s="206">
        <v>40131</v>
      </c>
      <c r="E962" s="138" t="s">
        <v>978</v>
      </c>
    </row>
    <row r="963" spans="1:5" ht="18.75">
      <c r="A963" s="89" t="str">
        <f t="shared" ref="A963:A1026" si="15">"#"&amp;B963</f>
        <v>#05846</v>
      </c>
      <c r="B963" s="138" t="s">
        <v>2777</v>
      </c>
      <c r="C963" s="236" t="s">
        <v>2776</v>
      </c>
      <c r="D963" s="206">
        <v>40135</v>
      </c>
      <c r="E963" s="138" t="s">
        <v>985</v>
      </c>
    </row>
    <row r="964" spans="1:5" ht="18.75">
      <c r="A964" s="89" t="str">
        <f t="shared" si="15"/>
        <v>#05848</v>
      </c>
      <c r="B964" s="138" t="s">
        <v>2779</v>
      </c>
      <c r="C964" s="236" t="s">
        <v>2778</v>
      </c>
      <c r="D964" s="206">
        <v>40135</v>
      </c>
      <c r="E964" s="138" t="s">
        <v>1133</v>
      </c>
    </row>
    <row r="965" spans="1:5" ht="18.75">
      <c r="A965" s="89" t="str">
        <f t="shared" si="15"/>
        <v>#05858</v>
      </c>
      <c r="B965" s="138" t="s">
        <v>2781</v>
      </c>
      <c r="C965" s="236" t="s">
        <v>2780</v>
      </c>
      <c r="D965" s="206">
        <v>40135</v>
      </c>
      <c r="E965" s="138" t="s">
        <v>898</v>
      </c>
    </row>
    <row r="966" spans="1:5" ht="18.75">
      <c r="A966" s="89" t="str">
        <f t="shared" si="15"/>
        <v>#05862</v>
      </c>
      <c r="B966" s="138" t="s">
        <v>2783</v>
      </c>
      <c r="C966" s="236" t="s">
        <v>2782</v>
      </c>
      <c r="D966" s="206">
        <v>40135</v>
      </c>
      <c r="E966" s="138" t="s">
        <v>8037</v>
      </c>
    </row>
    <row r="967" spans="1:5" ht="18.75">
      <c r="A967" s="89" t="str">
        <f t="shared" si="15"/>
        <v>#05863</v>
      </c>
      <c r="B967" s="138" t="s">
        <v>2785</v>
      </c>
      <c r="C967" s="236" t="s">
        <v>2784</v>
      </c>
      <c r="D967" s="206">
        <v>40135</v>
      </c>
      <c r="E967" s="138" t="s">
        <v>1133</v>
      </c>
    </row>
    <row r="968" spans="1:5" ht="18.75">
      <c r="A968" s="89" t="str">
        <f t="shared" si="15"/>
        <v>#05864</v>
      </c>
      <c r="B968" s="138" t="s">
        <v>2787</v>
      </c>
      <c r="C968" s="236" t="s">
        <v>2786</v>
      </c>
      <c r="D968" s="206">
        <v>40135</v>
      </c>
      <c r="E968" s="138" t="s">
        <v>985</v>
      </c>
    </row>
    <row r="969" spans="1:5" ht="18.75">
      <c r="A969" s="89" t="str">
        <f t="shared" si="15"/>
        <v>#05870</v>
      </c>
      <c r="B969" s="138" t="s">
        <v>2789</v>
      </c>
      <c r="C969" s="236" t="s">
        <v>2788</v>
      </c>
      <c r="D969" s="206">
        <v>40135</v>
      </c>
      <c r="E969" s="138" t="s">
        <v>985</v>
      </c>
    </row>
    <row r="970" spans="1:5" ht="18.75">
      <c r="A970" s="89" t="str">
        <f t="shared" si="15"/>
        <v>#05876</v>
      </c>
      <c r="B970" s="138" t="s">
        <v>2791</v>
      </c>
      <c r="C970" s="236" t="s">
        <v>2790</v>
      </c>
      <c r="D970" s="206">
        <v>40135</v>
      </c>
      <c r="E970" s="138" t="s">
        <v>890</v>
      </c>
    </row>
    <row r="971" spans="1:5" ht="18.75">
      <c r="A971" s="89" t="str">
        <f t="shared" si="15"/>
        <v>#05881</v>
      </c>
      <c r="B971" s="138" t="s">
        <v>2793</v>
      </c>
      <c r="C971" s="236" t="s">
        <v>2792</v>
      </c>
      <c r="D971" s="206">
        <v>40135</v>
      </c>
      <c r="E971" s="138" t="s">
        <v>8037</v>
      </c>
    </row>
    <row r="972" spans="1:5" ht="18.75">
      <c r="A972" s="89" t="str">
        <f t="shared" si="15"/>
        <v>#05882</v>
      </c>
      <c r="B972" s="138" t="s">
        <v>2795</v>
      </c>
      <c r="C972" s="236" t="s">
        <v>2794</v>
      </c>
      <c r="D972" s="206">
        <v>40136</v>
      </c>
      <c r="E972" s="138" t="s">
        <v>985</v>
      </c>
    </row>
    <row r="973" spans="1:5" ht="18.75">
      <c r="A973" s="89" t="str">
        <f t="shared" si="15"/>
        <v>#05893</v>
      </c>
      <c r="B973" s="138" t="s">
        <v>2797</v>
      </c>
      <c r="C973" s="236" t="s">
        <v>2796</v>
      </c>
      <c r="D973" s="206">
        <v>40135</v>
      </c>
      <c r="E973" s="138" t="s">
        <v>7818</v>
      </c>
    </row>
    <row r="974" spans="1:5" ht="18.75">
      <c r="A974" s="89" t="str">
        <f t="shared" si="15"/>
        <v>#05898</v>
      </c>
      <c r="B974" s="138" t="s">
        <v>2799</v>
      </c>
      <c r="C974" s="236" t="s">
        <v>2798</v>
      </c>
      <c r="D974" s="206">
        <v>40135</v>
      </c>
      <c r="E974" s="138" t="s">
        <v>7818</v>
      </c>
    </row>
    <row r="975" spans="1:5" ht="18.75">
      <c r="A975" s="89" t="str">
        <f t="shared" si="15"/>
        <v>#05906</v>
      </c>
      <c r="B975" s="138" t="s">
        <v>2801</v>
      </c>
      <c r="C975" s="236" t="s">
        <v>2800</v>
      </c>
      <c r="D975" s="206">
        <v>40135</v>
      </c>
      <c r="E975" s="138" t="s">
        <v>1188</v>
      </c>
    </row>
    <row r="976" spans="1:5" ht="18.75">
      <c r="A976" s="89" t="str">
        <f t="shared" si="15"/>
        <v>#05909</v>
      </c>
      <c r="B976" s="138" t="s">
        <v>2803</v>
      </c>
      <c r="C976" s="236" t="s">
        <v>2802</v>
      </c>
      <c r="D976" s="206">
        <v>40135</v>
      </c>
      <c r="E976" s="138" t="s">
        <v>1188</v>
      </c>
    </row>
    <row r="977" spans="1:5" ht="18.75">
      <c r="A977" s="89" t="str">
        <f t="shared" si="15"/>
        <v>#05910</v>
      </c>
      <c r="B977" s="138" t="s">
        <v>2805</v>
      </c>
      <c r="C977" s="236" t="s">
        <v>2804</v>
      </c>
      <c r="D977" s="206">
        <v>40135</v>
      </c>
      <c r="E977" s="138" t="s">
        <v>1188</v>
      </c>
    </row>
    <row r="978" spans="1:5" ht="18.75">
      <c r="A978" s="89" t="str">
        <f t="shared" si="15"/>
        <v>#05911</v>
      </c>
      <c r="B978" s="138" t="s">
        <v>2806</v>
      </c>
      <c r="C978" s="236" t="s">
        <v>2127</v>
      </c>
      <c r="D978" s="206">
        <v>40135</v>
      </c>
      <c r="E978" s="138" t="s">
        <v>1188</v>
      </c>
    </row>
    <row r="979" spans="1:5" ht="18.75">
      <c r="A979" s="89" t="str">
        <f t="shared" si="15"/>
        <v>#05919</v>
      </c>
      <c r="B979" s="138" t="s">
        <v>2808</v>
      </c>
      <c r="C979" s="236" t="s">
        <v>2807</v>
      </c>
      <c r="D979" s="206">
        <v>40135</v>
      </c>
      <c r="E979" s="138" t="s">
        <v>1133</v>
      </c>
    </row>
    <row r="980" spans="1:5" ht="18.75">
      <c r="A980" s="89" t="str">
        <f t="shared" si="15"/>
        <v>#05939</v>
      </c>
      <c r="B980" s="138" t="s">
        <v>2810</v>
      </c>
      <c r="C980" s="236" t="s">
        <v>2809</v>
      </c>
      <c r="D980" s="206">
        <v>40141</v>
      </c>
      <c r="E980" s="138" t="s">
        <v>1188</v>
      </c>
    </row>
    <row r="981" spans="1:5" ht="18.75">
      <c r="A981" s="89" t="str">
        <f t="shared" si="15"/>
        <v>#05941</v>
      </c>
      <c r="B981" s="138" t="s">
        <v>2812</v>
      </c>
      <c r="C981" s="236" t="s">
        <v>2811</v>
      </c>
      <c r="D981" s="206">
        <v>40141</v>
      </c>
      <c r="E981" s="138" t="s">
        <v>978</v>
      </c>
    </row>
    <row r="982" spans="1:5" ht="18.75">
      <c r="A982" s="89" t="str">
        <f t="shared" si="15"/>
        <v>#05956</v>
      </c>
      <c r="B982" s="138" t="s">
        <v>2814</v>
      </c>
      <c r="C982" s="236" t="s">
        <v>2813</v>
      </c>
      <c r="D982" s="206">
        <v>40141</v>
      </c>
      <c r="E982" s="138" t="s">
        <v>906</v>
      </c>
    </row>
    <row r="983" spans="1:5" ht="18.75">
      <c r="A983" s="89" t="str">
        <f t="shared" si="15"/>
        <v>#05999</v>
      </c>
      <c r="B983" s="138" t="s">
        <v>2816</v>
      </c>
      <c r="C983" s="236" t="s">
        <v>2815</v>
      </c>
      <c r="D983" s="206">
        <v>40148</v>
      </c>
      <c r="E983" s="138" t="s">
        <v>1188</v>
      </c>
    </row>
    <row r="984" spans="1:5" ht="18.75">
      <c r="A984" s="89" t="str">
        <f t="shared" si="15"/>
        <v>#06000</v>
      </c>
      <c r="B984" s="138" t="s">
        <v>2818</v>
      </c>
      <c r="C984" s="236" t="s">
        <v>2817</v>
      </c>
      <c r="D984" s="206">
        <v>40148</v>
      </c>
      <c r="E984" s="138" t="s">
        <v>1188</v>
      </c>
    </row>
    <row r="985" spans="1:5" ht="18.75">
      <c r="A985" s="89" t="str">
        <f t="shared" si="15"/>
        <v>#06007</v>
      </c>
      <c r="B985" s="138" t="s">
        <v>2820</v>
      </c>
      <c r="C985" s="236" t="s">
        <v>2819</v>
      </c>
      <c r="D985" s="206">
        <v>40148</v>
      </c>
      <c r="E985" s="138" t="s">
        <v>985</v>
      </c>
    </row>
    <row r="986" spans="1:5" ht="18.75">
      <c r="A986" s="89" t="str">
        <f t="shared" si="15"/>
        <v>#06037</v>
      </c>
      <c r="B986" s="138" t="s">
        <v>2822</v>
      </c>
      <c r="C986" s="236" t="s">
        <v>2821</v>
      </c>
      <c r="D986" s="206">
        <v>40155</v>
      </c>
      <c r="E986" s="138" t="s">
        <v>915</v>
      </c>
    </row>
    <row r="987" spans="1:5" ht="18.75">
      <c r="A987" s="89" t="str">
        <f t="shared" si="15"/>
        <v>#06046</v>
      </c>
      <c r="B987" s="138" t="s">
        <v>2824</v>
      </c>
      <c r="C987" s="236" t="s">
        <v>2823</v>
      </c>
      <c r="D987" s="206">
        <v>40155</v>
      </c>
      <c r="E987" s="138" t="s">
        <v>985</v>
      </c>
    </row>
    <row r="988" spans="1:5" ht="18.75">
      <c r="A988" s="89" t="str">
        <f t="shared" si="15"/>
        <v>#06094</v>
      </c>
      <c r="B988" s="138" t="s">
        <v>2825</v>
      </c>
      <c r="C988" s="236" t="s">
        <v>2680</v>
      </c>
      <c r="D988" s="206">
        <v>40159</v>
      </c>
      <c r="E988" s="138" t="s">
        <v>1113</v>
      </c>
    </row>
    <row r="989" spans="1:5" ht="18.75">
      <c r="A989" s="89" t="str">
        <f t="shared" si="15"/>
        <v>#06096</v>
      </c>
      <c r="B989" s="138" t="s">
        <v>2827</v>
      </c>
      <c r="C989" s="236" t="s">
        <v>2826</v>
      </c>
      <c r="D989" s="206">
        <v>40159</v>
      </c>
      <c r="E989" s="138" t="s">
        <v>1113</v>
      </c>
    </row>
    <row r="990" spans="1:5" ht="18.75">
      <c r="A990" s="89" t="str">
        <f t="shared" si="15"/>
        <v>#06118</v>
      </c>
      <c r="B990" s="138" t="s">
        <v>2829</v>
      </c>
      <c r="C990" s="236" t="s">
        <v>2828</v>
      </c>
      <c r="D990" s="206">
        <v>40166</v>
      </c>
      <c r="E990" s="138" t="s">
        <v>978</v>
      </c>
    </row>
    <row r="991" spans="1:5" ht="18.75">
      <c r="A991" s="89" t="str">
        <f t="shared" si="15"/>
        <v>#06145</v>
      </c>
      <c r="B991" s="138" t="s">
        <v>2832</v>
      </c>
      <c r="C991" s="236" t="s">
        <v>2831</v>
      </c>
      <c r="D991" s="206">
        <v>40176</v>
      </c>
      <c r="E991" s="138" t="s">
        <v>937</v>
      </c>
    </row>
    <row r="992" spans="1:5" ht="18.75">
      <c r="A992" s="89" t="str">
        <f t="shared" si="15"/>
        <v>#06162</v>
      </c>
      <c r="B992" s="138" t="s">
        <v>2834</v>
      </c>
      <c r="C992" s="236" t="s">
        <v>2833</v>
      </c>
      <c r="D992" s="206">
        <v>40184</v>
      </c>
      <c r="E992" s="138" t="s">
        <v>1188</v>
      </c>
    </row>
    <row r="993" spans="1:5" ht="18.75">
      <c r="A993" s="89" t="str">
        <f t="shared" si="15"/>
        <v>#06216</v>
      </c>
      <c r="B993" s="138" t="s">
        <v>2836</v>
      </c>
      <c r="C993" s="236" t="s">
        <v>2835</v>
      </c>
      <c r="D993" s="206">
        <v>40197</v>
      </c>
      <c r="E993" s="138" t="s">
        <v>985</v>
      </c>
    </row>
    <row r="994" spans="1:5" ht="18.75">
      <c r="A994" s="89" t="str">
        <f t="shared" si="15"/>
        <v>#06236</v>
      </c>
      <c r="B994" s="138" t="s">
        <v>2838</v>
      </c>
      <c r="C994" s="236" t="s">
        <v>2837</v>
      </c>
      <c r="D994" s="206">
        <v>40210</v>
      </c>
      <c r="E994" s="138" t="s">
        <v>1716</v>
      </c>
    </row>
    <row r="995" spans="1:5" ht="18.75">
      <c r="A995" s="89" t="str">
        <f t="shared" si="15"/>
        <v>#06237</v>
      </c>
      <c r="B995" s="138" t="s">
        <v>2840</v>
      </c>
      <c r="C995" s="236" t="s">
        <v>2839</v>
      </c>
      <c r="D995" s="206">
        <v>40214</v>
      </c>
      <c r="E995" s="138" t="s">
        <v>721</v>
      </c>
    </row>
    <row r="996" spans="1:5" ht="18.75">
      <c r="A996" s="89" t="str">
        <f t="shared" si="15"/>
        <v>#06290</v>
      </c>
      <c r="B996" s="138" t="s">
        <v>2842</v>
      </c>
      <c r="C996" s="236" t="s">
        <v>2841</v>
      </c>
      <c r="D996" s="206">
        <v>40243</v>
      </c>
      <c r="E996" s="138" t="s">
        <v>937</v>
      </c>
    </row>
    <row r="997" spans="1:5" ht="18.75">
      <c r="A997" s="89" t="str">
        <f t="shared" si="15"/>
        <v>#06296</v>
      </c>
      <c r="B997" s="138" t="s">
        <v>2844</v>
      </c>
      <c r="C997" s="236" t="s">
        <v>2843</v>
      </c>
      <c r="D997" s="206">
        <v>40243</v>
      </c>
      <c r="E997" s="138" t="s">
        <v>7818</v>
      </c>
    </row>
    <row r="998" spans="1:5" ht="18.75">
      <c r="A998" s="89" t="str">
        <f t="shared" si="15"/>
        <v>#06297</v>
      </c>
      <c r="B998" s="138" t="s">
        <v>2846</v>
      </c>
      <c r="C998" s="236" t="s">
        <v>2845</v>
      </c>
      <c r="D998" s="206">
        <v>40243</v>
      </c>
      <c r="E998" s="138" t="s">
        <v>1085</v>
      </c>
    </row>
    <row r="999" spans="1:5" ht="18.75">
      <c r="A999" s="89" t="str">
        <f t="shared" si="15"/>
        <v>#06298</v>
      </c>
      <c r="B999" s="138" t="s">
        <v>2848</v>
      </c>
      <c r="C999" s="236" t="s">
        <v>2847</v>
      </c>
      <c r="D999" s="206">
        <v>40243</v>
      </c>
      <c r="E999" s="138" t="s">
        <v>937</v>
      </c>
    </row>
    <row r="1000" spans="1:5" ht="18.75">
      <c r="A1000" s="89" t="str">
        <f t="shared" si="15"/>
        <v>#06302</v>
      </c>
      <c r="B1000" s="138" t="s">
        <v>2850</v>
      </c>
      <c r="C1000" s="236" t="s">
        <v>2849</v>
      </c>
      <c r="D1000" s="206">
        <v>40243</v>
      </c>
      <c r="E1000" s="138" t="s">
        <v>937</v>
      </c>
    </row>
    <row r="1001" spans="1:5" ht="18.75">
      <c r="A1001" s="89" t="str">
        <f t="shared" si="15"/>
        <v>#06310</v>
      </c>
      <c r="B1001" s="138" t="s">
        <v>2852</v>
      </c>
      <c r="C1001" s="236" t="s">
        <v>2851</v>
      </c>
      <c r="D1001" s="206">
        <v>40252</v>
      </c>
      <c r="E1001" s="138" t="s">
        <v>1085</v>
      </c>
    </row>
    <row r="1002" spans="1:5" ht="18.75">
      <c r="A1002" s="89" t="str">
        <f t="shared" si="15"/>
        <v>#06311</v>
      </c>
      <c r="B1002" s="138" t="s">
        <v>2854</v>
      </c>
      <c r="C1002" s="236" t="s">
        <v>2853</v>
      </c>
      <c r="D1002" s="206">
        <v>40252</v>
      </c>
      <c r="E1002" s="138" t="s">
        <v>7818</v>
      </c>
    </row>
    <row r="1003" spans="1:5" ht="18.75">
      <c r="A1003" s="89" t="str">
        <f t="shared" si="15"/>
        <v>#06312</v>
      </c>
      <c r="B1003" s="138" t="s">
        <v>2856</v>
      </c>
      <c r="C1003" s="236" t="s">
        <v>2855</v>
      </c>
      <c r="D1003" s="206">
        <v>40252</v>
      </c>
      <c r="E1003" s="138" t="s">
        <v>7818</v>
      </c>
    </row>
    <row r="1004" spans="1:5" ht="18.75">
      <c r="A1004" s="89" t="str">
        <f t="shared" si="15"/>
        <v>#06335</v>
      </c>
      <c r="B1004" s="138" t="s">
        <v>2858</v>
      </c>
      <c r="C1004" s="236" t="s">
        <v>2857</v>
      </c>
      <c r="D1004" s="206">
        <v>40269</v>
      </c>
      <c r="E1004" s="138" t="s">
        <v>721</v>
      </c>
    </row>
    <row r="1005" spans="1:5" ht="18.75">
      <c r="A1005" s="89" t="str">
        <f t="shared" si="15"/>
        <v>#06336</v>
      </c>
      <c r="B1005" s="138" t="s">
        <v>2860</v>
      </c>
      <c r="C1005" s="236" t="s">
        <v>2859</v>
      </c>
      <c r="D1005" s="206">
        <v>40269</v>
      </c>
      <c r="E1005" s="138" t="s">
        <v>721</v>
      </c>
    </row>
    <row r="1006" spans="1:5" ht="18.75">
      <c r="A1006" s="89" t="str">
        <f t="shared" si="15"/>
        <v>#06341</v>
      </c>
      <c r="B1006" s="138" t="s">
        <v>2862</v>
      </c>
      <c r="C1006" s="236" t="s">
        <v>2861</v>
      </c>
      <c r="D1006" s="206">
        <v>40269</v>
      </c>
      <c r="E1006" s="138" t="s">
        <v>906</v>
      </c>
    </row>
    <row r="1007" spans="1:5" ht="18.75">
      <c r="A1007" s="89" t="str">
        <f t="shared" si="15"/>
        <v>#06358</v>
      </c>
      <c r="B1007" s="138" t="s">
        <v>2864</v>
      </c>
      <c r="C1007" s="236" t="s">
        <v>2863</v>
      </c>
      <c r="D1007" s="206">
        <v>40277</v>
      </c>
      <c r="E1007" s="138" t="s">
        <v>7818</v>
      </c>
    </row>
    <row r="1008" spans="1:5" ht="18.75">
      <c r="A1008" s="89" t="str">
        <f t="shared" si="15"/>
        <v>#06381</v>
      </c>
      <c r="B1008" s="138" t="s">
        <v>2866</v>
      </c>
      <c r="C1008" s="236" t="s">
        <v>2865</v>
      </c>
      <c r="D1008" s="206">
        <v>40283</v>
      </c>
      <c r="E1008" s="138" t="s">
        <v>1034</v>
      </c>
    </row>
    <row r="1009" spans="1:5" ht="18.75">
      <c r="A1009" s="89" t="str">
        <f t="shared" si="15"/>
        <v>#06382</v>
      </c>
      <c r="B1009" s="138" t="s">
        <v>2868</v>
      </c>
      <c r="C1009" s="236" t="s">
        <v>2867</v>
      </c>
      <c r="D1009" s="206">
        <v>40288</v>
      </c>
      <c r="E1009" s="138" t="s">
        <v>1004</v>
      </c>
    </row>
    <row r="1010" spans="1:5" ht="18.75">
      <c r="A1010" s="89" t="str">
        <f t="shared" si="15"/>
        <v>#06404</v>
      </c>
      <c r="B1010" s="138" t="s">
        <v>2870</v>
      </c>
      <c r="C1010" s="236" t="s">
        <v>2869</v>
      </c>
      <c r="D1010" s="206">
        <v>40304</v>
      </c>
      <c r="E1010" s="138" t="s">
        <v>7818</v>
      </c>
    </row>
    <row r="1011" spans="1:5" ht="18.75">
      <c r="A1011" s="89" t="str">
        <f t="shared" si="15"/>
        <v>#06405</v>
      </c>
      <c r="B1011" s="138" t="s">
        <v>2872</v>
      </c>
      <c r="C1011" s="236" t="s">
        <v>2871</v>
      </c>
      <c r="D1011" s="206">
        <v>40304</v>
      </c>
      <c r="E1011" s="138" t="s">
        <v>7818</v>
      </c>
    </row>
    <row r="1012" spans="1:5" ht="18.75">
      <c r="A1012" s="89" t="str">
        <f t="shared" si="15"/>
        <v>#06409</v>
      </c>
      <c r="B1012" s="138" t="s">
        <v>2873</v>
      </c>
      <c r="C1012" s="236" t="s">
        <v>1765</v>
      </c>
      <c r="D1012" s="206">
        <v>40304</v>
      </c>
      <c r="E1012" s="138" t="s">
        <v>937</v>
      </c>
    </row>
    <row r="1013" spans="1:5" ht="18.75">
      <c r="A1013" s="89" t="str">
        <f t="shared" si="15"/>
        <v>#06419</v>
      </c>
      <c r="B1013" s="138" t="s">
        <v>2875</v>
      </c>
      <c r="C1013" s="236" t="s">
        <v>2874</v>
      </c>
      <c r="D1013" s="206">
        <v>40313</v>
      </c>
      <c r="E1013" s="138" t="s">
        <v>903</v>
      </c>
    </row>
    <row r="1014" spans="1:5" ht="18.75">
      <c r="A1014" s="89" t="str">
        <f t="shared" si="15"/>
        <v>#06420</v>
      </c>
      <c r="B1014" s="138" t="s">
        <v>2876</v>
      </c>
      <c r="C1014" s="236" t="s">
        <v>1852</v>
      </c>
      <c r="D1014" s="206">
        <v>40313</v>
      </c>
      <c r="E1014" s="138" t="s">
        <v>957</v>
      </c>
    </row>
    <row r="1015" spans="1:5" ht="18.75">
      <c r="A1015" s="89" t="str">
        <f t="shared" si="15"/>
        <v>#06422</v>
      </c>
      <c r="B1015" s="138" t="s">
        <v>2877</v>
      </c>
      <c r="C1015" s="236" t="s">
        <v>996</v>
      </c>
      <c r="D1015" s="206">
        <v>40312</v>
      </c>
      <c r="E1015" s="138" t="s">
        <v>934</v>
      </c>
    </row>
    <row r="1016" spans="1:5" ht="15.75">
      <c r="A1016" s="89" t="str">
        <f t="shared" si="15"/>
        <v>#06425</v>
      </c>
      <c r="B1016" s="138" t="s">
        <v>2878</v>
      </c>
      <c r="C1016" s="139" t="s">
        <v>2084</v>
      </c>
      <c r="D1016" s="138">
        <v>40312</v>
      </c>
      <c r="E1016" s="138" t="s">
        <v>8037</v>
      </c>
    </row>
    <row r="1017" spans="1:5" ht="18.75">
      <c r="A1017" s="89" t="str">
        <f t="shared" si="15"/>
        <v>#06431</v>
      </c>
      <c r="B1017" s="138" t="s">
        <v>2880</v>
      </c>
      <c r="C1017" s="236" t="s">
        <v>2879</v>
      </c>
      <c r="D1017" s="206">
        <v>40313</v>
      </c>
      <c r="E1017" s="138" t="s">
        <v>937</v>
      </c>
    </row>
    <row r="1018" spans="1:5" ht="18.75">
      <c r="A1018" s="89" t="str">
        <f t="shared" si="15"/>
        <v>#06436</v>
      </c>
      <c r="B1018" s="138" t="s">
        <v>2882</v>
      </c>
      <c r="C1018" s="236" t="s">
        <v>2881</v>
      </c>
      <c r="D1018" s="206">
        <v>40312</v>
      </c>
      <c r="E1018" s="138" t="s">
        <v>906</v>
      </c>
    </row>
    <row r="1019" spans="1:5" ht="18.75">
      <c r="A1019" s="89" t="str">
        <f t="shared" si="15"/>
        <v>#06442</v>
      </c>
      <c r="B1019" s="138" t="s">
        <v>2884</v>
      </c>
      <c r="C1019" s="236" t="s">
        <v>2883</v>
      </c>
      <c r="D1019" s="206">
        <v>40319</v>
      </c>
      <c r="E1019" s="138" t="s">
        <v>937</v>
      </c>
    </row>
    <row r="1020" spans="1:5" ht="18.75">
      <c r="A1020" s="89" t="str">
        <f t="shared" si="15"/>
        <v>#06459</v>
      </c>
      <c r="B1020" s="138" t="s">
        <v>2886</v>
      </c>
      <c r="C1020" s="236" t="s">
        <v>2885</v>
      </c>
      <c r="D1020" s="206">
        <v>40331</v>
      </c>
      <c r="E1020" s="138" t="s">
        <v>903</v>
      </c>
    </row>
    <row r="1021" spans="1:5" ht="18.75">
      <c r="A1021" s="89" t="str">
        <f t="shared" si="15"/>
        <v>#06469</v>
      </c>
      <c r="B1021" s="138" t="s">
        <v>2888</v>
      </c>
      <c r="C1021" s="236" t="s">
        <v>2887</v>
      </c>
      <c r="D1021" s="206">
        <v>40331</v>
      </c>
      <c r="E1021" s="138" t="s">
        <v>8037</v>
      </c>
    </row>
    <row r="1022" spans="1:5" ht="18.75">
      <c r="A1022" s="89" t="str">
        <f t="shared" si="15"/>
        <v>#06478</v>
      </c>
      <c r="B1022" s="138" t="s">
        <v>2890</v>
      </c>
      <c r="C1022" s="236" t="s">
        <v>2889</v>
      </c>
      <c r="D1022" s="206">
        <v>40331</v>
      </c>
      <c r="E1022" s="138" t="s">
        <v>1188</v>
      </c>
    </row>
    <row r="1023" spans="1:5" ht="18.75">
      <c r="A1023" s="89" t="str">
        <f t="shared" si="15"/>
        <v>#06480</v>
      </c>
      <c r="B1023" s="138" t="s">
        <v>2892</v>
      </c>
      <c r="C1023" s="236" t="s">
        <v>2891</v>
      </c>
      <c r="D1023" s="206">
        <v>40332</v>
      </c>
      <c r="E1023" s="138" t="s">
        <v>906</v>
      </c>
    </row>
    <row r="1024" spans="1:5" ht="18.75">
      <c r="A1024" s="89" t="str">
        <f t="shared" si="15"/>
        <v>#06481</v>
      </c>
      <c r="B1024" s="138" t="s">
        <v>2894</v>
      </c>
      <c r="C1024" s="236" t="s">
        <v>2893</v>
      </c>
      <c r="D1024" s="206">
        <v>40331</v>
      </c>
      <c r="E1024" s="138" t="s">
        <v>906</v>
      </c>
    </row>
    <row r="1025" spans="1:5" ht="18.75">
      <c r="A1025" s="89" t="str">
        <f t="shared" si="15"/>
        <v>#06484</v>
      </c>
      <c r="B1025" s="138" t="s">
        <v>2896</v>
      </c>
      <c r="C1025" s="236" t="s">
        <v>2895</v>
      </c>
      <c r="D1025" s="206">
        <v>40331</v>
      </c>
      <c r="E1025" s="138" t="s">
        <v>906</v>
      </c>
    </row>
    <row r="1026" spans="1:5" ht="18.75">
      <c r="A1026" s="89" t="str">
        <f t="shared" si="15"/>
        <v>#06492</v>
      </c>
      <c r="B1026" s="138" t="s">
        <v>2898</v>
      </c>
      <c r="C1026" s="236" t="s">
        <v>2897</v>
      </c>
      <c r="D1026" s="206">
        <v>40336</v>
      </c>
      <c r="E1026" s="138" t="s">
        <v>752</v>
      </c>
    </row>
    <row r="1027" spans="1:5" ht="18.75">
      <c r="A1027" s="89" t="str">
        <f t="shared" ref="A1027:A1090" si="16">"#"&amp;B1027</f>
        <v>#06498</v>
      </c>
      <c r="B1027" s="138" t="s">
        <v>2900</v>
      </c>
      <c r="C1027" s="236" t="s">
        <v>2899</v>
      </c>
      <c r="D1027" s="206">
        <v>40337</v>
      </c>
      <c r="E1027" s="138" t="s">
        <v>1188</v>
      </c>
    </row>
    <row r="1028" spans="1:5" ht="18.75">
      <c r="A1028" s="89" t="str">
        <f t="shared" si="16"/>
        <v>#06499</v>
      </c>
      <c r="B1028" s="138" t="s">
        <v>2901</v>
      </c>
      <c r="C1028" s="236" t="s">
        <v>2772</v>
      </c>
      <c r="D1028" s="206">
        <v>40337</v>
      </c>
      <c r="E1028" s="138" t="s">
        <v>1487</v>
      </c>
    </row>
    <row r="1029" spans="1:5" ht="18.75">
      <c r="A1029" s="89" t="str">
        <f t="shared" si="16"/>
        <v>#06501</v>
      </c>
      <c r="B1029" s="138" t="s">
        <v>2902</v>
      </c>
      <c r="C1029" s="236" t="s">
        <v>1580</v>
      </c>
      <c r="D1029" s="206">
        <v>40337</v>
      </c>
      <c r="E1029" s="138" t="s">
        <v>1133</v>
      </c>
    </row>
    <row r="1030" spans="1:5" ht="18.75">
      <c r="A1030" s="89" t="str">
        <f t="shared" si="16"/>
        <v>#06502</v>
      </c>
      <c r="B1030" s="138" t="s">
        <v>2904</v>
      </c>
      <c r="C1030" s="236" t="s">
        <v>2903</v>
      </c>
      <c r="D1030" s="206">
        <v>40337</v>
      </c>
      <c r="E1030" s="138" t="s">
        <v>915</v>
      </c>
    </row>
    <row r="1031" spans="1:5" ht="18.75">
      <c r="A1031" s="89" t="str">
        <f t="shared" si="16"/>
        <v>#06503</v>
      </c>
      <c r="B1031" s="138" t="s">
        <v>2905</v>
      </c>
      <c r="C1031" s="236" t="s">
        <v>1374</v>
      </c>
      <c r="D1031" s="206">
        <v>40337</v>
      </c>
      <c r="E1031" s="138" t="s">
        <v>1380</v>
      </c>
    </row>
    <row r="1032" spans="1:5" ht="18.75">
      <c r="A1032" s="89" t="str">
        <f t="shared" si="16"/>
        <v>#06505</v>
      </c>
      <c r="B1032" s="138" t="s">
        <v>2907</v>
      </c>
      <c r="C1032" s="236" t="s">
        <v>2906</v>
      </c>
      <c r="D1032" s="206">
        <v>40338</v>
      </c>
      <c r="E1032" s="138" t="s">
        <v>1063</v>
      </c>
    </row>
    <row r="1033" spans="1:5" ht="18.75">
      <c r="A1033" s="89" t="str">
        <f t="shared" si="16"/>
        <v>#06514</v>
      </c>
      <c r="B1033" s="138" t="s">
        <v>2909</v>
      </c>
      <c r="C1033" s="236" t="s">
        <v>2908</v>
      </c>
      <c r="D1033" s="206">
        <v>40344</v>
      </c>
      <c r="E1033" s="138" t="s">
        <v>1188</v>
      </c>
    </row>
    <row r="1034" spans="1:5" ht="18.75">
      <c r="A1034" s="89" t="str">
        <f t="shared" si="16"/>
        <v>#06517</v>
      </c>
      <c r="B1034" s="138" t="s">
        <v>2911</v>
      </c>
      <c r="C1034" s="236" t="s">
        <v>2910</v>
      </c>
      <c r="D1034" s="206">
        <v>40344</v>
      </c>
      <c r="E1034" s="138" t="s">
        <v>7818</v>
      </c>
    </row>
    <row r="1035" spans="1:5" ht="18.75">
      <c r="A1035" s="89" t="str">
        <f t="shared" si="16"/>
        <v>#06529</v>
      </c>
      <c r="B1035" s="138" t="s">
        <v>2913</v>
      </c>
      <c r="C1035" s="236" t="s">
        <v>2912</v>
      </c>
      <c r="D1035" s="206">
        <v>40344</v>
      </c>
      <c r="E1035" s="138" t="s">
        <v>1034</v>
      </c>
    </row>
    <row r="1036" spans="1:5" ht="18.75">
      <c r="A1036" s="89" t="str">
        <f t="shared" si="16"/>
        <v>#06530</v>
      </c>
      <c r="B1036" s="138" t="s">
        <v>2915</v>
      </c>
      <c r="C1036" s="236" t="s">
        <v>2914</v>
      </c>
      <c r="D1036" s="206">
        <v>40344</v>
      </c>
      <c r="E1036" s="138" t="s">
        <v>1380</v>
      </c>
    </row>
    <row r="1037" spans="1:5" ht="18.75">
      <c r="A1037" s="89" t="str">
        <f t="shared" si="16"/>
        <v>#06534</v>
      </c>
      <c r="B1037" s="138" t="s">
        <v>2917</v>
      </c>
      <c r="C1037" s="236" t="s">
        <v>2916</v>
      </c>
      <c r="D1037" s="206">
        <v>40344</v>
      </c>
      <c r="E1037" s="138" t="s">
        <v>906</v>
      </c>
    </row>
    <row r="1038" spans="1:5" ht="18.75">
      <c r="A1038" s="89" t="str">
        <f t="shared" si="16"/>
        <v>#06539</v>
      </c>
      <c r="B1038" s="138" t="s">
        <v>2919</v>
      </c>
      <c r="C1038" s="236" t="s">
        <v>2918</v>
      </c>
      <c r="D1038" s="206">
        <v>40345</v>
      </c>
      <c r="E1038" s="138" t="s">
        <v>906</v>
      </c>
    </row>
    <row r="1039" spans="1:5" ht="18.75">
      <c r="A1039" s="89" t="str">
        <f t="shared" si="16"/>
        <v>#06540</v>
      </c>
      <c r="B1039" s="138" t="s">
        <v>2921</v>
      </c>
      <c r="C1039" s="236" t="s">
        <v>2920</v>
      </c>
      <c r="D1039" s="206">
        <v>40351</v>
      </c>
      <c r="E1039" s="138" t="s">
        <v>903</v>
      </c>
    </row>
    <row r="1040" spans="1:5" ht="18.75">
      <c r="A1040" s="89" t="str">
        <f t="shared" si="16"/>
        <v>#06542</v>
      </c>
      <c r="B1040" s="138" t="s">
        <v>2923</v>
      </c>
      <c r="C1040" s="236" t="s">
        <v>2922</v>
      </c>
      <c r="D1040" s="206">
        <v>40351</v>
      </c>
      <c r="E1040" s="138" t="s">
        <v>1043</v>
      </c>
    </row>
    <row r="1041" spans="1:5" ht="18.75">
      <c r="A1041" s="89" t="str">
        <f t="shared" si="16"/>
        <v>#06546</v>
      </c>
      <c r="B1041" s="138" t="s">
        <v>2925</v>
      </c>
      <c r="C1041" s="236" t="s">
        <v>2924</v>
      </c>
      <c r="D1041" s="206">
        <v>40351</v>
      </c>
      <c r="E1041" s="138" t="s">
        <v>1034</v>
      </c>
    </row>
    <row r="1042" spans="1:5" ht="18.75">
      <c r="A1042" s="89" t="str">
        <f t="shared" si="16"/>
        <v>#06552</v>
      </c>
      <c r="B1042" s="138" t="s">
        <v>2927</v>
      </c>
      <c r="C1042" s="236" t="s">
        <v>2926</v>
      </c>
      <c r="D1042" s="206">
        <v>40358</v>
      </c>
      <c r="E1042" s="138" t="s">
        <v>1034</v>
      </c>
    </row>
    <row r="1043" spans="1:5" ht="18.75">
      <c r="A1043" s="89" t="str">
        <f t="shared" si="16"/>
        <v>#06554</v>
      </c>
      <c r="B1043" s="138" t="s">
        <v>2929</v>
      </c>
      <c r="C1043" s="236" t="s">
        <v>2928</v>
      </c>
      <c r="D1043" s="206">
        <v>40358</v>
      </c>
      <c r="E1043" s="138" t="s">
        <v>1487</v>
      </c>
    </row>
    <row r="1044" spans="1:5" ht="18.75">
      <c r="A1044" s="89" t="str">
        <f t="shared" si="16"/>
        <v>#06569</v>
      </c>
      <c r="B1044" s="138" t="s">
        <v>2931</v>
      </c>
      <c r="C1044" s="236" t="s">
        <v>2930</v>
      </c>
      <c r="D1044" s="206">
        <v>40358</v>
      </c>
      <c r="E1044" s="206" t="s">
        <v>1380</v>
      </c>
    </row>
    <row r="1045" spans="1:5" ht="18.75">
      <c r="A1045" s="89" t="str">
        <f t="shared" si="16"/>
        <v>#06571</v>
      </c>
      <c r="B1045" s="138" t="s">
        <v>2933</v>
      </c>
      <c r="C1045" s="236" t="s">
        <v>2932</v>
      </c>
      <c r="D1045" s="206">
        <v>40358</v>
      </c>
      <c r="E1045" s="138" t="s">
        <v>957</v>
      </c>
    </row>
    <row r="1046" spans="1:5" ht="18.75">
      <c r="A1046" s="89" t="str">
        <f t="shared" si="16"/>
        <v>#06572</v>
      </c>
      <c r="B1046" s="138" t="s">
        <v>2935</v>
      </c>
      <c r="C1046" s="236" t="s">
        <v>2934</v>
      </c>
      <c r="D1046" s="206">
        <v>40358</v>
      </c>
      <c r="E1046" s="138" t="s">
        <v>1063</v>
      </c>
    </row>
    <row r="1047" spans="1:5" ht="18.75">
      <c r="A1047" s="89" t="str">
        <f t="shared" si="16"/>
        <v>#06573</v>
      </c>
      <c r="B1047" s="138" t="s">
        <v>2937</v>
      </c>
      <c r="C1047" s="236" t="s">
        <v>2936</v>
      </c>
      <c r="D1047" s="206">
        <v>40358</v>
      </c>
      <c r="E1047" s="138" t="s">
        <v>1043</v>
      </c>
    </row>
    <row r="1048" spans="1:5" ht="18.75">
      <c r="A1048" s="89" t="str">
        <f t="shared" si="16"/>
        <v>#06598</v>
      </c>
      <c r="B1048" s="138" t="s">
        <v>2939</v>
      </c>
      <c r="C1048" s="236" t="s">
        <v>2938</v>
      </c>
      <c r="D1048" s="206">
        <v>40372</v>
      </c>
      <c r="E1048" s="138" t="s">
        <v>7818</v>
      </c>
    </row>
    <row r="1049" spans="1:5" ht="18.75">
      <c r="A1049" s="89" t="str">
        <f t="shared" si="16"/>
        <v>#06600</v>
      </c>
      <c r="B1049" s="138" t="s">
        <v>2940</v>
      </c>
      <c r="C1049" s="236" t="s">
        <v>1852</v>
      </c>
      <c r="D1049" s="206">
        <v>40372</v>
      </c>
      <c r="E1049" s="138" t="s">
        <v>924</v>
      </c>
    </row>
    <row r="1050" spans="1:5" ht="18.75">
      <c r="A1050" s="89" t="str">
        <f t="shared" si="16"/>
        <v>#06610</v>
      </c>
      <c r="B1050" s="138" t="s">
        <v>2942</v>
      </c>
      <c r="C1050" s="236" t="s">
        <v>2941</v>
      </c>
      <c r="D1050" s="206">
        <v>40372</v>
      </c>
      <c r="E1050" s="138" t="s">
        <v>7818</v>
      </c>
    </row>
    <row r="1051" spans="1:5" ht="18.75">
      <c r="A1051" s="89" t="str">
        <f t="shared" si="16"/>
        <v>#06613</v>
      </c>
      <c r="B1051" s="138" t="s">
        <v>2944</v>
      </c>
      <c r="C1051" s="236" t="s">
        <v>2943</v>
      </c>
      <c r="D1051" s="206">
        <v>40372</v>
      </c>
      <c r="E1051" s="138" t="s">
        <v>957</v>
      </c>
    </row>
    <row r="1052" spans="1:5" ht="18.75">
      <c r="A1052" s="89" t="str">
        <f t="shared" si="16"/>
        <v>#06628</v>
      </c>
      <c r="B1052" s="138" t="s">
        <v>2946</v>
      </c>
      <c r="C1052" s="236" t="s">
        <v>2945</v>
      </c>
      <c r="D1052" s="206">
        <v>40379</v>
      </c>
      <c r="E1052" s="138" t="s">
        <v>1063</v>
      </c>
    </row>
    <row r="1053" spans="1:5" ht="18.75">
      <c r="A1053" s="89" t="str">
        <f t="shared" si="16"/>
        <v>#06631</v>
      </c>
      <c r="B1053" s="138" t="s">
        <v>2948</v>
      </c>
      <c r="C1053" s="236" t="s">
        <v>2947</v>
      </c>
      <c r="D1053" s="206">
        <v>40380</v>
      </c>
      <c r="E1053" s="138" t="s">
        <v>1188</v>
      </c>
    </row>
    <row r="1054" spans="1:5" ht="18.75">
      <c r="A1054" s="89" t="str">
        <f t="shared" si="16"/>
        <v>#06632</v>
      </c>
      <c r="B1054" s="138" t="s">
        <v>2950</v>
      </c>
      <c r="C1054" s="236" t="s">
        <v>2949</v>
      </c>
      <c r="D1054" s="206">
        <v>40379</v>
      </c>
      <c r="E1054" s="138" t="s">
        <v>1188</v>
      </c>
    </row>
    <row r="1055" spans="1:5" ht="18.75">
      <c r="A1055" s="89" t="str">
        <f t="shared" si="16"/>
        <v>#06634</v>
      </c>
      <c r="B1055" s="138" t="s">
        <v>2952</v>
      </c>
      <c r="C1055" s="236" t="s">
        <v>2951</v>
      </c>
      <c r="D1055" s="206">
        <v>40379</v>
      </c>
      <c r="E1055" s="138" t="s">
        <v>1188</v>
      </c>
    </row>
    <row r="1056" spans="1:5" ht="18.75">
      <c r="A1056" s="89" t="str">
        <f t="shared" si="16"/>
        <v>#06636</v>
      </c>
      <c r="B1056" s="138" t="s">
        <v>2954</v>
      </c>
      <c r="C1056" s="236" t="s">
        <v>2953</v>
      </c>
      <c r="D1056" s="206">
        <v>40379</v>
      </c>
      <c r="E1056" s="138" t="s">
        <v>985</v>
      </c>
    </row>
    <row r="1057" spans="1:5" ht="18.75">
      <c r="A1057" s="89" t="str">
        <f t="shared" si="16"/>
        <v>#06642</v>
      </c>
      <c r="B1057" s="138" t="s">
        <v>2956</v>
      </c>
      <c r="C1057" s="236" t="s">
        <v>2955</v>
      </c>
      <c r="D1057" s="206">
        <v>40379</v>
      </c>
      <c r="E1057" s="138" t="s">
        <v>797</v>
      </c>
    </row>
    <row r="1058" spans="1:5" ht="18.75">
      <c r="A1058" s="89" t="str">
        <f t="shared" si="16"/>
        <v>#06644</v>
      </c>
      <c r="B1058" s="138" t="s">
        <v>2958</v>
      </c>
      <c r="C1058" s="236" t="s">
        <v>2957</v>
      </c>
      <c r="D1058" s="206">
        <v>40380</v>
      </c>
      <c r="E1058" s="138" t="s">
        <v>7788</v>
      </c>
    </row>
    <row r="1059" spans="1:5" ht="18.75">
      <c r="A1059" s="89" t="str">
        <f t="shared" si="16"/>
        <v>#06645</v>
      </c>
      <c r="B1059" s="138" t="s">
        <v>2960</v>
      </c>
      <c r="C1059" s="236" t="s">
        <v>2959</v>
      </c>
      <c r="D1059" s="206">
        <v>40379</v>
      </c>
      <c r="E1059" s="138" t="s">
        <v>890</v>
      </c>
    </row>
    <row r="1060" spans="1:5" ht="18.75">
      <c r="A1060" s="89" t="str">
        <f t="shared" si="16"/>
        <v>#06652</v>
      </c>
      <c r="B1060" s="138" t="s">
        <v>2962</v>
      </c>
      <c r="C1060" s="236" t="s">
        <v>2961</v>
      </c>
      <c r="D1060" s="206">
        <v>40386</v>
      </c>
      <c r="E1060" s="138" t="s">
        <v>895</v>
      </c>
    </row>
    <row r="1061" spans="1:5" ht="18.75">
      <c r="A1061" s="89" t="str">
        <f t="shared" si="16"/>
        <v>#06654</v>
      </c>
      <c r="B1061" s="138" t="s">
        <v>2963</v>
      </c>
      <c r="C1061" s="236" t="s">
        <v>2739</v>
      </c>
      <c r="D1061" s="206">
        <v>40386</v>
      </c>
      <c r="E1061" s="138" t="s">
        <v>895</v>
      </c>
    </row>
    <row r="1062" spans="1:5" ht="18.75">
      <c r="A1062" s="89" t="str">
        <f t="shared" si="16"/>
        <v>#06667</v>
      </c>
      <c r="B1062" s="138" t="s">
        <v>2965</v>
      </c>
      <c r="C1062" s="236" t="s">
        <v>2964</v>
      </c>
      <c r="D1062" s="206">
        <v>40386</v>
      </c>
      <c r="E1062" s="138" t="s">
        <v>8037</v>
      </c>
    </row>
    <row r="1063" spans="1:5" ht="18.75">
      <c r="A1063" s="89" t="str">
        <f t="shared" si="16"/>
        <v>#06674</v>
      </c>
      <c r="B1063" s="138" t="s">
        <v>2967</v>
      </c>
      <c r="C1063" s="236" t="s">
        <v>2966</v>
      </c>
      <c r="D1063" s="206">
        <v>40386</v>
      </c>
      <c r="E1063" s="138" t="s">
        <v>927</v>
      </c>
    </row>
    <row r="1064" spans="1:5" ht="18.75">
      <c r="A1064" s="89" t="str">
        <f t="shared" si="16"/>
        <v>#06680</v>
      </c>
      <c r="B1064" s="138" t="s">
        <v>2969</v>
      </c>
      <c r="C1064" s="236" t="s">
        <v>2968</v>
      </c>
      <c r="D1064" s="206">
        <v>40386</v>
      </c>
      <c r="E1064" s="138" t="s">
        <v>1188</v>
      </c>
    </row>
    <row r="1065" spans="1:5" ht="18.75">
      <c r="A1065" s="89" t="str">
        <f t="shared" si="16"/>
        <v>#06682</v>
      </c>
      <c r="B1065" s="138" t="s">
        <v>2970</v>
      </c>
      <c r="C1065" s="236" t="s">
        <v>1500</v>
      </c>
      <c r="D1065" s="206">
        <v>40386</v>
      </c>
      <c r="E1065" s="138" t="s">
        <v>934</v>
      </c>
    </row>
    <row r="1066" spans="1:5" ht="18.75">
      <c r="A1066" s="89" t="str">
        <f t="shared" si="16"/>
        <v>#06685</v>
      </c>
      <c r="B1066" s="138" t="s">
        <v>2972</v>
      </c>
      <c r="C1066" s="236" t="s">
        <v>2971</v>
      </c>
      <c r="D1066" s="206">
        <v>40386</v>
      </c>
      <c r="E1066" s="138" t="s">
        <v>906</v>
      </c>
    </row>
    <row r="1067" spans="1:5" ht="18.75">
      <c r="A1067" s="89" t="str">
        <f t="shared" si="16"/>
        <v>#06686</v>
      </c>
      <c r="B1067" s="138" t="s">
        <v>2974</v>
      </c>
      <c r="C1067" s="236" t="s">
        <v>2973</v>
      </c>
      <c r="D1067" s="206">
        <v>40386</v>
      </c>
      <c r="E1067" s="138" t="s">
        <v>906</v>
      </c>
    </row>
    <row r="1068" spans="1:5" ht="18.75">
      <c r="A1068" s="89" t="str">
        <f t="shared" si="16"/>
        <v>#06687</v>
      </c>
      <c r="B1068" s="138" t="s">
        <v>2976</v>
      </c>
      <c r="C1068" s="236" t="s">
        <v>2975</v>
      </c>
      <c r="D1068" s="206">
        <v>40387</v>
      </c>
      <c r="E1068" s="138" t="s">
        <v>906</v>
      </c>
    </row>
    <row r="1069" spans="1:5" ht="18.75">
      <c r="A1069" s="89" t="str">
        <f t="shared" si="16"/>
        <v>#06688</v>
      </c>
      <c r="B1069" s="138" t="s">
        <v>2978</v>
      </c>
      <c r="C1069" s="236" t="s">
        <v>2977</v>
      </c>
      <c r="D1069" s="206">
        <v>40387</v>
      </c>
      <c r="E1069" s="138" t="s">
        <v>906</v>
      </c>
    </row>
    <row r="1070" spans="1:5" ht="18.75">
      <c r="A1070" s="89" t="str">
        <f t="shared" si="16"/>
        <v>#06689</v>
      </c>
      <c r="B1070" s="138" t="s">
        <v>2980</v>
      </c>
      <c r="C1070" s="236" t="s">
        <v>2979</v>
      </c>
      <c r="D1070" s="206">
        <v>40386</v>
      </c>
      <c r="E1070" s="138" t="s">
        <v>906</v>
      </c>
    </row>
    <row r="1071" spans="1:5" ht="18.75">
      <c r="A1071" s="89" t="str">
        <f t="shared" si="16"/>
        <v>#06698</v>
      </c>
      <c r="B1071" s="138" t="s">
        <v>2981</v>
      </c>
      <c r="C1071" s="236" t="s">
        <v>2647</v>
      </c>
      <c r="D1071" s="206">
        <v>40386</v>
      </c>
      <c r="E1071" s="138" t="s">
        <v>906</v>
      </c>
    </row>
    <row r="1072" spans="1:5" ht="18.75">
      <c r="A1072" s="89" t="str">
        <f t="shared" si="16"/>
        <v>#06701</v>
      </c>
      <c r="B1072" s="138" t="s">
        <v>2983</v>
      </c>
      <c r="C1072" s="236" t="s">
        <v>2982</v>
      </c>
      <c r="D1072" s="206">
        <v>40392</v>
      </c>
      <c r="E1072" s="138" t="s">
        <v>895</v>
      </c>
    </row>
    <row r="1073" spans="1:5" ht="18.75">
      <c r="A1073" s="89" t="str">
        <f t="shared" si="16"/>
        <v>#06703</v>
      </c>
      <c r="B1073" s="138" t="s">
        <v>2985</v>
      </c>
      <c r="C1073" s="236" t="s">
        <v>2984</v>
      </c>
      <c r="D1073" s="206">
        <v>40393</v>
      </c>
      <c r="E1073" s="138" t="s">
        <v>978</v>
      </c>
    </row>
    <row r="1074" spans="1:5" ht="18.75">
      <c r="A1074" s="89" t="str">
        <f t="shared" si="16"/>
        <v>#06716</v>
      </c>
      <c r="B1074" s="138" t="s">
        <v>2987</v>
      </c>
      <c r="C1074" s="236" t="s">
        <v>2986</v>
      </c>
      <c r="D1074" s="206">
        <v>40393</v>
      </c>
      <c r="E1074" s="138" t="s">
        <v>721</v>
      </c>
    </row>
    <row r="1075" spans="1:5" ht="18.75">
      <c r="A1075" s="89" t="str">
        <f t="shared" si="16"/>
        <v>#06719</v>
      </c>
      <c r="B1075" s="138" t="s">
        <v>2989</v>
      </c>
      <c r="C1075" s="236" t="s">
        <v>2988</v>
      </c>
      <c r="D1075" s="206">
        <v>40400</v>
      </c>
      <c r="E1075" s="138" t="s">
        <v>1043</v>
      </c>
    </row>
    <row r="1076" spans="1:5" ht="18.75">
      <c r="A1076" s="89" t="str">
        <f t="shared" si="16"/>
        <v>#06731</v>
      </c>
      <c r="B1076" s="138" t="s">
        <v>2991</v>
      </c>
      <c r="C1076" s="236" t="s">
        <v>2990</v>
      </c>
      <c r="D1076" s="206">
        <v>40399</v>
      </c>
      <c r="E1076" s="138" t="s">
        <v>1188</v>
      </c>
    </row>
    <row r="1077" spans="1:5" ht="18.75">
      <c r="A1077" s="89" t="str">
        <f t="shared" si="16"/>
        <v>#06732</v>
      </c>
      <c r="B1077" s="138" t="s">
        <v>2993</v>
      </c>
      <c r="C1077" s="236" t="s">
        <v>2992</v>
      </c>
      <c r="D1077" s="206">
        <v>40399</v>
      </c>
      <c r="E1077" s="138" t="s">
        <v>1188</v>
      </c>
    </row>
    <row r="1078" spans="1:5" ht="18.75">
      <c r="A1078" s="89" t="str">
        <f t="shared" si="16"/>
        <v>#06734</v>
      </c>
      <c r="B1078" s="138" t="s">
        <v>2994</v>
      </c>
      <c r="C1078" s="236" t="s">
        <v>2260</v>
      </c>
      <c r="D1078" s="206">
        <v>40400</v>
      </c>
      <c r="E1078" s="138" t="s">
        <v>1113</v>
      </c>
    </row>
    <row r="1079" spans="1:5" ht="18.75">
      <c r="A1079" s="89" t="str">
        <f t="shared" si="16"/>
        <v>#06738</v>
      </c>
      <c r="B1079" s="138" t="s">
        <v>2996</v>
      </c>
      <c r="C1079" s="236" t="s">
        <v>2995</v>
      </c>
      <c r="D1079" s="206">
        <v>40399</v>
      </c>
      <c r="E1079" s="138" t="s">
        <v>7818</v>
      </c>
    </row>
    <row r="1080" spans="1:5" ht="18.75">
      <c r="A1080" s="89" t="str">
        <f t="shared" si="16"/>
        <v>#06742</v>
      </c>
      <c r="B1080" s="138" t="s">
        <v>2998</v>
      </c>
      <c r="C1080" s="236" t="s">
        <v>2997</v>
      </c>
      <c r="D1080" s="206">
        <v>40399</v>
      </c>
      <c r="E1080" s="138" t="s">
        <v>937</v>
      </c>
    </row>
    <row r="1081" spans="1:5" ht="18.75">
      <c r="A1081" s="89" t="str">
        <f t="shared" si="16"/>
        <v>#06743</v>
      </c>
      <c r="B1081" s="138" t="s">
        <v>3000</v>
      </c>
      <c r="C1081" s="236" t="s">
        <v>2999</v>
      </c>
      <c r="D1081" s="206">
        <v>40406</v>
      </c>
      <c r="E1081" s="138" t="s">
        <v>906</v>
      </c>
    </row>
    <row r="1082" spans="1:5" ht="18.75">
      <c r="A1082" s="89" t="str">
        <f t="shared" si="16"/>
        <v>#06748</v>
      </c>
      <c r="B1082" s="138" t="s">
        <v>3001</v>
      </c>
      <c r="C1082" s="236" t="s">
        <v>1502</v>
      </c>
      <c r="D1082" s="206">
        <v>40406</v>
      </c>
      <c r="E1082" s="138" t="s">
        <v>752</v>
      </c>
    </row>
    <row r="1083" spans="1:5" ht="18.75">
      <c r="A1083" s="89" t="str">
        <f t="shared" si="16"/>
        <v>#06750</v>
      </c>
      <c r="B1083" s="138" t="s">
        <v>3002</v>
      </c>
      <c r="C1083" s="236" t="s">
        <v>1438</v>
      </c>
      <c r="D1083" s="206">
        <v>40406</v>
      </c>
      <c r="E1083" s="138" t="s">
        <v>1063</v>
      </c>
    </row>
    <row r="1084" spans="1:5" ht="18.75">
      <c r="A1084" s="89" t="str">
        <f t="shared" si="16"/>
        <v>#06751</v>
      </c>
      <c r="B1084" s="138" t="s">
        <v>3004</v>
      </c>
      <c r="C1084" s="236" t="s">
        <v>3003</v>
      </c>
      <c r="D1084" s="206">
        <v>40406</v>
      </c>
      <c r="E1084" s="138" t="s">
        <v>1188</v>
      </c>
    </row>
    <row r="1085" spans="1:5" ht="18.75">
      <c r="A1085" s="89" t="str">
        <f t="shared" si="16"/>
        <v>#06755</v>
      </c>
      <c r="B1085" s="138" t="s">
        <v>3005</v>
      </c>
      <c r="C1085" s="236" t="s">
        <v>1442</v>
      </c>
      <c r="D1085" s="206">
        <v>40406</v>
      </c>
      <c r="E1085" s="138" t="s">
        <v>1188</v>
      </c>
    </row>
    <row r="1086" spans="1:5" ht="18.75">
      <c r="A1086" s="89" t="str">
        <f t="shared" si="16"/>
        <v>#06758</v>
      </c>
      <c r="B1086" s="138" t="s">
        <v>3007</v>
      </c>
      <c r="C1086" s="236" t="s">
        <v>3006</v>
      </c>
      <c r="D1086" s="206">
        <v>40406</v>
      </c>
      <c r="E1086" s="138" t="s">
        <v>915</v>
      </c>
    </row>
    <row r="1087" spans="1:5" ht="18.75">
      <c r="A1087" s="89" t="str">
        <f t="shared" si="16"/>
        <v>#06762</v>
      </c>
      <c r="B1087" s="138" t="s">
        <v>3009</v>
      </c>
      <c r="C1087" s="236" t="s">
        <v>3008</v>
      </c>
      <c r="D1087" s="206">
        <v>40406</v>
      </c>
      <c r="E1087" s="138" t="s">
        <v>7818</v>
      </c>
    </row>
    <row r="1088" spans="1:5" ht="18.75">
      <c r="A1088" s="89" t="str">
        <f t="shared" si="16"/>
        <v>#06770</v>
      </c>
      <c r="B1088" s="138" t="s">
        <v>3011</v>
      </c>
      <c r="C1088" s="236" t="s">
        <v>3010</v>
      </c>
      <c r="D1088" s="206">
        <v>40413</v>
      </c>
      <c r="E1088" s="138" t="s">
        <v>7818</v>
      </c>
    </row>
    <row r="1089" spans="1:5" ht="18.75">
      <c r="A1089" s="89" t="str">
        <f t="shared" si="16"/>
        <v>#06774</v>
      </c>
      <c r="B1089" s="138" t="s">
        <v>3013</v>
      </c>
      <c r="C1089" s="236" t="s">
        <v>3012</v>
      </c>
      <c r="D1089" s="206">
        <v>40413</v>
      </c>
      <c r="E1089" s="138" t="s">
        <v>1034</v>
      </c>
    </row>
    <row r="1090" spans="1:5" ht="18.75">
      <c r="A1090" s="89" t="str">
        <f t="shared" si="16"/>
        <v>#06789</v>
      </c>
      <c r="B1090" s="138" t="s">
        <v>3015</v>
      </c>
      <c r="C1090" s="236" t="s">
        <v>3014</v>
      </c>
      <c r="D1090" s="206">
        <v>40414</v>
      </c>
      <c r="E1090" s="138" t="s">
        <v>924</v>
      </c>
    </row>
    <row r="1091" spans="1:5" ht="18.75">
      <c r="A1091" s="89" t="str">
        <f t="shared" ref="A1091:A1154" si="17">"#"&amp;B1091</f>
        <v>#06790</v>
      </c>
      <c r="B1091" s="138" t="s">
        <v>3017</v>
      </c>
      <c r="C1091" s="236" t="s">
        <v>3016</v>
      </c>
      <c r="D1091" s="206">
        <v>40413</v>
      </c>
      <c r="E1091" s="138" t="s">
        <v>906</v>
      </c>
    </row>
    <row r="1092" spans="1:5" ht="18.75">
      <c r="A1092" s="89" t="str">
        <f t="shared" si="17"/>
        <v>#06792</v>
      </c>
      <c r="B1092" s="138" t="s">
        <v>3019</v>
      </c>
      <c r="C1092" s="236" t="s">
        <v>3018</v>
      </c>
      <c r="D1092" s="206">
        <v>40413</v>
      </c>
      <c r="E1092" s="138" t="s">
        <v>906</v>
      </c>
    </row>
    <row r="1093" spans="1:5" ht="18.75">
      <c r="A1093" s="89" t="str">
        <f t="shared" si="17"/>
        <v>#06793</v>
      </c>
      <c r="B1093" s="138" t="s">
        <v>3021</v>
      </c>
      <c r="C1093" s="236" t="s">
        <v>3020</v>
      </c>
      <c r="D1093" s="206">
        <v>40413</v>
      </c>
      <c r="E1093" s="138" t="s">
        <v>906</v>
      </c>
    </row>
    <row r="1094" spans="1:5" ht="18.75">
      <c r="A1094" s="89" t="str">
        <f t="shared" si="17"/>
        <v>#06806</v>
      </c>
      <c r="B1094" s="138" t="s">
        <v>3022</v>
      </c>
      <c r="C1094" s="236" t="s">
        <v>2826</v>
      </c>
      <c r="D1094" s="206">
        <v>40427</v>
      </c>
      <c r="E1094" s="138" t="s">
        <v>1188</v>
      </c>
    </row>
    <row r="1095" spans="1:5" ht="18.75">
      <c r="A1095" s="89" t="str">
        <f t="shared" si="17"/>
        <v>#06815</v>
      </c>
      <c r="B1095" s="138" t="s">
        <v>3023</v>
      </c>
      <c r="C1095" s="236" t="s">
        <v>2815</v>
      </c>
      <c r="D1095" s="206">
        <v>40434</v>
      </c>
      <c r="E1095" s="138" t="s">
        <v>906</v>
      </c>
    </row>
    <row r="1096" spans="1:5" ht="18.75">
      <c r="A1096" s="89" t="str">
        <f t="shared" si="17"/>
        <v>#06821</v>
      </c>
      <c r="B1096" s="138" t="s">
        <v>3025</v>
      </c>
      <c r="C1096" s="236" t="s">
        <v>3024</v>
      </c>
      <c r="D1096" s="206">
        <v>40434</v>
      </c>
      <c r="E1096" s="138" t="s">
        <v>906</v>
      </c>
    </row>
    <row r="1097" spans="1:5" ht="18.75">
      <c r="A1097" s="89" t="str">
        <f t="shared" si="17"/>
        <v>#06824</v>
      </c>
      <c r="B1097" s="138" t="s">
        <v>3027</v>
      </c>
      <c r="C1097" s="236" t="s">
        <v>3026</v>
      </c>
      <c r="D1097" s="206">
        <v>40434</v>
      </c>
      <c r="E1097" s="138" t="s">
        <v>978</v>
      </c>
    </row>
    <row r="1098" spans="1:5" ht="18.75">
      <c r="A1098" s="89" t="str">
        <f t="shared" si="17"/>
        <v>#06826</v>
      </c>
      <c r="B1098" s="138" t="s">
        <v>3028</v>
      </c>
      <c r="C1098" s="236" t="s">
        <v>990</v>
      </c>
      <c r="D1098" s="206">
        <v>40434</v>
      </c>
      <c r="E1098" s="138" t="s">
        <v>1541</v>
      </c>
    </row>
    <row r="1099" spans="1:5" ht="18.75">
      <c r="A1099" s="89" t="str">
        <f t="shared" si="17"/>
        <v>#06829</v>
      </c>
      <c r="B1099" s="138" t="s">
        <v>3030</v>
      </c>
      <c r="C1099" s="236" t="s">
        <v>3029</v>
      </c>
      <c r="D1099" s="206">
        <v>40434</v>
      </c>
      <c r="E1099" s="138" t="s">
        <v>937</v>
      </c>
    </row>
    <row r="1100" spans="1:5" ht="18.75">
      <c r="A1100" s="89" t="str">
        <f t="shared" si="17"/>
        <v>#06830</v>
      </c>
      <c r="B1100" s="138" t="s">
        <v>3032</v>
      </c>
      <c r="C1100" s="236" t="s">
        <v>3031</v>
      </c>
      <c r="D1100" s="206">
        <v>40441</v>
      </c>
      <c r="E1100" s="138" t="s">
        <v>1215</v>
      </c>
    </row>
    <row r="1101" spans="1:5" ht="18.75">
      <c r="A1101" s="89" t="str">
        <f t="shared" si="17"/>
        <v>#06831</v>
      </c>
      <c r="B1101" s="138" t="s">
        <v>3034</v>
      </c>
      <c r="C1101" s="236" t="s">
        <v>3033</v>
      </c>
      <c r="D1101" s="206">
        <v>40434</v>
      </c>
      <c r="E1101" s="138" t="s">
        <v>721</v>
      </c>
    </row>
    <row r="1102" spans="1:5" ht="18.75">
      <c r="A1102" s="89" t="str">
        <f t="shared" si="17"/>
        <v>#06834</v>
      </c>
      <c r="B1102" s="138" t="s">
        <v>3036</v>
      </c>
      <c r="C1102" s="236" t="s">
        <v>3035</v>
      </c>
      <c r="D1102" s="206">
        <v>40434</v>
      </c>
      <c r="E1102" s="138" t="s">
        <v>7818</v>
      </c>
    </row>
    <row r="1103" spans="1:5" ht="18.75">
      <c r="A1103" s="89" t="str">
        <f t="shared" si="17"/>
        <v>#06853</v>
      </c>
      <c r="B1103" s="138" t="s">
        <v>3038</v>
      </c>
      <c r="C1103" s="236" t="s">
        <v>3037</v>
      </c>
      <c r="D1103" s="206">
        <v>40441</v>
      </c>
      <c r="E1103" s="138" t="s">
        <v>721</v>
      </c>
    </row>
    <row r="1104" spans="1:5" ht="18.75">
      <c r="A1104" s="89" t="str">
        <f t="shared" si="17"/>
        <v>#06860</v>
      </c>
      <c r="B1104" s="138" t="s">
        <v>3040</v>
      </c>
      <c r="C1104" s="236" t="s">
        <v>3039</v>
      </c>
      <c r="D1104" s="206">
        <v>40441</v>
      </c>
      <c r="E1104" s="138" t="s">
        <v>7818</v>
      </c>
    </row>
    <row r="1105" spans="1:5" ht="18.75">
      <c r="A1105" s="89" t="str">
        <f t="shared" si="17"/>
        <v>#06864</v>
      </c>
      <c r="B1105" s="138" t="s">
        <v>3042</v>
      </c>
      <c r="C1105" s="236" t="s">
        <v>3041</v>
      </c>
      <c r="D1105" s="206">
        <v>40441</v>
      </c>
      <c r="E1105" s="138" t="s">
        <v>937</v>
      </c>
    </row>
    <row r="1106" spans="1:5" ht="18.75">
      <c r="A1106" s="89" t="str">
        <f t="shared" si="17"/>
        <v>#06866</v>
      </c>
      <c r="B1106" s="138" t="s">
        <v>3044</v>
      </c>
      <c r="C1106" s="236" t="s">
        <v>3043</v>
      </c>
      <c r="D1106" s="206">
        <v>40442</v>
      </c>
      <c r="E1106" s="138" t="s">
        <v>1034</v>
      </c>
    </row>
    <row r="1107" spans="1:5" ht="18.75">
      <c r="A1107" s="89" t="str">
        <f t="shared" si="17"/>
        <v>#06873</v>
      </c>
      <c r="B1107" s="138" t="s">
        <v>3046</v>
      </c>
      <c r="C1107" s="236" t="s">
        <v>3045</v>
      </c>
      <c r="D1107" s="206">
        <v>40441</v>
      </c>
      <c r="E1107" s="138" t="s">
        <v>937</v>
      </c>
    </row>
    <row r="1108" spans="1:5" ht="18.75">
      <c r="A1108" s="89" t="str">
        <f t="shared" si="17"/>
        <v>#06876</v>
      </c>
      <c r="B1108" s="138" t="s">
        <v>3048</v>
      </c>
      <c r="C1108" s="236" t="s">
        <v>3047</v>
      </c>
      <c r="D1108" s="206">
        <v>40441</v>
      </c>
      <c r="E1108" s="138" t="s">
        <v>1133</v>
      </c>
    </row>
    <row r="1109" spans="1:5" ht="18.75">
      <c r="A1109" s="89" t="str">
        <f t="shared" si="17"/>
        <v>#06877</v>
      </c>
      <c r="B1109" s="138" t="s">
        <v>3050</v>
      </c>
      <c r="C1109" s="236" t="s">
        <v>3049</v>
      </c>
      <c r="D1109" s="206">
        <v>40393</v>
      </c>
      <c r="E1109" s="138" t="s">
        <v>7818</v>
      </c>
    </row>
    <row r="1110" spans="1:5" ht="18.75">
      <c r="A1110" s="89" t="str">
        <f t="shared" si="17"/>
        <v>#06879</v>
      </c>
      <c r="B1110" s="138" t="s">
        <v>3052</v>
      </c>
      <c r="C1110" s="236" t="s">
        <v>3051</v>
      </c>
      <c r="D1110" s="206">
        <v>40448</v>
      </c>
      <c r="E1110" s="138" t="s">
        <v>890</v>
      </c>
    </row>
    <row r="1111" spans="1:5" ht="18.75">
      <c r="A1111" s="89" t="str">
        <f t="shared" si="17"/>
        <v>#06880</v>
      </c>
      <c r="B1111" s="138" t="s">
        <v>3054</v>
      </c>
      <c r="C1111" s="236" t="s">
        <v>3053</v>
      </c>
      <c r="D1111" s="206">
        <v>40448</v>
      </c>
      <c r="E1111" s="138" t="s">
        <v>7818</v>
      </c>
    </row>
    <row r="1112" spans="1:5" ht="18.75">
      <c r="A1112" s="89" t="str">
        <f t="shared" si="17"/>
        <v>#06883</v>
      </c>
      <c r="B1112" s="138" t="s">
        <v>3056</v>
      </c>
      <c r="C1112" s="236" t="s">
        <v>3055</v>
      </c>
      <c r="D1112" s="206">
        <v>40448</v>
      </c>
      <c r="E1112" s="138" t="s">
        <v>890</v>
      </c>
    </row>
    <row r="1113" spans="1:5" ht="18.75">
      <c r="A1113" s="89" t="str">
        <f t="shared" si="17"/>
        <v>#06887</v>
      </c>
      <c r="B1113" s="138" t="s">
        <v>3057</v>
      </c>
      <c r="C1113" s="236" t="s">
        <v>2229</v>
      </c>
      <c r="D1113" s="206">
        <v>40448</v>
      </c>
      <c r="E1113" s="138" t="s">
        <v>1487</v>
      </c>
    </row>
    <row r="1114" spans="1:5" ht="18.75">
      <c r="A1114" s="89" t="str">
        <f t="shared" si="17"/>
        <v>#06888</v>
      </c>
      <c r="B1114" s="138" t="s">
        <v>3059</v>
      </c>
      <c r="C1114" s="236" t="s">
        <v>3058</v>
      </c>
      <c r="D1114" s="206">
        <v>40448</v>
      </c>
      <c r="E1114" s="138" t="s">
        <v>985</v>
      </c>
    </row>
    <row r="1115" spans="1:5" ht="18.75">
      <c r="A1115" s="89" t="str">
        <f t="shared" si="17"/>
        <v>#06900</v>
      </c>
      <c r="B1115" s="138" t="s">
        <v>3061</v>
      </c>
      <c r="C1115" s="236" t="s">
        <v>3060</v>
      </c>
      <c r="D1115" s="206">
        <v>40448</v>
      </c>
      <c r="E1115" s="138" t="s">
        <v>1133</v>
      </c>
    </row>
    <row r="1116" spans="1:5" ht="18.75">
      <c r="A1116" s="89" t="str">
        <f t="shared" si="17"/>
        <v>#06904</v>
      </c>
      <c r="B1116" s="138" t="s">
        <v>3063</v>
      </c>
      <c r="C1116" s="236" t="s">
        <v>3062</v>
      </c>
      <c r="D1116" s="206">
        <v>40448</v>
      </c>
      <c r="E1116" s="138" t="s">
        <v>1133</v>
      </c>
    </row>
    <row r="1117" spans="1:5" ht="18.75">
      <c r="A1117" s="89" t="str">
        <f t="shared" si="17"/>
        <v>#06908</v>
      </c>
      <c r="B1117" s="138" t="s">
        <v>3065</v>
      </c>
      <c r="C1117" s="236" t="s">
        <v>3064</v>
      </c>
      <c r="D1117" s="206">
        <v>40448</v>
      </c>
      <c r="E1117" s="138" t="s">
        <v>752</v>
      </c>
    </row>
    <row r="1118" spans="1:5" ht="18.75">
      <c r="A1118" s="89" t="str">
        <f t="shared" si="17"/>
        <v>#06916</v>
      </c>
      <c r="B1118" s="138" t="s">
        <v>3067</v>
      </c>
      <c r="C1118" s="236" t="s">
        <v>3066</v>
      </c>
      <c r="D1118" s="206">
        <v>40455</v>
      </c>
      <c r="E1118" s="138" t="s">
        <v>7818</v>
      </c>
    </row>
    <row r="1119" spans="1:5" ht="18.75">
      <c r="A1119" s="89" t="str">
        <f t="shared" si="17"/>
        <v>#06917</v>
      </c>
      <c r="B1119" s="138" t="s">
        <v>3069</v>
      </c>
      <c r="C1119" s="236" t="s">
        <v>3068</v>
      </c>
      <c r="D1119" s="206">
        <v>40455</v>
      </c>
      <c r="E1119" s="138" t="s">
        <v>937</v>
      </c>
    </row>
    <row r="1120" spans="1:5" ht="18.75">
      <c r="A1120" s="89" t="str">
        <f t="shared" si="17"/>
        <v>#06922</v>
      </c>
      <c r="B1120" s="138" t="s">
        <v>3071</v>
      </c>
      <c r="C1120" s="236" t="s">
        <v>3070</v>
      </c>
      <c r="D1120" s="206">
        <v>40455</v>
      </c>
      <c r="E1120" s="138" t="s">
        <v>937</v>
      </c>
    </row>
    <row r="1121" spans="1:5" ht="18.75">
      <c r="A1121" s="89" t="str">
        <f t="shared" si="17"/>
        <v>#06923</v>
      </c>
      <c r="B1121" s="138" t="s">
        <v>3073</v>
      </c>
      <c r="C1121" s="236" t="s">
        <v>3072</v>
      </c>
      <c r="D1121" s="206">
        <v>40455</v>
      </c>
      <c r="E1121" s="138" t="s">
        <v>937</v>
      </c>
    </row>
    <row r="1122" spans="1:5" ht="18.75">
      <c r="A1122" s="89" t="str">
        <f t="shared" si="17"/>
        <v>#06926</v>
      </c>
      <c r="B1122" s="138" t="s">
        <v>3075</v>
      </c>
      <c r="C1122" s="236" t="s">
        <v>3074</v>
      </c>
      <c r="D1122" s="206">
        <v>40455</v>
      </c>
      <c r="E1122" s="138" t="s">
        <v>937</v>
      </c>
    </row>
    <row r="1123" spans="1:5" ht="18.75">
      <c r="A1123" s="89" t="str">
        <f t="shared" si="17"/>
        <v>#06930</v>
      </c>
      <c r="B1123" s="138" t="s">
        <v>3076</v>
      </c>
      <c r="C1123" s="236" t="s">
        <v>2112</v>
      </c>
      <c r="D1123" s="206">
        <v>40455</v>
      </c>
      <c r="E1123" s="138" t="s">
        <v>903</v>
      </c>
    </row>
    <row r="1124" spans="1:5" ht="18.75">
      <c r="A1124" s="89" t="str">
        <f t="shared" si="17"/>
        <v>#06933</v>
      </c>
      <c r="B1124" s="138" t="s">
        <v>3077</v>
      </c>
      <c r="C1124" s="236" t="s">
        <v>3058</v>
      </c>
      <c r="D1124" s="206">
        <v>40455</v>
      </c>
      <c r="E1124" s="138" t="s">
        <v>1188</v>
      </c>
    </row>
    <row r="1125" spans="1:5" ht="18.75">
      <c r="A1125" s="89" t="str">
        <f t="shared" si="17"/>
        <v>#06934</v>
      </c>
      <c r="B1125" s="138" t="s">
        <v>3078</v>
      </c>
      <c r="C1125" s="236" t="s">
        <v>1599</v>
      </c>
      <c r="D1125" s="206">
        <v>40455</v>
      </c>
      <c r="E1125" s="138" t="s">
        <v>1380</v>
      </c>
    </row>
    <row r="1126" spans="1:5" ht="18.75">
      <c r="A1126" s="89" t="str">
        <f t="shared" si="17"/>
        <v>#06951</v>
      </c>
      <c r="B1126" s="138" t="s">
        <v>3080</v>
      </c>
      <c r="C1126" s="236" t="s">
        <v>3079</v>
      </c>
      <c r="D1126" s="206">
        <v>40462</v>
      </c>
      <c r="E1126" s="138" t="s">
        <v>895</v>
      </c>
    </row>
    <row r="1127" spans="1:5" ht="18.75">
      <c r="A1127" s="89" t="str">
        <f t="shared" si="17"/>
        <v>#06952</v>
      </c>
      <c r="B1127" s="138" t="s">
        <v>3082</v>
      </c>
      <c r="C1127" s="236" t="s">
        <v>3081</v>
      </c>
      <c r="D1127" s="206">
        <v>40462</v>
      </c>
      <c r="E1127" s="138" t="s">
        <v>8037</v>
      </c>
    </row>
    <row r="1128" spans="1:5" ht="18.75">
      <c r="A1128" s="89" t="str">
        <f t="shared" si="17"/>
        <v>#06953</v>
      </c>
      <c r="B1128" s="138" t="s">
        <v>3083</v>
      </c>
      <c r="C1128" s="236" t="s">
        <v>2772</v>
      </c>
      <c r="D1128" s="206">
        <v>40462</v>
      </c>
      <c r="E1128" s="138" t="s">
        <v>1034</v>
      </c>
    </row>
    <row r="1129" spans="1:5" ht="18.75">
      <c r="A1129" s="89" t="str">
        <f t="shared" si="17"/>
        <v>#06955</v>
      </c>
      <c r="B1129" s="138" t="s">
        <v>3084</v>
      </c>
      <c r="C1129" s="236" t="s">
        <v>1399</v>
      </c>
      <c r="D1129" s="206">
        <v>40462</v>
      </c>
      <c r="E1129" s="138" t="s">
        <v>985</v>
      </c>
    </row>
    <row r="1130" spans="1:5" ht="18.75">
      <c r="A1130" s="89" t="str">
        <f t="shared" si="17"/>
        <v>#06959</v>
      </c>
      <c r="B1130" s="138" t="s">
        <v>3086</v>
      </c>
      <c r="C1130" s="236" t="s">
        <v>3085</v>
      </c>
      <c r="D1130" s="206">
        <v>40462</v>
      </c>
      <c r="E1130" s="138" t="s">
        <v>1133</v>
      </c>
    </row>
    <row r="1131" spans="1:5" ht="18.75">
      <c r="A1131" s="89" t="str">
        <f t="shared" si="17"/>
        <v>#06961</v>
      </c>
      <c r="B1131" s="138" t="s">
        <v>3088</v>
      </c>
      <c r="C1131" s="236" t="s">
        <v>3087</v>
      </c>
      <c r="D1131" s="206">
        <v>40462</v>
      </c>
      <c r="E1131" s="138" t="s">
        <v>8037</v>
      </c>
    </row>
    <row r="1132" spans="1:5" ht="18.75">
      <c r="A1132" s="89" t="str">
        <f t="shared" si="17"/>
        <v>#06973</v>
      </c>
      <c r="B1132" s="138" t="s">
        <v>3090</v>
      </c>
      <c r="C1132" s="236" t="s">
        <v>3089</v>
      </c>
      <c r="D1132" s="206">
        <v>40462</v>
      </c>
      <c r="E1132" s="138" t="s">
        <v>937</v>
      </c>
    </row>
    <row r="1133" spans="1:5" ht="18.75">
      <c r="A1133" s="89" t="str">
        <f t="shared" si="17"/>
        <v>#06976</v>
      </c>
      <c r="B1133" s="138" t="s">
        <v>3092</v>
      </c>
      <c r="C1133" s="236" t="s">
        <v>3091</v>
      </c>
      <c r="D1133" s="206">
        <v>40462</v>
      </c>
      <c r="E1133" s="138" t="s">
        <v>7818</v>
      </c>
    </row>
    <row r="1134" spans="1:5" ht="18.75">
      <c r="A1134" s="89" t="str">
        <f t="shared" si="17"/>
        <v>#06983</v>
      </c>
      <c r="B1134" s="138" t="s">
        <v>3093</v>
      </c>
      <c r="C1134" s="236" t="s">
        <v>2112</v>
      </c>
      <c r="D1134" s="206">
        <v>40469</v>
      </c>
      <c r="E1134" s="138" t="s">
        <v>7818</v>
      </c>
    </row>
    <row r="1135" spans="1:5" ht="18.75">
      <c r="A1135" s="89" t="str">
        <f t="shared" si="17"/>
        <v>#06984</v>
      </c>
      <c r="B1135" s="138" t="s">
        <v>3094</v>
      </c>
      <c r="C1135" s="236" t="s">
        <v>2092</v>
      </c>
      <c r="D1135" s="206">
        <v>40469</v>
      </c>
      <c r="E1135" s="138" t="s">
        <v>7818</v>
      </c>
    </row>
    <row r="1136" spans="1:5" ht="18.75">
      <c r="A1136" s="89" t="str">
        <f t="shared" si="17"/>
        <v>#06998</v>
      </c>
      <c r="B1136" s="138" t="s">
        <v>3096</v>
      </c>
      <c r="C1136" s="236" t="s">
        <v>3095</v>
      </c>
      <c r="D1136" s="206">
        <v>40469</v>
      </c>
      <c r="E1136" s="138" t="s">
        <v>985</v>
      </c>
    </row>
    <row r="1137" spans="1:5" ht="18.75">
      <c r="A1137" s="89" t="str">
        <f t="shared" si="17"/>
        <v>#07006</v>
      </c>
      <c r="B1137" s="138" t="s">
        <v>3098</v>
      </c>
      <c r="C1137" s="236" t="s">
        <v>3097</v>
      </c>
      <c r="D1137" s="206">
        <v>40469</v>
      </c>
      <c r="E1137" s="138" t="s">
        <v>8037</v>
      </c>
    </row>
    <row r="1138" spans="1:5" ht="18.75">
      <c r="A1138" s="89" t="str">
        <f t="shared" si="17"/>
        <v>#07010</v>
      </c>
      <c r="B1138" s="138" t="s">
        <v>3100</v>
      </c>
      <c r="C1138" s="236" t="s">
        <v>3099</v>
      </c>
      <c r="D1138" s="206">
        <v>40469</v>
      </c>
      <c r="E1138" s="138" t="s">
        <v>1034</v>
      </c>
    </row>
    <row r="1139" spans="1:5" ht="18.75">
      <c r="A1139" s="89" t="str">
        <f t="shared" si="17"/>
        <v>#07016</v>
      </c>
      <c r="B1139" s="138" t="s">
        <v>3102</v>
      </c>
      <c r="C1139" s="236" t="s">
        <v>3101</v>
      </c>
      <c r="D1139" s="206">
        <v>40477</v>
      </c>
      <c r="E1139" s="138" t="s">
        <v>1487</v>
      </c>
    </row>
    <row r="1140" spans="1:5" ht="18.75">
      <c r="A1140" s="89" t="str">
        <f t="shared" si="17"/>
        <v>#07018</v>
      </c>
      <c r="B1140" s="138" t="s">
        <v>3104</v>
      </c>
      <c r="C1140" s="236" t="s">
        <v>3103</v>
      </c>
      <c r="D1140" s="206">
        <v>40477</v>
      </c>
      <c r="E1140" s="138" t="s">
        <v>890</v>
      </c>
    </row>
    <row r="1141" spans="1:5" ht="18.75">
      <c r="A1141" s="89" t="str">
        <f t="shared" si="17"/>
        <v>#07021</v>
      </c>
      <c r="B1141" s="138" t="s">
        <v>3106</v>
      </c>
      <c r="C1141" s="236" t="s">
        <v>3105</v>
      </c>
      <c r="D1141" s="206">
        <v>40477</v>
      </c>
      <c r="E1141" s="138" t="s">
        <v>8037</v>
      </c>
    </row>
    <row r="1142" spans="1:5" ht="18.75">
      <c r="A1142" s="89" t="str">
        <f t="shared" si="17"/>
        <v>#07022</v>
      </c>
      <c r="B1142" s="138" t="s">
        <v>3108</v>
      </c>
      <c r="C1142" s="236" t="s">
        <v>3107</v>
      </c>
      <c r="D1142" s="206">
        <v>40477</v>
      </c>
      <c r="E1142" s="138" t="s">
        <v>8037</v>
      </c>
    </row>
    <row r="1143" spans="1:5" ht="18.75">
      <c r="A1143" s="89" t="str">
        <f t="shared" si="17"/>
        <v>#07032</v>
      </c>
      <c r="B1143" s="138" t="s">
        <v>3110</v>
      </c>
      <c r="C1143" s="236" t="s">
        <v>3109</v>
      </c>
      <c r="D1143" s="206">
        <v>40477</v>
      </c>
      <c r="E1143" s="138" t="s">
        <v>937</v>
      </c>
    </row>
    <row r="1144" spans="1:5" ht="18.75">
      <c r="A1144" s="89" t="str">
        <f t="shared" si="17"/>
        <v>#07038</v>
      </c>
      <c r="B1144" s="138" t="s">
        <v>3112</v>
      </c>
      <c r="C1144" s="236" t="s">
        <v>3111</v>
      </c>
      <c r="D1144" s="206">
        <v>40477</v>
      </c>
      <c r="E1144" s="138" t="s">
        <v>927</v>
      </c>
    </row>
    <row r="1145" spans="1:5" ht="18.75">
      <c r="A1145" s="89" t="str">
        <f t="shared" si="17"/>
        <v>#07039</v>
      </c>
      <c r="B1145" s="138" t="s">
        <v>3114</v>
      </c>
      <c r="C1145" s="236" t="s">
        <v>3113</v>
      </c>
      <c r="D1145" s="206">
        <v>40477</v>
      </c>
      <c r="E1145" s="138" t="s">
        <v>895</v>
      </c>
    </row>
    <row r="1146" spans="1:5" ht="18.75">
      <c r="A1146" s="89" t="str">
        <f t="shared" si="17"/>
        <v>#07042</v>
      </c>
      <c r="B1146" s="138" t="s">
        <v>3116</v>
      </c>
      <c r="C1146" s="236" t="s">
        <v>3115</v>
      </c>
      <c r="D1146" s="206">
        <v>40483</v>
      </c>
      <c r="E1146" s="138" t="s">
        <v>7818</v>
      </c>
    </row>
    <row r="1147" spans="1:5" ht="18.75">
      <c r="A1147" s="89" t="str">
        <f t="shared" si="17"/>
        <v>#07044</v>
      </c>
      <c r="B1147" s="138" t="s">
        <v>3117</v>
      </c>
      <c r="C1147" s="236" t="s">
        <v>2549</v>
      </c>
      <c r="D1147" s="206">
        <v>40483</v>
      </c>
      <c r="E1147" s="138" t="s">
        <v>7818</v>
      </c>
    </row>
    <row r="1148" spans="1:5" ht="18.75">
      <c r="A1148" s="89" t="str">
        <f t="shared" si="17"/>
        <v>#07045</v>
      </c>
      <c r="B1148" s="138" t="s">
        <v>3119</v>
      </c>
      <c r="C1148" s="236" t="s">
        <v>3118</v>
      </c>
      <c r="D1148" s="206">
        <v>40483</v>
      </c>
      <c r="E1148" s="138" t="s">
        <v>7818</v>
      </c>
    </row>
    <row r="1149" spans="1:5" ht="18.75">
      <c r="A1149" s="89" t="str">
        <f t="shared" si="17"/>
        <v>#07047</v>
      </c>
      <c r="B1149" s="138" t="s">
        <v>3121</v>
      </c>
      <c r="C1149" s="236" t="s">
        <v>3120</v>
      </c>
      <c r="D1149" s="206">
        <v>40483</v>
      </c>
      <c r="E1149" s="138" t="s">
        <v>7818</v>
      </c>
    </row>
    <row r="1150" spans="1:5" ht="18.75">
      <c r="A1150" s="89" t="str">
        <f t="shared" si="17"/>
        <v>#07051</v>
      </c>
      <c r="B1150" s="138" t="s">
        <v>3122</v>
      </c>
      <c r="C1150" s="236" t="s">
        <v>3010</v>
      </c>
      <c r="D1150" s="206">
        <v>40483</v>
      </c>
      <c r="E1150" s="138" t="s">
        <v>895</v>
      </c>
    </row>
    <row r="1151" spans="1:5" ht="18.75">
      <c r="A1151" s="89" t="str">
        <f t="shared" si="17"/>
        <v>#07055</v>
      </c>
      <c r="B1151" s="138" t="s">
        <v>3124</v>
      </c>
      <c r="C1151" s="236" t="s">
        <v>3123</v>
      </c>
      <c r="D1151" s="206">
        <v>40484</v>
      </c>
      <c r="E1151" s="138" t="s">
        <v>1034</v>
      </c>
    </row>
    <row r="1152" spans="1:5" ht="18.75">
      <c r="A1152" s="89" t="str">
        <f t="shared" si="17"/>
        <v>#07059</v>
      </c>
      <c r="B1152" s="138" t="s">
        <v>3125</v>
      </c>
      <c r="C1152" s="236" t="s">
        <v>1338</v>
      </c>
      <c r="D1152" s="206">
        <v>40483</v>
      </c>
      <c r="E1152" s="138" t="s">
        <v>1034</v>
      </c>
    </row>
    <row r="1153" spans="1:5" ht="18.75">
      <c r="A1153" s="89" t="str">
        <f t="shared" si="17"/>
        <v>#07062</v>
      </c>
      <c r="B1153" s="138" t="s">
        <v>3127</v>
      </c>
      <c r="C1153" s="236" t="s">
        <v>3126</v>
      </c>
      <c r="D1153" s="206">
        <v>40483</v>
      </c>
      <c r="E1153" s="138" t="s">
        <v>937</v>
      </c>
    </row>
    <row r="1154" spans="1:5" ht="18.75">
      <c r="A1154" s="89" t="str">
        <f t="shared" si="17"/>
        <v>#07063</v>
      </c>
      <c r="B1154" s="138" t="s">
        <v>3129</v>
      </c>
      <c r="C1154" s="236" t="s">
        <v>3128</v>
      </c>
      <c r="D1154" s="206">
        <v>40483</v>
      </c>
      <c r="E1154" s="138" t="s">
        <v>1034</v>
      </c>
    </row>
    <row r="1155" spans="1:5" ht="18.75">
      <c r="A1155" s="89" t="str">
        <f t="shared" ref="A1155:A1218" si="18">"#"&amp;B1155</f>
        <v>#07065</v>
      </c>
      <c r="B1155" s="138" t="s">
        <v>3131</v>
      </c>
      <c r="C1155" s="236" t="s">
        <v>3130</v>
      </c>
      <c r="D1155" s="206">
        <v>40483</v>
      </c>
      <c r="E1155" s="138" t="s">
        <v>721</v>
      </c>
    </row>
    <row r="1156" spans="1:5" ht="18.75">
      <c r="A1156" s="89" t="str">
        <f t="shared" si="18"/>
        <v>#07071</v>
      </c>
      <c r="B1156" s="138" t="s">
        <v>3132</v>
      </c>
      <c r="C1156" s="236" t="s">
        <v>2252</v>
      </c>
      <c r="D1156" s="206">
        <v>40483</v>
      </c>
      <c r="E1156" s="138" t="s">
        <v>985</v>
      </c>
    </row>
    <row r="1157" spans="1:5" ht="18.75">
      <c r="A1157" s="89" t="str">
        <f t="shared" si="18"/>
        <v>#07072</v>
      </c>
      <c r="B1157" s="138" t="s">
        <v>3134</v>
      </c>
      <c r="C1157" s="236" t="s">
        <v>3133</v>
      </c>
      <c r="D1157" s="206">
        <v>40484</v>
      </c>
      <c r="E1157" s="138" t="s">
        <v>985</v>
      </c>
    </row>
    <row r="1158" spans="1:5" ht="18.75">
      <c r="A1158" s="89" t="str">
        <f t="shared" si="18"/>
        <v>#07077</v>
      </c>
      <c r="B1158" s="138" t="s">
        <v>3135</v>
      </c>
      <c r="C1158" s="236" t="s">
        <v>1452</v>
      </c>
      <c r="D1158" s="206">
        <v>40483</v>
      </c>
      <c r="E1158" s="138" t="s">
        <v>1188</v>
      </c>
    </row>
    <row r="1159" spans="1:5" ht="18.75">
      <c r="A1159" s="89" t="str">
        <f t="shared" si="18"/>
        <v>#07091</v>
      </c>
      <c r="B1159" s="138" t="s">
        <v>3137</v>
      </c>
      <c r="C1159" s="236" t="s">
        <v>3136</v>
      </c>
      <c r="D1159" s="206">
        <v>40490</v>
      </c>
      <c r="E1159" s="138" t="s">
        <v>985</v>
      </c>
    </row>
    <row r="1160" spans="1:5" ht="18.75">
      <c r="A1160" s="89" t="str">
        <f t="shared" si="18"/>
        <v>#07093</v>
      </c>
      <c r="B1160" s="138" t="s">
        <v>3139</v>
      </c>
      <c r="C1160" s="236" t="s">
        <v>3138</v>
      </c>
      <c r="D1160" s="206">
        <v>40490</v>
      </c>
      <c r="E1160" s="138" t="s">
        <v>985</v>
      </c>
    </row>
    <row r="1161" spans="1:5" ht="18.75">
      <c r="A1161" s="89" t="str">
        <f t="shared" si="18"/>
        <v>#07097</v>
      </c>
      <c r="B1161" s="138" t="s">
        <v>3141</v>
      </c>
      <c r="C1161" s="236" t="s">
        <v>3140</v>
      </c>
      <c r="D1161" s="206">
        <v>40490</v>
      </c>
      <c r="E1161" s="138" t="s">
        <v>1034</v>
      </c>
    </row>
    <row r="1162" spans="1:5" ht="18.75">
      <c r="A1162" s="89" t="str">
        <f t="shared" si="18"/>
        <v>#07110</v>
      </c>
      <c r="B1162" s="138" t="s">
        <v>3143</v>
      </c>
      <c r="C1162" s="236" t="s">
        <v>3142</v>
      </c>
      <c r="D1162" s="206">
        <v>40491</v>
      </c>
      <c r="E1162" s="138" t="s">
        <v>1188</v>
      </c>
    </row>
    <row r="1163" spans="1:5" ht="18.75">
      <c r="A1163" s="89" t="str">
        <f t="shared" si="18"/>
        <v>#07111</v>
      </c>
      <c r="B1163" s="138" t="s">
        <v>3145</v>
      </c>
      <c r="C1163" s="236" t="s">
        <v>3144</v>
      </c>
      <c r="D1163" s="206">
        <v>40490</v>
      </c>
      <c r="E1163" s="138" t="s">
        <v>895</v>
      </c>
    </row>
    <row r="1164" spans="1:5" ht="18.75">
      <c r="A1164" s="89" t="str">
        <f t="shared" si="18"/>
        <v>#07119</v>
      </c>
      <c r="B1164" s="138" t="s">
        <v>3147</v>
      </c>
      <c r="C1164" s="236" t="s">
        <v>3146</v>
      </c>
      <c r="D1164" s="206">
        <v>40490</v>
      </c>
      <c r="E1164" s="138" t="s">
        <v>1255</v>
      </c>
    </row>
    <row r="1165" spans="1:5" ht="18.75">
      <c r="A1165" s="89" t="str">
        <f t="shared" si="18"/>
        <v>#07120</v>
      </c>
      <c r="B1165" s="138" t="s">
        <v>3149</v>
      </c>
      <c r="C1165" s="236" t="s">
        <v>3148</v>
      </c>
      <c r="D1165" s="206">
        <v>40497</v>
      </c>
      <c r="E1165" s="138" t="s">
        <v>1133</v>
      </c>
    </row>
    <row r="1166" spans="1:5" ht="18.75">
      <c r="A1166" s="89" t="str">
        <f t="shared" si="18"/>
        <v>#07132</v>
      </c>
      <c r="B1166" s="138" t="s">
        <v>3151</v>
      </c>
      <c r="C1166" s="236" t="s">
        <v>3150</v>
      </c>
      <c r="D1166" s="206">
        <v>40497</v>
      </c>
      <c r="E1166" s="138" t="s">
        <v>985</v>
      </c>
    </row>
    <row r="1167" spans="1:5" ht="18.75">
      <c r="A1167" s="89" t="str">
        <f t="shared" si="18"/>
        <v>#07135</v>
      </c>
      <c r="B1167" s="138" t="s">
        <v>3153</v>
      </c>
      <c r="C1167" s="236" t="s">
        <v>3152</v>
      </c>
      <c r="D1167" s="206">
        <v>40497</v>
      </c>
      <c r="E1167" s="138" t="s">
        <v>8037</v>
      </c>
    </row>
    <row r="1168" spans="1:5" ht="18.75">
      <c r="A1168" s="89" t="str">
        <f t="shared" si="18"/>
        <v>#07136</v>
      </c>
      <c r="B1168" s="138" t="s">
        <v>3155</v>
      </c>
      <c r="C1168" s="236" t="s">
        <v>3154</v>
      </c>
      <c r="D1168" s="206">
        <v>40497</v>
      </c>
      <c r="E1168" s="138" t="s">
        <v>1034</v>
      </c>
    </row>
    <row r="1169" spans="1:5" ht="18.75">
      <c r="A1169" s="89" t="str">
        <f t="shared" si="18"/>
        <v>#07139</v>
      </c>
      <c r="B1169" s="138" t="s">
        <v>3157</v>
      </c>
      <c r="C1169" s="236" t="s">
        <v>3156</v>
      </c>
      <c r="D1169" s="206">
        <v>40497</v>
      </c>
      <c r="E1169" s="138" t="s">
        <v>895</v>
      </c>
    </row>
    <row r="1170" spans="1:5" ht="18.75">
      <c r="A1170" s="89" t="str">
        <f t="shared" si="18"/>
        <v>#07142</v>
      </c>
      <c r="B1170" s="138" t="s">
        <v>3159</v>
      </c>
      <c r="C1170" s="236" t="s">
        <v>3158</v>
      </c>
      <c r="D1170" s="206">
        <v>40504</v>
      </c>
      <c r="E1170" s="138" t="s">
        <v>1034</v>
      </c>
    </row>
    <row r="1171" spans="1:5" ht="18.75">
      <c r="A1171" s="89" t="str">
        <f t="shared" si="18"/>
        <v>#07143</v>
      </c>
      <c r="B1171" s="138" t="s">
        <v>3161</v>
      </c>
      <c r="C1171" s="236" t="s">
        <v>3160</v>
      </c>
      <c r="D1171" s="206">
        <v>40504</v>
      </c>
      <c r="E1171" s="206" t="s">
        <v>1380</v>
      </c>
    </row>
    <row r="1172" spans="1:5" ht="18.75">
      <c r="A1172" s="89" t="str">
        <f t="shared" si="18"/>
        <v>#07153</v>
      </c>
      <c r="B1172" s="138" t="s">
        <v>3163</v>
      </c>
      <c r="C1172" s="236" t="s">
        <v>3162</v>
      </c>
      <c r="D1172" s="206">
        <v>40504</v>
      </c>
      <c r="E1172" s="138" t="s">
        <v>906</v>
      </c>
    </row>
    <row r="1173" spans="1:5" ht="18.75">
      <c r="A1173" s="89" t="str">
        <f t="shared" si="18"/>
        <v>#07154</v>
      </c>
      <c r="B1173" s="138" t="s">
        <v>3165</v>
      </c>
      <c r="C1173" s="236" t="s">
        <v>3164</v>
      </c>
      <c r="D1173" s="206">
        <v>40504</v>
      </c>
      <c r="E1173" s="138" t="s">
        <v>906</v>
      </c>
    </row>
    <row r="1174" spans="1:5" ht="18.75">
      <c r="A1174" s="89" t="str">
        <f t="shared" si="18"/>
        <v>#07158</v>
      </c>
      <c r="B1174" s="138" t="s">
        <v>3167</v>
      </c>
      <c r="C1174" s="236" t="s">
        <v>3166</v>
      </c>
      <c r="D1174" s="206">
        <v>40504</v>
      </c>
      <c r="E1174" s="138" t="s">
        <v>906</v>
      </c>
    </row>
    <row r="1175" spans="1:5" ht="18.75">
      <c r="A1175" s="89" t="str">
        <f t="shared" si="18"/>
        <v>#07163</v>
      </c>
      <c r="B1175" s="138" t="s">
        <v>3169</v>
      </c>
      <c r="C1175" s="236" t="s">
        <v>3168</v>
      </c>
      <c r="D1175" s="206">
        <v>40504</v>
      </c>
      <c r="E1175" s="138" t="s">
        <v>7818</v>
      </c>
    </row>
    <row r="1176" spans="1:5" ht="18.75">
      <c r="A1176" s="89" t="str">
        <f t="shared" si="18"/>
        <v>#07167</v>
      </c>
      <c r="B1176" s="138" t="s">
        <v>3170</v>
      </c>
      <c r="C1176" s="236" t="s">
        <v>2792</v>
      </c>
      <c r="D1176" s="206">
        <v>40504</v>
      </c>
      <c r="E1176" s="138" t="s">
        <v>985</v>
      </c>
    </row>
    <row r="1177" spans="1:5" ht="18.75">
      <c r="A1177" s="89" t="str">
        <f t="shared" si="18"/>
        <v>#07170</v>
      </c>
      <c r="B1177" s="138" t="s">
        <v>3172</v>
      </c>
      <c r="C1177" s="236" t="s">
        <v>3171</v>
      </c>
      <c r="D1177" s="206">
        <v>40504</v>
      </c>
      <c r="E1177" s="138" t="s">
        <v>978</v>
      </c>
    </row>
    <row r="1178" spans="1:5" ht="18.75">
      <c r="A1178" s="89" t="str">
        <f t="shared" si="18"/>
        <v>#07179</v>
      </c>
      <c r="B1178" s="138" t="s">
        <v>3174</v>
      </c>
      <c r="C1178" s="236" t="s">
        <v>3173</v>
      </c>
      <c r="D1178" s="206">
        <v>40505</v>
      </c>
      <c r="E1178" s="138" t="s">
        <v>1004</v>
      </c>
    </row>
    <row r="1179" spans="1:5" ht="18.75">
      <c r="A1179" s="89" t="str">
        <f t="shared" si="18"/>
        <v>#07186</v>
      </c>
      <c r="B1179" s="138" t="s">
        <v>3176</v>
      </c>
      <c r="C1179" s="236" t="s">
        <v>3175</v>
      </c>
      <c r="D1179" s="206">
        <v>40511</v>
      </c>
      <c r="E1179" s="138" t="s">
        <v>906</v>
      </c>
    </row>
    <row r="1180" spans="1:5" ht="18.75">
      <c r="A1180" s="89" t="str">
        <f t="shared" si="18"/>
        <v>#07191</v>
      </c>
      <c r="B1180" s="138" t="s">
        <v>3178</v>
      </c>
      <c r="C1180" s="236" t="s">
        <v>3177</v>
      </c>
      <c r="D1180" s="206">
        <v>40511</v>
      </c>
      <c r="E1180" s="138" t="s">
        <v>985</v>
      </c>
    </row>
    <row r="1181" spans="1:5" ht="18.75">
      <c r="A1181" s="89" t="str">
        <f t="shared" si="18"/>
        <v>#07195</v>
      </c>
      <c r="B1181" s="138" t="s">
        <v>3180</v>
      </c>
      <c r="C1181" s="236" t="s">
        <v>3179</v>
      </c>
      <c r="D1181" s="206">
        <v>40511</v>
      </c>
      <c r="E1181" s="138" t="s">
        <v>1133</v>
      </c>
    </row>
    <row r="1182" spans="1:5" ht="18.75">
      <c r="A1182" s="89" t="str">
        <f t="shared" si="18"/>
        <v>#07202</v>
      </c>
      <c r="B1182" s="138" t="s">
        <v>3182</v>
      </c>
      <c r="C1182" s="236" t="s">
        <v>3181</v>
      </c>
      <c r="D1182" s="206">
        <v>40511</v>
      </c>
      <c r="E1182" s="138" t="s">
        <v>937</v>
      </c>
    </row>
    <row r="1183" spans="1:5" ht="18.75">
      <c r="A1183" s="89" t="str">
        <f t="shared" si="18"/>
        <v>#07210</v>
      </c>
      <c r="B1183" s="138" t="s">
        <v>3184</v>
      </c>
      <c r="C1183" s="236" t="s">
        <v>3183</v>
      </c>
      <c r="D1183" s="206">
        <v>40518</v>
      </c>
      <c r="E1183" s="138" t="s">
        <v>8037</v>
      </c>
    </row>
    <row r="1184" spans="1:5" ht="18.75">
      <c r="A1184" s="89" t="str">
        <f t="shared" si="18"/>
        <v>#07216</v>
      </c>
      <c r="B1184" s="138" t="s">
        <v>3186</v>
      </c>
      <c r="C1184" s="236" t="s">
        <v>3185</v>
      </c>
      <c r="D1184" s="206">
        <v>40518</v>
      </c>
      <c r="E1184" s="138" t="s">
        <v>7818</v>
      </c>
    </row>
    <row r="1185" spans="1:5" ht="18.75">
      <c r="A1185" s="89" t="str">
        <f t="shared" si="18"/>
        <v>#07220</v>
      </c>
      <c r="B1185" s="138" t="s">
        <v>3188</v>
      </c>
      <c r="C1185" s="236" t="s">
        <v>3187</v>
      </c>
      <c r="D1185" s="206">
        <v>40518</v>
      </c>
      <c r="E1185" s="138" t="s">
        <v>937</v>
      </c>
    </row>
    <row r="1186" spans="1:5" ht="18.75">
      <c r="A1186" s="89" t="str">
        <f t="shared" si="18"/>
        <v>#07225</v>
      </c>
      <c r="B1186" s="138" t="s">
        <v>3190</v>
      </c>
      <c r="C1186" s="236" t="s">
        <v>3189</v>
      </c>
      <c r="D1186" s="206">
        <v>40525</v>
      </c>
      <c r="E1186" s="138" t="s">
        <v>8037</v>
      </c>
    </row>
    <row r="1187" spans="1:5" ht="18.75">
      <c r="A1187" s="89" t="str">
        <f t="shared" si="18"/>
        <v>#07228</v>
      </c>
      <c r="B1187" s="138" t="s">
        <v>3192</v>
      </c>
      <c r="C1187" s="236" t="s">
        <v>3191</v>
      </c>
      <c r="D1187" s="206">
        <v>40525</v>
      </c>
      <c r="E1187" s="138" t="s">
        <v>924</v>
      </c>
    </row>
    <row r="1188" spans="1:5" ht="18.75">
      <c r="A1188" s="89" t="str">
        <f t="shared" si="18"/>
        <v>#07229</v>
      </c>
      <c r="B1188" s="138" t="s">
        <v>3194</v>
      </c>
      <c r="C1188" s="236" t="s">
        <v>3193</v>
      </c>
      <c r="D1188" s="206">
        <v>40525</v>
      </c>
      <c r="E1188" s="138" t="s">
        <v>898</v>
      </c>
    </row>
    <row r="1189" spans="1:5" ht="18.75">
      <c r="A1189" s="89" t="str">
        <f t="shared" si="18"/>
        <v>#07234</v>
      </c>
      <c r="B1189" s="138" t="s">
        <v>3196</v>
      </c>
      <c r="C1189" s="236" t="s">
        <v>3195</v>
      </c>
      <c r="D1189" s="206">
        <v>40525</v>
      </c>
      <c r="E1189" s="138" t="s">
        <v>937</v>
      </c>
    </row>
    <row r="1190" spans="1:5" ht="18.75">
      <c r="A1190" s="89" t="str">
        <f t="shared" si="18"/>
        <v>#07239</v>
      </c>
      <c r="B1190" s="138" t="s">
        <v>3198</v>
      </c>
      <c r="C1190" s="236" t="s">
        <v>3197</v>
      </c>
      <c r="D1190" s="206">
        <v>40525</v>
      </c>
      <c r="E1190" s="138" t="s">
        <v>948</v>
      </c>
    </row>
    <row r="1191" spans="1:5" ht="18.75">
      <c r="A1191" s="89" t="str">
        <f t="shared" si="18"/>
        <v>#07245</v>
      </c>
      <c r="B1191" s="138" t="s">
        <v>3200</v>
      </c>
      <c r="C1191" s="236" t="s">
        <v>3199</v>
      </c>
      <c r="D1191" s="206">
        <v>40525</v>
      </c>
      <c r="E1191" s="138" t="s">
        <v>1133</v>
      </c>
    </row>
    <row r="1192" spans="1:5" ht="18.75">
      <c r="A1192" s="89" t="str">
        <f t="shared" si="18"/>
        <v>#07249</v>
      </c>
      <c r="B1192" s="138" t="s">
        <v>3202</v>
      </c>
      <c r="C1192" s="236" t="s">
        <v>3201</v>
      </c>
      <c r="D1192" s="206">
        <v>40532</v>
      </c>
      <c r="E1192" s="138" t="s">
        <v>906</v>
      </c>
    </row>
    <row r="1193" spans="1:5" ht="18.75">
      <c r="A1193" s="89" t="str">
        <f t="shared" si="18"/>
        <v>#07250</v>
      </c>
      <c r="B1193" s="138" t="s">
        <v>3204</v>
      </c>
      <c r="C1193" s="236" t="s">
        <v>3203</v>
      </c>
      <c r="D1193" s="206">
        <v>40532</v>
      </c>
      <c r="E1193" s="138" t="s">
        <v>906</v>
      </c>
    </row>
    <row r="1194" spans="1:5" ht="18.75">
      <c r="A1194" s="89" t="str">
        <f t="shared" si="18"/>
        <v>#07251</v>
      </c>
      <c r="B1194" s="138" t="s">
        <v>3206</v>
      </c>
      <c r="C1194" s="236" t="s">
        <v>3205</v>
      </c>
      <c r="D1194" s="206">
        <v>40532</v>
      </c>
      <c r="E1194" s="138" t="s">
        <v>906</v>
      </c>
    </row>
    <row r="1195" spans="1:5" ht="18.75">
      <c r="A1195" s="89" t="str">
        <f t="shared" si="18"/>
        <v>#07257</v>
      </c>
      <c r="B1195" s="138" t="s">
        <v>3208</v>
      </c>
      <c r="C1195" s="236" t="s">
        <v>3207</v>
      </c>
      <c r="D1195" s="206">
        <v>40532</v>
      </c>
      <c r="E1195" s="138" t="s">
        <v>1188</v>
      </c>
    </row>
    <row r="1196" spans="1:5" ht="18.75">
      <c r="A1196" s="89" t="str">
        <f t="shared" si="18"/>
        <v>#07258</v>
      </c>
      <c r="B1196" s="138" t="s">
        <v>3210</v>
      </c>
      <c r="C1196" s="236" t="s">
        <v>3209</v>
      </c>
      <c r="D1196" s="206">
        <v>40532</v>
      </c>
      <c r="E1196" s="138" t="s">
        <v>937</v>
      </c>
    </row>
    <row r="1197" spans="1:5" ht="18.75">
      <c r="A1197" s="89" t="str">
        <f t="shared" si="18"/>
        <v>#07259</v>
      </c>
      <c r="B1197" s="138" t="s">
        <v>3212</v>
      </c>
      <c r="C1197" s="236" t="s">
        <v>3211</v>
      </c>
      <c r="D1197" s="206">
        <v>40532</v>
      </c>
      <c r="E1197" s="138" t="s">
        <v>924</v>
      </c>
    </row>
    <row r="1198" spans="1:5" ht="18.75">
      <c r="A1198" s="89" t="str">
        <f t="shared" si="18"/>
        <v>#07261</v>
      </c>
      <c r="B1198" s="138" t="s">
        <v>3213</v>
      </c>
      <c r="C1198" s="236" t="s">
        <v>1621</v>
      </c>
      <c r="D1198" s="206">
        <v>40532</v>
      </c>
      <c r="E1198" s="138" t="s">
        <v>985</v>
      </c>
    </row>
    <row r="1199" spans="1:5" ht="18.75">
      <c r="A1199" s="89" t="str">
        <f t="shared" si="18"/>
        <v>#07262</v>
      </c>
      <c r="B1199" s="138" t="s">
        <v>3215</v>
      </c>
      <c r="C1199" s="236" t="s">
        <v>3214</v>
      </c>
      <c r="D1199" s="206">
        <v>40532</v>
      </c>
      <c r="E1199" s="138" t="s">
        <v>985</v>
      </c>
    </row>
    <row r="1200" spans="1:5" ht="18.75">
      <c r="A1200" s="89" t="str">
        <f t="shared" si="18"/>
        <v>#07268</v>
      </c>
      <c r="B1200" s="138" t="s">
        <v>3216</v>
      </c>
      <c r="C1200" s="236" t="s">
        <v>1599</v>
      </c>
      <c r="D1200" s="206">
        <v>40539</v>
      </c>
      <c r="E1200" s="138" t="s">
        <v>890</v>
      </c>
    </row>
    <row r="1201" spans="1:5" ht="18.75">
      <c r="A1201" s="89" t="str">
        <f t="shared" si="18"/>
        <v>#07269</v>
      </c>
      <c r="B1201" s="138" t="s">
        <v>3218</v>
      </c>
      <c r="C1201" s="236" t="s">
        <v>3217</v>
      </c>
      <c r="D1201" s="206">
        <v>40539</v>
      </c>
      <c r="E1201" s="138" t="s">
        <v>890</v>
      </c>
    </row>
    <row r="1202" spans="1:5" ht="18.75">
      <c r="A1202" s="89" t="str">
        <f t="shared" si="18"/>
        <v>#07274</v>
      </c>
      <c r="B1202" s="138" t="s">
        <v>3220</v>
      </c>
      <c r="C1202" s="236" t="s">
        <v>3219</v>
      </c>
      <c r="D1202" s="206">
        <v>40539</v>
      </c>
      <c r="E1202" s="138" t="s">
        <v>7818</v>
      </c>
    </row>
    <row r="1203" spans="1:5" ht="18.75">
      <c r="A1203" s="89" t="str">
        <f t="shared" si="18"/>
        <v>#07276</v>
      </c>
      <c r="B1203" s="138" t="s">
        <v>3222</v>
      </c>
      <c r="C1203" s="236" t="s">
        <v>3221</v>
      </c>
      <c r="D1203" s="206">
        <v>40539</v>
      </c>
      <c r="E1203" s="138" t="s">
        <v>7818</v>
      </c>
    </row>
    <row r="1204" spans="1:5" ht="18.75">
      <c r="A1204" s="89" t="str">
        <f t="shared" si="18"/>
        <v>#07279</v>
      </c>
      <c r="B1204" s="138" t="s">
        <v>3224</v>
      </c>
      <c r="C1204" s="236" t="s">
        <v>3223</v>
      </c>
      <c r="D1204" s="206">
        <v>40539</v>
      </c>
      <c r="E1204" s="138" t="s">
        <v>721</v>
      </c>
    </row>
    <row r="1205" spans="1:5" ht="18.75">
      <c r="A1205" s="89" t="str">
        <f t="shared" si="18"/>
        <v>#07281</v>
      </c>
      <c r="B1205" s="138" t="s">
        <v>3225</v>
      </c>
      <c r="C1205" s="236" t="s">
        <v>1502</v>
      </c>
      <c r="D1205" s="206">
        <v>40547</v>
      </c>
      <c r="E1205" s="138" t="s">
        <v>796</v>
      </c>
    </row>
    <row r="1206" spans="1:5" ht="18.75">
      <c r="A1206" s="89" t="str">
        <f t="shared" si="18"/>
        <v>#07283</v>
      </c>
      <c r="B1206" s="138" t="s">
        <v>3227</v>
      </c>
      <c r="C1206" s="236" t="s">
        <v>3226</v>
      </c>
      <c r="D1206" s="206">
        <v>40547</v>
      </c>
      <c r="E1206" s="138" t="s">
        <v>7818</v>
      </c>
    </row>
    <row r="1207" spans="1:5" ht="18.75">
      <c r="A1207" s="89" t="str">
        <f t="shared" si="18"/>
        <v>#07286</v>
      </c>
      <c r="B1207" s="138" t="s">
        <v>3229</v>
      </c>
      <c r="C1207" s="236" t="s">
        <v>3228</v>
      </c>
      <c r="D1207" s="206">
        <v>40547</v>
      </c>
      <c r="E1207" s="138" t="s">
        <v>898</v>
      </c>
    </row>
    <row r="1208" spans="1:5" ht="18.75">
      <c r="A1208" s="89" t="str">
        <f t="shared" si="18"/>
        <v>#07289</v>
      </c>
      <c r="B1208" s="138" t="s">
        <v>3231</v>
      </c>
      <c r="C1208" s="236" t="s">
        <v>3230</v>
      </c>
      <c r="D1208" s="206">
        <v>40547</v>
      </c>
      <c r="E1208" s="138" t="s">
        <v>1380</v>
      </c>
    </row>
    <row r="1209" spans="1:5" ht="18.75">
      <c r="A1209" s="89" t="str">
        <f t="shared" si="18"/>
        <v>#07290</v>
      </c>
      <c r="B1209" s="138" t="s">
        <v>3233</v>
      </c>
      <c r="C1209" s="236" t="s">
        <v>3232</v>
      </c>
      <c r="D1209" s="206">
        <v>40547</v>
      </c>
      <c r="E1209" s="138" t="s">
        <v>752</v>
      </c>
    </row>
    <row r="1210" spans="1:5" ht="18.75">
      <c r="A1210" s="89" t="str">
        <f t="shared" si="18"/>
        <v>#07297</v>
      </c>
      <c r="B1210" s="138" t="s">
        <v>3234</v>
      </c>
      <c r="C1210" s="236" t="s">
        <v>3226</v>
      </c>
      <c r="D1210" s="206">
        <v>40560</v>
      </c>
      <c r="E1210" s="138" t="s">
        <v>937</v>
      </c>
    </row>
    <row r="1211" spans="1:5" ht="18.75">
      <c r="A1211" s="89" t="str">
        <f t="shared" si="18"/>
        <v>#07299</v>
      </c>
      <c r="B1211" s="138" t="s">
        <v>3236</v>
      </c>
      <c r="C1211" s="236" t="s">
        <v>3235</v>
      </c>
      <c r="D1211" s="206">
        <v>40560</v>
      </c>
      <c r="E1211" s="138" t="s">
        <v>1043</v>
      </c>
    </row>
    <row r="1212" spans="1:5" ht="18.75">
      <c r="A1212" s="89" t="str">
        <f t="shared" si="18"/>
        <v>#07303</v>
      </c>
      <c r="B1212" s="138" t="s">
        <v>3237</v>
      </c>
      <c r="C1212" s="236" t="s">
        <v>1852</v>
      </c>
      <c r="D1212" s="206">
        <v>40634</v>
      </c>
      <c r="E1212" s="138" t="s">
        <v>915</v>
      </c>
    </row>
    <row r="1213" spans="1:5" ht="18.75">
      <c r="A1213" s="89" t="str">
        <f t="shared" si="18"/>
        <v>#07304</v>
      </c>
      <c r="B1213" s="138" t="s">
        <v>3239</v>
      </c>
      <c r="C1213" s="236" t="s">
        <v>3238</v>
      </c>
      <c r="D1213" s="206">
        <v>40634</v>
      </c>
      <c r="E1213" s="138" t="s">
        <v>903</v>
      </c>
    </row>
    <row r="1214" spans="1:5" ht="18.75">
      <c r="A1214" s="89" t="str">
        <f t="shared" si="18"/>
        <v>#07306</v>
      </c>
      <c r="B1214" s="138" t="s">
        <v>3241</v>
      </c>
      <c r="C1214" s="236" t="s">
        <v>3240</v>
      </c>
      <c r="D1214" s="206">
        <v>40634</v>
      </c>
      <c r="E1214" s="138" t="s">
        <v>903</v>
      </c>
    </row>
    <row r="1215" spans="1:5" ht="18.75">
      <c r="A1215" s="89" t="str">
        <f t="shared" si="18"/>
        <v>#07307</v>
      </c>
      <c r="B1215" s="138" t="s">
        <v>3242</v>
      </c>
      <c r="C1215" s="236" t="s">
        <v>1041</v>
      </c>
      <c r="D1215" s="206">
        <v>40634</v>
      </c>
      <c r="E1215" s="138" t="s">
        <v>957</v>
      </c>
    </row>
    <row r="1216" spans="1:5" ht="18.75">
      <c r="A1216" s="89" t="str">
        <f t="shared" si="18"/>
        <v>#07317</v>
      </c>
      <c r="B1216" s="138" t="s">
        <v>3243</v>
      </c>
      <c r="C1216" s="236" t="s">
        <v>2790</v>
      </c>
      <c r="D1216" s="206">
        <v>40584</v>
      </c>
      <c r="E1216" s="138" t="s">
        <v>890</v>
      </c>
    </row>
    <row r="1217" spans="1:5" ht="18.75">
      <c r="A1217" s="89" t="str">
        <f t="shared" si="18"/>
        <v>#07330</v>
      </c>
      <c r="B1217" s="138" t="s">
        <v>3244</v>
      </c>
      <c r="C1217" s="236" t="s">
        <v>1943</v>
      </c>
      <c r="D1217" s="206">
        <v>40586</v>
      </c>
      <c r="E1217" s="138" t="s">
        <v>895</v>
      </c>
    </row>
    <row r="1218" spans="1:5" ht="18.75">
      <c r="A1218" s="89" t="str">
        <f t="shared" si="18"/>
        <v>#07331</v>
      </c>
      <c r="B1218" s="138" t="s">
        <v>3245</v>
      </c>
      <c r="C1218" s="236" t="s">
        <v>2790</v>
      </c>
      <c r="D1218" s="206">
        <v>40586</v>
      </c>
      <c r="E1218" s="138" t="s">
        <v>1133</v>
      </c>
    </row>
    <row r="1219" spans="1:5" ht="18.75">
      <c r="A1219" s="89" t="str">
        <f t="shared" ref="A1219:A1282" si="19">"#"&amp;B1219</f>
        <v>#07333</v>
      </c>
      <c r="B1219" s="138" t="s">
        <v>3248</v>
      </c>
      <c r="C1219" s="236" t="s">
        <v>3247</v>
      </c>
      <c r="D1219" s="206">
        <v>40586</v>
      </c>
      <c r="E1219" s="138" t="s">
        <v>7818</v>
      </c>
    </row>
    <row r="1220" spans="1:5" ht="18.75">
      <c r="A1220" s="89" t="str">
        <f t="shared" si="19"/>
        <v>#07345</v>
      </c>
      <c r="B1220" s="138" t="s">
        <v>3251</v>
      </c>
      <c r="C1220" s="236" t="s">
        <v>3250</v>
      </c>
      <c r="D1220" s="206">
        <v>40589</v>
      </c>
      <c r="E1220" s="138" t="s">
        <v>1034</v>
      </c>
    </row>
    <row r="1221" spans="1:5" ht="18.75">
      <c r="A1221" s="89" t="str">
        <f t="shared" si="19"/>
        <v>#07348</v>
      </c>
      <c r="B1221" s="138" t="s">
        <v>3253</v>
      </c>
      <c r="C1221" s="236" t="s">
        <v>3252</v>
      </c>
      <c r="D1221" s="206">
        <v>40589</v>
      </c>
      <c r="E1221" s="138" t="s">
        <v>890</v>
      </c>
    </row>
    <row r="1222" spans="1:5" ht="18.75">
      <c r="A1222" s="89" t="str">
        <f t="shared" si="19"/>
        <v>#07349</v>
      </c>
      <c r="B1222" s="138" t="s">
        <v>3255</v>
      </c>
      <c r="C1222" s="236" t="s">
        <v>3254</v>
      </c>
      <c r="D1222" s="206">
        <v>40589</v>
      </c>
      <c r="E1222" s="138" t="s">
        <v>890</v>
      </c>
    </row>
    <row r="1223" spans="1:5" ht="18.75">
      <c r="A1223" s="89" t="str">
        <f t="shared" si="19"/>
        <v>#07354</v>
      </c>
      <c r="B1223" s="138" t="s">
        <v>3257</v>
      </c>
      <c r="C1223" s="236" t="s">
        <v>3256</v>
      </c>
      <c r="D1223" s="206">
        <v>40589</v>
      </c>
      <c r="E1223" s="138" t="s">
        <v>937</v>
      </c>
    </row>
    <row r="1224" spans="1:5" ht="18.75">
      <c r="A1224" s="89" t="str">
        <f t="shared" si="19"/>
        <v>#07357</v>
      </c>
      <c r="B1224" s="138" t="s">
        <v>3258</v>
      </c>
      <c r="C1224" s="236" t="s">
        <v>3126</v>
      </c>
      <c r="D1224" s="206">
        <v>40589</v>
      </c>
      <c r="E1224" s="138" t="s">
        <v>7818</v>
      </c>
    </row>
    <row r="1225" spans="1:5" ht="18.75">
      <c r="A1225" s="89" t="str">
        <f t="shared" si="19"/>
        <v>#07359</v>
      </c>
      <c r="B1225" s="138" t="s">
        <v>3260</v>
      </c>
      <c r="C1225" s="236" t="s">
        <v>3259</v>
      </c>
      <c r="D1225" s="206">
        <v>40589</v>
      </c>
      <c r="E1225" s="138" t="s">
        <v>1487</v>
      </c>
    </row>
    <row r="1226" spans="1:5" ht="18.75">
      <c r="A1226" s="89" t="str">
        <f t="shared" si="19"/>
        <v>#07360</v>
      </c>
      <c r="B1226" s="138" t="s">
        <v>3262</v>
      </c>
      <c r="C1226" s="236" t="s">
        <v>3261</v>
      </c>
      <c r="D1226" s="206">
        <v>40589</v>
      </c>
      <c r="E1226" s="138" t="s">
        <v>7818</v>
      </c>
    </row>
    <row r="1227" spans="1:5" ht="18.75">
      <c r="A1227" s="89" t="str">
        <f t="shared" si="19"/>
        <v>#07362</v>
      </c>
      <c r="B1227" s="138" t="s">
        <v>3263</v>
      </c>
      <c r="C1227" s="236" t="s">
        <v>2945</v>
      </c>
      <c r="D1227" s="206">
        <v>40589</v>
      </c>
      <c r="E1227" s="138" t="s">
        <v>1034</v>
      </c>
    </row>
    <row r="1228" spans="1:5" ht="18.75">
      <c r="A1228" s="89" t="str">
        <f t="shared" si="19"/>
        <v>#07363</v>
      </c>
      <c r="B1228" s="138" t="s">
        <v>3265</v>
      </c>
      <c r="C1228" s="236" t="s">
        <v>3264</v>
      </c>
      <c r="D1228" s="206">
        <v>40589</v>
      </c>
      <c r="E1228" s="138" t="s">
        <v>1034</v>
      </c>
    </row>
    <row r="1229" spans="1:5" ht="18.75">
      <c r="A1229" s="89" t="str">
        <f t="shared" si="19"/>
        <v>#07365</v>
      </c>
      <c r="B1229" s="138" t="s">
        <v>3267</v>
      </c>
      <c r="C1229" s="236" t="s">
        <v>3266</v>
      </c>
      <c r="D1229" s="206">
        <v>40589</v>
      </c>
      <c r="E1229" s="138" t="s">
        <v>937</v>
      </c>
    </row>
    <row r="1230" spans="1:5" ht="18.75">
      <c r="A1230" s="89" t="str">
        <f t="shared" si="19"/>
        <v>#07367</v>
      </c>
      <c r="B1230" s="138" t="s">
        <v>3269</v>
      </c>
      <c r="C1230" s="236" t="s">
        <v>3268</v>
      </c>
      <c r="D1230" s="206">
        <v>40589</v>
      </c>
      <c r="E1230" s="138" t="s">
        <v>1133</v>
      </c>
    </row>
    <row r="1231" spans="1:5" ht="18.75">
      <c r="A1231" s="89" t="str">
        <f t="shared" si="19"/>
        <v>#07375</v>
      </c>
      <c r="B1231" s="138" t="s">
        <v>3271</v>
      </c>
      <c r="C1231" s="236" t="s">
        <v>3270</v>
      </c>
      <c r="D1231" s="206">
        <v>40589</v>
      </c>
      <c r="E1231" s="138" t="s">
        <v>7818</v>
      </c>
    </row>
    <row r="1232" spans="1:5" ht="18.75">
      <c r="A1232" s="89" t="str">
        <f t="shared" si="19"/>
        <v>#07377</v>
      </c>
      <c r="B1232" s="138" t="s">
        <v>3273</v>
      </c>
      <c r="C1232" s="236" t="s">
        <v>3272</v>
      </c>
      <c r="D1232" s="206">
        <v>40589</v>
      </c>
      <c r="E1232" s="138" t="s">
        <v>7818</v>
      </c>
    </row>
    <row r="1233" spans="1:5" ht="18.75">
      <c r="A1233" s="89" t="str">
        <f t="shared" si="19"/>
        <v>#07380</v>
      </c>
      <c r="B1233" s="138" t="s">
        <v>3275</v>
      </c>
      <c r="C1233" s="236" t="s">
        <v>3274</v>
      </c>
      <c r="D1233" s="206">
        <v>40589</v>
      </c>
      <c r="E1233" s="138" t="s">
        <v>7818</v>
      </c>
    </row>
    <row r="1234" spans="1:5" ht="18.75">
      <c r="A1234" s="89" t="str">
        <f t="shared" si="19"/>
        <v>#07383</v>
      </c>
      <c r="B1234" s="138" t="s">
        <v>3276</v>
      </c>
      <c r="C1234" s="236" t="s">
        <v>1637</v>
      </c>
      <c r="D1234" s="206">
        <v>40589</v>
      </c>
      <c r="E1234" s="138" t="s">
        <v>7818</v>
      </c>
    </row>
    <row r="1235" spans="1:5" ht="18.75">
      <c r="A1235" s="89" t="str">
        <f t="shared" si="19"/>
        <v>#07384</v>
      </c>
      <c r="B1235" s="138" t="s">
        <v>3277</v>
      </c>
      <c r="C1235" s="236" t="s">
        <v>1325</v>
      </c>
      <c r="D1235" s="206">
        <v>40589</v>
      </c>
      <c r="E1235" s="138" t="s">
        <v>985</v>
      </c>
    </row>
    <row r="1236" spans="1:5" ht="18.75">
      <c r="A1236" s="89" t="str">
        <f t="shared" si="19"/>
        <v>#07386</v>
      </c>
      <c r="B1236" s="138" t="s">
        <v>3279</v>
      </c>
      <c r="C1236" s="236" t="s">
        <v>3278</v>
      </c>
      <c r="D1236" s="206">
        <v>40589</v>
      </c>
      <c r="E1236" s="138" t="s">
        <v>7818</v>
      </c>
    </row>
    <row r="1237" spans="1:5" ht="18.75">
      <c r="A1237" s="89" t="str">
        <f t="shared" si="19"/>
        <v>#07387</v>
      </c>
      <c r="B1237" s="138" t="s">
        <v>3281</v>
      </c>
      <c r="C1237" s="236" t="s">
        <v>3280</v>
      </c>
      <c r="D1237" s="206">
        <v>40589</v>
      </c>
      <c r="E1237" s="138" t="s">
        <v>7818</v>
      </c>
    </row>
    <row r="1238" spans="1:5" ht="18.75">
      <c r="A1238" s="89" t="str">
        <f t="shared" si="19"/>
        <v>#07392</v>
      </c>
      <c r="B1238" s="138" t="s">
        <v>3283</v>
      </c>
      <c r="C1238" s="236" t="s">
        <v>3282</v>
      </c>
      <c r="D1238" s="206">
        <v>40590</v>
      </c>
      <c r="E1238" s="138" t="s">
        <v>8037</v>
      </c>
    </row>
    <row r="1239" spans="1:5" ht="18.75">
      <c r="A1239" s="89" t="str">
        <f t="shared" si="19"/>
        <v>#07424</v>
      </c>
      <c r="B1239" s="138" t="s">
        <v>3285</v>
      </c>
      <c r="C1239" s="236" t="s">
        <v>3284</v>
      </c>
      <c r="D1239" s="206">
        <v>40590</v>
      </c>
      <c r="E1239" s="138" t="s">
        <v>937</v>
      </c>
    </row>
    <row r="1240" spans="1:5" ht="18.75">
      <c r="A1240" s="89" t="str">
        <f t="shared" si="19"/>
        <v>#07426</v>
      </c>
      <c r="B1240" s="138" t="s">
        <v>3287</v>
      </c>
      <c r="C1240" s="236" t="s">
        <v>3286</v>
      </c>
      <c r="D1240" s="206">
        <v>40590</v>
      </c>
      <c r="E1240" s="138" t="s">
        <v>957</v>
      </c>
    </row>
    <row r="1241" spans="1:5" ht="18.75">
      <c r="A1241" s="89" t="str">
        <f t="shared" si="19"/>
        <v>#07427</v>
      </c>
      <c r="B1241" s="138" t="s">
        <v>3289</v>
      </c>
      <c r="C1241" s="236" t="s">
        <v>3288</v>
      </c>
      <c r="D1241" s="206">
        <v>40590</v>
      </c>
      <c r="E1241" s="138" t="s">
        <v>7818</v>
      </c>
    </row>
    <row r="1242" spans="1:5" ht="18.75">
      <c r="A1242" s="89" t="str">
        <f t="shared" si="19"/>
        <v>#07444</v>
      </c>
      <c r="B1242" s="138" t="s">
        <v>3290</v>
      </c>
      <c r="C1242" s="236" t="s">
        <v>3246</v>
      </c>
      <c r="D1242" s="206">
        <v>40591</v>
      </c>
      <c r="E1242" s="138" t="s">
        <v>978</v>
      </c>
    </row>
    <row r="1243" spans="1:5" ht="18.75">
      <c r="A1243" s="89" t="str">
        <f t="shared" si="19"/>
        <v>#07448</v>
      </c>
      <c r="B1243" s="138" t="s">
        <v>3292</v>
      </c>
      <c r="C1243" s="236" t="s">
        <v>3291</v>
      </c>
      <c r="D1243" s="206">
        <v>40591</v>
      </c>
      <c r="E1243" s="138" t="s">
        <v>890</v>
      </c>
    </row>
    <row r="1244" spans="1:5" ht="18.75">
      <c r="A1244" s="89" t="str">
        <f t="shared" si="19"/>
        <v>#07452</v>
      </c>
      <c r="B1244" s="138" t="s">
        <v>3294</v>
      </c>
      <c r="C1244" s="236" t="s">
        <v>3293</v>
      </c>
      <c r="D1244" s="206">
        <v>40591</v>
      </c>
      <c r="E1244" s="138" t="s">
        <v>937</v>
      </c>
    </row>
    <row r="1245" spans="1:5" ht="18.75">
      <c r="A1245" s="89" t="str">
        <f t="shared" si="19"/>
        <v>#07454</v>
      </c>
      <c r="B1245" s="138" t="s">
        <v>3296</v>
      </c>
      <c r="C1245" s="236" t="s">
        <v>3295</v>
      </c>
      <c r="D1245" s="206">
        <v>40591</v>
      </c>
      <c r="E1245" s="138" t="s">
        <v>937</v>
      </c>
    </row>
    <row r="1246" spans="1:5" ht="18.75">
      <c r="A1246" s="89" t="str">
        <f t="shared" si="19"/>
        <v>#07462</v>
      </c>
      <c r="B1246" s="138" t="s">
        <v>3297</v>
      </c>
      <c r="C1246" s="236" t="s">
        <v>2647</v>
      </c>
      <c r="D1246" s="206">
        <v>40591</v>
      </c>
      <c r="E1246" s="138" t="s">
        <v>890</v>
      </c>
    </row>
    <row r="1247" spans="1:5" ht="18.75">
      <c r="A1247" s="89" t="str">
        <f t="shared" si="19"/>
        <v>#07467</v>
      </c>
      <c r="B1247" s="138" t="s">
        <v>3298</v>
      </c>
      <c r="C1247" s="236" t="s">
        <v>1372</v>
      </c>
      <c r="D1247" s="206">
        <v>40591</v>
      </c>
      <c r="E1247" s="138" t="s">
        <v>7818</v>
      </c>
    </row>
    <row r="1248" spans="1:5" ht="18.75">
      <c r="A1248" s="89" t="str">
        <f t="shared" si="19"/>
        <v>#07468</v>
      </c>
      <c r="B1248" s="138" t="s">
        <v>3299</v>
      </c>
      <c r="C1248" s="236" t="s">
        <v>1416</v>
      </c>
      <c r="D1248" s="206">
        <v>40591</v>
      </c>
      <c r="E1248" s="138" t="s">
        <v>957</v>
      </c>
    </row>
    <row r="1249" spans="1:5" ht="18.75">
      <c r="A1249" s="89" t="str">
        <f t="shared" si="19"/>
        <v>#07472</v>
      </c>
      <c r="B1249" s="138" t="s">
        <v>3301</v>
      </c>
      <c r="C1249" s="236" t="s">
        <v>3300</v>
      </c>
      <c r="D1249" s="206">
        <v>40591</v>
      </c>
      <c r="E1249" s="138" t="s">
        <v>1063</v>
      </c>
    </row>
    <row r="1250" spans="1:5" ht="18.75">
      <c r="A1250" s="89" t="str">
        <f t="shared" si="19"/>
        <v>#07481</v>
      </c>
      <c r="B1250" s="138" t="s">
        <v>3303</v>
      </c>
      <c r="C1250" s="236" t="s">
        <v>3302</v>
      </c>
      <c r="D1250" s="206">
        <v>40592</v>
      </c>
      <c r="E1250" s="138" t="s">
        <v>8037</v>
      </c>
    </row>
    <row r="1251" spans="1:5" ht="18.75">
      <c r="A1251" s="89" t="str">
        <f t="shared" si="19"/>
        <v>#07483</v>
      </c>
      <c r="B1251" s="138" t="s">
        <v>3305</v>
      </c>
      <c r="C1251" s="236" t="s">
        <v>3304</v>
      </c>
      <c r="D1251" s="206">
        <v>40592</v>
      </c>
      <c r="E1251" s="138" t="s">
        <v>978</v>
      </c>
    </row>
    <row r="1252" spans="1:5" ht="18.75">
      <c r="A1252" s="89" t="str">
        <f t="shared" si="19"/>
        <v>#07484</v>
      </c>
      <c r="B1252" s="138" t="s">
        <v>3306</v>
      </c>
      <c r="C1252" s="236" t="s">
        <v>2072</v>
      </c>
      <c r="D1252" s="206">
        <v>40592</v>
      </c>
      <c r="E1252" s="138" t="s">
        <v>985</v>
      </c>
    </row>
    <row r="1253" spans="1:5" ht="18.75">
      <c r="A1253" s="89" t="str">
        <f t="shared" si="19"/>
        <v>#07486</v>
      </c>
      <c r="B1253" s="138" t="s">
        <v>3308</v>
      </c>
      <c r="C1253" s="236" t="s">
        <v>3307</v>
      </c>
      <c r="D1253" s="206">
        <v>40592</v>
      </c>
      <c r="E1253" s="138" t="s">
        <v>1034</v>
      </c>
    </row>
    <row r="1254" spans="1:5" ht="18.75">
      <c r="A1254" s="89" t="str">
        <f t="shared" si="19"/>
        <v>#07492</v>
      </c>
      <c r="B1254" s="138" t="s">
        <v>3310</v>
      </c>
      <c r="C1254" s="236" t="s">
        <v>3309</v>
      </c>
      <c r="D1254" s="206">
        <v>40592</v>
      </c>
      <c r="E1254" s="138" t="s">
        <v>937</v>
      </c>
    </row>
    <row r="1255" spans="1:5" ht="18.75">
      <c r="A1255" s="89" t="str">
        <f t="shared" si="19"/>
        <v>#07496</v>
      </c>
      <c r="B1255" s="138" t="s">
        <v>3312</v>
      </c>
      <c r="C1255" s="236" t="s">
        <v>3311</v>
      </c>
      <c r="D1255" s="206">
        <v>40592</v>
      </c>
      <c r="E1255" s="138" t="s">
        <v>7818</v>
      </c>
    </row>
    <row r="1256" spans="1:5" ht="18.75">
      <c r="A1256" s="89" t="str">
        <f t="shared" si="19"/>
        <v>#07502</v>
      </c>
      <c r="B1256" s="138" t="s">
        <v>3314</v>
      </c>
      <c r="C1256" s="236" t="s">
        <v>3313</v>
      </c>
      <c r="D1256" s="206">
        <v>40592</v>
      </c>
      <c r="E1256" s="138" t="s">
        <v>1034</v>
      </c>
    </row>
    <row r="1257" spans="1:5" ht="18.75">
      <c r="A1257" s="89" t="str">
        <f t="shared" si="19"/>
        <v>#07504</v>
      </c>
      <c r="B1257" s="138" t="s">
        <v>3316</v>
      </c>
      <c r="C1257" s="236" t="s">
        <v>3315</v>
      </c>
      <c r="D1257" s="206">
        <v>40593</v>
      </c>
      <c r="E1257" s="138" t="s">
        <v>957</v>
      </c>
    </row>
    <row r="1258" spans="1:5" ht="18.75">
      <c r="A1258" s="89" t="str">
        <f t="shared" si="19"/>
        <v>#07508</v>
      </c>
      <c r="B1258" s="138" t="s">
        <v>3317</v>
      </c>
      <c r="C1258" s="236" t="s">
        <v>2772</v>
      </c>
      <c r="D1258" s="206">
        <v>40593</v>
      </c>
      <c r="E1258" s="138" t="s">
        <v>985</v>
      </c>
    </row>
    <row r="1259" spans="1:5" ht="18.75">
      <c r="A1259" s="89" t="str">
        <f t="shared" si="19"/>
        <v>#07509</v>
      </c>
      <c r="B1259" s="138" t="s">
        <v>3319</v>
      </c>
      <c r="C1259" s="236" t="s">
        <v>3318</v>
      </c>
      <c r="D1259" s="206">
        <v>40593</v>
      </c>
      <c r="E1259" s="138" t="s">
        <v>1133</v>
      </c>
    </row>
    <row r="1260" spans="1:5" ht="18.75">
      <c r="A1260" s="89" t="str">
        <f t="shared" si="19"/>
        <v>#07518</v>
      </c>
      <c r="B1260" s="138" t="s">
        <v>3321</v>
      </c>
      <c r="C1260" s="236" t="s">
        <v>3320</v>
      </c>
      <c r="D1260" s="206">
        <v>40595</v>
      </c>
      <c r="E1260" s="138" t="s">
        <v>8037</v>
      </c>
    </row>
    <row r="1261" spans="1:5" ht="18.75">
      <c r="A1261" s="89" t="str">
        <f t="shared" si="19"/>
        <v>#07519</v>
      </c>
      <c r="B1261" s="138" t="s">
        <v>3323</v>
      </c>
      <c r="C1261" s="236" t="s">
        <v>3322</v>
      </c>
      <c r="D1261" s="206">
        <v>40595</v>
      </c>
      <c r="E1261" s="138" t="s">
        <v>890</v>
      </c>
    </row>
    <row r="1262" spans="1:5" ht="18.75">
      <c r="A1262" s="89" t="str">
        <f t="shared" si="19"/>
        <v>#07527</v>
      </c>
      <c r="B1262" s="138" t="s">
        <v>3324</v>
      </c>
      <c r="C1262" s="236" t="s">
        <v>1818</v>
      </c>
      <c r="D1262" s="206">
        <v>40596</v>
      </c>
      <c r="E1262" s="138" t="s">
        <v>915</v>
      </c>
    </row>
    <row r="1263" spans="1:5" ht="18.75">
      <c r="A1263" s="89" t="str">
        <f t="shared" si="19"/>
        <v>#07541</v>
      </c>
      <c r="B1263" s="138" t="s">
        <v>3326</v>
      </c>
      <c r="C1263" s="236" t="s">
        <v>3325</v>
      </c>
      <c r="D1263" s="206">
        <v>40597</v>
      </c>
      <c r="E1263" s="138" t="s">
        <v>8037</v>
      </c>
    </row>
    <row r="1264" spans="1:5" ht="18.75">
      <c r="A1264" s="89" t="str">
        <f t="shared" si="19"/>
        <v>#07553</v>
      </c>
      <c r="B1264" s="138" t="s">
        <v>3328</v>
      </c>
      <c r="C1264" s="236" t="s">
        <v>3327</v>
      </c>
      <c r="D1264" s="206">
        <v>40597</v>
      </c>
      <c r="E1264" s="138" t="s">
        <v>985</v>
      </c>
    </row>
    <row r="1265" spans="1:5" ht="18.75">
      <c r="A1265" s="89" t="str">
        <f t="shared" si="19"/>
        <v>#07554</v>
      </c>
      <c r="B1265" s="138" t="s">
        <v>3330</v>
      </c>
      <c r="C1265" s="236" t="s">
        <v>3329</v>
      </c>
      <c r="D1265" s="206">
        <v>40597</v>
      </c>
      <c r="E1265" s="138" t="s">
        <v>985</v>
      </c>
    </row>
    <row r="1266" spans="1:5" ht="18.75">
      <c r="A1266" s="89" t="str">
        <f t="shared" si="19"/>
        <v>#07563</v>
      </c>
      <c r="B1266" s="138" t="s">
        <v>3332</v>
      </c>
      <c r="C1266" s="236" t="s">
        <v>3331</v>
      </c>
      <c r="D1266" s="206">
        <v>40597</v>
      </c>
      <c r="E1266" s="138" t="s">
        <v>978</v>
      </c>
    </row>
    <row r="1267" spans="1:5" ht="18.75">
      <c r="A1267" s="89" t="str">
        <f t="shared" si="19"/>
        <v>#07570</v>
      </c>
      <c r="B1267" s="138" t="s">
        <v>3333</v>
      </c>
      <c r="C1267" s="236" t="s">
        <v>3254</v>
      </c>
      <c r="D1267" s="206">
        <v>40597</v>
      </c>
      <c r="E1267" s="138" t="s">
        <v>937</v>
      </c>
    </row>
    <row r="1268" spans="1:5" ht="18.75">
      <c r="A1268" s="89" t="str">
        <f t="shared" si="19"/>
        <v>#07572</v>
      </c>
      <c r="B1268" s="138" t="s">
        <v>3335</v>
      </c>
      <c r="C1268" s="236" t="s">
        <v>3334</v>
      </c>
      <c r="D1268" s="206">
        <v>40598</v>
      </c>
      <c r="E1268" s="138" t="s">
        <v>8037</v>
      </c>
    </row>
    <row r="1269" spans="1:5" ht="18.75">
      <c r="A1269" s="89" t="str">
        <f t="shared" si="19"/>
        <v>#07574</v>
      </c>
      <c r="B1269" s="138" t="s">
        <v>3337</v>
      </c>
      <c r="C1269" s="236" t="s">
        <v>3336</v>
      </c>
      <c r="D1269" s="206">
        <v>40598</v>
      </c>
      <c r="E1269" s="138" t="s">
        <v>948</v>
      </c>
    </row>
    <row r="1270" spans="1:5" ht="18.75">
      <c r="A1270" s="89" t="str">
        <f t="shared" si="19"/>
        <v>#07586</v>
      </c>
      <c r="B1270" s="138" t="s">
        <v>3339</v>
      </c>
      <c r="C1270" s="236" t="s">
        <v>3338</v>
      </c>
      <c r="D1270" s="206">
        <v>40598</v>
      </c>
      <c r="E1270" s="138" t="s">
        <v>890</v>
      </c>
    </row>
    <row r="1271" spans="1:5" ht="18.75">
      <c r="A1271" s="89" t="str">
        <f t="shared" si="19"/>
        <v>#07591</v>
      </c>
      <c r="B1271" s="138" t="s">
        <v>3341</v>
      </c>
      <c r="C1271" s="236" t="s">
        <v>3340</v>
      </c>
      <c r="D1271" s="206">
        <v>40598</v>
      </c>
      <c r="E1271" s="138" t="s">
        <v>1034</v>
      </c>
    </row>
    <row r="1272" spans="1:5" ht="18.75">
      <c r="A1272" s="89" t="str">
        <f t="shared" si="19"/>
        <v>#07598</v>
      </c>
      <c r="B1272" s="138" t="s">
        <v>3343</v>
      </c>
      <c r="C1272" s="236" t="s">
        <v>3342</v>
      </c>
      <c r="D1272" s="206">
        <v>40598</v>
      </c>
      <c r="E1272" s="138" t="s">
        <v>7818</v>
      </c>
    </row>
    <row r="1273" spans="1:5" ht="18.75">
      <c r="A1273" s="89" t="str">
        <f t="shared" si="19"/>
        <v>#07599</v>
      </c>
      <c r="B1273" s="138" t="s">
        <v>3345</v>
      </c>
      <c r="C1273" s="236" t="s">
        <v>3344</v>
      </c>
      <c r="D1273" s="206">
        <v>40598</v>
      </c>
      <c r="E1273" s="138" t="s">
        <v>7818</v>
      </c>
    </row>
    <row r="1274" spans="1:5" ht="18.75">
      <c r="A1274" s="89" t="str">
        <f t="shared" si="19"/>
        <v>#07602</v>
      </c>
      <c r="B1274" s="138" t="s">
        <v>3346</v>
      </c>
      <c r="C1274" s="236" t="s">
        <v>1804</v>
      </c>
      <c r="D1274" s="206">
        <v>40598</v>
      </c>
      <c r="E1274" s="138" t="s">
        <v>7818</v>
      </c>
    </row>
    <row r="1275" spans="1:5" ht="18.75">
      <c r="A1275" s="89" t="str">
        <f t="shared" si="19"/>
        <v>#07603</v>
      </c>
      <c r="B1275" s="138" t="s">
        <v>3347</v>
      </c>
      <c r="C1275" s="236" t="s">
        <v>1898</v>
      </c>
      <c r="D1275" s="206">
        <v>40598</v>
      </c>
      <c r="E1275" s="138" t="s">
        <v>1034</v>
      </c>
    </row>
    <row r="1276" spans="1:5" ht="18.75">
      <c r="A1276" s="89" t="str">
        <f t="shared" si="19"/>
        <v>#07605</v>
      </c>
      <c r="B1276" s="138" t="s">
        <v>3348</v>
      </c>
      <c r="C1276" s="236" t="s">
        <v>1997</v>
      </c>
      <c r="D1276" s="206">
        <v>40599</v>
      </c>
      <c r="E1276" s="138" t="s">
        <v>8037</v>
      </c>
    </row>
    <row r="1277" spans="1:5" ht="18.75">
      <c r="A1277" s="89" t="str">
        <f t="shared" si="19"/>
        <v>#07614</v>
      </c>
      <c r="B1277" s="138" t="s">
        <v>3350</v>
      </c>
      <c r="C1277" s="236" t="s">
        <v>3349</v>
      </c>
      <c r="D1277" s="206">
        <v>40599</v>
      </c>
      <c r="E1277" s="138" t="s">
        <v>957</v>
      </c>
    </row>
    <row r="1278" spans="1:5" ht="18.75">
      <c r="A1278" s="89" t="str">
        <f t="shared" si="19"/>
        <v>#07623</v>
      </c>
      <c r="B1278" s="138" t="s">
        <v>3352</v>
      </c>
      <c r="C1278" s="236" t="s">
        <v>3351</v>
      </c>
      <c r="D1278" s="206">
        <v>40599</v>
      </c>
      <c r="E1278" s="138" t="s">
        <v>895</v>
      </c>
    </row>
    <row r="1279" spans="1:5" ht="18.75">
      <c r="A1279" s="89" t="str">
        <f t="shared" si="19"/>
        <v>#07637</v>
      </c>
      <c r="B1279" s="138" t="s">
        <v>3353</v>
      </c>
      <c r="C1279" s="236" t="s">
        <v>2260</v>
      </c>
      <c r="D1279" s="206">
        <v>40600</v>
      </c>
      <c r="E1279" s="138" t="s">
        <v>985</v>
      </c>
    </row>
    <row r="1280" spans="1:5" ht="18.75">
      <c r="A1280" s="89" t="str">
        <f t="shared" si="19"/>
        <v>#07640</v>
      </c>
      <c r="B1280" s="138" t="s">
        <v>3355</v>
      </c>
      <c r="C1280" s="236" t="s">
        <v>3354</v>
      </c>
      <c r="D1280" s="206">
        <v>40600</v>
      </c>
      <c r="E1280" s="138" t="s">
        <v>7818</v>
      </c>
    </row>
    <row r="1281" spans="1:5" ht="18.75">
      <c r="A1281" s="89" t="str">
        <f t="shared" si="19"/>
        <v>#07657</v>
      </c>
      <c r="B1281" s="138" t="s">
        <v>3356</v>
      </c>
      <c r="C1281" s="236" t="s">
        <v>2551</v>
      </c>
      <c r="D1281" s="206">
        <v>40591</v>
      </c>
      <c r="E1281" s="138" t="s">
        <v>1380</v>
      </c>
    </row>
    <row r="1282" spans="1:5" ht="18.75">
      <c r="A1282" s="89" t="str">
        <f t="shared" si="19"/>
        <v>#07660</v>
      </c>
      <c r="B1282" s="138" t="s">
        <v>3358</v>
      </c>
      <c r="C1282" s="236" t="s">
        <v>3357</v>
      </c>
      <c r="D1282" s="206">
        <v>40589</v>
      </c>
      <c r="E1282" s="138" t="s">
        <v>7818</v>
      </c>
    </row>
    <row r="1283" spans="1:5" ht="18.75">
      <c r="A1283" s="89" t="str">
        <f t="shared" ref="A1283:A1346" si="20">"#"&amp;B1283</f>
        <v>#07673</v>
      </c>
      <c r="B1283" s="138" t="s">
        <v>3359</v>
      </c>
      <c r="C1283" s="236" t="s">
        <v>2811</v>
      </c>
      <c r="D1283" s="206">
        <v>40603</v>
      </c>
      <c r="E1283" s="138" t="s">
        <v>903</v>
      </c>
    </row>
    <row r="1284" spans="1:5" ht="18.75">
      <c r="A1284" s="89" t="str">
        <f t="shared" si="20"/>
        <v>#07679</v>
      </c>
      <c r="B1284" s="138" t="s">
        <v>3360</v>
      </c>
      <c r="C1284" s="236" t="s">
        <v>1077</v>
      </c>
      <c r="D1284" s="206">
        <v>40603</v>
      </c>
      <c r="E1284" s="138" t="s">
        <v>890</v>
      </c>
    </row>
    <row r="1285" spans="1:5" ht="18.75">
      <c r="A1285" s="89" t="str">
        <f t="shared" si="20"/>
        <v>#07702</v>
      </c>
      <c r="B1285" s="138" t="s">
        <v>3361</v>
      </c>
      <c r="C1285" s="236" t="s">
        <v>3254</v>
      </c>
      <c r="D1285" s="206">
        <v>40604</v>
      </c>
      <c r="E1285" s="138" t="s">
        <v>906</v>
      </c>
    </row>
    <row r="1286" spans="1:5" ht="18.75">
      <c r="A1286" s="89" t="str">
        <f t="shared" si="20"/>
        <v>#07703</v>
      </c>
      <c r="B1286" s="138" t="s">
        <v>3362</v>
      </c>
      <c r="C1286" s="236" t="s">
        <v>2168</v>
      </c>
      <c r="D1286" s="206">
        <v>40604</v>
      </c>
      <c r="E1286" s="138" t="s">
        <v>906</v>
      </c>
    </row>
    <row r="1287" spans="1:5" ht="18.75">
      <c r="A1287" s="89" t="str">
        <f t="shared" si="20"/>
        <v>#07706</v>
      </c>
      <c r="B1287" s="138" t="s">
        <v>3364</v>
      </c>
      <c r="C1287" s="236" t="s">
        <v>3363</v>
      </c>
      <c r="D1287" s="206">
        <v>40604</v>
      </c>
      <c r="E1287" s="138" t="s">
        <v>906</v>
      </c>
    </row>
    <row r="1288" spans="1:5" ht="18.75">
      <c r="A1288" s="89" t="str">
        <f t="shared" si="20"/>
        <v>#07708</v>
      </c>
      <c r="B1288" s="138" t="s">
        <v>3365</v>
      </c>
      <c r="C1288" s="236" t="s">
        <v>1556</v>
      </c>
      <c r="D1288" s="206">
        <v>40605</v>
      </c>
      <c r="E1288" s="138" t="s">
        <v>8037</v>
      </c>
    </row>
    <row r="1289" spans="1:5" ht="18.75">
      <c r="A1289" s="89" t="str">
        <f t="shared" si="20"/>
        <v>#07725</v>
      </c>
      <c r="B1289" s="138" t="s">
        <v>3366</v>
      </c>
      <c r="C1289" s="236" t="s">
        <v>3195</v>
      </c>
      <c r="D1289" s="206">
        <v>40606</v>
      </c>
      <c r="E1289" s="138" t="s">
        <v>1133</v>
      </c>
    </row>
    <row r="1290" spans="1:5" ht="18.75">
      <c r="A1290" s="89" t="str">
        <f t="shared" si="20"/>
        <v>#07726</v>
      </c>
      <c r="B1290" s="138" t="s">
        <v>3367</v>
      </c>
      <c r="C1290" s="236" t="s">
        <v>3264</v>
      </c>
      <c r="D1290" s="206">
        <v>40606</v>
      </c>
      <c r="E1290" s="138" t="s">
        <v>1133</v>
      </c>
    </row>
    <row r="1291" spans="1:5" ht="18.75">
      <c r="A1291" s="89" t="str">
        <f t="shared" si="20"/>
        <v>#07728</v>
      </c>
      <c r="B1291" s="138" t="s">
        <v>3369</v>
      </c>
      <c r="C1291" s="236" t="s">
        <v>3368</v>
      </c>
      <c r="D1291" s="206">
        <v>40606</v>
      </c>
      <c r="E1291" s="138" t="s">
        <v>7818</v>
      </c>
    </row>
    <row r="1292" spans="1:5" ht="18.75">
      <c r="A1292" s="89" t="str">
        <f t="shared" si="20"/>
        <v>#07747</v>
      </c>
      <c r="B1292" s="138" t="s">
        <v>3371</v>
      </c>
      <c r="C1292" s="236" t="s">
        <v>3370</v>
      </c>
      <c r="D1292" s="206">
        <v>40610</v>
      </c>
      <c r="E1292" s="138" t="s">
        <v>937</v>
      </c>
    </row>
    <row r="1293" spans="1:5" ht="18.75">
      <c r="A1293" s="89" t="str">
        <f t="shared" si="20"/>
        <v>#07748</v>
      </c>
      <c r="B1293" s="138" t="s">
        <v>3373</v>
      </c>
      <c r="C1293" s="236" t="s">
        <v>3372</v>
      </c>
      <c r="D1293" s="206">
        <v>40610</v>
      </c>
      <c r="E1293" s="138" t="s">
        <v>937</v>
      </c>
    </row>
    <row r="1294" spans="1:5" ht="18.75">
      <c r="A1294" s="89" t="str">
        <f t="shared" si="20"/>
        <v>#07756</v>
      </c>
      <c r="B1294" s="138" t="s">
        <v>3375</v>
      </c>
      <c r="C1294" s="236" t="s">
        <v>3374</v>
      </c>
      <c r="D1294" s="206">
        <v>40610</v>
      </c>
      <c r="E1294" s="138" t="s">
        <v>895</v>
      </c>
    </row>
    <row r="1295" spans="1:5" ht="18.75">
      <c r="A1295" s="89" t="str">
        <f t="shared" si="20"/>
        <v>#07758</v>
      </c>
      <c r="B1295" s="138" t="s">
        <v>3377</v>
      </c>
      <c r="C1295" s="236" t="s">
        <v>3376</v>
      </c>
      <c r="D1295" s="206">
        <v>40610</v>
      </c>
      <c r="E1295" s="138" t="s">
        <v>1380</v>
      </c>
    </row>
    <row r="1296" spans="1:5" ht="18.75">
      <c r="A1296" s="89" t="str">
        <f t="shared" si="20"/>
        <v>#07762</v>
      </c>
      <c r="B1296" s="138" t="s">
        <v>3379</v>
      </c>
      <c r="C1296" s="236" t="s">
        <v>3378</v>
      </c>
      <c r="D1296" s="206">
        <v>40611</v>
      </c>
      <c r="E1296" s="138" t="s">
        <v>7818</v>
      </c>
    </row>
    <row r="1297" spans="1:5" ht="18.75">
      <c r="A1297" s="89" t="str">
        <f t="shared" si="20"/>
        <v>#07765</v>
      </c>
      <c r="B1297" s="138" t="s">
        <v>3381</v>
      </c>
      <c r="C1297" s="236" t="s">
        <v>3380</v>
      </c>
      <c r="D1297" s="206">
        <v>40611</v>
      </c>
      <c r="E1297" s="138" t="s">
        <v>906</v>
      </c>
    </row>
    <row r="1298" spans="1:5" ht="18.75">
      <c r="A1298" s="89" t="str">
        <f t="shared" si="20"/>
        <v>#07766</v>
      </c>
      <c r="B1298" s="138" t="s">
        <v>3383</v>
      </c>
      <c r="C1298" s="236" t="s">
        <v>3382</v>
      </c>
      <c r="D1298" s="206">
        <v>40611</v>
      </c>
      <c r="E1298" s="138" t="s">
        <v>906</v>
      </c>
    </row>
    <row r="1299" spans="1:5" ht="18.75">
      <c r="A1299" s="89" t="str">
        <f t="shared" si="20"/>
        <v>#07767</v>
      </c>
      <c r="B1299" s="138" t="s">
        <v>3385</v>
      </c>
      <c r="C1299" s="236" t="s">
        <v>3384</v>
      </c>
      <c r="D1299" s="206">
        <v>40611</v>
      </c>
      <c r="E1299" s="138" t="s">
        <v>906</v>
      </c>
    </row>
    <row r="1300" spans="1:5" ht="18.75">
      <c r="A1300" s="89" t="str">
        <f t="shared" si="20"/>
        <v>#07768</v>
      </c>
      <c r="B1300" s="138" t="s">
        <v>3387</v>
      </c>
      <c r="C1300" s="236" t="s">
        <v>3386</v>
      </c>
      <c r="D1300" s="206">
        <v>40611</v>
      </c>
      <c r="E1300" s="138" t="s">
        <v>906</v>
      </c>
    </row>
    <row r="1301" spans="1:5" ht="18.75">
      <c r="A1301" s="89" t="str">
        <f t="shared" si="20"/>
        <v>#07769</v>
      </c>
      <c r="B1301" s="138" t="s">
        <v>3389</v>
      </c>
      <c r="C1301" s="236" t="s">
        <v>3388</v>
      </c>
      <c r="D1301" s="206">
        <v>40611</v>
      </c>
      <c r="E1301" s="138" t="s">
        <v>906</v>
      </c>
    </row>
    <row r="1302" spans="1:5" ht="18.75">
      <c r="A1302" s="89" t="str">
        <f t="shared" si="20"/>
        <v>#07770</v>
      </c>
      <c r="B1302" s="138" t="s">
        <v>3391</v>
      </c>
      <c r="C1302" s="236" t="s">
        <v>3390</v>
      </c>
      <c r="D1302" s="206">
        <v>40611</v>
      </c>
      <c r="E1302" s="138" t="s">
        <v>906</v>
      </c>
    </row>
    <row r="1303" spans="1:5" ht="18.75">
      <c r="A1303" s="89" t="str">
        <f t="shared" si="20"/>
        <v>#07783</v>
      </c>
      <c r="B1303" s="138" t="s">
        <v>3393</v>
      </c>
      <c r="C1303" s="236" t="s">
        <v>3392</v>
      </c>
      <c r="D1303" s="206">
        <v>40613</v>
      </c>
      <c r="E1303" s="138" t="s">
        <v>7818</v>
      </c>
    </row>
    <row r="1304" spans="1:5" ht="18.75">
      <c r="A1304" s="89" t="str">
        <f t="shared" si="20"/>
        <v>#07789</v>
      </c>
      <c r="B1304" s="138" t="s">
        <v>3395</v>
      </c>
      <c r="C1304" s="236" t="s">
        <v>3394</v>
      </c>
      <c r="D1304" s="206">
        <v>40616</v>
      </c>
      <c r="E1304" s="138" t="s">
        <v>752</v>
      </c>
    </row>
    <row r="1305" spans="1:5" ht="18.75">
      <c r="A1305" s="89" t="str">
        <f t="shared" si="20"/>
        <v>#07790</v>
      </c>
      <c r="B1305" s="138" t="s">
        <v>3396</v>
      </c>
      <c r="C1305" s="236" t="s">
        <v>2407</v>
      </c>
      <c r="D1305" s="206">
        <v>40616</v>
      </c>
      <c r="E1305" s="138" t="s">
        <v>985</v>
      </c>
    </row>
    <row r="1306" spans="1:5" ht="18.75">
      <c r="A1306" s="89" t="str">
        <f t="shared" si="20"/>
        <v>#07792</v>
      </c>
      <c r="B1306" s="138" t="s">
        <v>3398</v>
      </c>
      <c r="C1306" s="236" t="s">
        <v>3397</v>
      </c>
      <c r="D1306" s="206">
        <v>40617</v>
      </c>
      <c r="E1306" s="138" t="s">
        <v>937</v>
      </c>
    </row>
    <row r="1307" spans="1:5" ht="18.75">
      <c r="A1307" s="89" t="str">
        <f t="shared" si="20"/>
        <v>#07799</v>
      </c>
      <c r="B1307" s="138" t="s">
        <v>3400</v>
      </c>
      <c r="C1307" s="236" t="s">
        <v>3399</v>
      </c>
      <c r="D1307" s="206">
        <v>40626</v>
      </c>
      <c r="E1307" s="138" t="s">
        <v>927</v>
      </c>
    </row>
    <row r="1308" spans="1:5" ht="18.75">
      <c r="A1308" s="89" t="str">
        <f t="shared" si="20"/>
        <v>#07801</v>
      </c>
      <c r="B1308" s="138" t="s">
        <v>3402</v>
      </c>
      <c r="C1308" s="236" t="s">
        <v>3401</v>
      </c>
      <c r="D1308" s="206">
        <v>40626</v>
      </c>
      <c r="E1308" s="138" t="s">
        <v>937</v>
      </c>
    </row>
    <row r="1309" spans="1:5" ht="18.75">
      <c r="A1309" s="89" t="str">
        <f t="shared" si="20"/>
        <v>#07804</v>
      </c>
      <c r="B1309" s="138" t="s">
        <v>3404</v>
      </c>
      <c r="C1309" s="236" t="s">
        <v>3403</v>
      </c>
      <c r="D1309" s="206">
        <v>40626</v>
      </c>
      <c r="E1309" s="138" t="s">
        <v>937</v>
      </c>
    </row>
    <row r="1310" spans="1:5" ht="18.75">
      <c r="A1310" s="89" t="str">
        <f t="shared" si="20"/>
        <v>#07813</v>
      </c>
      <c r="B1310" s="138" t="s">
        <v>3405</v>
      </c>
      <c r="C1310" s="236" t="s">
        <v>1637</v>
      </c>
      <c r="D1310" s="206">
        <v>40627</v>
      </c>
      <c r="E1310" s="138" t="s">
        <v>1133</v>
      </c>
    </row>
    <row r="1311" spans="1:5" ht="18.75">
      <c r="A1311" s="89" t="str">
        <f t="shared" si="20"/>
        <v>#07814</v>
      </c>
      <c r="B1311" s="138" t="s">
        <v>3406</v>
      </c>
      <c r="C1311" s="236" t="s">
        <v>1621</v>
      </c>
      <c r="D1311" s="206">
        <v>40627</v>
      </c>
      <c r="E1311" s="138" t="s">
        <v>927</v>
      </c>
    </row>
    <row r="1312" spans="1:5" ht="18.75">
      <c r="A1312" s="89" t="str">
        <f t="shared" si="20"/>
        <v>#07819</v>
      </c>
      <c r="B1312" s="138" t="s">
        <v>3408</v>
      </c>
      <c r="C1312" s="236" t="s">
        <v>3407</v>
      </c>
      <c r="D1312" s="206">
        <v>40627</v>
      </c>
      <c r="E1312" s="138" t="s">
        <v>7818</v>
      </c>
    </row>
    <row r="1313" spans="1:5" ht="18.75">
      <c r="A1313" s="89" t="str">
        <f t="shared" si="20"/>
        <v>#07843</v>
      </c>
      <c r="B1313" s="138" t="s">
        <v>3411</v>
      </c>
      <c r="C1313" s="236" t="s">
        <v>3410</v>
      </c>
      <c r="D1313" s="206">
        <v>40644</v>
      </c>
      <c r="E1313" s="138" t="s">
        <v>759</v>
      </c>
    </row>
    <row r="1314" spans="1:5" ht="18.75">
      <c r="A1314" s="89" t="str">
        <f t="shared" si="20"/>
        <v>#07844</v>
      </c>
      <c r="B1314" s="138" t="s">
        <v>3413</v>
      </c>
      <c r="C1314" s="236" t="s">
        <v>3412</v>
      </c>
      <c r="D1314" s="206">
        <v>40648</v>
      </c>
      <c r="E1314" s="138" t="s">
        <v>937</v>
      </c>
    </row>
    <row r="1315" spans="1:5" ht="18.75">
      <c r="A1315" s="89" t="str">
        <f t="shared" si="20"/>
        <v>#07846</v>
      </c>
      <c r="B1315" s="138" t="s">
        <v>3415</v>
      </c>
      <c r="C1315" s="236" t="s">
        <v>3414</v>
      </c>
      <c r="D1315" s="206">
        <v>40648</v>
      </c>
      <c r="E1315" s="138" t="s">
        <v>906</v>
      </c>
    </row>
    <row r="1316" spans="1:5" ht="18.75">
      <c r="A1316" s="89" t="str">
        <f t="shared" si="20"/>
        <v>#07849</v>
      </c>
      <c r="B1316" s="138" t="s">
        <v>3417</v>
      </c>
      <c r="C1316" s="236" t="s">
        <v>3416</v>
      </c>
      <c r="D1316" s="206">
        <v>40648</v>
      </c>
      <c r="E1316" s="138" t="s">
        <v>906</v>
      </c>
    </row>
    <row r="1317" spans="1:5" ht="18.75">
      <c r="A1317" s="89" t="str">
        <f t="shared" si="20"/>
        <v>#07851</v>
      </c>
      <c r="B1317" s="138" t="s">
        <v>3419</v>
      </c>
      <c r="C1317" s="236" t="s">
        <v>3418</v>
      </c>
      <c r="D1317" s="206">
        <v>40655</v>
      </c>
      <c r="E1317" s="138" t="s">
        <v>1716</v>
      </c>
    </row>
    <row r="1318" spans="1:5" ht="18.75">
      <c r="A1318" s="89" t="str">
        <f t="shared" si="20"/>
        <v>#07853</v>
      </c>
      <c r="B1318" s="138" t="s">
        <v>3420</v>
      </c>
      <c r="C1318" s="236" t="s">
        <v>1208</v>
      </c>
      <c r="D1318" s="206">
        <v>40655</v>
      </c>
      <c r="E1318" s="138" t="s">
        <v>1133</v>
      </c>
    </row>
    <row r="1319" spans="1:5" ht="18.75">
      <c r="A1319" s="89" t="str">
        <f t="shared" si="20"/>
        <v>#07855</v>
      </c>
      <c r="B1319" s="138" t="s">
        <v>3422</v>
      </c>
      <c r="C1319" s="236" t="s">
        <v>3421</v>
      </c>
      <c r="D1319" s="206">
        <v>40655</v>
      </c>
      <c r="E1319" s="138" t="s">
        <v>985</v>
      </c>
    </row>
    <row r="1320" spans="1:5" ht="18.75">
      <c r="A1320" s="89" t="str">
        <f t="shared" si="20"/>
        <v>#07857</v>
      </c>
      <c r="B1320" s="138" t="s">
        <v>3424</v>
      </c>
      <c r="C1320" s="236" t="s">
        <v>3423</v>
      </c>
      <c r="D1320" s="206">
        <v>40655</v>
      </c>
      <c r="E1320" s="138" t="s">
        <v>927</v>
      </c>
    </row>
    <row r="1321" spans="1:5" ht="18.75">
      <c r="A1321" s="89" t="str">
        <f t="shared" si="20"/>
        <v>#07860</v>
      </c>
      <c r="B1321" s="138" t="s">
        <v>3426</v>
      </c>
      <c r="C1321" s="236" t="s">
        <v>3425</v>
      </c>
      <c r="D1321" s="206">
        <v>40655</v>
      </c>
      <c r="E1321" s="138" t="s">
        <v>1133</v>
      </c>
    </row>
    <row r="1322" spans="1:5" ht="18.75">
      <c r="A1322" s="89" t="str">
        <f t="shared" si="20"/>
        <v>#07866</v>
      </c>
      <c r="B1322" s="138" t="s">
        <v>3428</v>
      </c>
      <c r="C1322" s="236" t="s">
        <v>3427</v>
      </c>
      <c r="D1322" s="206">
        <v>40655</v>
      </c>
      <c r="E1322" s="138" t="s">
        <v>7788</v>
      </c>
    </row>
    <row r="1323" spans="1:5" ht="18.75">
      <c r="A1323" s="89" t="str">
        <f t="shared" si="20"/>
        <v>#07880</v>
      </c>
      <c r="B1323" s="138" t="s">
        <v>3430</v>
      </c>
      <c r="C1323" s="236" t="s">
        <v>3429</v>
      </c>
      <c r="D1323" s="206">
        <v>40655</v>
      </c>
      <c r="E1323" s="138" t="s">
        <v>797</v>
      </c>
    </row>
    <row r="1324" spans="1:5" ht="18.75">
      <c r="A1324" s="89" t="str">
        <f t="shared" si="20"/>
        <v>#07888</v>
      </c>
      <c r="B1324" s="138" t="s">
        <v>3432</v>
      </c>
      <c r="C1324" s="236" t="s">
        <v>3431</v>
      </c>
      <c r="D1324" s="206">
        <v>40655</v>
      </c>
      <c r="E1324" s="138" t="s">
        <v>937</v>
      </c>
    </row>
    <row r="1325" spans="1:5" ht="18.75">
      <c r="A1325" s="89" t="str">
        <f t="shared" si="20"/>
        <v>#07895</v>
      </c>
      <c r="B1325" s="138" t="s">
        <v>3434</v>
      </c>
      <c r="C1325" s="236" t="s">
        <v>3433</v>
      </c>
      <c r="D1325" s="206">
        <v>40655</v>
      </c>
      <c r="E1325" s="138" t="s">
        <v>1063</v>
      </c>
    </row>
    <row r="1326" spans="1:5" ht="18.75">
      <c r="A1326" s="89" t="str">
        <f t="shared" si="20"/>
        <v>#07897</v>
      </c>
      <c r="B1326" s="138" t="s">
        <v>3436</v>
      </c>
      <c r="C1326" s="236" t="s">
        <v>3435</v>
      </c>
      <c r="D1326" s="206">
        <v>40655</v>
      </c>
      <c r="E1326" s="138" t="s">
        <v>7818</v>
      </c>
    </row>
    <row r="1327" spans="1:5" ht="18.75">
      <c r="A1327" s="89" t="str">
        <f t="shared" si="20"/>
        <v>#07898</v>
      </c>
      <c r="B1327" s="138" t="s">
        <v>3438</v>
      </c>
      <c r="C1327" s="236" t="s">
        <v>3437</v>
      </c>
      <c r="D1327" s="206">
        <v>40655</v>
      </c>
      <c r="E1327" s="138" t="s">
        <v>7818</v>
      </c>
    </row>
    <row r="1328" spans="1:5" ht="18.75">
      <c r="A1328" s="89" t="str">
        <f t="shared" si="20"/>
        <v>#07912</v>
      </c>
      <c r="B1328" s="138" t="s">
        <v>3440</v>
      </c>
      <c r="C1328" s="236" t="s">
        <v>3439</v>
      </c>
      <c r="D1328" s="206">
        <v>40666</v>
      </c>
      <c r="E1328" s="138" t="s">
        <v>7818</v>
      </c>
    </row>
    <row r="1329" spans="1:5" ht="18.75">
      <c r="A1329" s="89" t="str">
        <f t="shared" si="20"/>
        <v>#07913</v>
      </c>
      <c r="B1329" s="138" t="s">
        <v>3442</v>
      </c>
      <c r="C1329" s="236" t="s">
        <v>3441</v>
      </c>
      <c r="D1329" s="206">
        <v>40666</v>
      </c>
      <c r="E1329" s="138" t="s">
        <v>7818</v>
      </c>
    </row>
    <row r="1330" spans="1:5" ht="18.75">
      <c r="A1330" s="89" t="str">
        <f t="shared" si="20"/>
        <v>#07914</v>
      </c>
      <c r="B1330" s="138" t="s">
        <v>3444</v>
      </c>
      <c r="C1330" s="236" t="s">
        <v>3443</v>
      </c>
      <c r="D1330" s="206">
        <v>40668</v>
      </c>
      <c r="E1330" s="138" t="s">
        <v>1063</v>
      </c>
    </row>
    <row r="1331" spans="1:5" ht="18.75">
      <c r="A1331" s="89" t="str">
        <f t="shared" si="20"/>
        <v>#07918</v>
      </c>
      <c r="B1331" s="138" t="s">
        <v>3446</v>
      </c>
      <c r="C1331" s="236" t="s">
        <v>3445</v>
      </c>
      <c r="D1331" s="206">
        <v>40672</v>
      </c>
      <c r="E1331" s="138" t="s">
        <v>1255</v>
      </c>
    </row>
    <row r="1332" spans="1:5" ht="18.75">
      <c r="A1332" s="89" t="str">
        <f t="shared" si="20"/>
        <v>#07921</v>
      </c>
      <c r="B1332" s="138" t="s">
        <v>3447</v>
      </c>
      <c r="C1332" s="236" t="s">
        <v>1356</v>
      </c>
      <c r="D1332" s="206">
        <v>40674</v>
      </c>
      <c r="E1332" s="138" t="s">
        <v>797</v>
      </c>
    </row>
    <row r="1333" spans="1:5" ht="18.75">
      <c r="A1333" s="89" t="str">
        <f t="shared" si="20"/>
        <v>#07937</v>
      </c>
      <c r="B1333" s="138" t="s">
        <v>3449</v>
      </c>
      <c r="C1333" s="236" t="s">
        <v>3448</v>
      </c>
      <c r="D1333" s="206">
        <v>40676</v>
      </c>
      <c r="E1333" s="138" t="s">
        <v>1380</v>
      </c>
    </row>
    <row r="1334" spans="1:5" ht="18.75">
      <c r="A1334" s="89" t="str">
        <f t="shared" si="20"/>
        <v>#07947</v>
      </c>
      <c r="B1334" s="138" t="s">
        <v>3450</v>
      </c>
      <c r="C1334" s="236" t="s">
        <v>2557</v>
      </c>
      <c r="D1334" s="206">
        <v>40680</v>
      </c>
      <c r="E1334" s="138" t="s">
        <v>1113</v>
      </c>
    </row>
    <row r="1335" spans="1:5" ht="18.75">
      <c r="A1335" s="89" t="str">
        <f t="shared" si="20"/>
        <v>#07948</v>
      </c>
      <c r="B1335" s="138" t="s">
        <v>3452</v>
      </c>
      <c r="C1335" s="236" t="s">
        <v>3451</v>
      </c>
      <c r="D1335" s="206">
        <v>40680</v>
      </c>
      <c r="E1335" s="138" t="s">
        <v>797</v>
      </c>
    </row>
    <row r="1336" spans="1:5" ht="18.75">
      <c r="A1336" s="89" t="str">
        <f t="shared" si="20"/>
        <v>#07951</v>
      </c>
      <c r="B1336" s="138" t="s">
        <v>3454</v>
      </c>
      <c r="C1336" s="236" t="s">
        <v>3453</v>
      </c>
      <c r="D1336" s="206">
        <v>40680</v>
      </c>
      <c r="E1336" s="138" t="s">
        <v>1133</v>
      </c>
    </row>
    <row r="1337" spans="1:5" ht="18.75">
      <c r="A1337" s="89" t="str">
        <f t="shared" si="20"/>
        <v>#07966</v>
      </c>
      <c r="B1337" s="138" t="s">
        <v>3456</v>
      </c>
      <c r="C1337" s="236" t="s">
        <v>3455</v>
      </c>
      <c r="D1337" s="206">
        <v>40680</v>
      </c>
      <c r="E1337" s="138" t="s">
        <v>895</v>
      </c>
    </row>
    <row r="1338" spans="1:5" ht="18.75">
      <c r="A1338" s="89" t="str">
        <f t="shared" si="20"/>
        <v>#07971</v>
      </c>
      <c r="B1338" s="138" t="s">
        <v>3458</v>
      </c>
      <c r="C1338" s="236" t="s">
        <v>3457</v>
      </c>
      <c r="D1338" s="206">
        <v>40681</v>
      </c>
      <c r="E1338" s="138" t="s">
        <v>1133</v>
      </c>
    </row>
    <row r="1339" spans="1:5" ht="18.75">
      <c r="A1339" s="89" t="str">
        <f t="shared" si="20"/>
        <v>#07977</v>
      </c>
      <c r="B1339" s="138" t="s">
        <v>3460</v>
      </c>
      <c r="C1339" s="236" t="s">
        <v>3459</v>
      </c>
      <c r="D1339" s="206">
        <v>40681</v>
      </c>
      <c r="E1339" s="138" t="s">
        <v>890</v>
      </c>
    </row>
    <row r="1340" spans="1:5" ht="18.75">
      <c r="A1340" s="89" t="str">
        <f t="shared" si="20"/>
        <v>#07978</v>
      </c>
      <c r="B1340" s="138" t="s">
        <v>3462</v>
      </c>
      <c r="C1340" s="236" t="s">
        <v>3461</v>
      </c>
      <c r="D1340" s="206">
        <v>40681</v>
      </c>
      <c r="E1340" s="138" t="s">
        <v>895</v>
      </c>
    </row>
    <row r="1341" spans="1:5" ht="18.75">
      <c r="A1341" s="89" t="str">
        <f t="shared" si="20"/>
        <v>#07980</v>
      </c>
      <c r="B1341" s="138" t="s">
        <v>3463</v>
      </c>
      <c r="C1341" s="236" t="s">
        <v>1416</v>
      </c>
      <c r="D1341" s="206">
        <v>40681</v>
      </c>
      <c r="E1341" s="138" t="s">
        <v>937</v>
      </c>
    </row>
    <row r="1342" spans="1:5" ht="18.75">
      <c r="A1342" s="89" t="str">
        <f t="shared" si="20"/>
        <v>#07984</v>
      </c>
      <c r="B1342" s="138" t="s">
        <v>3465</v>
      </c>
      <c r="C1342" s="236" t="s">
        <v>3464</v>
      </c>
      <c r="D1342" s="206">
        <v>40682</v>
      </c>
      <c r="E1342" s="138" t="s">
        <v>957</v>
      </c>
    </row>
    <row r="1343" spans="1:5" ht="18.75">
      <c r="A1343" s="89" t="str">
        <f t="shared" si="20"/>
        <v>#07987</v>
      </c>
      <c r="B1343" s="138" t="s">
        <v>3467</v>
      </c>
      <c r="C1343" s="236" t="s">
        <v>3466</v>
      </c>
      <c r="D1343" s="206">
        <v>40683</v>
      </c>
      <c r="E1343" s="138" t="s">
        <v>7818</v>
      </c>
    </row>
    <row r="1344" spans="1:5" ht="18.75">
      <c r="A1344" s="89" t="str">
        <f t="shared" si="20"/>
        <v>#08008</v>
      </c>
      <c r="B1344" s="138" t="s">
        <v>3469</v>
      </c>
      <c r="C1344" s="236" t="s">
        <v>3468</v>
      </c>
      <c r="D1344" s="206">
        <v>40683</v>
      </c>
      <c r="E1344" s="138" t="s">
        <v>985</v>
      </c>
    </row>
    <row r="1345" spans="1:5" ht="18.75">
      <c r="A1345" s="89" t="str">
        <f t="shared" si="20"/>
        <v>#08017</v>
      </c>
      <c r="B1345" s="138" t="s">
        <v>3471</v>
      </c>
      <c r="C1345" s="236" t="s">
        <v>3470</v>
      </c>
      <c r="D1345" s="206">
        <v>40687</v>
      </c>
      <c r="E1345" s="138" t="s">
        <v>937</v>
      </c>
    </row>
    <row r="1346" spans="1:5" ht="18.75">
      <c r="A1346" s="89" t="str">
        <f t="shared" si="20"/>
        <v>#08026</v>
      </c>
      <c r="B1346" s="138" t="s">
        <v>3473</v>
      </c>
      <c r="C1346" s="236" t="s">
        <v>3472</v>
      </c>
      <c r="D1346" s="206">
        <v>40688</v>
      </c>
      <c r="E1346" s="138" t="s">
        <v>937</v>
      </c>
    </row>
    <row r="1347" spans="1:5" ht="18.75">
      <c r="A1347" s="89" t="str">
        <f t="shared" ref="A1347:A1410" si="21">"#"&amp;B1347</f>
        <v>#08045</v>
      </c>
      <c r="B1347" s="138" t="s">
        <v>3475</v>
      </c>
      <c r="C1347" s="236" t="s">
        <v>3474</v>
      </c>
      <c r="D1347" s="206">
        <v>40690</v>
      </c>
      <c r="E1347" s="138" t="s">
        <v>985</v>
      </c>
    </row>
    <row r="1348" spans="1:5" ht="18.75">
      <c r="A1348" s="89" t="str">
        <f t="shared" si="21"/>
        <v>#08072</v>
      </c>
      <c r="B1348" s="138" t="s">
        <v>3477</v>
      </c>
      <c r="C1348" s="236" t="s">
        <v>3476</v>
      </c>
      <c r="D1348" s="206">
        <v>40695</v>
      </c>
      <c r="E1348" s="138" t="s">
        <v>7818</v>
      </c>
    </row>
    <row r="1349" spans="1:5" ht="18.75">
      <c r="A1349" s="89" t="str">
        <f t="shared" si="21"/>
        <v>#08075</v>
      </c>
      <c r="B1349" s="138" t="s">
        <v>3479</v>
      </c>
      <c r="C1349" s="236" t="s">
        <v>3478</v>
      </c>
      <c r="D1349" s="206">
        <v>40695</v>
      </c>
      <c r="E1349" s="138" t="s">
        <v>937</v>
      </c>
    </row>
    <row r="1350" spans="1:5" ht="18.75">
      <c r="A1350" s="89" t="str">
        <f t="shared" si="21"/>
        <v>#08080</v>
      </c>
      <c r="B1350" s="138" t="s">
        <v>3481</v>
      </c>
      <c r="C1350" s="236" t="s">
        <v>3480</v>
      </c>
      <c r="D1350" s="206">
        <v>40695</v>
      </c>
      <c r="E1350" s="138" t="s">
        <v>1098</v>
      </c>
    </row>
    <row r="1351" spans="1:5" ht="18.75">
      <c r="A1351" s="89" t="str">
        <f t="shared" si="21"/>
        <v>#08082</v>
      </c>
      <c r="B1351" s="138" t="s">
        <v>3482</v>
      </c>
      <c r="C1351" s="236" t="s">
        <v>1175</v>
      </c>
      <c r="D1351" s="206">
        <v>40695</v>
      </c>
      <c r="E1351" s="138" t="s">
        <v>906</v>
      </c>
    </row>
    <row r="1352" spans="1:5" ht="18.75">
      <c r="A1352" s="89" t="str">
        <f t="shared" si="21"/>
        <v>#08103</v>
      </c>
      <c r="B1352" s="138" t="s">
        <v>3483</v>
      </c>
      <c r="C1352" s="236" t="s">
        <v>1131</v>
      </c>
      <c r="D1352" s="206">
        <v>40697</v>
      </c>
      <c r="E1352" s="138" t="s">
        <v>7818</v>
      </c>
    </row>
    <row r="1353" spans="1:5" ht="18.75">
      <c r="A1353" s="89" t="str">
        <f t="shared" si="21"/>
        <v>#08105</v>
      </c>
      <c r="B1353" s="138" t="s">
        <v>3485</v>
      </c>
      <c r="C1353" s="236" t="s">
        <v>3484</v>
      </c>
      <c r="D1353" s="206">
        <v>40697</v>
      </c>
      <c r="E1353" s="138" t="s">
        <v>7818</v>
      </c>
    </row>
    <row r="1354" spans="1:5" ht="18.75">
      <c r="A1354" s="89" t="str">
        <f t="shared" si="21"/>
        <v>#08107</v>
      </c>
      <c r="B1354" s="138" t="s">
        <v>3487</v>
      </c>
      <c r="C1354" s="236" t="s">
        <v>3486</v>
      </c>
      <c r="D1354" s="206">
        <v>40697</v>
      </c>
      <c r="E1354" s="138" t="s">
        <v>895</v>
      </c>
    </row>
    <row r="1355" spans="1:5" ht="18.75">
      <c r="A1355" s="89" t="str">
        <f t="shared" si="21"/>
        <v>#08109</v>
      </c>
      <c r="B1355" s="138" t="s">
        <v>3489</v>
      </c>
      <c r="C1355" s="236" t="s">
        <v>3488</v>
      </c>
      <c r="D1355" s="206">
        <v>40701</v>
      </c>
      <c r="E1355" s="138" t="s">
        <v>7818</v>
      </c>
    </row>
    <row r="1356" spans="1:5" ht="18.75">
      <c r="A1356" s="89" t="str">
        <f t="shared" si="21"/>
        <v>#08111</v>
      </c>
      <c r="B1356" s="138" t="s">
        <v>3491</v>
      </c>
      <c r="C1356" s="236" t="s">
        <v>3490</v>
      </c>
      <c r="D1356" s="206">
        <v>40701</v>
      </c>
      <c r="E1356" s="138" t="s">
        <v>1133</v>
      </c>
    </row>
    <row r="1357" spans="1:5" ht="18.75">
      <c r="A1357" s="89" t="str">
        <f t="shared" si="21"/>
        <v>#08115</v>
      </c>
      <c r="B1357" s="138" t="s">
        <v>3493</v>
      </c>
      <c r="C1357" s="236" t="s">
        <v>3492</v>
      </c>
      <c r="D1357" s="206">
        <v>40701</v>
      </c>
      <c r="E1357" s="138" t="s">
        <v>906</v>
      </c>
    </row>
    <row r="1358" spans="1:5" ht="18.75">
      <c r="A1358" s="89" t="str">
        <f t="shared" si="21"/>
        <v>#08116</v>
      </c>
      <c r="B1358" s="138" t="s">
        <v>3495</v>
      </c>
      <c r="C1358" s="236" t="s">
        <v>3494</v>
      </c>
      <c r="D1358" s="206">
        <v>40701</v>
      </c>
      <c r="E1358" s="138" t="s">
        <v>906</v>
      </c>
    </row>
    <row r="1359" spans="1:5" ht="18.75">
      <c r="A1359" s="89" t="str">
        <f t="shared" si="21"/>
        <v>#08118</v>
      </c>
      <c r="B1359" s="138" t="s">
        <v>3497</v>
      </c>
      <c r="C1359" s="236" t="s">
        <v>3496</v>
      </c>
      <c r="D1359" s="206">
        <v>40702</v>
      </c>
      <c r="E1359" s="138" t="s">
        <v>937</v>
      </c>
    </row>
    <row r="1360" spans="1:5" ht="18.75">
      <c r="A1360" s="89" t="str">
        <f t="shared" si="21"/>
        <v>#08122</v>
      </c>
      <c r="B1360" s="138" t="s">
        <v>3499</v>
      </c>
      <c r="C1360" s="236" t="s">
        <v>3498</v>
      </c>
      <c r="D1360" s="206">
        <v>40702</v>
      </c>
      <c r="E1360" s="138" t="s">
        <v>890</v>
      </c>
    </row>
    <row r="1361" spans="1:5" ht="18.75">
      <c r="A1361" s="89" t="str">
        <f t="shared" si="21"/>
        <v>#08124</v>
      </c>
      <c r="B1361" s="138" t="s">
        <v>3500</v>
      </c>
      <c r="C1361" s="236" t="s">
        <v>2248</v>
      </c>
      <c r="D1361" s="206">
        <v>40702</v>
      </c>
      <c r="E1361" s="138" t="s">
        <v>8037</v>
      </c>
    </row>
    <row r="1362" spans="1:5" ht="18.75">
      <c r="A1362" s="89" t="str">
        <f t="shared" si="21"/>
        <v>#08128</v>
      </c>
      <c r="B1362" s="138" t="s">
        <v>3502</v>
      </c>
      <c r="C1362" s="236" t="s">
        <v>3501</v>
      </c>
      <c r="D1362" s="206">
        <v>40702</v>
      </c>
      <c r="E1362" s="138" t="s">
        <v>1004</v>
      </c>
    </row>
    <row r="1363" spans="1:5" ht="18.75">
      <c r="A1363" s="89" t="str">
        <f t="shared" si="21"/>
        <v>#08142</v>
      </c>
      <c r="B1363" s="138" t="s">
        <v>3504</v>
      </c>
      <c r="C1363" s="236" t="s">
        <v>3503</v>
      </c>
      <c r="D1363" s="206">
        <v>40708</v>
      </c>
      <c r="E1363" s="138" t="s">
        <v>927</v>
      </c>
    </row>
    <row r="1364" spans="1:5" ht="18.75">
      <c r="A1364" s="89" t="str">
        <f t="shared" si="21"/>
        <v>#08150</v>
      </c>
      <c r="B1364" s="138" t="s">
        <v>3506</v>
      </c>
      <c r="C1364" s="236" t="s">
        <v>3505</v>
      </c>
      <c r="D1364" s="206">
        <v>40708</v>
      </c>
      <c r="E1364" s="138" t="s">
        <v>7818</v>
      </c>
    </row>
    <row r="1365" spans="1:5" ht="18.75">
      <c r="A1365" s="89" t="str">
        <f t="shared" si="21"/>
        <v>#08154</v>
      </c>
      <c r="B1365" s="138" t="s">
        <v>3508</v>
      </c>
      <c r="C1365" s="236" t="s">
        <v>3507</v>
      </c>
      <c r="D1365" s="206">
        <v>40708</v>
      </c>
      <c r="E1365" s="138" t="s">
        <v>7818</v>
      </c>
    </row>
    <row r="1366" spans="1:5" ht="18.75">
      <c r="A1366" s="89" t="str">
        <f t="shared" si="21"/>
        <v>#08156</v>
      </c>
      <c r="B1366" s="138" t="s">
        <v>3510</v>
      </c>
      <c r="C1366" s="236" t="s">
        <v>3509</v>
      </c>
      <c r="D1366" s="206">
        <v>40709</v>
      </c>
      <c r="E1366" s="138" t="s">
        <v>937</v>
      </c>
    </row>
    <row r="1367" spans="1:5" ht="18.75">
      <c r="A1367" s="89" t="str">
        <f t="shared" si="21"/>
        <v>#08161</v>
      </c>
      <c r="B1367" s="138" t="s">
        <v>3511</v>
      </c>
      <c r="C1367" s="236" t="s">
        <v>2117</v>
      </c>
      <c r="D1367" s="206">
        <v>40709</v>
      </c>
      <c r="E1367" s="138" t="s">
        <v>7818</v>
      </c>
    </row>
    <row r="1368" spans="1:5" ht="18.75">
      <c r="A1368" s="89" t="str">
        <f t="shared" si="21"/>
        <v>#08164</v>
      </c>
      <c r="B1368" s="138" t="s">
        <v>3513</v>
      </c>
      <c r="C1368" s="236" t="s">
        <v>3512</v>
      </c>
      <c r="D1368" s="206">
        <v>40710</v>
      </c>
      <c r="E1368" s="138" t="s">
        <v>915</v>
      </c>
    </row>
    <row r="1369" spans="1:5" ht="18.75">
      <c r="A1369" s="89" t="str">
        <f t="shared" si="21"/>
        <v>#08171</v>
      </c>
      <c r="B1369" s="138" t="s">
        <v>3514</v>
      </c>
      <c r="C1369" s="236" t="s">
        <v>2682</v>
      </c>
      <c r="D1369" s="206">
        <v>40711</v>
      </c>
      <c r="E1369" s="138" t="s">
        <v>8037</v>
      </c>
    </row>
    <row r="1370" spans="1:5" ht="18.75">
      <c r="A1370" s="89" t="str">
        <f t="shared" si="21"/>
        <v>#08189</v>
      </c>
      <c r="B1370" s="138" t="s">
        <v>3515</v>
      </c>
      <c r="C1370" s="236" t="s">
        <v>2032</v>
      </c>
      <c r="D1370" s="206">
        <v>40715</v>
      </c>
      <c r="E1370" s="138" t="s">
        <v>978</v>
      </c>
    </row>
    <row r="1371" spans="1:5" ht="18.75">
      <c r="A1371" s="89" t="str">
        <f t="shared" si="21"/>
        <v>#08201</v>
      </c>
      <c r="B1371" s="138" t="s">
        <v>3517</v>
      </c>
      <c r="C1371" s="236" t="s">
        <v>3516</v>
      </c>
      <c r="D1371" s="206">
        <v>40715</v>
      </c>
      <c r="E1371" s="138" t="s">
        <v>1085</v>
      </c>
    </row>
    <row r="1372" spans="1:5" ht="18.75">
      <c r="A1372" s="89" t="str">
        <f t="shared" si="21"/>
        <v>#08229</v>
      </c>
      <c r="B1372" s="138" t="s">
        <v>3518</v>
      </c>
      <c r="C1372" s="236" t="s">
        <v>3197</v>
      </c>
      <c r="D1372" s="206">
        <v>40718</v>
      </c>
      <c r="E1372" s="138" t="s">
        <v>1133</v>
      </c>
    </row>
    <row r="1373" spans="1:5" ht="18.75">
      <c r="A1373" s="89" t="str">
        <f t="shared" si="21"/>
        <v>#08232</v>
      </c>
      <c r="B1373" s="138" t="s">
        <v>3519</v>
      </c>
      <c r="C1373" s="236" t="s">
        <v>2401</v>
      </c>
      <c r="D1373" s="206">
        <v>40718</v>
      </c>
      <c r="E1373" s="138" t="s">
        <v>1004</v>
      </c>
    </row>
    <row r="1374" spans="1:5" ht="18.75">
      <c r="A1374" s="89" t="str">
        <f t="shared" si="21"/>
        <v>#08233</v>
      </c>
      <c r="B1374" s="138" t="s">
        <v>3521</v>
      </c>
      <c r="C1374" s="236" t="s">
        <v>3520</v>
      </c>
      <c r="D1374" s="206">
        <v>40722</v>
      </c>
      <c r="E1374" s="138" t="s">
        <v>985</v>
      </c>
    </row>
    <row r="1375" spans="1:5" ht="18.75">
      <c r="A1375" s="89" t="str">
        <f t="shared" si="21"/>
        <v>#08234</v>
      </c>
      <c r="B1375" s="138" t="s">
        <v>3522</v>
      </c>
      <c r="C1375" s="236" t="s">
        <v>1516</v>
      </c>
      <c r="D1375" s="206">
        <v>40722</v>
      </c>
      <c r="E1375" s="138" t="s">
        <v>985</v>
      </c>
    </row>
    <row r="1376" spans="1:5" ht="18.75">
      <c r="A1376" s="89" t="str">
        <f t="shared" si="21"/>
        <v>#08243</v>
      </c>
      <c r="B1376" s="138" t="s">
        <v>3523</v>
      </c>
      <c r="C1376" s="236" t="s">
        <v>3433</v>
      </c>
      <c r="D1376" s="206">
        <v>40723</v>
      </c>
      <c r="E1376" s="138" t="s">
        <v>7818</v>
      </c>
    </row>
    <row r="1377" spans="1:5" ht="18.75">
      <c r="A1377" s="89" t="str">
        <f t="shared" si="21"/>
        <v>#08244</v>
      </c>
      <c r="B1377" s="138" t="s">
        <v>3525</v>
      </c>
      <c r="C1377" s="236" t="s">
        <v>3524</v>
      </c>
      <c r="D1377" s="206">
        <v>40723</v>
      </c>
      <c r="E1377" s="138" t="s">
        <v>890</v>
      </c>
    </row>
    <row r="1378" spans="1:5" ht="18.75">
      <c r="A1378" s="89" t="str">
        <f t="shared" si="21"/>
        <v>#08248</v>
      </c>
      <c r="B1378" s="138" t="s">
        <v>3526</v>
      </c>
      <c r="C1378" s="236" t="s">
        <v>1319</v>
      </c>
      <c r="D1378" s="206">
        <v>40723</v>
      </c>
      <c r="E1378" s="138" t="s">
        <v>915</v>
      </c>
    </row>
    <row r="1379" spans="1:5" ht="18.75">
      <c r="A1379" s="89" t="str">
        <f t="shared" si="21"/>
        <v>#08266</v>
      </c>
      <c r="B1379" s="138" t="s">
        <v>3527</v>
      </c>
      <c r="C1379" s="236" t="s">
        <v>1416</v>
      </c>
      <c r="D1379" s="206">
        <v>40725</v>
      </c>
      <c r="E1379" s="138" t="s">
        <v>8037</v>
      </c>
    </row>
    <row r="1380" spans="1:5" ht="18.75">
      <c r="A1380" s="89" t="str">
        <f t="shared" si="21"/>
        <v>#08280</v>
      </c>
      <c r="B1380" s="138" t="s">
        <v>3528</v>
      </c>
      <c r="C1380" s="236" t="s">
        <v>2112</v>
      </c>
      <c r="D1380" s="206">
        <v>40725</v>
      </c>
      <c r="E1380" s="138" t="s">
        <v>7818</v>
      </c>
    </row>
    <row r="1381" spans="1:5" ht="18.75">
      <c r="A1381" s="89" t="str">
        <f t="shared" si="21"/>
        <v>#08286</v>
      </c>
      <c r="B1381" s="138" t="s">
        <v>3530</v>
      </c>
      <c r="C1381" s="236" t="s">
        <v>3529</v>
      </c>
      <c r="D1381" s="206">
        <v>40729</v>
      </c>
      <c r="E1381" s="138" t="s">
        <v>7818</v>
      </c>
    </row>
    <row r="1382" spans="1:5" ht="18.75">
      <c r="A1382" s="89" t="str">
        <f t="shared" si="21"/>
        <v>#08288</v>
      </c>
      <c r="B1382" s="138" t="s">
        <v>3532</v>
      </c>
      <c r="C1382" s="236" t="s">
        <v>3531</v>
      </c>
      <c r="D1382" s="206">
        <v>40729</v>
      </c>
      <c r="E1382" s="138" t="s">
        <v>8037</v>
      </c>
    </row>
    <row r="1383" spans="1:5" ht="18.75">
      <c r="A1383" s="89" t="str">
        <f t="shared" si="21"/>
        <v>#08289</v>
      </c>
      <c r="B1383" s="138" t="s">
        <v>3533</v>
      </c>
      <c r="C1383" s="236" t="s">
        <v>2945</v>
      </c>
      <c r="D1383" s="206">
        <v>40729</v>
      </c>
      <c r="E1383" s="138" t="s">
        <v>8037</v>
      </c>
    </row>
    <row r="1384" spans="1:5" ht="18.75">
      <c r="A1384" s="89" t="str">
        <f t="shared" si="21"/>
        <v>#08299</v>
      </c>
      <c r="B1384" s="138" t="s">
        <v>3535</v>
      </c>
      <c r="C1384" s="236" t="s">
        <v>3534</v>
      </c>
      <c r="D1384" s="206">
        <v>40729</v>
      </c>
      <c r="E1384" s="138" t="s">
        <v>924</v>
      </c>
    </row>
    <row r="1385" spans="1:5" ht="18.75">
      <c r="A1385" s="89" t="str">
        <f t="shared" si="21"/>
        <v>#08302</v>
      </c>
      <c r="B1385" s="138" t="s">
        <v>3537</v>
      </c>
      <c r="C1385" s="236" t="s">
        <v>3536</v>
      </c>
      <c r="D1385" s="206">
        <v>40729</v>
      </c>
      <c r="E1385" s="138" t="s">
        <v>1113</v>
      </c>
    </row>
    <row r="1386" spans="1:5" ht="18.75">
      <c r="A1386" s="89" t="str">
        <f t="shared" si="21"/>
        <v>#08327</v>
      </c>
      <c r="B1386" s="138" t="s">
        <v>3538</v>
      </c>
      <c r="C1386" s="236" t="s">
        <v>2819</v>
      </c>
      <c r="D1386" s="206">
        <v>40732</v>
      </c>
      <c r="E1386" s="138" t="s">
        <v>890</v>
      </c>
    </row>
    <row r="1387" spans="1:5" ht="18.75">
      <c r="A1387" s="89" t="str">
        <f t="shared" si="21"/>
        <v>#08338</v>
      </c>
      <c r="B1387" s="138" t="s">
        <v>3539</v>
      </c>
      <c r="C1387" s="236" t="s">
        <v>1070</v>
      </c>
      <c r="D1387" s="206">
        <v>40732</v>
      </c>
      <c r="E1387" s="138" t="s">
        <v>8037</v>
      </c>
    </row>
    <row r="1388" spans="1:5" ht="18.75">
      <c r="A1388" s="89" t="str">
        <f t="shared" si="21"/>
        <v>#08342</v>
      </c>
      <c r="B1388" s="138" t="s">
        <v>3541</v>
      </c>
      <c r="C1388" s="236" t="s">
        <v>3540</v>
      </c>
      <c r="D1388" s="206">
        <v>40732</v>
      </c>
      <c r="E1388" s="138" t="s">
        <v>937</v>
      </c>
    </row>
    <row r="1389" spans="1:5" ht="18.75">
      <c r="A1389" s="89" t="str">
        <f t="shared" si="21"/>
        <v>#08352</v>
      </c>
      <c r="B1389" s="138" t="s">
        <v>3542</v>
      </c>
      <c r="C1389" s="236" t="s">
        <v>1327</v>
      </c>
      <c r="D1389" s="206">
        <v>40732</v>
      </c>
      <c r="E1389" s="138" t="s">
        <v>927</v>
      </c>
    </row>
    <row r="1390" spans="1:5" ht="18.75">
      <c r="A1390" s="89" t="str">
        <f t="shared" si="21"/>
        <v>#08368</v>
      </c>
      <c r="B1390" s="138" t="s">
        <v>3543</v>
      </c>
      <c r="C1390" s="236" t="s">
        <v>2072</v>
      </c>
      <c r="D1390" s="206">
        <v>40736</v>
      </c>
      <c r="E1390" s="138" t="s">
        <v>1063</v>
      </c>
    </row>
    <row r="1391" spans="1:5" ht="18.75">
      <c r="A1391" s="89" t="str">
        <f t="shared" si="21"/>
        <v>#08371</v>
      </c>
      <c r="B1391" s="138" t="s">
        <v>3545</v>
      </c>
      <c r="C1391" s="236" t="s">
        <v>3544</v>
      </c>
      <c r="D1391" s="206">
        <v>40736</v>
      </c>
      <c r="E1391" s="138" t="s">
        <v>937</v>
      </c>
    </row>
    <row r="1392" spans="1:5" ht="18.75">
      <c r="A1392" s="89" t="str">
        <f t="shared" si="21"/>
        <v>#08374</v>
      </c>
      <c r="B1392" s="138" t="s">
        <v>3547</v>
      </c>
      <c r="C1392" s="236" t="s">
        <v>3546</v>
      </c>
      <c r="D1392" s="206">
        <v>40736</v>
      </c>
      <c r="E1392" s="138" t="s">
        <v>895</v>
      </c>
    </row>
    <row r="1393" spans="1:5" ht="18.75">
      <c r="A1393" s="89" t="str">
        <f t="shared" si="21"/>
        <v>#08380</v>
      </c>
      <c r="B1393" s="138" t="s">
        <v>3549</v>
      </c>
      <c r="C1393" s="236" t="s">
        <v>3548</v>
      </c>
      <c r="D1393" s="206">
        <v>40737</v>
      </c>
      <c r="E1393" s="138" t="s">
        <v>1113</v>
      </c>
    </row>
    <row r="1394" spans="1:5" ht="18.75">
      <c r="A1394" s="89" t="str">
        <f t="shared" si="21"/>
        <v>#08381</v>
      </c>
      <c r="B1394" s="138" t="s">
        <v>3551</v>
      </c>
      <c r="C1394" s="236" t="s">
        <v>3550</v>
      </c>
      <c r="D1394" s="206">
        <v>40737</v>
      </c>
      <c r="E1394" s="138" t="s">
        <v>7818</v>
      </c>
    </row>
    <row r="1395" spans="1:5" ht="18.75">
      <c r="A1395" s="89" t="str">
        <f t="shared" si="21"/>
        <v>#08421</v>
      </c>
      <c r="B1395" s="138" t="s">
        <v>3552</v>
      </c>
      <c r="C1395" s="236" t="s">
        <v>1372</v>
      </c>
      <c r="D1395" s="206">
        <v>40743</v>
      </c>
      <c r="E1395" s="138" t="s">
        <v>937</v>
      </c>
    </row>
    <row r="1396" spans="1:5" ht="18.75">
      <c r="A1396" s="89" t="str">
        <f t="shared" si="21"/>
        <v>#08424</v>
      </c>
      <c r="B1396" s="138" t="s">
        <v>3554</v>
      </c>
      <c r="C1396" s="236" t="s">
        <v>3553</v>
      </c>
      <c r="D1396" s="206">
        <v>40743</v>
      </c>
      <c r="E1396" s="138" t="s">
        <v>1113</v>
      </c>
    </row>
    <row r="1397" spans="1:5" ht="18.75">
      <c r="A1397" s="89" t="str">
        <f t="shared" si="21"/>
        <v>#08427</v>
      </c>
      <c r="B1397" s="138" t="s">
        <v>3555</v>
      </c>
      <c r="C1397" s="236" t="s">
        <v>2772</v>
      </c>
      <c r="D1397" s="206">
        <v>40743</v>
      </c>
      <c r="E1397" s="138" t="s">
        <v>1188</v>
      </c>
    </row>
    <row r="1398" spans="1:5" ht="18.75">
      <c r="A1398" s="89" t="str">
        <f t="shared" si="21"/>
        <v>#08429</v>
      </c>
      <c r="B1398" s="138" t="s">
        <v>3556</v>
      </c>
      <c r="C1398" s="236" t="s">
        <v>2551</v>
      </c>
      <c r="D1398" s="206">
        <v>40743</v>
      </c>
      <c r="E1398" s="138" t="s">
        <v>8037</v>
      </c>
    </row>
    <row r="1399" spans="1:5" ht="18.75">
      <c r="A1399" s="89" t="str">
        <f t="shared" si="21"/>
        <v>#08434</v>
      </c>
      <c r="B1399" s="138" t="s">
        <v>3558</v>
      </c>
      <c r="C1399" s="236" t="s">
        <v>3557</v>
      </c>
      <c r="D1399" s="206">
        <v>40743</v>
      </c>
      <c r="E1399" s="138" t="s">
        <v>937</v>
      </c>
    </row>
    <row r="1400" spans="1:5" ht="18.75">
      <c r="A1400" s="89" t="str">
        <f t="shared" si="21"/>
        <v>#08440</v>
      </c>
      <c r="B1400" s="138" t="s">
        <v>3560</v>
      </c>
      <c r="C1400" s="236" t="s">
        <v>3559</v>
      </c>
      <c r="D1400" s="206">
        <v>40743</v>
      </c>
      <c r="E1400" s="138" t="s">
        <v>7818</v>
      </c>
    </row>
    <row r="1401" spans="1:5" ht="18.75">
      <c r="A1401" s="89" t="str">
        <f t="shared" si="21"/>
        <v>#08454</v>
      </c>
      <c r="B1401" s="138" t="s">
        <v>3562</v>
      </c>
      <c r="C1401" s="236" t="s">
        <v>3561</v>
      </c>
      <c r="D1401" s="206">
        <v>40744</v>
      </c>
      <c r="E1401" s="138" t="s">
        <v>7818</v>
      </c>
    </row>
    <row r="1402" spans="1:5" ht="18.75">
      <c r="A1402" s="89" t="str">
        <f t="shared" si="21"/>
        <v>#08495</v>
      </c>
      <c r="B1402" s="138" t="s">
        <v>3564</v>
      </c>
      <c r="C1402" s="236" t="s">
        <v>3563</v>
      </c>
      <c r="D1402" s="206">
        <v>40746</v>
      </c>
      <c r="E1402" s="138" t="s">
        <v>937</v>
      </c>
    </row>
    <row r="1403" spans="1:5" ht="18.75">
      <c r="A1403" s="89" t="str">
        <f t="shared" si="21"/>
        <v>#08496</v>
      </c>
      <c r="B1403" s="138" t="s">
        <v>3566</v>
      </c>
      <c r="C1403" s="236" t="s">
        <v>3565</v>
      </c>
      <c r="D1403" s="206">
        <v>40746</v>
      </c>
      <c r="E1403" s="138" t="s">
        <v>937</v>
      </c>
    </row>
    <row r="1404" spans="1:5" ht="18.75">
      <c r="A1404" s="89" t="str">
        <f t="shared" si="21"/>
        <v>#08502</v>
      </c>
      <c r="B1404" s="138" t="s">
        <v>3567</v>
      </c>
      <c r="C1404" s="236" t="s">
        <v>3327</v>
      </c>
      <c r="D1404" s="206">
        <v>40746</v>
      </c>
      <c r="E1404" s="138" t="s">
        <v>985</v>
      </c>
    </row>
    <row r="1405" spans="1:5" ht="18.75">
      <c r="A1405" s="89" t="str">
        <f t="shared" si="21"/>
        <v>#08507</v>
      </c>
      <c r="B1405" s="138" t="s">
        <v>3569</v>
      </c>
      <c r="C1405" s="236" t="s">
        <v>3568</v>
      </c>
      <c r="D1405" s="206">
        <v>40750</v>
      </c>
      <c r="E1405" s="138" t="s">
        <v>937</v>
      </c>
    </row>
    <row r="1406" spans="1:5" ht="18.75">
      <c r="A1406" s="89" t="str">
        <f t="shared" si="21"/>
        <v>#08515</v>
      </c>
      <c r="B1406" s="138" t="s">
        <v>3571</v>
      </c>
      <c r="C1406" s="236" t="s">
        <v>3570</v>
      </c>
      <c r="D1406" s="206">
        <v>40750</v>
      </c>
      <c r="E1406" s="138" t="s">
        <v>937</v>
      </c>
    </row>
    <row r="1407" spans="1:5" ht="18.75">
      <c r="A1407" s="89" t="str">
        <f t="shared" si="21"/>
        <v>#08519</v>
      </c>
      <c r="B1407" s="138" t="s">
        <v>3573</v>
      </c>
      <c r="C1407" s="236" t="s">
        <v>3572</v>
      </c>
      <c r="D1407" s="206">
        <v>40750</v>
      </c>
      <c r="E1407" s="138" t="s">
        <v>1188</v>
      </c>
    </row>
    <row r="1408" spans="1:5" ht="18.75">
      <c r="A1408" s="89" t="str">
        <f t="shared" si="21"/>
        <v>#08520</v>
      </c>
      <c r="B1408" s="138" t="s">
        <v>3575</v>
      </c>
      <c r="C1408" s="236" t="s">
        <v>3574</v>
      </c>
      <c r="D1408" s="206">
        <v>40750</v>
      </c>
      <c r="E1408" s="138" t="s">
        <v>985</v>
      </c>
    </row>
    <row r="1409" spans="1:5" ht="18.75">
      <c r="A1409" s="89" t="str">
        <f t="shared" si="21"/>
        <v>#08524</v>
      </c>
      <c r="B1409" s="138" t="s">
        <v>3577</v>
      </c>
      <c r="C1409" s="236" t="s">
        <v>3576</v>
      </c>
      <c r="D1409" s="206">
        <v>40750</v>
      </c>
      <c r="E1409" s="138" t="s">
        <v>721</v>
      </c>
    </row>
    <row r="1410" spans="1:5" ht="18.75">
      <c r="A1410" s="89" t="str">
        <f t="shared" si="21"/>
        <v>#08531</v>
      </c>
      <c r="B1410" s="138" t="s">
        <v>3579</v>
      </c>
      <c r="C1410" s="236" t="s">
        <v>3578</v>
      </c>
      <c r="D1410" s="206">
        <v>40751</v>
      </c>
      <c r="E1410" s="138" t="s">
        <v>937</v>
      </c>
    </row>
    <row r="1411" spans="1:5" ht="18.75">
      <c r="A1411" s="89" t="str">
        <f t="shared" ref="A1411:A1474" si="22">"#"&amp;B1411</f>
        <v>#08536</v>
      </c>
      <c r="B1411" s="138" t="s">
        <v>3581</v>
      </c>
      <c r="C1411" s="236" t="s">
        <v>3580</v>
      </c>
      <c r="D1411" s="206">
        <v>40751</v>
      </c>
      <c r="E1411" s="138" t="s">
        <v>985</v>
      </c>
    </row>
    <row r="1412" spans="1:5" ht="18.75">
      <c r="A1412" s="89" t="str">
        <f t="shared" si="22"/>
        <v>#08537</v>
      </c>
      <c r="B1412" s="138" t="s">
        <v>3582</v>
      </c>
      <c r="C1412" s="236" t="s">
        <v>2790</v>
      </c>
      <c r="D1412" s="206">
        <v>40751</v>
      </c>
      <c r="E1412" s="138" t="s">
        <v>1133</v>
      </c>
    </row>
    <row r="1413" spans="1:5" ht="18.75">
      <c r="A1413" s="89" t="str">
        <f t="shared" si="22"/>
        <v>#08541</v>
      </c>
      <c r="B1413" s="138" t="s">
        <v>3584</v>
      </c>
      <c r="C1413" s="236" t="s">
        <v>3583</v>
      </c>
      <c r="D1413" s="206">
        <v>40751</v>
      </c>
      <c r="E1413" s="138" t="s">
        <v>7818</v>
      </c>
    </row>
    <row r="1414" spans="1:5" ht="18.75">
      <c r="A1414" s="89" t="str">
        <f t="shared" si="22"/>
        <v>#08550</v>
      </c>
      <c r="B1414" s="138" t="s">
        <v>3586</v>
      </c>
      <c r="C1414" s="236" t="s">
        <v>3585</v>
      </c>
      <c r="D1414" s="206">
        <v>40752</v>
      </c>
      <c r="E1414" s="138" t="s">
        <v>752</v>
      </c>
    </row>
    <row r="1415" spans="1:5" ht="18.75">
      <c r="A1415" s="89" t="str">
        <f t="shared" si="22"/>
        <v>#08552</v>
      </c>
      <c r="B1415" s="138" t="s">
        <v>3588</v>
      </c>
      <c r="C1415" s="236" t="s">
        <v>3587</v>
      </c>
      <c r="D1415" s="206">
        <v>40757</v>
      </c>
      <c r="E1415" s="138" t="s">
        <v>1004</v>
      </c>
    </row>
    <row r="1416" spans="1:5" ht="18.75">
      <c r="A1416" s="89" t="str">
        <f t="shared" si="22"/>
        <v>#08553</v>
      </c>
      <c r="B1416" s="138" t="s">
        <v>3590</v>
      </c>
      <c r="C1416" s="236" t="s">
        <v>3589</v>
      </c>
      <c r="D1416" s="206">
        <v>40757</v>
      </c>
      <c r="E1416" s="138" t="s">
        <v>895</v>
      </c>
    </row>
    <row r="1417" spans="1:5" ht="18.75">
      <c r="A1417" s="89" t="str">
        <f t="shared" si="22"/>
        <v>#08554</v>
      </c>
      <c r="B1417" s="138" t="s">
        <v>3592</v>
      </c>
      <c r="C1417" s="236" t="s">
        <v>3591</v>
      </c>
      <c r="D1417" s="206">
        <v>40757</v>
      </c>
      <c r="E1417" s="138" t="s">
        <v>721</v>
      </c>
    </row>
    <row r="1418" spans="1:5" ht="18.75">
      <c r="A1418" s="89" t="str">
        <f t="shared" si="22"/>
        <v>#08555</v>
      </c>
      <c r="B1418" s="138" t="s">
        <v>3593</v>
      </c>
      <c r="C1418" s="236" t="s">
        <v>979</v>
      </c>
      <c r="D1418" s="206">
        <v>40757</v>
      </c>
      <c r="E1418" s="138" t="s">
        <v>721</v>
      </c>
    </row>
    <row r="1419" spans="1:5" ht="18.75">
      <c r="A1419" s="89" t="str">
        <f t="shared" si="22"/>
        <v>#08556</v>
      </c>
      <c r="B1419" s="138" t="s">
        <v>3595</v>
      </c>
      <c r="C1419" s="236" t="s">
        <v>3594</v>
      </c>
      <c r="D1419" s="206">
        <v>40757</v>
      </c>
      <c r="E1419" s="138" t="s">
        <v>721</v>
      </c>
    </row>
    <row r="1420" spans="1:5" ht="18.75">
      <c r="A1420" s="89" t="str">
        <f t="shared" si="22"/>
        <v>#08557</v>
      </c>
      <c r="B1420" s="138" t="s">
        <v>3597</v>
      </c>
      <c r="C1420" s="236" t="s">
        <v>3596</v>
      </c>
      <c r="D1420" s="206">
        <v>40757</v>
      </c>
      <c r="E1420" s="138" t="s">
        <v>721</v>
      </c>
    </row>
    <row r="1421" spans="1:5" ht="18.75">
      <c r="A1421" s="89" t="str">
        <f t="shared" si="22"/>
        <v>#08561</v>
      </c>
      <c r="B1421" s="138" t="s">
        <v>3599</v>
      </c>
      <c r="C1421" s="236" t="s">
        <v>3598</v>
      </c>
      <c r="D1421" s="206">
        <v>40757</v>
      </c>
      <c r="E1421" s="138" t="s">
        <v>1133</v>
      </c>
    </row>
    <row r="1422" spans="1:5" ht="18.75">
      <c r="A1422" s="89" t="str">
        <f t="shared" si="22"/>
        <v>#08569</v>
      </c>
      <c r="B1422" s="138" t="s">
        <v>3600</v>
      </c>
      <c r="C1422" s="236" t="s">
        <v>2643</v>
      </c>
      <c r="D1422" s="206">
        <v>40763</v>
      </c>
      <c r="E1422" s="138" t="s">
        <v>985</v>
      </c>
    </row>
    <row r="1423" spans="1:5" ht="18.75">
      <c r="A1423" s="89" t="str">
        <f t="shared" si="22"/>
        <v>#08573</v>
      </c>
      <c r="B1423" s="138" t="s">
        <v>3602</v>
      </c>
      <c r="C1423" s="236" t="s">
        <v>3601</v>
      </c>
      <c r="D1423" s="206">
        <v>40763</v>
      </c>
      <c r="E1423" s="138" t="s">
        <v>985</v>
      </c>
    </row>
    <row r="1424" spans="1:5" ht="18.75">
      <c r="A1424" s="89" t="str">
        <f t="shared" si="22"/>
        <v>#08576</v>
      </c>
      <c r="B1424" s="138" t="s">
        <v>3604</v>
      </c>
      <c r="C1424" s="236" t="s">
        <v>3603</v>
      </c>
      <c r="D1424" s="206">
        <v>40763</v>
      </c>
      <c r="E1424" s="138" t="s">
        <v>1380</v>
      </c>
    </row>
    <row r="1425" spans="1:5" ht="18.75">
      <c r="A1425" s="89" t="str">
        <f t="shared" si="22"/>
        <v>#08577</v>
      </c>
      <c r="B1425" s="138" t="s">
        <v>3606</v>
      </c>
      <c r="C1425" s="236" t="s">
        <v>3605</v>
      </c>
      <c r="D1425" s="206">
        <v>40763</v>
      </c>
      <c r="E1425" s="138" t="s">
        <v>8037</v>
      </c>
    </row>
    <row r="1426" spans="1:5" ht="18.75">
      <c r="A1426" s="89" t="str">
        <f t="shared" si="22"/>
        <v>#08605</v>
      </c>
      <c r="B1426" s="138" t="s">
        <v>3607</v>
      </c>
      <c r="C1426" s="236" t="s">
        <v>3407</v>
      </c>
      <c r="D1426" s="206">
        <v>40763</v>
      </c>
      <c r="E1426" s="138" t="s">
        <v>7788</v>
      </c>
    </row>
    <row r="1427" spans="1:5" ht="18.75">
      <c r="A1427" s="89" t="str">
        <f t="shared" si="22"/>
        <v>#08611</v>
      </c>
      <c r="B1427" s="138" t="s">
        <v>3608</v>
      </c>
      <c r="C1427" s="236" t="s">
        <v>2474</v>
      </c>
      <c r="D1427" s="206">
        <v>40764</v>
      </c>
      <c r="E1427" s="138" t="s">
        <v>7818</v>
      </c>
    </row>
    <row r="1428" spans="1:5" ht="18.75">
      <c r="A1428" s="89" t="str">
        <f t="shared" si="22"/>
        <v>#08613</v>
      </c>
      <c r="B1428" s="138" t="s">
        <v>3610</v>
      </c>
      <c r="C1428" s="236" t="s">
        <v>3609</v>
      </c>
      <c r="D1428" s="206">
        <v>40764</v>
      </c>
      <c r="E1428" s="138" t="s">
        <v>7818</v>
      </c>
    </row>
    <row r="1429" spans="1:5" ht="18.75">
      <c r="A1429" s="89" t="str">
        <f t="shared" si="22"/>
        <v>#08614</v>
      </c>
      <c r="B1429" s="138" t="s">
        <v>3612</v>
      </c>
      <c r="C1429" s="236" t="s">
        <v>3611</v>
      </c>
      <c r="D1429" s="206">
        <v>40764</v>
      </c>
      <c r="E1429" s="138" t="s">
        <v>937</v>
      </c>
    </row>
    <row r="1430" spans="1:5" ht="18.75">
      <c r="A1430" s="89" t="str">
        <f t="shared" si="22"/>
        <v>#08620</v>
      </c>
      <c r="B1430" s="138" t="s">
        <v>3614</v>
      </c>
      <c r="C1430" s="236" t="s">
        <v>3613</v>
      </c>
      <c r="D1430" s="206">
        <v>40764</v>
      </c>
      <c r="E1430" s="138" t="s">
        <v>927</v>
      </c>
    </row>
    <row r="1431" spans="1:5" ht="18.75">
      <c r="A1431" s="89" t="str">
        <f t="shared" si="22"/>
        <v>#08621</v>
      </c>
      <c r="B1431" s="138" t="s">
        <v>3616</v>
      </c>
      <c r="C1431" s="236" t="s">
        <v>3615</v>
      </c>
      <c r="D1431" s="206">
        <v>40764</v>
      </c>
      <c r="E1431" s="138" t="s">
        <v>8037</v>
      </c>
    </row>
    <row r="1432" spans="1:5" ht="18.75">
      <c r="A1432" s="89" t="str">
        <f t="shared" si="22"/>
        <v>#08622</v>
      </c>
      <c r="B1432" s="138" t="s">
        <v>3618</v>
      </c>
      <c r="C1432" s="236" t="s">
        <v>3617</v>
      </c>
      <c r="D1432" s="206">
        <v>40764</v>
      </c>
      <c r="E1432" s="138" t="s">
        <v>8037</v>
      </c>
    </row>
    <row r="1433" spans="1:5" ht="18.75">
      <c r="A1433" s="89" t="str">
        <f t="shared" si="22"/>
        <v>#08632</v>
      </c>
      <c r="B1433" s="138" t="s">
        <v>3620</v>
      </c>
      <c r="C1433" s="236" t="s">
        <v>3619</v>
      </c>
      <c r="D1433" s="206">
        <v>40770</v>
      </c>
      <c r="E1433" s="138" t="s">
        <v>890</v>
      </c>
    </row>
    <row r="1434" spans="1:5" ht="18.75">
      <c r="A1434" s="89" t="str">
        <f t="shared" si="22"/>
        <v>#08633</v>
      </c>
      <c r="B1434" s="138" t="s">
        <v>3622</v>
      </c>
      <c r="C1434" s="236" t="s">
        <v>3621</v>
      </c>
      <c r="D1434" s="206">
        <v>40770</v>
      </c>
      <c r="E1434" s="138" t="s">
        <v>890</v>
      </c>
    </row>
    <row r="1435" spans="1:5" ht="18.75">
      <c r="A1435" s="89" t="str">
        <f t="shared" si="22"/>
        <v>#08637</v>
      </c>
      <c r="B1435" s="138" t="s">
        <v>3624</v>
      </c>
      <c r="C1435" s="236" t="s">
        <v>3623</v>
      </c>
      <c r="D1435" s="206">
        <v>40770</v>
      </c>
      <c r="E1435" s="138" t="s">
        <v>985</v>
      </c>
    </row>
    <row r="1436" spans="1:5" ht="18.75">
      <c r="A1436" s="89" t="str">
        <f t="shared" si="22"/>
        <v>#08674</v>
      </c>
      <c r="B1436" s="138" t="s">
        <v>3626</v>
      </c>
      <c r="C1436" s="236" t="s">
        <v>3625</v>
      </c>
      <c r="D1436" s="206">
        <v>40774</v>
      </c>
      <c r="E1436" s="138" t="s">
        <v>7818</v>
      </c>
    </row>
    <row r="1437" spans="1:5" ht="18.75">
      <c r="A1437" s="89" t="str">
        <f t="shared" si="22"/>
        <v>#08678</v>
      </c>
      <c r="B1437" s="138" t="s">
        <v>3628</v>
      </c>
      <c r="C1437" s="236" t="s">
        <v>3627</v>
      </c>
      <c r="D1437" s="206">
        <v>40774</v>
      </c>
      <c r="E1437" s="138" t="s">
        <v>7818</v>
      </c>
    </row>
    <row r="1438" spans="1:5" ht="18.75">
      <c r="A1438" s="89" t="str">
        <f t="shared" si="22"/>
        <v>#08682</v>
      </c>
      <c r="B1438" s="138" t="s">
        <v>3630</v>
      </c>
      <c r="C1438" s="236" t="s">
        <v>3629</v>
      </c>
      <c r="D1438" s="206">
        <v>40774</v>
      </c>
      <c r="E1438" s="138" t="s">
        <v>7818</v>
      </c>
    </row>
    <row r="1439" spans="1:5" ht="18.75">
      <c r="A1439" s="89" t="str">
        <f t="shared" si="22"/>
        <v>#08685</v>
      </c>
      <c r="B1439" s="138" t="s">
        <v>3631</v>
      </c>
      <c r="C1439" s="236" t="s">
        <v>2146</v>
      </c>
      <c r="D1439" s="206">
        <v>40774</v>
      </c>
      <c r="E1439" s="138" t="s">
        <v>895</v>
      </c>
    </row>
    <row r="1440" spans="1:5" ht="18.75">
      <c r="A1440" s="89" t="str">
        <f t="shared" si="22"/>
        <v>#08725</v>
      </c>
      <c r="B1440" s="138" t="s">
        <v>3633</v>
      </c>
      <c r="C1440" s="236" t="s">
        <v>3632</v>
      </c>
      <c r="D1440" s="206">
        <v>40781</v>
      </c>
      <c r="E1440" s="138" t="s">
        <v>1098</v>
      </c>
    </row>
    <row r="1441" spans="1:5" ht="18.75">
      <c r="A1441" s="89" t="str">
        <f t="shared" si="22"/>
        <v>#08739</v>
      </c>
      <c r="B1441" s="138" t="s">
        <v>3635</v>
      </c>
      <c r="C1441" s="236" t="s">
        <v>3634</v>
      </c>
      <c r="D1441" s="206">
        <v>40781</v>
      </c>
      <c r="E1441" s="138" t="s">
        <v>1133</v>
      </c>
    </row>
    <row r="1442" spans="1:5" ht="18.75">
      <c r="A1442" s="89" t="str">
        <f t="shared" si="22"/>
        <v>#08742</v>
      </c>
      <c r="B1442" s="138" t="s">
        <v>3637</v>
      </c>
      <c r="C1442" s="236" t="s">
        <v>3636</v>
      </c>
      <c r="D1442" s="206">
        <v>40782</v>
      </c>
      <c r="E1442" s="138" t="s">
        <v>895</v>
      </c>
    </row>
    <row r="1443" spans="1:5" ht="18.75">
      <c r="A1443" s="89" t="str">
        <f t="shared" si="22"/>
        <v>#08755</v>
      </c>
      <c r="B1443" s="138" t="s">
        <v>3639</v>
      </c>
      <c r="C1443" s="236" t="s">
        <v>3638</v>
      </c>
      <c r="D1443" s="206">
        <v>40791</v>
      </c>
      <c r="E1443" s="138" t="s">
        <v>1191</v>
      </c>
    </row>
    <row r="1444" spans="1:5" ht="18.75">
      <c r="A1444" s="89" t="str">
        <f t="shared" si="22"/>
        <v>#08756</v>
      </c>
      <c r="B1444" s="138" t="s">
        <v>3641</v>
      </c>
      <c r="C1444" s="236" t="s">
        <v>3640</v>
      </c>
      <c r="D1444" s="206">
        <v>40791</v>
      </c>
      <c r="E1444" s="138" t="s">
        <v>1191</v>
      </c>
    </row>
    <row r="1445" spans="1:5" ht="18.75">
      <c r="A1445" s="89" t="str">
        <f t="shared" si="22"/>
        <v>#08764</v>
      </c>
      <c r="B1445" s="138" t="s">
        <v>3643</v>
      </c>
      <c r="C1445" s="236" t="s">
        <v>3642</v>
      </c>
      <c r="D1445" s="206">
        <v>40794</v>
      </c>
      <c r="E1445" s="138" t="s">
        <v>7818</v>
      </c>
    </row>
    <row r="1446" spans="1:5" ht="18.75">
      <c r="A1446" s="89" t="str">
        <f t="shared" si="22"/>
        <v>#08778</v>
      </c>
      <c r="B1446" s="138" t="s">
        <v>3645</v>
      </c>
      <c r="C1446" s="236" t="s">
        <v>3644</v>
      </c>
      <c r="D1446" s="206">
        <v>40794</v>
      </c>
      <c r="E1446" s="138" t="s">
        <v>985</v>
      </c>
    </row>
    <row r="1447" spans="1:5" ht="18.75">
      <c r="A1447" s="89" t="str">
        <f t="shared" si="22"/>
        <v>#08787</v>
      </c>
      <c r="B1447" s="138" t="s">
        <v>3647</v>
      </c>
      <c r="C1447" s="236" t="s">
        <v>3646</v>
      </c>
      <c r="D1447" s="206">
        <v>40795</v>
      </c>
      <c r="E1447" s="138" t="s">
        <v>1255</v>
      </c>
    </row>
    <row r="1448" spans="1:5" ht="18.75">
      <c r="A1448" s="89" t="str">
        <f t="shared" si="22"/>
        <v>#08788</v>
      </c>
      <c r="B1448" s="138" t="s">
        <v>3648</v>
      </c>
      <c r="C1448" s="236" t="s">
        <v>2260</v>
      </c>
      <c r="D1448" s="206">
        <v>40798</v>
      </c>
      <c r="E1448" s="138" t="s">
        <v>1043</v>
      </c>
    </row>
    <row r="1449" spans="1:5" ht="18.75">
      <c r="A1449" s="89" t="str">
        <f t="shared" si="22"/>
        <v>#08790</v>
      </c>
      <c r="B1449" s="138" t="s">
        <v>3650</v>
      </c>
      <c r="C1449" s="236" t="s">
        <v>3649</v>
      </c>
      <c r="D1449" s="206">
        <v>40801</v>
      </c>
      <c r="E1449" s="138" t="s">
        <v>978</v>
      </c>
    </row>
    <row r="1450" spans="1:5" ht="18.75">
      <c r="A1450" s="89" t="str">
        <f t="shared" si="22"/>
        <v>#08799</v>
      </c>
      <c r="B1450" s="138" t="s">
        <v>3652</v>
      </c>
      <c r="C1450" s="236" t="s">
        <v>3651</v>
      </c>
      <c r="D1450" s="206">
        <v>40802</v>
      </c>
      <c r="E1450" s="138" t="s">
        <v>927</v>
      </c>
    </row>
    <row r="1451" spans="1:5" ht="18.75">
      <c r="A1451" s="89" t="str">
        <f t="shared" si="22"/>
        <v>#08827</v>
      </c>
      <c r="B1451" s="138" t="s">
        <v>3654</v>
      </c>
      <c r="C1451" s="236" t="s">
        <v>3653</v>
      </c>
      <c r="D1451" s="206">
        <v>40805</v>
      </c>
      <c r="E1451" s="138" t="s">
        <v>985</v>
      </c>
    </row>
    <row r="1452" spans="1:5" ht="18.75">
      <c r="A1452" s="89" t="str">
        <f t="shared" si="22"/>
        <v>#08838</v>
      </c>
      <c r="B1452" s="138" t="s">
        <v>3655</v>
      </c>
      <c r="C1452" s="236" t="s">
        <v>2049</v>
      </c>
      <c r="D1452" s="206">
        <v>40806</v>
      </c>
      <c r="E1452" s="138" t="s">
        <v>1063</v>
      </c>
    </row>
    <row r="1453" spans="1:5" ht="18.75">
      <c r="A1453" s="89" t="str">
        <f t="shared" si="22"/>
        <v>#08855</v>
      </c>
      <c r="B1453" s="138" t="s">
        <v>3657</v>
      </c>
      <c r="C1453" s="236" t="s">
        <v>3656</v>
      </c>
      <c r="D1453" s="206">
        <v>40819</v>
      </c>
      <c r="E1453" s="138" t="s">
        <v>1063</v>
      </c>
    </row>
    <row r="1454" spans="1:5" ht="18.75">
      <c r="A1454" s="89" t="str">
        <f t="shared" si="22"/>
        <v>#08870</v>
      </c>
      <c r="B1454" s="138" t="s">
        <v>3659</v>
      </c>
      <c r="C1454" s="236" t="s">
        <v>3658</v>
      </c>
      <c r="D1454" s="206">
        <v>40820</v>
      </c>
      <c r="E1454" s="138" t="s">
        <v>937</v>
      </c>
    </row>
    <row r="1455" spans="1:5" ht="18.75">
      <c r="A1455" s="89" t="str">
        <f t="shared" si="22"/>
        <v>#08873</v>
      </c>
      <c r="B1455" s="138" t="s">
        <v>3660</v>
      </c>
      <c r="C1455" s="236" t="s">
        <v>3478</v>
      </c>
      <c r="D1455" s="206">
        <v>40820</v>
      </c>
      <c r="E1455" s="138" t="s">
        <v>1133</v>
      </c>
    </row>
    <row r="1456" spans="1:5" ht="18.75">
      <c r="A1456" s="89" t="str">
        <f t="shared" si="22"/>
        <v>#08882</v>
      </c>
      <c r="B1456" s="138" t="s">
        <v>3662</v>
      </c>
      <c r="C1456" s="236" t="s">
        <v>2551</v>
      </c>
      <c r="D1456" s="206">
        <v>40834</v>
      </c>
      <c r="E1456" s="138" t="s">
        <v>934</v>
      </c>
    </row>
    <row r="1457" spans="1:5" ht="18.75">
      <c r="A1457" s="89" t="str">
        <f t="shared" si="22"/>
        <v>#08886</v>
      </c>
      <c r="B1457" s="138" t="s">
        <v>3663</v>
      </c>
      <c r="C1457" s="236" t="s">
        <v>2647</v>
      </c>
      <c r="D1457" s="206">
        <v>40841</v>
      </c>
      <c r="E1457" s="138" t="s">
        <v>752</v>
      </c>
    </row>
    <row r="1458" spans="1:5" ht="18.75">
      <c r="A1458" s="89" t="str">
        <f t="shared" si="22"/>
        <v>#08889</v>
      </c>
      <c r="B1458" s="138" t="s">
        <v>3665</v>
      </c>
      <c r="C1458" s="236" t="s">
        <v>3664</v>
      </c>
      <c r="D1458" s="206">
        <v>40841</v>
      </c>
      <c r="E1458" s="138" t="s">
        <v>1191</v>
      </c>
    </row>
    <row r="1459" spans="1:5" ht="18.75">
      <c r="A1459" s="89" t="str">
        <f t="shared" si="22"/>
        <v>#08894</v>
      </c>
      <c r="B1459" s="138" t="s">
        <v>3667</v>
      </c>
      <c r="C1459" s="236" t="s">
        <v>3666</v>
      </c>
      <c r="D1459" s="206">
        <v>40855</v>
      </c>
      <c r="E1459" s="138" t="s">
        <v>1191</v>
      </c>
    </row>
    <row r="1460" spans="1:5" ht="18.75">
      <c r="A1460" s="89" t="str">
        <f t="shared" si="22"/>
        <v>#08898</v>
      </c>
      <c r="B1460" s="138" t="s">
        <v>3669</v>
      </c>
      <c r="C1460" s="236" t="s">
        <v>3668</v>
      </c>
      <c r="D1460" s="206">
        <v>40855</v>
      </c>
      <c r="E1460" s="138" t="s">
        <v>1191</v>
      </c>
    </row>
    <row r="1461" spans="1:5" ht="18.75">
      <c r="A1461" s="89" t="str">
        <f t="shared" si="22"/>
        <v>#08900</v>
      </c>
      <c r="B1461" s="138" t="s">
        <v>3671</v>
      </c>
      <c r="C1461" s="236" t="s">
        <v>3670</v>
      </c>
      <c r="D1461" s="206">
        <v>40861</v>
      </c>
      <c r="E1461" s="138" t="s">
        <v>906</v>
      </c>
    </row>
    <row r="1462" spans="1:5" ht="18.75">
      <c r="A1462" s="89" t="str">
        <f t="shared" si="22"/>
        <v>#08901</v>
      </c>
      <c r="B1462" s="138" t="s">
        <v>3673</v>
      </c>
      <c r="C1462" s="236" t="s">
        <v>3672</v>
      </c>
      <c r="D1462" s="206">
        <v>40861</v>
      </c>
      <c r="E1462" s="138" t="s">
        <v>906</v>
      </c>
    </row>
    <row r="1463" spans="1:5" ht="18.75">
      <c r="A1463" s="89" t="str">
        <f t="shared" si="22"/>
        <v>#08902</v>
      </c>
      <c r="B1463" s="138" t="s">
        <v>3675</v>
      </c>
      <c r="C1463" s="236" t="s">
        <v>3674</v>
      </c>
      <c r="D1463" s="206">
        <v>40861</v>
      </c>
      <c r="E1463" s="138" t="s">
        <v>906</v>
      </c>
    </row>
    <row r="1464" spans="1:5" ht="18.75">
      <c r="A1464" s="89" t="str">
        <f t="shared" si="22"/>
        <v>#08907</v>
      </c>
      <c r="B1464" s="138" t="s">
        <v>3677</v>
      </c>
      <c r="C1464" s="236" t="s">
        <v>3676</v>
      </c>
      <c r="D1464" s="206">
        <v>40861</v>
      </c>
      <c r="E1464" s="138" t="s">
        <v>906</v>
      </c>
    </row>
    <row r="1465" spans="1:5" ht="18.75">
      <c r="A1465" s="89" t="str">
        <f t="shared" si="22"/>
        <v>#08909</v>
      </c>
      <c r="B1465" s="138" t="s">
        <v>3679</v>
      </c>
      <c r="C1465" s="236" t="s">
        <v>3678</v>
      </c>
      <c r="D1465" s="206">
        <v>40864</v>
      </c>
      <c r="E1465" s="138" t="s">
        <v>937</v>
      </c>
    </row>
    <row r="1466" spans="1:5" ht="18.75">
      <c r="A1466" s="89" t="str">
        <f t="shared" si="22"/>
        <v>#08917</v>
      </c>
      <c r="B1466" s="138" t="s">
        <v>3680</v>
      </c>
      <c r="C1466" s="236" t="s">
        <v>1070</v>
      </c>
      <c r="D1466" s="206">
        <v>40864</v>
      </c>
      <c r="E1466" s="138" t="s">
        <v>8037</v>
      </c>
    </row>
    <row r="1467" spans="1:5" ht="18.75">
      <c r="A1467" s="89" t="str">
        <f t="shared" si="22"/>
        <v>#08924</v>
      </c>
      <c r="B1467" s="138" t="s">
        <v>3681</v>
      </c>
      <c r="C1467" s="236" t="s">
        <v>1340</v>
      </c>
      <c r="D1467" s="206">
        <v>40871</v>
      </c>
      <c r="E1467" s="138" t="s">
        <v>937</v>
      </c>
    </row>
    <row r="1468" spans="1:5" ht="18.75">
      <c r="A1468" s="89" t="str">
        <f t="shared" si="22"/>
        <v>#08941</v>
      </c>
      <c r="B1468" s="138" t="s">
        <v>3683</v>
      </c>
      <c r="C1468" s="236" t="s">
        <v>3682</v>
      </c>
      <c r="D1468" s="206">
        <v>40878</v>
      </c>
      <c r="E1468" s="138" t="s">
        <v>1168</v>
      </c>
    </row>
    <row r="1469" spans="1:5" ht="18.75">
      <c r="A1469" s="89" t="str">
        <f t="shared" si="22"/>
        <v>#08945</v>
      </c>
      <c r="B1469" s="138" t="s">
        <v>3685</v>
      </c>
      <c r="C1469" s="236" t="s">
        <v>3684</v>
      </c>
      <c r="D1469" s="206">
        <v>40879</v>
      </c>
      <c r="E1469" s="138" t="s">
        <v>1085</v>
      </c>
    </row>
    <row r="1470" spans="1:5" ht="18.75">
      <c r="A1470" s="89" t="str">
        <f t="shared" si="22"/>
        <v>#08949</v>
      </c>
      <c r="B1470" s="138" t="s">
        <v>3687</v>
      </c>
      <c r="C1470" s="236" t="s">
        <v>3686</v>
      </c>
      <c r="D1470" s="206">
        <v>40886</v>
      </c>
      <c r="E1470" s="138" t="s">
        <v>895</v>
      </c>
    </row>
    <row r="1471" spans="1:5" ht="18.75">
      <c r="A1471" s="89" t="str">
        <f t="shared" si="22"/>
        <v>#08954</v>
      </c>
      <c r="B1471" s="138" t="s">
        <v>3689</v>
      </c>
      <c r="C1471" s="236" t="s">
        <v>3688</v>
      </c>
      <c r="D1471" s="206">
        <v>40886</v>
      </c>
      <c r="E1471" s="138" t="s">
        <v>1255</v>
      </c>
    </row>
    <row r="1472" spans="1:5" ht="18.75">
      <c r="A1472" s="89" t="str">
        <f t="shared" si="22"/>
        <v>#08966</v>
      </c>
      <c r="B1472" s="138" t="s">
        <v>3690</v>
      </c>
      <c r="C1472" s="236" t="s">
        <v>2348</v>
      </c>
      <c r="D1472" s="206">
        <v>40889</v>
      </c>
      <c r="E1472" s="138" t="s">
        <v>895</v>
      </c>
    </row>
    <row r="1473" spans="1:5" ht="18.75">
      <c r="A1473" s="89" t="str">
        <f t="shared" si="22"/>
        <v>#08977</v>
      </c>
      <c r="B1473" s="138" t="s">
        <v>3692</v>
      </c>
      <c r="C1473" s="236" t="s">
        <v>3691</v>
      </c>
      <c r="D1473" s="206">
        <v>40890</v>
      </c>
      <c r="E1473" s="138" t="s">
        <v>895</v>
      </c>
    </row>
    <row r="1474" spans="1:5" ht="18.75">
      <c r="A1474" s="89" t="str">
        <f t="shared" si="22"/>
        <v>#08981</v>
      </c>
      <c r="B1474" s="138" t="s">
        <v>3694</v>
      </c>
      <c r="C1474" s="236" t="s">
        <v>3693</v>
      </c>
      <c r="D1474" s="206">
        <v>40894</v>
      </c>
      <c r="E1474" s="138" t="s">
        <v>895</v>
      </c>
    </row>
    <row r="1475" spans="1:5" ht="18.75">
      <c r="A1475" s="89" t="str">
        <f t="shared" ref="A1475:A1538" si="23">"#"&amp;B1475</f>
        <v>#09000</v>
      </c>
      <c r="B1475" s="138" t="s">
        <v>3695</v>
      </c>
      <c r="C1475" s="236" t="s">
        <v>2084</v>
      </c>
      <c r="D1475" s="206">
        <v>40940</v>
      </c>
      <c r="E1475" s="138" t="s">
        <v>895</v>
      </c>
    </row>
    <row r="1476" spans="1:5" ht="18.75">
      <c r="A1476" s="89" t="str">
        <f t="shared" si="23"/>
        <v>#09010</v>
      </c>
      <c r="B1476" s="138" t="s">
        <v>3696</v>
      </c>
      <c r="C1476" s="236" t="s">
        <v>996</v>
      </c>
      <c r="D1476" s="206">
        <v>40945</v>
      </c>
      <c r="E1476" s="138" t="s">
        <v>895</v>
      </c>
    </row>
    <row r="1477" spans="1:5" ht="18.75">
      <c r="A1477" s="89" t="str">
        <f t="shared" si="23"/>
        <v>#09013</v>
      </c>
      <c r="B1477" s="138" t="s">
        <v>3698</v>
      </c>
      <c r="C1477" s="236" t="s">
        <v>3697</v>
      </c>
      <c r="D1477" s="206">
        <v>40945</v>
      </c>
      <c r="E1477" s="138" t="s">
        <v>8037</v>
      </c>
    </row>
    <row r="1478" spans="1:5" ht="18.75">
      <c r="A1478" s="89" t="str">
        <f t="shared" si="23"/>
        <v>#09021</v>
      </c>
      <c r="B1478" s="138" t="s">
        <v>3699</v>
      </c>
      <c r="C1478" s="236" t="s">
        <v>996</v>
      </c>
      <c r="D1478" s="206">
        <v>40945</v>
      </c>
      <c r="E1478" s="138" t="s">
        <v>7818</v>
      </c>
    </row>
    <row r="1479" spans="1:5" ht="18.75">
      <c r="A1479" s="89" t="str">
        <f t="shared" si="23"/>
        <v>#09022</v>
      </c>
      <c r="B1479" s="138" t="s">
        <v>3701</v>
      </c>
      <c r="C1479" s="236" t="s">
        <v>3700</v>
      </c>
      <c r="D1479" s="206">
        <v>40945</v>
      </c>
      <c r="E1479" s="138" t="s">
        <v>7818</v>
      </c>
    </row>
    <row r="1480" spans="1:5" ht="18.75">
      <c r="A1480" s="89" t="str">
        <f t="shared" si="23"/>
        <v>#09028</v>
      </c>
      <c r="B1480" s="138" t="s">
        <v>3703</v>
      </c>
      <c r="C1480" s="236" t="s">
        <v>3702</v>
      </c>
      <c r="D1480" s="206">
        <v>40945</v>
      </c>
      <c r="E1480" s="138" t="s">
        <v>937</v>
      </c>
    </row>
    <row r="1481" spans="1:5" ht="18.75">
      <c r="A1481" s="89" t="str">
        <f t="shared" si="23"/>
        <v>#09038</v>
      </c>
      <c r="B1481" s="138" t="s">
        <v>3704</v>
      </c>
      <c r="C1481" s="236" t="s">
        <v>3018</v>
      </c>
      <c r="D1481" s="206">
        <v>40945</v>
      </c>
      <c r="E1481" s="138" t="s">
        <v>1133</v>
      </c>
    </row>
    <row r="1482" spans="1:5" ht="18.75">
      <c r="A1482" s="89" t="str">
        <f t="shared" si="23"/>
        <v>#09040</v>
      </c>
      <c r="B1482" s="138" t="s">
        <v>3706</v>
      </c>
      <c r="C1482" s="236" t="s">
        <v>3705</v>
      </c>
      <c r="D1482" s="206">
        <v>40946</v>
      </c>
      <c r="E1482" s="138" t="s">
        <v>895</v>
      </c>
    </row>
    <row r="1483" spans="1:5" ht="18.75">
      <c r="A1483" s="89" t="str">
        <f t="shared" si="23"/>
        <v>#09043</v>
      </c>
      <c r="B1483" s="138" t="s">
        <v>3708</v>
      </c>
      <c r="C1483" s="236" t="s">
        <v>3707</v>
      </c>
      <c r="D1483" s="206">
        <v>40946</v>
      </c>
      <c r="E1483" s="138" t="s">
        <v>8037</v>
      </c>
    </row>
    <row r="1484" spans="1:5" ht="18.75">
      <c r="A1484" s="89" t="str">
        <f t="shared" si="23"/>
        <v>#09050</v>
      </c>
      <c r="B1484" s="138" t="s">
        <v>3709</v>
      </c>
      <c r="C1484" s="236" t="s">
        <v>2324</v>
      </c>
      <c r="D1484" s="206">
        <v>40946</v>
      </c>
      <c r="E1484" s="138" t="s">
        <v>7818</v>
      </c>
    </row>
    <row r="1485" spans="1:5" ht="18.75">
      <c r="A1485" s="89" t="str">
        <f t="shared" si="23"/>
        <v>#09056</v>
      </c>
      <c r="B1485" s="138" t="s">
        <v>3712</v>
      </c>
      <c r="C1485" s="236" t="s">
        <v>3711</v>
      </c>
      <c r="D1485" s="206">
        <v>40946</v>
      </c>
      <c r="E1485" s="138" t="s">
        <v>1133</v>
      </c>
    </row>
    <row r="1486" spans="1:5" ht="18.75">
      <c r="A1486" s="89" t="str">
        <f t="shared" si="23"/>
        <v>#09059</v>
      </c>
      <c r="B1486" s="138" t="s">
        <v>3714</v>
      </c>
      <c r="C1486" s="236" t="s">
        <v>3713</v>
      </c>
      <c r="D1486" s="206">
        <v>40946</v>
      </c>
      <c r="E1486" s="138" t="s">
        <v>1133</v>
      </c>
    </row>
    <row r="1487" spans="1:5" ht="18.75">
      <c r="A1487" s="89" t="str">
        <f t="shared" si="23"/>
        <v>#09062</v>
      </c>
      <c r="B1487" s="138" t="s">
        <v>3716</v>
      </c>
      <c r="C1487" s="236" t="s">
        <v>3715</v>
      </c>
      <c r="D1487" s="206">
        <v>40952</v>
      </c>
      <c r="E1487" s="138" t="s">
        <v>895</v>
      </c>
    </row>
    <row r="1488" spans="1:5" ht="18.75">
      <c r="A1488" s="89" t="str">
        <f t="shared" si="23"/>
        <v>#09063</v>
      </c>
      <c r="B1488" s="138" t="s">
        <v>3718</v>
      </c>
      <c r="C1488" s="236" t="s">
        <v>3717</v>
      </c>
      <c r="D1488" s="206">
        <v>40952</v>
      </c>
      <c r="E1488" s="138" t="s">
        <v>985</v>
      </c>
    </row>
    <row r="1489" spans="1:5" ht="18.75">
      <c r="A1489" s="89" t="str">
        <f t="shared" si="23"/>
        <v>#09074</v>
      </c>
      <c r="B1489" s="138" t="s">
        <v>3720</v>
      </c>
      <c r="C1489" s="236" t="s">
        <v>3719</v>
      </c>
      <c r="D1489" s="206">
        <v>40952</v>
      </c>
      <c r="E1489" s="138" t="s">
        <v>1034</v>
      </c>
    </row>
    <row r="1490" spans="1:5" ht="18.75">
      <c r="A1490" s="89" t="str">
        <f t="shared" si="23"/>
        <v>#09077</v>
      </c>
      <c r="B1490" s="138" t="s">
        <v>3722</v>
      </c>
      <c r="C1490" s="236" t="s">
        <v>3721</v>
      </c>
      <c r="D1490" s="206">
        <v>40952</v>
      </c>
      <c r="E1490" s="138" t="s">
        <v>895</v>
      </c>
    </row>
    <row r="1491" spans="1:5" ht="18.75">
      <c r="A1491" s="89" t="str">
        <f t="shared" si="23"/>
        <v>#09084</v>
      </c>
      <c r="B1491" s="138" t="s">
        <v>3724</v>
      </c>
      <c r="C1491" s="236" t="s">
        <v>3723</v>
      </c>
      <c r="D1491" s="206">
        <v>40953</v>
      </c>
      <c r="E1491" s="138" t="s">
        <v>1133</v>
      </c>
    </row>
    <row r="1492" spans="1:5" ht="18.75">
      <c r="A1492" s="89" t="str">
        <f t="shared" si="23"/>
        <v>#09088</v>
      </c>
      <c r="B1492" s="138" t="s">
        <v>3726</v>
      </c>
      <c r="C1492" s="236" t="s">
        <v>3725</v>
      </c>
      <c r="D1492" s="206">
        <v>40953</v>
      </c>
      <c r="E1492" s="138" t="s">
        <v>1133</v>
      </c>
    </row>
    <row r="1493" spans="1:5" ht="18.75">
      <c r="A1493" s="89" t="str">
        <f t="shared" si="23"/>
        <v>#09089</v>
      </c>
      <c r="B1493" s="138" t="s">
        <v>3727</v>
      </c>
      <c r="C1493" s="236" t="s">
        <v>1142</v>
      </c>
      <c r="D1493" s="206">
        <v>40953</v>
      </c>
      <c r="E1493" s="138" t="s">
        <v>985</v>
      </c>
    </row>
    <row r="1494" spans="1:5" ht="18.75">
      <c r="A1494" s="89" t="str">
        <f t="shared" si="23"/>
        <v>#09096</v>
      </c>
      <c r="B1494" s="138" t="s">
        <v>3729</v>
      </c>
      <c r="C1494" s="236" t="s">
        <v>3728</v>
      </c>
      <c r="D1494" s="206">
        <v>40956</v>
      </c>
      <c r="E1494" s="138" t="s">
        <v>937</v>
      </c>
    </row>
    <row r="1495" spans="1:5" ht="18.75">
      <c r="A1495" s="89" t="str">
        <f t="shared" si="23"/>
        <v>#09099</v>
      </c>
      <c r="B1495" s="138" t="s">
        <v>3731</v>
      </c>
      <c r="C1495" s="236" t="s">
        <v>3730</v>
      </c>
      <c r="D1495" s="206">
        <v>40959</v>
      </c>
      <c r="E1495" s="138" t="s">
        <v>915</v>
      </c>
    </row>
    <row r="1496" spans="1:5" ht="18.75">
      <c r="A1496" s="89" t="str">
        <f t="shared" si="23"/>
        <v>#09101</v>
      </c>
      <c r="B1496" s="138" t="s">
        <v>3733</v>
      </c>
      <c r="C1496" s="236" t="s">
        <v>3732</v>
      </c>
      <c r="D1496" s="206">
        <v>40959</v>
      </c>
      <c r="E1496" s="138" t="s">
        <v>1380</v>
      </c>
    </row>
    <row r="1497" spans="1:5" ht="18.75">
      <c r="A1497" s="89" t="str">
        <f t="shared" si="23"/>
        <v>#09106</v>
      </c>
      <c r="B1497" s="138" t="s">
        <v>3735</v>
      </c>
      <c r="C1497" s="236" t="s">
        <v>3734</v>
      </c>
      <c r="D1497" s="206">
        <v>41037</v>
      </c>
      <c r="E1497" s="138" t="s">
        <v>1188</v>
      </c>
    </row>
    <row r="1498" spans="1:5" ht="18.75">
      <c r="A1498" s="89" t="str">
        <f t="shared" si="23"/>
        <v>#09107</v>
      </c>
      <c r="B1498" s="138" t="s">
        <v>3737</v>
      </c>
      <c r="C1498" s="236" t="s">
        <v>3736</v>
      </c>
      <c r="D1498" s="206">
        <v>41037</v>
      </c>
      <c r="E1498" s="138" t="s">
        <v>1188</v>
      </c>
    </row>
    <row r="1499" spans="1:5" ht="18.75">
      <c r="A1499" s="89" t="str">
        <f t="shared" si="23"/>
        <v>#09128</v>
      </c>
      <c r="B1499" s="138" t="s">
        <v>3739</v>
      </c>
      <c r="C1499" s="236" t="s">
        <v>3738</v>
      </c>
      <c r="D1499" s="206">
        <v>41038</v>
      </c>
      <c r="E1499" s="138" t="s">
        <v>1188</v>
      </c>
    </row>
    <row r="1500" spans="1:5" ht="18.75">
      <c r="A1500" s="89" t="str">
        <f t="shared" si="23"/>
        <v>#09133</v>
      </c>
      <c r="B1500" s="138" t="s">
        <v>3740</v>
      </c>
      <c r="C1500" s="236" t="s">
        <v>2240</v>
      </c>
      <c r="D1500" s="206">
        <v>41043</v>
      </c>
      <c r="E1500" s="138" t="s">
        <v>1188</v>
      </c>
    </row>
    <row r="1501" spans="1:5" ht="18.75">
      <c r="A1501" s="89" t="str">
        <f t="shared" si="23"/>
        <v>#09137</v>
      </c>
      <c r="B1501" s="138" t="s">
        <v>3742</v>
      </c>
      <c r="C1501" s="236" t="s">
        <v>3741</v>
      </c>
      <c r="D1501" s="206">
        <v>41037</v>
      </c>
      <c r="E1501" s="138" t="s">
        <v>1188</v>
      </c>
    </row>
    <row r="1502" spans="1:5" ht="18.75">
      <c r="A1502" s="89" t="str">
        <f t="shared" si="23"/>
        <v>#09145</v>
      </c>
      <c r="B1502" s="138" t="s">
        <v>3744</v>
      </c>
      <c r="C1502" s="236" t="s">
        <v>3743</v>
      </c>
      <c r="D1502" s="206">
        <v>40969</v>
      </c>
      <c r="E1502" s="138" t="s">
        <v>752</v>
      </c>
    </row>
    <row r="1503" spans="1:5" ht="18.75">
      <c r="A1503" s="89" t="str">
        <f t="shared" si="23"/>
        <v>#09146</v>
      </c>
      <c r="B1503" s="138" t="s">
        <v>3746</v>
      </c>
      <c r="C1503" s="236" t="s">
        <v>3745</v>
      </c>
      <c r="D1503" s="206">
        <v>40945</v>
      </c>
      <c r="E1503" s="138" t="s">
        <v>937</v>
      </c>
    </row>
    <row r="1504" spans="1:5" ht="18.75">
      <c r="A1504" s="89" t="str">
        <f t="shared" si="23"/>
        <v>#09153</v>
      </c>
      <c r="B1504" s="138" t="s">
        <v>3748</v>
      </c>
      <c r="C1504" s="236" t="s">
        <v>3747</v>
      </c>
      <c r="D1504" s="206">
        <v>41071</v>
      </c>
      <c r="E1504" s="138" t="s">
        <v>1063</v>
      </c>
    </row>
    <row r="1505" spans="1:5" ht="18.75">
      <c r="A1505" s="89" t="str">
        <f t="shared" si="23"/>
        <v>#09154</v>
      </c>
      <c r="B1505" s="138" t="s">
        <v>3749</v>
      </c>
      <c r="C1505" s="236" t="s">
        <v>2549</v>
      </c>
      <c r="D1505" s="206">
        <v>41071</v>
      </c>
      <c r="E1505" s="138" t="s">
        <v>985</v>
      </c>
    </row>
    <row r="1506" spans="1:5" ht="18.75">
      <c r="A1506" s="89" t="str">
        <f t="shared" si="23"/>
        <v>#09155</v>
      </c>
      <c r="B1506" s="138" t="s">
        <v>3751</v>
      </c>
      <c r="C1506" s="236" t="s">
        <v>3750</v>
      </c>
      <c r="D1506" s="206">
        <v>41101</v>
      </c>
      <c r="E1506" s="138" t="s">
        <v>1188</v>
      </c>
    </row>
    <row r="1507" spans="1:5" ht="18.75">
      <c r="A1507" s="89" t="str">
        <f t="shared" si="23"/>
        <v>#09169</v>
      </c>
      <c r="B1507" s="138" t="s">
        <v>3753</v>
      </c>
      <c r="C1507" s="236" t="s">
        <v>3752</v>
      </c>
      <c r="D1507" s="206">
        <v>41103</v>
      </c>
      <c r="E1507" s="138" t="s">
        <v>1188</v>
      </c>
    </row>
    <row r="1508" spans="1:5" ht="18.75">
      <c r="A1508" s="89" t="str">
        <f t="shared" si="23"/>
        <v>#09177</v>
      </c>
      <c r="B1508" s="138" t="s">
        <v>3755</v>
      </c>
      <c r="C1508" s="236" t="s">
        <v>3754</v>
      </c>
      <c r="D1508" s="206">
        <v>41103</v>
      </c>
      <c r="E1508" s="138" t="s">
        <v>1188</v>
      </c>
    </row>
    <row r="1509" spans="1:5" ht="18.75">
      <c r="A1509" s="89" t="str">
        <f t="shared" si="23"/>
        <v>#09194</v>
      </c>
      <c r="B1509" s="138" t="s">
        <v>3757</v>
      </c>
      <c r="C1509" s="236" t="s">
        <v>3756</v>
      </c>
      <c r="D1509" s="206">
        <v>41123</v>
      </c>
      <c r="E1509" s="138" t="s">
        <v>1113</v>
      </c>
    </row>
    <row r="1510" spans="1:5" ht="18.75">
      <c r="A1510" s="89" t="str">
        <f t="shared" si="23"/>
        <v>#09202</v>
      </c>
      <c r="B1510" s="138" t="s">
        <v>3758</v>
      </c>
      <c r="C1510" s="236" t="s">
        <v>1580</v>
      </c>
      <c r="D1510" s="206">
        <v>41129</v>
      </c>
      <c r="E1510" s="138" t="s">
        <v>7818</v>
      </c>
    </row>
    <row r="1511" spans="1:5" ht="18.75">
      <c r="A1511" s="89" t="str">
        <f t="shared" si="23"/>
        <v>#09208</v>
      </c>
      <c r="B1511" s="138" t="s">
        <v>3760</v>
      </c>
      <c r="C1511" s="236" t="s">
        <v>3759</v>
      </c>
      <c r="D1511" s="206">
        <v>41129</v>
      </c>
      <c r="E1511" s="138" t="s">
        <v>927</v>
      </c>
    </row>
    <row r="1512" spans="1:5" ht="18.75">
      <c r="A1512" s="89" t="str">
        <f t="shared" si="23"/>
        <v>#09213</v>
      </c>
      <c r="B1512" s="138" t="s">
        <v>3762</v>
      </c>
      <c r="C1512" s="236" t="s">
        <v>3761</v>
      </c>
      <c r="D1512" s="206">
        <v>41129</v>
      </c>
      <c r="E1512" s="138" t="s">
        <v>1133</v>
      </c>
    </row>
    <row r="1513" spans="1:5" ht="18.75">
      <c r="A1513" s="89" t="str">
        <f t="shared" si="23"/>
        <v>#09228</v>
      </c>
      <c r="B1513" s="138" t="s">
        <v>3764</v>
      </c>
      <c r="C1513" s="236" t="s">
        <v>3763</v>
      </c>
      <c r="D1513" s="206">
        <v>41135</v>
      </c>
      <c r="E1513" s="138" t="s">
        <v>1188</v>
      </c>
    </row>
    <row r="1514" spans="1:5" ht="18.75">
      <c r="A1514" s="89" t="str">
        <f t="shared" si="23"/>
        <v>#09230</v>
      </c>
      <c r="B1514" s="138" t="s">
        <v>3765</v>
      </c>
      <c r="C1514" s="236" t="s">
        <v>2455</v>
      </c>
      <c r="D1514" s="206">
        <v>41135</v>
      </c>
      <c r="E1514" s="138" t="s">
        <v>1188</v>
      </c>
    </row>
    <row r="1515" spans="1:5" ht="18.75">
      <c r="A1515" s="89" t="str">
        <f t="shared" si="23"/>
        <v>#09241</v>
      </c>
      <c r="B1515" s="138" t="s">
        <v>3767</v>
      </c>
      <c r="C1515" s="236" t="s">
        <v>3766</v>
      </c>
      <c r="D1515" s="206">
        <v>41135</v>
      </c>
      <c r="E1515" s="138" t="s">
        <v>1043</v>
      </c>
    </row>
    <row r="1516" spans="1:5" ht="18.75">
      <c r="A1516" s="89" t="str">
        <f t="shared" si="23"/>
        <v>#09244</v>
      </c>
      <c r="B1516" s="138" t="s">
        <v>3769</v>
      </c>
      <c r="C1516" s="236" t="s">
        <v>3768</v>
      </c>
      <c r="D1516" s="206">
        <v>41142</v>
      </c>
      <c r="E1516" s="138" t="s">
        <v>1191</v>
      </c>
    </row>
    <row r="1517" spans="1:5" ht="18.75">
      <c r="A1517" s="89" t="str">
        <f t="shared" si="23"/>
        <v>#09245</v>
      </c>
      <c r="B1517" s="138" t="s">
        <v>3771</v>
      </c>
      <c r="C1517" s="236" t="s">
        <v>3770</v>
      </c>
      <c r="D1517" s="206">
        <v>41148</v>
      </c>
      <c r="E1517" s="138" t="s">
        <v>1188</v>
      </c>
    </row>
    <row r="1518" spans="1:5" ht="18.75">
      <c r="A1518" s="89" t="str">
        <f t="shared" si="23"/>
        <v>#09248</v>
      </c>
      <c r="B1518" s="138" t="s">
        <v>3773</v>
      </c>
      <c r="C1518" s="236" t="s">
        <v>3772</v>
      </c>
      <c r="D1518" s="206">
        <v>41150</v>
      </c>
      <c r="E1518" s="138" t="s">
        <v>895</v>
      </c>
    </row>
    <row r="1519" spans="1:5" ht="18.75">
      <c r="A1519" s="89" t="str">
        <f t="shared" si="23"/>
        <v>#09250</v>
      </c>
      <c r="B1519" s="138" t="s">
        <v>3775</v>
      </c>
      <c r="C1519" s="236" t="s">
        <v>3774</v>
      </c>
      <c r="D1519" s="206">
        <v>41150</v>
      </c>
      <c r="E1519" s="138" t="s">
        <v>937</v>
      </c>
    </row>
    <row r="1520" spans="1:5" ht="18.75">
      <c r="A1520" s="89" t="str">
        <f t="shared" si="23"/>
        <v>#09251</v>
      </c>
      <c r="B1520" s="138" t="s">
        <v>3777</v>
      </c>
      <c r="C1520" s="236" t="s">
        <v>3776</v>
      </c>
      <c r="D1520" s="206">
        <v>41149</v>
      </c>
      <c r="E1520" s="138" t="s">
        <v>1133</v>
      </c>
    </row>
    <row r="1521" spans="1:5" ht="18.75">
      <c r="A1521" s="89" t="str">
        <f t="shared" si="23"/>
        <v>#09253</v>
      </c>
      <c r="B1521" s="138" t="s">
        <v>3779</v>
      </c>
      <c r="C1521" s="236" t="s">
        <v>3778</v>
      </c>
      <c r="D1521" s="206">
        <v>41157</v>
      </c>
      <c r="E1521" s="138" t="s">
        <v>1043</v>
      </c>
    </row>
    <row r="1522" spans="1:5" ht="18.75">
      <c r="A1522" s="89" t="str">
        <f t="shared" si="23"/>
        <v>#09254</v>
      </c>
      <c r="B1522" s="138" t="s">
        <v>3780</v>
      </c>
      <c r="C1522" s="236" t="s">
        <v>1765</v>
      </c>
      <c r="D1522" s="206">
        <v>41157</v>
      </c>
      <c r="E1522" s="138" t="s">
        <v>895</v>
      </c>
    </row>
    <row r="1523" spans="1:5" ht="18.75">
      <c r="A1523" s="89" t="str">
        <f t="shared" si="23"/>
        <v>#09261</v>
      </c>
      <c r="B1523" s="138" t="s">
        <v>3782</v>
      </c>
      <c r="C1523" s="236" t="s">
        <v>3781</v>
      </c>
      <c r="D1523" s="206">
        <v>41157</v>
      </c>
      <c r="E1523" s="138" t="s">
        <v>978</v>
      </c>
    </row>
    <row r="1524" spans="1:5" ht="18.75">
      <c r="A1524" s="89" t="str">
        <f t="shared" si="23"/>
        <v>#09262</v>
      </c>
      <c r="B1524" s="138" t="s">
        <v>3784</v>
      </c>
      <c r="C1524" s="236" t="s">
        <v>3783</v>
      </c>
      <c r="D1524" s="206">
        <v>41157</v>
      </c>
      <c r="E1524" s="138" t="s">
        <v>1098</v>
      </c>
    </row>
    <row r="1525" spans="1:5" ht="18.75">
      <c r="A1525" s="89" t="str">
        <f t="shared" si="23"/>
        <v>#09268</v>
      </c>
      <c r="B1525" s="138" t="s">
        <v>3786</v>
      </c>
      <c r="C1525" s="236" t="s">
        <v>3785</v>
      </c>
      <c r="D1525" s="206">
        <v>41157</v>
      </c>
      <c r="E1525" s="138" t="s">
        <v>895</v>
      </c>
    </row>
    <row r="1526" spans="1:5" ht="18.75">
      <c r="A1526" s="89" t="str">
        <f t="shared" si="23"/>
        <v>#09272</v>
      </c>
      <c r="B1526" s="138" t="s">
        <v>3788</v>
      </c>
      <c r="C1526" s="236" t="s">
        <v>3787</v>
      </c>
      <c r="D1526" s="206">
        <v>41163</v>
      </c>
      <c r="E1526" s="138" t="s">
        <v>1113</v>
      </c>
    </row>
    <row r="1527" spans="1:5" ht="18.75">
      <c r="A1527" s="89" t="str">
        <f t="shared" si="23"/>
        <v>#09273</v>
      </c>
      <c r="B1527" s="138" t="s">
        <v>3790</v>
      </c>
      <c r="C1527" s="236" t="s">
        <v>3789</v>
      </c>
      <c r="D1527" s="206">
        <v>41163</v>
      </c>
      <c r="E1527" s="138" t="s">
        <v>1113</v>
      </c>
    </row>
    <row r="1528" spans="1:5" ht="18.75">
      <c r="A1528" s="89" t="str">
        <f t="shared" si="23"/>
        <v>#09304</v>
      </c>
      <c r="B1528" s="138" t="s">
        <v>3791</v>
      </c>
      <c r="C1528" s="236" t="s">
        <v>2020</v>
      </c>
      <c r="D1528" s="206">
        <v>41174</v>
      </c>
      <c r="E1528" s="138" t="s">
        <v>890</v>
      </c>
    </row>
    <row r="1529" spans="1:5" ht="18.75">
      <c r="A1529" s="89" t="str">
        <f t="shared" si="23"/>
        <v>#09315</v>
      </c>
      <c r="B1529" s="138" t="s">
        <v>3793</v>
      </c>
      <c r="C1529" s="236" t="s">
        <v>3792</v>
      </c>
      <c r="D1529" s="206">
        <v>41181</v>
      </c>
      <c r="E1529" s="138" t="s">
        <v>978</v>
      </c>
    </row>
    <row r="1530" spans="1:5" ht="18.75">
      <c r="A1530" s="89" t="str">
        <f t="shared" si="23"/>
        <v>#09327</v>
      </c>
      <c r="B1530" s="138" t="s">
        <v>3795</v>
      </c>
      <c r="C1530" s="236" t="s">
        <v>3794</v>
      </c>
      <c r="D1530" s="206">
        <v>41181</v>
      </c>
      <c r="E1530" s="138" t="s">
        <v>924</v>
      </c>
    </row>
    <row r="1531" spans="1:5" ht="18.75">
      <c r="A1531" s="89" t="str">
        <f t="shared" si="23"/>
        <v>#09329</v>
      </c>
      <c r="B1531" s="138" t="s">
        <v>3797</v>
      </c>
      <c r="C1531" s="236" t="s">
        <v>3796</v>
      </c>
      <c r="D1531" s="206">
        <v>41181</v>
      </c>
      <c r="E1531" s="138" t="s">
        <v>924</v>
      </c>
    </row>
    <row r="1532" spans="1:5" ht="18.75">
      <c r="A1532" s="89" t="str">
        <f t="shared" si="23"/>
        <v>#09341</v>
      </c>
      <c r="B1532" s="138" t="s">
        <v>3798</v>
      </c>
      <c r="C1532" s="236" t="s">
        <v>2072</v>
      </c>
      <c r="D1532" s="206">
        <v>41181</v>
      </c>
      <c r="E1532" s="138" t="s">
        <v>1133</v>
      </c>
    </row>
    <row r="1533" spans="1:5" ht="18.75">
      <c r="A1533" s="89" t="str">
        <f t="shared" si="23"/>
        <v>#09362</v>
      </c>
      <c r="B1533" s="138" t="s">
        <v>3800</v>
      </c>
      <c r="C1533" s="236" t="s">
        <v>3799</v>
      </c>
      <c r="D1533" s="206">
        <v>41183</v>
      </c>
      <c r="E1533" s="138" t="s">
        <v>903</v>
      </c>
    </row>
    <row r="1534" spans="1:5" ht="18.75">
      <c r="A1534" s="89" t="str">
        <f t="shared" si="23"/>
        <v>#09372</v>
      </c>
      <c r="B1534" s="138" t="s">
        <v>3802</v>
      </c>
      <c r="C1534" s="236" t="s">
        <v>3801</v>
      </c>
      <c r="D1534" s="206">
        <v>41192</v>
      </c>
      <c r="E1534" s="138" t="s">
        <v>924</v>
      </c>
    </row>
    <row r="1535" spans="1:5" ht="18.75">
      <c r="A1535" s="89" t="str">
        <f t="shared" si="23"/>
        <v>#09373</v>
      </c>
      <c r="B1535" s="138" t="s">
        <v>3803</v>
      </c>
      <c r="C1535" s="236" t="s">
        <v>1131</v>
      </c>
      <c r="D1535" s="206">
        <v>41192</v>
      </c>
      <c r="E1535" s="138" t="s">
        <v>8037</v>
      </c>
    </row>
    <row r="1536" spans="1:5" ht="18.75">
      <c r="A1536" s="89" t="str">
        <f t="shared" si="23"/>
        <v>#09378</v>
      </c>
      <c r="B1536" s="138" t="s">
        <v>3805</v>
      </c>
      <c r="C1536" s="236" t="s">
        <v>3804</v>
      </c>
      <c r="D1536" s="206">
        <v>41199</v>
      </c>
      <c r="E1536" s="138" t="s">
        <v>797</v>
      </c>
    </row>
    <row r="1537" spans="1:5" ht="18.75">
      <c r="A1537" s="89" t="str">
        <f t="shared" si="23"/>
        <v>#09379</v>
      </c>
      <c r="B1537" s="138" t="s">
        <v>3807</v>
      </c>
      <c r="C1537" s="236" t="s">
        <v>3806</v>
      </c>
      <c r="D1537" s="206">
        <v>41199</v>
      </c>
      <c r="E1537" s="138" t="s">
        <v>797</v>
      </c>
    </row>
    <row r="1538" spans="1:5" ht="18.75">
      <c r="A1538" s="89" t="str">
        <f t="shared" si="23"/>
        <v>#09389</v>
      </c>
      <c r="B1538" s="138" t="s">
        <v>3809</v>
      </c>
      <c r="C1538" s="236" t="s">
        <v>3808</v>
      </c>
      <c r="D1538" s="206">
        <v>41201</v>
      </c>
      <c r="E1538" s="138" t="s">
        <v>1043</v>
      </c>
    </row>
    <row r="1539" spans="1:5" ht="18.75">
      <c r="A1539" s="89" t="str">
        <f t="shared" ref="A1539:A1602" si="24">"#"&amp;B1539</f>
        <v>#09391</v>
      </c>
      <c r="B1539" s="138" t="s">
        <v>3811</v>
      </c>
      <c r="C1539" s="236" t="s">
        <v>3810</v>
      </c>
      <c r="D1539" s="206">
        <v>41201</v>
      </c>
      <c r="E1539" s="138" t="s">
        <v>937</v>
      </c>
    </row>
    <row r="1540" spans="1:5" ht="18.75">
      <c r="A1540" s="89" t="str">
        <f t="shared" si="24"/>
        <v>#09396</v>
      </c>
      <c r="B1540" s="138" t="s">
        <v>3812</v>
      </c>
      <c r="C1540" s="236" t="s">
        <v>1502</v>
      </c>
      <c r="D1540" s="206">
        <v>41201</v>
      </c>
      <c r="E1540" s="138" t="s">
        <v>1034</v>
      </c>
    </row>
    <row r="1541" spans="1:5" ht="18.75">
      <c r="A1541" s="89" t="str">
        <f t="shared" si="24"/>
        <v>#09400</v>
      </c>
      <c r="B1541" s="138" t="s">
        <v>3814</v>
      </c>
      <c r="C1541" s="236" t="s">
        <v>3813</v>
      </c>
      <c r="D1541" s="206">
        <v>41201</v>
      </c>
      <c r="E1541" s="138" t="s">
        <v>1034</v>
      </c>
    </row>
    <row r="1542" spans="1:5" ht="18.75">
      <c r="A1542" s="89" t="str">
        <f t="shared" si="24"/>
        <v>#09401</v>
      </c>
      <c r="B1542" s="138" t="s">
        <v>3816</v>
      </c>
      <c r="C1542" s="236" t="s">
        <v>3815</v>
      </c>
      <c r="D1542" s="206">
        <v>41201</v>
      </c>
      <c r="E1542" s="138" t="s">
        <v>937</v>
      </c>
    </row>
    <row r="1543" spans="1:5" ht="18.75">
      <c r="A1543" s="89" t="str">
        <f t="shared" si="24"/>
        <v>#09432</v>
      </c>
      <c r="B1543" s="138" t="s">
        <v>3817</v>
      </c>
      <c r="C1543" s="236" t="s">
        <v>990</v>
      </c>
      <c r="D1543" s="206">
        <v>41209</v>
      </c>
      <c r="E1543" s="138" t="s">
        <v>890</v>
      </c>
    </row>
    <row r="1544" spans="1:5" ht="18.75">
      <c r="A1544" s="89" t="str">
        <f t="shared" si="24"/>
        <v>#09441</v>
      </c>
      <c r="B1544" s="138" t="s">
        <v>3819</v>
      </c>
      <c r="C1544" s="236" t="s">
        <v>3818</v>
      </c>
      <c r="D1544" s="206">
        <v>41214</v>
      </c>
      <c r="E1544" s="138" t="s">
        <v>1451</v>
      </c>
    </row>
    <row r="1545" spans="1:5" ht="18.75">
      <c r="A1545" s="89" t="str">
        <f t="shared" si="24"/>
        <v>#09442</v>
      </c>
      <c r="B1545" s="138" t="s">
        <v>3821</v>
      </c>
      <c r="C1545" s="236" t="s">
        <v>3820</v>
      </c>
      <c r="D1545" s="206">
        <v>41214</v>
      </c>
      <c r="E1545" s="138" t="s">
        <v>721</v>
      </c>
    </row>
    <row r="1546" spans="1:5" ht="18.75">
      <c r="A1546" s="89" t="str">
        <f t="shared" si="24"/>
        <v>#09443</v>
      </c>
      <c r="B1546" s="138" t="s">
        <v>3823</v>
      </c>
      <c r="C1546" s="236" t="s">
        <v>3822</v>
      </c>
      <c r="D1546" s="206">
        <v>41214</v>
      </c>
      <c r="E1546" s="138" t="s">
        <v>721</v>
      </c>
    </row>
    <row r="1547" spans="1:5" ht="18.75">
      <c r="A1547" s="89" t="str">
        <f t="shared" si="24"/>
        <v>#09447</v>
      </c>
      <c r="B1547" s="138" t="s">
        <v>3824</v>
      </c>
      <c r="C1547" s="236" t="s">
        <v>2949</v>
      </c>
      <c r="D1547" s="206">
        <v>41216</v>
      </c>
      <c r="E1547" s="138" t="s">
        <v>1063</v>
      </c>
    </row>
    <row r="1548" spans="1:5" ht="18.75">
      <c r="A1548" s="89" t="str">
        <f t="shared" si="24"/>
        <v>#09449</v>
      </c>
      <c r="B1548" s="138" t="s">
        <v>3826</v>
      </c>
      <c r="C1548" s="236" t="s">
        <v>3825</v>
      </c>
      <c r="D1548" s="206">
        <v>41216</v>
      </c>
      <c r="E1548" s="138" t="s">
        <v>1188</v>
      </c>
    </row>
    <row r="1549" spans="1:5" ht="18.75">
      <c r="A1549" s="89" t="str">
        <f t="shared" si="24"/>
        <v>#09450</v>
      </c>
      <c r="B1549" s="138" t="s">
        <v>3828</v>
      </c>
      <c r="C1549" s="236" t="s">
        <v>3827</v>
      </c>
      <c r="D1549" s="206">
        <v>41216</v>
      </c>
      <c r="E1549" s="138" t="s">
        <v>1188</v>
      </c>
    </row>
    <row r="1550" spans="1:5" ht="18.75">
      <c r="A1550" s="89" t="str">
        <f t="shared" si="24"/>
        <v>#09456</v>
      </c>
      <c r="B1550" s="138" t="s">
        <v>3829</v>
      </c>
      <c r="C1550" s="236" t="s">
        <v>2495</v>
      </c>
      <c r="D1550" s="206">
        <v>41216</v>
      </c>
      <c r="E1550" s="138" t="s">
        <v>924</v>
      </c>
    </row>
    <row r="1551" spans="1:5" ht="18.75">
      <c r="A1551" s="89" t="str">
        <f t="shared" si="24"/>
        <v>#09458</v>
      </c>
      <c r="B1551" s="138" t="s">
        <v>3831</v>
      </c>
      <c r="C1551" s="236" t="s">
        <v>3830</v>
      </c>
      <c r="D1551" s="206">
        <v>41216</v>
      </c>
      <c r="E1551" s="138" t="s">
        <v>927</v>
      </c>
    </row>
    <row r="1552" spans="1:5" ht="18.75">
      <c r="A1552" s="89" t="str">
        <f t="shared" si="24"/>
        <v>#09469</v>
      </c>
      <c r="B1552" s="138" t="s">
        <v>3833</v>
      </c>
      <c r="C1552" s="236" t="s">
        <v>3832</v>
      </c>
      <c r="D1552" s="206">
        <v>41225</v>
      </c>
      <c r="E1552" s="138" t="s">
        <v>7818</v>
      </c>
    </row>
    <row r="1553" spans="1:5" ht="18.75">
      <c r="A1553" s="89" t="str">
        <f t="shared" si="24"/>
        <v>#09478</v>
      </c>
      <c r="B1553" s="138" t="s">
        <v>3835</v>
      </c>
      <c r="C1553" s="236" t="s">
        <v>3834</v>
      </c>
      <c r="D1553" s="206">
        <v>41230</v>
      </c>
      <c r="E1553" s="138" t="s">
        <v>895</v>
      </c>
    </row>
    <row r="1554" spans="1:5" ht="18.75">
      <c r="A1554" s="89" t="str">
        <f t="shared" si="24"/>
        <v>#09481</v>
      </c>
      <c r="B1554" s="138" t="s">
        <v>3837</v>
      </c>
      <c r="C1554" s="236" t="s">
        <v>3836</v>
      </c>
      <c r="D1554" s="206">
        <v>41240</v>
      </c>
      <c r="E1554" s="138" t="s">
        <v>934</v>
      </c>
    </row>
    <row r="1555" spans="1:5" ht="18.75">
      <c r="A1555" s="89" t="str">
        <f t="shared" si="24"/>
        <v>#09482</v>
      </c>
      <c r="B1555" s="138" t="s">
        <v>3839</v>
      </c>
      <c r="C1555" s="236" t="s">
        <v>3838</v>
      </c>
      <c r="D1555" s="206">
        <v>41239</v>
      </c>
      <c r="E1555" s="138" t="s">
        <v>721</v>
      </c>
    </row>
    <row r="1556" spans="1:5" ht="18.75">
      <c r="A1556" s="89" t="str">
        <f t="shared" si="24"/>
        <v>#09483</v>
      </c>
      <c r="B1556" s="138" t="s">
        <v>3841</v>
      </c>
      <c r="C1556" s="236" t="s">
        <v>3840</v>
      </c>
      <c r="D1556" s="206">
        <v>41239</v>
      </c>
      <c r="E1556" s="138" t="s">
        <v>721</v>
      </c>
    </row>
    <row r="1557" spans="1:5" ht="18.75">
      <c r="A1557" s="89" t="str">
        <f t="shared" si="24"/>
        <v>#09487</v>
      </c>
      <c r="B1557" s="138" t="s">
        <v>3843</v>
      </c>
      <c r="C1557" s="236" t="s">
        <v>3842</v>
      </c>
      <c r="D1557" s="206">
        <v>41243</v>
      </c>
      <c r="E1557" s="138" t="s">
        <v>1188</v>
      </c>
    </row>
    <row r="1558" spans="1:5" ht="18.75">
      <c r="A1558" s="89" t="str">
        <f t="shared" si="24"/>
        <v>#09488</v>
      </c>
      <c r="B1558" s="138" t="s">
        <v>3845</v>
      </c>
      <c r="C1558" s="236" t="s">
        <v>3844</v>
      </c>
      <c r="D1558" s="206">
        <v>41243</v>
      </c>
      <c r="E1558" s="138" t="s">
        <v>1188</v>
      </c>
    </row>
    <row r="1559" spans="1:5" ht="18.75">
      <c r="A1559" s="89" t="str">
        <f t="shared" si="24"/>
        <v>#09491</v>
      </c>
      <c r="B1559" s="138" t="s">
        <v>3847</v>
      </c>
      <c r="C1559" s="236" t="s">
        <v>3846</v>
      </c>
      <c r="D1559" s="206">
        <v>41243</v>
      </c>
      <c r="E1559" s="138" t="s">
        <v>1188</v>
      </c>
    </row>
    <row r="1560" spans="1:5" ht="18.75">
      <c r="A1560" s="89" t="str">
        <f t="shared" si="24"/>
        <v>#09497</v>
      </c>
      <c r="B1560" s="138" t="s">
        <v>3850</v>
      </c>
      <c r="C1560" s="236" t="s">
        <v>3849</v>
      </c>
      <c r="D1560" s="206">
        <v>41254</v>
      </c>
      <c r="E1560" s="138" t="s">
        <v>1113</v>
      </c>
    </row>
    <row r="1561" spans="1:5" ht="18.75">
      <c r="A1561" s="89" t="str">
        <f t="shared" si="24"/>
        <v>#09499</v>
      </c>
      <c r="B1561" s="138" t="s">
        <v>3852</v>
      </c>
      <c r="C1561" s="236" t="s">
        <v>3851</v>
      </c>
      <c r="D1561" s="206">
        <v>41269</v>
      </c>
      <c r="E1561" s="138" t="s">
        <v>7818</v>
      </c>
    </row>
    <row r="1562" spans="1:5" ht="18.75">
      <c r="A1562" s="89" t="str">
        <f t="shared" si="24"/>
        <v>#09508</v>
      </c>
      <c r="B1562" s="138" t="s">
        <v>3854</v>
      </c>
      <c r="C1562" s="236" t="s">
        <v>3853</v>
      </c>
      <c r="D1562" s="206">
        <v>41288</v>
      </c>
      <c r="E1562" s="138" t="s">
        <v>1043</v>
      </c>
    </row>
    <row r="1563" spans="1:5" ht="18.75">
      <c r="A1563" s="89" t="str">
        <f t="shared" si="24"/>
        <v>#09512</v>
      </c>
      <c r="B1563" s="138" t="s">
        <v>3856</v>
      </c>
      <c r="C1563" s="236" t="s">
        <v>3855</v>
      </c>
      <c r="D1563" s="206">
        <v>41289</v>
      </c>
      <c r="E1563" s="138" t="s">
        <v>1188</v>
      </c>
    </row>
    <row r="1564" spans="1:5" ht="18.75">
      <c r="A1564" s="89" t="str">
        <f t="shared" si="24"/>
        <v>#09519</v>
      </c>
      <c r="B1564" s="138" t="s">
        <v>3858</v>
      </c>
      <c r="C1564" s="236" t="s">
        <v>3857</v>
      </c>
      <c r="D1564" s="206">
        <v>41292</v>
      </c>
      <c r="E1564" s="138" t="s">
        <v>1063</v>
      </c>
    </row>
    <row r="1565" spans="1:5" ht="18.75">
      <c r="A1565" s="89" t="str">
        <f t="shared" si="24"/>
        <v>#09521</v>
      </c>
      <c r="B1565" s="138" t="s">
        <v>3860</v>
      </c>
      <c r="C1565" s="236" t="s">
        <v>3859</v>
      </c>
      <c r="D1565" s="206">
        <v>41292</v>
      </c>
      <c r="E1565" s="138" t="s">
        <v>1380</v>
      </c>
    </row>
    <row r="1566" spans="1:5" ht="18.75">
      <c r="A1566" s="89" t="str">
        <f t="shared" si="24"/>
        <v>#09522</v>
      </c>
      <c r="B1566" s="138" t="s">
        <v>3862</v>
      </c>
      <c r="C1566" s="236" t="s">
        <v>3861</v>
      </c>
      <c r="D1566" s="206">
        <v>41292</v>
      </c>
      <c r="E1566" s="138" t="s">
        <v>957</v>
      </c>
    </row>
    <row r="1567" spans="1:5" ht="18.75">
      <c r="A1567" s="89" t="str">
        <f t="shared" si="24"/>
        <v>#09525</v>
      </c>
      <c r="B1567" s="138" t="s">
        <v>3864</v>
      </c>
      <c r="C1567" s="236" t="s">
        <v>3863</v>
      </c>
      <c r="D1567" s="206">
        <v>41292</v>
      </c>
      <c r="E1567" s="138" t="s">
        <v>1188</v>
      </c>
    </row>
    <row r="1568" spans="1:5" ht="18.75">
      <c r="A1568" s="89" t="str">
        <f t="shared" si="24"/>
        <v>#09526</v>
      </c>
      <c r="B1568" s="138" t="s">
        <v>3866</v>
      </c>
      <c r="C1568" s="236" t="s">
        <v>3865</v>
      </c>
      <c r="D1568" s="206">
        <v>41292</v>
      </c>
      <c r="E1568" s="138" t="s">
        <v>1188</v>
      </c>
    </row>
    <row r="1569" spans="1:5" ht="18.75">
      <c r="A1569" s="89" t="str">
        <f t="shared" si="24"/>
        <v>#09527</v>
      </c>
      <c r="B1569" s="138" t="s">
        <v>3868</v>
      </c>
      <c r="C1569" s="236" t="s">
        <v>3867</v>
      </c>
      <c r="D1569" s="206">
        <v>41297</v>
      </c>
      <c r="E1569" s="138" t="s">
        <v>1168</v>
      </c>
    </row>
    <row r="1570" spans="1:5" ht="18.75">
      <c r="A1570" s="89" t="str">
        <f t="shared" si="24"/>
        <v>#09532</v>
      </c>
      <c r="B1570" s="138" t="s">
        <v>3870</v>
      </c>
      <c r="C1570" s="236" t="s">
        <v>3869</v>
      </c>
      <c r="D1570" s="206">
        <v>41331</v>
      </c>
      <c r="E1570" s="138" t="s">
        <v>1043</v>
      </c>
    </row>
    <row r="1571" spans="1:5" ht="18.75">
      <c r="A1571" s="89" t="str">
        <f t="shared" si="24"/>
        <v>#09552</v>
      </c>
      <c r="B1571" s="138" t="s">
        <v>3872</v>
      </c>
      <c r="C1571" s="236" t="s">
        <v>3871</v>
      </c>
      <c r="D1571" s="206">
        <v>41344</v>
      </c>
      <c r="E1571" s="138" t="s">
        <v>895</v>
      </c>
    </row>
    <row r="1572" spans="1:5" ht="18.75">
      <c r="A1572" s="89" t="str">
        <f t="shared" si="24"/>
        <v>#09559</v>
      </c>
      <c r="B1572" s="138" t="s">
        <v>3874</v>
      </c>
      <c r="C1572" s="236" t="s">
        <v>3873</v>
      </c>
      <c r="D1572" s="206">
        <v>41344</v>
      </c>
      <c r="E1572" s="138" t="s">
        <v>1188</v>
      </c>
    </row>
    <row r="1573" spans="1:5" ht="18.75">
      <c r="A1573" s="89" t="str">
        <f t="shared" si="24"/>
        <v>#09560</v>
      </c>
      <c r="B1573" s="138" t="s">
        <v>3876</v>
      </c>
      <c r="C1573" s="236" t="s">
        <v>3875</v>
      </c>
      <c r="D1573" s="206">
        <v>41344</v>
      </c>
      <c r="E1573" s="138" t="s">
        <v>1188</v>
      </c>
    </row>
    <row r="1574" spans="1:5" ht="18.75">
      <c r="A1574" s="89" t="str">
        <f t="shared" si="24"/>
        <v>#09564</v>
      </c>
      <c r="B1574" s="138" t="s">
        <v>3878</v>
      </c>
      <c r="C1574" s="236" t="s">
        <v>3877</v>
      </c>
      <c r="D1574" s="206">
        <v>41345</v>
      </c>
      <c r="E1574" s="138" t="s">
        <v>1541</v>
      </c>
    </row>
    <row r="1575" spans="1:5" ht="18.75">
      <c r="A1575" s="89" t="str">
        <f t="shared" si="24"/>
        <v>#09567</v>
      </c>
      <c r="B1575" s="138" t="s">
        <v>3880</v>
      </c>
      <c r="C1575" s="236" t="s">
        <v>3879</v>
      </c>
      <c r="D1575" s="206">
        <v>41347</v>
      </c>
      <c r="E1575" s="138" t="s">
        <v>1063</v>
      </c>
    </row>
    <row r="1576" spans="1:5" ht="18.75">
      <c r="A1576" s="89" t="str">
        <f t="shared" si="24"/>
        <v>#09568</v>
      </c>
      <c r="B1576" s="138" t="s">
        <v>3882</v>
      </c>
      <c r="C1576" s="236" t="s">
        <v>3881</v>
      </c>
      <c r="D1576" s="206">
        <v>41348</v>
      </c>
      <c r="E1576" s="138" t="s">
        <v>7788</v>
      </c>
    </row>
    <row r="1577" spans="1:5" ht="18.75">
      <c r="A1577" s="89" t="str">
        <f t="shared" si="24"/>
        <v>#09576</v>
      </c>
      <c r="B1577" s="138" t="s">
        <v>3884</v>
      </c>
      <c r="C1577" s="236" t="s">
        <v>3883</v>
      </c>
      <c r="D1577" s="206">
        <v>41348</v>
      </c>
      <c r="E1577" s="138" t="s">
        <v>1034</v>
      </c>
    </row>
    <row r="1578" spans="1:5" ht="18.75">
      <c r="A1578" s="89" t="str">
        <f t="shared" si="24"/>
        <v>#09578</v>
      </c>
      <c r="B1578" s="138" t="s">
        <v>3886</v>
      </c>
      <c r="C1578" s="236" t="s">
        <v>3885</v>
      </c>
      <c r="D1578" s="206">
        <v>41348</v>
      </c>
      <c r="E1578" s="138" t="s">
        <v>8037</v>
      </c>
    </row>
    <row r="1579" spans="1:5" ht="18.75">
      <c r="A1579" s="89" t="str">
        <f t="shared" si="24"/>
        <v>#09580</v>
      </c>
      <c r="B1579" s="138" t="s">
        <v>3888</v>
      </c>
      <c r="C1579" s="236" t="s">
        <v>3887</v>
      </c>
      <c r="D1579" s="206">
        <v>41348</v>
      </c>
      <c r="E1579" s="138" t="s">
        <v>898</v>
      </c>
    </row>
    <row r="1580" spans="1:5" ht="18.75">
      <c r="A1580" s="89" t="str">
        <f t="shared" si="24"/>
        <v>#09582</v>
      </c>
      <c r="B1580" s="138" t="s">
        <v>3890</v>
      </c>
      <c r="C1580" s="236" t="s">
        <v>3889</v>
      </c>
      <c r="D1580" s="206">
        <v>41348</v>
      </c>
      <c r="E1580" s="138" t="s">
        <v>927</v>
      </c>
    </row>
    <row r="1581" spans="1:5" ht="18.75">
      <c r="A1581" s="89" t="str">
        <f t="shared" si="24"/>
        <v>#09583</v>
      </c>
      <c r="B1581" s="138" t="s">
        <v>3891</v>
      </c>
      <c r="C1581" s="236" t="s">
        <v>1327</v>
      </c>
      <c r="D1581" s="206">
        <v>41348</v>
      </c>
      <c r="E1581" s="138" t="s">
        <v>1063</v>
      </c>
    </row>
    <row r="1582" spans="1:5" ht="18.75">
      <c r="A1582" s="89" t="str">
        <f t="shared" si="24"/>
        <v>#09585</v>
      </c>
      <c r="B1582" s="138" t="s">
        <v>3893</v>
      </c>
      <c r="C1582" s="236" t="s">
        <v>3892</v>
      </c>
      <c r="D1582" s="206">
        <v>41348</v>
      </c>
      <c r="E1582" s="138" t="s">
        <v>1043</v>
      </c>
    </row>
    <row r="1583" spans="1:5" ht="18.75">
      <c r="A1583" s="89" t="str">
        <f t="shared" si="24"/>
        <v>#09586</v>
      </c>
      <c r="B1583" s="138" t="s">
        <v>3895</v>
      </c>
      <c r="C1583" s="236" t="s">
        <v>3894</v>
      </c>
      <c r="D1583" s="206">
        <v>41365</v>
      </c>
      <c r="E1583" s="138" t="s">
        <v>1004</v>
      </c>
    </row>
    <row r="1584" spans="1:5" ht="18.75">
      <c r="A1584" s="89" t="str">
        <f t="shared" si="24"/>
        <v>#09587</v>
      </c>
      <c r="B1584" s="138" t="s">
        <v>3897</v>
      </c>
      <c r="C1584" s="236" t="s">
        <v>3896</v>
      </c>
      <c r="D1584" s="206">
        <v>41365</v>
      </c>
      <c r="E1584" s="138" t="s">
        <v>1004</v>
      </c>
    </row>
    <row r="1585" spans="1:5" ht="18.75">
      <c r="A1585" s="89" t="str">
        <f t="shared" si="24"/>
        <v>#09589</v>
      </c>
      <c r="B1585" s="138" t="s">
        <v>3898</v>
      </c>
      <c r="C1585" s="236" t="s">
        <v>2430</v>
      </c>
      <c r="D1585" s="206">
        <v>41365</v>
      </c>
      <c r="E1585" s="138" t="s">
        <v>1004</v>
      </c>
    </row>
    <row r="1586" spans="1:5" ht="18.75">
      <c r="A1586" s="89" t="str">
        <f t="shared" si="24"/>
        <v>#09590</v>
      </c>
      <c r="B1586" s="138" t="s">
        <v>3900</v>
      </c>
      <c r="C1586" s="236" t="s">
        <v>3899</v>
      </c>
      <c r="D1586" s="206">
        <v>41369</v>
      </c>
      <c r="E1586" s="138" t="s">
        <v>1191</v>
      </c>
    </row>
    <row r="1587" spans="1:5" ht="18.75">
      <c r="A1587" s="89" t="str">
        <f t="shared" si="24"/>
        <v>#09591</v>
      </c>
      <c r="B1587" s="138" t="s">
        <v>3902</v>
      </c>
      <c r="C1587" s="236" t="s">
        <v>3901</v>
      </c>
      <c r="D1587" s="206">
        <v>41372</v>
      </c>
      <c r="E1587" s="138" t="s">
        <v>797</v>
      </c>
    </row>
    <row r="1588" spans="1:5" ht="18.75">
      <c r="A1588" s="89" t="str">
        <f t="shared" si="24"/>
        <v>#09592</v>
      </c>
      <c r="B1588" s="138" t="s">
        <v>3903</v>
      </c>
      <c r="C1588" s="236" t="s">
        <v>3311</v>
      </c>
      <c r="D1588" s="206">
        <v>41379</v>
      </c>
      <c r="E1588" s="138" t="s">
        <v>957</v>
      </c>
    </row>
    <row r="1589" spans="1:5" ht="18.75">
      <c r="A1589" s="89" t="str">
        <f t="shared" si="24"/>
        <v>#09611</v>
      </c>
      <c r="B1589" s="138" t="s">
        <v>3905</v>
      </c>
      <c r="C1589" s="236" t="s">
        <v>3904</v>
      </c>
      <c r="D1589" s="206">
        <v>41431</v>
      </c>
      <c r="E1589" s="138" t="s">
        <v>1063</v>
      </c>
    </row>
    <row r="1590" spans="1:5" ht="18.75">
      <c r="A1590" s="89" t="str">
        <f t="shared" si="24"/>
        <v>#09612</v>
      </c>
      <c r="B1590" s="138" t="s">
        <v>3907</v>
      </c>
      <c r="C1590" s="236" t="s">
        <v>3906</v>
      </c>
      <c r="D1590" s="206">
        <v>41431</v>
      </c>
      <c r="E1590" s="138" t="s">
        <v>957</v>
      </c>
    </row>
    <row r="1591" spans="1:5" ht="18.75">
      <c r="A1591" s="89" t="str">
        <f t="shared" si="24"/>
        <v>#09616</v>
      </c>
      <c r="B1591" s="138" t="s">
        <v>3909</v>
      </c>
      <c r="C1591" s="236" t="s">
        <v>3908</v>
      </c>
      <c r="D1591" s="206">
        <v>41432</v>
      </c>
      <c r="E1591" s="138" t="s">
        <v>7818</v>
      </c>
    </row>
    <row r="1592" spans="1:5" ht="18.75">
      <c r="A1592" s="89" t="str">
        <f t="shared" si="24"/>
        <v>#09620</v>
      </c>
      <c r="B1592" s="138" t="s">
        <v>3911</v>
      </c>
      <c r="C1592" s="236" t="s">
        <v>3910</v>
      </c>
      <c r="D1592" s="206">
        <v>41432</v>
      </c>
      <c r="E1592" s="138" t="s">
        <v>7818</v>
      </c>
    </row>
    <row r="1593" spans="1:5" ht="18.75">
      <c r="A1593" s="89" t="str">
        <f t="shared" si="24"/>
        <v>#09627</v>
      </c>
      <c r="B1593" s="138" t="s">
        <v>3912</v>
      </c>
      <c r="C1593" s="236" t="s">
        <v>3730</v>
      </c>
      <c r="D1593" s="206">
        <v>41438</v>
      </c>
      <c r="E1593" s="138" t="s">
        <v>895</v>
      </c>
    </row>
    <row r="1594" spans="1:5" ht="18.75">
      <c r="A1594" s="89" t="str">
        <f t="shared" si="24"/>
        <v>#09640</v>
      </c>
      <c r="B1594" s="138" t="s">
        <v>3914</v>
      </c>
      <c r="C1594" s="236" t="s">
        <v>3913</v>
      </c>
      <c r="D1594" s="206">
        <v>41438</v>
      </c>
      <c r="E1594" s="138" t="s">
        <v>1113</v>
      </c>
    </row>
    <row r="1595" spans="1:5" ht="18.75">
      <c r="A1595" s="89" t="str">
        <f t="shared" si="24"/>
        <v>#09641</v>
      </c>
      <c r="B1595" s="138" t="s">
        <v>3915</v>
      </c>
      <c r="C1595" s="236" t="s">
        <v>1142</v>
      </c>
      <c r="D1595" s="206">
        <v>41439</v>
      </c>
      <c r="E1595" s="138" t="s">
        <v>1043</v>
      </c>
    </row>
    <row r="1596" spans="1:5" ht="18.75">
      <c r="A1596" s="89" t="str">
        <f t="shared" si="24"/>
        <v>#09651</v>
      </c>
      <c r="B1596" s="138" t="s">
        <v>3916</v>
      </c>
      <c r="C1596" s="236" t="s">
        <v>1243</v>
      </c>
      <c r="D1596" s="206">
        <v>41445</v>
      </c>
      <c r="E1596" s="138" t="s">
        <v>1063</v>
      </c>
    </row>
    <row r="1597" spans="1:5" ht="18.75">
      <c r="A1597" s="89" t="str">
        <f t="shared" si="24"/>
        <v>#09655</v>
      </c>
      <c r="B1597" s="138" t="s">
        <v>3918</v>
      </c>
      <c r="C1597" s="236" t="s">
        <v>3917</v>
      </c>
      <c r="D1597" s="206">
        <v>41445</v>
      </c>
      <c r="E1597" s="138" t="s">
        <v>1541</v>
      </c>
    </row>
    <row r="1598" spans="1:5" ht="18.75">
      <c r="A1598" s="89" t="str">
        <f t="shared" si="24"/>
        <v>#09661</v>
      </c>
      <c r="B1598" s="138" t="s">
        <v>3919</v>
      </c>
      <c r="C1598" s="236" t="s">
        <v>3074</v>
      </c>
      <c r="D1598" s="206">
        <v>41449</v>
      </c>
      <c r="E1598" s="138" t="s">
        <v>957</v>
      </c>
    </row>
    <row r="1599" spans="1:5" ht="18.75">
      <c r="A1599" s="89" t="str">
        <f t="shared" si="24"/>
        <v>#09662</v>
      </c>
      <c r="B1599" s="138" t="s">
        <v>3920</v>
      </c>
      <c r="C1599" s="236" t="s">
        <v>1804</v>
      </c>
      <c r="D1599" s="206">
        <v>41449</v>
      </c>
      <c r="E1599" s="138" t="s">
        <v>957</v>
      </c>
    </row>
    <row r="1600" spans="1:5" ht="18.75">
      <c r="A1600" s="89" t="str">
        <f t="shared" si="24"/>
        <v>#09663</v>
      </c>
      <c r="B1600" s="138" t="s">
        <v>3921</v>
      </c>
      <c r="C1600" s="236" t="s">
        <v>2173</v>
      </c>
      <c r="D1600" s="206">
        <v>41449</v>
      </c>
      <c r="E1600" s="138" t="s">
        <v>1043</v>
      </c>
    </row>
    <row r="1601" spans="1:5" ht="18.75">
      <c r="A1601" s="89" t="str">
        <f t="shared" si="24"/>
        <v>#09665</v>
      </c>
      <c r="B1601" s="138" t="s">
        <v>3923</v>
      </c>
      <c r="C1601" s="236" t="s">
        <v>3922</v>
      </c>
      <c r="D1601" s="206">
        <v>41449</v>
      </c>
      <c r="E1601" s="138" t="s">
        <v>903</v>
      </c>
    </row>
    <row r="1602" spans="1:5" ht="18.75">
      <c r="A1602" s="89" t="str">
        <f t="shared" si="24"/>
        <v>#09667</v>
      </c>
      <c r="B1602" s="138" t="s">
        <v>3925</v>
      </c>
      <c r="C1602" s="236" t="s">
        <v>3924</v>
      </c>
      <c r="D1602" s="206">
        <v>41449</v>
      </c>
      <c r="E1602" s="138" t="s">
        <v>957</v>
      </c>
    </row>
    <row r="1603" spans="1:5" ht="18.75">
      <c r="A1603" s="89" t="str">
        <f t="shared" ref="A1603:A1666" si="25">"#"&amp;B1603</f>
        <v>#09668</v>
      </c>
      <c r="B1603" s="138" t="s">
        <v>3927</v>
      </c>
      <c r="C1603" s="236" t="s">
        <v>3926</v>
      </c>
      <c r="D1603" s="206">
        <v>41449</v>
      </c>
      <c r="E1603" s="138" t="s">
        <v>903</v>
      </c>
    </row>
    <row r="1604" spans="1:5" ht="18.75">
      <c r="A1604" s="89" t="str">
        <f t="shared" si="25"/>
        <v>#09679</v>
      </c>
      <c r="B1604" s="138" t="s">
        <v>3929</v>
      </c>
      <c r="C1604" s="236" t="s">
        <v>3928</v>
      </c>
      <c r="D1604" s="206">
        <v>41450</v>
      </c>
      <c r="E1604" s="138" t="s">
        <v>1188</v>
      </c>
    </row>
    <row r="1605" spans="1:5" ht="18.75">
      <c r="A1605" s="89" t="str">
        <f t="shared" si="25"/>
        <v>#09681</v>
      </c>
      <c r="B1605" s="138" t="s">
        <v>3931</v>
      </c>
      <c r="C1605" s="236" t="s">
        <v>3930</v>
      </c>
      <c r="D1605" s="206">
        <v>41450</v>
      </c>
      <c r="E1605" s="138" t="s">
        <v>1188</v>
      </c>
    </row>
    <row r="1606" spans="1:5" ht="18.75">
      <c r="A1606" s="89" t="str">
        <f t="shared" si="25"/>
        <v>#09692</v>
      </c>
      <c r="B1606" s="138" t="s">
        <v>3933</v>
      </c>
      <c r="C1606" s="236" t="s">
        <v>3932</v>
      </c>
      <c r="D1606" s="206">
        <v>41450</v>
      </c>
      <c r="E1606" s="138" t="s">
        <v>957</v>
      </c>
    </row>
    <row r="1607" spans="1:5" ht="18.75">
      <c r="A1607" s="89" t="str">
        <f t="shared" si="25"/>
        <v>#09696</v>
      </c>
      <c r="B1607" s="138" t="s">
        <v>3935</v>
      </c>
      <c r="C1607" s="236" t="s">
        <v>3934</v>
      </c>
      <c r="D1607" s="206">
        <v>41463</v>
      </c>
      <c r="E1607" s="138" t="s">
        <v>721</v>
      </c>
    </row>
    <row r="1608" spans="1:5" ht="18.75">
      <c r="A1608" s="89" t="str">
        <f t="shared" si="25"/>
        <v>#09699</v>
      </c>
      <c r="B1608" s="138" t="s">
        <v>3936</v>
      </c>
      <c r="C1608" s="236" t="s">
        <v>1580</v>
      </c>
      <c r="D1608" s="206">
        <v>41471</v>
      </c>
      <c r="E1608" s="138" t="s">
        <v>7818</v>
      </c>
    </row>
    <row r="1609" spans="1:5" ht="18.75">
      <c r="A1609" s="89" t="str">
        <f t="shared" si="25"/>
        <v>#09701</v>
      </c>
      <c r="B1609" s="138" t="s">
        <v>3937</v>
      </c>
      <c r="C1609" s="236" t="s">
        <v>2604</v>
      </c>
      <c r="D1609" s="206">
        <v>41471</v>
      </c>
      <c r="E1609" s="138" t="s">
        <v>7818</v>
      </c>
    </row>
    <row r="1610" spans="1:5" ht="18.75">
      <c r="A1610" s="89" t="str">
        <f t="shared" si="25"/>
        <v>#09721</v>
      </c>
      <c r="B1610" s="138" t="s">
        <v>3939</v>
      </c>
      <c r="C1610" s="236" t="s">
        <v>3938</v>
      </c>
      <c r="D1610" s="206">
        <v>41471</v>
      </c>
      <c r="E1610" s="138" t="s">
        <v>927</v>
      </c>
    </row>
    <row r="1611" spans="1:5" ht="18.75">
      <c r="A1611" s="89" t="str">
        <f t="shared" si="25"/>
        <v>#09723</v>
      </c>
      <c r="B1611" s="138" t="s">
        <v>3941</v>
      </c>
      <c r="C1611" s="236" t="s">
        <v>3940</v>
      </c>
      <c r="D1611" s="206">
        <v>41471</v>
      </c>
      <c r="E1611" s="138" t="s">
        <v>927</v>
      </c>
    </row>
    <row r="1612" spans="1:5" ht="18.75">
      <c r="A1612" s="89" t="str">
        <f t="shared" si="25"/>
        <v>#09728</v>
      </c>
      <c r="B1612" s="138" t="s">
        <v>3943</v>
      </c>
      <c r="C1612" s="236" t="s">
        <v>3942</v>
      </c>
      <c r="D1612" s="206">
        <v>41471</v>
      </c>
      <c r="E1612" s="138" t="s">
        <v>1188</v>
      </c>
    </row>
    <row r="1613" spans="1:5" ht="18.75">
      <c r="A1613" s="89" t="str">
        <f t="shared" si="25"/>
        <v>#09743</v>
      </c>
      <c r="B1613" s="138" t="s">
        <v>3945</v>
      </c>
      <c r="C1613" s="236" t="s">
        <v>3944</v>
      </c>
      <c r="D1613" s="206">
        <v>41472</v>
      </c>
      <c r="E1613" s="138" t="s">
        <v>1133</v>
      </c>
    </row>
    <row r="1614" spans="1:5" ht="18.75">
      <c r="A1614" s="89" t="str">
        <f t="shared" si="25"/>
        <v>#09747</v>
      </c>
      <c r="B1614" s="138" t="s">
        <v>3947</v>
      </c>
      <c r="C1614" s="236" t="s">
        <v>3946</v>
      </c>
      <c r="D1614" s="206">
        <v>41472</v>
      </c>
      <c r="E1614" s="138" t="s">
        <v>1113</v>
      </c>
    </row>
    <row r="1615" spans="1:5" ht="18.75">
      <c r="A1615" s="89" t="str">
        <f t="shared" si="25"/>
        <v>#09751</v>
      </c>
      <c r="B1615" s="138" t="s">
        <v>3948</v>
      </c>
      <c r="C1615" s="236" t="s">
        <v>2739</v>
      </c>
      <c r="D1615" s="206">
        <v>41472</v>
      </c>
      <c r="E1615" s="138" t="s">
        <v>1541</v>
      </c>
    </row>
    <row r="1616" spans="1:5" ht="18.75">
      <c r="A1616" s="89" t="str">
        <f t="shared" si="25"/>
        <v>#09755</v>
      </c>
      <c r="B1616" s="138" t="s">
        <v>3950</v>
      </c>
      <c r="C1616" s="236" t="s">
        <v>3949</v>
      </c>
      <c r="D1616" s="206">
        <v>41479</v>
      </c>
      <c r="E1616" s="138" t="s">
        <v>721</v>
      </c>
    </row>
    <row r="1617" spans="1:5" ht="18.75">
      <c r="A1617" s="89" t="str">
        <f t="shared" si="25"/>
        <v>#09759</v>
      </c>
      <c r="B1617" s="138" t="s">
        <v>3952</v>
      </c>
      <c r="C1617" s="236" t="s">
        <v>3951</v>
      </c>
      <c r="D1617" s="206">
        <v>41479</v>
      </c>
      <c r="E1617" s="138" t="s">
        <v>721</v>
      </c>
    </row>
    <row r="1618" spans="1:5" ht="18.75">
      <c r="A1618" s="89" t="str">
        <f t="shared" si="25"/>
        <v>#09760</v>
      </c>
      <c r="B1618" s="138" t="s">
        <v>3954</v>
      </c>
      <c r="C1618" s="236" t="s">
        <v>3953</v>
      </c>
      <c r="D1618" s="206">
        <v>41491</v>
      </c>
      <c r="E1618" s="138" t="s">
        <v>937</v>
      </c>
    </row>
    <row r="1619" spans="1:5" ht="18.75">
      <c r="A1619" s="89" t="str">
        <f t="shared" si="25"/>
        <v>#09761</v>
      </c>
      <c r="B1619" s="138" t="s">
        <v>3956</v>
      </c>
      <c r="C1619" s="236" t="s">
        <v>3955</v>
      </c>
      <c r="D1619" s="206">
        <v>41491</v>
      </c>
      <c r="E1619" s="138" t="s">
        <v>937</v>
      </c>
    </row>
    <row r="1620" spans="1:5" ht="18.75">
      <c r="A1620" s="89" t="str">
        <f t="shared" si="25"/>
        <v>#09763</v>
      </c>
      <c r="B1620" s="138" t="s">
        <v>3958</v>
      </c>
      <c r="C1620" s="236" t="s">
        <v>3957</v>
      </c>
      <c r="D1620" s="206">
        <v>41491</v>
      </c>
      <c r="E1620" s="138" t="s">
        <v>1085</v>
      </c>
    </row>
    <row r="1621" spans="1:5" ht="18.75">
      <c r="A1621" s="89" t="str">
        <f t="shared" si="25"/>
        <v>#09776</v>
      </c>
      <c r="B1621" s="138" t="s">
        <v>3960</v>
      </c>
      <c r="C1621" s="236" t="s">
        <v>3959</v>
      </c>
      <c r="D1621" s="206">
        <v>41491</v>
      </c>
      <c r="E1621" s="138" t="s">
        <v>937</v>
      </c>
    </row>
    <row r="1622" spans="1:5" ht="18.75">
      <c r="A1622" s="89" t="str">
        <f t="shared" si="25"/>
        <v>#09784</v>
      </c>
      <c r="B1622" s="138" t="s">
        <v>3962</v>
      </c>
      <c r="C1622" s="236" t="s">
        <v>3961</v>
      </c>
      <c r="D1622" s="206">
        <v>41495</v>
      </c>
      <c r="E1622" s="138" t="s">
        <v>1541</v>
      </c>
    </row>
    <row r="1623" spans="1:5" ht="18.75">
      <c r="A1623" s="89" t="str">
        <f t="shared" si="25"/>
        <v>#09786</v>
      </c>
      <c r="B1623" s="138" t="s">
        <v>3964</v>
      </c>
      <c r="C1623" s="236" t="s">
        <v>3963</v>
      </c>
      <c r="D1623" s="206">
        <v>41495</v>
      </c>
      <c r="E1623" s="138" t="s">
        <v>906</v>
      </c>
    </row>
    <row r="1624" spans="1:5" ht="18.75">
      <c r="A1624" s="89" t="str">
        <f t="shared" si="25"/>
        <v>#09787</v>
      </c>
      <c r="B1624" s="138" t="s">
        <v>3965</v>
      </c>
      <c r="C1624" s="236" t="s">
        <v>2830</v>
      </c>
      <c r="D1624" s="206">
        <v>41495</v>
      </c>
      <c r="E1624" s="138" t="s">
        <v>906</v>
      </c>
    </row>
    <row r="1625" spans="1:5" ht="18.75">
      <c r="A1625" s="89" t="str">
        <f t="shared" si="25"/>
        <v>#09788</v>
      </c>
      <c r="B1625" s="138" t="s">
        <v>3967</v>
      </c>
      <c r="C1625" s="236" t="s">
        <v>3966</v>
      </c>
      <c r="D1625" s="206">
        <v>41495</v>
      </c>
      <c r="E1625" s="138" t="s">
        <v>906</v>
      </c>
    </row>
    <row r="1626" spans="1:5" ht="18.75">
      <c r="A1626" s="89" t="str">
        <f t="shared" si="25"/>
        <v>#09791</v>
      </c>
      <c r="B1626" s="138" t="s">
        <v>3969</v>
      </c>
      <c r="C1626" s="236" t="s">
        <v>3968</v>
      </c>
      <c r="D1626" s="206">
        <v>41495</v>
      </c>
      <c r="E1626" s="138" t="s">
        <v>906</v>
      </c>
    </row>
    <row r="1627" spans="1:5" ht="18.75">
      <c r="A1627" s="89" t="str">
        <f t="shared" si="25"/>
        <v>#09818</v>
      </c>
      <c r="B1627" s="138" t="s">
        <v>3971</v>
      </c>
      <c r="C1627" s="236" t="s">
        <v>3970</v>
      </c>
      <c r="D1627" s="206">
        <v>41505</v>
      </c>
      <c r="E1627" s="138" t="s">
        <v>903</v>
      </c>
    </row>
    <row r="1628" spans="1:5" ht="18.75">
      <c r="A1628" s="89" t="str">
        <f t="shared" si="25"/>
        <v>#09827</v>
      </c>
      <c r="B1628" s="138" t="s">
        <v>3973</v>
      </c>
      <c r="C1628" s="236" t="s">
        <v>3972</v>
      </c>
      <c r="D1628" s="206">
        <v>41505</v>
      </c>
      <c r="E1628" s="138" t="s">
        <v>1487</v>
      </c>
    </row>
    <row r="1629" spans="1:5" ht="18.75">
      <c r="A1629" s="89" t="str">
        <f t="shared" si="25"/>
        <v>#09848</v>
      </c>
      <c r="B1629" s="138" t="s">
        <v>3974</v>
      </c>
      <c r="C1629" s="236" t="s">
        <v>2887</v>
      </c>
      <c r="D1629" s="206">
        <v>41520</v>
      </c>
      <c r="E1629" s="138" t="s">
        <v>7818</v>
      </c>
    </row>
    <row r="1630" spans="1:5" ht="18.75">
      <c r="A1630" s="89" t="str">
        <f t="shared" si="25"/>
        <v>#09850</v>
      </c>
      <c r="B1630" s="138" t="s">
        <v>3976</v>
      </c>
      <c r="C1630" s="236" t="s">
        <v>3975</v>
      </c>
      <c r="D1630" s="206">
        <v>41520</v>
      </c>
      <c r="E1630" s="138" t="s">
        <v>7818</v>
      </c>
    </row>
    <row r="1631" spans="1:5" ht="18.75">
      <c r="A1631" s="89" t="str">
        <f t="shared" si="25"/>
        <v>#09855</v>
      </c>
      <c r="B1631" s="138" t="s">
        <v>3978</v>
      </c>
      <c r="C1631" s="236" t="s">
        <v>3977</v>
      </c>
      <c r="D1631" s="206">
        <v>41520</v>
      </c>
      <c r="E1631" s="138" t="s">
        <v>1113</v>
      </c>
    </row>
    <row r="1632" spans="1:5" ht="18.75">
      <c r="A1632" s="89" t="str">
        <f t="shared" si="25"/>
        <v>#09866</v>
      </c>
      <c r="B1632" s="138" t="s">
        <v>3979</v>
      </c>
      <c r="C1632" s="236" t="s">
        <v>1804</v>
      </c>
      <c r="D1632" s="206">
        <v>41528</v>
      </c>
      <c r="E1632" s="138" t="s">
        <v>1034</v>
      </c>
    </row>
    <row r="1633" spans="1:5" ht="18.75">
      <c r="A1633" s="89" t="str">
        <f t="shared" si="25"/>
        <v>#09868</v>
      </c>
      <c r="B1633" s="138" t="s">
        <v>3980</v>
      </c>
      <c r="C1633" s="236" t="s">
        <v>3064</v>
      </c>
      <c r="D1633" s="206">
        <v>41528</v>
      </c>
      <c r="E1633" s="138" t="s">
        <v>1380</v>
      </c>
    </row>
    <row r="1634" spans="1:5" ht="18.75">
      <c r="A1634" s="89" t="str">
        <f t="shared" si="25"/>
        <v>#09870</v>
      </c>
      <c r="B1634" s="138" t="s">
        <v>3982</v>
      </c>
      <c r="C1634" s="236" t="s">
        <v>3981</v>
      </c>
      <c r="D1634" s="206">
        <v>41533</v>
      </c>
      <c r="E1634" s="138" t="s">
        <v>934</v>
      </c>
    </row>
    <row r="1635" spans="1:5" ht="18.75">
      <c r="A1635" s="89" t="str">
        <f t="shared" si="25"/>
        <v>#09871</v>
      </c>
      <c r="B1635" s="138" t="s">
        <v>3984</v>
      </c>
      <c r="C1635" s="236" t="s">
        <v>3983</v>
      </c>
      <c r="D1635" s="206">
        <v>41533</v>
      </c>
      <c r="E1635" s="138" t="s">
        <v>978</v>
      </c>
    </row>
    <row r="1636" spans="1:5" ht="18.75">
      <c r="A1636" s="89" t="str">
        <f t="shared" si="25"/>
        <v>#09874</v>
      </c>
      <c r="B1636" s="138" t="s">
        <v>3986</v>
      </c>
      <c r="C1636" s="236" t="s">
        <v>3985</v>
      </c>
      <c r="D1636" s="206">
        <v>41554</v>
      </c>
      <c r="E1636" s="138" t="s">
        <v>1716</v>
      </c>
    </row>
    <row r="1637" spans="1:5" ht="18.75">
      <c r="A1637" s="89" t="str">
        <f t="shared" si="25"/>
        <v>#09878</v>
      </c>
      <c r="B1637" s="138" t="s">
        <v>3987</v>
      </c>
      <c r="C1637" s="236" t="s">
        <v>2716</v>
      </c>
      <c r="D1637" s="206">
        <v>41568</v>
      </c>
      <c r="E1637" s="138" t="s">
        <v>1168</v>
      </c>
    </row>
    <row r="1638" spans="1:5" ht="18.75">
      <c r="A1638" s="89" t="str">
        <f t="shared" si="25"/>
        <v>#09879</v>
      </c>
      <c r="B1638" s="138" t="s">
        <v>3989</v>
      </c>
      <c r="C1638" s="236" t="s">
        <v>3988</v>
      </c>
      <c r="D1638" s="206">
        <v>41577</v>
      </c>
      <c r="E1638" s="138" t="s">
        <v>759</v>
      </c>
    </row>
    <row r="1639" spans="1:5" ht="18.75">
      <c r="A1639" s="89" t="str">
        <f t="shared" si="25"/>
        <v>#09896</v>
      </c>
      <c r="B1639" s="138" t="s">
        <v>3991</v>
      </c>
      <c r="C1639" s="236" t="s">
        <v>3990</v>
      </c>
      <c r="D1639" s="206">
        <v>41603</v>
      </c>
      <c r="E1639" s="138" t="s">
        <v>1034</v>
      </c>
    </row>
    <row r="1640" spans="1:5" ht="18.75">
      <c r="A1640" s="89" t="str">
        <f t="shared" si="25"/>
        <v>#09897</v>
      </c>
      <c r="B1640" s="138" t="s">
        <v>3992</v>
      </c>
      <c r="C1640" s="236" t="s">
        <v>2887</v>
      </c>
      <c r="D1640" s="206">
        <v>41603</v>
      </c>
      <c r="E1640" s="138" t="s">
        <v>1034</v>
      </c>
    </row>
    <row r="1641" spans="1:5" ht="18.75">
      <c r="A1641" s="89" t="str">
        <f t="shared" si="25"/>
        <v>#09901</v>
      </c>
      <c r="B1641" s="138" t="s">
        <v>3994</v>
      </c>
      <c r="C1641" s="236" t="s">
        <v>3993</v>
      </c>
      <c r="D1641" s="206">
        <v>41608</v>
      </c>
      <c r="E1641" s="138" t="s">
        <v>1043</v>
      </c>
    </row>
    <row r="1642" spans="1:5" ht="18.75">
      <c r="A1642" s="89" t="str">
        <f t="shared" si="25"/>
        <v>#09912</v>
      </c>
      <c r="B1642" s="138" t="s">
        <v>3996</v>
      </c>
      <c r="C1642" s="236" t="s">
        <v>3995</v>
      </c>
      <c r="D1642" s="206">
        <v>41677</v>
      </c>
      <c r="E1642" s="138" t="s">
        <v>7818</v>
      </c>
    </row>
    <row r="1643" spans="1:5" ht="18.75">
      <c r="A1643" s="89" t="str">
        <f t="shared" si="25"/>
        <v>#09917</v>
      </c>
      <c r="B1643" s="138" t="s">
        <v>3998</v>
      </c>
      <c r="C1643" s="236" t="s">
        <v>3997</v>
      </c>
      <c r="D1643" s="206">
        <v>41677</v>
      </c>
      <c r="E1643" s="138" t="s">
        <v>890</v>
      </c>
    </row>
    <row r="1644" spans="1:5" ht="18.75">
      <c r="A1644" s="89" t="str">
        <f t="shared" si="25"/>
        <v>#09920</v>
      </c>
      <c r="B1644" s="138" t="s">
        <v>4000</v>
      </c>
      <c r="C1644" s="236" t="s">
        <v>3999</v>
      </c>
      <c r="D1644" s="206">
        <v>41677</v>
      </c>
      <c r="E1644" s="138" t="s">
        <v>924</v>
      </c>
    </row>
    <row r="1645" spans="1:5" ht="18.75">
      <c r="A1645" s="89" t="str">
        <f t="shared" si="25"/>
        <v>#09922</v>
      </c>
      <c r="B1645" s="138" t="s">
        <v>4002</v>
      </c>
      <c r="C1645" s="236" t="s">
        <v>4001</v>
      </c>
      <c r="D1645" s="206">
        <v>41677</v>
      </c>
      <c r="E1645" s="138" t="s">
        <v>7818</v>
      </c>
    </row>
    <row r="1646" spans="1:5" ht="18.75">
      <c r="A1646" s="89" t="str">
        <f t="shared" si="25"/>
        <v>#09925</v>
      </c>
      <c r="B1646" s="138" t="s">
        <v>4004</v>
      </c>
      <c r="C1646" s="236" t="s">
        <v>4003</v>
      </c>
      <c r="D1646" s="206">
        <v>41677</v>
      </c>
      <c r="E1646" s="138" t="s">
        <v>924</v>
      </c>
    </row>
    <row r="1647" spans="1:5" ht="18.75">
      <c r="A1647" s="89" t="str">
        <f t="shared" si="25"/>
        <v>#09929</v>
      </c>
      <c r="B1647" s="138" t="s">
        <v>4006</v>
      </c>
      <c r="C1647" s="236" t="s">
        <v>4005</v>
      </c>
      <c r="D1647" s="206">
        <v>41677</v>
      </c>
      <c r="E1647" s="138" t="s">
        <v>1085</v>
      </c>
    </row>
    <row r="1648" spans="1:5" ht="18.75">
      <c r="A1648" s="89" t="str">
        <f t="shared" si="25"/>
        <v>#09935</v>
      </c>
      <c r="B1648" s="138" t="s">
        <v>4008</v>
      </c>
      <c r="C1648" s="236" t="s">
        <v>4007</v>
      </c>
      <c r="D1648" s="206">
        <v>41677</v>
      </c>
      <c r="E1648" s="138" t="s">
        <v>7818</v>
      </c>
    </row>
    <row r="1649" spans="1:5" ht="18.75">
      <c r="A1649" s="89" t="str">
        <f t="shared" si="25"/>
        <v>#09941</v>
      </c>
      <c r="B1649" s="138" t="s">
        <v>4010</v>
      </c>
      <c r="C1649" s="236" t="s">
        <v>4009</v>
      </c>
      <c r="D1649" s="206">
        <v>41677</v>
      </c>
      <c r="E1649" s="138" t="s">
        <v>7818</v>
      </c>
    </row>
    <row r="1650" spans="1:5" ht="18.75">
      <c r="A1650" s="89" t="str">
        <f t="shared" si="25"/>
        <v>#09944</v>
      </c>
      <c r="B1650" s="138" t="s">
        <v>4011</v>
      </c>
      <c r="C1650" s="236" t="s">
        <v>979</v>
      </c>
      <c r="D1650" s="206">
        <v>41677</v>
      </c>
      <c r="E1650" s="138" t="s">
        <v>1085</v>
      </c>
    </row>
    <row r="1651" spans="1:5" ht="18.75">
      <c r="A1651" s="89" t="str">
        <f t="shared" si="25"/>
        <v>#09946</v>
      </c>
      <c r="B1651" s="138" t="s">
        <v>4013</v>
      </c>
      <c r="C1651" s="236" t="s">
        <v>4012</v>
      </c>
      <c r="D1651" s="206">
        <v>41677</v>
      </c>
      <c r="E1651" s="138" t="s">
        <v>927</v>
      </c>
    </row>
    <row r="1652" spans="1:5" ht="18.75">
      <c r="A1652" s="89" t="str">
        <f t="shared" si="25"/>
        <v>#09984</v>
      </c>
      <c r="B1652" s="138" t="s">
        <v>4015</v>
      </c>
      <c r="C1652" s="236" t="s">
        <v>4014</v>
      </c>
      <c r="D1652" s="206">
        <v>41677</v>
      </c>
      <c r="E1652" s="138" t="s">
        <v>7818</v>
      </c>
    </row>
    <row r="1653" spans="1:5" ht="18.75">
      <c r="A1653" s="89" t="str">
        <f t="shared" si="25"/>
        <v>#09988</v>
      </c>
      <c r="B1653" s="138" t="s">
        <v>4017</v>
      </c>
      <c r="C1653" s="236" t="s">
        <v>4016</v>
      </c>
      <c r="D1653" s="206">
        <v>41684</v>
      </c>
      <c r="E1653" s="138" t="s">
        <v>895</v>
      </c>
    </row>
    <row r="1654" spans="1:5" ht="18.75">
      <c r="A1654" s="89" t="str">
        <f t="shared" si="25"/>
        <v>#09994</v>
      </c>
      <c r="B1654" s="138" t="s">
        <v>4019</v>
      </c>
      <c r="C1654" s="236" t="s">
        <v>4018</v>
      </c>
      <c r="D1654" s="206">
        <v>41684</v>
      </c>
      <c r="E1654" s="138" t="s">
        <v>1063</v>
      </c>
    </row>
    <row r="1655" spans="1:5" ht="18.75">
      <c r="A1655" s="89" t="str">
        <f t="shared" si="25"/>
        <v>#09997</v>
      </c>
      <c r="B1655" s="138" t="s">
        <v>4021</v>
      </c>
      <c r="C1655" s="236" t="s">
        <v>4020</v>
      </c>
      <c r="D1655" s="206">
        <v>41684</v>
      </c>
      <c r="E1655" s="138" t="s">
        <v>1063</v>
      </c>
    </row>
    <row r="1656" spans="1:5" ht="18.75">
      <c r="A1656" s="89" t="str">
        <f t="shared" si="25"/>
        <v>#09998</v>
      </c>
      <c r="B1656" s="138" t="s">
        <v>4023</v>
      </c>
      <c r="C1656" s="236" t="s">
        <v>4022</v>
      </c>
      <c r="D1656" s="206">
        <v>41684</v>
      </c>
      <c r="E1656" s="138" t="s">
        <v>1043</v>
      </c>
    </row>
    <row r="1657" spans="1:5" ht="18.75">
      <c r="A1657" s="89" t="str">
        <f t="shared" si="25"/>
        <v>#10001</v>
      </c>
      <c r="B1657" s="138" t="s">
        <v>4025</v>
      </c>
      <c r="C1657" s="236" t="s">
        <v>4024</v>
      </c>
      <c r="D1657" s="206">
        <v>41687</v>
      </c>
      <c r="E1657" s="138" t="s">
        <v>937</v>
      </c>
    </row>
    <row r="1658" spans="1:5" ht="18.75">
      <c r="A1658" s="89" t="str">
        <f t="shared" si="25"/>
        <v>#10005</v>
      </c>
      <c r="B1658" s="138" t="s">
        <v>4026</v>
      </c>
      <c r="C1658" s="236" t="s">
        <v>1287</v>
      </c>
      <c r="D1658" s="206">
        <v>41684</v>
      </c>
      <c r="E1658" s="138" t="s">
        <v>937</v>
      </c>
    </row>
    <row r="1659" spans="1:5" ht="18.75">
      <c r="A1659" s="89" t="str">
        <f t="shared" si="25"/>
        <v>#10017</v>
      </c>
      <c r="B1659" s="138" t="s">
        <v>4027</v>
      </c>
      <c r="C1659" s="236" t="s">
        <v>4003</v>
      </c>
      <c r="D1659" s="206">
        <v>41685</v>
      </c>
      <c r="E1659" s="138" t="s">
        <v>948</v>
      </c>
    </row>
    <row r="1660" spans="1:5" ht="18.75">
      <c r="A1660" s="89" t="str">
        <f t="shared" si="25"/>
        <v>#10029</v>
      </c>
      <c r="B1660" s="138" t="s">
        <v>4030</v>
      </c>
      <c r="C1660" s="236" t="s">
        <v>4029</v>
      </c>
      <c r="D1660" s="206">
        <v>41684</v>
      </c>
      <c r="E1660" s="138" t="s">
        <v>752</v>
      </c>
    </row>
    <row r="1661" spans="1:5" ht="18.75">
      <c r="A1661" s="89" t="str">
        <f t="shared" si="25"/>
        <v>#10034</v>
      </c>
      <c r="B1661" s="138" t="s">
        <v>4032</v>
      </c>
      <c r="C1661" s="236" t="s">
        <v>4031</v>
      </c>
      <c r="D1661" s="206">
        <v>41688</v>
      </c>
      <c r="E1661" s="138" t="s">
        <v>1133</v>
      </c>
    </row>
    <row r="1662" spans="1:5" ht="18.75">
      <c r="A1662" s="89" t="str">
        <f t="shared" si="25"/>
        <v>#10049</v>
      </c>
      <c r="B1662" s="138" t="s">
        <v>4034</v>
      </c>
      <c r="C1662" s="236" t="s">
        <v>4033</v>
      </c>
      <c r="D1662" s="206">
        <v>41689</v>
      </c>
      <c r="E1662" s="138" t="s">
        <v>1133</v>
      </c>
    </row>
    <row r="1663" spans="1:5" ht="18.75">
      <c r="A1663" s="89" t="str">
        <f t="shared" si="25"/>
        <v>#10054</v>
      </c>
      <c r="B1663" s="138" t="s">
        <v>4036</v>
      </c>
      <c r="C1663" s="236" t="s">
        <v>4035</v>
      </c>
      <c r="D1663" s="206">
        <v>41688</v>
      </c>
      <c r="E1663" s="138" t="s">
        <v>1380</v>
      </c>
    </row>
    <row r="1664" spans="1:5" ht="18.75">
      <c r="A1664" s="89" t="str">
        <f t="shared" si="25"/>
        <v>#10056</v>
      </c>
      <c r="B1664" s="138" t="s">
        <v>4037</v>
      </c>
      <c r="C1664" s="236" t="s">
        <v>1023</v>
      </c>
      <c r="D1664" s="206">
        <v>41688</v>
      </c>
      <c r="E1664" s="138" t="s">
        <v>895</v>
      </c>
    </row>
    <row r="1665" spans="1:5" ht="18.75">
      <c r="A1665" s="89" t="str">
        <f t="shared" si="25"/>
        <v>#10064</v>
      </c>
      <c r="B1665" s="138" t="s">
        <v>4039</v>
      </c>
      <c r="C1665" s="236" t="s">
        <v>4038</v>
      </c>
      <c r="D1665" s="206">
        <v>41688</v>
      </c>
      <c r="E1665" s="138" t="s">
        <v>1034</v>
      </c>
    </row>
    <row r="1666" spans="1:5" ht="18.75">
      <c r="A1666" s="89" t="str">
        <f t="shared" si="25"/>
        <v>#10068</v>
      </c>
      <c r="B1666" s="138" t="s">
        <v>4040</v>
      </c>
      <c r="C1666" s="236" t="s">
        <v>1599</v>
      </c>
      <c r="D1666" s="206">
        <v>41688</v>
      </c>
      <c r="E1666" s="138" t="s">
        <v>7818</v>
      </c>
    </row>
    <row r="1667" spans="1:5" ht="18.75">
      <c r="A1667" s="89" t="str">
        <f t="shared" ref="A1667:A1730" si="26">"#"&amp;B1667</f>
        <v>#10069</v>
      </c>
      <c r="B1667" s="138" t="s">
        <v>4041</v>
      </c>
      <c r="C1667" s="236" t="s">
        <v>1321</v>
      </c>
      <c r="D1667" s="206">
        <v>41688</v>
      </c>
      <c r="E1667" s="138" t="s">
        <v>890</v>
      </c>
    </row>
    <row r="1668" spans="1:5" ht="18.75">
      <c r="A1668" s="89" t="str">
        <f t="shared" si="26"/>
        <v>#10070</v>
      </c>
      <c r="B1668" s="138" t="s">
        <v>4042</v>
      </c>
      <c r="C1668" s="236" t="s">
        <v>3445</v>
      </c>
      <c r="D1668" s="206">
        <v>41688</v>
      </c>
      <c r="E1668" s="138" t="s">
        <v>7818</v>
      </c>
    </row>
    <row r="1669" spans="1:5" ht="18.75">
      <c r="A1669" s="89" t="str">
        <f t="shared" si="26"/>
        <v>#10071</v>
      </c>
      <c r="B1669" s="138" t="s">
        <v>4043</v>
      </c>
      <c r="C1669" s="236" t="s">
        <v>3249</v>
      </c>
      <c r="D1669" s="206">
        <v>41688</v>
      </c>
      <c r="E1669" s="138" t="s">
        <v>1188</v>
      </c>
    </row>
    <row r="1670" spans="1:5" ht="18.75">
      <c r="A1670" s="89" t="str">
        <f t="shared" si="26"/>
        <v>#10086</v>
      </c>
      <c r="B1670" s="138" t="s">
        <v>4044</v>
      </c>
      <c r="C1670" s="236" t="s">
        <v>1407</v>
      </c>
      <c r="D1670" s="206">
        <v>41691</v>
      </c>
      <c r="E1670" s="138" t="s">
        <v>1034</v>
      </c>
    </row>
    <row r="1671" spans="1:5" ht="18.75">
      <c r="A1671" s="89" t="str">
        <f t="shared" si="26"/>
        <v>#10104</v>
      </c>
      <c r="B1671" s="138" t="s">
        <v>4046</v>
      </c>
      <c r="C1671" s="236" t="s">
        <v>4045</v>
      </c>
      <c r="D1671" s="206">
        <v>41715</v>
      </c>
      <c r="E1671" s="138" t="s">
        <v>721</v>
      </c>
    </row>
    <row r="1672" spans="1:5" ht="18.75">
      <c r="A1672" s="89" t="str">
        <f t="shared" si="26"/>
        <v>#10109</v>
      </c>
      <c r="B1672" s="138" t="s">
        <v>4048</v>
      </c>
      <c r="C1672" s="236" t="s">
        <v>4047</v>
      </c>
      <c r="D1672" s="206">
        <v>41715</v>
      </c>
      <c r="E1672" s="138" t="s">
        <v>1098</v>
      </c>
    </row>
    <row r="1673" spans="1:5" ht="18.75">
      <c r="A1673" s="89" t="str">
        <f t="shared" si="26"/>
        <v>#10140</v>
      </c>
      <c r="B1673" s="138" t="s">
        <v>4050</v>
      </c>
      <c r="C1673" s="236" t="s">
        <v>4049</v>
      </c>
      <c r="D1673" s="206">
        <v>41744</v>
      </c>
      <c r="E1673" s="138" t="s">
        <v>1541</v>
      </c>
    </row>
    <row r="1674" spans="1:5" ht="18.75">
      <c r="A1674" s="89" t="str">
        <f t="shared" si="26"/>
        <v>#10145</v>
      </c>
      <c r="B1674" s="138" t="s">
        <v>4051</v>
      </c>
      <c r="C1674" s="236" t="s">
        <v>3857</v>
      </c>
      <c r="D1674" s="206">
        <v>41744</v>
      </c>
      <c r="E1674" s="138" t="s">
        <v>1085</v>
      </c>
    </row>
    <row r="1675" spans="1:5" ht="18.75">
      <c r="A1675" s="89" t="str">
        <f t="shared" si="26"/>
        <v>#10148</v>
      </c>
      <c r="B1675" s="138" t="s">
        <v>4053</v>
      </c>
      <c r="C1675" s="236" t="s">
        <v>4052</v>
      </c>
      <c r="D1675" s="206">
        <v>41744</v>
      </c>
      <c r="E1675" s="138" t="s">
        <v>937</v>
      </c>
    </row>
    <row r="1676" spans="1:5" ht="18.75">
      <c r="A1676" s="89" t="str">
        <f t="shared" si="26"/>
        <v>#10178</v>
      </c>
      <c r="B1676" s="138" t="s">
        <v>4055</v>
      </c>
      <c r="C1676" s="236" t="s">
        <v>4054</v>
      </c>
      <c r="D1676" s="206">
        <v>41768</v>
      </c>
      <c r="E1676" s="138" t="s">
        <v>1380</v>
      </c>
    </row>
    <row r="1677" spans="1:5" ht="18.75">
      <c r="A1677" s="89" t="str">
        <f t="shared" si="26"/>
        <v>#10179</v>
      </c>
      <c r="B1677" s="138" t="s">
        <v>4057</v>
      </c>
      <c r="C1677" s="236" t="s">
        <v>4056</v>
      </c>
      <c r="D1677" s="206">
        <v>41768</v>
      </c>
      <c r="E1677" s="138" t="s">
        <v>1034</v>
      </c>
    </row>
    <row r="1678" spans="1:5" ht="18.75">
      <c r="A1678" s="89" t="str">
        <f t="shared" si="26"/>
        <v>#10184</v>
      </c>
      <c r="B1678" s="138" t="s">
        <v>4059</v>
      </c>
      <c r="C1678" s="236" t="s">
        <v>4058</v>
      </c>
      <c r="D1678" s="206">
        <v>41768</v>
      </c>
      <c r="E1678" s="138" t="s">
        <v>721</v>
      </c>
    </row>
    <row r="1679" spans="1:5" ht="18.75">
      <c r="A1679" s="89" t="str">
        <f t="shared" si="26"/>
        <v>#10186</v>
      </c>
      <c r="B1679" s="138" t="s">
        <v>4061</v>
      </c>
      <c r="C1679" s="236" t="s">
        <v>4060</v>
      </c>
      <c r="D1679" s="206">
        <v>41768</v>
      </c>
      <c r="E1679" s="138" t="s">
        <v>721</v>
      </c>
    </row>
    <row r="1680" spans="1:5" ht="18.75">
      <c r="A1680" s="89" t="str">
        <f t="shared" si="26"/>
        <v>#10187</v>
      </c>
      <c r="B1680" s="138" t="s">
        <v>4063</v>
      </c>
      <c r="C1680" s="236" t="s">
        <v>4062</v>
      </c>
      <c r="D1680" s="206">
        <v>41768</v>
      </c>
      <c r="E1680" s="138" t="s">
        <v>721</v>
      </c>
    </row>
    <row r="1681" spans="1:5" ht="18.75">
      <c r="A1681" s="89" t="str">
        <f t="shared" si="26"/>
        <v>#10188</v>
      </c>
      <c r="B1681" s="138" t="s">
        <v>4065</v>
      </c>
      <c r="C1681" s="236" t="s">
        <v>4064</v>
      </c>
      <c r="D1681" s="206">
        <v>41768</v>
      </c>
      <c r="E1681" s="138" t="s">
        <v>721</v>
      </c>
    </row>
    <row r="1682" spans="1:5" ht="18.75">
      <c r="A1682" s="89" t="str">
        <f t="shared" si="26"/>
        <v>#10189</v>
      </c>
      <c r="B1682" s="138" t="s">
        <v>4067</v>
      </c>
      <c r="C1682" s="236" t="s">
        <v>4066</v>
      </c>
      <c r="D1682" s="206">
        <v>41768</v>
      </c>
      <c r="E1682" s="138" t="s">
        <v>721</v>
      </c>
    </row>
    <row r="1683" spans="1:5" ht="18.75">
      <c r="A1683" s="89" t="str">
        <f t="shared" si="26"/>
        <v>#10191</v>
      </c>
      <c r="B1683" s="138" t="s">
        <v>4069</v>
      </c>
      <c r="C1683" s="236" t="s">
        <v>4068</v>
      </c>
      <c r="D1683" s="206">
        <v>41768</v>
      </c>
      <c r="E1683" s="138" t="s">
        <v>721</v>
      </c>
    </row>
    <row r="1684" spans="1:5" ht="18.75">
      <c r="A1684" s="89" t="str">
        <f t="shared" si="26"/>
        <v>#10199</v>
      </c>
      <c r="B1684" s="138" t="s">
        <v>4071</v>
      </c>
      <c r="C1684" s="236" t="s">
        <v>4070</v>
      </c>
      <c r="D1684" s="206">
        <v>41768</v>
      </c>
      <c r="E1684" s="138" t="s">
        <v>927</v>
      </c>
    </row>
    <row r="1685" spans="1:5" ht="18.75">
      <c r="A1685" s="89" t="str">
        <f t="shared" si="26"/>
        <v>#10205</v>
      </c>
      <c r="B1685" s="138" t="s">
        <v>4073</v>
      </c>
      <c r="C1685" s="236" t="s">
        <v>4072</v>
      </c>
      <c r="D1685" s="206">
        <v>41774</v>
      </c>
      <c r="E1685" s="138" t="s">
        <v>898</v>
      </c>
    </row>
    <row r="1686" spans="1:5" ht="18.75">
      <c r="A1686" s="89" t="str">
        <f t="shared" si="26"/>
        <v>#10207</v>
      </c>
      <c r="B1686" s="138" t="s">
        <v>4075</v>
      </c>
      <c r="C1686" s="236" t="s">
        <v>4074</v>
      </c>
      <c r="D1686" s="206">
        <v>41779</v>
      </c>
      <c r="E1686" s="138" t="s">
        <v>1188</v>
      </c>
    </row>
    <row r="1687" spans="1:5" ht="18.75">
      <c r="A1687" s="89" t="str">
        <f t="shared" si="26"/>
        <v>#10221</v>
      </c>
      <c r="B1687" s="138" t="s">
        <v>4077</v>
      </c>
      <c r="C1687" s="236" t="s">
        <v>4076</v>
      </c>
      <c r="D1687" s="206">
        <v>41779</v>
      </c>
      <c r="E1687" s="138" t="s">
        <v>7818</v>
      </c>
    </row>
    <row r="1688" spans="1:5" ht="18.75">
      <c r="A1688" s="89" t="str">
        <f t="shared" si="26"/>
        <v>#10224</v>
      </c>
      <c r="B1688" s="138" t="s">
        <v>4078</v>
      </c>
      <c r="C1688" s="236" t="s">
        <v>2580</v>
      </c>
      <c r="D1688" s="206">
        <v>41779</v>
      </c>
      <c r="E1688" s="138" t="s">
        <v>7818</v>
      </c>
    </row>
    <row r="1689" spans="1:5" ht="18.75">
      <c r="A1689" s="89" t="str">
        <f t="shared" si="26"/>
        <v>#10236</v>
      </c>
      <c r="B1689" s="138" t="s">
        <v>4080</v>
      </c>
      <c r="C1689" s="236" t="s">
        <v>4079</v>
      </c>
      <c r="D1689" s="206">
        <v>41779</v>
      </c>
      <c r="E1689" s="138" t="s">
        <v>721</v>
      </c>
    </row>
    <row r="1690" spans="1:5" ht="18.75">
      <c r="A1690" s="89" t="str">
        <f t="shared" si="26"/>
        <v>#10239</v>
      </c>
      <c r="B1690" s="138" t="s">
        <v>4082</v>
      </c>
      <c r="C1690" s="236" t="s">
        <v>4081</v>
      </c>
      <c r="D1690" s="206">
        <v>41779</v>
      </c>
      <c r="E1690" s="138" t="s">
        <v>1188</v>
      </c>
    </row>
    <row r="1691" spans="1:5" ht="18.75">
      <c r="A1691" s="89" t="str">
        <f t="shared" si="26"/>
        <v>#10247</v>
      </c>
      <c r="B1691" s="138" t="s">
        <v>4084</v>
      </c>
      <c r="C1691" s="236" t="s">
        <v>4083</v>
      </c>
      <c r="D1691" s="206">
        <v>41795</v>
      </c>
      <c r="E1691" s="138" t="s">
        <v>924</v>
      </c>
    </row>
    <row r="1692" spans="1:5" ht="18.75">
      <c r="A1692" s="89" t="str">
        <f t="shared" si="26"/>
        <v>#10250</v>
      </c>
      <c r="B1692" s="138" t="s">
        <v>4086</v>
      </c>
      <c r="C1692" s="236" t="s">
        <v>4085</v>
      </c>
      <c r="D1692" s="206">
        <v>41795</v>
      </c>
      <c r="E1692" s="138" t="s">
        <v>890</v>
      </c>
    </row>
    <row r="1693" spans="1:5" ht="18.75">
      <c r="A1693" s="89" t="str">
        <f t="shared" si="26"/>
        <v>#10251</v>
      </c>
      <c r="B1693" s="138" t="s">
        <v>4087</v>
      </c>
      <c r="C1693" s="236" t="s">
        <v>1719</v>
      </c>
      <c r="D1693" s="206">
        <v>41795</v>
      </c>
      <c r="E1693" s="138" t="s">
        <v>924</v>
      </c>
    </row>
    <row r="1694" spans="1:5" ht="18.75">
      <c r="A1694" s="89" t="str">
        <f t="shared" si="26"/>
        <v>#10257</v>
      </c>
      <c r="B1694" s="138" t="s">
        <v>4089</v>
      </c>
      <c r="C1694" s="236" t="s">
        <v>4088</v>
      </c>
      <c r="D1694" s="206">
        <v>41795</v>
      </c>
      <c r="E1694" s="138" t="s">
        <v>924</v>
      </c>
    </row>
    <row r="1695" spans="1:5" ht="18.75">
      <c r="A1695" s="89" t="str">
        <f t="shared" si="26"/>
        <v>#10261</v>
      </c>
      <c r="B1695" s="138" t="s">
        <v>4091</v>
      </c>
      <c r="C1695" s="236" t="s">
        <v>4090</v>
      </c>
      <c r="D1695" s="206">
        <v>41795</v>
      </c>
      <c r="E1695" s="138" t="s">
        <v>924</v>
      </c>
    </row>
    <row r="1696" spans="1:5" ht="18.75">
      <c r="A1696" s="89" t="str">
        <f t="shared" si="26"/>
        <v>#10291</v>
      </c>
      <c r="B1696" s="138" t="s">
        <v>4093</v>
      </c>
      <c r="C1696" s="236" t="s">
        <v>4092</v>
      </c>
      <c r="D1696" s="206">
        <v>41799</v>
      </c>
      <c r="E1696" s="138" t="s">
        <v>948</v>
      </c>
    </row>
    <row r="1697" spans="1:5" ht="18.75">
      <c r="A1697" s="89" t="str">
        <f t="shared" si="26"/>
        <v>#10294</v>
      </c>
      <c r="B1697" s="138" t="s">
        <v>4095</v>
      </c>
      <c r="C1697" s="236" t="s">
        <v>4094</v>
      </c>
      <c r="D1697" s="206">
        <v>41799</v>
      </c>
      <c r="E1697" s="138" t="s">
        <v>934</v>
      </c>
    </row>
    <row r="1698" spans="1:5" ht="18.75">
      <c r="A1698" s="89" t="str">
        <f t="shared" si="26"/>
        <v>#10299</v>
      </c>
      <c r="B1698" s="138" t="s">
        <v>4097</v>
      </c>
      <c r="C1698" s="236" t="s">
        <v>4096</v>
      </c>
      <c r="D1698" s="206">
        <v>41801</v>
      </c>
      <c r="E1698" s="138" t="s">
        <v>7818</v>
      </c>
    </row>
    <row r="1699" spans="1:5" ht="18.75">
      <c r="A1699" s="89" t="str">
        <f t="shared" si="26"/>
        <v>#10302</v>
      </c>
      <c r="B1699" s="138" t="s">
        <v>4098</v>
      </c>
      <c r="C1699" s="236" t="s">
        <v>2647</v>
      </c>
      <c r="D1699" s="206">
        <v>41801</v>
      </c>
      <c r="E1699" s="138" t="s">
        <v>1043</v>
      </c>
    </row>
    <row r="1700" spans="1:5" ht="18.75">
      <c r="A1700" s="89" t="str">
        <f t="shared" si="26"/>
        <v>#10303</v>
      </c>
      <c r="B1700" s="138" t="s">
        <v>4100</v>
      </c>
      <c r="C1700" s="236" t="s">
        <v>4099</v>
      </c>
      <c r="D1700" s="206">
        <v>41806</v>
      </c>
      <c r="E1700" s="138" t="s">
        <v>957</v>
      </c>
    </row>
    <row r="1701" spans="1:5" ht="18.75">
      <c r="A1701" s="89" t="str">
        <f t="shared" si="26"/>
        <v>#10304</v>
      </c>
      <c r="B1701" s="138" t="s">
        <v>4102</v>
      </c>
      <c r="C1701" s="236" t="s">
        <v>4101</v>
      </c>
      <c r="D1701" s="206">
        <v>41810</v>
      </c>
      <c r="E1701" s="138" t="s">
        <v>1043</v>
      </c>
    </row>
    <row r="1702" spans="1:5" ht="18.75">
      <c r="A1702" s="89" t="str">
        <f t="shared" si="26"/>
        <v>#10307</v>
      </c>
      <c r="B1702" s="138" t="s">
        <v>4103</v>
      </c>
      <c r="C1702" s="236" t="s">
        <v>3865</v>
      </c>
      <c r="D1702" s="206">
        <v>41822</v>
      </c>
      <c r="E1702" s="138" t="s">
        <v>937</v>
      </c>
    </row>
    <row r="1703" spans="1:5" ht="18.75">
      <c r="A1703" s="89" t="str">
        <f t="shared" si="26"/>
        <v>#10309</v>
      </c>
      <c r="B1703" s="138" t="s">
        <v>4105</v>
      </c>
      <c r="C1703" s="236" t="s">
        <v>4104</v>
      </c>
      <c r="D1703" s="206">
        <v>41822</v>
      </c>
      <c r="E1703" s="138" t="s">
        <v>1034</v>
      </c>
    </row>
    <row r="1704" spans="1:5" ht="18.75">
      <c r="A1704" s="89" t="str">
        <f t="shared" si="26"/>
        <v>#10324</v>
      </c>
      <c r="B1704" s="138" t="s">
        <v>4107</v>
      </c>
      <c r="C1704" s="236" t="s">
        <v>4106</v>
      </c>
      <c r="D1704" s="206">
        <v>41822</v>
      </c>
      <c r="E1704" s="138" t="s">
        <v>890</v>
      </c>
    </row>
    <row r="1705" spans="1:5" ht="18.75">
      <c r="A1705" s="89" t="str">
        <f t="shared" si="26"/>
        <v>#10328</v>
      </c>
      <c r="B1705" s="138" t="s">
        <v>4109</v>
      </c>
      <c r="C1705" s="236" t="s">
        <v>4108</v>
      </c>
      <c r="D1705" s="206">
        <v>41822</v>
      </c>
      <c r="E1705" s="138" t="s">
        <v>985</v>
      </c>
    </row>
    <row r="1706" spans="1:5" ht="18.75">
      <c r="A1706" s="89" t="str">
        <f t="shared" si="26"/>
        <v>#10337</v>
      </c>
      <c r="B1706" s="138" t="s">
        <v>4111</v>
      </c>
      <c r="C1706" s="236" t="s">
        <v>4110</v>
      </c>
      <c r="D1706" s="206">
        <v>41822</v>
      </c>
      <c r="E1706" s="138" t="s">
        <v>1043</v>
      </c>
    </row>
    <row r="1707" spans="1:5" ht="18.75">
      <c r="A1707" s="89" t="str">
        <f t="shared" si="26"/>
        <v>#10341</v>
      </c>
      <c r="B1707" s="138" t="s">
        <v>4112</v>
      </c>
      <c r="C1707" s="236" t="s">
        <v>2117</v>
      </c>
      <c r="D1707" s="206">
        <v>41823</v>
      </c>
      <c r="E1707" s="138" t="s">
        <v>1034</v>
      </c>
    </row>
    <row r="1708" spans="1:5" ht="18.75">
      <c r="A1708" s="89" t="str">
        <f t="shared" si="26"/>
        <v>#10359</v>
      </c>
      <c r="B1708" s="138" t="s">
        <v>4113</v>
      </c>
      <c r="C1708" s="236" t="s">
        <v>2845</v>
      </c>
      <c r="D1708" s="206">
        <v>41831</v>
      </c>
      <c r="E1708" s="138" t="s">
        <v>1034</v>
      </c>
    </row>
    <row r="1709" spans="1:5" ht="18.75">
      <c r="A1709" s="89" t="str">
        <f t="shared" si="26"/>
        <v>#10362</v>
      </c>
      <c r="B1709" s="138" t="s">
        <v>4115</v>
      </c>
      <c r="C1709" s="236" t="s">
        <v>4114</v>
      </c>
      <c r="D1709" s="206">
        <v>41831</v>
      </c>
      <c r="E1709" s="138" t="s">
        <v>1380</v>
      </c>
    </row>
    <row r="1710" spans="1:5" ht="18.75">
      <c r="A1710" s="89" t="str">
        <f t="shared" si="26"/>
        <v>#10367</v>
      </c>
      <c r="B1710" s="138" t="s">
        <v>4117</v>
      </c>
      <c r="C1710" s="236" t="s">
        <v>4116</v>
      </c>
      <c r="D1710" s="206">
        <v>41831</v>
      </c>
      <c r="E1710" s="138" t="s">
        <v>1034</v>
      </c>
    </row>
    <row r="1711" spans="1:5" ht="18.75">
      <c r="A1711" s="89" t="str">
        <f t="shared" si="26"/>
        <v>#10368</v>
      </c>
      <c r="B1711" s="138" t="s">
        <v>4119</v>
      </c>
      <c r="C1711" s="236" t="s">
        <v>4118</v>
      </c>
      <c r="D1711" s="206">
        <v>41831</v>
      </c>
      <c r="E1711" s="138" t="s">
        <v>1034</v>
      </c>
    </row>
    <row r="1712" spans="1:5" ht="18.75">
      <c r="A1712" s="89" t="str">
        <f t="shared" si="26"/>
        <v>#10369</v>
      </c>
      <c r="B1712" s="138" t="s">
        <v>4120</v>
      </c>
      <c r="C1712" s="236" t="s">
        <v>2945</v>
      </c>
      <c r="D1712" s="206">
        <v>41835</v>
      </c>
      <c r="E1712" s="138" t="s">
        <v>1675</v>
      </c>
    </row>
    <row r="1713" spans="1:5" ht="18.75">
      <c r="A1713" s="89" t="str">
        <f t="shared" si="26"/>
        <v>#10373</v>
      </c>
      <c r="B1713" s="138" t="s">
        <v>4122</v>
      </c>
      <c r="C1713" s="236" t="s">
        <v>4121</v>
      </c>
      <c r="D1713" s="206">
        <v>41842</v>
      </c>
      <c r="E1713" s="138" t="s">
        <v>1188</v>
      </c>
    </row>
    <row r="1714" spans="1:5" ht="18.75">
      <c r="A1714" s="89" t="str">
        <f t="shared" si="26"/>
        <v>#10379</v>
      </c>
      <c r="B1714" s="138" t="s">
        <v>4124</v>
      </c>
      <c r="C1714" s="236" t="s">
        <v>4123</v>
      </c>
      <c r="D1714" s="206">
        <v>41842</v>
      </c>
      <c r="E1714" s="138" t="s">
        <v>1188</v>
      </c>
    </row>
    <row r="1715" spans="1:5" ht="18.75">
      <c r="A1715" s="89" t="str">
        <f t="shared" si="26"/>
        <v>#10387</v>
      </c>
      <c r="B1715" s="138" t="s">
        <v>4126</v>
      </c>
      <c r="C1715" s="236" t="s">
        <v>4125</v>
      </c>
      <c r="D1715" s="206">
        <v>41842</v>
      </c>
      <c r="E1715" s="138" t="s">
        <v>978</v>
      </c>
    </row>
    <row r="1716" spans="1:5" ht="18.75">
      <c r="A1716" s="89" t="str">
        <f t="shared" si="26"/>
        <v>#10395</v>
      </c>
      <c r="B1716" s="138" t="s">
        <v>4128</v>
      </c>
      <c r="C1716" s="236" t="s">
        <v>4127</v>
      </c>
      <c r="D1716" s="206">
        <v>41842</v>
      </c>
      <c r="E1716" s="138" t="s">
        <v>978</v>
      </c>
    </row>
    <row r="1717" spans="1:5" ht="18.75">
      <c r="A1717" s="89" t="str">
        <f t="shared" si="26"/>
        <v>#10397</v>
      </c>
      <c r="B1717" s="138" t="s">
        <v>4130</v>
      </c>
      <c r="C1717" s="236" t="s">
        <v>4129</v>
      </c>
      <c r="D1717" s="206">
        <v>41842</v>
      </c>
      <c r="E1717" s="138" t="s">
        <v>978</v>
      </c>
    </row>
    <row r="1718" spans="1:5" ht="18.75">
      <c r="A1718" s="89" t="str">
        <f t="shared" si="26"/>
        <v>#10402</v>
      </c>
      <c r="B1718" s="138" t="s">
        <v>4132</v>
      </c>
      <c r="C1718" s="236" t="s">
        <v>4131</v>
      </c>
      <c r="D1718" s="206">
        <v>41845</v>
      </c>
      <c r="E1718" s="138" t="s">
        <v>906</v>
      </c>
    </row>
    <row r="1719" spans="1:5" ht="18.75">
      <c r="A1719" s="89" t="str">
        <f t="shared" si="26"/>
        <v>#10405</v>
      </c>
      <c r="B1719" s="138" t="s">
        <v>4134</v>
      </c>
      <c r="C1719" s="236" t="s">
        <v>4133</v>
      </c>
      <c r="D1719" s="206">
        <v>41845</v>
      </c>
      <c r="E1719" s="138" t="s">
        <v>906</v>
      </c>
    </row>
    <row r="1720" spans="1:5" ht="18.75">
      <c r="A1720" s="89" t="str">
        <f t="shared" si="26"/>
        <v>#10406</v>
      </c>
      <c r="B1720" s="138" t="s">
        <v>4135</v>
      </c>
      <c r="C1720" s="236" t="s">
        <v>3254</v>
      </c>
      <c r="D1720" s="206">
        <v>41845</v>
      </c>
      <c r="E1720" s="138" t="s">
        <v>906</v>
      </c>
    </row>
    <row r="1721" spans="1:5" ht="18.75">
      <c r="A1721" s="89" t="str">
        <f t="shared" si="26"/>
        <v>#10408</v>
      </c>
      <c r="B1721" s="138" t="s">
        <v>4137</v>
      </c>
      <c r="C1721" s="236" t="s">
        <v>4136</v>
      </c>
      <c r="D1721" s="206">
        <v>41845</v>
      </c>
      <c r="E1721" s="138" t="s">
        <v>906</v>
      </c>
    </row>
    <row r="1722" spans="1:5" ht="18.75">
      <c r="A1722" s="89" t="str">
        <f t="shared" si="26"/>
        <v>#10411</v>
      </c>
      <c r="B1722" s="138" t="s">
        <v>4139</v>
      </c>
      <c r="C1722" s="236" t="s">
        <v>4138</v>
      </c>
      <c r="D1722" s="206">
        <v>41845</v>
      </c>
      <c r="E1722" s="138" t="s">
        <v>906</v>
      </c>
    </row>
    <row r="1723" spans="1:5" ht="18.75">
      <c r="A1723" s="89" t="str">
        <f t="shared" si="26"/>
        <v>#10427</v>
      </c>
      <c r="B1723" s="138" t="s">
        <v>4141</v>
      </c>
      <c r="C1723" s="236" t="s">
        <v>4140</v>
      </c>
      <c r="D1723" s="206">
        <v>41856</v>
      </c>
      <c r="E1723" s="138" t="s">
        <v>7818</v>
      </c>
    </row>
    <row r="1724" spans="1:5" ht="18.75">
      <c r="A1724" s="89" t="str">
        <f t="shared" si="26"/>
        <v>#10452</v>
      </c>
      <c r="B1724" s="138" t="s">
        <v>4143</v>
      </c>
      <c r="C1724" s="236" t="s">
        <v>4142</v>
      </c>
      <c r="D1724" s="206">
        <v>41864</v>
      </c>
      <c r="E1724" s="138" t="s">
        <v>1215</v>
      </c>
    </row>
    <row r="1725" spans="1:5" ht="18.75">
      <c r="A1725" s="89" t="str">
        <f t="shared" si="26"/>
        <v>#10454</v>
      </c>
      <c r="B1725" s="138" t="s">
        <v>4145</v>
      </c>
      <c r="C1725" s="236" t="s">
        <v>4144</v>
      </c>
      <c r="D1725" s="206">
        <v>41864</v>
      </c>
      <c r="E1725" s="138" t="s">
        <v>1063</v>
      </c>
    </row>
    <row r="1726" spans="1:5" ht="18.75">
      <c r="A1726" s="89" t="str">
        <f t="shared" si="26"/>
        <v>#10480</v>
      </c>
      <c r="B1726" s="138" t="s">
        <v>4147</v>
      </c>
      <c r="C1726" s="236" t="s">
        <v>4146</v>
      </c>
      <c r="D1726" s="206">
        <v>41885</v>
      </c>
      <c r="E1726" s="138" t="s">
        <v>1168</v>
      </c>
    </row>
    <row r="1727" spans="1:5" ht="18.75">
      <c r="A1727" s="89" t="str">
        <f t="shared" si="26"/>
        <v>#10483</v>
      </c>
      <c r="B1727" s="138" t="s">
        <v>4149</v>
      </c>
      <c r="C1727" s="236" t="s">
        <v>4148</v>
      </c>
      <c r="D1727" s="206">
        <v>41898</v>
      </c>
      <c r="E1727" s="138" t="s">
        <v>978</v>
      </c>
    </row>
    <row r="1728" spans="1:5" ht="18.75">
      <c r="A1728" s="89" t="str">
        <f t="shared" si="26"/>
        <v>#10489</v>
      </c>
      <c r="B1728" s="138" t="s">
        <v>4151</v>
      </c>
      <c r="C1728" s="236" t="s">
        <v>4150</v>
      </c>
      <c r="D1728" s="206">
        <v>41898</v>
      </c>
      <c r="E1728" s="138" t="s">
        <v>978</v>
      </c>
    </row>
    <row r="1729" spans="1:5" ht="18.75">
      <c r="A1729" s="89" t="str">
        <f t="shared" si="26"/>
        <v>#10495</v>
      </c>
      <c r="B1729" s="138" t="s">
        <v>4153</v>
      </c>
      <c r="C1729" s="236" t="s">
        <v>4152</v>
      </c>
      <c r="D1729" s="206">
        <v>41898</v>
      </c>
      <c r="E1729" s="138" t="s">
        <v>7788</v>
      </c>
    </row>
    <row r="1730" spans="1:5" ht="18.75">
      <c r="A1730" s="89" t="str">
        <f t="shared" si="26"/>
        <v>#10498</v>
      </c>
      <c r="B1730" s="138" t="s">
        <v>4155</v>
      </c>
      <c r="C1730" s="236" t="s">
        <v>4154</v>
      </c>
      <c r="D1730" s="206">
        <v>41905</v>
      </c>
      <c r="E1730" s="206" t="s">
        <v>915</v>
      </c>
    </row>
    <row r="1731" spans="1:5" ht="18.75">
      <c r="A1731" s="89" t="str">
        <f t="shared" ref="A1731:A1794" si="27">"#"&amp;B1731</f>
        <v>#10499</v>
      </c>
      <c r="B1731" s="138" t="s">
        <v>4157</v>
      </c>
      <c r="C1731" s="236" t="s">
        <v>4156</v>
      </c>
      <c r="D1731" s="206">
        <v>41905</v>
      </c>
      <c r="E1731" s="138" t="s">
        <v>7818</v>
      </c>
    </row>
    <row r="1732" spans="1:5" ht="18.75">
      <c r="A1732" s="89" t="str">
        <f t="shared" si="27"/>
        <v>#10504</v>
      </c>
      <c r="B1732" s="138" t="s">
        <v>4159</v>
      </c>
      <c r="C1732" s="236" t="s">
        <v>4158</v>
      </c>
      <c r="D1732" s="206">
        <v>41905</v>
      </c>
      <c r="E1732" s="138" t="s">
        <v>1085</v>
      </c>
    </row>
    <row r="1733" spans="1:5" ht="18.75">
      <c r="A1733" s="89" t="str">
        <f t="shared" si="27"/>
        <v>#10509</v>
      </c>
      <c r="B1733" s="138" t="s">
        <v>4162</v>
      </c>
      <c r="C1733" s="181" t="s">
        <v>4161</v>
      </c>
      <c r="D1733" s="237">
        <v>41916</v>
      </c>
      <c r="E1733" s="138" t="s">
        <v>1043</v>
      </c>
    </row>
    <row r="1734" spans="1:5" ht="18.75">
      <c r="A1734" s="89" t="str">
        <f t="shared" si="27"/>
        <v>#10510</v>
      </c>
      <c r="B1734" s="138" t="s">
        <v>4164</v>
      </c>
      <c r="C1734" s="236" t="s">
        <v>4163</v>
      </c>
      <c r="D1734" s="206">
        <v>41916</v>
      </c>
      <c r="E1734" s="138" t="s">
        <v>903</v>
      </c>
    </row>
    <row r="1735" spans="1:5" ht="18.75">
      <c r="A1735" s="89" t="str">
        <f t="shared" si="27"/>
        <v>#10532</v>
      </c>
      <c r="B1735" s="138" t="s">
        <v>4166</v>
      </c>
      <c r="C1735" s="236" t="s">
        <v>4165</v>
      </c>
      <c r="D1735" s="206">
        <v>41925</v>
      </c>
      <c r="E1735" s="138" t="s">
        <v>1034</v>
      </c>
    </row>
    <row r="1736" spans="1:5" ht="18.75">
      <c r="A1736" s="89" t="str">
        <f t="shared" si="27"/>
        <v>#10544</v>
      </c>
      <c r="B1736" s="138" t="s">
        <v>4168</v>
      </c>
      <c r="C1736" s="236" t="s">
        <v>4167</v>
      </c>
      <c r="D1736" s="206">
        <v>41928</v>
      </c>
      <c r="E1736" s="138" t="s">
        <v>1133</v>
      </c>
    </row>
    <row r="1737" spans="1:5" ht="18.75">
      <c r="A1737" s="89" t="str">
        <f t="shared" si="27"/>
        <v>#10549</v>
      </c>
      <c r="B1737" s="138" t="s">
        <v>4170</v>
      </c>
      <c r="C1737" s="236" t="s">
        <v>4169</v>
      </c>
      <c r="D1737" s="206">
        <v>41928</v>
      </c>
      <c r="E1737" s="138" t="s">
        <v>1133</v>
      </c>
    </row>
    <row r="1738" spans="1:5" ht="18.75">
      <c r="A1738" s="89" t="str">
        <f t="shared" si="27"/>
        <v>#10553</v>
      </c>
      <c r="B1738" s="138" t="s">
        <v>4172</v>
      </c>
      <c r="C1738" s="236" t="s">
        <v>4171</v>
      </c>
      <c r="D1738" s="206">
        <v>41933</v>
      </c>
      <c r="E1738" s="138" t="s">
        <v>1113</v>
      </c>
    </row>
    <row r="1739" spans="1:5" ht="18.75">
      <c r="A1739" s="89" t="str">
        <f t="shared" si="27"/>
        <v>#10556</v>
      </c>
      <c r="B1739" s="138" t="s">
        <v>4173</v>
      </c>
      <c r="C1739" s="236" t="s">
        <v>3840</v>
      </c>
      <c r="D1739" s="206">
        <v>41939</v>
      </c>
      <c r="E1739" s="138" t="s">
        <v>1188</v>
      </c>
    </row>
    <row r="1740" spans="1:5" ht="18.75">
      <c r="A1740" s="89" t="str">
        <f t="shared" si="27"/>
        <v>#10561</v>
      </c>
      <c r="B1740" s="138" t="s">
        <v>4175</v>
      </c>
      <c r="C1740" s="236" t="s">
        <v>4174</v>
      </c>
      <c r="D1740" s="206">
        <v>41939</v>
      </c>
      <c r="E1740" s="138" t="s">
        <v>1188</v>
      </c>
    </row>
    <row r="1741" spans="1:5" ht="18.75">
      <c r="A1741" s="89" t="str">
        <f t="shared" si="27"/>
        <v>#10566</v>
      </c>
      <c r="B1741" s="138" t="s">
        <v>4176</v>
      </c>
      <c r="C1741" s="236" t="s">
        <v>3181</v>
      </c>
      <c r="D1741" s="206">
        <v>41943</v>
      </c>
      <c r="E1741" s="138" t="s">
        <v>906</v>
      </c>
    </row>
    <row r="1742" spans="1:5" ht="18.75">
      <c r="A1742" s="89" t="str">
        <f t="shared" si="27"/>
        <v>#10567</v>
      </c>
      <c r="B1742" s="138" t="s">
        <v>4178</v>
      </c>
      <c r="C1742" s="236" t="s">
        <v>4177</v>
      </c>
      <c r="D1742" s="206">
        <v>41943</v>
      </c>
      <c r="E1742" s="138" t="s">
        <v>906</v>
      </c>
    </row>
    <row r="1743" spans="1:5" ht="18.75">
      <c r="A1743" s="89" t="str">
        <f t="shared" si="27"/>
        <v>#10570</v>
      </c>
      <c r="B1743" s="138" t="s">
        <v>4179</v>
      </c>
      <c r="C1743" s="236" t="s">
        <v>3752</v>
      </c>
      <c r="D1743" s="206">
        <v>41943</v>
      </c>
      <c r="E1743" s="138" t="s">
        <v>906</v>
      </c>
    </row>
    <row r="1744" spans="1:5" ht="18.75">
      <c r="A1744" s="89" t="str">
        <f t="shared" si="27"/>
        <v>#10573</v>
      </c>
      <c r="B1744" s="138" t="s">
        <v>4181</v>
      </c>
      <c r="C1744" s="236" t="s">
        <v>4180</v>
      </c>
      <c r="D1744" s="206">
        <v>41943</v>
      </c>
      <c r="E1744" s="138" t="s">
        <v>906</v>
      </c>
    </row>
    <row r="1745" spans="1:5" ht="18.75">
      <c r="A1745" s="89" t="str">
        <f t="shared" si="27"/>
        <v>#10574</v>
      </c>
      <c r="B1745" s="138" t="s">
        <v>4183</v>
      </c>
      <c r="C1745" s="236" t="s">
        <v>4182</v>
      </c>
      <c r="D1745" s="206">
        <v>41943</v>
      </c>
      <c r="E1745" s="138" t="s">
        <v>906</v>
      </c>
    </row>
    <row r="1746" spans="1:5" ht="18.75">
      <c r="A1746" s="89" t="str">
        <f t="shared" si="27"/>
        <v>#10587</v>
      </c>
      <c r="B1746" s="138" t="s">
        <v>4185</v>
      </c>
      <c r="C1746" s="236" t="s">
        <v>4184</v>
      </c>
      <c r="D1746" s="206">
        <v>41953</v>
      </c>
      <c r="E1746" s="138" t="s">
        <v>7818</v>
      </c>
    </row>
    <row r="1747" spans="1:5" ht="18.75">
      <c r="A1747" s="89" t="str">
        <f t="shared" si="27"/>
        <v>#10592</v>
      </c>
      <c r="B1747" s="138" t="s">
        <v>4187</v>
      </c>
      <c r="C1747" s="236" t="s">
        <v>4186</v>
      </c>
      <c r="D1747" s="206">
        <v>41953</v>
      </c>
      <c r="E1747" s="138" t="s">
        <v>1133</v>
      </c>
    </row>
    <row r="1748" spans="1:5" ht="18.75">
      <c r="A1748" s="89" t="str">
        <f t="shared" si="27"/>
        <v>#10595</v>
      </c>
      <c r="B1748" s="138" t="s">
        <v>4188</v>
      </c>
      <c r="C1748" s="236" t="s">
        <v>1372</v>
      </c>
      <c r="D1748" s="206">
        <v>41953</v>
      </c>
      <c r="E1748" s="138" t="s">
        <v>927</v>
      </c>
    </row>
    <row r="1749" spans="1:5" ht="18.75">
      <c r="A1749" s="89" t="str">
        <f t="shared" si="27"/>
        <v>#10596</v>
      </c>
      <c r="B1749" s="138" t="s">
        <v>4190</v>
      </c>
      <c r="C1749" s="236" t="s">
        <v>4189</v>
      </c>
      <c r="D1749" s="206">
        <v>41953</v>
      </c>
      <c r="E1749" s="138" t="s">
        <v>985</v>
      </c>
    </row>
    <row r="1750" spans="1:5" ht="18.75">
      <c r="A1750" s="89" t="str">
        <f t="shared" si="27"/>
        <v>#10598</v>
      </c>
      <c r="B1750" s="138" t="s">
        <v>4192</v>
      </c>
      <c r="C1750" s="236" t="s">
        <v>4191</v>
      </c>
      <c r="D1750" s="206">
        <v>41953</v>
      </c>
      <c r="E1750" s="138" t="s">
        <v>890</v>
      </c>
    </row>
    <row r="1751" spans="1:5" ht="18.75">
      <c r="A1751" s="89" t="str">
        <f t="shared" si="27"/>
        <v>#10599</v>
      </c>
      <c r="B1751" s="138" t="s">
        <v>4194</v>
      </c>
      <c r="C1751" s="236" t="s">
        <v>4193</v>
      </c>
      <c r="D1751" s="206">
        <v>41953</v>
      </c>
      <c r="E1751" s="138" t="s">
        <v>7818</v>
      </c>
    </row>
    <row r="1752" spans="1:5" ht="18.75">
      <c r="A1752" s="89" t="str">
        <f t="shared" si="27"/>
        <v>#10600</v>
      </c>
      <c r="B1752" s="138" t="s">
        <v>4195</v>
      </c>
      <c r="C1752" s="236" t="s">
        <v>1041</v>
      </c>
      <c r="D1752" s="206">
        <v>41953</v>
      </c>
      <c r="E1752" s="138" t="s">
        <v>7818</v>
      </c>
    </row>
    <row r="1753" spans="1:5" ht="18.75">
      <c r="A1753" s="89" t="str">
        <f t="shared" si="27"/>
        <v>#10603</v>
      </c>
      <c r="B1753" s="138" t="s">
        <v>4197</v>
      </c>
      <c r="C1753" s="236" t="s">
        <v>4196</v>
      </c>
      <c r="D1753" s="206">
        <v>41960</v>
      </c>
      <c r="E1753" s="138" t="s">
        <v>906</v>
      </c>
    </row>
    <row r="1754" spans="1:5" ht="18.75">
      <c r="A1754" s="89" t="str">
        <f t="shared" si="27"/>
        <v>#10604</v>
      </c>
      <c r="B1754" s="138" t="s">
        <v>4199</v>
      </c>
      <c r="C1754" s="236" t="s">
        <v>4198</v>
      </c>
      <c r="D1754" s="206">
        <v>41960</v>
      </c>
      <c r="E1754" s="138" t="s">
        <v>906</v>
      </c>
    </row>
    <row r="1755" spans="1:5" ht="18.75">
      <c r="A1755" s="89" t="str">
        <f t="shared" si="27"/>
        <v>#10605</v>
      </c>
      <c r="B1755" s="138" t="s">
        <v>4201</v>
      </c>
      <c r="C1755" s="236" t="s">
        <v>4200</v>
      </c>
      <c r="D1755" s="206">
        <v>41960</v>
      </c>
      <c r="E1755" s="138" t="s">
        <v>906</v>
      </c>
    </row>
    <row r="1756" spans="1:5" ht="18.75">
      <c r="A1756" s="89" t="str">
        <f t="shared" si="27"/>
        <v>#10607</v>
      </c>
      <c r="B1756" s="138" t="s">
        <v>4203</v>
      </c>
      <c r="C1756" s="236" t="s">
        <v>4202</v>
      </c>
      <c r="D1756" s="206">
        <v>41960</v>
      </c>
      <c r="E1756" s="138" t="s">
        <v>906</v>
      </c>
    </row>
    <row r="1757" spans="1:5" ht="18.75">
      <c r="A1757" s="89" t="str">
        <f t="shared" si="27"/>
        <v>#10608</v>
      </c>
      <c r="B1757" s="138" t="s">
        <v>4204</v>
      </c>
      <c r="C1757" s="236" t="s">
        <v>4064</v>
      </c>
      <c r="D1757" s="206">
        <v>41960</v>
      </c>
      <c r="E1757" s="138" t="s">
        <v>906</v>
      </c>
    </row>
    <row r="1758" spans="1:5" ht="18.75">
      <c r="A1758" s="89" t="str">
        <f t="shared" si="27"/>
        <v>#10610</v>
      </c>
      <c r="B1758" s="138" t="s">
        <v>4206</v>
      </c>
      <c r="C1758" s="236" t="s">
        <v>4205</v>
      </c>
      <c r="D1758" s="206">
        <v>41960</v>
      </c>
      <c r="E1758" s="138" t="s">
        <v>1004</v>
      </c>
    </row>
    <row r="1759" spans="1:5" ht="18.75">
      <c r="A1759" s="89" t="str">
        <f t="shared" si="27"/>
        <v>#10611</v>
      </c>
      <c r="B1759" s="138" t="s">
        <v>4207</v>
      </c>
      <c r="C1759" s="236" t="s">
        <v>2495</v>
      </c>
      <c r="D1759" s="206">
        <v>41960</v>
      </c>
      <c r="E1759" s="138" t="s">
        <v>1004</v>
      </c>
    </row>
    <row r="1760" spans="1:5" ht="18.75">
      <c r="A1760" s="89" t="str">
        <f t="shared" si="27"/>
        <v>#10613</v>
      </c>
      <c r="B1760" s="138" t="s">
        <v>4209</v>
      </c>
      <c r="C1760" s="236" t="s">
        <v>4208</v>
      </c>
      <c r="D1760" s="206">
        <v>41960</v>
      </c>
      <c r="E1760" s="138" t="s">
        <v>903</v>
      </c>
    </row>
    <row r="1761" spans="1:5" ht="18.75">
      <c r="A1761" s="89" t="str">
        <f t="shared" si="27"/>
        <v>#10617</v>
      </c>
      <c r="B1761" s="138" t="s">
        <v>4211</v>
      </c>
      <c r="C1761" s="236" t="s">
        <v>4210</v>
      </c>
      <c r="D1761" s="206">
        <v>41974</v>
      </c>
      <c r="E1761" s="138" t="s">
        <v>937</v>
      </c>
    </row>
    <row r="1762" spans="1:5" ht="18.75">
      <c r="A1762" s="89" t="str">
        <f t="shared" si="27"/>
        <v>#10618</v>
      </c>
      <c r="B1762" s="138" t="s">
        <v>4213</v>
      </c>
      <c r="C1762" s="236" t="s">
        <v>4212</v>
      </c>
      <c r="D1762" s="206">
        <v>41974</v>
      </c>
      <c r="E1762" s="138" t="s">
        <v>1085</v>
      </c>
    </row>
    <row r="1763" spans="1:5" ht="18.75">
      <c r="A1763" s="89" t="str">
        <f t="shared" si="27"/>
        <v>#10622</v>
      </c>
      <c r="B1763" s="138" t="s">
        <v>4214</v>
      </c>
      <c r="C1763" s="236" t="s">
        <v>1556</v>
      </c>
      <c r="D1763" s="206">
        <v>41974</v>
      </c>
      <c r="E1763" s="138" t="s">
        <v>1085</v>
      </c>
    </row>
    <row r="1764" spans="1:5" ht="18.75">
      <c r="A1764" s="89" t="str">
        <f t="shared" si="27"/>
        <v>#10624</v>
      </c>
      <c r="B1764" s="138" t="s">
        <v>4216</v>
      </c>
      <c r="C1764" s="236" t="s">
        <v>4215</v>
      </c>
      <c r="D1764" s="206">
        <v>41974</v>
      </c>
      <c r="E1764" s="138" t="s">
        <v>937</v>
      </c>
    </row>
    <row r="1765" spans="1:5" ht="18.75">
      <c r="A1765" s="89" t="str">
        <f t="shared" si="27"/>
        <v>#10627</v>
      </c>
      <c r="B1765" s="138" t="s">
        <v>4217</v>
      </c>
      <c r="C1765" s="236" t="s">
        <v>1680</v>
      </c>
      <c r="D1765" s="206">
        <v>41974</v>
      </c>
      <c r="E1765" s="138" t="s">
        <v>937</v>
      </c>
    </row>
    <row r="1766" spans="1:5" ht="18.75">
      <c r="A1766" s="89" t="str">
        <f t="shared" si="27"/>
        <v>#10636</v>
      </c>
      <c r="B1766" s="138" t="s">
        <v>4219</v>
      </c>
      <c r="C1766" s="236" t="s">
        <v>4218</v>
      </c>
      <c r="D1766" s="206">
        <v>41974</v>
      </c>
      <c r="E1766" s="138" t="s">
        <v>927</v>
      </c>
    </row>
    <row r="1767" spans="1:5" ht="18.75">
      <c r="A1767" s="89" t="str">
        <f t="shared" si="27"/>
        <v>#10654</v>
      </c>
      <c r="B1767" s="138" t="s">
        <v>4220</v>
      </c>
      <c r="C1767" s="236" t="s">
        <v>1231</v>
      </c>
      <c r="D1767" s="206">
        <v>41989</v>
      </c>
      <c r="E1767" s="138" t="s">
        <v>890</v>
      </c>
    </row>
    <row r="1768" spans="1:5" ht="18.75">
      <c r="A1768" s="89" t="str">
        <f t="shared" si="27"/>
        <v>#10661</v>
      </c>
      <c r="B1768" s="138" t="s">
        <v>4222</v>
      </c>
      <c r="C1768" s="236" t="s">
        <v>4221</v>
      </c>
      <c r="D1768" s="206">
        <v>41989</v>
      </c>
      <c r="E1768" s="238" t="s">
        <v>957</v>
      </c>
    </row>
    <row r="1769" spans="1:5" ht="18.75">
      <c r="A1769" s="89" t="str">
        <f t="shared" si="27"/>
        <v>#10681</v>
      </c>
      <c r="B1769" s="138" t="s">
        <v>4224</v>
      </c>
      <c r="C1769" s="236" t="s">
        <v>4223</v>
      </c>
      <c r="D1769" s="206">
        <v>41998</v>
      </c>
      <c r="E1769" s="138" t="s">
        <v>1085</v>
      </c>
    </row>
    <row r="1770" spans="1:5" ht="18.75">
      <c r="A1770" s="89" t="str">
        <f t="shared" si="27"/>
        <v>#10683</v>
      </c>
      <c r="B1770" s="138" t="s">
        <v>4226</v>
      </c>
      <c r="C1770" s="236" t="s">
        <v>4225</v>
      </c>
      <c r="D1770" s="206">
        <v>41998</v>
      </c>
      <c r="E1770" s="138" t="s">
        <v>937</v>
      </c>
    </row>
    <row r="1771" spans="1:5" ht="18.75">
      <c r="A1771" s="89" t="str">
        <f t="shared" si="27"/>
        <v>#10693</v>
      </c>
      <c r="B1771" s="138" t="s">
        <v>4228</v>
      </c>
      <c r="C1771" s="236" t="s">
        <v>4227</v>
      </c>
      <c r="D1771" s="206">
        <v>41999</v>
      </c>
      <c r="E1771" s="138" t="s">
        <v>721</v>
      </c>
    </row>
    <row r="1772" spans="1:5" ht="18.75">
      <c r="A1772" s="89" t="str">
        <f t="shared" si="27"/>
        <v>#10696</v>
      </c>
      <c r="B1772" s="138" t="s">
        <v>4230</v>
      </c>
      <c r="C1772" s="236" t="s">
        <v>4229</v>
      </c>
      <c r="D1772" s="206">
        <v>42002</v>
      </c>
      <c r="E1772" s="138" t="s">
        <v>7818</v>
      </c>
    </row>
    <row r="1773" spans="1:5" ht="18.75">
      <c r="A1773" s="89" t="str">
        <f t="shared" si="27"/>
        <v>#10698</v>
      </c>
      <c r="B1773" s="138" t="s">
        <v>4232</v>
      </c>
      <c r="C1773" s="236" t="s">
        <v>4231</v>
      </c>
      <c r="D1773" s="206">
        <v>42002</v>
      </c>
      <c r="E1773" s="138" t="s">
        <v>895</v>
      </c>
    </row>
    <row r="1774" spans="1:5" ht="18.75">
      <c r="A1774" s="89" t="str">
        <f t="shared" si="27"/>
        <v>#10704</v>
      </c>
      <c r="B1774" s="138" t="s">
        <v>4234</v>
      </c>
      <c r="C1774" s="236" t="s">
        <v>4233</v>
      </c>
      <c r="D1774" s="206">
        <v>42059</v>
      </c>
      <c r="E1774" s="138" t="s">
        <v>1451</v>
      </c>
    </row>
    <row r="1775" spans="1:5" ht="18.75">
      <c r="A1775" s="89" t="str">
        <f t="shared" si="27"/>
        <v>#10706</v>
      </c>
      <c r="B1775" s="138" t="s">
        <v>4236</v>
      </c>
      <c r="C1775" s="236" t="s">
        <v>4235</v>
      </c>
      <c r="D1775" s="206">
        <v>42060</v>
      </c>
      <c r="E1775" s="138" t="s">
        <v>1188</v>
      </c>
    </row>
    <row r="1776" spans="1:5" ht="18.75">
      <c r="A1776" s="89" t="str">
        <f t="shared" si="27"/>
        <v>#10717</v>
      </c>
      <c r="B1776" s="138" t="s">
        <v>4238</v>
      </c>
      <c r="C1776" s="236" t="s">
        <v>4237</v>
      </c>
      <c r="D1776" s="206">
        <v>42060</v>
      </c>
      <c r="E1776" s="138" t="s">
        <v>1188</v>
      </c>
    </row>
    <row r="1777" spans="1:5" ht="18.75">
      <c r="A1777" s="89" t="str">
        <f t="shared" si="27"/>
        <v>#10718</v>
      </c>
      <c r="B1777" s="138" t="s">
        <v>4240</v>
      </c>
      <c r="C1777" s="236" t="s">
        <v>4239</v>
      </c>
      <c r="D1777" s="206">
        <v>42060</v>
      </c>
      <c r="E1777" s="138" t="s">
        <v>1188</v>
      </c>
    </row>
    <row r="1778" spans="1:5" ht="18.75">
      <c r="A1778" s="89" t="str">
        <f t="shared" si="27"/>
        <v>#10721</v>
      </c>
      <c r="B1778" s="138" t="s">
        <v>4242</v>
      </c>
      <c r="C1778" s="236" t="s">
        <v>4241</v>
      </c>
      <c r="D1778" s="206">
        <v>42060</v>
      </c>
      <c r="E1778" s="138" t="s">
        <v>978</v>
      </c>
    </row>
    <row r="1779" spans="1:5" ht="18.75">
      <c r="A1779" s="89" t="str">
        <f t="shared" si="27"/>
        <v>#10734</v>
      </c>
      <c r="B1779" s="138" t="s">
        <v>4243</v>
      </c>
      <c r="C1779" s="236" t="s">
        <v>2551</v>
      </c>
      <c r="D1779" s="206">
        <v>42060</v>
      </c>
      <c r="E1779" s="138" t="s">
        <v>1188</v>
      </c>
    </row>
    <row r="1780" spans="1:5" ht="18.75">
      <c r="A1780" s="89" t="str">
        <f t="shared" si="27"/>
        <v>#10739</v>
      </c>
      <c r="B1780" s="138" t="s">
        <v>4245</v>
      </c>
      <c r="C1780" s="236" t="s">
        <v>4244</v>
      </c>
      <c r="D1780" s="206">
        <v>42074</v>
      </c>
      <c r="E1780" s="138" t="s">
        <v>1380</v>
      </c>
    </row>
    <row r="1781" spans="1:5" ht="18.75">
      <c r="A1781" s="89" t="str">
        <f t="shared" si="27"/>
        <v>#10744</v>
      </c>
      <c r="B1781" s="138" t="s">
        <v>4247</v>
      </c>
      <c r="C1781" s="236" t="s">
        <v>4246</v>
      </c>
      <c r="D1781" s="206">
        <v>42074</v>
      </c>
      <c r="E1781" s="138" t="s">
        <v>1034</v>
      </c>
    </row>
    <row r="1782" spans="1:5" ht="18.75">
      <c r="A1782" s="89" t="str">
        <f t="shared" si="27"/>
        <v>#10746</v>
      </c>
      <c r="B1782" s="138" t="s">
        <v>4249</v>
      </c>
      <c r="C1782" s="236" t="s">
        <v>4248</v>
      </c>
      <c r="D1782" s="206">
        <v>42074</v>
      </c>
      <c r="E1782" s="138" t="s">
        <v>1098</v>
      </c>
    </row>
    <row r="1783" spans="1:5" ht="18.75">
      <c r="A1783" s="89" t="str">
        <f t="shared" si="27"/>
        <v>#10748</v>
      </c>
      <c r="B1783" s="138" t="s">
        <v>4251</v>
      </c>
      <c r="C1783" s="236" t="s">
        <v>4250</v>
      </c>
      <c r="D1783" s="206">
        <v>42074</v>
      </c>
      <c r="E1783" s="138" t="s">
        <v>978</v>
      </c>
    </row>
    <row r="1784" spans="1:5" ht="18.75">
      <c r="A1784" s="89" t="str">
        <f t="shared" si="27"/>
        <v>#10749</v>
      </c>
      <c r="B1784" s="138" t="s">
        <v>4253</v>
      </c>
      <c r="C1784" s="236" t="s">
        <v>4252</v>
      </c>
      <c r="D1784" s="206">
        <v>42074</v>
      </c>
      <c r="E1784" s="138" t="s">
        <v>978</v>
      </c>
    </row>
    <row r="1785" spans="1:5" ht="18.75">
      <c r="A1785" s="89" t="str">
        <f t="shared" si="27"/>
        <v>#10755</v>
      </c>
      <c r="B1785" s="138" t="s">
        <v>4255</v>
      </c>
      <c r="C1785" s="236" t="s">
        <v>4254</v>
      </c>
      <c r="D1785" s="206">
        <v>42074</v>
      </c>
      <c r="E1785" s="138" t="s">
        <v>978</v>
      </c>
    </row>
    <row r="1786" spans="1:5" ht="18.75">
      <c r="A1786" s="89" t="str">
        <f t="shared" si="27"/>
        <v>#10760</v>
      </c>
      <c r="B1786" s="138" t="s">
        <v>4257</v>
      </c>
      <c r="C1786" s="236" t="s">
        <v>4256</v>
      </c>
      <c r="D1786" s="206">
        <v>42074</v>
      </c>
      <c r="E1786" s="138" t="s">
        <v>7818</v>
      </c>
    </row>
    <row r="1787" spans="1:5" ht="18.75">
      <c r="A1787" s="89" t="str">
        <f t="shared" si="27"/>
        <v>#10766</v>
      </c>
      <c r="B1787" s="138" t="s">
        <v>4259</v>
      </c>
      <c r="C1787" s="236" t="s">
        <v>4258</v>
      </c>
      <c r="D1787" s="206">
        <v>42074</v>
      </c>
      <c r="E1787" s="138" t="s">
        <v>937</v>
      </c>
    </row>
    <row r="1788" spans="1:5" ht="18.75">
      <c r="A1788" s="89" t="str">
        <f t="shared" si="27"/>
        <v>#10770</v>
      </c>
      <c r="B1788" s="138" t="s">
        <v>4261</v>
      </c>
      <c r="C1788" s="236" t="s">
        <v>4260</v>
      </c>
      <c r="D1788" s="206">
        <v>42074</v>
      </c>
      <c r="E1788" s="138" t="s">
        <v>1380</v>
      </c>
    </row>
    <row r="1789" spans="1:5" ht="18.75">
      <c r="A1789" s="89" t="str">
        <f t="shared" si="27"/>
        <v>#10773</v>
      </c>
      <c r="B1789" s="138" t="s">
        <v>4263</v>
      </c>
      <c r="C1789" s="236" t="s">
        <v>4262</v>
      </c>
      <c r="D1789" s="206">
        <v>42074</v>
      </c>
      <c r="E1789" s="138" t="s">
        <v>937</v>
      </c>
    </row>
    <row r="1790" spans="1:5" ht="18.75">
      <c r="A1790" s="89" t="str">
        <f t="shared" si="27"/>
        <v>#10783</v>
      </c>
      <c r="B1790" s="138" t="s">
        <v>4265</v>
      </c>
      <c r="C1790" s="236" t="s">
        <v>4264</v>
      </c>
      <c r="D1790" s="206">
        <v>42086</v>
      </c>
      <c r="E1790" s="138" t="s">
        <v>1004</v>
      </c>
    </row>
    <row r="1791" spans="1:5" ht="18.75">
      <c r="A1791" s="89" t="str">
        <f t="shared" si="27"/>
        <v>#10784</v>
      </c>
      <c r="B1791" s="138" t="s">
        <v>4266</v>
      </c>
      <c r="C1791" s="236" t="s">
        <v>2984</v>
      </c>
      <c r="D1791" s="206">
        <v>42086</v>
      </c>
      <c r="E1791" s="138" t="s">
        <v>1004</v>
      </c>
    </row>
    <row r="1792" spans="1:5" ht="18.75">
      <c r="A1792" s="89" t="str">
        <f t="shared" si="27"/>
        <v>#10785</v>
      </c>
      <c r="B1792" s="138" t="s">
        <v>4268</v>
      </c>
      <c r="C1792" s="236" t="s">
        <v>4267</v>
      </c>
      <c r="D1792" s="206">
        <v>42086</v>
      </c>
      <c r="E1792" s="138" t="s">
        <v>1004</v>
      </c>
    </row>
    <row r="1793" spans="1:5" ht="18.75">
      <c r="A1793" s="89" t="str">
        <f t="shared" si="27"/>
        <v>#10788</v>
      </c>
      <c r="B1793" s="138" t="s">
        <v>4269</v>
      </c>
      <c r="C1793" s="236" t="s">
        <v>2444</v>
      </c>
      <c r="D1793" s="206">
        <v>42089</v>
      </c>
      <c r="E1793" s="138" t="s">
        <v>1191</v>
      </c>
    </row>
    <row r="1794" spans="1:5" ht="18.75">
      <c r="A1794" s="89" t="str">
        <f t="shared" si="27"/>
        <v>#10790</v>
      </c>
      <c r="B1794" s="138" t="s">
        <v>4271</v>
      </c>
      <c r="C1794" s="236" t="s">
        <v>4270</v>
      </c>
      <c r="D1794" s="206">
        <v>42095</v>
      </c>
      <c r="E1794" s="138" t="s">
        <v>978</v>
      </c>
    </row>
    <row r="1795" spans="1:5" ht="18.75">
      <c r="A1795" s="89" t="str">
        <f t="shared" ref="A1795:A1858" si="28">"#"&amp;B1795</f>
        <v>#10814</v>
      </c>
      <c r="B1795" s="138" t="s">
        <v>4273</v>
      </c>
      <c r="C1795" s="236" t="s">
        <v>4272</v>
      </c>
      <c r="D1795" s="206">
        <v>42095</v>
      </c>
      <c r="E1795" s="138" t="s">
        <v>7818</v>
      </c>
    </row>
    <row r="1796" spans="1:5" ht="18.75">
      <c r="A1796" s="89" t="str">
        <f t="shared" si="28"/>
        <v>#10825</v>
      </c>
      <c r="B1796" s="138" t="s">
        <v>4275</v>
      </c>
      <c r="C1796" s="236" t="s">
        <v>4274</v>
      </c>
      <c r="D1796" s="206">
        <v>42095</v>
      </c>
      <c r="E1796" s="138" t="s">
        <v>7818</v>
      </c>
    </row>
    <row r="1797" spans="1:5" ht="18.75">
      <c r="A1797" s="89" t="str">
        <f t="shared" si="28"/>
        <v>#10828</v>
      </c>
      <c r="B1797" s="138" t="s">
        <v>4277</v>
      </c>
      <c r="C1797" s="236" t="s">
        <v>4276</v>
      </c>
      <c r="D1797" s="206">
        <v>42095</v>
      </c>
      <c r="E1797" s="138" t="s">
        <v>1133</v>
      </c>
    </row>
    <row r="1798" spans="1:5" ht="18.75">
      <c r="A1798" s="89" t="str">
        <f t="shared" si="28"/>
        <v>#10831</v>
      </c>
      <c r="B1798" s="138" t="s">
        <v>4279</v>
      </c>
      <c r="C1798" s="236" t="s">
        <v>4278</v>
      </c>
      <c r="D1798" s="206">
        <v>42095</v>
      </c>
      <c r="E1798" s="138" t="s">
        <v>906</v>
      </c>
    </row>
    <row r="1799" spans="1:5" ht="18.75">
      <c r="A1799" s="89" t="str">
        <f t="shared" si="28"/>
        <v>#10833</v>
      </c>
      <c r="B1799" s="138" t="s">
        <v>4281</v>
      </c>
      <c r="C1799" s="236" t="s">
        <v>4280</v>
      </c>
      <c r="D1799" s="206">
        <v>42095</v>
      </c>
      <c r="E1799" s="138" t="s">
        <v>906</v>
      </c>
    </row>
    <row r="1800" spans="1:5" ht="18.75">
      <c r="A1800" s="89" t="str">
        <f t="shared" si="28"/>
        <v>#10835</v>
      </c>
      <c r="B1800" s="138" t="s">
        <v>4282</v>
      </c>
      <c r="C1800" s="236" t="s">
        <v>891</v>
      </c>
      <c r="D1800" s="206">
        <v>42095</v>
      </c>
      <c r="E1800" s="138" t="s">
        <v>906</v>
      </c>
    </row>
    <row r="1801" spans="1:5" ht="18.75">
      <c r="A1801" s="89" t="str">
        <f t="shared" si="28"/>
        <v>#10836</v>
      </c>
      <c r="B1801" s="138" t="s">
        <v>4284</v>
      </c>
      <c r="C1801" s="236" t="s">
        <v>4283</v>
      </c>
      <c r="D1801" s="206">
        <v>42095</v>
      </c>
      <c r="E1801" s="138" t="s">
        <v>906</v>
      </c>
    </row>
    <row r="1802" spans="1:5" ht="18.75">
      <c r="A1802" s="89" t="str">
        <f t="shared" si="28"/>
        <v>#10839</v>
      </c>
      <c r="B1802" s="138" t="s">
        <v>4286</v>
      </c>
      <c r="C1802" s="236" t="s">
        <v>4285</v>
      </c>
      <c r="D1802" s="206">
        <v>42095</v>
      </c>
      <c r="E1802" s="138" t="s">
        <v>1451</v>
      </c>
    </row>
    <row r="1803" spans="1:5" ht="18.75">
      <c r="A1803" s="89" t="str">
        <f t="shared" si="28"/>
        <v>#10842</v>
      </c>
      <c r="B1803" s="138" t="s">
        <v>4287</v>
      </c>
      <c r="C1803" s="236" t="s">
        <v>3107</v>
      </c>
      <c r="D1803" s="206">
        <v>42101</v>
      </c>
      <c r="E1803" s="138" t="s">
        <v>8037</v>
      </c>
    </row>
    <row r="1804" spans="1:5" ht="18.75">
      <c r="A1804" s="89" t="str">
        <f t="shared" si="28"/>
        <v>#10847</v>
      </c>
      <c r="B1804" s="138" t="s">
        <v>4289</v>
      </c>
      <c r="C1804" s="236" t="s">
        <v>4288</v>
      </c>
      <c r="D1804" s="206">
        <v>42101</v>
      </c>
      <c r="E1804" s="138" t="s">
        <v>1133</v>
      </c>
    </row>
    <row r="1805" spans="1:5" ht="18.75">
      <c r="A1805" s="89" t="str">
        <f t="shared" si="28"/>
        <v>#10852</v>
      </c>
      <c r="B1805" s="138" t="s">
        <v>4291</v>
      </c>
      <c r="C1805" s="236" t="s">
        <v>4290</v>
      </c>
      <c r="D1805" s="206">
        <v>42101</v>
      </c>
      <c r="E1805" s="138" t="s">
        <v>1380</v>
      </c>
    </row>
    <row r="1806" spans="1:5" ht="18.75">
      <c r="A1806" s="89" t="str">
        <f t="shared" si="28"/>
        <v>#10854</v>
      </c>
      <c r="B1806" s="138" t="s">
        <v>4293</v>
      </c>
      <c r="C1806" s="236" t="s">
        <v>4292</v>
      </c>
      <c r="D1806" s="206">
        <v>42101</v>
      </c>
      <c r="E1806" s="138" t="s">
        <v>1380</v>
      </c>
    </row>
    <row r="1807" spans="1:5" ht="18.75">
      <c r="A1807" s="89" t="str">
        <f t="shared" si="28"/>
        <v>#10856</v>
      </c>
      <c r="B1807" s="138" t="s">
        <v>4295</v>
      </c>
      <c r="C1807" s="236" t="s">
        <v>4294</v>
      </c>
      <c r="D1807" s="206">
        <v>42101</v>
      </c>
      <c r="E1807" s="138" t="s">
        <v>1113</v>
      </c>
    </row>
    <row r="1808" spans="1:5" ht="18.75">
      <c r="A1808" s="89" t="str">
        <f t="shared" si="28"/>
        <v>#10860</v>
      </c>
      <c r="B1808" s="138" t="s">
        <v>4296</v>
      </c>
      <c r="C1808" s="236" t="s">
        <v>1719</v>
      </c>
      <c r="D1808" s="206">
        <v>42101</v>
      </c>
      <c r="E1808" s="138" t="s">
        <v>948</v>
      </c>
    </row>
    <row r="1809" spans="1:5" ht="18.75">
      <c r="A1809" s="89" t="str">
        <f t="shared" si="28"/>
        <v>#10861</v>
      </c>
      <c r="B1809" s="138" t="s">
        <v>4298</v>
      </c>
      <c r="C1809" s="236" t="s">
        <v>4297</v>
      </c>
      <c r="D1809" s="206">
        <v>42101</v>
      </c>
      <c r="E1809" s="138" t="s">
        <v>1004</v>
      </c>
    </row>
    <row r="1810" spans="1:5" ht="18.75">
      <c r="A1810" s="89" t="str">
        <f t="shared" si="28"/>
        <v>#10863</v>
      </c>
      <c r="B1810" s="138" t="s">
        <v>4299</v>
      </c>
      <c r="C1810" s="236" t="s">
        <v>1556</v>
      </c>
      <c r="D1810" s="206">
        <v>42102</v>
      </c>
      <c r="E1810" s="138" t="s">
        <v>1004</v>
      </c>
    </row>
    <row r="1811" spans="1:5" ht="18.75">
      <c r="A1811" s="89" t="str">
        <f t="shared" si="28"/>
        <v>#10864</v>
      </c>
      <c r="B1811" s="138" t="s">
        <v>4301</v>
      </c>
      <c r="C1811" s="236" t="s">
        <v>4300</v>
      </c>
      <c r="D1811" s="206">
        <v>42102</v>
      </c>
      <c r="E1811" s="138" t="s">
        <v>1004</v>
      </c>
    </row>
    <row r="1812" spans="1:5" ht="18.75">
      <c r="A1812" s="89" t="str">
        <f t="shared" si="28"/>
        <v>#10878</v>
      </c>
      <c r="B1812" s="138" t="s">
        <v>4303</v>
      </c>
      <c r="C1812" s="236" t="s">
        <v>4302</v>
      </c>
      <c r="D1812" s="206">
        <v>42135</v>
      </c>
      <c r="E1812" s="138" t="s">
        <v>1004</v>
      </c>
    </row>
    <row r="1813" spans="1:5" ht="18.75">
      <c r="A1813" s="89" t="str">
        <f t="shared" si="28"/>
        <v>#10879</v>
      </c>
      <c r="B1813" s="138" t="s">
        <v>4305</v>
      </c>
      <c r="C1813" s="236" t="s">
        <v>4304</v>
      </c>
      <c r="D1813" s="206">
        <v>42135</v>
      </c>
      <c r="E1813" s="138" t="s">
        <v>1004</v>
      </c>
    </row>
    <row r="1814" spans="1:5" ht="18.75">
      <c r="A1814" s="89" t="str">
        <f t="shared" si="28"/>
        <v>#10886</v>
      </c>
      <c r="B1814" s="138" t="s">
        <v>4306</v>
      </c>
      <c r="C1814" s="236" t="s">
        <v>1057</v>
      </c>
      <c r="D1814" s="206">
        <v>42138</v>
      </c>
      <c r="E1814" s="138" t="s">
        <v>937</v>
      </c>
    </row>
    <row r="1815" spans="1:5" ht="18.75">
      <c r="A1815" s="89" t="str">
        <f t="shared" si="28"/>
        <v>#10891</v>
      </c>
      <c r="B1815" s="138" t="s">
        <v>4307</v>
      </c>
      <c r="C1815" s="236" t="s">
        <v>4104</v>
      </c>
      <c r="D1815" s="206">
        <v>42138</v>
      </c>
      <c r="E1815" s="138" t="s">
        <v>1034</v>
      </c>
    </row>
    <row r="1816" spans="1:5" ht="18.75">
      <c r="A1816" s="89" t="str">
        <f t="shared" si="28"/>
        <v>#10902</v>
      </c>
      <c r="B1816" s="138" t="s">
        <v>4308</v>
      </c>
      <c r="C1816" s="236" t="s">
        <v>3568</v>
      </c>
      <c r="D1816" s="206">
        <v>42138</v>
      </c>
      <c r="E1816" s="138" t="s">
        <v>937</v>
      </c>
    </row>
    <row r="1817" spans="1:5" ht="18.75">
      <c r="A1817" s="89" t="str">
        <f t="shared" si="28"/>
        <v>#10911</v>
      </c>
      <c r="B1817" s="138" t="s">
        <v>4310</v>
      </c>
      <c r="C1817" s="236" t="s">
        <v>4309</v>
      </c>
      <c r="D1817" s="206">
        <v>42142</v>
      </c>
      <c r="E1817" s="138" t="s">
        <v>1113</v>
      </c>
    </row>
    <row r="1818" spans="1:5" ht="18.75">
      <c r="A1818" s="89" t="str">
        <f t="shared" si="28"/>
        <v>#10918</v>
      </c>
      <c r="B1818" s="138" t="s">
        <v>4312</v>
      </c>
      <c r="C1818" s="236" t="s">
        <v>4311</v>
      </c>
      <c r="D1818" s="206">
        <v>42142</v>
      </c>
      <c r="E1818" s="138" t="s">
        <v>7818</v>
      </c>
    </row>
    <row r="1819" spans="1:5" ht="18.75">
      <c r="A1819" s="89" t="str">
        <f t="shared" si="28"/>
        <v>#10924</v>
      </c>
      <c r="B1819" s="138" t="s">
        <v>4314</v>
      </c>
      <c r="C1819" s="236" t="s">
        <v>4313</v>
      </c>
      <c r="D1819" s="206">
        <v>42142</v>
      </c>
      <c r="E1819" s="138" t="s">
        <v>7818</v>
      </c>
    </row>
    <row r="1820" spans="1:5" ht="18.75">
      <c r="A1820" s="89" t="str">
        <f t="shared" si="28"/>
        <v>#10925</v>
      </c>
      <c r="B1820" s="138" t="s">
        <v>4315</v>
      </c>
      <c r="C1820" s="236" t="s">
        <v>4028</v>
      </c>
      <c r="D1820" s="206">
        <v>42142</v>
      </c>
      <c r="E1820" s="138" t="s">
        <v>7818</v>
      </c>
    </row>
    <row r="1821" spans="1:5" ht="18.75">
      <c r="A1821" s="89" t="str">
        <f t="shared" si="28"/>
        <v>#10945</v>
      </c>
      <c r="B1821" s="138" t="s">
        <v>4317</v>
      </c>
      <c r="C1821" s="236" t="s">
        <v>4316</v>
      </c>
      <c r="D1821" s="206">
        <v>42151</v>
      </c>
      <c r="E1821" s="138" t="s">
        <v>1004</v>
      </c>
    </row>
    <row r="1822" spans="1:5" ht="18.75">
      <c r="A1822" s="89" t="str">
        <f t="shared" si="28"/>
        <v>#10947</v>
      </c>
      <c r="B1822" s="138" t="s">
        <v>4319</v>
      </c>
      <c r="C1822" s="236" t="s">
        <v>4318</v>
      </c>
      <c r="D1822" s="206">
        <v>42158</v>
      </c>
      <c r="E1822" s="138" t="s">
        <v>721</v>
      </c>
    </row>
    <row r="1823" spans="1:5" ht="18.75">
      <c r="A1823" s="89" t="str">
        <f t="shared" si="28"/>
        <v>#10949</v>
      </c>
      <c r="B1823" s="138" t="s">
        <v>4321</v>
      </c>
      <c r="C1823" s="236" t="s">
        <v>4320</v>
      </c>
      <c r="D1823" s="206">
        <v>42159</v>
      </c>
      <c r="E1823" s="138" t="s">
        <v>1191</v>
      </c>
    </row>
    <row r="1824" spans="1:5" ht="18.75">
      <c r="A1824" s="89" t="str">
        <f t="shared" si="28"/>
        <v>#10950</v>
      </c>
      <c r="B1824" s="138" t="s">
        <v>4323</v>
      </c>
      <c r="C1824" s="236" t="s">
        <v>4322</v>
      </c>
      <c r="D1824" s="206">
        <v>42163</v>
      </c>
      <c r="E1824" s="138" t="s">
        <v>721</v>
      </c>
    </row>
    <row r="1825" spans="1:5" ht="18.75">
      <c r="A1825" s="89" t="str">
        <f t="shared" si="28"/>
        <v>#10951</v>
      </c>
      <c r="B1825" s="138" t="s">
        <v>4324</v>
      </c>
      <c r="C1825" s="236" t="s">
        <v>4154</v>
      </c>
      <c r="D1825" s="206">
        <v>42163</v>
      </c>
      <c r="E1825" s="138" t="s">
        <v>1451</v>
      </c>
    </row>
    <row r="1826" spans="1:5" ht="18.75">
      <c r="A1826" s="89" t="str">
        <f t="shared" si="28"/>
        <v>#10953</v>
      </c>
      <c r="B1826" s="138" t="s">
        <v>4326</v>
      </c>
      <c r="C1826" s="236" t="s">
        <v>4325</v>
      </c>
      <c r="D1826" s="206">
        <v>42170</v>
      </c>
      <c r="E1826" s="138" t="s">
        <v>1004</v>
      </c>
    </row>
    <row r="1827" spans="1:5" ht="18.75">
      <c r="A1827" s="89" t="str">
        <f t="shared" si="28"/>
        <v>#10954</v>
      </c>
      <c r="B1827" s="138" t="s">
        <v>4328</v>
      </c>
      <c r="C1827" s="236" t="s">
        <v>4327</v>
      </c>
      <c r="D1827" s="206">
        <v>42170</v>
      </c>
      <c r="E1827" s="138" t="s">
        <v>1004</v>
      </c>
    </row>
    <row r="1828" spans="1:5" ht="18.75">
      <c r="A1828" s="89" t="str">
        <f t="shared" si="28"/>
        <v>#10955</v>
      </c>
      <c r="B1828" s="138" t="s">
        <v>4329</v>
      </c>
      <c r="C1828" s="236" t="s">
        <v>1173</v>
      </c>
      <c r="D1828" s="206">
        <v>42170</v>
      </c>
      <c r="E1828" s="138" t="s">
        <v>1004</v>
      </c>
    </row>
    <row r="1829" spans="1:5" ht="18.75">
      <c r="A1829" s="89" t="str">
        <f t="shared" si="28"/>
        <v>#10973</v>
      </c>
      <c r="B1829" s="138" t="s">
        <v>4331</v>
      </c>
      <c r="C1829" s="236" t="s">
        <v>4330</v>
      </c>
      <c r="D1829" s="206">
        <v>42208</v>
      </c>
      <c r="E1829" s="138" t="s">
        <v>927</v>
      </c>
    </row>
    <row r="1830" spans="1:5" ht="18.75">
      <c r="A1830" s="89" t="str">
        <f t="shared" si="28"/>
        <v>#10996</v>
      </c>
      <c r="B1830" s="138" t="s">
        <v>4332</v>
      </c>
      <c r="C1830" s="236" t="s">
        <v>1142</v>
      </c>
      <c r="D1830" s="206">
        <v>42208</v>
      </c>
      <c r="E1830" s="138" t="s">
        <v>985</v>
      </c>
    </row>
    <row r="1831" spans="1:5" ht="18.75">
      <c r="A1831" s="89" t="str">
        <f t="shared" si="28"/>
        <v>#11001</v>
      </c>
      <c r="B1831" s="138" t="s">
        <v>4334</v>
      </c>
      <c r="C1831" s="236" t="s">
        <v>4333</v>
      </c>
      <c r="D1831" s="206">
        <v>42213</v>
      </c>
      <c r="E1831" s="138" t="s">
        <v>1188</v>
      </c>
    </row>
    <row r="1832" spans="1:5" ht="18.75">
      <c r="A1832" s="89" t="str">
        <f t="shared" si="28"/>
        <v>#11003</v>
      </c>
      <c r="B1832" s="138" t="s">
        <v>4336</v>
      </c>
      <c r="C1832" s="236" t="s">
        <v>4335</v>
      </c>
      <c r="D1832" s="206">
        <v>42213</v>
      </c>
      <c r="E1832" s="138" t="s">
        <v>1188</v>
      </c>
    </row>
    <row r="1833" spans="1:5" ht="18.75">
      <c r="A1833" s="89" t="str">
        <f t="shared" si="28"/>
        <v>#11006</v>
      </c>
      <c r="B1833" s="138" t="s">
        <v>4337</v>
      </c>
      <c r="C1833" s="236" t="s">
        <v>4177</v>
      </c>
      <c r="D1833" s="206">
        <v>42213</v>
      </c>
      <c r="E1833" s="138" t="s">
        <v>1188</v>
      </c>
    </row>
    <row r="1834" spans="1:5" ht="18.75">
      <c r="A1834" s="89" t="str">
        <f t="shared" si="28"/>
        <v>#11019</v>
      </c>
      <c r="B1834" s="138" t="s">
        <v>4338</v>
      </c>
      <c r="C1834" s="236" t="s">
        <v>1128</v>
      </c>
      <c r="D1834" s="206">
        <v>42222</v>
      </c>
      <c r="E1834" s="138" t="s">
        <v>1215</v>
      </c>
    </row>
    <row r="1835" spans="1:5" ht="18.75">
      <c r="A1835" s="89" t="str">
        <f t="shared" si="28"/>
        <v>#11020</v>
      </c>
      <c r="B1835" s="138" t="s">
        <v>4340</v>
      </c>
      <c r="C1835" s="236" t="s">
        <v>4339</v>
      </c>
      <c r="D1835" s="206">
        <v>42222</v>
      </c>
      <c r="E1835" s="138" t="s">
        <v>957</v>
      </c>
    </row>
    <row r="1836" spans="1:5" ht="18.75">
      <c r="A1836" s="89" t="str">
        <f t="shared" si="28"/>
        <v>#11044</v>
      </c>
      <c r="B1836" s="138" t="s">
        <v>4341</v>
      </c>
      <c r="C1836" s="236" t="s">
        <v>1502</v>
      </c>
      <c r="D1836" s="206">
        <v>42251</v>
      </c>
      <c r="E1836" s="138" t="s">
        <v>8037</v>
      </c>
    </row>
    <row r="1837" spans="1:5" ht="18.75">
      <c r="A1837" s="89" t="str">
        <f t="shared" si="28"/>
        <v>#11047</v>
      </c>
      <c r="B1837" s="138" t="s">
        <v>4343</v>
      </c>
      <c r="C1837" s="236" t="s">
        <v>4342</v>
      </c>
      <c r="D1837" s="206">
        <v>42251</v>
      </c>
      <c r="E1837" s="138" t="s">
        <v>8037</v>
      </c>
    </row>
    <row r="1838" spans="1:5" ht="18.75">
      <c r="A1838" s="89" t="str">
        <f t="shared" si="28"/>
        <v>#11064</v>
      </c>
      <c r="B1838" s="138" t="s">
        <v>4344</v>
      </c>
      <c r="C1838" s="236" t="s">
        <v>2549</v>
      </c>
      <c r="D1838" s="206">
        <v>42251</v>
      </c>
      <c r="E1838" s="138" t="s">
        <v>1063</v>
      </c>
    </row>
    <row r="1839" spans="1:5" ht="18.75">
      <c r="A1839" s="89" t="str">
        <f t="shared" si="28"/>
        <v>#11066</v>
      </c>
      <c r="B1839" s="138" t="s">
        <v>4345</v>
      </c>
      <c r="C1839" s="236" t="s">
        <v>3185</v>
      </c>
      <c r="D1839" s="206">
        <v>42251</v>
      </c>
      <c r="E1839" s="138" t="s">
        <v>978</v>
      </c>
    </row>
    <row r="1840" spans="1:5" ht="18.75">
      <c r="A1840" s="89" t="str">
        <f t="shared" si="28"/>
        <v>#11068</v>
      </c>
      <c r="B1840" s="138" t="s">
        <v>4346</v>
      </c>
      <c r="C1840" s="236" t="s">
        <v>1315</v>
      </c>
      <c r="D1840" s="206">
        <v>42251</v>
      </c>
      <c r="E1840" s="138" t="s">
        <v>1043</v>
      </c>
    </row>
    <row r="1841" spans="1:5" ht="18.75">
      <c r="A1841" s="89" t="str">
        <f t="shared" si="28"/>
        <v>#11083</v>
      </c>
      <c r="B1841" s="138" t="s">
        <v>4347</v>
      </c>
      <c r="C1841" s="236" t="s">
        <v>979</v>
      </c>
      <c r="D1841" s="206">
        <v>42262</v>
      </c>
      <c r="E1841" s="138" t="s">
        <v>1034</v>
      </c>
    </row>
    <row r="1842" spans="1:5" ht="18.75">
      <c r="A1842" s="89" t="str">
        <f t="shared" si="28"/>
        <v>#11099</v>
      </c>
      <c r="B1842" s="138" t="s">
        <v>4349</v>
      </c>
      <c r="C1842" s="236" t="s">
        <v>4348</v>
      </c>
      <c r="D1842" s="206">
        <v>42262</v>
      </c>
      <c r="E1842" s="138" t="s">
        <v>1085</v>
      </c>
    </row>
    <row r="1843" spans="1:5" ht="18.75">
      <c r="A1843" s="89" t="str">
        <f t="shared" si="28"/>
        <v>#11100</v>
      </c>
      <c r="B1843" s="138" t="s">
        <v>4350</v>
      </c>
      <c r="C1843" s="236" t="s">
        <v>1128</v>
      </c>
      <c r="D1843" s="206">
        <v>42262</v>
      </c>
      <c r="E1843" s="138" t="s">
        <v>937</v>
      </c>
    </row>
    <row r="1844" spans="1:5" ht="18.75">
      <c r="A1844" s="89" t="str">
        <f t="shared" si="28"/>
        <v>#11104</v>
      </c>
      <c r="B1844" s="138" t="s">
        <v>4352</v>
      </c>
      <c r="C1844" s="236" t="s">
        <v>4351</v>
      </c>
      <c r="D1844" s="206">
        <v>42262</v>
      </c>
      <c r="E1844" s="138" t="s">
        <v>7818</v>
      </c>
    </row>
    <row r="1845" spans="1:5" ht="18.75">
      <c r="A1845" s="89" t="str">
        <f t="shared" si="28"/>
        <v>#11105</v>
      </c>
      <c r="B1845" s="138" t="s">
        <v>4354</v>
      </c>
      <c r="C1845" s="236" t="s">
        <v>4353</v>
      </c>
      <c r="D1845" s="206">
        <v>42262</v>
      </c>
      <c r="E1845" s="138" t="s">
        <v>1380</v>
      </c>
    </row>
    <row r="1846" spans="1:5" ht="18.75">
      <c r="A1846" s="89" t="str">
        <f t="shared" si="28"/>
        <v>#11106</v>
      </c>
      <c r="B1846" s="138" t="s">
        <v>4356</v>
      </c>
      <c r="C1846" s="236" t="s">
        <v>4355</v>
      </c>
      <c r="D1846" s="206">
        <v>42262</v>
      </c>
      <c r="E1846" s="138" t="s">
        <v>937</v>
      </c>
    </row>
    <row r="1847" spans="1:5" ht="18.75">
      <c r="A1847" s="89" t="str">
        <f t="shared" si="28"/>
        <v>#11110</v>
      </c>
      <c r="B1847" s="138" t="s">
        <v>4357</v>
      </c>
      <c r="C1847" s="236" t="s">
        <v>3710</v>
      </c>
      <c r="D1847" s="206">
        <v>42262</v>
      </c>
      <c r="E1847" s="138" t="s">
        <v>890</v>
      </c>
    </row>
    <row r="1848" spans="1:5" ht="18.75">
      <c r="A1848" s="89" t="str">
        <f t="shared" si="28"/>
        <v>#11120</v>
      </c>
      <c r="B1848" s="138" t="s">
        <v>4361</v>
      </c>
      <c r="C1848" s="236" t="s">
        <v>4360</v>
      </c>
      <c r="D1848" s="206">
        <v>42262</v>
      </c>
      <c r="E1848" s="138" t="s">
        <v>1098</v>
      </c>
    </row>
    <row r="1849" spans="1:5" ht="18.75">
      <c r="A1849" s="89" t="str">
        <f t="shared" si="28"/>
        <v>#11122</v>
      </c>
      <c r="B1849" s="138" t="s">
        <v>4363</v>
      </c>
      <c r="C1849" s="236" t="s">
        <v>4362</v>
      </c>
      <c r="D1849" s="206">
        <v>42262</v>
      </c>
      <c r="E1849" s="138" t="s">
        <v>7818</v>
      </c>
    </row>
    <row r="1850" spans="1:5" ht="18.75">
      <c r="A1850" s="89" t="str">
        <f t="shared" si="28"/>
        <v>#11131</v>
      </c>
      <c r="B1850" s="138" t="s">
        <v>4365</v>
      </c>
      <c r="C1850" s="236" t="s">
        <v>4364</v>
      </c>
      <c r="D1850" s="206">
        <v>42262</v>
      </c>
      <c r="E1850" s="138" t="s">
        <v>1004</v>
      </c>
    </row>
    <row r="1851" spans="1:5" ht="18.75">
      <c r="A1851" s="89" t="str">
        <f t="shared" si="28"/>
        <v>#11132</v>
      </c>
      <c r="B1851" s="138" t="s">
        <v>4367</v>
      </c>
      <c r="C1851" s="236" t="s">
        <v>4366</v>
      </c>
      <c r="D1851" s="206">
        <v>42262</v>
      </c>
      <c r="E1851" s="138" t="s">
        <v>1004</v>
      </c>
    </row>
    <row r="1852" spans="1:5" ht="18.75">
      <c r="A1852" s="89" t="str">
        <f t="shared" si="28"/>
        <v>#11148</v>
      </c>
      <c r="B1852" s="138" t="s">
        <v>4369</v>
      </c>
      <c r="C1852" s="236" t="s">
        <v>4368</v>
      </c>
      <c r="D1852" s="206">
        <v>42268</v>
      </c>
      <c r="E1852" s="138" t="s">
        <v>906</v>
      </c>
    </row>
    <row r="1853" spans="1:5" ht="18.75">
      <c r="A1853" s="89" t="str">
        <f t="shared" si="28"/>
        <v>#11151</v>
      </c>
      <c r="B1853" s="138" t="s">
        <v>4371</v>
      </c>
      <c r="C1853" s="236" t="s">
        <v>4370</v>
      </c>
      <c r="D1853" s="206">
        <v>42268</v>
      </c>
      <c r="E1853" s="138" t="s">
        <v>906</v>
      </c>
    </row>
    <row r="1854" spans="1:5" ht="18.75">
      <c r="A1854" s="89" t="str">
        <f t="shared" si="28"/>
        <v>#11155</v>
      </c>
      <c r="B1854" s="138" t="s">
        <v>4373</v>
      </c>
      <c r="C1854" s="236" t="s">
        <v>4372</v>
      </c>
      <c r="D1854" s="206">
        <v>42278</v>
      </c>
      <c r="E1854" s="138" t="s">
        <v>1133</v>
      </c>
    </row>
    <row r="1855" spans="1:5" ht="18.75">
      <c r="A1855" s="89" t="str">
        <f t="shared" si="28"/>
        <v>#11165</v>
      </c>
      <c r="B1855" s="138" t="s">
        <v>4375</v>
      </c>
      <c r="C1855" s="236" t="s">
        <v>4374</v>
      </c>
      <c r="D1855" s="206">
        <v>42278</v>
      </c>
      <c r="E1855" s="138" t="s">
        <v>985</v>
      </c>
    </row>
    <row r="1856" spans="1:5" ht="18.75">
      <c r="A1856" s="89" t="str">
        <f t="shared" si="28"/>
        <v>#11172</v>
      </c>
      <c r="B1856" s="138" t="s">
        <v>4377</v>
      </c>
      <c r="C1856" s="236" t="s">
        <v>4376</v>
      </c>
      <c r="D1856" s="206">
        <v>42278</v>
      </c>
      <c r="E1856" s="138" t="s">
        <v>1133</v>
      </c>
    </row>
    <row r="1857" spans="1:5" ht="18.75">
      <c r="A1857" s="89" t="str">
        <f t="shared" si="28"/>
        <v>#11191</v>
      </c>
      <c r="B1857" s="138" t="s">
        <v>4379</v>
      </c>
      <c r="C1857" s="236" t="s">
        <v>4378</v>
      </c>
      <c r="D1857" s="206">
        <v>42283</v>
      </c>
      <c r="E1857" s="138" t="s">
        <v>1541</v>
      </c>
    </row>
    <row r="1858" spans="1:5" ht="18.75">
      <c r="A1858" s="89" t="str">
        <f t="shared" si="28"/>
        <v>#11203</v>
      </c>
      <c r="B1858" s="138" t="s">
        <v>4381</v>
      </c>
      <c r="C1858" s="236" t="s">
        <v>4380</v>
      </c>
      <c r="D1858" s="206">
        <v>42283</v>
      </c>
      <c r="E1858" s="138" t="s">
        <v>1188</v>
      </c>
    </row>
    <row r="1859" spans="1:5" ht="18.75">
      <c r="A1859" s="89" t="str">
        <f t="shared" ref="A1859:A1922" si="29">"#"&amp;B1859</f>
        <v>#11205</v>
      </c>
      <c r="B1859" s="138" t="s">
        <v>4383</v>
      </c>
      <c r="C1859" s="236" t="s">
        <v>4382</v>
      </c>
      <c r="D1859" s="206">
        <v>42283</v>
      </c>
      <c r="E1859" s="138" t="s">
        <v>1188</v>
      </c>
    </row>
    <row r="1860" spans="1:5" ht="18.75">
      <c r="A1860" s="89" t="str">
        <f t="shared" si="29"/>
        <v>#11207</v>
      </c>
      <c r="B1860" s="138" t="s">
        <v>4384</v>
      </c>
      <c r="C1860" s="236" t="s">
        <v>1556</v>
      </c>
      <c r="D1860" s="206">
        <v>42283</v>
      </c>
      <c r="E1860" s="138" t="s">
        <v>1188</v>
      </c>
    </row>
    <row r="1861" spans="1:5" ht="18.75">
      <c r="A1861" s="89" t="str">
        <f t="shared" si="29"/>
        <v>#11228</v>
      </c>
      <c r="B1861" s="138" t="s">
        <v>4386</v>
      </c>
      <c r="C1861" s="236" t="s">
        <v>4385</v>
      </c>
      <c r="D1861" s="206">
        <v>42289</v>
      </c>
      <c r="E1861" s="138" t="s">
        <v>890</v>
      </c>
    </row>
    <row r="1862" spans="1:5" ht="18.75">
      <c r="A1862" s="89" t="str">
        <f t="shared" si="29"/>
        <v>#11243</v>
      </c>
      <c r="B1862" s="138" t="s">
        <v>4388</v>
      </c>
      <c r="C1862" s="236" t="s">
        <v>4387</v>
      </c>
      <c r="D1862" s="206">
        <v>42289</v>
      </c>
      <c r="E1862" s="138" t="s">
        <v>7818</v>
      </c>
    </row>
    <row r="1863" spans="1:5" ht="18.75">
      <c r="A1863" s="89" t="str">
        <f t="shared" si="29"/>
        <v>#11246</v>
      </c>
      <c r="B1863" s="138" t="s">
        <v>4390</v>
      </c>
      <c r="C1863" s="236" t="s">
        <v>4389</v>
      </c>
      <c r="D1863" s="206">
        <v>42289</v>
      </c>
      <c r="E1863" s="138" t="s">
        <v>7818</v>
      </c>
    </row>
    <row r="1864" spans="1:5" ht="18.75">
      <c r="A1864" s="89" t="str">
        <f t="shared" si="29"/>
        <v>#11255</v>
      </c>
      <c r="B1864" s="138" t="s">
        <v>4392</v>
      </c>
      <c r="C1864" s="236" t="s">
        <v>4391</v>
      </c>
      <c r="D1864" s="206">
        <v>42289</v>
      </c>
      <c r="E1864" s="138" t="s">
        <v>906</v>
      </c>
    </row>
    <row r="1865" spans="1:5" ht="18.75">
      <c r="A1865" s="89" t="str">
        <f t="shared" si="29"/>
        <v>#11257</v>
      </c>
      <c r="B1865" s="138" t="s">
        <v>4394</v>
      </c>
      <c r="C1865" s="236" t="s">
        <v>4393</v>
      </c>
      <c r="D1865" s="206">
        <v>42289</v>
      </c>
      <c r="E1865" s="138" t="s">
        <v>906</v>
      </c>
    </row>
    <row r="1866" spans="1:5" ht="18.75">
      <c r="A1866" s="89" t="str">
        <f t="shared" si="29"/>
        <v>#11272</v>
      </c>
      <c r="B1866" s="138" t="s">
        <v>4397</v>
      </c>
      <c r="C1866" s="236" t="s">
        <v>4396</v>
      </c>
      <c r="D1866" s="206">
        <v>42297</v>
      </c>
      <c r="E1866" s="138" t="s">
        <v>937</v>
      </c>
    </row>
    <row r="1867" spans="1:5" ht="18.75">
      <c r="A1867" s="89" t="str">
        <f t="shared" si="29"/>
        <v>#11278</v>
      </c>
      <c r="B1867" s="138" t="s">
        <v>4399</v>
      </c>
      <c r="C1867" s="236" t="s">
        <v>4398</v>
      </c>
      <c r="D1867" s="206">
        <v>42299</v>
      </c>
      <c r="E1867" s="138" t="s">
        <v>1034</v>
      </c>
    </row>
    <row r="1868" spans="1:5" ht="18.75">
      <c r="A1868" s="89" t="str">
        <f t="shared" si="29"/>
        <v>#11287</v>
      </c>
      <c r="B1868" s="138" t="s">
        <v>4401</v>
      </c>
      <c r="C1868" s="236" t="s">
        <v>4400</v>
      </c>
      <c r="D1868" s="206">
        <v>42303</v>
      </c>
      <c r="E1868" s="138" t="s">
        <v>1255</v>
      </c>
    </row>
    <row r="1869" spans="1:5" ht="18.75">
      <c r="A1869" s="89" t="str">
        <f t="shared" si="29"/>
        <v>#11288</v>
      </c>
      <c r="B1869" s="138" t="s">
        <v>4403</v>
      </c>
      <c r="C1869" s="236" t="s">
        <v>4402</v>
      </c>
      <c r="D1869" s="206">
        <v>42303</v>
      </c>
      <c r="E1869" s="138" t="s">
        <v>1451</v>
      </c>
    </row>
    <row r="1870" spans="1:5" ht="18.75">
      <c r="A1870" s="89" t="str">
        <f t="shared" si="29"/>
        <v>#11292</v>
      </c>
      <c r="B1870" s="138" t="s">
        <v>4405</v>
      </c>
      <c r="C1870" s="236" t="s">
        <v>4404</v>
      </c>
      <c r="D1870" s="206">
        <v>42310</v>
      </c>
      <c r="E1870" s="138" t="s">
        <v>796</v>
      </c>
    </row>
    <row r="1871" spans="1:5" ht="18.75">
      <c r="A1871" s="89" t="str">
        <f t="shared" si="29"/>
        <v>#11293</v>
      </c>
      <c r="B1871" s="138" t="s">
        <v>4407</v>
      </c>
      <c r="C1871" s="236" t="s">
        <v>4406</v>
      </c>
      <c r="D1871" s="206">
        <v>42321</v>
      </c>
      <c r="E1871" s="138" t="s">
        <v>906</v>
      </c>
    </row>
    <row r="1872" spans="1:5" ht="18.75">
      <c r="A1872" s="89" t="str">
        <f t="shared" si="29"/>
        <v>#11294</v>
      </c>
      <c r="B1872" s="138" t="s">
        <v>4409</v>
      </c>
      <c r="C1872" s="236" t="s">
        <v>4408</v>
      </c>
      <c r="D1872" s="206">
        <v>42321</v>
      </c>
      <c r="E1872" s="138" t="s">
        <v>906</v>
      </c>
    </row>
    <row r="1873" spans="1:5" ht="18.75">
      <c r="A1873" s="89" t="str">
        <f t="shared" si="29"/>
        <v>#11295</v>
      </c>
      <c r="B1873" s="138" t="s">
        <v>4411</v>
      </c>
      <c r="C1873" s="236" t="s">
        <v>4410</v>
      </c>
      <c r="D1873" s="206">
        <v>42321</v>
      </c>
      <c r="E1873" s="138" t="s">
        <v>906</v>
      </c>
    </row>
    <row r="1874" spans="1:5" ht="18.75">
      <c r="A1874" s="89" t="str">
        <f t="shared" si="29"/>
        <v>#11304</v>
      </c>
      <c r="B1874" s="138" t="s">
        <v>4413</v>
      </c>
      <c r="C1874" s="236" t="s">
        <v>4412</v>
      </c>
      <c r="D1874" s="206">
        <v>42325</v>
      </c>
      <c r="E1874" s="138" t="s">
        <v>978</v>
      </c>
    </row>
    <row r="1875" spans="1:5" ht="18.75">
      <c r="A1875" s="89" t="str">
        <f t="shared" si="29"/>
        <v>#11314</v>
      </c>
      <c r="B1875" s="138" t="s">
        <v>4414</v>
      </c>
      <c r="C1875" s="236" t="s">
        <v>1898</v>
      </c>
      <c r="D1875" s="206">
        <v>42332</v>
      </c>
      <c r="E1875" s="138" t="s">
        <v>1541</v>
      </c>
    </row>
    <row r="1876" spans="1:5" ht="18.75">
      <c r="A1876" s="89" t="str">
        <f t="shared" si="29"/>
        <v>#11327</v>
      </c>
      <c r="B1876" s="138" t="s">
        <v>4416</v>
      </c>
      <c r="C1876" s="236" t="s">
        <v>4415</v>
      </c>
      <c r="D1876" s="206">
        <v>42332</v>
      </c>
      <c r="E1876" s="138" t="s">
        <v>1188</v>
      </c>
    </row>
    <row r="1877" spans="1:5" ht="18.75">
      <c r="A1877" s="89" t="str">
        <f t="shared" si="29"/>
        <v>#11332</v>
      </c>
      <c r="B1877" s="138" t="s">
        <v>4418</v>
      </c>
      <c r="C1877" s="236" t="s">
        <v>4417</v>
      </c>
      <c r="D1877" s="206">
        <v>42334</v>
      </c>
      <c r="E1877" s="138" t="s">
        <v>1188</v>
      </c>
    </row>
    <row r="1878" spans="1:5" ht="18.75">
      <c r="A1878" s="89" t="str">
        <f t="shared" si="29"/>
        <v>#11334</v>
      </c>
      <c r="B1878" s="138" t="s">
        <v>4420</v>
      </c>
      <c r="C1878" s="236" t="s">
        <v>4419</v>
      </c>
      <c r="D1878" s="206">
        <v>42339</v>
      </c>
      <c r="E1878" s="138" t="s">
        <v>7818</v>
      </c>
    </row>
    <row r="1879" spans="1:5" ht="18.75">
      <c r="A1879" s="89" t="str">
        <f t="shared" si="29"/>
        <v>#11364</v>
      </c>
      <c r="B1879" s="138" t="s">
        <v>4422</v>
      </c>
      <c r="C1879" s="236" t="s">
        <v>4421</v>
      </c>
      <c r="D1879" s="206">
        <v>42339</v>
      </c>
      <c r="E1879" s="138" t="s">
        <v>1133</v>
      </c>
    </row>
    <row r="1880" spans="1:5" ht="18.75">
      <c r="A1880" s="89" t="str">
        <f t="shared" si="29"/>
        <v>#11365</v>
      </c>
      <c r="B1880" s="138" t="s">
        <v>4424</v>
      </c>
      <c r="C1880" s="236" t="s">
        <v>4423</v>
      </c>
      <c r="D1880" s="206">
        <v>42339</v>
      </c>
      <c r="E1880" s="138" t="s">
        <v>721</v>
      </c>
    </row>
    <row r="1881" spans="1:5" ht="18.75">
      <c r="A1881" s="89" t="str">
        <f t="shared" si="29"/>
        <v>#11366</v>
      </c>
      <c r="B1881" s="138" t="s">
        <v>4426</v>
      </c>
      <c r="C1881" s="236" t="s">
        <v>4425</v>
      </c>
      <c r="D1881" s="206">
        <v>42339</v>
      </c>
      <c r="E1881" s="138" t="s">
        <v>721</v>
      </c>
    </row>
    <row r="1882" spans="1:5" ht="18.75">
      <c r="A1882" s="89" t="str">
        <f t="shared" si="29"/>
        <v>#11367</v>
      </c>
      <c r="B1882" s="138" t="s">
        <v>4428</v>
      </c>
      <c r="C1882" s="236" t="s">
        <v>4427</v>
      </c>
      <c r="D1882" s="206">
        <v>42339</v>
      </c>
      <c r="E1882" s="138" t="s">
        <v>1063</v>
      </c>
    </row>
    <row r="1883" spans="1:5" ht="18.75">
      <c r="A1883" s="89" t="str">
        <f t="shared" si="29"/>
        <v>#11400</v>
      </c>
      <c r="B1883" s="138" t="s">
        <v>4430</v>
      </c>
      <c r="C1883" s="236" t="s">
        <v>4429</v>
      </c>
      <c r="D1883" s="206">
        <v>42352</v>
      </c>
      <c r="E1883" s="138" t="s">
        <v>721</v>
      </c>
    </row>
    <row r="1884" spans="1:5" ht="18.75">
      <c r="A1884" s="89" t="str">
        <f t="shared" si="29"/>
        <v>#11402</v>
      </c>
      <c r="B1884" s="138" t="s">
        <v>4432</v>
      </c>
      <c r="C1884" s="236" t="s">
        <v>4431</v>
      </c>
      <c r="D1884" s="206">
        <v>42356</v>
      </c>
      <c r="E1884" s="138" t="s">
        <v>721</v>
      </c>
    </row>
    <row r="1885" spans="1:5" ht="18.75">
      <c r="A1885" s="89" t="str">
        <f t="shared" si="29"/>
        <v>#11408</v>
      </c>
      <c r="B1885" s="138" t="s">
        <v>4433</v>
      </c>
      <c r="C1885" s="236" t="s">
        <v>2210</v>
      </c>
      <c r="D1885" s="206">
        <v>42359</v>
      </c>
      <c r="E1885" s="138" t="s">
        <v>1034</v>
      </c>
    </row>
    <row r="1886" spans="1:5" ht="18.75">
      <c r="A1886" s="89" t="str">
        <f t="shared" si="29"/>
        <v>#11412</v>
      </c>
      <c r="B1886" s="138" t="s">
        <v>4435</v>
      </c>
      <c r="C1886" s="236" t="s">
        <v>4434</v>
      </c>
      <c r="D1886" s="206">
        <v>42359</v>
      </c>
      <c r="E1886" s="138" t="s">
        <v>1034</v>
      </c>
    </row>
    <row r="1887" spans="1:5" ht="18.75">
      <c r="A1887" s="89" t="str">
        <f t="shared" si="29"/>
        <v>#11418</v>
      </c>
      <c r="B1887" s="138" t="s">
        <v>4437</v>
      </c>
      <c r="C1887" s="236" t="s">
        <v>4436</v>
      </c>
      <c r="D1887" s="206">
        <v>42359</v>
      </c>
      <c r="E1887" s="138" t="s">
        <v>1034</v>
      </c>
    </row>
    <row r="1888" spans="1:5" ht="18.75">
      <c r="A1888" s="89" t="str">
        <f t="shared" si="29"/>
        <v>#11422</v>
      </c>
      <c r="B1888" s="138" t="s">
        <v>4439</v>
      </c>
      <c r="C1888" s="236" t="s">
        <v>4438</v>
      </c>
      <c r="D1888" s="206">
        <v>42359</v>
      </c>
      <c r="E1888" s="138" t="s">
        <v>1380</v>
      </c>
    </row>
    <row r="1889" spans="1:5" ht="18.75">
      <c r="A1889" s="89" t="str">
        <f t="shared" si="29"/>
        <v>#11432</v>
      </c>
      <c r="B1889" s="138" t="s">
        <v>4441</v>
      </c>
      <c r="C1889" s="236" t="s">
        <v>4440</v>
      </c>
      <c r="D1889" s="206">
        <v>42359</v>
      </c>
      <c r="E1889" s="138" t="s">
        <v>957</v>
      </c>
    </row>
    <row r="1890" spans="1:5" ht="18.75">
      <c r="A1890" s="89" t="str">
        <f t="shared" si="29"/>
        <v>#11435</v>
      </c>
      <c r="B1890" s="138" t="s">
        <v>4443</v>
      </c>
      <c r="C1890" s="236" t="s">
        <v>4442</v>
      </c>
      <c r="D1890" s="206">
        <v>42364</v>
      </c>
      <c r="E1890" s="138" t="s">
        <v>903</v>
      </c>
    </row>
    <row r="1891" spans="1:5" ht="18.75">
      <c r="A1891" s="89" t="str">
        <f t="shared" si="29"/>
        <v>#11439</v>
      </c>
      <c r="B1891" s="138" t="s">
        <v>4445</v>
      </c>
      <c r="C1891" s="236" t="s">
        <v>4444</v>
      </c>
      <c r="D1891" s="206">
        <v>42364</v>
      </c>
      <c r="E1891" s="138" t="s">
        <v>1541</v>
      </c>
    </row>
    <row r="1892" spans="1:5" ht="18.75">
      <c r="A1892" s="89" t="str">
        <f t="shared" si="29"/>
        <v>#11442</v>
      </c>
      <c r="B1892" s="138" t="s">
        <v>4447</v>
      </c>
      <c r="C1892" s="236" t="s">
        <v>4446</v>
      </c>
      <c r="D1892" s="206">
        <v>42373</v>
      </c>
      <c r="E1892" s="138" t="s">
        <v>957</v>
      </c>
    </row>
    <row r="1893" spans="1:5" ht="18.75">
      <c r="A1893" s="89" t="str">
        <f t="shared" si="29"/>
        <v>#11443</v>
      </c>
      <c r="B1893" s="138" t="s">
        <v>4449</v>
      </c>
      <c r="C1893" s="236" t="s">
        <v>4448</v>
      </c>
      <c r="D1893" s="206">
        <v>42373</v>
      </c>
      <c r="E1893" s="138" t="s">
        <v>903</v>
      </c>
    </row>
    <row r="1894" spans="1:5" ht="18.75">
      <c r="A1894" s="89" t="str">
        <f t="shared" si="29"/>
        <v>#11452</v>
      </c>
      <c r="B1894" s="138" t="s">
        <v>4451</v>
      </c>
      <c r="C1894" s="236" t="s">
        <v>4450</v>
      </c>
      <c r="D1894" s="206">
        <v>42374</v>
      </c>
      <c r="E1894" s="138" t="s">
        <v>8037</v>
      </c>
    </row>
    <row r="1895" spans="1:5" ht="18.75">
      <c r="A1895" s="89" t="str">
        <f t="shared" si="29"/>
        <v>#11455</v>
      </c>
      <c r="B1895" s="138" t="s">
        <v>4453</v>
      </c>
      <c r="C1895" s="236" t="s">
        <v>4452</v>
      </c>
      <c r="D1895" s="206">
        <v>42374</v>
      </c>
      <c r="E1895" s="138" t="s">
        <v>721</v>
      </c>
    </row>
    <row r="1896" spans="1:5" ht="18.75">
      <c r="A1896" s="89" t="str">
        <f t="shared" si="29"/>
        <v>#11457</v>
      </c>
      <c r="B1896" s="138" t="s">
        <v>4455</v>
      </c>
      <c r="C1896" s="236" t="s">
        <v>4454</v>
      </c>
      <c r="D1896" s="206">
        <v>42415</v>
      </c>
      <c r="E1896" s="138" t="s">
        <v>721</v>
      </c>
    </row>
    <row r="1897" spans="1:5" ht="18.75">
      <c r="A1897" s="89" t="str">
        <f t="shared" si="29"/>
        <v>#11458</v>
      </c>
      <c r="B1897" s="138" t="s">
        <v>4457</v>
      </c>
      <c r="C1897" s="236" t="s">
        <v>4456</v>
      </c>
      <c r="D1897" s="206">
        <v>42415</v>
      </c>
      <c r="E1897" s="138" t="s">
        <v>1675</v>
      </c>
    </row>
    <row r="1898" spans="1:5" ht="18.75">
      <c r="A1898" s="89" t="str">
        <f t="shared" si="29"/>
        <v>#11480</v>
      </c>
      <c r="B1898" s="138" t="s">
        <v>4458</v>
      </c>
      <c r="C1898" s="236" t="s">
        <v>1814</v>
      </c>
      <c r="D1898" s="206">
        <v>42432</v>
      </c>
      <c r="E1898" s="138" t="s">
        <v>7818</v>
      </c>
    </row>
    <row r="1899" spans="1:5" ht="18.75">
      <c r="A1899" s="89" t="str">
        <f t="shared" si="29"/>
        <v>#11505</v>
      </c>
      <c r="B1899" s="138" t="s">
        <v>4460</v>
      </c>
      <c r="C1899" s="236" t="s">
        <v>4459</v>
      </c>
      <c r="D1899" s="206">
        <v>42432</v>
      </c>
      <c r="E1899" s="138" t="s">
        <v>957</v>
      </c>
    </row>
    <row r="1900" spans="1:5" ht="18.75">
      <c r="A1900" s="89" t="str">
        <f t="shared" si="29"/>
        <v>#11508</v>
      </c>
      <c r="B1900" s="138" t="s">
        <v>4462</v>
      </c>
      <c r="C1900" s="236" t="s">
        <v>4461</v>
      </c>
      <c r="D1900" s="206">
        <v>42432</v>
      </c>
      <c r="E1900" s="138" t="s">
        <v>1043</v>
      </c>
    </row>
    <row r="1901" spans="1:5" ht="18.75">
      <c r="A1901" s="89" t="str">
        <f t="shared" si="29"/>
        <v>#11509</v>
      </c>
      <c r="B1901" s="138" t="s">
        <v>4464</v>
      </c>
      <c r="C1901" s="236" t="s">
        <v>4463</v>
      </c>
      <c r="D1901" s="206">
        <v>42432</v>
      </c>
      <c r="E1901" s="138" t="s">
        <v>957</v>
      </c>
    </row>
    <row r="1902" spans="1:5" ht="18.75">
      <c r="A1902" s="89" t="str">
        <f t="shared" si="29"/>
        <v>#11513</v>
      </c>
      <c r="B1902" s="138" t="s">
        <v>4466</v>
      </c>
      <c r="C1902" s="236" t="s">
        <v>4465</v>
      </c>
      <c r="D1902" s="206">
        <v>42440</v>
      </c>
      <c r="E1902" s="138" t="s">
        <v>1063</v>
      </c>
    </row>
    <row r="1903" spans="1:5" ht="18.75">
      <c r="A1903" s="89" t="str">
        <f t="shared" si="29"/>
        <v>#11525</v>
      </c>
      <c r="B1903" s="138" t="s">
        <v>4468</v>
      </c>
      <c r="C1903" s="236" t="s">
        <v>4467</v>
      </c>
      <c r="D1903" s="206">
        <v>42440</v>
      </c>
      <c r="E1903" s="138" t="s">
        <v>1034</v>
      </c>
    </row>
    <row r="1904" spans="1:5" ht="18.75">
      <c r="A1904" s="89" t="str">
        <f t="shared" si="29"/>
        <v>#11527</v>
      </c>
      <c r="B1904" s="138" t="s">
        <v>4469</v>
      </c>
      <c r="C1904" s="236" t="s">
        <v>4395</v>
      </c>
      <c r="D1904" s="206">
        <v>42440</v>
      </c>
      <c r="E1904" s="138" t="s">
        <v>8037</v>
      </c>
    </row>
    <row r="1905" spans="1:5" ht="18.75">
      <c r="A1905" s="89" t="str">
        <f t="shared" si="29"/>
        <v>#11553</v>
      </c>
      <c r="B1905" s="138" t="s">
        <v>4471</v>
      </c>
      <c r="C1905" s="236" t="s">
        <v>4470</v>
      </c>
      <c r="D1905" s="206">
        <v>42454</v>
      </c>
      <c r="E1905" s="138" t="s">
        <v>1063</v>
      </c>
    </row>
    <row r="1906" spans="1:5" ht="18.75">
      <c r="A1906" s="89" t="str">
        <f t="shared" si="29"/>
        <v>#11562</v>
      </c>
      <c r="B1906" s="138" t="s">
        <v>4473</v>
      </c>
      <c r="C1906" s="236" t="s">
        <v>4472</v>
      </c>
      <c r="D1906" s="206">
        <v>42454</v>
      </c>
      <c r="E1906" s="138" t="s">
        <v>7818</v>
      </c>
    </row>
    <row r="1907" spans="1:5" ht="18.75">
      <c r="A1907" s="89" t="str">
        <f t="shared" si="29"/>
        <v>#11576</v>
      </c>
      <c r="B1907" s="138" t="s">
        <v>4474</v>
      </c>
      <c r="C1907" s="236" t="s">
        <v>3325</v>
      </c>
      <c r="D1907" s="206">
        <v>42454</v>
      </c>
      <c r="E1907" s="138" t="s">
        <v>1034</v>
      </c>
    </row>
    <row r="1908" spans="1:5" ht="18.75">
      <c r="A1908" s="89" t="str">
        <f t="shared" si="29"/>
        <v>#11578</v>
      </c>
      <c r="B1908" s="138" t="s">
        <v>4476</v>
      </c>
      <c r="C1908" s="236" t="s">
        <v>4475</v>
      </c>
      <c r="D1908" s="206">
        <v>42454</v>
      </c>
      <c r="E1908" s="138" t="s">
        <v>7818</v>
      </c>
    </row>
    <row r="1909" spans="1:5" ht="18.75">
      <c r="A1909" s="89" t="str">
        <f t="shared" si="29"/>
        <v>#11580</v>
      </c>
      <c r="B1909" s="138" t="s">
        <v>4478</v>
      </c>
      <c r="C1909" s="236" t="s">
        <v>4477</v>
      </c>
      <c r="D1909" s="206">
        <v>42457</v>
      </c>
      <c r="E1909" s="138" t="s">
        <v>1085</v>
      </c>
    </row>
    <row r="1910" spans="1:5" ht="18.75">
      <c r="A1910" s="89" t="str">
        <f t="shared" si="29"/>
        <v>#11581</v>
      </c>
      <c r="B1910" s="138" t="s">
        <v>4480</v>
      </c>
      <c r="C1910" s="236" t="s">
        <v>4479</v>
      </c>
      <c r="D1910" s="206">
        <v>42457</v>
      </c>
      <c r="E1910" s="138" t="s">
        <v>1255</v>
      </c>
    </row>
    <row r="1911" spans="1:5" ht="18.75">
      <c r="A1911" s="89" t="str">
        <f t="shared" si="29"/>
        <v>#11588</v>
      </c>
      <c r="B1911" s="138" t="s">
        <v>4482</v>
      </c>
      <c r="C1911" s="236" t="s">
        <v>4481</v>
      </c>
      <c r="D1911" s="206">
        <v>42459</v>
      </c>
      <c r="E1911" s="138" t="s">
        <v>937</v>
      </c>
    </row>
    <row r="1912" spans="1:5" ht="18.75">
      <c r="A1912" s="89" t="str">
        <f t="shared" si="29"/>
        <v>#11593</v>
      </c>
      <c r="B1912" s="138" t="s">
        <v>4484</v>
      </c>
      <c r="C1912" s="236" t="s">
        <v>4483</v>
      </c>
      <c r="D1912" s="206">
        <v>42464</v>
      </c>
      <c r="E1912" s="138" t="s">
        <v>1675</v>
      </c>
    </row>
    <row r="1913" spans="1:5" ht="18.75">
      <c r="A1913" s="89" t="str">
        <f t="shared" si="29"/>
        <v>#11599</v>
      </c>
      <c r="B1913" s="138" t="s">
        <v>4486</v>
      </c>
      <c r="C1913" s="236" t="s">
        <v>4485</v>
      </c>
      <c r="D1913" s="206">
        <v>42478</v>
      </c>
      <c r="E1913" s="138" t="s">
        <v>1133</v>
      </c>
    </row>
    <row r="1914" spans="1:5" ht="18.75">
      <c r="A1914" s="89" t="str">
        <f t="shared" si="29"/>
        <v>#11608</v>
      </c>
      <c r="B1914" s="138" t="s">
        <v>4488</v>
      </c>
      <c r="C1914" s="236" t="s">
        <v>4487</v>
      </c>
      <c r="D1914" s="206">
        <v>42478</v>
      </c>
      <c r="E1914" s="138" t="s">
        <v>985</v>
      </c>
    </row>
    <row r="1915" spans="1:5" ht="18.75">
      <c r="A1915" s="89" t="str">
        <f t="shared" si="29"/>
        <v>#11622</v>
      </c>
      <c r="B1915" s="138" t="s">
        <v>4490</v>
      </c>
      <c r="C1915" s="236" t="s">
        <v>4489</v>
      </c>
      <c r="D1915" s="206">
        <v>42478</v>
      </c>
      <c r="E1915" s="138" t="s">
        <v>890</v>
      </c>
    </row>
    <row r="1916" spans="1:5" ht="18.75">
      <c r="A1916" s="89" t="str">
        <f t="shared" si="29"/>
        <v>#11625</v>
      </c>
      <c r="B1916" s="138" t="s">
        <v>4491</v>
      </c>
      <c r="C1916" s="236" t="s">
        <v>1177</v>
      </c>
      <c r="D1916" s="206">
        <v>42478</v>
      </c>
      <c r="E1916" s="138" t="s">
        <v>7818</v>
      </c>
    </row>
    <row r="1917" spans="1:5" ht="18.75">
      <c r="A1917" s="89" t="str">
        <f t="shared" si="29"/>
        <v>#11632</v>
      </c>
      <c r="B1917" s="138" t="s">
        <v>4493</v>
      </c>
      <c r="C1917" s="236" t="s">
        <v>4492</v>
      </c>
      <c r="D1917" s="206">
        <v>42480</v>
      </c>
      <c r="E1917" s="138" t="s">
        <v>1004</v>
      </c>
    </row>
    <row r="1918" spans="1:5" ht="18.75">
      <c r="A1918" s="89" t="str">
        <f t="shared" si="29"/>
        <v>#11634</v>
      </c>
      <c r="B1918" s="138" t="s">
        <v>4495</v>
      </c>
      <c r="C1918" s="236" t="s">
        <v>4494</v>
      </c>
      <c r="D1918" s="206">
        <v>42494</v>
      </c>
      <c r="E1918" s="138" t="s">
        <v>721</v>
      </c>
    </row>
    <row r="1919" spans="1:5" ht="18.75">
      <c r="A1919" s="89" t="str">
        <f t="shared" si="29"/>
        <v>#11635</v>
      </c>
      <c r="B1919" s="138" t="s">
        <v>4497</v>
      </c>
      <c r="C1919" s="236" t="s">
        <v>4496</v>
      </c>
      <c r="D1919" s="206">
        <v>42494</v>
      </c>
      <c r="E1919" s="138" t="s">
        <v>721</v>
      </c>
    </row>
    <row r="1920" spans="1:5" ht="18.75">
      <c r="A1920" s="89" t="str">
        <f t="shared" si="29"/>
        <v>#11658</v>
      </c>
      <c r="B1920" s="138" t="s">
        <v>4499</v>
      </c>
      <c r="C1920" s="236" t="s">
        <v>4498</v>
      </c>
      <c r="D1920" s="206">
        <v>42506</v>
      </c>
      <c r="E1920" s="138" t="s">
        <v>1004</v>
      </c>
    </row>
    <row r="1921" spans="1:5" ht="18.75">
      <c r="A1921" s="89" t="str">
        <f t="shared" si="29"/>
        <v>#11673</v>
      </c>
      <c r="B1921" s="138" t="s">
        <v>4501</v>
      </c>
      <c r="C1921" s="236" t="s">
        <v>4500</v>
      </c>
      <c r="D1921" s="206">
        <v>42510</v>
      </c>
      <c r="E1921" s="138" t="s">
        <v>1541</v>
      </c>
    </row>
    <row r="1922" spans="1:5" ht="18.75">
      <c r="A1922" s="89" t="str">
        <f t="shared" si="29"/>
        <v>#11681</v>
      </c>
      <c r="B1922" s="138" t="s">
        <v>4503</v>
      </c>
      <c r="C1922" s="236" t="s">
        <v>4502</v>
      </c>
      <c r="D1922" s="206">
        <v>42520</v>
      </c>
      <c r="E1922" s="206" t="s">
        <v>1098</v>
      </c>
    </row>
    <row r="1923" spans="1:5" ht="18.75">
      <c r="A1923" s="89" t="str">
        <f t="shared" ref="A1923:A1986" si="30">"#"&amp;B1923</f>
        <v>#11687</v>
      </c>
      <c r="B1923" s="138" t="s">
        <v>4505</v>
      </c>
      <c r="C1923" s="236" t="s">
        <v>4504</v>
      </c>
      <c r="D1923" s="206">
        <v>42520</v>
      </c>
      <c r="E1923" s="138" t="s">
        <v>890</v>
      </c>
    </row>
    <row r="1924" spans="1:5" ht="18.75">
      <c r="A1924" s="89" t="str">
        <f t="shared" si="30"/>
        <v>#11696</v>
      </c>
      <c r="B1924" s="138" t="s">
        <v>4507</v>
      </c>
      <c r="C1924" s="236" t="s">
        <v>4506</v>
      </c>
      <c r="D1924" s="206">
        <v>42520</v>
      </c>
      <c r="E1924" s="138" t="s">
        <v>890</v>
      </c>
    </row>
    <row r="1925" spans="1:5" ht="18.75">
      <c r="A1925" s="89" t="str">
        <f t="shared" si="30"/>
        <v>#11697</v>
      </c>
      <c r="B1925" s="138" t="s">
        <v>4509</v>
      </c>
      <c r="C1925" s="236" t="s">
        <v>4508</v>
      </c>
      <c r="D1925" s="206">
        <v>42520</v>
      </c>
      <c r="E1925" s="138" t="s">
        <v>890</v>
      </c>
    </row>
    <row r="1926" spans="1:5" ht="18.75">
      <c r="A1926" s="89" t="str">
        <f t="shared" si="30"/>
        <v>#11701</v>
      </c>
      <c r="B1926" s="138" t="s">
        <v>4511</v>
      </c>
      <c r="C1926" s="236" t="s">
        <v>4510</v>
      </c>
      <c r="D1926" s="206">
        <v>42522</v>
      </c>
      <c r="E1926" s="138" t="s">
        <v>906</v>
      </c>
    </row>
    <row r="1927" spans="1:5" ht="18.75">
      <c r="A1927" s="89" t="str">
        <f t="shared" si="30"/>
        <v>#11703</v>
      </c>
      <c r="B1927" s="138" t="s">
        <v>4512</v>
      </c>
      <c r="C1927" s="236" t="s">
        <v>1810</v>
      </c>
      <c r="D1927" s="206">
        <v>42522</v>
      </c>
      <c r="E1927" s="138" t="s">
        <v>906</v>
      </c>
    </row>
    <row r="1928" spans="1:5" ht="18.75">
      <c r="A1928" s="89" t="str">
        <f t="shared" si="30"/>
        <v>#11704</v>
      </c>
      <c r="B1928" s="138" t="s">
        <v>4514</v>
      </c>
      <c r="C1928" s="236" t="s">
        <v>4513</v>
      </c>
      <c r="D1928" s="206">
        <v>42522</v>
      </c>
      <c r="E1928" s="138" t="s">
        <v>906</v>
      </c>
    </row>
    <row r="1929" spans="1:5" ht="18.75">
      <c r="A1929" s="89" t="str">
        <f t="shared" si="30"/>
        <v>#11706</v>
      </c>
      <c r="B1929" s="138" t="s">
        <v>4516</v>
      </c>
      <c r="C1929" s="236" t="s">
        <v>4515</v>
      </c>
      <c r="D1929" s="206">
        <v>42522</v>
      </c>
      <c r="E1929" s="138" t="s">
        <v>906</v>
      </c>
    </row>
    <row r="1930" spans="1:5" ht="18.75">
      <c r="A1930" s="89" t="str">
        <f t="shared" si="30"/>
        <v>#11712</v>
      </c>
      <c r="B1930" s="138" t="s">
        <v>4518</v>
      </c>
      <c r="C1930" s="236" t="s">
        <v>4517</v>
      </c>
      <c r="D1930" s="206">
        <v>42522</v>
      </c>
      <c r="E1930" s="138" t="s">
        <v>906</v>
      </c>
    </row>
    <row r="1931" spans="1:5" ht="18.75">
      <c r="A1931" s="89" t="str">
        <f t="shared" si="30"/>
        <v>#11713</v>
      </c>
      <c r="B1931" s="138" t="s">
        <v>4520</v>
      </c>
      <c r="C1931" s="236" t="s">
        <v>4519</v>
      </c>
      <c r="D1931" s="206">
        <v>42522</v>
      </c>
      <c r="E1931" s="138" t="s">
        <v>721</v>
      </c>
    </row>
    <row r="1932" spans="1:5" ht="18.75">
      <c r="A1932" s="89" t="str">
        <f t="shared" si="30"/>
        <v>#11714</v>
      </c>
      <c r="B1932" s="138" t="s">
        <v>4522</v>
      </c>
      <c r="C1932" s="236" t="s">
        <v>4521</v>
      </c>
      <c r="D1932" s="206">
        <v>42522</v>
      </c>
      <c r="E1932" s="138" t="s">
        <v>721</v>
      </c>
    </row>
    <row r="1933" spans="1:5" ht="18.75">
      <c r="A1933" s="89" t="str">
        <f t="shared" si="30"/>
        <v>#11723</v>
      </c>
      <c r="B1933" s="138" t="s">
        <v>4524</v>
      </c>
      <c r="C1933" s="236" t="s">
        <v>4523</v>
      </c>
      <c r="D1933" s="206">
        <v>42534</v>
      </c>
      <c r="E1933" s="138" t="s">
        <v>1004</v>
      </c>
    </row>
    <row r="1934" spans="1:5" ht="18.75">
      <c r="A1934" s="89" t="str">
        <f t="shared" si="30"/>
        <v>#11724</v>
      </c>
      <c r="B1934" s="138" t="s">
        <v>4525</v>
      </c>
      <c r="C1934" s="236" t="s">
        <v>2647</v>
      </c>
      <c r="D1934" s="206">
        <v>42534</v>
      </c>
      <c r="E1934" s="138" t="s">
        <v>1004</v>
      </c>
    </row>
    <row r="1935" spans="1:5" ht="18.75">
      <c r="A1935" s="89" t="str">
        <f t="shared" si="30"/>
        <v>#11725</v>
      </c>
      <c r="B1935" s="138" t="s">
        <v>4527</v>
      </c>
      <c r="C1935" s="236" t="s">
        <v>4526</v>
      </c>
      <c r="D1935" s="206">
        <v>42534</v>
      </c>
      <c r="E1935" s="138" t="s">
        <v>1004</v>
      </c>
    </row>
    <row r="1936" spans="1:5" ht="18.75">
      <c r="A1936" s="89" t="str">
        <f t="shared" si="30"/>
        <v>#11729</v>
      </c>
      <c r="B1936" s="138" t="s">
        <v>4528</v>
      </c>
      <c r="C1936" s="236" t="s">
        <v>4090</v>
      </c>
      <c r="D1936" s="206">
        <v>42534</v>
      </c>
      <c r="E1936" s="138" t="s">
        <v>1133</v>
      </c>
    </row>
    <row r="1937" spans="1:5" ht="18.75">
      <c r="A1937" s="89" t="str">
        <f t="shared" si="30"/>
        <v>#11754</v>
      </c>
      <c r="B1937" s="138" t="s">
        <v>4529</v>
      </c>
      <c r="C1937" s="236" t="s">
        <v>2826</v>
      </c>
      <c r="D1937" s="206">
        <v>42534</v>
      </c>
      <c r="E1937" s="138" t="s">
        <v>7818</v>
      </c>
    </row>
    <row r="1938" spans="1:5" ht="18.75">
      <c r="A1938" s="89" t="str">
        <f t="shared" si="30"/>
        <v>#11755</v>
      </c>
      <c r="B1938" s="138" t="s">
        <v>4530</v>
      </c>
      <c r="C1938" s="236" t="s">
        <v>3421</v>
      </c>
      <c r="D1938" s="206">
        <v>42534</v>
      </c>
      <c r="E1938" s="138" t="s">
        <v>7818</v>
      </c>
    </row>
    <row r="1939" spans="1:5" ht="18.75">
      <c r="A1939" s="89" t="str">
        <f t="shared" si="30"/>
        <v>#11767</v>
      </c>
      <c r="B1939" s="138" t="s">
        <v>4532</v>
      </c>
      <c r="C1939" s="236" t="s">
        <v>4531</v>
      </c>
      <c r="D1939" s="206">
        <v>42541</v>
      </c>
      <c r="E1939" s="138" t="s">
        <v>937</v>
      </c>
    </row>
    <row r="1940" spans="1:5" ht="18.75">
      <c r="A1940" s="89" t="str">
        <f t="shared" si="30"/>
        <v>#11788</v>
      </c>
      <c r="B1940" s="138" t="s">
        <v>4533</v>
      </c>
      <c r="C1940" s="236" t="s">
        <v>2557</v>
      </c>
      <c r="D1940" s="206">
        <v>42541</v>
      </c>
      <c r="E1940" s="138" t="s">
        <v>8037</v>
      </c>
    </row>
    <row r="1941" spans="1:5" ht="18.75">
      <c r="A1941" s="89" t="str">
        <f t="shared" si="30"/>
        <v>#11798</v>
      </c>
      <c r="B1941" s="138" t="s">
        <v>4535</v>
      </c>
      <c r="C1941" s="236" t="s">
        <v>4534</v>
      </c>
      <c r="D1941" s="206">
        <v>42541</v>
      </c>
      <c r="E1941" s="138" t="s">
        <v>721</v>
      </c>
    </row>
    <row r="1942" spans="1:5" ht="18.75">
      <c r="A1942" s="89" t="str">
        <f t="shared" si="30"/>
        <v>#11799</v>
      </c>
      <c r="B1942" s="138" t="s">
        <v>4537</v>
      </c>
      <c r="C1942" s="236" t="s">
        <v>4536</v>
      </c>
      <c r="D1942" s="206">
        <v>42548</v>
      </c>
      <c r="E1942" s="138" t="s">
        <v>1675</v>
      </c>
    </row>
    <row r="1943" spans="1:5" ht="18.75">
      <c r="A1943" s="89" t="str">
        <f t="shared" si="30"/>
        <v>#11811</v>
      </c>
      <c r="B1943" s="138" t="s">
        <v>4539</v>
      </c>
      <c r="C1943" s="236" t="s">
        <v>4538</v>
      </c>
      <c r="D1943" s="206">
        <v>42550</v>
      </c>
      <c r="E1943" s="138" t="s">
        <v>7818</v>
      </c>
    </row>
    <row r="1944" spans="1:5" ht="18.75">
      <c r="A1944" s="89" t="str">
        <f t="shared" si="30"/>
        <v>#11820</v>
      </c>
      <c r="B1944" s="138" t="s">
        <v>4541</v>
      </c>
      <c r="C1944" s="236" t="s">
        <v>4540</v>
      </c>
      <c r="D1944" s="206">
        <v>42550</v>
      </c>
      <c r="E1944" s="138" t="s">
        <v>7818</v>
      </c>
    </row>
    <row r="1945" spans="1:5" ht="18.75">
      <c r="A1945" s="89" t="str">
        <f t="shared" si="30"/>
        <v>#11823</v>
      </c>
      <c r="B1945" s="138" t="s">
        <v>4543</v>
      </c>
      <c r="C1945" s="236" t="s">
        <v>4542</v>
      </c>
      <c r="D1945" s="206">
        <v>42550</v>
      </c>
      <c r="E1945" s="138" t="s">
        <v>1043</v>
      </c>
    </row>
    <row r="1946" spans="1:5" ht="18.75">
      <c r="A1946" s="89" t="str">
        <f t="shared" si="30"/>
        <v>#11836</v>
      </c>
      <c r="B1946" s="138" t="s">
        <v>4544</v>
      </c>
      <c r="C1946" s="236" t="s">
        <v>2240</v>
      </c>
      <c r="D1946" s="206">
        <v>42562</v>
      </c>
      <c r="E1946" s="138" t="s">
        <v>915</v>
      </c>
    </row>
    <row r="1947" spans="1:5" ht="18.75">
      <c r="A1947" s="89" t="str">
        <f t="shared" si="30"/>
        <v>#11839</v>
      </c>
      <c r="B1947" s="138" t="s">
        <v>4546</v>
      </c>
      <c r="C1947" s="236" t="s">
        <v>4545</v>
      </c>
      <c r="D1947" s="206">
        <v>42562</v>
      </c>
      <c r="E1947" s="138" t="s">
        <v>1113</v>
      </c>
    </row>
    <row r="1948" spans="1:5" ht="18.75">
      <c r="A1948" s="89" t="str">
        <f t="shared" si="30"/>
        <v>#11844</v>
      </c>
      <c r="B1948" s="138" t="s">
        <v>4547</v>
      </c>
      <c r="C1948" s="236" t="s">
        <v>2647</v>
      </c>
      <c r="D1948" s="206">
        <v>42563</v>
      </c>
      <c r="E1948" s="138" t="s">
        <v>1188</v>
      </c>
    </row>
    <row r="1949" spans="1:5" ht="18.75">
      <c r="A1949" s="89" t="str">
        <f t="shared" si="30"/>
        <v>#11848</v>
      </c>
      <c r="B1949" s="138" t="s">
        <v>4549</v>
      </c>
      <c r="C1949" s="236" t="s">
        <v>4548</v>
      </c>
      <c r="D1949" s="206">
        <v>42562</v>
      </c>
      <c r="E1949" s="138" t="s">
        <v>1188</v>
      </c>
    </row>
    <row r="1950" spans="1:5" ht="18.75">
      <c r="A1950" s="89" t="str">
        <f t="shared" si="30"/>
        <v>#11871</v>
      </c>
      <c r="B1950" s="138" t="s">
        <v>4551</v>
      </c>
      <c r="C1950" s="236" t="s">
        <v>4550</v>
      </c>
      <c r="D1950" s="206">
        <v>42576</v>
      </c>
      <c r="E1950" s="138" t="s">
        <v>1188</v>
      </c>
    </row>
    <row r="1951" spans="1:5" ht="18.75">
      <c r="A1951" s="89" t="str">
        <f t="shared" si="30"/>
        <v>#11873</v>
      </c>
      <c r="B1951" s="138" t="s">
        <v>4553</v>
      </c>
      <c r="C1951" s="236" t="s">
        <v>4552</v>
      </c>
      <c r="D1951" s="206">
        <v>42576</v>
      </c>
      <c r="E1951" s="138" t="s">
        <v>1113</v>
      </c>
    </row>
    <row r="1952" spans="1:5" ht="18.75">
      <c r="A1952" s="89" t="str">
        <f t="shared" si="30"/>
        <v>#11885</v>
      </c>
      <c r="B1952" s="138" t="s">
        <v>4554</v>
      </c>
      <c r="C1952" s="236" t="s">
        <v>1556</v>
      </c>
      <c r="D1952" s="206">
        <v>42576</v>
      </c>
      <c r="E1952" s="138" t="s">
        <v>985</v>
      </c>
    </row>
    <row r="1953" spans="1:5" ht="18.75">
      <c r="A1953" s="89" t="str">
        <f t="shared" si="30"/>
        <v>#11892</v>
      </c>
      <c r="B1953" s="138" t="s">
        <v>4555</v>
      </c>
      <c r="C1953" s="236" t="s">
        <v>1580</v>
      </c>
      <c r="D1953" s="206">
        <v>42576</v>
      </c>
      <c r="E1953" s="138" t="s">
        <v>890</v>
      </c>
    </row>
    <row r="1954" spans="1:5" ht="18.75">
      <c r="A1954" s="89" t="str">
        <f t="shared" si="30"/>
        <v>#11895</v>
      </c>
      <c r="B1954" s="138" t="s">
        <v>4557</v>
      </c>
      <c r="C1954" s="236" t="s">
        <v>4556</v>
      </c>
      <c r="D1954" s="206">
        <v>42576</v>
      </c>
      <c r="E1954" s="138" t="s">
        <v>890</v>
      </c>
    </row>
    <row r="1955" spans="1:5" ht="18.75">
      <c r="A1955" s="89" t="str">
        <f t="shared" si="30"/>
        <v>#11900</v>
      </c>
      <c r="B1955" s="138" t="s">
        <v>4559</v>
      </c>
      <c r="C1955" s="236" t="s">
        <v>4558</v>
      </c>
      <c r="D1955" s="206">
        <v>42576</v>
      </c>
      <c r="E1955" s="138" t="s">
        <v>890</v>
      </c>
    </row>
    <row r="1956" spans="1:5" ht="18.75">
      <c r="A1956" s="89" t="str">
        <f t="shared" si="30"/>
        <v>#11901</v>
      </c>
      <c r="B1956" s="138" t="s">
        <v>4561</v>
      </c>
      <c r="C1956" s="236" t="s">
        <v>4560</v>
      </c>
      <c r="D1956" s="206">
        <v>42576</v>
      </c>
      <c r="E1956" s="138" t="s">
        <v>927</v>
      </c>
    </row>
    <row r="1957" spans="1:5" ht="18.75">
      <c r="A1957" s="89" t="str">
        <f t="shared" si="30"/>
        <v>#11910</v>
      </c>
      <c r="B1957" s="138" t="s">
        <v>4563</v>
      </c>
      <c r="C1957" s="236" t="s">
        <v>4562</v>
      </c>
      <c r="D1957" s="206">
        <v>42576</v>
      </c>
      <c r="E1957" s="138" t="s">
        <v>7818</v>
      </c>
    </row>
    <row r="1958" spans="1:5" ht="18.75">
      <c r="A1958" s="89" t="str">
        <f t="shared" si="30"/>
        <v>#11913</v>
      </c>
      <c r="B1958" s="138" t="s">
        <v>4565</v>
      </c>
      <c r="C1958" s="236" t="s">
        <v>4564</v>
      </c>
      <c r="D1958" s="206">
        <v>42576</v>
      </c>
      <c r="E1958" s="138" t="s">
        <v>7818</v>
      </c>
    </row>
    <row r="1959" spans="1:5" ht="18.75">
      <c r="A1959" s="89" t="str">
        <f t="shared" si="30"/>
        <v>#11917</v>
      </c>
      <c r="B1959" s="138" t="s">
        <v>4566</v>
      </c>
      <c r="C1959" s="236" t="s">
        <v>4101</v>
      </c>
      <c r="D1959" s="206">
        <v>42583</v>
      </c>
      <c r="E1959" s="138" t="s">
        <v>8037</v>
      </c>
    </row>
    <row r="1960" spans="1:5" ht="18.75">
      <c r="A1960" s="89" t="str">
        <f t="shared" si="30"/>
        <v>#11918</v>
      </c>
      <c r="B1960" s="138" t="s">
        <v>4567</v>
      </c>
      <c r="C1960" s="236" t="s">
        <v>1502</v>
      </c>
      <c r="D1960" s="206">
        <v>42583</v>
      </c>
      <c r="E1960" s="138" t="s">
        <v>8037</v>
      </c>
    </row>
    <row r="1961" spans="1:5" ht="18.75">
      <c r="A1961" s="89" t="str">
        <f t="shared" si="30"/>
        <v>#11920</v>
      </c>
      <c r="B1961" s="138" t="s">
        <v>4569</v>
      </c>
      <c r="C1961" s="236" t="s">
        <v>4568</v>
      </c>
      <c r="D1961" s="206">
        <v>42583</v>
      </c>
      <c r="E1961" s="138" t="s">
        <v>1133</v>
      </c>
    </row>
    <row r="1962" spans="1:5" ht="18.75">
      <c r="A1962" s="89" t="str">
        <f t="shared" si="30"/>
        <v>#11925</v>
      </c>
      <c r="B1962" s="138" t="s">
        <v>4571</v>
      </c>
      <c r="C1962" s="236" t="s">
        <v>4570</v>
      </c>
      <c r="D1962" s="206">
        <v>42583</v>
      </c>
      <c r="E1962" s="138" t="s">
        <v>8037</v>
      </c>
    </row>
    <row r="1963" spans="1:5" ht="18.75">
      <c r="A1963" s="89" t="str">
        <f t="shared" si="30"/>
        <v>#11934</v>
      </c>
      <c r="B1963" s="138" t="s">
        <v>4573</v>
      </c>
      <c r="C1963" s="236" t="s">
        <v>4572</v>
      </c>
      <c r="D1963" s="206">
        <v>42583</v>
      </c>
      <c r="E1963" s="138" t="s">
        <v>1380</v>
      </c>
    </row>
    <row r="1964" spans="1:5" ht="18.75">
      <c r="A1964" s="89" t="str">
        <f t="shared" si="30"/>
        <v>#11937</v>
      </c>
      <c r="B1964" s="138" t="s">
        <v>4575</v>
      </c>
      <c r="C1964" s="236" t="s">
        <v>4574</v>
      </c>
      <c r="D1964" s="206">
        <v>42583</v>
      </c>
      <c r="E1964" s="138" t="s">
        <v>752</v>
      </c>
    </row>
    <row r="1965" spans="1:5" ht="18.75">
      <c r="A1965" s="89" t="str">
        <f t="shared" si="30"/>
        <v>#11958</v>
      </c>
      <c r="B1965" s="138" t="s">
        <v>4577</v>
      </c>
      <c r="C1965" s="236" t="s">
        <v>4576</v>
      </c>
      <c r="D1965" s="206">
        <v>42590</v>
      </c>
      <c r="E1965" s="138" t="s">
        <v>8037</v>
      </c>
    </row>
    <row r="1966" spans="1:5" ht="18.75">
      <c r="A1966" s="89" t="str">
        <f t="shared" si="30"/>
        <v>#11988</v>
      </c>
      <c r="B1966" s="138" t="s">
        <v>4578</v>
      </c>
      <c r="C1966" s="236" t="s">
        <v>2112</v>
      </c>
      <c r="D1966" s="206">
        <v>42597</v>
      </c>
      <c r="E1966" s="138" t="s">
        <v>978</v>
      </c>
    </row>
    <row r="1967" spans="1:5" ht="18.75">
      <c r="A1967" s="89" t="str">
        <f t="shared" si="30"/>
        <v>#11991</v>
      </c>
      <c r="B1967" s="138" t="s">
        <v>4579</v>
      </c>
      <c r="C1967" s="236" t="s">
        <v>979</v>
      </c>
      <c r="D1967" s="206">
        <v>42605</v>
      </c>
      <c r="E1967" s="138" t="s">
        <v>1085</v>
      </c>
    </row>
    <row r="1968" spans="1:5" ht="18.75">
      <c r="A1968" s="89" t="str">
        <f t="shared" si="30"/>
        <v>#11995</v>
      </c>
      <c r="B1968" s="138" t="s">
        <v>4581</v>
      </c>
      <c r="C1968" s="236" t="s">
        <v>4580</v>
      </c>
      <c r="D1968" s="206">
        <v>42605</v>
      </c>
      <c r="E1968" s="138" t="s">
        <v>937</v>
      </c>
    </row>
    <row r="1969" spans="1:5" ht="18.75">
      <c r="A1969" s="89" t="str">
        <f t="shared" si="30"/>
        <v>#12003</v>
      </c>
      <c r="B1969" s="138" t="s">
        <v>4583</v>
      </c>
      <c r="C1969" s="236" t="s">
        <v>4582</v>
      </c>
      <c r="D1969" s="206">
        <v>42605</v>
      </c>
      <c r="E1969" s="138" t="s">
        <v>1085</v>
      </c>
    </row>
    <row r="1970" spans="1:5" ht="18.75">
      <c r="A1970" s="89" t="str">
        <f t="shared" si="30"/>
        <v>#12008</v>
      </c>
      <c r="B1970" s="138" t="s">
        <v>4584</v>
      </c>
      <c r="C1970" s="236" t="s">
        <v>2248</v>
      </c>
      <c r="D1970" s="206">
        <v>42605</v>
      </c>
      <c r="E1970" s="138" t="s">
        <v>937</v>
      </c>
    </row>
    <row r="1971" spans="1:5" ht="18.75">
      <c r="A1971" s="89" t="str">
        <f t="shared" si="30"/>
        <v>#12009</v>
      </c>
      <c r="B1971" s="138" t="s">
        <v>4586</v>
      </c>
      <c r="C1971" s="236" t="s">
        <v>4585</v>
      </c>
      <c r="D1971" s="206">
        <v>42605</v>
      </c>
      <c r="E1971" s="138" t="s">
        <v>1043</v>
      </c>
    </row>
    <row r="1972" spans="1:5" ht="18.75">
      <c r="A1972" s="89" t="str">
        <f t="shared" si="30"/>
        <v>#12013</v>
      </c>
      <c r="B1972" s="138" t="s">
        <v>4588</v>
      </c>
      <c r="C1972" s="236" t="s">
        <v>4587</v>
      </c>
      <c r="D1972" s="206">
        <v>42605</v>
      </c>
      <c r="E1972" s="138" t="s">
        <v>927</v>
      </c>
    </row>
    <row r="1973" spans="1:5" ht="18.75">
      <c r="A1973" s="89" t="str">
        <f t="shared" si="30"/>
        <v>#12017</v>
      </c>
      <c r="B1973" s="138" t="s">
        <v>4591</v>
      </c>
      <c r="C1973" s="236" t="s">
        <v>4590</v>
      </c>
      <c r="D1973" s="206">
        <v>42605</v>
      </c>
      <c r="E1973" s="138" t="s">
        <v>927</v>
      </c>
    </row>
    <row r="1974" spans="1:5" ht="18.75">
      <c r="A1974" s="89" t="str">
        <f t="shared" si="30"/>
        <v>#12022</v>
      </c>
      <c r="B1974" s="138" t="s">
        <v>4593</v>
      </c>
      <c r="C1974" s="236" t="s">
        <v>4592</v>
      </c>
      <c r="D1974" s="206">
        <v>42605</v>
      </c>
      <c r="E1974" s="138" t="s">
        <v>927</v>
      </c>
    </row>
    <row r="1975" spans="1:5" ht="18.75">
      <c r="A1975" s="89" t="str">
        <f t="shared" si="30"/>
        <v>#12026</v>
      </c>
      <c r="B1975" s="138" t="s">
        <v>4595</v>
      </c>
      <c r="C1975" s="236" t="s">
        <v>4594</v>
      </c>
      <c r="D1975" s="206">
        <v>42605</v>
      </c>
      <c r="E1975" s="138" t="s">
        <v>7818</v>
      </c>
    </row>
    <row r="1976" spans="1:5" ht="18.75">
      <c r="A1976" s="89" t="str">
        <f t="shared" si="30"/>
        <v>#12038</v>
      </c>
      <c r="B1976" s="138" t="s">
        <v>4597</v>
      </c>
      <c r="C1976" s="236" t="s">
        <v>4596</v>
      </c>
      <c r="D1976" s="206">
        <v>42611</v>
      </c>
      <c r="E1976" s="138" t="s">
        <v>1004</v>
      </c>
    </row>
    <row r="1977" spans="1:5" ht="18.75">
      <c r="A1977" s="89" t="str">
        <f t="shared" si="30"/>
        <v>#12070</v>
      </c>
      <c r="B1977" s="138" t="s">
        <v>4599</v>
      </c>
      <c r="C1977" s="236" t="s">
        <v>4598</v>
      </c>
      <c r="D1977" s="206">
        <v>42632</v>
      </c>
      <c r="E1977" s="138" t="s">
        <v>957</v>
      </c>
    </row>
    <row r="1978" spans="1:5" ht="18.75">
      <c r="A1978" s="89" t="str">
        <f t="shared" si="30"/>
        <v>#12080</v>
      </c>
      <c r="B1978" s="138" t="s">
        <v>4601</v>
      </c>
      <c r="C1978" s="236" t="s">
        <v>4600</v>
      </c>
      <c r="D1978" s="206">
        <v>42646</v>
      </c>
      <c r="E1978" s="138" t="s">
        <v>978</v>
      </c>
    </row>
    <row r="1979" spans="1:5" ht="18.75">
      <c r="A1979" s="89" t="str">
        <f t="shared" si="30"/>
        <v>#12081</v>
      </c>
      <c r="B1979" s="138" t="s">
        <v>4603</v>
      </c>
      <c r="C1979" s="236" t="s">
        <v>4602</v>
      </c>
      <c r="D1979" s="206">
        <v>42646</v>
      </c>
      <c r="E1979" s="138" t="s">
        <v>978</v>
      </c>
    </row>
    <row r="1980" spans="1:5" ht="18.75">
      <c r="A1980" s="89" t="str">
        <f t="shared" si="30"/>
        <v>#12086</v>
      </c>
      <c r="B1980" s="138" t="s">
        <v>4605</v>
      </c>
      <c r="C1980" s="236" t="s">
        <v>4604</v>
      </c>
      <c r="D1980" s="206">
        <v>42653</v>
      </c>
      <c r="E1980" s="138" t="s">
        <v>1034</v>
      </c>
    </row>
    <row r="1981" spans="1:5" ht="18.75">
      <c r="A1981" s="89" t="str">
        <f t="shared" si="30"/>
        <v>#12095</v>
      </c>
      <c r="B1981" s="138" t="s">
        <v>4607</v>
      </c>
      <c r="C1981" s="236" t="s">
        <v>4606</v>
      </c>
      <c r="D1981" s="206">
        <v>42653</v>
      </c>
      <c r="E1981" s="138" t="s">
        <v>721</v>
      </c>
    </row>
    <row r="1982" spans="1:5" ht="18.75">
      <c r="A1982" s="89" t="str">
        <f t="shared" si="30"/>
        <v>#12111</v>
      </c>
      <c r="B1982" s="138" t="s">
        <v>4608</v>
      </c>
      <c r="C1982" s="236" t="s">
        <v>2549</v>
      </c>
      <c r="D1982" s="206">
        <v>42661</v>
      </c>
      <c r="E1982" s="138" t="s">
        <v>927</v>
      </c>
    </row>
    <row r="1983" spans="1:5" ht="18.75">
      <c r="A1983" s="89" t="str">
        <f t="shared" si="30"/>
        <v>#12121</v>
      </c>
      <c r="B1983" s="138" t="s">
        <v>4609</v>
      </c>
      <c r="C1983" s="236" t="s">
        <v>1442</v>
      </c>
      <c r="D1983" s="206">
        <v>42670</v>
      </c>
      <c r="E1983" s="138" t="s">
        <v>1063</v>
      </c>
    </row>
    <row r="1984" spans="1:5" ht="18.75">
      <c r="A1984" s="89" t="str">
        <f t="shared" si="30"/>
        <v>#12126</v>
      </c>
      <c r="B1984" s="138" t="s">
        <v>4611</v>
      </c>
      <c r="C1984" s="236" t="s">
        <v>4610</v>
      </c>
      <c r="D1984" s="206">
        <v>42788</v>
      </c>
      <c r="E1984" s="138" t="s">
        <v>1034</v>
      </c>
    </row>
    <row r="1985" spans="1:5" ht="18.75">
      <c r="A1985" s="89" t="str">
        <f t="shared" si="30"/>
        <v>#12133</v>
      </c>
      <c r="B1985" s="138" t="s">
        <v>4613</v>
      </c>
      <c r="C1985" s="236" t="s">
        <v>4612</v>
      </c>
      <c r="D1985" s="206">
        <v>42788</v>
      </c>
      <c r="E1985" s="138" t="s">
        <v>8037</v>
      </c>
    </row>
    <row r="1986" spans="1:5" ht="18.75">
      <c r="A1986" s="89" t="str">
        <f t="shared" si="30"/>
        <v>#12134</v>
      </c>
      <c r="B1986" s="138" t="s">
        <v>4614</v>
      </c>
      <c r="C1986" s="236" t="s">
        <v>976</v>
      </c>
      <c r="D1986" s="206">
        <v>42788</v>
      </c>
      <c r="E1986" s="138" t="s">
        <v>1133</v>
      </c>
    </row>
    <row r="1987" spans="1:5" ht="18.75">
      <c r="A1987" s="89" t="str">
        <f t="shared" ref="A1987:A2050" si="31">"#"&amp;B1987</f>
        <v>#12137</v>
      </c>
      <c r="B1987" s="138" t="s">
        <v>4616</v>
      </c>
      <c r="C1987" s="236" t="s">
        <v>4615</v>
      </c>
      <c r="D1987" s="206">
        <v>42788</v>
      </c>
      <c r="E1987" s="138" t="s">
        <v>8037</v>
      </c>
    </row>
    <row r="1988" spans="1:5" ht="18.75">
      <c r="A1988" s="89" t="str">
        <f t="shared" si="31"/>
        <v>#12152</v>
      </c>
      <c r="B1988" s="138" t="s">
        <v>4617</v>
      </c>
      <c r="C1988" s="236" t="s">
        <v>2819</v>
      </c>
      <c r="D1988" s="206">
        <v>42788</v>
      </c>
      <c r="E1988" s="138" t="s">
        <v>924</v>
      </c>
    </row>
    <row r="1989" spans="1:5" ht="18.75">
      <c r="A1989" s="89" t="str">
        <f t="shared" si="31"/>
        <v>#12155</v>
      </c>
      <c r="B1989" s="138" t="s">
        <v>4619</v>
      </c>
      <c r="C1989" s="236" t="s">
        <v>4618</v>
      </c>
      <c r="D1989" s="206">
        <v>42788</v>
      </c>
      <c r="E1989" s="138" t="s">
        <v>890</v>
      </c>
    </row>
    <row r="1990" spans="1:5" ht="18.75">
      <c r="A1990" s="89" t="str">
        <f t="shared" si="31"/>
        <v>#12163</v>
      </c>
      <c r="B1990" s="138" t="s">
        <v>4621</v>
      </c>
      <c r="C1990" s="236" t="s">
        <v>4620</v>
      </c>
      <c r="D1990" s="206">
        <v>42788</v>
      </c>
      <c r="E1990" s="138" t="s">
        <v>924</v>
      </c>
    </row>
    <row r="1991" spans="1:5" ht="18.75">
      <c r="A1991" s="89" t="str">
        <f t="shared" si="31"/>
        <v>#12164</v>
      </c>
      <c r="B1991" s="138" t="s">
        <v>4622</v>
      </c>
      <c r="C1991" s="236" t="s">
        <v>2467</v>
      </c>
      <c r="D1991" s="206">
        <v>42788</v>
      </c>
      <c r="E1991" s="138" t="s">
        <v>924</v>
      </c>
    </row>
    <row r="1992" spans="1:5" ht="18.75">
      <c r="A1992" s="89" t="str">
        <f t="shared" si="31"/>
        <v>#12166</v>
      </c>
      <c r="B1992" s="138" t="s">
        <v>4624</v>
      </c>
      <c r="C1992" s="236" t="s">
        <v>4623</v>
      </c>
      <c r="D1992" s="206">
        <v>42788</v>
      </c>
      <c r="E1992" s="138" t="s">
        <v>7818</v>
      </c>
    </row>
    <row r="1993" spans="1:5" ht="18.75">
      <c r="A1993" s="89" t="str">
        <f t="shared" si="31"/>
        <v>#12167</v>
      </c>
      <c r="B1993" s="138" t="s">
        <v>4626</v>
      </c>
      <c r="C1993" s="236" t="s">
        <v>4625</v>
      </c>
      <c r="D1993" s="206">
        <v>42788</v>
      </c>
      <c r="E1993" s="138" t="s">
        <v>7818</v>
      </c>
    </row>
    <row r="1994" spans="1:5" ht="18.75">
      <c r="A1994" s="89" t="str">
        <f t="shared" si="31"/>
        <v>#12187</v>
      </c>
      <c r="B1994" s="138" t="s">
        <v>4628</v>
      </c>
      <c r="C1994" s="236" t="s">
        <v>4627</v>
      </c>
      <c r="D1994" s="206">
        <v>42788</v>
      </c>
      <c r="E1994" s="138" t="s">
        <v>937</v>
      </c>
    </row>
    <row r="1995" spans="1:5" ht="18.75">
      <c r="A1995" s="89" t="str">
        <f t="shared" si="31"/>
        <v>#12188</v>
      </c>
      <c r="B1995" s="138" t="s">
        <v>4629</v>
      </c>
      <c r="C1995" s="236" t="s">
        <v>2511</v>
      </c>
      <c r="D1995" s="206">
        <v>42788</v>
      </c>
      <c r="E1995" s="138" t="s">
        <v>937</v>
      </c>
    </row>
    <row r="1996" spans="1:5" ht="18.75">
      <c r="A1996" s="89" t="str">
        <f t="shared" si="31"/>
        <v>#12189</v>
      </c>
      <c r="B1996" s="138" t="s">
        <v>4631</v>
      </c>
      <c r="C1996" s="236" t="s">
        <v>4630</v>
      </c>
      <c r="D1996" s="206">
        <v>42788</v>
      </c>
      <c r="E1996" s="138" t="s">
        <v>7818</v>
      </c>
    </row>
    <row r="1997" spans="1:5" ht="18.75">
      <c r="A1997" s="89" t="str">
        <f t="shared" si="31"/>
        <v>#12190</v>
      </c>
      <c r="B1997" s="138" t="s">
        <v>4633</v>
      </c>
      <c r="C1997" s="236" t="s">
        <v>4632</v>
      </c>
      <c r="D1997" s="206">
        <v>42788</v>
      </c>
      <c r="E1997" s="138" t="s">
        <v>937</v>
      </c>
    </row>
    <row r="1998" spans="1:5" ht="18.75">
      <c r="A1998" s="89" t="str">
        <f t="shared" si="31"/>
        <v>#12191</v>
      </c>
      <c r="B1998" s="138" t="s">
        <v>4635</v>
      </c>
      <c r="C1998" s="236" t="s">
        <v>4634</v>
      </c>
      <c r="D1998" s="206">
        <v>42788</v>
      </c>
      <c r="E1998" s="138" t="s">
        <v>937</v>
      </c>
    </row>
    <row r="1999" spans="1:5" ht="18.75">
      <c r="A1999" s="89" t="str">
        <f t="shared" si="31"/>
        <v>#12200</v>
      </c>
      <c r="B1999" s="138" t="s">
        <v>4636</v>
      </c>
      <c r="C1999" s="236" t="s">
        <v>4272</v>
      </c>
      <c r="D1999" s="206">
        <v>42788</v>
      </c>
      <c r="E1999" s="138" t="s">
        <v>978</v>
      </c>
    </row>
    <row r="2000" spans="1:5" ht="18.75">
      <c r="A2000" s="89" t="str">
        <f t="shared" si="31"/>
        <v>#12202</v>
      </c>
      <c r="B2000" s="138" t="s">
        <v>4637</v>
      </c>
      <c r="C2000" s="236" t="s">
        <v>4634</v>
      </c>
      <c r="D2000" s="206">
        <v>42788</v>
      </c>
      <c r="E2000" s="138" t="s">
        <v>978</v>
      </c>
    </row>
    <row r="2001" spans="1:5" ht="18.75">
      <c r="A2001" s="89" t="str">
        <f t="shared" si="31"/>
        <v>#12211</v>
      </c>
      <c r="B2001" s="138" t="s">
        <v>4639</v>
      </c>
      <c r="C2001" s="236" t="s">
        <v>4638</v>
      </c>
      <c r="D2001" s="206">
        <v>42788</v>
      </c>
      <c r="E2001" s="138" t="s">
        <v>1188</v>
      </c>
    </row>
    <row r="2002" spans="1:5" ht="18.75">
      <c r="A2002" s="89" t="str">
        <f t="shared" si="31"/>
        <v>#12223</v>
      </c>
      <c r="B2002" s="138" t="s">
        <v>4641</v>
      </c>
      <c r="C2002" s="236" t="s">
        <v>4640</v>
      </c>
      <c r="D2002" s="206">
        <v>42802</v>
      </c>
      <c r="E2002" s="138" t="s">
        <v>937</v>
      </c>
    </row>
    <row r="2003" spans="1:5" ht="18.75">
      <c r="A2003" s="89" t="str">
        <f t="shared" si="31"/>
        <v>#12229</v>
      </c>
      <c r="B2003" s="138" t="s">
        <v>4643</v>
      </c>
      <c r="C2003" s="236" t="s">
        <v>4642</v>
      </c>
      <c r="D2003" s="206">
        <v>42802</v>
      </c>
      <c r="E2003" s="138" t="s">
        <v>1133</v>
      </c>
    </row>
    <row r="2004" spans="1:5" ht="18.75">
      <c r="A2004" s="89" t="str">
        <f t="shared" si="31"/>
        <v>#12243</v>
      </c>
      <c r="B2004" s="138" t="s">
        <v>4644</v>
      </c>
      <c r="C2004" s="236" t="s">
        <v>1898</v>
      </c>
      <c r="D2004" s="206">
        <v>42802</v>
      </c>
      <c r="E2004" s="138" t="s">
        <v>985</v>
      </c>
    </row>
    <row r="2005" spans="1:5" ht="18.75">
      <c r="A2005" s="89" t="str">
        <f t="shared" si="31"/>
        <v>#12247</v>
      </c>
      <c r="B2005" s="138" t="s">
        <v>4646</v>
      </c>
      <c r="C2005" s="236" t="s">
        <v>4645</v>
      </c>
      <c r="D2005" s="206">
        <v>42802</v>
      </c>
      <c r="E2005" s="138" t="s">
        <v>985</v>
      </c>
    </row>
    <row r="2006" spans="1:5" ht="18.75">
      <c r="A2006" s="89" t="str">
        <f t="shared" si="31"/>
        <v>#12250</v>
      </c>
      <c r="B2006" s="138" t="s">
        <v>4648</v>
      </c>
      <c r="C2006" s="236" t="s">
        <v>4647</v>
      </c>
      <c r="D2006" s="206">
        <v>42802</v>
      </c>
      <c r="E2006" s="138" t="s">
        <v>7818</v>
      </c>
    </row>
    <row r="2007" spans="1:5" ht="18.75">
      <c r="A2007" s="89" t="str">
        <f t="shared" si="31"/>
        <v>#12251</v>
      </c>
      <c r="B2007" s="138" t="s">
        <v>4650</v>
      </c>
      <c r="C2007" s="236" t="s">
        <v>4649</v>
      </c>
      <c r="D2007" s="206">
        <v>42802</v>
      </c>
      <c r="E2007" s="138" t="s">
        <v>924</v>
      </c>
    </row>
    <row r="2008" spans="1:5" ht="18.75">
      <c r="A2008" s="89" t="str">
        <f t="shared" si="31"/>
        <v>#12252</v>
      </c>
      <c r="B2008" s="138" t="s">
        <v>4652</v>
      </c>
      <c r="C2008" s="236" t="s">
        <v>4651</v>
      </c>
      <c r="D2008" s="206">
        <v>42802</v>
      </c>
      <c r="E2008" s="138" t="s">
        <v>948</v>
      </c>
    </row>
    <row r="2009" spans="1:5" ht="18.75">
      <c r="A2009" s="89" t="str">
        <f t="shared" si="31"/>
        <v>#12253</v>
      </c>
      <c r="B2009" s="138" t="s">
        <v>4654</v>
      </c>
      <c r="C2009" s="236" t="s">
        <v>4653</v>
      </c>
      <c r="D2009" s="206">
        <v>42802</v>
      </c>
      <c r="E2009" s="138" t="s">
        <v>924</v>
      </c>
    </row>
    <row r="2010" spans="1:5" ht="18.75">
      <c r="A2010" s="89" t="str">
        <f t="shared" si="31"/>
        <v>#12273</v>
      </c>
      <c r="B2010" s="138" t="s">
        <v>4655</v>
      </c>
      <c r="C2010" s="236" t="s">
        <v>4620</v>
      </c>
      <c r="D2010" s="206">
        <v>42802</v>
      </c>
      <c r="E2010" s="138" t="s">
        <v>978</v>
      </c>
    </row>
    <row r="2011" spans="1:5" ht="18.75">
      <c r="A2011" s="89" t="str">
        <f t="shared" si="31"/>
        <v>#12282</v>
      </c>
      <c r="B2011" s="138" t="s">
        <v>4657</v>
      </c>
      <c r="C2011" s="236" t="s">
        <v>4656</v>
      </c>
      <c r="D2011" s="206">
        <v>42802</v>
      </c>
      <c r="E2011" s="138" t="s">
        <v>1188</v>
      </c>
    </row>
    <row r="2012" spans="1:5" ht="18.75">
      <c r="A2012" s="89" t="str">
        <f t="shared" si="31"/>
        <v>#12285</v>
      </c>
      <c r="B2012" s="138" t="s">
        <v>4659</v>
      </c>
      <c r="C2012" s="236" t="s">
        <v>4658</v>
      </c>
      <c r="D2012" s="206">
        <v>42802</v>
      </c>
      <c r="E2012" s="138" t="s">
        <v>1188</v>
      </c>
    </row>
    <row r="2013" spans="1:5" ht="18.75">
      <c r="A2013" s="89" t="str">
        <f t="shared" si="31"/>
        <v>#12286</v>
      </c>
      <c r="B2013" s="138" t="s">
        <v>4661</v>
      </c>
      <c r="C2013" s="236" t="s">
        <v>4660</v>
      </c>
      <c r="D2013" s="206">
        <v>42802</v>
      </c>
      <c r="E2013" s="138" t="s">
        <v>1487</v>
      </c>
    </row>
    <row r="2014" spans="1:5" ht="18.75">
      <c r="A2014" s="89" t="str">
        <f t="shared" si="31"/>
        <v>#12303</v>
      </c>
      <c r="B2014" s="138" t="s">
        <v>4663</v>
      </c>
      <c r="C2014" s="236" t="s">
        <v>4662</v>
      </c>
      <c r="D2014" s="206">
        <v>42816</v>
      </c>
      <c r="E2014" s="138" t="s">
        <v>7818</v>
      </c>
    </row>
    <row r="2015" spans="1:5" ht="18.75">
      <c r="A2015" s="89" t="str">
        <f t="shared" si="31"/>
        <v>#12312</v>
      </c>
      <c r="B2015" s="138" t="s">
        <v>4664</v>
      </c>
      <c r="C2015" s="236" t="s">
        <v>1690</v>
      </c>
      <c r="D2015" s="206">
        <v>42816</v>
      </c>
      <c r="E2015" s="138" t="s">
        <v>7818</v>
      </c>
    </row>
    <row r="2016" spans="1:5" ht="18.75">
      <c r="A2016" s="89" t="str">
        <f t="shared" si="31"/>
        <v>#12315</v>
      </c>
      <c r="B2016" s="138" t="s">
        <v>4666</v>
      </c>
      <c r="C2016" s="236" t="s">
        <v>4665</v>
      </c>
      <c r="D2016" s="206">
        <v>42816</v>
      </c>
      <c r="E2016" s="138" t="s">
        <v>927</v>
      </c>
    </row>
    <row r="2017" spans="1:5" ht="18.75">
      <c r="A2017" s="89" t="str">
        <f t="shared" si="31"/>
        <v>#12338</v>
      </c>
      <c r="B2017" s="138" t="s">
        <v>4668</v>
      </c>
      <c r="C2017" s="236" t="s">
        <v>4667</v>
      </c>
      <c r="D2017" s="206">
        <v>42823</v>
      </c>
      <c r="E2017" s="138" t="s">
        <v>1133</v>
      </c>
    </row>
    <row r="2018" spans="1:5" ht="18.75">
      <c r="A2018" s="89" t="str">
        <f t="shared" si="31"/>
        <v>#12341</v>
      </c>
      <c r="B2018" s="138" t="s">
        <v>4669</v>
      </c>
      <c r="C2018" s="236" t="s">
        <v>2150</v>
      </c>
      <c r="D2018" s="206">
        <v>42823</v>
      </c>
      <c r="E2018" s="138" t="s">
        <v>978</v>
      </c>
    </row>
    <row r="2019" spans="1:5" ht="18.75">
      <c r="A2019" s="89" t="str">
        <f t="shared" si="31"/>
        <v>#12355</v>
      </c>
      <c r="B2019" s="138" t="s">
        <v>4671</v>
      </c>
      <c r="C2019" s="236" t="s">
        <v>4670</v>
      </c>
      <c r="D2019" s="206">
        <v>42823</v>
      </c>
      <c r="E2019" s="138" t="s">
        <v>7818</v>
      </c>
    </row>
    <row r="2020" spans="1:5" ht="18.75">
      <c r="A2020" s="89" t="str">
        <f t="shared" si="31"/>
        <v>#12387</v>
      </c>
      <c r="B2020" s="138" t="s">
        <v>4673</v>
      </c>
      <c r="C2020" s="236" t="s">
        <v>4672</v>
      </c>
      <c r="D2020" s="206">
        <v>42846</v>
      </c>
      <c r="E2020" s="138" t="s">
        <v>937</v>
      </c>
    </row>
    <row r="2021" spans="1:5" ht="18.75">
      <c r="A2021" s="89" t="str">
        <f t="shared" si="31"/>
        <v>#12390</v>
      </c>
      <c r="B2021" s="138" t="s">
        <v>4675</v>
      </c>
      <c r="C2021" s="236" t="s">
        <v>4674</v>
      </c>
      <c r="D2021" s="206">
        <v>42846</v>
      </c>
      <c r="E2021" s="138" t="s">
        <v>937</v>
      </c>
    </row>
    <row r="2022" spans="1:5" ht="18.75">
      <c r="A2022" s="89" t="str">
        <f t="shared" si="31"/>
        <v>#12392</v>
      </c>
      <c r="B2022" s="138" t="s">
        <v>4677</v>
      </c>
      <c r="C2022" s="236" t="s">
        <v>4676</v>
      </c>
      <c r="D2022" s="206">
        <v>42846</v>
      </c>
      <c r="E2022" s="138" t="s">
        <v>937</v>
      </c>
    </row>
    <row r="2023" spans="1:5" ht="18.75">
      <c r="A2023" s="89" t="str">
        <f t="shared" si="31"/>
        <v>#12403</v>
      </c>
      <c r="B2023" s="138" t="s">
        <v>4679</v>
      </c>
      <c r="C2023" s="236" t="s">
        <v>4678</v>
      </c>
      <c r="D2023" s="206">
        <v>42846</v>
      </c>
      <c r="E2023" s="138" t="s">
        <v>1004</v>
      </c>
    </row>
    <row r="2024" spans="1:5" ht="18.75">
      <c r="A2024" s="89" t="str">
        <f t="shared" si="31"/>
        <v>#12405</v>
      </c>
      <c r="B2024" s="138" t="s">
        <v>4681</v>
      </c>
      <c r="C2024" s="236" t="s">
        <v>4680</v>
      </c>
      <c r="D2024" s="206">
        <v>42849</v>
      </c>
      <c r="E2024" s="138" t="s">
        <v>1004</v>
      </c>
    </row>
    <row r="2025" spans="1:5" ht="18.75">
      <c r="A2025" s="89" t="str">
        <f t="shared" si="31"/>
        <v>#12430</v>
      </c>
      <c r="B2025" s="138" t="s">
        <v>4683</v>
      </c>
      <c r="C2025" s="236" t="s">
        <v>4682</v>
      </c>
      <c r="D2025" s="206">
        <v>42865</v>
      </c>
      <c r="E2025" s="138" t="s">
        <v>1133</v>
      </c>
    </row>
    <row r="2026" spans="1:5" ht="18.75">
      <c r="A2026" s="89" t="str">
        <f t="shared" si="31"/>
        <v>#12436</v>
      </c>
      <c r="B2026" s="138" t="s">
        <v>4685</v>
      </c>
      <c r="C2026" s="236" t="s">
        <v>4684</v>
      </c>
      <c r="D2026" s="206">
        <v>42865</v>
      </c>
      <c r="E2026" s="138" t="s">
        <v>1380</v>
      </c>
    </row>
    <row r="2027" spans="1:5" ht="18.75">
      <c r="A2027" s="89" t="str">
        <f t="shared" si="31"/>
        <v>#12448</v>
      </c>
      <c r="B2027" s="138" t="s">
        <v>4687</v>
      </c>
      <c r="C2027" s="236" t="s">
        <v>4686</v>
      </c>
      <c r="D2027" s="206">
        <v>42877</v>
      </c>
      <c r="E2027" s="138" t="s">
        <v>1043</v>
      </c>
    </row>
    <row r="2028" spans="1:5" ht="18.75">
      <c r="A2028" s="89" t="str">
        <f t="shared" si="31"/>
        <v>#12451</v>
      </c>
      <c r="B2028" s="138" t="s">
        <v>4689</v>
      </c>
      <c r="C2028" s="236" t="s">
        <v>4688</v>
      </c>
      <c r="D2028" s="206">
        <v>42877</v>
      </c>
      <c r="E2028" s="138" t="s">
        <v>8037</v>
      </c>
    </row>
    <row r="2029" spans="1:5" ht="18.75">
      <c r="A2029" s="89" t="str">
        <f t="shared" si="31"/>
        <v>#12457</v>
      </c>
      <c r="B2029" s="138" t="s">
        <v>4691</v>
      </c>
      <c r="C2029" s="236" t="s">
        <v>4690</v>
      </c>
      <c r="D2029" s="206">
        <v>42877</v>
      </c>
      <c r="E2029" s="138" t="s">
        <v>1034</v>
      </c>
    </row>
    <row r="2030" spans="1:5" ht="18.75">
      <c r="A2030" s="89" t="str">
        <f t="shared" si="31"/>
        <v>#12459</v>
      </c>
      <c r="B2030" s="138" t="s">
        <v>4693</v>
      </c>
      <c r="C2030" s="236" t="s">
        <v>4692</v>
      </c>
      <c r="D2030" s="206">
        <v>42877</v>
      </c>
      <c r="E2030" s="138" t="s">
        <v>1034</v>
      </c>
    </row>
    <row r="2031" spans="1:5" ht="18.75">
      <c r="A2031" s="89" t="str">
        <f t="shared" si="31"/>
        <v>#12479</v>
      </c>
      <c r="B2031" s="138" t="s">
        <v>4695</v>
      </c>
      <c r="C2031" s="236" t="s">
        <v>4694</v>
      </c>
      <c r="D2031" s="206">
        <v>42877</v>
      </c>
      <c r="E2031" s="138" t="s">
        <v>915</v>
      </c>
    </row>
    <row r="2032" spans="1:5" ht="18.75">
      <c r="A2032" s="89" t="str">
        <f t="shared" si="31"/>
        <v>#12480</v>
      </c>
      <c r="B2032" s="138" t="s">
        <v>4697</v>
      </c>
      <c r="C2032" s="236" t="s">
        <v>4696</v>
      </c>
      <c r="D2032" s="206">
        <v>42877</v>
      </c>
      <c r="E2032" s="138" t="s">
        <v>1043</v>
      </c>
    </row>
    <row r="2033" spans="1:5" ht="18.75">
      <c r="A2033" s="89" t="str">
        <f t="shared" si="31"/>
        <v>#12482</v>
      </c>
      <c r="B2033" s="138" t="s">
        <v>4699</v>
      </c>
      <c r="C2033" s="236" t="s">
        <v>4698</v>
      </c>
      <c r="D2033" s="206">
        <v>42877</v>
      </c>
      <c r="E2033" s="138" t="s">
        <v>1063</v>
      </c>
    </row>
    <row r="2034" spans="1:5" ht="18.75">
      <c r="A2034" s="89" t="str">
        <f t="shared" si="31"/>
        <v>#12485</v>
      </c>
      <c r="B2034" s="138" t="s">
        <v>4701</v>
      </c>
      <c r="C2034" s="236" t="s">
        <v>4700</v>
      </c>
      <c r="D2034" s="206">
        <v>42877</v>
      </c>
      <c r="E2034" s="138" t="s">
        <v>985</v>
      </c>
    </row>
    <row r="2035" spans="1:5" ht="18.75">
      <c r="A2035" s="89" t="str">
        <f t="shared" si="31"/>
        <v>#12513</v>
      </c>
      <c r="B2035" s="138" t="s">
        <v>4702</v>
      </c>
      <c r="C2035" s="236" t="s">
        <v>3062</v>
      </c>
      <c r="D2035" s="206">
        <v>42884</v>
      </c>
      <c r="E2035" s="138" t="s">
        <v>1034</v>
      </c>
    </row>
    <row r="2036" spans="1:5" ht="18.75">
      <c r="A2036" s="89" t="str">
        <f t="shared" si="31"/>
        <v>#12526</v>
      </c>
      <c r="B2036" s="138" t="s">
        <v>4704</v>
      </c>
      <c r="C2036" s="236" t="s">
        <v>4703</v>
      </c>
      <c r="D2036" s="206">
        <v>42884</v>
      </c>
      <c r="E2036" s="138" t="s">
        <v>1188</v>
      </c>
    </row>
    <row r="2037" spans="1:5" ht="18.75">
      <c r="A2037" s="89" t="str">
        <f t="shared" si="31"/>
        <v>#12532</v>
      </c>
      <c r="B2037" s="138" t="s">
        <v>4706</v>
      </c>
      <c r="C2037" s="236" t="s">
        <v>4705</v>
      </c>
      <c r="D2037" s="206">
        <v>42884</v>
      </c>
      <c r="E2037" s="138" t="s">
        <v>890</v>
      </c>
    </row>
    <row r="2038" spans="1:5" ht="18.75">
      <c r="A2038" s="89" t="str">
        <f t="shared" si="31"/>
        <v>#12564</v>
      </c>
      <c r="B2038" s="138" t="s">
        <v>4708</v>
      </c>
      <c r="C2038" s="236" t="s">
        <v>4707</v>
      </c>
      <c r="D2038" s="206">
        <v>42893</v>
      </c>
      <c r="E2038" s="138" t="s">
        <v>1034</v>
      </c>
    </row>
    <row r="2039" spans="1:5" ht="18.75">
      <c r="A2039" s="89" t="str">
        <f t="shared" si="31"/>
        <v>#12570</v>
      </c>
      <c r="B2039" s="138" t="s">
        <v>4710</v>
      </c>
      <c r="C2039" s="236" t="s">
        <v>4709</v>
      </c>
      <c r="D2039" s="206">
        <v>42893</v>
      </c>
      <c r="E2039" s="138" t="s">
        <v>1063</v>
      </c>
    </row>
    <row r="2040" spans="1:5" ht="18.75">
      <c r="A2040" s="89" t="str">
        <f t="shared" si="31"/>
        <v>#12580</v>
      </c>
      <c r="B2040" s="138" t="s">
        <v>4711</v>
      </c>
      <c r="C2040" s="236" t="s">
        <v>2945</v>
      </c>
      <c r="D2040" s="206">
        <v>42898</v>
      </c>
      <c r="E2040" s="138" t="s">
        <v>1004</v>
      </c>
    </row>
    <row r="2041" spans="1:5" ht="18.75">
      <c r="A2041" s="89" t="str">
        <f t="shared" si="31"/>
        <v>#12582</v>
      </c>
      <c r="B2041" s="138" t="s">
        <v>4712</v>
      </c>
      <c r="C2041" s="236" t="s">
        <v>1070</v>
      </c>
      <c r="D2041" s="206">
        <v>42901</v>
      </c>
      <c r="E2041" s="138" t="s">
        <v>1004</v>
      </c>
    </row>
    <row r="2042" spans="1:5" ht="18.75">
      <c r="A2042" s="89" t="str">
        <f t="shared" si="31"/>
        <v>#12583</v>
      </c>
      <c r="B2042" s="138" t="s">
        <v>4714</v>
      </c>
      <c r="C2042" s="236" t="s">
        <v>4713</v>
      </c>
      <c r="D2042" s="206">
        <v>42901</v>
      </c>
      <c r="E2042" s="138" t="s">
        <v>1004</v>
      </c>
    </row>
    <row r="2043" spans="1:5" ht="18.75">
      <c r="A2043" s="89" t="str">
        <f t="shared" si="31"/>
        <v>#12584</v>
      </c>
      <c r="B2043" s="138" t="s">
        <v>4716</v>
      </c>
      <c r="C2043" s="236" t="s">
        <v>4715</v>
      </c>
      <c r="D2043" s="206">
        <v>42906</v>
      </c>
      <c r="E2043" s="138" t="s">
        <v>1004</v>
      </c>
    </row>
    <row r="2044" spans="1:5" ht="18.75">
      <c r="A2044" s="89" t="str">
        <f t="shared" si="31"/>
        <v>#12601</v>
      </c>
      <c r="B2044" s="138" t="s">
        <v>4717</v>
      </c>
      <c r="C2044" s="236" t="s">
        <v>2248</v>
      </c>
      <c r="D2044" s="206">
        <v>42905</v>
      </c>
      <c r="E2044" s="138" t="s">
        <v>985</v>
      </c>
    </row>
    <row r="2045" spans="1:5" ht="18.75">
      <c r="A2045" s="89" t="str">
        <f t="shared" si="31"/>
        <v>#12602</v>
      </c>
      <c r="B2045" s="138" t="s">
        <v>4718</v>
      </c>
      <c r="C2045" s="236" t="s">
        <v>1765</v>
      </c>
      <c r="D2045" s="206">
        <v>42905</v>
      </c>
      <c r="E2045" s="138" t="s">
        <v>937</v>
      </c>
    </row>
    <row r="2046" spans="1:5" ht="18.75">
      <c r="A2046" s="89" t="str">
        <f t="shared" si="31"/>
        <v>#12627</v>
      </c>
      <c r="B2046" s="138" t="s">
        <v>4720</v>
      </c>
      <c r="C2046" s="236" t="s">
        <v>4719</v>
      </c>
      <c r="D2046" s="206">
        <v>42905</v>
      </c>
      <c r="E2046" s="138" t="s">
        <v>1188</v>
      </c>
    </row>
    <row r="2047" spans="1:5" ht="18.75">
      <c r="A2047" s="89" t="str">
        <f t="shared" si="31"/>
        <v>#12628</v>
      </c>
      <c r="B2047" s="138" t="s">
        <v>4722</v>
      </c>
      <c r="C2047" s="236" t="s">
        <v>4721</v>
      </c>
      <c r="D2047" s="206">
        <v>42905</v>
      </c>
      <c r="E2047" s="138" t="s">
        <v>895</v>
      </c>
    </row>
    <row r="2048" spans="1:5" ht="18.75">
      <c r="A2048" s="89" t="str">
        <f t="shared" si="31"/>
        <v>#12633</v>
      </c>
      <c r="B2048" s="138" t="s">
        <v>4724</v>
      </c>
      <c r="C2048" s="236" t="s">
        <v>4723</v>
      </c>
      <c r="D2048" s="206">
        <v>42905</v>
      </c>
      <c r="E2048" s="138" t="s">
        <v>937</v>
      </c>
    </row>
    <row r="2049" spans="1:5" ht="18.75">
      <c r="A2049" s="89" t="str">
        <f t="shared" si="31"/>
        <v>#12644</v>
      </c>
      <c r="B2049" s="138" t="s">
        <v>4725</v>
      </c>
      <c r="C2049" s="236" t="s">
        <v>2463</v>
      </c>
      <c r="D2049" s="206">
        <v>42905</v>
      </c>
      <c r="E2049" s="138" t="s">
        <v>957</v>
      </c>
    </row>
    <row r="2050" spans="1:5" ht="18.75">
      <c r="A2050" s="89" t="str">
        <f t="shared" si="31"/>
        <v>#12692</v>
      </c>
      <c r="B2050" s="138" t="s">
        <v>4727</v>
      </c>
      <c r="C2050" s="236" t="s">
        <v>4726</v>
      </c>
      <c r="D2050" s="206">
        <v>42905</v>
      </c>
      <c r="E2050" s="138" t="s">
        <v>895</v>
      </c>
    </row>
    <row r="2051" spans="1:5" ht="18.75">
      <c r="A2051" s="89" t="str">
        <f t="shared" ref="A2051:A2114" si="32">"#"&amp;B2051</f>
        <v>#12694</v>
      </c>
      <c r="B2051" s="138" t="s">
        <v>4729</v>
      </c>
      <c r="C2051" s="236" t="s">
        <v>4728</v>
      </c>
      <c r="D2051" s="206">
        <v>42905</v>
      </c>
      <c r="E2051" s="138" t="s">
        <v>895</v>
      </c>
    </row>
    <row r="2052" spans="1:5" ht="18.75">
      <c r="A2052" s="89" t="str">
        <f t="shared" si="32"/>
        <v>#12704</v>
      </c>
      <c r="B2052" s="138" t="s">
        <v>4731</v>
      </c>
      <c r="C2052" s="236" t="s">
        <v>4730</v>
      </c>
      <c r="D2052" s="206">
        <v>42914</v>
      </c>
      <c r="E2052" s="138" t="s">
        <v>978</v>
      </c>
    </row>
    <row r="2053" spans="1:5" ht="18.75">
      <c r="A2053" s="89" t="str">
        <f t="shared" si="32"/>
        <v>#12711</v>
      </c>
      <c r="B2053" s="138" t="s">
        <v>4733</v>
      </c>
      <c r="C2053" s="236" t="s">
        <v>4732</v>
      </c>
      <c r="D2053" s="206">
        <v>42914</v>
      </c>
      <c r="E2053" s="138" t="s">
        <v>1188</v>
      </c>
    </row>
    <row r="2054" spans="1:5" ht="18.75">
      <c r="A2054" s="89" t="str">
        <f t="shared" si="32"/>
        <v>#12744</v>
      </c>
      <c r="B2054" s="138" t="s">
        <v>4735</v>
      </c>
      <c r="C2054" s="236" t="s">
        <v>4734</v>
      </c>
      <c r="D2054" s="206">
        <v>42914</v>
      </c>
      <c r="E2054" s="138" t="s">
        <v>7818</v>
      </c>
    </row>
    <row r="2055" spans="1:5" ht="18.75">
      <c r="A2055" s="89" t="str">
        <f t="shared" si="32"/>
        <v>#12760</v>
      </c>
      <c r="B2055" s="138" t="s">
        <v>4737</v>
      </c>
      <c r="C2055" s="236" t="s">
        <v>4736</v>
      </c>
      <c r="D2055" s="206">
        <v>42917</v>
      </c>
      <c r="E2055" s="138" t="s">
        <v>1004</v>
      </c>
    </row>
    <row r="2056" spans="1:5" ht="18.75">
      <c r="A2056" s="89" t="str">
        <f t="shared" si="32"/>
        <v>#12761</v>
      </c>
      <c r="B2056" s="138" t="s">
        <v>4739</v>
      </c>
      <c r="C2056" s="236" t="s">
        <v>4738</v>
      </c>
      <c r="D2056" s="206">
        <v>42917</v>
      </c>
      <c r="E2056" s="138" t="s">
        <v>1004</v>
      </c>
    </row>
    <row r="2057" spans="1:5" ht="18.75">
      <c r="A2057" s="89" t="str">
        <f t="shared" si="32"/>
        <v>#12766</v>
      </c>
      <c r="B2057" s="138" t="s">
        <v>4740</v>
      </c>
      <c r="C2057" s="236" t="s">
        <v>2839</v>
      </c>
      <c r="D2057" s="206">
        <v>42923</v>
      </c>
      <c r="E2057" s="138" t="s">
        <v>927</v>
      </c>
    </row>
    <row r="2058" spans="1:5" ht="18.75">
      <c r="A2058" s="89" t="str">
        <f t="shared" si="32"/>
        <v>#12792</v>
      </c>
      <c r="B2058" s="138" t="s">
        <v>4742</v>
      </c>
      <c r="C2058" s="236" t="s">
        <v>4741</v>
      </c>
      <c r="D2058" s="206">
        <v>42923</v>
      </c>
      <c r="E2058" s="138" t="s">
        <v>1188</v>
      </c>
    </row>
    <row r="2059" spans="1:5" ht="18.75">
      <c r="A2059" s="89" t="str">
        <f t="shared" si="32"/>
        <v>#12804</v>
      </c>
      <c r="B2059" s="138" t="s">
        <v>4743</v>
      </c>
      <c r="C2059" s="236" t="s">
        <v>2945</v>
      </c>
      <c r="D2059" s="206">
        <v>42937</v>
      </c>
      <c r="E2059" s="138" t="s">
        <v>1098</v>
      </c>
    </row>
    <row r="2060" spans="1:5" ht="18.75">
      <c r="A2060" s="89" t="str">
        <f t="shared" si="32"/>
        <v>#12806</v>
      </c>
      <c r="B2060" s="138" t="s">
        <v>4745</v>
      </c>
      <c r="C2060" s="236" t="s">
        <v>4744</v>
      </c>
      <c r="D2060" s="206">
        <v>42940</v>
      </c>
      <c r="E2060" s="138" t="s">
        <v>1004</v>
      </c>
    </row>
    <row r="2061" spans="1:5" ht="18.75">
      <c r="A2061" s="89" t="str">
        <f t="shared" si="32"/>
        <v>#12808</v>
      </c>
      <c r="B2061" s="138" t="s">
        <v>4747</v>
      </c>
      <c r="C2061" s="236" t="s">
        <v>4746</v>
      </c>
      <c r="D2061" s="206">
        <v>42940</v>
      </c>
      <c r="E2061" s="138" t="s">
        <v>1004</v>
      </c>
    </row>
    <row r="2062" spans="1:5" ht="18.75">
      <c r="A2062" s="89" t="str">
        <f t="shared" si="32"/>
        <v>#12836</v>
      </c>
      <c r="B2062" s="138" t="s">
        <v>4748</v>
      </c>
      <c r="C2062" s="236" t="s">
        <v>4351</v>
      </c>
      <c r="D2062" s="206">
        <v>42940</v>
      </c>
      <c r="E2062" s="138" t="s">
        <v>957</v>
      </c>
    </row>
    <row r="2063" spans="1:5" ht="18.75">
      <c r="A2063" s="89" t="str">
        <f t="shared" si="32"/>
        <v>#12845</v>
      </c>
      <c r="B2063" s="138" t="s">
        <v>4750</v>
      </c>
      <c r="C2063" s="236" t="s">
        <v>4749</v>
      </c>
      <c r="D2063" s="206">
        <v>42940</v>
      </c>
      <c r="E2063" s="138" t="s">
        <v>937</v>
      </c>
    </row>
    <row r="2064" spans="1:5" ht="18.75">
      <c r="A2064" s="89" t="str">
        <f t="shared" si="32"/>
        <v>#12867</v>
      </c>
      <c r="B2064" s="138" t="s">
        <v>4752</v>
      </c>
      <c r="C2064" s="236" t="s">
        <v>4751</v>
      </c>
      <c r="D2064" s="206">
        <v>42948</v>
      </c>
      <c r="E2064" s="138" t="s">
        <v>957</v>
      </c>
    </row>
    <row r="2065" spans="1:5" ht="18.75">
      <c r="A2065" s="89" t="str">
        <f t="shared" si="32"/>
        <v>#12886</v>
      </c>
      <c r="B2065" s="138" t="s">
        <v>4754</v>
      </c>
      <c r="C2065" s="236" t="s">
        <v>4753</v>
      </c>
      <c r="D2065" s="206">
        <v>42955</v>
      </c>
      <c r="E2065" s="138" t="s">
        <v>927</v>
      </c>
    </row>
    <row r="2066" spans="1:5" ht="18.75">
      <c r="A2066" s="89" t="str">
        <f t="shared" si="32"/>
        <v>#12887</v>
      </c>
      <c r="B2066" s="138" t="s">
        <v>4756</v>
      </c>
      <c r="C2066" s="236" t="s">
        <v>4755</v>
      </c>
      <c r="D2066" s="206">
        <v>42955</v>
      </c>
      <c r="E2066" s="138" t="s">
        <v>927</v>
      </c>
    </row>
    <row r="2067" spans="1:5" ht="18.75">
      <c r="A2067" s="89" t="str">
        <f t="shared" si="32"/>
        <v>#12902</v>
      </c>
      <c r="B2067" s="138" t="s">
        <v>4758</v>
      </c>
      <c r="C2067" s="236" t="s">
        <v>4757</v>
      </c>
      <c r="D2067" s="206">
        <v>42955</v>
      </c>
      <c r="E2067" s="138" t="s">
        <v>7818</v>
      </c>
    </row>
    <row r="2068" spans="1:5" ht="18.75">
      <c r="A2068" s="89" t="str">
        <f t="shared" si="32"/>
        <v>#12925</v>
      </c>
      <c r="B2068" s="138" t="s">
        <v>4759</v>
      </c>
      <c r="C2068" s="236" t="s">
        <v>1070</v>
      </c>
      <c r="D2068" s="206">
        <v>42955</v>
      </c>
      <c r="E2068" s="138" t="s">
        <v>1188</v>
      </c>
    </row>
    <row r="2069" spans="1:5" ht="18.75">
      <c r="A2069" s="89" t="str">
        <f t="shared" si="32"/>
        <v>#12938</v>
      </c>
      <c r="B2069" s="138" t="s">
        <v>4761</v>
      </c>
      <c r="C2069" s="236" t="s">
        <v>4760</v>
      </c>
      <c r="D2069" s="206">
        <v>42956</v>
      </c>
      <c r="E2069" s="138" t="s">
        <v>906</v>
      </c>
    </row>
    <row r="2070" spans="1:5" ht="18.75">
      <c r="A2070" s="89" t="str">
        <f t="shared" si="32"/>
        <v>#12972</v>
      </c>
      <c r="B2070" s="138" t="s">
        <v>4763</v>
      </c>
      <c r="C2070" s="236" t="s">
        <v>4762</v>
      </c>
      <c r="D2070" s="206">
        <v>42971</v>
      </c>
      <c r="E2070" s="138" t="s">
        <v>1133</v>
      </c>
    </row>
    <row r="2071" spans="1:5" ht="18.75">
      <c r="A2071" s="89" t="str">
        <f t="shared" si="32"/>
        <v>#12980</v>
      </c>
      <c r="B2071" s="138" t="s">
        <v>4765</v>
      </c>
      <c r="C2071" s="236" t="s">
        <v>4764</v>
      </c>
      <c r="D2071" s="206">
        <v>42971</v>
      </c>
      <c r="E2071" s="138" t="s">
        <v>8037</v>
      </c>
    </row>
    <row r="2072" spans="1:5" ht="18.75">
      <c r="A2072" s="89" t="str">
        <f t="shared" si="32"/>
        <v>#12994</v>
      </c>
      <c r="B2072" s="138" t="s">
        <v>4767</v>
      </c>
      <c r="C2072" s="236" t="s">
        <v>4766</v>
      </c>
      <c r="D2072" s="206">
        <v>42971</v>
      </c>
      <c r="E2072" s="138" t="s">
        <v>937</v>
      </c>
    </row>
    <row r="2073" spans="1:5" ht="18.75">
      <c r="A2073" s="89" t="str">
        <f t="shared" si="32"/>
        <v>#13010</v>
      </c>
      <c r="B2073" s="138" t="s">
        <v>4769</v>
      </c>
      <c r="C2073" s="236" t="s">
        <v>4768</v>
      </c>
      <c r="D2073" s="206">
        <v>42971</v>
      </c>
      <c r="E2073" s="138" t="s">
        <v>1063</v>
      </c>
    </row>
    <row r="2074" spans="1:5" ht="18.75">
      <c r="A2074" s="89" t="str">
        <f t="shared" si="32"/>
        <v>#13013</v>
      </c>
      <c r="B2074" s="138" t="s">
        <v>4771</v>
      </c>
      <c r="C2074" s="236" t="s">
        <v>4770</v>
      </c>
      <c r="D2074" s="206">
        <v>42971</v>
      </c>
      <c r="E2074" s="138" t="s">
        <v>1063</v>
      </c>
    </row>
    <row r="2075" spans="1:5" ht="18.75">
      <c r="A2075" s="89" t="str">
        <f t="shared" si="32"/>
        <v>#13034</v>
      </c>
      <c r="B2075" s="138" t="s">
        <v>4773</v>
      </c>
      <c r="C2075" s="236" t="s">
        <v>4772</v>
      </c>
      <c r="D2075" s="206">
        <v>42984</v>
      </c>
      <c r="E2075" s="138" t="s">
        <v>906</v>
      </c>
    </row>
    <row r="2076" spans="1:5" ht="18.75">
      <c r="A2076" s="89" t="str">
        <f t="shared" si="32"/>
        <v>#13041</v>
      </c>
      <c r="B2076" s="138" t="s">
        <v>4775</v>
      </c>
      <c r="C2076" s="236" t="s">
        <v>4774</v>
      </c>
      <c r="D2076" s="206">
        <v>42990</v>
      </c>
      <c r="E2076" s="138" t="s">
        <v>7818</v>
      </c>
    </row>
    <row r="2077" spans="1:5" ht="18.75">
      <c r="A2077" s="89" t="str">
        <f t="shared" si="32"/>
        <v>#13050</v>
      </c>
      <c r="B2077" s="138" t="s">
        <v>4777</v>
      </c>
      <c r="C2077" s="236" t="s">
        <v>4776</v>
      </c>
      <c r="D2077" s="206">
        <v>42990</v>
      </c>
      <c r="E2077" s="138" t="s">
        <v>7818</v>
      </c>
    </row>
    <row r="2078" spans="1:5" ht="18.75">
      <c r="A2078" s="89" t="str">
        <f t="shared" si="32"/>
        <v>#13061</v>
      </c>
      <c r="B2078" s="138" t="s">
        <v>4778</v>
      </c>
      <c r="C2078" s="236" t="s">
        <v>3666</v>
      </c>
      <c r="D2078" s="206">
        <v>42990</v>
      </c>
      <c r="E2078" s="138" t="s">
        <v>1188</v>
      </c>
    </row>
    <row r="2079" spans="1:5" ht="18.75">
      <c r="A2079" s="89" t="str">
        <f t="shared" si="32"/>
        <v>#13063</v>
      </c>
      <c r="B2079" s="138" t="s">
        <v>4779</v>
      </c>
      <c r="C2079" s="236" t="s">
        <v>2924</v>
      </c>
      <c r="D2079" s="206">
        <v>42990</v>
      </c>
      <c r="E2079" s="138" t="s">
        <v>1380</v>
      </c>
    </row>
    <row r="2080" spans="1:5" ht="18.75">
      <c r="A2080" s="89" t="str">
        <f t="shared" si="32"/>
        <v>#13072</v>
      </c>
      <c r="B2080" s="138" t="s">
        <v>4781</v>
      </c>
      <c r="C2080" s="236" t="s">
        <v>4780</v>
      </c>
      <c r="D2080" s="206">
        <v>42990</v>
      </c>
      <c r="E2080" s="138" t="s">
        <v>721</v>
      </c>
    </row>
    <row r="2081" spans="1:5" ht="18.75">
      <c r="A2081" s="89" t="str">
        <f t="shared" si="32"/>
        <v>#13073</v>
      </c>
      <c r="B2081" s="138" t="s">
        <v>4783</v>
      </c>
      <c r="C2081" s="236" t="s">
        <v>4782</v>
      </c>
      <c r="D2081" s="206">
        <v>42990</v>
      </c>
      <c r="E2081" s="138" t="s">
        <v>721</v>
      </c>
    </row>
    <row r="2082" spans="1:5" ht="18.75">
      <c r="A2082" s="89" t="str">
        <f t="shared" si="32"/>
        <v>#13077</v>
      </c>
      <c r="B2082" s="138" t="s">
        <v>4784</v>
      </c>
      <c r="C2082" s="236" t="s">
        <v>3091</v>
      </c>
      <c r="D2082" s="206">
        <v>42999</v>
      </c>
      <c r="E2082" s="138" t="s">
        <v>1188</v>
      </c>
    </row>
    <row r="2083" spans="1:5" ht="18.75">
      <c r="A2083" s="89" t="str">
        <f t="shared" si="32"/>
        <v>#13090</v>
      </c>
      <c r="B2083" s="138" t="s">
        <v>4786</v>
      </c>
      <c r="C2083" s="236" t="s">
        <v>4785</v>
      </c>
      <c r="D2083" s="206">
        <v>42999</v>
      </c>
      <c r="E2083" s="138" t="s">
        <v>1004</v>
      </c>
    </row>
    <row r="2084" spans="1:5" ht="18.75">
      <c r="A2084" s="89" t="str">
        <f t="shared" si="32"/>
        <v>#13104</v>
      </c>
      <c r="B2084" s="138" t="s">
        <v>4788</v>
      </c>
      <c r="C2084" s="236" t="s">
        <v>4787</v>
      </c>
      <c r="D2084" s="206">
        <v>42999</v>
      </c>
      <c r="E2084" s="138" t="s">
        <v>1113</v>
      </c>
    </row>
    <row r="2085" spans="1:5" ht="18.75">
      <c r="A2085" s="89" t="str">
        <f t="shared" si="32"/>
        <v>#13110</v>
      </c>
      <c r="B2085" s="138" t="s">
        <v>4789</v>
      </c>
      <c r="C2085" s="236" t="s">
        <v>2672</v>
      </c>
      <c r="D2085" s="206">
        <v>43003</v>
      </c>
      <c r="E2085" s="138" t="s">
        <v>906</v>
      </c>
    </row>
    <row r="2086" spans="1:5" ht="18.75">
      <c r="A2086" s="89" t="str">
        <f t="shared" si="32"/>
        <v>#13122</v>
      </c>
      <c r="B2086" s="138" t="s">
        <v>4791</v>
      </c>
      <c r="C2086" s="236" t="s">
        <v>4790</v>
      </c>
      <c r="D2086" s="206">
        <v>43014</v>
      </c>
      <c r="E2086" s="138" t="s">
        <v>1188</v>
      </c>
    </row>
    <row r="2087" spans="1:5" ht="18.75">
      <c r="A2087" s="89" t="str">
        <f t="shared" si="32"/>
        <v>#13134</v>
      </c>
      <c r="B2087" s="138" t="s">
        <v>4792</v>
      </c>
      <c r="C2087" s="236" t="s">
        <v>1704</v>
      </c>
      <c r="D2087" s="206">
        <v>43014</v>
      </c>
      <c r="E2087" s="138" t="s">
        <v>895</v>
      </c>
    </row>
    <row r="2088" spans="1:5" ht="18.75">
      <c r="A2088" s="89" t="str">
        <f t="shared" si="32"/>
        <v>#13156</v>
      </c>
      <c r="B2088" s="138" t="s">
        <v>4794</v>
      </c>
      <c r="C2088" s="236" t="s">
        <v>4793</v>
      </c>
      <c r="D2088" s="206">
        <v>43014</v>
      </c>
      <c r="E2088" s="138" t="s">
        <v>7818</v>
      </c>
    </row>
    <row r="2089" spans="1:5" ht="18.75">
      <c r="A2089" s="89" t="str">
        <f t="shared" si="32"/>
        <v>#13165</v>
      </c>
      <c r="B2089" s="138" t="s">
        <v>4795</v>
      </c>
      <c r="C2089" s="236" t="s">
        <v>4028</v>
      </c>
      <c r="D2089" s="206">
        <v>43024</v>
      </c>
      <c r="E2089" s="138" t="s">
        <v>1004</v>
      </c>
    </row>
    <row r="2090" spans="1:5" ht="18.75">
      <c r="A2090" s="89" t="str">
        <f t="shared" si="32"/>
        <v>#13167</v>
      </c>
      <c r="B2090" s="138" t="s">
        <v>4796</v>
      </c>
      <c r="C2090" s="236" t="s">
        <v>3951</v>
      </c>
      <c r="D2090" s="206">
        <v>43024</v>
      </c>
      <c r="E2090" s="138" t="s">
        <v>1191</v>
      </c>
    </row>
    <row r="2091" spans="1:5" ht="18.75">
      <c r="A2091" s="89" t="str">
        <f t="shared" si="32"/>
        <v>#13168</v>
      </c>
      <c r="B2091" s="138" t="s">
        <v>4798</v>
      </c>
      <c r="C2091" s="236" t="s">
        <v>4797</v>
      </c>
      <c r="D2091" s="206">
        <v>43028</v>
      </c>
      <c r="E2091" s="138" t="s">
        <v>937</v>
      </c>
    </row>
    <row r="2092" spans="1:5" ht="18.75">
      <c r="A2092" s="89" t="str">
        <f t="shared" si="32"/>
        <v>#13169</v>
      </c>
      <c r="B2092" s="138" t="s">
        <v>4800</v>
      </c>
      <c r="C2092" s="236" t="s">
        <v>4799</v>
      </c>
      <c r="D2092" s="206">
        <v>43028</v>
      </c>
      <c r="E2092" s="138" t="s">
        <v>937</v>
      </c>
    </row>
    <row r="2093" spans="1:5" ht="18.75">
      <c r="A2093" s="89" t="str">
        <f t="shared" si="32"/>
        <v>#13202</v>
      </c>
      <c r="B2093" s="138" t="s">
        <v>4802</v>
      </c>
      <c r="C2093" s="236" t="s">
        <v>4801</v>
      </c>
      <c r="D2093" s="206">
        <v>43028</v>
      </c>
      <c r="E2093" s="138" t="s">
        <v>7818</v>
      </c>
    </row>
    <row r="2094" spans="1:5" ht="18.75">
      <c r="A2094" s="89" t="str">
        <f t="shared" si="32"/>
        <v>#13216</v>
      </c>
      <c r="B2094" s="138" t="s">
        <v>4803</v>
      </c>
      <c r="C2094" s="236" t="s">
        <v>3214</v>
      </c>
      <c r="D2094" s="206">
        <v>43046</v>
      </c>
      <c r="E2094" s="138" t="s">
        <v>915</v>
      </c>
    </row>
    <row r="2095" spans="1:5" ht="18.75">
      <c r="A2095" s="89" t="str">
        <f t="shared" si="32"/>
        <v>#13220</v>
      </c>
      <c r="B2095" s="138" t="s">
        <v>4805</v>
      </c>
      <c r="C2095" s="236" t="s">
        <v>4804</v>
      </c>
      <c r="D2095" s="206">
        <v>43046</v>
      </c>
      <c r="E2095" s="138" t="s">
        <v>1034</v>
      </c>
    </row>
    <row r="2096" spans="1:5" ht="18.75">
      <c r="A2096" s="89" t="str">
        <f t="shared" si="32"/>
        <v>#13222</v>
      </c>
      <c r="B2096" s="138" t="s">
        <v>4807</v>
      </c>
      <c r="C2096" s="236" t="s">
        <v>4806</v>
      </c>
      <c r="D2096" s="206">
        <v>43046</v>
      </c>
      <c r="E2096" s="138" t="s">
        <v>1716</v>
      </c>
    </row>
    <row r="2097" spans="1:5" ht="18.75">
      <c r="A2097" s="89" t="str">
        <f t="shared" si="32"/>
        <v>#13225</v>
      </c>
      <c r="B2097" s="138" t="s">
        <v>4809</v>
      </c>
      <c r="C2097" s="236" t="s">
        <v>4808</v>
      </c>
      <c r="D2097" s="206">
        <v>43046</v>
      </c>
      <c r="E2097" s="138" t="s">
        <v>7818</v>
      </c>
    </row>
    <row r="2098" spans="1:5" ht="18.75">
      <c r="A2098" s="89" t="str">
        <f t="shared" si="32"/>
        <v>#13236</v>
      </c>
      <c r="B2098" s="138" t="s">
        <v>4811</v>
      </c>
      <c r="C2098" s="236" t="s">
        <v>4810</v>
      </c>
      <c r="D2098" s="206">
        <v>43046</v>
      </c>
      <c r="E2098" s="138" t="s">
        <v>895</v>
      </c>
    </row>
    <row r="2099" spans="1:5" ht="18.75">
      <c r="A2099" s="89" t="str">
        <f t="shared" si="32"/>
        <v>#13239</v>
      </c>
      <c r="B2099" s="138" t="s">
        <v>4813</v>
      </c>
      <c r="C2099" s="236" t="s">
        <v>4812</v>
      </c>
      <c r="D2099" s="206">
        <v>43046</v>
      </c>
      <c r="E2099" s="138" t="s">
        <v>1043</v>
      </c>
    </row>
    <row r="2100" spans="1:5" ht="18.75">
      <c r="A2100" s="89" t="str">
        <f t="shared" si="32"/>
        <v>#13240</v>
      </c>
      <c r="B2100" s="138" t="s">
        <v>4815</v>
      </c>
      <c r="C2100" s="236" t="s">
        <v>4814</v>
      </c>
      <c r="D2100" s="206">
        <v>43046</v>
      </c>
      <c r="E2100" s="138" t="s">
        <v>796</v>
      </c>
    </row>
    <row r="2101" spans="1:5" ht="18.75">
      <c r="A2101" s="89" t="str">
        <f t="shared" si="32"/>
        <v>#13241</v>
      </c>
      <c r="B2101" s="138" t="s">
        <v>4817</v>
      </c>
      <c r="C2101" s="236" t="s">
        <v>4816</v>
      </c>
      <c r="D2101" s="206">
        <v>43046</v>
      </c>
      <c r="E2101" s="138" t="s">
        <v>796</v>
      </c>
    </row>
    <row r="2102" spans="1:5" ht="18.75">
      <c r="A2102" s="89" t="str">
        <f t="shared" si="32"/>
        <v>#13266</v>
      </c>
      <c r="B2102" s="138" t="s">
        <v>4819</v>
      </c>
      <c r="C2102" s="236" t="s">
        <v>4818</v>
      </c>
      <c r="D2102" s="206">
        <v>43060</v>
      </c>
      <c r="E2102" s="138" t="s">
        <v>937</v>
      </c>
    </row>
    <row r="2103" spans="1:5" ht="18.75">
      <c r="A2103" s="89" t="str">
        <f t="shared" si="32"/>
        <v>#13271</v>
      </c>
      <c r="B2103" s="138" t="s">
        <v>4821</v>
      </c>
      <c r="C2103" s="236" t="s">
        <v>4820</v>
      </c>
      <c r="D2103" s="206">
        <v>43060</v>
      </c>
      <c r="E2103" s="138" t="s">
        <v>7818</v>
      </c>
    </row>
    <row r="2104" spans="1:5" ht="18.75">
      <c r="A2104" s="89" t="str">
        <f t="shared" si="32"/>
        <v>#13287</v>
      </c>
      <c r="B2104" s="138" t="s">
        <v>4823</v>
      </c>
      <c r="C2104" s="236" t="s">
        <v>4822</v>
      </c>
      <c r="D2104" s="206">
        <v>43076</v>
      </c>
      <c r="E2104" s="138" t="s">
        <v>1063</v>
      </c>
    </row>
    <row r="2105" spans="1:5" ht="18.75">
      <c r="A2105" s="89" t="str">
        <f t="shared" si="32"/>
        <v>#13289</v>
      </c>
      <c r="B2105" s="138" t="s">
        <v>4824</v>
      </c>
      <c r="C2105" s="236" t="s">
        <v>1131</v>
      </c>
      <c r="D2105" s="206">
        <v>43076</v>
      </c>
      <c r="E2105" s="138" t="s">
        <v>1487</v>
      </c>
    </row>
    <row r="2106" spans="1:5" ht="18.75">
      <c r="A2106" s="89" t="str">
        <f t="shared" si="32"/>
        <v>#13290</v>
      </c>
      <c r="B2106" s="138" t="s">
        <v>4825</v>
      </c>
      <c r="C2106" s="236" t="s">
        <v>1356</v>
      </c>
      <c r="D2106" s="206">
        <v>43076</v>
      </c>
      <c r="E2106" s="138" t="s">
        <v>915</v>
      </c>
    </row>
    <row r="2107" spans="1:5" ht="18.75">
      <c r="A2107" s="89" t="str">
        <f t="shared" si="32"/>
        <v>#13291</v>
      </c>
      <c r="B2107" s="138" t="s">
        <v>4826</v>
      </c>
      <c r="C2107" s="236" t="s">
        <v>2173</v>
      </c>
      <c r="D2107" s="206">
        <v>43076</v>
      </c>
      <c r="E2107" s="138" t="s">
        <v>1133</v>
      </c>
    </row>
    <row r="2108" spans="1:5" ht="18.75">
      <c r="A2108" s="89" t="str">
        <f t="shared" si="32"/>
        <v>#13299</v>
      </c>
      <c r="B2108" s="138" t="s">
        <v>4828</v>
      </c>
      <c r="C2108" s="236" t="s">
        <v>4827</v>
      </c>
      <c r="D2108" s="206">
        <v>43076</v>
      </c>
      <c r="E2108" s="138" t="s">
        <v>924</v>
      </c>
    </row>
    <row r="2109" spans="1:5" ht="18.75">
      <c r="A2109" s="89" t="str">
        <f t="shared" si="32"/>
        <v>#13302</v>
      </c>
      <c r="B2109" s="138" t="s">
        <v>4829</v>
      </c>
      <c r="C2109" s="236" t="s">
        <v>1287</v>
      </c>
      <c r="D2109" s="206">
        <v>43076</v>
      </c>
      <c r="E2109" s="138" t="s">
        <v>1188</v>
      </c>
    </row>
    <row r="2110" spans="1:5" ht="18.75">
      <c r="A2110" s="89" t="str">
        <f t="shared" si="32"/>
        <v>#13318</v>
      </c>
      <c r="B2110" s="138" t="s">
        <v>4831</v>
      </c>
      <c r="C2110" s="236" t="s">
        <v>4830</v>
      </c>
      <c r="D2110" s="206">
        <v>43076</v>
      </c>
      <c r="E2110" s="138" t="s">
        <v>721</v>
      </c>
    </row>
    <row r="2111" spans="1:5" ht="18.75">
      <c r="A2111" s="89" t="str">
        <f t="shared" si="32"/>
        <v>#13319</v>
      </c>
      <c r="B2111" s="138" t="s">
        <v>4833</v>
      </c>
      <c r="C2111" s="236" t="s">
        <v>4832</v>
      </c>
      <c r="D2111" s="206">
        <v>43076</v>
      </c>
      <c r="E2111" s="138" t="s">
        <v>721</v>
      </c>
    </row>
    <row r="2112" spans="1:5" ht="18.75">
      <c r="A2112" s="89" t="str">
        <f t="shared" si="32"/>
        <v>#13320</v>
      </c>
      <c r="B2112" s="138" t="s">
        <v>4835</v>
      </c>
      <c r="C2112" s="236" t="s">
        <v>4834</v>
      </c>
      <c r="D2112" s="206">
        <v>43076</v>
      </c>
      <c r="E2112" s="138" t="s">
        <v>721</v>
      </c>
    </row>
    <row r="2113" spans="1:5" ht="18.75">
      <c r="A2113" s="89" t="str">
        <f t="shared" si="32"/>
        <v>#13321</v>
      </c>
      <c r="B2113" s="138" t="s">
        <v>4837</v>
      </c>
      <c r="C2113" s="236" t="s">
        <v>4836</v>
      </c>
      <c r="D2113" s="206">
        <v>43094</v>
      </c>
      <c r="E2113" s="138" t="s">
        <v>1004</v>
      </c>
    </row>
    <row r="2114" spans="1:5" ht="18.75">
      <c r="A2114" s="89" t="str">
        <f t="shared" si="32"/>
        <v>#13336</v>
      </c>
      <c r="B2114" s="138" t="s">
        <v>4838</v>
      </c>
      <c r="C2114" s="236" t="s">
        <v>4280</v>
      </c>
      <c r="D2114" s="206">
        <v>43095</v>
      </c>
      <c r="E2114" s="138" t="s">
        <v>957</v>
      </c>
    </row>
    <row r="2115" spans="1:5" ht="18.75">
      <c r="A2115" s="89" t="str">
        <f t="shared" ref="A2115:A2178" si="33">"#"&amp;B2115</f>
        <v>#13361</v>
      </c>
      <c r="B2115" s="138" t="s">
        <v>4840</v>
      </c>
      <c r="C2115" s="236" t="s">
        <v>4839</v>
      </c>
      <c r="D2115" s="206">
        <v>43165</v>
      </c>
      <c r="E2115" s="138" t="s">
        <v>937</v>
      </c>
    </row>
    <row r="2116" spans="1:5" ht="18.75">
      <c r="A2116" s="89" t="str">
        <f t="shared" si="33"/>
        <v>#13370</v>
      </c>
      <c r="B2116" s="138" t="s">
        <v>4842</v>
      </c>
      <c r="C2116" s="236" t="s">
        <v>4841</v>
      </c>
      <c r="D2116" s="206">
        <v>43165</v>
      </c>
      <c r="E2116" s="138" t="s">
        <v>890</v>
      </c>
    </row>
    <row r="2117" spans="1:5" ht="18.75">
      <c r="A2117" s="89" t="str">
        <f t="shared" si="33"/>
        <v>#13413</v>
      </c>
      <c r="B2117" s="138" t="s">
        <v>4844</v>
      </c>
      <c r="C2117" s="236" t="s">
        <v>4843</v>
      </c>
      <c r="D2117" s="206">
        <v>43165</v>
      </c>
      <c r="E2117" s="138" t="s">
        <v>1098</v>
      </c>
    </row>
    <row r="2118" spans="1:5" ht="18.75">
      <c r="A2118" s="89" t="str">
        <f t="shared" si="33"/>
        <v>#13422</v>
      </c>
      <c r="B2118" s="138" t="s">
        <v>4846</v>
      </c>
      <c r="C2118" s="236" t="s">
        <v>4845</v>
      </c>
      <c r="D2118" s="206">
        <v>43165</v>
      </c>
      <c r="E2118" s="138" t="s">
        <v>7818</v>
      </c>
    </row>
    <row r="2119" spans="1:5" ht="18.75">
      <c r="A2119" s="89" t="str">
        <f t="shared" si="33"/>
        <v>#13435</v>
      </c>
      <c r="B2119" s="138" t="s">
        <v>4848</v>
      </c>
      <c r="C2119" s="236" t="s">
        <v>4847</v>
      </c>
      <c r="D2119" s="206">
        <v>43165</v>
      </c>
      <c r="E2119" s="138" t="s">
        <v>978</v>
      </c>
    </row>
    <row r="2120" spans="1:5" ht="18.75">
      <c r="A2120" s="89" t="str">
        <f t="shared" si="33"/>
        <v>#13437</v>
      </c>
      <c r="B2120" s="138" t="s">
        <v>4849</v>
      </c>
      <c r="C2120" s="236" t="s">
        <v>2168</v>
      </c>
      <c r="D2120" s="206">
        <v>43165</v>
      </c>
      <c r="E2120" s="138" t="s">
        <v>895</v>
      </c>
    </row>
    <row r="2121" spans="1:5" ht="18.75">
      <c r="A2121" s="89" t="str">
        <f t="shared" si="33"/>
        <v>#13440</v>
      </c>
      <c r="B2121" s="138" t="s">
        <v>4850</v>
      </c>
      <c r="C2121" s="236" t="s">
        <v>1502</v>
      </c>
      <c r="D2121" s="206">
        <v>43168</v>
      </c>
      <c r="E2121" s="138" t="s">
        <v>985</v>
      </c>
    </row>
    <row r="2122" spans="1:5" ht="18.75">
      <c r="A2122" s="89" t="str">
        <f t="shared" si="33"/>
        <v>#13444</v>
      </c>
      <c r="B2122" s="138" t="s">
        <v>4852</v>
      </c>
      <c r="C2122" s="236" t="s">
        <v>4851</v>
      </c>
      <c r="D2122" s="206">
        <v>43168</v>
      </c>
      <c r="E2122" s="138" t="s">
        <v>1063</v>
      </c>
    </row>
    <row r="2123" spans="1:5" ht="18.75">
      <c r="A2123" s="89" t="str">
        <f t="shared" si="33"/>
        <v>#13445</v>
      </c>
      <c r="B2123" s="138" t="s">
        <v>4854</v>
      </c>
      <c r="C2123" s="236" t="s">
        <v>4853</v>
      </c>
      <c r="D2123" s="206">
        <v>43168</v>
      </c>
      <c r="E2123" s="138" t="s">
        <v>957</v>
      </c>
    </row>
    <row r="2124" spans="1:5" ht="18.75">
      <c r="A2124" s="89" t="str">
        <f t="shared" si="33"/>
        <v>#13446</v>
      </c>
      <c r="B2124" s="138" t="s">
        <v>4856</v>
      </c>
      <c r="C2124" s="236" t="s">
        <v>4855</v>
      </c>
      <c r="D2124" s="206">
        <v>43168</v>
      </c>
      <c r="E2124" s="138" t="s">
        <v>7818</v>
      </c>
    </row>
    <row r="2125" spans="1:5" ht="18.75">
      <c r="A2125" s="89" t="str">
        <f t="shared" si="33"/>
        <v>#13455</v>
      </c>
      <c r="B2125" s="138" t="s">
        <v>4858</v>
      </c>
      <c r="C2125" s="236" t="s">
        <v>4857</v>
      </c>
      <c r="D2125" s="206">
        <v>43168</v>
      </c>
      <c r="E2125" s="138" t="s">
        <v>937</v>
      </c>
    </row>
    <row r="2126" spans="1:5" ht="18.75">
      <c r="A2126" s="89" t="str">
        <f t="shared" si="33"/>
        <v>#13456</v>
      </c>
      <c r="B2126" s="138" t="s">
        <v>4860</v>
      </c>
      <c r="C2126" s="236" t="s">
        <v>4859</v>
      </c>
      <c r="D2126" s="206">
        <v>43168</v>
      </c>
      <c r="E2126" s="138" t="s">
        <v>1085</v>
      </c>
    </row>
    <row r="2127" spans="1:5" ht="18.75">
      <c r="A2127" s="89" t="str">
        <f t="shared" si="33"/>
        <v>#13463</v>
      </c>
      <c r="B2127" s="138" t="s">
        <v>4862</v>
      </c>
      <c r="C2127" s="236" t="s">
        <v>4861</v>
      </c>
      <c r="D2127" s="206">
        <v>43168</v>
      </c>
      <c r="E2127" s="138" t="s">
        <v>937</v>
      </c>
    </row>
    <row r="2128" spans="1:5" ht="18.75">
      <c r="A2128" s="89" t="str">
        <f t="shared" si="33"/>
        <v>#13464</v>
      </c>
      <c r="B2128" s="138" t="s">
        <v>4864</v>
      </c>
      <c r="C2128" s="236" t="s">
        <v>4863</v>
      </c>
      <c r="D2128" s="206">
        <v>43168</v>
      </c>
      <c r="E2128" s="138" t="s">
        <v>898</v>
      </c>
    </row>
    <row r="2129" spans="1:5" ht="18.75">
      <c r="A2129" s="89" t="str">
        <f t="shared" si="33"/>
        <v>#13468</v>
      </c>
      <c r="B2129" s="138" t="s">
        <v>4866</v>
      </c>
      <c r="C2129" s="236" t="s">
        <v>4865</v>
      </c>
      <c r="D2129" s="206">
        <v>43168</v>
      </c>
      <c r="E2129" s="138" t="s">
        <v>1034</v>
      </c>
    </row>
    <row r="2130" spans="1:5" ht="18.75">
      <c r="A2130" s="89" t="str">
        <f t="shared" si="33"/>
        <v>#13487</v>
      </c>
      <c r="B2130" s="138" t="s">
        <v>4868</v>
      </c>
      <c r="C2130" s="236" t="s">
        <v>4867</v>
      </c>
      <c r="D2130" s="206">
        <v>43181</v>
      </c>
      <c r="E2130" s="206" t="s">
        <v>924</v>
      </c>
    </row>
    <row r="2131" spans="1:5" ht="18.75">
      <c r="A2131" s="89" t="str">
        <f t="shared" si="33"/>
        <v>#13492</v>
      </c>
      <c r="B2131" s="138" t="s">
        <v>4869</v>
      </c>
      <c r="C2131" s="236" t="s">
        <v>1719</v>
      </c>
      <c r="D2131" s="206">
        <v>43181</v>
      </c>
      <c r="E2131" s="206" t="s">
        <v>924</v>
      </c>
    </row>
    <row r="2132" spans="1:5" ht="18.75">
      <c r="A2132" s="89" t="str">
        <f t="shared" si="33"/>
        <v>#13495</v>
      </c>
      <c r="B2132" s="138" t="s">
        <v>4871</v>
      </c>
      <c r="C2132" s="236" t="s">
        <v>4870</v>
      </c>
      <c r="D2132" s="206">
        <v>43181</v>
      </c>
      <c r="E2132" s="138" t="s">
        <v>948</v>
      </c>
    </row>
    <row r="2133" spans="1:5" ht="18.75">
      <c r="A2133" s="89" t="str">
        <f t="shared" si="33"/>
        <v>#13500</v>
      </c>
      <c r="B2133" s="138" t="s">
        <v>4873</v>
      </c>
      <c r="C2133" s="236" t="s">
        <v>4872</v>
      </c>
      <c r="D2133" s="206">
        <v>43181</v>
      </c>
      <c r="E2133" s="138" t="s">
        <v>1133</v>
      </c>
    </row>
    <row r="2134" spans="1:5" ht="18.75">
      <c r="A2134" s="89" t="str">
        <f t="shared" si="33"/>
        <v>#13536</v>
      </c>
      <c r="B2134" s="138" t="s">
        <v>4875</v>
      </c>
      <c r="C2134" s="236" t="s">
        <v>4874</v>
      </c>
      <c r="D2134" s="206">
        <v>43181</v>
      </c>
      <c r="E2134" s="138" t="s">
        <v>1188</v>
      </c>
    </row>
    <row r="2135" spans="1:5" ht="18.75">
      <c r="A2135" s="89" t="str">
        <f t="shared" si="33"/>
        <v>#13548</v>
      </c>
      <c r="B2135" s="138" t="s">
        <v>4877</v>
      </c>
      <c r="C2135" s="236" t="s">
        <v>4876</v>
      </c>
      <c r="D2135" s="206">
        <v>43181</v>
      </c>
      <c r="E2135" s="138" t="s">
        <v>1133</v>
      </c>
    </row>
    <row r="2136" spans="1:5" ht="18.75">
      <c r="A2136" s="89" t="str">
        <f t="shared" si="33"/>
        <v>#13565</v>
      </c>
      <c r="B2136" s="138" t="s">
        <v>4879</v>
      </c>
      <c r="C2136" s="236" t="s">
        <v>4878</v>
      </c>
      <c r="D2136" s="206">
        <v>43181</v>
      </c>
      <c r="E2136" s="138" t="s">
        <v>978</v>
      </c>
    </row>
    <row r="2137" spans="1:5" ht="18.75">
      <c r="A2137" s="89" t="str">
        <f t="shared" si="33"/>
        <v>#13581</v>
      </c>
      <c r="B2137" s="138" t="s">
        <v>4880</v>
      </c>
      <c r="C2137" s="236" t="s">
        <v>1053</v>
      </c>
      <c r="D2137" s="206">
        <v>43185</v>
      </c>
      <c r="E2137" s="138" t="s">
        <v>1380</v>
      </c>
    </row>
    <row r="2138" spans="1:5" ht="18.75">
      <c r="A2138" s="89" t="str">
        <f t="shared" si="33"/>
        <v>#13582</v>
      </c>
      <c r="B2138" s="138" t="s">
        <v>4882</v>
      </c>
      <c r="C2138" s="236" t="s">
        <v>4881</v>
      </c>
      <c r="D2138" s="206">
        <v>43185</v>
      </c>
      <c r="E2138" s="138" t="s">
        <v>752</v>
      </c>
    </row>
    <row r="2139" spans="1:5" ht="18.75">
      <c r="A2139" s="89" t="str">
        <f t="shared" si="33"/>
        <v>#13586</v>
      </c>
      <c r="B2139" s="138" t="s">
        <v>4884</v>
      </c>
      <c r="C2139" s="236" t="s">
        <v>4883</v>
      </c>
      <c r="D2139" s="206">
        <v>43185</v>
      </c>
      <c r="E2139" s="138" t="s">
        <v>721</v>
      </c>
    </row>
    <row r="2140" spans="1:5" ht="18.75">
      <c r="A2140" s="89" t="str">
        <f t="shared" si="33"/>
        <v>#13588</v>
      </c>
      <c r="B2140" s="138" t="s">
        <v>4886</v>
      </c>
      <c r="C2140" s="236" t="s">
        <v>4885</v>
      </c>
      <c r="D2140" s="206">
        <v>43185</v>
      </c>
      <c r="E2140" s="138" t="s">
        <v>721</v>
      </c>
    </row>
    <row r="2141" spans="1:5" ht="18.75">
      <c r="A2141" s="89" t="str">
        <f t="shared" si="33"/>
        <v>#13595</v>
      </c>
      <c r="B2141" s="138" t="s">
        <v>4887</v>
      </c>
      <c r="C2141" s="236" t="s">
        <v>1146</v>
      </c>
      <c r="D2141" s="206">
        <v>43185</v>
      </c>
      <c r="E2141" s="138" t="s">
        <v>906</v>
      </c>
    </row>
    <row r="2142" spans="1:5" ht="18.75">
      <c r="A2142" s="89" t="str">
        <f t="shared" si="33"/>
        <v>#13598</v>
      </c>
      <c r="B2142" s="138" t="s">
        <v>4889</v>
      </c>
      <c r="C2142" s="236" t="s">
        <v>4888</v>
      </c>
      <c r="D2142" s="206">
        <v>43185</v>
      </c>
      <c r="E2142" s="138" t="s">
        <v>906</v>
      </c>
    </row>
    <row r="2143" spans="1:5" ht="18.75">
      <c r="A2143" s="89" t="str">
        <f t="shared" si="33"/>
        <v>#13603</v>
      </c>
      <c r="B2143" s="138" t="s">
        <v>4890</v>
      </c>
      <c r="C2143" s="236" t="s">
        <v>2647</v>
      </c>
      <c r="D2143" s="206">
        <v>43185</v>
      </c>
      <c r="E2143" s="138" t="s">
        <v>937</v>
      </c>
    </row>
    <row r="2144" spans="1:5" ht="18.75">
      <c r="A2144" s="89" t="str">
        <f t="shared" si="33"/>
        <v>#13611</v>
      </c>
      <c r="B2144" s="138" t="s">
        <v>4892</v>
      </c>
      <c r="C2144" s="236" t="s">
        <v>4891</v>
      </c>
      <c r="D2144" s="206">
        <v>43185</v>
      </c>
      <c r="E2144" s="138" t="s">
        <v>937</v>
      </c>
    </row>
    <row r="2145" spans="1:5" ht="18.75">
      <c r="A2145" s="89" t="str">
        <f t="shared" si="33"/>
        <v>#13622</v>
      </c>
      <c r="B2145" s="138" t="s">
        <v>4894</v>
      </c>
      <c r="C2145" s="236" t="s">
        <v>4893</v>
      </c>
      <c r="D2145" s="206">
        <v>43185</v>
      </c>
      <c r="E2145" s="138" t="s">
        <v>937</v>
      </c>
    </row>
    <row r="2146" spans="1:5" ht="18.75">
      <c r="A2146" s="89" t="str">
        <f t="shared" si="33"/>
        <v>#13624</v>
      </c>
      <c r="B2146" s="138" t="s">
        <v>4896</v>
      </c>
      <c r="C2146" s="236" t="s">
        <v>4895</v>
      </c>
      <c r="D2146" s="206">
        <v>43185</v>
      </c>
      <c r="E2146" s="138" t="s">
        <v>1034</v>
      </c>
    </row>
    <row r="2147" spans="1:5" ht="18.75">
      <c r="A2147" s="89" t="str">
        <f t="shared" si="33"/>
        <v>#13628</v>
      </c>
      <c r="B2147" s="138" t="s">
        <v>4898</v>
      </c>
      <c r="C2147" s="236" t="s">
        <v>4897</v>
      </c>
      <c r="D2147" s="206">
        <v>43199</v>
      </c>
      <c r="E2147" s="138" t="s">
        <v>1133</v>
      </c>
    </row>
    <row r="2148" spans="1:5" ht="18.75">
      <c r="A2148" s="89" t="str">
        <f t="shared" si="33"/>
        <v>#13636</v>
      </c>
      <c r="B2148" s="138" t="s">
        <v>4900</v>
      </c>
      <c r="C2148" s="236" t="s">
        <v>4899</v>
      </c>
      <c r="D2148" s="206">
        <v>43199</v>
      </c>
      <c r="E2148" s="138" t="s">
        <v>937</v>
      </c>
    </row>
    <row r="2149" spans="1:5" ht="18.75">
      <c r="A2149" s="89" t="str">
        <f t="shared" si="33"/>
        <v>#13638</v>
      </c>
      <c r="B2149" s="138" t="s">
        <v>4902</v>
      </c>
      <c r="C2149" s="236" t="s">
        <v>4901</v>
      </c>
      <c r="D2149" s="206">
        <v>43199</v>
      </c>
      <c r="E2149" s="138" t="s">
        <v>937</v>
      </c>
    </row>
    <row r="2150" spans="1:5" ht="18.75">
      <c r="A2150" s="89" t="str">
        <f t="shared" si="33"/>
        <v>#13646</v>
      </c>
      <c r="B2150" s="138" t="s">
        <v>4904</v>
      </c>
      <c r="C2150" s="236" t="s">
        <v>4903</v>
      </c>
      <c r="D2150" s="206">
        <v>43199</v>
      </c>
      <c r="E2150" s="138" t="s">
        <v>1380</v>
      </c>
    </row>
    <row r="2151" spans="1:5" ht="18.75">
      <c r="A2151" s="89" t="str">
        <f t="shared" si="33"/>
        <v>#13647</v>
      </c>
      <c r="B2151" s="138" t="s">
        <v>4905</v>
      </c>
      <c r="C2151" s="236" t="s">
        <v>4200</v>
      </c>
      <c r="D2151" s="206">
        <v>43199</v>
      </c>
      <c r="E2151" s="138" t="s">
        <v>937</v>
      </c>
    </row>
    <row r="2152" spans="1:5" ht="18.75">
      <c r="A2152" s="89" t="str">
        <f t="shared" si="33"/>
        <v>#13656</v>
      </c>
      <c r="B2152" s="138" t="s">
        <v>4907</v>
      </c>
      <c r="C2152" s="236" t="s">
        <v>4906</v>
      </c>
      <c r="D2152" s="206">
        <v>43199</v>
      </c>
      <c r="E2152" s="138" t="s">
        <v>7818</v>
      </c>
    </row>
    <row r="2153" spans="1:5" ht="18.75">
      <c r="A2153" s="89" t="str">
        <f t="shared" si="33"/>
        <v>#13664</v>
      </c>
      <c r="B2153" s="138" t="s">
        <v>4909</v>
      </c>
      <c r="C2153" s="236" t="s">
        <v>4908</v>
      </c>
      <c r="D2153" s="206">
        <v>43199</v>
      </c>
      <c r="E2153" s="138" t="s">
        <v>721</v>
      </c>
    </row>
    <row r="2154" spans="1:5" ht="18.75">
      <c r="A2154" s="89" t="str">
        <f t="shared" si="33"/>
        <v>#13668</v>
      </c>
      <c r="B2154" s="138" t="s">
        <v>4911</v>
      </c>
      <c r="C2154" s="236" t="s">
        <v>4910</v>
      </c>
      <c r="D2154" s="206">
        <v>43208</v>
      </c>
      <c r="E2154" s="138" t="s">
        <v>1004</v>
      </c>
    </row>
    <row r="2155" spans="1:5" ht="18.75">
      <c r="A2155" s="89" t="str">
        <f t="shared" si="33"/>
        <v>#13669</v>
      </c>
      <c r="B2155" s="138" t="s">
        <v>4913</v>
      </c>
      <c r="C2155" s="236" t="s">
        <v>4912</v>
      </c>
      <c r="D2155" s="206">
        <v>43213</v>
      </c>
      <c r="E2155" s="138" t="s">
        <v>1004</v>
      </c>
    </row>
    <row r="2156" spans="1:5" ht="18.75">
      <c r="A2156" s="89" t="str">
        <f t="shared" si="33"/>
        <v>#13672</v>
      </c>
      <c r="B2156" s="138" t="s">
        <v>4915</v>
      </c>
      <c r="C2156" s="236" t="s">
        <v>4914</v>
      </c>
      <c r="D2156" s="206">
        <v>43213</v>
      </c>
      <c r="E2156" s="138" t="s">
        <v>1004</v>
      </c>
    </row>
    <row r="2157" spans="1:5" ht="18.75">
      <c r="A2157" s="89" t="str">
        <f t="shared" si="33"/>
        <v>#13696</v>
      </c>
      <c r="B2157" s="138" t="s">
        <v>4917</v>
      </c>
      <c r="C2157" s="236" t="s">
        <v>4916</v>
      </c>
      <c r="D2157" s="206">
        <v>43213</v>
      </c>
      <c r="E2157" s="138" t="s">
        <v>8037</v>
      </c>
    </row>
    <row r="2158" spans="1:5" ht="18.75">
      <c r="A2158" s="89" t="str">
        <f t="shared" si="33"/>
        <v>#13699</v>
      </c>
      <c r="B2158" s="138" t="s">
        <v>4919</v>
      </c>
      <c r="C2158" s="236" t="s">
        <v>4918</v>
      </c>
      <c r="D2158" s="206">
        <v>43213</v>
      </c>
      <c r="E2158" s="138" t="s">
        <v>8037</v>
      </c>
    </row>
    <row r="2159" spans="1:5" ht="18.75">
      <c r="A2159" s="89" t="str">
        <f t="shared" si="33"/>
        <v>#13700</v>
      </c>
      <c r="B2159" s="138" t="s">
        <v>4920</v>
      </c>
      <c r="C2159" s="236" t="s">
        <v>2647</v>
      </c>
      <c r="D2159" s="206">
        <v>43213</v>
      </c>
      <c r="E2159" s="138" t="s">
        <v>1133</v>
      </c>
    </row>
    <row r="2160" spans="1:5" ht="18.75">
      <c r="A2160" s="89" t="str">
        <f t="shared" si="33"/>
        <v>#13704</v>
      </c>
      <c r="B2160" s="138" t="s">
        <v>4921</v>
      </c>
      <c r="C2160" s="236" t="s">
        <v>2318</v>
      </c>
      <c r="D2160" s="206">
        <v>43213</v>
      </c>
      <c r="E2160" s="138" t="s">
        <v>903</v>
      </c>
    </row>
    <row r="2161" spans="1:5" ht="18.75">
      <c r="A2161" s="89" t="str">
        <f t="shared" si="33"/>
        <v>#13705</v>
      </c>
      <c r="B2161" s="138" t="s">
        <v>4923</v>
      </c>
      <c r="C2161" s="236" t="s">
        <v>4922</v>
      </c>
      <c r="D2161" s="206">
        <v>43213</v>
      </c>
      <c r="E2161" s="138" t="s">
        <v>978</v>
      </c>
    </row>
    <row r="2162" spans="1:5" ht="18.75">
      <c r="A2162" s="89" t="str">
        <f t="shared" si="33"/>
        <v>#13711</v>
      </c>
      <c r="B2162" s="138" t="s">
        <v>4926</v>
      </c>
      <c r="C2162" s="236" t="s">
        <v>4925</v>
      </c>
      <c r="D2162" s="206">
        <v>43213</v>
      </c>
      <c r="E2162" s="138" t="s">
        <v>978</v>
      </c>
    </row>
    <row r="2163" spans="1:5" ht="18.75">
      <c r="A2163" s="89" t="str">
        <f t="shared" si="33"/>
        <v>#13716</v>
      </c>
      <c r="B2163" s="138" t="s">
        <v>4928</v>
      </c>
      <c r="C2163" s="236" t="s">
        <v>4927</v>
      </c>
      <c r="D2163" s="206">
        <v>43213</v>
      </c>
      <c r="E2163" s="138" t="s">
        <v>1043</v>
      </c>
    </row>
    <row r="2164" spans="1:5" ht="18.75">
      <c r="A2164" s="89" t="str">
        <f t="shared" si="33"/>
        <v>#13730</v>
      </c>
      <c r="B2164" s="138" t="s">
        <v>4930</v>
      </c>
      <c r="C2164" s="236" t="s">
        <v>4929</v>
      </c>
      <c r="D2164" s="206">
        <v>43213</v>
      </c>
      <c r="E2164" s="138" t="s">
        <v>903</v>
      </c>
    </row>
    <row r="2165" spans="1:5" ht="18.75">
      <c r="A2165" s="89" t="str">
        <f t="shared" si="33"/>
        <v>#13735</v>
      </c>
      <c r="B2165" s="138" t="s">
        <v>4932</v>
      </c>
      <c r="C2165" s="236" t="s">
        <v>4931</v>
      </c>
      <c r="D2165" s="206">
        <v>43213</v>
      </c>
      <c r="E2165" s="138" t="s">
        <v>7818</v>
      </c>
    </row>
    <row r="2166" spans="1:5" ht="18.75">
      <c r="A2166" s="89" t="str">
        <f t="shared" si="33"/>
        <v>#13741</v>
      </c>
      <c r="B2166" s="138" t="s">
        <v>4934</v>
      </c>
      <c r="C2166" s="236" t="s">
        <v>4933</v>
      </c>
      <c r="D2166" s="206">
        <v>43213</v>
      </c>
      <c r="E2166" s="138" t="s">
        <v>906</v>
      </c>
    </row>
    <row r="2167" spans="1:5" ht="18.75">
      <c r="A2167" s="89" t="str">
        <f t="shared" si="33"/>
        <v>#13743</v>
      </c>
      <c r="B2167" s="138" t="s">
        <v>4935</v>
      </c>
      <c r="C2167" s="236" t="s">
        <v>4638</v>
      </c>
      <c r="D2167" s="206">
        <v>43227</v>
      </c>
      <c r="E2167" s="138" t="s">
        <v>721</v>
      </c>
    </row>
    <row r="2168" spans="1:5" ht="18.75">
      <c r="A2168" s="89" t="str">
        <f t="shared" si="33"/>
        <v>#13745</v>
      </c>
      <c r="B2168" s="138" t="s">
        <v>4937</v>
      </c>
      <c r="C2168" s="236" t="s">
        <v>4936</v>
      </c>
      <c r="D2168" s="206">
        <v>43229</v>
      </c>
      <c r="E2168" s="138" t="s">
        <v>7818</v>
      </c>
    </row>
    <row r="2169" spans="1:5" ht="18.75">
      <c r="A2169" s="89" t="str">
        <f t="shared" si="33"/>
        <v>#13750</v>
      </c>
      <c r="B2169" s="138" t="s">
        <v>4939</v>
      </c>
      <c r="C2169" s="236" t="s">
        <v>4938</v>
      </c>
      <c r="D2169" s="206">
        <v>43236</v>
      </c>
      <c r="E2169" s="138" t="s">
        <v>1191</v>
      </c>
    </row>
    <row r="2170" spans="1:5" ht="18.75">
      <c r="A2170" s="89" t="str">
        <f t="shared" si="33"/>
        <v>#13783</v>
      </c>
      <c r="B2170" s="138" t="s">
        <v>4941</v>
      </c>
      <c r="C2170" s="236" t="s">
        <v>4940</v>
      </c>
      <c r="D2170" s="206">
        <v>43242</v>
      </c>
      <c r="E2170" s="138" t="s">
        <v>7818</v>
      </c>
    </row>
    <row r="2171" spans="1:5" ht="18.75">
      <c r="A2171" s="89" t="str">
        <f t="shared" si="33"/>
        <v>#13797</v>
      </c>
      <c r="B2171" s="138" t="s">
        <v>4943</v>
      </c>
      <c r="C2171" s="236" t="s">
        <v>4942</v>
      </c>
      <c r="D2171" s="206">
        <v>43242</v>
      </c>
      <c r="E2171" s="138" t="s">
        <v>903</v>
      </c>
    </row>
    <row r="2172" spans="1:5" ht="18.75">
      <c r="A2172" s="89" t="str">
        <f t="shared" si="33"/>
        <v>#13804</v>
      </c>
      <c r="B2172" s="138" t="s">
        <v>4945</v>
      </c>
      <c r="C2172" s="236" t="s">
        <v>4944</v>
      </c>
      <c r="D2172" s="206">
        <v>43242</v>
      </c>
      <c r="E2172" s="138" t="s">
        <v>978</v>
      </c>
    </row>
    <row r="2173" spans="1:5" ht="18.75">
      <c r="A2173" s="89" t="str">
        <f t="shared" si="33"/>
        <v>#13805</v>
      </c>
      <c r="B2173" s="138" t="s">
        <v>4947</v>
      </c>
      <c r="C2173" s="236" t="s">
        <v>4946</v>
      </c>
      <c r="D2173" s="206">
        <v>43242</v>
      </c>
      <c r="E2173" s="138" t="s">
        <v>1380</v>
      </c>
    </row>
    <row r="2174" spans="1:5" ht="18.75">
      <c r="A2174" s="89" t="str">
        <f t="shared" si="33"/>
        <v>#13807</v>
      </c>
      <c r="B2174" s="138" t="s">
        <v>4949</v>
      </c>
      <c r="C2174" s="236" t="s">
        <v>4948</v>
      </c>
      <c r="D2174" s="206">
        <v>43242</v>
      </c>
      <c r="E2174" s="138" t="s">
        <v>957</v>
      </c>
    </row>
    <row r="2175" spans="1:5" ht="18.75">
      <c r="A2175" s="89" t="str">
        <f t="shared" si="33"/>
        <v>#13820</v>
      </c>
      <c r="B2175" s="138" t="s">
        <v>4951</v>
      </c>
      <c r="C2175" s="236" t="s">
        <v>4950</v>
      </c>
      <c r="D2175" s="206">
        <v>43242</v>
      </c>
      <c r="E2175" s="138" t="s">
        <v>1541</v>
      </c>
    </row>
    <row r="2176" spans="1:5" ht="18.75">
      <c r="A2176" s="89" t="str">
        <f t="shared" si="33"/>
        <v>#13834</v>
      </c>
      <c r="B2176" s="138" t="s">
        <v>4953</v>
      </c>
      <c r="C2176" s="236" t="s">
        <v>4952</v>
      </c>
      <c r="D2176" s="206">
        <v>43248</v>
      </c>
      <c r="E2176" s="138" t="s">
        <v>7818</v>
      </c>
    </row>
    <row r="2177" spans="1:5" ht="18.75">
      <c r="A2177" s="89" t="str">
        <f t="shared" si="33"/>
        <v>#13836</v>
      </c>
      <c r="B2177" s="138" t="s">
        <v>4955</v>
      </c>
      <c r="C2177" s="236" t="s">
        <v>4954</v>
      </c>
      <c r="D2177" s="206">
        <v>43248</v>
      </c>
      <c r="E2177" s="138" t="s">
        <v>7818</v>
      </c>
    </row>
    <row r="2178" spans="1:5" ht="18.75">
      <c r="A2178" s="89" t="str">
        <f t="shared" si="33"/>
        <v>#13837</v>
      </c>
      <c r="B2178" s="138" t="s">
        <v>4957</v>
      </c>
      <c r="C2178" s="236" t="s">
        <v>4956</v>
      </c>
      <c r="D2178" s="206">
        <v>43248</v>
      </c>
      <c r="E2178" s="138" t="s">
        <v>7818</v>
      </c>
    </row>
    <row r="2179" spans="1:5" ht="18.75">
      <c r="A2179" s="89" t="str">
        <f t="shared" ref="A2179:A2242" si="34">"#"&amp;B2179</f>
        <v>#13838</v>
      </c>
      <c r="B2179" s="138" t="s">
        <v>4959</v>
      </c>
      <c r="C2179" s="236" t="s">
        <v>4958</v>
      </c>
      <c r="D2179" s="206">
        <v>43248</v>
      </c>
      <c r="E2179" s="138" t="s">
        <v>7818</v>
      </c>
    </row>
    <row r="2180" spans="1:5" ht="18.75">
      <c r="A2180" s="89" t="str">
        <f t="shared" si="34"/>
        <v>#13841</v>
      </c>
      <c r="B2180" s="138" t="s">
        <v>4961</v>
      </c>
      <c r="C2180" s="236" t="s">
        <v>4960</v>
      </c>
      <c r="D2180" s="206">
        <v>43248</v>
      </c>
      <c r="E2180" s="138" t="s">
        <v>985</v>
      </c>
    </row>
    <row r="2181" spans="1:5" ht="18.75">
      <c r="A2181" s="89" t="str">
        <f t="shared" si="34"/>
        <v>#13842</v>
      </c>
      <c r="B2181" s="138" t="s">
        <v>4962</v>
      </c>
      <c r="C2181" s="236" t="s">
        <v>1556</v>
      </c>
      <c r="D2181" s="206">
        <v>43248</v>
      </c>
      <c r="E2181" s="138" t="s">
        <v>924</v>
      </c>
    </row>
    <row r="2182" spans="1:5" ht="18.75">
      <c r="A2182" s="89" t="str">
        <f t="shared" si="34"/>
        <v>#13844</v>
      </c>
      <c r="B2182" s="138" t="s">
        <v>4964</v>
      </c>
      <c r="C2182" s="236" t="s">
        <v>4963</v>
      </c>
      <c r="D2182" s="206">
        <v>43248</v>
      </c>
      <c r="E2182" s="138" t="s">
        <v>890</v>
      </c>
    </row>
    <row r="2183" spans="1:5" ht="18.75">
      <c r="A2183" s="89" t="str">
        <f t="shared" si="34"/>
        <v>#13846</v>
      </c>
      <c r="B2183" s="138" t="s">
        <v>4966</v>
      </c>
      <c r="C2183" s="236" t="s">
        <v>4965</v>
      </c>
      <c r="D2183" s="206">
        <v>43248</v>
      </c>
      <c r="E2183" s="138" t="s">
        <v>721</v>
      </c>
    </row>
    <row r="2184" spans="1:5" ht="18.75">
      <c r="A2184" s="89" t="str">
        <f t="shared" si="34"/>
        <v>#13847</v>
      </c>
      <c r="B2184" s="138" t="s">
        <v>4967</v>
      </c>
      <c r="C2184" s="236" t="s">
        <v>2666</v>
      </c>
      <c r="D2184" s="206">
        <v>43248</v>
      </c>
      <c r="E2184" s="138" t="s">
        <v>721</v>
      </c>
    </row>
    <row r="2185" spans="1:5" ht="18.75">
      <c r="A2185" s="89" t="str">
        <f t="shared" si="34"/>
        <v>#13852</v>
      </c>
      <c r="B2185" s="138" t="s">
        <v>4969</v>
      </c>
      <c r="C2185" s="182" t="s">
        <v>4968</v>
      </c>
      <c r="D2185" s="237">
        <v>43255</v>
      </c>
      <c r="E2185" s="138" t="s">
        <v>1004</v>
      </c>
    </row>
    <row r="2186" spans="1:5" ht="18.75">
      <c r="A2186" s="89" t="str">
        <f t="shared" si="34"/>
        <v>#13855</v>
      </c>
      <c r="B2186" s="138" t="s">
        <v>4971</v>
      </c>
      <c r="C2186" s="236" t="s">
        <v>4970</v>
      </c>
      <c r="D2186" s="206">
        <v>43255</v>
      </c>
      <c r="E2186" s="138" t="s">
        <v>1675</v>
      </c>
    </row>
    <row r="2187" spans="1:5" ht="18.75">
      <c r="A2187" s="89" t="str">
        <f t="shared" si="34"/>
        <v>#13858</v>
      </c>
      <c r="B2187" s="138" t="s">
        <v>4973</v>
      </c>
      <c r="C2187" s="236" t="s">
        <v>4972</v>
      </c>
      <c r="D2187" s="206">
        <v>43259</v>
      </c>
      <c r="E2187" s="138" t="s">
        <v>1541</v>
      </c>
    </row>
    <row r="2188" spans="1:5" ht="18.75">
      <c r="A2188" s="89" t="str">
        <f t="shared" si="34"/>
        <v>#13868</v>
      </c>
      <c r="B2188" s="138" t="s">
        <v>4975</v>
      </c>
      <c r="C2188" s="236" t="s">
        <v>4974</v>
      </c>
      <c r="D2188" s="206">
        <v>43259</v>
      </c>
      <c r="E2188" s="138" t="s">
        <v>978</v>
      </c>
    </row>
    <row r="2189" spans="1:5" ht="18.75">
      <c r="A2189" s="89" t="str">
        <f t="shared" si="34"/>
        <v>#13871</v>
      </c>
      <c r="B2189" s="138" t="s">
        <v>4977</v>
      </c>
      <c r="C2189" s="236" t="s">
        <v>4976</v>
      </c>
      <c r="D2189" s="206">
        <v>43259</v>
      </c>
      <c r="E2189" s="138" t="s">
        <v>7818</v>
      </c>
    </row>
    <row r="2190" spans="1:5" ht="18.75">
      <c r="A2190" s="89" t="str">
        <f t="shared" si="34"/>
        <v>#13889</v>
      </c>
      <c r="B2190" s="138" t="s">
        <v>4979</v>
      </c>
      <c r="C2190" s="236" t="s">
        <v>4978</v>
      </c>
      <c r="D2190" s="206">
        <v>43269</v>
      </c>
      <c r="E2190" s="138" t="s">
        <v>1188</v>
      </c>
    </row>
    <row r="2191" spans="1:5" ht="18.75">
      <c r="A2191" s="89" t="str">
        <f t="shared" si="34"/>
        <v>#13897</v>
      </c>
      <c r="B2191" s="138" t="s">
        <v>4980</v>
      </c>
      <c r="C2191" s="236" t="s">
        <v>1356</v>
      </c>
      <c r="D2191" s="206">
        <v>43269</v>
      </c>
      <c r="E2191" s="206" t="s">
        <v>924</v>
      </c>
    </row>
    <row r="2192" spans="1:5" ht="18.75">
      <c r="A2192" s="89" t="str">
        <f t="shared" si="34"/>
        <v>#13911</v>
      </c>
      <c r="B2192" s="138" t="s">
        <v>4981</v>
      </c>
      <c r="C2192" s="236" t="s">
        <v>1213</v>
      </c>
      <c r="D2192" s="206">
        <v>43269</v>
      </c>
      <c r="E2192" s="138" t="s">
        <v>7818</v>
      </c>
    </row>
    <row r="2193" spans="1:5" ht="18.75">
      <c r="A2193" s="89" t="str">
        <f t="shared" si="34"/>
        <v>#13912</v>
      </c>
      <c r="B2193" s="138" t="s">
        <v>4983</v>
      </c>
      <c r="C2193" s="236" t="s">
        <v>4982</v>
      </c>
      <c r="D2193" s="206">
        <v>43269</v>
      </c>
      <c r="E2193" s="138" t="s">
        <v>7818</v>
      </c>
    </row>
    <row r="2194" spans="1:5" ht="18.75">
      <c r="A2194" s="89" t="str">
        <f t="shared" si="34"/>
        <v>#13918</v>
      </c>
      <c r="B2194" s="138" t="s">
        <v>4984</v>
      </c>
      <c r="C2194" s="236" t="s">
        <v>1500</v>
      </c>
      <c r="D2194" s="206">
        <v>43269</v>
      </c>
      <c r="E2194" s="138" t="s">
        <v>957</v>
      </c>
    </row>
    <row r="2195" spans="1:5" ht="18.75">
      <c r="A2195" s="89" t="str">
        <f t="shared" si="34"/>
        <v>#13938</v>
      </c>
      <c r="B2195" s="138" t="s">
        <v>4986</v>
      </c>
      <c r="C2195" s="236" t="s">
        <v>4985</v>
      </c>
      <c r="D2195" s="206">
        <v>43276</v>
      </c>
      <c r="E2195" s="138" t="s">
        <v>895</v>
      </c>
    </row>
    <row r="2196" spans="1:5" ht="18.75">
      <c r="A2196" s="89" t="str">
        <f t="shared" si="34"/>
        <v>#13956</v>
      </c>
      <c r="B2196" s="138" t="s">
        <v>4987</v>
      </c>
      <c r="C2196" s="236" t="s">
        <v>1943</v>
      </c>
      <c r="D2196" s="206">
        <v>43276</v>
      </c>
      <c r="E2196" s="138" t="s">
        <v>937</v>
      </c>
    </row>
    <row r="2197" spans="1:5" ht="18.75">
      <c r="A2197" s="89" t="str">
        <f t="shared" si="34"/>
        <v>#13977</v>
      </c>
      <c r="B2197" s="138" t="s">
        <v>4989</v>
      </c>
      <c r="C2197" s="236" t="s">
        <v>4988</v>
      </c>
      <c r="D2197" s="206">
        <v>43276</v>
      </c>
      <c r="E2197" s="138" t="s">
        <v>985</v>
      </c>
    </row>
    <row r="2198" spans="1:5" ht="18.75">
      <c r="A2198" s="89" t="str">
        <f t="shared" si="34"/>
        <v>#13986</v>
      </c>
      <c r="B2198" s="138" t="s">
        <v>4991</v>
      </c>
      <c r="C2198" s="236" t="s">
        <v>4990</v>
      </c>
      <c r="D2198" s="206">
        <v>43283</v>
      </c>
      <c r="E2198" s="138" t="s">
        <v>1168</v>
      </c>
    </row>
    <row r="2199" spans="1:5" ht="18.75">
      <c r="A2199" s="89" t="str">
        <f t="shared" si="34"/>
        <v>#13987</v>
      </c>
      <c r="B2199" s="138" t="s">
        <v>4993</v>
      </c>
      <c r="C2199" s="236" t="s">
        <v>4992</v>
      </c>
      <c r="D2199" s="206">
        <v>43287</v>
      </c>
      <c r="E2199" s="138" t="s">
        <v>1188</v>
      </c>
    </row>
    <row r="2200" spans="1:5" ht="18.75">
      <c r="A2200" s="89" t="str">
        <f t="shared" si="34"/>
        <v>#13993</v>
      </c>
      <c r="B2200" s="138" t="s">
        <v>4995</v>
      </c>
      <c r="C2200" s="236" t="s">
        <v>4994</v>
      </c>
      <c r="D2200" s="206">
        <v>43287</v>
      </c>
      <c r="E2200" s="138" t="s">
        <v>924</v>
      </c>
    </row>
    <row r="2201" spans="1:5" ht="18.75">
      <c r="A2201" s="89" t="str">
        <f t="shared" si="34"/>
        <v>#13994</v>
      </c>
      <c r="B2201" s="138" t="s">
        <v>4997</v>
      </c>
      <c r="C2201" s="236" t="s">
        <v>4996</v>
      </c>
      <c r="D2201" s="206">
        <v>43287</v>
      </c>
      <c r="E2201" s="138" t="s">
        <v>1085</v>
      </c>
    </row>
    <row r="2202" spans="1:5" ht="18.75">
      <c r="A2202" s="89" t="str">
        <f t="shared" si="34"/>
        <v>#14000</v>
      </c>
      <c r="B2202" s="138" t="s">
        <v>4999</v>
      </c>
      <c r="C2202" s="236" t="s">
        <v>4998</v>
      </c>
      <c r="D2202" s="206">
        <v>43287</v>
      </c>
      <c r="E2202" s="138" t="s">
        <v>937</v>
      </c>
    </row>
    <row r="2203" spans="1:5" ht="18.75">
      <c r="A2203" s="89" t="str">
        <f t="shared" si="34"/>
        <v>#14001</v>
      </c>
      <c r="B2203" s="138" t="s">
        <v>5001</v>
      </c>
      <c r="C2203" s="236" t="s">
        <v>5000</v>
      </c>
      <c r="D2203" s="206">
        <v>43287</v>
      </c>
      <c r="E2203" s="138" t="s">
        <v>937</v>
      </c>
    </row>
    <row r="2204" spans="1:5" ht="18.75">
      <c r="A2204" s="89" t="str">
        <f t="shared" si="34"/>
        <v>#14009</v>
      </c>
      <c r="B2204" s="138" t="s">
        <v>5003</v>
      </c>
      <c r="C2204" s="236" t="s">
        <v>5002</v>
      </c>
      <c r="D2204" s="206">
        <v>43287</v>
      </c>
      <c r="E2204" s="138" t="s">
        <v>1043</v>
      </c>
    </row>
    <row r="2205" spans="1:5" ht="18.75">
      <c r="A2205" s="89" t="str">
        <f t="shared" si="34"/>
        <v>#14019</v>
      </c>
      <c r="B2205" s="138" t="s">
        <v>5005</v>
      </c>
      <c r="C2205" s="236" t="s">
        <v>5004</v>
      </c>
      <c r="D2205" s="206">
        <v>43287</v>
      </c>
      <c r="E2205" s="138" t="s">
        <v>1541</v>
      </c>
    </row>
    <row r="2206" spans="1:5" ht="18.75">
      <c r="A2206" s="89" t="str">
        <f t="shared" si="34"/>
        <v>#14021</v>
      </c>
      <c r="B2206" s="138" t="s">
        <v>5006</v>
      </c>
      <c r="C2206" s="236" t="s">
        <v>3857</v>
      </c>
      <c r="D2206" s="206">
        <v>43290</v>
      </c>
      <c r="E2206" s="138" t="s">
        <v>759</v>
      </c>
    </row>
    <row r="2207" spans="1:5" ht="18.75">
      <c r="A2207" s="89" t="str">
        <f t="shared" si="34"/>
        <v>#14027</v>
      </c>
      <c r="B2207" s="138" t="s">
        <v>5007</v>
      </c>
      <c r="C2207" s="236" t="s">
        <v>2403</v>
      </c>
      <c r="D2207" s="206">
        <v>43347</v>
      </c>
      <c r="E2207" s="138" t="s">
        <v>1043</v>
      </c>
    </row>
    <row r="2208" spans="1:5" ht="18.75">
      <c r="A2208" s="89" t="str">
        <f t="shared" si="34"/>
        <v>#14050</v>
      </c>
      <c r="B2208" s="138" t="s">
        <v>5009</v>
      </c>
      <c r="C2208" s="236" t="s">
        <v>5008</v>
      </c>
      <c r="D2208" s="206">
        <v>43297</v>
      </c>
      <c r="E2208" s="138" t="s">
        <v>1188</v>
      </c>
    </row>
    <row r="2209" spans="1:5" ht="18.75">
      <c r="A2209" s="89" t="str">
        <f t="shared" si="34"/>
        <v>#14069</v>
      </c>
      <c r="B2209" s="138" t="s">
        <v>5011</v>
      </c>
      <c r="C2209" s="236" t="s">
        <v>5010</v>
      </c>
      <c r="D2209" s="206">
        <v>43297</v>
      </c>
      <c r="E2209" s="138" t="s">
        <v>7818</v>
      </c>
    </row>
    <row r="2210" spans="1:5" ht="18.75">
      <c r="A2210" s="89" t="str">
        <f t="shared" si="34"/>
        <v>#14074</v>
      </c>
      <c r="B2210" s="138" t="s">
        <v>5013</v>
      </c>
      <c r="C2210" s="236" t="s">
        <v>5012</v>
      </c>
      <c r="D2210" s="206">
        <v>43297</v>
      </c>
      <c r="E2210" s="138" t="s">
        <v>906</v>
      </c>
    </row>
    <row r="2211" spans="1:5" ht="18.75">
      <c r="A2211" s="89" t="str">
        <f t="shared" si="34"/>
        <v>#14079</v>
      </c>
      <c r="B2211" s="138" t="s">
        <v>5015</v>
      </c>
      <c r="C2211" s="236" t="s">
        <v>5014</v>
      </c>
      <c r="D2211" s="206">
        <v>43297</v>
      </c>
      <c r="E2211" s="138" t="s">
        <v>906</v>
      </c>
    </row>
    <row r="2212" spans="1:5" ht="18.75">
      <c r="A2212" s="89" t="str">
        <f t="shared" si="34"/>
        <v>#14082</v>
      </c>
      <c r="B2212" s="138" t="s">
        <v>5017</v>
      </c>
      <c r="C2212" s="236" t="s">
        <v>5016</v>
      </c>
      <c r="D2212" s="206">
        <v>43297</v>
      </c>
      <c r="E2212" s="138" t="s">
        <v>1444</v>
      </c>
    </row>
    <row r="2213" spans="1:5" ht="18.75">
      <c r="A2213" s="89" t="str">
        <f t="shared" si="34"/>
        <v>#14094</v>
      </c>
      <c r="B2213" s="138" t="s">
        <v>5019</v>
      </c>
      <c r="C2213" s="236" t="s">
        <v>5018</v>
      </c>
      <c r="D2213" s="206">
        <v>43307</v>
      </c>
      <c r="E2213" s="138" t="s">
        <v>1188</v>
      </c>
    </row>
    <row r="2214" spans="1:5" ht="18.75">
      <c r="A2214" s="89" t="str">
        <f t="shared" si="34"/>
        <v>#14100</v>
      </c>
      <c r="B2214" s="138" t="s">
        <v>5020</v>
      </c>
      <c r="C2214" s="236" t="s">
        <v>1128</v>
      </c>
      <c r="D2214" s="206">
        <v>43307</v>
      </c>
      <c r="E2214" s="138" t="s">
        <v>7818</v>
      </c>
    </row>
    <row r="2215" spans="1:5" ht="18.75">
      <c r="A2215" s="89" t="str">
        <f t="shared" si="34"/>
        <v>#14106</v>
      </c>
      <c r="B2215" s="138" t="s">
        <v>5022</v>
      </c>
      <c r="C2215" s="236" t="s">
        <v>5021</v>
      </c>
      <c r="D2215" s="206">
        <v>43307</v>
      </c>
      <c r="E2215" s="138" t="s">
        <v>7818</v>
      </c>
    </row>
    <row r="2216" spans="1:5" ht="18.75">
      <c r="A2216" s="89" t="str">
        <f t="shared" si="34"/>
        <v>#14112</v>
      </c>
      <c r="B2216" s="138" t="s">
        <v>5024</v>
      </c>
      <c r="C2216" s="236" t="s">
        <v>5023</v>
      </c>
      <c r="D2216" s="206">
        <v>43307</v>
      </c>
      <c r="E2216" s="138" t="s">
        <v>7818</v>
      </c>
    </row>
    <row r="2217" spans="1:5" ht="18.75">
      <c r="A2217" s="89" t="str">
        <f t="shared" si="34"/>
        <v>#14121</v>
      </c>
      <c r="B2217" s="138" t="s">
        <v>5025</v>
      </c>
      <c r="C2217" s="236" t="s">
        <v>1150</v>
      </c>
      <c r="D2217" s="206">
        <v>43319</v>
      </c>
      <c r="E2217" s="138" t="s">
        <v>1043</v>
      </c>
    </row>
    <row r="2218" spans="1:5" ht="18.75">
      <c r="A2218" s="89" t="str">
        <f t="shared" si="34"/>
        <v>#14132</v>
      </c>
      <c r="B2218" s="138" t="s">
        <v>5026</v>
      </c>
      <c r="C2218" s="236" t="s">
        <v>1852</v>
      </c>
      <c r="D2218" s="206">
        <v>43320</v>
      </c>
      <c r="E2218" s="138" t="s">
        <v>7818</v>
      </c>
    </row>
    <row r="2219" spans="1:5" ht="18.75">
      <c r="A2219" s="89" t="str">
        <f t="shared" si="34"/>
        <v>#14142</v>
      </c>
      <c r="B2219" s="138" t="s">
        <v>5028</v>
      </c>
      <c r="C2219" s="236" t="s">
        <v>5027</v>
      </c>
      <c r="D2219" s="206">
        <v>43320</v>
      </c>
      <c r="E2219" s="138" t="s">
        <v>924</v>
      </c>
    </row>
    <row r="2220" spans="1:5" ht="18.75">
      <c r="A2220" s="89" t="str">
        <f t="shared" si="34"/>
        <v>#14145</v>
      </c>
      <c r="B2220" s="138" t="s">
        <v>5030</v>
      </c>
      <c r="C2220" s="236" t="s">
        <v>5029</v>
      </c>
      <c r="D2220" s="206">
        <v>43320</v>
      </c>
      <c r="E2220" s="138" t="s">
        <v>721</v>
      </c>
    </row>
    <row r="2221" spans="1:5" ht="18.75">
      <c r="A2221" s="89" t="str">
        <f t="shared" si="34"/>
        <v>#14150</v>
      </c>
      <c r="B2221" s="138" t="s">
        <v>5032</v>
      </c>
      <c r="C2221" s="236" t="s">
        <v>5031</v>
      </c>
      <c r="D2221" s="206">
        <v>43321</v>
      </c>
      <c r="E2221" s="138" t="s">
        <v>1451</v>
      </c>
    </row>
    <row r="2222" spans="1:5" ht="18.75">
      <c r="A2222" s="89" t="str">
        <f t="shared" si="34"/>
        <v>#14162</v>
      </c>
      <c r="B2222" s="138" t="s">
        <v>5034</v>
      </c>
      <c r="C2222" s="236" t="s">
        <v>5033</v>
      </c>
      <c r="D2222" s="206">
        <v>43332</v>
      </c>
      <c r="E2222" s="138" t="s">
        <v>978</v>
      </c>
    </row>
    <row r="2223" spans="1:5" ht="18.75">
      <c r="A2223" s="89" t="str">
        <f t="shared" si="34"/>
        <v>#14167</v>
      </c>
      <c r="B2223" s="138" t="s">
        <v>5036</v>
      </c>
      <c r="C2223" s="236" t="s">
        <v>5035</v>
      </c>
      <c r="D2223" s="206">
        <v>43332</v>
      </c>
      <c r="E2223" s="138" t="s">
        <v>978</v>
      </c>
    </row>
    <row r="2224" spans="1:5" ht="18.75">
      <c r="A2224" s="89" t="str">
        <f t="shared" si="34"/>
        <v>#14171</v>
      </c>
      <c r="B2224" s="138" t="s">
        <v>5038</v>
      </c>
      <c r="C2224" s="236" t="s">
        <v>5037</v>
      </c>
      <c r="D2224" s="206">
        <v>43332</v>
      </c>
      <c r="E2224" s="138" t="s">
        <v>924</v>
      </c>
    </row>
    <row r="2225" spans="1:5" ht="18.75">
      <c r="A2225" s="89" t="str">
        <f t="shared" si="34"/>
        <v>#14181</v>
      </c>
      <c r="B2225" s="138" t="s">
        <v>5039</v>
      </c>
      <c r="C2225" s="236" t="s">
        <v>1325</v>
      </c>
      <c r="D2225" s="206">
        <v>43332</v>
      </c>
      <c r="E2225" s="138" t="s">
        <v>1133</v>
      </c>
    </row>
    <row r="2226" spans="1:5" ht="18.75">
      <c r="A2226" s="89" t="str">
        <f t="shared" si="34"/>
        <v>#14248</v>
      </c>
      <c r="B2226" s="138" t="s">
        <v>5041</v>
      </c>
      <c r="C2226" s="236" t="s">
        <v>5040</v>
      </c>
      <c r="D2226" s="206">
        <v>43347</v>
      </c>
      <c r="E2226" s="138" t="s">
        <v>7818</v>
      </c>
    </row>
    <row r="2227" spans="1:5" ht="18.75">
      <c r="A2227" s="89" t="str">
        <f t="shared" si="34"/>
        <v>#14259</v>
      </c>
      <c r="B2227" s="138" t="s">
        <v>5043</v>
      </c>
      <c r="C2227" s="236" t="s">
        <v>5042</v>
      </c>
      <c r="D2227" s="206">
        <v>43347</v>
      </c>
      <c r="E2227" s="138" t="s">
        <v>721</v>
      </c>
    </row>
    <row r="2228" spans="1:5" ht="18.75">
      <c r="A2228" s="89" t="str">
        <f t="shared" si="34"/>
        <v>#14297</v>
      </c>
      <c r="B2228" s="138" t="s">
        <v>5045</v>
      </c>
      <c r="C2228" s="236" t="s">
        <v>5044</v>
      </c>
      <c r="D2228" s="206">
        <v>43355</v>
      </c>
      <c r="E2228" s="138" t="s">
        <v>924</v>
      </c>
    </row>
    <row r="2229" spans="1:5" ht="18.75">
      <c r="A2229" s="89" t="str">
        <f t="shared" si="34"/>
        <v>#14308</v>
      </c>
      <c r="B2229" s="138" t="s">
        <v>5046</v>
      </c>
      <c r="C2229" s="236" t="s">
        <v>1309</v>
      </c>
      <c r="D2229" s="206">
        <v>43355</v>
      </c>
      <c r="E2229" s="138" t="s">
        <v>1716</v>
      </c>
    </row>
    <row r="2230" spans="1:5" ht="18.75">
      <c r="A2230" s="89" t="str">
        <f t="shared" si="34"/>
        <v>#14330</v>
      </c>
      <c r="B2230" s="138" t="s">
        <v>5048</v>
      </c>
      <c r="C2230" s="236" t="s">
        <v>5047</v>
      </c>
      <c r="D2230" s="206">
        <v>43362</v>
      </c>
      <c r="E2230" s="138" t="s">
        <v>7818</v>
      </c>
    </row>
    <row r="2231" spans="1:5" ht="18.75">
      <c r="A2231" s="89" t="str">
        <f t="shared" si="34"/>
        <v>#14346</v>
      </c>
      <c r="B2231" s="138" t="s">
        <v>5050</v>
      </c>
      <c r="C2231" s="236" t="s">
        <v>5049</v>
      </c>
      <c r="D2231" s="206">
        <v>43362</v>
      </c>
      <c r="E2231" s="138" t="s">
        <v>937</v>
      </c>
    </row>
    <row r="2232" spans="1:5" ht="18.75">
      <c r="A2232" s="89" t="str">
        <f t="shared" si="34"/>
        <v>#14355</v>
      </c>
      <c r="B2232" s="138" t="s">
        <v>5052</v>
      </c>
      <c r="C2232" s="236" t="s">
        <v>5051</v>
      </c>
      <c r="D2232" s="206">
        <v>43362</v>
      </c>
      <c r="E2232" s="138" t="s">
        <v>903</v>
      </c>
    </row>
    <row r="2233" spans="1:5" ht="18.75">
      <c r="A2233" s="89" t="str">
        <f t="shared" si="34"/>
        <v>#14356</v>
      </c>
      <c r="B2233" s="138" t="s">
        <v>5054</v>
      </c>
      <c r="C2233" s="236" t="s">
        <v>5053</v>
      </c>
      <c r="D2233" s="206">
        <v>43362</v>
      </c>
      <c r="E2233" s="138" t="s">
        <v>903</v>
      </c>
    </row>
    <row r="2234" spans="1:5" ht="18.75">
      <c r="A2234" s="89" t="str">
        <f t="shared" si="34"/>
        <v>#14359</v>
      </c>
      <c r="B2234" s="138" t="s">
        <v>5056</v>
      </c>
      <c r="C2234" s="236" t="s">
        <v>5055</v>
      </c>
      <c r="D2234" s="206">
        <v>43362</v>
      </c>
      <c r="E2234" s="138" t="s">
        <v>903</v>
      </c>
    </row>
    <row r="2235" spans="1:5" ht="18.75">
      <c r="A2235" s="89" t="str">
        <f t="shared" si="34"/>
        <v>#14376</v>
      </c>
      <c r="B2235" s="138" t="s">
        <v>5058</v>
      </c>
      <c r="C2235" s="236" t="s">
        <v>5057</v>
      </c>
      <c r="D2235" s="206">
        <v>43367</v>
      </c>
      <c r="E2235" s="138" t="s">
        <v>1191</v>
      </c>
    </row>
    <row r="2236" spans="1:5" ht="18.75">
      <c r="A2236" s="89" t="str">
        <f t="shared" si="34"/>
        <v>#14377</v>
      </c>
      <c r="B2236" s="138" t="s">
        <v>5060</v>
      </c>
      <c r="C2236" s="236" t="s">
        <v>5059</v>
      </c>
      <c r="D2236" s="206">
        <v>43367</v>
      </c>
      <c r="E2236" s="138" t="s">
        <v>1675</v>
      </c>
    </row>
    <row r="2237" spans="1:5" ht="18.75">
      <c r="A2237" s="89" t="str">
        <f t="shared" si="34"/>
        <v>#14394</v>
      </c>
      <c r="B2237" s="138" t="s">
        <v>5062</v>
      </c>
      <c r="C2237" s="236" t="s">
        <v>5061</v>
      </c>
      <c r="D2237" s="206">
        <v>43374</v>
      </c>
      <c r="E2237" s="138" t="s">
        <v>1675</v>
      </c>
    </row>
    <row r="2238" spans="1:5" ht="18.75">
      <c r="A2238" s="89" t="str">
        <f t="shared" si="34"/>
        <v>#14397</v>
      </c>
      <c r="B2238" s="138" t="s">
        <v>5064</v>
      </c>
      <c r="C2238" s="236" t="s">
        <v>5063</v>
      </c>
      <c r="D2238" s="206">
        <v>43381</v>
      </c>
      <c r="E2238" s="138" t="s">
        <v>1133</v>
      </c>
    </row>
    <row r="2239" spans="1:5" ht="18.75">
      <c r="A2239" s="89" t="str">
        <f t="shared" si="34"/>
        <v>#14411</v>
      </c>
      <c r="B2239" s="138" t="s">
        <v>5066</v>
      </c>
      <c r="C2239" s="236" t="s">
        <v>5065</v>
      </c>
      <c r="D2239" s="206">
        <v>43381</v>
      </c>
      <c r="E2239" s="138" t="s">
        <v>937</v>
      </c>
    </row>
    <row r="2240" spans="1:5" ht="18.75">
      <c r="A2240" s="89" t="str">
        <f t="shared" si="34"/>
        <v>#14413</v>
      </c>
      <c r="B2240" s="138" t="s">
        <v>5067</v>
      </c>
      <c r="C2240" s="236" t="s">
        <v>1128</v>
      </c>
      <c r="D2240" s="206">
        <v>43381</v>
      </c>
      <c r="E2240" s="138" t="s">
        <v>937</v>
      </c>
    </row>
    <row r="2241" spans="1:5" ht="18.75">
      <c r="A2241" s="89" t="str">
        <f t="shared" si="34"/>
        <v>#14417</v>
      </c>
      <c r="B2241" s="138" t="s">
        <v>5068</v>
      </c>
      <c r="C2241" s="236" t="s">
        <v>4506</v>
      </c>
      <c r="D2241" s="206">
        <v>43381</v>
      </c>
      <c r="E2241" s="138" t="s">
        <v>7818</v>
      </c>
    </row>
    <row r="2242" spans="1:5" ht="18.75">
      <c r="A2242" s="89" t="str">
        <f t="shared" si="34"/>
        <v>#14436</v>
      </c>
      <c r="B2242" s="138" t="s">
        <v>5070</v>
      </c>
      <c r="C2242" s="236" t="s">
        <v>5069</v>
      </c>
      <c r="D2242" s="206">
        <v>43381</v>
      </c>
      <c r="E2242" s="138" t="s">
        <v>903</v>
      </c>
    </row>
    <row r="2243" spans="1:5" ht="18.75">
      <c r="A2243" s="89" t="str">
        <f t="shared" ref="A2243:A2306" si="35">"#"&amp;B2243</f>
        <v>#14439</v>
      </c>
      <c r="B2243" s="138" t="s">
        <v>5072</v>
      </c>
      <c r="C2243" s="236" t="s">
        <v>5071</v>
      </c>
      <c r="D2243" s="206">
        <v>43381</v>
      </c>
      <c r="E2243" s="138" t="s">
        <v>924</v>
      </c>
    </row>
    <row r="2244" spans="1:5" ht="18.75">
      <c r="A2244" s="89" t="str">
        <f t="shared" si="35"/>
        <v>#14440</v>
      </c>
      <c r="B2244" s="138" t="s">
        <v>5073</v>
      </c>
      <c r="C2244" s="236" t="s">
        <v>1898</v>
      </c>
      <c r="D2244" s="206">
        <v>43381</v>
      </c>
      <c r="E2244" s="138" t="s">
        <v>924</v>
      </c>
    </row>
    <row r="2245" spans="1:5" ht="18.75">
      <c r="A2245" s="89" t="str">
        <f t="shared" si="35"/>
        <v>#14447</v>
      </c>
      <c r="B2245" s="138" t="s">
        <v>5075</v>
      </c>
      <c r="C2245" s="236" t="s">
        <v>5074</v>
      </c>
      <c r="D2245" s="206">
        <v>43381</v>
      </c>
      <c r="E2245" s="138" t="s">
        <v>978</v>
      </c>
    </row>
    <row r="2246" spans="1:5" ht="18.75">
      <c r="A2246" s="89" t="str">
        <f t="shared" si="35"/>
        <v>#14470</v>
      </c>
      <c r="B2246" s="138" t="s">
        <v>5077</v>
      </c>
      <c r="C2246" s="239" t="s">
        <v>5076</v>
      </c>
      <c r="D2246" s="206">
        <v>43390</v>
      </c>
      <c r="E2246" s="138" t="s">
        <v>895</v>
      </c>
    </row>
    <row r="2247" spans="1:5" ht="18.75">
      <c r="A2247" s="89" t="str">
        <f t="shared" si="35"/>
        <v>#14480</v>
      </c>
      <c r="B2247" s="138" t="s">
        <v>5079</v>
      </c>
      <c r="C2247" s="236" t="s">
        <v>5078</v>
      </c>
      <c r="D2247" s="206">
        <v>43390</v>
      </c>
      <c r="E2247" s="138" t="s">
        <v>1188</v>
      </c>
    </row>
    <row r="2248" spans="1:5" ht="18.75">
      <c r="A2248" s="89" t="str">
        <f t="shared" si="35"/>
        <v>#14483</v>
      </c>
      <c r="B2248" s="138" t="s">
        <v>5080</v>
      </c>
      <c r="C2248" s="236" t="s">
        <v>1366</v>
      </c>
      <c r="D2248" s="206">
        <v>43390</v>
      </c>
      <c r="E2248" s="206" t="s">
        <v>898</v>
      </c>
    </row>
    <row r="2249" spans="1:5" ht="18.75">
      <c r="A2249" s="89" t="str">
        <f t="shared" si="35"/>
        <v>#14497</v>
      </c>
      <c r="B2249" s="138" t="s">
        <v>5082</v>
      </c>
      <c r="C2249" s="236" t="s">
        <v>4003</v>
      </c>
      <c r="D2249" s="206">
        <v>43390</v>
      </c>
      <c r="E2249" s="138" t="s">
        <v>895</v>
      </c>
    </row>
    <row r="2250" spans="1:5" ht="18.75">
      <c r="A2250" s="89" t="str">
        <f t="shared" si="35"/>
        <v>#14516</v>
      </c>
      <c r="B2250" s="138" t="s">
        <v>5084</v>
      </c>
      <c r="C2250" s="236" t="s">
        <v>5083</v>
      </c>
      <c r="D2250" s="206">
        <v>43395</v>
      </c>
      <c r="E2250" s="138" t="s">
        <v>1255</v>
      </c>
    </row>
    <row r="2251" spans="1:5" ht="18.75">
      <c r="A2251" s="89" t="str">
        <f t="shared" si="35"/>
        <v>#14517</v>
      </c>
      <c r="B2251" s="138" t="s">
        <v>5086</v>
      </c>
      <c r="C2251" s="236" t="s">
        <v>5085</v>
      </c>
      <c r="D2251" s="206">
        <v>43395</v>
      </c>
      <c r="E2251" s="138" t="s">
        <v>1255</v>
      </c>
    </row>
    <row r="2252" spans="1:5" ht="18.75">
      <c r="A2252" s="89" t="str">
        <f t="shared" si="35"/>
        <v>#14544</v>
      </c>
      <c r="B2252" s="138" t="s">
        <v>5087</v>
      </c>
      <c r="C2252" s="236" t="s">
        <v>1053</v>
      </c>
      <c r="D2252" s="206">
        <v>43397</v>
      </c>
      <c r="E2252" s="138" t="s">
        <v>7818</v>
      </c>
    </row>
    <row r="2253" spans="1:5" ht="18.75">
      <c r="A2253" s="89" t="str">
        <f t="shared" si="35"/>
        <v>#14569</v>
      </c>
      <c r="B2253" s="138" t="s">
        <v>5089</v>
      </c>
      <c r="C2253" s="236" t="s">
        <v>5088</v>
      </c>
      <c r="D2253" s="206">
        <v>43402</v>
      </c>
      <c r="E2253" s="138" t="s">
        <v>1133</v>
      </c>
    </row>
    <row r="2254" spans="1:5" ht="18.75">
      <c r="A2254" s="89" t="str">
        <f t="shared" si="35"/>
        <v>#14581</v>
      </c>
      <c r="B2254" s="138" t="s">
        <v>5091</v>
      </c>
      <c r="C2254" s="236" t="s">
        <v>5090</v>
      </c>
      <c r="D2254" s="206">
        <v>43402</v>
      </c>
      <c r="E2254" s="206" t="s">
        <v>924</v>
      </c>
    </row>
    <row r="2255" spans="1:5" ht="18.75">
      <c r="A2255" s="89" t="str">
        <f t="shared" si="35"/>
        <v>#14595</v>
      </c>
      <c r="B2255" s="138" t="s">
        <v>5093</v>
      </c>
      <c r="C2255" s="236" t="s">
        <v>5092</v>
      </c>
      <c r="D2255" s="206">
        <v>43402</v>
      </c>
      <c r="E2255" s="138" t="s">
        <v>1191</v>
      </c>
    </row>
    <row r="2256" spans="1:5" ht="18.75">
      <c r="A2256" s="89" t="str">
        <f t="shared" si="35"/>
        <v>#14613</v>
      </c>
      <c r="B2256" s="138" t="s">
        <v>5095</v>
      </c>
      <c r="C2256" s="236" t="s">
        <v>5094</v>
      </c>
      <c r="D2256" s="206">
        <v>43406</v>
      </c>
      <c r="E2256" s="138" t="s">
        <v>7818</v>
      </c>
    </row>
    <row r="2257" spans="1:5" ht="18.75">
      <c r="A2257" s="89" t="str">
        <f t="shared" si="35"/>
        <v>#14614</v>
      </c>
      <c r="B2257" s="138" t="s">
        <v>5097</v>
      </c>
      <c r="C2257" s="236" t="s">
        <v>5096</v>
      </c>
      <c r="D2257" s="206">
        <v>43406</v>
      </c>
      <c r="E2257" s="138" t="s">
        <v>7818</v>
      </c>
    </row>
    <row r="2258" spans="1:5" ht="18.75">
      <c r="A2258" s="89" t="str">
        <f t="shared" si="35"/>
        <v>#14629</v>
      </c>
      <c r="B2258" s="138" t="s">
        <v>5099</v>
      </c>
      <c r="C2258" s="236" t="s">
        <v>5098</v>
      </c>
      <c r="D2258" s="206">
        <v>43412</v>
      </c>
      <c r="E2258" s="138" t="s">
        <v>1034</v>
      </c>
    </row>
    <row r="2259" spans="1:5" ht="18.75">
      <c r="A2259" s="89" t="str">
        <f t="shared" si="35"/>
        <v>#14633</v>
      </c>
      <c r="B2259" s="138" t="s">
        <v>5100</v>
      </c>
      <c r="C2259" s="236" t="s">
        <v>960</v>
      </c>
      <c r="D2259" s="206">
        <v>43412</v>
      </c>
      <c r="E2259" s="138" t="s">
        <v>1034</v>
      </c>
    </row>
    <row r="2260" spans="1:5" ht="18.75">
      <c r="A2260" s="89" t="str">
        <f t="shared" si="35"/>
        <v>#14652</v>
      </c>
      <c r="B2260" s="138" t="s">
        <v>5102</v>
      </c>
      <c r="C2260" s="236" t="s">
        <v>5101</v>
      </c>
      <c r="D2260" s="206">
        <v>43419</v>
      </c>
      <c r="E2260" s="138" t="s">
        <v>1215</v>
      </c>
    </row>
    <row r="2261" spans="1:5" ht="18.75">
      <c r="A2261" s="89" t="str">
        <f t="shared" si="35"/>
        <v>#14658</v>
      </c>
      <c r="B2261" s="138" t="s">
        <v>5103</v>
      </c>
      <c r="C2261" s="236" t="s">
        <v>981</v>
      </c>
      <c r="D2261" s="206">
        <v>43419</v>
      </c>
      <c r="E2261" s="138" t="s">
        <v>1034</v>
      </c>
    </row>
    <row r="2262" spans="1:5" ht="18.75">
      <c r="A2262" s="89" t="str">
        <f t="shared" si="35"/>
        <v>#14667</v>
      </c>
      <c r="B2262" s="138" t="s">
        <v>5104</v>
      </c>
      <c r="C2262" s="236" t="s">
        <v>4374</v>
      </c>
      <c r="D2262" s="206">
        <v>43419</v>
      </c>
      <c r="E2262" s="138" t="s">
        <v>924</v>
      </c>
    </row>
    <row r="2263" spans="1:5" ht="18.75">
      <c r="A2263" s="89" t="str">
        <f t="shared" si="35"/>
        <v>#14673</v>
      </c>
      <c r="B2263" s="138" t="s">
        <v>5106</v>
      </c>
      <c r="C2263" s="236" t="s">
        <v>5105</v>
      </c>
      <c r="D2263" s="206">
        <v>43419</v>
      </c>
      <c r="E2263" s="138" t="s">
        <v>957</v>
      </c>
    </row>
    <row r="2264" spans="1:5" ht="18.75">
      <c r="A2264" s="89" t="str">
        <f t="shared" si="35"/>
        <v>#14688</v>
      </c>
      <c r="B2264" s="138" t="s">
        <v>5107</v>
      </c>
      <c r="C2264" s="236" t="s">
        <v>1477</v>
      </c>
      <c r="D2264" s="206">
        <v>43426</v>
      </c>
      <c r="E2264" s="138" t="s">
        <v>7818</v>
      </c>
    </row>
    <row r="2265" spans="1:5" ht="18.75">
      <c r="A2265" s="89" t="str">
        <f t="shared" si="35"/>
        <v>#14689</v>
      </c>
      <c r="B2265" s="138" t="s">
        <v>5108</v>
      </c>
      <c r="C2265" s="236" t="s">
        <v>4762</v>
      </c>
      <c r="D2265" s="206">
        <v>43426</v>
      </c>
      <c r="E2265" s="138" t="s">
        <v>927</v>
      </c>
    </row>
    <row r="2266" spans="1:5" ht="18.75">
      <c r="A2266" s="89" t="str">
        <f t="shared" si="35"/>
        <v>#14694</v>
      </c>
      <c r="B2266" s="138" t="s">
        <v>5110</v>
      </c>
      <c r="C2266" s="236" t="s">
        <v>5109</v>
      </c>
      <c r="D2266" s="206">
        <v>43426</v>
      </c>
      <c r="E2266" s="138" t="s">
        <v>1133</v>
      </c>
    </row>
    <row r="2267" spans="1:5" ht="18.75">
      <c r="A2267" s="89" t="str">
        <f t="shared" si="35"/>
        <v>#14697</v>
      </c>
      <c r="B2267" s="138" t="s">
        <v>5112</v>
      </c>
      <c r="C2267" s="236" t="s">
        <v>5111</v>
      </c>
      <c r="D2267" s="206">
        <v>43426</v>
      </c>
      <c r="E2267" s="138" t="s">
        <v>1133</v>
      </c>
    </row>
    <row r="2268" spans="1:5" ht="18.75">
      <c r="A2268" s="89" t="str">
        <f t="shared" si="35"/>
        <v>#14710</v>
      </c>
      <c r="B2268" s="138" t="s">
        <v>5114</v>
      </c>
      <c r="C2268" s="236" t="s">
        <v>5113</v>
      </c>
      <c r="D2268" s="206">
        <v>43426</v>
      </c>
      <c r="E2268" s="138" t="s">
        <v>937</v>
      </c>
    </row>
    <row r="2269" spans="1:5" ht="18.75">
      <c r="A2269" s="89" t="str">
        <f t="shared" si="35"/>
        <v>#14723</v>
      </c>
      <c r="B2269" s="138" t="s">
        <v>5116</v>
      </c>
      <c r="C2269" s="236" t="s">
        <v>5115</v>
      </c>
      <c r="D2269" s="206">
        <v>43433</v>
      </c>
      <c r="E2269" s="138" t="s">
        <v>890</v>
      </c>
    </row>
    <row r="2270" spans="1:5" ht="18.75">
      <c r="A2270" s="89" t="str">
        <f t="shared" si="35"/>
        <v>#14724</v>
      </c>
      <c r="B2270" s="138" t="s">
        <v>5118</v>
      </c>
      <c r="C2270" s="236" t="s">
        <v>5117</v>
      </c>
      <c r="D2270" s="206">
        <v>43433</v>
      </c>
      <c r="E2270" s="138" t="s">
        <v>924</v>
      </c>
    </row>
    <row r="2271" spans="1:5" ht="18.75">
      <c r="A2271" s="89" t="str">
        <f t="shared" si="35"/>
        <v>#14726</v>
      </c>
      <c r="B2271" s="138" t="s">
        <v>5120</v>
      </c>
      <c r="C2271" s="236" t="s">
        <v>5119</v>
      </c>
      <c r="D2271" s="206">
        <v>43433</v>
      </c>
      <c r="E2271" s="138" t="s">
        <v>924</v>
      </c>
    </row>
    <row r="2272" spans="1:5" ht="18.75">
      <c r="A2272" s="89" t="str">
        <f t="shared" si="35"/>
        <v>#14752</v>
      </c>
      <c r="B2272" s="138" t="s">
        <v>5122</v>
      </c>
      <c r="C2272" s="236" t="s">
        <v>5121</v>
      </c>
      <c r="D2272" s="206">
        <v>43433</v>
      </c>
      <c r="E2272" s="138" t="s">
        <v>985</v>
      </c>
    </row>
    <row r="2273" spans="1:5" ht="18.75">
      <c r="A2273" s="89" t="str">
        <f t="shared" si="35"/>
        <v>#14756</v>
      </c>
      <c r="B2273" s="138" t="s">
        <v>5123</v>
      </c>
      <c r="C2273" s="236" t="s">
        <v>2248</v>
      </c>
      <c r="D2273" s="206">
        <v>43433</v>
      </c>
      <c r="E2273" s="138" t="s">
        <v>985</v>
      </c>
    </row>
    <row r="2274" spans="1:5" ht="18.75">
      <c r="A2274" s="89" t="str">
        <f t="shared" si="35"/>
        <v>#14772</v>
      </c>
      <c r="B2274" s="138" t="s">
        <v>5125</v>
      </c>
      <c r="C2274" s="236" t="s">
        <v>5124</v>
      </c>
      <c r="D2274" s="206">
        <v>43440</v>
      </c>
      <c r="E2274" s="138" t="s">
        <v>1085</v>
      </c>
    </row>
    <row r="2275" spans="1:5" ht="18.75">
      <c r="A2275" s="89" t="str">
        <f t="shared" si="35"/>
        <v>#14778</v>
      </c>
      <c r="B2275" s="138" t="s">
        <v>5126</v>
      </c>
      <c r="C2275" s="236" t="s">
        <v>3268</v>
      </c>
      <c r="D2275" s="206">
        <v>43440</v>
      </c>
      <c r="E2275" s="138" t="s">
        <v>1034</v>
      </c>
    </row>
    <row r="2276" spans="1:5" ht="18.75">
      <c r="A2276" s="89" t="str">
        <f t="shared" si="35"/>
        <v>#14796</v>
      </c>
      <c r="B2276" s="138" t="s">
        <v>5128</v>
      </c>
      <c r="C2276" s="236" t="s">
        <v>5127</v>
      </c>
      <c r="D2276" s="206">
        <v>43440</v>
      </c>
      <c r="E2276" s="138" t="s">
        <v>924</v>
      </c>
    </row>
    <row r="2277" spans="1:5" ht="18.75">
      <c r="A2277" s="89" t="str">
        <f t="shared" si="35"/>
        <v>#14797</v>
      </c>
      <c r="B2277" s="138" t="s">
        <v>5129</v>
      </c>
      <c r="C2277" s="236" t="s">
        <v>998</v>
      </c>
      <c r="D2277" s="206">
        <v>43440</v>
      </c>
      <c r="E2277" s="138" t="s">
        <v>890</v>
      </c>
    </row>
    <row r="2278" spans="1:5" ht="18.75">
      <c r="A2278" s="89" t="str">
        <f t="shared" si="35"/>
        <v>#14798</v>
      </c>
      <c r="B2278" s="138" t="s">
        <v>5131</v>
      </c>
      <c r="C2278" s="236" t="s">
        <v>5130</v>
      </c>
      <c r="D2278" s="206">
        <v>43440</v>
      </c>
      <c r="E2278" s="138" t="s">
        <v>1133</v>
      </c>
    </row>
    <row r="2279" spans="1:5" ht="18.75">
      <c r="A2279" s="89" t="str">
        <f t="shared" si="35"/>
        <v>#14808</v>
      </c>
      <c r="B2279" s="138" t="s">
        <v>5133</v>
      </c>
      <c r="C2279" s="236" t="s">
        <v>5132</v>
      </c>
      <c r="D2279" s="206">
        <v>43440</v>
      </c>
      <c r="E2279" s="138" t="s">
        <v>1380</v>
      </c>
    </row>
    <row r="2280" spans="1:5" ht="18.75">
      <c r="A2280" s="89" t="str">
        <f t="shared" si="35"/>
        <v>#14811</v>
      </c>
      <c r="B2280" s="138" t="s">
        <v>5134</v>
      </c>
      <c r="C2280" s="236" t="s">
        <v>1383</v>
      </c>
      <c r="D2280" s="206">
        <v>43440</v>
      </c>
      <c r="E2280" s="138" t="s">
        <v>8037</v>
      </c>
    </row>
    <row r="2281" spans="1:5" ht="15.75">
      <c r="A2281" s="89" t="str">
        <f t="shared" si="35"/>
        <v>#14820</v>
      </c>
      <c r="B2281" s="138" t="s">
        <v>5135</v>
      </c>
      <c r="C2281" s="183" t="s">
        <v>1434</v>
      </c>
      <c r="D2281" s="138">
        <v>43440</v>
      </c>
      <c r="E2281" s="138" t="s">
        <v>721</v>
      </c>
    </row>
    <row r="2282" spans="1:5" ht="18.75">
      <c r="A2282" s="89" t="str">
        <f t="shared" si="35"/>
        <v>#14822</v>
      </c>
      <c r="B2282" s="138" t="s">
        <v>5137</v>
      </c>
      <c r="C2282" s="236" t="s">
        <v>5136</v>
      </c>
      <c r="D2282" s="206">
        <v>43440</v>
      </c>
      <c r="E2282" s="138" t="s">
        <v>721</v>
      </c>
    </row>
    <row r="2283" spans="1:5" ht="18.75">
      <c r="A2283" s="89" t="str">
        <f t="shared" si="35"/>
        <v>#14831</v>
      </c>
      <c r="B2283" s="138" t="s">
        <v>5139</v>
      </c>
      <c r="C2283" s="236" t="s">
        <v>5138</v>
      </c>
      <c r="D2283" s="206">
        <v>43447</v>
      </c>
      <c r="E2283" s="138" t="s">
        <v>985</v>
      </c>
    </row>
    <row r="2284" spans="1:5" ht="18.75">
      <c r="A2284" s="89" t="str">
        <f t="shared" si="35"/>
        <v>#14845</v>
      </c>
      <c r="B2284" s="138" t="s">
        <v>5141</v>
      </c>
      <c r="C2284" s="236" t="s">
        <v>5140</v>
      </c>
      <c r="D2284" s="206">
        <v>43447</v>
      </c>
      <c r="E2284" s="138" t="s">
        <v>7818</v>
      </c>
    </row>
    <row r="2285" spans="1:5" ht="18.75">
      <c r="A2285" s="89" t="str">
        <f t="shared" si="35"/>
        <v>#14858</v>
      </c>
      <c r="B2285" s="138" t="s">
        <v>5143</v>
      </c>
      <c r="C2285" s="236" t="s">
        <v>5142</v>
      </c>
      <c r="D2285" s="206">
        <v>43447</v>
      </c>
      <c r="E2285" s="138" t="s">
        <v>1133</v>
      </c>
    </row>
    <row r="2286" spans="1:5" ht="18.75">
      <c r="A2286" s="89" t="str">
        <f t="shared" si="35"/>
        <v>#14871</v>
      </c>
      <c r="B2286" s="138" t="s">
        <v>5145</v>
      </c>
      <c r="C2286" s="236" t="s">
        <v>5144</v>
      </c>
      <c r="D2286" s="206">
        <v>43454</v>
      </c>
      <c r="E2286" s="138" t="s">
        <v>1380</v>
      </c>
    </row>
    <row r="2287" spans="1:5" ht="18.75">
      <c r="A2287" s="89" t="str">
        <f t="shared" si="35"/>
        <v>#14876</v>
      </c>
      <c r="B2287" s="138" t="s">
        <v>5147</v>
      </c>
      <c r="C2287" s="236" t="s">
        <v>5146</v>
      </c>
      <c r="D2287" s="206">
        <v>43454</v>
      </c>
      <c r="E2287" s="138" t="s">
        <v>7818</v>
      </c>
    </row>
    <row r="2288" spans="1:5" ht="18.75">
      <c r="A2288" s="89" t="str">
        <f t="shared" si="35"/>
        <v>#14882</v>
      </c>
      <c r="B2288" s="138" t="s">
        <v>5149</v>
      </c>
      <c r="C2288" s="236" t="s">
        <v>5148</v>
      </c>
      <c r="D2288" s="206">
        <v>43454</v>
      </c>
      <c r="E2288" s="138" t="s">
        <v>890</v>
      </c>
    </row>
    <row r="2289" spans="1:5" ht="18.75">
      <c r="A2289" s="89" t="str">
        <f t="shared" si="35"/>
        <v>#14890</v>
      </c>
      <c r="B2289" s="138" t="s">
        <v>5151</v>
      </c>
      <c r="C2289" s="236" t="s">
        <v>5150</v>
      </c>
      <c r="D2289" s="206">
        <v>43454</v>
      </c>
      <c r="E2289" s="138" t="s">
        <v>890</v>
      </c>
    </row>
    <row r="2290" spans="1:5" ht="18.75">
      <c r="A2290" s="89" t="str">
        <f t="shared" si="35"/>
        <v>#14892</v>
      </c>
      <c r="B2290" s="138" t="s">
        <v>5153</v>
      </c>
      <c r="C2290" s="236" t="s">
        <v>5152</v>
      </c>
      <c r="D2290" s="206">
        <v>43454</v>
      </c>
      <c r="E2290" s="138" t="s">
        <v>1052</v>
      </c>
    </row>
    <row r="2291" spans="1:5" ht="18.75">
      <c r="A2291" s="89" t="str">
        <f t="shared" si="35"/>
        <v>#14916</v>
      </c>
      <c r="B2291" s="138" t="s">
        <v>5155</v>
      </c>
      <c r="C2291" s="236" t="s">
        <v>5154</v>
      </c>
      <c r="D2291" s="206">
        <v>43461</v>
      </c>
      <c r="E2291" s="138" t="s">
        <v>1113</v>
      </c>
    </row>
    <row r="2292" spans="1:5" ht="18.75">
      <c r="A2292" s="89" t="str">
        <f t="shared" si="35"/>
        <v>#14920</v>
      </c>
      <c r="B2292" s="138" t="s">
        <v>5157</v>
      </c>
      <c r="C2292" s="236" t="s">
        <v>5156</v>
      </c>
      <c r="D2292" s="206">
        <v>43461</v>
      </c>
      <c r="E2292" s="138" t="s">
        <v>1133</v>
      </c>
    </row>
    <row r="2293" spans="1:5" ht="18.75">
      <c r="A2293" s="89" t="str">
        <f t="shared" si="35"/>
        <v>#14929</v>
      </c>
      <c r="B2293" s="138" t="s">
        <v>5159</v>
      </c>
      <c r="C2293" s="236" t="s">
        <v>5158</v>
      </c>
      <c r="D2293" s="206">
        <v>43468</v>
      </c>
      <c r="E2293" s="138" t="s">
        <v>1133</v>
      </c>
    </row>
    <row r="2294" spans="1:5" ht="18.75">
      <c r="A2294" s="89" t="str">
        <f t="shared" si="35"/>
        <v>#14935</v>
      </c>
      <c r="B2294" s="138" t="s">
        <v>5161</v>
      </c>
      <c r="C2294" s="236" t="s">
        <v>5160</v>
      </c>
      <c r="D2294" s="206">
        <v>43468</v>
      </c>
      <c r="E2294" s="138" t="s">
        <v>985</v>
      </c>
    </row>
    <row r="2295" spans="1:5" ht="18.75">
      <c r="A2295" s="89" t="str">
        <f t="shared" si="35"/>
        <v>#14940</v>
      </c>
      <c r="B2295" s="138" t="s">
        <v>5163</v>
      </c>
      <c r="C2295" s="236" t="s">
        <v>5162</v>
      </c>
      <c r="D2295" s="206">
        <v>43468</v>
      </c>
      <c r="E2295" s="138" t="s">
        <v>937</v>
      </c>
    </row>
    <row r="2296" spans="1:5" ht="18.75">
      <c r="A2296" s="89" t="str">
        <f t="shared" si="35"/>
        <v>#14948</v>
      </c>
      <c r="B2296" s="138" t="s">
        <v>5164</v>
      </c>
      <c r="C2296" s="236" t="s">
        <v>4762</v>
      </c>
      <c r="D2296" s="206">
        <v>43475</v>
      </c>
      <c r="E2296" s="138" t="s">
        <v>1133</v>
      </c>
    </row>
    <row r="2297" spans="1:5" ht="18.75">
      <c r="A2297" s="89" t="str">
        <f t="shared" si="35"/>
        <v>#14957</v>
      </c>
      <c r="B2297" s="138" t="s">
        <v>5166</v>
      </c>
      <c r="C2297" s="236" t="s">
        <v>5165</v>
      </c>
      <c r="D2297" s="206">
        <v>43475</v>
      </c>
      <c r="E2297" s="138" t="s">
        <v>937</v>
      </c>
    </row>
    <row r="2298" spans="1:5" ht="18.75">
      <c r="A2298" s="89" t="str">
        <f t="shared" si="35"/>
        <v>#14972</v>
      </c>
      <c r="B2298" s="138" t="s">
        <v>5168</v>
      </c>
      <c r="C2298" s="236" t="s">
        <v>5167</v>
      </c>
      <c r="D2298" s="206">
        <v>43481</v>
      </c>
      <c r="E2298" s="138" t="s">
        <v>927</v>
      </c>
    </row>
    <row r="2299" spans="1:5" ht="18.75">
      <c r="A2299" s="89" t="str">
        <f t="shared" si="35"/>
        <v>#14974</v>
      </c>
      <c r="B2299" s="138" t="s">
        <v>5170</v>
      </c>
      <c r="C2299" s="236" t="s">
        <v>5169</v>
      </c>
      <c r="D2299" s="206">
        <v>43481</v>
      </c>
      <c r="E2299" s="138" t="s">
        <v>927</v>
      </c>
    </row>
    <row r="2300" spans="1:5" ht="18.75">
      <c r="A2300" s="89" t="str">
        <f t="shared" si="35"/>
        <v>#14991</v>
      </c>
      <c r="B2300" s="138" t="s">
        <v>5172</v>
      </c>
      <c r="C2300" s="236" t="s">
        <v>5171</v>
      </c>
      <c r="D2300" s="206">
        <v>43481</v>
      </c>
      <c r="E2300" s="138" t="s">
        <v>978</v>
      </c>
    </row>
    <row r="2301" spans="1:5" ht="18.75">
      <c r="A2301" s="89" t="str">
        <f t="shared" si="35"/>
        <v>#14995</v>
      </c>
      <c r="B2301" s="138" t="s">
        <v>5174</v>
      </c>
      <c r="C2301" s="236" t="s">
        <v>5173</v>
      </c>
      <c r="D2301" s="206">
        <v>43489</v>
      </c>
      <c r="E2301" s="138" t="s">
        <v>924</v>
      </c>
    </row>
    <row r="2302" spans="1:5" ht="18.75">
      <c r="A2302" s="89" t="str">
        <f t="shared" si="35"/>
        <v>#14997</v>
      </c>
      <c r="B2302" s="138" t="s">
        <v>5176</v>
      </c>
      <c r="C2302" s="236" t="s">
        <v>5175</v>
      </c>
      <c r="D2302" s="206">
        <v>43489</v>
      </c>
      <c r="E2302" s="138" t="s">
        <v>5177</v>
      </c>
    </row>
    <row r="2303" spans="1:5" ht="18.75">
      <c r="A2303" s="89" t="str">
        <f t="shared" si="35"/>
        <v>#15013</v>
      </c>
      <c r="B2303" s="138" t="s">
        <v>5179</v>
      </c>
      <c r="C2303" s="236" t="s">
        <v>5178</v>
      </c>
      <c r="D2303" s="206">
        <v>43511</v>
      </c>
      <c r="E2303" s="138" t="s">
        <v>5177</v>
      </c>
    </row>
    <row r="2304" spans="1:5" ht="18.75">
      <c r="A2304" s="89" t="str">
        <f t="shared" si="35"/>
        <v>#15017</v>
      </c>
      <c r="B2304" s="138" t="s">
        <v>5181</v>
      </c>
      <c r="C2304" s="236" t="s">
        <v>5180</v>
      </c>
      <c r="D2304" s="206">
        <v>43511</v>
      </c>
      <c r="E2304" s="138" t="s">
        <v>985</v>
      </c>
    </row>
    <row r="2305" spans="1:5" ht="18.75">
      <c r="A2305" s="89" t="str">
        <f t="shared" si="35"/>
        <v>#15031</v>
      </c>
      <c r="B2305" s="138" t="s">
        <v>5182</v>
      </c>
      <c r="C2305" s="236" t="s">
        <v>4665</v>
      </c>
      <c r="D2305" s="206">
        <v>43511</v>
      </c>
      <c r="E2305" s="138" t="s">
        <v>937</v>
      </c>
    </row>
    <row r="2306" spans="1:5" ht="18.75">
      <c r="A2306" s="89" t="str">
        <f t="shared" si="35"/>
        <v>#15034</v>
      </c>
      <c r="B2306" s="138" t="s">
        <v>5183</v>
      </c>
      <c r="C2306" s="236" t="s">
        <v>3516</v>
      </c>
      <c r="D2306" s="206">
        <v>43511</v>
      </c>
      <c r="E2306" s="138" t="s">
        <v>937</v>
      </c>
    </row>
    <row r="2307" spans="1:5" ht="18.75">
      <c r="A2307" s="89" t="str">
        <f t="shared" ref="A2307:A2370" si="36">"#"&amp;B2307</f>
        <v>#15046</v>
      </c>
      <c r="B2307" s="138" t="s">
        <v>5185</v>
      </c>
      <c r="C2307" s="236" t="s">
        <v>5184</v>
      </c>
      <c r="D2307" s="206">
        <v>43511</v>
      </c>
      <c r="E2307" s="138" t="s">
        <v>7818</v>
      </c>
    </row>
    <row r="2308" spans="1:5" ht="18.75">
      <c r="A2308" s="89" t="str">
        <f t="shared" si="36"/>
        <v>#15058</v>
      </c>
      <c r="B2308" s="138" t="s">
        <v>5186</v>
      </c>
      <c r="C2308" s="236" t="s">
        <v>990</v>
      </c>
      <c r="D2308" s="206">
        <v>43511</v>
      </c>
      <c r="E2308" s="138" t="s">
        <v>1063</v>
      </c>
    </row>
    <row r="2309" spans="1:5" ht="18.75">
      <c r="A2309" s="89" t="str">
        <f t="shared" si="36"/>
        <v>#15060</v>
      </c>
      <c r="B2309" s="138" t="s">
        <v>5188</v>
      </c>
      <c r="C2309" s="236" t="s">
        <v>5187</v>
      </c>
      <c r="D2309" s="206">
        <v>43515</v>
      </c>
      <c r="E2309" s="138" t="s">
        <v>773</v>
      </c>
    </row>
    <row r="2310" spans="1:5" ht="18.75">
      <c r="A2310" s="89" t="str">
        <f t="shared" si="36"/>
        <v>#15069</v>
      </c>
      <c r="B2310" s="138" t="s">
        <v>5190</v>
      </c>
      <c r="C2310" s="236" t="s">
        <v>5189</v>
      </c>
      <c r="D2310" s="206">
        <v>43518</v>
      </c>
      <c r="E2310" s="138" t="s">
        <v>927</v>
      </c>
    </row>
    <row r="2311" spans="1:5" ht="18.75">
      <c r="A2311" s="89" t="str">
        <f t="shared" si="36"/>
        <v>#15074</v>
      </c>
      <c r="B2311" s="138" t="s">
        <v>5192</v>
      </c>
      <c r="C2311" s="236" t="s">
        <v>5191</v>
      </c>
      <c r="D2311" s="206">
        <v>43518</v>
      </c>
      <c r="E2311" s="138" t="s">
        <v>895</v>
      </c>
    </row>
    <row r="2312" spans="1:5" ht="18.75">
      <c r="A2312" s="89" t="str">
        <f t="shared" si="36"/>
        <v>#15075</v>
      </c>
      <c r="B2312" s="138" t="s">
        <v>5194</v>
      </c>
      <c r="C2312" s="236" t="s">
        <v>5193</v>
      </c>
      <c r="D2312" s="206">
        <v>43518</v>
      </c>
      <c r="E2312" s="138" t="s">
        <v>1034</v>
      </c>
    </row>
    <row r="2313" spans="1:5" ht="18.75">
      <c r="A2313" s="89" t="str">
        <f t="shared" si="36"/>
        <v>#15088</v>
      </c>
      <c r="B2313" s="138" t="s">
        <v>5196</v>
      </c>
      <c r="C2313" s="236" t="s">
        <v>5195</v>
      </c>
      <c r="D2313" s="206">
        <v>43518</v>
      </c>
      <c r="E2313" s="138" t="s">
        <v>1085</v>
      </c>
    </row>
    <row r="2314" spans="1:5" ht="18.75">
      <c r="A2314" s="89" t="str">
        <f t="shared" si="36"/>
        <v>#15093</v>
      </c>
      <c r="B2314" s="138" t="s">
        <v>5198</v>
      </c>
      <c r="C2314" s="236" t="s">
        <v>5197</v>
      </c>
      <c r="D2314" s="206">
        <v>43518</v>
      </c>
      <c r="E2314" s="138" t="s">
        <v>1034</v>
      </c>
    </row>
    <row r="2315" spans="1:5" ht="18.75">
      <c r="A2315" s="89" t="str">
        <f t="shared" si="36"/>
        <v>#15097</v>
      </c>
      <c r="B2315" s="138" t="s">
        <v>5199</v>
      </c>
      <c r="C2315" s="236" t="s">
        <v>3431</v>
      </c>
      <c r="D2315" s="206">
        <v>43518</v>
      </c>
      <c r="E2315" s="138" t="s">
        <v>978</v>
      </c>
    </row>
    <row r="2316" spans="1:5" ht="18.75">
      <c r="A2316" s="89" t="str">
        <f t="shared" si="36"/>
        <v>#15107</v>
      </c>
      <c r="B2316" s="138" t="s">
        <v>5201</v>
      </c>
      <c r="C2316" s="236" t="s">
        <v>5200</v>
      </c>
      <c r="D2316" s="206">
        <v>43518</v>
      </c>
      <c r="E2316" s="138" t="s">
        <v>978</v>
      </c>
    </row>
    <row r="2317" spans="1:5" ht="18.75">
      <c r="A2317" s="89" t="str">
        <f t="shared" si="36"/>
        <v>#15108</v>
      </c>
      <c r="B2317" s="138" t="s">
        <v>5203</v>
      </c>
      <c r="C2317" s="236" t="s">
        <v>5202</v>
      </c>
      <c r="D2317" s="206">
        <v>43518</v>
      </c>
      <c r="E2317" s="138" t="s">
        <v>978</v>
      </c>
    </row>
    <row r="2318" spans="1:5" ht="18.75">
      <c r="A2318" s="89" t="str">
        <f t="shared" si="36"/>
        <v>#15114</v>
      </c>
      <c r="B2318" s="138" t="s">
        <v>5204</v>
      </c>
      <c r="C2318" s="236" t="s">
        <v>1356</v>
      </c>
      <c r="D2318" s="206">
        <v>43518</v>
      </c>
      <c r="E2318" s="138" t="s">
        <v>978</v>
      </c>
    </row>
    <row r="2319" spans="1:5" ht="18.75">
      <c r="A2319" s="89" t="str">
        <f t="shared" si="36"/>
        <v>#15115</v>
      </c>
      <c r="B2319" s="138" t="s">
        <v>5205</v>
      </c>
      <c r="C2319" s="236" t="s">
        <v>1327</v>
      </c>
      <c r="D2319" s="206">
        <v>43518</v>
      </c>
      <c r="E2319" s="138" t="s">
        <v>978</v>
      </c>
    </row>
    <row r="2320" spans="1:5" ht="18.75">
      <c r="A2320" s="89" t="str">
        <f t="shared" si="36"/>
        <v>#15117</v>
      </c>
      <c r="B2320" s="138" t="s">
        <v>5207</v>
      </c>
      <c r="C2320" s="236" t="s">
        <v>5206</v>
      </c>
      <c r="D2320" s="206">
        <v>43518</v>
      </c>
      <c r="E2320" s="138" t="s">
        <v>1133</v>
      </c>
    </row>
    <row r="2321" spans="1:5" ht="18.75">
      <c r="A2321" s="89" t="str">
        <f t="shared" si="36"/>
        <v>#15119</v>
      </c>
      <c r="B2321" s="138" t="s">
        <v>5209</v>
      </c>
      <c r="C2321" s="236" t="s">
        <v>5208</v>
      </c>
      <c r="D2321" s="206">
        <v>43518</v>
      </c>
      <c r="E2321" s="138" t="s">
        <v>1133</v>
      </c>
    </row>
    <row r="2322" spans="1:5" ht="18.75">
      <c r="A2322" s="89" t="str">
        <f t="shared" si="36"/>
        <v>#15123</v>
      </c>
      <c r="B2322" s="138" t="s">
        <v>5211</v>
      </c>
      <c r="C2322" s="236" t="s">
        <v>5210</v>
      </c>
      <c r="D2322" s="206">
        <v>43518</v>
      </c>
      <c r="E2322" s="138" t="s">
        <v>1133</v>
      </c>
    </row>
    <row r="2323" spans="1:5" ht="18.75">
      <c r="A2323" s="89" t="str">
        <f t="shared" si="36"/>
        <v>#15126</v>
      </c>
      <c r="B2323" s="138" t="s">
        <v>5212</v>
      </c>
      <c r="C2323" s="236" t="s">
        <v>979</v>
      </c>
      <c r="D2323" s="206">
        <v>43518</v>
      </c>
      <c r="E2323" s="138" t="s">
        <v>1133</v>
      </c>
    </row>
    <row r="2324" spans="1:5" ht="18.75">
      <c r="A2324" s="89" t="str">
        <f t="shared" si="36"/>
        <v>#15129</v>
      </c>
      <c r="B2324" s="138" t="s">
        <v>5214</v>
      </c>
      <c r="C2324" s="236" t="s">
        <v>5213</v>
      </c>
      <c r="D2324" s="206">
        <v>43518</v>
      </c>
      <c r="E2324" s="138" t="s">
        <v>1133</v>
      </c>
    </row>
    <row r="2325" spans="1:5" ht="18.75">
      <c r="A2325" s="89" t="str">
        <f t="shared" si="36"/>
        <v>#15144</v>
      </c>
      <c r="B2325" s="138" t="s">
        <v>5216</v>
      </c>
      <c r="C2325" s="236" t="s">
        <v>5215</v>
      </c>
      <c r="D2325" s="206">
        <v>43518</v>
      </c>
      <c r="E2325" s="138" t="s">
        <v>937</v>
      </c>
    </row>
    <row r="2326" spans="1:5" ht="18.75">
      <c r="A2326" s="89" t="str">
        <f t="shared" si="36"/>
        <v>#15147</v>
      </c>
      <c r="B2326" s="138" t="s">
        <v>5218</v>
      </c>
      <c r="C2326" s="236" t="s">
        <v>5217</v>
      </c>
      <c r="D2326" s="206">
        <v>43518</v>
      </c>
      <c r="E2326" s="138" t="s">
        <v>957</v>
      </c>
    </row>
    <row r="2327" spans="1:5" ht="18.75">
      <c r="A2327" s="89" t="str">
        <f t="shared" si="36"/>
        <v>#15177</v>
      </c>
      <c r="B2327" s="138" t="s">
        <v>5220</v>
      </c>
      <c r="C2327" s="236" t="s">
        <v>5219</v>
      </c>
      <c r="D2327" s="206">
        <v>43518</v>
      </c>
      <c r="E2327" s="138" t="s">
        <v>985</v>
      </c>
    </row>
    <row r="2328" spans="1:5" ht="18.75">
      <c r="A2328" s="89" t="str">
        <f t="shared" si="36"/>
        <v>#15185</v>
      </c>
      <c r="B2328" s="138" t="s">
        <v>5222</v>
      </c>
      <c r="C2328" s="236" t="s">
        <v>5221</v>
      </c>
      <c r="D2328" s="206">
        <v>43518</v>
      </c>
      <c r="E2328" s="138" t="s">
        <v>1085</v>
      </c>
    </row>
    <row r="2329" spans="1:5" ht="18.75">
      <c r="A2329" s="89" t="str">
        <f t="shared" si="36"/>
        <v>#15194</v>
      </c>
      <c r="B2329" s="138" t="s">
        <v>5224</v>
      </c>
      <c r="C2329" s="236" t="s">
        <v>5223</v>
      </c>
      <c r="D2329" s="206">
        <v>43518</v>
      </c>
      <c r="E2329" s="138" t="s">
        <v>1063</v>
      </c>
    </row>
    <row r="2330" spans="1:5" ht="18.75">
      <c r="A2330" s="89" t="str">
        <f t="shared" si="36"/>
        <v>#15195</v>
      </c>
      <c r="B2330" s="138" t="s">
        <v>5226</v>
      </c>
      <c r="C2330" s="236" t="s">
        <v>5225</v>
      </c>
      <c r="D2330" s="206">
        <v>43518</v>
      </c>
      <c r="E2330" s="138" t="s">
        <v>1063</v>
      </c>
    </row>
    <row r="2331" spans="1:5" ht="18.75">
      <c r="A2331" s="89" t="str">
        <f t="shared" si="36"/>
        <v>#15208</v>
      </c>
      <c r="B2331" s="138" t="s">
        <v>5228</v>
      </c>
      <c r="C2331" s="236" t="s">
        <v>5227</v>
      </c>
      <c r="D2331" s="206">
        <v>43518</v>
      </c>
      <c r="E2331" s="138" t="s">
        <v>890</v>
      </c>
    </row>
    <row r="2332" spans="1:5" ht="18.75">
      <c r="A2332" s="89" t="str">
        <f t="shared" si="36"/>
        <v>#15215</v>
      </c>
      <c r="B2332" s="138" t="s">
        <v>5230</v>
      </c>
      <c r="C2332" s="236" t="s">
        <v>5229</v>
      </c>
      <c r="D2332" s="206">
        <v>43518</v>
      </c>
      <c r="E2332" s="138" t="s">
        <v>948</v>
      </c>
    </row>
    <row r="2333" spans="1:5" ht="18.75">
      <c r="A2333" s="89" t="str">
        <f t="shared" si="36"/>
        <v>#15227</v>
      </c>
      <c r="B2333" s="138" t="s">
        <v>5231</v>
      </c>
      <c r="C2333" s="236" t="s">
        <v>1818</v>
      </c>
      <c r="D2333" s="206">
        <v>43518</v>
      </c>
      <c r="E2333" s="138" t="s">
        <v>957</v>
      </c>
    </row>
    <row r="2334" spans="1:5" ht="18.75">
      <c r="A2334" s="89" t="str">
        <f t="shared" si="36"/>
        <v>#15228</v>
      </c>
      <c r="B2334" s="138" t="s">
        <v>5233</v>
      </c>
      <c r="C2334" s="236" t="s">
        <v>5232</v>
      </c>
      <c r="D2334" s="206">
        <v>43518</v>
      </c>
      <c r="E2334" s="138" t="s">
        <v>957</v>
      </c>
    </row>
    <row r="2335" spans="1:5" ht="18.75">
      <c r="A2335" s="89" t="str">
        <f t="shared" si="36"/>
        <v>#15241</v>
      </c>
      <c r="B2335" s="138" t="s">
        <v>5235</v>
      </c>
      <c r="C2335" s="236" t="s">
        <v>5234</v>
      </c>
      <c r="D2335" s="206">
        <v>43518</v>
      </c>
      <c r="E2335" s="138" t="s">
        <v>1188</v>
      </c>
    </row>
    <row r="2336" spans="1:5" ht="18.75">
      <c r="A2336" s="89" t="str">
        <f t="shared" si="36"/>
        <v>#15254</v>
      </c>
      <c r="B2336" s="138" t="s">
        <v>5237</v>
      </c>
      <c r="C2336" s="236" t="s">
        <v>5236</v>
      </c>
      <c r="D2336" s="206">
        <v>43525</v>
      </c>
      <c r="E2336" s="138" t="s">
        <v>1085</v>
      </c>
    </row>
    <row r="2337" spans="1:5" ht="18.75">
      <c r="A2337" s="89" t="str">
        <f t="shared" si="36"/>
        <v>#15259</v>
      </c>
      <c r="B2337" s="138" t="s">
        <v>5238</v>
      </c>
      <c r="C2337" s="236" t="s">
        <v>2757</v>
      </c>
      <c r="D2337" s="206">
        <v>43525</v>
      </c>
      <c r="E2337" s="138" t="s">
        <v>1085</v>
      </c>
    </row>
    <row r="2338" spans="1:5" ht="18.75">
      <c r="A2338" s="89" t="str">
        <f t="shared" si="36"/>
        <v>#15263</v>
      </c>
      <c r="B2338" s="138" t="s">
        <v>5240</v>
      </c>
      <c r="C2338" s="236" t="s">
        <v>5239</v>
      </c>
      <c r="D2338" s="206">
        <v>43525</v>
      </c>
      <c r="E2338" s="138" t="s">
        <v>1085</v>
      </c>
    </row>
    <row r="2339" spans="1:5" ht="18.75">
      <c r="A2339" s="89" t="str">
        <f t="shared" si="36"/>
        <v>#15264</v>
      </c>
      <c r="B2339" s="138" t="s">
        <v>5242</v>
      </c>
      <c r="C2339" s="236" t="s">
        <v>5241</v>
      </c>
      <c r="D2339" s="206">
        <v>43525</v>
      </c>
      <c r="E2339" s="138" t="s">
        <v>1085</v>
      </c>
    </row>
    <row r="2340" spans="1:5" ht="18.75">
      <c r="A2340" s="89" t="str">
        <f t="shared" si="36"/>
        <v>#15266</v>
      </c>
      <c r="B2340" s="138" t="s">
        <v>5243</v>
      </c>
      <c r="C2340" s="236" t="s">
        <v>2790</v>
      </c>
      <c r="D2340" s="206">
        <v>43525</v>
      </c>
      <c r="E2340" s="138" t="s">
        <v>1085</v>
      </c>
    </row>
    <row r="2341" spans="1:5" ht="18.75">
      <c r="A2341" s="89" t="str">
        <f t="shared" si="36"/>
        <v>#15283</v>
      </c>
      <c r="B2341" s="138" t="s">
        <v>5245</v>
      </c>
      <c r="C2341" s="236" t="s">
        <v>5244</v>
      </c>
      <c r="D2341" s="206">
        <v>43525</v>
      </c>
      <c r="E2341" s="138" t="s">
        <v>8037</v>
      </c>
    </row>
    <row r="2342" spans="1:5" ht="18.75">
      <c r="A2342" s="89" t="str">
        <f t="shared" si="36"/>
        <v>#15286</v>
      </c>
      <c r="B2342" s="138" t="s">
        <v>5246</v>
      </c>
      <c r="C2342" s="236" t="s">
        <v>1407</v>
      </c>
      <c r="D2342" s="206">
        <v>43525</v>
      </c>
      <c r="E2342" s="138" t="s">
        <v>8037</v>
      </c>
    </row>
    <row r="2343" spans="1:5" ht="18.75">
      <c r="A2343" s="89" t="str">
        <f t="shared" si="36"/>
        <v>#15289</v>
      </c>
      <c r="B2343" s="138" t="s">
        <v>5248</v>
      </c>
      <c r="C2343" s="236" t="s">
        <v>5247</v>
      </c>
      <c r="D2343" s="206">
        <v>43525</v>
      </c>
      <c r="E2343" s="138" t="s">
        <v>8037</v>
      </c>
    </row>
    <row r="2344" spans="1:5" ht="18.75">
      <c r="A2344" s="89" t="str">
        <f t="shared" si="36"/>
        <v>#15295</v>
      </c>
      <c r="B2344" s="138" t="s">
        <v>5250</v>
      </c>
      <c r="C2344" s="236" t="s">
        <v>5249</v>
      </c>
      <c r="D2344" s="206">
        <v>43525</v>
      </c>
      <c r="E2344" s="138" t="s">
        <v>937</v>
      </c>
    </row>
    <row r="2345" spans="1:5" ht="18.75">
      <c r="A2345" s="89" t="str">
        <f t="shared" si="36"/>
        <v>#15303</v>
      </c>
      <c r="B2345" s="138" t="s">
        <v>5251</v>
      </c>
      <c r="C2345" s="236" t="s">
        <v>2049</v>
      </c>
      <c r="D2345" s="206">
        <v>43525</v>
      </c>
      <c r="E2345" s="138" t="s">
        <v>1085</v>
      </c>
    </row>
    <row r="2346" spans="1:5" ht="18.75">
      <c r="A2346" s="89" t="str">
        <f t="shared" si="36"/>
        <v>#15322</v>
      </c>
      <c r="B2346" s="138" t="s">
        <v>5253</v>
      </c>
      <c r="C2346" s="236" t="s">
        <v>5252</v>
      </c>
      <c r="D2346" s="206">
        <v>43525</v>
      </c>
      <c r="E2346" s="138" t="s">
        <v>890</v>
      </c>
    </row>
    <row r="2347" spans="1:5" ht="18.75">
      <c r="A2347" s="89" t="str">
        <f t="shared" si="36"/>
        <v>#15327</v>
      </c>
      <c r="B2347" s="138" t="s">
        <v>5254</v>
      </c>
      <c r="C2347" s="236" t="s">
        <v>2726</v>
      </c>
      <c r="D2347" s="206">
        <v>43525</v>
      </c>
      <c r="E2347" s="138" t="s">
        <v>7818</v>
      </c>
    </row>
    <row r="2348" spans="1:5" ht="18.75">
      <c r="A2348" s="89" t="str">
        <f t="shared" si="36"/>
        <v>#15329</v>
      </c>
      <c r="B2348" s="138" t="s">
        <v>5256</v>
      </c>
      <c r="C2348" s="236" t="s">
        <v>5255</v>
      </c>
      <c r="D2348" s="206">
        <v>43525</v>
      </c>
      <c r="E2348" s="138" t="s">
        <v>890</v>
      </c>
    </row>
    <row r="2349" spans="1:5" ht="18.75">
      <c r="A2349" s="89" t="str">
        <f t="shared" si="36"/>
        <v>#15332</v>
      </c>
      <c r="B2349" s="138" t="s">
        <v>5258</v>
      </c>
      <c r="C2349" s="236" t="s">
        <v>5257</v>
      </c>
      <c r="D2349" s="206">
        <v>43525</v>
      </c>
      <c r="E2349" s="138" t="s">
        <v>927</v>
      </c>
    </row>
    <row r="2350" spans="1:5" ht="18.75">
      <c r="A2350" s="89" t="str">
        <f t="shared" si="36"/>
        <v>#15334</v>
      </c>
      <c r="B2350" s="138" t="s">
        <v>5260</v>
      </c>
      <c r="C2350" s="236" t="s">
        <v>5259</v>
      </c>
      <c r="D2350" s="206">
        <v>43525</v>
      </c>
      <c r="E2350" s="138" t="s">
        <v>985</v>
      </c>
    </row>
    <row r="2351" spans="1:5" ht="18.75">
      <c r="A2351" s="89" t="str">
        <f t="shared" si="36"/>
        <v>#15339</v>
      </c>
      <c r="B2351" s="138" t="s">
        <v>5262</v>
      </c>
      <c r="C2351" s="236" t="s">
        <v>5261</v>
      </c>
      <c r="D2351" s="206">
        <v>43525</v>
      </c>
      <c r="E2351" s="138" t="s">
        <v>985</v>
      </c>
    </row>
    <row r="2352" spans="1:5" ht="18.75">
      <c r="A2352" s="89" t="str">
        <f t="shared" si="36"/>
        <v>#15349</v>
      </c>
      <c r="B2352" s="138" t="s">
        <v>5264</v>
      </c>
      <c r="C2352" s="236" t="s">
        <v>5263</v>
      </c>
      <c r="D2352" s="206">
        <v>43525</v>
      </c>
      <c r="E2352" s="138" t="s">
        <v>7818</v>
      </c>
    </row>
    <row r="2353" spans="1:5" ht="18.75">
      <c r="A2353" s="89" t="str">
        <f t="shared" si="36"/>
        <v>#15352</v>
      </c>
      <c r="B2353" s="138" t="s">
        <v>5266</v>
      </c>
      <c r="C2353" s="236" t="s">
        <v>5265</v>
      </c>
      <c r="D2353" s="206">
        <v>43525</v>
      </c>
      <c r="E2353" s="138" t="s">
        <v>7818</v>
      </c>
    </row>
    <row r="2354" spans="1:5" ht="18.75">
      <c r="A2354" s="89" t="str">
        <f t="shared" si="36"/>
        <v>#15368</v>
      </c>
      <c r="B2354" s="138" t="s">
        <v>5267</v>
      </c>
      <c r="C2354" s="236" t="s">
        <v>960</v>
      </c>
      <c r="D2354" s="206">
        <v>43525</v>
      </c>
      <c r="E2354" s="138" t="s">
        <v>1133</v>
      </c>
    </row>
    <row r="2355" spans="1:5" ht="18.75">
      <c r="A2355" s="89" t="str">
        <f t="shared" si="36"/>
        <v>#15369</v>
      </c>
      <c r="B2355" s="138" t="s">
        <v>5269</v>
      </c>
      <c r="C2355" s="236" t="s">
        <v>5268</v>
      </c>
      <c r="D2355" s="206">
        <v>43525</v>
      </c>
      <c r="E2355" s="138" t="s">
        <v>1133</v>
      </c>
    </row>
    <row r="2356" spans="1:5" ht="18.75">
      <c r="A2356" s="89" t="str">
        <f t="shared" si="36"/>
        <v>#15370</v>
      </c>
      <c r="B2356" s="138" t="s">
        <v>5270</v>
      </c>
      <c r="C2356" s="236" t="s">
        <v>2774</v>
      </c>
      <c r="D2356" s="206">
        <v>43525</v>
      </c>
      <c r="E2356" s="138" t="s">
        <v>1133</v>
      </c>
    </row>
    <row r="2357" spans="1:5" ht="18.75">
      <c r="A2357" s="89" t="str">
        <f t="shared" si="36"/>
        <v>#15371</v>
      </c>
      <c r="B2357" s="138" t="s">
        <v>5272</v>
      </c>
      <c r="C2357" s="236" t="s">
        <v>5271</v>
      </c>
      <c r="D2357" s="206">
        <v>43525</v>
      </c>
      <c r="E2357" s="138" t="s">
        <v>1133</v>
      </c>
    </row>
    <row r="2358" spans="1:5" ht="18.75">
      <c r="A2358" s="89" t="str">
        <f t="shared" si="36"/>
        <v>#15372</v>
      </c>
      <c r="B2358" s="138" t="s">
        <v>5274</v>
      </c>
      <c r="C2358" s="236" t="s">
        <v>5273</v>
      </c>
      <c r="D2358" s="206">
        <v>43525</v>
      </c>
      <c r="E2358" s="138" t="s">
        <v>906</v>
      </c>
    </row>
    <row r="2359" spans="1:5" ht="18.75">
      <c r="A2359" s="89" t="str">
        <f t="shared" si="36"/>
        <v>#15374</v>
      </c>
      <c r="B2359" s="138" t="s">
        <v>5275</v>
      </c>
      <c r="C2359" s="236" t="s">
        <v>5200</v>
      </c>
      <c r="D2359" s="206">
        <v>43525</v>
      </c>
      <c r="E2359" s="138" t="s">
        <v>906</v>
      </c>
    </row>
    <row r="2360" spans="1:5" ht="18.75">
      <c r="A2360" s="89" t="str">
        <f t="shared" si="36"/>
        <v>#15375</v>
      </c>
      <c r="B2360" s="138" t="s">
        <v>5277</v>
      </c>
      <c r="C2360" s="236" t="s">
        <v>5276</v>
      </c>
      <c r="D2360" s="206">
        <v>43525</v>
      </c>
      <c r="E2360" s="138" t="s">
        <v>906</v>
      </c>
    </row>
    <row r="2361" spans="1:5" ht="18.75">
      <c r="A2361" s="89" t="str">
        <f t="shared" si="36"/>
        <v>#15388</v>
      </c>
      <c r="B2361" s="138" t="s">
        <v>5279</v>
      </c>
      <c r="C2361" s="236" t="s">
        <v>5278</v>
      </c>
      <c r="D2361" s="206">
        <v>43531</v>
      </c>
      <c r="E2361" s="138" t="s">
        <v>1133</v>
      </c>
    </row>
    <row r="2362" spans="1:5" ht="18.75">
      <c r="A2362" s="89" t="str">
        <f t="shared" si="36"/>
        <v>#15394</v>
      </c>
      <c r="B2362" s="138" t="s">
        <v>5281</v>
      </c>
      <c r="C2362" s="236" t="s">
        <v>5280</v>
      </c>
      <c r="D2362" s="206">
        <v>43531</v>
      </c>
      <c r="E2362" s="138" t="s">
        <v>927</v>
      </c>
    </row>
    <row r="2363" spans="1:5" ht="18.75">
      <c r="A2363" s="89" t="str">
        <f t="shared" si="36"/>
        <v>#15397</v>
      </c>
      <c r="B2363" s="138" t="s">
        <v>5283</v>
      </c>
      <c r="C2363" s="236" t="s">
        <v>5282</v>
      </c>
      <c r="D2363" s="206">
        <v>43531</v>
      </c>
      <c r="E2363" s="138" t="s">
        <v>1133</v>
      </c>
    </row>
    <row r="2364" spans="1:5" ht="18.75">
      <c r="A2364" s="89" t="str">
        <f t="shared" si="36"/>
        <v>#15405</v>
      </c>
      <c r="B2364" s="138" t="s">
        <v>5284</v>
      </c>
      <c r="C2364" s="236" t="s">
        <v>3197</v>
      </c>
      <c r="D2364" s="206">
        <v>43531</v>
      </c>
      <c r="E2364" s="138" t="s">
        <v>7818</v>
      </c>
    </row>
    <row r="2365" spans="1:5" ht="18.75">
      <c r="A2365" s="89" t="str">
        <f t="shared" si="36"/>
        <v>#15408</v>
      </c>
      <c r="B2365" s="138" t="s">
        <v>5286</v>
      </c>
      <c r="C2365" s="236" t="s">
        <v>5285</v>
      </c>
      <c r="D2365" s="206">
        <v>43531</v>
      </c>
      <c r="E2365" s="138" t="s">
        <v>7818</v>
      </c>
    </row>
    <row r="2366" spans="1:5" ht="18.75">
      <c r="A2366" s="89" t="str">
        <f t="shared" si="36"/>
        <v>#15427</v>
      </c>
      <c r="B2366" s="138" t="s">
        <v>5288</v>
      </c>
      <c r="C2366" s="236" t="s">
        <v>5287</v>
      </c>
      <c r="D2366" s="206">
        <v>43531</v>
      </c>
      <c r="E2366" s="138" t="s">
        <v>1063</v>
      </c>
    </row>
    <row r="2367" spans="1:5" ht="18.75">
      <c r="A2367" s="89" t="str">
        <f t="shared" si="36"/>
        <v>#15457</v>
      </c>
      <c r="B2367" s="138" t="s">
        <v>5290</v>
      </c>
      <c r="C2367" s="236" t="s">
        <v>5289</v>
      </c>
      <c r="D2367" s="206">
        <v>43531</v>
      </c>
      <c r="E2367" s="138" t="s">
        <v>927</v>
      </c>
    </row>
    <row r="2368" spans="1:5" ht="18.75">
      <c r="A2368" s="89" t="str">
        <f t="shared" si="36"/>
        <v>#15461</v>
      </c>
      <c r="B2368" s="138" t="s">
        <v>5292</v>
      </c>
      <c r="C2368" s="236" t="s">
        <v>5291</v>
      </c>
      <c r="D2368" s="206">
        <v>43531</v>
      </c>
      <c r="E2368" s="138" t="s">
        <v>927</v>
      </c>
    </row>
    <row r="2369" spans="1:5" ht="18.75">
      <c r="A2369" s="89" t="str">
        <f t="shared" si="36"/>
        <v>#15464</v>
      </c>
      <c r="B2369" s="138" t="s">
        <v>5294</v>
      </c>
      <c r="C2369" s="236" t="s">
        <v>5293</v>
      </c>
      <c r="D2369" s="206">
        <v>43531</v>
      </c>
      <c r="E2369" s="138" t="s">
        <v>924</v>
      </c>
    </row>
    <row r="2370" spans="1:5" ht="18.75">
      <c r="A2370" s="89" t="str">
        <f t="shared" si="36"/>
        <v>#15465</v>
      </c>
      <c r="B2370" s="138" t="s">
        <v>5296</v>
      </c>
      <c r="C2370" s="236" t="s">
        <v>5295</v>
      </c>
      <c r="D2370" s="206">
        <v>43531</v>
      </c>
      <c r="E2370" s="138" t="s">
        <v>890</v>
      </c>
    </row>
    <row r="2371" spans="1:5" ht="18.75">
      <c r="A2371" s="89" t="str">
        <f t="shared" ref="A2371:A2434" si="37">"#"&amp;B2371</f>
        <v>#15469</v>
      </c>
      <c r="B2371" s="138" t="s">
        <v>5298</v>
      </c>
      <c r="C2371" s="236" t="s">
        <v>5297</v>
      </c>
      <c r="D2371" s="206">
        <v>43531</v>
      </c>
      <c r="E2371" s="138" t="s">
        <v>890</v>
      </c>
    </row>
    <row r="2372" spans="1:5" ht="18.75">
      <c r="A2372" s="89" t="str">
        <f t="shared" si="37"/>
        <v>#15476</v>
      </c>
      <c r="B2372" s="138" t="s">
        <v>5300</v>
      </c>
      <c r="C2372" s="236" t="s">
        <v>5299</v>
      </c>
      <c r="D2372" s="206">
        <v>43531</v>
      </c>
      <c r="E2372" s="138" t="s">
        <v>978</v>
      </c>
    </row>
    <row r="2373" spans="1:5" ht="18.75">
      <c r="A2373" s="89" t="str">
        <f t="shared" si="37"/>
        <v>#15483</v>
      </c>
      <c r="B2373" s="138" t="s">
        <v>5302</v>
      </c>
      <c r="C2373" s="236" t="s">
        <v>5301</v>
      </c>
      <c r="D2373" s="206">
        <v>43531</v>
      </c>
      <c r="E2373" s="138" t="s">
        <v>1541</v>
      </c>
    </row>
    <row r="2374" spans="1:5" ht="18.75">
      <c r="A2374" s="89" t="str">
        <f t="shared" si="37"/>
        <v>#15499</v>
      </c>
      <c r="B2374" s="138" t="s">
        <v>5304</v>
      </c>
      <c r="C2374" s="236" t="s">
        <v>5303</v>
      </c>
      <c r="D2374" s="206">
        <v>43531</v>
      </c>
      <c r="E2374" s="138" t="s">
        <v>927</v>
      </c>
    </row>
    <row r="2375" spans="1:5" ht="18.75">
      <c r="A2375" s="89" t="str">
        <f t="shared" si="37"/>
        <v>#15504</v>
      </c>
      <c r="B2375" s="138" t="s">
        <v>5306</v>
      </c>
      <c r="C2375" s="236" t="s">
        <v>5305</v>
      </c>
      <c r="D2375" s="206">
        <v>43531</v>
      </c>
      <c r="E2375" s="138" t="s">
        <v>721</v>
      </c>
    </row>
    <row r="2376" spans="1:5" ht="18.75">
      <c r="A2376" s="89" t="str">
        <f t="shared" si="37"/>
        <v>#15515</v>
      </c>
      <c r="B2376" s="138" t="s">
        <v>5307</v>
      </c>
      <c r="C2376" s="236" t="s">
        <v>2045</v>
      </c>
      <c r="D2376" s="206">
        <v>43538</v>
      </c>
      <c r="E2376" s="138" t="s">
        <v>1085</v>
      </c>
    </row>
    <row r="2377" spans="1:5" ht="18.75">
      <c r="A2377" s="89" t="str">
        <f t="shared" si="37"/>
        <v>#15521</v>
      </c>
      <c r="B2377" s="138" t="s">
        <v>5309</v>
      </c>
      <c r="C2377" s="236" t="s">
        <v>5308</v>
      </c>
      <c r="D2377" s="206">
        <v>43538</v>
      </c>
      <c r="E2377" s="138" t="s">
        <v>937</v>
      </c>
    </row>
    <row r="2378" spans="1:5" ht="18.75">
      <c r="A2378" s="89" t="str">
        <f t="shared" si="37"/>
        <v>#15536</v>
      </c>
      <c r="B2378" s="138" t="s">
        <v>5311</v>
      </c>
      <c r="C2378" s="236" t="s">
        <v>5310</v>
      </c>
      <c r="D2378" s="206">
        <v>43538</v>
      </c>
      <c r="E2378" s="138" t="s">
        <v>7818</v>
      </c>
    </row>
    <row r="2379" spans="1:5" ht="18.75">
      <c r="A2379" s="89" t="str">
        <f t="shared" si="37"/>
        <v>#15550</v>
      </c>
      <c r="B2379" s="138" t="s">
        <v>5313</v>
      </c>
      <c r="C2379" s="236" t="s">
        <v>5312</v>
      </c>
      <c r="D2379" s="206">
        <v>43538</v>
      </c>
      <c r="E2379" s="138" t="s">
        <v>927</v>
      </c>
    </row>
    <row r="2380" spans="1:5" ht="18.75">
      <c r="A2380" s="89" t="str">
        <f t="shared" si="37"/>
        <v>#15557</v>
      </c>
      <c r="B2380" s="138" t="s">
        <v>5314</v>
      </c>
      <c r="C2380" s="236" t="s">
        <v>2945</v>
      </c>
      <c r="D2380" s="206">
        <v>43538</v>
      </c>
      <c r="E2380" s="138" t="s">
        <v>924</v>
      </c>
    </row>
    <row r="2381" spans="1:5" ht="18.75">
      <c r="A2381" s="89" t="str">
        <f t="shared" si="37"/>
        <v>#15568</v>
      </c>
      <c r="B2381" s="138" t="s">
        <v>5316</v>
      </c>
      <c r="C2381" s="236" t="s">
        <v>5315</v>
      </c>
      <c r="D2381" s="206">
        <v>43538</v>
      </c>
      <c r="E2381" s="138" t="s">
        <v>927</v>
      </c>
    </row>
    <row r="2382" spans="1:5" ht="18.75">
      <c r="A2382" s="89" t="str">
        <f t="shared" si="37"/>
        <v>#15570</v>
      </c>
      <c r="B2382" s="138" t="s">
        <v>5318</v>
      </c>
      <c r="C2382" s="236" t="s">
        <v>5317</v>
      </c>
      <c r="D2382" s="206">
        <v>43538</v>
      </c>
      <c r="E2382" s="138" t="s">
        <v>721</v>
      </c>
    </row>
    <row r="2383" spans="1:5" ht="18.75">
      <c r="A2383" s="89" t="str">
        <f t="shared" si="37"/>
        <v>#15573</v>
      </c>
      <c r="B2383" s="138" t="s">
        <v>5320</v>
      </c>
      <c r="C2383" s="236" t="s">
        <v>5319</v>
      </c>
      <c r="D2383" s="206">
        <v>43545</v>
      </c>
      <c r="E2383" s="138" t="s">
        <v>895</v>
      </c>
    </row>
    <row r="2384" spans="1:5" ht="18.75">
      <c r="A2384" s="89" t="str">
        <f t="shared" si="37"/>
        <v>#15574</v>
      </c>
      <c r="B2384" s="138" t="s">
        <v>5322</v>
      </c>
      <c r="C2384" s="236" t="s">
        <v>5321</v>
      </c>
      <c r="D2384" s="206">
        <v>43545</v>
      </c>
      <c r="E2384" s="238" t="s">
        <v>7818</v>
      </c>
    </row>
    <row r="2385" spans="1:5" ht="18.75">
      <c r="A2385" s="89" t="str">
        <f t="shared" si="37"/>
        <v>#15575</v>
      </c>
      <c r="B2385" s="138" t="s">
        <v>5323</v>
      </c>
      <c r="C2385" s="236" t="s">
        <v>3516</v>
      </c>
      <c r="D2385" s="206">
        <v>43545</v>
      </c>
      <c r="E2385" s="138" t="s">
        <v>895</v>
      </c>
    </row>
    <row r="2386" spans="1:5" ht="18.75">
      <c r="A2386" s="89" t="str">
        <f t="shared" si="37"/>
        <v>#15580</v>
      </c>
      <c r="B2386" s="138" t="s">
        <v>5324</v>
      </c>
      <c r="C2386" s="236" t="s">
        <v>4160</v>
      </c>
      <c r="D2386" s="206">
        <v>43545</v>
      </c>
      <c r="E2386" s="138" t="s">
        <v>1380</v>
      </c>
    </row>
    <row r="2387" spans="1:5" ht="18.75">
      <c r="A2387" s="89" t="str">
        <f t="shared" si="37"/>
        <v>#15582</v>
      </c>
      <c r="B2387" s="138" t="s">
        <v>5326</v>
      </c>
      <c r="C2387" s="236" t="s">
        <v>5325</v>
      </c>
      <c r="D2387" s="206">
        <v>43545</v>
      </c>
      <c r="E2387" s="138" t="s">
        <v>927</v>
      </c>
    </row>
    <row r="2388" spans="1:5" ht="18.75">
      <c r="A2388" s="89" t="str">
        <f t="shared" si="37"/>
        <v>#15593</v>
      </c>
      <c r="B2388" s="138" t="s">
        <v>5327</v>
      </c>
      <c r="C2388" s="236" t="s">
        <v>2718</v>
      </c>
      <c r="D2388" s="206">
        <v>43545</v>
      </c>
      <c r="E2388" s="138" t="s">
        <v>978</v>
      </c>
    </row>
    <row r="2389" spans="1:5" ht="18.75">
      <c r="A2389" s="89" t="str">
        <f t="shared" si="37"/>
        <v>#15598</v>
      </c>
      <c r="B2389" s="138" t="s">
        <v>5329</v>
      </c>
      <c r="C2389" s="236" t="s">
        <v>5328</v>
      </c>
      <c r="D2389" s="206">
        <v>43545</v>
      </c>
      <c r="E2389" s="138" t="s">
        <v>8037</v>
      </c>
    </row>
    <row r="2390" spans="1:5" ht="18.75">
      <c r="A2390" s="89" t="str">
        <f t="shared" si="37"/>
        <v>#15603</v>
      </c>
      <c r="B2390" s="138" t="s">
        <v>5330</v>
      </c>
      <c r="C2390" s="236" t="s">
        <v>1374</v>
      </c>
      <c r="D2390" s="206">
        <v>43545</v>
      </c>
      <c r="E2390" s="138" t="s">
        <v>7818</v>
      </c>
    </row>
    <row r="2391" spans="1:5" ht="18.75">
      <c r="A2391" s="89" t="str">
        <f t="shared" si="37"/>
        <v>#15605</v>
      </c>
      <c r="B2391" s="138" t="s">
        <v>5331</v>
      </c>
      <c r="C2391" s="236" t="s">
        <v>4359</v>
      </c>
      <c r="D2391" s="206">
        <v>43545</v>
      </c>
      <c r="E2391" s="138" t="s">
        <v>7818</v>
      </c>
    </row>
    <row r="2392" spans="1:5" ht="18.75">
      <c r="A2392" s="89" t="str">
        <f t="shared" si="37"/>
        <v>#15619</v>
      </c>
      <c r="B2392" s="138" t="s">
        <v>5332</v>
      </c>
      <c r="C2392" s="236" t="s">
        <v>2028</v>
      </c>
      <c r="D2392" s="206">
        <v>43545</v>
      </c>
      <c r="E2392" s="138" t="s">
        <v>906</v>
      </c>
    </row>
    <row r="2393" spans="1:5" ht="18.75">
      <c r="A2393" s="89" t="str">
        <f t="shared" si="37"/>
        <v>#15623</v>
      </c>
      <c r="B2393" s="138" t="s">
        <v>5334</v>
      </c>
      <c r="C2393" s="236" t="s">
        <v>5333</v>
      </c>
      <c r="D2393" s="206">
        <v>43545</v>
      </c>
      <c r="E2393" s="138" t="s">
        <v>906</v>
      </c>
    </row>
    <row r="2394" spans="1:5" ht="18.75">
      <c r="A2394" s="89" t="str">
        <f t="shared" si="37"/>
        <v>#15625</v>
      </c>
      <c r="B2394" s="138" t="s">
        <v>5336</v>
      </c>
      <c r="C2394" s="236" t="s">
        <v>5335</v>
      </c>
      <c r="D2394" s="206">
        <v>43545</v>
      </c>
      <c r="E2394" s="138" t="s">
        <v>1004</v>
      </c>
    </row>
    <row r="2395" spans="1:5" ht="18.75">
      <c r="A2395" s="89" t="str">
        <f t="shared" si="37"/>
        <v>#15626</v>
      </c>
      <c r="B2395" s="138" t="s">
        <v>5338</v>
      </c>
      <c r="C2395" s="236" t="s">
        <v>5337</v>
      </c>
      <c r="D2395" s="206">
        <v>43545</v>
      </c>
      <c r="E2395" s="138" t="s">
        <v>1004</v>
      </c>
    </row>
    <row r="2396" spans="1:5" ht="18.75">
      <c r="A2396" s="89" t="str">
        <f t="shared" si="37"/>
        <v>#15627</v>
      </c>
      <c r="B2396" s="138" t="s">
        <v>5340</v>
      </c>
      <c r="C2396" s="236" t="s">
        <v>5339</v>
      </c>
      <c r="D2396" s="206">
        <v>43549</v>
      </c>
      <c r="E2396" s="138" t="s">
        <v>1004</v>
      </c>
    </row>
    <row r="2397" spans="1:5" ht="18.75">
      <c r="A2397" s="89" t="str">
        <f t="shared" si="37"/>
        <v>#15628</v>
      </c>
      <c r="B2397" s="138" t="s">
        <v>5341</v>
      </c>
      <c r="C2397" s="236" t="s">
        <v>5002</v>
      </c>
      <c r="D2397" s="206">
        <v>43549</v>
      </c>
      <c r="E2397" s="138" t="s">
        <v>1675</v>
      </c>
    </row>
    <row r="2398" spans="1:5" ht="18.75">
      <c r="A2398" s="89" t="str">
        <f t="shared" si="37"/>
        <v>#15629</v>
      </c>
      <c r="B2398" s="138" t="s">
        <v>5342</v>
      </c>
      <c r="C2398" s="236" t="s">
        <v>979</v>
      </c>
      <c r="D2398" s="206">
        <v>43556</v>
      </c>
      <c r="E2398" s="138" t="s">
        <v>1004</v>
      </c>
    </row>
    <row r="2399" spans="1:5" ht="18.75">
      <c r="A2399" s="89" t="str">
        <f t="shared" si="37"/>
        <v>#15640</v>
      </c>
      <c r="B2399" s="138" t="s">
        <v>5343</v>
      </c>
      <c r="C2399" s="236" t="s">
        <v>2026</v>
      </c>
      <c r="D2399" s="206">
        <v>43560</v>
      </c>
      <c r="E2399" s="138" t="s">
        <v>985</v>
      </c>
    </row>
    <row r="2400" spans="1:5" ht="18.75">
      <c r="A2400" s="89" t="str">
        <f t="shared" si="37"/>
        <v>#15647</v>
      </c>
      <c r="B2400" s="138" t="s">
        <v>5344</v>
      </c>
      <c r="C2400" s="236" t="s">
        <v>4487</v>
      </c>
      <c r="D2400" s="206">
        <v>43560</v>
      </c>
      <c r="E2400" s="138" t="s">
        <v>903</v>
      </c>
    </row>
    <row r="2401" spans="1:5" ht="18.75">
      <c r="A2401" s="89" t="str">
        <f t="shared" si="37"/>
        <v>#15655</v>
      </c>
      <c r="B2401" s="138" t="s">
        <v>5346</v>
      </c>
      <c r="C2401" s="236" t="s">
        <v>5345</v>
      </c>
      <c r="D2401" s="206">
        <v>43560</v>
      </c>
      <c r="E2401" s="138" t="s">
        <v>1063</v>
      </c>
    </row>
    <row r="2402" spans="1:5" ht="18.75">
      <c r="A2402" s="89" t="str">
        <f t="shared" si="37"/>
        <v>#15660</v>
      </c>
      <c r="B2402" s="138" t="s">
        <v>5348</v>
      </c>
      <c r="C2402" s="236" t="s">
        <v>5347</v>
      </c>
      <c r="D2402" s="206">
        <v>43560</v>
      </c>
      <c r="E2402" s="138" t="s">
        <v>937</v>
      </c>
    </row>
    <row r="2403" spans="1:5" ht="18.75">
      <c r="A2403" s="89" t="str">
        <f t="shared" si="37"/>
        <v>#15688</v>
      </c>
      <c r="B2403" s="138" t="s">
        <v>5350</v>
      </c>
      <c r="C2403" s="236" t="s">
        <v>5349</v>
      </c>
      <c r="D2403" s="206">
        <v>43560</v>
      </c>
      <c r="E2403" s="138" t="s">
        <v>7818</v>
      </c>
    </row>
    <row r="2404" spans="1:5" ht="18.75">
      <c r="A2404" s="89" t="str">
        <f t="shared" si="37"/>
        <v>#15697</v>
      </c>
      <c r="B2404" s="138" t="s">
        <v>5352</v>
      </c>
      <c r="C2404" s="236" t="s">
        <v>5351</v>
      </c>
      <c r="D2404" s="206">
        <v>43560</v>
      </c>
      <c r="E2404" s="138" t="s">
        <v>7818</v>
      </c>
    </row>
    <row r="2405" spans="1:5" ht="18.75">
      <c r="A2405" s="89" t="str">
        <f t="shared" si="37"/>
        <v>#15698</v>
      </c>
      <c r="B2405" s="138" t="s">
        <v>5354</v>
      </c>
      <c r="C2405" s="236" t="s">
        <v>5353</v>
      </c>
      <c r="D2405" s="206">
        <v>43560</v>
      </c>
      <c r="E2405" s="138" t="s">
        <v>985</v>
      </c>
    </row>
    <row r="2406" spans="1:5" ht="18.75">
      <c r="A2406" s="89" t="str">
        <f t="shared" si="37"/>
        <v>#15704</v>
      </c>
      <c r="B2406" s="138" t="s">
        <v>5356</v>
      </c>
      <c r="C2406" s="236" t="s">
        <v>5355</v>
      </c>
      <c r="D2406" s="206">
        <v>43560</v>
      </c>
      <c r="E2406" s="138" t="s">
        <v>927</v>
      </c>
    </row>
    <row r="2407" spans="1:5" ht="18.75">
      <c r="A2407" s="89" t="str">
        <f t="shared" si="37"/>
        <v>#15709</v>
      </c>
      <c r="B2407" s="138" t="s">
        <v>5359</v>
      </c>
      <c r="C2407" s="236" t="s">
        <v>5358</v>
      </c>
      <c r="D2407" s="206">
        <v>43560</v>
      </c>
      <c r="E2407" s="138" t="s">
        <v>1133</v>
      </c>
    </row>
    <row r="2408" spans="1:5" ht="18.75">
      <c r="A2408" s="89" t="str">
        <f t="shared" si="37"/>
        <v>#15721</v>
      </c>
      <c r="B2408" s="138" t="s">
        <v>5361</v>
      </c>
      <c r="C2408" s="236" t="s">
        <v>5360</v>
      </c>
      <c r="D2408" s="206">
        <v>43560</v>
      </c>
      <c r="E2408" s="138" t="s">
        <v>903</v>
      </c>
    </row>
    <row r="2409" spans="1:5" ht="18.75">
      <c r="A2409" s="89" t="str">
        <f t="shared" si="37"/>
        <v>#15725</v>
      </c>
      <c r="B2409" s="138" t="s">
        <v>5362</v>
      </c>
      <c r="C2409" s="236" t="s">
        <v>4012</v>
      </c>
      <c r="D2409" s="206">
        <v>43571</v>
      </c>
      <c r="E2409" s="138" t="s">
        <v>752</v>
      </c>
    </row>
    <row r="2410" spans="1:5" ht="18.75">
      <c r="A2410" s="89" t="str">
        <f t="shared" si="37"/>
        <v>#15726</v>
      </c>
      <c r="B2410" s="138" t="s">
        <v>5363</v>
      </c>
      <c r="C2410" s="236" t="s">
        <v>3427</v>
      </c>
      <c r="D2410" s="206">
        <v>43571</v>
      </c>
      <c r="E2410" s="138" t="s">
        <v>752</v>
      </c>
    </row>
    <row r="2411" spans="1:5" ht="18.75">
      <c r="A2411" s="89" t="str">
        <f t="shared" si="37"/>
        <v>#15736</v>
      </c>
      <c r="B2411" s="138" t="s">
        <v>5364</v>
      </c>
      <c r="C2411" s="184" t="s">
        <v>3938</v>
      </c>
      <c r="D2411" s="237">
        <v>43577</v>
      </c>
      <c r="E2411" s="138" t="s">
        <v>7818</v>
      </c>
    </row>
    <row r="2412" spans="1:5" ht="18.75">
      <c r="A2412" s="89" t="str">
        <f t="shared" si="37"/>
        <v>#15742</v>
      </c>
      <c r="B2412" s="138" t="s">
        <v>5366</v>
      </c>
      <c r="C2412" s="236" t="s">
        <v>5365</v>
      </c>
      <c r="D2412" s="206">
        <v>43577</v>
      </c>
      <c r="E2412" s="138" t="s">
        <v>978</v>
      </c>
    </row>
    <row r="2413" spans="1:5" ht="18.75">
      <c r="A2413" s="89" t="str">
        <f t="shared" si="37"/>
        <v>#15747</v>
      </c>
      <c r="B2413" s="138" t="s">
        <v>5368</v>
      </c>
      <c r="C2413" s="236" t="s">
        <v>5367</v>
      </c>
      <c r="D2413" s="206">
        <v>43577</v>
      </c>
      <c r="E2413" s="138" t="s">
        <v>985</v>
      </c>
    </row>
    <row r="2414" spans="1:5" ht="18.75">
      <c r="A2414" s="89" t="str">
        <f t="shared" si="37"/>
        <v>#15751</v>
      </c>
      <c r="B2414" s="138" t="s">
        <v>5369</v>
      </c>
      <c r="C2414" s="236" t="s">
        <v>2045</v>
      </c>
      <c r="D2414" s="206">
        <v>43577</v>
      </c>
      <c r="E2414" s="138" t="s">
        <v>927</v>
      </c>
    </row>
    <row r="2415" spans="1:5" ht="18.75">
      <c r="A2415" s="89" t="str">
        <f t="shared" si="37"/>
        <v>#15762</v>
      </c>
      <c r="B2415" s="138" t="s">
        <v>5371</v>
      </c>
      <c r="C2415" s="236" t="s">
        <v>5370</v>
      </c>
      <c r="D2415" s="206">
        <v>43577</v>
      </c>
      <c r="E2415" s="138" t="s">
        <v>8037</v>
      </c>
    </row>
    <row r="2416" spans="1:5" ht="18.75">
      <c r="A2416" s="89" t="str">
        <f t="shared" si="37"/>
        <v>#15764</v>
      </c>
      <c r="B2416" s="138" t="s">
        <v>5373</v>
      </c>
      <c r="C2416" s="236" t="s">
        <v>5372</v>
      </c>
      <c r="D2416" s="206">
        <v>43577</v>
      </c>
      <c r="E2416" s="138" t="s">
        <v>1063</v>
      </c>
    </row>
    <row r="2417" spans="1:5" ht="18.75">
      <c r="A2417" s="89" t="str">
        <f t="shared" si="37"/>
        <v>#15765</v>
      </c>
      <c r="B2417" s="138" t="s">
        <v>5375</v>
      </c>
      <c r="C2417" s="236" t="s">
        <v>5374</v>
      </c>
      <c r="D2417" s="206">
        <v>43577</v>
      </c>
      <c r="E2417" s="138" t="s">
        <v>1063</v>
      </c>
    </row>
    <row r="2418" spans="1:5" ht="18.75">
      <c r="A2418" s="89" t="str">
        <f t="shared" si="37"/>
        <v>#15773</v>
      </c>
      <c r="B2418" s="138" t="s">
        <v>5377</v>
      </c>
      <c r="C2418" s="236" t="s">
        <v>5376</v>
      </c>
      <c r="D2418" s="206">
        <v>43577</v>
      </c>
      <c r="E2418" s="138" t="s">
        <v>957</v>
      </c>
    </row>
    <row r="2419" spans="1:5" ht="18.75">
      <c r="A2419" s="89" t="str">
        <f t="shared" si="37"/>
        <v>#15774</v>
      </c>
      <c r="B2419" s="138" t="s">
        <v>5379</v>
      </c>
      <c r="C2419" s="236" t="s">
        <v>5378</v>
      </c>
      <c r="D2419" s="206">
        <v>43577</v>
      </c>
      <c r="E2419" s="138" t="s">
        <v>1133</v>
      </c>
    </row>
    <row r="2420" spans="1:5" ht="18.75">
      <c r="A2420" s="89" t="str">
        <f t="shared" si="37"/>
        <v>#15777</v>
      </c>
      <c r="B2420" s="138" t="s">
        <v>5381</v>
      </c>
      <c r="C2420" s="236" t="s">
        <v>5380</v>
      </c>
      <c r="D2420" s="206">
        <v>43577</v>
      </c>
      <c r="E2420" s="138" t="s">
        <v>1133</v>
      </c>
    </row>
    <row r="2421" spans="1:5" ht="18.75">
      <c r="A2421" s="89" t="str">
        <f t="shared" si="37"/>
        <v>#15794</v>
      </c>
      <c r="B2421" s="138" t="s">
        <v>5383</v>
      </c>
      <c r="C2421" s="236" t="s">
        <v>5382</v>
      </c>
      <c r="D2421" s="206">
        <v>43587</v>
      </c>
      <c r="E2421" s="138" t="s">
        <v>1043</v>
      </c>
    </row>
    <row r="2422" spans="1:5" ht="18.75">
      <c r="A2422" s="89" t="str">
        <f t="shared" si="37"/>
        <v>#15802</v>
      </c>
      <c r="B2422" s="138" t="s">
        <v>5385</v>
      </c>
      <c r="C2422" s="236" t="s">
        <v>5384</v>
      </c>
      <c r="D2422" s="206">
        <v>43587</v>
      </c>
      <c r="E2422" s="138" t="s">
        <v>978</v>
      </c>
    </row>
    <row r="2423" spans="1:5" ht="18.75">
      <c r="A2423" s="89" t="str">
        <f t="shared" si="37"/>
        <v>#15808</v>
      </c>
      <c r="B2423" s="138" t="s">
        <v>5387</v>
      </c>
      <c r="C2423" s="236" t="s">
        <v>5386</v>
      </c>
      <c r="D2423" s="206">
        <v>43587</v>
      </c>
      <c r="E2423" s="138" t="s">
        <v>895</v>
      </c>
    </row>
    <row r="2424" spans="1:5" ht="18.75">
      <c r="A2424" s="89" t="str">
        <f t="shared" si="37"/>
        <v>#15842</v>
      </c>
      <c r="B2424" s="138" t="s">
        <v>5389</v>
      </c>
      <c r="C2424" s="236" t="s">
        <v>5388</v>
      </c>
      <c r="D2424" s="206">
        <v>43594</v>
      </c>
      <c r="E2424" s="138" t="s">
        <v>978</v>
      </c>
    </row>
    <row r="2425" spans="1:5" ht="18.75">
      <c r="A2425" s="89" t="str">
        <f t="shared" si="37"/>
        <v>#15843</v>
      </c>
      <c r="B2425" s="138" t="s">
        <v>5391</v>
      </c>
      <c r="C2425" s="236" t="s">
        <v>5390</v>
      </c>
      <c r="D2425" s="206">
        <v>43594</v>
      </c>
      <c r="E2425" s="138" t="s">
        <v>978</v>
      </c>
    </row>
    <row r="2426" spans="1:5" ht="18.75">
      <c r="A2426" s="89" t="str">
        <f t="shared" si="37"/>
        <v>#15844</v>
      </c>
      <c r="B2426" s="138" t="s">
        <v>5392</v>
      </c>
      <c r="C2426" s="236" t="s">
        <v>1319</v>
      </c>
      <c r="D2426" s="206">
        <v>43594</v>
      </c>
      <c r="E2426" s="138" t="s">
        <v>1188</v>
      </c>
    </row>
    <row r="2427" spans="1:5" ht="18.75">
      <c r="A2427" s="89" t="str">
        <f t="shared" si="37"/>
        <v>#15849</v>
      </c>
      <c r="B2427" s="138" t="s">
        <v>5394</v>
      </c>
      <c r="C2427" s="236" t="s">
        <v>5393</v>
      </c>
      <c r="D2427" s="206">
        <v>43594</v>
      </c>
      <c r="E2427" s="138" t="s">
        <v>924</v>
      </c>
    </row>
    <row r="2428" spans="1:5" ht="18.75">
      <c r="A2428" s="89" t="str">
        <f t="shared" si="37"/>
        <v>#15854</v>
      </c>
      <c r="B2428" s="138" t="s">
        <v>5396</v>
      </c>
      <c r="C2428" s="236" t="s">
        <v>5395</v>
      </c>
      <c r="D2428" s="206">
        <v>43594</v>
      </c>
      <c r="E2428" s="138" t="s">
        <v>1380</v>
      </c>
    </row>
    <row r="2429" spans="1:5" ht="18.75">
      <c r="A2429" s="89" t="str">
        <f t="shared" si="37"/>
        <v>#15860</v>
      </c>
      <c r="B2429" s="138" t="s">
        <v>5398</v>
      </c>
      <c r="C2429" s="236" t="s">
        <v>5397</v>
      </c>
      <c r="D2429" s="206">
        <v>43594</v>
      </c>
      <c r="E2429" s="138" t="s">
        <v>1085</v>
      </c>
    </row>
    <row r="2430" spans="1:5" ht="18.75">
      <c r="A2430" s="89" t="str">
        <f t="shared" si="37"/>
        <v>#15884</v>
      </c>
      <c r="B2430" s="138" t="s">
        <v>5399</v>
      </c>
      <c r="C2430" s="236" t="s">
        <v>2474</v>
      </c>
      <c r="D2430" s="206">
        <v>43599</v>
      </c>
      <c r="E2430" s="138" t="s">
        <v>752</v>
      </c>
    </row>
    <row r="2431" spans="1:5" ht="18.75">
      <c r="A2431" s="89" t="str">
        <f t="shared" si="37"/>
        <v>#15895</v>
      </c>
      <c r="B2431" s="138" t="s">
        <v>5401</v>
      </c>
      <c r="C2431" s="236" t="s">
        <v>5400</v>
      </c>
      <c r="D2431" s="206">
        <v>43600</v>
      </c>
      <c r="E2431" s="138" t="s">
        <v>937</v>
      </c>
    </row>
    <row r="2432" spans="1:5" ht="18.75">
      <c r="A2432" s="89" t="str">
        <f t="shared" si="37"/>
        <v>#15906</v>
      </c>
      <c r="B2432" s="138" t="s">
        <v>5403</v>
      </c>
      <c r="C2432" s="236" t="s">
        <v>5402</v>
      </c>
      <c r="D2432" s="206">
        <v>43600</v>
      </c>
      <c r="E2432" s="138" t="s">
        <v>7818</v>
      </c>
    </row>
    <row r="2433" spans="1:5" ht="18.75">
      <c r="A2433" s="89" t="str">
        <f t="shared" si="37"/>
        <v>#15914</v>
      </c>
      <c r="B2433" s="138" t="s">
        <v>5404</v>
      </c>
      <c r="C2433" s="236" t="s">
        <v>1810</v>
      </c>
      <c r="D2433" s="206">
        <v>43600</v>
      </c>
      <c r="E2433" s="138" t="s">
        <v>927</v>
      </c>
    </row>
    <row r="2434" spans="1:5" ht="18.75">
      <c r="A2434" s="89" t="str">
        <f t="shared" si="37"/>
        <v>#15923</v>
      </c>
      <c r="B2434" s="138" t="s">
        <v>5406</v>
      </c>
      <c r="C2434" s="236" t="s">
        <v>5405</v>
      </c>
      <c r="D2434" s="206">
        <v>43600</v>
      </c>
      <c r="E2434" s="138" t="s">
        <v>924</v>
      </c>
    </row>
    <row r="2435" spans="1:5" ht="18.75">
      <c r="A2435" s="89" t="str">
        <f t="shared" ref="A2435:A2498" si="38">"#"&amp;B2435</f>
        <v>#15940</v>
      </c>
      <c r="B2435" s="138" t="s">
        <v>5408</v>
      </c>
      <c r="C2435" s="236" t="s">
        <v>5407</v>
      </c>
      <c r="D2435" s="206">
        <v>43600</v>
      </c>
      <c r="E2435" s="138" t="s">
        <v>721</v>
      </c>
    </row>
    <row r="2436" spans="1:5" ht="18.75">
      <c r="A2436" s="89" t="str">
        <f t="shared" si="38"/>
        <v>#15941</v>
      </c>
      <c r="B2436" s="138" t="s">
        <v>5410</v>
      </c>
      <c r="C2436" s="236" t="s">
        <v>5409</v>
      </c>
      <c r="D2436" s="206">
        <v>43600</v>
      </c>
      <c r="E2436" s="138" t="s">
        <v>721</v>
      </c>
    </row>
    <row r="2437" spans="1:5" ht="18.75">
      <c r="A2437" s="89" t="str">
        <f t="shared" si="38"/>
        <v>#15947</v>
      </c>
      <c r="B2437" s="138" t="s">
        <v>5412</v>
      </c>
      <c r="C2437" s="236" t="s">
        <v>5411</v>
      </c>
      <c r="D2437" s="206">
        <v>43600</v>
      </c>
      <c r="E2437" s="138" t="s">
        <v>895</v>
      </c>
    </row>
    <row r="2438" spans="1:5" ht="18.75">
      <c r="A2438" s="89" t="str">
        <f t="shared" si="38"/>
        <v>#15950</v>
      </c>
      <c r="B2438" s="138" t="s">
        <v>5414</v>
      </c>
      <c r="C2438" s="236" t="s">
        <v>5413</v>
      </c>
      <c r="D2438" s="206">
        <v>43606</v>
      </c>
      <c r="E2438" s="138" t="s">
        <v>1444</v>
      </c>
    </row>
    <row r="2439" spans="1:5" ht="18.75">
      <c r="A2439" s="89" t="str">
        <f t="shared" si="38"/>
        <v>#15952</v>
      </c>
      <c r="B2439" s="138" t="s">
        <v>5416</v>
      </c>
      <c r="C2439" s="236" t="s">
        <v>5415</v>
      </c>
      <c r="D2439" s="206">
        <v>43607</v>
      </c>
      <c r="E2439" s="138" t="s">
        <v>906</v>
      </c>
    </row>
    <row r="2440" spans="1:5" ht="18.75">
      <c r="A2440" s="89" t="str">
        <f t="shared" si="38"/>
        <v>#15971</v>
      </c>
      <c r="B2440" s="138" t="s">
        <v>5418</v>
      </c>
      <c r="C2440" s="236" t="s">
        <v>5417</v>
      </c>
      <c r="D2440" s="206">
        <v>43607</v>
      </c>
      <c r="E2440" s="138" t="s">
        <v>1133</v>
      </c>
    </row>
    <row r="2441" spans="1:5" ht="18.75">
      <c r="A2441" s="89" t="str">
        <f t="shared" si="38"/>
        <v>#15973</v>
      </c>
      <c r="B2441" s="138" t="s">
        <v>5419</v>
      </c>
      <c r="C2441" s="236" t="s">
        <v>1315</v>
      </c>
      <c r="D2441" s="206">
        <v>43607</v>
      </c>
      <c r="E2441" s="138" t="s">
        <v>1133</v>
      </c>
    </row>
    <row r="2442" spans="1:5" ht="18.75">
      <c r="A2442" s="89" t="str">
        <f t="shared" si="38"/>
        <v>#15978</v>
      </c>
      <c r="B2442" s="138" t="s">
        <v>5420</v>
      </c>
      <c r="C2442" s="236" t="s">
        <v>1407</v>
      </c>
      <c r="D2442" s="206">
        <v>43607</v>
      </c>
      <c r="E2442" s="138" t="s">
        <v>924</v>
      </c>
    </row>
    <row r="2443" spans="1:5" ht="18.75">
      <c r="A2443" s="89" t="str">
        <f t="shared" si="38"/>
        <v>#15984</v>
      </c>
      <c r="B2443" s="138" t="s">
        <v>5421</v>
      </c>
      <c r="C2443" s="236" t="s">
        <v>1498</v>
      </c>
      <c r="D2443" s="206">
        <v>43607</v>
      </c>
      <c r="E2443" s="138" t="s">
        <v>924</v>
      </c>
    </row>
    <row r="2444" spans="1:5" ht="18.75">
      <c r="A2444" s="89" t="str">
        <f t="shared" si="38"/>
        <v>#15987</v>
      </c>
      <c r="B2444" s="138" t="s">
        <v>5423</v>
      </c>
      <c r="C2444" s="236" t="s">
        <v>5422</v>
      </c>
      <c r="D2444" s="206">
        <v>43607</v>
      </c>
      <c r="E2444" s="138" t="s">
        <v>1034</v>
      </c>
    </row>
    <row r="2445" spans="1:5" ht="18.75">
      <c r="A2445" s="89" t="str">
        <f t="shared" si="38"/>
        <v>#15988</v>
      </c>
      <c r="B2445" s="138" t="s">
        <v>5425</v>
      </c>
      <c r="C2445" s="236" t="s">
        <v>5424</v>
      </c>
      <c r="D2445" s="206">
        <v>43607</v>
      </c>
      <c r="E2445" s="138" t="s">
        <v>937</v>
      </c>
    </row>
    <row r="2446" spans="1:5" ht="18.75">
      <c r="A2446" s="89" t="str">
        <f t="shared" si="38"/>
        <v>#15996</v>
      </c>
      <c r="B2446" s="138" t="s">
        <v>5426</v>
      </c>
      <c r="C2446" s="236" t="s">
        <v>1943</v>
      </c>
      <c r="D2446" s="206">
        <v>43607</v>
      </c>
      <c r="E2446" s="138" t="s">
        <v>937</v>
      </c>
    </row>
    <row r="2447" spans="1:5" ht="18.75">
      <c r="A2447" s="89" t="str">
        <f t="shared" si="38"/>
        <v>#16002</v>
      </c>
      <c r="B2447" s="138" t="s">
        <v>5428</v>
      </c>
      <c r="C2447" s="236" t="s">
        <v>5427</v>
      </c>
      <c r="D2447" s="206">
        <v>43612</v>
      </c>
      <c r="E2447" s="138" t="s">
        <v>1004</v>
      </c>
    </row>
    <row r="2448" spans="1:5" ht="18.75">
      <c r="A2448" s="89" t="str">
        <f t="shared" si="38"/>
        <v>#16021</v>
      </c>
      <c r="B2448" s="138" t="s">
        <v>5430</v>
      </c>
      <c r="C2448" s="236" t="s">
        <v>5429</v>
      </c>
      <c r="D2448" s="206">
        <v>43614</v>
      </c>
      <c r="E2448" s="138" t="s">
        <v>937</v>
      </c>
    </row>
    <row r="2449" spans="1:5" ht="18.75">
      <c r="A2449" s="89" t="str">
        <f t="shared" si="38"/>
        <v>#16026</v>
      </c>
      <c r="B2449" s="138" t="s">
        <v>5432</v>
      </c>
      <c r="C2449" s="236" t="s">
        <v>5431</v>
      </c>
      <c r="D2449" s="206">
        <v>43614</v>
      </c>
      <c r="E2449" s="138" t="s">
        <v>937</v>
      </c>
    </row>
    <row r="2450" spans="1:5" ht="18.75">
      <c r="A2450" s="89" t="str">
        <f t="shared" si="38"/>
        <v>#16027</v>
      </c>
      <c r="B2450" s="138" t="s">
        <v>5434</v>
      </c>
      <c r="C2450" s="236" t="s">
        <v>5433</v>
      </c>
      <c r="D2450" s="206">
        <v>43614</v>
      </c>
      <c r="E2450" s="138" t="s">
        <v>937</v>
      </c>
    </row>
    <row r="2451" spans="1:5" ht="18.75">
      <c r="A2451" s="89" t="str">
        <f t="shared" si="38"/>
        <v>#16031</v>
      </c>
      <c r="B2451" s="138" t="s">
        <v>5436</v>
      </c>
      <c r="C2451" s="236" t="s">
        <v>5435</v>
      </c>
      <c r="D2451" s="206">
        <v>43614</v>
      </c>
      <c r="E2451" s="138" t="s">
        <v>1085</v>
      </c>
    </row>
    <row r="2452" spans="1:5" ht="18.75">
      <c r="A2452" s="89" t="str">
        <f t="shared" si="38"/>
        <v>#16055</v>
      </c>
      <c r="B2452" s="138" t="s">
        <v>5438</v>
      </c>
      <c r="C2452" s="236" t="s">
        <v>5437</v>
      </c>
      <c r="D2452" s="206">
        <v>43614</v>
      </c>
      <c r="E2452" s="138" t="s">
        <v>937</v>
      </c>
    </row>
    <row r="2453" spans="1:5" ht="18.75">
      <c r="A2453" s="89" t="str">
        <f t="shared" si="38"/>
        <v>#16059</v>
      </c>
      <c r="B2453" s="138" t="s">
        <v>5440</v>
      </c>
      <c r="C2453" s="236" t="s">
        <v>5439</v>
      </c>
      <c r="D2453" s="206">
        <v>43621</v>
      </c>
      <c r="E2453" s="138" t="s">
        <v>721</v>
      </c>
    </row>
    <row r="2454" spans="1:5" ht="18.75">
      <c r="A2454" s="89" t="str">
        <f t="shared" si="38"/>
        <v>#16066</v>
      </c>
      <c r="B2454" s="138" t="s">
        <v>5441</v>
      </c>
      <c r="C2454" s="236" t="s">
        <v>2090</v>
      </c>
      <c r="D2454" s="206">
        <v>43621</v>
      </c>
      <c r="E2454" s="138" t="s">
        <v>948</v>
      </c>
    </row>
    <row r="2455" spans="1:5" ht="18.75">
      <c r="A2455" s="89" t="str">
        <f t="shared" si="38"/>
        <v>#16069</v>
      </c>
      <c r="B2455" s="138" t="s">
        <v>5443</v>
      </c>
      <c r="C2455" s="236" t="s">
        <v>5442</v>
      </c>
      <c r="D2455" s="206">
        <v>43621</v>
      </c>
      <c r="E2455" s="138" t="s">
        <v>1133</v>
      </c>
    </row>
    <row r="2456" spans="1:5" ht="18.75">
      <c r="A2456" s="89" t="str">
        <f t="shared" si="38"/>
        <v>#16077</v>
      </c>
      <c r="B2456" s="138" t="s">
        <v>5444</v>
      </c>
      <c r="C2456" s="236" t="s">
        <v>1327</v>
      </c>
      <c r="D2456" s="206">
        <v>43621</v>
      </c>
      <c r="E2456" s="138" t="s">
        <v>985</v>
      </c>
    </row>
    <row r="2457" spans="1:5" ht="18.75">
      <c r="A2457" s="89" t="str">
        <f t="shared" si="38"/>
        <v>#16116</v>
      </c>
      <c r="B2457" s="138" t="s">
        <v>5446</v>
      </c>
      <c r="C2457" s="236" t="s">
        <v>5445</v>
      </c>
      <c r="D2457" s="206">
        <v>43621</v>
      </c>
      <c r="E2457" s="138" t="s">
        <v>937</v>
      </c>
    </row>
    <row r="2458" spans="1:5" ht="18.75">
      <c r="A2458" s="89" t="str">
        <f t="shared" si="38"/>
        <v>#16118</v>
      </c>
      <c r="B2458" s="138" t="s">
        <v>5448</v>
      </c>
      <c r="C2458" s="236" t="s">
        <v>5447</v>
      </c>
      <c r="D2458" s="206">
        <v>43621</v>
      </c>
      <c r="E2458" s="138" t="s">
        <v>937</v>
      </c>
    </row>
    <row r="2459" spans="1:5" ht="18.75">
      <c r="A2459" s="89" t="str">
        <f t="shared" si="38"/>
        <v>#16126</v>
      </c>
      <c r="B2459" s="138" t="s">
        <v>5450</v>
      </c>
      <c r="C2459" s="236" t="s">
        <v>5449</v>
      </c>
      <c r="D2459" s="206">
        <v>43621</v>
      </c>
      <c r="E2459" s="138" t="s">
        <v>7818</v>
      </c>
    </row>
    <row r="2460" spans="1:5" ht="18.75">
      <c r="A2460" s="89" t="str">
        <f t="shared" si="38"/>
        <v>#16138</v>
      </c>
      <c r="B2460" s="138" t="s">
        <v>5452</v>
      </c>
      <c r="C2460" s="236" t="s">
        <v>5451</v>
      </c>
      <c r="D2460" s="206">
        <v>43626</v>
      </c>
      <c r="E2460" s="138" t="s">
        <v>773</v>
      </c>
    </row>
    <row r="2461" spans="1:5" ht="18.75">
      <c r="A2461" s="89" t="str">
        <f t="shared" si="38"/>
        <v>#16141</v>
      </c>
      <c r="B2461" s="138" t="s">
        <v>5454</v>
      </c>
      <c r="C2461" s="236" t="s">
        <v>5453</v>
      </c>
      <c r="D2461" s="206">
        <v>43628</v>
      </c>
      <c r="E2461" s="138" t="s">
        <v>906</v>
      </c>
    </row>
    <row r="2462" spans="1:5" ht="18.75">
      <c r="A2462" s="89" t="str">
        <f t="shared" si="38"/>
        <v>#16143</v>
      </c>
      <c r="B2462" s="138" t="s">
        <v>5456</v>
      </c>
      <c r="C2462" s="236" t="s">
        <v>5455</v>
      </c>
      <c r="D2462" s="206">
        <v>43628</v>
      </c>
      <c r="E2462" s="138" t="s">
        <v>743</v>
      </c>
    </row>
    <row r="2463" spans="1:5" ht="18.75">
      <c r="A2463" s="89" t="str">
        <f t="shared" si="38"/>
        <v>#16150</v>
      </c>
      <c r="B2463" s="138" t="s">
        <v>5458</v>
      </c>
      <c r="C2463" s="236" t="s">
        <v>5457</v>
      </c>
      <c r="D2463" s="206">
        <v>43628</v>
      </c>
      <c r="E2463" s="138" t="s">
        <v>1085</v>
      </c>
    </row>
    <row r="2464" spans="1:5" ht="18.75">
      <c r="A2464" s="89" t="str">
        <f t="shared" si="38"/>
        <v>#16162</v>
      </c>
      <c r="B2464" s="138" t="s">
        <v>5459</v>
      </c>
      <c r="C2464" s="236" t="s">
        <v>3066</v>
      </c>
      <c r="D2464" s="206">
        <v>43628</v>
      </c>
      <c r="E2464" s="138" t="s">
        <v>927</v>
      </c>
    </row>
    <row r="2465" spans="1:5" ht="18.75">
      <c r="A2465" s="89" t="str">
        <f t="shared" si="38"/>
        <v>#16172</v>
      </c>
      <c r="B2465" s="138" t="s">
        <v>5461</v>
      </c>
      <c r="C2465" s="236" t="s">
        <v>5460</v>
      </c>
      <c r="D2465" s="206">
        <v>43628</v>
      </c>
      <c r="E2465" s="138" t="s">
        <v>7818</v>
      </c>
    </row>
    <row r="2466" spans="1:5" ht="18.75">
      <c r="A2466" s="89" t="str">
        <f t="shared" si="38"/>
        <v>#16183</v>
      </c>
      <c r="B2466" s="138" t="s">
        <v>5463</v>
      </c>
      <c r="C2466" s="236" t="s">
        <v>5462</v>
      </c>
      <c r="D2466" s="206">
        <v>43628</v>
      </c>
      <c r="E2466" s="138" t="s">
        <v>5177</v>
      </c>
    </row>
    <row r="2467" spans="1:5" ht="18.75">
      <c r="A2467" s="89" t="str">
        <f t="shared" si="38"/>
        <v>#16187</v>
      </c>
      <c r="B2467" s="138" t="s">
        <v>5465</v>
      </c>
      <c r="C2467" s="236" t="s">
        <v>5464</v>
      </c>
      <c r="D2467" s="206">
        <v>43628</v>
      </c>
      <c r="E2467" s="138" t="s">
        <v>957</v>
      </c>
    </row>
    <row r="2468" spans="1:5" ht="18.75">
      <c r="A2468" s="89" t="str">
        <f t="shared" si="38"/>
        <v>#16189</v>
      </c>
      <c r="B2468" s="138" t="s">
        <v>5467</v>
      </c>
      <c r="C2468" s="236" t="s">
        <v>5466</v>
      </c>
      <c r="D2468" s="206">
        <v>43628</v>
      </c>
      <c r="E2468" s="138" t="s">
        <v>924</v>
      </c>
    </row>
    <row r="2469" spans="1:5" ht="18.75">
      <c r="A2469" s="89" t="str">
        <f t="shared" si="38"/>
        <v>#16190</v>
      </c>
      <c r="B2469" s="138" t="s">
        <v>5469</v>
      </c>
      <c r="C2469" s="236" t="s">
        <v>5468</v>
      </c>
      <c r="D2469" s="206">
        <v>43628</v>
      </c>
      <c r="E2469" s="138" t="s">
        <v>924</v>
      </c>
    </row>
    <row r="2470" spans="1:5" ht="18.75">
      <c r="A2470" s="89" t="str">
        <f t="shared" si="38"/>
        <v>#16191</v>
      </c>
      <c r="B2470" s="138" t="s">
        <v>5470</v>
      </c>
      <c r="C2470" s="236" t="s">
        <v>2984</v>
      </c>
      <c r="D2470" s="206">
        <v>43628</v>
      </c>
      <c r="E2470" s="138" t="s">
        <v>924</v>
      </c>
    </row>
    <row r="2471" spans="1:5" ht="18.75">
      <c r="A2471" s="89" t="str">
        <f t="shared" si="38"/>
        <v>#16198</v>
      </c>
      <c r="B2471" s="138" t="s">
        <v>5472</v>
      </c>
      <c r="C2471" s="236" t="s">
        <v>5471</v>
      </c>
      <c r="D2471" s="206">
        <v>43633</v>
      </c>
      <c r="E2471" s="138" t="s">
        <v>906</v>
      </c>
    </row>
    <row r="2472" spans="1:5" ht="18.75">
      <c r="A2472" s="89" t="str">
        <f t="shared" si="38"/>
        <v>#16199</v>
      </c>
      <c r="B2472" s="138" t="s">
        <v>5473</v>
      </c>
      <c r="C2472" s="236" t="s">
        <v>3484</v>
      </c>
      <c r="D2472" s="206">
        <v>43633</v>
      </c>
      <c r="E2472" s="138" t="s">
        <v>906</v>
      </c>
    </row>
    <row r="2473" spans="1:5" ht="18.75">
      <c r="A2473" s="89" t="str">
        <f t="shared" si="38"/>
        <v>#16203</v>
      </c>
      <c r="B2473" s="138" t="s">
        <v>5475</v>
      </c>
      <c r="C2473" s="236" t="s">
        <v>5474</v>
      </c>
      <c r="D2473" s="206">
        <v>43635</v>
      </c>
      <c r="E2473" s="138" t="s">
        <v>927</v>
      </c>
    </row>
    <row r="2474" spans="1:5" ht="18.75">
      <c r="A2474" s="89" t="str">
        <f t="shared" si="38"/>
        <v>#16212</v>
      </c>
      <c r="B2474" s="138" t="s">
        <v>5477</v>
      </c>
      <c r="C2474" s="236" t="s">
        <v>5476</v>
      </c>
      <c r="D2474" s="206">
        <v>43635</v>
      </c>
      <c r="E2474" s="138" t="s">
        <v>8037</v>
      </c>
    </row>
    <row r="2475" spans="1:5" ht="18.75">
      <c r="A2475" s="89" t="str">
        <f t="shared" si="38"/>
        <v>#16213</v>
      </c>
      <c r="B2475" s="138" t="s">
        <v>5479</v>
      </c>
      <c r="C2475" s="236" t="s">
        <v>5478</v>
      </c>
      <c r="D2475" s="206">
        <v>43635</v>
      </c>
      <c r="E2475" s="138" t="s">
        <v>948</v>
      </c>
    </row>
    <row r="2476" spans="1:5" ht="18.75">
      <c r="A2476" s="89" t="str">
        <f t="shared" si="38"/>
        <v>#16219</v>
      </c>
      <c r="B2476" s="138" t="s">
        <v>5480</v>
      </c>
      <c r="C2476" s="236" t="s">
        <v>3781</v>
      </c>
      <c r="D2476" s="206">
        <v>43635</v>
      </c>
      <c r="E2476" s="138" t="s">
        <v>1098</v>
      </c>
    </row>
    <row r="2477" spans="1:5" ht="18.75">
      <c r="A2477" s="89" t="str">
        <f t="shared" si="38"/>
        <v>#16220</v>
      </c>
      <c r="B2477" s="138" t="s">
        <v>5482</v>
      </c>
      <c r="C2477" s="236" t="s">
        <v>5481</v>
      </c>
      <c r="D2477" s="206">
        <v>43635</v>
      </c>
      <c r="E2477" s="138" t="s">
        <v>7818</v>
      </c>
    </row>
    <row r="2478" spans="1:5" ht="18.75">
      <c r="A2478" s="89" t="str">
        <f t="shared" si="38"/>
        <v>#16268</v>
      </c>
      <c r="B2478" s="138" t="s">
        <v>5484</v>
      </c>
      <c r="C2478" s="236" t="s">
        <v>5483</v>
      </c>
      <c r="D2478" s="206">
        <v>43642</v>
      </c>
      <c r="E2478" s="138" t="s">
        <v>1085</v>
      </c>
    </row>
    <row r="2479" spans="1:5" ht="18.75">
      <c r="A2479" s="89" t="str">
        <f t="shared" si="38"/>
        <v>#16273</v>
      </c>
      <c r="B2479" s="138" t="s">
        <v>5486</v>
      </c>
      <c r="C2479" s="236" t="s">
        <v>5485</v>
      </c>
      <c r="D2479" s="206">
        <v>43642</v>
      </c>
      <c r="E2479" s="138" t="s">
        <v>957</v>
      </c>
    </row>
    <row r="2480" spans="1:5" ht="18.75">
      <c r="A2480" s="89" t="str">
        <f t="shared" si="38"/>
        <v>#16289</v>
      </c>
      <c r="B2480" s="138" t="s">
        <v>5487</v>
      </c>
      <c r="C2480" s="236" t="s">
        <v>3130</v>
      </c>
      <c r="D2480" s="206">
        <v>43647</v>
      </c>
      <c r="E2480" s="138" t="s">
        <v>1004</v>
      </c>
    </row>
    <row r="2481" spans="1:5" ht="18.75">
      <c r="A2481" s="89" t="str">
        <f t="shared" si="38"/>
        <v>#16290</v>
      </c>
      <c r="B2481" s="138" t="s">
        <v>5488</v>
      </c>
      <c r="C2481" s="236" t="s">
        <v>979</v>
      </c>
      <c r="D2481" s="206">
        <v>43647</v>
      </c>
      <c r="E2481" s="138" t="s">
        <v>1004</v>
      </c>
    </row>
    <row r="2482" spans="1:5" ht="18.75">
      <c r="A2482" s="89" t="str">
        <f t="shared" si="38"/>
        <v>#16291</v>
      </c>
      <c r="B2482" s="138" t="s">
        <v>5490</v>
      </c>
      <c r="C2482" s="236" t="s">
        <v>5489</v>
      </c>
      <c r="D2482" s="206">
        <v>43649</v>
      </c>
      <c r="E2482" s="138" t="s">
        <v>906</v>
      </c>
    </row>
    <row r="2483" spans="1:5" ht="18.75">
      <c r="A2483" s="89" t="str">
        <f t="shared" si="38"/>
        <v>#16296</v>
      </c>
      <c r="B2483" s="138" t="s">
        <v>5492</v>
      </c>
      <c r="C2483" s="236" t="s">
        <v>5491</v>
      </c>
      <c r="D2483" s="206">
        <v>43649</v>
      </c>
      <c r="E2483" s="138" t="s">
        <v>906</v>
      </c>
    </row>
    <row r="2484" spans="1:5" ht="18.75">
      <c r="A2484" s="89" t="str">
        <f t="shared" si="38"/>
        <v>#16302</v>
      </c>
      <c r="B2484" s="138" t="s">
        <v>5493</v>
      </c>
      <c r="C2484" s="236" t="s">
        <v>1588</v>
      </c>
      <c r="D2484" s="206">
        <v>43649</v>
      </c>
      <c r="E2484" s="138" t="s">
        <v>1133</v>
      </c>
    </row>
    <row r="2485" spans="1:5" ht="18.75">
      <c r="A2485" s="89" t="str">
        <f t="shared" si="38"/>
        <v>#16305</v>
      </c>
      <c r="B2485" s="138" t="s">
        <v>5495</v>
      </c>
      <c r="C2485" s="236" t="s">
        <v>5494</v>
      </c>
      <c r="D2485" s="206">
        <v>43649</v>
      </c>
      <c r="E2485" s="138" t="s">
        <v>1133</v>
      </c>
    </row>
    <row r="2486" spans="1:5" ht="18.75">
      <c r="A2486" s="89" t="str">
        <f t="shared" si="38"/>
        <v>#16337</v>
      </c>
      <c r="B2486" s="138" t="s">
        <v>5497</v>
      </c>
      <c r="C2486" s="236" t="s">
        <v>5496</v>
      </c>
      <c r="D2486" s="206">
        <v>43649</v>
      </c>
      <c r="E2486" s="138" t="s">
        <v>7818</v>
      </c>
    </row>
    <row r="2487" spans="1:5" ht="18.75">
      <c r="A2487" s="89" t="str">
        <f t="shared" si="38"/>
        <v>#16353</v>
      </c>
      <c r="B2487" s="138" t="s">
        <v>5499</v>
      </c>
      <c r="C2487" s="236" t="s">
        <v>5498</v>
      </c>
      <c r="D2487" s="206">
        <v>43649</v>
      </c>
      <c r="E2487" s="138" t="s">
        <v>937</v>
      </c>
    </row>
    <row r="2488" spans="1:5" ht="18.75">
      <c r="A2488" s="89" t="str">
        <f t="shared" si="38"/>
        <v>#16359</v>
      </c>
      <c r="B2488" s="138" t="s">
        <v>5501</v>
      </c>
      <c r="C2488" s="236" t="s">
        <v>5500</v>
      </c>
      <c r="D2488" s="206">
        <v>43649</v>
      </c>
      <c r="E2488" s="138" t="s">
        <v>985</v>
      </c>
    </row>
    <row r="2489" spans="1:5" ht="18.75">
      <c r="A2489" s="89" t="str">
        <f t="shared" si="38"/>
        <v>#16362</v>
      </c>
      <c r="B2489" s="138" t="s">
        <v>5502</v>
      </c>
      <c r="C2489" s="236" t="s">
        <v>2084</v>
      </c>
      <c r="D2489" s="206">
        <v>43650</v>
      </c>
      <c r="E2489" s="138" t="s">
        <v>1052</v>
      </c>
    </row>
    <row r="2490" spans="1:5" ht="18.75">
      <c r="A2490" s="89" t="str">
        <f t="shared" si="38"/>
        <v>#16363</v>
      </c>
      <c r="B2490" s="138" t="s">
        <v>5504</v>
      </c>
      <c r="C2490" s="236" t="s">
        <v>5503</v>
      </c>
      <c r="D2490" s="206">
        <v>43654</v>
      </c>
      <c r="E2490" s="138" t="s">
        <v>1675</v>
      </c>
    </row>
    <row r="2491" spans="1:5" ht="18.75">
      <c r="A2491" s="89" t="str">
        <f t="shared" si="38"/>
        <v>#16377</v>
      </c>
      <c r="B2491" s="138" t="s">
        <v>5506</v>
      </c>
      <c r="C2491" s="236" t="s">
        <v>5505</v>
      </c>
      <c r="D2491" s="206">
        <v>43656</v>
      </c>
      <c r="E2491" s="138" t="s">
        <v>937</v>
      </c>
    </row>
    <row r="2492" spans="1:5" ht="18.75">
      <c r="A2492" s="89" t="str">
        <f t="shared" si="38"/>
        <v>#16389</v>
      </c>
      <c r="B2492" s="138" t="s">
        <v>5507</v>
      </c>
      <c r="C2492" s="236" t="s">
        <v>4333</v>
      </c>
      <c r="D2492" s="206">
        <v>43656</v>
      </c>
      <c r="E2492" s="138" t="s">
        <v>890</v>
      </c>
    </row>
    <row r="2493" spans="1:5" ht="18.75">
      <c r="A2493" s="89" t="str">
        <f t="shared" si="38"/>
        <v>#16392</v>
      </c>
      <c r="B2493" s="138" t="s">
        <v>5509</v>
      </c>
      <c r="C2493" s="236" t="s">
        <v>5508</v>
      </c>
      <c r="D2493" s="206">
        <v>43656</v>
      </c>
      <c r="E2493" s="138" t="s">
        <v>1085</v>
      </c>
    </row>
    <row r="2494" spans="1:5" ht="18.75">
      <c r="A2494" s="89" t="str">
        <f t="shared" si="38"/>
        <v>#16412</v>
      </c>
      <c r="B2494" s="138" t="s">
        <v>5511</v>
      </c>
      <c r="C2494" s="236" t="s">
        <v>5510</v>
      </c>
      <c r="D2494" s="206">
        <v>43656</v>
      </c>
      <c r="E2494" s="138" t="s">
        <v>7818</v>
      </c>
    </row>
    <row r="2495" spans="1:5" ht="18.75">
      <c r="A2495" s="89" t="str">
        <f t="shared" si="38"/>
        <v>#16434</v>
      </c>
      <c r="B2495" s="138" t="s">
        <v>5513</v>
      </c>
      <c r="C2495" s="236" t="s">
        <v>5512</v>
      </c>
      <c r="D2495" s="206">
        <v>43656</v>
      </c>
      <c r="E2495" s="138" t="s">
        <v>927</v>
      </c>
    </row>
    <row r="2496" spans="1:5" ht="18.75">
      <c r="A2496" s="89" t="str">
        <f t="shared" si="38"/>
        <v>#16437</v>
      </c>
      <c r="B2496" s="138" t="s">
        <v>5515</v>
      </c>
      <c r="C2496" s="236" t="s">
        <v>5514</v>
      </c>
      <c r="D2496" s="206">
        <v>43656</v>
      </c>
      <c r="E2496" s="138" t="s">
        <v>1113</v>
      </c>
    </row>
    <row r="2497" spans="1:5" ht="18.75">
      <c r="A2497" s="89" t="str">
        <f t="shared" si="38"/>
        <v>#16439</v>
      </c>
      <c r="B2497" s="138" t="s">
        <v>5517</v>
      </c>
      <c r="C2497" s="236" t="s">
        <v>5516</v>
      </c>
      <c r="D2497" s="206">
        <v>43658</v>
      </c>
      <c r="E2497" s="138" t="s">
        <v>1541</v>
      </c>
    </row>
    <row r="2498" spans="1:5" ht="18.75">
      <c r="A2498" s="89" t="str">
        <f t="shared" si="38"/>
        <v>#16449</v>
      </c>
      <c r="B2498" s="138" t="s">
        <v>5519</v>
      </c>
      <c r="C2498" s="236" t="s">
        <v>5518</v>
      </c>
      <c r="D2498" s="206">
        <v>43663</v>
      </c>
      <c r="E2498" s="138" t="s">
        <v>978</v>
      </c>
    </row>
    <row r="2499" spans="1:5" ht="18.75">
      <c r="A2499" s="89" t="str">
        <f t="shared" ref="A2499:A2562" si="39">"#"&amp;B2499</f>
        <v>#16460</v>
      </c>
      <c r="B2499" s="138" t="s">
        <v>5521</v>
      </c>
      <c r="C2499" s="236" t="s">
        <v>5520</v>
      </c>
      <c r="D2499" s="206">
        <v>43663</v>
      </c>
      <c r="E2499" s="138" t="s">
        <v>7818</v>
      </c>
    </row>
    <row r="2500" spans="1:5" ht="18.75">
      <c r="A2500" s="89" t="str">
        <f t="shared" si="39"/>
        <v>#16466</v>
      </c>
      <c r="B2500" s="138" t="s">
        <v>5523</v>
      </c>
      <c r="C2500" s="236" t="s">
        <v>5522</v>
      </c>
      <c r="D2500" s="206">
        <v>43663</v>
      </c>
      <c r="E2500" s="138" t="s">
        <v>890</v>
      </c>
    </row>
    <row r="2501" spans="1:5" ht="18.75">
      <c r="A2501" s="89" t="str">
        <f t="shared" si="39"/>
        <v>#16476</v>
      </c>
      <c r="B2501" s="138" t="s">
        <v>5525</v>
      </c>
      <c r="C2501" s="236" t="s">
        <v>5524</v>
      </c>
      <c r="D2501" s="206">
        <v>43663</v>
      </c>
      <c r="E2501" s="138" t="s">
        <v>927</v>
      </c>
    </row>
    <row r="2502" spans="1:5" ht="18.75">
      <c r="A2502" s="89" t="str">
        <f t="shared" si="39"/>
        <v>#16486</v>
      </c>
      <c r="B2502" s="138" t="s">
        <v>5527</v>
      </c>
      <c r="C2502" s="236" t="s">
        <v>5526</v>
      </c>
      <c r="D2502" s="206">
        <v>43663</v>
      </c>
      <c r="E2502" s="138" t="s">
        <v>1043</v>
      </c>
    </row>
    <row r="2503" spans="1:5" ht="18.75">
      <c r="A2503" s="89" t="str">
        <f t="shared" si="39"/>
        <v>#16490</v>
      </c>
      <c r="B2503" s="138" t="s">
        <v>5529</v>
      </c>
      <c r="C2503" s="236" t="s">
        <v>5528</v>
      </c>
      <c r="D2503" s="206">
        <v>43663</v>
      </c>
      <c r="E2503" s="138" t="s">
        <v>1085</v>
      </c>
    </row>
    <row r="2504" spans="1:5" ht="18.75">
      <c r="A2504" s="89" t="str">
        <f t="shared" si="39"/>
        <v>#16506</v>
      </c>
      <c r="B2504" s="138" t="s">
        <v>5531</v>
      </c>
      <c r="C2504" s="236" t="s">
        <v>5530</v>
      </c>
      <c r="D2504" s="206">
        <v>43663</v>
      </c>
      <c r="E2504" s="138" t="s">
        <v>1063</v>
      </c>
    </row>
    <row r="2505" spans="1:5" ht="18.75">
      <c r="A2505" s="89" t="str">
        <f t="shared" si="39"/>
        <v>#16508</v>
      </c>
      <c r="B2505" s="138" t="s">
        <v>5532</v>
      </c>
      <c r="C2505" s="236" t="s">
        <v>1704</v>
      </c>
      <c r="D2505" s="206">
        <v>43663</v>
      </c>
      <c r="E2505" s="138" t="s">
        <v>906</v>
      </c>
    </row>
    <row r="2506" spans="1:5" ht="18.75">
      <c r="A2506" s="89" t="str">
        <f t="shared" si="39"/>
        <v>#16518</v>
      </c>
      <c r="B2506" s="138" t="s">
        <v>5534</v>
      </c>
      <c r="C2506" s="236" t="s">
        <v>5533</v>
      </c>
      <c r="D2506" s="206">
        <v>43670</v>
      </c>
      <c r="E2506" s="138" t="s">
        <v>924</v>
      </c>
    </row>
    <row r="2507" spans="1:5" ht="18.75">
      <c r="A2507" s="89" t="str">
        <f t="shared" si="39"/>
        <v>#16547</v>
      </c>
      <c r="B2507" s="138" t="s">
        <v>5536</v>
      </c>
      <c r="C2507" s="236" t="s">
        <v>5535</v>
      </c>
      <c r="D2507" s="206">
        <v>43670</v>
      </c>
      <c r="E2507" s="138" t="s">
        <v>978</v>
      </c>
    </row>
    <row r="2508" spans="1:5" ht="18.75">
      <c r="A2508" s="89" t="str">
        <f t="shared" si="39"/>
        <v>#16577</v>
      </c>
      <c r="B2508" s="138" t="s">
        <v>5538</v>
      </c>
      <c r="C2508" s="236" t="s">
        <v>5537</v>
      </c>
      <c r="D2508" s="206">
        <v>43670</v>
      </c>
      <c r="E2508" s="138" t="s">
        <v>1541</v>
      </c>
    </row>
    <row r="2509" spans="1:5" ht="18.75">
      <c r="A2509" s="89" t="str">
        <f t="shared" si="39"/>
        <v>#16579</v>
      </c>
      <c r="B2509" s="138" t="s">
        <v>5540</v>
      </c>
      <c r="C2509" s="236" t="s">
        <v>5539</v>
      </c>
      <c r="D2509" s="206">
        <v>43678</v>
      </c>
      <c r="E2509" s="138" t="s">
        <v>957</v>
      </c>
    </row>
    <row r="2510" spans="1:5" ht="18.75">
      <c r="A2510" s="89" t="str">
        <f t="shared" si="39"/>
        <v>#16612</v>
      </c>
      <c r="B2510" s="138" t="s">
        <v>5542</v>
      </c>
      <c r="C2510" s="236" t="s">
        <v>5541</v>
      </c>
      <c r="D2510" s="206">
        <v>43678</v>
      </c>
      <c r="E2510" s="138" t="s">
        <v>7818</v>
      </c>
    </row>
    <row r="2511" spans="1:5" ht="18.75">
      <c r="A2511" s="89" t="str">
        <f t="shared" si="39"/>
        <v>#16624</v>
      </c>
      <c r="B2511" s="138" t="s">
        <v>5543</v>
      </c>
      <c r="C2511" s="236" t="s">
        <v>3329</v>
      </c>
      <c r="D2511" s="206">
        <v>43678</v>
      </c>
      <c r="E2511" s="138" t="s">
        <v>985</v>
      </c>
    </row>
    <row r="2512" spans="1:5" ht="18.75">
      <c r="A2512" s="89" t="str">
        <f t="shared" si="39"/>
        <v>#16629</v>
      </c>
      <c r="B2512" s="138" t="s">
        <v>5545</v>
      </c>
      <c r="C2512" s="236" t="s">
        <v>5544</v>
      </c>
      <c r="D2512" s="206">
        <v>43682</v>
      </c>
      <c r="E2512" s="138" t="s">
        <v>1255</v>
      </c>
    </row>
    <row r="2513" spans="1:5" ht="18.75">
      <c r="A2513" s="89" t="str">
        <f t="shared" si="39"/>
        <v>#16642</v>
      </c>
      <c r="B2513" s="138" t="s">
        <v>5546</v>
      </c>
      <c r="C2513" s="236" t="s">
        <v>1053</v>
      </c>
      <c r="D2513" s="206">
        <v>43685</v>
      </c>
      <c r="E2513" s="138" t="s">
        <v>1085</v>
      </c>
    </row>
    <row r="2514" spans="1:5" ht="18.75">
      <c r="A2514" s="89" t="str">
        <f t="shared" si="39"/>
        <v>#16643</v>
      </c>
      <c r="B2514" s="138" t="s">
        <v>5548</v>
      </c>
      <c r="C2514" s="236" t="s">
        <v>5547</v>
      </c>
      <c r="D2514" s="206">
        <v>43685</v>
      </c>
      <c r="E2514" s="138" t="s">
        <v>1085</v>
      </c>
    </row>
    <row r="2515" spans="1:5" ht="18.75">
      <c r="A2515" s="89" t="str">
        <f t="shared" si="39"/>
        <v>#16656</v>
      </c>
      <c r="B2515" s="138" t="s">
        <v>5550</v>
      </c>
      <c r="C2515" s="236" t="s">
        <v>5549</v>
      </c>
      <c r="D2515" s="206">
        <v>43685</v>
      </c>
      <c r="E2515" s="138" t="s">
        <v>927</v>
      </c>
    </row>
    <row r="2516" spans="1:5" ht="18.75">
      <c r="A2516" s="89" t="str">
        <f t="shared" si="39"/>
        <v>#16657</v>
      </c>
      <c r="B2516" s="138" t="s">
        <v>5552</v>
      </c>
      <c r="C2516" s="236" t="s">
        <v>5551</v>
      </c>
      <c r="D2516" s="206">
        <v>43685</v>
      </c>
      <c r="E2516" s="138" t="s">
        <v>927</v>
      </c>
    </row>
    <row r="2517" spans="1:5" ht="18.75">
      <c r="A2517" s="89" t="str">
        <f t="shared" si="39"/>
        <v>#16669</v>
      </c>
      <c r="B2517" s="138" t="s">
        <v>5553</v>
      </c>
      <c r="C2517" s="236" t="s">
        <v>4924</v>
      </c>
      <c r="D2517" s="206">
        <v>43689</v>
      </c>
      <c r="E2517" s="138" t="s">
        <v>1191</v>
      </c>
    </row>
    <row r="2518" spans="1:5" ht="18.75">
      <c r="A2518" s="89" t="str">
        <f t="shared" si="39"/>
        <v>#16686</v>
      </c>
      <c r="B2518" s="138" t="s">
        <v>5555</v>
      </c>
      <c r="C2518" s="236" t="s">
        <v>5554</v>
      </c>
      <c r="D2518" s="206">
        <v>43692</v>
      </c>
      <c r="E2518" s="138" t="s">
        <v>890</v>
      </c>
    </row>
    <row r="2519" spans="1:5" ht="18.75">
      <c r="A2519" s="89" t="str">
        <f t="shared" si="39"/>
        <v>#16687</v>
      </c>
      <c r="B2519" s="138" t="s">
        <v>5557</v>
      </c>
      <c r="C2519" s="236" t="s">
        <v>5556</v>
      </c>
      <c r="D2519" s="206">
        <v>43692</v>
      </c>
      <c r="E2519" s="138" t="s">
        <v>890</v>
      </c>
    </row>
    <row r="2520" spans="1:5" ht="18.75">
      <c r="A2520" s="89" t="str">
        <f t="shared" si="39"/>
        <v>#16690</v>
      </c>
      <c r="B2520" s="138" t="s">
        <v>5559</v>
      </c>
      <c r="C2520" s="236" t="s">
        <v>5558</v>
      </c>
      <c r="D2520" s="206">
        <v>43692</v>
      </c>
      <c r="E2520" s="138" t="s">
        <v>1098</v>
      </c>
    </row>
    <row r="2521" spans="1:5" ht="18.75">
      <c r="A2521" s="89" t="str">
        <f t="shared" si="39"/>
        <v>#16730</v>
      </c>
      <c r="B2521" s="138" t="s">
        <v>5561</v>
      </c>
      <c r="C2521" s="236" t="s">
        <v>5560</v>
      </c>
      <c r="D2521" s="206">
        <v>43692</v>
      </c>
      <c r="E2521" s="138" t="s">
        <v>906</v>
      </c>
    </row>
    <row r="2522" spans="1:5" ht="18.75">
      <c r="A2522" s="89" t="str">
        <f t="shared" si="39"/>
        <v>#16731</v>
      </c>
      <c r="B2522" s="138" t="s">
        <v>5562</v>
      </c>
      <c r="C2522" s="236" t="s">
        <v>1070</v>
      </c>
      <c r="D2522" s="206">
        <v>43692</v>
      </c>
      <c r="E2522" s="138" t="s">
        <v>906</v>
      </c>
    </row>
    <row r="2523" spans="1:5" ht="18.75">
      <c r="A2523" s="89" t="str">
        <f t="shared" si="39"/>
        <v>#16734</v>
      </c>
      <c r="B2523" s="138" t="s">
        <v>5563</v>
      </c>
      <c r="C2523" s="236" t="s">
        <v>960</v>
      </c>
      <c r="D2523" s="206">
        <v>43692</v>
      </c>
      <c r="E2523" s="138" t="s">
        <v>906</v>
      </c>
    </row>
    <row r="2524" spans="1:5" ht="18.75">
      <c r="A2524" s="89" t="str">
        <f t="shared" si="39"/>
        <v>#16741</v>
      </c>
      <c r="B2524" s="138" t="s">
        <v>5564</v>
      </c>
      <c r="C2524" s="236" t="s">
        <v>2647</v>
      </c>
      <c r="D2524" s="206">
        <v>43692</v>
      </c>
      <c r="E2524" s="138" t="s">
        <v>721</v>
      </c>
    </row>
    <row r="2525" spans="1:5" ht="18.75">
      <c r="A2525" s="89" t="str">
        <f t="shared" si="39"/>
        <v>#16743</v>
      </c>
      <c r="B2525" s="138" t="s">
        <v>5566</v>
      </c>
      <c r="C2525" s="236" t="s">
        <v>5565</v>
      </c>
      <c r="D2525" s="206">
        <v>43696</v>
      </c>
      <c r="E2525" s="138" t="s">
        <v>1191</v>
      </c>
    </row>
    <row r="2526" spans="1:5" ht="18.75">
      <c r="A2526" s="89" t="str">
        <f t="shared" si="39"/>
        <v>#16747</v>
      </c>
      <c r="B2526" s="138" t="s">
        <v>5567</v>
      </c>
      <c r="C2526" s="236" t="s">
        <v>1649</v>
      </c>
      <c r="D2526" s="206">
        <v>43699</v>
      </c>
      <c r="E2526" s="138" t="s">
        <v>906</v>
      </c>
    </row>
    <row r="2527" spans="1:5" ht="18.75">
      <c r="A2527" s="89" t="str">
        <f t="shared" si="39"/>
        <v>#16758</v>
      </c>
      <c r="B2527" s="138" t="s">
        <v>5569</v>
      </c>
      <c r="C2527" s="236" t="s">
        <v>5568</v>
      </c>
      <c r="D2527" s="206">
        <v>43699</v>
      </c>
      <c r="E2527" s="138" t="s">
        <v>927</v>
      </c>
    </row>
    <row r="2528" spans="1:5" ht="18.75">
      <c r="A2528" s="89" t="str">
        <f t="shared" si="39"/>
        <v>#16761</v>
      </c>
      <c r="B2528" s="138" t="s">
        <v>5571</v>
      </c>
      <c r="C2528" s="236" t="s">
        <v>5570</v>
      </c>
      <c r="D2528" s="206">
        <v>43699</v>
      </c>
      <c r="E2528" s="138" t="s">
        <v>985</v>
      </c>
    </row>
    <row r="2529" spans="1:5" ht="18.75">
      <c r="A2529" s="89" t="str">
        <f t="shared" si="39"/>
        <v>#16762</v>
      </c>
      <c r="B2529" s="138" t="s">
        <v>5573</v>
      </c>
      <c r="C2529" s="236" t="s">
        <v>5572</v>
      </c>
      <c r="D2529" s="206">
        <v>43699</v>
      </c>
      <c r="E2529" s="138" t="s">
        <v>7818</v>
      </c>
    </row>
    <row r="2530" spans="1:5" ht="18.75">
      <c r="A2530" s="89" t="str">
        <f t="shared" si="39"/>
        <v>#16807</v>
      </c>
      <c r="B2530" s="138" t="s">
        <v>5575</v>
      </c>
      <c r="C2530" s="236" t="s">
        <v>5574</v>
      </c>
      <c r="D2530" s="206">
        <v>43712</v>
      </c>
      <c r="E2530" s="138" t="s">
        <v>937</v>
      </c>
    </row>
    <row r="2531" spans="1:5" ht="18.75">
      <c r="A2531" s="89" t="str">
        <f t="shared" si="39"/>
        <v>#16824</v>
      </c>
      <c r="B2531" s="138" t="s">
        <v>5577</v>
      </c>
      <c r="C2531" s="236" t="s">
        <v>5576</v>
      </c>
      <c r="D2531" s="206">
        <v>43712</v>
      </c>
      <c r="E2531" s="138" t="s">
        <v>903</v>
      </c>
    </row>
    <row r="2532" spans="1:5" ht="18.75">
      <c r="A2532" s="89" t="str">
        <f t="shared" si="39"/>
        <v>#16826</v>
      </c>
      <c r="B2532" s="138" t="s">
        <v>5579</v>
      </c>
      <c r="C2532" s="236" t="s">
        <v>5578</v>
      </c>
      <c r="D2532" s="206">
        <v>43712</v>
      </c>
      <c r="E2532" s="138" t="s">
        <v>957</v>
      </c>
    </row>
    <row r="2533" spans="1:5" ht="18.75">
      <c r="A2533" s="89" t="str">
        <f t="shared" si="39"/>
        <v>#16831</v>
      </c>
      <c r="B2533" s="138" t="s">
        <v>5580</v>
      </c>
      <c r="C2533" s="236" t="s">
        <v>2348</v>
      </c>
      <c r="D2533" s="206">
        <v>43712</v>
      </c>
      <c r="E2533" s="138" t="s">
        <v>927</v>
      </c>
    </row>
    <row r="2534" spans="1:5" ht="18.75">
      <c r="A2534" s="89" t="str">
        <f t="shared" si="39"/>
        <v>#16851</v>
      </c>
      <c r="B2534" s="138" t="s">
        <v>5582</v>
      </c>
      <c r="C2534" s="236" t="s">
        <v>5581</v>
      </c>
      <c r="D2534" s="206">
        <v>43712</v>
      </c>
      <c r="E2534" s="138" t="s">
        <v>1004</v>
      </c>
    </row>
    <row r="2535" spans="1:5" ht="18.75">
      <c r="A2535" s="89" t="str">
        <f t="shared" si="39"/>
        <v>#16877</v>
      </c>
      <c r="B2535" s="138" t="s">
        <v>5584</v>
      </c>
      <c r="C2535" s="236" t="s">
        <v>5583</v>
      </c>
      <c r="D2535" s="206">
        <v>43720</v>
      </c>
      <c r="E2535" s="138" t="s">
        <v>1043</v>
      </c>
    </row>
    <row r="2536" spans="1:5" ht="18.75">
      <c r="A2536" s="89" t="str">
        <f t="shared" si="39"/>
        <v>#16878</v>
      </c>
      <c r="B2536" s="138" t="s">
        <v>5586</v>
      </c>
      <c r="C2536" s="236" t="s">
        <v>5585</v>
      </c>
      <c r="D2536" s="206">
        <v>43720</v>
      </c>
      <c r="E2536" s="138" t="s">
        <v>1113</v>
      </c>
    </row>
    <row r="2537" spans="1:5" ht="18.75">
      <c r="A2537" s="89" t="str">
        <f t="shared" si="39"/>
        <v>#16880</v>
      </c>
      <c r="B2537" s="138" t="s">
        <v>5587</v>
      </c>
      <c r="C2537" s="236" t="s">
        <v>3747</v>
      </c>
      <c r="D2537" s="206">
        <v>43720</v>
      </c>
      <c r="E2537" s="138" t="s">
        <v>721</v>
      </c>
    </row>
    <row r="2538" spans="1:5" ht="18.75">
      <c r="A2538" s="89" t="str">
        <f t="shared" si="39"/>
        <v>#16882</v>
      </c>
      <c r="B2538" s="138" t="s">
        <v>5589</v>
      </c>
      <c r="C2538" s="236" t="s">
        <v>5588</v>
      </c>
      <c r="D2538" s="206">
        <v>43720</v>
      </c>
      <c r="E2538" s="138" t="s">
        <v>924</v>
      </c>
    </row>
    <row r="2539" spans="1:5" ht="18.75">
      <c r="A2539" s="89" t="str">
        <f t="shared" si="39"/>
        <v>#16893</v>
      </c>
      <c r="B2539" s="138" t="s">
        <v>5591</v>
      </c>
      <c r="C2539" s="236" t="s">
        <v>5590</v>
      </c>
      <c r="D2539" s="206">
        <v>43720</v>
      </c>
      <c r="E2539" s="138" t="s">
        <v>937</v>
      </c>
    </row>
    <row r="2540" spans="1:5" ht="18.75">
      <c r="A2540" s="89" t="str">
        <f t="shared" si="39"/>
        <v>#16897</v>
      </c>
      <c r="B2540" s="138" t="s">
        <v>5593</v>
      </c>
      <c r="C2540" s="236" t="s">
        <v>5592</v>
      </c>
      <c r="D2540" s="206">
        <v>43720</v>
      </c>
      <c r="E2540" s="138" t="s">
        <v>937</v>
      </c>
    </row>
    <row r="2541" spans="1:5" ht="18.75">
      <c r="A2541" s="89" t="str">
        <f t="shared" si="39"/>
        <v>#16908</v>
      </c>
      <c r="B2541" s="138" t="s">
        <v>5594</v>
      </c>
      <c r="C2541" s="236" t="s">
        <v>2647</v>
      </c>
      <c r="D2541" s="206">
        <v>43720</v>
      </c>
      <c r="E2541" s="138" t="s">
        <v>978</v>
      </c>
    </row>
    <row r="2542" spans="1:5" ht="18.75">
      <c r="A2542" s="89" t="str">
        <f t="shared" si="39"/>
        <v>#16917</v>
      </c>
      <c r="B2542" s="138" t="s">
        <v>5596</v>
      </c>
      <c r="C2542" s="236" t="s">
        <v>5595</v>
      </c>
      <c r="D2542" s="206">
        <v>43720</v>
      </c>
      <c r="E2542" s="138" t="s">
        <v>978</v>
      </c>
    </row>
    <row r="2543" spans="1:5" ht="18.75">
      <c r="A2543" s="89" t="str">
        <f t="shared" si="39"/>
        <v>#16918</v>
      </c>
      <c r="B2543" s="138" t="s">
        <v>5598</v>
      </c>
      <c r="C2543" s="236" t="s">
        <v>5597</v>
      </c>
      <c r="D2543" s="206">
        <v>43720</v>
      </c>
      <c r="E2543" s="138" t="s">
        <v>1034</v>
      </c>
    </row>
    <row r="2544" spans="1:5" ht="18.75">
      <c r="A2544" s="89" t="str">
        <f t="shared" si="39"/>
        <v>#16938</v>
      </c>
      <c r="B2544" s="138" t="s">
        <v>5599</v>
      </c>
      <c r="C2544" s="236" t="s">
        <v>2627</v>
      </c>
      <c r="D2544" s="206">
        <v>43728</v>
      </c>
      <c r="E2544" s="138" t="s">
        <v>927</v>
      </c>
    </row>
    <row r="2545" spans="1:5" ht="18.75">
      <c r="A2545" s="89" t="str">
        <f t="shared" si="39"/>
        <v>#16939</v>
      </c>
      <c r="B2545" s="138" t="s">
        <v>5601</v>
      </c>
      <c r="C2545" s="236" t="s">
        <v>5600</v>
      </c>
      <c r="D2545" s="206">
        <v>43728</v>
      </c>
      <c r="E2545" s="138" t="s">
        <v>8037</v>
      </c>
    </row>
    <row r="2546" spans="1:5" ht="18.75">
      <c r="A2546" s="89" t="str">
        <f t="shared" si="39"/>
        <v>#16942</v>
      </c>
      <c r="B2546" s="138" t="s">
        <v>5603</v>
      </c>
      <c r="C2546" s="236" t="s">
        <v>5602</v>
      </c>
      <c r="D2546" s="206">
        <v>43728</v>
      </c>
      <c r="E2546" s="138" t="s">
        <v>1716</v>
      </c>
    </row>
    <row r="2547" spans="1:5" ht="18.75">
      <c r="A2547" s="89" t="str">
        <f t="shared" si="39"/>
        <v>#16958</v>
      </c>
      <c r="B2547" s="138" t="s">
        <v>5604</v>
      </c>
      <c r="C2547" s="236" t="s">
        <v>2384</v>
      </c>
      <c r="D2547" s="206">
        <v>43728</v>
      </c>
      <c r="E2547" s="138" t="s">
        <v>937</v>
      </c>
    </row>
    <row r="2548" spans="1:5" ht="18.75">
      <c r="A2548" s="89" t="str">
        <f t="shared" si="39"/>
        <v>#16961</v>
      </c>
      <c r="B2548" s="138" t="s">
        <v>5606</v>
      </c>
      <c r="C2548" s="236" t="s">
        <v>5605</v>
      </c>
      <c r="D2548" s="206">
        <v>43728</v>
      </c>
      <c r="E2548" s="138" t="s">
        <v>937</v>
      </c>
    </row>
    <row r="2549" spans="1:5" ht="18.75">
      <c r="A2549" s="89" t="str">
        <f t="shared" si="39"/>
        <v>#16968</v>
      </c>
      <c r="B2549" s="138" t="s">
        <v>5607</v>
      </c>
      <c r="C2549" s="236" t="s">
        <v>5328</v>
      </c>
      <c r="D2549" s="206">
        <v>43728</v>
      </c>
      <c r="E2549" s="138" t="s">
        <v>937</v>
      </c>
    </row>
    <row r="2550" spans="1:5" ht="18.75">
      <c r="A2550" s="89" t="str">
        <f t="shared" si="39"/>
        <v>#16983</v>
      </c>
      <c r="B2550" s="138" t="s">
        <v>5608</v>
      </c>
      <c r="C2550" s="236" t="s">
        <v>1287</v>
      </c>
      <c r="D2550" s="206">
        <v>43735</v>
      </c>
      <c r="E2550" s="138" t="s">
        <v>721</v>
      </c>
    </row>
    <row r="2551" spans="1:5" ht="18.75">
      <c r="A2551" s="89" t="str">
        <f t="shared" si="39"/>
        <v>#16995</v>
      </c>
      <c r="B2551" s="138" t="s">
        <v>5610</v>
      </c>
      <c r="C2551" s="236" t="s">
        <v>5609</v>
      </c>
      <c r="D2551" s="206">
        <v>43735</v>
      </c>
      <c r="E2551" s="138" t="s">
        <v>890</v>
      </c>
    </row>
    <row r="2552" spans="1:5" ht="18.75">
      <c r="A2552" s="89" t="str">
        <f t="shared" si="39"/>
        <v>#17016</v>
      </c>
      <c r="B2552" s="138" t="s">
        <v>5612</v>
      </c>
      <c r="C2552" s="236" t="s">
        <v>5611</v>
      </c>
      <c r="D2552" s="206">
        <v>43735</v>
      </c>
      <c r="E2552" s="138" t="s">
        <v>1034</v>
      </c>
    </row>
    <row r="2553" spans="1:5" ht="18.75">
      <c r="A2553" s="89" t="str">
        <f t="shared" si="39"/>
        <v>#17025</v>
      </c>
      <c r="B2553" s="138" t="s">
        <v>5614</v>
      </c>
      <c r="C2553" s="236" t="s">
        <v>5613</v>
      </c>
      <c r="D2553" s="206">
        <v>43739</v>
      </c>
      <c r="E2553" s="138" t="s">
        <v>721</v>
      </c>
    </row>
    <row r="2554" spans="1:5" ht="18.75">
      <c r="A2554" s="89" t="str">
        <f t="shared" si="39"/>
        <v>#17026</v>
      </c>
      <c r="B2554" s="138" t="s">
        <v>5616</v>
      </c>
      <c r="C2554" s="236" t="s">
        <v>5615</v>
      </c>
      <c r="D2554" s="206">
        <v>43742</v>
      </c>
      <c r="E2554" s="138" t="s">
        <v>937</v>
      </c>
    </row>
    <row r="2555" spans="1:5" ht="18.75">
      <c r="A2555" s="89" t="str">
        <f t="shared" si="39"/>
        <v>#17028</v>
      </c>
      <c r="B2555" s="138" t="s">
        <v>5618</v>
      </c>
      <c r="C2555" s="236" t="s">
        <v>5617</v>
      </c>
      <c r="D2555" s="206">
        <v>43742</v>
      </c>
      <c r="E2555" s="138" t="s">
        <v>937</v>
      </c>
    </row>
    <row r="2556" spans="1:5" ht="18.75">
      <c r="A2556" s="89" t="str">
        <f t="shared" si="39"/>
        <v>#17050</v>
      </c>
      <c r="B2556" s="138" t="s">
        <v>5620</v>
      </c>
      <c r="C2556" s="236" t="s">
        <v>5619</v>
      </c>
      <c r="D2556" s="206">
        <v>43742</v>
      </c>
      <c r="E2556" s="138" t="s">
        <v>7818</v>
      </c>
    </row>
    <row r="2557" spans="1:5" ht="18.75">
      <c r="A2557" s="89" t="str">
        <f t="shared" si="39"/>
        <v>#17064</v>
      </c>
      <c r="B2557" s="138" t="s">
        <v>5622</v>
      </c>
      <c r="C2557" s="236" t="s">
        <v>5621</v>
      </c>
      <c r="D2557" s="206">
        <v>43755</v>
      </c>
      <c r="E2557" s="138" t="s">
        <v>1191</v>
      </c>
    </row>
    <row r="2558" spans="1:5" ht="18.75">
      <c r="A2558" s="89" t="str">
        <f t="shared" si="39"/>
        <v>#17066</v>
      </c>
      <c r="B2558" s="138" t="s">
        <v>5624</v>
      </c>
      <c r="C2558" s="236" t="s">
        <v>5623</v>
      </c>
      <c r="D2558" s="206">
        <v>43755</v>
      </c>
      <c r="E2558" s="138" t="s">
        <v>906</v>
      </c>
    </row>
    <row r="2559" spans="1:5" ht="18.75">
      <c r="A2559" s="89" t="str">
        <f t="shared" si="39"/>
        <v>#17068</v>
      </c>
      <c r="B2559" s="138" t="s">
        <v>5626</v>
      </c>
      <c r="C2559" s="236" t="s">
        <v>5625</v>
      </c>
      <c r="D2559" s="206">
        <v>43755</v>
      </c>
      <c r="E2559" s="138" t="s">
        <v>906</v>
      </c>
    </row>
    <row r="2560" spans="1:5" ht="18.75">
      <c r="A2560" s="89" t="str">
        <f t="shared" si="39"/>
        <v>#17069</v>
      </c>
      <c r="B2560" s="138" t="s">
        <v>5628</v>
      </c>
      <c r="C2560" s="236" t="s">
        <v>5627</v>
      </c>
      <c r="D2560" s="206">
        <v>43755</v>
      </c>
      <c r="E2560" s="138" t="s">
        <v>906</v>
      </c>
    </row>
    <row r="2561" spans="1:5" ht="18.75">
      <c r="A2561" s="89" t="str">
        <f t="shared" si="39"/>
        <v>#17073</v>
      </c>
      <c r="B2561" s="138" t="s">
        <v>5630</v>
      </c>
      <c r="C2561" s="236" t="s">
        <v>5629</v>
      </c>
      <c r="D2561" s="206">
        <v>43755</v>
      </c>
      <c r="E2561" s="138" t="s">
        <v>903</v>
      </c>
    </row>
    <row r="2562" spans="1:5" ht="18.75">
      <c r="A2562" s="89" t="str">
        <f t="shared" si="39"/>
        <v>#17088</v>
      </c>
      <c r="B2562" s="138" t="s">
        <v>5632</v>
      </c>
      <c r="C2562" s="236" t="s">
        <v>5631</v>
      </c>
      <c r="D2562" s="206">
        <v>43755</v>
      </c>
      <c r="E2562" s="138" t="s">
        <v>1063</v>
      </c>
    </row>
    <row r="2563" spans="1:5" ht="18.75">
      <c r="A2563" s="89" t="str">
        <f t="shared" ref="A2563:A2626" si="40">"#"&amp;B2563</f>
        <v>#17091</v>
      </c>
      <c r="B2563" s="138" t="s">
        <v>5633</v>
      </c>
      <c r="C2563" s="236" t="s">
        <v>2843</v>
      </c>
      <c r="D2563" s="206">
        <v>43755</v>
      </c>
      <c r="E2563" s="138" t="s">
        <v>924</v>
      </c>
    </row>
    <row r="2564" spans="1:5" ht="18.75">
      <c r="A2564" s="89" t="str">
        <f t="shared" si="40"/>
        <v>#17113</v>
      </c>
      <c r="B2564" s="138" t="s">
        <v>5635</v>
      </c>
      <c r="C2564" s="236" t="s">
        <v>5634</v>
      </c>
      <c r="D2564" s="206">
        <v>43755</v>
      </c>
      <c r="E2564" s="138" t="s">
        <v>895</v>
      </c>
    </row>
    <row r="2565" spans="1:5" ht="18.75">
      <c r="A2565" s="89" t="str">
        <f t="shared" si="40"/>
        <v>#17125</v>
      </c>
      <c r="B2565" s="138" t="s">
        <v>5637</v>
      </c>
      <c r="C2565" s="236" t="s">
        <v>3596</v>
      </c>
      <c r="D2565" s="206">
        <v>43770</v>
      </c>
      <c r="E2565" s="138" t="s">
        <v>927</v>
      </c>
    </row>
    <row r="2566" spans="1:5" ht="18.75">
      <c r="A2566" s="89" t="str">
        <f t="shared" si="40"/>
        <v>#17161</v>
      </c>
      <c r="B2566" s="138" t="s">
        <v>5639</v>
      </c>
      <c r="C2566" s="236" t="s">
        <v>5638</v>
      </c>
      <c r="D2566" s="206">
        <v>43770</v>
      </c>
      <c r="E2566" s="138" t="s">
        <v>927</v>
      </c>
    </row>
    <row r="2567" spans="1:5" ht="18.75">
      <c r="A2567" s="89" t="str">
        <f t="shared" si="40"/>
        <v>#17171</v>
      </c>
      <c r="B2567" s="138" t="s">
        <v>5641</v>
      </c>
      <c r="C2567" s="236" t="s">
        <v>5640</v>
      </c>
      <c r="D2567" s="206">
        <v>43783</v>
      </c>
      <c r="E2567" s="138" t="s">
        <v>903</v>
      </c>
    </row>
    <row r="2568" spans="1:5" ht="18.75">
      <c r="A2568" s="89" t="str">
        <f t="shared" si="40"/>
        <v>#17172</v>
      </c>
      <c r="B2568" s="138" t="s">
        <v>5643</v>
      </c>
      <c r="C2568" s="236" t="s">
        <v>5642</v>
      </c>
      <c r="D2568" s="206">
        <v>43783</v>
      </c>
      <c r="E2568" s="138" t="s">
        <v>1043</v>
      </c>
    </row>
    <row r="2569" spans="1:5" ht="18.75">
      <c r="A2569" s="89" t="str">
        <f t="shared" si="40"/>
        <v>#17174</v>
      </c>
      <c r="B2569" s="138" t="s">
        <v>5645</v>
      </c>
      <c r="C2569" s="236" t="s">
        <v>5644</v>
      </c>
      <c r="D2569" s="206">
        <v>43783</v>
      </c>
      <c r="E2569" s="138" t="s">
        <v>895</v>
      </c>
    </row>
    <row r="2570" spans="1:5" ht="18.75">
      <c r="A2570" s="89" t="str">
        <f t="shared" si="40"/>
        <v>#17175</v>
      </c>
      <c r="B2570" s="138" t="s">
        <v>5647</v>
      </c>
      <c r="C2570" s="236" t="s">
        <v>5646</v>
      </c>
      <c r="D2570" s="206">
        <v>43783</v>
      </c>
      <c r="E2570" s="138" t="s">
        <v>895</v>
      </c>
    </row>
    <row r="2571" spans="1:5" ht="18.75">
      <c r="A2571" s="89" t="str">
        <f t="shared" si="40"/>
        <v>#17176</v>
      </c>
      <c r="B2571" s="138" t="s">
        <v>5649</v>
      </c>
      <c r="C2571" s="236" t="s">
        <v>5648</v>
      </c>
      <c r="D2571" s="206">
        <v>43783</v>
      </c>
      <c r="E2571" s="138" t="s">
        <v>895</v>
      </c>
    </row>
    <row r="2572" spans="1:5" ht="18.75">
      <c r="A2572" s="89" t="str">
        <f t="shared" si="40"/>
        <v>#17186</v>
      </c>
      <c r="B2572" s="138" t="s">
        <v>5651</v>
      </c>
      <c r="C2572" s="236" t="s">
        <v>5650</v>
      </c>
      <c r="D2572" s="206">
        <v>43783</v>
      </c>
      <c r="E2572" s="138" t="s">
        <v>978</v>
      </c>
    </row>
    <row r="2573" spans="1:5" ht="18.75">
      <c r="A2573" s="89" t="str">
        <f t="shared" si="40"/>
        <v>#17194</v>
      </c>
      <c r="B2573" s="138" t="s">
        <v>5653</v>
      </c>
      <c r="C2573" s="236" t="s">
        <v>5652</v>
      </c>
      <c r="D2573" s="206">
        <v>43798</v>
      </c>
      <c r="E2573" s="138" t="s">
        <v>957</v>
      </c>
    </row>
    <row r="2574" spans="1:5" ht="18.75">
      <c r="A2574" s="89" t="str">
        <f t="shared" si="40"/>
        <v>#17197</v>
      </c>
      <c r="B2574" s="138" t="s">
        <v>5655</v>
      </c>
      <c r="C2574" s="236" t="s">
        <v>5654</v>
      </c>
      <c r="D2574" s="206">
        <v>43798</v>
      </c>
      <c r="E2574" s="138" t="s">
        <v>903</v>
      </c>
    </row>
    <row r="2575" spans="1:5" ht="18.75">
      <c r="A2575" s="89" t="str">
        <f t="shared" si="40"/>
        <v>#17198</v>
      </c>
      <c r="B2575" s="138" t="s">
        <v>5657</v>
      </c>
      <c r="C2575" s="236" t="s">
        <v>5656</v>
      </c>
      <c r="D2575" s="206">
        <v>43798</v>
      </c>
      <c r="E2575" s="138" t="s">
        <v>1043</v>
      </c>
    </row>
    <row r="2576" spans="1:5" ht="18.75">
      <c r="A2576" s="89" t="str">
        <f t="shared" si="40"/>
        <v>#17199</v>
      </c>
      <c r="B2576" s="138" t="s">
        <v>5659</v>
      </c>
      <c r="C2576" s="236" t="s">
        <v>5658</v>
      </c>
      <c r="D2576" s="206">
        <v>43798</v>
      </c>
      <c r="E2576" s="138" t="s">
        <v>1043</v>
      </c>
    </row>
    <row r="2577" spans="1:5" ht="18.75">
      <c r="A2577" s="89" t="str">
        <f t="shared" si="40"/>
        <v>#17200</v>
      </c>
      <c r="B2577" s="138" t="s">
        <v>5660</v>
      </c>
      <c r="C2577" s="236" t="s">
        <v>3039</v>
      </c>
      <c r="D2577" s="206">
        <v>43798</v>
      </c>
      <c r="E2577" s="138" t="s">
        <v>1043</v>
      </c>
    </row>
    <row r="2578" spans="1:5" ht="18.75">
      <c r="A2578" s="89" t="str">
        <f t="shared" si="40"/>
        <v>#17211</v>
      </c>
      <c r="B2578" s="138" t="s">
        <v>5661</v>
      </c>
      <c r="C2578" s="236" t="s">
        <v>3938</v>
      </c>
      <c r="D2578" s="206">
        <v>43798</v>
      </c>
      <c r="E2578" s="138" t="s">
        <v>978</v>
      </c>
    </row>
    <row r="2579" spans="1:5" ht="18.75">
      <c r="A2579" s="89" t="str">
        <f t="shared" si="40"/>
        <v>#17213</v>
      </c>
      <c r="B2579" s="138" t="s">
        <v>5663</v>
      </c>
      <c r="C2579" s="236" t="s">
        <v>5662</v>
      </c>
      <c r="D2579" s="206">
        <v>43808</v>
      </c>
      <c r="E2579" s="138" t="s">
        <v>1541</v>
      </c>
    </row>
    <row r="2580" spans="1:5" ht="18.75">
      <c r="A2580" s="89" t="str">
        <f t="shared" si="40"/>
        <v>#17218</v>
      </c>
      <c r="B2580" s="138" t="s">
        <v>5665</v>
      </c>
      <c r="C2580" s="236" t="s">
        <v>5664</v>
      </c>
      <c r="D2580" s="206">
        <v>43811</v>
      </c>
      <c r="E2580" s="138" t="s">
        <v>927</v>
      </c>
    </row>
    <row r="2581" spans="1:5" ht="15.75">
      <c r="A2581" s="89" t="str">
        <f t="shared" si="40"/>
        <v>#17228</v>
      </c>
      <c r="B2581" s="138" t="s">
        <v>5667</v>
      </c>
      <c r="C2581" s="185" t="s">
        <v>5666</v>
      </c>
      <c r="D2581" s="138">
        <v>43811</v>
      </c>
      <c r="E2581" s="138" t="s">
        <v>895</v>
      </c>
    </row>
    <row r="2582" spans="1:5" ht="18.75">
      <c r="A2582" s="89" t="str">
        <f t="shared" si="40"/>
        <v>#17244</v>
      </c>
      <c r="B2582" s="138" t="s">
        <v>5669</v>
      </c>
      <c r="C2582" s="236" t="s">
        <v>5668</v>
      </c>
      <c r="D2582" s="206">
        <v>43868</v>
      </c>
      <c r="E2582" s="138" t="s">
        <v>8037</v>
      </c>
    </row>
    <row r="2583" spans="1:5" ht="18.75">
      <c r="A2583" s="89" t="str">
        <f t="shared" si="40"/>
        <v>#17251</v>
      </c>
      <c r="B2583" s="138" t="s">
        <v>5670</v>
      </c>
      <c r="C2583" s="236" t="s">
        <v>1502</v>
      </c>
      <c r="D2583" s="206">
        <v>43868</v>
      </c>
      <c r="E2583" s="138" t="s">
        <v>927</v>
      </c>
    </row>
    <row r="2584" spans="1:5" ht="18.75">
      <c r="A2584" s="89" t="str">
        <f t="shared" si="40"/>
        <v>#17252</v>
      </c>
      <c r="B2584" s="138" t="s">
        <v>5672</v>
      </c>
      <c r="C2584" s="236" t="s">
        <v>5671</v>
      </c>
      <c r="D2584" s="206">
        <v>43868</v>
      </c>
      <c r="E2584" s="138" t="s">
        <v>927</v>
      </c>
    </row>
    <row r="2585" spans="1:5" ht="18.75">
      <c r="A2585" s="89" t="str">
        <f t="shared" si="40"/>
        <v>#17255</v>
      </c>
      <c r="B2585" s="138" t="s">
        <v>5674</v>
      </c>
      <c r="C2585" s="236" t="s">
        <v>5673</v>
      </c>
      <c r="D2585" s="206">
        <v>43868</v>
      </c>
      <c r="E2585" s="138" t="s">
        <v>927</v>
      </c>
    </row>
    <row r="2586" spans="1:5" ht="18.75">
      <c r="A2586" s="89" t="str">
        <f t="shared" si="40"/>
        <v>#17263</v>
      </c>
      <c r="B2586" s="138" t="s">
        <v>5676</v>
      </c>
      <c r="C2586" s="236" t="s">
        <v>5675</v>
      </c>
      <c r="D2586" s="206">
        <v>43868</v>
      </c>
      <c r="E2586" s="138" t="s">
        <v>903</v>
      </c>
    </row>
    <row r="2587" spans="1:5" ht="18.75">
      <c r="A2587" s="89" t="str">
        <f t="shared" si="40"/>
        <v>#17270</v>
      </c>
      <c r="B2587" s="138" t="s">
        <v>5678</v>
      </c>
      <c r="C2587" s="236" t="s">
        <v>5677</v>
      </c>
      <c r="D2587" s="206">
        <v>43871</v>
      </c>
      <c r="E2587" s="138" t="s">
        <v>721</v>
      </c>
    </row>
    <row r="2588" spans="1:5" ht="18.75">
      <c r="A2588" s="89" t="str">
        <f t="shared" si="40"/>
        <v>#17272</v>
      </c>
      <c r="B2588" s="138" t="s">
        <v>5680</v>
      </c>
      <c r="C2588" s="236" t="s">
        <v>5679</v>
      </c>
      <c r="D2588" s="206">
        <v>43874</v>
      </c>
      <c r="E2588" s="138" t="s">
        <v>8037</v>
      </c>
    </row>
    <row r="2589" spans="1:5" ht="18.75">
      <c r="A2589" s="89" t="str">
        <f t="shared" si="40"/>
        <v>#17274</v>
      </c>
      <c r="B2589" s="138" t="s">
        <v>5682</v>
      </c>
      <c r="C2589" s="236" t="s">
        <v>5681</v>
      </c>
      <c r="D2589" s="206">
        <v>43874</v>
      </c>
      <c r="E2589" s="138" t="s">
        <v>8037</v>
      </c>
    </row>
    <row r="2590" spans="1:5" ht="18.75">
      <c r="A2590" s="89" t="str">
        <f t="shared" si="40"/>
        <v>#17281</v>
      </c>
      <c r="B2590" s="138" t="s">
        <v>5683</v>
      </c>
      <c r="C2590" s="236" t="s">
        <v>2026</v>
      </c>
      <c r="D2590" s="206">
        <v>43874</v>
      </c>
      <c r="E2590" s="138" t="s">
        <v>927</v>
      </c>
    </row>
    <row r="2591" spans="1:5" ht="18.75">
      <c r="A2591" s="89" t="str">
        <f t="shared" si="40"/>
        <v>#17285</v>
      </c>
      <c r="B2591" s="138" t="s">
        <v>5684</v>
      </c>
      <c r="C2591" s="236" t="s">
        <v>4200</v>
      </c>
      <c r="D2591" s="206">
        <v>43874</v>
      </c>
      <c r="E2591" s="138" t="s">
        <v>927</v>
      </c>
    </row>
    <row r="2592" spans="1:5" ht="18.75">
      <c r="A2592" s="89" t="str">
        <f t="shared" si="40"/>
        <v>#17288</v>
      </c>
      <c r="B2592" s="138" t="s">
        <v>5685</v>
      </c>
      <c r="C2592" s="236" t="s">
        <v>2807</v>
      </c>
      <c r="D2592" s="206">
        <v>43874</v>
      </c>
      <c r="E2592" s="138" t="s">
        <v>927</v>
      </c>
    </row>
    <row r="2593" spans="1:5" ht="18.75">
      <c r="A2593" s="89" t="str">
        <f t="shared" si="40"/>
        <v>#17289</v>
      </c>
      <c r="B2593" s="138" t="s">
        <v>5687</v>
      </c>
      <c r="C2593" s="236" t="s">
        <v>5686</v>
      </c>
      <c r="D2593" s="206">
        <v>43874</v>
      </c>
      <c r="E2593" s="138" t="s">
        <v>927</v>
      </c>
    </row>
    <row r="2594" spans="1:5" ht="18.75">
      <c r="A2594" s="89" t="str">
        <f t="shared" si="40"/>
        <v>#17291</v>
      </c>
      <c r="B2594" s="138" t="s">
        <v>5689</v>
      </c>
      <c r="C2594" s="236" t="s">
        <v>5688</v>
      </c>
      <c r="D2594" s="206">
        <v>43874</v>
      </c>
      <c r="E2594" s="138" t="s">
        <v>927</v>
      </c>
    </row>
    <row r="2595" spans="1:5" ht="18.75">
      <c r="A2595" s="89" t="str">
        <f t="shared" si="40"/>
        <v>#17292</v>
      </c>
      <c r="B2595" s="138" t="s">
        <v>5691</v>
      </c>
      <c r="C2595" s="236" t="s">
        <v>5690</v>
      </c>
      <c r="D2595" s="206">
        <v>43874</v>
      </c>
      <c r="E2595" s="138" t="s">
        <v>927</v>
      </c>
    </row>
    <row r="2596" spans="1:5" ht="18.75">
      <c r="A2596" s="89" t="str">
        <f t="shared" si="40"/>
        <v>#17293</v>
      </c>
      <c r="B2596" s="138" t="s">
        <v>5693</v>
      </c>
      <c r="C2596" s="236" t="s">
        <v>5692</v>
      </c>
      <c r="D2596" s="206">
        <v>43874</v>
      </c>
      <c r="E2596" s="138" t="s">
        <v>957</v>
      </c>
    </row>
    <row r="2597" spans="1:5" ht="18.75">
      <c r="A2597" s="89" t="str">
        <f t="shared" si="40"/>
        <v>#17295</v>
      </c>
      <c r="B2597" s="138" t="s">
        <v>5695</v>
      </c>
      <c r="C2597" s="236" t="s">
        <v>5694</v>
      </c>
      <c r="D2597" s="206">
        <v>43874</v>
      </c>
      <c r="E2597" s="138" t="s">
        <v>1043</v>
      </c>
    </row>
    <row r="2598" spans="1:5" ht="18.75">
      <c r="A2598" s="89" t="str">
        <f t="shared" si="40"/>
        <v>#17296</v>
      </c>
      <c r="B2598" s="138" t="s">
        <v>5697</v>
      </c>
      <c r="C2598" s="236" t="s">
        <v>5696</v>
      </c>
      <c r="D2598" s="206">
        <v>43874</v>
      </c>
      <c r="E2598" s="138" t="s">
        <v>957</v>
      </c>
    </row>
    <row r="2599" spans="1:5" ht="18.75">
      <c r="A2599" s="89" t="str">
        <f t="shared" si="40"/>
        <v>#17297</v>
      </c>
      <c r="B2599" s="138" t="s">
        <v>5699</v>
      </c>
      <c r="C2599" s="236" t="s">
        <v>5698</v>
      </c>
      <c r="D2599" s="206">
        <v>43874</v>
      </c>
      <c r="E2599" s="138" t="s">
        <v>903</v>
      </c>
    </row>
    <row r="2600" spans="1:5" ht="18.75">
      <c r="A2600" s="89" t="str">
        <f t="shared" si="40"/>
        <v>#17303</v>
      </c>
      <c r="B2600" s="138" t="s">
        <v>5701</v>
      </c>
      <c r="C2600" s="236" t="s">
        <v>5700</v>
      </c>
      <c r="D2600" s="206">
        <v>43874</v>
      </c>
      <c r="E2600" s="138" t="s">
        <v>890</v>
      </c>
    </row>
    <row r="2601" spans="1:5" ht="18.75">
      <c r="A2601" s="89" t="str">
        <f t="shared" si="40"/>
        <v>#17309</v>
      </c>
      <c r="B2601" s="138" t="s">
        <v>5703</v>
      </c>
      <c r="C2601" s="236" t="s">
        <v>5702</v>
      </c>
      <c r="D2601" s="206">
        <v>43874</v>
      </c>
      <c r="E2601" s="138" t="s">
        <v>7818</v>
      </c>
    </row>
    <row r="2602" spans="1:5" ht="18.75">
      <c r="A2602" s="89" t="str">
        <f t="shared" si="40"/>
        <v>#17310</v>
      </c>
      <c r="B2602" s="138" t="s">
        <v>5704</v>
      </c>
      <c r="C2602" s="236" t="s">
        <v>1546</v>
      </c>
      <c r="D2602" s="206">
        <v>43874</v>
      </c>
      <c r="E2602" s="138" t="s">
        <v>7818</v>
      </c>
    </row>
    <row r="2603" spans="1:5" ht="18.75">
      <c r="A2603" s="89" t="str">
        <f t="shared" si="40"/>
        <v>#17321</v>
      </c>
      <c r="B2603" s="138" t="s">
        <v>5706</v>
      </c>
      <c r="C2603" s="236" t="s">
        <v>5705</v>
      </c>
      <c r="D2603" s="206">
        <v>43874</v>
      </c>
      <c r="E2603" s="138" t="s">
        <v>948</v>
      </c>
    </row>
    <row r="2604" spans="1:5" ht="18.75">
      <c r="A2604" s="89" t="str">
        <f t="shared" si="40"/>
        <v>#17324</v>
      </c>
      <c r="B2604" s="138" t="s">
        <v>5708</v>
      </c>
      <c r="C2604" s="236" t="s">
        <v>5707</v>
      </c>
      <c r="D2604" s="206">
        <v>43874</v>
      </c>
      <c r="E2604" s="138" t="s">
        <v>937</v>
      </c>
    </row>
    <row r="2605" spans="1:5" ht="18.75">
      <c r="A2605" s="89" t="str">
        <f t="shared" si="40"/>
        <v>#17329</v>
      </c>
      <c r="B2605" s="138" t="s">
        <v>5710</v>
      </c>
      <c r="C2605" s="236" t="s">
        <v>5709</v>
      </c>
      <c r="D2605" s="206">
        <v>43874</v>
      </c>
      <c r="E2605" s="138" t="s">
        <v>937</v>
      </c>
    </row>
    <row r="2606" spans="1:5" ht="18.75">
      <c r="A2606" s="89" t="str">
        <f t="shared" si="40"/>
        <v>#17330</v>
      </c>
      <c r="B2606" s="138" t="s">
        <v>5712</v>
      </c>
      <c r="C2606" s="236" t="s">
        <v>5711</v>
      </c>
      <c r="D2606" s="206">
        <v>43874</v>
      </c>
      <c r="E2606" s="138" t="s">
        <v>937</v>
      </c>
    </row>
    <row r="2607" spans="1:5" ht="18.75">
      <c r="A2607" s="89" t="str">
        <f t="shared" si="40"/>
        <v>#17332</v>
      </c>
      <c r="B2607" s="138" t="s">
        <v>5713</v>
      </c>
      <c r="C2607" s="236" t="s">
        <v>2734</v>
      </c>
      <c r="D2607" s="206">
        <v>43874</v>
      </c>
      <c r="E2607" s="138" t="s">
        <v>937</v>
      </c>
    </row>
    <row r="2608" spans="1:5" ht="18.75">
      <c r="A2608" s="89" t="str">
        <f t="shared" si="40"/>
        <v>#17350</v>
      </c>
      <c r="B2608" s="138" t="s">
        <v>5715</v>
      </c>
      <c r="C2608" s="236" t="s">
        <v>5714</v>
      </c>
      <c r="D2608" s="206">
        <v>43874</v>
      </c>
      <c r="E2608" s="138" t="s">
        <v>978</v>
      </c>
    </row>
    <row r="2609" spans="1:5" ht="18.75">
      <c r="A2609" s="89" t="str">
        <f t="shared" si="40"/>
        <v>#17356</v>
      </c>
      <c r="B2609" s="138" t="s">
        <v>5717</v>
      </c>
      <c r="C2609" s="236" t="s">
        <v>5716</v>
      </c>
      <c r="D2609" s="206">
        <v>43878</v>
      </c>
      <c r="E2609" s="138" t="s">
        <v>1004</v>
      </c>
    </row>
    <row r="2610" spans="1:5" ht="18.75">
      <c r="A2610" s="89" t="str">
        <f t="shared" si="40"/>
        <v>#17381</v>
      </c>
      <c r="B2610" s="138" t="s">
        <v>5718</v>
      </c>
      <c r="C2610" s="236" t="s">
        <v>4634</v>
      </c>
      <c r="D2610" s="206">
        <v>43882</v>
      </c>
      <c r="E2610" s="138" t="s">
        <v>924</v>
      </c>
    </row>
    <row r="2611" spans="1:5" ht="18.75">
      <c r="A2611" s="89" t="str">
        <f t="shared" si="40"/>
        <v>#17389</v>
      </c>
      <c r="B2611" s="138" t="s">
        <v>5719</v>
      </c>
      <c r="C2611" s="236" t="s">
        <v>2248</v>
      </c>
      <c r="D2611" s="206">
        <v>43882</v>
      </c>
      <c r="E2611" s="138" t="s">
        <v>924</v>
      </c>
    </row>
    <row r="2612" spans="1:5" ht="18.75">
      <c r="A2612" s="89" t="str">
        <f t="shared" si="40"/>
        <v>#17390</v>
      </c>
      <c r="B2612" s="138" t="s">
        <v>5720</v>
      </c>
      <c r="C2612" s="236" t="s">
        <v>4290</v>
      </c>
      <c r="D2612" s="206">
        <v>43882</v>
      </c>
      <c r="E2612" s="138" t="s">
        <v>924</v>
      </c>
    </row>
    <row r="2613" spans="1:5" ht="18.75">
      <c r="A2613" s="89" t="str">
        <f t="shared" si="40"/>
        <v>#17404</v>
      </c>
      <c r="B2613" s="138" t="s">
        <v>5722</v>
      </c>
      <c r="C2613" s="236" t="s">
        <v>5721</v>
      </c>
      <c r="D2613" s="206">
        <v>43882</v>
      </c>
      <c r="E2613" s="138" t="s">
        <v>1063</v>
      </c>
    </row>
    <row r="2614" spans="1:5" ht="18.75">
      <c r="A2614" s="89" t="str">
        <f t="shared" si="40"/>
        <v>#17405</v>
      </c>
      <c r="B2614" s="138" t="s">
        <v>5723</v>
      </c>
      <c r="C2614" s="236" t="s">
        <v>2772</v>
      </c>
      <c r="D2614" s="206">
        <v>43882</v>
      </c>
      <c r="E2614" s="238" t="s">
        <v>1043</v>
      </c>
    </row>
    <row r="2615" spans="1:5" ht="18.75">
      <c r="A2615" s="89" t="str">
        <f t="shared" si="40"/>
        <v>#17406</v>
      </c>
      <c r="B2615" s="138" t="s">
        <v>5725</v>
      </c>
      <c r="C2615" s="236" t="s">
        <v>5724</v>
      </c>
      <c r="D2615" s="206">
        <v>43882</v>
      </c>
      <c r="E2615" s="138" t="s">
        <v>1063</v>
      </c>
    </row>
    <row r="2616" spans="1:5" ht="18.75">
      <c r="A2616" s="89" t="str">
        <f t="shared" si="40"/>
        <v>#17411</v>
      </c>
      <c r="B2616" s="138" t="s">
        <v>5726</v>
      </c>
      <c r="C2616" s="236" t="s">
        <v>5002</v>
      </c>
      <c r="D2616" s="206">
        <v>43882</v>
      </c>
      <c r="E2616" s="138" t="s">
        <v>7818</v>
      </c>
    </row>
    <row r="2617" spans="1:5" ht="18.75">
      <c r="A2617" s="89" t="str">
        <f t="shared" si="40"/>
        <v>#17416</v>
      </c>
      <c r="B2617" s="138" t="s">
        <v>5728</v>
      </c>
      <c r="C2617" s="236" t="s">
        <v>5727</v>
      </c>
      <c r="D2617" s="206">
        <v>43882</v>
      </c>
      <c r="E2617" s="138" t="s">
        <v>7818</v>
      </c>
    </row>
    <row r="2618" spans="1:5" ht="18.75">
      <c r="A2618" s="89" t="str">
        <f t="shared" si="40"/>
        <v>#17425</v>
      </c>
      <c r="B2618" s="138" t="s">
        <v>5730</v>
      </c>
      <c r="C2618" s="236" t="s">
        <v>5729</v>
      </c>
      <c r="D2618" s="206">
        <v>43882</v>
      </c>
      <c r="E2618" s="138" t="s">
        <v>978</v>
      </c>
    </row>
    <row r="2619" spans="1:5" ht="18.75">
      <c r="A2619" s="89" t="str">
        <f t="shared" si="40"/>
        <v>#17428</v>
      </c>
      <c r="B2619" s="138" t="s">
        <v>5732</v>
      </c>
      <c r="C2619" s="236" t="s">
        <v>5731</v>
      </c>
      <c r="D2619" s="206">
        <v>43882</v>
      </c>
      <c r="E2619" s="138" t="s">
        <v>927</v>
      </c>
    </row>
    <row r="2620" spans="1:5" ht="18.75">
      <c r="A2620" s="89" t="str">
        <f t="shared" si="40"/>
        <v>#17429</v>
      </c>
      <c r="B2620" s="138" t="s">
        <v>5734</v>
      </c>
      <c r="C2620" s="236" t="s">
        <v>5733</v>
      </c>
      <c r="D2620" s="206">
        <v>43882</v>
      </c>
      <c r="E2620" s="138" t="s">
        <v>927</v>
      </c>
    </row>
    <row r="2621" spans="1:5" ht="18.75">
      <c r="A2621" s="89" t="str">
        <f t="shared" si="40"/>
        <v>#17471</v>
      </c>
      <c r="B2621" s="138" t="s">
        <v>5736</v>
      </c>
      <c r="C2621" s="236" t="s">
        <v>5735</v>
      </c>
      <c r="D2621" s="206">
        <v>43888</v>
      </c>
      <c r="E2621" s="138" t="s">
        <v>5177</v>
      </c>
    </row>
    <row r="2622" spans="1:5" ht="18.75">
      <c r="A2622" s="89" t="str">
        <f t="shared" si="40"/>
        <v>#17473</v>
      </c>
      <c r="B2622" s="138" t="s">
        <v>5738</v>
      </c>
      <c r="C2622" s="236" t="s">
        <v>5737</v>
      </c>
      <c r="D2622" s="206">
        <v>43888</v>
      </c>
      <c r="E2622" s="138" t="s">
        <v>1133</v>
      </c>
    </row>
    <row r="2623" spans="1:5" ht="18.75">
      <c r="A2623" s="89" t="str">
        <f t="shared" si="40"/>
        <v>#17474</v>
      </c>
      <c r="B2623" s="138" t="s">
        <v>5739</v>
      </c>
      <c r="C2623" s="236" t="s">
        <v>2384</v>
      </c>
      <c r="D2623" s="206">
        <v>43892</v>
      </c>
      <c r="E2623" s="138" t="s">
        <v>1004</v>
      </c>
    </row>
    <row r="2624" spans="1:5" ht="18.75">
      <c r="A2624" s="89" t="str">
        <f t="shared" si="40"/>
        <v>#17482</v>
      </c>
      <c r="B2624" s="138" t="s">
        <v>5741</v>
      </c>
      <c r="C2624" s="236" t="s">
        <v>5740</v>
      </c>
      <c r="D2624" s="206">
        <v>43896</v>
      </c>
      <c r="E2624" s="138" t="s">
        <v>1133</v>
      </c>
    </row>
    <row r="2625" spans="1:5" ht="18.75">
      <c r="A2625" s="89" t="str">
        <f t="shared" si="40"/>
        <v>#17489</v>
      </c>
      <c r="B2625" s="138" t="s">
        <v>5743</v>
      </c>
      <c r="C2625" s="236" t="s">
        <v>5742</v>
      </c>
      <c r="D2625" s="206">
        <v>43896</v>
      </c>
      <c r="E2625" s="138" t="s">
        <v>1541</v>
      </c>
    </row>
    <row r="2626" spans="1:5" ht="18.75">
      <c r="A2626" s="89" t="str">
        <f t="shared" si="40"/>
        <v>#17493</v>
      </c>
      <c r="B2626" s="138" t="s">
        <v>5745</v>
      </c>
      <c r="C2626" s="236" t="s">
        <v>5744</v>
      </c>
      <c r="D2626" s="206">
        <v>43896</v>
      </c>
      <c r="E2626" s="138" t="s">
        <v>895</v>
      </c>
    </row>
    <row r="2627" spans="1:5" ht="18.75">
      <c r="A2627" s="89" t="str">
        <f t="shared" ref="A2627:A2690" si="41">"#"&amp;B2627</f>
        <v>#17506</v>
      </c>
      <c r="B2627" s="138" t="s">
        <v>5747</v>
      </c>
      <c r="C2627" s="236" t="s">
        <v>5746</v>
      </c>
      <c r="D2627" s="206">
        <v>43896</v>
      </c>
      <c r="E2627" s="138" t="s">
        <v>924</v>
      </c>
    </row>
    <row r="2628" spans="1:5" ht="18.75">
      <c r="A2628" s="89" t="str">
        <f t="shared" si="41"/>
        <v>#17521</v>
      </c>
      <c r="B2628" s="138" t="s">
        <v>5748</v>
      </c>
      <c r="C2628" s="236" t="s">
        <v>2647</v>
      </c>
      <c r="D2628" s="206">
        <v>43896</v>
      </c>
      <c r="E2628" s="138" t="s">
        <v>906</v>
      </c>
    </row>
    <row r="2629" spans="1:5" ht="18.75">
      <c r="A2629" s="89" t="str">
        <f t="shared" si="41"/>
        <v>#17541</v>
      </c>
      <c r="B2629" s="138" t="s">
        <v>5750</v>
      </c>
      <c r="C2629" s="236" t="s">
        <v>5749</v>
      </c>
      <c r="D2629" s="206">
        <v>43902</v>
      </c>
      <c r="E2629" s="138" t="s">
        <v>903</v>
      </c>
    </row>
    <row r="2630" spans="1:5" ht="18.75">
      <c r="A2630" s="89" t="str">
        <f t="shared" si="41"/>
        <v>#17543</v>
      </c>
      <c r="B2630" s="138" t="s">
        <v>5752</v>
      </c>
      <c r="C2630" s="236" t="s">
        <v>5751</v>
      </c>
      <c r="D2630" s="206">
        <v>43902</v>
      </c>
      <c r="E2630" s="138" t="s">
        <v>895</v>
      </c>
    </row>
    <row r="2631" spans="1:5" ht="18.75">
      <c r="A2631" s="89" t="str">
        <f t="shared" si="41"/>
        <v>#17552</v>
      </c>
      <c r="B2631" s="138" t="s">
        <v>5754</v>
      </c>
      <c r="C2631" s="236" t="s">
        <v>5753</v>
      </c>
      <c r="D2631" s="206">
        <v>43902</v>
      </c>
      <c r="E2631" s="138" t="s">
        <v>978</v>
      </c>
    </row>
    <row r="2632" spans="1:5" ht="18.75">
      <c r="A2632" s="89" t="str">
        <f t="shared" si="41"/>
        <v>#17573</v>
      </c>
      <c r="B2632" s="138" t="s">
        <v>5755</v>
      </c>
      <c r="C2632" s="236" t="s">
        <v>1729</v>
      </c>
      <c r="D2632" s="206">
        <v>43906</v>
      </c>
      <c r="E2632" s="138" t="s">
        <v>1004</v>
      </c>
    </row>
    <row r="2633" spans="1:5" ht="18.75">
      <c r="A2633" s="89" t="str">
        <f t="shared" si="41"/>
        <v>#17574</v>
      </c>
      <c r="B2633" s="138" t="s">
        <v>5757</v>
      </c>
      <c r="C2633" s="236" t="s">
        <v>5756</v>
      </c>
      <c r="D2633" s="206">
        <v>43906</v>
      </c>
      <c r="E2633" s="138" t="s">
        <v>934</v>
      </c>
    </row>
    <row r="2634" spans="1:5" ht="18.75">
      <c r="A2634" s="89" t="str">
        <f t="shared" si="41"/>
        <v>#17577</v>
      </c>
      <c r="B2634" s="138" t="s">
        <v>5759</v>
      </c>
      <c r="C2634" s="236" t="s">
        <v>5758</v>
      </c>
      <c r="D2634" s="206">
        <v>43908</v>
      </c>
      <c r="E2634" s="235" t="s">
        <v>8683</v>
      </c>
    </row>
    <row r="2635" spans="1:5" ht="18.75">
      <c r="A2635" s="89" t="str">
        <f t="shared" si="41"/>
        <v>#17578</v>
      </c>
      <c r="B2635" s="138" t="s">
        <v>5760</v>
      </c>
      <c r="C2635" s="236" t="s">
        <v>2761</v>
      </c>
      <c r="D2635" s="206">
        <v>43908</v>
      </c>
      <c r="E2635" s="138" t="s">
        <v>1191</v>
      </c>
    </row>
    <row r="2636" spans="1:5" ht="18.75">
      <c r="A2636" s="89" t="str">
        <f t="shared" si="41"/>
        <v>#17581</v>
      </c>
      <c r="B2636" s="138" t="s">
        <v>5762</v>
      </c>
      <c r="C2636" s="236" t="s">
        <v>5761</v>
      </c>
      <c r="D2636" s="206">
        <v>43910</v>
      </c>
      <c r="E2636" s="138" t="s">
        <v>1004</v>
      </c>
    </row>
    <row r="2637" spans="1:5" ht="18.75">
      <c r="A2637" s="89" t="str">
        <f t="shared" si="41"/>
        <v>#17582</v>
      </c>
      <c r="B2637" s="138" t="s">
        <v>5764</v>
      </c>
      <c r="C2637" s="236" t="s">
        <v>5763</v>
      </c>
      <c r="D2637" s="206">
        <v>43910</v>
      </c>
      <c r="E2637" s="138" t="s">
        <v>1004</v>
      </c>
    </row>
    <row r="2638" spans="1:5" ht="18.75">
      <c r="A2638" s="89" t="str">
        <f t="shared" si="41"/>
        <v>#17587</v>
      </c>
      <c r="B2638" s="138" t="s">
        <v>5766</v>
      </c>
      <c r="C2638" s="236" t="s">
        <v>5765</v>
      </c>
      <c r="D2638" s="206">
        <v>43910</v>
      </c>
      <c r="E2638" s="138" t="s">
        <v>906</v>
      </c>
    </row>
    <row r="2639" spans="1:5" ht="18.75">
      <c r="A2639" s="89" t="str">
        <f t="shared" si="41"/>
        <v>#17588</v>
      </c>
      <c r="B2639" s="138" t="s">
        <v>5768</v>
      </c>
      <c r="C2639" s="236" t="s">
        <v>5767</v>
      </c>
      <c r="D2639" s="206">
        <v>43910</v>
      </c>
      <c r="E2639" s="138" t="s">
        <v>906</v>
      </c>
    </row>
    <row r="2640" spans="1:5" ht="18.75">
      <c r="A2640" s="89" t="str">
        <f t="shared" si="41"/>
        <v>#17589</v>
      </c>
      <c r="B2640" s="138" t="s">
        <v>5770</v>
      </c>
      <c r="C2640" s="236" t="s">
        <v>5769</v>
      </c>
      <c r="D2640" s="206">
        <v>43910</v>
      </c>
      <c r="E2640" s="138" t="s">
        <v>1004</v>
      </c>
    </row>
    <row r="2641" spans="1:5" ht="18.75">
      <c r="A2641" s="89" t="str">
        <f t="shared" si="41"/>
        <v>#17590</v>
      </c>
      <c r="B2641" s="138" t="s">
        <v>5772</v>
      </c>
      <c r="C2641" s="236" t="s">
        <v>5771</v>
      </c>
      <c r="D2641" s="206">
        <v>43910</v>
      </c>
      <c r="E2641" s="138" t="s">
        <v>906</v>
      </c>
    </row>
    <row r="2642" spans="1:5" ht="18.75">
      <c r="A2642" s="89" t="str">
        <f t="shared" si="41"/>
        <v>#17607</v>
      </c>
      <c r="B2642" s="138" t="s">
        <v>5774</v>
      </c>
      <c r="C2642" s="236" t="s">
        <v>5773</v>
      </c>
      <c r="D2642" s="206">
        <v>43910</v>
      </c>
      <c r="E2642" s="138" t="s">
        <v>890</v>
      </c>
    </row>
    <row r="2643" spans="1:5" ht="18.75">
      <c r="A2643" s="89" t="str">
        <f t="shared" si="41"/>
        <v>#17613</v>
      </c>
      <c r="B2643" s="138" t="s">
        <v>5776</v>
      </c>
      <c r="C2643" s="236" t="s">
        <v>5775</v>
      </c>
      <c r="D2643" s="206">
        <v>43910</v>
      </c>
      <c r="E2643" s="138" t="s">
        <v>927</v>
      </c>
    </row>
    <row r="2644" spans="1:5" ht="18.75">
      <c r="A2644" s="89" t="str">
        <f t="shared" si="41"/>
        <v>#17617</v>
      </c>
      <c r="B2644" s="138" t="s">
        <v>5778</v>
      </c>
      <c r="C2644" s="236" t="s">
        <v>5777</v>
      </c>
      <c r="D2644" s="206">
        <v>43910</v>
      </c>
      <c r="E2644" s="138" t="s">
        <v>985</v>
      </c>
    </row>
    <row r="2645" spans="1:5" ht="18.75">
      <c r="A2645" s="89" t="str">
        <f t="shared" si="41"/>
        <v>#17630</v>
      </c>
      <c r="B2645" s="138" t="s">
        <v>5780</v>
      </c>
      <c r="C2645" s="236" t="s">
        <v>5779</v>
      </c>
      <c r="D2645" s="206">
        <v>43910</v>
      </c>
      <c r="E2645" s="138" t="s">
        <v>8037</v>
      </c>
    </row>
    <row r="2646" spans="1:5" ht="18.75">
      <c r="A2646" s="89" t="str">
        <f t="shared" si="41"/>
        <v>#17635</v>
      </c>
      <c r="B2646" s="138" t="s">
        <v>5781</v>
      </c>
      <c r="C2646" s="236" t="s">
        <v>2371</v>
      </c>
      <c r="D2646" s="206">
        <v>43910</v>
      </c>
      <c r="E2646" s="138" t="s">
        <v>1380</v>
      </c>
    </row>
    <row r="2647" spans="1:5" ht="18.75">
      <c r="A2647" s="89" t="str">
        <f t="shared" si="41"/>
        <v>#17645</v>
      </c>
      <c r="B2647" s="138" t="s">
        <v>5783</v>
      </c>
      <c r="C2647" s="236" t="s">
        <v>5782</v>
      </c>
      <c r="D2647" s="206">
        <v>43920</v>
      </c>
      <c r="E2647" s="138" t="s">
        <v>1029</v>
      </c>
    </row>
    <row r="2648" spans="1:5" ht="18.75">
      <c r="A2648" s="89" t="str">
        <f t="shared" si="41"/>
        <v>#17646</v>
      </c>
      <c r="B2648" s="138" t="s">
        <v>5785</v>
      </c>
      <c r="C2648" s="236" t="s">
        <v>5784</v>
      </c>
      <c r="D2648" s="206">
        <v>43922</v>
      </c>
      <c r="E2648" s="138" t="s">
        <v>1191</v>
      </c>
    </row>
    <row r="2649" spans="1:5" ht="18.75">
      <c r="A2649" s="89" t="str">
        <f t="shared" si="41"/>
        <v>#17650</v>
      </c>
      <c r="B2649" s="138" t="s">
        <v>5787</v>
      </c>
      <c r="C2649" s="236" t="s">
        <v>5786</v>
      </c>
      <c r="D2649" s="206">
        <v>43927</v>
      </c>
      <c r="E2649" s="138" t="s">
        <v>906</v>
      </c>
    </row>
    <row r="2650" spans="1:5" ht="18.75">
      <c r="A2650" s="89" t="str">
        <f t="shared" si="41"/>
        <v>#17655</v>
      </c>
      <c r="B2650" s="138" t="s">
        <v>5789</v>
      </c>
      <c r="C2650" s="236" t="s">
        <v>5788</v>
      </c>
      <c r="D2650" s="206">
        <v>43990</v>
      </c>
      <c r="E2650" s="138" t="s">
        <v>773</v>
      </c>
    </row>
    <row r="2651" spans="1:5" ht="18.75">
      <c r="A2651" s="89" t="str">
        <f t="shared" si="41"/>
        <v>#17662</v>
      </c>
      <c r="B2651" s="138" t="s">
        <v>5790</v>
      </c>
      <c r="C2651" s="236" t="s">
        <v>1735</v>
      </c>
      <c r="D2651" s="206">
        <v>43994</v>
      </c>
      <c r="E2651" s="138" t="s">
        <v>1113</v>
      </c>
    </row>
    <row r="2652" spans="1:5" ht="18.75">
      <c r="A2652" s="89" t="str">
        <f t="shared" si="41"/>
        <v>#17672</v>
      </c>
      <c r="B2652" s="138" t="s">
        <v>5792</v>
      </c>
      <c r="C2652" s="236" t="s">
        <v>5791</v>
      </c>
      <c r="D2652" s="206">
        <v>43994</v>
      </c>
      <c r="E2652" s="138" t="s">
        <v>978</v>
      </c>
    </row>
    <row r="2653" spans="1:5" ht="18.75">
      <c r="A2653" s="89" t="str">
        <f t="shared" si="41"/>
        <v>#17673</v>
      </c>
      <c r="B2653" s="138" t="s">
        <v>5794</v>
      </c>
      <c r="C2653" s="236" t="s">
        <v>5793</v>
      </c>
      <c r="D2653" s="206">
        <v>43994</v>
      </c>
      <c r="E2653" s="138" t="s">
        <v>978</v>
      </c>
    </row>
    <row r="2654" spans="1:5" ht="18.75">
      <c r="A2654" s="89" t="str">
        <f t="shared" si="41"/>
        <v>#17677</v>
      </c>
      <c r="B2654" s="138" t="s">
        <v>5796</v>
      </c>
      <c r="C2654" s="236" t="s">
        <v>5795</v>
      </c>
      <c r="D2654" s="206">
        <v>43994</v>
      </c>
      <c r="E2654" s="138" t="s">
        <v>978</v>
      </c>
    </row>
    <row r="2655" spans="1:5" ht="18.75">
      <c r="A2655" s="89" t="str">
        <f t="shared" si="41"/>
        <v>#17684</v>
      </c>
      <c r="B2655" s="138" t="s">
        <v>5797</v>
      </c>
      <c r="C2655" s="236" t="s">
        <v>4127</v>
      </c>
      <c r="D2655" s="206">
        <v>44006</v>
      </c>
      <c r="E2655" s="138" t="s">
        <v>721</v>
      </c>
    </row>
    <row r="2656" spans="1:5" ht="18.75">
      <c r="A2656" s="89" t="str">
        <f t="shared" si="41"/>
        <v>#17686</v>
      </c>
      <c r="B2656" s="138" t="s">
        <v>5798</v>
      </c>
      <c r="C2656" s="236" t="s">
        <v>4705</v>
      </c>
      <c r="D2656" s="206">
        <v>44011</v>
      </c>
      <c r="E2656" s="138" t="s">
        <v>1188</v>
      </c>
    </row>
    <row r="2657" spans="1:5" ht="18.75">
      <c r="A2657" s="89" t="str">
        <f t="shared" si="41"/>
        <v>#17692</v>
      </c>
      <c r="B2657" s="138" t="s">
        <v>5799</v>
      </c>
      <c r="C2657" s="236" t="s">
        <v>4465</v>
      </c>
      <c r="D2657" s="206">
        <v>44011</v>
      </c>
      <c r="E2657" s="138" t="s">
        <v>927</v>
      </c>
    </row>
    <row r="2658" spans="1:5" ht="18.75">
      <c r="A2658" s="89" t="str">
        <f t="shared" si="41"/>
        <v>#17693</v>
      </c>
      <c r="B2658" s="138" t="s">
        <v>5801</v>
      </c>
      <c r="C2658" s="236" t="s">
        <v>5800</v>
      </c>
      <c r="D2658" s="206">
        <v>44011</v>
      </c>
      <c r="E2658" s="138" t="s">
        <v>927</v>
      </c>
    </row>
    <row r="2659" spans="1:5" ht="18.75">
      <c r="A2659" s="89" t="str">
        <f t="shared" si="41"/>
        <v>#17695</v>
      </c>
      <c r="B2659" s="138" t="s">
        <v>5802</v>
      </c>
      <c r="C2659" s="236" t="s">
        <v>1943</v>
      </c>
      <c r="D2659" s="206">
        <v>44011</v>
      </c>
      <c r="E2659" s="138" t="s">
        <v>927</v>
      </c>
    </row>
    <row r="2660" spans="1:5" ht="18.75">
      <c r="A2660" s="89" t="str">
        <f t="shared" si="41"/>
        <v>#17696</v>
      </c>
      <c r="B2660" s="138" t="s">
        <v>5804</v>
      </c>
      <c r="C2660" s="236" t="s">
        <v>5803</v>
      </c>
      <c r="D2660" s="206">
        <v>44011</v>
      </c>
      <c r="E2660" s="138" t="s">
        <v>927</v>
      </c>
    </row>
    <row r="2661" spans="1:5" ht="18.75">
      <c r="A2661" s="89" t="str">
        <f t="shared" si="41"/>
        <v>#17706</v>
      </c>
      <c r="B2661" s="138" t="s">
        <v>5806</v>
      </c>
      <c r="C2661" s="236" t="s">
        <v>5805</v>
      </c>
      <c r="D2661" s="206">
        <v>44011</v>
      </c>
      <c r="E2661" s="138" t="s">
        <v>1541</v>
      </c>
    </row>
    <row r="2662" spans="1:5" ht="18.75">
      <c r="A2662" s="89" t="str">
        <f t="shared" si="41"/>
        <v>#17707</v>
      </c>
      <c r="B2662" s="138" t="s">
        <v>5808</v>
      </c>
      <c r="C2662" s="236" t="s">
        <v>5807</v>
      </c>
      <c r="D2662" s="206">
        <v>44011</v>
      </c>
      <c r="E2662" s="138" t="s">
        <v>978</v>
      </c>
    </row>
    <row r="2663" spans="1:5" ht="18.75">
      <c r="A2663" s="89" t="str">
        <f t="shared" si="41"/>
        <v>#17710</v>
      </c>
      <c r="B2663" s="138" t="s">
        <v>5810</v>
      </c>
      <c r="C2663" s="236" t="s">
        <v>5809</v>
      </c>
      <c r="D2663" s="206">
        <v>44011</v>
      </c>
      <c r="E2663" s="138" t="s">
        <v>978</v>
      </c>
    </row>
    <row r="2664" spans="1:5" ht="18.75">
      <c r="A2664" s="89" t="str">
        <f t="shared" si="41"/>
        <v>#17717</v>
      </c>
      <c r="B2664" s="138" t="s">
        <v>5811</v>
      </c>
      <c r="C2664" s="236" t="s">
        <v>3848</v>
      </c>
      <c r="D2664" s="206">
        <v>44011</v>
      </c>
      <c r="E2664" s="138" t="s">
        <v>7818</v>
      </c>
    </row>
    <row r="2665" spans="1:5" ht="18.75">
      <c r="A2665" s="89" t="str">
        <f t="shared" si="41"/>
        <v>#17718</v>
      </c>
      <c r="B2665" s="138" t="s">
        <v>5812</v>
      </c>
      <c r="C2665" s="236" t="s">
        <v>1189</v>
      </c>
      <c r="D2665" s="206">
        <v>44011</v>
      </c>
      <c r="E2665" s="138" t="s">
        <v>7818</v>
      </c>
    </row>
    <row r="2666" spans="1:5" ht="18.75">
      <c r="A2666" s="89" t="str">
        <f t="shared" si="41"/>
        <v>#17724</v>
      </c>
      <c r="B2666" s="138" t="s">
        <v>5814</v>
      </c>
      <c r="C2666" s="236" t="s">
        <v>5813</v>
      </c>
      <c r="D2666" s="206">
        <v>44011</v>
      </c>
      <c r="E2666" s="138" t="s">
        <v>1085</v>
      </c>
    </row>
    <row r="2667" spans="1:5" ht="18.75">
      <c r="A2667" s="89" t="str">
        <f t="shared" si="41"/>
        <v>#17726</v>
      </c>
      <c r="B2667" s="138" t="s">
        <v>5816</v>
      </c>
      <c r="C2667" s="236" t="s">
        <v>5815</v>
      </c>
      <c r="D2667" s="206">
        <v>44011</v>
      </c>
      <c r="E2667" s="138" t="s">
        <v>1085</v>
      </c>
    </row>
    <row r="2668" spans="1:5" ht="18.75">
      <c r="A2668" s="89" t="str">
        <f t="shared" si="41"/>
        <v>#17729</v>
      </c>
      <c r="B2668" s="138" t="s">
        <v>5817</v>
      </c>
      <c r="C2668" s="236" t="s">
        <v>4496</v>
      </c>
      <c r="D2668" s="206">
        <v>44011</v>
      </c>
      <c r="E2668" s="138" t="s">
        <v>895</v>
      </c>
    </row>
    <row r="2669" spans="1:5" ht="18.75">
      <c r="A2669" s="89" t="str">
        <f t="shared" si="41"/>
        <v>#17730</v>
      </c>
      <c r="B2669" s="138" t="s">
        <v>5819</v>
      </c>
      <c r="C2669" s="236" t="s">
        <v>5818</v>
      </c>
      <c r="D2669" s="206">
        <v>44011</v>
      </c>
      <c r="E2669" s="138" t="s">
        <v>1004</v>
      </c>
    </row>
    <row r="2670" spans="1:5" ht="18.75">
      <c r="A2670" s="89" t="str">
        <f t="shared" si="41"/>
        <v>#17731</v>
      </c>
      <c r="B2670" s="138" t="s">
        <v>5821</v>
      </c>
      <c r="C2670" s="236" t="s">
        <v>5820</v>
      </c>
      <c r="D2670" s="206">
        <v>44011</v>
      </c>
      <c r="E2670" s="138" t="s">
        <v>1004</v>
      </c>
    </row>
    <row r="2671" spans="1:5" ht="18.75">
      <c r="A2671" s="89" t="str">
        <f t="shared" si="41"/>
        <v>#17733</v>
      </c>
      <c r="B2671" s="138" t="s">
        <v>5823</v>
      </c>
      <c r="C2671" s="236" t="s">
        <v>5822</v>
      </c>
      <c r="D2671" s="206">
        <v>44011</v>
      </c>
      <c r="E2671" s="206" t="s">
        <v>924</v>
      </c>
    </row>
    <row r="2672" spans="1:5" ht="18.75">
      <c r="A2672" s="89" t="str">
        <f t="shared" si="41"/>
        <v>#17740</v>
      </c>
      <c r="B2672" s="138" t="s">
        <v>5825</v>
      </c>
      <c r="C2672" s="236" t="s">
        <v>5824</v>
      </c>
      <c r="D2672" s="206">
        <v>44018</v>
      </c>
      <c r="E2672" s="138" t="s">
        <v>721</v>
      </c>
    </row>
    <row r="2673" spans="1:5" ht="18.75">
      <c r="A2673" s="89" t="str">
        <f t="shared" si="41"/>
        <v>#17741</v>
      </c>
      <c r="B2673" s="138" t="s">
        <v>5826</v>
      </c>
      <c r="C2673" s="236" t="s">
        <v>4799</v>
      </c>
      <c r="D2673" s="206">
        <v>44018</v>
      </c>
      <c r="E2673" s="138" t="s">
        <v>1034</v>
      </c>
    </row>
    <row r="2674" spans="1:5" ht="18.75">
      <c r="A2674" s="89" t="str">
        <f t="shared" si="41"/>
        <v>#17750</v>
      </c>
      <c r="B2674" s="138" t="s">
        <v>5828</v>
      </c>
      <c r="C2674" s="236" t="s">
        <v>5827</v>
      </c>
      <c r="D2674" s="206">
        <v>44020</v>
      </c>
      <c r="E2674" s="138" t="s">
        <v>937</v>
      </c>
    </row>
    <row r="2675" spans="1:5" ht="18.75">
      <c r="A2675" s="89" t="str">
        <f t="shared" si="41"/>
        <v>#17751</v>
      </c>
      <c r="B2675" s="138" t="s">
        <v>5829</v>
      </c>
      <c r="C2675" s="236" t="s">
        <v>3185</v>
      </c>
      <c r="D2675" s="206">
        <v>44020</v>
      </c>
      <c r="E2675" s="138" t="s">
        <v>937</v>
      </c>
    </row>
    <row r="2676" spans="1:5" ht="18.75">
      <c r="A2676" s="89" t="str">
        <f t="shared" si="41"/>
        <v>#17752</v>
      </c>
      <c r="B2676" s="138" t="s">
        <v>5831</v>
      </c>
      <c r="C2676" s="236" t="s">
        <v>5830</v>
      </c>
      <c r="D2676" s="206">
        <v>44020</v>
      </c>
      <c r="E2676" s="138" t="s">
        <v>937</v>
      </c>
    </row>
    <row r="2677" spans="1:5" ht="18.75">
      <c r="A2677" s="89" t="str">
        <f t="shared" si="41"/>
        <v>#17754</v>
      </c>
      <c r="B2677" s="138" t="s">
        <v>5833</v>
      </c>
      <c r="C2677" s="236" t="s">
        <v>5832</v>
      </c>
      <c r="D2677" s="206">
        <v>44020</v>
      </c>
      <c r="E2677" s="138" t="s">
        <v>937</v>
      </c>
    </row>
    <row r="2678" spans="1:5" ht="18.75">
      <c r="A2678" s="89" t="str">
        <f t="shared" si="41"/>
        <v>#17756</v>
      </c>
      <c r="B2678" s="138" t="s">
        <v>5835</v>
      </c>
      <c r="C2678" s="236" t="s">
        <v>5834</v>
      </c>
      <c r="D2678" s="206">
        <v>44020</v>
      </c>
      <c r="E2678" s="138" t="s">
        <v>937</v>
      </c>
    </row>
    <row r="2679" spans="1:5" ht="18.75">
      <c r="A2679" s="89" t="str">
        <f t="shared" si="41"/>
        <v>#17758</v>
      </c>
      <c r="B2679" s="138" t="s">
        <v>5837</v>
      </c>
      <c r="C2679" s="236" t="s">
        <v>5836</v>
      </c>
      <c r="D2679" s="206">
        <v>44021</v>
      </c>
      <c r="E2679" s="138" t="s">
        <v>1043</v>
      </c>
    </row>
    <row r="2680" spans="1:5" ht="18.75">
      <c r="A2680" s="89" t="str">
        <f t="shared" si="41"/>
        <v>#17763</v>
      </c>
      <c r="B2680" s="138" t="s">
        <v>5839</v>
      </c>
      <c r="C2680" s="236" t="s">
        <v>5838</v>
      </c>
      <c r="D2680" s="206">
        <v>44021</v>
      </c>
      <c r="E2680" s="138" t="s">
        <v>8037</v>
      </c>
    </row>
    <row r="2681" spans="1:5" ht="18.75">
      <c r="A2681" s="89" t="str">
        <f t="shared" si="41"/>
        <v>#17766</v>
      </c>
      <c r="B2681" s="138" t="s">
        <v>5841</v>
      </c>
      <c r="C2681" s="236" t="s">
        <v>5840</v>
      </c>
      <c r="D2681" s="206">
        <v>44021</v>
      </c>
      <c r="E2681" s="138" t="s">
        <v>8037</v>
      </c>
    </row>
    <row r="2682" spans="1:5" ht="18.75">
      <c r="A2682" s="89" t="str">
        <f t="shared" si="41"/>
        <v>#17783</v>
      </c>
      <c r="B2682" s="138" t="s">
        <v>5842</v>
      </c>
      <c r="C2682" s="236" t="s">
        <v>1175</v>
      </c>
      <c r="D2682" s="206">
        <v>44021</v>
      </c>
      <c r="E2682" s="138" t="s">
        <v>937</v>
      </c>
    </row>
    <row r="2683" spans="1:5" ht="18.75">
      <c r="A2683" s="89" t="str">
        <f t="shared" si="41"/>
        <v>#17792</v>
      </c>
      <c r="B2683" s="138" t="s">
        <v>5844</v>
      </c>
      <c r="C2683" s="236" t="s">
        <v>5843</v>
      </c>
      <c r="D2683" s="206">
        <v>44021</v>
      </c>
      <c r="E2683" s="138" t="s">
        <v>903</v>
      </c>
    </row>
    <row r="2684" spans="1:5" ht="18.75">
      <c r="A2684" s="89" t="str">
        <f t="shared" si="41"/>
        <v>#17794</v>
      </c>
      <c r="B2684" s="138" t="s">
        <v>5846</v>
      </c>
      <c r="C2684" s="236" t="s">
        <v>5845</v>
      </c>
      <c r="D2684" s="206">
        <v>44021</v>
      </c>
      <c r="E2684" s="138" t="s">
        <v>1004</v>
      </c>
    </row>
    <row r="2685" spans="1:5" ht="18.75">
      <c r="A2685" s="89" t="str">
        <f t="shared" si="41"/>
        <v>#17795</v>
      </c>
      <c r="B2685" s="138" t="s">
        <v>5848</v>
      </c>
      <c r="C2685" s="236" t="s">
        <v>5847</v>
      </c>
      <c r="D2685" s="206">
        <v>44021</v>
      </c>
      <c r="E2685" s="138" t="s">
        <v>1004</v>
      </c>
    </row>
    <row r="2686" spans="1:5" ht="18.75">
      <c r="A2686" s="89" t="str">
        <f t="shared" si="41"/>
        <v>#17796</v>
      </c>
      <c r="B2686" s="138" t="s">
        <v>5849</v>
      </c>
      <c r="C2686" s="236" t="s">
        <v>4634</v>
      </c>
      <c r="D2686" s="206">
        <v>44026</v>
      </c>
      <c r="E2686" s="138" t="s">
        <v>927</v>
      </c>
    </row>
    <row r="2687" spans="1:5" ht="18.75">
      <c r="A2687" s="89" t="str">
        <f t="shared" si="41"/>
        <v>#17797</v>
      </c>
      <c r="B2687" s="138" t="s">
        <v>5851</v>
      </c>
      <c r="C2687" s="236" t="s">
        <v>5850</v>
      </c>
      <c r="D2687" s="206">
        <v>44028</v>
      </c>
      <c r="E2687" s="138" t="s">
        <v>898</v>
      </c>
    </row>
    <row r="2688" spans="1:5" ht="18.75">
      <c r="A2688" s="89" t="str">
        <f t="shared" si="41"/>
        <v>#17806</v>
      </c>
      <c r="B2688" s="138" t="s">
        <v>5852</v>
      </c>
      <c r="C2688" s="236" t="s">
        <v>2949</v>
      </c>
      <c r="D2688" s="206">
        <v>44028</v>
      </c>
      <c r="E2688" s="138" t="s">
        <v>1188</v>
      </c>
    </row>
    <row r="2689" spans="1:5" ht="18.75">
      <c r="A2689" s="89" t="str">
        <f t="shared" si="41"/>
        <v>#17811</v>
      </c>
      <c r="B2689" s="138" t="s">
        <v>5854</v>
      </c>
      <c r="C2689" s="236" t="s">
        <v>5853</v>
      </c>
      <c r="D2689" s="206">
        <v>44028</v>
      </c>
      <c r="E2689" s="138" t="s">
        <v>1541</v>
      </c>
    </row>
    <row r="2690" spans="1:5" ht="18.75">
      <c r="A2690" s="89" t="str">
        <f t="shared" si="41"/>
        <v>#17818</v>
      </c>
      <c r="B2690" s="138" t="s">
        <v>5856</v>
      </c>
      <c r="C2690" s="236" t="s">
        <v>5855</v>
      </c>
      <c r="D2690" s="206">
        <v>44028</v>
      </c>
      <c r="E2690" s="138" t="s">
        <v>937</v>
      </c>
    </row>
    <row r="2691" spans="1:5" ht="18.75">
      <c r="A2691" s="89" t="str">
        <f t="shared" ref="A2691:A2754" si="42">"#"&amp;B2691</f>
        <v>#17821</v>
      </c>
      <c r="B2691" s="138" t="s">
        <v>5858</v>
      </c>
      <c r="C2691" s="236" t="s">
        <v>5857</v>
      </c>
      <c r="D2691" s="206">
        <v>44028</v>
      </c>
      <c r="E2691" s="138" t="s">
        <v>1085</v>
      </c>
    </row>
    <row r="2692" spans="1:5" ht="18.75">
      <c r="A2692" s="89" t="str">
        <f t="shared" si="42"/>
        <v>#17825</v>
      </c>
      <c r="B2692" s="138" t="s">
        <v>5860</v>
      </c>
      <c r="C2692" s="236" t="s">
        <v>5859</v>
      </c>
      <c r="D2692" s="206">
        <v>44028</v>
      </c>
      <c r="E2692" s="138" t="s">
        <v>1063</v>
      </c>
    </row>
    <row r="2693" spans="1:5" ht="18.75">
      <c r="A2693" s="89" t="str">
        <f t="shared" si="42"/>
        <v>#17828</v>
      </c>
      <c r="B2693" s="138" t="s">
        <v>5862</v>
      </c>
      <c r="C2693" s="236" t="s">
        <v>5861</v>
      </c>
      <c r="D2693" s="206">
        <v>44028</v>
      </c>
      <c r="E2693" s="138" t="s">
        <v>1063</v>
      </c>
    </row>
    <row r="2694" spans="1:5" ht="18.75">
      <c r="A2694" s="89" t="str">
        <f t="shared" si="42"/>
        <v>#17830</v>
      </c>
      <c r="B2694" s="138" t="s">
        <v>5864</v>
      </c>
      <c r="C2694" s="236" t="s">
        <v>5863</v>
      </c>
      <c r="D2694" s="206">
        <v>44028</v>
      </c>
      <c r="E2694" s="138" t="s">
        <v>1063</v>
      </c>
    </row>
    <row r="2695" spans="1:5" ht="18.75">
      <c r="A2695" s="89" t="str">
        <f t="shared" si="42"/>
        <v>#17854</v>
      </c>
      <c r="B2695" s="138" t="s">
        <v>5865</v>
      </c>
      <c r="C2695" s="236" t="s">
        <v>2474</v>
      </c>
      <c r="D2695" s="206">
        <v>44035</v>
      </c>
      <c r="E2695" s="138" t="s">
        <v>1043</v>
      </c>
    </row>
    <row r="2696" spans="1:5" ht="18.75">
      <c r="A2696" s="89" t="str">
        <f t="shared" si="42"/>
        <v>#17866</v>
      </c>
      <c r="B2696" s="138" t="s">
        <v>5867</v>
      </c>
      <c r="C2696" s="236" t="s">
        <v>5866</v>
      </c>
      <c r="D2696" s="206">
        <v>44035</v>
      </c>
      <c r="E2696" s="138" t="s">
        <v>1063</v>
      </c>
    </row>
    <row r="2697" spans="1:5" ht="18.75">
      <c r="A2697" s="89" t="str">
        <f t="shared" si="42"/>
        <v>#17868</v>
      </c>
      <c r="B2697" s="138" t="s">
        <v>5869</v>
      </c>
      <c r="C2697" s="236" t="s">
        <v>5868</v>
      </c>
      <c r="D2697" s="206">
        <v>44035</v>
      </c>
      <c r="E2697" s="138" t="s">
        <v>1380</v>
      </c>
    </row>
    <row r="2698" spans="1:5" ht="18.75">
      <c r="A2698" s="89" t="str">
        <f t="shared" si="42"/>
        <v>#17869</v>
      </c>
      <c r="B2698" s="138" t="s">
        <v>5871</v>
      </c>
      <c r="C2698" s="236" t="s">
        <v>5870</v>
      </c>
      <c r="D2698" s="206">
        <v>44035</v>
      </c>
      <c r="E2698" s="138" t="s">
        <v>1043</v>
      </c>
    </row>
    <row r="2699" spans="1:5" ht="18.75">
      <c r="A2699" s="89" t="str">
        <f t="shared" si="42"/>
        <v>#17872</v>
      </c>
      <c r="B2699" s="138" t="s">
        <v>5873</v>
      </c>
      <c r="C2699" s="236" t="s">
        <v>5872</v>
      </c>
      <c r="D2699" s="206">
        <v>44035</v>
      </c>
      <c r="E2699" s="138" t="s">
        <v>903</v>
      </c>
    </row>
    <row r="2700" spans="1:5" ht="18.75">
      <c r="A2700" s="89" t="str">
        <f t="shared" si="42"/>
        <v>#17877</v>
      </c>
      <c r="B2700" s="138" t="s">
        <v>5874</v>
      </c>
      <c r="C2700" s="236" t="s">
        <v>2030</v>
      </c>
      <c r="D2700" s="206">
        <v>44035</v>
      </c>
      <c r="E2700" s="138" t="s">
        <v>906</v>
      </c>
    </row>
    <row r="2701" spans="1:5" ht="18.75">
      <c r="A2701" s="89" t="str">
        <f t="shared" si="42"/>
        <v>#17880</v>
      </c>
      <c r="B2701" s="138" t="s">
        <v>5876</v>
      </c>
      <c r="C2701" s="236" t="s">
        <v>5875</v>
      </c>
      <c r="D2701" s="206">
        <v>44035</v>
      </c>
      <c r="E2701" s="138" t="s">
        <v>906</v>
      </c>
    </row>
    <row r="2702" spans="1:5" ht="18.75">
      <c r="A2702" s="89" t="str">
        <f t="shared" si="42"/>
        <v>#17883</v>
      </c>
      <c r="B2702" s="138" t="s">
        <v>5878</v>
      </c>
      <c r="C2702" s="236" t="s">
        <v>5877</v>
      </c>
      <c r="D2702" s="206">
        <v>44035</v>
      </c>
      <c r="E2702" s="138" t="s">
        <v>721</v>
      </c>
    </row>
    <row r="2703" spans="1:5" ht="18.75">
      <c r="A2703" s="89" t="str">
        <f t="shared" si="42"/>
        <v>#17884</v>
      </c>
      <c r="B2703" s="138" t="s">
        <v>5880</v>
      </c>
      <c r="C2703" s="236" t="s">
        <v>5879</v>
      </c>
      <c r="D2703" s="206">
        <v>44035</v>
      </c>
      <c r="E2703" s="138" t="s">
        <v>721</v>
      </c>
    </row>
    <row r="2704" spans="1:5" ht="18.75">
      <c r="A2704" s="89" t="str">
        <f t="shared" si="42"/>
        <v>#17885</v>
      </c>
      <c r="B2704" s="138" t="s">
        <v>5882</v>
      </c>
      <c r="C2704" s="236" t="s">
        <v>5881</v>
      </c>
      <c r="D2704" s="206">
        <v>44039</v>
      </c>
      <c r="E2704" s="138" t="s">
        <v>1004</v>
      </c>
    </row>
    <row r="2705" spans="1:5" ht="18.75">
      <c r="A2705" s="89" t="str">
        <f t="shared" si="42"/>
        <v>#17886</v>
      </c>
      <c r="B2705" s="138" t="s">
        <v>5884</v>
      </c>
      <c r="C2705" s="236" t="s">
        <v>5883</v>
      </c>
      <c r="D2705" s="206">
        <v>44039</v>
      </c>
      <c r="E2705" s="138" t="s">
        <v>1004</v>
      </c>
    </row>
    <row r="2706" spans="1:5" ht="18.75">
      <c r="A2706" s="89" t="str">
        <f t="shared" si="42"/>
        <v>#17901</v>
      </c>
      <c r="B2706" s="138" t="s">
        <v>5886</v>
      </c>
      <c r="C2706" s="236" t="s">
        <v>5885</v>
      </c>
      <c r="D2706" s="206">
        <v>44041</v>
      </c>
      <c r="E2706" s="138" t="s">
        <v>924</v>
      </c>
    </row>
    <row r="2707" spans="1:5" ht="18.75">
      <c r="A2707" s="89" t="str">
        <f t="shared" si="42"/>
        <v>#17905</v>
      </c>
      <c r="B2707" s="138" t="s">
        <v>5888</v>
      </c>
      <c r="C2707" s="236" t="s">
        <v>5887</v>
      </c>
      <c r="D2707" s="206">
        <v>44041</v>
      </c>
      <c r="E2707" s="138" t="s">
        <v>937</v>
      </c>
    </row>
    <row r="2708" spans="1:5" ht="18.75">
      <c r="A2708" s="89" t="str">
        <f t="shared" si="42"/>
        <v>#17911</v>
      </c>
      <c r="B2708" s="138" t="s">
        <v>5889</v>
      </c>
      <c r="C2708" s="236" t="s">
        <v>2672</v>
      </c>
      <c r="D2708" s="206">
        <v>44041</v>
      </c>
      <c r="E2708" s="138" t="s">
        <v>1004</v>
      </c>
    </row>
    <row r="2709" spans="1:5" ht="18.75">
      <c r="A2709" s="89" t="str">
        <f t="shared" si="42"/>
        <v>#17912</v>
      </c>
      <c r="B2709" s="138" t="s">
        <v>5891</v>
      </c>
      <c r="C2709" s="236" t="s">
        <v>5890</v>
      </c>
      <c r="D2709" s="206">
        <v>44041</v>
      </c>
      <c r="E2709" s="138" t="s">
        <v>1004</v>
      </c>
    </row>
    <row r="2710" spans="1:5" ht="18.75">
      <c r="A2710" s="89" t="str">
        <f t="shared" si="42"/>
        <v>#17913</v>
      </c>
      <c r="B2710" s="138" t="s">
        <v>5893</v>
      </c>
      <c r="C2710" s="236" t="s">
        <v>5892</v>
      </c>
      <c r="D2710" s="206">
        <v>44041</v>
      </c>
      <c r="E2710" s="138" t="s">
        <v>1004</v>
      </c>
    </row>
    <row r="2711" spans="1:5" ht="18.75">
      <c r="A2711" s="89" t="str">
        <f t="shared" si="42"/>
        <v>#17921</v>
      </c>
      <c r="B2711" s="138" t="s">
        <v>5895</v>
      </c>
      <c r="C2711" s="236" t="s">
        <v>5894</v>
      </c>
      <c r="D2711" s="240">
        <v>44049</v>
      </c>
      <c r="E2711" s="138" t="s">
        <v>906</v>
      </c>
    </row>
    <row r="2712" spans="1:5" ht="18.75">
      <c r="A2712" s="89" t="str">
        <f t="shared" si="42"/>
        <v>#17923</v>
      </c>
      <c r="B2712" s="138" t="s">
        <v>5897</v>
      </c>
      <c r="C2712" s="236" t="s">
        <v>5896</v>
      </c>
      <c r="D2712" s="206">
        <v>44049</v>
      </c>
      <c r="E2712" s="138" t="s">
        <v>906</v>
      </c>
    </row>
    <row r="2713" spans="1:5" ht="18.75">
      <c r="A2713" s="89" t="str">
        <f t="shared" si="42"/>
        <v>#17933</v>
      </c>
      <c r="B2713" s="138" t="s">
        <v>5899</v>
      </c>
      <c r="C2713" s="236" t="s">
        <v>5898</v>
      </c>
      <c r="D2713" s="206">
        <v>44049</v>
      </c>
      <c r="E2713" s="138" t="s">
        <v>978</v>
      </c>
    </row>
    <row r="2714" spans="1:5" ht="18.75">
      <c r="A2714" s="89" t="str">
        <f t="shared" si="42"/>
        <v>#17944</v>
      </c>
      <c r="B2714" s="138" t="s">
        <v>5900</v>
      </c>
      <c r="C2714" s="236" t="s">
        <v>1175</v>
      </c>
      <c r="D2714" s="206">
        <v>44049</v>
      </c>
      <c r="E2714" s="138" t="s">
        <v>957</v>
      </c>
    </row>
    <row r="2715" spans="1:5" ht="18.75">
      <c r="A2715" s="89" t="str">
        <f t="shared" si="42"/>
        <v>#17945</v>
      </c>
      <c r="B2715" s="138" t="s">
        <v>5902</v>
      </c>
      <c r="C2715" s="236" t="s">
        <v>5901</v>
      </c>
      <c r="D2715" s="206">
        <v>44049</v>
      </c>
      <c r="E2715" s="138" t="s">
        <v>1380</v>
      </c>
    </row>
    <row r="2716" spans="1:5" ht="18.75">
      <c r="A2716" s="89" t="str">
        <f t="shared" si="42"/>
        <v>#17950</v>
      </c>
      <c r="B2716" s="138" t="s">
        <v>5903</v>
      </c>
      <c r="C2716" s="236" t="s">
        <v>998</v>
      </c>
      <c r="D2716" s="206">
        <v>44049</v>
      </c>
      <c r="E2716" s="138" t="s">
        <v>1541</v>
      </c>
    </row>
    <row r="2717" spans="1:5" ht="18.75">
      <c r="A2717" s="89" t="str">
        <f t="shared" si="42"/>
        <v>#17952</v>
      </c>
      <c r="B2717" s="138" t="s">
        <v>5904</v>
      </c>
      <c r="C2717" s="236" t="s">
        <v>1818</v>
      </c>
      <c r="D2717" s="206">
        <v>44053</v>
      </c>
      <c r="E2717" s="138" t="s">
        <v>1191</v>
      </c>
    </row>
    <row r="2718" spans="1:5" ht="18.75">
      <c r="A2718" s="89" t="str">
        <f t="shared" si="42"/>
        <v>#17961</v>
      </c>
      <c r="B2718" s="138" t="s">
        <v>5906</v>
      </c>
      <c r="C2718" s="236" t="s">
        <v>5905</v>
      </c>
      <c r="D2718" s="206">
        <v>44055</v>
      </c>
      <c r="E2718" s="238" t="s">
        <v>978</v>
      </c>
    </row>
    <row r="2719" spans="1:5" ht="18.75">
      <c r="A2719" s="89" t="str">
        <f t="shared" si="42"/>
        <v>#17963</v>
      </c>
      <c r="B2719" s="138" t="s">
        <v>5907</v>
      </c>
      <c r="C2719" s="236" t="s">
        <v>4496</v>
      </c>
      <c r="D2719" s="206">
        <v>44055</v>
      </c>
      <c r="E2719" s="138" t="s">
        <v>978</v>
      </c>
    </row>
    <row r="2720" spans="1:5" ht="18.75">
      <c r="A2720" s="89" t="str">
        <f t="shared" si="42"/>
        <v>#17965</v>
      </c>
      <c r="B2720" s="138" t="s">
        <v>5909</v>
      </c>
      <c r="C2720" s="236" t="s">
        <v>5908</v>
      </c>
      <c r="D2720" s="206">
        <v>44055</v>
      </c>
      <c r="E2720" s="138" t="s">
        <v>978</v>
      </c>
    </row>
    <row r="2721" spans="1:5" ht="18.75">
      <c r="A2721" s="89" t="str">
        <f t="shared" si="42"/>
        <v>#17973</v>
      </c>
      <c r="B2721" s="138" t="s">
        <v>5911</v>
      </c>
      <c r="C2721" s="236" t="s">
        <v>5910</v>
      </c>
      <c r="D2721" s="206">
        <v>44055</v>
      </c>
      <c r="E2721" s="138" t="s">
        <v>1380</v>
      </c>
    </row>
    <row r="2722" spans="1:5" ht="18.75">
      <c r="A2722" s="89" t="str">
        <f t="shared" si="42"/>
        <v>#17974</v>
      </c>
      <c r="B2722" s="138" t="s">
        <v>5913</v>
      </c>
      <c r="C2722" s="236" t="s">
        <v>5912</v>
      </c>
      <c r="D2722" s="206">
        <v>44055</v>
      </c>
      <c r="E2722" s="138" t="s">
        <v>1380</v>
      </c>
    </row>
    <row r="2723" spans="1:5" ht="18.75">
      <c r="A2723" s="89" t="str">
        <f t="shared" si="42"/>
        <v>#17979</v>
      </c>
      <c r="B2723" s="138" t="s">
        <v>5915</v>
      </c>
      <c r="C2723" s="236" t="s">
        <v>5914</v>
      </c>
      <c r="D2723" s="206">
        <v>44055</v>
      </c>
      <c r="E2723" s="138" t="s">
        <v>1188</v>
      </c>
    </row>
    <row r="2724" spans="1:5" ht="18.75">
      <c r="A2724" s="89" t="str">
        <f t="shared" si="42"/>
        <v>#17987</v>
      </c>
      <c r="B2724" s="138" t="s">
        <v>5917</v>
      </c>
      <c r="C2724" s="236" t="s">
        <v>5916</v>
      </c>
      <c r="D2724" s="206">
        <v>44060</v>
      </c>
      <c r="E2724" s="138" t="s">
        <v>985</v>
      </c>
    </row>
    <row r="2725" spans="1:5" ht="18.75">
      <c r="A2725" s="89" t="str">
        <f t="shared" si="42"/>
        <v>#17989</v>
      </c>
      <c r="B2725" s="138" t="s">
        <v>5919</v>
      </c>
      <c r="C2725" s="236" t="s">
        <v>5918</v>
      </c>
      <c r="D2725" s="206">
        <v>44060</v>
      </c>
      <c r="E2725" s="138" t="s">
        <v>985</v>
      </c>
    </row>
    <row r="2726" spans="1:5" ht="18.75">
      <c r="A2726" s="89" t="str">
        <f t="shared" si="42"/>
        <v>#17990</v>
      </c>
      <c r="B2726" s="138" t="s">
        <v>5920</v>
      </c>
      <c r="C2726" s="236" t="s">
        <v>1943</v>
      </c>
      <c r="D2726" s="206">
        <v>44060</v>
      </c>
      <c r="E2726" s="138" t="s">
        <v>985</v>
      </c>
    </row>
    <row r="2727" spans="1:5" ht="18.75">
      <c r="A2727" s="89" t="str">
        <f t="shared" si="42"/>
        <v>#18003</v>
      </c>
      <c r="B2727" s="138" t="s">
        <v>5922</v>
      </c>
      <c r="C2727" s="236" t="s">
        <v>5921</v>
      </c>
      <c r="D2727" s="206">
        <v>44060</v>
      </c>
      <c r="E2727" s="138" t="s">
        <v>1085</v>
      </c>
    </row>
    <row r="2728" spans="1:5" ht="18.75">
      <c r="A2728" s="89" t="str">
        <f t="shared" si="42"/>
        <v>#18018</v>
      </c>
      <c r="B2728" s="138" t="s">
        <v>5924</v>
      </c>
      <c r="C2728" s="236" t="s">
        <v>5923</v>
      </c>
      <c r="D2728" s="206">
        <v>44064</v>
      </c>
      <c r="E2728" s="138" t="s">
        <v>1541</v>
      </c>
    </row>
    <row r="2729" spans="1:5" ht="18.75">
      <c r="A2729" s="89" t="str">
        <f t="shared" si="42"/>
        <v>#18023</v>
      </c>
      <c r="B2729" s="138" t="s">
        <v>5925</v>
      </c>
      <c r="C2729" s="236" t="s">
        <v>5061</v>
      </c>
      <c r="D2729" s="206">
        <v>44064</v>
      </c>
      <c r="E2729" s="138" t="s">
        <v>927</v>
      </c>
    </row>
    <row r="2730" spans="1:5" ht="18.75">
      <c r="A2730" s="89" t="str">
        <f t="shared" si="42"/>
        <v>#18062</v>
      </c>
      <c r="B2730" s="138" t="s">
        <v>5927</v>
      </c>
      <c r="C2730" s="236" t="s">
        <v>5926</v>
      </c>
      <c r="D2730" s="206">
        <v>44075</v>
      </c>
      <c r="E2730" s="138" t="s">
        <v>1004</v>
      </c>
    </row>
    <row r="2731" spans="1:5" ht="18.75">
      <c r="A2731" s="89" t="str">
        <f t="shared" si="42"/>
        <v>#18064</v>
      </c>
      <c r="B2731" s="138" t="s">
        <v>5929</v>
      </c>
      <c r="C2731" s="236" t="s">
        <v>5928</v>
      </c>
      <c r="D2731" s="206">
        <v>44077</v>
      </c>
      <c r="E2731" s="138" t="s">
        <v>924</v>
      </c>
    </row>
    <row r="2732" spans="1:5" ht="18.75">
      <c r="A2732" s="89" t="str">
        <f t="shared" si="42"/>
        <v>#18067</v>
      </c>
      <c r="B2732" s="138" t="s">
        <v>5931</v>
      </c>
      <c r="C2732" s="236" t="s">
        <v>5930</v>
      </c>
      <c r="D2732" s="206">
        <v>44077</v>
      </c>
      <c r="E2732" s="138" t="s">
        <v>924</v>
      </c>
    </row>
    <row r="2733" spans="1:5" ht="18.75">
      <c r="A2733" s="89" t="str">
        <f t="shared" si="42"/>
        <v>#18068</v>
      </c>
      <c r="B2733" s="138" t="s">
        <v>5933</v>
      </c>
      <c r="C2733" s="236" t="s">
        <v>5932</v>
      </c>
      <c r="D2733" s="206">
        <v>44077</v>
      </c>
      <c r="E2733" s="138" t="s">
        <v>890</v>
      </c>
    </row>
    <row r="2734" spans="1:5" ht="18.75">
      <c r="A2734" s="89" t="str">
        <f t="shared" si="42"/>
        <v>#18082</v>
      </c>
      <c r="B2734" s="138" t="s">
        <v>5936</v>
      </c>
      <c r="C2734" s="236" t="s">
        <v>5935</v>
      </c>
      <c r="D2734" s="206">
        <v>44081</v>
      </c>
      <c r="E2734" s="138" t="s">
        <v>1004</v>
      </c>
    </row>
    <row r="2735" spans="1:5" ht="18.75">
      <c r="A2735" s="89" t="str">
        <f t="shared" si="42"/>
        <v>#18090</v>
      </c>
      <c r="B2735" s="138" t="s">
        <v>5938</v>
      </c>
      <c r="C2735" s="236" t="s">
        <v>5937</v>
      </c>
      <c r="D2735" s="206">
        <v>44084</v>
      </c>
      <c r="E2735" s="138" t="s">
        <v>927</v>
      </c>
    </row>
    <row r="2736" spans="1:5" ht="18.75">
      <c r="A2736" s="89" t="str">
        <f t="shared" si="42"/>
        <v>#18091</v>
      </c>
      <c r="B2736" s="138" t="s">
        <v>5940</v>
      </c>
      <c r="C2736" s="236" t="s">
        <v>5939</v>
      </c>
      <c r="D2736" s="206">
        <v>44084</v>
      </c>
      <c r="E2736" s="138" t="s">
        <v>927</v>
      </c>
    </row>
    <row r="2737" spans="1:5" ht="18.75">
      <c r="A2737" s="89" t="str">
        <f t="shared" si="42"/>
        <v>#18092</v>
      </c>
      <c r="B2737" s="138" t="s">
        <v>5942</v>
      </c>
      <c r="C2737" s="236" t="s">
        <v>5941</v>
      </c>
      <c r="D2737" s="206">
        <v>44084</v>
      </c>
      <c r="E2737" s="138" t="s">
        <v>927</v>
      </c>
    </row>
    <row r="2738" spans="1:5" ht="18.75">
      <c r="A2738" s="89" t="str">
        <f t="shared" si="42"/>
        <v>#18094</v>
      </c>
      <c r="B2738" s="138" t="s">
        <v>5944</v>
      </c>
      <c r="C2738" s="236" t="s">
        <v>5943</v>
      </c>
      <c r="D2738" s="206">
        <v>44084</v>
      </c>
      <c r="E2738" s="138" t="s">
        <v>927</v>
      </c>
    </row>
    <row r="2739" spans="1:5" ht="15.75">
      <c r="A2739" s="89" t="str">
        <f t="shared" si="42"/>
        <v>#18095</v>
      </c>
      <c r="B2739" s="138" t="s">
        <v>5946</v>
      </c>
      <c r="C2739" s="183" t="s">
        <v>5945</v>
      </c>
      <c r="D2739" s="138">
        <v>44084</v>
      </c>
      <c r="E2739" s="138" t="s">
        <v>1133</v>
      </c>
    </row>
    <row r="2740" spans="1:5" ht="18.75">
      <c r="A2740" s="89" t="str">
        <f t="shared" si="42"/>
        <v>#18110</v>
      </c>
      <c r="B2740" s="138" t="s">
        <v>5948</v>
      </c>
      <c r="C2740" s="236" t="s">
        <v>5947</v>
      </c>
      <c r="D2740" s="206">
        <v>44084</v>
      </c>
      <c r="E2740" s="138" t="s">
        <v>978</v>
      </c>
    </row>
    <row r="2741" spans="1:5" ht="18.75">
      <c r="A2741" s="89" t="str">
        <f t="shared" si="42"/>
        <v>#18119</v>
      </c>
      <c r="B2741" s="138" t="s">
        <v>5950</v>
      </c>
      <c r="C2741" s="236" t="s">
        <v>5949</v>
      </c>
      <c r="D2741" s="206">
        <v>44088</v>
      </c>
      <c r="E2741" s="138" t="s">
        <v>773</v>
      </c>
    </row>
    <row r="2742" spans="1:5" ht="18.75">
      <c r="A2742" s="89" t="str">
        <f t="shared" si="42"/>
        <v>#18124</v>
      </c>
      <c r="B2742" s="138" t="s">
        <v>5952</v>
      </c>
      <c r="C2742" s="236" t="s">
        <v>5951</v>
      </c>
      <c r="D2742" s="206">
        <v>44095</v>
      </c>
      <c r="E2742" s="138" t="s">
        <v>927</v>
      </c>
    </row>
    <row r="2743" spans="1:5" ht="18.75">
      <c r="A2743" s="89" t="str">
        <f t="shared" si="42"/>
        <v>#18143</v>
      </c>
      <c r="B2743" s="138" t="s">
        <v>5954</v>
      </c>
      <c r="C2743" s="236" t="s">
        <v>5953</v>
      </c>
      <c r="D2743" s="206">
        <v>44095</v>
      </c>
      <c r="E2743" s="138" t="s">
        <v>1004</v>
      </c>
    </row>
    <row r="2744" spans="1:5" ht="18.75">
      <c r="A2744" s="89" t="str">
        <f t="shared" si="42"/>
        <v>#18147</v>
      </c>
      <c r="B2744" s="138" t="s">
        <v>5956</v>
      </c>
      <c r="C2744" s="236" t="s">
        <v>5955</v>
      </c>
      <c r="D2744" s="206">
        <v>44095</v>
      </c>
      <c r="E2744" s="138" t="s">
        <v>906</v>
      </c>
    </row>
    <row r="2745" spans="1:5" ht="18.75">
      <c r="A2745" s="89" t="str">
        <f t="shared" si="42"/>
        <v>#18149</v>
      </c>
      <c r="B2745" s="138" t="s">
        <v>5958</v>
      </c>
      <c r="C2745" s="236" t="s">
        <v>5957</v>
      </c>
      <c r="D2745" s="206">
        <v>44095</v>
      </c>
      <c r="E2745" s="138" t="s">
        <v>906</v>
      </c>
    </row>
    <row r="2746" spans="1:5" ht="18.75">
      <c r="A2746" s="89" t="str">
        <f t="shared" si="42"/>
        <v>#18150</v>
      </c>
      <c r="B2746" s="138" t="s">
        <v>5960</v>
      </c>
      <c r="C2746" s="236" t="s">
        <v>5959</v>
      </c>
      <c r="D2746" s="206">
        <v>44095</v>
      </c>
      <c r="E2746" s="138" t="s">
        <v>906</v>
      </c>
    </row>
    <row r="2747" spans="1:5" ht="18.75">
      <c r="A2747" s="89" t="str">
        <f t="shared" si="42"/>
        <v>#18152</v>
      </c>
      <c r="B2747" s="138" t="s">
        <v>5962</v>
      </c>
      <c r="C2747" s="236" t="s">
        <v>5961</v>
      </c>
      <c r="D2747" s="206">
        <v>44095</v>
      </c>
      <c r="E2747" s="138" t="s">
        <v>906</v>
      </c>
    </row>
    <row r="2748" spans="1:5" ht="18.75">
      <c r="A2748" s="89" t="str">
        <f t="shared" si="42"/>
        <v>#18155</v>
      </c>
      <c r="B2748" s="138" t="s">
        <v>5964</v>
      </c>
      <c r="C2748" s="236" t="s">
        <v>5963</v>
      </c>
      <c r="D2748" s="206">
        <v>44102</v>
      </c>
      <c r="E2748" s="138" t="s">
        <v>1191</v>
      </c>
    </row>
    <row r="2749" spans="1:5" ht="18.75">
      <c r="A2749" s="89" t="str">
        <f t="shared" si="42"/>
        <v>#18160</v>
      </c>
      <c r="B2749" s="138" t="s">
        <v>5966</v>
      </c>
      <c r="C2749" s="236" t="s">
        <v>5965</v>
      </c>
      <c r="D2749" s="206">
        <v>44105</v>
      </c>
      <c r="E2749" s="138" t="s">
        <v>721</v>
      </c>
    </row>
    <row r="2750" spans="1:5" ht="18.75">
      <c r="A2750" s="89" t="str">
        <f t="shared" si="42"/>
        <v>#18170</v>
      </c>
      <c r="B2750" s="138" t="s">
        <v>5967</v>
      </c>
      <c r="C2750" s="236" t="s">
        <v>2984</v>
      </c>
      <c r="D2750" s="206">
        <v>44112</v>
      </c>
      <c r="E2750" s="138" t="s">
        <v>957</v>
      </c>
    </row>
    <row r="2751" spans="1:5" ht="18.75">
      <c r="A2751" s="89" t="str">
        <f t="shared" si="42"/>
        <v>#18185</v>
      </c>
      <c r="B2751" s="138" t="s">
        <v>5969</v>
      </c>
      <c r="C2751" s="236" t="s">
        <v>5968</v>
      </c>
      <c r="D2751" s="206">
        <v>44112</v>
      </c>
      <c r="E2751" s="138" t="s">
        <v>927</v>
      </c>
    </row>
    <row r="2752" spans="1:5" ht="18.75">
      <c r="A2752" s="89" t="str">
        <f t="shared" si="42"/>
        <v>#18190</v>
      </c>
      <c r="B2752" s="138" t="s">
        <v>5971</v>
      </c>
      <c r="C2752" s="236" t="s">
        <v>5970</v>
      </c>
      <c r="D2752" s="206">
        <v>44112</v>
      </c>
      <c r="E2752" s="138" t="s">
        <v>927</v>
      </c>
    </row>
    <row r="2753" spans="1:5" ht="18.75">
      <c r="A2753" s="89" t="str">
        <f t="shared" si="42"/>
        <v>#18196</v>
      </c>
      <c r="B2753" s="138" t="s">
        <v>5973</v>
      </c>
      <c r="C2753" s="236" t="s">
        <v>5972</v>
      </c>
      <c r="D2753" s="206">
        <v>44112</v>
      </c>
      <c r="E2753" s="138" t="s">
        <v>927</v>
      </c>
    </row>
    <row r="2754" spans="1:5" ht="18.75">
      <c r="A2754" s="89" t="str">
        <f t="shared" si="42"/>
        <v>#18205</v>
      </c>
      <c r="B2754" s="138" t="s">
        <v>5975</v>
      </c>
      <c r="C2754" s="236" t="s">
        <v>5974</v>
      </c>
      <c r="D2754" s="206">
        <v>44118</v>
      </c>
      <c r="E2754" s="138" t="s">
        <v>937</v>
      </c>
    </row>
    <row r="2755" spans="1:5" ht="18.75">
      <c r="A2755" s="89" t="str">
        <f t="shared" ref="A2755:A2818" si="43">"#"&amp;B2755</f>
        <v>#18206</v>
      </c>
      <c r="B2755" s="138" t="s">
        <v>5977</v>
      </c>
      <c r="C2755" s="236" t="s">
        <v>5976</v>
      </c>
      <c r="D2755" s="206">
        <v>44118</v>
      </c>
      <c r="E2755" s="138" t="s">
        <v>937</v>
      </c>
    </row>
    <row r="2756" spans="1:5" ht="18.75">
      <c r="A2756" s="89" t="str">
        <f t="shared" si="43"/>
        <v>#18220</v>
      </c>
      <c r="B2756" s="138" t="s">
        <v>5978</v>
      </c>
      <c r="C2756" s="236" t="s">
        <v>907</v>
      </c>
      <c r="D2756" s="206">
        <v>44125</v>
      </c>
      <c r="E2756" s="138" t="s">
        <v>927</v>
      </c>
    </row>
    <row r="2757" spans="1:5" ht="18.75">
      <c r="A2757" s="89" t="str">
        <f t="shared" si="43"/>
        <v>#18225</v>
      </c>
      <c r="B2757" s="138" t="s">
        <v>5980</v>
      </c>
      <c r="C2757" s="236" t="s">
        <v>5979</v>
      </c>
      <c r="D2757" s="206">
        <v>44125</v>
      </c>
      <c r="E2757" s="138" t="s">
        <v>927</v>
      </c>
    </row>
    <row r="2758" spans="1:5" ht="18.75">
      <c r="A2758" s="89" t="str">
        <f t="shared" si="43"/>
        <v>#18255</v>
      </c>
      <c r="B2758" s="138" t="s">
        <v>5982</v>
      </c>
      <c r="C2758" s="236" t="s">
        <v>5981</v>
      </c>
      <c r="D2758" s="206">
        <v>44125</v>
      </c>
      <c r="E2758" s="138" t="s">
        <v>721</v>
      </c>
    </row>
    <row r="2759" spans="1:5" ht="18.75">
      <c r="A2759" s="89" t="str">
        <f t="shared" si="43"/>
        <v>#18258</v>
      </c>
      <c r="B2759" s="138" t="s">
        <v>5983</v>
      </c>
      <c r="C2759" s="236" t="s">
        <v>4665</v>
      </c>
      <c r="D2759" s="206">
        <v>44130</v>
      </c>
      <c r="E2759" s="138" t="s">
        <v>1029</v>
      </c>
    </row>
    <row r="2760" spans="1:5" ht="18.75">
      <c r="A2760" s="89" t="str">
        <f t="shared" si="43"/>
        <v>#18260</v>
      </c>
      <c r="B2760" s="138" t="s">
        <v>5985</v>
      </c>
      <c r="C2760" s="236" t="s">
        <v>5984</v>
      </c>
      <c r="D2760" s="206">
        <v>44132</v>
      </c>
      <c r="E2760" s="138" t="s">
        <v>8037</v>
      </c>
    </row>
    <row r="2761" spans="1:5" ht="18.75">
      <c r="A2761" s="89" t="str">
        <f t="shared" si="43"/>
        <v>#18262</v>
      </c>
      <c r="B2761" s="138" t="s">
        <v>5987</v>
      </c>
      <c r="C2761" s="236" t="s">
        <v>5986</v>
      </c>
      <c r="D2761" s="206">
        <v>44132</v>
      </c>
      <c r="E2761" s="138" t="s">
        <v>8037</v>
      </c>
    </row>
    <row r="2762" spans="1:5" ht="18.75">
      <c r="A2762" s="89" t="str">
        <f t="shared" si="43"/>
        <v>#18263</v>
      </c>
      <c r="B2762" s="138" t="s">
        <v>5989</v>
      </c>
      <c r="C2762" s="236" t="s">
        <v>5988</v>
      </c>
      <c r="D2762" s="206">
        <v>44132</v>
      </c>
      <c r="E2762" s="138" t="s">
        <v>8037</v>
      </c>
    </row>
    <row r="2763" spans="1:5" ht="18.75">
      <c r="A2763" s="89" t="str">
        <f t="shared" si="43"/>
        <v>#18274</v>
      </c>
      <c r="B2763" s="138" t="s">
        <v>5991</v>
      </c>
      <c r="C2763" s="236" t="s">
        <v>5990</v>
      </c>
      <c r="D2763" s="206">
        <v>44132</v>
      </c>
      <c r="E2763" s="138" t="s">
        <v>8037</v>
      </c>
    </row>
    <row r="2764" spans="1:5" ht="18.75">
      <c r="A2764" s="89" t="str">
        <f t="shared" si="43"/>
        <v>#18276</v>
      </c>
      <c r="B2764" s="138" t="s">
        <v>5992</v>
      </c>
      <c r="C2764" s="236" t="s">
        <v>5939</v>
      </c>
      <c r="D2764" s="206">
        <v>44132</v>
      </c>
      <c r="E2764" s="138" t="s">
        <v>978</v>
      </c>
    </row>
    <row r="2765" spans="1:5" ht="18.75">
      <c r="A2765" s="89" t="str">
        <f t="shared" si="43"/>
        <v>#18287</v>
      </c>
      <c r="B2765" s="138" t="s">
        <v>5993</v>
      </c>
      <c r="C2765" s="236" t="s">
        <v>1494</v>
      </c>
      <c r="D2765" s="206">
        <v>44132</v>
      </c>
      <c r="E2765" s="138" t="s">
        <v>937</v>
      </c>
    </row>
    <row r="2766" spans="1:5" ht="18.75">
      <c r="A2766" s="89" t="str">
        <f t="shared" si="43"/>
        <v>#18307</v>
      </c>
      <c r="B2766" s="138" t="s">
        <v>5994</v>
      </c>
      <c r="C2766" s="236" t="s">
        <v>4741</v>
      </c>
      <c r="D2766" s="206">
        <v>44132</v>
      </c>
      <c r="E2766" s="138" t="s">
        <v>937</v>
      </c>
    </row>
    <row r="2767" spans="1:5" ht="18.75">
      <c r="A2767" s="89" t="str">
        <f t="shared" si="43"/>
        <v>#18323</v>
      </c>
      <c r="B2767" s="138" t="s">
        <v>5995</v>
      </c>
      <c r="C2767" s="236" t="s">
        <v>1053</v>
      </c>
      <c r="D2767" s="206">
        <v>44139</v>
      </c>
      <c r="E2767" s="138" t="s">
        <v>915</v>
      </c>
    </row>
    <row r="2768" spans="1:5" ht="18.75">
      <c r="A2768" s="89" t="str">
        <f t="shared" si="43"/>
        <v>#18327</v>
      </c>
      <c r="B2768" s="138" t="s">
        <v>5997</v>
      </c>
      <c r="C2768" s="236" t="s">
        <v>5996</v>
      </c>
      <c r="D2768" s="206">
        <v>44139</v>
      </c>
      <c r="E2768" s="138" t="s">
        <v>1541</v>
      </c>
    </row>
    <row r="2769" spans="1:5" ht="18.75">
      <c r="A2769" s="89" t="str">
        <f t="shared" si="43"/>
        <v>#18328</v>
      </c>
      <c r="B2769" s="138" t="s">
        <v>5999</v>
      </c>
      <c r="C2769" s="236" t="s">
        <v>5998</v>
      </c>
      <c r="D2769" s="206">
        <v>44139</v>
      </c>
      <c r="E2769" s="138" t="s">
        <v>915</v>
      </c>
    </row>
    <row r="2770" spans="1:5" ht="18.75">
      <c r="A2770" s="89" t="str">
        <f t="shared" si="43"/>
        <v>#18332</v>
      </c>
      <c r="B2770" s="138" t="s">
        <v>6000</v>
      </c>
      <c r="C2770" s="236" t="s">
        <v>1356</v>
      </c>
      <c r="D2770" s="206">
        <v>44139</v>
      </c>
      <c r="E2770" s="138" t="s">
        <v>1063</v>
      </c>
    </row>
    <row r="2771" spans="1:5" ht="18.75">
      <c r="A2771" s="89" t="str">
        <f t="shared" si="43"/>
        <v>#18344</v>
      </c>
      <c r="B2771" s="138" t="s">
        <v>6002</v>
      </c>
      <c r="C2771" s="236" t="s">
        <v>6001</v>
      </c>
      <c r="D2771" s="206">
        <v>44146</v>
      </c>
      <c r="E2771" s="138" t="s">
        <v>978</v>
      </c>
    </row>
    <row r="2772" spans="1:5" ht="18.75">
      <c r="A2772" s="89" t="str">
        <f t="shared" si="43"/>
        <v>#18387</v>
      </c>
      <c r="B2772" s="138" t="s">
        <v>6003</v>
      </c>
      <c r="C2772" s="236" t="s">
        <v>4374</v>
      </c>
      <c r="D2772" s="206">
        <v>44153</v>
      </c>
      <c r="E2772" s="138" t="s">
        <v>1188</v>
      </c>
    </row>
    <row r="2773" spans="1:5" ht="18.75">
      <c r="A2773" s="89" t="str">
        <f t="shared" si="43"/>
        <v>#18392</v>
      </c>
      <c r="B2773" s="138" t="s">
        <v>6004</v>
      </c>
      <c r="C2773" s="236" t="s">
        <v>2551</v>
      </c>
      <c r="D2773" s="206">
        <v>44153</v>
      </c>
      <c r="E2773" s="138" t="s">
        <v>937</v>
      </c>
    </row>
    <row r="2774" spans="1:5" ht="18.75">
      <c r="A2774" s="89" t="str">
        <f t="shared" si="43"/>
        <v>#18393</v>
      </c>
      <c r="B2774" s="138" t="s">
        <v>6006</v>
      </c>
      <c r="C2774" s="236" t="s">
        <v>6005</v>
      </c>
      <c r="D2774" s="206">
        <v>44153</v>
      </c>
      <c r="E2774" s="138" t="s">
        <v>937</v>
      </c>
    </row>
    <row r="2775" spans="1:5" ht="18.75">
      <c r="A2775" s="89" t="str">
        <f t="shared" si="43"/>
        <v>#18409</v>
      </c>
      <c r="B2775" s="138" t="s">
        <v>6007</v>
      </c>
      <c r="C2775" s="236" t="s">
        <v>1961</v>
      </c>
      <c r="D2775" s="206">
        <v>44153</v>
      </c>
      <c r="E2775" s="138" t="s">
        <v>906</v>
      </c>
    </row>
    <row r="2776" spans="1:5" ht="18.75">
      <c r="A2776" s="89" t="str">
        <f t="shared" si="43"/>
        <v>#18410</v>
      </c>
      <c r="B2776" s="138" t="s">
        <v>6009</v>
      </c>
      <c r="C2776" s="236" t="s">
        <v>6008</v>
      </c>
      <c r="D2776" s="206">
        <v>44153</v>
      </c>
      <c r="E2776" s="138" t="s">
        <v>906</v>
      </c>
    </row>
    <row r="2777" spans="1:5" ht="18.75">
      <c r="A2777" s="89" t="str">
        <f t="shared" si="43"/>
        <v>#18418</v>
      </c>
      <c r="B2777" s="138" t="s">
        <v>6010</v>
      </c>
      <c r="C2777" s="236" t="s">
        <v>2045</v>
      </c>
      <c r="D2777" s="206">
        <v>44160</v>
      </c>
      <c r="E2777" s="138" t="s">
        <v>927</v>
      </c>
    </row>
    <row r="2778" spans="1:5" ht="18.75">
      <c r="A2778" s="89" t="str">
        <f t="shared" si="43"/>
        <v>#18426</v>
      </c>
      <c r="B2778" s="138" t="s">
        <v>6012</v>
      </c>
      <c r="C2778" s="236" t="s">
        <v>6011</v>
      </c>
      <c r="D2778" s="206">
        <v>44160</v>
      </c>
      <c r="E2778" s="138" t="s">
        <v>937</v>
      </c>
    </row>
    <row r="2779" spans="1:5" ht="18.75">
      <c r="A2779" s="89" t="str">
        <f t="shared" si="43"/>
        <v>#18432</v>
      </c>
      <c r="B2779" s="138" t="s">
        <v>6013</v>
      </c>
      <c r="C2779" s="236" t="s">
        <v>2028</v>
      </c>
      <c r="D2779" s="206">
        <v>44160</v>
      </c>
      <c r="E2779" s="138" t="s">
        <v>957</v>
      </c>
    </row>
    <row r="2780" spans="1:5" ht="18.75">
      <c r="A2780" s="89" t="str">
        <f t="shared" si="43"/>
        <v>#18436</v>
      </c>
      <c r="B2780" s="138" t="s">
        <v>6015</v>
      </c>
      <c r="C2780" s="236" t="s">
        <v>2772</v>
      </c>
      <c r="D2780" s="206">
        <v>44161</v>
      </c>
      <c r="E2780" s="138" t="s">
        <v>957</v>
      </c>
    </row>
    <row r="2781" spans="1:5" ht="18.75">
      <c r="A2781" s="89" t="str">
        <f t="shared" si="43"/>
        <v>#18439</v>
      </c>
      <c r="B2781" s="138" t="s">
        <v>6016</v>
      </c>
      <c r="C2781" s="236" t="s">
        <v>1898</v>
      </c>
      <c r="D2781" s="206">
        <v>44161</v>
      </c>
      <c r="E2781" s="138" t="s">
        <v>978</v>
      </c>
    </row>
    <row r="2782" spans="1:5" ht="18.75">
      <c r="A2782" s="89" t="str">
        <f t="shared" si="43"/>
        <v>#18446</v>
      </c>
      <c r="B2782" s="138" t="s">
        <v>6018</v>
      </c>
      <c r="C2782" s="236" t="s">
        <v>6017</v>
      </c>
      <c r="D2782" s="206">
        <v>44168</v>
      </c>
      <c r="E2782" s="138" t="s">
        <v>927</v>
      </c>
    </row>
    <row r="2783" spans="1:5" ht="18.75">
      <c r="A2783" s="89" t="str">
        <f t="shared" si="43"/>
        <v>#18452</v>
      </c>
      <c r="B2783" s="138" t="s">
        <v>6019</v>
      </c>
      <c r="C2783" s="236" t="s">
        <v>5588</v>
      </c>
      <c r="D2783" s="206">
        <v>44168</v>
      </c>
      <c r="E2783" s="138" t="s">
        <v>5177</v>
      </c>
    </row>
    <row r="2784" spans="1:5" ht="18.75">
      <c r="A2784" s="89" t="str">
        <f t="shared" si="43"/>
        <v>#18454</v>
      </c>
      <c r="B2784" s="138" t="s">
        <v>6021</v>
      </c>
      <c r="C2784" s="236" t="s">
        <v>6020</v>
      </c>
      <c r="D2784" s="206">
        <v>44168</v>
      </c>
      <c r="E2784" s="138" t="s">
        <v>937</v>
      </c>
    </row>
    <row r="2785" spans="1:5" ht="18.75">
      <c r="A2785" s="89" t="str">
        <f t="shared" si="43"/>
        <v>#18462</v>
      </c>
      <c r="B2785" s="138" t="s">
        <v>6023</v>
      </c>
      <c r="C2785" s="236" t="s">
        <v>6022</v>
      </c>
      <c r="D2785" s="206">
        <v>44168</v>
      </c>
      <c r="E2785" s="138" t="s">
        <v>895</v>
      </c>
    </row>
    <row r="2786" spans="1:5" ht="18.75">
      <c r="A2786" s="89" t="str">
        <f t="shared" si="43"/>
        <v>#18463</v>
      </c>
      <c r="B2786" s="138" t="s">
        <v>6025</v>
      </c>
      <c r="C2786" s="236" t="s">
        <v>6024</v>
      </c>
      <c r="D2786" s="206">
        <v>44168</v>
      </c>
      <c r="E2786" s="138" t="s">
        <v>721</v>
      </c>
    </row>
    <row r="2787" spans="1:5" ht="18.75">
      <c r="A2787" s="89" t="str">
        <f t="shared" si="43"/>
        <v>#18499</v>
      </c>
      <c r="B2787" s="138" t="s">
        <v>6027</v>
      </c>
      <c r="C2787" s="236" t="s">
        <v>6026</v>
      </c>
      <c r="D2787" s="206">
        <v>44174</v>
      </c>
      <c r="E2787" s="138" t="s">
        <v>773</v>
      </c>
    </row>
    <row r="2788" spans="1:5" ht="18.75">
      <c r="A2788" s="89" t="str">
        <f t="shared" si="43"/>
        <v>#18500</v>
      </c>
      <c r="B2788" s="138" t="s">
        <v>6029</v>
      </c>
      <c r="C2788" s="236" t="s">
        <v>6028</v>
      </c>
      <c r="D2788" s="206">
        <v>44179</v>
      </c>
      <c r="E2788" s="138" t="s">
        <v>1451</v>
      </c>
    </row>
    <row r="2789" spans="1:5" ht="18.75">
      <c r="A2789" s="89" t="str">
        <f t="shared" si="43"/>
        <v>#18508</v>
      </c>
      <c r="B2789" s="138" t="s">
        <v>6030</v>
      </c>
      <c r="C2789" s="236" t="s">
        <v>3268</v>
      </c>
      <c r="D2789" s="206">
        <v>44181</v>
      </c>
      <c r="E2789" s="138" t="s">
        <v>1043</v>
      </c>
    </row>
    <row r="2790" spans="1:5" ht="18.75">
      <c r="A2790" s="89" t="str">
        <f t="shared" si="43"/>
        <v>#18517</v>
      </c>
      <c r="B2790" s="138" t="s">
        <v>6032</v>
      </c>
      <c r="C2790" s="236" t="s">
        <v>6031</v>
      </c>
      <c r="D2790" s="206">
        <v>44181</v>
      </c>
      <c r="E2790" s="138" t="s">
        <v>7818</v>
      </c>
    </row>
    <row r="2791" spans="1:5" ht="18.75">
      <c r="A2791" s="89" t="str">
        <f t="shared" si="43"/>
        <v>#18534</v>
      </c>
      <c r="B2791" s="138" t="s">
        <v>6034</v>
      </c>
      <c r="C2791" s="236" t="s">
        <v>6033</v>
      </c>
      <c r="D2791" s="206">
        <v>44188</v>
      </c>
      <c r="E2791" s="138" t="s">
        <v>985</v>
      </c>
    </row>
    <row r="2792" spans="1:5" ht="18.75">
      <c r="A2792" s="89" t="str">
        <f t="shared" si="43"/>
        <v>#18547</v>
      </c>
      <c r="B2792" s="138" t="s">
        <v>6036</v>
      </c>
      <c r="C2792" s="236" t="s">
        <v>6035</v>
      </c>
      <c r="D2792" s="206">
        <v>44188</v>
      </c>
      <c r="E2792" s="138" t="s">
        <v>1188</v>
      </c>
    </row>
    <row r="2793" spans="1:5" ht="18.75">
      <c r="A2793" s="89" t="str">
        <f t="shared" si="43"/>
        <v>#18565</v>
      </c>
      <c r="B2793" s="138" t="s">
        <v>6038</v>
      </c>
      <c r="C2793" s="236" t="s">
        <v>6037</v>
      </c>
      <c r="D2793" s="206">
        <v>44188</v>
      </c>
      <c r="E2793" s="138" t="s">
        <v>957</v>
      </c>
    </row>
    <row r="2794" spans="1:5" ht="18.75">
      <c r="A2794" s="89" t="str">
        <f t="shared" si="43"/>
        <v>#18568</v>
      </c>
      <c r="B2794" s="138" t="s">
        <v>6039</v>
      </c>
      <c r="C2794" s="236" t="s">
        <v>2236</v>
      </c>
      <c r="D2794" s="206">
        <v>44188</v>
      </c>
      <c r="E2794" s="138" t="s">
        <v>721</v>
      </c>
    </row>
    <row r="2795" spans="1:5" ht="18.75">
      <c r="A2795" s="89" t="str">
        <f t="shared" si="43"/>
        <v>#18569</v>
      </c>
      <c r="B2795" s="138" t="s">
        <v>6040</v>
      </c>
      <c r="C2795" s="236" t="s">
        <v>4262</v>
      </c>
      <c r="D2795" s="206">
        <v>44188</v>
      </c>
      <c r="E2795" s="138" t="s">
        <v>721</v>
      </c>
    </row>
    <row r="2796" spans="1:5" ht="18.75">
      <c r="A2796" s="89" t="str">
        <f t="shared" si="43"/>
        <v>#18571</v>
      </c>
      <c r="B2796" s="138" t="s">
        <v>6042</v>
      </c>
      <c r="C2796" s="236" t="s">
        <v>6041</v>
      </c>
      <c r="D2796" s="206">
        <v>44200</v>
      </c>
      <c r="E2796" s="138" t="s">
        <v>895</v>
      </c>
    </row>
    <row r="2797" spans="1:5" ht="18.75">
      <c r="A2797" s="89" t="str">
        <f t="shared" si="43"/>
        <v>#18587</v>
      </c>
      <c r="B2797" s="138" t="s">
        <v>6045</v>
      </c>
      <c r="C2797" s="236" t="s">
        <v>6044</v>
      </c>
      <c r="D2797" s="206">
        <v>44202</v>
      </c>
      <c r="E2797" s="138" t="s">
        <v>1133</v>
      </c>
    </row>
    <row r="2798" spans="1:5" ht="18.75">
      <c r="A2798" s="89" t="str">
        <f t="shared" si="43"/>
        <v>#18588</v>
      </c>
      <c r="B2798" s="138" t="s">
        <v>6047</v>
      </c>
      <c r="C2798" s="236" t="s">
        <v>6046</v>
      </c>
      <c r="D2798" s="206">
        <v>44202</v>
      </c>
      <c r="E2798" s="138" t="s">
        <v>8037</v>
      </c>
    </row>
    <row r="2799" spans="1:5" ht="18.75">
      <c r="A2799" s="89" t="str">
        <f t="shared" si="43"/>
        <v>#18590</v>
      </c>
      <c r="B2799" s="138" t="s">
        <v>6049</v>
      </c>
      <c r="C2799" s="236" t="s">
        <v>6048</v>
      </c>
      <c r="D2799" s="206">
        <v>44202</v>
      </c>
      <c r="E2799" s="138" t="s">
        <v>8037</v>
      </c>
    </row>
    <row r="2800" spans="1:5" ht="18.75">
      <c r="A2800" s="89" t="str">
        <f t="shared" si="43"/>
        <v>#18598</v>
      </c>
      <c r="B2800" s="138" t="s">
        <v>6050</v>
      </c>
      <c r="C2800" s="236" t="s">
        <v>3066</v>
      </c>
      <c r="D2800" s="206">
        <v>44209</v>
      </c>
      <c r="E2800" s="138" t="s">
        <v>8037</v>
      </c>
    </row>
    <row r="2801" spans="1:5" ht="18.75">
      <c r="A2801" s="89" t="str">
        <f t="shared" si="43"/>
        <v>#18610</v>
      </c>
      <c r="B2801" s="138" t="s">
        <v>6052</v>
      </c>
      <c r="C2801" s="236" t="s">
        <v>6051</v>
      </c>
      <c r="D2801" s="206">
        <v>44209</v>
      </c>
      <c r="E2801" s="138" t="s">
        <v>978</v>
      </c>
    </row>
    <row r="2802" spans="1:5" ht="18.75">
      <c r="A2802" s="89" t="str">
        <f t="shared" si="43"/>
        <v>#18615</v>
      </c>
      <c r="B2802" s="138" t="s">
        <v>6054</v>
      </c>
      <c r="C2802" s="236" t="s">
        <v>6053</v>
      </c>
      <c r="D2802" s="206">
        <v>44209</v>
      </c>
      <c r="E2802" s="138" t="s">
        <v>978</v>
      </c>
    </row>
    <row r="2803" spans="1:5" ht="18.75">
      <c r="A2803" s="89" t="str">
        <f t="shared" si="43"/>
        <v>#18616</v>
      </c>
      <c r="B2803" s="138" t="s">
        <v>6056</v>
      </c>
      <c r="C2803" s="236" t="s">
        <v>6055</v>
      </c>
      <c r="D2803" s="206">
        <v>44209</v>
      </c>
      <c r="E2803" s="138" t="s">
        <v>1541</v>
      </c>
    </row>
    <row r="2804" spans="1:5" ht="18.75">
      <c r="A2804" s="89" t="str">
        <f t="shared" si="43"/>
        <v>#18633</v>
      </c>
      <c r="B2804" s="138" t="s">
        <v>6058</v>
      </c>
      <c r="C2804" s="236" t="s">
        <v>6057</v>
      </c>
      <c r="D2804" s="206">
        <v>44223</v>
      </c>
      <c r="E2804" s="138" t="s">
        <v>937</v>
      </c>
    </row>
    <row r="2805" spans="1:5" ht="18.75">
      <c r="A2805" s="89" t="str">
        <f t="shared" si="43"/>
        <v>#18634</v>
      </c>
      <c r="B2805" s="138" t="s">
        <v>6060</v>
      </c>
      <c r="C2805" s="236" t="s">
        <v>6059</v>
      </c>
      <c r="D2805" s="206">
        <v>44223</v>
      </c>
      <c r="E2805" s="138" t="s">
        <v>937</v>
      </c>
    </row>
    <row r="2806" spans="1:5" ht="18.75">
      <c r="A2806" s="89" t="str">
        <f t="shared" si="43"/>
        <v>#18642</v>
      </c>
      <c r="B2806" s="138" t="s">
        <v>6061</v>
      </c>
      <c r="C2806" s="236" t="s">
        <v>3226</v>
      </c>
      <c r="D2806" s="206">
        <v>44247</v>
      </c>
      <c r="E2806" s="138" t="s">
        <v>903</v>
      </c>
    </row>
    <row r="2807" spans="1:5" ht="18.75">
      <c r="A2807" s="89" t="str">
        <f t="shared" si="43"/>
        <v>#18643</v>
      </c>
      <c r="B2807" s="138" t="s">
        <v>6063</v>
      </c>
      <c r="C2807" s="236" t="s">
        <v>6062</v>
      </c>
      <c r="D2807" s="206">
        <v>44247</v>
      </c>
      <c r="E2807" s="138" t="s">
        <v>1043</v>
      </c>
    </row>
    <row r="2808" spans="1:5" ht="18.75">
      <c r="A2808" s="89" t="str">
        <f t="shared" si="43"/>
        <v>#18645</v>
      </c>
      <c r="B2808" s="138" t="s">
        <v>6065</v>
      </c>
      <c r="C2808" s="236" t="s">
        <v>6064</v>
      </c>
      <c r="D2808" s="206">
        <v>44247</v>
      </c>
      <c r="E2808" s="138" t="s">
        <v>1043</v>
      </c>
    </row>
    <row r="2809" spans="1:5" ht="18.75">
      <c r="A2809" s="89" t="str">
        <f t="shared" si="43"/>
        <v>#18647</v>
      </c>
      <c r="B2809" s="138" t="s">
        <v>6066</v>
      </c>
      <c r="C2809" s="236" t="s">
        <v>1325</v>
      </c>
      <c r="D2809" s="206">
        <v>44247</v>
      </c>
      <c r="E2809" s="138" t="s">
        <v>1043</v>
      </c>
    </row>
    <row r="2810" spans="1:5" ht="18.75">
      <c r="A2810" s="89" t="str">
        <f t="shared" si="43"/>
        <v>#18648</v>
      </c>
      <c r="B2810" s="138" t="s">
        <v>6068</v>
      </c>
      <c r="C2810" s="236" t="s">
        <v>6067</v>
      </c>
      <c r="D2810" s="206">
        <v>44247</v>
      </c>
      <c r="E2810" s="138" t="s">
        <v>1043</v>
      </c>
    </row>
    <row r="2811" spans="1:5" ht="18.75">
      <c r="A2811" s="89" t="str">
        <f t="shared" si="43"/>
        <v>#18658</v>
      </c>
      <c r="B2811" s="138" t="s">
        <v>6070</v>
      </c>
      <c r="C2811" s="236" t="s">
        <v>6069</v>
      </c>
      <c r="D2811" s="206">
        <v>44247</v>
      </c>
      <c r="E2811" s="138" t="s">
        <v>927</v>
      </c>
    </row>
    <row r="2812" spans="1:5" ht="18.75">
      <c r="A2812" s="89" t="str">
        <f t="shared" si="43"/>
        <v>#18668</v>
      </c>
      <c r="B2812" s="138" t="s">
        <v>6072</v>
      </c>
      <c r="C2812" s="236" t="s">
        <v>6071</v>
      </c>
      <c r="D2812" s="206">
        <v>44247</v>
      </c>
      <c r="E2812" s="138" t="s">
        <v>978</v>
      </c>
    </row>
    <row r="2813" spans="1:5" ht="18.75">
      <c r="A2813" s="89" t="str">
        <f t="shared" si="43"/>
        <v>#18670</v>
      </c>
      <c r="B2813" s="138" t="s">
        <v>6073</v>
      </c>
      <c r="C2813" s="236" t="s">
        <v>2264</v>
      </c>
      <c r="D2813" s="206">
        <v>44249</v>
      </c>
      <c r="E2813" s="138" t="s">
        <v>8037</v>
      </c>
    </row>
    <row r="2814" spans="1:5" ht="18.75">
      <c r="A2814" s="89" t="str">
        <f t="shared" si="43"/>
        <v>#18671</v>
      </c>
      <c r="B2814" s="138" t="s">
        <v>6074</v>
      </c>
      <c r="C2814" s="236" t="s">
        <v>3570</v>
      </c>
      <c r="D2814" s="206">
        <v>44249</v>
      </c>
      <c r="E2814" s="138" t="s">
        <v>8037</v>
      </c>
    </row>
    <row r="2815" spans="1:5" ht="18.75">
      <c r="A2815" s="89" t="str">
        <f t="shared" si="43"/>
        <v>#18673</v>
      </c>
      <c r="B2815" s="138" t="s">
        <v>6076</v>
      </c>
      <c r="C2815" s="236" t="s">
        <v>6075</v>
      </c>
      <c r="D2815" s="206">
        <v>44249</v>
      </c>
      <c r="E2815" s="138" t="s">
        <v>8037</v>
      </c>
    </row>
    <row r="2816" spans="1:5" ht="18.75">
      <c r="A2816" s="89" t="str">
        <f t="shared" si="43"/>
        <v>#18675</v>
      </c>
      <c r="B2816" s="138" t="s">
        <v>6078</v>
      </c>
      <c r="C2816" s="236" t="s">
        <v>6077</v>
      </c>
      <c r="D2816" s="206">
        <v>44249</v>
      </c>
      <c r="E2816" s="138" t="s">
        <v>8037</v>
      </c>
    </row>
    <row r="2817" spans="1:5" ht="18.75">
      <c r="A2817" s="89" t="str">
        <f t="shared" si="43"/>
        <v>#18678</v>
      </c>
      <c r="B2817" s="138" t="s">
        <v>6079</v>
      </c>
      <c r="C2817" s="236" t="s">
        <v>2651</v>
      </c>
      <c r="D2817" s="206">
        <v>44249</v>
      </c>
      <c r="E2817" s="138" t="s">
        <v>8037</v>
      </c>
    </row>
    <row r="2818" spans="1:5" ht="18.75">
      <c r="A2818" s="89" t="str">
        <f t="shared" si="43"/>
        <v>#18679</v>
      </c>
      <c r="B2818" s="138" t="s">
        <v>6081</v>
      </c>
      <c r="C2818" s="236" t="s">
        <v>6080</v>
      </c>
      <c r="D2818" s="206">
        <v>44249</v>
      </c>
      <c r="E2818" s="138" t="s">
        <v>927</v>
      </c>
    </row>
    <row r="2819" spans="1:5" ht="18.75">
      <c r="A2819" s="89" t="str">
        <f t="shared" ref="A2819:A2882" si="44">"#"&amp;B2819</f>
        <v>#18682</v>
      </c>
      <c r="B2819" s="138" t="s">
        <v>6083</v>
      </c>
      <c r="C2819" s="236" t="s">
        <v>6082</v>
      </c>
      <c r="D2819" s="206">
        <v>44249</v>
      </c>
      <c r="E2819" s="138" t="s">
        <v>937</v>
      </c>
    </row>
    <row r="2820" spans="1:5" ht="18.75">
      <c r="A2820" s="89" t="str">
        <f t="shared" si="44"/>
        <v>#18692</v>
      </c>
      <c r="B2820" s="138" t="s">
        <v>6085</v>
      </c>
      <c r="C2820" s="236" t="s">
        <v>6011</v>
      </c>
      <c r="D2820" s="206">
        <v>44249</v>
      </c>
      <c r="E2820" s="138" t="s">
        <v>978</v>
      </c>
    </row>
    <row r="2821" spans="1:5" ht="18.75">
      <c r="A2821" s="89" t="str">
        <f t="shared" si="44"/>
        <v>#18701</v>
      </c>
      <c r="B2821" s="138" t="s">
        <v>6086</v>
      </c>
      <c r="C2821" s="236" t="s">
        <v>4665</v>
      </c>
      <c r="D2821" s="206">
        <v>44250</v>
      </c>
      <c r="E2821" s="138" t="s">
        <v>898</v>
      </c>
    </row>
    <row r="2822" spans="1:5" ht="18.75">
      <c r="A2822" s="89" t="str">
        <f t="shared" si="44"/>
        <v>#18709</v>
      </c>
      <c r="B2822" s="138" t="s">
        <v>6087</v>
      </c>
      <c r="C2822" s="236" t="s">
        <v>1502</v>
      </c>
      <c r="D2822" s="206">
        <v>44250</v>
      </c>
      <c r="E2822" s="138" t="s">
        <v>985</v>
      </c>
    </row>
    <row r="2823" spans="1:5" ht="18.75">
      <c r="A2823" s="89" t="str">
        <f t="shared" si="44"/>
        <v>#18720</v>
      </c>
      <c r="B2823" s="138" t="s">
        <v>6089</v>
      </c>
      <c r="C2823" s="236" t="s">
        <v>6088</v>
      </c>
      <c r="D2823" s="206">
        <v>44250</v>
      </c>
      <c r="E2823" s="138" t="s">
        <v>927</v>
      </c>
    </row>
    <row r="2824" spans="1:5" ht="18.75">
      <c r="A2824" s="89" t="str">
        <f t="shared" si="44"/>
        <v>#18726</v>
      </c>
      <c r="B2824" s="138" t="s">
        <v>6091</v>
      </c>
      <c r="C2824" s="236" t="s">
        <v>6090</v>
      </c>
      <c r="D2824" s="206">
        <v>44250</v>
      </c>
      <c r="E2824" s="138" t="s">
        <v>927</v>
      </c>
    </row>
    <row r="2825" spans="1:5" ht="18.75">
      <c r="A2825" s="89" t="str">
        <f t="shared" si="44"/>
        <v>#18734</v>
      </c>
      <c r="B2825" s="138" t="s">
        <v>6093</v>
      </c>
      <c r="C2825" s="236" t="s">
        <v>6092</v>
      </c>
      <c r="D2825" s="206">
        <v>44250</v>
      </c>
      <c r="E2825" s="138" t="s">
        <v>948</v>
      </c>
    </row>
    <row r="2826" spans="1:5" ht="18.75">
      <c r="A2826" s="89" t="str">
        <f t="shared" si="44"/>
        <v>#18746</v>
      </c>
      <c r="B2826" s="138" t="s">
        <v>6095</v>
      </c>
      <c r="C2826" s="236" t="s">
        <v>6094</v>
      </c>
      <c r="D2826" s="206">
        <v>44250</v>
      </c>
      <c r="E2826" s="138" t="s">
        <v>978</v>
      </c>
    </row>
    <row r="2827" spans="1:5" ht="18.75">
      <c r="A2827" s="89" t="str">
        <f t="shared" si="44"/>
        <v>#18747</v>
      </c>
      <c r="B2827" s="138" t="s">
        <v>6096</v>
      </c>
      <c r="C2827" s="236" t="s">
        <v>5879</v>
      </c>
      <c r="D2827" s="206">
        <v>44250</v>
      </c>
      <c r="E2827" s="138" t="s">
        <v>978</v>
      </c>
    </row>
    <row r="2828" spans="1:5" ht="18.75">
      <c r="A2828" s="89" t="str">
        <f t="shared" si="44"/>
        <v>#18749</v>
      </c>
      <c r="B2828" s="138" t="s">
        <v>6097</v>
      </c>
      <c r="C2828" s="236" t="s">
        <v>4670</v>
      </c>
      <c r="D2828" s="206">
        <v>44250</v>
      </c>
      <c r="E2828" s="138" t="s">
        <v>1188</v>
      </c>
    </row>
    <row r="2829" spans="1:5" ht="18.75">
      <c r="A2829" s="89" t="str">
        <f t="shared" si="44"/>
        <v>#18763</v>
      </c>
      <c r="B2829" s="138" t="s">
        <v>6099</v>
      </c>
      <c r="C2829" s="236" t="s">
        <v>6098</v>
      </c>
      <c r="D2829" s="206">
        <v>44250</v>
      </c>
      <c r="E2829" s="138" t="s">
        <v>924</v>
      </c>
    </row>
    <row r="2830" spans="1:5" ht="18.75">
      <c r="A2830" s="89" t="str">
        <f t="shared" si="44"/>
        <v>#18765</v>
      </c>
      <c r="B2830" s="138" t="s">
        <v>6100</v>
      </c>
      <c r="C2830" s="236" t="s">
        <v>1325</v>
      </c>
      <c r="D2830" s="206">
        <v>44250</v>
      </c>
      <c r="E2830" s="138" t="s">
        <v>937</v>
      </c>
    </row>
    <row r="2831" spans="1:5" ht="18.75">
      <c r="A2831" s="89" t="str">
        <f t="shared" si="44"/>
        <v>#18772</v>
      </c>
      <c r="B2831" s="138" t="s">
        <v>6102</v>
      </c>
      <c r="C2831" s="236" t="s">
        <v>6101</v>
      </c>
      <c r="D2831" s="206">
        <v>44250</v>
      </c>
      <c r="E2831" s="138" t="s">
        <v>937</v>
      </c>
    </row>
    <row r="2832" spans="1:5" ht="18.75">
      <c r="A2832" s="89" t="str">
        <f t="shared" si="44"/>
        <v>#18780</v>
      </c>
      <c r="B2832" s="138" t="s">
        <v>6103</v>
      </c>
      <c r="C2832" s="236" t="s">
        <v>1372</v>
      </c>
      <c r="D2832" s="206">
        <v>44250</v>
      </c>
      <c r="E2832" s="138" t="s">
        <v>924</v>
      </c>
    </row>
    <row r="2833" spans="1:5" ht="18.75">
      <c r="A2833" s="89" t="str">
        <f t="shared" si="44"/>
        <v>#18795</v>
      </c>
      <c r="B2833" s="138" t="s">
        <v>6105</v>
      </c>
      <c r="C2833" s="236" t="s">
        <v>6104</v>
      </c>
      <c r="D2833" s="206">
        <v>44250</v>
      </c>
      <c r="E2833" s="138" t="s">
        <v>903</v>
      </c>
    </row>
    <row r="2834" spans="1:5" ht="18.75">
      <c r="A2834" s="89" t="str">
        <f t="shared" si="44"/>
        <v>#18796</v>
      </c>
      <c r="B2834" s="138" t="s">
        <v>6106</v>
      </c>
      <c r="C2834" s="236" t="s">
        <v>1473</v>
      </c>
      <c r="D2834" s="206">
        <v>44250</v>
      </c>
      <c r="E2834" s="138" t="s">
        <v>721</v>
      </c>
    </row>
    <row r="2835" spans="1:5" ht="18.75">
      <c r="A2835" s="89" t="str">
        <f t="shared" si="44"/>
        <v>#18798</v>
      </c>
      <c r="B2835" s="138" t="s">
        <v>6108</v>
      </c>
      <c r="C2835" s="236" t="s">
        <v>6107</v>
      </c>
      <c r="D2835" s="206">
        <v>44251</v>
      </c>
      <c r="E2835" s="138" t="s">
        <v>8037</v>
      </c>
    </row>
    <row r="2836" spans="1:5" ht="18.75">
      <c r="A2836" s="89" t="str">
        <f t="shared" si="44"/>
        <v>#18799</v>
      </c>
      <c r="B2836" s="138" t="s">
        <v>6109</v>
      </c>
      <c r="C2836" s="236" t="s">
        <v>6057</v>
      </c>
      <c r="D2836" s="206">
        <v>44251</v>
      </c>
      <c r="E2836" s="138" t="s">
        <v>8037</v>
      </c>
    </row>
    <row r="2837" spans="1:5" ht="18.75">
      <c r="A2837" s="89" t="str">
        <f t="shared" si="44"/>
        <v>#18807</v>
      </c>
      <c r="B2837" s="138" t="s">
        <v>6111</v>
      </c>
      <c r="C2837" s="236" t="s">
        <v>6110</v>
      </c>
      <c r="D2837" s="206">
        <v>44251</v>
      </c>
      <c r="E2837" s="138" t="s">
        <v>985</v>
      </c>
    </row>
    <row r="2838" spans="1:5" ht="18.75">
      <c r="A2838" s="89" t="str">
        <f t="shared" si="44"/>
        <v>#18811</v>
      </c>
      <c r="B2838" s="138" t="s">
        <v>6113</v>
      </c>
      <c r="C2838" s="236" t="s">
        <v>6112</v>
      </c>
      <c r="D2838" s="206">
        <v>44251</v>
      </c>
      <c r="E2838" s="138" t="s">
        <v>927</v>
      </c>
    </row>
    <row r="2839" spans="1:5" ht="18.75">
      <c r="A2839" s="89" t="str">
        <f t="shared" si="44"/>
        <v>#18816</v>
      </c>
      <c r="B2839" s="138" t="s">
        <v>6115</v>
      </c>
      <c r="C2839" s="236" t="s">
        <v>6114</v>
      </c>
      <c r="D2839" s="206">
        <v>44251</v>
      </c>
      <c r="E2839" s="138" t="s">
        <v>927</v>
      </c>
    </row>
    <row r="2840" spans="1:5" ht="18.75">
      <c r="A2840" s="89" t="str">
        <f t="shared" si="44"/>
        <v>#18821</v>
      </c>
      <c r="B2840" s="138" t="s">
        <v>6116</v>
      </c>
      <c r="C2840" s="236" t="s">
        <v>1070</v>
      </c>
      <c r="D2840" s="206">
        <v>44251</v>
      </c>
      <c r="E2840" s="138" t="s">
        <v>1133</v>
      </c>
    </row>
    <row r="2841" spans="1:5" ht="18.75">
      <c r="A2841" s="89" t="str">
        <f t="shared" si="44"/>
        <v>#18834</v>
      </c>
      <c r="B2841" s="138" t="s">
        <v>6117</v>
      </c>
      <c r="C2841" s="236" t="s">
        <v>2912</v>
      </c>
      <c r="D2841" s="206">
        <v>44251</v>
      </c>
      <c r="E2841" s="138" t="s">
        <v>924</v>
      </c>
    </row>
    <row r="2842" spans="1:5" ht="18.75">
      <c r="A2842" s="89" t="str">
        <f t="shared" si="44"/>
        <v>#18846</v>
      </c>
      <c r="B2842" s="138" t="s">
        <v>6119</v>
      </c>
      <c r="C2842" s="236" t="s">
        <v>6118</v>
      </c>
      <c r="D2842" s="206">
        <v>44251</v>
      </c>
      <c r="E2842" s="138" t="s">
        <v>937</v>
      </c>
    </row>
    <row r="2843" spans="1:5" ht="18.75">
      <c r="A2843" s="89" t="str">
        <f t="shared" si="44"/>
        <v>#18847</v>
      </c>
      <c r="B2843" s="138" t="s">
        <v>6121</v>
      </c>
      <c r="C2843" s="236" t="s">
        <v>6120</v>
      </c>
      <c r="D2843" s="206">
        <v>44251</v>
      </c>
      <c r="E2843" s="138" t="s">
        <v>1085</v>
      </c>
    </row>
    <row r="2844" spans="1:5" ht="18.75">
      <c r="A2844" s="89" t="str">
        <f t="shared" si="44"/>
        <v>#18848</v>
      </c>
      <c r="B2844" s="138" t="s">
        <v>6123</v>
      </c>
      <c r="C2844" s="236" t="s">
        <v>6122</v>
      </c>
      <c r="D2844" s="206">
        <v>44251</v>
      </c>
      <c r="E2844" s="138" t="s">
        <v>1380</v>
      </c>
    </row>
    <row r="2845" spans="1:5" ht="18.75">
      <c r="A2845" s="89" t="str">
        <f t="shared" si="44"/>
        <v>#18850</v>
      </c>
      <c r="B2845" s="138" t="s">
        <v>6125</v>
      </c>
      <c r="C2845" s="236" t="s">
        <v>6124</v>
      </c>
      <c r="D2845" s="206">
        <v>44251</v>
      </c>
      <c r="E2845" s="138" t="s">
        <v>8037</v>
      </c>
    </row>
    <row r="2846" spans="1:5" ht="18.75">
      <c r="A2846" s="89" t="str">
        <f t="shared" si="44"/>
        <v>#18851</v>
      </c>
      <c r="B2846" s="138" t="s">
        <v>6127</v>
      </c>
      <c r="C2846" s="236" t="s">
        <v>6126</v>
      </c>
      <c r="D2846" s="206">
        <v>44251</v>
      </c>
      <c r="E2846" s="138" t="s">
        <v>1043</v>
      </c>
    </row>
    <row r="2847" spans="1:5" ht="18.75">
      <c r="A2847" s="89" t="str">
        <f t="shared" si="44"/>
        <v>#18857</v>
      </c>
      <c r="B2847" s="138" t="s">
        <v>6129</v>
      </c>
      <c r="C2847" s="236" t="s">
        <v>6128</v>
      </c>
      <c r="D2847" s="206">
        <v>44251</v>
      </c>
      <c r="E2847" s="138" t="s">
        <v>1043</v>
      </c>
    </row>
    <row r="2848" spans="1:5" ht="18.75">
      <c r="A2848" s="89" t="str">
        <f t="shared" si="44"/>
        <v>#18858</v>
      </c>
      <c r="B2848" s="138" t="s">
        <v>6130</v>
      </c>
      <c r="C2848" s="236" t="s">
        <v>1804</v>
      </c>
      <c r="D2848" s="206">
        <v>44252</v>
      </c>
      <c r="E2848" s="138" t="s">
        <v>8037</v>
      </c>
    </row>
    <row r="2849" spans="1:5" ht="18.75">
      <c r="A2849" s="89" t="str">
        <f t="shared" si="44"/>
        <v>#18859</v>
      </c>
      <c r="B2849" s="138" t="s">
        <v>6132</v>
      </c>
      <c r="C2849" s="236" t="s">
        <v>6131</v>
      </c>
      <c r="D2849" s="206">
        <v>44252</v>
      </c>
      <c r="E2849" s="138" t="s">
        <v>8037</v>
      </c>
    </row>
    <row r="2850" spans="1:5" ht="18.75">
      <c r="A2850" s="89" t="str">
        <f t="shared" si="44"/>
        <v>#18861</v>
      </c>
      <c r="B2850" s="138" t="s">
        <v>6133</v>
      </c>
      <c r="C2850" s="236" t="s">
        <v>4094</v>
      </c>
      <c r="D2850" s="206">
        <v>44252</v>
      </c>
      <c r="E2850" s="138" t="s">
        <v>1188</v>
      </c>
    </row>
    <row r="2851" spans="1:5" ht="18.75">
      <c r="A2851" s="89" t="str">
        <f t="shared" si="44"/>
        <v>#18874</v>
      </c>
      <c r="B2851" s="138" t="s">
        <v>6135</v>
      </c>
      <c r="C2851" s="236" t="s">
        <v>6134</v>
      </c>
      <c r="D2851" s="206">
        <v>44252</v>
      </c>
      <c r="E2851" s="138" t="s">
        <v>978</v>
      </c>
    </row>
    <row r="2852" spans="1:5" ht="18.75">
      <c r="A2852" s="89" t="str">
        <f t="shared" si="44"/>
        <v>#18888</v>
      </c>
      <c r="B2852" s="138" t="s">
        <v>6137</v>
      </c>
      <c r="C2852" s="236" t="s">
        <v>6136</v>
      </c>
      <c r="D2852" s="206">
        <v>44252</v>
      </c>
      <c r="E2852" s="138" t="s">
        <v>7818</v>
      </c>
    </row>
    <row r="2853" spans="1:5" ht="18.75">
      <c r="A2853" s="89" t="str">
        <f t="shared" si="44"/>
        <v>#18894</v>
      </c>
      <c r="B2853" s="138" t="s">
        <v>6139</v>
      </c>
      <c r="C2853" s="236" t="s">
        <v>6138</v>
      </c>
      <c r="D2853" s="206">
        <v>44252</v>
      </c>
      <c r="E2853" s="138" t="s">
        <v>906</v>
      </c>
    </row>
    <row r="2854" spans="1:5" ht="18.75">
      <c r="A2854" s="89" t="str">
        <f t="shared" si="44"/>
        <v>#18897</v>
      </c>
      <c r="B2854" s="138" t="s">
        <v>6141</v>
      </c>
      <c r="C2854" s="236" t="s">
        <v>6140</v>
      </c>
      <c r="D2854" s="206">
        <v>44253</v>
      </c>
      <c r="E2854" s="138" t="s">
        <v>8037</v>
      </c>
    </row>
    <row r="2855" spans="1:5" ht="18.75">
      <c r="A2855" s="89" t="str">
        <f t="shared" si="44"/>
        <v>#18901</v>
      </c>
      <c r="B2855" s="138" t="s">
        <v>6143</v>
      </c>
      <c r="C2855" s="236" t="s">
        <v>6142</v>
      </c>
      <c r="D2855" s="206">
        <v>44253</v>
      </c>
      <c r="E2855" s="138" t="s">
        <v>7818</v>
      </c>
    </row>
    <row r="2856" spans="1:5" ht="18.75">
      <c r="A2856" s="89" t="str">
        <f t="shared" si="44"/>
        <v>#18914</v>
      </c>
      <c r="B2856" s="138" t="s">
        <v>6145</v>
      </c>
      <c r="C2856" s="236" t="s">
        <v>6144</v>
      </c>
      <c r="D2856" s="206">
        <v>44253</v>
      </c>
      <c r="E2856" s="138" t="s">
        <v>978</v>
      </c>
    </row>
    <row r="2857" spans="1:5" ht="18.75">
      <c r="A2857" s="89" t="str">
        <f t="shared" si="44"/>
        <v>#18918</v>
      </c>
      <c r="B2857" s="138" t="s">
        <v>6146</v>
      </c>
      <c r="C2857" s="236" t="s">
        <v>2405</v>
      </c>
      <c r="D2857" s="206">
        <v>44253</v>
      </c>
      <c r="E2857" s="138" t="s">
        <v>1098</v>
      </c>
    </row>
    <row r="2858" spans="1:5" ht="18.75">
      <c r="A2858" s="89" t="str">
        <f t="shared" si="44"/>
        <v>#18926</v>
      </c>
      <c r="B2858" s="138" t="s">
        <v>6148</v>
      </c>
      <c r="C2858" s="236" t="s">
        <v>6147</v>
      </c>
      <c r="D2858" s="206">
        <v>44254</v>
      </c>
      <c r="E2858" s="138" t="s">
        <v>8037</v>
      </c>
    </row>
    <row r="2859" spans="1:5" ht="18.75">
      <c r="A2859" s="89" t="str">
        <f t="shared" si="44"/>
        <v>#18927</v>
      </c>
      <c r="B2859" s="138" t="s">
        <v>6149</v>
      </c>
      <c r="C2859" s="236" t="s">
        <v>5063</v>
      </c>
      <c r="D2859" s="206">
        <v>44254</v>
      </c>
      <c r="E2859" s="138" t="s">
        <v>8037</v>
      </c>
    </row>
    <row r="2860" spans="1:5" ht="18.75">
      <c r="A2860" s="89" t="str">
        <f t="shared" si="44"/>
        <v>#18958</v>
      </c>
      <c r="B2860" s="138" t="s">
        <v>6151</v>
      </c>
      <c r="C2860" s="236" t="s">
        <v>6150</v>
      </c>
      <c r="D2860" s="206">
        <v>44256</v>
      </c>
      <c r="E2860" s="138" t="s">
        <v>1063</v>
      </c>
    </row>
    <row r="2861" spans="1:5" ht="18.75">
      <c r="A2861" s="89" t="str">
        <f t="shared" si="44"/>
        <v>#18976</v>
      </c>
      <c r="B2861" s="138" t="s">
        <v>6152</v>
      </c>
      <c r="C2861" s="236" t="s">
        <v>3705</v>
      </c>
      <c r="D2861" s="206">
        <v>44256</v>
      </c>
      <c r="E2861" s="138" t="s">
        <v>895</v>
      </c>
    </row>
    <row r="2862" spans="1:5" ht="18.75">
      <c r="A2862" s="89" t="str">
        <f t="shared" si="44"/>
        <v>#18977</v>
      </c>
      <c r="B2862" s="138" t="s">
        <v>6154</v>
      </c>
      <c r="C2862" s="236" t="s">
        <v>6153</v>
      </c>
      <c r="D2862" s="206">
        <v>44256</v>
      </c>
      <c r="E2862" s="138" t="s">
        <v>1133</v>
      </c>
    </row>
    <row r="2863" spans="1:5" ht="18.75">
      <c r="A2863" s="89" t="str">
        <f t="shared" si="44"/>
        <v>#18983</v>
      </c>
      <c r="B2863" s="138" t="s">
        <v>6156</v>
      </c>
      <c r="C2863" s="236" t="s">
        <v>6155</v>
      </c>
      <c r="D2863" s="206">
        <v>44256</v>
      </c>
      <c r="E2863" s="138" t="s">
        <v>1133</v>
      </c>
    </row>
    <row r="2864" spans="1:5" ht="18.75">
      <c r="A2864" s="89" t="str">
        <f t="shared" si="44"/>
        <v>#18984</v>
      </c>
      <c r="B2864" s="138" t="s">
        <v>6158</v>
      </c>
      <c r="C2864" s="236" t="s">
        <v>6157</v>
      </c>
      <c r="D2864" s="206">
        <v>44256</v>
      </c>
      <c r="E2864" s="138" t="s">
        <v>1133</v>
      </c>
    </row>
    <row r="2865" spans="1:5" ht="18.75">
      <c r="A2865" s="89" t="str">
        <f t="shared" si="44"/>
        <v>#18992</v>
      </c>
      <c r="B2865" s="138" t="s">
        <v>6160</v>
      </c>
      <c r="C2865" s="236" t="s">
        <v>6159</v>
      </c>
      <c r="D2865" s="206">
        <v>44257</v>
      </c>
      <c r="E2865" s="138" t="s">
        <v>1133</v>
      </c>
    </row>
    <row r="2866" spans="1:5" ht="18.75">
      <c r="A2866" s="89" t="str">
        <f t="shared" si="44"/>
        <v>#18995</v>
      </c>
      <c r="B2866" s="138" t="s">
        <v>6162</v>
      </c>
      <c r="C2866" s="236" t="s">
        <v>6161</v>
      </c>
      <c r="D2866" s="206">
        <v>44257</v>
      </c>
      <c r="E2866" s="138" t="s">
        <v>1133</v>
      </c>
    </row>
    <row r="2867" spans="1:5" ht="18.75">
      <c r="A2867" s="89" t="str">
        <f t="shared" si="44"/>
        <v>#19000</v>
      </c>
      <c r="B2867" s="138" t="s">
        <v>6164</v>
      </c>
      <c r="C2867" s="236" t="s">
        <v>6163</v>
      </c>
      <c r="D2867" s="206">
        <v>44257</v>
      </c>
      <c r="E2867" s="138" t="s">
        <v>1113</v>
      </c>
    </row>
    <row r="2868" spans="1:5" ht="18.75">
      <c r="A2868" s="89" t="str">
        <f t="shared" si="44"/>
        <v>#19005</v>
      </c>
      <c r="B2868" s="138" t="s">
        <v>6166</v>
      </c>
      <c r="C2868" s="236" t="s">
        <v>6165</v>
      </c>
      <c r="D2868" s="206">
        <v>44257</v>
      </c>
      <c r="E2868" s="138" t="s">
        <v>1113</v>
      </c>
    </row>
    <row r="2869" spans="1:5" ht="18.75">
      <c r="A2869" s="89" t="str">
        <f t="shared" si="44"/>
        <v>#19019</v>
      </c>
      <c r="B2869" s="138" t="s">
        <v>6168</v>
      </c>
      <c r="C2869" s="236" t="s">
        <v>6167</v>
      </c>
      <c r="D2869" s="206">
        <v>44257</v>
      </c>
      <c r="E2869" s="138" t="s">
        <v>978</v>
      </c>
    </row>
    <row r="2870" spans="1:5" ht="18.75">
      <c r="A2870" s="89" t="str">
        <f t="shared" si="44"/>
        <v>#19021</v>
      </c>
      <c r="B2870" s="138" t="s">
        <v>6169</v>
      </c>
      <c r="C2870" s="236" t="s">
        <v>1083</v>
      </c>
      <c r="D2870" s="206">
        <v>44257</v>
      </c>
      <c r="E2870" s="138" t="s">
        <v>978</v>
      </c>
    </row>
    <row r="2871" spans="1:5" ht="18.75">
      <c r="A2871" s="89" t="str">
        <f t="shared" si="44"/>
        <v>#19023</v>
      </c>
      <c r="B2871" s="138" t="s">
        <v>6171</v>
      </c>
      <c r="C2871" s="236" t="s">
        <v>6170</v>
      </c>
      <c r="D2871" s="206">
        <v>44257</v>
      </c>
      <c r="E2871" s="138" t="s">
        <v>1098</v>
      </c>
    </row>
    <row r="2872" spans="1:5" ht="18.75">
      <c r="A2872" s="89" t="str">
        <f t="shared" si="44"/>
        <v>#19025</v>
      </c>
      <c r="B2872" s="138" t="s">
        <v>6172</v>
      </c>
      <c r="C2872" s="236" t="s">
        <v>1442</v>
      </c>
      <c r="D2872" s="206">
        <v>44257</v>
      </c>
      <c r="E2872" s="138" t="s">
        <v>978</v>
      </c>
    </row>
    <row r="2873" spans="1:5" ht="18.75">
      <c r="A2873" s="89" t="str">
        <f t="shared" si="44"/>
        <v>#19026</v>
      </c>
      <c r="B2873" s="138" t="s">
        <v>6174</v>
      </c>
      <c r="C2873" s="236" t="s">
        <v>6173</v>
      </c>
      <c r="D2873" s="206">
        <v>44257</v>
      </c>
      <c r="E2873" s="138" t="s">
        <v>1487</v>
      </c>
    </row>
    <row r="2874" spans="1:5" ht="18.75">
      <c r="A2874" s="89" t="str">
        <f t="shared" si="44"/>
        <v>#19038</v>
      </c>
      <c r="B2874" s="138" t="s">
        <v>6176</v>
      </c>
      <c r="C2874" s="236" t="s">
        <v>6175</v>
      </c>
      <c r="D2874" s="206">
        <v>44257</v>
      </c>
      <c r="E2874" s="138" t="s">
        <v>937</v>
      </c>
    </row>
    <row r="2875" spans="1:5" ht="18.75">
      <c r="A2875" s="89" t="str">
        <f t="shared" si="44"/>
        <v>#19041</v>
      </c>
      <c r="B2875" s="138" t="s">
        <v>6178</v>
      </c>
      <c r="C2875" s="236" t="s">
        <v>6177</v>
      </c>
      <c r="D2875" s="206">
        <v>44257</v>
      </c>
      <c r="E2875" s="138" t="s">
        <v>937</v>
      </c>
    </row>
    <row r="2876" spans="1:5" ht="18.75">
      <c r="A2876" s="89" t="str">
        <f t="shared" si="44"/>
        <v>#19051</v>
      </c>
      <c r="B2876" s="138" t="s">
        <v>6179</v>
      </c>
      <c r="C2876" s="236" t="s">
        <v>3977</v>
      </c>
      <c r="D2876" s="206">
        <v>44257</v>
      </c>
      <c r="E2876" s="138" t="s">
        <v>7818</v>
      </c>
    </row>
    <row r="2877" spans="1:5" ht="18.75">
      <c r="A2877" s="89" t="str">
        <f t="shared" si="44"/>
        <v>#19054</v>
      </c>
      <c r="B2877" s="138" t="s">
        <v>6181</v>
      </c>
      <c r="C2877" s="236" t="s">
        <v>6180</v>
      </c>
      <c r="D2877" s="206">
        <v>44257</v>
      </c>
      <c r="E2877" s="138" t="s">
        <v>1043</v>
      </c>
    </row>
    <row r="2878" spans="1:5" ht="18.75">
      <c r="A2878" s="89" t="str">
        <f t="shared" si="44"/>
        <v>#19078</v>
      </c>
      <c r="B2878" s="138" t="s">
        <v>6183</v>
      </c>
      <c r="C2878" s="236" t="s">
        <v>6182</v>
      </c>
      <c r="D2878" s="206">
        <v>44258</v>
      </c>
      <c r="E2878" s="138" t="s">
        <v>985</v>
      </c>
    </row>
    <row r="2879" spans="1:5" ht="18.75">
      <c r="A2879" s="89" t="str">
        <f t="shared" si="44"/>
        <v>#19089</v>
      </c>
      <c r="B2879" s="138" t="s">
        <v>6185</v>
      </c>
      <c r="C2879" s="236" t="s">
        <v>6184</v>
      </c>
      <c r="D2879" s="206">
        <v>44258</v>
      </c>
      <c r="E2879" s="138" t="s">
        <v>927</v>
      </c>
    </row>
    <row r="2880" spans="1:5" ht="18.75">
      <c r="A2880" s="89" t="str">
        <f t="shared" si="44"/>
        <v>#19090</v>
      </c>
      <c r="B2880" s="138" t="s">
        <v>6187</v>
      </c>
      <c r="C2880" s="236" t="s">
        <v>6186</v>
      </c>
      <c r="D2880" s="206">
        <v>44258</v>
      </c>
      <c r="E2880" s="138" t="s">
        <v>1113</v>
      </c>
    </row>
    <row r="2881" spans="1:5" ht="18.75">
      <c r="A2881" s="89" t="str">
        <f t="shared" si="44"/>
        <v>#19103</v>
      </c>
      <c r="B2881" s="138" t="s">
        <v>6188</v>
      </c>
      <c r="C2881" s="236" t="s">
        <v>6017</v>
      </c>
      <c r="D2881" s="206">
        <v>44258</v>
      </c>
      <c r="E2881" s="138" t="s">
        <v>978</v>
      </c>
    </row>
    <row r="2882" spans="1:5" ht="18.75">
      <c r="A2882" s="89" t="str">
        <f t="shared" si="44"/>
        <v>#19108</v>
      </c>
      <c r="B2882" s="138" t="s">
        <v>6189</v>
      </c>
      <c r="C2882" s="236" t="s">
        <v>2384</v>
      </c>
      <c r="D2882" s="206">
        <v>44258</v>
      </c>
      <c r="E2882" s="138" t="s">
        <v>1098</v>
      </c>
    </row>
    <row r="2883" spans="1:5" ht="18.75">
      <c r="A2883" s="89" t="str">
        <f t="shared" ref="A2883:A2946" si="45">"#"&amp;B2883</f>
        <v>#19109</v>
      </c>
      <c r="B2883" s="138" t="s">
        <v>6191</v>
      </c>
      <c r="C2883" s="236" t="s">
        <v>6190</v>
      </c>
      <c r="D2883" s="206">
        <v>44258</v>
      </c>
      <c r="E2883" s="138" t="s">
        <v>1098</v>
      </c>
    </row>
    <row r="2884" spans="1:5" ht="18.75">
      <c r="A2884" s="89" t="str">
        <f t="shared" si="45"/>
        <v>#19114</v>
      </c>
      <c r="B2884" s="138" t="s">
        <v>6193</v>
      </c>
      <c r="C2884" s="236" t="s">
        <v>6192</v>
      </c>
      <c r="D2884" s="206">
        <v>44258</v>
      </c>
      <c r="E2884" s="138" t="s">
        <v>937</v>
      </c>
    </row>
    <row r="2885" spans="1:5" ht="18.75">
      <c r="A2885" s="89" t="str">
        <f t="shared" si="45"/>
        <v>#19119</v>
      </c>
      <c r="B2885" s="138" t="s">
        <v>6195</v>
      </c>
      <c r="C2885" s="236" t="s">
        <v>6194</v>
      </c>
      <c r="D2885" s="206">
        <v>44258</v>
      </c>
      <c r="E2885" s="138" t="s">
        <v>957</v>
      </c>
    </row>
    <row r="2886" spans="1:5" ht="18.75">
      <c r="A2886" s="89" t="str">
        <f t="shared" si="45"/>
        <v>#19120</v>
      </c>
      <c r="B2886" s="138" t="s">
        <v>6197</v>
      </c>
      <c r="C2886" s="236" t="s">
        <v>6196</v>
      </c>
      <c r="D2886" s="206">
        <v>44258</v>
      </c>
      <c r="E2886" s="138" t="s">
        <v>957</v>
      </c>
    </row>
    <row r="2887" spans="1:5" ht="18.75">
      <c r="A2887" s="89" t="str">
        <f t="shared" si="45"/>
        <v>#19123</v>
      </c>
      <c r="B2887" s="138" t="s">
        <v>6199</v>
      </c>
      <c r="C2887" s="236" t="s">
        <v>6198</v>
      </c>
      <c r="D2887" s="206">
        <v>44258</v>
      </c>
      <c r="E2887" s="138" t="s">
        <v>957</v>
      </c>
    </row>
    <row r="2888" spans="1:5" ht="18.75">
      <c r="A2888" s="89" t="str">
        <f t="shared" si="45"/>
        <v>#19126</v>
      </c>
      <c r="B2888" s="138" t="s">
        <v>6201</v>
      </c>
      <c r="C2888" s="236" t="s">
        <v>6200</v>
      </c>
      <c r="D2888" s="206">
        <v>44258</v>
      </c>
      <c r="E2888" s="138" t="s">
        <v>895</v>
      </c>
    </row>
    <row r="2889" spans="1:5" ht="18.75">
      <c r="A2889" s="89" t="str">
        <f t="shared" si="45"/>
        <v>#19129</v>
      </c>
      <c r="B2889" s="138" t="s">
        <v>6203</v>
      </c>
      <c r="C2889" s="236" t="s">
        <v>6202</v>
      </c>
      <c r="D2889" s="206">
        <v>44258</v>
      </c>
      <c r="E2889" s="138" t="s">
        <v>1004</v>
      </c>
    </row>
    <row r="2890" spans="1:5" ht="18.75">
      <c r="A2890" s="89" t="str">
        <f t="shared" si="45"/>
        <v>#19134</v>
      </c>
      <c r="B2890" s="138" t="s">
        <v>6205</v>
      </c>
      <c r="C2890" s="236" t="s">
        <v>6204</v>
      </c>
      <c r="D2890" s="206">
        <v>44259</v>
      </c>
      <c r="E2890" s="138" t="s">
        <v>906</v>
      </c>
    </row>
    <row r="2891" spans="1:5" ht="18.75">
      <c r="A2891" s="89" t="str">
        <f t="shared" si="45"/>
        <v>#19140</v>
      </c>
      <c r="B2891" s="138" t="s">
        <v>6207</v>
      </c>
      <c r="C2891" s="236" t="s">
        <v>6206</v>
      </c>
      <c r="D2891" s="206">
        <v>44259</v>
      </c>
      <c r="E2891" s="138" t="s">
        <v>927</v>
      </c>
    </row>
    <row r="2892" spans="1:5" ht="18.75">
      <c r="A2892" s="89" t="str">
        <f t="shared" si="45"/>
        <v>#19144</v>
      </c>
      <c r="B2892" s="138" t="s">
        <v>6208</v>
      </c>
      <c r="C2892" s="236" t="s">
        <v>5686</v>
      </c>
      <c r="D2892" s="206">
        <v>44259</v>
      </c>
      <c r="E2892" s="138" t="s">
        <v>1113</v>
      </c>
    </row>
    <row r="2893" spans="1:5" ht="18.75">
      <c r="A2893" s="89" t="str">
        <f t="shared" si="45"/>
        <v>#19151</v>
      </c>
      <c r="B2893" s="138" t="s">
        <v>6209</v>
      </c>
      <c r="C2893" s="236" t="s">
        <v>1128</v>
      </c>
      <c r="D2893" s="206">
        <v>44259</v>
      </c>
      <c r="E2893" s="138" t="s">
        <v>937</v>
      </c>
    </row>
    <row r="2894" spans="1:5" ht="18.75">
      <c r="A2894" s="89" t="str">
        <f t="shared" si="45"/>
        <v>#19155</v>
      </c>
      <c r="B2894" s="138" t="s">
        <v>6211</v>
      </c>
      <c r="C2894" s="236" t="s">
        <v>6210</v>
      </c>
      <c r="D2894" s="206">
        <v>44259</v>
      </c>
      <c r="E2894" s="138" t="s">
        <v>7818</v>
      </c>
    </row>
    <row r="2895" spans="1:5" ht="18.75">
      <c r="A2895" s="89" t="str">
        <f t="shared" si="45"/>
        <v>#19160</v>
      </c>
      <c r="B2895" s="138" t="s">
        <v>6212</v>
      </c>
      <c r="C2895" s="236" t="s">
        <v>6014</v>
      </c>
      <c r="D2895" s="206">
        <v>44259</v>
      </c>
      <c r="E2895" s="138" t="s">
        <v>7818</v>
      </c>
    </row>
    <row r="2896" spans="1:5" ht="18.75">
      <c r="A2896" s="89" t="str">
        <f t="shared" si="45"/>
        <v>#19163</v>
      </c>
      <c r="B2896" s="138" t="s">
        <v>6214</v>
      </c>
      <c r="C2896" s="236" t="s">
        <v>6213</v>
      </c>
      <c r="D2896" s="206">
        <v>44259</v>
      </c>
      <c r="E2896" s="138" t="s">
        <v>937</v>
      </c>
    </row>
    <row r="2897" spans="1:5" ht="18.75">
      <c r="A2897" s="89" t="str">
        <f t="shared" si="45"/>
        <v>#19164</v>
      </c>
      <c r="B2897" s="138" t="s">
        <v>6215</v>
      </c>
      <c r="C2897" s="236" t="s">
        <v>1175</v>
      </c>
      <c r="D2897" s="206">
        <v>44259</v>
      </c>
      <c r="E2897" s="138" t="s">
        <v>721</v>
      </c>
    </row>
    <row r="2898" spans="1:5" ht="18.75">
      <c r="A2898" s="89" t="str">
        <f t="shared" si="45"/>
        <v>#19165</v>
      </c>
      <c r="B2898" s="138" t="s">
        <v>6217</v>
      </c>
      <c r="C2898" s="236" t="s">
        <v>6216</v>
      </c>
      <c r="D2898" s="206">
        <v>44259</v>
      </c>
      <c r="E2898" s="138" t="s">
        <v>934</v>
      </c>
    </row>
    <row r="2899" spans="1:5" ht="18.75">
      <c r="A2899" s="89" t="str">
        <f t="shared" si="45"/>
        <v>#19170</v>
      </c>
      <c r="B2899" s="138" t="s">
        <v>6218</v>
      </c>
      <c r="C2899" s="236" t="s">
        <v>2173</v>
      </c>
      <c r="D2899" s="206">
        <v>44260</v>
      </c>
      <c r="E2899" s="138" t="s">
        <v>1085</v>
      </c>
    </row>
    <row r="2900" spans="1:5" ht="18.75">
      <c r="A2900" s="89" t="str">
        <f t="shared" si="45"/>
        <v>#19195</v>
      </c>
      <c r="B2900" s="138" t="s">
        <v>6219</v>
      </c>
      <c r="C2900" s="236" t="s">
        <v>1599</v>
      </c>
      <c r="D2900" s="206">
        <v>44261</v>
      </c>
      <c r="E2900" s="138" t="s">
        <v>937</v>
      </c>
    </row>
    <row r="2901" spans="1:5" ht="18.75">
      <c r="A2901" s="89" t="str">
        <f t="shared" si="45"/>
        <v>#19205</v>
      </c>
      <c r="B2901" s="138" t="s">
        <v>6220</v>
      </c>
      <c r="C2901" s="236" t="s">
        <v>3394</v>
      </c>
      <c r="D2901" s="206">
        <v>44261</v>
      </c>
      <c r="E2901" s="138" t="s">
        <v>1188</v>
      </c>
    </row>
    <row r="2902" spans="1:5" ht="18.75">
      <c r="A2902" s="89" t="str">
        <f t="shared" si="45"/>
        <v>#19215</v>
      </c>
      <c r="B2902" s="138" t="s">
        <v>6222</v>
      </c>
      <c r="C2902" s="236" t="s">
        <v>6221</v>
      </c>
      <c r="D2902" s="206">
        <v>44261</v>
      </c>
      <c r="E2902" s="241" t="s">
        <v>927</v>
      </c>
    </row>
    <row r="2903" spans="1:5" ht="18.75">
      <c r="A2903" s="89" t="str">
        <f t="shared" si="45"/>
        <v>#19226</v>
      </c>
      <c r="B2903" s="138" t="s">
        <v>6224</v>
      </c>
      <c r="C2903" s="236" t="s">
        <v>6223</v>
      </c>
      <c r="D2903" s="206">
        <v>44263</v>
      </c>
      <c r="E2903" s="138" t="s">
        <v>927</v>
      </c>
    </row>
    <row r="2904" spans="1:5" ht="18.75">
      <c r="A2904" s="89" t="str">
        <f t="shared" si="45"/>
        <v>#19228</v>
      </c>
      <c r="B2904" s="138" t="s">
        <v>6226</v>
      </c>
      <c r="C2904" s="236" t="s">
        <v>6225</v>
      </c>
      <c r="D2904" s="206">
        <v>44264</v>
      </c>
      <c r="E2904" s="138" t="s">
        <v>5177</v>
      </c>
    </row>
    <row r="2905" spans="1:5" ht="18.75">
      <c r="A2905" s="89" t="str">
        <f t="shared" si="45"/>
        <v>#19230</v>
      </c>
      <c r="B2905" s="138" t="s">
        <v>6227</v>
      </c>
      <c r="C2905" s="236" t="s">
        <v>3185</v>
      </c>
      <c r="D2905" s="206">
        <v>44264</v>
      </c>
      <c r="E2905" s="138" t="s">
        <v>8037</v>
      </c>
    </row>
    <row r="2906" spans="1:5" ht="18.75">
      <c r="A2906" s="89" t="str">
        <f t="shared" si="45"/>
        <v>#19232</v>
      </c>
      <c r="B2906" s="138" t="s">
        <v>6229</v>
      </c>
      <c r="C2906" s="236" t="s">
        <v>6228</v>
      </c>
      <c r="D2906" s="206">
        <v>44264</v>
      </c>
      <c r="E2906" s="138" t="s">
        <v>8037</v>
      </c>
    </row>
    <row r="2907" spans="1:5" ht="18.75">
      <c r="A2907" s="89" t="str">
        <f t="shared" si="45"/>
        <v>#19234</v>
      </c>
      <c r="B2907" s="138" t="s">
        <v>6231</v>
      </c>
      <c r="C2907" s="236" t="s">
        <v>6230</v>
      </c>
      <c r="D2907" s="206">
        <v>44264</v>
      </c>
      <c r="E2907" s="138" t="s">
        <v>8037</v>
      </c>
    </row>
    <row r="2908" spans="1:5" ht="18.75">
      <c r="A2908" s="89" t="str">
        <f t="shared" si="45"/>
        <v>#19235</v>
      </c>
      <c r="B2908" s="138" t="s">
        <v>6233</v>
      </c>
      <c r="C2908" s="236" t="s">
        <v>6232</v>
      </c>
      <c r="D2908" s="206">
        <v>44264</v>
      </c>
      <c r="E2908" s="138" t="s">
        <v>8037</v>
      </c>
    </row>
    <row r="2909" spans="1:5" ht="18.75">
      <c r="A2909" s="89" t="str">
        <f t="shared" si="45"/>
        <v>#19238</v>
      </c>
      <c r="B2909" s="138" t="s">
        <v>6234</v>
      </c>
      <c r="C2909" s="236" t="s">
        <v>1070</v>
      </c>
      <c r="D2909" s="206">
        <v>44264</v>
      </c>
      <c r="E2909" s="138" t="s">
        <v>8037</v>
      </c>
    </row>
    <row r="2910" spans="1:5" ht="18.75">
      <c r="A2910" s="89" t="str">
        <f t="shared" si="45"/>
        <v>#19249</v>
      </c>
      <c r="B2910" s="138" t="s">
        <v>6235</v>
      </c>
      <c r="C2910" s="236" t="s">
        <v>3693</v>
      </c>
      <c r="D2910" s="206">
        <v>44264</v>
      </c>
      <c r="E2910" s="138" t="s">
        <v>937</v>
      </c>
    </row>
    <row r="2911" spans="1:5" ht="18.75">
      <c r="A2911" s="89" t="str">
        <f t="shared" si="45"/>
        <v>#19252</v>
      </c>
      <c r="B2911" s="138" t="s">
        <v>6236</v>
      </c>
      <c r="C2911" s="236" t="s">
        <v>2150</v>
      </c>
      <c r="D2911" s="206">
        <v>44264</v>
      </c>
      <c r="E2911" s="138" t="s">
        <v>937</v>
      </c>
    </row>
    <row r="2912" spans="1:5" ht="18.75">
      <c r="A2912" s="89" t="str">
        <f t="shared" si="45"/>
        <v>#19254</v>
      </c>
      <c r="B2912" s="138" t="s">
        <v>6238</v>
      </c>
      <c r="C2912" s="236" t="s">
        <v>6237</v>
      </c>
      <c r="D2912" s="206">
        <v>44264</v>
      </c>
      <c r="E2912" s="138" t="s">
        <v>1043</v>
      </c>
    </row>
    <row r="2913" spans="1:5" ht="18.75">
      <c r="A2913" s="89" t="str">
        <f t="shared" si="45"/>
        <v>#19256</v>
      </c>
      <c r="B2913" s="138" t="s">
        <v>6239</v>
      </c>
      <c r="C2913" s="236" t="s">
        <v>2150</v>
      </c>
      <c r="D2913" s="206">
        <v>44264</v>
      </c>
      <c r="E2913" s="138" t="s">
        <v>895</v>
      </c>
    </row>
    <row r="2914" spans="1:5" ht="18.75">
      <c r="A2914" s="89" t="str">
        <f t="shared" si="45"/>
        <v>#19263</v>
      </c>
      <c r="B2914" s="138" t="s">
        <v>6241</v>
      </c>
      <c r="C2914" s="236" t="s">
        <v>6240</v>
      </c>
      <c r="D2914" s="206">
        <v>44265</v>
      </c>
      <c r="E2914" s="138" t="s">
        <v>927</v>
      </c>
    </row>
    <row r="2915" spans="1:5" ht="18.75">
      <c r="A2915" s="89" t="str">
        <f t="shared" si="45"/>
        <v>#19280</v>
      </c>
      <c r="B2915" s="138" t="s">
        <v>6243</v>
      </c>
      <c r="C2915" s="236" t="s">
        <v>6242</v>
      </c>
      <c r="D2915" s="206">
        <v>44265</v>
      </c>
      <c r="E2915" s="138" t="s">
        <v>978</v>
      </c>
    </row>
    <row r="2916" spans="1:5" ht="18.75">
      <c r="A2916" s="89" t="str">
        <f t="shared" si="45"/>
        <v>#19289</v>
      </c>
      <c r="B2916" s="138" t="s">
        <v>6245</v>
      </c>
      <c r="C2916" s="236" t="s">
        <v>6244</v>
      </c>
      <c r="D2916" s="206">
        <v>44266</v>
      </c>
      <c r="E2916" s="138" t="s">
        <v>1133</v>
      </c>
    </row>
    <row r="2917" spans="1:5" ht="18.75">
      <c r="A2917" s="89" t="str">
        <f t="shared" si="45"/>
        <v>#19291</v>
      </c>
      <c r="B2917" s="138" t="s">
        <v>6247</v>
      </c>
      <c r="C2917" s="236" t="s">
        <v>6246</v>
      </c>
      <c r="D2917" s="206">
        <v>44266</v>
      </c>
      <c r="E2917" s="138" t="s">
        <v>1133</v>
      </c>
    </row>
    <row r="2918" spans="1:5" ht="18.75">
      <c r="A2918" s="89" t="str">
        <f t="shared" si="45"/>
        <v>#19292</v>
      </c>
      <c r="B2918" s="138" t="s">
        <v>6249</v>
      </c>
      <c r="C2918" s="236" t="s">
        <v>6248</v>
      </c>
      <c r="D2918" s="206">
        <v>44266</v>
      </c>
      <c r="E2918" s="138" t="s">
        <v>1133</v>
      </c>
    </row>
    <row r="2919" spans="1:5" ht="18.75">
      <c r="A2919" s="89" t="str">
        <f t="shared" si="45"/>
        <v>#19307</v>
      </c>
      <c r="B2919" s="138" t="s">
        <v>6251</v>
      </c>
      <c r="C2919" s="236" t="s">
        <v>6250</v>
      </c>
      <c r="D2919" s="206">
        <v>44266</v>
      </c>
      <c r="E2919" s="138" t="s">
        <v>1133</v>
      </c>
    </row>
    <row r="2920" spans="1:5" ht="18.75">
      <c r="A2920" s="89" t="str">
        <f t="shared" si="45"/>
        <v>#19308</v>
      </c>
      <c r="B2920" s="138" t="s">
        <v>6252</v>
      </c>
      <c r="C2920" s="236" t="s">
        <v>3501</v>
      </c>
      <c r="D2920" s="206">
        <v>44266</v>
      </c>
      <c r="E2920" s="138" t="s">
        <v>1133</v>
      </c>
    </row>
    <row r="2921" spans="1:5" ht="18.75">
      <c r="A2921" s="89" t="str">
        <f t="shared" si="45"/>
        <v>#19312</v>
      </c>
      <c r="B2921" s="138" t="s">
        <v>6254</v>
      </c>
      <c r="C2921" s="236" t="s">
        <v>6253</v>
      </c>
      <c r="D2921" s="206">
        <v>44266</v>
      </c>
      <c r="E2921" s="138" t="s">
        <v>978</v>
      </c>
    </row>
    <row r="2922" spans="1:5" ht="18.75">
      <c r="A2922" s="89" t="str">
        <f t="shared" si="45"/>
        <v>#19313</v>
      </c>
      <c r="B2922" s="138" t="s">
        <v>6256</v>
      </c>
      <c r="C2922" s="236" t="s">
        <v>6255</v>
      </c>
      <c r="D2922" s="206">
        <v>44266</v>
      </c>
      <c r="E2922" s="138" t="s">
        <v>978</v>
      </c>
    </row>
    <row r="2923" spans="1:5" ht="18.75">
      <c r="A2923" s="89" t="str">
        <f t="shared" si="45"/>
        <v>#19316</v>
      </c>
      <c r="B2923" s="138" t="s">
        <v>6258</v>
      </c>
      <c r="C2923" s="236" t="s">
        <v>6257</v>
      </c>
      <c r="D2923" s="206">
        <v>44266</v>
      </c>
      <c r="E2923" s="138" t="s">
        <v>948</v>
      </c>
    </row>
    <row r="2924" spans="1:5" ht="18.75">
      <c r="A2924" s="89" t="str">
        <f t="shared" si="45"/>
        <v>#19337</v>
      </c>
      <c r="B2924" s="138" t="s">
        <v>6260</v>
      </c>
      <c r="C2924" s="236" t="s">
        <v>6259</v>
      </c>
      <c r="D2924" s="206">
        <v>44266</v>
      </c>
      <c r="E2924" s="138" t="s">
        <v>937</v>
      </c>
    </row>
    <row r="2925" spans="1:5" ht="18.75">
      <c r="A2925" s="89" t="str">
        <f t="shared" si="45"/>
        <v>#19342</v>
      </c>
      <c r="B2925" s="138" t="s">
        <v>6262</v>
      </c>
      <c r="C2925" s="236" t="s">
        <v>6261</v>
      </c>
      <c r="D2925" s="206">
        <v>44266</v>
      </c>
      <c r="E2925" s="138" t="s">
        <v>796</v>
      </c>
    </row>
    <row r="2926" spans="1:5" ht="18.75">
      <c r="A2926" s="89" t="str">
        <f t="shared" si="45"/>
        <v>#19343</v>
      </c>
      <c r="B2926" s="138" t="s">
        <v>6264</v>
      </c>
      <c r="C2926" s="236" t="s">
        <v>6263</v>
      </c>
      <c r="D2926" s="206">
        <v>44270</v>
      </c>
      <c r="E2926" s="138" t="s">
        <v>1191</v>
      </c>
    </row>
    <row r="2927" spans="1:5" ht="18.75">
      <c r="A2927" s="89" t="str">
        <f t="shared" si="45"/>
        <v>#19344</v>
      </c>
      <c r="B2927" s="138" t="s">
        <v>6266</v>
      </c>
      <c r="C2927" s="236" t="s">
        <v>6265</v>
      </c>
      <c r="D2927" s="206">
        <v>44270</v>
      </c>
      <c r="E2927" s="138" t="s">
        <v>721</v>
      </c>
    </row>
    <row r="2928" spans="1:5" ht="18.75">
      <c r="A2928" s="89" t="str">
        <f t="shared" si="45"/>
        <v>#19348</v>
      </c>
      <c r="B2928" s="138" t="s">
        <v>6268</v>
      </c>
      <c r="C2928" s="236" t="s">
        <v>6267</v>
      </c>
      <c r="D2928" s="206">
        <v>44273</v>
      </c>
      <c r="E2928" s="138" t="s">
        <v>937</v>
      </c>
    </row>
    <row r="2929" spans="1:5" ht="18.75">
      <c r="A2929" s="89" t="str">
        <f t="shared" si="45"/>
        <v>#19367</v>
      </c>
      <c r="B2929" s="138" t="s">
        <v>6269</v>
      </c>
      <c r="C2929" s="236" t="s">
        <v>3728</v>
      </c>
      <c r="D2929" s="206">
        <v>44273</v>
      </c>
      <c r="E2929" s="138" t="s">
        <v>890</v>
      </c>
    </row>
    <row r="2930" spans="1:5" ht="18.75">
      <c r="A2930" s="89" t="str">
        <f t="shared" si="45"/>
        <v>#19370</v>
      </c>
      <c r="B2930" s="138" t="s">
        <v>6271</v>
      </c>
      <c r="C2930" s="236" t="s">
        <v>6270</v>
      </c>
      <c r="D2930" s="206">
        <v>44273</v>
      </c>
      <c r="E2930" s="138" t="s">
        <v>924</v>
      </c>
    </row>
    <row r="2931" spans="1:5" ht="18.75">
      <c r="A2931" s="89" t="str">
        <f t="shared" si="45"/>
        <v>#19406</v>
      </c>
      <c r="B2931" s="138" t="s">
        <v>6272</v>
      </c>
      <c r="C2931" s="236" t="s">
        <v>990</v>
      </c>
      <c r="D2931" s="206">
        <v>44273</v>
      </c>
      <c r="E2931" s="138" t="s">
        <v>752</v>
      </c>
    </row>
    <row r="2932" spans="1:5" ht="18.75">
      <c r="A2932" s="89" t="str">
        <f t="shared" si="45"/>
        <v>#19416</v>
      </c>
      <c r="B2932" s="138" t="s">
        <v>6274</v>
      </c>
      <c r="C2932" s="236" t="s">
        <v>1473</v>
      </c>
      <c r="D2932" s="206">
        <v>44273</v>
      </c>
      <c r="E2932" s="138" t="s">
        <v>1113</v>
      </c>
    </row>
    <row r="2933" spans="1:5" ht="18.75">
      <c r="A2933" s="89" t="str">
        <f t="shared" si="45"/>
        <v>#19418</v>
      </c>
      <c r="B2933" s="138" t="s">
        <v>6276</v>
      </c>
      <c r="C2933" s="236" t="s">
        <v>6275</v>
      </c>
      <c r="D2933" s="206">
        <v>44273</v>
      </c>
      <c r="E2933" s="138" t="s">
        <v>1052</v>
      </c>
    </row>
    <row r="2934" spans="1:5" ht="18.75">
      <c r="A2934" s="89" t="str">
        <f t="shared" si="45"/>
        <v>#19423</v>
      </c>
      <c r="B2934" s="138" t="s">
        <v>6277</v>
      </c>
      <c r="C2934" s="236" t="s">
        <v>8038</v>
      </c>
      <c r="D2934" s="206">
        <v>44278</v>
      </c>
      <c r="E2934" s="138" t="s">
        <v>1451</v>
      </c>
    </row>
    <row r="2935" spans="1:5" ht="18.75">
      <c r="A2935" s="89" t="str">
        <f t="shared" si="45"/>
        <v>#19424</v>
      </c>
      <c r="B2935" s="138" t="s">
        <v>6279</v>
      </c>
      <c r="C2935" s="236" t="s">
        <v>6278</v>
      </c>
      <c r="D2935" s="206">
        <v>44279</v>
      </c>
      <c r="E2935" s="138" t="s">
        <v>721</v>
      </c>
    </row>
    <row r="2936" spans="1:5" ht="18.75">
      <c r="A2936" s="89" t="str">
        <f t="shared" si="45"/>
        <v>#19425</v>
      </c>
      <c r="B2936" s="138" t="s">
        <v>6281</v>
      </c>
      <c r="C2936" s="236" t="s">
        <v>6280</v>
      </c>
      <c r="D2936" s="206">
        <v>44279</v>
      </c>
      <c r="E2936" s="138" t="s">
        <v>721</v>
      </c>
    </row>
    <row r="2937" spans="1:5" ht="18.75">
      <c r="A2937" s="89" t="str">
        <f t="shared" si="45"/>
        <v>#19426</v>
      </c>
      <c r="B2937" s="138" t="s">
        <v>6283</v>
      </c>
      <c r="C2937" s="236" t="s">
        <v>6282</v>
      </c>
      <c r="D2937" s="206">
        <v>44279</v>
      </c>
      <c r="E2937" s="138" t="s">
        <v>721</v>
      </c>
    </row>
    <row r="2938" spans="1:5" ht="18.75">
      <c r="A2938" s="89" t="str">
        <f t="shared" si="45"/>
        <v>#19427</v>
      </c>
      <c r="B2938" s="138" t="s">
        <v>6285</v>
      </c>
      <c r="C2938" s="236" t="s">
        <v>6284</v>
      </c>
      <c r="D2938" s="206">
        <v>44279</v>
      </c>
      <c r="E2938" s="138" t="s">
        <v>1541</v>
      </c>
    </row>
    <row r="2939" spans="1:5" ht="18.75">
      <c r="A2939" s="89" t="str">
        <f t="shared" si="45"/>
        <v>#19428</v>
      </c>
      <c r="B2939" s="138" t="s">
        <v>6287</v>
      </c>
      <c r="C2939" s="236" t="s">
        <v>6286</v>
      </c>
      <c r="D2939" s="206">
        <v>44279</v>
      </c>
      <c r="E2939" s="138" t="s">
        <v>906</v>
      </c>
    </row>
    <row r="2940" spans="1:5" ht="18.75">
      <c r="A2940" s="89" t="str">
        <f t="shared" si="45"/>
        <v>#19443</v>
      </c>
      <c r="B2940" s="138" t="s">
        <v>6288</v>
      </c>
      <c r="C2940" s="236" t="s">
        <v>3970</v>
      </c>
      <c r="D2940" s="206">
        <v>44279</v>
      </c>
      <c r="E2940" s="138" t="s">
        <v>948</v>
      </c>
    </row>
    <row r="2941" spans="1:5" ht="18.75">
      <c r="A2941" s="89" t="str">
        <f t="shared" si="45"/>
        <v>#19444</v>
      </c>
      <c r="B2941" s="138" t="s">
        <v>6290</v>
      </c>
      <c r="C2941" s="236" t="s">
        <v>6289</v>
      </c>
      <c r="D2941" s="206">
        <v>44279</v>
      </c>
      <c r="E2941" s="138" t="s">
        <v>978</v>
      </c>
    </row>
    <row r="2942" spans="1:5" ht="18.75">
      <c r="A2942" s="89" t="str">
        <f t="shared" si="45"/>
        <v>#19457</v>
      </c>
      <c r="B2942" s="138" t="s">
        <v>6292</v>
      </c>
      <c r="C2942" s="236" t="s">
        <v>6291</v>
      </c>
      <c r="D2942" s="206">
        <v>44279</v>
      </c>
      <c r="E2942" s="138" t="s">
        <v>903</v>
      </c>
    </row>
    <row r="2943" spans="1:5" ht="18.75">
      <c r="A2943" s="89" t="str">
        <f t="shared" si="45"/>
        <v>#19466</v>
      </c>
      <c r="B2943" s="138" t="s">
        <v>6294</v>
      </c>
      <c r="C2943" s="236" t="s">
        <v>6293</v>
      </c>
      <c r="D2943" s="206">
        <v>44279</v>
      </c>
      <c r="E2943" s="138" t="s">
        <v>937</v>
      </c>
    </row>
    <row r="2944" spans="1:5" ht="18.75">
      <c r="A2944" s="89" t="str">
        <f t="shared" si="45"/>
        <v>#19468</v>
      </c>
      <c r="B2944" s="138" t="s">
        <v>6296</v>
      </c>
      <c r="C2944" s="236" t="s">
        <v>6295</v>
      </c>
      <c r="D2944" s="206">
        <v>44279</v>
      </c>
      <c r="E2944" s="138" t="s">
        <v>937</v>
      </c>
    </row>
    <row r="2945" spans="1:5" ht="18.75">
      <c r="A2945" s="89" t="str">
        <f t="shared" si="45"/>
        <v>#19470</v>
      </c>
      <c r="B2945" s="138" t="s">
        <v>6298</v>
      </c>
      <c r="C2945" s="236" t="s">
        <v>6297</v>
      </c>
      <c r="D2945" s="206">
        <v>44279</v>
      </c>
      <c r="E2945" s="138" t="s">
        <v>937</v>
      </c>
    </row>
    <row r="2946" spans="1:5" ht="18.75">
      <c r="A2946" s="89" t="str">
        <f t="shared" si="45"/>
        <v>#19478</v>
      </c>
      <c r="B2946" s="138" t="s">
        <v>6300</v>
      </c>
      <c r="C2946" s="236" t="s">
        <v>6299</v>
      </c>
      <c r="D2946" s="206">
        <v>44279</v>
      </c>
      <c r="E2946" s="138" t="s">
        <v>1113</v>
      </c>
    </row>
    <row r="2947" spans="1:5" ht="18.75">
      <c r="A2947" s="89" t="str">
        <f t="shared" ref="A2947:A3010" si="46">"#"&amp;B2947</f>
        <v>#19483</v>
      </c>
      <c r="B2947" s="138" t="s">
        <v>6302</v>
      </c>
      <c r="C2947" s="236" t="s">
        <v>6301</v>
      </c>
      <c r="D2947" s="206">
        <v>44279</v>
      </c>
      <c r="E2947" s="138" t="s">
        <v>1133</v>
      </c>
    </row>
    <row r="2948" spans="1:5" ht="18.75">
      <c r="A2948" s="89" t="str">
        <f t="shared" si="46"/>
        <v>#19486</v>
      </c>
      <c r="B2948" s="138" t="s">
        <v>6304</v>
      </c>
      <c r="C2948" s="236" t="s">
        <v>6303</v>
      </c>
      <c r="D2948" s="206">
        <v>44279</v>
      </c>
      <c r="E2948" s="138" t="s">
        <v>1133</v>
      </c>
    </row>
    <row r="2949" spans="1:5" ht="18.75">
      <c r="A2949" s="89" t="str">
        <f t="shared" si="46"/>
        <v>#19490</v>
      </c>
      <c r="B2949" s="138" t="s">
        <v>6306</v>
      </c>
      <c r="C2949" s="236" t="s">
        <v>6305</v>
      </c>
      <c r="D2949" s="206">
        <v>44279</v>
      </c>
      <c r="E2949" s="138" t="s">
        <v>1133</v>
      </c>
    </row>
    <row r="2950" spans="1:5" ht="18.75">
      <c r="A2950" s="89" t="str">
        <f t="shared" si="46"/>
        <v>#19496</v>
      </c>
      <c r="B2950" s="138" t="s">
        <v>6307</v>
      </c>
      <c r="C2950" s="236" t="s">
        <v>6267</v>
      </c>
      <c r="D2950" s="206">
        <v>44287</v>
      </c>
      <c r="E2950" s="138" t="s">
        <v>1052</v>
      </c>
    </row>
    <row r="2951" spans="1:5" ht="18.75">
      <c r="A2951" s="89" t="str">
        <f t="shared" si="46"/>
        <v>#19544</v>
      </c>
      <c r="B2951" s="138" t="s">
        <v>6309</v>
      </c>
      <c r="C2951" s="236" t="s">
        <v>6308</v>
      </c>
      <c r="D2951" s="206">
        <v>44287</v>
      </c>
      <c r="E2951" s="138" t="s">
        <v>957</v>
      </c>
    </row>
    <row r="2952" spans="1:5" ht="18.75">
      <c r="A2952" s="89" t="str">
        <f t="shared" si="46"/>
        <v>#19545</v>
      </c>
      <c r="B2952" s="138" t="s">
        <v>6310</v>
      </c>
      <c r="C2952" s="236" t="s">
        <v>4237</v>
      </c>
      <c r="D2952" s="206">
        <v>44288</v>
      </c>
      <c r="E2952" s="138" t="s">
        <v>1004</v>
      </c>
    </row>
    <row r="2953" spans="1:5" ht="18.75">
      <c r="A2953" s="89" t="str">
        <f t="shared" si="46"/>
        <v>#19546</v>
      </c>
      <c r="B2953" s="138" t="s">
        <v>6312</v>
      </c>
      <c r="C2953" s="236" t="s">
        <v>6311</v>
      </c>
      <c r="D2953" s="206">
        <v>44288</v>
      </c>
      <c r="E2953" s="138" t="s">
        <v>1098</v>
      </c>
    </row>
    <row r="2954" spans="1:5" ht="18.75">
      <c r="A2954" s="89" t="str">
        <f t="shared" si="46"/>
        <v>#19547</v>
      </c>
      <c r="B2954" s="138" t="s">
        <v>6314</v>
      </c>
      <c r="C2954" s="236" t="s">
        <v>6313</v>
      </c>
      <c r="D2954" s="206">
        <v>44288</v>
      </c>
      <c r="E2954" s="138" t="s">
        <v>1444</v>
      </c>
    </row>
    <row r="2955" spans="1:5" ht="18.75">
      <c r="A2955" s="89" t="str">
        <f t="shared" si="46"/>
        <v>#19554</v>
      </c>
      <c r="B2955" s="138" t="s">
        <v>6316</v>
      </c>
      <c r="C2955" s="236" t="s">
        <v>6315</v>
      </c>
      <c r="D2955" s="206">
        <v>44292</v>
      </c>
      <c r="E2955" s="138" t="s">
        <v>890</v>
      </c>
    </row>
    <row r="2956" spans="1:5" ht="18.75">
      <c r="A2956" s="89" t="str">
        <f t="shared" si="46"/>
        <v>#19556</v>
      </c>
      <c r="B2956" s="138" t="s">
        <v>6318</v>
      </c>
      <c r="C2956" s="236" t="s">
        <v>6317</v>
      </c>
      <c r="D2956" s="206">
        <v>44292</v>
      </c>
      <c r="E2956" s="138" t="s">
        <v>890</v>
      </c>
    </row>
    <row r="2957" spans="1:5" ht="18.75">
      <c r="A2957" s="89" t="str">
        <f t="shared" si="46"/>
        <v>#19566</v>
      </c>
      <c r="B2957" s="138" t="s">
        <v>6319</v>
      </c>
      <c r="C2957" s="236" t="s">
        <v>3307</v>
      </c>
      <c r="D2957" s="206">
        <v>44292</v>
      </c>
      <c r="E2957" s="138" t="s">
        <v>1085</v>
      </c>
    </row>
    <row r="2958" spans="1:5" ht="18.75">
      <c r="A2958" s="89" t="str">
        <f t="shared" si="46"/>
        <v>#19572</v>
      </c>
      <c r="B2958" s="138" t="s">
        <v>6320</v>
      </c>
      <c r="C2958" s="236" t="s">
        <v>3778</v>
      </c>
      <c r="D2958" s="206">
        <v>44292</v>
      </c>
      <c r="E2958" s="138" t="s">
        <v>937</v>
      </c>
    </row>
    <row r="2959" spans="1:5" ht="18.75">
      <c r="A2959" s="89" t="str">
        <f t="shared" si="46"/>
        <v>#19583</v>
      </c>
      <c r="B2959" s="138" t="s">
        <v>6322</v>
      </c>
      <c r="C2959" s="236" t="s">
        <v>6321</v>
      </c>
      <c r="D2959" s="206">
        <v>44292</v>
      </c>
      <c r="E2959" s="138" t="s">
        <v>1188</v>
      </c>
    </row>
    <row r="2960" spans="1:5" ht="18.75">
      <c r="A2960" s="89" t="str">
        <f t="shared" si="46"/>
        <v>#19591</v>
      </c>
      <c r="B2960" s="138" t="s">
        <v>6324</v>
      </c>
      <c r="C2960" s="236" t="s">
        <v>6323</v>
      </c>
      <c r="D2960" s="206">
        <v>44292</v>
      </c>
      <c r="E2960" s="138" t="s">
        <v>978</v>
      </c>
    </row>
    <row r="2961" spans="1:5" ht="18.75">
      <c r="A2961" s="89" t="str">
        <f t="shared" si="46"/>
        <v>#19610</v>
      </c>
      <c r="B2961" s="138" t="s">
        <v>6325</v>
      </c>
      <c r="C2961" s="236" t="s">
        <v>2474</v>
      </c>
      <c r="D2961" s="206">
        <v>44292</v>
      </c>
      <c r="E2961" s="138" t="s">
        <v>978</v>
      </c>
    </row>
    <row r="2962" spans="1:5" ht="18.75">
      <c r="A2962" s="89" t="str">
        <f t="shared" si="46"/>
        <v>#19617</v>
      </c>
      <c r="B2962" s="138" t="s">
        <v>6326</v>
      </c>
      <c r="C2962" s="236" t="s">
        <v>2244</v>
      </c>
      <c r="D2962" s="206">
        <v>44298</v>
      </c>
      <c r="E2962" s="138" t="s">
        <v>743</v>
      </c>
    </row>
    <row r="2963" spans="1:5" ht="18.75">
      <c r="A2963" s="89" t="str">
        <f t="shared" si="46"/>
        <v>#19627</v>
      </c>
      <c r="B2963" s="138" t="s">
        <v>6328</v>
      </c>
      <c r="C2963" s="236" t="s">
        <v>6327</v>
      </c>
      <c r="D2963" s="206">
        <v>44299</v>
      </c>
      <c r="E2963" s="138" t="s">
        <v>1188</v>
      </c>
    </row>
    <row r="2964" spans="1:5" ht="18.75">
      <c r="A2964" s="89" t="str">
        <f t="shared" si="46"/>
        <v>#19650</v>
      </c>
      <c r="B2964" s="138" t="s">
        <v>6330</v>
      </c>
      <c r="C2964" s="236" t="s">
        <v>6329</v>
      </c>
      <c r="D2964" s="206">
        <v>44299</v>
      </c>
      <c r="E2964" s="138" t="s">
        <v>937</v>
      </c>
    </row>
    <row r="2965" spans="1:5" ht="18.75">
      <c r="A2965" s="89" t="str">
        <f t="shared" si="46"/>
        <v>#19659</v>
      </c>
      <c r="B2965" s="138" t="s">
        <v>6331</v>
      </c>
      <c r="C2965" s="236" t="s">
        <v>1621</v>
      </c>
      <c r="D2965" s="206">
        <v>44299</v>
      </c>
      <c r="E2965" s="138" t="s">
        <v>895</v>
      </c>
    </row>
    <row r="2966" spans="1:5" ht="18.75">
      <c r="A2966" s="89" t="str">
        <f t="shared" si="46"/>
        <v>#19662</v>
      </c>
      <c r="B2966" s="138" t="s">
        <v>6333</v>
      </c>
      <c r="C2966" s="236" t="s">
        <v>6332</v>
      </c>
      <c r="D2966" s="206">
        <v>44299</v>
      </c>
      <c r="E2966" s="138" t="s">
        <v>903</v>
      </c>
    </row>
    <row r="2967" spans="1:5" ht="18.75">
      <c r="A2967" s="89" t="str">
        <f t="shared" si="46"/>
        <v>#19663</v>
      </c>
      <c r="B2967" s="138" t="s">
        <v>6335</v>
      </c>
      <c r="C2967" s="236" t="s">
        <v>6334</v>
      </c>
      <c r="D2967" s="206">
        <v>44299</v>
      </c>
      <c r="E2967" s="138" t="s">
        <v>1043</v>
      </c>
    </row>
    <row r="2968" spans="1:5" ht="18.75">
      <c r="A2968" s="89" t="str">
        <f t="shared" si="46"/>
        <v>#19665</v>
      </c>
      <c r="B2968" s="138" t="s">
        <v>6337</v>
      </c>
      <c r="C2968" s="236" t="s">
        <v>6336</v>
      </c>
      <c r="D2968" s="206">
        <v>44299</v>
      </c>
      <c r="E2968" s="138" t="s">
        <v>1043</v>
      </c>
    </row>
    <row r="2969" spans="1:5" ht="18.75">
      <c r="A2969" s="89" t="str">
        <f t="shared" si="46"/>
        <v>#19667</v>
      </c>
      <c r="B2969" s="138" t="s">
        <v>6339</v>
      </c>
      <c r="C2969" s="236" t="s">
        <v>6338</v>
      </c>
      <c r="D2969" s="206">
        <v>44299</v>
      </c>
      <c r="E2969" s="138" t="s">
        <v>903</v>
      </c>
    </row>
    <row r="2970" spans="1:5" ht="18.75">
      <c r="A2970" s="89" t="str">
        <f t="shared" si="46"/>
        <v>#19669</v>
      </c>
      <c r="B2970" s="138" t="s">
        <v>6340</v>
      </c>
      <c r="C2970" s="236" t="s">
        <v>5935</v>
      </c>
      <c r="D2970" s="206">
        <v>44299</v>
      </c>
      <c r="E2970" s="138" t="s">
        <v>1043</v>
      </c>
    </row>
    <row r="2971" spans="1:5" ht="18.75">
      <c r="A2971" s="89" t="str">
        <f t="shared" si="46"/>
        <v>#19672</v>
      </c>
      <c r="B2971" s="138" t="s">
        <v>6342</v>
      </c>
      <c r="C2971" s="236" t="s">
        <v>6341</v>
      </c>
      <c r="D2971" s="206">
        <v>44299</v>
      </c>
      <c r="E2971" s="138" t="s">
        <v>1541</v>
      </c>
    </row>
    <row r="2972" spans="1:5" ht="18.75">
      <c r="A2972" s="89" t="str">
        <f t="shared" si="46"/>
        <v>#19677</v>
      </c>
      <c r="B2972" s="138" t="s">
        <v>6344</v>
      </c>
      <c r="C2972" s="236" t="s">
        <v>6343</v>
      </c>
      <c r="D2972" s="206">
        <v>44299</v>
      </c>
      <c r="E2972" s="138" t="s">
        <v>978</v>
      </c>
    </row>
    <row r="2973" spans="1:5" ht="18.75">
      <c r="A2973" s="89" t="str">
        <f t="shared" si="46"/>
        <v>#19679</v>
      </c>
      <c r="B2973" s="138" t="s">
        <v>6346</v>
      </c>
      <c r="C2973" s="236" t="s">
        <v>6345</v>
      </c>
      <c r="D2973" s="206">
        <v>44299</v>
      </c>
      <c r="E2973" s="138" t="s">
        <v>1098</v>
      </c>
    </row>
    <row r="2974" spans="1:5" ht="18.75">
      <c r="A2974" s="89" t="str">
        <f t="shared" si="46"/>
        <v>#19681</v>
      </c>
      <c r="B2974" s="138" t="s">
        <v>6348</v>
      </c>
      <c r="C2974" s="236" t="s">
        <v>6347</v>
      </c>
      <c r="D2974" s="206">
        <v>44299</v>
      </c>
      <c r="E2974" s="138" t="s">
        <v>985</v>
      </c>
    </row>
    <row r="2975" spans="1:5" ht="18.75">
      <c r="A2975" s="89" t="str">
        <f t="shared" si="46"/>
        <v>#19695</v>
      </c>
      <c r="B2975" s="138" t="s">
        <v>6350</v>
      </c>
      <c r="C2975" s="236" t="s">
        <v>6349</v>
      </c>
      <c r="D2975" s="206">
        <v>44306</v>
      </c>
      <c r="E2975" s="138" t="s">
        <v>895</v>
      </c>
    </row>
    <row r="2976" spans="1:5" ht="18.75">
      <c r="A2976" s="89" t="str">
        <f t="shared" si="46"/>
        <v>#19724</v>
      </c>
      <c r="B2976" s="138" t="s">
        <v>6351</v>
      </c>
      <c r="C2976" s="236" t="s">
        <v>2716</v>
      </c>
      <c r="D2976" s="206">
        <v>44306</v>
      </c>
      <c r="E2976" s="138" t="s">
        <v>927</v>
      </c>
    </row>
    <row r="2977" spans="1:5" ht="18.75">
      <c r="A2977" s="89" t="str">
        <f t="shared" si="46"/>
        <v>#19728</v>
      </c>
      <c r="B2977" s="138" t="s">
        <v>6353</v>
      </c>
      <c r="C2977" s="236" t="s">
        <v>6352</v>
      </c>
      <c r="D2977" s="206">
        <v>44306</v>
      </c>
      <c r="E2977" s="138" t="s">
        <v>927</v>
      </c>
    </row>
    <row r="2978" spans="1:5" ht="18.75">
      <c r="A2978" s="89" t="str">
        <f t="shared" si="46"/>
        <v>#19738</v>
      </c>
      <c r="B2978" s="138" t="s">
        <v>6354</v>
      </c>
      <c r="C2978" s="236" t="s">
        <v>3640</v>
      </c>
      <c r="D2978" s="206">
        <v>44306</v>
      </c>
      <c r="E2978" s="138" t="s">
        <v>1188</v>
      </c>
    </row>
    <row r="2979" spans="1:5" ht="18.75">
      <c r="A2979" s="89" t="str">
        <f t="shared" si="46"/>
        <v>#19758</v>
      </c>
      <c r="B2979" s="138" t="s">
        <v>6355</v>
      </c>
      <c r="C2979" s="236" t="s">
        <v>3520</v>
      </c>
      <c r="D2979" s="206">
        <v>44306</v>
      </c>
      <c r="E2979" s="138" t="s">
        <v>721</v>
      </c>
    </row>
    <row r="2980" spans="1:5" ht="18.75">
      <c r="A2980" s="89" t="str">
        <f t="shared" si="46"/>
        <v>#19766</v>
      </c>
      <c r="B2980" s="138" t="s">
        <v>6357</v>
      </c>
      <c r="C2980" s="236" t="s">
        <v>6356</v>
      </c>
      <c r="D2980" s="206">
        <v>44306</v>
      </c>
      <c r="E2980" s="138" t="s">
        <v>1191</v>
      </c>
    </row>
    <row r="2981" spans="1:5" ht="18.75">
      <c r="A2981" s="89" t="str">
        <f t="shared" si="46"/>
        <v>#19776</v>
      </c>
      <c r="B2981" s="138" t="s">
        <v>6359</v>
      </c>
      <c r="C2981" s="236" t="s">
        <v>6358</v>
      </c>
      <c r="D2981" s="206">
        <v>44313</v>
      </c>
      <c r="E2981" s="138" t="s">
        <v>985</v>
      </c>
    </row>
    <row r="2982" spans="1:5" ht="18.75">
      <c r="A2982" s="89" t="str">
        <f t="shared" si="46"/>
        <v>#19777</v>
      </c>
      <c r="B2982" s="138" t="s">
        <v>6361</v>
      </c>
      <c r="C2982" s="236" t="s">
        <v>6360</v>
      </c>
      <c r="D2982" s="206">
        <v>44313</v>
      </c>
      <c r="E2982" s="138" t="s">
        <v>721</v>
      </c>
    </row>
    <row r="2983" spans="1:5" ht="18.75">
      <c r="A2983" s="89" t="str">
        <f t="shared" si="46"/>
        <v>#19778</v>
      </c>
      <c r="B2983" s="138" t="s">
        <v>6363</v>
      </c>
      <c r="C2983" s="236" t="s">
        <v>6362</v>
      </c>
      <c r="D2983" s="206">
        <v>44313</v>
      </c>
      <c r="E2983" s="138" t="s">
        <v>721</v>
      </c>
    </row>
    <row r="2984" spans="1:5" ht="18.75">
      <c r="A2984" s="89" t="str">
        <f t="shared" si="46"/>
        <v>#19779</v>
      </c>
      <c r="B2984" s="138" t="s">
        <v>6364</v>
      </c>
      <c r="C2984" s="236" t="s">
        <v>1544</v>
      </c>
      <c r="D2984" s="206">
        <v>44313</v>
      </c>
      <c r="E2984" s="138" t="s">
        <v>721</v>
      </c>
    </row>
    <row r="2985" spans="1:5" ht="18.75">
      <c r="A2985" s="89" t="str">
        <f t="shared" si="46"/>
        <v>#19782</v>
      </c>
      <c r="B2985" s="138" t="s">
        <v>6366</v>
      </c>
      <c r="C2985" s="236" t="s">
        <v>6365</v>
      </c>
      <c r="D2985" s="206">
        <v>44313</v>
      </c>
      <c r="E2985" s="138" t="s">
        <v>903</v>
      </c>
    </row>
    <row r="2986" spans="1:5" ht="18.75">
      <c r="A2986" s="89" t="str">
        <f t="shared" si="46"/>
        <v>#19784</v>
      </c>
      <c r="B2986" s="138" t="s">
        <v>6368</v>
      </c>
      <c r="C2986" s="236" t="s">
        <v>6367</v>
      </c>
      <c r="D2986" s="206">
        <v>44313</v>
      </c>
      <c r="E2986" s="138" t="s">
        <v>7788</v>
      </c>
    </row>
    <row r="2987" spans="1:5" ht="18.75">
      <c r="A2987" s="89" t="str">
        <f t="shared" si="46"/>
        <v>#19785</v>
      </c>
      <c r="B2987" s="138" t="s">
        <v>6370</v>
      </c>
      <c r="C2987" s="236" t="s">
        <v>6369</v>
      </c>
      <c r="D2987" s="206">
        <v>44313</v>
      </c>
      <c r="E2987" s="138" t="s">
        <v>1063</v>
      </c>
    </row>
    <row r="2988" spans="1:5" ht="18.75">
      <c r="A2988" s="89" t="str">
        <f t="shared" si="46"/>
        <v>#19786</v>
      </c>
      <c r="B2988" s="138" t="s">
        <v>6372</v>
      </c>
      <c r="C2988" s="236" t="s">
        <v>6371</v>
      </c>
      <c r="D2988" s="206">
        <v>44313</v>
      </c>
      <c r="E2988" s="138" t="s">
        <v>1063</v>
      </c>
    </row>
    <row r="2989" spans="1:5" ht="18.75">
      <c r="A2989" s="89" t="str">
        <f t="shared" si="46"/>
        <v>#19787</v>
      </c>
      <c r="B2989" s="138" t="s">
        <v>6374</v>
      </c>
      <c r="C2989" s="236" t="s">
        <v>6373</v>
      </c>
      <c r="D2989" s="206">
        <v>44313</v>
      </c>
      <c r="E2989" s="138" t="s">
        <v>1063</v>
      </c>
    </row>
    <row r="2990" spans="1:5" ht="18.75">
      <c r="A2990" s="89" t="str">
        <f t="shared" si="46"/>
        <v>#19788</v>
      </c>
      <c r="B2990" s="138" t="s">
        <v>6376</v>
      </c>
      <c r="C2990" s="236" t="s">
        <v>6375</v>
      </c>
      <c r="D2990" s="206">
        <v>44313</v>
      </c>
      <c r="E2990" s="138" t="s">
        <v>1043</v>
      </c>
    </row>
    <row r="2991" spans="1:5" ht="18.75">
      <c r="A2991" s="89" t="str">
        <f t="shared" si="46"/>
        <v>#19789</v>
      </c>
      <c r="B2991" s="138" t="s">
        <v>6378</v>
      </c>
      <c r="C2991" s="236" t="s">
        <v>6377</v>
      </c>
      <c r="D2991" s="206">
        <v>44313</v>
      </c>
      <c r="E2991" s="138" t="s">
        <v>1063</v>
      </c>
    </row>
    <row r="2992" spans="1:5" ht="18.75">
      <c r="A2992" s="89" t="str">
        <f t="shared" si="46"/>
        <v>#19799</v>
      </c>
      <c r="B2992" s="138" t="s">
        <v>6380</v>
      </c>
      <c r="C2992" s="236" t="s">
        <v>6379</v>
      </c>
      <c r="D2992" s="206">
        <v>44313</v>
      </c>
      <c r="E2992" s="138" t="s">
        <v>924</v>
      </c>
    </row>
    <row r="2993" spans="1:5" ht="18.75">
      <c r="A2993" s="89" t="str">
        <f t="shared" si="46"/>
        <v>#19809</v>
      </c>
      <c r="B2993" s="138" t="s">
        <v>6382</v>
      </c>
      <c r="C2993" s="236" t="s">
        <v>6381</v>
      </c>
      <c r="D2993" s="206">
        <v>44313</v>
      </c>
      <c r="E2993" s="138" t="s">
        <v>937</v>
      </c>
    </row>
    <row r="2994" spans="1:5" ht="18.75">
      <c r="A2994" s="89" t="str">
        <f t="shared" si="46"/>
        <v>#19818</v>
      </c>
      <c r="B2994" s="138" t="s">
        <v>6383</v>
      </c>
      <c r="C2994" s="236" t="s">
        <v>6356</v>
      </c>
      <c r="D2994" s="206">
        <v>44320</v>
      </c>
      <c r="E2994" s="138" t="s">
        <v>1451</v>
      </c>
    </row>
    <row r="2995" spans="1:5" ht="18.75">
      <c r="A2995" s="89" t="str">
        <f t="shared" si="46"/>
        <v>#19820</v>
      </c>
      <c r="B2995" s="138" t="s">
        <v>6385</v>
      </c>
      <c r="C2995" s="236" t="s">
        <v>6384</v>
      </c>
      <c r="D2995" s="206">
        <v>44321</v>
      </c>
      <c r="E2995" s="138" t="s">
        <v>8037</v>
      </c>
    </row>
    <row r="2996" spans="1:5" ht="18.75">
      <c r="A2996" s="89" t="str">
        <f t="shared" si="46"/>
        <v>#19839</v>
      </c>
      <c r="B2996" s="138" t="s">
        <v>6386</v>
      </c>
      <c r="C2996" s="236" t="s">
        <v>5585</v>
      </c>
      <c r="D2996" s="206">
        <v>44321</v>
      </c>
      <c r="E2996" s="138" t="s">
        <v>1133</v>
      </c>
    </row>
    <row r="2997" spans="1:5" ht="18.75">
      <c r="A2997" s="89" t="str">
        <f t="shared" si="46"/>
        <v>#19844</v>
      </c>
      <c r="B2997" s="138" t="s">
        <v>6388</v>
      </c>
      <c r="C2997" s="236" t="s">
        <v>6387</v>
      </c>
      <c r="D2997" s="206">
        <v>44321</v>
      </c>
      <c r="E2997" s="138" t="s">
        <v>937</v>
      </c>
    </row>
    <row r="2998" spans="1:5" ht="18.75">
      <c r="A2998" s="89" t="str">
        <f t="shared" si="46"/>
        <v>#19851</v>
      </c>
      <c r="B2998" s="138" t="s">
        <v>6389</v>
      </c>
      <c r="C2998" s="236" t="s">
        <v>5378</v>
      </c>
      <c r="D2998" s="206">
        <v>44321</v>
      </c>
      <c r="E2998" s="138" t="s">
        <v>1043</v>
      </c>
    </row>
    <row r="2999" spans="1:5" ht="18.75">
      <c r="A2999" s="89" t="str">
        <f t="shared" si="46"/>
        <v>#19856</v>
      </c>
      <c r="B2999" s="138" t="s">
        <v>6391</v>
      </c>
      <c r="C2999" s="236" t="s">
        <v>6390</v>
      </c>
      <c r="D2999" s="206">
        <v>44321</v>
      </c>
      <c r="E2999" s="138" t="s">
        <v>721</v>
      </c>
    </row>
    <row r="3000" spans="1:5" ht="18.75">
      <c r="A3000" s="89" t="str">
        <f t="shared" si="46"/>
        <v>#19857</v>
      </c>
      <c r="B3000" s="138" t="s">
        <v>6392</v>
      </c>
      <c r="C3000" s="236" t="s">
        <v>2802</v>
      </c>
      <c r="D3000" s="206">
        <v>44321</v>
      </c>
      <c r="E3000" s="138" t="s">
        <v>1063</v>
      </c>
    </row>
    <row r="3001" spans="1:5" ht="18.75">
      <c r="A3001" s="89" t="str">
        <f t="shared" si="46"/>
        <v>#19859</v>
      </c>
      <c r="B3001" s="138" t="s">
        <v>6393</v>
      </c>
      <c r="C3001" s="236" t="s">
        <v>4485</v>
      </c>
      <c r="D3001" s="206">
        <v>44321</v>
      </c>
      <c r="E3001" s="138" t="s">
        <v>1063</v>
      </c>
    </row>
    <row r="3002" spans="1:5" ht="18.75">
      <c r="A3002" s="89" t="str">
        <f t="shared" si="46"/>
        <v>#19860</v>
      </c>
      <c r="B3002" s="138" t="s">
        <v>6395</v>
      </c>
      <c r="C3002" s="236" t="s">
        <v>6394</v>
      </c>
      <c r="D3002" s="206">
        <v>44321</v>
      </c>
      <c r="E3002" s="138" t="s">
        <v>1063</v>
      </c>
    </row>
    <row r="3003" spans="1:5" ht="18.75">
      <c r="A3003" s="89" t="str">
        <f t="shared" si="46"/>
        <v>#19875</v>
      </c>
      <c r="B3003" s="138" t="s">
        <v>6396</v>
      </c>
      <c r="C3003" s="236" t="s">
        <v>1719</v>
      </c>
      <c r="D3003" s="206">
        <v>44327</v>
      </c>
      <c r="E3003" s="138" t="s">
        <v>1063</v>
      </c>
    </row>
    <row r="3004" spans="1:5" ht="18.75">
      <c r="A3004" s="89" t="str">
        <f t="shared" si="46"/>
        <v>#19876</v>
      </c>
      <c r="B3004" s="138" t="s">
        <v>6398</v>
      </c>
      <c r="C3004" s="236" t="s">
        <v>6397</v>
      </c>
      <c r="D3004" s="206">
        <v>44327</v>
      </c>
      <c r="E3004" s="138" t="s">
        <v>915</v>
      </c>
    </row>
    <row r="3005" spans="1:5" ht="18.75">
      <c r="A3005" s="89" t="str">
        <f t="shared" si="46"/>
        <v>#19877</v>
      </c>
      <c r="B3005" s="138" t="s">
        <v>6400</v>
      </c>
      <c r="C3005" s="236" t="s">
        <v>6399</v>
      </c>
      <c r="D3005" s="206">
        <v>44327</v>
      </c>
      <c r="E3005" s="138" t="s">
        <v>1063</v>
      </c>
    </row>
    <row r="3006" spans="1:5" ht="18.75">
      <c r="A3006" s="89" t="str">
        <f t="shared" si="46"/>
        <v>#19880</v>
      </c>
      <c r="B3006" s="138" t="s">
        <v>6402</v>
      </c>
      <c r="C3006" s="236" t="s">
        <v>6401</v>
      </c>
      <c r="D3006" s="206">
        <v>44327</v>
      </c>
      <c r="E3006" s="138" t="s">
        <v>903</v>
      </c>
    </row>
    <row r="3007" spans="1:5" ht="18.75">
      <c r="A3007" s="89" t="str">
        <f t="shared" si="46"/>
        <v>#19890</v>
      </c>
      <c r="B3007" s="138" t="s">
        <v>6403</v>
      </c>
      <c r="C3007" s="236" t="s">
        <v>1340</v>
      </c>
      <c r="D3007" s="206">
        <v>44334</v>
      </c>
      <c r="E3007" s="138" t="s">
        <v>927</v>
      </c>
    </row>
    <row r="3008" spans="1:5" ht="18.75">
      <c r="A3008" s="89" t="str">
        <f t="shared" si="46"/>
        <v>#19895</v>
      </c>
      <c r="B3008" s="138" t="s">
        <v>6405</v>
      </c>
      <c r="C3008" s="236" t="s">
        <v>6404</v>
      </c>
      <c r="D3008" s="206">
        <v>44334</v>
      </c>
      <c r="E3008" s="138" t="s">
        <v>1541</v>
      </c>
    </row>
    <row r="3009" spans="1:5" ht="18.75">
      <c r="A3009" s="89" t="str">
        <f t="shared" si="46"/>
        <v>#19896</v>
      </c>
      <c r="B3009" s="138" t="s">
        <v>6407</v>
      </c>
      <c r="C3009" s="236" t="s">
        <v>6406</v>
      </c>
      <c r="D3009" s="206">
        <v>44334</v>
      </c>
      <c r="E3009" s="138" t="s">
        <v>1380</v>
      </c>
    </row>
    <row r="3010" spans="1:5" ht="18.75">
      <c r="A3010" s="89" t="str">
        <f t="shared" si="46"/>
        <v>#19898</v>
      </c>
      <c r="B3010" s="138" t="s">
        <v>6409</v>
      </c>
      <c r="C3010" s="236" t="s">
        <v>6408</v>
      </c>
      <c r="D3010" s="206">
        <v>44334</v>
      </c>
      <c r="E3010" s="138" t="s">
        <v>1063</v>
      </c>
    </row>
    <row r="3011" spans="1:5" ht="18.75">
      <c r="A3011" s="89" t="str">
        <f t="shared" ref="A3011:A3074" si="47">"#"&amp;B3011</f>
        <v>#19900</v>
      </c>
      <c r="B3011" s="138" t="s">
        <v>6411</v>
      </c>
      <c r="C3011" s="236" t="s">
        <v>6410</v>
      </c>
      <c r="D3011" s="206">
        <v>44334</v>
      </c>
      <c r="E3011" s="138" t="s">
        <v>915</v>
      </c>
    </row>
    <row r="3012" spans="1:5" ht="18.75">
      <c r="A3012" s="89" t="str">
        <f t="shared" si="47"/>
        <v>#19905</v>
      </c>
      <c r="B3012" s="138" t="s">
        <v>6412</v>
      </c>
      <c r="C3012" s="236" t="s">
        <v>2551</v>
      </c>
      <c r="D3012" s="206">
        <v>44334</v>
      </c>
      <c r="E3012" s="138" t="s">
        <v>903</v>
      </c>
    </row>
    <row r="3013" spans="1:5" ht="18.75">
      <c r="A3013" s="89" t="str">
        <f t="shared" si="47"/>
        <v>#19908</v>
      </c>
      <c r="B3013" s="138" t="s">
        <v>6414</v>
      </c>
      <c r="C3013" s="236" t="s">
        <v>6413</v>
      </c>
      <c r="D3013" s="206">
        <v>44337</v>
      </c>
      <c r="E3013" s="138" t="s">
        <v>895</v>
      </c>
    </row>
    <row r="3014" spans="1:5" ht="18.75">
      <c r="A3014" s="89" t="str">
        <f t="shared" si="47"/>
        <v>#19909</v>
      </c>
      <c r="B3014" s="138" t="s">
        <v>6416</v>
      </c>
      <c r="C3014" s="236" t="s">
        <v>6415</v>
      </c>
      <c r="D3014" s="206">
        <v>44337</v>
      </c>
      <c r="E3014" s="138" t="s">
        <v>752</v>
      </c>
    </row>
    <row r="3015" spans="1:5" ht="18.75">
      <c r="A3015" s="89" t="str">
        <f t="shared" si="47"/>
        <v>#19915</v>
      </c>
      <c r="B3015" s="138" t="s">
        <v>6418</v>
      </c>
      <c r="C3015" s="236" t="s">
        <v>6417</v>
      </c>
      <c r="D3015" s="206">
        <v>44341</v>
      </c>
      <c r="E3015" s="138" t="s">
        <v>1188</v>
      </c>
    </row>
    <row r="3016" spans="1:5" ht="18.75">
      <c r="A3016" s="89" t="str">
        <f t="shared" si="47"/>
        <v>#19918</v>
      </c>
      <c r="B3016" s="138" t="s">
        <v>6420</v>
      </c>
      <c r="C3016" s="236" t="s">
        <v>6419</v>
      </c>
      <c r="D3016" s="206">
        <v>44341</v>
      </c>
      <c r="E3016" s="138" t="s">
        <v>1188</v>
      </c>
    </row>
    <row r="3017" spans="1:5" ht="18.75">
      <c r="A3017" s="89" t="str">
        <f t="shared" si="47"/>
        <v>#19942</v>
      </c>
      <c r="B3017" s="138" t="s">
        <v>6421</v>
      </c>
      <c r="C3017" s="236" t="s">
        <v>2405</v>
      </c>
      <c r="D3017" s="206">
        <v>44341</v>
      </c>
      <c r="E3017" s="138" t="s">
        <v>937</v>
      </c>
    </row>
    <row r="3018" spans="1:5" ht="18.75">
      <c r="A3018" s="89" t="str">
        <f t="shared" si="47"/>
        <v>#19951</v>
      </c>
      <c r="B3018" s="138" t="s">
        <v>6422</v>
      </c>
      <c r="C3018" s="236" t="s">
        <v>4160</v>
      </c>
      <c r="D3018" s="206">
        <v>44341</v>
      </c>
      <c r="E3018" s="138" t="s">
        <v>1716</v>
      </c>
    </row>
    <row r="3019" spans="1:5" ht="18.75">
      <c r="A3019" s="89" t="str">
        <f t="shared" si="47"/>
        <v>#19952</v>
      </c>
      <c r="B3019" s="138" t="s">
        <v>6423</v>
      </c>
      <c r="C3019" s="236" t="s">
        <v>4076</v>
      </c>
      <c r="D3019" s="206">
        <v>44341</v>
      </c>
      <c r="E3019" s="138" t="s">
        <v>895</v>
      </c>
    </row>
    <row r="3020" spans="1:5" ht="18.75">
      <c r="A3020" s="89" t="str">
        <f t="shared" si="47"/>
        <v>#19953</v>
      </c>
      <c r="B3020" s="138" t="s">
        <v>6425</v>
      </c>
      <c r="C3020" s="236" t="s">
        <v>6424</v>
      </c>
      <c r="D3020" s="206">
        <v>44341</v>
      </c>
      <c r="E3020" s="138" t="s">
        <v>957</v>
      </c>
    </row>
    <row r="3021" spans="1:5" ht="18.75">
      <c r="A3021" s="89" t="str">
        <f t="shared" si="47"/>
        <v>#19957</v>
      </c>
      <c r="B3021" s="138" t="s">
        <v>6426</v>
      </c>
      <c r="C3021" s="236" t="s">
        <v>1594</v>
      </c>
      <c r="D3021" s="206">
        <v>44341</v>
      </c>
      <c r="E3021" s="138" t="s">
        <v>1063</v>
      </c>
    </row>
    <row r="3022" spans="1:5" ht="18.75">
      <c r="A3022" s="89" t="str">
        <f t="shared" si="47"/>
        <v>#19960</v>
      </c>
      <c r="B3022" s="138" t="s">
        <v>6428</v>
      </c>
      <c r="C3022" s="236" t="s">
        <v>6427</v>
      </c>
      <c r="D3022" s="206">
        <v>44341</v>
      </c>
      <c r="E3022" s="138" t="s">
        <v>1487</v>
      </c>
    </row>
    <row r="3023" spans="1:5" ht="18.75">
      <c r="A3023" s="89" t="str">
        <f t="shared" si="47"/>
        <v>#19963</v>
      </c>
      <c r="B3023" s="138" t="s">
        <v>6429</v>
      </c>
      <c r="C3023" s="236" t="s">
        <v>3327</v>
      </c>
      <c r="D3023" s="206">
        <v>44341</v>
      </c>
      <c r="E3023" s="138" t="s">
        <v>903</v>
      </c>
    </row>
    <row r="3024" spans="1:5" ht="18.75">
      <c r="A3024" s="89" t="str">
        <f t="shared" si="47"/>
        <v>#19964</v>
      </c>
      <c r="B3024" s="138" t="s">
        <v>6431</v>
      </c>
      <c r="C3024" s="236" t="s">
        <v>6430</v>
      </c>
      <c r="D3024" s="206">
        <v>44341</v>
      </c>
      <c r="E3024" s="138" t="s">
        <v>903</v>
      </c>
    </row>
    <row r="3025" spans="1:5" ht="18.75">
      <c r="A3025" s="89" t="str">
        <f t="shared" si="47"/>
        <v>#19965</v>
      </c>
      <c r="B3025" s="138" t="s">
        <v>6433</v>
      </c>
      <c r="C3025" s="236" t="s">
        <v>6432</v>
      </c>
      <c r="D3025" s="206">
        <v>44341</v>
      </c>
      <c r="E3025" s="138" t="s">
        <v>903</v>
      </c>
    </row>
    <row r="3026" spans="1:5" ht="18.75">
      <c r="A3026" s="89" t="str">
        <f t="shared" si="47"/>
        <v>#19967</v>
      </c>
      <c r="B3026" s="138" t="s">
        <v>6434</v>
      </c>
      <c r="C3026" s="236" t="s">
        <v>1146</v>
      </c>
      <c r="D3026" s="206">
        <v>44342</v>
      </c>
      <c r="E3026" s="138" t="s">
        <v>796</v>
      </c>
    </row>
    <row r="3027" spans="1:5" ht="18.75">
      <c r="A3027" s="89" t="str">
        <f t="shared" si="47"/>
        <v>#19968</v>
      </c>
      <c r="B3027" s="138" t="s">
        <v>6436</v>
      </c>
      <c r="C3027" s="236" t="s">
        <v>6435</v>
      </c>
      <c r="D3027" s="206">
        <v>44348</v>
      </c>
      <c r="E3027" s="138" t="s">
        <v>985</v>
      </c>
    </row>
    <row r="3028" spans="1:5" ht="18.75">
      <c r="A3028" s="89" t="str">
        <f t="shared" si="47"/>
        <v>#19970</v>
      </c>
      <c r="B3028" s="138" t="s">
        <v>6438</v>
      </c>
      <c r="C3028" s="236" t="s">
        <v>6437</v>
      </c>
      <c r="D3028" s="206">
        <v>44348</v>
      </c>
      <c r="E3028" s="138" t="s">
        <v>985</v>
      </c>
    </row>
    <row r="3029" spans="1:5" ht="18.75">
      <c r="A3029" s="89" t="str">
        <f t="shared" si="47"/>
        <v>#19972</v>
      </c>
      <c r="B3029" s="138" t="s">
        <v>6440</v>
      </c>
      <c r="C3029" s="236" t="s">
        <v>6439</v>
      </c>
      <c r="D3029" s="206">
        <v>44348</v>
      </c>
      <c r="E3029" s="138" t="s">
        <v>927</v>
      </c>
    </row>
    <row r="3030" spans="1:5" ht="18.75">
      <c r="A3030" s="89" t="str">
        <f t="shared" si="47"/>
        <v>#19975</v>
      </c>
      <c r="B3030" s="138" t="s">
        <v>6442</v>
      </c>
      <c r="C3030" s="236" t="s">
        <v>6441</v>
      </c>
      <c r="D3030" s="206">
        <v>44348</v>
      </c>
      <c r="E3030" s="138" t="s">
        <v>927</v>
      </c>
    </row>
    <row r="3031" spans="1:5" ht="18.75">
      <c r="A3031" s="89" t="str">
        <f t="shared" si="47"/>
        <v>#19982</v>
      </c>
      <c r="B3031" s="138" t="s">
        <v>6444</v>
      </c>
      <c r="C3031" s="236" t="s">
        <v>6443</v>
      </c>
      <c r="D3031" s="206">
        <v>44348</v>
      </c>
      <c r="E3031" s="138" t="s">
        <v>7788</v>
      </c>
    </row>
    <row r="3032" spans="1:5" ht="18.75">
      <c r="A3032" s="89" t="str">
        <f t="shared" si="47"/>
        <v>#19983</v>
      </c>
      <c r="B3032" s="138" t="s">
        <v>6445</v>
      </c>
      <c r="C3032" s="236" t="s">
        <v>2474</v>
      </c>
      <c r="D3032" s="206">
        <v>44348</v>
      </c>
      <c r="E3032" s="138" t="s">
        <v>1063</v>
      </c>
    </row>
    <row r="3033" spans="1:5" ht="18.75">
      <c r="A3033" s="89" t="str">
        <f t="shared" si="47"/>
        <v>#19986</v>
      </c>
      <c r="B3033" s="138" t="s">
        <v>6446</v>
      </c>
      <c r="C3033" s="236" t="s">
        <v>3423</v>
      </c>
      <c r="D3033" s="206">
        <v>44348</v>
      </c>
      <c r="E3033" s="138" t="s">
        <v>1063</v>
      </c>
    </row>
    <row r="3034" spans="1:5" ht="18.75">
      <c r="A3034" s="89" t="str">
        <f t="shared" si="47"/>
        <v>#19988</v>
      </c>
      <c r="B3034" s="138" t="s">
        <v>6448</v>
      </c>
      <c r="C3034" s="236" t="s">
        <v>6447</v>
      </c>
      <c r="D3034" s="206">
        <v>44348</v>
      </c>
      <c r="E3034" s="138" t="s">
        <v>1043</v>
      </c>
    </row>
    <row r="3035" spans="1:5" ht="18.75">
      <c r="A3035" s="89" t="str">
        <f t="shared" si="47"/>
        <v>#19989</v>
      </c>
      <c r="B3035" s="138" t="s">
        <v>6449</v>
      </c>
      <c r="C3035" s="236" t="s">
        <v>4395</v>
      </c>
      <c r="D3035" s="206">
        <v>44348</v>
      </c>
      <c r="E3035" s="138" t="s">
        <v>1043</v>
      </c>
    </row>
    <row r="3036" spans="1:5" ht="18.75">
      <c r="A3036" s="89" t="str">
        <f t="shared" si="47"/>
        <v>#19990</v>
      </c>
      <c r="B3036" s="138" t="s">
        <v>6450</v>
      </c>
      <c r="C3036" s="236" t="s">
        <v>2045</v>
      </c>
      <c r="D3036" s="206">
        <v>44348</v>
      </c>
      <c r="E3036" s="138" t="s">
        <v>924</v>
      </c>
    </row>
    <row r="3037" spans="1:5" ht="18.75">
      <c r="A3037" s="89" t="str">
        <f t="shared" si="47"/>
        <v>#19998</v>
      </c>
      <c r="B3037" s="138" t="s">
        <v>6452</v>
      </c>
      <c r="C3037" s="236" t="s">
        <v>6451</v>
      </c>
      <c r="D3037" s="206">
        <v>44348</v>
      </c>
      <c r="E3037" s="138" t="s">
        <v>937</v>
      </c>
    </row>
    <row r="3038" spans="1:5" ht="18.75">
      <c r="A3038" s="89" t="str">
        <f t="shared" si="47"/>
        <v>#20012</v>
      </c>
      <c r="B3038" s="138" t="s">
        <v>6454</v>
      </c>
      <c r="C3038" s="236" t="s">
        <v>6453</v>
      </c>
      <c r="D3038" s="206">
        <v>44348</v>
      </c>
      <c r="E3038" s="138" t="s">
        <v>721</v>
      </c>
    </row>
    <row r="3039" spans="1:5" ht="18.75">
      <c r="A3039" s="89" t="str">
        <f t="shared" si="47"/>
        <v>#20014</v>
      </c>
      <c r="B3039" s="138" t="s">
        <v>6455</v>
      </c>
      <c r="C3039" s="236" t="s">
        <v>1621</v>
      </c>
      <c r="D3039" s="206">
        <v>44348</v>
      </c>
      <c r="E3039" s="138" t="s">
        <v>721</v>
      </c>
    </row>
    <row r="3040" spans="1:5" ht="18.75">
      <c r="A3040" s="89" t="str">
        <f t="shared" si="47"/>
        <v>#20019</v>
      </c>
      <c r="B3040" s="138" t="s">
        <v>6456</v>
      </c>
      <c r="C3040" s="236" t="s">
        <v>4790</v>
      </c>
      <c r="D3040" s="206">
        <v>44348</v>
      </c>
      <c r="E3040" s="138" t="s">
        <v>1029</v>
      </c>
    </row>
    <row r="3041" spans="1:5" ht="18.75">
      <c r="A3041" s="89" t="str">
        <f t="shared" si="47"/>
        <v>#20021</v>
      </c>
      <c r="B3041" s="138" t="s">
        <v>6458</v>
      </c>
      <c r="C3041" s="236" t="s">
        <v>6457</v>
      </c>
      <c r="D3041" s="206">
        <v>44348</v>
      </c>
      <c r="E3041" s="138" t="s">
        <v>773</v>
      </c>
    </row>
    <row r="3042" spans="1:5" ht="18.75">
      <c r="A3042" s="89" t="str">
        <f t="shared" si="47"/>
        <v>#20022</v>
      </c>
      <c r="B3042" s="138" t="s">
        <v>6460</v>
      </c>
      <c r="C3042" s="236" t="s">
        <v>6459</v>
      </c>
      <c r="D3042" s="206">
        <v>44348</v>
      </c>
      <c r="E3042" s="138" t="s">
        <v>1188</v>
      </c>
    </row>
    <row r="3043" spans="1:5" ht="18.75">
      <c r="A3043" s="89" t="str">
        <f t="shared" si="47"/>
        <v>#20023</v>
      </c>
      <c r="B3043" s="138" t="s">
        <v>6462</v>
      </c>
      <c r="C3043" s="236" t="s">
        <v>6461</v>
      </c>
      <c r="D3043" s="206">
        <v>44349</v>
      </c>
      <c r="E3043" s="138" t="s">
        <v>797</v>
      </c>
    </row>
    <row r="3044" spans="1:5" ht="18.75">
      <c r="A3044" s="89" t="str">
        <f t="shared" si="47"/>
        <v>#20024</v>
      </c>
      <c r="B3044" s="138" t="s">
        <v>6464</v>
      </c>
      <c r="C3044" s="236" t="s">
        <v>6463</v>
      </c>
      <c r="D3044" s="206">
        <v>44354</v>
      </c>
      <c r="E3044" s="138" t="s">
        <v>1004</v>
      </c>
    </row>
    <row r="3045" spans="1:5" ht="18.75">
      <c r="A3045" s="89" t="str">
        <f t="shared" si="47"/>
        <v>#20027</v>
      </c>
      <c r="B3045" s="138" t="s">
        <v>6466</v>
      </c>
      <c r="C3045" s="236" t="s">
        <v>6465</v>
      </c>
      <c r="D3045" s="206">
        <v>44355</v>
      </c>
      <c r="E3045" s="138" t="s">
        <v>796</v>
      </c>
    </row>
    <row r="3046" spans="1:5" ht="18.75">
      <c r="A3046" s="89" t="str">
        <f t="shared" si="47"/>
        <v>#20029</v>
      </c>
      <c r="B3046" s="138" t="s">
        <v>6467</v>
      </c>
      <c r="C3046" s="236" t="s">
        <v>3484</v>
      </c>
      <c r="D3046" s="206">
        <v>44355</v>
      </c>
      <c r="E3046" s="138" t="s">
        <v>796</v>
      </c>
    </row>
    <row r="3047" spans="1:5" ht="18.75">
      <c r="A3047" s="89" t="str">
        <f t="shared" si="47"/>
        <v>#20039</v>
      </c>
      <c r="B3047" s="138" t="s">
        <v>6469</v>
      </c>
      <c r="C3047" s="236" t="s">
        <v>6468</v>
      </c>
      <c r="D3047" s="206">
        <v>44355</v>
      </c>
      <c r="E3047" s="138" t="s">
        <v>8037</v>
      </c>
    </row>
    <row r="3048" spans="1:5" ht="18.75">
      <c r="A3048" s="89" t="str">
        <f t="shared" si="47"/>
        <v>#20040</v>
      </c>
      <c r="B3048" s="138" t="s">
        <v>6470</v>
      </c>
      <c r="C3048" s="236" t="s">
        <v>5023</v>
      </c>
      <c r="D3048" s="206">
        <v>44355</v>
      </c>
      <c r="E3048" s="138" t="s">
        <v>8037</v>
      </c>
    </row>
    <row r="3049" spans="1:5" ht="18.75">
      <c r="A3049" s="89" t="str">
        <f t="shared" si="47"/>
        <v>#20041</v>
      </c>
      <c r="B3049" s="138" t="s">
        <v>6471</v>
      </c>
      <c r="C3049" s="236" t="s">
        <v>4632</v>
      </c>
      <c r="D3049" s="206">
        <v>44355</v>
      </c>
      <c r="E3049" s="138" t="s">
        <v>948</v>
      </c>
    </row>
    <row r="3050" spans="1:5" ht="18.75">
      <c r="A3050" s="89" t="str">
        <f t="shared" si="47"/>
        <v>#20043</v>
      </c>
      <c r="B3050" s="138" t="s">
        <v>6473</v>
      </c>
      <c r="C3050" s="236" t="s">
        <v>6472</v>
      </c>
      <c r="D3050" s="206">
        <v>44355</v>
      </c>
      <c r="E3050" s="138" t="s">
        <v>8037</v>
      </c>
    </row>
    <row r="3051" spans="1:5" ht="18.75">
      <c r="A3051" s="89" t="str">
        <f t="shared" si="47"/>
        <v>#20050</v>
      </c>
      <c r="B3051" s="138" t="s">
        <v>6475</v>
      </c>
      <c r="C3051" s="236" t="s">
        <v>6474</v>
      </c>
      <c r="D3051" s="206">
        <v>44355</v>
      </c>
      <c r="E3051" s="138" t="s">
        <v>937</v>
      </c>
    </row>
    <row r="3052" spans="1:5" ht="18.75">
      <c r="A3052" s="89" t="str">
        <f t="shared" si="47"/>
        <v>#20059</v>
      </c>
      <c r="B3052" s="138" t="s">
        <v>6476</v>
      </c>
      <c r="C3052" s="236" t="s">
        <v>3197</v>
      </c>
      <c r="D3052" s="206">
        <v>44355</v>
      </c>
      <c r="E3052" s="138" t="s">
        <v>948</v>
      </c>
    </row>
    <row r="3053" spans="1:5" ht="18.75">
      <c r="A3053" s="89" t="str">
        <f t="shared" si="47"/>
        <v>#20060</v>
      </c>
      <c r="B3053" s="138" t="s">
        <v>6478</v>
      </c>
      <c r="C3053" s="236" t="s">
        <v>6477</v>
      </c>
      <c r="D3053" s="206">
        <v>44355</v>
      </c>
      <c r="E3053" s="138" t="s">
        <v>1085</v>
      </c>
    </row>
    <row r="3054" spans="1:5" ht="18.75">
      <c r="A3054" s="89" t="str">
        <f t="shared" si="47"/>
        <v>#20066</v>
      </c>
      <c r="B3054" s="138" t="s">
        <v>6479</v>
      </c>
      <c r="C3054" s="236" t="s">
        <v>4768</v>
      </c>
      <c r="D3054" s="206">
        <v>44355</v>
      </c>
      <c r="E3054" s="138" t="s">
        <v>903</v>
      </c>
    </row>
    <row r="3055" spans="1:5" ht="18.75">
      <c r="A3055" s="89" t="str">
        <f t="shared" si="47"/>
        <v>#20069</v>
      </c>
      <c r="B3055" s="138" t="s">
        <v>6481</v>
      </c>
      <c r="C3055" s="236" t="s">
        <v>6480</v>
      </c>
      <c r="D3055" s="206">
        <v>44356</v>
      </c>
      <c r="E3055" s="138" t="s">
        <v>906</v>
      </c>
    </row>
    <row r="3056" spans="1:5" ht="18.75">
      <c r="A3056" s="89" t="str">
        <f t="shared" si="47"/>
        <v>#20072</v>
      </c>
      <c r="B3056" s="138" t="s">
        <v>6483</v>
      </c>
      <c r="C3056" s="236" t="s">
        <v>6482</v>
      </c>
      <c r="D3056" s="206">
        <v>44362</v>
      </c>
      <c r="E3056" s="138" t="s">
        <v>8037</v>
      </c>
    </row>
    <row r="3057" spans="1:5" ht="18.75">
      <c r="A3057" s="89" t="str">
        <f t="shared" si="47"/>
        <v>#20073</v>
      </c>
      <c r="B3057" s="138" t="s">
        <v>6485</v>
      </c>
      <c r="C3057" s="236" t="s">
        <v>6484</v>
      </c>
      <c r="D3057" s="206">
        <v>44362</v>
      </c>
      <c r="E3057" s="138" t="s">
        <v>8037</v>
      </c>
    </row>
    <row r="3058" spans="1:5" ht="18.75">
      <c r="A3058" s="89" t="str">
        <f t="shared" si="47"/>
        <v>#20076</v>
      </c>
      <c r="B3058" s="138" t="s">
        <v>6487</v>
      </c>
      <c r="C3058" s="236" t="s">
        <v>6486</v>
      </c>
      <c r="D3058" s="206">
        <v>44362</v>
      </c>
      <c r="E3058" s="138" t="s">
        <v>1188</v>
      </c>
    </row>
    <row r="3059" spans="1:5" ht="18.75">
      <c r="A3059" s="89" t="str">
        <f t="shared" si="47"/>
        <v>#20096</v>
      </c>
      <c r="B3059" s="138" t="s">
        <v>6489</v>
      </c>
      <c r="C3059" s="236" t="s">
        <v>6488</v>
      </c>
      <c r="D3059" s="206">
        <v>44362</v>
      </c>
      <c r="E3059" s="138" t="s">
        <v>924</v>
      </c>
    </row>
    <row r="3060" spans="1:5" ht="18.75">
      <c r="A3060" s="89" t="str">
        <f t="shared" si="47"/>
        <v>#20097</v>
      </c>
      <c r="B3060" s="138" t="s">
        <v>6490</v>
      </c>
      <c r="C3060" s="236" t="s">
        <v>5935</v>
      </c>
      <c r="D3060" s="206">
        <v>44362</v>
      </c>
      <c r="E3060" s="138" t="s">
        <v>924</v>
      </c>
    </row>
    <row r="3061" spans="1:5" ht="18.75">
      <c r="A3061" s="89" t="str">
        <f t="shared" si="47"/>
        <v>#20110</v>
      </c>
      <c r="B3061" s="138" t="s">
        <v>6492</v>
      </c>
      <c r="C3061" s="236" t="s">
        <v>6491</v>
      </c>
      <c r="D3061" s="206">
        <v>44362</v>
      </c>
      <c r="E3061" s="138" t="s">
        <v>1085</v>
      </c>
    </row>
    <row r="3062" spans="1:5" ht="18.75">
      <c r="A3062" s="89" t="str">
        <f t="shared" si="47"/>
        <v>#20116</v>
      </c>
      <c r="B3062" s="138" t="s">
        <v>6494</v>
      </c>
      <c r="C3062" s="236" t="s">
        <v>6493</v>
      </c>
      <c r="D3062" s="206">
        <v>44362</v>
      </c>
      <c r="E3062" s="138" t="s">
        <v>1487</v>
      </c>
    </row>
    <row r="3063" spans="1:5" ht="18.75">
      <c r="A3063" s="89" t="str">
        <f t="shared" si="47"/>
        <v>#20122</v>
      </c>
      <c r="B3063" s="138" t="s">
        <v>6496</v>
      </c>
      <c r="C3063" s="236" t="s">
        <v>6495</v>
      </c>
      <c r="D3063" s="206">
        <v>44362</v>
      </c>
      <c r="E3063" s="138" t="s">
        <v>895</v>
      </c>
    </row>
    <row r="3064" spans="1:5" ht="18.75">
      <c r="A3064" s="89" t="str">
        <f t="shared" si="47"/>
        <v>#20127</v>
      </c>
      <c r="B3064" s="138" t="s">
        <v>6498</v>
      </c>
      <c r="C3064" s="236" t="s">
        <v>6497</v>
      </c>
      <c r="D3064" s="206">
        <v>44362</v>
      </c>
      <c r="E3064" s="138" t="s">
        <v>1043</v>
      </c>
    </row>
    <row r="3065" spans="1:5" ht="18.75">
      <c r="A3065" s="89" t="str">
        <f t="shared" si="47"/>
        <v>#20128</v>
      </c>
      <c r="B3065" s="138" t="s">
        <v>6500</v>
      </c>
      <c r="C3065" s="236" t="s">
        <v>6499</v>
      </c>
      <c r="D3065" s="206">
        <v>44362</v>
      </c>
      <c r="E3065" s="138" t="s">
        <v>1043</v>
      </c>
    </row>
    <row r="3066" spans="1:5" ht="18.75">
      <c r="A3066" s="89" t="str">
        <f t="shared" si="47"/>
        <v>#20133</v>
      </c>
      <c r="B3066" s="138" t="s">
        <v>6501</v>
      </c>
      <c r="C3066" s="236" t="s">
        <v>1659</v>
      </c>
      <c r="D3066" s="206">
        <v>44365</v>
      </c>
      <c r="E3066" s="138" t="s">
        <v>985</v>
      </c>
    </row>
    <row r="3067" spans="1:5" ht="18.75">
      <c r="A3067" s="89" t="str">
        <f t="shared" si="47"/>
        <v>#20143</v>
      </c>
      <c r="B3067" s="138" t="s">
        <v>6502</v>
      </c>
      <c r="C3067" s="236" t="s">
        <v>960</v>
      </c>
      <c r="D3067" s="206">
        <v>44365</v>
      </c>
      <c r="E3067" s="138" t="s">
        <v>978</v>
      </c>
    </row>
    <row r="3068" spans="1:5" ht="18.75">
      <c r="A3068" s="89" t="str">
        <f t="shared" si="47"/>
        <v>#20149</v>
      </c>
      <c r="B3068" s="138" t="s">
        <v>6504</v>
      </c>
      <c r="C3068" s="236" t="s">
        <v>6503</v>
      </c>
      <c r="D3068" s="206">
        <v>44365</v>
      </c>
      <c r="E3068" s="138" t="s">
        <v>1004</v>
      </c>
    </row>
    <row r="3069" spans="1:5" ht="18.75">
      <c r="A3069" s="89" t="str">
        <f t="shared" si="47"/>
        <v>#20152</v>
      </c>
      <c r="B3069" s="138" t="s">
        <v>6506</v>
      </c>
      <c r="C3069" s="236" t="s">
        <v>6505</v>
      </c>
      <c r="D3069" s="206">
        <v>44369</v>
      </c>
      <c r="E3069" s="138" t="s">
        <v>895</v>
      </c>
    </row>
    <row r="3070" spans="1:5" ht="18.75">
      <c r="A3070" s="89" t="str">
        <f t="shared" si="47"/>
        <v>#20153</v>
      </c>
      <c r="B3070" s="138" t="s">
        <v>6508</v>
      </c>
      <c r="C3070" s="236" t="s">
        <v>6507</v>
      </c>
      <c r="D3070" s="206">
        <v>44369</v>
      </c>
      <c r="E3070" s="138" t="s">
        <v>927</v>
      </c>
    </row>
    <row r="3071" spans="1:5" ht="18.75">
      <c r="A3071" s="89" t="str">
        <f t="shared" si="47"/>
        <v>#20154</v>
      </c>
      <c r="B3071" s="138" t="s">
        <v>6509</v>
      </c>
      <c r="C3071" s="236" t="s">
        <v>3307</v>
      </c>
      <c r="D3071" s="206">
        <v>44369</v>
      </c>
      <c r="E3071" s="138" t="s">
        <v>903</v>
      </c>
    </row>
    <row r="3072" spans="1:5" ht="18.75">
      <c r="A3072" s="89" t="str">
        <f t="shared" si="47"/>
        <v>#20155</v>
      </c>
      <c r="B3072" s="138" t="s">
        <v>6510</v>
      </c>
      <c r="C3072" s="236" t="s">
        <v>1416</v>
      </c>
      <c r="D3072" s="206">
        <v>44369</v>
      </c>
      <c r="E3072" s="138" t="s">
        <v>924</v>
      </c>
    </row>
    <row r="3073" spans="1:5" ht="18.75">
      <c r="A3073" s="89" t="str">
        <f t="shared" si="47"/>
        <v>#20157</v>
      </c>
      <c r="B3073" s="138" t="s">
        <v>6512</v>
      </c>
      <c r="C3073" s="236" t="s">
        <v>6511</v>
      </c>
      <c r="D3073" s="206">
        <v>44369</v>
      </c>
      <c r="E3073" s="138" t="s">
        <v>1063</v>
      </c>
    </row>
    <row r="3074" spans="1:5" ht="18.75">
      <c r="A3074" s="89" t="str">
        <f t="shared" si="47"/>
        <v>#20162</v>
      </c>
      <c r="B3074" s="138" t="s">
        <v>6514</v>
      </c>
      <c r="C3074" s="236" t="s">
        <v>6513</v>
      </c>
      <c r="D3074" s="206">
        <v>44369</v>
      </c>
      <c r="E3074" s="138" t="s">
        <v>978</v>
      </c>
    </row>
    <row r="3075" spans="1:5" ht="18.75">
      <c r="A3075" s="89" t="str">
        <f t="shared" ref="A3075:A3138" si="48">"#"&amp;B3075</f>
        <v>#20194</v>
      </c>
      <c r="B3075" s="138" t="s">
        <v>6516</v>
      </c>
      <c r="C3075" s="236" t="s">
        <v>6515</v>
      </c>
      <c r="D3075" s="206">
        <v>44376</v>
      </c>
      <c r="E3075" s="138" t="s">
        <v>934</v>
      </c>
    </row>
    <row r="3076" spans="1:5" ht="18.75">
      <c r="A3076" s="89" t="str">
        <f t="shared" si="48"/>
        <v>#20201</v>
      </c>
      <c r="B3076" s="138" t="s">
        <v>6518</v>
      </c>
      <c r="C3076" s="236" t="s">
        <v>6517</v>
      </c>
      <c r="D3076" s="206">
        <v>44376</v>
      </c>
      <c r="E3076" s="138" t="s">
        <v>985</v>
      </c>
    </row>
    <row r="3077" spans="1:5" ht="18.75">
      <c r="A3077" s="89" t="str">
        <f t="shared" si="48"/>
        <v>#20211</v>
      </c>
      <c r="B3077" s="138" t="s">
        <v>6520</v>
      </c>
      <c r="C3077" s="236" t="s">
        <v>6519</v>
      </c>
      <c r="D3077" s="206">
        <v>44376</v>
      </c>
      <c r="E3077" s="138" t="s">
        <v>937</v>
      </c>
    </row>
    <row r="3078" spans="1:5" ht="18.75">
      <c r="A3078" s="89" t="str">
        <f t="shared" si="48"/>
        <v>#20234</v>
      </c>
      <c r="B3078" s="138" t="s">
        <v>6521</v>
      </c>
      <c r="C3078" s="236" t="s">
        <v>6273</v>
      </c>
      <c r="D3078" s="206">
        <v>44379</v>
      </c>
      <c r="E3078" s="138" t="s">
        <v>927</v>
      </c>
    </row>
    <row r="3079" spans="1:5" ht="18.75">
      <c r="A3079" s="89" t="str">
        <f t="shared" si="48"/>
        <v>#20242</v>
      </c>
      <c r="B3079" s="138" t="s">
        <v>6523</v>
      </c>
      <c r="C3079" s="236" t="s">
        <v>6522</v>
      </c>
      <c r="D3079" s="206">
        <v>44379</v>
      </c>
      <c r="E3079" s="138" t="s">
        <v>906</v>
      </c>
    </row>
    <row r="3080" spans="1:5" ht="18.75">
      <c r="A3080" s="89" t="str">
        <f t="shared" si="48"/>
        <v>#20263</v>
      </c>
      <c r="B3080" s="138" t="s">
        <v>6525</v>
      </c>
      <c r="C3080" s="236" t="s">
        <v>6524</v>
      </c>
      <c r="D3080" s="206">
        <v>44383</v>
      </c>
      <c r="E3080" s="138" t="s">
        <v>1133</v>
      </c>
    </row>
    <row r="3081" spans="1:5" ht="18.75">
      <c r="A3081" s="89" t="str">
        <f t="shared" si="48"/>
        <v>#20272</v>
      </c>
      <c r="B3081" s="138" t="s">
        <v>6527</v>
      </c>
      <c r="C3081" s="236" t="s">
        <v>6526</v>
      </c>
      <c r="D3081" s="206">
        <v>44383</v>
      </c>
      <c r="E3081" s="138" t="s">
        <v>978</v>
      </c>
    </row>
    <row r="3082" spans="1:5" ht="18.75">
      <c r="A3082" s="89" t="str">
        <f t="shared" si="48"/>
        <v>#20279</v>
      </c>
      <c r="B3082" s="138" t="s">
        <v>6529</v>
      </c>
      <c r="C3082" s="236" t="s">
        <v>6528</v>
      </c>
      <c r="D3082" s="206">
        <v>44383</v>
      </c>
      <c r="E3082" s="138" t="s">
        <v>1188</v>
      </c>
    </row>
    <row r="3083" spans="1:5" ht="18.75">
      <c r="A3083" s="89" t="str">
        <f t="shared" si="48"/>
        <v>#20297</v>
      </c>
      <c r="B3083" s="138" t="s">
        <v>6531</v>
      </c>
      <c r="C3083" s="236" t="s">
        <v>6530</v>
      </c>
      <c r="D3083" s="206">
        <v>44386</v>
      </c>
      <c r="E3083" s="138" t="s">
        <v>895</v>
      </c>
    </row>
    <row r="3084" spans="1:5" ht="18.75">
      <c r="A3084" s="89" t="str">
        <f t="shared" si="48"/>
        <v>#20298</v>
      </c>
      <c r="B3084" s="138" t="s">
        <v>6532</v>
      </c>
      <c r="C3084" s="236" t="s">
        <v>3476</v>
      </c>
      <c r="D3084" s="206">
        <v>44386</v>
      </c>
      <c r="E3084" s="138" t="s">
        <v>1063</v>
      </c>
    </row>
    <row r="3085" spans="1:5" ht="18.75">
      <c r="A3085" s="89" t="str">
        <f t="shared" si="48"/>
        <v>#20299</v>
      </c>
      <c r="B3085" s="138" t="s">
        <v>6534</v>
      </c>
      <c r="C3085" s="242" t="s">
        <v>6533</v>
      </c>
      <c r="D3085" s="243">
        <v>44386</v>
      </c>
      <c r="E3085" s="138" t="s">
        <v>903</v>
      </c>
    </row>
    <row r="3086" spans="1:5" ht="18.75">
      <c r="A3086" s="89" t="str">
        <f t="shared" si="48"/>
        <v>#20309</v>
      </c>
      <c r="B3086" s="138" t="s">
        <v>6537</v>
      </c>
      <c r="C3086" s="242" t="s">
        <v>6536</v>
      </c>
      <c r="D3086" s="243">
        <v>44386</v>
      </c>
      <c r="E3086" s="138" t="s">
        <v>937</v>
      </c>
    </row>
    <row r="3087" spans="1:5" ht="18.75">
      <c r="A3087" s="89" t="str">
        <f t="shared" si="48"/>
        <v>#20321</v>
      </c>
      <c r="B3087" s="138" t="s">
        <v>6539</v>
      </c>
      <c r="C3087" s="242" t="s">
        <v>6538</v>
      </c>
      <c r="D3087" s="243">
        <v>44386</v>
      </c>
      <c r="E3087" s="138" t="s">
        <v>1098</v>
      </c>
    </row>
    <row r="3088" spans="1:5" ht="18.75">
      <c r="A3088" s="89" t="str">
        <f t="shared" si="48"/>
        <v>#20328</v>
      </c>
      <c r="B3088" s="138" t="s">
        <v>6541</v>
      </c>
      <c r="C3088" s="242" t="s">
        <v>6540</v>
      </c>
      <c r="D3088" s="243">
        <v>44390</v>
      </c>
      <c r="E3088" s="138" t="s">
        <v>752</v>
      </c>
    </row>
    <row r="3089" spans="1:5" ht="18.75">
      <c r="A3089" s="89" t="str">
        <f t="shared" si="48"/>
        <v>#20329</v>
      </c>
      <c r="B3089" s="138" t="s">
        <v>6543</v>
      </c>
      <c r="C3089" s="242" t="s">
        <v>6542</v>
      </c>
      <c r="D3089" s="243">
        <v>44390</v>
      </c>
      <c r="E3089" s="138" t="s">
        <v>906</v>
      </c>
    </row>
    <row r="3090" spans="1:5" ht="18.75">
      <c r="A3090" s="89" t="str">
        <f t="shared" si="48"/>
        <v>#20339</v>
      </c>
      <c r="B3090" s="138" t="s">
        <v>6545</v>
      </c>
      <c r="C3090" s="242" t="s">
        <v>6544</v>
      </c>
      <c r="D3090" s="243">
        <v>44390</v>
      </c>
      <c r="E3090" s="138" t="s">
        <v>937</v>
      </c>
    </row>
    <row r="3091" spans="1:5" ht="18.75">
      <c r="A3091" s="89" t="str">
        <f t="shared" si="48"/>
        <v>#20350</v>
      </c>
      <c r="B3091" s="138" t="s">
        <v>6547</v>
      </c>
      <c r="C3091" s="242" t="s">
        <v>6546</v>
      </c>
      <c r="D3091" s="243">
        <v>44390</v>
      </c>
      <c r="E3091" s="138" t="s">
        <v>1043</v>
      </c>
    </row>
    <row r="3092" spans="1:5" ht="18.75">
      <c r="A3092" s="89" t="str">
        <f t="shared" si="48"/>
        <v>#20351</v>
      </c>
      <c r="B3092" s="138" t="s">
        <v>6548</v>
      </c>
      <c r="C3092" s="242" t="s">
        <v>1083</v>
      </c>
      <c r="D3092" s="243">
        <v>44390</v>
      </c>
      <c r="E3092" s="138" t="s">
        <v>1188</v>
      </c>
    </row>
    <row r="3093" spans="1:5" ht="18.75">
      <c r="A3093" s="89" t="str">
        <f t="shared" si="48"/>
        <v>#20359</v>
      </c>
      <c r="B3093" s="138" t="s">
        <v>6550</v>
      </c>
      <c r="C3093" s="242" t="s">
        <v>6549</v>
      </c>
      <c r="D3093" s="243">
        <v>44390</v>
      </c>
      <c r="E3093" s="138" t="s">
        <v>8037</v>
      </c>
    </row>
    <row r="3094" spans="1:5" ht="18.75">
      <c r="A3094" s="89" t="str">
        <f t="shared" si="48"/>
        <v>#20360</v>
      </c>
      <c r="B3094" s="138" t="s">
        <v>6552</v>
      </c>
      <c r="C3094" s="236" t="s">
        <v>6551</v>
      </c>
      <c r="D3094" s="243">
        <v>44390</v>
      </c>
      <c r="E3094" s="138" t="s">
        <v>8037</v>
      </c>
    </row>
    <row r="3095" spans="1:5" ht="18.75">
      <c r="A3095" s="89" t="str">
        <f t="shared" si="48"/>
        <v>#20362</v>
      </c>
      <c r="B3095" s="138" t="s">
        <v>6554</v>
      </c>
      <c r="C3095" s="242" t="s">
        <v>6553</v>
      </c>
      <c r="D3095" s="206">
        <v>44390</v>
      </c>
      <c r="E3095" s="138" t="s">
        <v>8037</v>
      </c>
    </row>
    <row r="3096" spans="1:5" ht="18.75">
      <c r="A3096" s="89" t="str">
        <f t="shared" si="48"/>
        <v>#20363</v>
      </c>
      <c r="B3096" s="138" t="s">
        <v>6556</v>
      </c>
      <c r="C3096" s="242" t="s">
        <v>6555</v>
      </c>
      <c r="D3096" s="206">
        <v>44390</v>
      </c>
      <c r="E3096" s="138" t="s">
        <v>1541</v>
      </c>
    </row>
    <row r="3097" spans="1:5" ht="18.75">
      <c r="A3097" s="89" t="str">
        <f t="shared" si="48"/>
        <v>#20364</v>
      </c>
      <c r="B3097" s="138" t="s">
        <v>6558</v>
      </c>
      <c r="C3097" s="236" t="s">
        <v>6557</v>
      </c>
      <c r="D3097" s="206">
        <v>44392</v>
      </c>
      <c r="E3097" s="138" t="s">
        <v>934</v>
      </c>
    </row>
    <row r="3098" spans="1:5" ht="18.75">
      <c r="A3098" s="89" t="str">
        <f t="shared" si="48"/>
        <v>#20365</v>
      </c>
      <c r="B3098" s="138" t="s">
        <v>6560</v>
      </c>
      <c r="C3098" s="236" t="s">
        <v>6559</v>
      </c>
      <c r="D3098" s="206">
        <v>44393</v>
      </c>
      <c r="E3098" s="138" t="s">
        <v>721</v>
      </c>
    </row>
    <row r="3099" spans="1:5" ht="18.75">
      <c r="A3099" s="89" t="str">
        <f t="shared" si="48"/>
        <v>#20366</v>
      </c>
      <c r="B3099" s="138" t="s">
        <v>6562</v>
      </c>
      <c r="C3099" s="236" t="s">
        <v>6561</v>
      </c>
      <c r="D3099" s="206">
        <v>44393</v>
      </c>
      <c r="E3099" s="138" t="s">
        <v>721</v>
      </c>
    </row>
    <row r="3100" spans="1:5" ht="18.75">
      <c r="A3100" s="89" t="str">
        <f t="shared" si="48"/>
        <v>#20368</v>
      </c>
      <c r="B3100" s="138" t="s">
        <v>6563</v>
      </c>
      <c r="C3100" s="236" t="s">
        <v>3789</v>
      </c>
      <c r="D3100" s="206">
        <v>44393</v>
      </c>
      <c r="E3100" s="138" t="s">
        <v>721</v>
      </c>
    </row>
    <row r="3101" spans="1:5" ht="18.75">
      <c r="A3101" s="89" t="str">
        <f t="shared" si="48"/>
        <v>#20369</v>
      </c>
      <c r="B3101" s="138" t="s">
        <v>6565</v>
      </c>
      <c r="C3101" s="236" t="s">
        <v>6564</v>
      </c>
      <c r="D3101" s="206">
        <v>44393</v>
      </c>
      <c r="E3101" s="138" t="s">
        <v>721</v>
      </c>
    </row>
    <row r="3102" spans="1:5" ht="18.75">
      <c r="A3102" s="89" t="str">
        <f t="shared" si="48"/>
        <v>#20370</v>
      </c>
      <c r="B3102" s="138" t="s">
        <v>6566</v>
      </c>
      <c r="C3102" s="236" t="s">
        <v>4020</v>
      </c>
      <c r="D3102" s="206">
        <v>44393</v>
      </c>
      <c r="E3102" s="138" t="s">
        <v>906</v>
      </c>
    </row>
    <row r="3103" spans="1:5" ht="18.75">
      <c r="A3103" s="89" t="str">
        <f t="shared" si="48"/>
        <v>#20378</v>
      </c>
      <c r="B3103" s="138" t="s">
        <v>6568</v>
      </c>
      <c r="C3103" s="236" t="s">
        <v>6567</v>
      </c>
      <c r="D3103" s="206">
        <v>44393</v>
      </c>
      <c r="E3103" s="138" t="s">
        <v>1085</v>
      </c>
    </row>
    <row r="3104" spans="1:5" ht="18.75">
      <c r="A3104" s="89" t="str">
        <f t="shared" si="48"/>
        <v>#20382</v>
      </c>
      <c r="B3104" s="138" t="s">
        <v>6570</v>
      </c>
      <c r="C3104" s="236" t="s">
        <v>6569</v>
      </c>
      <c r="D3104" s="206">
        <v>44393</v>
      </c>
      <c r="E3104" s="138" t="s">
        <v>1043</v>
      </c>
    </row>
    <row r="3105" spans="1:5" ht="18.75">
      <c r="A3105" s="89" t="str">
        <f t="shared" si="48"/>
        <v>#20387</v>
      </c>
      <c r="B3105" s="138" t="s">
        <v>6572</v>
      </c>
      <c r="C3105" s="236" t="s">
        <v>6571</v>
      </c>
      <c r="D3105" s="206">
        <v>44393</v>
      </c>
      <c r="E3105" s="138" t="s">
        <v>1034</v>
      </c>
    </row>
    <row r="3106" spans="1:5" ht="18.75">
      <c r="A3106" s="89" t="str">
        <f t="shared" si="48"/>
        <v>#20390</v>
      </c>
      <c r="B3106" s="138" t="s">
        <v>6573</v>
      </c>
      <c r="C3106" s="236" t="s">
        <v>2280</v>
      </c>
      <c r="D3106" s="206">
        <v>44393</v>
      </c>
      <c r="E3106" s="138" t="s">
        <v>927</v>
      </c>
    </row>
    <row r="3107" spans="1:5" ht="18.75">
      <c r="A3107" s="89" t="str">
        <f t="shared" si="48"/>
        <v>#20407</v>
      </c>
      <c r="B3107" s="138" t="s">
        <v>6575</v>
      </c>
      <c r="C3107" s="236" t="s">
        <v>6574</v>
      </c>
      <c r="D3107" s="206">
        <v>44393</v>
      </c>
      <c r="E3107" s="138" t="s">
        <v>937</v>
      </c>
    </row>
    <row r="3108" spans="1:5" ht="18.75">
      <c r="A3108" s="89" t="str">
        <f t="shared" si="48"/>
        <v>#20412</v>
      </c>
      <c r="B3108" s="138" t="s">
        <v>6577</v>
      </c>
      <c r="C3108" s="236" t="s">
        <v>6576</v>
      </c>
      <c r="D3108" s="206">
        <v>44393</v>
      </c>
      <c r="E3108" s="138" t="s">
        <v>937</v>
      </c>
    </row>
    <row r="3109" spans="1:5" ht="18.75">
      <c r="A3109" s="89" t="str">
        <f t="shared" si="48"/>
        <v>#20442</v>
      </c>
      <c r="B3109" s="138" t="s">
        <v>6579</v>
      </c>
      <c r="C3109" s="236" t="s">
        <v>6578</v>
      </c>
      <c r="D3109" s="206">
        <v>44397</v>
      </c>
      <c r="E3109" s="138" t="s">
        <v>927</v>
      </c>
    </row>
    <row r="3110" spans="1:5" ht="18.75">
      <c r="A3110" s="89" t="str">
        <f t="shared" si="48"/>
        <v>#20446</v>
      </c>
      <c r="B3110" s="138" t="s">
        <v>6581</v>
      </c>
      <c r="C3110" s="236" t="s">
        <v>6580</v>
      </c>
      <c r="D3110" s="206">
        <v>44397</v>
      </c>
      <c r="E3110" s="138" t="s">
        <v>1043</v>
      </c>
    </row>
    <row r="3111" spans="1:5" ht="18.75">
      <c r="A3111" s="89" t="str">
        <f t="shared" si="48"/>
        <v>#20493</v>
      </c>
      <c r="B3111" s="138" t="s">
        <v>6583</v>
      </c>
      <c r="C3111" s="236" t="s">
        <v>6582</v>
      </c>
      <c r="D3111" s="206">
        <v>44400</v>
      </c>
      <c r="E3111" s="138" t="s">
        <v>1113</v>
      </c>
    </row>
    <row r="3112" spans="1:5" ht="18.75">
      <c r="A3112" s="89" t="str">
        <f t="shared" si="48"/>
        <v>#20503</v>
      </c>
      <c r="B3112" s="138" t="s">
        <v>6585</v>
      </c>
      <c r="C3112" s="236" t="s">
        <v>6584</v>
      </c>
      <c r="D3112" s="206">
        <v>44400</v>
      </c>
      <c r="E3112" s="138" t="s">
        <v>937</v>
      </c>
    </row>
    <row r="3113" spans="1:5" ht="18.75">
      <c r="A3113" s="89" t="str">
        <f t="shared" si="48"/>
        <v>#20505</v>
      </c>
      <c r="B3113" s="138" t="s">
        <v>6587</v>
      </c>
      <c r="C3113" s="236" t="s">
        <v>6586</v>
      </c>
      <c r="D3113" s="206">
        <v>44400</v>
      </c>
      <c r="E3113" s="138" t="s">
        <v>1063</v>
      </c>
    </row>
    <row r="3114" spans="1:5" ht="18.75">
      <c r="A3114" s="89" t="str">
        <f t="shared" si="48"/>
        <v>#20546</v>
      </c>
      <c r="B3114" s="138" t="s">
        <v>6589</v>
      </c>
      <c r="C3114" s="236" t="s">
        <v>6588</v>
      </c>
      <c r="D3114" s="206">
        <v>44400</v>
      </c>
      <c r="E3114" s="138" t="s">
        <v>1716</v>
      </c>
    </row>
    <row r="3115" spans="1:5" ht="18.75">
      <c r="A3115" s="89" t="str">
        <f t="shared" si="48"/>
        <v>#20564</v>
      </c>
      <c r="B3115" s="138" t="s">
        <v>6592</v>
      </c>
      <c r="C3115" s="236" t="s">
        <v>6591</v>
      </c>
      <c r="D3115" s="206">
        <v>44400</v>
      </c>
      <c r="E3115" s="138" t="s">
        <v>948</v>
      </c>
    </row>
    <row r="3116" spans="1:5" ht="18.75">
      <c r="A3116" s="89" t="str">
        <f t="shared" si="48"/>
        <v>#20565</v>
      </c>
      <c r="B3116" s="138" t="s">
        <v>6594</v>
      </c>
      <c r="C3116" s="236" t="s">
        <v>6593</v>
      </c>
      <c r="D3116" s="206">
        <v>44400</v>
      </c>
      <c r="E3116" s="138" t="s">
        <v>948</v>
      </c>
    </row>
    <row r="3117" spans="1:5" ht="18.75">
      <c r="A3117" s="89" t="str">
        <f t="shared" si="48"/>
        <v>#20569</v>
      </c>
      <c r="B3117" s="138" t="s">
        <v>6596</v>
      </c>
      <c r="C3117" s="236" t="s">
        <v>6595</v>
      </c>
      <c r="D3117" s="206">
        <v>44400</v>
      </c>
      <c r="E3117" s="138" t="s">
        <v>906</v>
      </c>
    </row>
    <row r="3118" spans="1:5" ht="18.75">
      <c r="A3118" s="89" t="str">
        <f t="shared" si="48"/>
        <v>#20577</v>
      </c>
      <c r="B3118" s="138" t="s">
        <v>6598</v>
      </c>
      <c r="C3118" s="236" t="s">
        <v>6597</v>
      </c>
      <c r="D3118" s="206">
        <v>44404</v>
      </c>
      <c r="E3118" s="138" t="s">
        <v>8037</v>
      </c>
    </row>
    <row r="3119" spans="1:5" ht="18.75">
      <c r="A3119" s="89" t="str">
        <f t="shared" si="48"/>
        <v>#20599</v>
      </c>
      <c r="B3119" s="138" t="s">
        <v>6600</v>
      </c>
      <c r="C3119" s="236" t="s">
        <v>6599</v>
      </c>
      <c r="D3119" s="206">
        <v>44404</v>
      </c>
      <c r="E3119" s="138" t="s">
        <v>948</v>
      </c>
    </row>
    <row r="3120" spans="1:5" ht="18.75">
      <c r="A3120" s="89" t="str">
        <f t="shared" si="48"/>
        <v>#20611</v>
      </c>
      <c r="B3120" s="138" t="s">
        <v>6602</v>
      </c>
      <c r="C3120" s="236" t="s">
        <v>6601</v>
      </c>
      <c r="D3120" s="206">
        <v>44404</v>
      </c>
      <c r="E3120" s="138" t="s">
        <v>948</v>
      </c>
    </row>
    <row r="3121" spans="1:5" ht="18.75">
      <c r="A3121" s="89" t="str">
        <f t="shared" si="48"/>
        <v>#20612</v>
      </c>
      <c r="B3121" s="138" t="s">
        <v>6603</v>
      </c>
      <c r="C3121" s="236" t="s">
        <v>6511</v>
      </c>
      <c r="D3121" s="206">
        <v>44404</v>
      </c>
      <c r="E3121" s="138" t="s">
        <v>1716</v>
      </c>
    </row>
    <row r="3122" spans="1:5" ht="18.75">
      <c r="A3122" s="89" t="str">
        <f t="shared" si="48"/>
        <v>#20615</v>
      </c>
      <c r="B3122" s="138" t="s">
        <v>6605</v>
      </c>
      <c r="C3122" s="236" t="s">
        <v>6604</v>
      </c>
      <c r="D3122" s="206">
        <v>44404</v>
      </c>
      <c r="E3122" s="138" t="s">
        <v>937</v>
      </c>
    </row>
    <row r="3123" spans="1:5" ht="18.75">
      <c r="A3123" s="89" t="str">
        <f t="shared" si="48"/>
        <v>#20638</v>
      </c>
      <c r="B3123" s="138" t="s">
        <v>6607</v>
      </c>
      <c r="C3123" s="236" t="s">
        <v>6606</v>
      </c>
      <c r="D3123" s="206">
        <v>44408</v>
      </c>
      <c r="E3123" s="138" t="s">
        <v>927</v>
      </c>
    </row>
    <row r="3124" spans="1:5" ht="18.75">
      <c r="A3124" s="89" t="str">
        <f t="shared" si="48"/>
        <v>#20659</v>
      </c>
      <c r="B3124" s="138" t="s">
        <v>6609</v>
      </c>
      <c r="C3124" s="236" t="s">
        <v>6608</v>
      </c>
      <c r="D3124" s="206">
        <v>44408</v>
      </c>
      <c r="E3124" s="138" t="s">
        <v>1098</v>
      </c>
    </row>
    <row r="3125" spans="1:5" ht="18.75">
      <c r="A3125" s="89" t="str">
        <f t="shared" si="48"/>
        <v>#20662</v>
      </c>
      <c r="B3125" s="138" t="s">
        <v>6611</v>
      </c>
      <c r="C3125" s="236" t="s">
        <v>6610</v>
      </c>
      <c r="D3125" s="206">
        <v>44408</v>
      </c>
      <c r="E3125" s="138" t="s">
        <v>948</v>
      </c>
    </row>
    <row r="3126" spans="1:5" ht="18.75">
      <c r="A3126" s="89" t="str">
        <f t="shared" si="48"/>
        <v>#20670</v>
      </c>
      <c r="B3126" s="138" t="s">
        <v>6613</v>
      </c>
      <c r="C3126" s="236" t="s">
        <v>6612</v>
      </c>
      <c r="D3126" s="206">
        <v>44408</v>
      </c>
      <c r="E3126" s="138" t="s">
        <v>906</v>
      </c>
    </row>
    <row r="3127" spans="1:5" ht="18.75">
      <c r="A3127" s="89" t="str">
        <f t="shared" si="48"/>
        <v>#20672</v>
      </c>
      <c r="B3127" s="138" t="s">
        <v>6615</v>
      </c>
      <c r="C3127" s="236" t="s">
        <v>6614</v>
      </c>
      <c r="D3127" s="206">
        <v>44408</v>
      </c>
      <c r="E3127" s="138" t="s">
        <v>906</v>
      </c>
    </row>
    <row r="3128" spans="1:5" ht="18.75">
      <c r="A3128" s="89" t="str">
        <f t="shared" si="48"/>
        <v>#20674</v>
      </c>
      <c r="B3128" s="138" t="s">
        <v>6616</v>
      </c>
      <c r="C3128" s="236" t="s">
        <v>4237</v>
      </c>
      <c r="D3128" s="206">
        <v>44408</v>
      </c>
      <c r="E3128" s="138" t="s">
        <v>721</v>
      </c>
    </row>
    <row r="3129" spans="1:5" ht="18.75">
      <c r="A3129" s="89" t="str">
        <f t="shared" si="48"/>
        <v>#20676</v>
      </c>
      <c r="B3129" s="138" t="s">
        <v>6618</v>
      </c>
      <c r="C3129" s="236" t="s">
        <v>6617</v>
      </c>
      <c r="D3129" s="206">
        <v>44408</v>
      </c>
      <c r="E3129" s="138" t="s">
        <v>903</v>
      </c>
    </row>
    <row r="3130" spans="1:5" ht="18.75">
      <c r="A3130" s="89" t="str">
        <f t="shared" si="48"/>
        <v>#20696</v>
      </c>
      <c r="B3130" s="138" t="s">
        <v>6620</v>
      </c>
      <c r="C3130" s="236" t="s">
        <v>6619</v>
      </c>
      <c r="D3130" s="206">
        <v>44411</v>
      </c>
      <c r="E3130" s="138" t="s">
        <v>1043</v>
      </c>
    </row>
    <row r="3131" spans="1:5" ht="18.75">
      <c r="A3131" s="89" t="str">
        <f t="shared" si="48"/>
        <v>#20697</v>
      </c>
      <c r="B3131" s="138" t="s">
        <v>6621</v>
      </c>
      <c r="C3131" s="236" t="s">
        <v>4600</v>
      </c>
      <c r="D3131" s="206">
        <v>44411</v>
      </c>
      <c r="E3131" s="138" t="s">
        <v>1043</v>
      </c>
    </row>
    <row r="3132" spans="1:5" ht="18.75">
      <c r="A3132" s="89" t="str">
        <f t="shared" si="48"/>
        <v>#20717</v>
      </c>
      <c r="B3132" s="138" t="s">
        <v>6623</v>
      </c>
      <c r="C3132" s="236" t="s">
        <v>6622</v>
      </c>
      <c r="D3132" s="206">
        <v>44419</v>
      </c>
      <c r="E3132" s="138" t="s">
        <v>1043</v>
      </c>
    </row>
    <row r="3133" spans="1:5" ht="18.75">
      <c r="A3133" s="89" t="str">
        <f t="shared" si="48"/>
        <v>#20718</v>
      </c>
      <c r="B3133" s="138" t="s">
        <v>6625</v>
      </c>
      <c r="C3133" s="236" t="s">
        <v>6624</v>
      </c>
      <c r="D3133" s="206">
        <v>44419</v>
      </c>
      <c r="E3133" s="138" t="s">
        <v>1043</v>
      </c>
    </row>
    <row r="3134" spans="1:5" ht="18.75">
      <c r="A3134" s="89" t="str">
        <f t="shared" si="48"/>
        <v>#20722</v>
      </c>
      <c r="B3134" s="138" t="s">
        <v>6626</v>
      </c>
      <c r="C3134" s="236" t="s">
        <v>2252</v>
      </c>
      <c r="D3134" s="206">
        <v>44419</v>
      </c>
      <c r="E3134" s="138" t="s">
        <v>1043</v>
      </c>
    </row>
    <row r="3135" spans="1:5" ht="18.75">
      <c r="A3135" s="89" t="str">
        <f t="shared" si="48"/>
        <v>#20727</v>
      </c>
      <c r="B3135" s="138" t="s">
        <v>6628</v>
      </c>
      <c r="C3135" s="236" t="s">
        <v>6627</v>
      </c>
      <c r="D3135" s="206">
        <v>44419</v>
      </c>
      <c r="E3135" s="138" t="s">
        <v>1063</v>
      </c>
    </row>
    <row r="3136" spans="1:5" ht="18.75">
      <c r="A3136" s="89" t="str">
        <f t="shared" si="48"/>
        <v>#20736</v>
      </c>
      <c r="B3136" s="138" t="s">
        <v>6630</v>
      </c>
      <c r="C3136" s="236" t="s">
        <v>6629</v>
      </c>
      <c r="D3136" s="206">
        <v>44419</v>
      </c>
      <c r="E3136" s="138" t="s">
        <v>1063</v>
      </c>
    </row>
    <row r="3137" spans="1:5" ht="18.75">
      <c r="A3137" s="89" t="str">
        <f t="shared" si="48"/>
        <v>#20739</v>
      </c>
      <c r="B3137" s="138" t="s">
        <v>6632</v>
      </c>
      <c r="C3137" s="236" t="s">
        <v>6631</v>
      </c>
      <c r="D3137" s="206">
        <v>44419</v>
      </c>
      <c r="E3137" s="138" t="s">
        <v>1063</v>
      </c>
    </row>
    <row r="3138" spans="1:5" ht="18.75">
      <c r="A3138" s="89" t="str">
        <f t="shared" si="48"/>
        <v>#20741</v>
      </c>
      <c r="B3138" s="138" t="s">
        <v>6634</v>
      </c>
      <c r="C3138" s="236" t="s">
        <v>6633</v>
      </c>
      <c r="D3138" s="206">
        <v>44419</v>
      </c>
      <c r="E3138" s="138" t="s">
        <v>1043</v>
      </c>
    </row>
    <row r="3139" spans="1:5" ht="18.75">
      <c r="A3139" s="89" t="str">
        <f t="shared" ref="A3139:A3202" si="49">"#"&amp;B3139</f>
        <v>#20745</v>
      </c>
      <c r="B3139" s="138" t="s">
        <v>6635</v>
      </c>
      <c r="C3139" s="236" t="s">
        <v>1350</v>
      </c>
      <c r="D3139" s="206">
        <v>44419</v>
      </c>
      <c r="E3139" s="138" t="s">
        <v>1043</v>
      </c>
    </row>
    <row r="3140" spans="1:5" ht="18.75">
      <c r="A3140" s="89" t="str">
        <f t="shared" si="49"/>
        <v>#20746</v>
      </c>
      <c r="B3140" s="138" t="s">
        <v>6637</v>
      </c>
      <c r="C3140" s="236" t="s">
        <v>6636</v>
      </c>
      <c r="D3140" s="206">
        <v>44419</v>
      </c>
      <c r="E3140" s="138" t="s">
        <v>1043</v>
      </c>
    </row>
    <row r="3141" spans="1:5" ht="18.75">
      <c r="A3141" s="89" t="str">
        <f t="shared" si="49"/>
        <v>#20749</v>
      </c>
      <c r="B3141" s="138" t="s">
        <v>6638</v>
      </c>
      <c r="C3141" s="236" t="s">
        <v>1070</v>
      </c>
      <c r="D3141" s="206">
        <v>44419</v>
      </c>
      <c r="E3141" s="138" t="s">
        <v>906</v>
      </c>
    </row>
    <row r="3142" spans="1:5" ht="18.75">
      <c r="A3142" s="89" t="str">
        <f t="shared" si="49"/>
        <v>#20750</v>
      </c>
      <c r="B3142" s="138" t="s">
        <v>6640</v>
      </c>
      <c r="C3142" s="236" t="s">
        <v>6639</v>
      </c>
      <c r="D3142" s="206">
        <v>44419</v>
      </c>
      <c r="E3142" s="138" t="s">
        <v>906</v>
      </c>
    </row>
    <row r="3143" spans="1:5" ht="18.75">
      <c r="A3143" s="89" t="str">
        <f t="shared" si="49"/>
        <v>#20754</v>
      </c>
      <c r="B3143" s="138" t="s">
        <v>6642</v>
      </c>
      <c r="C3143" s="236" t="s">
        <v>6641</v>
      </c>
      <c r="D3143" s="240">
        <v>44419</v>
      </c>
      <c r="E3143" s="138" t="s">
        <v>906</v>
      </c>
    </row>
    <row r="3144" spans="1:5" ht="18.75">
      <c r="A3144" s="89" t="str">
        <f t="shared" si="49"/>
        <v>#20757</v>
      </c>
      <c r="B3144" s="138" t="s">
        <v>6644</v>
      </c>
      <c r="C3144" s="236" t="s">
        <v>6643</v>
      </c>
      <c r="D3144" s="206">
        <v>44419</v>
      </c>
      <c r="E3144" s="138" t="s">
        <v>978</v>
      </c>
    </row>
    <row r="3145" spans="1:5" ht="18.75">
      <c r="A3145" s="89" t="str">
        <f t="shared" si="49"/>
        <v>#20765</v>
      </c>
      <c r="B3145" s="138" t="s">
        <v>6646</v>
      </c>
      <c r="C3145" s="236" t="s">
        <v>6645</v>
      </c>
      <c r="D3145" s="206">
        <v>44419</v>
      </c>
      <c r="E3145" s="138" t="s">
        <v>721</v>
      </c>
    </row>
    <row r="3146" spans="1:5" ht="18.75">
      <c r="A3146" s="89" t="str">
        <f t="shared" si="49"/>
        <v>#20770</v>
      </c>
      <c r="B3146" s="138" t="s">
        <v>6648</v>
      </c>
      <c r="C3146" s="236" t="s">
        <v>6647</v>
      </c>
      <c r="D3146" s="206">
        <v>44419</v>
      </c>
      <c r="E3146" s="138" t="s">
        <v>978</v>
      </c>
    </row>
    <row r="3147" spans="1:5" ht="18.75">
      <c r="A3147" s="89" t="str">
        <f t="shared" si="49"/>
        <v>#20793</v>
      </c>
      <c r="B3147" s="138" t="s">
        <v>6650</v>
      </c>
      <c r="C3147" s="236" t="s">
        <v>6649</v>
      </c>
      <c r="D3147" s="206">
        <v>44426</v>
      </c>
      <c r="E3147" s="138" t="s">
        <v>895</v>
      </c>
    </row>
    <row r="3148" spans="1:5" ht="18.75">
      <c r="A3148" s="89" t="str">
        <f t="shared" si="49"/>
        <v>#20804</v>
      </c>
      <c r="B3148" s="138" t="s">
        <v>6652</v>
      </c>
      <c r="C3148" s="236" t="s">
        <v>6651</v>
      </c>
      <c r="D3148" s="206">
        <v>44426</v>
      </c>
      <c r="E3148" s="138" t="s">
        <v>978</v>
      </c>
    </row>
    <row r="3149" spans="1:5" ht="18.75">
      <c r="A3149" s="89" t="str">
        <f t="shared" si="49"/>
        <v>#20816</v>
      </c>
      <c r="B3149" s="138" t="s">
        <v>6654</v>
      </c>
      <c r="C3149" s="236" t="s">
        <v>6653</v>
      </c>
      <c r="D3149" s="206">
        <v>44426</v>
      </c>
      <c r="E3149" s="138" t="s">
        <v>1487</v>
      </c>
    </row>
    <row r="3150" spans="1:5" ht="18.75">
      <c r="A3150" s="89" t="str">
        <f t="shared" si="49"/>
        <v>#20845</v>
      </c>
      <c r="B3150" s="138" t="s">
        <v>6656</v>
      </c>
      <c r="C3150" s="236" t="s">
        <v>6655</v>
      </c>
      <c r="D3150" s="206">
        <v>44433</v>
      </c>
      <c r="E3150" s="138" t="s">
        <v>1133</v>
      </c>
    </row>
    <row r="3151" spans="1:5" ht="18.75">
      <c r="A3151" s="89" t="str">
        <f t="shared" si="49"/>
        <v>#20847</v>
      </c>
      <c r="B3151" s="138" t="s">
        <v>6658</v>
      </c>
      <c r="C3151" s="236" t="s">
        <v>6657</v>
      </c>
      <c r="D3151" s="206">
        <v>44433</v>
      </c>
      <c r="E3151" s="138" t="s">
        <v>1133</v>
      </c>
    </row>
    <row r="3152" spans="1:5" ht="18.75">
      <c r="A3152" s="89" t="str">
        <f t="shared" si="49"/>
        <v>#20858</v>
      </c>
      <c r="B3152" s="138" t="s">
        <v>6659</v>
      </c>
      <c r="C3152" s="236" t="s">
        <v>1578</v>
      </c>
      <c r="D3152" s="206">
        <v>44433</v>
      </c>
      <c r="E3152" s="138" t="s">
        <v>1063</v>
      </c>
    </row>
    <row r="3153" spans="1:5" ht="18.75">
      <c r="A3153" s="89" t="str">
        <f t="shared" si="49"/>
        <v>#20862</v>
      </c>
      <c r="B3153" s="138" t="s">
        <v>6660</v>
      </c>
      <c r="C3153" s="236" t="s">
        <v>1580</v>
      </c>
      <c r="D3153" s="206">
        <v>44433</v>
      </c>
      <c r="E3153" s="138" t="s">
        <v>1113</v>
      </c>
    </row>
    <row r="3154" spans="1:5" ht="18.75">
      <c r="A3154" s="89" t="str">
        <f t="shared" si="49"/>
        <v>#20865</v>
      </c>
      <c r="B3154" s="138" t="s">
        <v>6662</v>
      </c>
      <c r="C3154" s="236" t="s">
        <v>6661</v>
      </c>
      <c r="D3154" s="206">
        <v>44433</v>
      </c>
      <c r="E3154" s="138" t="s">
        <v>1541</v>
      </c>
    </row>
    <row r="3155" spans="1:5" ht="18.75">
      <c r="A3155" s="89" t="str">
        <f t="shared" si="49"/>
        <v>#20872</v>
      </c>
      <c r="B3155" s="138" t="s">
        <v>6664</v>
      </c>
      <c r="C3155" s="236" t="s">
        <v>6663</v>
      </c>
      <c r="D3155" s="206">
        <v>44433</v>
      </c>
      <c r="E3155" s="138" t="s">
        <v>796</v>
      </c>
    </row>
    <row r="3156" spans="1:5" ht="18.75">
      <c r="A3156" s="89" t="str">
        <f t="shared" si="49"/>
        <v>#20874</v>
      </c>
      <c r="B3156" s="138" t="s">
        <v>6666</v>
      </c>
      <c r="C3156" s="236" t="s">
        <v>6665</v>
      </c>
      <c r="D3156" s="206">
        <v>44433</v>
      </c>
      <c r="E3156" s="138" t="s">
        <v>721</v>
      </c>
    </row>
    <row r="3157" spans="1:5" ht="18.75">
      <c r="A3157" s="89" t="str">
        <f t="shared" si="49"/>
        <v>#20876</v>
      </c>
      <c r="B3157" s="138" t="s">
        <v>6667</v>
      </c>
      <c r="C3157" s="236" t="s">
        <v>1407</v>
      </c>
      <c r="D3157" s="206">
        <v>44433</v>
      </c>
      <c r="E3157" s="138" t="s">
        <v>1541</v>
      </c>
    </row>
    <row r="3158" spans="1:5" ht="18.75">
      <c r="A3158" s="89" t="str">
        <f t="shared" si="49"/>
        <v>#20888</v>
      </c>
      <c r="B3158" s="138" t="s">
        <v>6669</v>
      </c>
      <c r="C3158" s="236" t="s">
        <v>6668</v>
      </c>
      <c r="D3158" s="206">
        <v>44433</v>
      </c>
      <c r="E3158" s="138" t="s">
        <v>978</v>
      </c>
    </row>
    <row r="3159" spans="1:5" ht="18.75">
      <c r="A3159" s="89" t="str">
        <f t="shared" si="49"/>
        <v>#20894</v>
      </c>
      <c r="B3159" s="138" t="s">
        <v>6671</v>
      </c>
      <c r="C3159" s="236" t="s">
        <v>6670</v>
      </c>
      <c r="D3159" s="206">
        <v>44433</v>
      </c>
      <c r="E3159" s="138" t="s">
        <v>1487</v>
      </c>
    </row>
    <row r="3160" spans="1:5" ht="18.75">
      <c r="A3160" s="89" t="str">
        <f t="shared" si="49"/>
        <v>#20901</v>
      </c>
      <c r="B3160" s="138" t="s">
        <v>6673</v>
      </c>
      <c r="C3160" s="236" t="s">
        <v>6672</v>
      </c>
      <c r="D3160" s="206">
        <v>44433</v>
      </c>
      <c r="E3160" s="138" t="s">
        <v>1098</v>
      </c>
    </row>
    <row r="3161" spans="1:5" ht="18.75">
      <c r="A3161" s="89" t="str">
        <f t="shared" si="49"/>
        <v>#20906</v>
      </c>
      <c r="B3161" s="138" t="s">
        <v>6675</v>
      </c>
      <c r="C3161" s="244" t="s">
        <v>6674</v>
      </c>
      <c r="D3161" s="245">
        <v>44438</v>
      </c>
      <c r="E3161" s="138" t="s">
        <v>721</v>
      </c>
    </row>
    <row r="3162" spans="1:5" ht="18.75">
      <c r="A3162" s="89" t="str">
        <f t="shared" si="49"/>
        <v>#20907</v>
      </c>
      <c r="B3162" s="138" t="s">
        <v>6677</v>
      </c>
      <c r="C3162" s="186" t="s">
        <v>6676</v>
      </c>
      <c r="D3162" s="246">
        <v>44445</v>
      </c>
      <c r="E3162" s="138" t="s">
        <v>1029</v>
      </c>
    </row>
    <row r="3163" spans="1:5" ht="18.75">
      <c r="A3163" s="89" t="str">
        <f t="shared" si="49"/>
        <v>#20909</v>
      </c>
      <c r="B3163" s="138" t="s">
        <v>6679</v>
      </c>
      <c r="C3163" s="187" t="s">
        <v>6678</v>
      </c>
      <c r="D3163" s="246">
        <v>44447</v>
      </c>
      <c r="E3163" s="138" t="s">
        <v>927</v>
      </c>
    </row>
    <row r="3164" spans="1:5" ht="18.75">
      <c r="A3164" s="89" t="str">
        <f t="shared" si="49"/>
        <v>#20929</v>
      </c>
      <c r="B3164" s="138" t="s">
        <v>6681</v>
      </c>
      <c r="C3164" s="186" t="s">
        <v>6680</v>
      </c>
      <c r="D3164" s="246">
        <v>44447</v>
      </c>
      <c r="E3164" s="138" t="s">
        <v>1098</v>
      </c>
    </row>
    <row r="3165" spans="1:5" ht="18.75">
      <c r="A3165" s="89" t="str">
        <f t="shared" si="49"/>
        <v>#20943</v>
      </c>
      <c r="B3165" s="138" t="s">
        <v>6683</v>
      </c>
      <c r="C3165" s="186" t="s">
        <v>6682</v>
      </c>
      <c r="D3165" s="246">
        <v>44447</v>
      </c>
      <c r="E3165" s="138" t="s">
        <v>1098</v>
      </c>
    </row>
    <row r="3166" spans="1:5" ht="18.75">
      <c r="A3166" s="89" t="str">
        <f t="shared" si="49"/>
        <v>#20964</v>
      </c>
      <c r="B3166" s="138" t="s">
        <v>6685</v>
      </c>
      <c r="C3166" s="187" t="s">
        <v>6684</v>
      </c>
      <c r="D3166" s="246">
        <v>44447</v>
      </c>
      <c r="E3166" s="138" t="s">
        <v>915</v>
      </c>
    </row>
    <row r="3167" spans="1:5" ht="18.75">
      <c r="A3167" s="89" t="str">
        <f t="shared" si="49"/>
        <v>#20967</v>
      </c>
      <c r="B3167" s="138" t="s">
        <v>6687</v>
      </c>
      <c r="C3167" s="186" t="s">
        <v>6686</v>
      </c>
      <c r="D3167" s="246">
        <v>44447</v>
      </c>
      <c r="E3167" s="138" t="s">
        <v>915</v>
      </c>
    </row>
    <row r="3168" spans="1:5" ht="18.75">
      <c r="A3168" s="89" t="str">
        <f t="shared" si="49"/>
        <v>#20975</v>
      </c>
      <c r="B3168" s="138" t="s">
        <v>6688</v>
      </c>
      <c r="C3168" s="187" t="s">
        <v>2986</v>
      </c>
      <c r="D3168" s="246">
        <v>44447</v>
      </c>
      <c r="E3168" s="138" t="s">
        <v>915</v>
      </c>
    </row>
    <row r="3169" spans="1:5" ht="18.75">
      <c r="A3169" s="89" t="str">
        <f t="shared" si="49"/>
        <v>#20976</v>
      </c>
      <c r="B3169" s="138" t="s">
        <v>6690</v>
      </c>
      <c r="C3169" s="186" t="s">
        <v>6689</v>
      </c>
      <c r="D3169" s="246">
        <v>44447</v>
      </c>
      <c r="E3169" s="138" t="s">
        <v>915</v>
      </c>
    </row>
    <row r="3170" spans="1:5" ht="18.75">
      <c r="A3170" s="89" t="str">
        <f t="shared" si="49"/>
        <v>#20977</v>
      </c>
      <c r="B3170" s="138" t="s">
        <v>6692</v>
      </c>
      <c r="C3170" s="186" t="s">
        <v>6691</v>
      </c>
      <c r="D3170" s="246">
        <v>44447</v>
      </c>
      <c r="E3170" s="138" t="s">
        <v>915</v>
      </c>
    </row>
    <row r="3171" spans="1:5" ht="18.75">
      <c r="A3171" s="89" t="str">
        <f t="shared" si="49"/>
        <v>#20979</v>
      </c>
      <c r="B3171" s="138" t="s">
        <v>6694</v>
      </c>
      <c r="C3171" s="187" t="s">
        <v>6693</v>
      </c>
      <c r="D3171" s="246">
        <v>44447</v>
      </c>
      <c r="E3171" s="138" t="s">
        <v>915</v>
      </c>
    </row>
    <row r="3172" spans="1:5" ht="18.75">
      <c r="A3172" s="89" t="str">
        <f t="shared" si="49"/>
        <v>#20982</v>
      </c>
      <c r="B3172" s="138" t="s">
        <v>6696</v>
      </c>
      <c r="C3172" s="186" t="s">
        <v>6695</v>
      </c>
      <c r="D3172" s="246">
        <v>44447</v>
      </c>
      <c r="E3172" s="138" t="s">
        <v>915</v>
      </c>
    </row>
    <row r="3173" spans="1:5" ht="18.75">
      <c r="A3173" s="89" t="str">
        <f t="shared" si="49"/>
        <v>#20989</v>
      </c>
      <c r="B3173" s="138" t="s">
        <v>6698</v>
      </c>
      <c r="C3173" s="187" t="s">
        <v>6697</v>
      </c>
      <c r="D3173" s="246">
        <v>44447</v>
      </c>
      <c r="E3173" s="138" t="s">
        <v>915</v>
      </c>
    </row>
    <row r="3174" spans="1:5" ht="18.75">
      <c r="A3174" s="89" t="str">
        <f t="shared" si="49"/>
        <v>#20991</v>
      </c>
      <c r="B3174" s="138" t="s">
        <v>6699</v>
      </c>
      <c r="C3174" s="186" t="s">
        <v>1198</v>
      </c>
      <c r="D3174" s="246">
        <v>44447</v>
      </c>
      <c r="E3174" s="138" t="s">
        <v>915</v>
      </c>
    </row>
    <row r="3175" spans="1:5" ht="18.75">
      <c r="A3175" s="89" t="str">
        <f t="shared" si="49"/>
        <v>#20993</v>
      </c>
      <c r="B3175" s="138" t="s">
        <v>6701</v>
      </c>
      <c r="C3175" s="186" t="s">
        <v>6700</v>
      </c>
      <c r="D3175" s="246">
        <v>44447</v>
      </c>
      <c r="E3175" s="138" t="s">
        <v>1043</v>
      </c>
    </row>
    <row r="3176" spans="1:5" ht="18.75">
      <c r="A3176" s="89" t="str">
        <f t="shared" si="49"/>
        <v>#21004</v>
      </c>
      <c r="B3176" s="138" t="s">
        <v>6703</v>
      </c>
      <c r="C3176" s="186" t="s">
        <v>6702</v>
      </c>
      <c r="D3176" s="246">
        <v>44454</v>
      </c>
      <c r="E3176" s="138" t="s">
        <v>1098</v>
      </c>
    </row>
    <row r="3177" spans="1:5" ht="18.75">
      <c r="A3177" s="89" t="str">
        <f t="shared" si="49"/>
        <v>#21010</v>
      </c>
      <c r="B3177" s="138" t="s">
        <v>6705</v>
      </c>
      <c r="C3177" s="186" t="s">
        <v>6704</v>
      </c>
      <c r="D3177" s="246">
        <v>44454</v>
      </c>
      <c r="E3177" s="138" t="s">
        <v>1487</v>
      </c>
    </row>
    <row r="3178" spans="1:5" ht="18.75">
      <c r="A3178" s="89" t="str">
        <f t="shared" si="49"/>
        <v>#21013</v>
      </c>
      <c r="B3178" s="138" t="s">
        <v>6707</v>
      </c>
      <c r="C3178" s="247" t="s">
        <v>6706</v>
      </c>
      <c r="D3178" s="246">
        <v>44454</v>
      </c>
      <c r="E3178" s="138" t="s">
        <v>8037</v>
      </c>
    </row>
    <row r="3179" spans="1:5" ht="18.75">
      <c r="A3179" s="89" t="str">
        <f t="shared" si="49"/>
        <v>#21021</v>
      </c>
      <c r="B3179" s="138" t="s">
        <v>6709</v>
      </c>
      <c r="C3179" s="247" t="s">
        <v>6708</v>
      </c>
      <c r="D3179" s="246">
        <v>44454</v>
      </c>
      <c r="E3179" s="138" t="s">
        <v>1043</v>
      </c>
    </row>
    <row r="3180" spans="1:5" ht="18.75">
      <c r="A3180" s="89" t="str">
        <f t="shared" si="49"/>
        <v>#21023</v>
      </c>
      <c r="B3180" s="138" t="s">
        <v>6711</v>
      </c>
      <c r="C3180" s="247" t="s">
        <v>6710</v>
      </c>
      <c r="D3180" s="246">
        <v>44454</v>
      </c>
      <c r="E3180" s="138" t="s">
        <v>1043</v>
      </c>
    </row>
    <row r="3181" spans="1:5" ht="18.75">
      <c r="A3181" s="89" t="str">
        <f t="shared" si="49"/>
        <v>#21030</v>
      </c>
      <c r="B3181" s="138" t="s">
        <v>6713</v>
      </c>
      <c r="C3181" s="247" t="s">
        <v>6712</v>
      </c>
      <c r="D3181" s="246">
        <v>44454</v>
      </c>
      <c r="E3181" s="138" t="s">
        <v>1098</v>
      </c>
    </row>
    <row r="3182" spans="1:5" ht="18.75">
      <c r="A3182" s="89" t="str">
        <f t="shared" si="49"/>
        <v>#21031</v>
      </c>
      <c r="B3182" s="138" t="s">
        <v>6714</v>
      </c>
      <c r="C3182" s="247" t="s">
        <v>1500</v>
      </c>
      <c r="D3182" s="246">
        <v>44454</v>
      </c>
      <c r="E3182" s="138" t="s">
        <v>915</v>
      </c>
    </row>
    <row r="3183" spans="1:5" ht="37.5">
      <c r="A3183" s="89" t="str">
        <f t="shared" si="49"/>
        <v>#21032</v>
      </c>
      <c r="B3183" s="138" t="s">
        <v>6716</v>
      </c>
      <c r="C3183" s="247" t="s">
        <v>6715</v>
      </c>
      <c r="D3183" s="246">
        <v>44454</v>
      </c>
      <c r="E3183" s="138" t="s">
        <v>985</v>
      </c>
    </row>
    <row r="3184" spans="1:5" ht="18.75">
      <c r="A3184" s="89" t="str">
        <f t="shared" si="49"/>
        <v>#21036</v>
      </c>
      <c r="B3184" s="138" t="s">
        <v>6718</v>
      </c>
      <c r="C3184" s="247" t="s">
        <v>6717</v>
      </c>
      <c r="D3184" s="246">
        <v>44454</v>
      </c>
      <c r="E3184" s="138" t="s">
        <v>1215</v>
      </c>
    </row>
    <row r="3185" spans="1:5" ht="18.75">
      <c r="A3185" s="89" t="str">
        <f t="shared" si="49"/>
        <v>#21041</v>
      </c>
      <c r="B3185" s="138" t="s">
        <v>6719</v>
      </c>
      <c r="C3185" s="247" t="s">
        <v>2547</v>
      </c>
      <c r="D3185" s="246">
        <v>44454</v>
      </c>
      <c r="E3185" s="138" t="s">
        <v>915</v>
      </c>
    </row>
    <row r="3186" spans="1:5" ht="18.75">
      <c r="A3186" s="89" t="str">
        <f t="shared" si="49"/>
        <v>#21048</v>
      </c>
      <c r="B3186" s="138" t="s">
        <v>6720</v>
      </c>
      <c r="C3186" s="247" t="s">
        <v>4634</v>
      </c>
      <c r="D3186" s="246">
        <v>44454</v>
      </c>
      <c r="E3186" s="138" t="s">
        <v>948</v>
      </c>
    </row>
    <row r="3187" spans="1:5" ht="18.75">
      <c r="A3187" s="89" t="str">
        <f t="shared" si="49"/>
        <v>#21065</v>
      </c>
      <c r="B3187" s="138" t="s">
        <v>6722</v>
      </c>
      <c r="C3187" s="247" t="s">
        <v>6721</v>
      </c>
      <c r="D3187" s="246">
        <v>44454</v>
      </c>
      <c r="E3187" s="138" t="s">
        <v>1098</v>
      </c>
    </row>
    <row r="3188" spans="1:5" ht="18.75">
      <c r="A3188" s="89" t="str">
        <f t="shared" si="49"/>
        <v>#21081</v>
      </c>
      <c r="B3188" s="138" t="s">
        <v>6724</v>
      </c>
      <c r="C3188" s="186" t="s">
        <v>6723</v>
      </c>
      <c r="D3188" s="246">
        <v>44461</v>
      </c>
      <c r="E3188" s="138" t="s">
        <v>1098</v>
      </c>
    </row>
    <row r="3189" spans="1:5" ht="18.75">
      <c r="A3189" s="89" t="str">
        <f t="shared" si="49"/>
        <v>#21088</v>
      </c>
      <c r="B3189" s="138" t="s">
        <v>6725</v>
      </c>
      <c r="C3189" s="186" t="s">
        <v>1580</v>
      </c>
      <c r="D3189" s="246">
        <v>44461</v>
      </c>
      <c r="E3189" s="138" t="s">
        <v>1098</v>
      </c>
    </row>
    <row r="3190" spans="1:5" ht="18.75">
      <c r="A3190" s="89" t="str">
        <f t="shared" si="49"/>
        <v>#21090</v>
      </c>
      <c r="B3190" s="138" t="s">
        <v>6727</v>
      </c>
      <c r="C3190" s="186" t="s">
        <v>6726</v>
      </c>
      <c r="D3190" s="246">
        <v>44461</v>
      </c>
      <c r="E3190" s="138" t="s">
        <v>752</v>
      </c>
    </row>
    <row r="3191" spans="1:5" ht="18.75">
      <c r="A3191" s="89" t="str">
        <f t="shared" si="49"/>
        <v>#21096</v>
      </c>
      <c r="B3191" s="138" t="s">
        <v>6729</v>
      </c>
      <c r="C3191" s="186" t="s">
        <v>6728</v>
      </c>
      <c r="D3191" s="246">
        <v>44475</v>
      </c>
      <c r="E3191" s="138" t="s">
        <v>8037</v>
      </c>
    </row>
    <row r="3192" spans="1:5" ht="18.75">
      <c r="A3192" s="89" t="str">
        <f t="shared" si="49"/>
        <v>#21097</v>
      </c>
      <c r="B3192" s="138" t="s">
        <v>6731</v>
      </c>
      <c r="C3192" s="187" t="s">
        <v>6730</v>
      </c>
      <c r="D3192" s="246">
        <v>44475</v>
      </c>
      <c r="E3192" s="138" t="s">
        <v>8037</v>
      </c>
    </row>
    <row r="3193" spans="1:5" ht="18.75">
      <c r="A3193" s="89" t="str">
        <f t="shared" si="49"/>
        <v>#21100</v>
      </c>
      <c r="B3193" s="138" t="s">
        <v>6733</v>
      </c>
      <c r="C3193" s="186" t="s">
        <v>6732</v>
      </c>
      <c r="D3193" s="246">
        <v>44475</v>
      </c>
      <c r="E3193" s="138" t="s">
        <v>927</v>
      </c>
    </row>
    <row r="3194" spans="1:5" ht="18.75">
      <c r="A3194" s="89" t="str">
        <f t="shared" si="49"/>
        <v>#21109</v>
      </c>
      <c r="B3194" s="138" t="s">
        <v>6735</v>
      </c>
      <c r="C3194" s="187" t="s">
        <v>6734</v>
      </c>
      <c r="D3194" s="246">
        <v>44475</v>
      </c>
      <c r="E3194" s="138" t="s">
        <v>927</v>
      </c>
    </row>
    <row r="3195" spans="1:5" ht="18.75">
      <c r="A3195" s="89" t="str">
        <f t="shared" si="49"/>
        <v>#21126</v>
      </c>
      <c r="B3195" s="138" t="s">
        <v>6737</v>
      </c>
      <c r="C3195" s="186" t="s">
        <v>6736</v>
      </c>
      <c r="D3195" s="246">
        <v>44475</v>
      </c>
      <c r="E3195" s="138" t="s">
        <v>1043</v>
      </c>
    </row>
    <row r="3196" spans="1:5" ht="18.75">
      <c r="A3196" s="89" t="str">
        <f t="shared" si="49"/>
        <v>#21127</v>
      </c>
      <c r="B3196" s="138" t="s">
        <v>6739</v>
      </c>
      <c r="C3196" s="186" t="s">
        <v>6738</v>
      </c>
      <c r="D3196" s="246">
        <v>44475</v>
      </c>
      <c r="E3196" s="138" t="s">
        <v>1043</v>
      </c>
    </row>
    <row r="3197" spans="1:5" ht="18.75">
      <c r="A3197" s="89" t="str">
        <f t="shared" si="49"/>
        <v>#21137</v>
      </c>
      <c r="B3197" s="138" t="s">
        <v>6741</v>
      </c>
      <c r="C3197" s="186" t="s">
        <v>6740</v>
      </c>
      <c r="D3197" s="246">
        <v>44482</v>
      </c>
      <c r="E3197" s="138" t="s">
        <v>1716</v>
      </c>
    </row>
    <row r="3198" spans="1:5" ht="18.75">
      <c r="A3198" s="89" t="str">
        <f t="shared" si="49"/>
        <v>#21142</v>
      </c>
      <c r="B3198" s="138" t="s">
        <v>6743</v>
      </c>
      <c r="C3198" s="186" t="s">
        <v>6742</v>
      </c>
      <c r="D3198" s="246">
        <v>44482</v>
      </c>
      <c r="E3198" s="138" t="s">
        <v>948</v>
      </c>
    </row>
    <row r="3199" spans="1:5" ht="18.75">
      <c r="A3199" s="89" t="str">
        <f t="shared" si="49"/>
        <v>#21164</v>
      </c>
      <c r="B3199" s="138" t="s">
        <v>6744</v>
      </c>
      <c r="C3199" s="186" t="s">
        <v>3008</v>
      </c>
      <c r="D3199" s="246">
        <v>44482</v>
      </c>
      <c r="E3199" s="138" t="s">
        <v>937</v>
      </c>
    </row>
    <row r="3200" spans="1:5" ht="18.75">
      <c r="A3200" s="89" t="str">
        <f t="shared" si="49"/>
        <v>#21173</v>
      </c>
      <c r="B3200" s="138" t="s">
        <v>6745</v>
      </c>
      <c r="C3200" s="186" t="s">
        <v>3409</v>
      </c>
      <c r="D3200" s="246">
        <v>44482</v>
      </c>
      <c r="E3200" s="138" t="s">
        <v>903</v>
      </c>
    </row>
    <row r="3201" spans="1:5" ht="18.75">
      <c r="A3201" s="89" t="str">
        <f t="shared" si="49"/>
        <v>#21189</v>
      </c>
      <c r="B3201" s="138" t="s">
        <v>6747</v>
      </c>
      <c r="C3201" s="186" t="s">
        <v>6746</v>
      </c>
      <c r="D3201" s="246">
        <v>44491</v>
      </c>
      <c r="E3201" s="138" t="s">
        <v>927</v>
      </c>
    </row>
    <row r="3202" spans="1:5" ht="18.75">
      <c r="A3202" s="89" t="str">
        <f t="shared" si="49"/>
        <v>#21195</v>
      </c>
      <c r="B3202" s="138" t="s">
        <v>6749</v>
      </c>
      <c r="C3202" s="186" t="s">
        <v>6748</v>
      </c>
      <c r="D3202" s="246">
        <v>44491</v>
      </c>
      <c r="E3202" s="138" t="s">
        <v>948</v>
      </c>
    </row>
    <row r="3203" spans="1:5" ht="18.75">
      <c r="A3203" s="89" t="str">
        <f t="shared" ref="A3203:A3266" si="50">"#"&amp;B3203</f>
        <v>#21209</v>
      </c>
      <c r="B3203" s="138" t="s">
        <v>6751</v>
      </c>
      <c r="C3203" s="186" t="s">
        <v>6750</v>
      </c>
      <c r="D3203" s="246">
        <v>44491</v>
      </c>
      <c r="E3203" s="138" t="s">
        <v>937</v>
      </c>
    </row>
    <row r="3204" spans="1:5" ht="18.75">
      <c r="A3204" s="89" t="str">
        <f t="shared" si="50"/>
        <v>#21210</v>
      </c>
      <c r="B3204" s="138" t="s">
        <v>6753</v>
      </c>
      <c r="C3204" s="186" t="s">
        <v>6752</v>
      </c>
      <c r="D3204" s="246">
        <v>44491</v>
      </c>
      <c r="E3204" s="138" t="s">
        <v>937</v>
      </c>
    </row>
    <row r="3205" spans="1:5" ht="18.75">
      <c r="A3205" s="89" t="str">
        <f t="shared" si="50"/>
        <v>#21214</v>
      </c>
      <c r="B3205" s="138" t="s">
        <v>6755</v>
      </c>
      <c r="C3205" s="186" t="s">
        <v>6754</v>
      </c>
      <c r="D3205" s="246">
        <v>44491</v>
      </c>
      <c r="E3205" s="138" t="s">
        <v>937</v>
      </c>
    </row>
    <row r="3206" spans="1:5" ht="18.75">
      <c r="A3206" s="89" t="str">
        <f t="shared" si="50"/>
        <v>#21231</v>
      </c>
      <c r="B3206" s="138" t="s">
        <v>6757</v>
      </c>
      <c r="C3206" s="186" t="s">
        <v>6756</v>
      </c>
      <c r="D3206" s="246">
        <v>44491</v>
      </c>
      <c r="E3206" s="138" t="s">
        <v>1085</v>
      </c>
    </row>
    <row r="3207" spans="1:5" ht="18.75">
      <c r="A3207" s="89" t="str">
        <f t="shared" si="50"/>
        <v>#21235</v>
      </c>
      <c r="B3207" s="138" t="s">
        <v>6759</v>
      </c>
      <c r="C3207" s="186" t="s">
        <v>6758</v>
      </c>
      <c r="D3207" s="246">
        <v>44491</v>
      </c>
      <c r="E3207" s="138" t="s">
        <v>1085</v>
      </c>
    </row>
    <row r="3208" spans="1:5" ht="18.75">
      <c r="A3208" s="89" t="str">
        <f t="shared" si="50"/>
        <v>#21241</v>
      </c>
      <c r="B3208" s="138" t="s">
        <v>6761</v>
      </c>
      <c r="C3208" s="186" t="s">
        <v>6760</v>
      </c>
      <c r="D3208" s="246">
        <v>44491</v>
      </c>
      <c r="E3208" s="138" t="s">
        <v>1085</v>
      </c>
    </row>
    <row r="3209" spans="1:5" ht="18.75">
      <c r="A3209" s="89" t="str">
        <f t="shared" si="50"/>
        <v>#21250</v>
      </c>
      <c r="B3209" s="138" t="s">
        <v>6762</v>
      </c>
      <c r="C3209" s="186" t="s">
        <v>1241</v>
      </c>
      <c r="D3209" s="246">
        <v>44491</v>
      </c>
      <c r="E3209" s="138" t="s">
        <v>1098</v>
      </c>
    </row>
    <row r="3210" spans="1:5" ht="18.75">
      <c r="A3210" s="89" t="str">
        <f t="shared" si="50"/>
        <v>#21257</v>
      </c>
      <c r="B3210" s="138" t="s">
        <v>6764</v>
      </c>
      <c r="C3210" s="186" t="s">
        <v>6763</v>
      </c>
      <c r="D3210" s="246">
        <v>44491</v>
      </c>
      <c r="E3210" s="138" t="s">
        <v>1098</v>
      </c>
    </row>
    <row r="3211" spans="1:5" ht="18.75">
      <c r="A3211" s="89" t="str">
        <f t="shared" si="50"/>
        <v>#21261</v>
      </c>
      <c r="B3211" s="138" t="s">
        <v>6765</v>
      </c>
      <c r="C3211" s="186" t="s">
        <v>1776</v>
      </c>
      <c r="D3211" s="246">
        <v>44491</v>
      </c>
      <c r="E3211" s="138" t="s">
        <v>903</v>
      </c>
    </row>
    <row r="3212" spans="1:5" ht="18.75">
      <c r="A3212" s="89" t="str">
        <f t="shared" si="50"/>
        <v>#21265</v>
      </c>
      <c r="B3212" s="138" t="s">
        <v>6767</v>
      </c>
      <c r="C3212" s="186" t="s">
        <v>6766</v>
      </c>
      <c r="D3212" s="246">
        <v>44494</v>
      </c>
      <c r="E3212" s="138" t="s">
        <v>1004</v>
      </c>
    </row>
    <row r="3213" spans="1:5" ht="18.75">
      <c r="A3213" s="89" t="str">
        <f t="shared" si="50"/>
        <v>#21271</v>
      </c>
      <c r="B3213" s="138" t="s">
        <v>6769</v>
      </c>
      <c r="C3213" s="186" t="s">
        <v>6768</v>
      </c>
      <c r="D3213" s="246">
        <v>44502</v>
      </c>
      <c r="E3213" s="138" t="s">
        <v>895</v>
      </c>
    </row>
    <row r="3214" spans="1:5" ht="18.75">
      <c r="A3214" s="89" t="str">
        <f t="shared" si="50"/>
        <v>#21272</v>
      </c>
      <c r="B3214" s="138" t="s">
        <v>6771</v>
      </c>
      <c r="C3214" s="186" t="s">
        <v>6770</v>
      </c>
      <c r="D3214" s="246">
        <v>44502</v>
      </c>
      <c r="E3214" s="138" t="s">
        <v>895</v>
      </c>
    </row>
    <row r="3215" spans="1:5" ht="18.75">
      <c r="A3215" s="89" t="str">
        <f t="shared" si="50"/>
        <v>#21273</v>
      </c>
      <c r="B3215" s="138" t="s">
        <v>6772</v>
      </c>
      <c r="C3215" s="186" t="s">
        <v>1128</v>
      </c>
      <c r="D3215" s="246">
        <v>44502</v>
      </c>
      <c r="E3215" s="138" t="s">
        <v>895</v>
      </c>
    </row>
    <row r="3216" spans="1:5" ht="18.75">
      <c r="A3216" s="89" t="str">
        <f t="shared" si="50"/>
        <v>#21274</v>
      </c>
      <c r="B3216" s="138" t="s">
        <v>6774</v>
      </c>
      <c r="C3216" s="186" t="s">
        <v>6773</v>
      </c>
      <c r="D3216" s="246">
        <v>44502</v>
      </c>
      <c r="E3216" s="138" t="s">
        <v>721</v>
      </c>
    </row>
    <row r="3217" spans="1:5" ht="18.75">
      <c r="A3217" s="89" t="str">
        <f t="shared" si="50"/>
        <v>#21275</v>
      </c>
      <c r="B3217" s="138" t="s">
        <v>6776</v>
      </c>
      <c r="C3217" s="186" t="s">
        <v>6775</v>
      </c>
      <c r="D3217" s="246">
        <v>44502</v>
      </c>
      <c r="E3217" s="138" t="s">
        <v>721</v>
      </c>
    </row>
    <row r="3218" spans="1:5" ht="18.75">
      <c r="A3218" s="89" t="str">
        <f t="shared" si="50"/>
        <v>#21286</v>
      </c>
      <c r="B3218" s="138" t="s">
        <v>6777</v>
      </c>
      <c r="C3218" s="186" t="s">
        <v>2192</v>
      </c>
      <c r="D3218" s="246">
        <v>44519</v>
      </c>
      <c r="E3218" s="138" t="s">
        <v>903</v>
      </c>
    </row>
    <row r="3219" spans="1:5" ht="18.75">
      <c r="A3219" s="89" t="str">
        <f t="shared" si="50"/>
        <v>#21299</v>
      </c>
      <c r="B3219" s="138" t="s">
        <v>6779</v>
      </c>
      <c r="C3219" s="186" t="s">
        <v>6778</v>
      </c>
      <c r="D3219" s="246">
        <v>44519</v>
      </c>
      <c r="E3219" s="138" t="s">
        <v>937</v>
      </c>
    </row>
    <row r="3220" spans="1:5" ht="18.75">
      <c r="A3220" s="89" t="str">
        <f t="shared" si="50"/>
        <v>#21309</v>
      </c>
      <c r="B3220" s="138" t="s">
        <v>6780</v>
      </c>
      <c r="C3220" s="186" t="s">
        <v>4056</v>
      </c>
      <c r="D3220" s="246">
        <v>44519</v>
      </c>
      <c r="E3220" s="138" t="s">
        <v>948</v>
      </c>
    </row>
    <row r="3221" spans="1:5" ht="18.75">
      <c r="A3221" s="89" t="str">
        <f t="shared" si="50"/>
        <v>#21313</v>
      </c>
      <c r="B3221" s="138" t="s">
        <v>6781</v>
      </c>
      <c r="C3221" s="186" t="s">
        <v>1852</v>
      </c>
      <c r="D3221" s="246">
        <v>44519</v>
      </c>
      <c r="E3221" s="138" t="s">
        <v>948</v>
      </c>
    </row>
    <row r="3222" spans="1:5" ht="18.75">
      <c r="A3222" s="89" t="str">
        <f t="shared" si="50"/>
        <v>#21314</v>
      </c>
      <c r="B3222" s="138" t="s">
        <v>6783</v>
      </c>
      <c r="C3222" s="186" t="s">
        <v>6782</v>
      </c>
      <c r="D3222" s="246">
        <v>44519</v>
      </c>
      <c r="E3222" s="138" t="s">
        <v>948</v>
      </c>
    </row>
    <row r="3223" spans="1:5" ht="18.75">
      <c r="A3223" s="89" t="str">
        <f t="shared" si="50"/>
        <v>#21319</v>
      </c>
      <c r="B3223" s="138" t="s">
        <v>6784</v>
      </c>
      <c r="C3223" s="186" t="s">
        <v>2150</v>
      </c>
      <c r="D3223" s="246">
        <v>44519</v>
      </c>
      <c r="E3223" s="138" t="s">
        <v>927</v>
      </c>
    </row>
    <row r="3224" spans="1:5" ht="18.75">
      <c r="A3224" s="89" t="str">
        <f t="shared" si="50"/>
        <v>#21335</v>
      </c>
      <c r="B3224" s="138" t="s">
        <v>6786</v>
      </c>
      <c r="C3224" s="186" t="s">
        <v>6785</v>
      </c>
      <c r="D3224" s="246">
        <v>44525</v>
      </c>
      <c r="E3224" s="138" t="s">
        <v>7818</v>
      </c>
    </row>
    <row r="3225" spans="1:5" ht="18.75">
      <c r="A3225" s="89" t="str">
        <f t="shared" si="50"/>
        <v>#21337</v>
      </c>
      <c r="B3225" s="138" t="s">
        <v>6787</v>
      </c>
      <c r="C3225" s="187" t="s">
        <v>4615</v>
      </c>
      <c r="D3225" s="246">
        <v>44525</v>
      </c>
      <c r="E3225" s="138" t="s">
        <v>7818</v>
      </c>
    </row>
    <row r="3226" spans="1:5" ht="18.75">
      <c r="A3226" s="89" t="str">
        <f t="shared" si="50"/>
        <v>#21343</v>
      </c>
      <c r="B3226" s="138" t="s">
        <v>6789</v>
      </c>
      <c r="C3226" s="186" t="s">
        <v>6788</v>
      </c>
      <c r="D3226" s="246">
        <v>44531</v>
      </c>
      <c r="E3226" s="138" t="s">
        <v>895</v>
      </c>
    </row>
    <row r="3227" spans="1:5" ht="18.75">
      <c r="A3227" s="89" t="str">
        <f t="shared" si="50"/>
        <v>#21354</v>
      </c>
      <c r="B3227" s="138" t="s">
        <v>6791</v>
      </c>
      <c r="C3227" s="187" t="s">
        <v>6790</v>
      </c>
      <c r="D3227" s="246">
        <v>44531</v>
      </c>
      <c r="E3227" s="138" t="s">
        <v>1085</v>
      </c>
    </row>
    <row r="3228" spans="1:5" ht="18.75">
      <c r="A3228" s="89" t="str">
        <f t="shared" si="50"/>
        <v>#21366</v>
      </c>
      <c r="B3228" s="138" t="s">
        <v>6793</v>
      </c>
      <c r="C3228" s="186" t="s">
        <v>6792</v>
      </c>
      <c r="D3228" s="246">
        <v>44531</v>
      </c>
      <c r="E3228" s="138" t="s">
        <v>1188</v>
      </c>
    </row>
    <row r="3229" spans="1:5" ht="18.75">
      <c r="A3229" s="89" t="str">
        <f t="shared" si="50"/>
        <v>#21367</v>
      </c>
      <c r="B3229" s="138" t="s">
        <v>6795</v>
      </c>
      <c r="C3229" s="186" t="s">
        <v>6794</v>
      </c>
      <c r="D3229" s="246">
        <v>44531</v>
      </c>
      <c r="E3229" s="138" t="s">
        <v>1188</v>
      </c>
    </row>
    <row r="3230" spans="1:5" ht="18.75">
      <c r="A3230" s="89" t="str">
        <f t="shared" si="50"/>
        <v>#21376</v>
      </c>
      <c r="B3230" s="138" t="s">
        <v>6796</v>
      </c>
      <c r="C3230" s="186" t="s">
        <v>1416</v>
      </c>
      <c r="D3230" s="246">
        <v>44538</v>
      </c>
      <c r="E3230" s="138" t="s">
        <v>1188</v>
      </c>
    </row>
    <row r="3231" spans="1:5" ht="18.75">
      <c r="A3231" s="89" t="str">
        <f t="shared" si="50"/>
        <v>#21384</v>
      </c>
      <c r="B3231" s="138" t="s">
        <v>6798</v>
      </c>
      <c r="C3231" s="186" t="s">
        <v>6797</v>
      </c>
      <c r="D3231" s="246">
        <v>44538</v>
      </c>
      <c r="E3231" s="138" t="s">
        <v>1380</v>
      </c>
    </row>
    <row r="3232" spans="1:5" ht="18.75">
      <c r="A3232" s="89" t="str">
        <f t="shared" si="50"/>
        <v>#21398</v>
      </c>
      <c r="B3232" s="138" t="s">
        <v>6800</v>
      </c>
      <c r="C3232" s="187" t="s">
        <v>6799</v>
      </c>
      <c r="D3232" s="246">
        <v>44603</v>
      </c>
      <c r="E3232" s="138" t="s">
        <v>1004</v>
      </c>
    </row>
    <row r="3233" spans="1:5" ht="18.75">
      <c r="A3233" s="89" t="str">
        <f t="shared" si="50"/>
        <v>#21401</v>
      </c>
      <c r="B3233" s="138" t="s">
        <v>6801</v>
      </c>
      <c r="C3233" s="187" t="s">
        <v>3516</v>
      </c>
      <c r="D3233" s="246">
        <v>44606</v>
      </c>
      <c r="E3233" s="206" t="s">
        <v>1113</v>
      </c>
    </row>
    <row r="3234" spans="1:5" ht="18.75">
      <c r="A3234" s="89" t="str">
        <f t="shared" si="50"/>
        <v>#21423</v>
      </c>
      <c r="B3234" s="138" t="s">
        <v>6803</v>
      </c>
      <c r="C3234" s="187" t="s">
        <v>6802</v>
      </c>
      <c r="D3234" s="246">
        <v>44607</v>
      </c>
      <c r="E3234" s="138" t="s">
        <v>978</v>
      </c>
    </row>
    <row r="3235" spans="1:5" ht="18.75">
      <c r="A3235" s="89" t="str">
        <f t="shared" si="50"/>
        <v>#21445</v>
      </c>
      <c r="B3235" s="138" t="s">
        <v>6804</v>
      </c>
      <c r="C3235" s="187" t="s">
        <v>1767</v>
      </c>
      <c r="D3235" s="246">
        <v>44607</v>
      </c>
      <c r="E3235" s="138" t="s">
        <v>1188</v>
      </c>
    </row>
    <row r="3236" spans="1:5" ht="18.75">
      <c r="A3236" s="89" t="str">
        <f t="shared" si="50"/>
        <v>#21448</v>
      </c>
      <c r="B3236" s="138" t="s">
        <v>6806</v>
      </c>
      <c r="C3236" s="187" t="s">
        <v>6805</v>
      </c>
      <c r="D3236" s="246">
        <v>44610</v>
      </c>
      <c r="E3236" s="138" t="s">
        <v>8037</v>
      </c>
    </row>
    <row r="3237" spans="1:5" ht="18.75">
      <c r="A3237" s="89" t="str">
        <f t="shared" si="50"/>
        <v>#21449</v>
      </c>
      <c r="B3237" s="138" t="s">
        <v>6808</v>
      </c>
      <c r="C3237" s="187" t="s">
        <v>6807</v>
      </c>
      <c r="D3237" s="246">
        <v>44610</v>
      </c>
      <c r="E3237" s="138" t="s">
        <v>8037</v>
      </c>
    </row>
    <row r="3238" spans="1:5" ht="18.75">
      <c r="A3238" s="89" t="str">
        <f t="shared" si="50"/>
        <v>#21456</v>
      </c>
      <c r="B3238" s="138" t="s">
        <v>6810</v>
      </c>
      <c r="C3238" s="187" t="s">
        <v>6809</v>
      </c>
      <c r="D3238" s="246">
        <v>44610</v>
      </c>
      <c r="E3238" s="138" t="s">
        <v>8037</v>
      </c>
    </row>
    <row r="3239" spans="1:5" ht="18.75">
      <c r="A3239" s="89" t="str">
        <f t="shared" si="50"/>
        <v>#21478</v>
      </c>
      <c r="B3239" s="138" t="s">
        <v>6812</v>
      </c>
      <c r="C3239" s="187" t="s">
        <v>6811</v>
      </c>
      <c r="D3239" s="246">
        <v>44610</v>
      </c>
      <c r="E3239" s="138" t="s">
        <v>1085</v>
      </c>
    </row>
    <row r="3240" spans="1:5" ht="18.75">
      <c r="A3240" s="89" t="str">
        <f t="shared" si="50"/>
        <v>#21492</v>
      </c>
      <c r="B3240" s="138" t="s">
        <v>6813</v>
      </c>
      <c r="C3240" s="187" t="s">
        <v>3006</v>
      </c>
      <c r="D3240" s="246">
        <v>44614</v>
      </c>
      <c r="E3240" s="138" t="s">
        <v>1034</v>
      </c>
    </row>
    <row r="3241" spans="1:5" ht="18.75">
      <c r="A3241" s="89" t="str">
        <f t="shared" si="50"/>
        <v>#21494</v>
      </c>
      <c r="B3241" s="138" t="s">
        <v>6814</v>
      </c>
      <c r="C3241" s="187" t="s">
        <v>3678</v>
      </c>
      <c r="D3241" s="246">
        <v>44614</v>
      </c>
      <c r="E3241" s="138" t="s">
        <v>8037</v>
      </c>
    </row>
    <row r="3242" spans="1:5" ht="18.75">
      <c r="A3242" s="89" t="str">
        <f t="shared" si="50"/>
        <v>#21506</v>
      </c>
      <c r="B3242" s="138" t="s">
        <v>6816</v>
      </c>
      <c r="C3242" s="248" t="s">
        <v>6815</v>
      </c>
      <c r="D3242" s="246">
        <v>44614</v>
      </c>
      <c r="E3242" s="138" t="s">
        <v>985</v>
      </c>
    </row>
    <row r="3243" spans="1:5" ht="18.75">
      <c r="A3243" s="89" t="str">
        <f t="shared" si="50"/>
        <v>#21515</v>
      </c>
      <c r="B3243" s="138" t="s">
        <v>6818</v>
      </c>
      <c r="C3243" s="248" t="s">
        <v>6817</v>
      </c>
      <c r="D3243" s="246">
        <v>44614</v>
      </c>
      <c r="E3243" s="138" t="s">
        <v>1133</v>
      </c>
    </row>
    <row r="3244" spans="1:5" ht="18.75">
      <c r="A3244" s="89" t="str">
        <f t="shared" si="50"/>
        <v>#21520</v>
      </c>
      <c r="B3244" s="138" t="s">
        <v>6820</v>
      </c>
      <c r="C3244" s="248" t="s">
        <v>6819</v>
      </c>
      <c r="D3244" s="246">
        <v>44614</v>
      </c>
      <c r="E3244" s="138" t="s">
        <v>937</v>
      </c>
    </row>
    <row r="3245" spans="1:5" ht="18.75">
      <c r="A3245" s="89" t="str">
        <f t="shared" si="50"/>
        <v>#21537</v>
      </c>
      <c r="B3245" s="138" t="s">
        <v>6821</v>
      </c>
      <c r="C3245" s="248" t="s">
        <v>1502</v>
      </c>
      <c r="D3245" s="246">
        <v>44614</v>
      </c>
      <c r="E3245" s="138" t="s">
        <v>924</v>
      </c>
    </row>
    <row r="3246" spans="1:5" ht="18.75">
      <c r="A3246" s="89" t="str">
        <f t="shared" si="50"/>
        <v>#21540</v>
      </c>
      <c r="B3246" s="138" t="s">
        <v>6823</v>
      </c>
      <c r="C3246" s="248" t="s">
        <v>6822</v>
      </c>
      <c r="D3246" s="246">
        <v>44614</v>
      </c>
      <c r="E3246" s="138" t="s">
        <v>924</v>
      </c>
    </row>
    <row r="3247" spans="1:5" ht="18.75">
      <c r="A3247" s="89" t="str">
        <f t="shared" si="50"/>
        <v>#21542</v>
      </c>
      <c r="B3247" s="138" t="s">
        <v>6825</v>
      </c>
      <c r="C3247" s="248" t="s">
        <v>6824</v>
      </c>
      <c r="D3247" s="246">
        <v>44614</v>
      </c>
      <c r="E3247" s="138" t="s">
        <v>1188</v>
      </c>
    </row>
    <row r="3248" spans="1:5" ht="18.75">
      <c r="A3248" s="89" t="str">
        <f t="shared" si="50"/>
        <v>#21555</v>
      </c>
      <c r="B3248" s="138" t="s">
        <v>6827</v>
      </c>
      <c r="C3248" s="248" t="s">
        <v>6826</v>
      </c>
      <c r="D3248" s="246">
        <v>44614</v>
      </c>
      <c r="E3248" s="138" t="s">
        <v>1085</v>
      </c>
    </row>
    <row r="3249" spans="1:5" ht="18.75">
      <c r="A3249" s="89" t="str">
        <f t="shared" si="50"/>
        <v>#21556</v>
      </c>
      <c r="B3249" s="138" t="s">
        <v>6828</v>
      </c>
      <c r="C3249" s="249" t="s">
        <v>4465</v>
      </c>
      <c r="D3249" s="246">
        <v>44617</v>
      </c>
      <c r="E3249" s="138" t="s">
        <v>985</v>
      </c>
    </row>
    <row r="3250" spans="1:5" ht="18.75">
      <c r="A3250" s="89" t="str">
        <f t="shared" si="50"/>
        <v>#21557</v>
      </c>
      <c r="B3250" s="138" t="s">
        <v>6829</v>
      </c>
      <c r="C3250" s="249" t="s">
        <v>1287</v>
      </c>
      <c r="D3250" s="246">
        <v>44617</v>
      </c>
      <c r="E3250" s="138" t="s">
        <v>924</v>
      </c>
    </row>
    <row r="3251" spans="1:5" ht="18.75">
      <c r="A3251" s="89" t="str">
        <f t="shared" si="50"/>
        <v>#21559</v>
      </c>
      <c r="B3251" s="138" t="s">
        <v>6831</v>
      </c>
      <c r="C3251" s="249" t="s">
        <v>6830</v>
      </c>
      <c r="D3251" s="246">
        <v>44617</v>
      </c>
      <c r="E3251" s="138" t="s">
        <v>890</v>
      </c>
    </row>
    <row r="3252" spans="1:5" ht="18.75">
      <c r="A3252" s="89" t="str">
        <f t="shared" si="50"/>
        <v>#21560</v>
      </c>
      <c r="B3252" s="138" t="s">
        <v>6833</v>
      </c>
      <c r="C3252" s="250" t="s">
        <v>6832</v>
      </c>
      <c r="D3252" s="246">
        <v>44617</v>
      </c>
      <c r="E3252" s="138" t="s">
        <v>924</v>
      </c>
    </row>
    <row r="3253" spans="1:5" ht="18.75">
      <c r="A3253" s="89" t="str">
        <f t="shared" si="50"/>
        <v>#21561</v>
      </c>
      <c r="B3253" s="138" t="s">
        <v>6835</v>
      </c>
      <c r="C3253" s="249" t="s">
        <v>6834</v>
      </c>
      <c r="D3253" s="246">
        <v>44617</v>
      </c>
      <c r="E3253" s="138" t="s">
        <v>985</v>
      </c>
    </row>
    <row r="3254" spans="1:5" ht="18.75">
      <c r="A3254" s="89" t="str">
        <f t="shared" si="50"/>
        <v>#21562</v>
      </c>
      <c r="B3254" s="138" t="s">
        <v>6837</v>
      </c>
      <c r="C3254" s="251" t="s">
        <v>6836</v>
      </c>
      <c r="D3254" s="246">
        <v>44617</v>
      </c>
      <c r="E3254" s="138" t="s">
        <v>985</v>
      </c>
    </row>
    <row r="3255" spans="1:5" ht="18.75">
      <c r="A3255" s="89" t="str">
        <f t="shared" si="50"/>
        <v>#21564</v>
      </c>
      <c r="B3255" s="138" t="s">
        <v>6838</v>
      </c>
      <c r="C3255" s="186" t="s">
        <v>2173</v>
      </c>
      <c r="D3255" s="246">
        <v>44617</v>
      </c>
      <c r="E3255" s="138" t="s">
        <v>903</v>
      </c>
    </row>
    <row r="3256" spans="1:5" ht="18.75">
      <c r="A3256" s="89" t="str">
        <f t="shared" si="50"/>
        <v>#21573</v>
      </c>
      <c r="B3256" s="138" t="s">
        <v>6839</v>
      </c>
      <c r="C3256" s="186" t="s">
        <v>2739</v>
      </c>
      <c r="D3256" s="246">
        <v>44617</v>
      </c>
      <c r="E3256" s="138" t="s">
        <v>1380</v>
      </c>
    </row>
    <row r="3257" spans="1:5" ht="18.75">
      <c r="A3257" s="89" t="str">
        <f t="shared" si="50"/>
        <v>#21618</v>
      </c>
      <c r="B3257" s="138" t="s">
        <v>6841</v>
      </c>
      <c r="C3257" s="186" t="s">
        <v>6840</v>
      </c>
      <c r="D3257" s="246">
        <v>44617</v>
      </c>
      <c r="E3257" s="138" t="s">
        <v>937</v>
      </c>
    </row>
    <row r="3258" spans="1:5" ht="18.75">
      <c r="A3258" s="89" t="str">
        <f t="shared" si="50"/>
        <v>#21622</v>
      </c>
      <c r="B3258" s="138" t="s">
        <v>6843</v>
      </c>
      <c r="C3258" s="252" t="s">
        <v>6842</v>
      </c>
      <c r="D3258" s="246">
        <v>44621</v>
      </c>
      <c r="E3258" s="138" t="s">
        <v>1133</v>
      </c>
    </row>
    <row r="3259" spans="1:5" ht="18.75">
      <c r="A3259" s="89" t="str">
        <f t="shared" si="50"/>
        <v>#21633</v>
      </c>
      <c r="B3259" s="138" t="s">
        <v>6844</v>
      </c>
      <c r="C3259" s="252" t="s">
        <v>1442</v>
      </c>
      <c r="D3259" s="246">
        <v>44621</v>
      </c>
      <c r="E3259" s="138" t="s">
        <v>1085</v>
      </c>
    </row>
    <row r="3260" spans="1:5" ht="18.75">
      <c r="A3260" s="89" t="str">
        <f t="shared" si="50"/>
        <v>#21644</v>
      </c>
      <c r="B3260" s="138" t="s">
        <v>6846</v>
      </c>
      <c r="C3260" s="252" t="s">
        <v>6845</v>
      </c>
      <c r="D3260" s="246">
        <v>44621</v>
      </c>
      <c r="E3260" s="138" t="s">
        <v>937</v>
      </c>
    </row>
    <row r="3261" spans="1:5" ht="18.75">
      <c r="A3261" s="89" t="str">
        <f t="shared" si="50"/>
        <v>#21664</v>
      </c>
      <c r="B3261" s="138" t="s">
        <v>6848</v>
      </c>
      <c r="C3261" s="252" t="s">
        <v>6847</v>
      </c>
      <c r="D3261" s="246">
        <v>44624</v>
      </c>
      <c r="E3261" s="138" t="s">
        <v>1188</v>
      </c>
    </row>
    <row r="3262" spans="1:5" ht="37.5">
      <c r="A3262" s="89" t="str">
        <f t="shared" si="50"/>
        <v>#21667</v>
      </c>
      <c r="B3262" s="138" t="s">
        <v>6850</v>
      </c>
      <c r="C3262" s="252" t="s">
        <v>6849</v>
      </c>
      <c r="D3262" s="246">
        <v>44624</v>
      </c>
      <c r="E3262" s="138" t="s">
        <v>1188</v>
      </c>
    </row>
    <row r="3263" spans="1:5" ht="18.75">
      <c r="A3263" s="89" t="str">
        <f t="shared" si="50"/>
        <v>#21686</v>
      </c>
      <c r="B3263" s="138" t="s">
        <v>6852</v>
      </c>
      <c r="C3263" s="252" t="s">
        <v>6851</v>
      </c>
      <c r="D3263" s="246">
        <v>44624</v>
      </c>
      <c r="E3263" s="138" t="s">
        <v>1085</v>
      </c>
    </row>
    <row r="3264" spans="1:5" ht="18.75">
      <c r="A3264" s="89" t="str">
        <f t="shared" si="50"/>
        <v>#21690</v>
      </c>
      <c r="B3264" s="138" t="s">
        <v>6854</v>
      </c>
      <c r="C3264" s="252" t="s">
        <v>6853</v>
      </c>
      <c r="D3264" s="246">
        <v>44624</v>
      </c>
      <c r="E3264" s="138" t="s">
        <v>7818</v>
      </c>
    </row>
    <row r="3265" spans="1:5" ht="18.75">
      <c r="A3265" s="89" t="str">
        <f t="shared" si="50"/>
        <v>#21695</v>
      </c>
      <c r="B3265" s="138" t="s">
        <v>6856</v>
      </c>
      <c r="C3265" s="252" t="s">
        <v>6855</v>
      </c>
      <c r="D3265" s="246">
        <v>44628</v>
      </c>
      <c r="E3265" s="138" t="s">
        <v>978</v>
      </c>
    </row>
    <row r="3266" spans="1:5" ht="18.75">
      <c r="A3266" s="89" t="str">
        <f t="shared" si="50"/>
        <v>#21696</v>
      </c>
      <c r="B3266" s="138" t="s">
        <v>6858</v>
      </c>
      <c r="C3266" s="252" t="s">
        <v>6857</v>
      </c>
      <c r="D3266" s="246">
        <v>44628</v>
      </c>
      <c r="E3266" s="138" t="s">
        <v>890</v>
      </c>
    </row>
    <row r="3267" spans="1:5" ht="18.75">
      <c r="A3267" s="89" t="str">
        <f t="shared" ref="A3267:A3330" si="51">"#"&amp;B3267</f>
        <v>#21697</v>
      </c>
      <c r="B3267" s="138" t="s">
        <v>6860</v>
      </c>
      <c r="C3267" s="252" t="s">
        <v>6859</v>
      </c>
      <c r="D3267" s="246">
        <v>44628</v>
      </c>
      <c r="E3267" s="138" t="s">
        <v>924</v>
      </c>
    </row>
    <row r="3268" spans="1:5" ht="18.75">
      <c r="A3268" s="89" t="str">
        <f t="shared" si="51"/>
        <v>#21705</v>
      </c>
      <c r="B3268" s="138" t="s">
        <v>6861</v>
      </c>
      <c r="C3268" s="252" t="s">
        <v>3732</v>
      </c>
      <c r="D3268" s="246">
        <v>44628</v>
      </c>
      <c r="E3268" s="138" t="s">
        <v>924</v>
      </c>
    </row>
    <row r="3269" spans="1:5" ht="18.75">
      <c r="A3269" s="89" t="str">
        <f t="shared" si="51"/>
        <v>#21737</v>
      </c>
      <c r="B3269" s="138" t="s">
        <v>6863</v>
      </c>
      <c r="C3269" s="252" t="s">
        <v>6862</v>
      </c>
      <c r="D3269" s="246">
        <v>44635</v>
      </c>
      <c r="E3269" s="138" t="s">
        <v>927</v>
      </c>
    </row>
    <row r="3270" spans="1:5" ht="18.75">
      <c r="A3270" s="89" t="str">
        <f t="shared" si="51"/>
        <v>#21738</v>
      </c>
      <c r="B3270" s="138" t="s">
        <v>6865</v>
      </c>
      <c r="C3270" s="252" t="s">
        <v>6864</v>
      </c>
      <c r="D3270" s="246">
        <v>44635</v>
      </c>
      <c r="E3270" s="138" t="s">
        <v>927</v>
      </c>
    </row>
    <row r="3271" spans="1:5" ht="18.75">
      <c r="A3271" s="89" t="str">
        <f t="shared" si="51"/>
        <v>#21745</v>
      </c>
      <c r="B3271" s="138" t="s">
        <v>6866</v>
      </c>
      <c r="C3271" s="252" t="s">
        <v>1374</v>
      </c>
      <c r="D3271" s="246">
        <v>44635</v>
      </c>
      <c r="E3271" s="138" t="s">
        <v>1085</v>
      </c>
    </row>
    <row r="3272" spans="1:5" ht="18.75">
      <c r="A3272" s="89" t="str">
        <f t="shared" si="51"/>
        <v>#21755</v>
      </c>
      <c r="B3272" s="138" t="s">
        <v>6868</v>
      </c>
      <c r="C3272" s="252" t="s">
        <v>6867</v>
      </c>
      <c r="D3272" s="246">
        <v>44635</v>
      </c>
      <c r="E3272" s="138" t="s">
        <v>1085</v>
      </c>
    </row>
    <row r="3273" spans="1:5" ht="18.75">
      <c r="A3273" s="89" t="str">
        <f t="shared" si="51"/>
        <v>#21756</v>
      </c>
      <c r="B3273" s="138" t="s">
        <v>6870</v>
      </c>
      <c r="C3273" s="252" t="s">
        <v>6869</v>
      </c>
      <c r="D3273" s="246">
        <v>44635</v>
      </c>
      <c r="E3273" s="138" t="s">
        <v>1085</v>
      </c>
    </row>
    <row r="3274" spans="1:5" ht="18.75">
      <c r="A3274" s="89" t="str">
        <f t="shared" si="51"/>
        <v>#21758</v>
      </c>
      <c r="B3274" s="138" t="s">
        <v>6872</v>
      </c>
      <c r="C3274" s="252" t="s">
        <v>6871</v>
      </c>
      <c r="D3274" s="240">
        <v>44638</v>
      </c>
      <c r="E3274" s="138" t="s">
        <v>906</v>
      </c>
    </row>
    <row r="3275" spans="1:5" ht="18.75">
      <c r="A3275" s="89" t="str">
        <f t="shared" si="51"/>
        <v>#21759</v>
      </c>
      <c r="B3275" s="138" t="s">
        <v>6874</v>
      </c>
      <c r="C3275" s="252" t="s">
        <v>6873</v>
      </c>
      <c r="D3275" s="240">
        <v>44638</v>
      </c>
      <c r="E3275" s="138" t="s">
        <v>906</v>
      </c>
    </row>
    <row r="3276" spans="1:5" ht="18.75">
      <c r="A3276" s="89" t="str">
        <f t="shared" si="51"/>
        <v>#21760</v>
      </c>
      <c r="B3276" s="138" t="s">
        <v>6875</v>
      </c>
      <c r="C3276" s="252" t="s">
        <v>1175</v>
      </c>
      <c r="D3276" s="240">
        <v>44638</v>
      </c>
      <c r="E3276" s="138" t="s">
        <v>906</v>
      </c>
    </row>
    <row r="3277" spans="1:5" ht="18.75">
      <c r="A3277" s="89" t="str">
        <f t="shared" si="51"/>
        <v>#21773</v>
      </c>
      <c r="B3277" s="138" t="s">
        <v>6877</v>
      </c>
      <c r="C3277" s="252" t="s">
        <v>6876</v>
      </c>
      <c r="D3277" s="240">
        <v>44638</v>
      </c>
      <c r="E3277" s="138" t="s">
        <v>978</v>
      </c>
    </row>
    <row r="3278" spans="1:5" ht="18.75">
      <c r="A3278" s="89" t="str">
        <f t="shared" si="51"/>
        <v>#21778</v>
      </c>
      <c r="B3278" s="138" t="s">
        <v>6879</v>
      </c>
      <c r="C3278" s="252" t="s">
        <v>6878</v>
      </c>
      <c r="D3278" s="240">
        <v>44638</v>
      </c>
      <c r="E3278" s="138" t="s">
        <v>978</v>
      </c>
    </row>
    <row r="3279" spans="1:5" ht="18.75">
      <c r="A3279" s="89" t="str">
        <f t="shared" si="51"/>
        <v>#21786</v>
      </c>
      <c r="B3279" s="138" t="s">
        <v>6881</v>
      </c>
      <c r="C3279" s="252" t="s">
        <v>6880</v>
      </c>
      <c r="D3279" s="240">
        <v>44638</v>
      </c>
      <c r="E3279" s="138" t="s">
        <v>978</v>
      </c>
    </row>
    <row r="3280" spans="1:5" ht="18.75">
      <c r="A3280" s="89" t="str">
        <f t="shared" si="51"/>
        <v>#21794</v>
      </c>
      <c r="B3280" s="138" t="s">
        <v>6883</v>
      </c>
      <c r="C3280" s="252" t="s">
        <v>6882</v>
      </c>
      <c r="D3280" s="240">
        <v>44642</v>
      </c>
      <c r="E3280" s="138" t="s">
        <v>1541</v>
      </c>
    </row>
    <row r="3281" spans="1:5" ht="18.75">
      <c r="A3281" s="89" t="str">
        <f t="shared" si="51"/>
        <v>#21803</v>
      </c>
      <c r="B3281" s="138" t="s">
        <v>6885</v>
      </c>
      <c r="C3281" s="252" t="s">
        <v>6884</v>
      </c>
      <c r="D3281" s="240">
        <v>44642</v>
      </c>
      <c r="E3281" s="138" t="s">
        <v>978</v>
      </c>
    </row>
    <row r="3282" spans="1:5" ht="18.75">
      <c r="A3282" s="89" t="str">
        <f t="shared" si="51"/>
        <v>#21805</v>
      </c>
      <c r="B3282" s="138" t="s">
        <v>6887</v>
      </c>
      <c r="C3282" s="252" t="s">
        <v>6886</v>
      </c>
      <c r="D3282" s="240">
        <v>44642</v>
      </c>
      <c r="E3282" s="138" t="s">
        <v>978</v>
      </c>
    </row>
    <row r="3283" spans="1:5" ht="18.75">
      <c r="A3283" s="89" t="str">
        <f t="shared" si="51"/>
        <v>#21835</v>
      </c>
      <c r="B3283" s="138" t="s">
        <v>6889</v>
      </c>
      <c r="C3283" s="252" t="s">
        <v>6888</v>
      </c>
      <c r="D3283" s="240">
        <v>44642</v>
      </c>
      <c r="E3283" s="138" t="s">
        <v>1191</v>
      </c>
    </row>
    <row r="3284" spans="1:5" ht="18.75">
      <c r="A3284" s="89" t="str">
        <f t="shared" si="51"/>
        <v>#21842</v>
      </c>
      <c r="B3284" s="138" t="s">
        <v>6890</v>
      </c>
      <c r="C3284" s="252" t="s">
        <v>5035</v>
      </c>
      <c r="D3284" s="240">
        <v>44649</v>
      </c>
      <c r="E3284" s="138" t="s">
        <v>985</v>
      </c>
    </row>
    <row r="3285" spans="1:5" ht="18.75">
      <c r="A3285" s="89" t="str">
        <f t="shared" si="51"/>
        <v>#21844</v>
      </c>
      <c r="B3285" s="138" t="s">
        <v>6891</v>
      </c>
      <c r="C3285" s="252" t="s">
        <v>5898</v>
      </c>
      <c r="D3285" s="240">
        <v>44649</v>
      </c>
      <c r="E3285" s="138" t="s">
        <v>985</v>
      </c>
    </row>
    <row r="3286" spans="1:5" ht="18.75">
      <c r="A3286" s="89" t="str">
        <f t="shared" si="51"/>
        <v>#21848</v>
      </c>
      <c r="B3286" s="138" t="s">
        <v>6892</v>
      </c>
      <c r="C3286" s="252" t="s">
        <v>3951</v>
      </c>
      <c r="D3286" s="240">
        <v>44649</v>
      </c>
      <c r="E3286" s="138" t="s">
        <v>985</v>
      </c>
    </row>
    <row r="3287" spans="1:5" ht="18.75">
      <c r="A3287" s="89" t="str">
        <f t="shared" si="51"/>
        <v>#21849</v>
      </c>
      <c r="B3287" s="138" t="s">
        <v>6894</v>
      </c>
      <c r="C3287" s="252" t="s">
        <v>6893</v>
      </c>
      <c r="D3287" s="240">
        <v>44649</v>
      </c>
      <c r="E3287" s="138" t="s">
        <v>985</v>
      </c>
    </row>
    <row r="3288" spans="1:5" ht="18.75">
      <c r="A3288" s="89" t="str">
        <f t="shared" si="51"/>
        <v>#21850</v>
      </c>
      <c r="B3288" s="138" t="s">
        <v>6896</v>
      </c>
      <c r="C3288" s="252" t="s">
        <v>6895</v>
      </c>
      <c r="D3288" s="240">
        <v>44649</v>
      </c>
      <c r="E3288" s="138" t="s">
        <v>985</v>
      </c>
    </row>
    <row r="3289" spans="1:5" ht="18.75">
      <c r="A3289" s="89" t="str">
        <f t="shared" si="51"/>
        <v>#21851</v>
      </c>
      <c r="B3289" s="138" t="s">
        <v>6898</v>
      </c>
      <c r="C3289" s="252" t="s">
        <v>6897</v>
      </c>
      <c r="D3289" s="240">
        <v>44649</v>
      </c>
      <c r="E3289" s="138" t="s">
        <v>985</v>
      </c>
    </row>
    <row r="3290" spans="1:5" ht="18.75">
      <c r="A3290" s="89" t="str">
        <f t="shared" si="51"/>
        <v>#21857</v>
      </c>
      <c r="B3290" s="138" t="s">
        <v>6900</v>
      </c>
      <c r="C3290" s="252" t="s">
        <v>6899</v>
      </c>
      <c r="D3290" s="240">
        <v>44649</v>
      </c>
      <c r="E3290" s="138" t="s">
        <v>927</v>
      </c>
    </row>
    <row r="3291" spans="1:5" ht="18.75">
      <c r="A3291" s="89" t="str">
        <f t="shared" si="51"/>
        <v>#21864</v>
      </c>
      <c r="B3291" s="138" t="s">
        <v>6902</v>
      </c>
      <c r="C3291" s="252" t="s">
        <v>6901</v>
      </c>
      <c r="D3291" s="240">
        <v>44649</v>
      </c>
      <c r="E3291" s="138" t="s">
        <v>924</v>
      </c>
    </row>
    <row r="3292" spans="1:5" ht="18.75">
      <c r="A3292" s="89" t="str">
        <f t="shared" si="51"/>
        <v>#21875</v>
      </c>
      <c r="B3292" s="138" t="s">
        <v>6904</v>
      </c>
      <c r="C3292" s="252" t="s">
        <v>6903</v>
      </c>
      <c r="D3292" s="240">
        <v>44649</v>
      </c>
      <c r="E3292" s="138" t="s">
        <v>1098</v>
      </c>
    </row>
    <row r="3293" spans="1:5" ht="18.75">
      <c r="A3293" s="89" t="str">
        <f t="shared" si="51"/>
        <v>#21892</v>
      </c>
      <c r="B3293" s="138" t="s">
        <v>6905</v>
      </c>
      <c r="C3293" s="252" t="s">
        <v>1502</v>
      </c>
      <c r="D3293" s="240">
        <v>44649</v>
      </c>
      <c r="E3293" s="138" t="s">
        <v>978</v>
      </c>
    </row>
    <row r="3294" spans="1:5" ht="18.75">
      <c r="A3294" s="89" t="str">
        <f t="shared" si="51"/>
        <v>#21896</v>
      </c>
      <c r="B3294" s="138" t="s">
        <v>6907</v>
      </c>
      <c r="C3294" s="252" t="s">
        <v>6906</v>
      </c>
      <c r="D3294" s="240">
        <v>44656</v>
      </c>
      <c r="E3294" s="138" t="s">
        <v>8037</v>
      </c>
    </row>
    <row r="3295" spans="1:5" ht="18.75">
      <c r="A3295" s="89" t="str">
        <f t="shared" si="51"/>
        <v>#21899</v>
      </c>
      <c r="B3295" s="138" t="s">
        <v>6909</v>
      </c>
      <c r="C3295" s="252" t="s">
        <v>6908</v>
      </c>
      <c r="D3295" s="240">
        <v>44656</v>
      </c>
      <c r="E3295" s="138" t="s">
        <v>8037</v>
      </c>
    </row>
    <row r="3296" spans="1:5" ht="18.75">
      <c r="A3296" s="89" t="str">
        <f t="shared" si="51"/>
        <v>#21905</v>
      </c>
      <c r="B3296" s="138" t="s">
        <v>6911</v>
      </c>
      <c r="C3296" s="252" t="s">
        <v>6910</v>
      </c>
      <c r="D3296" s="240">
        <v>44656</v>
      </c>
      <c r="E3296" s="138" t="s">
        <v>8037</v>
      </c>
    </row>
    <row r="3297" spans="1:5" ht="18.75">
      <c r="A3297" s="89" t="str">
        <f t="shared" si="51"/>
        <v>#21907</v>
      </c>
      <c r="B3297" s="138" t="s">
        <v>6913</v>
      </c>
      <c r="C3297" s="252" t="s">
        <v>6912</v>
      </c>
      <c r="D3297" s="240">
        <v>44656</v>
      </c>
      <c r="E3297" s="138" t="s">
        <v>1034</v>
      </c>
    </row>
    <row r="3298" spans="1:5" ht="18.75">
      <c r="A3298" s="89" t="str">
        <f t="shared" si="51"/>
        <v>#21908</v>
      </c>
      <c r="B3298" s="138" t="s">
        <v>6915</v>
      </c>
      <c r="C3298" s="252" t="s">
        <v>6914</v>
      </c>
      <c r="D3298" s="240">
        <v>44656</v>
      </c>
      <c r="E3298" s="138" t="s">
        <v>1034</v>
      </c>
    </row>
    <row r="3299" spans="1:5" ht="18.75">
      <c r="A3299" s="89" t="str">
        <f t="shared" si="51"/>
        <v>#21909</v>
      </c>
      <c r="B3299" s="138" t="s">
        <v>6916</v>
      </c>
      <c r="C3299" s="252" t="s">
        <v>1175</v>
      </c>
      <c r="D3299" s="240">
        <v>44656</v>
      </c>
      <c r="E3299" s="138" t="s">
        <v>1380</v>
      </c>
    </row>
    <row r="3300" spans="1:5" ht="18.75">
      <c r="A3300" s="89" t="str">
        <f t="shared" si="51"/>
        <v>#21910</v>
      </c>
      <c r="B3300" s="138" t="s">
        <v>6918</v>
      </c>
      <c r="C3300" s="252" t="s">
        <v>6917</v>
      </c>
      <c r="D3300" s="240">
        <v>44656</v>
      </c>
      <c r="E3300" s="138" t="s">
        <v>1034</v>
      </c>
    </row>
    <row r="3301" spans="1:5" ht="18.75">
      <c r="A3301" s="89" t="str">
        <f t="shared" si="51"/>
        <v>#21911</v>
      </c>
      <c r="B3301" s="138" t="s">
        <v>6920</v>
      </c>
      <c r="C3301" s="252" t="s">
        <v>6919</v>
      </c>
      <c r="D3301" s="240">
        <v>44656</v>
      </c>
      <c r="E3301" s="138" t="s">
        <v>1380</v>
      </c>
    </row>
    <row r="3302" spans="1:5" ht="18.75">
      <c r="A3302" s="89" t="str">
        <f t="shared" si="51"/>
        <v>#21912</v>
      </c>
      <c r="B3302" s="138" t="s">
        <v>6922</v>
      </c>
      <c r="C3302" s="252" t="s">
        <v>6921</v>
      </c>
      <c r="D3302" s="240">
        <v>44656</v>
      </c>
      <c r="E3302" s="138" t="s">
        <v>1034</v>
      </c>
    </row>
    <row r="3303" spans="1:5" ht="18.75">
      <c r="A3303" s="89" t="str">
        <f t="shared" si="51"/>
        <v>#21913</v>
      </c>
      <c r="B3303" s="138" t="s">
        <v>6923</v>
      </c>
      <c r="C3303" s="252" t="s">
        <v>2830</v>
      </c>
      <c r="D3303" s="240">
        <v>44656</v>
      </c>
      <c r="E3303" s="138" t="s">
        <v>1034</v>
      </c>
    </row>
    <row r="3304" spans="1:5" ht="18.75">
      <c r="A3304" s="89" t="str">
        <f t="shared" si="51"/>
        <v>#21926</v>
      </c>
      <c r="B3304" s="138" t="s">
        <v>6925</v>
      </c>
      <c r="C3304" s="252" t="s">
        <v>6924</v>
      </c>
      <c r="D3304" s="240">
        <v>44656</v>
      </c>
      <c r="E3304" s="138" t="s">
        <v>937</v>
      </c>
    </row>
    <row r="3305" spans="1:5" ht="18.75">
      <c r="A3305" s="89" t="str">
        <f t="shared" si="51"/>
        <v>#21928</v>
      </c>
      <c r="B3305" s="138" t="s">
        <v>6927</v>
      </c>
      <c r="C3305" s="252" t="s">
        <v>6926</v>
      </c>
      <c r="D3305" s="240">
        <v>44656</v>
      </c>
      <c r="E3305" s="138" t="s">
        <v>937</v>
      </c>
    </row>
    <row r="3306" spans="1:5" ht="18.75">
      <c r="A3306" s="89" t="str">
        <f t="shared" si="51"/>
        <v>#21951</v>
      </c>
      <c r="B3306" s="138" t="s">
        <v>6929</v>
      </c>
      <c r="C3306" s="252" t="s">
        <v>6928</v>
      </c>
      <c r="D3306" s="240">
        <v>44656</v>
      </c>
      <c r="E3306" s="138" t="s">
        <v>978</v>
      </c>
    </row>
    <row r="3307" spans="1:5" ht="18.75">
      <c r="A3307" s="89" t="str">
        <f t="shared" si="51"/>
        <v>#21953</v>
      </c>
      <c r="B3307" s="138" t="s">
        <v>6930</v>
      </c>
      <c r="C3307" s="252" t="s">
        <v>2790</v>
      </c>
      <c r="D3307" s="240">
        <v>44656</v>
      </c>
      <c r="E3307" s="138" t="s">
        <v>978</v>
      </c>
    </row>
    <row r="3308" spans="1:5" ht="18.75">
      <c r="A3308" s="89" t="str">
        <f t="shared" si="51"/>
        <v>#21972</v>
      </c>
      <c r="B3308" s="138" t="s">
        <v>6932</v>
      </c>
      <c r="C3308" s="252" t="s">
        <v>6931</v>
      </c>
      <c r="D3308" s="240">
        <v>44664</v>
      </c>
      <c r="E3308" s="138" t="s">
        <v>927</v>
      </c>
    </row>
    <row r="3309" spans="1:5" ht="18.75">
      <c r="A3309" s="89" t="str">
        <f t="shared" si="51"/>
        <v>#21973</v>
      </c>
      <c r="B3309" s="138" t="s">
        <v>6934</v>
      </c>
      <c r="C3309" s="252" t="s">
        <v>6933</v>
      </c>
      <c r="D3309" s="240">
        <v>44664</v>
      </c>
      <c r="E3309" s="138" t="s">
        <v>927</v>
      </c>
    </row>
    <row r="3310" spans="1:5" ht="18.75">
      <c r="A3310" s="89" t="str">
        <f t="shared" si="51"/>
        <v>#21976</v>
      </c>
      <c r="B3310" s="138" t="s">
        <v>6936</v>
      </c>
      <c r="C3310" s="252" t="s">
        <v>6935</v>
      </c>
      <c r="D3310" s="240">
        <v>44664</v>
      </c>
      <c r="E3310" s="138" t="s">
        <v>927</v>
      </c>
    </row>
    <row r="3311" spans="1:5" ht="18.75">
      <c r="A3311" s="89" t="str">
        <f t="shared" si="51"/>
        <v>#21985</v>
      </c>
      <c r="B3311" s="138" t="s">
        <v>6937</v>
      </c>
      <c r="C3311" s="252" t="s">
        <v>4895</v>
      </c>
      <c r="D3311" s="240">
        <v>44664</v>
      </c>
      <c r="E3311" s="138" t="s">
        <v>927</v>
      </c>
    </row>
    <row r="3312" spans="1:5" ht="18.75">
      <c r="A3312" s="89" t="str">
        <f t="shared" si="51"/>
        <v>#21991</v>
      </c>
      <c r="B3312" s="138" t="s">
        <v>6939</v>
      </c>
      <c r="C3312" s="252" t="s">
        <v>6938</v>
      </c>
      <c r="D3312" s="240">
        <v>44664</v>
      </c>
      <c r="E3312" s="138" t="s">
        <v>985</v>
      </c>
    </row>
    <row r="3313" spans="1:5" ht="18.75">
      <c r="A3313" s="89" t="str">
        <f t="shared" si="51"/>
        <v>#21992</v>
      </c>
      <c r="B3313" s="138" t="s">
        <v>6940</v>
      </c>
      <c r="C3313" s="252" t="s">
        <v>1804</v>
      </c>
      <c r="D3313" s="240">
        <v>44664</v>
      </c>
      <c r="E3313" s="138" t="s">
        <v>948</v>
      </c>
    </row>
    <row r="3314" spans="1:5" ht="18.75">
      <c r="A3314" s="89" t="str">
        <f t="shared" si="51"/>
        <v>#21994</v>
      </c>
      <c r="B3314" s="138" t="s">
        <v>6942</v>
      </c>
      <c r="C3314" s="252" t="s">
        <v>6941</v>
      </c>
      <c r="D3314" s="240">
        <v>44664</v>
      </c>
      <c r="E3314" s="138" t="s">
        <v>948</v>
      </c>
    </row>
    <row r="3315" spans="1:5" ht="18.75">
      <c r="A3315" s="89" t="str">
        <f t="shared" si="51"/>
        <v>#21995</v>
      </c>
      <c r="B3315" s="138" t="s">
        <v>6944</v>
      </c>
      <c r="C3315" s="252" t="s">
        <v>6943</v>
      </c>
      <c r="D3315" s="240">
        <v>44664</v>
      </c>
      <c r="E3315" s="138" t="s">
        <v>1716</v>
      </c>
    </row>
    <row r="3316" spans="1:5" ht="37.5">
      <c r="A3316" s="89" t="str">
        <f t="shared" si="51"/>
        <v>#21996</v>
      </c>
      <c r="B3316" s="138" t="s">
        <v>6946</v>
      </c>
      <c r="C3316" s="252" t="s">
        <v>6945</v>
      </c>
      <c r="D3316" s="240">
        <v>44664</v>
      </c>
      <c r="E3316" s="138" t="s">
        <v>948</v>
      </c>
    </row>
    <row r="3317" spans="1:5" ht="18.75">
      <c r="A3317" s="89" t="str">
        <f t="shared" si="51"/>
        <v>#21997</v>
      </c>
      <c r="B3317" s="138" t="s">
        <v>6947</v>
      </c>
      <c r="C3317" s="252" t="s">
        <v>2469</v>
      </c>
      <c r="D3317" s="240">
        <v>44664</v>
      </c>
      <c r="E3317" s="138" t="s">
        <v>948</v>
      </c>
    </row>
    <row r="3318" spans="1:5" ht="18.75">
      <c r="A3318" s="89" t="str">
        <f t="shared" si="51"/>
        <v>#21998</v>
      </c>
      <c r="B3318" s="138" t="s">
        <v>6949</v>
      </c>
      <c r="C3318" s="252" t="s">
        <v>6948</v>
      </c>
      <c r="D3318" s="240">
        <v>44664</v>
      </c>
      <c r="E3318" s="138" t="s">
        <v>948</v>
      </c>
    </row>
    <row r="3319" spans="1:5" ht="18.75">
      <c r="A3319" s="89" t="str">
        <f t="shared" si="51"/>
        <v>#22000</v>
      </c>
      <c r="B3319" s="138" t="s">
        <v>6950</v>
      </c>
      <c r="C3319" s="252" t="s">
        <v>3197</v>
      </c>
      <c r="D3319" s="240">
        <v>44664</v>
      </c>
      <c r="E3319" s="138" t="s">
        <v>978</v>
      </c>
    </row>
    <row r="3320" spans="1:5" ht="18.75">
      <c r="A3320" s="89" t="str">
        <f t="shared" si="51"/>
        <v>#22001</v>
      </c>
      <c r="B3320" s="138" t="s">
        <v>6951</v>
      </c>
      <c r="C3320" s="252" t="s">
        <v>2790</v>
      </c>
      <c r="D3320" s="240">
        <v>44664</v>
      </c>
      <c r="E3320" s="138" t="s">
        <v>978</v>
      </c>
    </row>
    <row r="3321" spans="1:5" ht="18.75">
      <c r="A3321" s="89" t="str">
        <f t="shared" si="51"/>
        <v>#22007</v>
      </c>
      <c r="B3321" s="138" t="s">
        <v>6953</v>
      </c>
      <c r="C3321" s="252" t="s">
        <v>6952</v>
      </c>
      <c r="D3321" s="240">
        <v>44664</v>
      </c>
      <c r="E3321" s="138" t="s">
        <v>978</v>
      </c>
    </row>
    <row r="3322" spans="1:5" ht="18.75">
      <c r="A3322" s="89" t="str">
        <f t="shared" si="51"/>
        <v>#22008</v>
      </c>
      <c r="B3322" s="138" t="s">
        <v>6955</v>
      </c>
      <c r="C3322" s="252" t="s">
        <v>6954</v>
      </c>
      <c r="D3322" s="240">
        <v>44664</v>
      </c>
      <c r="E3322" s="138" t="s">
        <v>1541</v>
      </c>
    </row>
    <row r="3323" spans="1:5" ht="18.75">
      <c r="A3323" s="89" t="str">
        <f t="shared" si="51"/>
        <v>#22028</v>
      </c>
      <c r="B3323" s="138" t="s">
        <v>6956</v>
      </c>
      <c r="C3323" s="252" t="s">
        <v>1852</v>
      </c>
      <c r="D3323" s="240">
        <v>44669</v>
      </c>
      <c r="E3323" s="138" t="s">
        <v>773</v>
      </c>
    </row>
    <row r="3324" spans="1:5" ht="18.75">
      <c r="A3324" s="89" t="str">
        <f t="shared" si="51"/>
        <v>#22031</v>
      </c>
      <c r="B3324" s="138" t="s">
        <v>6958</v>
      </c>
      <c r="C3324" s="253" t="s">
        <v>6957</v>
      </c>
      <c r="D3324" s="240">
        <v>44670</v>
      </c>
      <c r="E3324" s="138" t="s">
        <v>924</v>
      </c>
    </row>
    <row r="3325" spans="1:5" ht="18.75">
      <c r="A3325" s="89" t="str">
        <f t="shared" si="51"/>
        <v>#22046</v>
      </c>
      <c r="B3325" s="138" t="s">
        <v>6959</v>
      </c>
      <c r="C3325" s="252" t="s">
        <v>4127</v>
      </c>
      <c r="D3325" s="240">
        <v>44670</v>
      </c>
      <c r="E3325" s="138" t="s">
        <v>985</v>
      </c>
    </row>
    <row r="3326" spans="1:5" ht="18.75">
      <c r="A3326" s="89" t="str">
        <f t="shared" si="51"/>
        <v>#22048</v>
      </c>
      <c r="B3326" s="138" t="s">
        <v>6961</v>
      </c>
      <c r="C3326" s="252" t="s">
        <v>6960</v>
      </c>
      <c r="D3326" s="240">
        <v>44670</v>
      </c>
      <c r="E3326" s="138" t="s">
        <v>978</v>
      </c>
    </row>
    <row r="3327" spans="1:5" ht="18.75">
      <c r="A3327" s="89" t="str">
        <f t="shared" si="51"/>
        <v>#22049</v>
      </c>
      <c r="B3327" s="138" t="s">
        <v>6963</v>
      </c>
      <c r="C3327" s="252" t="s">
        <v>6962</v>
      </c>
      <c r="D3327" s="240">
        <v>44670</v>
      </c>
      <c r="E3327" s="138" t="s">
        <v>978</v>
      </c>
    </row>
    <row r="3328" spans="1:5" ht="18.75">
      <c r="A3328" s="89" t="str">
        <f t="shared" si="51"/>
        <v>#22051</v>
      </c>
      <c r="B3328" s="138" t="s">
        <v>6965</v>
      </c>
      <c r="C3328" s="252" t="s">
        <v>6964</v>
      </c>
      <c r="D3328" s="240">
        <v>44670</v>
      </c>
      <c r="E3328" s="138" t="s">
        <v>978</v>
      </c>
    </row>
    <row r="3329" spans="1:5" ht="18.75">
      <c r="A3329" s="89" t="str">
        <f t="shared" si="51"/>
        <v>#22061</v>
      </c>
      <c r="B3329" s="138" t="s">
        <v>6967</v>
      </c>
      <c r="C3329" s="252" t="s">
        <v>6966</v>
      </c>
      <c r="D3329" s="240">
        <v>44670</v>
      </c>
      <c r="E3329" s="138" t="s">
        <v>927</v>
      </c>
    </row>
    <row r="3330" spans="1:5" ht="18.75">
      <c r="A3330" s="89" t="str">
        <f t="shared" si="51"/>
        <v>#22069</v>
      </c>
      <c r="B3330" s="138" t="s">
        <v>6969</v>
      </c>
      <c r="C3330" s="252" t="s">
        <v>6968</v>
      </c>
      <c r="D3330" s="240">
        <v>44670</v>
      </c>
      <c r="E3330" s="138" t="s">
        <v>1716</v>
      </c>
    </row>
    <row r="3331" spans="1:5" ht="18.75">
      <c r="A3331" s="89" t="str">
        <f t="shared" ref="A3331:A3394" si="52">"#"&amp;B3331</f>
        <v>#22071</v>
      </c>
      <c r="B3331" s="138" t="s">
        <v>6971</v>
      </c>
      <c r="C3331" s="252" t="s">
        <v>6970</v>
      </c>
      <c r="D3331" s="240">
        <v>44670</v>
      </c>
      <c r="E3331" s="138" t="s">
        <v>1098</v>
      </c>
    </row>
    <row r="3332" spans="1:5" ht="18.75">
      <c r="A3332" s="89" t="str">
        <f t="shared" si="52"/>
        <v>#22077</v>
      </c>
      <c r="B3332" s="138" t="s">
        <v>6973</v>
      </c>
      <c r="C3332" s="252" t="s">
        <v>6972</v>
      </c>
      <c r="D3332" s="240">
        <v>44670</v>
      </c>
      <c r="E3332" s="138" t="s">
        <v>1098</v>
      </c>
    </row>
    <row r="3333" spans="1:5" ht="18.75">
      <c r="A3333" s="89" t="str">
        <f t="shared" si="52"/>
        <v>#22079</v>
      </c>
      <c r="B3333" s="138" t="s">
        <v>6975</v>
      </c>
      <c r="C3333" s="252" t="s">
        <v>6974</v>
      </c>
      <c r="D3333" s="240">
        <v>44670</v>
      </c>
      <c r="E3333" s="138" t="s">
        <v>1098</v>
      </c>
    </row>
    <row r="3334" spans="1:5" ht="18.75">
      <c r="A3334" s="89" t="str">
        <f t="shared" si="52"/>
        <v>#22083</v>
      </c>
      <c r="B3334" s="138" t="s">
        <v>6977</v>
      </c>
      <c r="C3334" s="252" t="s">
        <v>6976</v>
      </c>
      <c r="D3334" s="240">
        <v>44670</v>
      </c>
      <c r="E3334" s="138" t="s">
        <v>1098</v>
      </c>
    </row>
    <row r="3335" spans="1:5" ht="18.75">
      <c r="A3335" s="89" t="str">
        <f t="shared" si="52"/>
        <v>#22088</v>
      </c>
      <c r="B3335" s="138" t="s">
        <v>6978</v>
      </c>
      <c r="C3335" s="252" t="s">
        <v>4762</v>
      </c>
      <c r="D3335" s="240">
        <v>44670</v>
      </c>
      <c r="E3335" s="138" t="s">
        <v>1188</v>
      </c>
    </row>
    <row r="3336" spans="1:5" ht="18.75">
      <c r="A3336" s="89" t="str">
        <f t="shared" si="52"/>
        <v>#22093</v>
      </c>
      <c r="B3336" s="138" t="s">
        <v>6980</v>
      </c>
      <c r="C3336" s="252" t="s">
        <v>6979</v>
      </c>
      <c r="D3336" s="240">
        <v>44677</v>
      </c>
      <c r="E3336" s="138" t="s">
        <v>895</v>
      </c>
    </row>
    <row r="3337" spans="1:5" ht="18.75">
      <c r="A3337" s="89" t="str">
        <f t="shared" si="52"/>
        <v>#22094</v>
      </c>
      <c r="B3337" s="138" t="s">
        <v>6982</v>
      </c>
      <c r="C3337" s="252" t="s">
        <v>6981</v>
      </c>
      <c r="D3337" s="240">
        <v>44677</v>
      </c>
      <c r="E3337" s="138" t="s">
        <v>752</v>
      </c>
    </row>
    <row r="3338" spans="1:5" ht="18.75">
      <c r="A3338" s="89" t="str">
        <f t="shared" si="52"/>
        <v>#22095</v>
      </c>
      <c r="B3338" s="138" t="s">
        <v>6984</v>
      </c>
      <c r="C3338" s="252" t="s">
        <v>6983</v>
      </c>
      <c r="D3338" s="240">
        <v>44677</v>
      </c>
      <c r="E3338" s="138" t="s">
        <v>752</v>
      </c>
    </row>
    <row r="3339" spans="1:5" ht="18.75">
      <c r="A3339" s="89" t="str">
        <f t="shared" si="52"/>
        <v>#22104</v>
      </c>
      <c r="B3339" s="138" t="s">
        <v>6986</v>
      </c>
      <c r="C3339" s="252" t="s">
        <v>6985</v>
      </c>
      <c r="D3339" s="240">
        <v>44677</v>
      </c>
      <c r="E3339" s="138" t="s">
        <v>1085</v>
      </c>
    </row>
    <row r="3340" spans="1:5" ht="18.75">
      <c r="A3340" s="89" t="str">
        <f t="shared" si="52"/>
        <v>#22127</v>
      </c>
      <c r="B3340" s="138" t="s">
        <v>6988</v>
      </c>
      <c r="C3340" s="252" t="s">
        <v>6987</v>
      </c>
      <c r="D3340" s="240">
        <v>44677</v>
      </c>
      <c r="E3340" s="138" t="s">
        <v>927</v>
      </c>
    </row>
    <row r="3341" spans="1:5" ht="18.75">
      <c r="A3341" s="89" t="str">
        <f t="shared" si="52"/>
        <v>#22128</v>
      </c>
      <c r="B3341" s="138" t="s">
        <v>6990</v>
      </c>
      <c r="C3341" s="252" t="s">
        <v>6989</v>
      </c>
      <c r="D3341" s="240">
        <v>44677</v>
      </c>
      <c r="E3341" s="138" t="s">
        <v>927</v>
      </c>
    </row>
    <row r="3342" spans="1:5" ht="18.75">
      <c r="A3342" s="89" t="str">
        <f t="shared" si="52"/>
        <v>#22132</v>
      </c>
      <c r="B3342" s="138" t="s">
        <v>6992</v>
      </c>
      <c r="C3342" s="252" t="s">
        <v>6991</v>
      </c>
      <c r="D3342" s="240">
        <v>44677</v>
      </c>
      <c r="E3342" s="138" t="s">
        <v>948</v>
      </c>
    </row>
    <row r="3343" spans="1:5" ht="18.75">
      <c r="A3343" s="89" t="str">
        <f t="shared" si="52"/>
        <v>#22133</v>
      </c>
      <c r="B3343" s="138" t="s">
        <v>6994</v>
      </c>
      <c r="C3343" s="252" t="s">
        <v>6993</v>
      </c>
      <c r="D3343" s="240">
        <v>44677</v>
      </c>
      <c r="E3343" s="138" t="s">
        <v>948</v>
      </c>
    </row>
    <row r="3344" spans="1:5" ht="18.75">
      <c r="A3344" s="89" t="str">
        <f t="shared" si="52"/>
        <v>#22135</v>
      </c>
      <c r="B3344" s="138" t="s">
        <v>6995</v>
      </c>
      <c r="C3344" s="252" t="s">
        <v>4665</v>
      </c>
      <c r="D3344" s="240">
        <v>44677</v>
      </c>
      <c r="E3344" s="138" t="s">
        <v>948</v>
      </c>
    </row>
    <row r="3345" spans="1:5" ht="18.75">
      <c r="A3345" s="89" t="str">
        <f t="shared" si="52"/>
        <v>#22138</v>
      </c>
      <c r="B3345" s="138" t="s">
        <v>6997</v>
      </c>
      <c r="C3345" s="252" t="s">
        <v>6996</v>
      </c>
      <c r="D3345" s="240">
        <v>44677</v>
      </c>
      <c r="E3345" s="138" t="s">
        <v>924</v>
      </c>
    </row>
    <row r="3346" spans="1:5" ht="18.75">
      <c r="A3346" s="89" t="str">
        <f t="shared" si="52"/>
        <v>#22144</v>
      </c>
      <c r="B3346" s="138" t="s">
        <v>6998</v>
      </c>
      <c r="C3346" s="252" t="s">
        <v>4483</v>
      </c>
      <c r="D3346" s="240">
        <v>44677</v>
      </c>
      <c r="E3346" s="138" t="s">
        <v>924</v>
      </c>
    </row>
    <row r="3347" spans="1:5" ht="18.75">
      <c r="A3347" s="89" t="str">
        <f t="shared" si="52"/>
        <v>#22145</v>
      </c>
      <c r="B3347" s="138" t="s">
        <v>7000</v>
      </c>
      <c r="C3347" s="252" t="s">
        <v>6999</v>
      </c>
      <c r="D3347" s="240">
        <v>44677</v>
      </c>
      <c r="E3347" s="138" t="s">
        <v>890</v>
      </c>
    </row>
    <row r="3348" spans="1:5" ht="18.75">
      <c r="A3348" s="89" t="str">
        <f t="shared" si="52"/>
        <v>#22147</v>
      </c>
      <c r="B3348" s="138" t="s">
        <v>7002</v>
      </c>
      <c r="C3348" s="252" t="s">
        <v>7001</v>
      </c>
      <c r="D3348" s="240">
        <v>44684</v>
      </c>
      <c r="E3348" s="138" t="s">
        <v>1168</v>
      </c>
    </row>
    <row r="3349" spans="1:5" ht="18.75">
      <c r="A3349" s="89" t="str">
        <f t="shared" si="52"/>
        <v>#22169</v>
      </c>
      <c r="B3349" s="138" t="s">
        <v>7004</v>
      </c>
      <c r="C3349" s="252" t="s">
        <v>7003</v>
      </c>
      <c r="D3349" s="240">
        <v>44686</v>
      </c>
      <c r="E3349" s="138" t="s">
        <v>890</v>
      </c>
    </row>
    <row r="3350" spans="1:5" ht="18.75">
      <c r="A3350" s="89" t="str">
        <f t="shared" si="52"/>
        <v>#22185</v>
      </c>
      <c r="B3350" s="138" t="s">
        <v>7005</v>
      </c>
      <c r="C3350" s="252" t="s">
        <v>2014</v>
      </c>
      <c r="D3350" s="240">
        <v>44692</v>
      </c>
      <c r="E3350" s="138" t="s">
        <v>1063</v>
      </c>
    </row>
    <row r="3351" spans="1:5" ht="18.75">
      <c r="A3351" s="89" t="str">
        <f t="shared" si="52"/>
        <v>#22186</v>
      </c>
      <c r="B3351" s="138" t="s">
        <v>7007</v>
      </c>
      <c r="C3351" s="252" t="s">
        <v>7006</v>
      </c>
      <c r="D3351" s="240">
        <v>44692</v>
      </c>
      <c r="E3351" s="138" t="s">
        <v>1063</v>
      </c>
    </row>
    <row r="3352" spans="1:5" ht="18.75">
      <c r="A3352" s="89" t="str">
        <f t="shared" si="52"/>
        <v>#22190</v>
      </c>
      <c r="B3352" s="138" t="s">
        <v>7009</v>
      </c>
      <c r="C3352" s="252" t="s">
        <v>7008</v>
      </c>
      <c r="D3352" s="240">
        <v>44692</v>
      </c>
      <c r="E3352" s="138" t="s">
        <v>1487</v>
      </c>
    </row>
    <row r="3353" spans="1:5" ht="18.75">
      <c r="A3353" s="89" t="str">
        <f t="shared" si="52"/>
        <v>#22192</v>
      </c>
      <c r="B3353" s="138" t="s">
        <v>7010</v>
      </c>
      <c r="C3353" s="252" t="s">
        <v>2229</v>
      </c>
      <c r="D3353" s="240">
        <v>44692</v>
      </c>
      <c r="E3353" s="206" t="s">
        <v>915</v>
      </c>
    </row>
    <row r="3354" spans="1:5" ht="18.75">
      <c r="A3354" s="89" t="str">
        <f t="shared" si="52"/>
        <v>#22193</v>
      </c>
      <c r="B3354" s="138" t="s">
        <v>7012</v>
      </c>
      <c r="C3354" s="252" t="s">
        <v>7011</v>
      </c>
      <c r="D3354" s="240">
        <v>44692</v>
      </c>
      <c r="E3354" s="138" t="s">
        <v>1487</v>
      </c>
    </row>
    <row r="3355" spans="1:5" ht="18.75">
      <c r="A3355" s="89" t="str">
        <f t="shared" si="52"/>
        <v>#22194</v>
      </c>
      <c r="B3355" s="138" t="s">
        <v>7013</v>
      </c>
      <c r="C3355" s="252" t="s">
        <v>1053</v>
      </c>
      <c r="D3355" s="240">
        <v>44692</v>
      </c>
      <c r="E3355" s="138" t="s">
        <v>1085</v>
      </c>
    </row>
    <row r="3356" spans="1:5" ht="18.75">
      <c r="A3356" s="89" t="str">
        <f t="shared" si="52"/>
        <v>#22197</v>
      </c>
      <c r="B3356" s="138" t="s">
        <v>7015</v>
      </c>
      <c r="C3356" s="252" t="s">
        <v>7014</v>
      </c>
      <c r="D3356" s="240">
        <v>44692</v>
      </c>
      <c r="E3356" s="138" t="s">
        <v>1085</v>
      </c>
    </row>
    <row r="3357" spans="1:5" ht="18.75">
      <c r="A3357" s="89" t="str">
        <f t="shared" si="52"/>
        <v>#22204</v>
      </c>
      <c r="B3357" s="138" t="s">
        <v>7017</v>
      </c>
      <c r="C3357" s="252" t="s">
        <v>7016</v>
      </c>
      <c r="D3357" s="240">
        <v>44692</v>
      </c>
      <c r="E3357" s="138" t="s">
        <v>1085</v>
      </c>
    </row>
    <row r="3358" spans="1:5" ht="18.75">
      <c r="A3358" s="89" t="str">
        <f t="shared" si="52"/>
        <v>#22206</v>
      </c>
      <c r="B3358" s="138" t="s">
        <v>7018</v>
      </c>
      <c r="C3358" s="252" t="s">
        <v>3710</v>
      </c>
      <c r="D3358" s="240">
        <v>44692</v>
      </c>
      <c r="E3358" s="138" t="s">
        <v>1085</v>
      </c>
    </row>
    <row r="3359" spans="1:5" ht="18.75">
      <c r="A3359" s="89" t="str">
        <f t="shared" si="52"/>
        <v>#22213</v>
      </c>
      <c r="B3359" s="138" t="s">
        <v>7020</v>
      </c>
      <c r="C3359" s="252" t="s">
        <v>7019</v>
      </c>
      <c r="D3359" s="240">
        <v>44692</v>
      </c>
      <c r="E3359" s="138" t="s">
        <v>927</v>
      </c>
    </row>
    <row r="3360" spans="1:5" ht="18.75">
      <c r="A3360" s="89" t="str">
        <f t="shared" si="52"/>
        <v>#22216</v>
      </c>
      <c r="B3360" s="138" t="s">
        <v>7022</v>
      </c>
      <c r="C3360" s="252" t="s">
        <v>7021</v>
      </c>
      <c r="D3360" s="240">
        <v>44692</v>
      </c>
      <c r="E3360" s="138" t="s">
        <v>927</v>
      </c>
    </row>
    <row r="3361" spans="1:5" ht="18.75">
      <c r="A3361" s="89" t="str">
        <f t="shared" si="52"/>
        <v>#22218</v>
      </c>
      <c r="B3361" s="138" t="s">
        <v>7024</v>
      </c>
      <c r="C3361" s="252" t="s">
        <v>7023</v>
      </c>
      <c r="D3361" s="240">
        <v>44692</v>
      </c>
      <c r="E3361" s="138" t="s">
        <v>927</v>
      </c>
    </row>
    <row r="3362" spans="1:5" ht="18.75">
      <c r="A3362" s="89" t="str">
        <f t="shared" si="52"/>
        <v>#22223</v>
      </c>
      <c r="B3362" s="138" t="s">
        <v>7025</v>
      </c>
      <c r="C3362" s="252" t="s">
        <v>3730</v>
      </c>
      <c r="D3362" s="240">
        <v>44692</v>
      </c>
      <c r="E3362" s="138" t="s">
        <v>927</v>
      </c>
    </row>
    <row r="3363" spans="1:5" ht="18.75">
      <c r="A3363" s="89" t="str">
        <f t="shared" si="52"/>
        <v>#22227</v>
      </c>
      <c r="B3363" s="138" t="s">
        <v>7027</v>
      </c>
      <c r="C3363" s="252" t="s">
        <v>7026</v>
      </c>
      <c r="D3363" s="240">
        <v>44692</v>
      </c>
      <c r="E3363" s="138" t="s">
        <v>927</v>
      </c>
    </row>
    <row r="3364" spans="1:5" ht="18.75">
      <c r="A3364" s="89" t="str">
        <f t="shared" si="52"/>
        <v>#22232</v>
      </c>
      <c r="B3364" s="138" t="s">
        <v>7029</v>
      </c>
      <c r="C3364" s="252" t="s">
        <v>7028</v>
      </c>
      <c r="D3364" s="240">
        <v>44699</v>
      </c>
      <c r="E3364" s="138" t="s">
        <v>906</v>
      </c>
    </row>
    <row r="3365" spans="1:5" ht="18.75">
      <c r="A3365" s="89" t="str">
        <f t="shared" si="52"/>
        <v>#22233</v>
      </c>
      <c r="B3365" s="138" t="s">
        <v>7030</v>
      </c>
      <c r="C3365" s="252" t="s">
        <v>1619</v>
      </c>
      <c r="D3365" s="240">
        <v>44699</v>
      </c>
      <c r="E3365" s="138" t="s">
        <v>906</v>
      </c>
    </row>
    <row r="3366" spans="1:5" ht="18.75">
      <c r="A3366" s="89" t="str">
        <f t="shared" si="52"/>
        <v>#22250</v>
      </c>
      <c r="B3366" s="138" t="s">
        <v>7032</v>
      </c>
      <c r="C3366" s="252" t="s">
        <v>7031</v>
      </c>
      <c r="D3366" s="240">
        <v>44699</v>
      </c>
      <c r="E3366" s="138" t="s">
        <v>1380</v>
      </c>
    </row>
    <row r="3367" spans="1:5" ht="18.75">
      <c r="A3367" s="89" t="str">
        <f t="shared" si="52"/>
        <v>#22252</v>
      </c>
      <c r="B3367" s="138" t="s">
        <v>7033</v>
      </c>
      <c r="C3367" s="252" t="s">
        <v>1340</v>
      </c>
      <c r="D3367" s="240">
        <v>44699</v>
      </c>
      <c r="E3367" s="206" t="s">
        <v>915</v>
      </c>
    </row>
    <row r="3368" spans="1:5" ht="18.75">
      <c r="A3368" s="89" t="str">
        <f t="shared" si="52"/>
        <v>#22259</v>
      </c>
      <c r="B3368" s="138" t="s">
        <v>7035</v>
      </c>
      <c r="C3368" s="252" t="s">
        <v>7034</v>
      </c>
      <c r="D3368" s="240">
        <v>44704</v>
      </c>
      <c r="E3368" s="138" t="s">
        <v>1191</v>
      </c>
    </row>
    <row r="3369" spans="1:5" ht="18.75">
      <c r="A3369" s="89" t="str">
        <f t="shared" si="52"/>
        <v>#22295</v>
      </c>
      <c r="B3369" s="138" t="s">
        <v>7036</v>
      </c>
      <c r="C3369" s="252" t="s">
        <v>3474</v>
      </c>
      <c r="D3369" s="240">
        <v>44713</v>
      </c>
      <c r="E3369" s="138" t="s">
        <v>1034</v>
      </c>
    </row>
    <row r="3370" spans="1:5" ht="18.75">
      <c r="A3370" s="89" t="str">
        <f t="shared" si="52"/>
        <v>#22296</v>
      </c>
      <c r="B3370" s="138" t="s">
        <v>7038</v>
      </c>
      <c r="C3370" s="252" t="s">
        <v>7037</v>
      </c>
      <c r="D3370" s="240">
        <v>44713</v>
      </c>
      <c r="E3370" s="138" t="s">
        <v>1188</v>
      </c>
    </row>
    <row r="3371" spans="1:5" ht="18.75">
      <c r="A3371" s="89" t="str">
        <f t="shared" si="52"/>
        <v>#22317</v>
      </c>
      <c r="B3371" s="138" t="s">
        <v>7040</v>
      </c>
      <c r="C3371" s="252" t="s">
        <v>1356</v>
      </c>
      <c r="D3371" s="240">
        <v>44713</v>
      </c>
      <c r="E3371" s="138" t="s">
        <v>903</v>
      </c>
    </row>
    <row r="3372" spans="1:5" ht="18.75">
      <c r="A3372" s="89" t="str">
        <f t="shared" si="52"/>
        <v>#22333</v>
      </c>
      <c r="B3372" s="138" t="s">
        <v>7042</v>
      </c>
      <c r="C3372" s="252" t="s">
        <v>7041</v>
      </c>
      <c r="D3372" s="240">
        <v>44720</v>
      </c>
      <c r="E3372" s="138" t="s">
        <v>7818</v>
      </c>
    </row>
    <row r="3373" spans="1:5" ht="18.75">
      <c r="A3373" s="89" t="str">
        <f t="shared" si="52"/>
        <v>#22358</v>
      </c>
      <c r="B3373" s="138" t="s">
        <v>7043</v>
      </c>
      <c r="C3373" s="252" t="s">
        <v>4358</v>
      </c>
      <c r="D3373" s="240">
        <v>44727</v>
      </c>
      <c r="E3373" s="138" t="s">
        <v>978</v>
      </c>
    </row>
    <row r="3374" spans="1:5" ht="18.75">
      <c r="A3374" s="89" t="str">
        <f t="shared" si="52"/>
        <v>#22360</v>
      </c>
      <c r="B3374" s="138" t="s">
        <v>7045</v>
      </c>
      <c r="C3374" s="252" t="s">
        <v>7044</v>
      </c>
      <c r="D3374" s="240">
        <v>44727</v>
      </c>
      <c r="E3374" s="138" t="s">
        <v>978</v>
      </c>
    </row>
    <row r="3375" spans="1:5" ht="18.75">
      <c r="A3375" s="89" t="str">
        <f t="shared" si="52"/>
        <v>#22363</v>
      </c>
      <c r="B3375" s="138" t="s">
        <v>7047</v>
      </c>
      <c r="C3375" s="252" t="s">
        <v>7046</v>
      </c>
      <c r="D3375" s="240">
        <v>44727</v>
      </c>
      <c r="E3375" s="138" t="s">
        <v>903</v>
      </c>
    </row>
    <row r="3376" spans="1:5" ht="18.75">
      <c r="A3376" s="89" t="str">
        <f t="shared" si="52"/>
        <v>#22368</v>
      </c>
      <c r="B3376" s="138" t="s">
        <v>7049</v>
      </c>
      <c r="C3376" s="252" t="s">
        <v>7048</v>
      </c>
      <c r="D3376" s="240">
        <v>44727</v>
      </c>
      <c r="E3376" s="138" t="s">
        <v>927</v>
      </c>
    </row>
    <row r="3377" spans="1:5" ht="18.75">
      <c r="A3377" s="89" t="str">
        <f t="shared" si="52"/>
        <v>#22374</v>
      </c>
      <c r="B3377" s="138" t="s">
        <v>7050</v>
      </c>
      <c r="C3377" s="252" t="s">
        <v>5636</v>
      </c>
      <c r="D3377" s="240">
        <v>44727</v>
      </c>
      <c r="E3377" s="138" t="s">
        <v>927</v>
      </c>
    </row>
    <row r="3378" spans="1:5" ht="18.75">
      <c r="A3378" s="89" t="str">
        <f t="shared" si="52"/>
        <v>#22380</v>
      </c>
      <c r="B3378" s="138" t="s">
        <v>7052</v>
      </c>
      <c r="C3378" s="252" t="s">
        <v>7051</v>
      </c>
      <c r="D3378" s="240">
        <v>44727</v>
      </c>
      <c r="E3378" s="138" t="s">
        <v>1098</v>
      </c>
    </row>
    <row r="3379" spans="1:5" ht="18.75">
      <c r="A3379" s="89" t="str">
        <f t="shared" si="52"/>
        <v>#22391</v>
      </c>
      <c r="B3379" s="138" t="s">
        <v>7054</v>
      </c>
      <c r="C3379" s="236" t="s">
        <v>7053</v>
      </c>
      <c r="D3379" s="206">
        <v>44734</v>
      </c>
      <c r="E3379" s="138" t="s">
        <v>1451</v>
      </c>
    </row>
    <row r="3380" spans="1:5" ht="18.75">
      <c r="A3380" s="89" t="str">
        <f t="shared" si="52"/>
        <v>#22394</v>
      </c>
      <c r="B3380" s="138" t="s">
        <v>7056</v>
      </c>
      <c r="C3380" s="236" t="s">
        <v>7055</v>
      </c>
      <c r="D3380" s="206">
        <v>44734</v>
      </c>
      <c r="E3380" s="138" t="s">
        <v>1188</v>
      </c>
    </row>
    <row r="3381" spans="1:5" ht="18.75">
      <c r="A3381" s="89" t="str">
        <f t="shared" si="52"/>
        <v>#22409</v>
      </c>
      <c r="B3381" s="138" t="s">
        <v>7058</v>
      </c>
      <c r="C3381" s="236" t="s">
        <v>7057</v>
      </c>
      <c r="D3381" s="206">
        <v>44734</v>
      </c>
      <c r="E3381" s="138" t="s">
        <v>1487</v>
      </c>
    </row>
    <row r="3382" spans="1:5" ht="18.75">
      <c r="A3382" s="89" t="str">
        <f t="shared" si="52"/>
        <v>#22410</v>
      </c>
      <c r="B3382" s="138" t="s">
        <v>7060</v>
      </c>
      <c r="C3382" s="236" t="s">
        <v>7059</v>
      </c>
      <c r="D3382" s="206">
        <v>44734</v>
      </c>
      <c r="E3382" s="138" t="s">
        <v>1487</v>
      </c>
    </row>
    <row r="3383" spans="1:5" ht="18.75">
      <c r="A3383" s="89" t="str">
        <f t="shared" si="52"/>
        <v>#22411</v>
      </c>
      <c r="B3383" s="138" t="s">
        <v>7062</v>
      </c>
      <c r="C3383" s="236" t="s">
        <v>7061</v>
      </c>
      <c r="D3383" s="206">
        <v>44734</v>
      </c>
      <c r="E3383" s="138" t="s">
        <v>1487</v>
      </c>
    </row>
    <row r="3384" spans="1:5" ht="18.75">
      <c r="A3384" s="89" t="str">
        <f t="shared" si="52"/>
        <v>#22414</v>
      </c>
      <c r="B3384" s="138" t="s">
        <v>7064</v>
      </c>
      <c r="C3384" s="236" t="s">
        <v>7063</v>
      </c>
      <c r="D3384" s="206">
        <v>44734</v>
      </c>
      <c r="E3384" s="138" t="s">
        <v>1487</v>
      </c>
    </row>
    <row r="3385" spans="1:5" ht="18.75">
      <c r="A3385" s="89" t="str">
        <f t="shared" si="52"/>
        <v>#22424</v>
      </c>
      <c r="B3385" s="138" t="s">
        <v>7066</v>
      </c>
      <c r="C3385" s="236" t="s">
        <v>7065</v>
      </c>
      <c r="D3385" s="206">
        <v>44734</v>
      </c>
      <c r="E3385" s="138" t="s">
        <v>937</v>
      </c>
    </row>
    <row r="3386" spans="1:5" ht="15.75">
      <c r="A3386" s="89" t="str">
        <f t="shared" si="52"/>
        <v>#22445</v>
      </c>
      <c r="B3386" s="138" t="s">
        <v>7068</v>
      </c>
      <c r="C3386" s="254" t="s">
        <v>7067</v>
      </c>
      <c r="D3386" s="138">
        <v>44743</v>
      </c>
      <c r="E3386" s="138" t="s">
        <v>1188</v>
      </c>
    </row>
    <row r="3387" spans="1:5" ht="15.75">
      <c r="A3387" s="89" t="str">
        <f t="shared" si="52"/>
        <v>#22450</v>
      </c>
      <c r="B3387" s="138" t="s">
        <v>7069</v>
      </c>
      <c r="C3387" s="254" t="s">
        <v>2576</v>
      </c>
      <c r="D3387" s="138">
        <v>44743</v>
      </c>
      <c r="E3387" s="138" t="s">
        <v>1188</v>
      </c>
    </row>
    <row r="3388" spans="1:5" ht="15.75">
      <c r="A3388" s="89" t="str">
        <f t="shared" si="52"/>
        <v>#22452</v>
      </c>
      <c r="B3388" s="138" t="s">
        <v>7070</v>
      </c>
      <c r="C3388" s="254" t="s">
        <v>5405</v>
      </c>
      <c r="D3388" s="138">
        <v>44743</v>
      </c>
      <c r="E3388" s="138" t="s">
        <v>1085</v>
      </c>
    </row>
    <row r="3389" spans="1:5" ht="15.75">
      <c r="A3389" s="89" t="str">
        <f t="shared" si="52"/>
        <v>#22458</v>
      </c>
      <c r="B3389" s="138" t="s">
        <v>7072</v>
      </c>
      <c r="C3389" s="254" t="s">
        <v>7071</v>
      </c>
      <c r="D3389" s="138">
        <v>44743</v>
      </c>
      <c r="E3389" s="138" t="s">
        <v>978</v>
      </c>
    </row>
    <row r="3390" spans="1:5" ht="15.75">
      <c r="A3390" s="89" t="str">
        <f t="shared" si="52"/>
        <v>#22479</v>
      </c>
      <c r="B3390" s="138" t="s">
        <v>7074</v>
      </c>
      <c r="C3390" s="254" t="s">
        <v>7073</v>
      </c>
      <c r="D3390" s="138">
        <v>44743</v>
      </c>
      <c r="E3390" s="138" t="s">
        <v>1215</v>
      </c>
    </row>
    <row r="3391" spans="1:5" ht="15.75">
      <c r="A3391" s="89" t="str">
        <f t="shared" si="52"/>
        <v>#22491</v>
      </c>
      <c r="B3391" s="138" t="s">
        <v>7076</v>
      </c>
      <c r="C3391" s="254" t="s">
        <v>7075</v>
      </c>
      <c r="D3391" s="138">
        <v>44747</v>
      </c>
      <c r="E3391" s="138" t="s">
        <v>1716</v>
      </c>
    </row>
    <row r="3392" spans="1:5" ht="15.75">
      <c r="A3392" s="89" t="str">
        <f t="shared" si="52"/>
        <v>#22493</v>
      </c>
      <c r="B3392" s="138" t="s">
        <v>7078</v>
      </c>
      <c r="C3392" s="254" t="s">
        <v>7077</v>
      </c>
      <c r="D3392" s="138">
        <v>44747</v>
      </c>
      <c r="E3392" s="138" t="s">
        <v>1716</v>
      </c>
    </row>
    <row r="3393" spans="1:5" ht="15.75">
      <c r="A3393" s="89" t="str">
        <f t="shared" si="52"/>
        <v>#22496</v>
      </c>
      <c r="B3393" s="138" t="s">
        <v>7080</v>
      </c>
      <c r="C3393" s="254" t="s">
        <v>7079</v>
      </c>
      <c r="D3393" s="138">
        <v>44747</v>
      </c>
      <c r="E3393" s="138" t="s">
        <v>948</v>
      </c>
    </row>
    <row r="3394" spans="1:5" ht="15.75">
      <c r="A3394" s="89" t="str">
        <f t="shared" si="52"/>
        <v>#22504</v>
      </c>
      <c r="B3394" s="138" t="s">
        <v>7082</v>
      </c>
      <c r="C3394" s="254" t="s">
        <v>7081</v>
      </c>
      <c r="D3394" s="138">
        <v>44747</v>
      </c>
      <c r="E3394" s="138" t="s">
        <v>1098</v>
      </c>
    </row>
    <row r="3395" spans="1:5" ht="15.75">
      <c r="A3395" s="89" t="str">
        <f t="shared" ref="A3395:A3458" si="53">"#"&amp;B3395</f>
        <v>#22510</v>
      </c>
      <c r="B3395" s="138" t="s">
        <v>7084</v>
      </c>
      <c r="C3395" s="254" t="s">
        <v>7083</v>
      </c>
      <c r="D3395" s="138">
        <v>44747</v>
      </c>
      <c r="E3395" s="138" t="s">
        <v>1487</v>
      </c>
    </row>
    <row r="3396" spans="1:5" ht="15.75">
      <c r="A3396" s="89" t="str">
        <f t="shared" si="53"/>
        <v>#22511</v>
      </c>
      <c r="B3396" s="138" t="s">
        <v>7085</v>
      </c>
      <c r="C3396" s="254" t="s">
        <v>1556</v>
      </c>
      <c r="D3396" s="138">
        <v>44747</v>
      </c>
      <c r="E3396" s="138" t="s">
        <v>1487</v>
      </c>
    </row>
    <row r="3397" spans="1:5" ht="15.75">
      <c r="A3397" s="89" t="str">
        <f t="shared" si="53"/>
        <v>#22518</v>
      </c>
      <c r="B3397" s="138" t="s">
        <v>7087</v>
      </c>
      <c r="C3397" s="254" t="s">
        <v>7086</v>
      </c>
      <c r="D3397" s="138">
        <v>44747</v>
      </c>
      <c r="E3397" s="138" t="s">
        <v>915</v>
      </c>
    </row>
    <row r="3398" spans="1:5" ht="15.75">
      <c r="A3398" s="89" t="str">
        <f t="shared" si="53"/>
        <v>#22525</v>
      </c>
      <c r="B3398" s="138" t="s">
        <v>7089</v>
      </c>
      <c r="C3398" s="254" t="s">
        <v>7088</v>
      </c>
      <c r="D3398" s="138">
        <v>44747</v>
      </c>
      <c r="E3398" s="138" t="s">
        <v>1098</v>
      </c>
    </row>
    <row r="3399" spans="1:5" ht="15.75">
      <c r="A3399" s="89" t="str">
        <f t="shared" si="53"/>
        <v>#22531</v>
      </c>
      <c r="B3399" s="138" t="s">
        <v>7091</v>
      </c>
      <c r="C3399" s="254" t="s">
        <v>7090</v>
      </c>
      <c r="D3399" s="138">
        <v>44748</v>
      </c>
      <c r="E3399" s="138" t="s">
        <v>948</v>
      </c>
    </row>
    <row r="3400" spans="1:5" ht="15.75">
      <c r="A3400" s="89" t="str">
        <f t="shared" si="53"/>
        <v>#22532</v>
      </c>
      <c r="B3400" s="138" t="s">
        <v>7092</v>
      </c>
      <c r="C3400" s="254" t="s">
        <v>3394</v>
      </c>
      <c r="D3400" s="138">
        <v>44748</v>
      </c>
      <c r="E3400" s="138" t="s">
        <v>1133</v>
      </c>
    </row>
    <row r="3401" spans="1:5" ht="15.75">
      <c r="A3401" s="89" t="str">
        <f t="shared" si="53"/>
        <v>#22533</v>
      </c>
      <c r="B3401" s="138" t="s">
        <v>7094</v>
      </c>
      <c r="C3401" s="254" t="s">
        <v>7093</v>
      </c>
      <c r="D3401" s="138">
        <v>44748</v>
      </c>
      <c r="E3401" s="138" t="s">
        <v>1133</v>
      </c>
    </row>
    <row r="3402" spans="1:5" ht="15.75">
      <c r="A3402" s="89" t="str">
        <f t="shared" si="53"/>
        <v>#22538</v>
      </c>
      <c r="B3402" s="138" t="s">
        <v>7096</v>
      </c>
      <c r="C3402" s="254" t="s">
        <v>7095</v>
      </c>
      <c r="D3402" s="138">
        <v>44748</v>
      </c>
      <c r="E3402" s="138" t="s">
        <v>927</v>
      </c>
    </row>
    <row r="3403" spans="1:5" ht="15.75">
      <c r="A3403" s="89" t="str">
        <f t="shared" si="53"/>
        <v>#22550</v>
      </c>
      <c r="B3403" s="138" t="s">
        <v>7098</v>
      </c>
      <c r="C3403" s="254" t="s">
        <v>7097</v>
      </c>
      <c r="D3403" s="138">
        <v>44748</v>
      </c>
      <c r="E3403" s="138" t="s">
        <v>1188</v>
      </c>
    </row>
    <row r="3404" spans="1:5" ht="15.75">
      <c r="A3404" s="89" t="str">
        <f t="shared" si="53"/>
        <v>#22552</v>
      </c>
      <c r="B3404" s="138" t="s">
        <v>7100</v>
      </c>
      <c r="C3404" s="254" t="s">
        <v>7099</v>
      </c>
      <c r="D3404" s="138">
        <v>44748</v>
      </c>
      <c r="E3404" s="138" t="s">
        <v>1113</v>
      </c>
    </row>
    <row r="3405" spans="1:5" ht="15.75">
      <c r="A3405" s="89" t="str">
        <f t="shared" si="53"/>
        <v>#22566</v>
      </c>
      <c r="B3405" s="138" t="s">
        <v>7102</v>
      </c>
      <c r="C3405" s="254" t="s">
        <v>7101</v>
      </c>
      <c r="D3405" s="138">
        <v>44748</v>
      </c>
      <c r="E3405" s="138" t="s">
        <v>978</v>
      </c>
    </row>
    <row r="3406" spans="1:5" ht="15.75">
      <c r="A3406" s="89" t="str">
        <f t="shared" si="53"/>
        <v>#22581</v>
      </c>
      <c r="B3406" s="138" t="s">
        <v>7104</v>
      </c>
      <c r="C3406" s="254" t="s">
        <v>7103</v>
      </c>
      <c r="D3406" s="138">
        <v>44748</v>
      </c>
      <c r="E3406" s="138" t="s">
        <v>7818</v>
      </c>
    </row>
    <row r="3407" spans="1:5" ht="18.75">
      <c r="A3407" s="89" t="str">
        <f t="shared" si="53"/>
        <v>#22591</v>
      </c>
      <c r="B3407" s="138" t="s">
        <v>7106</v>
      </c>
      <c r="C3407" s="186" t="s">
        <v>7105</v>
      </c>
      <c r="D3407" s="138">
        <v>44750</v>
      </c>
      <c r="E3407" s="138" t="s">
        <v>1188</v>
      </c>
    </row>
    <row r="3408" spans="1:5" ht="18.75">
      <c r="A3408" s="89" t="str">
        <f t="shared" si="53"/>
        <v>#22595</v>
      </c>
      <c r="B3408" s="138" t="s">
        <v>7107</v>
      </c>
      <c r="C3408" s="186" t="s">
        <v>3857</v>
      </c>
      <c r="D3408" s="138">
        <v>44750</v>
      </c>
      <c r="E3408" s="138" t="s">
        <v>1188</v>
      </c>
    </row>
    <row r="3409" spans="1:5" ht="18.75">
      <c r="A3409" s="89" t="str">
        <f t="shared" si="53"/>
        <v>#22599</v>
      </c>
      <c r="B3409" s="138" t="s">
        <v>7108</v>
      </c>
      <c r="C3409" s="186" t="s">
        <v>4276</v>
      </c>
      <c r="D3409" s="138">
        <v>44750</v>
      </c>
      <c r="E3409" s="138" t="s">
        <v>978</v>
      </c>
    </row>
    <row r="3410" spans="1:5" ht="18.75">
      <c r="A3410" s="89" t="str">
        <f t="shared" si="53"/>
        <v>#22603</v>
      </c>
      <c r="B3410" s="138" t="s">
        <v>7110</v>
      </c>
      <c r="C3410" s="186" t="s">
        <v>7109</v>
      </c>
      <c r="D3410" s="138">
        <v>44750</v>
      </c>
      <c r="E3410" s="138" t="s">
        <v>927</v>
      </c>
    </row>
    <row r="3411" spans="1:5" ht="18.75">
      <c r="A3411" s="89" t="str">
        <f t="shared" si="53"/>
        <v>#22632</v>
      </c>
      <c r="B3411" s="138" t="s">
        <v>7112</v>
      </c>
      <c r="C3411" s="186" t="s">
        <v>7111</v>
      </c>
      <c r="D3411" s="138">
        <v>44750</v>
      </c>
      <c r="E3411" s="138" t="s">
        <v>890</v>
      </c>
    </row>
    <row r="3412" spans="1:5" ht="18.75">
      <c r="A3412" s="89" t="str">
        <f t="shared" si="53"/>
        <v>#22641</v>
      </c>
      <c r="B3412" s="138" t="s">
        <v>7114</v>
      </c>
      <c r="C3412" s="186" t="s">
        <v>7113</v>
      </c>
      <c r="D3412" s="138">
        <v>44750</v>
      </c>
      <c r="E3412" s="138" t="s">
        <v>1098</v>
      </c>
    </row>
    <row r="3413" spans="1:5" ht="18.75">
      <c r="A3413" s="89" t="str">
        <f t="shared" si="53"/>
        <v>#22644</v>
      </c>
      <c r="B3413" s="138" t="s">
        <v>7116</v>
      </c>
      <c r="C3413" s="186" t="s">
        <v>7115</v>
      </c>
      <c r="D3413" s="138">
        <v>44750</v>
      </c>
      <c r="E3413" s="138" t="s">
        <v>1487</v>
      </c>
    </row>
    <row r="3414" spans="1:5" ht="18.75">
      <c r="A3414" s="89" t="str">
        <f t="shared" si="53"/>
        <v>#22647</v>
      </c>
      <c r="B3414" s="138" t="s">
        <v>7117</v>
      </c>
      <c r="C3414" s="186" t="s">
        <v>1374</v>
      </c>
      <c r="D3414" s="138">
        <v>44750</v>
      </c>
      <c r="E3414" s="138" t="s">
        <v>915</v>
      </c>
    </row>
    <row r="3415" spans="1:5" ht="18.75">
      <c r="A3415" s="89" t="str">
        <f t="shared" si="53"/>
        <v>#22658</v>
      </c>
      <c r="B3415" s="138" t="s">
        <v>7119</v>
      </c>
      <c r="C3415" s="186" t="s">
        <v>7118</v>
      </c>
      <c r="D3415" s="138">
        <v>44755</v>
      </c>
      <c r="E3415" s="138" t="s">
        <v>1215</v>
      </c>
    </row>
    <row r="3416" spans="1:5" ht="18.75">
      <c r="A3416" s="89" t="str">
        <f t="shared" si="53"/>
        <v>#22674</v>
      </c>
      <c r="B3416" s="138" t="s">
        <v>7121</v>
      </c>
      <c r="C3416" s="186" t="s">
        <v>7120</v>
      </c>
      <c r="D3416" s="138">
        <v>44755</v>
      </c>
      <c r="E3416" s="138" t="s">
        <v>1133</v>
      </c>
    </row>
    <row r="3417" spans="1:5" ht="18.75">
      <c r="A3417" s="89" t="str">
        <f t="shared" si="53"/>
        <v>#22685</v>
      </c>
      <c r="B3417" s="138" t="s">
        <v>7123</v>
      </c>
      <c r="C3417" s="186" t="s">
        <v>7122</v>
      </c>
      <c r="D3417" s="138">
        <v>44755</v>
      </c>
      <c r="E3417" s="138" t="s">
        <v>1043</v>
      </c>
    </row>
    <row r="3418" spans="1:5" ht="18.75">
      <c r="A3418" s="89" t="str">
        <f t="shared" si="53"/>
        <v>#22686</v>
      </c>
      <c r="B3418" s="138" t="s">
        <v>7125</v>
      </c>
      <c r="C3418" s="186" t="s">
        <v>7124</v>
      </c>
      <c r="D3418" s="138">
        <v>44755</v>
      </c>
      <c r="E3418" s="138" t="s">
        <v>1043</v>
      </c>
    </row>
    <row r="3419" spans="1:5" ht="18.75">
      <c r="A3419" s="89" t="str">
        <f t="shared" si="53"/>
        <v>#22688</v>
      </c>
      <c r="B3419" s="138" t="s">
        <v>7127</v>
      </c>
      <c r="C3419" s="186" t="s">
        <v>7126</v>
      </c>
      <c r="D3419" s="138">
        <v>44755</v>
      </c>
      <c r="E3419" s="138" t="s">
        <v>1043</v>
      </c>
    </row>
    <row r="3420" spans="1:5" ht="18.75">
      <c r="A3420" s="89" t="str">
        <f t="shared" si="53"/>
        <v>#22690</v>
      </c>
      <c r="B3420" s="138" t="s">
        <v>7129</v>
      </c>
      <c r="C3420" s="186" t="s">
        <v>7128</v>
      </c>
      <c r="D3420" s="138">
        <v>44755</v>
      </c>
      <c r="E3420" s="138" t="s">
        <v>1043</v>
      </c>
    </row>
    <row r="3421" spans="1:5" ht="18.75">
      <c r="A3421" s="89" t="str">
        <f t="shared" si="53"/>
        <v>#22692</v>
      </c>
      <c r="B3421" s="138" t="s">
        <v>7131</v>
      </c>
      <c r="C3421" s="186" t="s">
        <v>7130</v>
      </c>
      <c r="D3421" s="138">
        <v>44755</v>
      </c>
      <c r="E3421" s="138" t="s">
        <v>1043</v>
      </c>
    </row>
    <row r="3422" spans="1:5" ht="18.75">
      <c r="A3422" s="89" t="str">
        <f t="shared" si="53"/>
        <v>#22693</v>
      </c>
      <c r="B3422" s="138" t="s">
        <v>7132</v>
      </c>
      <c r="C3422" s="186" t="s">
        <v>4790</v>
      </c>
      <c r="D3422" s="138">
        <v>44755</v>
      </c>
      <c r="E3422" s="138" t="s">
        <v>1487</v>
      </c>
    </row>
    <row r="3423" spans="1:5" ht="18.75">
      <c r="A3423" s="89" t="str">
        <f t="shared" si="53"/>
        <v>#22694</v>
      </c>
      <c r="B3423" s="138" t="s">
        <v>7134</v>
      </c>
      <c r="C3423" s="186" t="s">
        <v>7133</v>
      </c>
      <c r="D3423" s="138">
        <v>44755</v>
      </c>
      <c r="E3423" s="138" t="s">
        <v>1487</v>
      </c>
    </row>
    <row r="3424" spans="1:5" ht="18.75">
      <c r="A3424" s="89" t="str">
        <f t="shared" si="53"/>
        <v>#22695</v>
      </c>
      <c r="B3424" s="138" t="s">
        <v>7135</v>
      </c>
      <c r="C3424" s="186" t="s">
        <v>2430</v>
      </c>
      <c r="D3424" s="138">
        <v>44755</v>
      </c>
      <c r="E3424" s="138" t="s">
        <v>948</v>
      </c>
    </row>
    <row r="3425" spans="1:5" ht="18.75">
      <c r="A3425" s="89" t="str">
        <f t="shared" si="53"/>
        <v>#22696</v>
      </c>
      <c r="B3425" s="138" t="s">
        <v>7137</v>
      </c>
      <c r="C3425" s="186" t="s">
        <v>7136</v>
      </c>
      <c r="D3425" s="138">
        <v>44755</v>
      </c>
      <c r="E3425" s="138" t="s">
        <v>1487</v>
      </c>
    </row>
    <row r="3426" spans="1:5" ht="18.75">
      <c r="A3426" s="89" t="str">
        <f t="shared" si="53"/>
        <v>#22697</v>
      </c>
      <c r="B3426" s="138" t="s">
        <v>7139</v>
      </c>
      <c r="C3426" s="186" t="s">
        <v>7138</v>
      </c>
      <c r="D3426" s="138">
        <v>44755</v>
      </c>
      <c r="E3426" s="138" t="s">
        <v>1487</v>
      </c>
    </row>
    <row r="3427" spans="1:5" ht="18.75">
      <c r="A3427" s="89" t="str">
        <f t="shared" si="53"/>
        <v>#22701</v>
      </c>
      <c r="B3427" s="138" t="s">
        <v>7140</v>
      </c>
      <c r="C3427" s="186" t="s">
        <v>1383</v>
      </c>
      <c r="D3427" s="138">
        <v>44755</v>
      </c>
      <c r="E3427" s="138" t="s">
        <v>1098</v>
      </c>
    </row>
    <row r="3428" spans="1:5" ht="18.75">
      <c r="A3428" s="89" t="str">
        <f t="shared" si="53"/>
        <v>#22716</v>
      </c>
      <c r="B3428" s="138" t="s">
        <v>7142</v>
      </c>
      <c r="C3428" s="186" t="s">
        <v>7141</v>
      </c>
      <c r="D3428" s="138">
        <v>44755</v>
      </c>
      <c r="E3428" s="138" t="s">
        <v>1098</v>
      </c>
    </row>
    <row r="3429" spans="1:5" ht="18.75">
      <c r="A3429" s="89" t="str">
        <f t="shared" si="53"/>
        <v>#22730</v>
      </c>
      <c r="B3429" s="138" t="s">
        <v>7143</v>
      </c>
      <c r="C3429" s="186" t="s">
        <v>1997</v>
      </c>
      <c r="D3429" s="138">
        <v>44757</v>
      </c>
      <c r="E3429" s="138" t="s">
        <v>7818</v>
      </c>
    </row>
    <row r="3430" spans="1:5" ht="18.75">
      <c r="A3430" s="89" t="str">
        <f t="shared" si="53"/>
        <v>#22756</v>
      </c>
      <c r="B3430" s="138" t="s">
        <v>7145</v>
      </c>
      <c r="C3430" s="186" t="s">
        <v>7144</v>
      </c>
      <c r="D3430" s="138">
        <v>44760</v>
      </c>
      <c r="E3430" s="138" t="s">
        <v>1191</v>
      </c>
    </row>
    <row r="3431" spans="1:5" ht="15.75">
      <c r="A3431" s="89" t="str">
        <f t="shared" si="53"/>
        <v>#22757</v>
      </c>
      <c r="B3431" s="138" t="s">
        <v>7147</v>
      </c>
      <c r="C3431" s="254" t="s">
        <v>7146</v>
      </c>
      <c r="D3431" s="138">
        <v>44762</v>
      </c>
      <c r="E3431" s="138" t="s">
        <v>915</v>
      </c>
    </row>
    <row r="3432" spans="1:5" ht="15.75">
      <c r="A3432" s="89" t="str">
        <f t="shared" si="53"/>
        <v>#22762</v>
      </c>
      <c r="B3432" s="138" t="s">
        <v>7149</v>
      </c>
      <c r="C3432" s="183" t="s">
        <v>7148</v>
      </c>
      <c r="D3432" s="138">
        <v>44762</v>
      </c>
      <c r="E3432" s="138" t="s">
        <v>1098</v>
      </c>
    </row>
    <row r="3433" spans="1:5" ht="15.75">
      <c r="A3433" s="89" t="str">
        <f t="shared" si="53"/>
        <v>#22766</v>
      </c>
      <c r="B3433" s="138" t="s">
        <v>7151</v>
      </c>
      <c r="C3433" s="255" t="s">
        <v>7150</v>
      </c>
      <c r="D3433" s="138">
        <v>44762</v>
      </c>
      <c r="E3433" s="138" t="s">
        <v>895</v>
      </c>
    </row>
    <row r="3434" spans="1:5" ht="15.75">
      <c r="A3434" s="89" t="str">
        <f t="shared" si="53"/>
        <v>#22777</v>
      </c>
      <c r="B3434" s="138" t="s">
        <v>7153</v>
      </c>
      <c r="C3434" s="183" t="s">
        <v>7152</v>
      </c>
      <c r="D3434" s="138">
        <v>44762</v>
      </c>
      <c r="E3434" s="138" t="s">
        <v>927</v>
      </c>
    </row>
    <row r="3435" spans="1:5" ht="15.75">
      <c r="A3435" s="89" t="str">
        <f t="shared" si="53"/>
        <v>#22784</v>
      </c>
      <c r="B3435" s="138" t="s">
        <v>7155</v>
      </c>
      <c r="C3435" s="255" t="s">
        <v>7154</v>
      </c>
      <c r="D3435" s="138">
        <v>44762</v>
      </c>
      <c r="E3435" s="138" t="s">
        <v>927</v>
      </c>
    </row>
    <row r="3436" spans="1:5" ht="15.75">
      <c r="A3436" s="89" t="str">
        <f t="shared" si="53"/>
        <v>#22791</v>
      </c>
      <c r="B3436" s="138" t="s">
        <v>7157</v>
      </c>
      <c r="C3436" s="255" t="s">
        <v>7156</v>
      </c>
      <c r="D3436" s="138">
        <v>44762</v>
      </c>
      <c r="E3436" s="138" t="s">
        <v>978</v>
      </c>
    </row>
    <row r="3437" spans="1:5" ht="15.75">
      <c r="A3437" s="89" t="str">
        <f t="shared" si="53"/>
        <v>#22795</v>
      </c>
      <c r="B3437" s="138" t="s">
        <v>7159</v>
      </c>
      <c r="C3437" s="255" t="s">
        <v>7158</v>
      </c>
      <c r="D3437" s="138">
        <v>44762</v>
      </c>
      <c r="E3437" s="138" t="s">
        <v>1188</v>
      </c>
    </row>
    <row r="3438" spans="1:5" ht="15.75">
      <c r="A3438" s="89" t="str">
        <f t="shared" si="53"/>
        <v>#22796</v>
      </c>
      <c r="B3438" s="138" t="s">
        <v>7160</v>
      </c>
      <c r="C3438" s="255" t="s">
        <v>2234</v>
      </c>
      <c r="D3438" s="138">
        <v>44762</v>
      </c>
      <c r="E3438" s="138" t="s">
        <v>1188</v>
      </c>
    </row>
    <row r="3439" spans="1:5" ht="15.75">
      <c r="A3439" s="89" t="str">
        <f t="shared" si="53"/>
        <v>#22822</v>
      </c>
      <c r="B3439" s="138" t="s">
        <v>7162</v>
      </c>
      <c r="C3439" s="255" t="s">
        <v>7161</v>
      </c>
      <c r="D3439" s="138">
        <v>44763</v>
      </c>
      <c r="E3439" s="138" t="s">
        <v>1098</v>
      </c>
    </row>
    <row r="3440" spans="1:5" ht="15.75">
      <c r="A3440" s="89" t="str">
        <f t="shared" si="53"/>
        <v>#22838</v>
      </c>
      <c r="B3440" s="138" t="s">
        <v>7164</v>
      </c>
      <c r="C3440" s="139" t="s">
        <v>7163</v>
      </c>
      <c r="D3440" s="138">
        <v>44764</v>
      </c>
      <c r="E3440" s="138" t="s">
        <v>903</v>
      </c>
    </row>
    <row r="3441" spans="1:5" ht="15.75">
      <c r="A3441" s="89" t="str">
        <f t="shared" si="53"/>
        <v>#22839</v>
      </c>
      <c r="B3441" s="138" t="s">
        <v>7166</v>
      </c>
      <c r="C3441" s="139" t="s">
        <v>7165</v>
      </c>
      <c r="D3441" s="138">
        <v>44764</v>
      </c>
      <c r="E3441" s="138" t="s">
        <v>903</v>
      </c>
    </row>
    <row r="3442" spans="1:5" ht="15.75">
      <c r="A3442" s="89" t="str">
        <f t="shared" si="53"/>
        <v>#22841</v>
      </c>
      <c r="B3442" s="138" t="s">
        <v>7168</v>
      </c>
      <c r="C3442" s="139" t="s">
        <v>7167</v>
      </c>
      <c r="D3442" s="138">
        <v>44764</v>
      </c>
      <c r="E3442" s="138" t="s">
        <v>903</v>
      </c>
    </row>
    <row r="3443" spans="1:5" ht="15.75">
      <c r="A3443" s="89" t="str">
        <f t="shared" si="53"/>
        <v>#22880</v>
      </c>
      <c r="B3443" s="138" t="s">
        <v>7170</v>
      </c>
      <c r="C3443" s="139" t="s">
        <v>7169</v>
      </c>
      <c r="D3443" s="138">
        <v>44764</v>
      </c>
      <c r="E3443" s="138" t="s">
        <v>1188</v>
      </c>
    </row>
    <row r="3444" spans="1:5" ht="15.75">
      <c r="A3444" s="89" t="str">
        <f t="shared" si="53"/>
        <v>#22881</v>
      </c>
      <c r="B3444" s="138" t="s">
        <v>7172</v>
      </c>
      <c r="C3444" s="139" t="s">
        <v>7171</v>
      </c>
      <c r="D3444" s="138">
        <v>44764</v>
      </c>
      <c r="E3444" s="138" t="s">
        <v>1541</v>
      </c>
    </row>
    <row r="3445" spans="1:5" ht="15.75">
      <c r="A3445" s="89" t="str">
        <f t="shared" si="53"/>
        <v>#22894</v>
      </c>
      <c r="B3445" s="138" t="s">
        <v>7174</v>
      </c>
      <c r="C3445" s="139" t="s">
        <v>7173</v>
      </c>
      <c r="D3445" s="138">
        <v>44769</v>
      </c>
      <c r="E3445" s="138" t="s">
        <v>1133</v>
      </c>
    </row>
    <row r="3446" spans="1:5" ht="15.75">
      <c r="A3446" s="89" t="str">
        <f t="shared" si="53"/>
        <v>#22951</v>
      </c>
      <c r="B3446" s="138" t="s">
        <v>7176</v>
      </c>
      <c r="C3446" s="139" t="s">
        <v>7175</v>
      </c>
      <c r="D3446" s="138">
        <v>44770</v>
      </c>
      <c r="E3446" s="138" t="s">
        <v>1215</v>
      </c>
    </row>
    <row r="3447" spans="1:5" ht="15.75">
      <c r="A3447" s="89" t="str">
        <f t="shared" si="53"/>
        <v>#22952</v>
      </c>
      <c r="B3447" s="138" t="s">
        <v>7178</v>
      </c>
      <c r="C3447" s="139" t="s">
        <v>7177</v>
      </c>
      <c r="D3447" s="138">
        <v>44770</v>
      </c>
      <c r="E3447" s="138" t="s">
        <v>915</v>
      </c>
    </row>
    <row r="3448" spans="1:5" ht="15.75">
      <c r="A3448" s="89" t="str">
        <f t="shared" si="53"/>
        <v>#22955</v>
      </c>
      <c r="B3448" s="138" t="s">
        <v>7180</v>
      </c>
      <c r="C3448" s="139" t="s">
        <v>7179</v>
      </c>
      <c r="D3448" s="138">
        <v>44770</v>
      </c>
      <c r="E3448" s="138" t="s">
        <v>1215</v>
      </c>
    </row>
    <row r="3449" spans="1:5" ht="15.75">
      <c r="A3449" s="89" t="str">
        <f t="shared" si="53"/>
        <v>#22959</v>
      </c>
      <c r="B3449" s="138" t="s">
        <v>7182</v>
      </c>
      <c r="C3449" s="139" t="s">
        <v>7181</v>
      </c>
      <c r="D3449" s="138">
        <v>44770</v>
      </c>
      <c r="E3449" s="138" t="s">
        <v>915</v>
      </c>
    </row>
    <row r="3450" spans="1:5" ht="15.75">
      <c r="A3450" s="89" t="str">
        <f t="shared" si="53"/>
        <v>#22967</v>
      </c>
      <c r="B3450" s="138" t="s">
        <v>7184</v>
      </c>
      <c r="C3450" s="139" t="s">
        <v>7183</v>
      </c>
      <c r="D3450" s="138">
        <v>44771</v>
      </c>
      <c r="E3450" s="138" t="s">
        <v>1188</v>
      </c>
    </row>
    <row r="3451" spans="1:5" ht="15.75">
      <c r="A3451" s="89" t="str">
        <f t="shared" si="53"/>
        <v>#22973</v>
      </c>
      <c r="B3451" s="138" t="s">
        <v>7186</v>
      </c>
      <c r="C3451" s="139" t="s">
        <v>7185</v>
      </c>
      <c r="D3451" s="138">
        <v>44771</v>
      </c>
      <c r="E3451" s="138" t="s">
        <v>1188</v>
      </c>
    </row>
    <row r="3452" spans="1:5" ht="15.75">
      <c r="A3452" s="89" t="str">
        <f t="shared" si="53"/>
        <v>#22980</v>
      </c>
      <c r="B3452" s="138" t="s">
        <v>7188</v>
      </c>
      <c r="C3452" s="139" t="s">
        <v>7187</v>
      </c>
      <c r="D3452" s="138">
        <v>44771</v>
      </c>
      <c r="E3452" s="138" t="s">
        <v>924</v>
      </c>
    </row>
    <row r="3453" spans="1:5" ht="15.75">
      <c r="A3453" s="89" t="str">
        <f t="shared" si="53"/>
        <v>#22993</v>
      </c>
      <c r="B3453" s="138" t="s">
        <v>7190</v>
      </c>
      <c r="C3453" s="139" t="s">
        <v>7189</v>
      </c>
      <c r="D3453" s="138">
        <v>44776</v>
      </c>
      <c r="E3453" s="138" t="s">
        <v>978</v>
      </c>
    </row>
    <row r="3454" spans="1:5" ht="15.75">
      <c r="A3454" s="89" t="str">
        <f t="shared" si="53"/>
        <v>#22996</v>
      </c>
      <c r="B3454" s="138" t="s">
        <v>7191</v>
      </c>
      <c r="C3454" s="139" t="s">
        <v>1327</v>
      </c>
      <c r="D3454" s="138">
        <v>44776</v>
      </c>
      <c r="E3454" s="138" t="s">
        <v>1188</v>
      </c>
    </row>
    <row r="3455" spans="1:5" ht="15.75">
      <c r="A3455" s="89" t="str">
        <f t="shared" si="53"/>
        <v>#23002</v>
      </c>
      <c r="B3455" s="138" t="s">
        <v>7193</v>
      </c>
      <c r="C3455" s="139" t="s">
        <v>7192</v>
      </c>
      <c r="D3455" s="138">
        <v>44776</v>
      </c>
      <c r="E3455" s="138" t="s">
        <v>1188</v>
      </c>
    </row>
    <row r="3456" spans="1:5" ht="15.75">
      <c r="A3456" s="89" t="str">
        <f t="shared" si="53"/>
        <v>#23011</v>
      </c>
      <c r="B3456" s="138" t="s">
        <v>7195</v>
      </c>
      <c r="C3456" s="139" t="s">
        <v>7194</v>
      </c>
      <c r="D3456" s="138">
        <v>44776</v>
      </c>
      <c r="E3456" s="138" t="s">
        <v>1716</v>
      </c>
    </row>
    <row r="3457" spans="1:5" ht="15.75">
      <c r="A3457" s="89" t="str">
        <f t="shared" si="53"/>
        <v>#23012</v>
      </c>
      <c r="B3457" s="138" t="s">
        <v>7197</v>
      </c>
      <c r="C3457" s="139" t="s">
        <v>7196</v>
      </c>
      <c r="D3457" s="138">
        <v>44776</v>
      </c>
      <c r="E3457" s="138" t="s">
        <v>948</v>
      </c>
    </row>
    <row r="3458" spans="1:5" ht="15.75">
      <c r="A3458" s="89" t="str">
        <f t="shared" si="53"/>
        <v>#23013</v>
      </c>
      <c r="B3458" s="138" t="s">
        <v>7199</v>
      </c>
      <c r="C3458" s="139" t="s">
        <v>7198</v>
      </c>
      <c r="D3458" s="138">
        <v>44776</v>
      </c>
      <c r="E3458" s="138" t="s">
        <v>915</v>
      </c>
    </row>
    <row r="3459" spans="1:5" ht="15.75">
      <c r="A3459" s="89" t="str">
        <f t="shared" ref="A3459:A3522" si="54">"#"&amp;B3459</f>
        <v>#23022</v>
      </c>
      <c r="B3459" s="138" t="s">
        <v>7201</v>
      </c>
      <c r="C3459" s="139" t="s">
        <v>7200</v>
      </c>
      <c r="D3459" s="138">
        <v>44776</v>
      </c>
      <c r="E3459" s="138" t="s">
        <v>1085</v>
      </c>
    </row>
    <row r="3460" spans="1:5" ht="15.75">
      <c r="A3460" s="89" t="str">
        <f t="shared" si="54"/>
        <v>#23035</v>
      </c>
      <c r="B3460" s="138" t="s">
        <v>7202</v>
      </c>
      <c r="C3460" s="139" t="s">
        <v>3938</v>
      </c>
      <c r="D3460" s="138">
        <v>44776</v>
      </c>
      <c r="E3460" s="138" t="s">
        <v>7818</v>
      </c>
    </row>
    <row r="3461" spans="1:5" ht="15.75">
      <c r="A3461" s="89" t="str">
        <f t="shared" si="54"/>
        <v>#23039</v>
      </c>
      <c r="B3461" s="138" t="s">
        <v>7203</v>
      </c>
      <c r="C3461" s="139" t="s">
        <v>4665</v>
      </c>
      <c r="D3461" s="138">
        <v>44776</v>
      </c>
      <c r="E3461" s="138" t="s">
        <v>890</v>
      </c>
    </row>
    <row r="3462" spans="1:5" ht="15.75">
      <c r="A3462" s="89" t="str">
        <f t="shared" si="54"/>
        <v>#23040</v>
      </c>
      <c r="B3462" s="138" t="s">
        <v>7204</v>
      </c>
      <c r="C3462" s="139" t="s">
        <v>5018</v>
      </c>
      <c r="D3462" s="138">
        <v>44776</v>
      </c>
      <c r="E3462" s="138" t="s">
        <v>890</v>
      </c>
    </row>
    <row r="3463" spans="1:5" ht="15.75">
      <c r="A3463" s="89" t="str">
        <f t="shared" si="54"/>
        <v>#23047</v>
      </c>
      <c r="B3463" s="138" t="s">
        <v>7206</v>
      </c>
      <c r="C3463" s="139" t="s">
        <v>7205</v>
      </c>
      <c r="D3463" s="138">
        <v>44776</v>
      </c>
      <c r="E3463" s="138" t="s">
        <v>978</v>
      </c>
    </row>
    <row r="3464" spans="1:5" ht="15.75">
      <c r="A3464" s="89" t="str">
        <f t="shared" si="54"/>
        <v>#23055</v>
      </c>
      <c r="B3464" s="138" t="s">
        <v>7207</v>
      </c>
      <c r="C3464" s="139" t="s">
        <v>4072</v>
      </c>
      <c r="D3464" s="138">
        <v>44776</v>
      </c>
      <c r="E3464" s="138" t="s">
        <v>1541</v>
      </c>
    </row>
    <row r="3465" spans="1:5" ht="15.75">
      <c r="A3465" s="89" t="str">
        <f t="shared" si="54"/>
        <v>#23057</v>
      </c>
      <c r="B3465" s="138" t="s">
        <v>7209</v>
      </c>
      <c r="C3465" s="139" t="s">
        <v>7208</v>
      </c>
      <c r="D3465" s="138">
        <v>44776</v>
      </c>
      <c r="E3465" s="138" t="s">
        <v>1113</v>
      </c>
    </row>
    <row r="3466" spans="1:5" ht="15.75">
      <c r="A3466" s="89" t="str">
        <f t="shared" si="54"/>
        <v>#23065</v>
      </c>
      <c r="B3466" s="138" t="s">
        <v>7211</v>
      </c>
      <c r="C3466" s="139" t="s">
        <v>7210</v>
      </c>
      <c r="D3466" s="138">
        <v>44783</v>
      </c>
      <c r="E3466" s="138" t="s">
        <v>985</v>
      </c>
    </row>
    <row r="3467" spans="1:5" ht="15.75">
      <c r="A3467" s="89" t="str">
        <f t="shared" si="54"/>
        <v>#23084</v>
      </c>
      <c r="B3467" s="138" t="s">
        <v>7213</v>
      </c>
      <c r="C3467" s="139" t="s">
        <v>7212</v>
      </c>
      <c r="D3467" s="138">
        <v>44783</v>
      </c>
      <c r="E3467" s="138" t="s">
        <v>927</v>
      </c>
    </row>
    <row r="3468" spans="1:5" ht="15.75">
      <c r="A3468" s="89" t="str">
        <f t="shared" si="54"/>
        <v>#23101</v>
      </c>
      <c r="B3468" s="138" t="s">
        <v>7214</v>
      </c>
      <c r="C3468" s="139" t="s">
        <v>2173</v>
      </c>
      <c r="D3468" s="138">
        <v>44790</v>
      </c>
      <c r="E3468" s="138" t="s">
        <v>1541</v>
      </c>
    </row>
    <row r="3469" spans="1:5" ht="15.75">
      <c r="A3469" s="89" t="str">
        <f t="shared" si="54"/>
        <v>#23102</v>
      </c>
      <c r="B3469" s="138" t="s">
        <v>7216</v>
      </c>
      <c r="C3469" s="139" t="s">
        <v>7215</v>
      </c>
      <c r="D3469" s="138">
        <v>44790</v>
      </c>
      <c r="E3469" s="138" t="s">
        <v>759</v>
      </c>
    </row>
    <row r="3470" spans="1:5" ht="15.75">
      <c r="A3470" s="89" t="str">
        <f t="shared" si="54"/>
        <v>#23120</v>
      </c>
      <c r="B3470" s="138" t="s">
        <v>7218</v>
      </c>
      <c r="C3470" s="139" t="s">
        <v>7217</v>
      </c>
      <c r="D3470" s="138">
        <v>44790</v>
      </c>
      <c r="E3470" s="138" t="s">
        <v>8037</v>
      </c>
    </row>
    <row r="3471" spans="1:5" ht="15.75">
      <c r="A3471" s="89" t="str">
        <f t="shared" si="54"/>
        <v>#23147</v>
      </c>
      <c r="B3471" s="138" t="s">
        <v>7220</v>
      </c>
      <c r="C3471" s="139" t="s">
        <v>7219</v>
      </c>
      <c r="D3471" s="138">
        <v>44790</v>
      </c>
      <c r="E3471" s="138" t="s">
        <v>1188</v>
      </c>
    </row>
    <row r="3472" spans="1:5" ht="15.75">
      <c r="A3472" s="89" t="str">
        <f t="shared" si="54"/>
        <v>#23161</v>
      </c>
      <c r="B3472" s="138" t="s">
        <v>7222</v>
      </c>
      <c r="C3472" s="139" t="s">
        <v>7221</v>
      </c>
      <c r="D3472" s="138">
        <v>44791</v>
      </c>
      <c r="E3472" s="138" t="s">
        <v>1098</v>
      </c>
    </row>
    <row r="3473" spans="1:5" ht="15.75">
      <c r="A3473" s="89" t="str">
        <f t="shared" si="54"/>
        <v>#23170</v>
      </c>
      <c r="B3473" s="138" t="s">
        <v>7225</v>
      </c>
      <c r="C3473" s="139" t="s">
        <v>7224</v>
      </c>
      <c r="D3473" s="138">
        <v>44797</v>
      </c>
      <c r="E3473" s="138" t="s">
        <v>721</v>
      </c>
    </row>
    <row r="3474" spans="1:5" ht="15.75">
      <c r="A3474" s="89" t="str">
        <f t="shared" si="54"/>
        <v>#23174</v>
      </c>
      <c r="B3474" s="138" t="s">
        <v>7227</v>
      </c>
      <c r="C3474" s="139" t="s">
        <v>7226</v>
      </c>
      <c r="D3474" s="138">
        <v>44797</v>
      </c>
      <c r="E3474" s="138" t="s">
        <v>8037</v>
      </c>
    </row>
    <row r="3475" spans="1:5" ht="15.75">
      <c r="A3475" s="89" t="str">
        <f t="shared" si="54"/>
        <v>#23179</v>
      </c>
      <c r="B3475" s="138" t="s">
        <v>7229</v>
      </c>
      <c r="C3475" s="139" t="s">
        <v>7228</v>
      </c>
      <c r="D3475" s="138">
        <v>44797</v>
      </c>
      <c r="E3475" s="138" t="s">
        <v>978</v>
      </c>
    </row>
    <row r="3476" spans="1:5" ht="18.75">
      <c r="A3476" s="89" t="str">
        <f t="shared" si="54"/>
        <v>#23185</v>
      </c>
      <c r="B3476" s="138" t="s">
        <v>7230</v>
      </c>
      <c r="C3476" s="139" t="s">
        <v>4972</v>
      </c>
      <c r="D3476" s="138">
        <v>44797</v>
      </c>
      <c r="E3476" s="206" t="s">
        <v>948</v>
      </c>
    </row>
    <row r="3477" spans="1:5" ht="15.75">
      <c r="A3477" s="89" t="str">
        <f t="shared" si="54"/>
        <v>#23192</v>
      </c>
      <c r="B3477" s="138" t="s">
        <v>7232</v>
      </c>
      <c r="C3477" s="139" t="s">
        <v>7231</v>
      </c>
      <c r="D3477" s="138">
        <v>44797</v>
      </c>
      <c r="E3477" s="138" t="s">
        <v>903</v>
      </c>
    </row>
    <row r="3478" spans="1:5" ht="15.75">
      <c r="A3478" s="89" t="str">
        <f t="shared" si="54"/>
        <v>#23197</v>
      </c>
      <c r="B3478" s="138" t="s">
        <v>7234</v>
      </c>
      <c r="C3478" s="139" t="s">
        <v>7233</v>
      </c>
      <c r="D3478" s="138">
        <v>44797</v>
      </c>
      <c r="E3478" s="138" t="s">
        <v>985</v>
      </c>
    </row>
    <row r="3479" spans="1:5" ht="15.75">
      <c r="A3479" s="89" t="str">
        <f t="shared" si="54"/>
        <v>#23198</v>
      </c>
      <c r="B3479" s="138" t="s">
        <v>7235</v>
      </c>
      <c r="C3479" s="139" t="s">
        <v>2774</v>
      </c>
      <c r="D3479" s="138">
        <v>44797</v>
      </c>
      <c r="E3479" s="138" t="s">
        <v>927</v>
      </c>
    </row>
    <row r="3480" spans="1:5" ht="15.75">
      <c r="A3480" s="89" t="str">
        <f t="shared" si="54"/>
        <v>#23202</v>
      </c>
      <c r="B3480" s="138" t="s">
        <v>7237</v>
      </c>
      <c r="C3480" s="139" t="s">
        <v>7236</v>
      </c>
      <c r="D3480" s="138">
        <v>44797</v>
      </c>
      <c r="E3480" s="138" t="s">
        <v>927</v>
      </c>
    </row>
    <row r="3481" spans="1:5" ht="15.75">
      <c r="A3481" s="89" t="str">
        <f t="shared" si="54"/>
        <v>#23203</v>
      </c>
      <c r="B3481" s="138" t="s">
        <v>7239</v>
      </c>
      <c r="C3481" s="139" t="s">
        <v>7238</v>
      </c>
      <c r="D3481" s="138">
        <v>44797</v>
      </c>
      <c r="E3481" s="138" t="s">
        <v>927</v>
      </c>
    </row>
    <row r="3482" spans="1:5" ht="15.75">
      <c r="A3482" s="89" t="str">
        <f t="shared" si="54"/>
        <v>#23210</v>
      </c>
      <c r="B3482" s="138" t="s">
        <v>7241</v>
      </c>
      <c r="C3482" s="139" t="s">
        <v>7240</v>
      </c>
      <c r="D3482" s="138">
        <v>44797</v>
      </c>
      <c r="E3482" s="138" t="s">
        <v>1188</v>
      </c>
    </row>
    <row r="3483" spans="1:5" ht="15.75">
      <c r="A3483" s="89" t="str">
        <f t="shared" si="54"/>
        <v>#23221</v>
      </c>
      <c r="B3483" s="138" t="s">
        <v>7243</v>
      </c>
      <c r="C3483" s="139" t="s">
        <v>7242</v>
      </c>
      <c r="D3483" s="138">
        <v>44797</v>
      </c>
      <c r="E3483" s="138" t="s">
        <v>1188</v>
      </c>
    </row>
    <row r="3484" spans="1:5" ht="15.75">
      <c r="A3484" s="89" t="str">
        <f t="shared" si="54"/>
        <v>#23255</v>
      </c>
      <c r="B3484" s="138" t="s">
        <v>7245</v>
      </c>
      <c r="C3484" s="139" t="s">
        <v>7244</v>
      </c>
      <c r="D3484" s="138">
        <v>44798</v>
      </c>
      <c r="E3484" s="138" t="s">
        <v>948</v>
      </c>
    </row>
    <row r="3485" spans="1:5" ht="15.75">
      <c r="A3485" s="89" t="str">
        <f t="shared" si="54"/>
        <v>#23273</v>
      </c>
      <c r="B3485" s="138" t="s">
        <v>7247</v>
      </c>
      <c r="C3485" s="139" t="s">
        <v>7246</v>
      </c>
      <c r="D3485" s="138">
        <v>44798</v>
      </c>
      <c r="E3485" s="138" t="s">
        <v>1487</v>
      </c>
    </row>
    <row r="3486" spans="1:5" ht="15.75">
      <c r="A3486" s="89" t="str">
        <f t="shared" si="54"/>
        <v>#23281</v>
      </c>
      <c r="B3486" s="138" t="s">
        <v>7248</v>
      </c>
      <c r="C3486" s="139" t="s">
        <v>2369</v>
      </c>
      <c r="D3486" s="138">
        <v>44798</v>
      </c>
      <c r="E3486" s="138" t="s">
        <v>948</v>
      </c>
    </row>
    <row r="3487" spans="1:5" ht="15.75">
      <c r="A3487" s="89" t="str">
        <f t="shared" si="54"/>
        <v>#23287</v>
      </c>
      <c r="B3487" s="138" t="s">
        <v>7250</v>
      </c>
      <c r="C3487" s="139" t="s">
        <v>7249</v>
      </c>
      <c r="D3487" s="138">
        <v>44811</v>
      </c>
      <c r="E3487" s="138" t="s">
        <v>8037</v>
      </c>
    </row>
    <row r="3488" spans="1:5" ht="15.75">
      <c r="A3488" s="89" t="str">
        <f t="shared" si="54"/>
        <v>#23291</v>
      </c>
      <c r="B3488" s="138" t="s">
        <v>7251</v>
      </c>
      <c r="C3488" s="139" t="s">
        <v>4052</v>
      </c>
      <c r="D3488" s="138">
        <v>44811</v>
      </c>
      <c r="E3488" s="138" t="s">
        <v>8037</v>
      </c>
    </row>
    <row r="3489" spans="1:5" ht="15.75">
      <c r="A3489" s="89" t="str">
        <f t="shared" si="54"/>
        <v>#23294</v>
      </c>
      <c r="B3489" s="138" t="s">
        <v>7253</v>
      </c>
      <c r="C3489" s="139" t="s">
        <v>7252</v>
      </c>
      <c r="D3489" s="138">
        <v>44811</v>
      </c>
      <c r="E3489" s="138" t="s">
        <v>8037</v>
      </c>
    </row>
    <row r="3490" spans="1:5" ht="15.75">
      <c r="A3490" s="89" t="str">
        <f t="shared" si="54"/>
        <v>#23295</v>
      </c>
      <c r="B3490" s="138" t="s">
        <v>7255</v>
      </c>
      <c r="C3490" s="139" t="s">
        <v>7254</v>
      </c>
      <c r="D3490" s="138">
        <v>44811</v>
      </c>
      <c r="E3490" s="138" t="s">
        <v>8037</v>
      </c>
    </row>
    <row r="3491" spans="1:5" ht="15.75">
      <c r="A3491" s="89" t="str">
        <f t="shared" si="54"/>
        <v>#23298</v>
      </c>
      <c r="B3491" s="138" t="s">
        <v>7257</v>
      </c>
      <c r="C3491" s="139" t="s">
        <v>7256</v>
      </c>
      <c r="D3491" s="138">
        <v>44811</v>
      </c>
      <c r="E3491" s="138" t="s">
        <v>1188</v>
      </c>
    </row>
    <row r="3492" spans="1:5" ht="15.75">
      <c r="A3492" s="89" t="str">
        <f t="shared" si="54"/>
        <v>#23304</v>
      </c>
      <c r="B3492" s="138" t="s">
        <v>7259</v>
      </c>
      <c r="C3492" s="139" t="s">
        <v>7258</v>
      </c>
      <c r="D3492" s="138">
        <v>44811</v>
      </c>
      <c r="E3492" s="138" t="s">
        <v>1380</v>
      </c>
    </row>
    <row r="3493" spans="1:5" ht="15.75">
      <c r="A3493" s="89" t="str">
        <f t="shared" si="54"/>
        <v>#23305</v>
      </c>
      <c r="B3493" s="138" t="s">
        <v>7261</v>
      </c>
      <c r="C3493" s="139" t="s">
        <v>7260</v>
      </c>
      <c r="D3493" s="138">
        <v>44811</v>
      </c>
      <c r="E3493" s="138" t="s">
        <v>1380</v>
      </c>
    </row>
    <row r="3494" spans="1:5" ht="15.75">
      <c r="A3494" s="89" t="str">
        <f t="shared" si="54"/>
        <v>#23306</v>
      </c>
      <c r="B3494" s="138" t="s">
        <v>7262</v>
      </c>
      <c r="C3494" s="139" t="s">
        <v>6571</v>
      </c>
      <c r="D3494" s="138">
        <v>44811</v>
      </c>
      <c r="E3494" s="138" t="s">
        <v>1380</v>
      </c>
    </row>
    <row r="3495" spans="1:5" ht="15.75">
      <c r="A3495" s="89" t="str">
        <f t="shared" si="54"/>
        <v>#23308</v>
      </c>
      <c r="B3495" s="138" t="s">
        <v>7263</v>
      </c>
      <c r="C3495" s="139" t="s">
        <v>6535</v>
      </c>
      <c r="D3495" s="138">
        <v>44811</v>
      </c>
      <c r="E3495" s="138" t="s">
        <v>1034</v>
      </c>
    </row>
    <row r="3496" spans="1:5" ht="15.75">
      <c r="A3496" s="89" t="str">
        <f t="shared" si="54"/>
        <v>#23321</v>
      </c>
      <c r="B3496" s="138" t="s">
        <v>7265</v>
      </c>
      <c r="C3496" s="139" t="s">
        <v>7264</v>
      </c>
      <c r="D3496" s="138">
        <v>44811</v>
      </c>
      <c r="E3496" s="138" t="s">
        <v>890</v>
      </c>
    </row>
    <row r="3497" spans="1:5" ht="15.75">
      <c r="A3497" s="89" t="str">
        <f t="shared" si="54"/>
        <v>#23354</v>
      </c>
      <c r="B3497" s="138" t="s">
        <v>7267</v>
      </c>
      <c r="C3497" s="139" t="s">
        <v>7266</v>
      </c>
      <c r="D3497" s="138">
        <v>44812</v>
      </c>
      <c r="E3497" s="138" t="s">
        <v>915</v>
      </c>
    </row>
    <row r="3498" spans="1:5" ht="15.75">
      <c r="A3498" s="89" t="str">
        <f t="shared" si="54"/>
        <v>#23358</v>
      </c>
      <c r="B3498" s="138" t="s">
        <v>7269</v>
      </c>
      <c r="C3498" s="139" t="s">
        <v>7268</v>
      </c>
      <c r="D3498" s="138">
        <v>44812</v>
      </c>
      <c r="E3498" s="138" t="s">
        <v>915</v>
      </c>
    </row>
    <row r="3499" spans="1:5" ht="15.75">
      <c r="A3499" s="89" t="str">
        <f t="shared" si="54"/>
        <v>#23366</v>
      </c>
      <c r="B3499" s="138" t="s">
        <v>7271</v>
      </c>
      <c r="C3499" s="139" t="s">
        <v>7270</v>
      </c>
      <c r="D3499" s="138">
        <v>44817</v>
      </c>
      <c r="E3499" s="138" t="s">
        <v>927</v>
      </c>
    </row>
    <row r="3500" spans="1:5" ht="15.75">
      <c r="A3500" s="89" t="str">
        <f t="shared" si="54"/>
        <v>#23372</v>
      </c>
      <c r="B3500" s="138" t="s">
        <v>7273</v>
      </c>
      <c r="C3500" s="139" t="s">
        <v>7272</v>
      </c>
      <c r="D3500" s="138">
        <v>44817</v>
      </c>
      <c r="E3500" s="138" t="s">
        <v>1188</v>
      </c>
    </row>
    <row r="3501" spans="1:5" ht="15.75">
      <c r="A3501" s="89" t="str">
        <f t="shared" si="54"/>
        <v>#23395</v>
      </c>
      <c r="B3501" s="138" t="s">
        <v>7274</v>
      </c>
      <c r="C3501" s="139" t="s">
        <v>3871</v>
      </c>
      <c r="D3501" s="138">
        <v>44819</v>
      </c>
      <c r="E3501" s="138" t="s">
        <v>948</v>
      </c>
    </row>
    <row r="3502" spans="1:5" ht="15.75">
      <c r="A3502" s="89" t="str">
        <f t="shared" si="54"/>
        <v>#23413</v>
      </c>
      <c r="B3502" s="138" t="s">
        <v>7276</v>
      </c>
      <c r="C3502" s="139" t="s">
        <v>7275</v>
      </c>
      <c r="D3502" s="138">
        <v>44819</v>
      </c>
      <c r="E3502" s="138" t="s">
        <v>1098</v>
      </c>
    </row>
    <row r="3503" spans="1:5" ht="15.75">
      <c r="A3503" s="89" t="str">
        <f t="shared" si="54"/>
        <v>#23414</v>
      </c>
      <c r="B3503" s="138" t="s">
        <v>7278</v>
      </c>
      <c r="C3503" s="139" t="s">
        <v>7277</v>
      </c>
      <c r="D3503" s="138">
        <v>44819</v>
      </c>
      <c r="E3503" s="138" t="s">
        <v>1098</v>
      </c>
    </row>
    <row r="3504" spans="1:5" ht="15.75">
      <c r="A3504" s="89" t="str">
        <f t="shared" si="54"/>
        <v>#23417</v>
      </c>
      <c r="B3504" s="138" t="s">
        <v>7279</v>
      </c>
      <c r="C3504" s="139" t="s">
        <v>1175</v>
      </c>
      <c r="D3504" s="138">
        <v>44819</v>
      </c>
      <c r="E3504" s="138" t="s">
        <v>1716</v>
      </c>
    </row>
    <row r="3505" spans="1:5" ht="15.75">
      <c r="A3505" s="89" t="str">
        <f t="shared" si="54"/>
        <v>#23418</v>
      </c>
      <c r="B3505" s="138" t="s">
        <v>7281</v>
      </c>
      <c r="C3505" s="139" t="s">
        <v>7280</v>
      </c>
      <c r="D3505" s="138">
        <v>44819</v>
      </c>
      <c r="E3505" s="138" t="s">
        <v>1487</v>
      </c>
    </row>
    <row r="3506" spans="1:5" ht="15.75">
      <c r="A3506" s="89" t="str">
        <f t="shared" si="54"/>
        <v>#23432</v>
      </c>
      <c r="B3506" s="138" t="s">
        <v>7282</v>
      </c>
      <c r="C3506" s="139" t="s">
        <v>2647</v>
      </c>
      <c r="D3506" s="138">
        <v>44824</v>
      </c>
      <c r="E3506" s="138" t="s">
        <v>924</v>
      </c>
    </row>
    <row r="3507" spans="1:5" ht="15.75">
      <c r="A3507" s="89" t="str">
        <f t="shared" si="54"/>
        <v>#23434</v>
      </c>
      <c r="B3507" s="138" t="s">
        <v>7284</v>
      </c>
      <c r="C3507" s="139" t="s">
        <v>7283</v>
      </c>
      <c r="D3507" s="138">
        <v>44824</v>
      </c>
      <c r="E3507" s="138" t="s">
        <v>927</v>
      </c>
    </row>
    <row r="3508" spans="1:5" ht="15.75">
      <c r="A3508" s="89" t="str">
        <f t="shared" si="54"/>
        <v>#23438</v>
      </c>
      <c r="B3508" s="138" t="s">
        <v>7286</v>
      </c>
      <c r="C3508" s="139" t="s">
        <v>7285</v>
      </c>
      <c r="D3508" s="138">
        <v>44824</v>
      </c>
      <c r="E3508" s="138" t="s">
        <v>927</v>
      </c>
    </row>
    <row r="3509" spans="1:5" ht="15.75">
      <c r="A3509" s="89" t="str">
        <f t="shared" si="54"/>
        <v>#23451</v>
      </c>
      <c r="B3509" s="138" t="s">
        <v>7288</v>
      </c>
      <c r="C3509" s="139" t="s">
        <v>7287</v>
      </c>
      <c r="D3509" s="138">
        <v>44824</v>
      </c>
      <c r="E3509" s="138" t="s">
        <v>978</v>
      </c>
    </row>
    <row r="3510" spans="1:5" ht="15.75">
      <c r="A3510" s="89" t="str">
        <f t="shared" si="54"/>
        <v>#23494</v>
      </c>
      <c r="B3510" s="138" t="s">
        <v>7289</v>
      </c>
      <c r="C3510" s="139" t="s">
        <v>2547</v>
      </c>
      <c r="D3510" s="138">
        <v>44831</v>
      </c>
      <c r="E3510" s="138" t="s">
        <v>924</v>
      </c>
    </row>
    <row r="3511" spans="1:5" ht="15.75">
      <c r="A3511" s="89" t="str">
        <f t="shared" si="54"/>
        <v>#23495</v>
      </c>
      <c r="B3511" s="138" t="s">
        <v>7291</v>
      </c>
      <c r="C3511" s="139" t="s">
        <v>7290</v>
      </c>
      <c r="D3511" s="138">
        <v>44831</v>
      </c>
      <c r="E3511" s="138" t="s">
        <v>890</v>
      </c>
    </row>
    <row r="3512" spans="1:5" ht="15.75">
      <c r="A3512" s="89" t="str">
        <f t="shared" si="54"/>
        <v>#23497</v>
      </c>
      <c r="B3512" s="138" t="s">
        <v>7293</v>
      </c>
      <c r="C3512" s="139" t="s">
        <v>7292</v>
      </c>
      <c r="D3512" s="138">
        <v>44831</v>
      </c>
      <c r="E3512" s="138" t="s">
        <v>1188</v>
      </c>
    </row>
    <row r="3513" spans="1:5" ht="15.75">
      <c r="A3513" s="89" t="str">
        <f t="shared" si="54"/>
        <v>#23499</v>
      </c>
      <c r="B3513" s="138" t="s">
        <v>7295</v>
      </c>
      <c r="C3513" s="139" t="s">
        <v>7294</v>
      </c>
      <c r="D3513" s="138">
        <v>44831</v>
      </c>
      <c r="E3513" s="138" t="s">
        <v>1188</v>
      </c>
    </row>
    <row r="3514" spans="1:5" ht="15.75">
      <c r="A3514" s="89" t="str">
        <f t="shared" si="54"/>
        <v>#23500</v>
      </c>
      <c r="B3514" s="138" t="s">
        <v>7297</v>
      </c>
      <c r="C3514" s="139" t="s">
        <v>7296</v>
      </c>
      <c r="D3514" s="138">
        <v>44831</v>
      </c>
      <c r="E3514" s="138" t="s">
        <v>978</v>
      </c>
    </row>
    <row r="3515" spans="1:5" ht="15.75">
      <c r="A3515" s="89" t="str">
        <f t="shared" si="54"/>
        <v>#23524</v>
      </c>
      <c r="B3515" s="138" t="s">
        <v>7298</v>
      </c>
      <c r="C3515" s="139" t="s">
        <v>1189</v>
      </c>
      <c r="D3515" s="138">
        <v>44835</v>
      </c>
      <c r="E3515" s="138" t="s">
        <v>1716</v>
      </c>
    </row>
    <row r="3516" spans="1:5" ht="15.75">
      <c r="A3516" s="89" t="str">
        <f t="shared" si="54"/>
        <v>#23526</v>
      </c>
      <c r="B3516" s="138" t="s">
        <v>7300</v>
      </c>
      <c r="C3516" s="139" t="s">
        <v>7299</v>
      </c>
      <c r="D3516" s="138">
        <v>44835</v>
      </c>
      <c r="E3516" s="138" t="s">
        <v>948</v>
      </c>
    </row>
    <row r="3517" spans="1:5" ht="15.75">
      <c r="A3517" s="89" t="str">
        <f t="shared" si="54"/>
        <v>#23536</v>
      </c>
      <c r="B3517" s="138" t="s">
        <v>7301</v>
      </c>
      <c r="C3517" s="139" t="s">
        <v>5200</v>
      </c>
      <c r="D3517" s="138">
        <v>44835</v>
      </c>
      <c r="E3517" s="138" t="s">
        <v>1098</v>
      </c>
    </row>
    <row r="3518" spans="1:5" ht="15.75">
      <c r="A3518" s="89" t="str">
        <f t="shared" si="54"/>
        <v>#23549</v>
      </c>
      <c r="B3518" s="138" t="s">
        <v>7303</v>
      </c>
      <c r="C3518" s="139" t="s">
        <v>7302</v>
      </c>
      <c r="D3518" s="138">
        <v>44839</v>
      </c>
      <c r="E3518" s="138" t="s">
        <v>1188</v>
      </c>
    </row>
    <row r="3519" spans="1:5" ht="15.75">
      <c r="A3519" s="89" t="str">
        <f t="shared" si="54"/>
        <v>#23552</v>
      </c>
      <c r="B3519" s="138" t="s">
        <v>7305</v>
      </c>
      <c r="C3519" s="139" t="s">
        <v>7304</v>
      </c>
      <c r="D3519" s="138">
        <v>44839</v>
      </c>
      <c r="E3519" s="138" t="s">
        <v>978</v>
      </c>
    </row>
    <row r="3520" spans="1:5" ht="15.75">
      <c r="A3520" s="89" t="str">
        <f t="shared" si="54"/>
        <v>#23563</v>
      </c>
      <c r="B3520" s="138" t="s">
        <v>7307</v>
      </c>
      <c r="C3520" s="139" t="s">
        <v>7306</v>
      </c>
      <c r="D3520" s="138">
        <v>44839</v>
      </c>
      <c r="E3520" s="138" t="s">
        <v>978</v>
      </c>
    </row>
    <row r="3521" spans="1:5" ht="15.75">
      <c r="A3521" s="89" t="str">
        <f t="shared" si="54"/>
        <v>#23566</v>
      </c>
      <c r="B3521" s="138" t="s">
        <v>7308</v>
      </c>
      <c r="C3521" s="139" t="s">
        <v>996</v>
      </c>
      <c r="D3521" s="138">
        <v>44839</v>
      </c>
      <c r="E3521" s="138" t="s">
        <v>978</v>
      </c>
    </row>
    <row r="3522" spans="1:5" ht="15.75">
      <c r="A3522" s="89" t="str">
        <f t="shared" si="54"/>
        <v>#23572</v>
      </c>
      <c r="B3522" s="138" t="s">
        <v>7309</v>
      </c>
      <c r="C3522" s="139" t="s">
        <v>1898</v>
      </c>
      <c r="D3522" s="138">
        <v>44839</v>
      </c>
      <c r="E3522" s="138" t="s">
        <v>927</v>
      </c>
    </row>
    <row r="3523" spans="1:5" ht="15.75">
      <c r="A3523" s="89" t="str">
        <f t="shared" ref="A3523:A3586" si="55">"#"&amp;B3523</f>
        <v>#23577</v>
      </c>
      <c r="B3523" s="138" t="s">
        <v>7311</v>
      </c>
      <c r="C3523" s="139" t="s">
        <v>7310</v>
      </c>
      <c r="D3523" s="138">
        <v>44839</v>
      </c>
      <c r="E3523" s="138" t="s">
        <v>927</v>
      </c>
    </row>
    <row r="3524" spans="1:5" ht="15.75">
      <c r="A3524" s="89" t="str">
        <f t="shared" si="55"/>
        <v>#23593</v>
      </c>
      <c r="B3524" s="138" t="s">
        <v>7313</v>
      </c>
      <c r="C3524" s="139" t="s">
        <v>7312</v>
      </c>
      <c r="D3524" s="138">
        <v>44840</v>
      </c>
      <c r="E3524" s="138" t="s">
        <v>1487</v>
      </c>
    </row>
    <row r="3525" spans="1:5" ht="15.75">
      <c r="A3525" s="89" t="str">
        <f t="shared" si="55"/>
        <v>#23597</v>
      </c>
      <c r="B3525" s="138" t="s">
        <v>7315</v>
      </c>
      <c r="C3525" s="139" t="s">
        <v>7314</v>
      </c>
      <c r="D3525" s="138">
        <v>44840</v>
      </c>
      <c r="E3525" s="138" t="s">
        <v>915</v>
      </c>
    </row>
    <row r="3526" spans="1:5" ht="15.75">
      <c r="A3526" s="89" t="str">
        <f t="shared" si="55"/>
        <v>#23604</v>
      </c>
      <c r="B3526" s="138" t="s">
        <v>7317</v>
      </c>
      <c r="C3526" s="139" t="s">
        <v>7316</v>
      </c>
      <c r="D3526" s="138">
        <v>44845</v>
      </c>
      <c r="E3526" s="138" t="s">
        <v>924</v>
      </c>
    </row>
    <row r="3527" spans="1:5" ht="15.75">
      <c r="A3527" s="89" t="str">
        <f t="shared" si="55"/>
        <v>#23612</v>
      </c>
      <c r="B3527" s="138" t="s">
        <v>7318</v>
      </c>
      <c r="C3527" s="139" t="s">
        <v>1898</v>
      </c>
      <c r="D3527" s="138">
        <v>44845</v>
      </c>
      <c r="E3527" s="138" t="s">
        <v>927</v>
      </c>
    </row>
    <row r="3528" spans="1:5" ht="15.75">
      <c r="A3528" s="89" t="str">
        <f t="shared" si="55"/>
        <v>#23618</v>
      </c>
      <c r="B3528" s="138" t="s">
        <v>7320</v>
      </c>
      <c r="C3528" s="139" t="s">
        <v>7319</v>
      </c>
      <c r="D3528" s="138">
        <v>44845</v>
      </c>
      <c r="E3528" s="138" t="s">
        <v>1188</v>
      </c>
    </row>
    <row r="3529" spans="1:5" ht="15.75">
      <c r="A3529" s="89" t="str">
        <f t="shared" si="55"/>
        <v>#23630</v>
      </c>
      <c r="B3529" s="138" t="s">
        <v>7322</v>
      </c>
      <c r="C3529" s="139" t="s">
        <v>7321</v>
      </c>
      <c r="D3529" s="138">
        <v>44845</v>
      </c>
      <c r="E3529" s="138" t="s">
        <v>1113</v>
      </c>
    </row>
    <row r="3530" spans="1:5" ht="15.75">
      <c r="A3530" s="89" t="str">
        <f t="shared" si="55"/>
        <v>#23652</v>
      </c>
      <c r="B3530" s="138" t="s">
        <v>7324</v>
      </c>
      <c r="C3530" s="139" t="s">
        <v>7323</v>
      </c>
      <c r="D3530" s="138">
        <v>44847</v>
      </c>
      <c r="E3530" s="138" t="s">
        <v>1716</v>
      </c>
    </row>
    <row r="3531" spans="1:5" ht="15.75">
      <c r="A3531" s="89" t="str">
        <f t="shared" si="55"/>
        <v>#23659</v>
      </c>
      <c r="B3531" s="138" t="s">
        <v>7325</v>
      </c>
      <c r="C3531" s="139" t="s">
        <v>3416</v>
      </c>
      <c r="D3531" s="138">
        <v>44853</v>
      </c>
      <c r="E3531" s="138" t="s">
        <v>903</v>
      </c>
    </row>
    <row r="3532" spans="1:5" ht="15.75">
      <c r="A3532" s="89" t="str">
        <f t="shared" si="55"/>
        <v>#23660</v>
      </c>
      <c r="B3532" s="138" t="s">
        <v>7326</v>
      </c>
      <c r="C3532" s="139" t="s">
        <v>5934</v>
      </c>
      <c r="D3532" s="138">
        <v>44853</v>
      </c>
      <c r="E3532" s="138" t="s">
        <v>903</v>
      </c>
    </row>
    <row r="3533" spans="1:5" ht="15.75">
      <c r="A3533" s="89" t="str">
        <f t="shared" si="55"/>
        <v>#23661</v>
      </c>
      <c r="B3533" s="138" t="s">
        <v>7328</v>
      </c>
      <c r="C3533" s="139" t="s">
        <v>7327</v>
      </c>
      <c r="D3533" s="138">
        <v>44853</v>
      </c>
      <c r="E3533" s="138" t="s">
        <v>903</v>
      </c>
    </row>
    <row r="3534" spans="1:5" ht="15.75">
      <c r="A3534" s="89" t="str">
        <f t="shared" si="55"/>
        <v>#23668</v>
      </c>
      <c r="B3534" s="138" t="s">
        <v>7330</v>
      </c>
      <c r="C3534" s="139" t="s">
        <v>7329</v>
      </c>
      <c r="D3534" s="138">
        <v>44853</v>
      </c>
      <c r="E3534" s="138" t="s">
        <v>927</v>
      </c>
    </row>
    <row r="3535" spans="1:5" ht="15.75">
      <c r="A3535" s="89" t="str">
        <f t="shared" si="55"/>
        <v>#23675</v>
      </c>
      <c r="B3535" s="138" t="s">
        <v>7332</v>
      </c>
      <c r="C3535" s="139" t="s">
        <v>7331</v>
      </c>
      <c r="D3535" s="138">
        <v>44853</v>
      </c>
      <c r="E3535" s="138" t="s">
        <v>927</v>
      </c>
    </row>
    <row r="3536" spans="1:5" ht="15.75">
      <c r="A3536" s="89" t="str">
        <f t="shared" si="55"/>
        <v>#23679</v>
      </c>
      <c r="B3536" s="138" t="s">
        <v>7334</v>
      </c>
      <c r="C3536" s="139" t="s">
        <v>7333</v>
      </c>
      <c r="D3536" s="138">
        <v>44853</v>
      </c>
      <c r="E3536" s="138" t="s">
        <v>927</v>
      </c>
    </row>
    <row r="3537" spans="1:5" ht="15.75">
      <c r="A3537" s="89" t="str">
        <f t="shared" si="55"/>
        <v>#23682</v>
      </c>
      <c r="B3537" s="138" t="s">
        <v>7336</v>
      </c>
      <c r="C3537" s="139" t="s">
        <v>7335</v>
      </c>
      <c r="D3537" s="138">
        <v>44853</v>
      </c>
      <c r="E3537" s="138" t="s">
        <v>895</v>
      </c>
    </row>
    <row r="3538" spans="1:5" ht="15.75">
      <c r="A3538" s="89" t="str">
        <f t="shared" si="55"/>
        <v>#23685</v>
      </c>
      <c r="B3538" s="138" t="s">
        <v>7337</v>
      </c>
      <c r="C3538" s="139" t="s">
        <v>4118</v>
      </c>
      <c r="D3538" s="138">
        <v>44854</v>
      </c>
      <c r="E3538" s="138" t="s">
        <v>1716</v>
      </c>
    </row>
    <row r="3539" spans="1:5" ht="15.75">
      <c r="A3539" s="89" t="str">
        <f t="shared" si="55"/>
        <v>#23732</v>
      </c>
      <c r="B3539" s="138" t="s">
        <v>7339</v>
      </c>
      <c r="C3539" s="139" t="s">
        <v>7338</v>
      </c>
      <c r="D3539" s="138">
        <v>44860</v>
      </c>
      <c r="E3539" s="138" t="s">
        <v>7788</v>
      </c>
    </row>
    <row r="3540" spans="1:5" ht="15.75">
      <c r="A3540" s="89" t="str">
        <f t="shared" si="55"/>
        <v>#23748</v>
      </c>
      <c r="B3540" s="138" t="s">
        <v>7341</v>
      </c>
      <c r="C3540" s="139" t="s">
        <v>7340</v>
      </c>
      <c r="D3540" s="138">
        <v>44860</v>
      </c>
      <c r="E3540" s="138" t="s">
        <v>1541</v>
      </c>
    </row>
    <row r="3541" spans="1:5" ht="15.75">
      <c r="A3541" s="89" t="str">
        <f t="shared" si="55"/>
        <v>#23753</v>
      </c>
      <c r="B3541" s="138" t="s">
        <v>7342</v>
      </c>
      <c r="C3541" s="139" t="s">
        <v>1452</v>
      </c>
      <c r="D3541" s="138">
        <v>44861</v>
      </c>
      <c r="E3541" s="138" t="s">
        <v>948</v>
      </c>
    </row>
    <row r="3542" spans="1:5" ht="15.75">
      <c r="A3542" s="89" t="str">
        <f t="shared" si="55"/>
        <v>#23772</v>
      </c>
      <c r="B3542" s="138" t="s">
        <v>7343</v>
      </c>
      <c r="C3542" s="139" t="s">
        <v>2474</v>
      </c>
      <c r="D3542" s="138">
        <v>44866</v>
      </c>
      <c r="E3542" s="138" t="s">
        <v>985</v>
      </c>
    </row>
    <row r="3543" spans="1:5" ht="15.75">
      <c r="A3543" s="89" t="str">
        <f t="shared" si="55"/>
        <v>#23773</v>
      </c>
      <c r="B3543" s="138" t="s">
        <v>7344</v>
      </c>
      <c r="C3543" s="139" t="s">
        <v>2792</v>
      </c>
      <c r="D3543" s="138">
        <v>44866</v>
      </c>
      <c r="E3543" s="138" t="s">
        <v>985</v>
      </c>
    </row>
    <row r="3544" spans="1:5" ht="15.75">
      <c r="A3544" s="89" t="str">
        <f t="shared" si="55"/>
        <v>#23783</v>
      </c>
      <c r="B3544" s="138" t="s">
        <v>7346</v>
      </c>
      <c r="C3544" s="139" t="s">
        <v>7345</v>
      </c>
      <c r="D3544" s="138">
        <v>44866</v>
      </c>
      <c r="E3544" s="138" t="s">
        <v>948</v>
      </c>
    </row>
    <row r="3545" spans="1:5" ht="15.75">
      <c r="A3545" s="89" t="str">
        <f t="shared" si="55"/>
        <v>#23792</v>
      </c>
      <c r="B3545" s="138" t="s">
        <v>7348</v>
      </c>
      <c r="C3545" s="139" t="s">
        <v>7347</v>
      </c>
      <c r="D3545" s="138">
        <v>44866</v>
      </c>
      <c r="E3545" s="138" t="s">
        <v>743</v>
      </c>
    </row>
    <row r="3546" spans="1:5" ht="15.75">
      <c r="A3546" s="89" t="str">
        <f t="shared" si="55"/>
        <v>#23793</v>
      </c>
      <c r="B3546" s="138" t="s">
        <v>7349</v>
      </c>
      <c r="C3546" s="139" t="s">
        <v>1356</v>
      </c>
      <c r="D3546" s="138">
        <v>44866</v>
      </c>
      <c r="E3546" s="138" t="s">
        <v>743</v>
      </c>
    </row>
    <row r="3547" spans="1:5" ht="15.75">
      <c r="A3547" s="89" t="str">
        <f t="shared" si="55"/>
        <v>#23795</v>
      </c>
      <c r="B3547" s="138" t="s">
        <v>7351</v>
      </c>
      <c r="C3547" s="139" t="s">
        <v>7350</v>
      </c>
      <c r="D3547" s="138">
        <v>44874</v>
      </c>
      <c r="E3547" s="138" t="s">
        <v>898</v>
      </c>
    </row>
    <row r="3548" spans="1:5" ht="15.75">
      <c r="A3548" s="89" t="str">
        <f t="shared" si="55"/>
        <v>#23797</v>
      </c>
      <c r="B3548" s="138" t="s">
        <v>7353</v>
      </c>
      <c r="C3548" s="139" t="s">
        <v>7352</v>
      </c>
      <c r="D3548" s="138">
        <v>44874</v>
      </c>
      <c r="E3548" s="138" t="s">
        <v>8037</v>
      </c>
    </row>
    <row r="3549" spans="1:5" ht="15.75">
      <c r="A3549" s="89" t="str">
        <f t="shared" si="55"/>
        <v>#23810</v>
      </c>
      <c r="B3549" s="138" t="s">
        <v>7355</v>
      </c>
      <c r="C3549" s="139" t="s">
        <v>7354</v>
      </c>
      <c r="D3549" s="138">
        <v>44874</v>
      </c>
      <c r="E3549" s="138" t="s">
        <v>890</v>
      </c>
    </row>
    <row r="3550" spans="1:5" ht="15.75">
      <c r="A3550" s="89" t="str">
        <f t="shared" si="55"/>
        <v>#23813</v>
      </c>
      <c r="B3550" s="138" t="s">
        <v>7356</v>
      </c>
      <c r="C3550" s="139" t="s">
        <v>3548</v>
      </c>
      <c r="D3550" s="138">
        <v>44874</v>
      </c>
      <c r="E3550" s="138" t="s">
        <v>985</v>
      </c>
    </row>
    <row r="3551" spans="1:5" ht="15.75">
      <c r="A3551" s="89" t="str">
        <f t="shared" si="55"/>
        <v>#23816</v>
      </c>
      <c r="B3551" s="138" t="s">
        <v>7358</v>
      </c>
      <c r="C3551" s="139" t="s">
        <v>7357</v>
      </c>
      <c r="D3551" s="138">
        <v>44874</v>
      </c>
      <c r="E3551" s="138" t="s">
        <v>927</v>
      </c>
    </row>
    <row r="3552" spans="1:5" ht="15.75">
      <c r="A3552" s="89" t="str">
        <f t="shared" si="55"/>
        <v>#23836</v>
      </c>
      <c r="B3552" s="138" t="s">
        <v>7360</v>
      </c>
      <c r="C3552" s="139" t="s">
        <v>7359</v>
      </c>
      <c r="D3552" s="138">
        <v>44874</v>
      </c>
      <c r="E3552" s="138" t="s">
        <v>721</v>
      </c>
    </row>
    <row r="3553" spans="1:5" ht="15.75">
      <c r="A3553" s="89" t="str">
        <f t="shared" si="55"/>
        <v>#23843</v>
      </c>
      <c r="B3553" s="138" t="s">
        <v>7362</v>
      </c>
      <c r="C3553" s="139" t="s">
        <v>7361</v>
      </c>
      <c r="D3553" s="138">
        <v>44880</v>
      </c>
      <c r="E3553" s="138" t="s">
        <v>948</v>
      </c>
    </row>
    <row r="3554" spans="1:5" ht="15.75">
      <c r="A3554" s="89" t="str">
        <f t="shared" si="55"/>
        <v>#23856</v>
      </c>
      <c r="B3554" s="138" t="s">
        <v>7364</v>
      </c>
      <c r="C3554" s="139" t="s">
        <v>7363</v>
      </c>
      <c r="D3554" s="138">
        <v>44880</v>
      </c>
      <c r="E3554" s="138" t="s">
        <v>927</v>
      </c>
    </row>
    <row r="3555" spans="1:5" ht="15.75">
      <c r="A3555" s="89" t="str">
        <f t="shared" si="55"/>
        <v>#23862</v>
      </c>
      <c r="B3555" s="138" t="s">
        <v>7365</v>
      </c>
      <c r="C3555" s="139" t="s">
        <v>1325</v>
      </c>
      <c r="D3555" s="138">
        <v>44880</v>
      </c>
      <c r="E3555" s="138" t="s">
        <v>752</v>
      </c>
    </row>
    <row r="3556" spans="1:5" ht="15.75">
      <c r="A3556" s="89" t="str">
        <f t="shared" si="55"/>
        <v>#23876</v>
      </c>
      <c r="B3556" s="138" t="s">
        <v>7367</v>
      </c>
      <c r="C3556" s="139" t="s">
        <v>7366</v>
      </c>
      <c r="D3556" s="138">
        <v>44887</v>
      </c>
      <c r="E3556" s="138" t="s">
        <v>895</v>
      </c>
    </row>
    <row r="3557" spans="1:5" ht="15.75">
      <c r="A3557" s="89" t="str">
        <f t="shared" si="55"/>
        <v>#23884</v>
      </c>
      <c r="B3557" s="138" t="s">
        <v>7369</v>
      </c>
      <c r="C3557" s="139" t="s">
        <v>7368</v>
      </c>
      <c r="D3557" s="138">
        <v>44887</v>
      </c>
      <c r="E3557" s="138" t="s">
        <v>721</v>
      </c>
    </row>
    <row r="3558" spans="1:5" ht="15.75">
      <c r="A3558" s="89" t="str">
        <f t="shared" si="55"/>
        <v>#23893</v>
      </c>
      <c r="B3558" s="138" t="s">
        <v>7371</v>
      </c>
      <c r="C3558" s="139" t="s">
        <v>7370</v>
      </c>
      <c r="D3558" s="138">
        <v>44896</v>
      </c>
      <c r="E3558" s="138" t="s">
        <v>927</v>
      </c>
    </row>
    <row r="3559" spans="1:5" ht="15.75">
      <c r="A3559" s="89" t="str">
        <f t="shared" si="55"/>
        <v>#23897</v>
      </c>
      <c r="B3559" s="138" t="s">
        <v>7372</v>
      </c>
      <c r="C3559" s="139" t="s">
        <v>2248</v>
      </c>
      <c r="D3559" s="138">
        <v>44896</v>
      </c>
      <c r="E3559" s="138" t="s">
        <v>903</v>
      </c>
    </row>
    <row r="3560" spans="1:5" ht="15.75">
      <c r="A3560" s="89" t="str">
        <f t="shared" si="55"/>
        <v>#23910</v>
      </c>
      <c r="B3560" s="138" t="s">
        <v>7373</v>
      </c>
      <c r="C3560" s="139" t="s">
        <v>1070</v>
      </c>
      <c r="D3560" s="138">
        <v>44896</v>
      </c>
      <c r="E3560" s="138" t="s">
        <v>937</v>
      </c>
    </row>
    <row r="3561" spans="1:5" ht="15.75">
      <c r="A3561" s="89" t="str">
        <f t="shared" si="55"/>
        <v>#23912</v>
      </c>
      <c r="B3561" s="138" t="s">
        <v>7375</v>
      </c>
      <c r="C3561" s="139" t="s">
        <v>7374</v>
      </c>
      <c r="D3561" s="138">
        <v>44903</v>
      </c>
      <c r="E3561" s="138" t="s">
        <v>903</v>
      </c>
    </row>
    <row r="3562" spans="1:5" ht="15.75">
      <c r="A3562" s="89" t="str">
        <f t="shared" si="55"/>
        <v>#23924</v>
      </c>
      <c r="B3562" s="138" t="s">
        <v>7377</v>
      </c>
      <c r="C3562" s="139" t="s">
        <v>7376</v>
      </c>
      <c r="D3562" s="138">
        <v>44960</v>
      </c>
      <c r="E3562" s="138" t="s">
        <v>978</v>
      </c>
    </row>
    <row r="3563" spans="1:5" ht="15.75">
      <c r="A3563" s="89" t="str">
        <f t="shared" si="55"/>
        <v>#23930</v>
      </c>
      <c r="B3563" s="138" t="s">
        <v>7379</v>
      </c>
      <c r="C3563" s="139" t="s">
        <v>7378</v>
      </c>
      <c r="D3563" s="138">
        <v>44960</v>
      </c>
      <c r="E3563" s="138" t="s">
        <v>978</v>
      </c>
    </row>
    <row r="3564" spans="1:5" ht="15.75">
      <c r="A3564" s="89" t="str">
        <f t="shared" si="55"/>
        <v>#23931</v>
      </c>
      <c r="B3564" s="138" t="s">
        <v>7380</v>
      </c>
      <c r="C3564" s="139" t="s">
        <v>2726</v>
      </c>
      <c r="D3564" s="138">
        <v>44960</v>
      </c>
      <c r="E3564" s="138" t="s">
        <v>978</v>
      </c>
    </row>
    <row r="3565" spans="1:5" ht="15.75">
      <c r="A3565" s="89" t="str">
        <f t="shared" si="55"/>
        <v>#23932</v>
      </c>
      <c r="B3565" s="138" t="s">
        <v>7381</v>
      </c>
      <c r="C3565" s="139" t="s">
        <v>1904</v>
      </c>
      <c r="D3565" s="138">
        <v>44960</v>
      </c>
      <c r="E3565" s="138" t="s">
        <v>978</v>
      </c>
    </row>
    <row r="3566" spans="1:5" ht="15.75">
      <c r="A3566" s="89" t="str">
        <f t="shared" si="55"/>
        <v>#23944</v>
      </c>
      <c r="B3566" s="138" t="s">
        <v>7383</v>
      </c>
      <c r="C3566" s="139" t="s">
        <v>7382</v>
      </c>
      <c r="D3566" s="138">
        <v>44960</v>
      </c>
      <c r="E3566" s="138" t="s">
        <v>927</v>
      </c>
    </row>
    <row r="3567" spans="1:5" ht="15.75">
      <c r="A3567" s="89" t="str">
        <f t="shared" si="55"/>
        <v>#23948</v>
      </c>
      <c r="B3567" s="138" t="s">
        <v>7385</v>
      </c>
      <c r="C3567" s="139" t="s">
        <v>7384</v>
      </c>
      <c r="D3567" s="138">
        <v>44960</v>
      </c>
      <c r="E3567" s="138" t="s">
        <v>927</v>
      </c>
    </row>
    <row r="3568" spans="1:5" ht="15.75">
      <c r="A3568" s="89" t="str">
        <f t="shared" si="55"/>
        <v>#23950</v>
      </c>
      <c r="B3568" s="138" t="s">
        <v>7387</v>
      </c>
      <c r="C3568" s="139" t="s">
        <v>7386</v>
      </c>
      <c r="D3568" s="138">
        <v>44960</v>
      </c>
      <c r="E3568" s="138" t="s">
        <v>927</v>
      </c>
    </row>
    <row r="3569" spans="1:5" ht="15.75">
      <c r="A3569" s="89" t="str">
        <f t="shared" si="55"/>
        <v>#23956</v>
      </c>
      <c r="B3569" s="138" t="s">
        <v>7389</v>
      </c>
      <c r="C3569" s="139" t="s">
        <v>7388</v>
      </c>
      <c r="D3569" s="138">
        <v>44964</v>
      </c>
      <c r="E3569" s="138" t="s">
        <v>927</v>
      </c>
    </row>
    <row r="3570" spans="1:5" ht="15.75">
      <c r="A3570" s="89" t="str">
        <f t="shared" si="55"/>
        <v>#23957</v>
      </c>
      <c r="B3570" s="138" t="s">
        <v>7391</v>
      </c>
      <c r="C3570" s="139" t="s">
        <v>7390</v>
      </c>
      <c r="D3570" s="138">
        <v>44964</v>
      </c>
      <c r="E3570" s="138" t="s">
        <v>927</v>
      </c>
    </row>
    <row r="3571" spans="1:5" ht="15.75">
      <c r="A3571" s="89" t="str">
        <f t="shared" si="55"/>
        <v>#23958</v>
      </c>
      <c r="B3571" s="138" t="s">
        <v>7393</v>
      </c>
      <c r="C3571" s="139" t="s">
        <v>7392</v>
      </c>
      <c r="D3571" s="138">
        <v>44964</v>
      </c>
      <c r="E3571" s="138" t="s">
        <v>927</v>
      </c>
    </row>
    <row r="3572" spans="1:5" ht="15.75">
      <c r="A3572" s="89" t="str">
        <f t="shared" si="55"/>
        <v>#23967</v>
      </c>
      <c r="B3572" s="138" t="s">
        <v>7395</v>
      </c>
      <c r="C3572" s="139" t="s">
        <v>7394</v>
      </c>
      <c r="D3572" s="138">
        <v>44973</v>
      </c>
      <c r="E3572" s="138" t="s">
        <v>927</v>
      </c>
    </row>
    <row r="3573" spans="1:5" ht="15.75">
      <c r="A3573" s="89" t="str">
        <f t="shared" si="55"/>
        <v>#23975</v>
      </c>
      <c r="B3573" s="138" t="s">
        <v>7397</v>
      </c>
      <c r="C3573" s="139" t="s">
        <v>7396</v>
      </c>
      <c r="D3573" s="138">
        <v>44977</v>
      </c>
      <c r="E3573" s="138" t="s">
        <v>927</v>
      </c>
    </row>
    <row r="3574" spans="1:5" ht="15.75">
      <c r="A3574" s="89" t="str">
        <f t="shared" si="55"/>
        <v>#23977</v>
      </c>
      <c r="B3574" s="138" t="s">
        <v>7399</v>
      </c>
      <c r="C3574" s="139" t="s">
        <v>7398</v>
      </c>
      <c r="D3574" s="138">
        <v>44977</v>
      </c>
      <c r="E3574" s="138" t="s">
        <v>927</v>
      </c>
    </row>
    <row r="3575" spans="1:5" ht="15.75">
      <c r="A3575" s="89" t="str">
        <f t="shared" si="55"/>
        <v>#23987</v>
      </c>
      <c r="B3575" s="138" t="s">
        <v>7401</v>
      </c>
      <c r="C3575" s="139" t="s">
        <v>7400</v>
      </c>
      <c r="D3575" s="138">
        <v>44978</v>
      </c>
      <c r="E3575" s="138" t="s">
        <v>1451</v>
      </c>
    </row>
    <row r="3576" spans="1:5" ht="15.75">
      <c r="A3576" s="89" t="str">
        <f t="shared" si="55"/>
        <v>#23999</v>
      </c>
      <c r="B3576" s="138" t="s">
        <v>7403</v>
      </c>
      <c r="C3576" s="139" t="s">
        <v>7402</v>
      </c>
      <c r="D3576" s="138">
        <v>44980</v>
      </c>
      <c r="E3576" s="138" t="s">
        <v>948</v>
      </c>
    </row>
    <row r="3577" spans="1:5" ht="15.75">
      <c r="A3577" s="89" t="str">
        <f t="shared" si="55"/>
        <v>#24002</v>
      </c>
      <c r="B3577" s="138" t="s">
        <v>7404</v>
      </c>
      <c r="C3577" s="139" t="s">
        <v>2649</v>
      </c>
      <c r="D3577" s="138">
        <v>44980</v>
      </c>
      <c r="E3577" s="138" t="s">
        <v>948</v>
      </c>
    </row>
    <row r="3578" spans="1:5" ht="15.75">
      <c r="A3578" s="89" t="str">
        <f t="shared" si="55"/>
        <v>#24007</v>
      </c>
      <c r="B3578" s="138" t="s">
        <v>7406</v>
      </c>
      <c r="C3578" s="139" t="s">
        <v>7405</v>
      </c>
      <c r="D3578" s="138">
        <v>44980</v>
      </c>
      <c r="E3578" s="138" t="s">
        <v>721</v>
      </c>
    </row>
    <row r="3579" spans="1:5" ht="15.75">
      <c r="A3579" s="89" t="str">
        <f t="shared" si="55"/>
        <v>#24008</v>
      </c>
      <c r="B3579" s="138" t="s">
        <v>7408</v>
      </c>
      <c r="C3579" s="139" t="s">
        <v>7407</v>
      </c>
      <c r="D3579" s="138">
        <v>44980</v>
      </c>
      <c r="E3579" s="138" t="s">
        <v>895</v>
      </c>
    </row>
    <row r="3580" spans="1:5" ht="15.75">
      <c r="A3580" s="89" t="str">
        <f t="shared" si="55"/>
        <v>#24009</v>
      </c>
      <c r="B3580" s="138" t="s">
        <v>7410</v>
      </c>
      <c r="C3580" s="139" t="s">
        <v>7409</v>
      </c>
      <c r="D3580" s="138">
        <v>44984</v>
      </c>
      <c r="E3580" s="138" t="s">
        <v>752</v>
      </c>
    </row>
    <row r="3581" spans="1:5" ht="15.75">
      <c r="A3581" s="89" t="str">
        <f t="shared" si="55"/>
        <v>#24016</v>
      </c>
      <c r="B3581" s="138" t="s">
        <v>7411</v>
      </c>
      <c r="C3581" s="139" t="s">
        <v>3407</v>
      </c>
      <c r="D3581" s="138">
        <v>45000</v>
      </c>
      <c r="E3581" s="138" t="s">
        <v>1063</v>
      </c>
    </row>
    <row r="3582" spans="1:5" ht="15.75">
      <c r="A3582" s="89" t="str">
        <f t="shared" si="55"/>
        <v>#24017</v>
      </c>
      <c r="B3582" s="138" t="s">
        <v>7413</v>
      </c>
      <c r="C3582" s="139" t="s">
        <v>7412</v>
      </c>
      <c r="D3582" s="138">
        <v>45000</v>
      </c>
      <c r="E3582" s="138" t="s">
        <v>721</v>
      </c>
    </row>
    <row r="3583" spans="1:5" ht="15.75">
      <c r="A3583" s="89" t="str">
        <f t="shared" si="55"/>
        <v>#24018</v>
      </c>
      <c r="B3583" s="138" t="s">
        <v>7415</v>
      </c>
      <c r="C3583" s="139" t="s">
        <v>7414</v>
      </c>
      <c r="D3583" s="138">
        <v>45000</v>
      </c>
      <c r="E3583" s="138" t="s">
        <v>721</v>
      </c>
    </row>
    <row r="3584" spans="1:5" ht="15.75">
      <c r="A3584" s="89" t="str">
        <f t="shared" si="55"/>
        <v>#24019</v>
      </c>
      <c r="B3584" s="138" t="s">
        <v>7417</v>
      </c>
      <c r="C3584" s="139" t="s">
        <v>7416</v>
      </c>
      <c r="D3584" s="138">
        <v>45000</v>
      </c>
      <c r="E3584" s="138" t="s">
        <v>721</v>
      </c>
    </row>
    <row r="3585" spans="1:5" ht="15.75">
      <c r="A3585" s="89" t="str">
        <f t="shared" si="55"/>
        <v>#24020</v>
      </c>
      <c r="B3585" s="138" t="s">
        <v>7419</v>
      </c>
      <c r="C3585" s="139" t="s">
        <v>7418</v>
      </c>
      <c r="D3585" s="138">
        <v>45000</v>
      </c>
      <c r="E3585" s="138" t="s">
        <v>895</v>
      </c>
    </row>
    <row r="3586" spans="1:5" ht="15.75">
      <c r="A3586" s="89" t="str">
        <f t="shared" si="55"/>
        <v>#24027</v>
      </c>
      <c r="B3586" s="138" t="s">
        <v>7421</v>
      </c>
      <c r="C3586" s="139" t="s">
        <v>7420</v>
      </c>
      <c r="D3586" s="138">
        <v>45000</v>
      </c>
      <c r="E3586" s="138" t="s">
        <v>927</v>
      </c>
    </row>
    <row r="3587" spans="1:5" ht="15.75">
      <c r="A3587" s="89" t="str">
        <f t="shared" ref="A3587:A3650" si="56">"#"&amp;B3587</f>
        <v>#24042</v>
      </c>
      <c r="B3587" s="138" t="s">
        <v>7423</v>
      </c>
      <c r="C3587" s="139" t="s">
        <v>7422</v>
      </c>
      <c r="D3587" s="138">
        <v>45007</v>
      </c>
      <c r="E3587" s="138" t="s">
        <v>978</v>
      </c>
    </row>
    <row r="3588" spans="1:5" ht="15.75">
      <c r="A3588" s="89" t="str">
        <f t="shared" si="56"/>
        <v>#24045</v>
      </c>
      <c r="B3588" s="138" t="s">
        <v>7425</v>
      </c>
      <c r="C3588" s="139" t="s">
        <v>7424</v>
      </c>
      <c r="D3588" s="138">
        <v>45007</v>
      </c>
      <c r="E3588" s="138" t="s">
        <v>978</v>
      </c>
    </row>
    <row r="3589" spans="1:5" ht="15.75">
      <c r="A3589" s="89" t="str">
        <f t="shared" si="56"/>
        <v>#24054</v>
      </c>
      <c r="B3589" s="138" t="s">
        <v>7427</v>
      </c>
      <c r="C3589" s="139" t="s">
        <v>7426</v>
      </c>
      <c r="D3589" s="138">
        <v>45021</v>
      </c>
      <c r="E3589" s="138" t="s">
        <v>1188</v>
      </c>
    </row>
    <row r="3590" spans="1:5" ht="15.75">
      <c r="A3590" s="89" t="str">
        <f t="shared" si="56"/>
        <v>#24064</v>
      </c>
      <c r="B3590" s="138" t="s">
        <v>7429</v>
      </c>
      <c r="C3590" s="139" t="s">
        <v>7428</v>
      </c>
      <c r="D3590" s="138">
        <v>45021</v>
      </c>
      <c r="E3590" s="138" t="s">
        <v>978</v>
      </c>
    </row>
    <row r="3591" spans="1:5" ht="15.75">
      <c r="A3591" s="89" t="str">
        <f t="shared" si="56"/>
        <v>#24075</v>
      </c>
      <c r="B3591" s="138" t="s">
        <v>7431</v>
      </c>
      <c r="C3591" s="139" t="s">
        <v>7430</v>
      </c>
      <c r="D3591" s="138">
        <v>45021</v>
      </c>
      <c r="E3591" s="138" t="s">
        <v>978</v>
      </c>
    </row>
    <row r="3592" spans="1:5" ht="15.75">
      <c r="A3592" s="89" t="str">
        <f t="shared" si="56"/>
        <v>#24081</v>
      </c>
      <c r="B3592" s="138" t="s">
        <v>7433</v>
      </c>
      <c r="C3592" s="139" t="s">
        <v>7432</v>
      </c>
      <c r="D3592" s="138">
        <v>45021</v>
      </c>
      <c r="E3592" s="138" t="s">
        <v>721</v>
      </c>
    </row>
    <row r="3593" spans="1:5" ht="15.75">
      <c r="A3593" s="89" t="str">
        <f t="shared" si="56"/>
        <v>#24083</v>
      </c>
      <c r="B3593" s="138" t="s">
        <v>7435</v>
      </c>
      <c r="C3593" s="139" t="s">
        <v>7434</v>
      </c>
      <c r="D3593" s="138">
        <v>45027</v>
      </c>
      <c r="E3593" s="138" t="s">
        <v>796</v>
      </c>
    </row>
    <row r="3594" spans="1:5" ht="15.75">
      <c r="A3594" s="89" t="str">
        <f t="shared" si="56"/>
        <v>#24084</v>
      </c>
      <c r="B3594" s="138" t="s">
        <v>7437</v>
      </c>
      <c r="C3594" s="139" t="s">
        <v>7436</v>
      </c>
      <c r="D3594" s="138">
        <v>45027</v>
      </c>
      <c r="E3594" s="138" t="s">
        <v>721</v>
      </c>
    </row>
    <row r="3595" spans="1:5" ht="15.75">
      <c r="A3595" s="89" t="str">
        <f t="shared" si="56"/>
        <v>#24085</v>
      </c>
      <c r="B3595" s="138" t="s">
        <v>7439</v>
      </c>
      <c r="C3595" s="139" t="s">
        <v>7438</v>
      </c>
      <c r="D3595" s="138">
        <v>45029</v>
      </c>
      <c r="E3595" s="138" t="s">
        <v>773</v>
      </c>
    </row>
    <row r="3596" spans="1:5" ht="15.75">
      <c r="A3596" s="89" t="str">
        <f t="shared" si="56"/>
        <v>#24099</v>
      </c>
      <c r="B3596" s="138" t="s">
        <v>7441</v>
      </c>
      <c r="C3596" s="139" t="s">
        <v>7440</v>
      </c>
      <c r="D3596" s="138">
        <v>45034</v>
      </c>
      <c r="E3596" s="138" t="s">
        <v>978</v>
      </c>
    </row>
    <row r="3597" spans="1:5" ht="15.75">
      <c r="A3597" s="89" t="str">
        <f t="shared" si="56"/>
        <v>#24102</v>
      </c>
      <c r="B3597" s="138" t="s">
        <v>7443</v>
      </c>
      <c r="C3597" s="139" t="s">
        <v>7442</v>
      </c>
      <c r="D3597" s="138">
        <v>45036</v>
      </c>
      <c r="E3597" s="138" t="s">
        <v>1098</v>
      </c>
    </row>
    <row r="3598" spans="1:5" ht="15.75">
      <c r="A3598" s="89" t="str">
        <f t="shared" si="56"/>
        <v>#24105</v>
      </c>
      <c r="B3598" s="138" t="s">
        <v>7445</v>
      </c>
      <c r="C3598" s="139" t="s">
        <v>7444</v>
      </c>
      <c r="D3598" s="138">
        <v>45036</v>
      </c>
      <c r="E3598" s="138" t="s">
        <v>1098</v>
      </c>
    </row>
    <row r="3599" spans="1:5" ht="15.75">
      <c r="A3599" s="89" t="str">
        <f t="shared" si="56"/>
        <v>#24110</v>
      </c>
      <c r="B3599" s="138" t="s">
        <v>7447</v>
      </c>
      <c r="C3599" s="139" t="s">
        <v>7446</v>
      </c>
      <c r="D3599" s="138">
        <v>45040</v>
      </c>
      <c r="E3599" s="138" t="s">
        <v>721</v>
      </c>
    </row>
    <row r="3600" spans="1:5" ht="15.75">
      <c r="A3600" s="89" t="str">
        <f t="shared" si="56"/>
        <v>#24112</v>
      </c>
      <c r="B3600" s="138" t="s">
        <v>7448</v>
      </c>
      <c r="C3600" s="139" t="s">
        <v>1500</v>
      </c>
      <c r="D3600" s="138">
        <v>45040</v>
      </c>
      <c r="E3600" s="138" t="s">
        <v>7819</v>
      </c>
    </row>
    <row r="3601" spans="1:5" ht="15.75">
      <c r="A3601" s="89" t="str">
        <f t="shared" si="56"/>
        <v>#24116</v>
      </c>
      <c r="B3601" s="138" t="s">
        <v>7450</v>
      </c>
      <c r="C3601" s="140" t="s">
        <v>7449</v>
      </c>
      <c r="D3601" s="138">
        <v>45049</v>
      </c>
      <c r="E3601" s="138" t="s">
        <v>1113</v>
      </c>
    </row>
    <row r="3602" spans="1:5" ht="15.75">
      <c r="A3602" s="89" t="str">
        <f t="shared" si="56"/>
        <v>#24123</v>
      </c>
      <c r="B3602" s="138" t="s">
        <v>7452</v>
      </c>
      <c r="C3602" s="140" t="s">
        <v>7451</v>
      </c>
      <c r="D3602" s="138">
        <v>45057</v>
      </c>
      <c r="E3602" s="138" t="s">
        <v>895</v>
      </c>
    </row>
    <row r="3603" spans="1:5" ht="15.75">
      <c r="A3603" s="89" t="str">
        <f t="shared" si="56"/>
        <v>#24124</v>
      </c>
      <c r="B3603" s="138" t="s">
        <v>7454</v>
      </c>
      <c r="C3603" s="140" t="s">
        <v>7453</v>
      </c>
      <c r="D3603" s="138">
        <v>45057</v>
      </c>
      <c r="E3603" s="138" t="s">
        <v>1541</v>
      </c>
    </row>
    <row r="3604" spans="1:5" ht="15.75">
      <c r="A3604" s="89" t="str">
        <f t="shared" si="56"/>
        <v>#24125</v>
      </c>
      <c r="B3604" s="138" t="s">
        <v>7455</v>
      </c>
      <c r="C3604" s="139" t="s">
        <v>3064</v>
      </c>
      <c r="D3604" s="138">
        <v>45057</v>
      </c>
      <c r="E3604" s="138" t="s">
        <v>721</v>
      </c>
    </row>
    <row r="3605" spans="1:5" ht="15.75">
      <c r="A3605" s="89" t="str">
        <f t="shared" si="56"/>
        <v>#24135</v>
      </c>
      <c r="B3605" s="138" t="s">
        <v>7457</v>
      </c>
      <c r="C3605" s="140" t="s">
        <v>7456</v>
      </c>
      <c r="D3605" s="138">
        <v>45057</v>
      </c>
      <c r="E3605" s="138" t="s">
        <v>927</v>
      </c>
    </row>
    <row r="3606" spans="1:5" ht="15.75">
      <c r="A3606" s="89" t="str">
        <f t="shared" si="56"/>
        <v>#24148</v>
      </c>
      <c r="B3606" s="138" t="s">
        <v>7459</v>
      </c>
      <c r="C3606" s="140" t="s">
        <v>1852</v>
      </c>
      <c r="D3606" s="138">
        <v>45062</v>
      </c>
      <c r="E3606" s="138" t="s">
        <v>927</v>
      </c>
    </row>
    <row r="3607" spans="1:5" ht="15.75">
      <c r="A3607" s="89" t="str">
        <f t="shared" si="56"/>
        <v>#24149</v>
      </c>
      <c r="B3607" s="138" t="s">
        <v>7461</v>
      </c>
      <c r="C3607" s="140" t="s">
        <v>7460</v>
      </c>
      <c r="D3607" s="138">
        <v>45062</v>
      </c>
      <c r="E3607" s="138" t="s">
        <v>927</v>
      </c>
    </row>
    <row r="3608" spans="1:5" ht="15.75">
      <c r="A3608" s="89" t="str">
        <f t="shared" si="56"/>
        <v>#24150</v>
      </c>
      <c r="B3608" s="138" t="s">
        <v>7462</v>
      </c>
      <c r="C3608" s="140" t="s">
        <v>3307</v>
      </c>
      <c r="D3608" s="138">
        <v>45062</v>
      </c>
      <c r="E3608" s="138" t="s">
        <v>927</v>
      </c>
    </row>
    <row r="3609" spans="1:5" ht="15.75">
      <c r="A3609" s="89" t="str">
        <f t="shared" si="56"/>
        <v>#24156</v>
      </c>
      <c r="B3609" s="138" t="s">
        <v>7463</v>
      </c>
      <c r="C3609" s="140" t="s">
        <v>4772</v>
      </c>
      <c r="D3609" s="138">
        <v>45062</v>
      </c>
      <c r="E3609" s="138" t="s">
        <v>927</v>
      </c>
    </row>
    <row r="3610" spans="1:5" ht="15.75">
      <c r="A3610" s="89" t="str">
        <f t="shared" si="56"/>
        <v>#24180</v>
      </c>
      <c r="B3610" s="138" t="s">
        <v>7465</v>
      </c>
      <c r="C3610" s="140" t="s">
        <v>7464</v>
      </c>
      <c r="D3610" s="138">
        <v>45062</v>
      </c>
      <c r="E3610" s="138" t="s">
        <v>1034</v>
      </c>
    </row>
    <row r="3611" spans="1:5" ht="15.75">
      <c r="A3611" s="89" t="str">
        <f t="shared" si="56"/>
        <v>#24181</v>
      </c>
      <c r="B3611" s="138" t="s">
        <v>7467</v>
      </c>
      <c r="C3611" s="140" t="s">
        <v>7466</v>
      </c>
      <c r="D3611" s="138">
        <v>45062</v>
      </c>
      <c r="E3611" s="138" t="s">
        <v>1034</v>
      </c>
    </row>
    <row r="3612" spans="1:5" ht="15.75">
      <c r="A3612" s="89" t="str">
        <f t="shared" si="56"/>
        <v>#24189</v>
      </c>
      <c r="B3612" s="138" t="s">
        <v>7468</v>
      </c>
      <c r="C3612" s="140" t="s">
        <v>4237</v>
      </c>
      <c r="D3612" s="138">
        <v>45062</v>
      </c>
      <c r="E3612" s="138" t="s">
        <v>721</v>
      </c>
    </row>
    <row r="3613" spans="1:5" ht="15.75">
      <c r="A3613" s="89" t="str">
        <f t="shared" si="56"/>
        <v>#24192</v>
      </c>
      <c r="B3613" s="138" t="s">
        <v>7469</v>
      </c>
      <c r="C3613" s="140" t="s">
        <v>4615</v>
      </c>
      <c r="D3613" s="138">
        <v>45069</v>
      </c>
      <c r="E3613" s="138" t="s">
        <v>1188</v>
      </c>
    </row>
    <row r="3614" spans="1:5" ht="15.75">
      <c r="A3614" s="89" t="str">
        <f t="shared" si="56"/>
        <v>#24203</v>
      </c>
      <c r="B3614" s="138" t="s">
        <v>7471</v>
      </c>
      <c r="C3614" s="140" t="s">
        <v>7470</v>
      </c>
      <c r="D3614" s="138">
        <v>45085</v>
      </c>
      <c r="E3614" s="138" t="s">
        <v>1541</v>
      </c>
    </row>
    <row r="3615" spans="1:5" ht="15.75">
      <c r="A3615" s="89" t="str">
        <f t="shared" si="56"/>
        <v>#24204</v>
      </c>
      <c r="B3615" s="138" t="s">
        <v>7473</v>
      </c>
      <c r="C3615" s="140" t="s">
        <v>7472</v>
      </c>
      <c r="D3615" s="138">
        <v>45085</v>
      </c>
      <c r="E3615" s="138" t="s">
        <v>721</v>
      </c>
    </row>
    <row r="3616" spans="1:5" ht="15.75">
      <c r="A3616" s="89" t="str">
        <f t="shared" si="56"/>
        <v>#24205</v>
      </c>
      <c r="B3616" s="138" t="s">
        <v>7475</v>
      </c>
      <c r="C3616" s="140" t="s">
        <v>7474</v>
      </c>
      <c r="D3616" s="138">
        <v>45085</v>
      </c>
      <c r="E3616" s="138" t="s">
        <v>721</v>
      </c>
    </row>
    <row r="3617" spans="1:5" ht="15.75">
      <c r="A3617" s="89" t="str">
        <f t="shared" si="56"/>
        <v>#24206</v>
      </c>
      <c r="B3617" s="138" t="s">
        <v>7477</v>
      </c>
      <c r="C3617" s="140" t="s">
        <v>7476</v>
      </c>
      <c r="D3617" s="138">
        <v>45085</v>
      </c>
      <c r="E3617" s="138" t="s">
        <v>721</v>
      </c>
    </row>
    <row r="3618" spans="1:5" ht="15.75">
      <c r="A3618" s="89" t="str">
        <f t="shared" si="56"/>
        <v>#24207</v>
      </c>
      <c r="B3618" s="138" t="s">
        <v>7479</v>
      </c>
      <c r="C3618" s="140" t="s">
        <v>7478</v>
      </c>
      <c r="D3618" s="138">
        <v>45085</v>
      </c>
      <c r="E3618" s="138" t="s">
        <v>721</v>
      </c>
    </row>
    <row r="3619" spans="1:5" ht="15.75">
      <c r="A3619" s="89" t="str">
        <f t="shared" si="56"/>
        <v>#24210</v>
      </c>
      <c r="B3619" s="138" t="s">
        <v>7480</v>
      </c>
      <c r="C3619" s="140" t="s">
        <v>2112</v>
      </c>
      <c r="D3619" s="138">
        <v>45103</v>
      </c>
      <c r="E3619" s="138" t="s">
        <v>7819</v>
      </c>
    </row>
    <row r="3620" spans="1:5" ht="15.75">
      <c r="A3620" s="89" t="str">
        <f t="shared" si="56"/>
        <v>#24211</v>
      </c>
      <c r="B3620" s="138" t="s">
        <v>7482</v>
      </c>
      <c r="C3620" s="140" t="s">
        <v>7481</v>
      </c>
      <c r="D3620" s="138">
        <v>45108</v>
      </c>
      <c r="E3620" s="138" t="s">
        <v>978</v>
      </c>
    </row>
    <row r="3621" spans="1:5" ht="15.75">
      <c r="A3621" s="89" t="str">
        <f t="shared" si="56"/>
        <v>#24215</v>
      </c>
      <c r="B3621" s="138" t="s">
        <v>7483</v>
      </c>
      <c r="C3621" s="140" t="s">
        <v>6338</v>
      </c>
      <c r="D3621" s="138">
        <v>45108</v>
      </c>
      <c r="E3621" s="138" t="s">
        <v>978</v>
      </c>
    </row>
    <row r="3622" spans="1:5" ht="15.75">
      <c r="A3622" s="89" t="str">
        <f t="shared" si="56"/>
        <v>#24218</v>
      </c>
      <c r="B3622" s="138" t="s">
        <v>7484</v>
      </c>
      <c r="C3622" s="140" t="s">
        <v>6604</v>
      </c>
      <c r="D3622" s="138">
        <v>45108</v>
      </c>
      <c r="E3622" s="138" t="s">
        <v>1188</v>
      </c>
    </row>
    <row r="3623" spans="1:5" ht="15.75">
      <c r="A3623" s="89" t="str">
        <f t="shared" si="56"/>
        <v>#24222</v>
      </c>
      <c r="B3623" s="138" t="s">
        <v>7485</v>
      </c>
      <c r="C3623" s="140" t="s">
        <v>2845</v>
      </c>
      <c r="D3623" s="138">
        <v>45108</v>
      </c>
      <c r="E3623" s="138" t="s">
        <v>978</v>
      </c>
    </row>
    <row r="3624" spans="1:5" ht="15.75">
      <c r="A3624" s="89" t="str">
        <f t="shared" si="56"/>
        <v>#24223</v>
      </c>
      <c r="B3624" s="138" t="s">
        <v>7486</v>
      </c>
      <c r="C3624" s="140" t="s">
        <v>6542</v>
      </c>
      <c r="D3624" s="138">
        <v>45108</v>
      </c>
      <c r="E3624" s="138" t="s">
        <v>978</v>
      </c>
    </row>
    <row r="3625" spans="1:5" ht="15.75">
      <c r="A3625" s="89" t="str">
        <f t="shared" si="56"/>
        <v>#24224</v>
      </c>
      <c r="B3625" s="138" t="s">
        <v>7487</v>
      </c>
      <c r="C3625" s="140" t="s">
        <v>6542</v>
      </c>
      <c r="D3625" s="138">
        <v>45108</v>
      </c>
      <c r="E3625" s="138" t="s">
        <v>978</v>
      </c>
    </row>
    <row r="3626" spans="1:5" ht="15.75">
      <c r="A3626" s="89" t="str">
        <f t="shared" si="56"/>
        <v>#24229</v>
      </c>
      <c r="B3626" s="138" t="s">
        <v>7488</v>
      </c>
      <c r="C3626" s="140" t="s">
        <v>2440</v>
      </c>
      <c r="D3626" s="138">
        <v>45108</v>
      </c>
      <c r="E3626" s="138" t="s">
        <v>978</v>
      </c>
    </row>
    <row r="3627" spans="1:5" ht="15.75">
      <c r="A3627" s="89" t="str">
        <f t="shared" si="56"/>
        <v>#24233</v>
      </c>
      <c r="B3627" s="138" t="s">
        <v>7490</v>
      </c>
      <c r="C3627" s="140" t="s">
        <v>7489</v>
      </c>
      <c r="D3627" s="138">
        <v>45124</v>
      </c>
      <c r="E3627" s="138" t="s">
        <v>978</v>
      </c>
    </row>
    <row r="3628" spans="1:5" ht="15.75">
      <c r="A3628" s="89" t="str">
        <f t="shared" si="56"/>
        <v>#24241</v>
      </c>
      <c r="B3628" s="138" t="s">
        <v>7492</v>
      </c>
      <c r="C3628" s="140" t="s">
        <v>7491</v>
      </c>
      <c r="D3628" s="138">
        <v>45125</v>
      </c>
      <c r="E3628" s="138" t="s">
        <v>978</v>
      </c>
    </row>
    <row r="3629" spans="1:5" ht="15.75">
      <c r="A3629" s="89" t="str">
        <f t="shared" si="56"/>
        <v>#24254</v>
      </c>
      <c r="B3629" s="138" t="s">
        <v>7494</v>
      </c>
      <c r="C3629" s="140" t="s">
        <v>7493</v>
      </c>
      <c r="D3629" s="138">
        <v>45125</v>
      </c>
      <c r="E3629" s="138" t="s">
        <v>1188</v>
      </c>
    </row>
    <row r="3630" spans="1:5" ht="15.75">
      <c r="A3630" s="89" t="str">
        <f t="shared" si="56"/>
        <v>#24260</v>
      </c>
      <c r="B3630" s="138" t="s">
        <v>7496</v>
      </c>
      <c r="C3630" s="140" t="s">
        <v>7495</v>
      </c>
      <c r="D3630" s="138">
        <v>45147</v>
      </c>
      <c r="E3630" s="138" t="s">
        <v>1133</v>
      </c>
    </row>
    <row r="3631" spans="1:5" ht="15.75">
      <c r="A3631" s="89" t="str">
        <f t="shared" si="56"/>
        <v>#24269</v>
      </c>
      <c r="B3631" s="138" t="s">
        <v>7498</v>
      </c>
      <c r="C3631" s="140" t="s">
        <v>7497</v>
      </c>
      <c r="D3631" s="138">
        <v>45147</v>
      </c>
      <c r="E3631" s="138" t="s">
        <v>1098</v>
      </c>
    </row>
    <row r="3632" spans="1:5" ht="15.75">
      <c r="A3632" s="89" t="str">
        <f t="shared" si="56"/>
        <v>#24275</v>
      </c>
      <c r="B3632" s="138" t="s">
        <v>7500</v>
      </c>
      <c r="C3632" s="140" t="s">
        <v>7499</v>
      </c>
      <c r="D3632" s="138">
        <v>45147</v>
      </c>
      <c r="E3632" s="138" t="s">
        <v>1487</v>
      </c>
    </row>
    <row r="3633" spans="1:5" ht="15.75">
      <c r="A3633" s="89" t="str">
        <f t="shared" si="56"/>
        <v>#24282</v>
      </c>
      <c r="B3633" s="138" t="s">
        <v>7502</v>
      </c>
      <c r="C3633" s="140" t="s">
        <v>7501</v>
      </c>
      <c r="D3633" s="138">
        <v>45147</v>
      </c>
      <c r="E3633" s="138" t="s">
        <v>915</v>
      </c>
    </row>
    <row r="3634" spans="1:5" ht="15.75">
      <c r="A3634" s="89" t="str">
        <f t="shared" si="56"/>
        <v>#24292</v>
      </c>
      <c r="B3634" s="138" t="s">
        <v>7504</v>
      </c>
      <c r="C3634" s="140" t="s">
        <v>7503</v>
      </c>
      <c r="D3634" s="138">
        <v>45161</v>
      </c>
      <c r="E3634" s="138" t="s">
        <v>721</v>
      </c>
    </row>
    <row r="3635" spans="1:5" ht="15.75">
      <c r="A3635" s="89" t="str">
        <f t="shared" si="56"/>
        <v>#24294</v>
      </c>
      <c r="B3635" s="138" t="s">
        <v>7505</v>
      </c>
      <c r="C3635" s="140" t="s">
        <v>4106</v>
      </c>
      <c r="D3635" s="138">
        <v>45173</v>
      </c>
      <c r="E3635" s="138" t="s">
        <v>792</v>
      </c>
    </row>
    <row r="3636" spans="1:5" ht="15.75">
      <c r="A3636" s="89" t="str">
        <f t="shared" si="56"/>
        <v>#24297</v>
      </c>
      <c r="B3636" s="138" t="s">
        <v>7507</v>
      </c>
      <c r="C3636" s="141" t="s">
        <v>7506</v>
      </c>
      <c r="D3636" s="138">
        <v>45210</v>
      </c>
      <c r="E3636" s="138" t="s">
        <v>796</v>
      </c>
    </row>
    <row r="3637" spans="1:5" ht="15.75">
      <c r="A3637" s="89" t="str">
        <f t="shared" si="56"/>
        <v>#24301</v>
      </c>
      <c r="B3637" s="138" t="s">
        <v>7509</v>
      </c>
      <c r="C3637" s="141" t="s">
        <v>7508</v>
      </c>
      <c r="D3637" s="138">
        <v>45215</v>
      </c>
      <c r="E3637" s="138" t="s">
        <v>948</v>
      </c>
    </row>
    <row r="3638" spans="1:5" ht="15.75">
      <c r="A3638" s="89" t="str">
        <f t="shared" si="56"/>
        <v>#24307</v>
      </c>
      <c r="B3638" s="138" t="s">
        <v>7511</v>
      </c>
      <c r="C3638" s="141" t="s">
        <v>7510</v>
      </c>
      <c r="D3638" s="138">
        <v>45215</v>
      </c>
      <c r="E3638" s="138" t="s">
        <v>948</v>
      </c>
    </row>
    <row r="3639" spans="1:5" ht="15.75">
      <c r="A3639" s="89" t="str">
        <f t="shared" si="56"/>
        <v>#24308</v>
      </c>
      <c r="B3639" s="138" t="s">
        <v>7513</v>
      </c>
      <c r="C3639" s="141" t="s">
        <v>7512</v>
      </c>
      <c r="D3639" s="138">
        <v>45215</v>
      </c>
      <c r="E3639" s="138" t="s">
        <v>1098</v>
      </c>
    </row>
    <row r="3640" spans="1:5" ht="15.75">
      <c r="A3640" s="89" t="str">
        <f t="shared" si="56"/>
        <v>#24312</v>
      </c>
      <c r="B3640" s="138" t="s">
        <v>7514</v>
      </c>
      <c r="C3640" s="141" t="s">
        <v>1083</v>
      </c>
      <c r="D3640" s="138">
        <v>45215</v>
      </c>
      <c r="E3640" s="138" t="s">
        <v>1098</v>
      </c>
    </row>
    <row r="3641" spans="1:5" ht="15.75">
      <c r="A3641" s="89" t="str">
        <f t="shared" si="56"/>
        <v>#24320</v>
      </c>
      <c r="B3641" s="138" t="s">
        <v>7516</v>
      </c>
      <c r="C3641" s="140" t="s">
        <v>7515</v>
      </c>
      <c r="D3641" s="138">
        <v>45225</v>
      </c>
      <c r="E3641" s="138" t="s">
        <v>773</v>
      </c>
    </row>
    <row r="3642" spans="1:5" ht="15.75">
      <c r="A3642" s="89" t="str">
        <f t="shared" si="56"/>
        <v>#24322</v>
      </c>
      <c r="B3642" s="138" t="s">
        <v>7518</v>
      </c>
      <c r="C3642" s="140" t="s">
        <v>7517</v>
      </c>
      <c r="D3642" s="138">
        <v>45243</v>
      </c>
      <c r="E3642" s="138" t="s">
        <v>773</v>
      </c>
    </row>
    <row r="3643" spans="1:5" ht="15.75">
      <c r="A3643" s="89" t="str">
        <f t="shared" si="56"/>
        <v>#24323</v>
      </c>
      <c r="B3643" s="138" t="s">
        <v>7520</v>
      </c>
      <c r="C3643" s="140" t="s">
        <v>7519</v>
      </c>
      <c r="D3643" s="138">
        <v>45245</v>
      </c>
      <c r="E3643" s="138" t="s">
        <v>1004</v>
      </c>
    </row>
    <row r="3644" spans="1:5" ht="15.75">
      <c r="A3644" s="89" t="str">
        <f t="shared" si="56"/>
        <v>#24324</v>
      </c>
      <c r="B3644" s="138" t="s">
        <v>7522</v>
      </c>
      <c r="C3644" s="140" t="s">
        <v>7521</v>
      </c>
      <c r="D3644" s="138">
        <v>45251</v>
      </c>
      <c r="E3644" s="138" t="s">
        <v>1451</v>
      </c>
    </row>
    <row r="3645" spans="1:5" ht="15.75">
      <c r="A3645" s="89" t="str">
        <f t="shared" si="56"/>
        <v>#24325</v>
      </c>
      <c r="B3645" s="138" t="s">
        <v>7524</v>
      </c>
      <c r="C3645" s="140" t="s">
        <v>7523</v>
      </c>
      <c r="D3645" s="138">
        <v>45251</v>
      </c>
      <c r="E3645" s="138" t="s">
        <v>1541</v>
      </c>
    </row>
    <row r="3646" spans="1:5" ht="15.75">
      <c r="A3646" s="89" t="str">
        <f t="shared" si="56"/>
        <v>#24326</v>
      </c>
      <c r="B3646" s="138" t="s">
        <v>7526</v>
      </c>
      <c r="C3646" s="140" t="s">
        <v>7525</v>
      </c>
      <c r="D3646" s="138">
        <v>45251</v>
      </c>
      <c r="E3646" s="138" t="s">
        <v>1541</v>
      </c>
    </row>
    <row r="3647" spans="1:5" ht="15.75">
      <c r="A3647" s="89" t="str">
        <f t="shared" si="56"/>
        <v>#24329</v>
      </c>
      <c r="B3647" s="138" t="s">
        <v>7528</v>
      </c>
      <c r="C3647" s="140" t="s">
        <v>7527</v>
      </c>
      <c r="D3647" s="138">
        <v>45264</v>
      </c>
      <c r="E3647" s="138" t="s">
        <v>1451</v>
      </c>
    </row>
    <row r="3648" spans="1:5" ht="15.75">
      <c r="A3648" s="89" t="str">
        <f t="shared" si="56"/>
        <v>#24331</v>
      </c>
      <c r="B3648" s="138" t="s">
        <v>7529</v>
      </c>
      <c r="C3648" s="140" t="s">
        <v>2672</v>
      </c>
      <c r="D3648" s="138">
        <v>45279</v>
      </c>
      <c r="E3648" s="138" t="s">
        <v>721</v>
      </c>
    </row>
    <row r="3649" spans="1:5" ht="15.75">
      <c r="A3649" s="89" t="str">
        <f t="shared" si="56"/>
        <v>#24332</v>
      </c>
      <c r="B3649" s="138" t="s">
        <v>7531</v>
      </c>
      <c r="C3649" s="140" t="s">
        <v>7530</v>
      </c>
      <c r="D3649" s="138">
        <v>45281</v>
      </c>
      <c r="E3649" s="138" t="s">
        <v>1541</v>
      </c>
    </row>
    <row r="3650" spans="1:5" ht="15.75">
      <c r="A3650" s="89" t="str">
        <f t="shared" si="56"/>
        <v>#24335</v>
      </c>
      <c r="B3650" s="138" t="s">
        <v>7533</v>
      </c>
      <c r="C3650" s="140" t="s">
        <v>7532</v>
      </c>
      <c r="D3650" s="138">
        <v>45306</v>
      </c>
      <c r="E3650" s="138" t="s">
        <v>752</v>
      </c>
    </row>
    <row r="3651" spans="1:5" ht="15.75">
      <c r="A3651" s="89" t="str">
        <f t="shared" ref="A3651:A3714" si="57">"#"&amp;B3651</f>
        <v>#24337</v>
      </c>
      <c r="B3651" s="138" t="s">
        <v>7534</v>
      </c>
      <c r="C3651" s="140" t="s">
        <v>3668</v>
      </c>
      <c r="D3651" s="138">
        <v>45341</v>
      </c>
      <c r="E3651" s="138" t="s">
        <v>1191</v>
      </c>
    </row>
    <row r="3652" spans="1:5" ht="15.75">
      <c r="A3652" s="89" t="str">
        <f t="shared" si="57"/>
        <v>#24338</v>
      </c>
      <c r="B3652" s="138" t="s">
        <v>7536</v>
      </c>
      <c r="C3652" s="140" t="s">
        <v>7535</v>
      </c>
      <c r="D3652" s="138">
        <v>45341</v>
      </c>
      <c r="E3652" s="138" t="s">
        <v>1675</v>
      </c>
    </row>
    <row r="3653" spans="1:5" ht="15.75">
      <c r="A3653" s="89" t="str">
        <f t="shared" si="57"/>
        <v>#24339</v>
      </c>
      <c r="B3653" s="138" t="s">
        <v>7538</v>
      </c>
      <c r="C3653" s="140" t="s">
        <v>7537</v>
      </c>
      <c r="D3653" s="138">
        <v>45343</v>
      </c>
      <c r="E3653" s="138" t="s">
        <v>1444</v>
      </c>
    </row>
    <row r="3654" spans="1:5" ht="15.75">
      <c r="A3654" s="89" t="str">
        <f t="shared" si="57"/>
        <v>#24344</v>
      </c>
      <c r="B3654" s="138" t="s">
        <v>7540</v>
      </c>
      <c r="C3654" s="140" t="s">
        <v>7539</v>
      </c>
      <c r="D3654" s="138">
        <v>45345</v>
      </c>
      <c r="E3654" s="138" t="s">
        <v>978</v>
      </c>
    </row>
    <row r="3655" spans="1:5" ht="15.75">
      <c r="A3655" s="89" t="str">
        <f t="shared" si="57"/>
        <v>#24348</v>
      </c>
      <c r="B3655" s="138" t="s">
        <v>7541</v>
      </c>
      <c r="C3655" s="140" t="s">
        <v>1309</v>
      </c>
      <c r="D3655" s="138">
        <v>45345</v>
      </c>
      <c r="E3655" s="138" t="s">
        <v>978</v>
      </c>
    </row>
    <row r="3656" spans="1:5" ht="15.75">
      <c r="A3656" s="89" t="str">
        <f t="shared" si="57"/>
        <v>#24353</v>
      </c>
      <c r="B3656" s="138" t="s">
        <v>7543</v>
      </c>
      <c r="C3656" s="140" t="s">
        <v>7542</v>
      </c>
      <c r="D3656" s="138">
        <v>45345</v>
      </c>
      <c r="E3656" s="138" t="s">
        <v>978</v>
      </c>
    </row>
    <row r="3657" spans="1:5" ht="15.75">
      <c r="A3657" s="89" t="str">
        <f t="shared" si="57"/>
        <v>#24360</v>
      </c>
      <c r="B3657" s="138" t="s">
        <v>7546</v>
      </c>
      <c r="C3657" s="140" t="s">
        <v>7545</v>
      </c>
      <c r="D3657" s="138">
        <v>45345</v>
      </c>
      <c r="E3657" s="138" t="s">
        <v>978</v>
      </c>
    </row>
    <row r="3658" spans="1:5" ht="15.75">
      <c r="A3658" s="89" t="str">
        <f t="shared" si="57"/>
        <v>#24373</v>
      </c>
      <c r="B3658" s="138" t="s">
        <v>7548</v>
      </c>
      <c r="C3658" s="140" t="s">
        <v>7547</v>
      </c>
      <c r="D3658" s="138">
        <v>45345</v>
      </c>
      <c r="E3658" s="138" t="s">
        <v>8037</v>
      </c>
    </row>
    <row r="3659" spans="1:5" ht="15.75">
      <c r="A3659" s="89" t="str">
        <f t="shared" si="57"/>
        <v>#24375</v>
      </c>
      <c r="B3659" s="138" t="s">
        <v>7550</v>
      </c>
      <c r="C3659" s="140" t="s">
        <v>7549</v>
      </c>
      <c r="D3659" s="138">
        <v>45349</v>
      </c>
      <c r="E3659" s="138" t="s">
        <v>948</v>
      </c>
    </row>
    <row r="3660" spans="1:5" ht="15.75">
      <c r="A3660" s="89" t="str">
        <f t="shared" si="57"/>
        <v>#24376</v>
      </c>
      <c r="B3660" s="138" t="s">
        <v>7552</v>
      </c>
      <c r="C3660" s="140" t="s">
        <v>7551</v>
      </c>
      <c r="D3660" s="138">
        <v>45349</v>
      </c>
      <c r="E3660" s="138" t="s">
        <v>948</v>
      </c>
    </row>
    <row r="3661" spans="1:5" ht="15.75">
      <c r="A3661" s="89" t="str">
        <f t="shared" si="57"/>
        <v>#24377</v>
      </c>
      <c r="B3661" s="138" t="s">
        <v>7554</v>
      </c>
      <c r="C3661" s="140" t="s">
        <v>7553</v>
      </c>
      <c r="D3661" s="138">
        <v>45349</v>
      </c>
      <c r="E3661" s="138" t="s">
        <v>948</v>
      </c>
    </row>
    <row r="3662" spans="1:5" ht="15.75">
      <c r="A3662" s="89" t="str">
        <f t="shared" si="57"/>
        <v>#24378</v>
      </c>
      <c r="B3662" s="138" t="s">
        <v>7556</v>
      </c>
      <c r="C3662" s="140" t="s">
        <v>7555</v>
      </c>
      <c r="D3662" s="138">
        <v>45349</v>
      </c>
      <c r="E3662" s="138" t="s">
        <v>1716</v>
      </c>
    </row>
    <row r="3663" spans="1:5" ht="15.75">
      <c r="A3663" s="89" t="str">
        <f t="shared" si="57"/>
        <v>#24380</v>
      </c>
      <c r="B3663" s="138" t="s">
        <v>7558</v>
      </c>
      <c r="C3663" s="140" t="s">
        <v>7557</v>
      </c>
      <c r="D3663" s="138">
        <v>45349</v>
      </c>
      <c r="E3663" s="138" t="s">
        <v>1716</v>
      </c>
    </row>
    <row r="3664" spans="1:5" ht="15.75">
      <c r="A3664" s="89" t="str">
        <f t="shared" si="57"/>
        <v>#24382</v>
      </c>
      <c r="B3664" s="138" t="s">
        <v>7560</v>
      </c>
      <c r="C3664" s="140" t="s">
        <v>7559</v>
      </c>
      <c r="D3664" s="138">
        <v>45349</v>
      </c>
      <c r="E3664" s="138" t="s">
        <v>895</v>
      </c>
    </row>
    <row r="3665" spans="1:5" ht="15.75">
      <c r="A3665" s="89" t="str">
        <f t="shared" si="57"/>
        <v>#24384</v>
      </c>
      <c r="B3665" s="138" t="s">
        <v>7562</v>
      </c>
      <c r="C3665" s="140" t="s">
        <v>7561</v>
      </c>
      <c r="D3665" s="138">
        <v>45349</v>
      </c>
      <c r="E3665" s="138" t="s">
        <v>1098</v>
      </c>
    </row>
    <row r="3666" spans="1:5" ht="15.75">
      <c r="A3666" s="89" t="str">
        <f t="shared" si="57"/>
        <v>#24385</v>
      </c>
      <c r="B3666" s="138" t="s">
        <v>7564</v>
      </c>
      <c r="C3666" s="140" t="s">
        <v>7563</v>
      </c>
      <c r="D3666" s="138">
        <v>45349</v>
      </c>
      <c r="E3666" s="138" t="s">
        <v>1098</v>
      </c>
    </row>
    <row r="3667" spans="1:5" ht="15.75">
      <c r="A3667" s="89" t="str">
        <f t="shared" si="57"/>
        <v>#24388</v>
      </c>
      <c r="B3667" s="138" t="s">
        <v>7566</v>
      </c>
      <c r="C3667" s="140" t="s">
        <v>7565</v>
      </c>
      <c r="D3667" s="138">
        <v>45349</v>
      </c>
      <c r="E3667" s="138" t="s">
        <v>1098</v>
      </c>
    </row>
    <row r="3668" spans="1:5" ht="15.75">
      <c r="A3668" s="89" t="str">
        <f t="shared" si="57"/>
        <v>#24399</v>
      </c>
      <c r="B3668" s="138" t="s">
        <v>7568</v>
      </c>
      <c r="C3668" s="140" t="s">
        <v>7567</v>
      </c>
      <c r="D3668" s="138">
        <v>45349</v>
      </c>
      <c r="E3668" s="138" t="s">
        <v>1487</v>
      </c>
    </row>
    <row r="3669" spans="1:5" ht="15.75">
      <c r="A3669" s="89" t="str">
        <f t="shared" si="57"/>
        <v>#24400</v>
      </c>
      <c r="B3669" s="138" t="s">
        <v>7570</v>
      </c>
      <c r="C3669" s="140" t="s">
        <v>7569</v>
      </c>
      <c r="D3669" s="138">
        <v>45349</v>
      </c>
      <c r="E3669" s="138" t="s">
        <v>915</v>
      </c>
    </row>
    <row r="3670" spans="1:5" ht="15.75">
      <c r="A3670" s="89" t="str">
        <f t="shared" si="57"/>
        <v>#24401</v>
      </c>
      <c r="B3670" s="138" t="s">
        <v>7572</v>
      </c>
      <c r="C3670" s="140" t="s">
        <v>7571</v>
      </c>
      <c r="D3670" s="138">
        <v>45349</v>
      </c>
      <c r="E3670" s="138" t="s">
        <v>915</v>
      </c>
    </row>
    <row r="3671" spans="1:5" ht="15.75">
      <c r="A3671" s="89" t="str">
        <f t="shared" si="57"/>
        <v>#24402</v>
      </c>
      <c r="B3671" s="138" t="s">
        <v>7574</v>
      </c>
      <c r="C3671" s="140" t="s">
        <v>7573</v>
      </c>
      <c r="D3671" s="138">
        <v>45349</v>
      </c>
      <c r="E3671" s="138" t="s">
        <v>915</v>
      </c>
    </row>
    <row r="3672" spans="1:5" ht="15.75">
      <c r="A3672" s="89" t="str">
        <f t="shared" si="57"/>
        <v>#24404</v>
      </c>
      <c r="B3672" s="138" t="s">
        <v>7576</v>
      </c>
      <c r="C3672" s="140" t="s">
        <v>7575</v>
      </c>
      <c r="D3672" s="138">
        <v>45349</v>
      </c>
      <c r="E3672" s="138" t="s">
        <v>1215</v>
      </c>
    </row>
    <row r="3673" spans="1:5" ht="15.75">
      <c r="A3673" s="89" t="str">
        <f t="shared" si="57"/>
        <v>#24409</v>
      </c>
      <c r="B3673" s="138" t="s">
        <v>7578</v>
      </c>
      <c r="C3673" s="140" t="s">
        <v>7577</v>
      </c>
      <c r="D3673" s="138">
        <v>45352</v>
      </c>
      <c r="E3673" s="138" t="s">
        <v>1675</v>
      </c>
    </row>
    <row r="3674" spans="1:5" ht="15.75">
      <c r="A3674" s="89" t="str">
        <f t="shared" si="57"/>
        <v>#24410</v>
      </c>
      <c r="B3674" s="138" t="s">
        <v>7580</v>
      </c>
      <c r="C3674" s="140" t="s">
        <v>7579</v>
      </c>
      <c r="D3674" s="138">
        <v>45353</v>
      </c>
      <c r="E3674" s="138" t="s">
        <v>1004</v>
      </c>
    </row>
    <row r="3675" spans="1:5" ht="15.75">
      <c r="A3675" s="89" t="str">
        <f t="shared" si="57"/>
        <v>#24412</v>
      </c>
      <c r="B3675" s="138" t="s">
        <v>7582</v>
      </c>
      <c r="C3675" s="140" t="s">
        <v>7581</v>
      </c>
      <c r="D3675" s="138">
        <v>45353</v>
      </c>
      <c r="E3675" s="138" t="s">
        <v>8037</v>
      </c>
    </row>
    <row r="3676" spans="1:5" ht="15.75">
      <c r="A3676" s="89" t="str">
        <f t="shared" si="57"/>
        <v>#24413</v>
      </c>
      <c r="B3676" s="138" t="s">
        <v>7584</v>
      </c>
      <c r="C3676" s="140" t="s">
        <v>7583</v>
      </c>
      <c r="D3676" s="138">
        <v>45353</v>
      </c>
      <c r="E3676" s="138" t="s">
        <v>8037</v>
      </c>
    </row>
    <row r="3677" spans="1:5" ht="15.75">
      <c r="A3677" s="89" t="str">
        <f t="shared" si="57"/>
        <v>#24414</v>
      </c>
      <c r="B3677" s="138" t="s">
        <v>7586</v>
      </c>
      <c r="C3677" s="140" t="s">
        <v>7585</v>
      </c>
      <c r="D3677" s="138">
        <v>45353</v>
      </c>
      <c r="E3677" s="138" t="s">
        <v>8037</v>
      </c>
    </row>
    <row r="3678" spans="1:5" ht="15.75">
      <c r="A3678" s="89" t="str">
        <f t="shared" si="57"/>
        <v>#24416</v>
      </c>
      <c r="B3678" s="138" t="s">
        <v>7588</v>
      </c>
      <c r="C3678" s="140" t="s">
        <v>7587</v>
      </c>
      <c r="D3678" s="138">
        <v>45353</v>
      </c>
      <c r="E3678" s="138" t="s">
        <v>8037</v>
      </c>
    </row>
    <row r="3679" spans="1:5" ht="15.75">
      <c r="A3679" s="89" t="str">
        <f t="shared" si="57"/>
        <v>#24417</v>
      </c>
      <c r="B3679" s="138" t="s">
        <v>7590</v>
      </c>
      <c r="C3679" s="140" t="s">
        <v>7589</v>
      </c>
      <c r="D3679" s="138">
        <v>45353</v>
      </c>
      <c r="E3679" s="138" t="s">
        <v>8037</v>
      </c>
    </row>
    <row r="3680" spans="1:5" ht="15.75">
      <c r="A3680" s="89" t="str">
        <f t="shared" si="57"/>
        <v>#24423</v>
      </c>
      <c r="B3680" s="138" t="s">
        <v>7592</v>
      </c>
      <c r="C3680" s="140" t="s">
        <v>7591</v>
      </c>
      <c r="D3680" s="138">
        <v>45353</v>
      </c>
      <c r="E3680" s="138" t="s">
        <v>1380</v>
      </c>
    </row>
    <row r="3681" spans="1:5" ht="15.75">
      <c r="A3681" s="89" t="str">
        <f t="shared" si="57"/>
        <v>#24424</v>
      </c>
      <c r="B3681" s="138" t="s">
        <v>7593</v>
      </c>
      <c r="C3681" s="140" t="s">
        <v>7432</v>
      </c>
      <c r="D3681" s="138">
        <v>45353</v>
      </c>
      <c r="E3681" s="138" t="s">
        <v>1034</v>
      </c>
    </row>
    <row r="3682" spans="1:5" ht="15.75">
      <c r="A3682" s="89" t="str">
        <f t="shared" si="57"/>
        <v>#24425</v>
      </c>
      <c r="B3682" s="138" t="s">
        <v>7595</v>
      </c>
      <c r="C3682" s="140" t="s">
        <v>7594</v>
      </c>
      <c r="D3682" s="138">
        <v>45353</v>
      </c>
      <c r="E3682" s="138" t="s">
        <v>1034</v>
      </c>
    </row>
    <row r="3683" spans="1:5" ht="15.75">
      <c r="A3683" s="89" t="str">
        <f t="shared" si="57"/>
        <v>#24426</v>
      </c>
      <c r="B3683" s="138" t="s">
        <v>7597</v>
      </c>
      <c r="C3683" s="140" t="s">
        <v>7596</v>
      </c>
      <c r="D3683" s="138">
        <v>45353</v>
      </c>
      <c r="E3683" s="138" t="s">
        <v>927</v>
      </c>
    </row>
    <row r="3684" spans="1:5" ht="15.75">
      <c r="A3684" s="89" t="str">
        <f t="shared" si="57"/>
        <v>#24427</v>
      </c>
      <c r="B3684" s="138" t="s">
        <v>7599</v>
      </c>
      <c r="C3684" s="140" t="s">
        <v>7598</v>
      </c>
      <c r="D3684" s="138">
        <v>45353</v>
      </c>
      <c r="E3684" s="138" t="s">
        <v>927</v>
      </c>
    </row>
    <row r="3685" spans="1:5" ht="15.75">
      <c r="A3685" s="89" t="str">
        <f t="shared" si="57"/>
        <v>#24429</v>
      </c>
      <c r="B3685" s="138" t="s">
        <v>7600</v>
      </c>
      <c r="C3685" s="140" t="s">
        <v>5890</v>
      </c>
      <c r="D3685" s="138">
        <v>45353</v>
      </c>
      <c r="E3685" s="138" t="s">
        <v>927</v>
      </c>
    </row>
    <row r="3686" spans="1:5" ht="15.75">
      <c r="A3686" s="89" t="str">
        <f t="shared" si="57"/>
        <v>#24431</v>
      </c>
      <c r="B3686" s="138" t="s">
        <v>7602</v>
      </c>
      <c r="C3686" s="140" t="s">
        <v>7601</v>
      </c>
      <c r="D3686" s="138">
        <v>45353</v>
      </c>
      <c r="E3686" s="138" t="s">
        <v>927</v>
      </c>
    </row>
    <row r="3687" spans="1:5" ht="15.75">
      <c r="A3687" s="89" t="str">
        <f t="shared" si="57"/>
        <v>#24432</v>
      </c>
      <c r="B3687" s="138" t="s">
        <v>7604</v>
      </c>
      <c r="C3687" s="140" t="s">
        <v>7603</v>
      </c>
      <c r="D3687" s="138">
        <v>45353</v>
      </c>
      <c r="E3687" s="138" t="s">
        <v>927</v>
      </c>
    </row>
    <row r="3688" spans="1:5" ht="15.75">
      <c r="A3688" s="89" t="str">
        <f t="shared" si="57"/>
        <v>#24437</v>
      </c>
      <c r="B3688" s="138" t="s">
        <v>7606</v>
      </c>
      <c r="C3688" s="140" t="s">
        <v>7605</v>
      </c>
      <c r="D3688" s="138">
        <v>45353</v>
      </c>
      <c r="E3688" s="138" t="s">
        <v>927</v>
      </c>
    </row>
    <row r="3689" spans="1:5" ht="15.75">
      <c r="A3689" s="89" t="str">
        <f t="shared" si="57"/>
        <v>#24445</v>
      </c>
      <c r="B3689" s="138" t="s">
        <v>7608</v>
      </c>
      <c r="C3689" s="140" t="s">
        <v>7607</v>
      </c>
      <c r="D3689" s="138">
        <v>45353</v>
      </c>
      <c r="E3689" s="138" t="s">
        <v>924</v>
      </c>
    </row>
    <row r="3690" spans="1:5" ht="15.75">
      <c r="A3690" s="89" t="str">
        <f t="shared" si="57"/>
        <v>#24446</v>
      </c>
      <c r="B3690" s="138" t="s">
        <v>7610</v>
      </c>
      <c r="C3690" s="140" t="s">
        <v>7609</v>
      </c>
      <c r="D3690" s="138">
        <v>45353</v>
      </c>
      <c r="E3690" s="138" t="s">
        <v>890</v>
      </c>
    </row>
    <row r="3691" spans="1:5" ht="15.75">
      <c r="A3691" s="89" t="str">
        <f t="shared" si="57"/>
        <v>#24448</v>
      </c>
      <c r="B3691" s="138" t="s">
        <v>7612</v>
      </c>
      <c r="C3691" s="140" t="s">
        <v>7611</v>
      </c>
      <c r="D3691" s="138">
        <v>45353</v>
      </c>
      <c r="E3691" s="138" t="s">
        <v>890</v>
      </c>
    </row>
    <row r="3692" spans="1:5" ht="15.75">
      <c r="A3692" s="89" t="str">
        <f t="shared" si="57"/>
        <v>#24459</v>
      </c>
      <c r="B3692" s="138" t="s">
        <v>7613</v>
      </c>
      <c r="C3692" s="140" t="s">
        <v>2887</v>
      </c>
      <c r="D3692" s="138">
        <v>45353</v>
      </c>
      <c r="E3692" s="138" t="s">
        <v>924</v>
      </c>
    </row>
    <row r="3693" spans="1:5" ht="15.75">
      <c r="A3693" s="89" t="str">
        <f t="shared" si="57"/>
        <v>#24462</v>
      </c>
      <c r="B3693" s="138" t="s">
        <v>7615</v>
      </c>
      <c r="C3693" s="140" t="s">
        <v>7614</v>
      </c>
      <c r="D3693" s="138">
        <v>45353</v>
      </c>
      <c r="E3693" s="138" t="s">
        <v>895</v>
      </c>
    </row>
    <row r="3694" spans="1:5" ht="15.75">
      <c r="A3694" s="89" t="str">
        <f t="shared" si="57"/>
        <v>#24463</v>
      </c>
      <c r="B3694" s="138" t="s">
        <v>7617</v>
      </c>
      <c r="C3694" s="140" t="s">
        <v>7616</v>
      </c>
      <c r="D3694" s="138">
        <v>45353</v>
      </c>
      <c r="E3694" s="138" t="s">
        <v>895</v>
      </c>
    </row>
    <row r="3695" spans="1:5" ht="15.75">
      <c r="A3695" s="89" t="str">
        <f t="shared" si="57"/>
        <v>#24464</v>
      </c>
      <c r="B3695" s="138" t="s">
        <v>7619</v>
      </c>
      <c r="C3695" s="140" t="s">
        <v>7618</v>
      </c>
      <c r="D3695" s="138">
        <v>45353</v>
      </c>
      <c r="E3695" s="138" t="s">
        <v>895</v>
      </c>
    </row>
    <row r="3696" spans="1:5" ht="15.75">
      <c r="A3696" s="89" t="str">
        <f t="shared" si="57"/>
        <v>#24476</v>
      </c>
      <c r="B3696" s="138" t="s">
        <v>7621</v>
      </c>
      <c r="C3696" s="140" t="s">
        <v>7620</v>
      </c>
      <c r="D3696" s="138">
        <v>45353</v>
      </c>
      <c r="E3696" s="138" t="s">
        <v>915</v>
      </c>
    </row>
    <row r="3697" spans="1:5" ht="15.75">
      <c r="A3697" s="89" t="str">
        <f t="shared" si="57"/>
        <v>#24489</v>
      </c>
      <c r="B3697" s="138" t="s">
        <v>7622</v>
      </c>
      <c r="C3697" s="140" t="s">
        <v>7544</v>
      </c>
      <c r="D3697" s="138">
        <v>45362</v>
      </c>
      <c r="E3697" s="138" t="s">
        <v>890</v>
      </c>
    </row>
    <row r="3698" spans="1:5" ht="15.75">
      <c r="A3698" s="89" t="str">
        <f t="shared" si="57"/>
        <v>#24490</v>
      </c>
      <c r="B3698" s="138" t="s">
        <v>7624</v>
      </c>
      <c r="C3698" s="140" t="s">
        <v>7623</v>
      </c>
      <c r="D3698" s="138">
        <v>45362</v>
      </c>
      <c r="E3698" s="138" t="s">
        <v>924</v>
      </c>
    </row>
    <row r="3699" spans="1:5" ht="15.75">
      <c r="A3699" s="89" t="str">
        <f t="shared" si="57"/>
        <v>#24495</v>
      </c>
      <c r="B3699" s="138" t="s">
        <v>7626</v>
      </c>
      <c r="C3699" s="140" t="s">
        <v>7625</v>
      </c>
      <c r="D3699" s="138">
        <v>45362</v>
      </c>
      <c r="E3699" s="138" t="s">
        <v>895</v>
      </c>
    </row>
    <row r="3700" spans="1:5" ht="15.75">
      <c r="A3700" s="89" t="str">
        <f t="shared" si="57"/>
        <v>#24496</v>
      </c>
      <c r="B3700" s="138" t="s">
        <v>7628</v>
      </c>
      <c r="C3700" s="140" t="s">
        <v>7627</v>
      </c>
      <c r="D3700" s="138">
        <v>45362</v>
      </c>
      <c r="E3700" s="138" t="s">
        <v>895</v>
      </c>
    </row>
    <row r="3701" spans="1:5" ht="15.75">
      <c r="A3701" s="89" t="str">
        <f t="shared" si="57"/>
        <v>#24507</v>
      </c>
      <c r="B3701" s="138" t="s">
        <v>7630</v>
      </c>
      <c r="C3701" s="140" t="s">
        <v>7629</v>
      </c>
      <c r="D3701" s="138">
        <v>45362</v>
      </c>
      <c r="E3701" s="138" t="s">
        <v>948</v>
      </c>
    </row>
    <row r="3702" spans="1:5" ht="15.75">
      <c r="A3702" s="89" t="str">
        <f t="shared" si="57"/>
        <v>#24509</v>
      </c>
      <c r="B3702" s="138" t="s">
        <v>7631</v>
      </c>
      <c r="C3702" s="140" t="s">
        <v>5088</v>
      </c>
      <c r="D3702" s="138">
        <v>45364</v>
      </c>
      <c r="E3702" s="138" t="s">
        <v>1191</v>
      </c>
    </row>
    <row r="3703" spans="1:5" ht="15.75">
      <c r="A3703" s="89" t="str">
        <f t="shared" si="57"/>
        <v>#24511</v>
      </c>
      <c r="B3703" s="138" t="s">
        <v>7633</v>
      </c>
      <c r="C3703" s="140" t="s">
        <v>7632</v>
      </c>
      <c r="D3703" s="138">
        <v>45366</v>
      </c>
      <c r="E3703" s="138" t="s">
        <v>895</v>
      </c>
    </row>
    <row r="3704" spans="1:5" ht="15.75">
      <c r="A3704" s="89" t="str">
        <f t="shared" si="57"/>
        <v>#24521</v>
      </c>
      <c r="B3704" s="138" t="s">
        <v>7634</v>
      </c>
      <c r="C3704" s="140" t="s">
        <v>5347</v>
      </c>
      <c r="D3704" s="138">
        <v>45366</v>
      </c>
      <c r="E3704" s="138" t="s">
        <v>937</v>
      </c>
    </row>
    <row r="3705" spans="1:5" ht="15.75">
      <c r="A3705" s="89" t="str">
        <f t="shared" si="57"/>
        <v>#24523</v>
      </c>
      <c r="B3705" s="138" t="s">
        <v>7636</v>
      </c>
      <c r="C3705" s="140" t="s">
        <v>7635</v>
      </c>
      <c r="D3705" s="138">
        <v>45366</v>
      </c>
      <c r="E3705" s="138" t="s">
        <v>5177</v>
      </c>
    </row>
    <row r="3706" spans="1:5" ht="15.75">
      <c r="A3706" s="89" t="str">
        <f t="shared" si="57"/>
        <v>#24524</v>
      </c>
      <c r="B3706" s="138" t="s">
        <v>7637</v>
      </c>
      <c r="C3706" s="140" t="s">
        <v>996</v>
      </c>
      <c r="D3706" s="138">
        <v>45366</v>
      </c>
      <c r="E3706" s="138" t="s">
        <v>721</v>
      </c>
    </row>
    <row r="3707" spans="1:5" ht="15.75">
      <c r="A3707" s="89" t="str">
        <f t="shared" si="57"/>
        <v>#24526</v>
      </c>
      <c r="B3707" s="138" t="s">
        <v>7639</v>
      </c>
      <c r="C3707" s="140" t="s">
        <v>7638</v>
      </c>
      <c r="D3707" s="138">
        <v>45371</v>
      </c>
      <c r="E3707" s="138" t="s">
        <v>927</v>
      </c>
    </row>
    <row r="3708" spans="1:5" ht="15.75">
      <c r="A3708" s="89" t="str">
        <f t="shared" si="57"/>
        <v>#24527</v>
      </c>
      <c r="B3708" s="138" t="s">
        <v>7640</v>
      </c>
      <c r="C3708" s="140" t="s">
        <v>3702</v>
      </c>
      <c r="D3708" s="138">
        <v>45371</v>
      </c>
      <c r="E3708" s="138" t="s">
        <v>937</v>
      </c>
    </row>
    <row r="3709" spans="1:5" ht="15.75">
      <c r="A3709" s="89" t="str">
        <f t="shared" si="57"/>
        <v>#24529</v>
      </c>
      <c r="B3709" s="138" t="s">
        <v>7641</v>
      </c>
      <c r="C3709" s="140" t="s">
        <v>1344</v>
      </c>
      <c r="D3709" s="138">
        <v>45371</v>
      </c>
      <c r="E3709" s="138" t="s">
        <v>1487</v>
      </c>
    </row>
    <row r="3710" spans="1:5" ht="15.75">
      <c r="A3710" s="89" t="str">
        <f t="shared" si="57"/>
        <v>#24534</v>
      </c>
      <c r="B3710" s="138" t="s">
        <v>7643</v>
      </c>
      <c r="C3710" s="140" t="s">
        <v>7642</v>
      </c>
      <c r="D3710" s="138">
        <v>45371</v>
      </c>
      <c r="E3710" s="138" t="s">
        <v>1487</v>
      </c>
    </row>
    <row r="3711" spans="1:5" ht="15.75">
      <c r="A3711" s="89" t="str">
        <f t="shared" si="57"/>
        <v>#24540</v>
      </c>
      <c r="B3711" s="138" t="s">
        <v>7645</v>
      </c>
      <c r="C3711" s="140" t="s">
        <v>7644</v>
      </c>
      <c r="D3711" s="138">
        <v>45371</v>
      </c>
      <c r="E3711" s="138" t="s">
        <v>7646</v>
      </c>
    </row>
    <row r="3712" spans="1:5" ht="15.75">
      <c r="A3712" s="89" t="str">
        <f t="shared" si="57"/>
        <v>#24542</v>
      </c>
      <c r="B3712" s="138" t="s">
        <v>7648</v>
      </c>
      <c r="C3712" s="140" t="s">
        <v>7647</v>
      </c>
      <c r="D3712" s="138">
        <v>45371</v>
      </c>
      <c r="E3712" s="138" t="s">
        <v>7646</v>
      </c>
    </row>
    <row r="3713" spans="1:5" ht="15.75">
      <c r="A3713" s="89" t="str">
        <f t="shared" si="57"/>
        <v>#24551</v>
      </c>
      <c r="B3713" s="138" t="s">
        <v>7649</v>
      </c>
      <c r="C3713" s="140" t="s">
        <v>4160</v>
      </c>
      <c r="D3713" s="138">
        <v>45371</v>
      </c>
      <c r="E3713" s="138" t="s">
        <v>7646</v>
      </c>
    </row>
    <row r="3714" spans="1:5" ht="15.75">
      <c r="A3714" s="89" t="str">
        <f t="shared" si="57"/>
        <v>#24552</v>
      </c>
      <c r="B3714" s="138" t="s">
        <v>7651</v>
      </c>
      <c r="C3714" s="140" t="s">
        <v>7650</v>
      </c>
      <c r="D3714" s="138">
        <v>45378</v>
      </c>
      <c r="E3714" s="138" t="s">
        <v>895</v>
      </c>
    </row>
    <row r="3715" spans="1:5" ht="15.75">
      <c r="A3715" s="89" t="str">
        <f t="shared" ref="A3715:A3778" si="58">"#"&amp;B3715</f>
        <v>#24558</v>
      </c>
      <c r="B3715" s="138" t="s">
        <v>7653</v>
      </c>
      <c r="C3715" s="140" t="s">
        <v>7652</v>
      </c>
      <c r="D3715" s="138">
        <v>45378</v>
      </c>
      <c r="E3715" s="138" t="s">
        <v>1098</v>
      </c>
    </row>
    <row r="3716" spans="1:5" ht="15.75">
      <c r="A3716" s="89" t="str">
        <f t="shared" si="58"/>
        <v>#24560</v>
      </c>
      <c r="B3716" s="138" t="s">
        <v>7654</v>
      </c>
      <c r="C3716" s="140" t="s">
        <v>4542</v>
      </c>
      <c r="D3716" s="138">
        <v>45378</v>
      </c>
      <c r="E3716" s="138" t="s">
        <v>1098</v>
      </c>
    </row>
    <row r="3717" spans="1:5" ht="15.75">
      <c r="A3717" s="89" t="str">
        <f t="shared" si="58"/>
        <v>#24563</v>
      </c>
      <c r="B3717" s="138" t="s">
        <v>7656</v>
      </c>
      <c r="C3717" s="140" t="s">
        <v>7655</v>
      </c>
      <c r="D3717" s="138">
        <v>45378</v>
      </c>
      <c r="E3717" s="138" t="s">
        <v>7646</v>
      </c>
    </row>
    <row r="3718" spans="1:5" ht="15.75">
      <c r="A3718" s="89" t="str">
        <f t="shared" si="58"/>
        <v>#24568</v>
      </c>
      <c r="B3718" s="138" t="s">
        <v>7658</v>
      </c>
      <c r="C3718" s="140" t="s">
        <v>7657</v>
      </c>
      <c r="D3718" s="138">
        <v>45383</v>
      </c>
      <c r="E3718" s="138" t="s">
        <v>1191</v>
      </c>
    </row>
    <row r="3719" spans="1:5" ht="15.75">
      <c r="A3719" s="89" t="str">
        <f t="shared" si="58"/>
        <v>#24569</v>
      </c>
      <c r="B3719" s="138" t="s">
        <v>7659</v>
      </c>
      <c r="C3719" s="140" t="s">
        <v>6945</v>
      </c>
      <c r="D3719" s="138">
        <v>45383</v>
      </c>
      <c r="E3719" s="138" t="s">
        <v>1191</v>
      </c>
    </row>
    <row r="3720" spans="1:5" ht="15.75">
      <c r="A3720" s="89" t="str">
        <f t="shared" si="58"/>
        <v>#24570</v>
      </c>
      <c r="B3720" s="138" t="s">
        <v>7661</v>
      </c>
      <c r="C3720" s="140" t="s">
        <v>7660</v>
      </c>
      <c r="D3720" s="138">
        <v>45383</v>
      </c>
      <c r="E3720" s="138" t="s">
        <v>1451</v>
      </c>
    </row>
    <row r="3721" spans="1:5" ht="15.75">
      <c r="A3721" s="89" t="str">
        <f t="shared" si="58"/>
        <v>#24573</v>
      </c>
      <c r="B3721" s="138" t="s">
        <v>7662</v>
      </c>
      <c r="C3721" s="140" t="s">
        <v>5081</v>
      </c>
      <c r="D3721" s="138">
        <v>45385</v>
      </c>
      <c r="E3721" s="138" t="s">
        <v>1098</v>
      </c>
    </row>
    <row r="3722" spans="1:5" ht="15.75">
      <c r="A3722" s="89" t="str">
        <f t="shared" si="58"/>
        <v>#24574</v>
      </c>
      <c r="B3722" s="138" t="s">
        <v>7664</v>
      </c>
      <c r="C3722" s="140" t="s">
        <v>7663</v>
      </c>
      <c r="D3722" s="138">
        <v>45385</v>
      </c>
      <c r="E3722" s="138" t="s">
        <v>1487</v>
      </c>
    </row>
    <row r="3723" spans="1:5" ht="18.75">
      <c r="A3723" s="89" t="str">
        <f t="shared" si="58"/>
        <v>#24575</v>
      </c>
      <c r="B3723" s="138" t="s">
        <v>7666</v>
      </c>
      <c r="C3723" s="140" t="s">
        <v>7665</v>
      </c>
      <c r="D3723" s="138">
        <v>45385</v>
      </c>
      <c r="E3723" s="206" t="s">
        <v>1716</v>
      </c>
    </row>
    <row r="3724" spans="1:5" ht="15.75">
      <c r="A3724" s="89" t="str">
        <f t="shared" si="58"/>
        <v>#24585</v>
      </c>
      <c r="B3724" s="138" t="s">
        <v>7668</v>
      </c>
      <c r="C3724" s="140" t="s">
        <v>7667</v>
      </c>
      <c r="D3724" s="138">
        <v>45385</v>
      </c>
      <c r="E3724" s="138" t="s">
        <v>948</v>
      </c>
    </row>
    <row r="3725" spans="1:5" ht="15.75">
      <c r="A3725" s="89" t="str">
        <f t="shared" si="58"/>
        <v>#24594</v>
      </c>
      <c r="B3725" s="138" t="s">
        <v>7670</v>
      </c>
      <c r="C3725" s="140" t="s">
        <v>7669</v>
      </c>
      <c r="D3725" s="138">
        <v>45387</v>
      </c>
      <c r="E3725" s="138" t="s">
        <v>8037</v>
      </c>
    </row>
    <row r="3726" spans="1:5" ht="15.75">
      <c r="A3726" s="89" t="str">
        <f t="shared" si="58"/>
        <v>#24595</v>
      </c>
      <c r="B3726" s="138" t="s">
        <v>7671</v>
      </c>
      <c r="C3726" s="140" t="s">
        <v>6401</v>
      </c>
      <c r="D3726" s="138">
        <v>45387</v>
      </c>
      <c r="E3726" s="138" t="s">
        <v>8037</v>
      </c>
    </row>
    <row r="3727" spans="1:5" ht="15.75">
      <c r="A3727" s="89" t="str">
        <f t="shared" si="58"/>
        <v>#24596</v>
      </c>
      <c r="B3727" s="138" t="s">
        <v>7672</v>
      </c>
      <c r="C3727" s="140" t="s">
        <v>2680</v>
      </c>
      <c r="D3727" s="138">
        <v>45387</v>
      </c>
      <c r="E3727" s="138" t="s">
        <v>8037</v>
      </c>
    </row>
    <row r="3728" spans="1:5" ht="15.75">
      <c r="A3728" s="89" t="str">
        <f t="shared" si="58"/>
        <v>#24597</v>
      </c>
      <c r="B3728" s="138" t="s">
        <v>7673</v>
      </c>
      <c r="C3728" s="140" t="s">
        <v>6740</v>
      </c>
      <c r="D3728" s="138">
        <v>45387</v>
      </c>
      <c r="E3728" s="138" t="s">
        <v>8037</v>
      </c>
    </row>
    <row r="3729" spans="1:5" ht="15.75">
      <c r="A3729" s="89" t="str">
        <f t="shared" si="58"/>
        <v>#24600</v>
      </c>
      <c r="B3729" s="138" t="s">
        <v>7675</v>
      </c>
      <c r="C3729" s="140" t="s">
        <v>7674</v>
      </c>
      <c r="D3729" s="138">
        <v>45387</v>
      </c>
      <c r="E3729" s="138" t="s">
        <v>8037</v>
      </c>
    </row>
    <row r="3730" spans="1:5" ht="15.75">
      <c r="A3730" s="89" t="str">
        <f t="shared" si="58"/>
        <v>#24601</v>
      </c>
      <c r="B3730" s="138" t="s">
        <v>7677</v>
      </c>
      <c r="C3730" s="140" t="s">
        <v>7676</v>
      </c>
      <c r="D3730" s="138">
        <v>45387</v>
      </c>
      <c r="E3730" s="138" t="s">
        <v>898</v>
      </c>
    </row>
    <row r="3731" spans="1:5" ht="15.75">
      <c r="A3731" s="89" t="str">
        <f t="shared" si="58"/>
        <v>#24602</v>
      </c>
      <c r="B3731" s="138" t="s">
        <v>7679</v>
      </c>
      <c r="C3731" s="140" t="s">
        <v>7678</v>
      </c>
      <c r="D3731" s="138">
        <v>45387</v>
      </c>
      <c r="E3731" s="138" t="s">
        <v>895</v>
      </c>
    </row>
    <row r="3732" spans="1:5" ht="15.75">
      <c r="A3732" s="89" t="str">
        <f t="shared" si="58"/>
        <v>#24604</v>
      </c>
      <c r="B3732" s="138" t="s">
        <v>7681</v>
      </c>
      <c r="C3732" s="140" t="s">
        <v>7680</v>
      </c>
      <c r="D3732" s="138">
        <v>45387</v>
      </c>
      <c r="E3732" s="138" t="s">
        <v>895</v>
      </c>
    </row>
    <row r="3733" spans="1:5" ht="15.75">
      <c r="A3733" s="89" t="str">
        <f t="shared" si="58"/>
        <v>#24605</v>
      </c>
      <c r="B3733" s="138" t="s">
        <v>7682</v>
      </c>
      <c r="C3733" s="140" t="s">
        <v>3568</v>
      </c>
      <c r="D3733" s="138">
        <v>45387</v>
      </c>
      <c r="E3733" s="138" t="s">
        <v>895</v>
      </c>
    </row>
    <row r="3734" spans="1:5" ht="15.75">
      <c r="A3734" s="89" t="str">
        <f t="shared" si="58"/>
        <v>#24618</v>
      </c>
      <c r="B3734" s="138" t="s">
        <v>7683</v>
      </c>
      <c r="C3734" s="140" t="s">
        <v>2739</v>
      </c>
      <c r="D3734" s="138">
        <v>45387</v>
      </c>
      <c r="E3734" s="138" t="s">
        <v>927</v>
      </c>
    </row>
    <row r="3735" spans="1:5" ht="15.75">
      <c r="A3735" s="89" t="str">
        <f t="shared" si="58"/>
        <v>#24619</v>
      </c>
      <c r="B3735" s="138" t="s">
        <v>7684</v>
      </c>
      <c r="C3735" s="140" t="s">
        <v>2912</v>
      </c>
      <c r="D3735" s="138">
        <v>45387</v>
      </c>
      <c r="E3735" s="138" t="s">
        <v>927</v>
      </c>
    </row>
    <row r="3736" spans="1:5" ht="15.75">
      <c r="A3736" s="89" t="str">
        <f t="shared" si="58"/>
        <v>#24621</v>
      </c>
      <c r="B3736" s="138" t="s">
        <v>7686</v>
      </c>
      <c r="C3736" s="140" t="s">
        <v>7685</v>
      </c>
      <c r="D3736" s="138">
        <v>45387</v>
      </c>
      <c r="E3736" s="138" t="s">
        <v>927</v>
      </c>
    </row>
    <row r="3737" spans="1:5" ht="15.75">
      <c r="A3737" s="89" t="str">
        <f t="shared" si="58"/>
        <v>#24629</v>
      </c>
      <c r="B3737" s="138" t="s">
        <v>7688</v>
      </c>
      <c r="C3737" s="140" t="s">
        <v>7687</v>
      </c>
      <c r="D3737" s="138">
        <v>45387</v>
      </c>
      <c r="E3737" s="138" t="s">
        <v>927</v>
      </c>
    </row>
    <row r="3738" spans="1:5" ht="15.75">
      <c r="A3738" s="89" t="str">
        <f t="shared" si="58"/>
        <v>#24632</v>
      </c>
      <c r="B3738" s="138" t="s">
        <v>7690</v>
      </c>
      <c r="C3738" s="140" t="s">
        <v>7689</v>
      </c>
      <c r="D3738" s="138">
        <v>45387</v>
      </c>
      <c r="E3738" s="138" t="s">
        <v>903</v>
      </c>
    </row>
    <row r="3739" spans="1:5" ht="15.75">
      <c r="A3739" s="89" t="str">
        <f t="shared" si="58"/>
        <v>#24634</v>
      </c>
      <c r="B3739" s="138" t="s">
        <v>7692</v>
      </c>
      <c r="C3739" s="140" t="s">
        <v>7458</v>
      </c>
      <c r="D3739" s="138">
        <v>45387</v>
      </c>
      <c r="E3739" s="138" t="s">
        <v>903</v>
      </c>
    </row>
    <row r="3740" spans="1:5" ht="15.75">
      <c r="A3740" s="89" t="str">
        <f t="shared" si="58"/>
        <v>#24636</v>
      </c>
      <c r="B3740" s="138" t="s">
        <v>7694</v>
      </c>
      <c r="C3740" s="140" t="s">
        <v>7693</v>
      </c>
      <c r="D3740" s="138">
        <v>45387</v>
      </c>
      <c r="E3740" s="138" t="s">
        <v>903</v>
      </c>
    </row>
    <row r="3741" spans="1:5" ht="15.75">
      <c r="A3741" s="89" t="str">
        <f t="shared" si="58"/>
        <v>#24638</v>
      </c>
      <c r="B3741" s="138" t="s">
        <v>7696</v>
      </c>
      <c r="C3741" s="140" t="s">
        <v>7695</v>
      </c>
      <c r="D3741" s="138">
        <v>45387</v>
      </c>
      <c r="E3741" s="138" t="s">
        <v>903</v>
      </c>
    </row>
    <row r="3742" spans="1:5" ht="15.75">
      <c r="A3742" s="89" t="str">
        <f t="shared" si="58"/>
        <v>#24639</v>
      </c>
      <c r="B3742" s="138" t="s">
        <v>7698</v>
      </c>
      <c r="C3742" s="140" t="s">
        <v>7697</v>
      </c>
      <c r="D3742" s="138">
        <v>45387</v>
      </c>
      <c r="E3742" s="138" t="s">
        <v>721</v>
      </c>
    </row>
    <row r="3743" spans="1:5" ht="15.75">
      <c r="A3743" s="89" t="str">
        <f t="shared" si="58"/>
        <v>#24641</v>
      </c>
      <c r="B3743" s="138" t="s">
        <v>7700</v>
      </c>
      <c r="C3743" s="142" t="s">
        <v>7699</v>
      </c>
      <c r="D3743" s="138">
        <v>45387</v>
      </c>
      <c r="E3743" s="138" t="s">
        <v>721</v>
      </c>
    </row>
    <row r="3744" spans="1:5" ht="15.75">
      <c r="A3744" s="89" t="str">
        <f t="shared" si="58"/>
        <v>#24642</v>
      </c>
      <c r="B3744" s="138" t="s">
        <v>7702</v>
      </c>
      <c r="C3744" s="140" t="s">
        <v>7701</v>
      </c>
      <c r="D3744" s="138">
        <v>45390</v>
      </c>
      <c r="E3744" s="138" t="s">
        <v>1191</v>
      </c>
    </row>
    <row r="3745" spans="1:5" ht="15.75">
      <c r="A3745" s="89" t="str">
        <f t="shared" si="58"/>
        <v>#24643</v>
      </c>
      <c r="B3745" s="138" t="s">
        <v>7704</v>
      </c>
      <c r="C3745" s="140" t="s">
        <v>7703</v>
      </c>
      <c r="D3745" s="138">
        <v>45397</v>
      </c>
      <c r="E3745" s="138" t="s">
        <v>1043</v>
      </c>
    </row>
    <row r="3746" spans="1:5" ht="15.75">
      <c r="A3746" s="89" t="str">
        <f t="shared" si="58"/>
        <v>#24653</v>
      </c>
      <c r="B3746" s="138" t="s">
        <v>7706</v>
      </c>
      <c r="C3746" s="140" t="s">
        <v>7705</v>
      </c>
      <c r="D3746" s="138">
        <v>45397</v>
      </c>
      <c r="E3746" s="138" t="s">
        <v>927</v>
      </c>
    </row>
    <row r="3747" spans="1:5" ht="15.75">
      <c r="A3747" s="89" t="str">
        <f t="shared" si="58"/>
        <v>#24663</v>
      </c>
      <c r="B3747" s="138" t="s">
        <v>7707</v>
      </c>
      <c r="C3747" s="140" t="s">
        <v>1350</v>
      </c>
      <c r="D3747" s="138">
        <v>45397</v>
      </c>
      <c r="E3747" s="138" t="s">
        <v>1716</v>
      </c>
    </row>
    <row r="3748" spans="1:5" ht="15.75">
      <c r="A3748" s="89" t="str">
        <f t="shared" si="58"/>
        <v>#24689</v>
      </c>
      <c r="B3748" s="138" t="s">
        <v>7709</v>
      </c>
      <c r="C3748" s="140" t="s">
        <v>7708</v>
      </c>
      <c r="D3748" s="138">
        <v>45397</v>
      </c>
      <c r="E3748" s="138" t="s">
        <v>721</v>
      </c>
    </row>
    <row r="3749" spans="1:5" ht="15.75">
      <c r="A3749" s="89" t="str">
        <f t="shared" si="58"/>
        <v>#24692</v>
      </c>
      <c r="B3749" s="138" t="s">
        <v>7711</v>
      </c>
      <c r="C3749" s="140" t="s">
        <v>7710</v>
      </c>
      <c r="D3749" s="138">
        <v>45401</v>
      </c>
      <c r="E3749" s="138" t="s">
        <v>1188</v>
      </c>
    </row>
    <row r="3750" spans="1:5" ht="15.75">
      <c r="A3750" s="89" t="str">
        <f t="shared" si="58"/>
        <v>#24695</v>
      </c>
      <c r="B3750" s="138" t="s">
        <v>7713</v>
      </c>
      <c r="C3750" s="140" t="s">
        <v>7712</v>
      </c>
      <c r="D3750" s="138">
        <v>45401</v>
      </c>
      <c r="E3750" s="138" t="s">
        <v>1188</v>
      </c>
    </row>
    <row r="3751" spans="1:5" ht="15.75">
      <c r="A3751" s="89" t="str">
        <f t="shared" si="58"/>
        <v>#24702</v>
      </c>
      <c r="B3751" s="138" t="s">
        <v>7715</v>
      </c>
      <c r="C3751" s="140" t="s">
        <v>7714</v>
      </c>
      <c r="D3751" s="138">
        <v>45401</v>
      </c>
      <c r="E3751" s="138" t="s">
        <v>895</v>
      </c>
    </row>
    <row r="3752" spans="1:5" ht="15.75">
      <c r="A3752" s="89" t="str">
        <f t="shared" si="58"/>
        <v>#24706</v>
      </c>
      <c r="B3752" s="138" t="s">
        <v>7716</v>
      </c>
      <c r="C3752" s="140" t="s">
        <v>4963</v>
      </c>
      <c r="D3752" s="138">
        <v>45414</v>
      </c>
      <c r="E3752" s="138" t="s">
        <v>8037</v>
      </c>
    </row>
    <row r="3753" spans="1:5" ht="15.75">
      <c r="A3753" s="89" t="str">
        <f t="shared" si="58"/>
        <v>#24708</v>
      </c>
      <c r="B3753" s="138" t="s">
        <v>7718</v>
      </c>
      <c r="C3753" s="140" t="s">
        <v>7717</v>
      </c>
      <c r="D3753" s="138">
        <v>45414</v>
      </c>
      <c r="E3753" s="138" t="s">
        <v>8037</v>
      </c>
    </row>
    <row r="3754" spans="1:5" ht="15.75">
      <c r="A3754" s="89" t="str">
        <f t="shared" si="58"/>
        <v>#24716</v>
      </c>
      <c r="B3754" s="138" t="s">
        <v>7720</v>
      </c>
      <c r="C3754" s="140" t="s">
        <v>7719</v>
      </c>
      <c r="D3754" s="138">
        <v>45414</v>
      </c>
      <c r="E3754" s="138" t="s">
        <v>1188</v>
      </c>
    </row>
    <row r="3755" spans="1:5" ht="15.75">
      <c r="A3755" s="89" t="str">
        <f t="shared" si="58"/>
        <v>#24731</v>
      </c>
      <c r="B3755" s="138" t="s">
        <v>7722</v>
      </c>
      <c r="C3755" s="140" t="s">
        <v>7721</v>
      </c>
      <c r="D3755" s="138">
        <v>45414</v>
      </c>
      <c r="E3755" s="138" t="s">
        <v>1098</v>
      </c>
    </row>
    <row r="3756" spans="1:5" ht="15.75">
      <c r="A3756" s="89" t="str">
        <f t="shared" si="58"/>
        <v>#24735</v>
      </c>
      <c r="B3756" s="138" t="s">
        <v>7724</v>
      </c>
      <c r="C3756" s="140" t="s">
        <v>7723</v>
      </c>
      <c r="D3756" s="138">
        <v>45414</v>
      </c>
      <c r="E3756" s="138" t="s">
        <v>1487</v>
      </c>
    </row>
    <row r="3757" spans="1:5" ht="15.75">
      <c r="A3757" s="89" t="str">
        <f t="shared" si="58"/>
        <v>#24737</v>
      </c>
      <c r="B3757" s="138" t="s">
        <v>7726</v>
      </c>
      <c r="C3757" s="140" t="s">
        <v>7725</v>
      </c>
      <c r="D3757" s="138">
        <v>45419</v>
      </c>
      <c r="E3757" s="138" t="s">
        <v>927</v>
      </c>
    </row>
    <row r="3758" spans="1:5" ht="15.75">
      <c r="A3758" s="89" t="str">
        <f t="shared" si="58"/>
        <v>#24742</v>
      </c>
      <c r="B3758" s="138" t="s">
        <v>7728</v>
      </c>
      <c r="C3758" s="140" t="s">
        <v>7727</v>
      </c>
      <c r="D3758" s="138">
        <v>45419</v>
      </c>
      <c r="E3758" s="138" t="s">
        <v>927</v>
      </c>
    </row>
    <row r="3759" spans="1:5" ht="15.75">
      <c r="A3759" s="89" t="str">
        <f t="shared" si="58"/>
        <v>#24752</v>
      </c>
      <c r="B3759" s="138" t="s">
        <v>7730</v>
      </c>
      <c r="C3759" s="140" t="s">
        <v>7729</v>
      </c>
      <c r="D3759" s="138">
        <v>45419</v>
      </c>
      <c r="E3759" s="138" t="s">
        <v>721</v>
      </c>
    </row>
    <row r="3760" spans="1:5" ht="15.75">
      <c r="A3760" s="89" t="str">
        <f t="shared" si="58"/>
        <v>#24753</v>
      </c>
      <c r="B3760" s="138" t="s">
        <v>7731</v>
      </c>
      <c r="C3760" s="140" t="s">
        <v>1083</v>
      </c>
      <c r="D3760" s="138">
        <v>45419</v>
      </c>
      <c r="E3760" s="138" t="s">
        <v>721</v>
      </c>
    </row>
    <row r="3761" spans="1:5" ht="15.75">
      <c r="A3761" s="89" t="str">
        <f t="shared" si="58"/>
        <v>#24754</v>
      </c>
      <c r="B3761" s="138" t="s">
        <v>7732</v>
      </c>
      <c r="C3761" s="140" t="s">
        <v>4634</v>
      </c>
      <c r="D3761" s="138">
        <v>45419</v>
      </c>
      <c r="E3761" s="138" t="s">
        <v>721</v>
      </c>
    </row>
    <row r="3762" spans="1:5" ht="15.75">
      <c r="A3762" s="89" t="str">
        <f t="shared" si="58"/>
        <v>#24765</v>
      </c>
      <c r="B3762" s="138" t="s">
        <v>7734</v>
      </c>
      <c r="C3762" s="140" t="s">
        <v>3857</v>
      </c>
      <c r="D3762" s="138">
        <v>45422</v>
      </c>
      <c r="E3762" s="138" t="s">
        <v>1487</v>
      </c>
    </row>
    <row r="3763" spans="1:5" ht="15.75">
      <c r="A3763" s="89" t="str">
        <f t="shared" si="58"/>
        <v>#24771</v>
      </c>
      <c r="B3763" s="138" t="s">
        <v>7736</v>
      </c>
      <c r="C3763" s="140" t="s">
        <v>7735</v>
      </c>
      <c r="D3763" s="138">
        <v>45427</v>
      </c>
      <c r="E3763" s="138" t="s">
        <v>985</v>
      </c>
    </row>
    <row r="3764" spans="1:5" ht="15.75">
      <c r="A3764" s="89" t="str">
        <f t="shared" si="58"/>
        <v>#24774</v>
      </c>
      <c r="B3764" s="138" t="s">
        <v>7738</v>
      </c>
      <c r="C3764" s="140" t="s">
        <v>7737</v>
      </c>
      <c r="D3764" s="138">
        <v>45427</v>
      </c>
      <c r="E3764" s="138" t="s">
        <v>985</v>
      </c>
    </row>
    <row r="3765" spans="1:5" ht="15.75">
      <c r="A3765" s="89" t="str">
        <f t="shared" si="58"/>
        <v>#24780</v>
      </c>
      <c r="B3765" s="138" t="s">
        <v>7740</v>
      </c>
      <c r="C3765" s="140" t="s">
        <v>7739</v>
      </c>
      <c r="D3765" s="138">
        <v>45427</v>
      </c>
      <c r="E3765" s="138" t="s">
        <v>890</v>
      </c>
    </row>
    <row r="3766" spans="1:5" ht="15.75">
      <c r="A3766" s="89" t="str">
        <f t="shared" si="58"/>
        <v>#24781</v>
      </c>
      <c r="B3766" s="138" t="s">
        <v>7741</v>
      </c>
      <c r="C3766" s="140" t="s">
        <v>2384</v>
      </c>
      <c r="D3766" s="138">
        <v>45427</v>
      </c>
      <c r="E3766" s="138" t="s">
        <v>924</v>
      </c>
    </row>
    <row r="3767" spans="1:5" ht="15.75">
      <c r="A3767" s="89" t="str">
        <f t="shared" si="58"/>
        <v>#24782</v>
      </c>
      <c r="B3767" s="138" t="s">
        <v>7743</v>
      </c>
      <c r="C3767" s="140" t="s">
        <v>7742</v>
      </c>
      <c r="D3767" s="138">
        <v>45427</v>
      </c>
      <c r="E3767" s="138" t="s">
        <v>890</v>
      </c>
    </row>
    <row r="3768" spans="1:5" ht="15.75">
      <c r="A3768" s="89" t="str">
        <f t="shared" si="58"/>
        <v>#24784</v>
      </c>
      <c r="B3768" s="138" t="s">
        <v>7744</v>
      </c>
      <c r="C3768" s="140" t="s">
        <v>1556</v>
      </c>
      <c r="D3768" s="138">
        <v>45427</v>
      </c>
      <c r="E3768" s="138" t="s">
        <v>890</v>
      </c>
    </row>
    <row r="3769" spans="1:5" ht="15.75">
      <c r="A3769" s="89" t="str">
        <f t="shared" si="58"/>
        <v>#24787</v>
      </c>
      <c r="B3769" s="138" t="s">
        <v>7746</v>
      </c>
      <c r="C3769" s="140" t="s">
        <v>7745</v>
      </c>
      <c r="D3769" s="138">
        <v>45427</v>
      </c>
      <c r="E3769" s="138" t="s">
        <v>890</v>
      </c>
    </row>
    <row r="3770" spans="1:5" ht="15.75">
      <c r="A3770" s="89" t="str">
        <f t="shared" si="58"/>
        <v>#24789</v>
      </c>
      <c r="B3770" s="138" t="s">
        <v>7747</v>
      </c>
      <c r="C3770" s="140" t="s">
        <v>3507</v>
      </c>
      <c r="D3770" s="138">
        <v>45427</v>
      </c>
      <c r="E3770" s="138" t="s">
        <v>7788</v>
      </c>
    </row>
    <row r="3771" spans="1:5" ht="15.75">
      <c r="A3771" s="89" t="str">
        <f t="shared" si="58"/>
        <v>#24790</v>
      </c>
      <c r="B3771" s="138" t="s">
        <v>7749</v>
      </c>
      <c r="C3771" s="140" t="s">
        <v>7748</v>
      </c>
      <c r="D3771" s="138">
        <v>45427</v>
      </c>
      <c r="E3771" s="138" t="s">
        <v>1043</v>
      </c>
    </row>
    <row r="3772" spans="1:5" ht="15.75">
      <c r="A3772" s="89" t="str">
        <f t="shared" si="58"/>
        <v>#24799</v>
      </c>
      <c r="B3772" s="138" t="s">
        <v>7750</v>
      </c>
      <c r="C3772" s="140" t="s">
        <v>7733</v>
      </c>
      <c r="D3772" s="138">
        <v>45429</v>
      </c>
      <c r="E3772" s="138" t="s">
        <v>1716</v>
      </c>
    </row>
    <row r="3773" spans="1:5" ht="15.75">
      <c r="A3773" s="89" t="str">
        <f t="shared" si="58"/>
        <v>#24807</v>
      </c>
      <c r="B3773" s="138" t="s">
        <v>7752</v>
      </c>
      <c r="C3773" s="140" t="s">
        <v>1383</v>
      </c>
      <c r="D3773" s="138">
        <v>45429</v>
      </c>
      <c r="E3773" s="138" t="s">
        <v>1487</v>
      </c>
    </row>
    <row r="3774" spans="1:5" ht="15.75">
      <c r="A3774" s="89" t="str">
        <f t="shared" si="58"/>
        <v>#24809</v>
      </c>
      <c r="B3774" s="138" t="s">
        <v>7754</v>
      </c>
      <c r="C3774" s="140" t="s">
        <v>7753</v>
      </c>
      <c r="D3774" s="138">
        <v>45429</v>
      </c>
      <c r="E3774" s="138" t="s">
        <v>915</v>
      </c>
    </row>
    <row r="3775" spans="1:5" ht="15.75">
      <c r="A3775" s="89" t="str">
        <f t="shared" si="58"/>
        <v>#24814</v>
      </c>
      <c r="B3775" s="138" t="s">
        <v>7755</v>
      </c>
      <c r="C3775" s="140" t="s">
        <v>6651</v>
      </c>
      <c r="D3775" s="138">
        <v>45429</v>
      </c>
      <c r="E3775" s="138" t="s">
        <v>1098</v>
      </c>
    </row>
    <row r="3776" spans="1:5" ht="15.75">
      <c r="A3776" s="89" t="str">
        <f t="shared" si="58"/>
        <v>#24818</v>
      </c>
      <c r="B3776" s="138" t="s">
        <v>7756</v>
      </c>
      <c r="C3776" s="140" t="s">
        <v>2647</v>
      </c>
      <c r="D3776" s="138">
        <v>45434</v>
      </c>
      <c r="E3776" s="138" t="s">
        <v>890</v>
      </c>
    </row>
    <row r="3777" spans="1:5" ht="15.75">
      <c r="A3777" s="89" t="str">
        <f t="shared" si="58"/>
        <v>#24823</v>
      </c>
      <c r="B3777" s="138" t="s">
        <v>7758</v>
      </c>
      <c r="C3777" s="140" t="s">
        <v>7757</v>
      </c>
      <c r="D3777" s="138">
        <v>45434</v>
      </c>
      <c r="E3777" s="138" t="s">
        <v>1113</v>
      </c>
    </row>
    <row r="3778" spans="1:5" ht="15.75">
      <c r="A3778" s="89" t="str">
        <f t="shared" si="58"/>
        <v>#24828</v>
      </c>
      <c r="B3778" s="138" t="s">
        <v>7760</v>
      </c>
      <c r="C3778" s="140" t="s">
        <v>7759</v>
      </c>
      <c r="D3778" s="138">
        <v>45434</v>
      </c>
      <c r="E3778" s="138" t="s">
        <v>1063</v>
      </c>
    </row>
    <row r="3779" spans="1:5" ht="15.75">
      <c r="A3779" s="89" t="str">
        <f t="shared" ref="A3779:A3842" si="59">"#"&amp;B3779</f>
        <v>#24832</v>
      </c>
      <c r="B3779" s="138" t="s">
        <v>7762</v>
      </c>
      <c r="C3779" s="140" t="s">
        <v>7761</v>
      </c>
      <c r="D3779" s="138">
        <v>45434</v>
      </c>
      <c r="E3779" s="138" t="s">
        <v>1043</v>
      </c>
    </row>
    <row r="3780" spans="1:5" ht="15.75">
      <c r="A3780" s="89" t="str">
        <f t="shared" si="59"/>
        <v>#24833</v>
      </c>
      <c r="B3780" s="138" t="s">
        <v>7764</v>
      </c>
      <c r="C3780" s="140" t="s">
        <v>7763</v>
      </c>
      <c r="D3780" s="138">
        <v>45434</v>
      </c>
      <c r="E3780" s="138" t="s">
        <v>1043</v>
      </c>
    </row>
    <row r="3781" spans="1:5" ht="15.75">
      <c r="A3781" s="89" t="str">
        <f t="shared" si="59"/>
        <v>#24834</v>
      </c>
      <c r="B3781" s="138" t="s">
        <v>7766</v>
      </c>
      <c r="C3781" s="140" t="s">
        <v>7765</v>
      </c>
      <c r="D3781" s="138">
        <v>45434</v>
      </c>
      <c r="E3781" s="138" t="s">
        <v>934</v>
      </c>
    </row>
    <row r="3782" spans="1:5" ht="15.75">
      <c r="A3782" s="89" t="str">
        <f t="shared" si="59"/>
        <v>#24838</v>
      </c>
      <c r="B3782" s="138" t="s">
        <v>7767</v>
      </c>
      <c r="C3782" s="140" t="s">
        <v>2110</v>
      </c>
      <c r="D3782" s="138">
        <v>45436</v>
      </c>
      <c r="E3782" s="138" t="s">
        <v>1716</v>
      </c>
    </row>
    <row r="3783" spans="1:5" ht="15.75">
      <c r="A3783" s="89" t="str">
        <f t="shared" si="59"/>
        <v>#24843</v>
      </c>
      <c r="B3783" s="138" t="s">
        <v>7769</v>
      </c>
      <c r="C3783" s="140" t="s">
        <v>7768</v>
      </c>
      <c r="D3783" s="138">
        <v>45436</v>
      </c>
      <c r="E3783" s="138" t="s">
        <v>948</v>
      </c>
    </row>
    <row r="3784" spans="1:5" ht="15.75">
      <c r="A3784" s="89" t="str">
        <f t="shared" si="59"/>
        <v>#24850</v>
      </c>
      <c r="B3784" s="138" t="s">
        <v>7771</v>
      </c>
      <c r="C3784" s="140" t="s">
        <v>7770</v>
      </c>
      <c r="D3784" s="138">
        <v>45436</v>
      </c>
      <c r="E3784" s="138" t="s">
        <v>915</v>
      </c>
    </row>
    <row r="3785" spans="1:5" ht="15.75">
      <c r="A3785" s="89" t="str">
        <f t="shared" si="59"/>
        <v>#24852</v>
      </c>
      <c r="B3785" s="138" t="s">
        <v>7773</v>
      </c>
      <c r="C3785" s="140" t="s">
        <v>7772</v>
      </c>
      <c r="D3785" s="138">
        <v>45441</v>
      </c>
      <c r="E3785" s="138" t="s">
        <v>8037</v>
      </c>
    </row>
    <row r="3786" spans="1:5" ht="15.75">
      <c r="A3786" s="89" t="str">
        <f t="shared" si="59"/>
        <v>#24858</v>
      </c>
      <c r="B3786" s="138" t="s">
        <v>7774</v>
      </c>
      <c r="C3786" s="140" t="s">
        <v>4634</v>
      </c>
      <c r="D3786" s="138">
        <v>45441</v>
      </c>
      <c r="E3786" s="138" t="s">
        <v>1188</v>
      </c>
    </row>
    <row r="3787" spans="1:5" ht="15.75">
      <c r="A3787" s="89" t="str">
        <f t="shared" si="59"/>
        <v>#24870</v>
      </c>
      <c r="B3787" s="138" t="s">
        <v>7776</v>
      </c>
      <c r="C3787" s="140" t="s">
        <v>7775</v>
      </c>
      <c r="D3787" s="138">
        <v>45444</v>
      </c>
      <c r="E3787" s="138" t="s">
        <v>1451</v>
      </c>
    </row>
    <row r="3788" spans="1:5" ht="15.75">
      <c r="A3788" s="89" t="str">
        <f t="shared" si="59"/>
        <v>#24871</v>
      </c>
      <c r="B3788" s="138" t="s">
        <v>7778</v>
      </c>
      <c r="C3788" s="140" t="s">
        <v>7777</v>
      </c>
      <c r="D3788" s="138">
        <v>45446</v>
      </c>
      <c r="E3788" s="138" t="s">
        <v>752</v>
      </c>
    </row>
    <row r="3789" spans="1:5" ht="15.75">
      <c r="A3789" s="89" t="str">
        <f t="shared" si="59"/>
        <v>#24874</v>
      </c>
      <c r="B3789" s="138" t="s">
        <v>7780</v>
      </c>
      <c r="C3789" s="140" t="s">
        <v>7779</v>
      </c>
      <c r="D3789" s="138">
        <v>45448</v>
      </c>
      <c r="E3789" s="241" t="s">
        <v>721</v>
      </c>
    </row>
    <row r="3790" spans="1:5" ht="15.75">
      <c r="A3790" s="89" t="str">
        <f t="shared" si="59"/>
        <v>#24900</v>
      </c>
      <c r="B3790" s="138" t="s">
        <v>7782</v>
      </c>
      <c r="C3790" s="140" t="s">
        <v>7781</v>
      </c>
      <c r="D3790" s="138">
        <v>45453</v>
      </c>
      <c r="E3790" s="138" t="s">
        <v>743</v>
      </c>
    </row>
    <row r="3791" spans="1:5" ht="15.75">
      <c r="A3791" s="89" t="str">
        <f t="shared" si="59"/>
        <v>#24901</v>
      </c>
      <c r="B3791" s="138" t="s">
        <v>7783</v>
      </c>
      <c r="C3791" s="140" t="s">
        <v>886</v>
      </c>
      <c r="D3791" s="138">
        <v>45455</v>
      </c>
      <c r="E3791" s="138" t="s">
        <v>792</v>
      </c>
    </row>
    <row r="3792" spans="1:5" ht="15.75">
      <c r="A3792" s="89" t="str">
        <f t="shared" si="59"/>
        <v>#24918</v>
      </c>
      <c r="B3792" s="138" t="s">
        <v>7785</v>
      </c>
      <c r="C3792" s="140" t="s">
        <v>7784</v>
      </c>
      <c r="D3792" s="138">
        <v>45457</v>
      </c>
      <c r="E3792" s="138" t="s">
        <v>7819</v>
      </c>
    </row>
    <row r="3793" spans="1:5" ht="15.75">
      <c r="A3793" s="89" t="str">
        <f t="shared" si="59"/>
        <v>#24919</v>
      </c>
      <c r="B3793" s="138" t="s">
        <v>7787</v>
      </c>
      <c r="C3793" s="140" t="s">
        <v>7786</v>
      </c>
      <c r="D3793" s="138">
        <v>45461</v>
      </c>
      <c r="E3793" s="138" t="s">
        <v>7788</v>
      </c>
    </row>
    <row r="3794" spans="1:5" ht="15.75">
      <c r="A3794" s="89" t="str">
        <f t="shared" si="59"/>
        <v>#24934</v>
      </c>
      <c r="B3794" s="138" t="s">
        <v>7820</v>
      </c>
      <c r="C3794" s="140" t="s">
        <v>7821</v>
      </c>
      <c r="D3794" s="138">
        <v>45468</v>
      </c>
      <c r="E3794" s="138" t="s">
        <v>7818</v>
      </c>
    </row>
    <row r="3795" spans="1:5" ht="15.75">
      <c r="A3795" s="89" t="str">
        <f t="shared" si="59"/>
        <v>#24947</v>
      </c>
      <c r="B3795" s="138" t="s">
        <v>7822</v>
      </c>
      <c r="C3795" s="140" t="s">
        <v>7823</v>
      </c>
      <c r="D3795" s="138">
        <v>45468</v>
      </c>
      <c r="E3795" s="138" t="s">
        <v>957</v>
      </c>
    </row>
    <row r="3796" spans="1:5" ht="15.75">
      <c r="A3796" s="89" t="str">
        <f t="shared" si="59"/>
        <v>#24948</v>
      </c>
      <c r="B3796" s="138" t="s">
        <v>7824</v>
      </c>
      <c r="C3796" s="140" t="s">
        <v>2474</v>
      </c>
      <c r="D3796" s="138">
        <v>45468</v>
      </c>
      <c r="E3796" s="138" t="s">
        <v>957</v>
      </c>
    </row>
    <row r="3797" spans="1:5" ht="15.75">
      <c r="A3797" s="89" t="str">
        <f t="shared" si="59"/>
        <v>#24950</v>
      </c>
      <c r="B3797" s="138" t="s">
        <v>7825</v>
      </c>
      <c r="C3797" s="140" t="s">
        <v>3818</v>
      </c>
      <c r="D3797" s="138">
        <v>45468</v>
      </c>
      <c r="E3797" s="138" t="s">
        <v>7788</v>
      </c>
    </row>
    <row r="3798" spans="1:5" ht="15.75">
      <c r="A3798" s="89" t="str">
        <f t="shared" si="59"/>
        <v>#24953</v>
      </c>
      <c r="B3798" s="138" t="s">
        <v>7826</v>
      </c>
      <c r="C3798" s="140" t="s">
        <v>7827</v>
      </c>
      <c r="D3798" s="138">
        <v>45474</v>
      </c>
      <c r="E3798" s="138" t="s">
        <v>759</v>
      </c>
    </row>
    <row r="3799" spans="1:5" ht="15.75">
      <c r="A3799" s="89" t="str">
        <f t="shared" si="59"/>
        <v>#24954</v>
      </c>
      <c r="B3799" s="138" t="s">
        <v>7828</v>
      </c>
      <c r="C3799" s="140" t="s">
        <v>7829</v>
      </c>
      <c r="D3799" s="138">
        <v>45474</v>
      </c>
      <c r="E3799" s="138" t="s">
        <v>7788</v>
      </c>
    </row>
    <row r="3800" spans="1:5" ht="15.75">
      <c r="A3800" s="89" t="str">
        <f t="shared" si="59"/>
        <v>#24965</v>
      </c>
      <c r="B3800" s="138" t="s">
        <v>7830</v>
      </c>
      <c r="C3800" s="255" t="s">
        <v>7831</v>
      </c>
      <c r="D3800" s="138">
        <v>45476</v>
      </c>
      <c r="E3800" s="138" t="s">
        <v>978</v>
      </c>
    </row>
    <row r="3801" spans="1:5" ht="15.75">
      <c r="A3801" s="89" t="str">
        <f t="shared" si="59"/>
        <v>#24966</v>
      </c>
      <c r="B3801" s="138" t="s">
        <v>7832</v>
      </c>
      <c r="C3801" s="255" t="s">
        <v>5782</v>
      </c>
      <c r="D3801" s="138">
        <v>45476</v>
      </c>
      <c r="E3801" s="138" t="s">
        <v>978</v>
      </c>
    </row>
    <row r="3802" spans="1:5" ht="15.75">
      <c r="A3802" s="89" t="str">
        <f t="shared" si="59"/>
        <v>#24969</v>
      </c>
      <c r="B3802" s="138" t="s">
        <v>7833</v>
      </c>
      <c r="C3802" s="255" t="s">
        <v>7834</v>
      </c>
      <c r="D3802" s="138">
        <v>45476</v>
      </c>
      <c r="E3802" s="138" t="s">
        <v>978</v>
      </c>
    </row>
    <row r="3803" spans="1:5" ht="15.75">
      <c r="A3803" s="89" t="str">
        <f t="shared" si="59"/>
        <v>#24973</v>
      </c>
      <c r="B3803" s="138" t="s">
        <v>7835</v>
      </c>
      <c r="C3803" s="255" t="s">
        <v>7836</v>
      </c>
      <c r="D3803" s="138">
        <v>45476</v>
      </c>
      <c r="E3803" s="138" t="s">
        <v>978</v>
      </c>
    </row>
    <row r="3804" spans="1:5" ht="15.75">
      <c r="A3804" s="89" t="str">
        <f t="shared" si="59"/>
        <v>#24976</v>
      </c>
      <c r="B3804" s="138" t="s">
        <v>7837</v>
      </c>
      <c r="C3804" s="255" t="s">
        <v>7838</v>
      </c>
      <c r="D3804" s="138">
        <v>45476</v>
      </c>
      <c r="E3804" s="138" t="s">
        <v>978</v>
      </c>
    </row>
    <row r="3805" spans="1:5" ht="15.75">
      <c r="A3805" s="89" t="str">
        <f t="shared" si="59"/>
        <v>#24994</v>
      </c>
      <c r="B3805" s="138" t="s">
        <v>7839</v>
      </c>
      <c r="C3805" s="140" t="s">
        <v>7840</v>
      </c>
      <c r="D3805" s="138">
        <v>45483</v>
      </c>
      <c r="E3805" s="138" t="s">
        <v>1541</v>
      </c>
    </row>
    <row r="3806" spans="1:5" ht="15.75">
      <c r="A3806" s="89" t="str">
        <f t="shared" si="59"/>
        <v>#24995</v>
      </c>
      <c r="B3806" s="138" t="s">
        <v>7841</v>
      </c>
      <c r="C3806" s="140" t="s">
        <v>7691</v>
      </c>
      <c r="D3806" s="138">
        <v>45483</v>
      </c>
      <c r="E3806" s="138" t="s">
        <v>1541</v>
      </c>
    </row>
    <row r="3807" spans="1:5" ht="15.75">
      <c r="A3807" s="89" t="str">
        <f t="shared" si="59"/>
        <v>#24996</v>
      </c>
      <c r="B3807" s="138" t="s">
        <v>7842</v>
      </c>
      <c r="C3807" s="140" t="s">
        <v>7843</v>
      </c>
      <c r="D3807" s="138">
        <v>45483</v>
      </c>
      <c r="E3807" s="138" t="s">
        <v>721</v>
      </c>
    </row>
    <row r="3808" spans="1:5" ht="15.75">
      <c r="A3808" s="89" t="str">
        <f t="shared" si="59"/>
        <v>#24999</v>
      </c>
      <c r="B3808" s="138" t="s">
        <v>7844</v>
      </c>
      <c r="C3808" s="140" t="s">
        <v>7845</v>
      </c>
      <c r="D3808" s="138">
        <v>45483</v>
      </c>
      <c r="E3808" s="138" t="s">
        <v>895</v>
      </c>
    </row>
    <row r="3809" spans="1:5" ht="15.75">
      <c r="A3809" s="89" t="str">
        <f t="shared" si="59"/>
        <v>#25001</v>
      </c>
      <c r="B3809" s="138" t="s">
        <v>7846</v>
      </c>
      <c r="C3809" s="140" t="s">
        <v>7847</v>
      </c>
      <c r="D3809" s="138">
        <v>45483</v>
      </c>
      <c r="E3809" s="138" t="s">
        <v>1043</v>
      </c>
    </row>
    <row r="3810" spans="1:5" ht="15.75">
      <c r="A3810" s="89" t="str">
        <f t="shared" si="59"/>
        <v>#25009</v>
      </c>
      <c r="B3810" s="138" t="s">
        <v>7848</v>
      </c>
      <c r="C3810" s="140" t="s">
        <v>7849</v>
      </c>
      <c r="D3810" s="138">
        <v>45483</v>
      </c>
      <c r="E3810" s="138" t="s">
        <v>903</v>
      </c>
    </row>
    <row r="3811" spans="1:5" ht="15.75">
      <c r="A3811" s="89" t="str">
        <f t="shared" si="59"/>
        <v>#25010</v>
      </c>
      <c r="B3811" s="138" t="s">
        <v>7815</v>
      </c>
      <c r="C3811" s="140" t="s">
        <v>2780</v>
      </c>
      <c r="D3811" s="138">
        <v>45483</v>
      </c>
      <c r="E3811" s="138" t="s">
        <v>7850</v>
      </c>
    </row>
    <row r="3812" spans="1:5" ht="15.75">
      <c r="A3812" s="89" t="str">
        <f t="shared" si="59"/>
        <v>#25021</v>
      </c>
      <c r="B3812" s="138" t="s">
        <v>7851</v>
      </c>
      <c r="C3812" s="140" t="s">
        <v>7852</v>
      </c>
      <c r="D3812" s="138">
        <v>45485</v>
      </c>
      <c r="E3812" s="138" t="s">
        <v>721</v>
      </c>
    </row>
    <row r="3813" spans="1:5" ht="15.75">
      <c r="A3813" s="89" t="str">
        <f t="shared" si="59"/>
        <v>#25024</v>
      </c>
      <c r="B3813" s="138" t="s">
        <v>7853</v>
      </c>
      <c r="C3813" s="143" t="s">
        <v>7854</v>
      </c>
      <c r="D3813" s="138">
        <v>45488</v>
      </c>
      <c r="E3813" s="138" t="s">
        <v>937</v>
      </c>
    </row>
    <row r="3814" spans="1:5" ht="15.75">
      <c r="A3814" s="89" t="str">
        <f t="shared" si="59"/>
        <v>#25025</v>
      </c>
      <c r="B3814" s="138" t="s">
        <v>7855</v>
      </c>
      <c r="C3814" s="256" t="s">
        <v>7856</v>
      </c>
      <c r="D3814" s="138">
        <v>45488</v>
      </c>
      <c r="E3814" s="138" t="s">
        <v>937</v>
      </c>
    </row>
    <row r="3815" spans="1:5" ht="15.75">
      <c r="A3815" s="89" t="str">
        <f t="shared" si="59"/>
        <v>#25026</v>
      </c>
      <c r="B3815" s="138" t="s">
        <v>7857</v>
      </c>
      <c r="C3815" s="256" t="s">
        <v>7858</v>
      </c>
      <c r="D3815" s="138">
        <v>45488</v>
      </c>
      <c r="E3815" s="138" t="s">
        <v>937</v>
      </c>
    </row>
    <row r="3816" spans="1:5" ht="15.75">
      <c r="A3816" s="89" t="str">
        <f t="shared" si="59"/>
        <v>#25027</v>
      </c>
      <c r="B3816" s="138" t="s">
        <v>7859</v>
      </c>
      <c r="C3816" s="256" t="s">
        <v>7860</v>
      </c>
      <c r="D3816" s="138">
        <v>45488</v>
      </c>
      <c r="E3816" s="138" t="s">
        <v>937</v>
      </c>
    </row>
    <row r="3817" spans="1:5" ht="15.75">
      <c r="A3817" s="89" t="str">
        <f t="shared" si="59"/>
        <v>#25028</v>
      </c>
      <c r="B3817" s="138" t="s">
        <v>7861</v>
      </c>
      <c r="C3817" s="256" t="s">
        <v>7862</v>
      </c>
      <c r="D3817" s="138">
        <v>45488</v>
      </c>
      <c r="E3817" s="138" t="s">
        <v>937</v>
      </c>
    </row>
    <row r="3818" spans="1:5" ht="15.75">
      <c r="A3818" s="89" t="str">
        <f t="shared" si="59"/>
        <v>#25029</v>
      </c>
      <c r="B3818" s="138" t="s">
        <v>7863</v>
      </c>
      <c r="C3818" s="143" t="s">
        <v>1919</v>
      </c>
      <c r="D3818" s="138">
        <v>45488</v>
      </c>
      <c r="E3818" s="138" t="s">
        <v>937</v>
      </c>
    </row>
    <row r="3819" spans="1:5" ht="15.75">
      <c r="A3819" s="89" t="str">
        <f t="shared" si="59"/>
        <v>#25030</v>
      </c>
      <c r="B3819" s="138" t="s">
        <v>7864</v>
      </c>
      <c r="C3819" s="256" t="s">
        <v>7865</v>
      </c>
      <c r="D3819" s="138">
        <v>45488</v>
      </c>
      <c r="E3819" s="138" t="s">
        <v>937</v>
      </c>
    </row>
    <row r="3820" spans="1:5" ht="15.75">
      <c r="A3820" s="89" t="str">
        <f t="shared" si="59"/>
        <v>#25032</v>
      </c>
      <c r="B3820" s="138" t="s">
        <v>7866</v>
      </c>
      <c r="C3820" s="143" t="s">
        <v>7867</v>
      </c>
      <c r="D3820" s="138">
        <v>45488</v>
      </c>
      <c r="E3820" s="138" t="s">
        <v>937</v>
      </c>
    </row>
    <row r="3821" spans="1:5" ht="15.75">
      <c r="A3821" s="89" t="str">
        <f t="shared" si="59"/>
        <v>#25033</v>
      </c>
      <c r="B3821" s="138" t="s">
        <v>7868</v>
      </c>
      <c r="C3821" s="143" t="s">
        <v>7869</v>
      </c>
      <c r="D3821" s="138">
        <v>45488</v>
      </c>
      <c r="E3821" s="138" t="s">
        <v>937</v>
      </c>
    </row>
    <row r="3822" spans="1:5" ht="15.75">
      <c r="A3822" s="89" t="str">
        <f t="shared" si="59"/>
        <v>#25034</v>
      </c>
      <c r="B3822" s="138" t="s">
        <v>7870</v>
      </c>
      <c r="C3822" s="143" t="s">
        <v>1364</v>
      </c>
      <c r="D3822" s="138">
        <v>45488</v>
      </c>
      <c r="E3822" s="138" t="s">
        <v>937</v>
      </c>
    </row>
    <row r="3823" spans="1:5" ht="15.75">
      <c r="A3823" s="89" t="str">
        <f t="shared" si="59"/>
        <v>#25035</v>
      </c>
      <c r="B3823" s="138" t="s">
        <v>7871</v>
      </c>
      <c r="C3823" s="143" t="s">
        <v>938</v>
      </c>
      <c r="D3823" s="138">
        <v>45488</v>
      </c>
      <c r="E3823" s="138" t="s">
        <v>937</v>
      </c>
    </row>
    <row r="3824" spans="1:5" ht="15.75">
      <c r="A3824" s="89" t="str">
        <f t="shared" si="59"/>
        <v>#25036</v>
      </c>
      <c r="B3824" s="138" t="s">
        <v>7872</v>
      </c>
      <c r="C3824" s="143" t="s">
        <v>2831</v>
      </c>
      <c r="D3824" s="138">
        <v>45488</v>
      </c>
      <c r="E3824" s="138" t="s">
        <v>937</v>
      </c>
    </row>
    <row r="3825" spans="1:5" ht="15.75">
      <c r="A3825" s="89" t="str">
        <f t="shared" si="59"/>
        <v>#25037</v>
      </c>
      <c r="B3825" s="138" t="s">
        <v>7873</v>
      </c>
      <c r="C3825" s="143" t="s">
        <v>7874</v>
      </c>
      <c r="D3825" s="138">
        <v>45488</v>
      </c>
      <c r="E3825" s="138" t="s">
        <v>937</v>
      </c>
    </row>
    <row r="3826" spans="1:5" ht="15.75">
      <c r="A3826" s="89" t="str">
        <f t="shared" si="59"/>
        <v>#25038</v>
      </c>
      <c r="B3826" s="138" t="s">
        <v>7875</v>
      </c>
      <c r="C3826" s="143" t="s">
        <v>3407</v>
      </c>
      <c r="D3826" s="138">
        <v>45488</v>
      </c>
      <c r="E3826" s="138" t="s">
        <v>937</v>
      </c>
    </row>
    <row r="3827" spans="1:5" ht="15.75">
      <c r="A3827" s="89" t="str">
        <f t="shared" si="59"/>
        <v>#25039</v>
      </c>
      <c r="B3827" s="138" t="s">
        <v>7876</v>
      </c>
      <c r="C3827" s="143" t="s">
        <v>7877</v>
      </c>
      <c r="D3827" s="138">
        <v>45488</v>
      </c>
      <c r="E3827" s="138" t="s">
        <v>937</v>
      </c>
    </row>
    <row r="3828" spans="1:5" ht="15.75">
      <c r="A3828" s="89" t="str">
        <f t="shared" si="59"/>
        <v>#25040</v>
      </c>
      <c r="B3828" s="138" t="s">
        <v>7878</v>
      </c>
      <c r="C3828" s="143" t="s">
        <v>7879</v>
      </c>
      <c r="D3828" s="138">
        <v>45488</v>
      </c>
      <c r="E3828" s="138" t="s">
        <v>937</v>
      </c>
    </row>
    <row r="3829" spans="1:5" ht="15.75">
      <c r="A3829" s="89" t="str">
        <f t="shared" si="59"/>
        <v>#25045</v>
      </c>
      <c r="B3829" s="138" t="s">
        <v>7880</v>
      </c>
      <c r="C3829" s="255" t="s">
        <v>5737</v>
      </c>
      <c r="D3829" s="138">
        <v>45490</v>
      </c>
      <c r="E3829" s="138" t="s">
        <v>927</v>
      </c>
    </row>
    <row r="3830" spans="1:5" ht="15.75">
      <c r="A3830" s="89" t="str">
        <f t="shared" si="59"/>
        <v>#25048</v>
      </c>
      <c r="B3830" s="138" t="s">
        <v>7881</v>
      </c>
      <c r="C3830" s="255" t="s">
        <v>7882</v>
      </c>
      <c r="D3830" s="138">
        <v>45490</v>
      </c>
      <c r="E3830" s="138" t="s">
        <v>1063</v>
      </c>
    </row>
    <row r="3831" spans="1:5" ht="15.75">
      <c r="A3831" s="89" t="str">
        <f t="shared" si="59"/>
        <v>#25049</v>
      </c>
      <c r="B3831" s="138" t="s">
        <v>7883</v>
      </c>
      <c r="C3831" s="255" t="s">
        <v>7884</v>
      </c>
      <c r="D3831" s="138">
        <v>45490</v>
      </c>
      <c r="E3831" s="138" t="s">
        <v>1063</v>
      </c>
    </row>
    <row r="3832" spans="1:5" ht="15.75">
      <c r="A3832" s="89" t="str">
        <f t="shared" si="59"/>
        <v>#25050</v>
      </c>
      <c r="B3832" s="138" t="s">
        <v>7885</v>
      </c>
      <c r="C3832" s="255" t="s">
        <v>998</v>
      </c>
      <c r="D3832" s="138">
        <v>45490</v>
      </c>
      <c r="E3832" s="138" t="s">
        <v>1063</v>
      </c>
    </row>
    <row r="3833" spans="1:5" ht="15.75">
      <c r="A3833" s="89" t="str">
        <f t="shared" si="59"/>
        <v>#25054</v>
      </c>
      <c r="B3833" s="138" t="s">
        <v>7886</v>
      </c>
      <c r="C3833" s="255" t="s">
        <v>7887</v>
      </c>
      <c r="D3833" s="138">
        <v>45490</v>
      </c>
      <c r="E3833" s="138" t="s">
        <v>903</v>
      </c>
    </row>
    <row r="3834" spans="1:5" ht="15.75">
      <c r="A3834" s="89" t="str">
        <f t="shared" si="59"/>
        <v>#25062</v>
      </c>
      <c r="B3834" s="138" t="s">
        <v>7888</v>
      </c>
      <c r="C3834" s="255" t="s">
        <v>7889</v>
      </c>
      <c r="D3834" s="138">
        <v>45491</v>
      </c>
      <c r="E3834" s="138" t="s">
        <v>1716</v>
      </c>
    </row>
    <row r="3835" spans="1:5" ht="15.75">
      <c r="A3835" s="89" t="str">
        <f t="shared" si="59"/>
        <v>#25065</v>
      </c>
      <c r="B3835" s="138" t="s">
        <v>7890</v>
      </c>
      <c r="C3835" s="255" t="s">
        <v>7891</v>
      </c>
      <c r="D3835" s="138">
        <v>45491</v>
      </c>
      <c r="E3835" s="138" t="s">
        <v>1716</v>
      </c>
    </row>
    <row r="3836" spans="1:5" ht="15.75">
      <c r="A3836" s="89" t="str">
        <f t="shared" si="59"/>
        <v>#25076</v>
      </c>
      <c r="B3836" s="138" t="s">
        <v>7892</v>
      </c>
      <c r="C3836" s="255" t="s">
        <v>4600</v>
      </c>
      <c r="D3836" s="138">
        <v>45497</v>
      </c>
      <c r="E3836" s="138" t="s">
        <v>985</v>
      </c>
    </row>
    <row r="3837" spans="1:5" ht="15.75">
      <c r="A3837" s="89" t="str">
        <f t="shared" si="59"/>
        <v>#25084</v>
      </c>
      <c r="B3837" s="138" t="s">
        <v>7893</v>
      </c>
      <c r="C3837" s="255" t="s">
        <v>7894</v>
      </c>
      <c r="D3837" s="138">
        <v>45497</v>
      </c>
      <c r="E3837" s="138" t="s">
        <v>927</v>
      </c>
    </row>
    <row r="3838" spans="1:5" ht="15.75">
      <c r="A3838" s="89" t="str">
        <f t="shared" si="59"/>
        <v>#25086</v>
      </c>
      <c r="B3838" s="138" t="s">
        <v>7895</v>
      </c>
      <c r="C3838" s="255" t="s">
        <v>7896</v>
      </c>
      <c r="D3838" s="138">
        <v>45497</v>
      </c>
      <c r="E3838" s="138" t="s">
        <v>927</v>
      </c>
    </row>
    <row r="3839" spans="1:5" ht="15.75">
      <c r="A3839" s="89" t="str">
        <f t="shared" si="59"/>
        <v>#25094</v>
      </c>
      <c r="B3839" s="138" t="s">
        <v>7897</v>
      </c>
      <c r="C3839" s="255" t="s">
        <v>7898</v>
      </c>
      <c r="D3839" s="138">
        <v>45497</v>
      </c>
      <c r="E3839" s="138" t="s">
        <v>978</v>
      </c>
    </row>
    <row r="3840" spans="1:5" ht="15.75">
      <c r="A3840" s="89" t="str">
        <f t="shared" si="59"/>
        <v>#25117</v>
      </c>
      <c r="B3840" s="138" t="s">
        <v>7899</v>
      </c>
      <c r="C3840" s="255" t="s">
        <v>7900</v>
      </c>
      <c r="D3840" s="138">
        <v>45503</v>
      </c>
      <c r="E3840" s="138" t="s">
        <v>957</v>
      </c>
    </row>
    <row r="3841" spans="1:5" ht="15.75">
      <c r="A3841" s="89" t="str">
        <f t="shared" si="59"/>
        <v>#25118</v>
      </c>
      <c r="B3841" s="138" t="s">
        <v>7901</v>
      </c>
      <c r="C3841" s="255" t="s">
        <v>7902</v>
      </c>
      <c r="D3841" s="138">
        <v>45503</v>
      </c>
      <c r="E3841" s="138" t="s">
        <v>957</v>
      </c>
    </row>
    <row r="3842" spans="1:5" ht="15.75">
      <c r="A3842" s="89" t="str">
        <f t="shared" si="59"/>
        <v>#25119</v>
      </c>
      <c r="B3842" s="138" t="s">
        <v>7903</v>
      </c>
      <c r="C3842" s="255" t="s">
        <v>6491</v>
      </c>
      <c r="D3842" s="138">
        <v>45503</v>
      </c>
      <c r="E3842" s="138" t="s">
        <v>957</v>
      </c>
    </row>
    <row r="3843" spans="1:5" ht="15.75">
      <c r="A3843" s="89" t="str">
        <f t="shared" ref="A3843:A3906" si="60">"#"&amp;B3843</f>
        <v>#25120</v>
      </c>
      <c r="B3843" s="138" t="s">
        <v>7904</v>
      </c>
      <c r="C3843" s="255" t="s">
        <v>7905</v>
      </c>
      <c r="D3843" s="138">
        <v>45503</v>
      </c>
      <c r="E3843" s="138" t="s">
        <v>957</v>
      </c>
    </row>
    <row r="3844" spans="1:5" ht="15.75">
      <c r="A3844" s="89" t="str">
        <f t="shared" si="60"/>
        <v>#25125</v>
      </c>
      <c r="B3844" s="138" t="s">
        <v>7906</v>
      </c>
      <c r="C3844" s="255" t="s">
        <v>7907</v>
      </c>
      <c r="D3844" s="138">
        <v>45503</v>
      </c>
      <c r="E3844" s="138" t="s">
        <v>927</v>
      </c>
    </row>
    <row r="3845" spans="1:5" ht="15.75">
      <c r="A3845" s="89" t="str">
        <f t="shared" si="60"/>
        <v>#25127</v>
      </c>
      <c r="B3845" s="138" t="s">
        <v>7908</v>
      </c>
      <c r="C3845" s="255" t="s">
        <v>7909</v>
      </c>
      <c r="D3845" s="138">
        <v>45505</v>
      </c>
      <c r="E3845" s="138" t="s">
        <v>1444</v>
      </c>
    </row>
    <row r="3846" spans="1:5" ht="15.75">
      <c r="A3846" s="89" t="str">
        <f t="shared" si="60"/>
        <v>#25133</v>
      </c>
      <c r="B3846" s="138" t="s">
        <v>7910</v>
      </c>
      <c r="C3846" s="255" t="s">
        <v>7911</v>
      </c>
      <c r="D3846" s="138">
        <v>45511</v>
      </c>
      <c r="E3846" s="138" t="s">
        <v>1098</v>
      </c>
    </row>
    <row r="3847" spans="1:5" ht="15.75">
      <c r="A3847" s="89" t="str">
        <f t="shared" si="60"/>
        <v>#25135</v>
      </c>
      <c r="B3847" s="138" t="s">
        <v>7912</v>
      </c>
      <c r="C3847" s="255" t="s">
        <v>7913</v>
      </c>
      <c r="D3847" s="138">
        <v>45511</v>
      </c>
      <c r="E3847" s="138" t="s">
        <v>7788</v>
      </c>
    </row>
    <row r="3848" spans="1:5" ht="15.75">
      <c r="A3848" s="89" t="str">
        <f t="shared" si="60"/>
        <v>#25140</v>
      </c>
      <c r="B3848" s="138" t="s">
        <v>7914</v>
      </c>
      <c r="C3848" s="255" t="s">
        <v>7915</v>
      </c>
      <c r="D3848" s="138">
        <v>45518</v>
      </c>
      <c r="E3848" s="138" t="s">
        <v>895</v>
      </c>
    </row>
    <row r="3849" spans="1:5" ht="15.75">
      <c r="A3849" s="89" t="str">
        <f t="shared" si="60"/>
        <v>#25143</v>
      </c>
      <c r="B3849" s="138" t="s">
        <v>7916</v>
      </c>
      <c r="C3849" s="255" t="s">
        <v>7917</v>
      </c>
      <c r="D3849" s="138">
        <v>45518</v>
      </c>
      <c r="E3849" s="138" t="s">
        <v>7788</v>
      </c>
    </row>
    <row r="3850" spans="1:5" ht="15.75">
      <c r="A3850" s="89" t="str">
        <f t="shared" si="60"/>
        <v>#25145</v>
      </c>
      <c r="B3850" s="138" t="s">
        <v>7918</v>
      </c>
      <c r="C3850" s="255" t="s">
        <v>7919</v>
      </c>
      <c r="D3850" s="138">
        <v>45539</v>
      </c>
      <c r="E3850" s="138" t="s">
        <v>903</v>
      </c>
    </row>
    <row r="3851" spans="1:5" ht="15.75">
      <c r="A3851" s="89" t="str">
        <f t="shared" si="60"/>
        <v>#25148</v>
      </c>
      <c r="B3851" s="138" t="s">
        <v>7920</v>
      </c>
      <c r="C3851" s="255" t="s">
        <v>7921</v>
      </c>
      <c r="D3851" s="138">
        <v>45539</v>
      </c>
      <c r="E3851" s="138" t="s">
        <v>1444</v>
      </c>
    </row>
    <row r="3852" spans="1:5" ht="15.75">
      <c r="A3852" s="89" t="str">
        <f t="shared" si="60"/>
        <v>#25149</v>
      </c>
      <c r="B3852" s="138" t="s">
        <v>7922</v>
      </c>
      <c r="C3852" s="255" t="s">
        <v>5035</v>
      </c>
      <c r="D3852" s="138">
        <v>45544</v>
      </c>
      <c r="E3852" s="235" t="s">
        <v>8683</v>
      </c>
    </row>
    <row r="3853" spans="1:5" ht="15.75">
      <c r="A3853" s="89" t="str">
        <f t="shared" si="60"/>
        <v>#25150</v>
      </c>
      <c r="B3853" s="138" t="s">
        <v>7923</v>
      </c>
      <c r="C3853" s="255" t="s">
        <v>7924</v>
      </c>
      <c r="D3853" s="138">
        <v>45553</v>
      </c>
      <c r="E3853" s="138" t="s">
        <v>1004</v>
      </c>
    </row>
    <row r="3854" spans="1:5" ht="15.75">
      <c r="A3854" s="89" t="str">
        <f t="shared" si="60"/>
        <v>#25156</v>
      </c>
      <c r="B3854" s="138" t="s">
        <v>7971</v>
      </c>
      <c r="C3854" s="255" t="s">
        <v>5148</v>
      </c>
      <c r="D3854" s="138">
        <v>45566</v>
      </c>
      <c r="E3854" s="138" t="s">
        <v>1098</v>
      </c>
    </row>
    <row r="3855" spans="1:5" ht="15.75">
      <c r="A3855" s="89" t="str">
        <f t="shared" si="60"/>
        <v>#25166</v>
      </c>
      <c r="B3855" s="138" t="s">
        <v>8039</v>
      </c>
      <c r="C3855" s="255" t="s">
        <v>8040</v>
      </c>
      <c r="D3855" s="138">
        <v>45569</v>
      </c>
      <c r="E3855" s="138" t="s">
        <v>1716</v>
      </c>
    </row>
    <row r="3856" spans="1:5" ht="15.75">
      <c r="A3856" s="89" t="str">
        <f t="shared" si="60"/>
        <v>#25168</v>
      </c>
      <c r="B3856" s="138" t="s">
        <v>8041</v>
      </c>
      <c r="C3856" s="255" t="s">
        <v>8042</v>
      </c>
      <c r="D3856" s="138">
        <v>45569</v>
      </c>
      <c r="E3856" s="138" t="s">
        <v>1716</v>
      </c>
    </row>
    <row r="3857" spans="1:5" ht="15.75">
      <c r="A3857" s="89" t="str">
        <f t="shared" si="60"/>
        <v>#25171</v>
      </c>
      <c r="B3857" s="138" t="s">
        <v>8043</v>
      </c>
      <c r="C3857" s="255" t="s">
        <v>8044</v>
      </c>
      <c r="D3857" s="138">
        <v>45569</v>
      </c>
      <c r="E3857" s="138" t="s">
        <v>1098</v>
      </c>
    </row>
    <row r="3858" spans="1:5" ht="15.75">
      <c r="A3858" s="89" t="str">
        <f t="shared" si="60"/>
        <v>#25174</v>
      </c>
      <c r="B3858" s="138" t="s">
        <v>8045</v>
      </c>
      <c r="C3858" s="144" t="s">
        <v>8046</v>
      </c>
      <c r="D3858" s="138">
        <v>45569</v>
      </c>
      <c r="E3858" s="138" t="s">
        <v>752</v>
      </c>
    </row>
    <row r="3859" spans="1:5" ht="15.75">
      <c r="A3859" s="89" t="str">
        <f t="shared" si="60"/>
        <v>#25180</v>
      </c>
      <c r="B3859" s="138" t="s">
        <v>8047</v>
      </c>
      <c r="C3859" s="144" t="s">
        <v>8048</v>
      </c>
      <c r="D3859" s="138">
        <v>45574</v>
      </c>
      <c r="E3859" s="138" t="s">
        <v>1716</v>
      </c>
    </row>
    <row r="3860" spans="1:5" ht="15.75">
      <c r="A3860" s="89" t="str">
        <f t="shared" si="60"/>
        <v>#25181</v>
      </c>
      <c r="B3860" s="138" t="s">
        <v>8049</v>
      </c>
      <c r="C3860" s="144" t="s">
        <v>8050</v>
      </c>
      <c r="D3860" s="138">
        <v>45574</v>
      </c>
      <c r="E3860" s="138" t="s">
        <v>1098</v>
      </c>
    </row>
    <row r="3861" spans="1:5" ht="15.75">
      <c r="A3861" s="89" t="str">
        <f t="shared" si="60"/>
        <v>#25183</v>
      </c>
      <c r="B3861" s="138" t="s">
        <v>8051</v>
      </c>
      <c r="C3861" s="144" t="s">
        <v>8052</v>
      </c>
      <c r="D3861" s="138">
        <v>45574</v>
      </c>
      <c r="E3861" s="138" t="s">
        <v>937</v>
      </c>
    </row>
    <row r="3862" spans="1:5" ht="15.75">
      <c r="A3862" s="89" t="str">
        <f t="shared" si="60"/>
        <v>#25184</v>
      </c>
      <c r="B3862" s="138" t="s">
        <v>8053</v>
      </c>
      <c r="C3862" s="144" t="s">
        <v>8054</v>
      </c>
      <c r="D3862" s="138">
        <v>45574</v>
      </c>
      <c r="E3862" s="138" t="s">
        <v>937</v>
      </c>
    </row>
    <row r="3863" spans="1:5" ht="15.75">
      <c r="A3863" s="89" t="str">
        <f t="shared" si="60"/>
        <v>#25186</v>
      </c>
      <c r="B3863" s="138" t="s">
        <v>8055</v>
      </c>
      <c r="C3863" s="144" t="s">
        <v>8056</v>
      </c>
      <c r="D3863" s="138">
        <v>45574</v>
      </c>
      <c r="E3863" s="138" t="s">
        <v>937</v>
      </c>
    </row>
    <row r="3864" spans="1:5" ht="15.75">
      <c r="A3864" s="89" t="str">
        <f t="shared" si="60"/>
        <v>#25187</v>
      </c>
      <c r="B3864" s="138" t="s">
        <v>8057</v>
      </c>
      <c r="C3864" s="144" t="s">
        <v>2984</v>
      </c>
      <c r="D3864" s="138">
        <v>45574</v>
      </c>
      <c r="E3864" s="138" t="s">
        <v>937</v>
      </c>
    </row>
    <row r="3865" spans="1:5" ht="15.75">
      <c r="A3865" s="89" t="str">
        <f t="shared" si="60"/>
        <v>#25188</v>
      </c>
      <c r="B3865" s="138" t="s">
        <v>8058</v>
      </c>
      <c r="C3865" s="144" t="s">
        <v>8059</v>
      </c>
      <c r="D3865" s="138">
        <v>45574</v>
      </c>
      <c r="E3865" s="138" t="s">
        <v>937</v>
      </c>
    </row>
    <row r="3866" spans="1:5" ht="15.75">
      <c r="A3866" s="89" t="str">
        <f t="shared" si="60"/>
        <v>#25189</v>
      </c>
      <c r="B3866" s="138" t="s">
        <v>8060</v>
      </c>
      <c r="C3866" s="144" t="s">
        <v>8061</v>
      </c>
      <c r="D3866" s="138">
        <v>45574</v>
      </c>
      <c r="E3866" s="138" t="s">
        <v>937</v>
      </c>
    </row>
    <row r="3867" spans="1:5" ht="15.75">
      <c r="A3867" s="89" t="str">
        <f t="shared" si="60"/>
        <v>#25190</v>
      </c>
      <c r="B3867" s="138" t="s">
        <v>8062</v>
      </c>
      <c r="C3867" s="144" t="s">
        <v>8063</v>
      </c>
      <c r="D3867" s="138">
        <v>45574</v>
      </c>
      <c r="E3867" s="138" t="s">
        <v>898</v>
      </c>
    </row>
    <row r="3868" spans="1:5" ht="15.75">
      <c r="A3868" s="89" t="str">
        <f t="shared" si="60"/>
        <v>#25196</v>
      </c>
      <c r="B3868" s="138" t="s">
        <v>8064</v>
      </c>
      <c r="C3868" s="144" t="s">
        <v>8065</v>
      </c>
      <c r="D3868" s="138">
        <v>45574</v>
      </c>
      <c r="E3868" s="138" t="s">
        <v>8037</v>
      </c>
    </row>
    <row r="3869" spans="1:5" ht="15.75">
      <c r="A3869" s="89" t="str">
        <f t="shared" si="60"/>
        <v>#25198</v>
      </c>
      <c r="B3869" s="138" t="s">
        <v>8066</v>
      </c>
      <c r="C3869" s="144" t="s">
        <v>8067</v>
      </c>
      <c r="D3869" s="138">
        <v>45574</v>
      </c>
      <c r="E3869" s="138" t="s">
        <v>1034</v>
      </c>
    </row>
    <row r="3870" spans="1:5" ht="15.75">
      <c r="A3870" s="89" t="str">
        <f t="shared" si="60"/>
        <v>#25202</v>
      </c>
      <c r="B3870" s="138" t="s">
        <v>8068</v>
      </c>
      <c r="C3870" s="144" t="s">
        <v>8069</v>
      </c>
      <c r="D3870" s="138">
        <v>45577</v>
      </c>
      <c r="E3870" s="138" t="s">
        <v>948</v>
      </c>
    </row>
    <row r="3871" spans="1:5" ht="15.75">
      <c r="A3871" s="89" t="str">
        <f t="shared" si="60"/>
        <v>#25206</v>
      </c>
      <c r="B3871" s="138" t="s">
        <v>8070</v>
      </c>
      <c r="C3871" s="144" t="s">
        <v>8071</v>
      </c>
      <c r="D3871" s="138">
        <v>45577</v>
      </c>
      <c r="E3871" s="138" t="s">
        <v>948</v>
      </c>
    </row>
    <row r="3872" spans="1:5" ht="15.75">
      <c r="A3872" s="89" t="str">
        <f t="shared" si="60"/>
        <v>#25208</v>
      </c>
      <c r="B3872" s="138" t="s">
        <v>8072</v>
      </c>
      <c r="C3872" s="144" t="s">
        <v>8073</v>
      </c>
      <c r="D3872" s="138">
        <v>45577</v>
      </c>
      <c r="E3872" s="138" t="s">
        <v>948</v>
      </c>
    </row>
    <row r="3873" spans="1:5" ht="15.75">
      <c r="A3873" s="89" t="str">
        <f t="shared" si="60"/>
        <v>#25209</v>
      </c>
      <c r="B3873" s="138" t="s">
        <v>8074</v>
      </c>
      <c r="C3873" s="144" t="s">
        <v>8075</v>
      </c>
      <c r="D3873" s="138">
        <v>45577</v>
      </c>
      <c r="E3873" s="138" t="s">
        <v>7788</v>
      </c>
    </row>
    <row r="3874" spans="1:5" ht="15.75">
      <c r="A3874" s="89" t="str">
        <f t="shared" si="60"/>
        <v>#25221</v>
      </c>
      <c r="B3874" s="138" t="s">
        <v>8076</v>
      </c>
      <c r="C3874" s="144" t="s">
        <v>8077</v>
      </c>
      <c r="D3874" s="138">
        <v>45577</v>
      </c>
      <c r="E3874" s="138" t="s">
        <v>1034</v>
      </c>
    </row>
    <row r="3875" spans="1:5" ht="15.75">
      <c r="A3875" s="89" t="str">
        <f t="shared" si="60"/>
        <v>#25228</v>
      </c>
      <c r="B3875" s="138" t="s">
        <v>8078</v>
      </c>
      <c r="C3875" s="144" t="s">
        <v>7039</v>
      </c>
      <c r="D3875" s="138">
        <v>45580</v>
      </c>
      <c r="E3875" s="138" t="s">
        <v>1113</v>
      </c>
    </row>
    <row r="3876" spans="1:5" ht="15.75">
      <c r="A3876" s="89" t="str">
        <f t="shared" si="60"/>
        <v>#25231</v>
      </c>
      <c r="B3876" s="138" t="s">
        <v>8079</v>
      </c>
      <c r="C3876" s="144" t="s">
        <v>1360</v>
      </c>
      <c r="D3876" s="138">
        <v>45580</v>
      </c>
      <c r="E3876" s="138" t="s">
        <v>7788</v>
      </c>
    </row>
    <row r="3877" spans="1:5" ht="15.75">
      <c r="A3877" s="89" t="str">
        <f t="shared" si="60"/>
        <v>#25232</v>
      </c>
      <c r="B3877" s="138" t="s">
        <v>8080</v>
      </c>
      <c r="C3877" s="144" t="s">
        <v>8081</v>
      </c>
      <c r="D3877" s="138">
        <v>45580</v>
      </c>
      <c r="E3877" s="138" t="s">
        <v>7788</v>
      </c>
    </row>
    <row r="3878" spans="1:5" ht="15.75">
      <c r="A3878" s="89" t="str">
        <f t="shared" si="60"/>
        <v>#25236</v>
      </c>
      <c r="B3878" s="138" t="s">
        <v>8082</v>
      </c>
      <c r="C3878" s="140" t="s">
        <v>8083</v>
      </c>
      <c r="D3878" s="138">
        <v>45583</v>
      </c>
      <c r="E3878" s="138" t="s">
        <v>948</v>
      </c>
    </row>
    <row r="3879" spans="1:5" ht="15.75">
      <c r="A3879" s="89" t="str">
        <f t="shared" si="60"/>
        <v>#25243</v>
      </c>
      <c r="B3879" s="138" t="s">
        <v>8084</v>
      </c>
      <c r="C3879" s="144" t="s">
        <v>8085</v>
      </c>
      <c r="D3879" s="138">
        <v>45587</v>
      </c>
      <c r="E3879" s="138" t="s">
        <v>934</v>
      </c>
    </row>
    <row r="3880" spans="1:5" ht="15.75">
      <c r="A3880" s="89" t="str">
        <f t="shared" si="60"/>
        <v>#25258</v>
      </c>
      <c r="B3880" s="138" t="s">
        <v>8086</v>
      </c>
      <c r="C3880" s="144" t="s">
        <v>8087</v>
      </c>
      <c r="D3880" s="138">
        <v>45589</v>
      </c>
      <c r="E3880" s="138" t="s">
        <v>1098</v>
      </c>
    </row>
    <row r="3881" spans="1:5" ht="15.75">
      <c r="A3881" s="89" t="str">
        <f t="shared" si="60"/>
        <v>#25272</v>
      </c>
      <c r="B3881" s="138" t="s">
        <v>8088</v>
      </c>
      <c r="C3881" s="144" t="s">
        <v>1083</v>
      </c>
      <c r="D3881" s="138">
        <v>45593</v>
      </c>
      <c r="E3881" s="138" t="s">
        <v>1113</v>
      </c>
    </row>
    <row r="3882" spans="1:5" ht="15.75">
      <c r="A3882" s="89" t="str">
        <f t="shared" si="60"/>
        <v>#25281</v>
      </c>
      <c r="B3882" s="138" t="s">
        <v>8089</v>
      </c>
      <c r="C3882" s="144" t="s">
        <v>8090</v>
      </c>
      <c r="D3882" s="138">
        <v>45593</v>
      </c>
      <c r="E3882" s="138" t="s">
        <v>1098</v>
      </c>
    </row>
    <row r="3883" spans="1:5" ht="15.75">
      <c r="A3883" s="89" t="str">
        <f t="shared" si="60"/>
        <v>#25291</v>
      </c>
      <c r="B3883" s="138" t="s">
        <v>8091</v>
      </c>
      <c r="C3883" s="144" t="s">
        <v>8092</v>
      </c>
      <c r="D3883" s="138">
        <v>45597</v>
      </c>
      <c r="E3883" s="138" t="s">
        <v>1098</v>
      </c>
    </row>
    <row r="3884" spans="1:5" ht="15.75">
      <c r="A3884" s="89" t="str">
        <f t="shared" si="60"/>
        <v>#25305</v>
      </c>
      <c r="B3884" s="138" t="s">
        <v>8093</v>
      </c>
      <c r="C3884" s="144" t="s">
        <v>8094</v>
      </c>
      <c r="D3884" s="138">
        <v>45597</v>
      </c>
      <c r="E3884" s="138" t="s">
        <v>915</v>
      </c>
    </row>
    <row r="3885" spans="1:5" ht="15.75">
      <c r="A3885" s="89" t="str">
        <f t="shared" si="60"/>
        <v>#25307</v>
      </c>
      <c r="B3885" s="138" t="s">
        <v>8095</v>
      </c>
      <c r="C3885" s="144" t="s">
        <v>2802</v>
      </c>
      <c r="D3885" s="138">
        <v>45597</v>
      </c>
      <c r="E3885" s="138" t="s">
        <v>7788</v>
      </c>
    </row>
    <row r="3886" spans="1:5" ht="15.75">
      <c r="A3886" s="89" t="str">
        <f t="shared" si="60"/>
        <v>#25311</v>
      </c>
      <c r="B3886" s="138" t="s">
        <v>8096</v>
      </c>
      <c r="C3886" s="144" t="s">
        <v>8097</v>
      </c>
      <c r="D3886" s="138">
        <v>45601</v>
      </c>
      <c r="E3886" s="138" t="s">
        <v>1098</v>
      </c>
    </row>
    <row r="3887" spans="1:5" ht="15.75">
      <c r="A3887" s="89" t="str">
        <f t="shared" si="60"/>
        <v>#25319</v>
      </c>
      <c r="B3887" s="138" t="s">
        <v>7986</v>
      </c>
      <c r="C3887" s="144" t="s">
        <v>8098</v>
      </c>
      <c r="D3887" s="138">
        <v>45601</v>
      </c>
      <c r="E3887" s="138" t="s">
        <v>1029</v>
      </c>
    </row>
    <row r="3888" spans="1:5" ht="15.75">
      <c r="A3888" s="89" t="str">
        <f t="shared" si="60"/>
        <v>#25320</v>
      </c>
      <c r="B3888" s="138" t="s">
        <v>8099</v>
      </c>
      <c r="C3888" s="144" t="s">
        <v>8100</v>
      </c>
      <c r="D3888" s="138">
        <v>45604</v>
      </c>
      <c r="E3888" s="138" t="s">
        <v>948</v>
      </c>
    </row>
    <row r="3889" spans="1:5" ht="18.75">
      <c r="A3889" s="89" t="str">
        <f t="shared" si="60"/>
        <v>#25328</v>
      </c>
      <c r="B3889" s="138" t="s">
        <v>8101</v>
      </c>
      <c r="C3889" s="144" t="s">
        <v>8102</v>
      </c>
      <c r="D3889" s="138">
        <v>45604</v>
      </c>
      <c r="E3889" s="206" t="s">
        <v>915</v>
      </c>
    </row>
    <row r="3890" spans="1:5" ht="15.75">
      <c r="A3890" s="89" t="str">
        <f t="shared" si="60"/>
        <v>#25335</v>
      </c>
      <c r="B3890" s="138" t="s">
        <v>8103</v>
      </c>
      <c r="C3890" s="144" t="s">
        <v>8104</v>
      </c>
      <c r="D3890" s="138">
        <v>45604</v>
      </c>
      <c r="E3890" s="138" t="s">
        <v>915</v>
      </c>
    </row>
    <row r="3891" spans="1:5" ht="15.75">
      <c r="A3891" s="89" t="str">
        <f t="shared" si="60"/>
        <v>#25336</v>
      </c>
      <c r="B3891" s="138" t="s">
        <v>8105</v>
      </c>
      <c r="C3891" s="144" t="s">
        <v>8106</v>
      </c>
      <c r="D3891" s="138">
        <v>45610</v>
      </c>
      <c r="E3891" s="138" t="s">
        <v>1380</v>
      </c>
    </row>
    <row r="3892" spans="1:5" ht="15.75">
      <c r="A3892" s="89" t="str">
        <f t="shared" si="60"/>
        <v>#25343</v>
      </c>
      <c r="B3892" s="138" t="s">
        <v>8107</v>
      </c>
      <c r="C3892" s="144" t="s">
        <v>8108</v>
      </c>
      <c r="D3892" s="138">
        <v>45610</v>
      </c>
      <c r="E3892" s="138" t="s">
        <v>1098</v>
      </c>
    </row>
    <row r="3893" spans="1:5" ht="15.75">
      <c r="A3893" s="89" t="str">
        <f t="shared" si="60"/>
        <v>#25354</v>
      </c>
      <c r="B3893" s="138" t="s">
        <v>8109</v>
      </c>
      <c r="C3893" s="144" t="s">
        <v>7978</v>
      </c>
      <c r="D3893" s="138">
        <v>45611</v>
      </c>
      <c r="E3893" s="138" t="s">
        <v>1168</v>
      </c>
    </row>
    <row r="3894" spans="1:5" ht="15.75">
      <c r="A3894" s="89" t="str">
        <f t="shared" si="60"/>
        <v>#25357</v>
      </c>
      <c r="B3894" s="138" t="s">
        <v>8110</v>
      </c>
      <c r="C3894" s="144" t="s">
        <v>8111</v>
      </c>
      <c r="D3894" s="138">
        <v>45615</v>
      </c>
      <c r="E3894" s="138" t="s">
        <v>1098</v>
      </c>
    </row>
    <row r="3895" spans="1:5" ht="15.75">
      <c r="A3895" s="89" t="str">
        <f t="shared" si="60"/>
        <v>#25360</v>
      </c>
      <c r="B3895" s="138" t="s">
        <v>8112</v>
      </c>
      <c r="C3895" s="144" t="s">
        <v>8113</v>
      </c>
      <c r="D3895" s="138">
        <v>45615</v>
      </c>
      <c r="E3895" s="138" t="s">
        <v>1098</v>
      </c>
    </row>
    <row r="3896" spans="1:5" ht="15.75">
      <c r="A3896" s="89" t="str">
        <f t="shared" si="60"/>
        <v>#25362</v>
      </c>
      <c r="B3896" s="138" t="s">
        <v>8114</v>
      </c>
      <c r="C3896" s="144" t="s">
        <v>8115</v>
      </c>
      <c r="D3896" s="138">
        <v>45615</v>
      </c>
      <c r="E3896" s="138" t="s">
        <v>8037</v>
      </c>
    </row>
    <row r="3897" spans="1:5" ht="15.75">
      <c r="A3897" s="89" t="str">
        <f t="shared" si="60"/>
        <v>#25364</v>
      </c>
      <c r="B3897" s="138" t="s">
        <v>8116</v>
      </c>
      <c r="C3897" s="144" t="s">
        <v>8117</v>
      </c>
      <c r="D3897" s="138">
        <v>45615</v>
      </c>
      <c r="E3897" s="238" t="s">
        <v>1034</v>
      </c>
    </row>
    <row r="3898" spans="1:5" ht="15.75">
      <c r="A3898" s="89" t="str">
        <f t="shared" si="60"/>
        <v>#25368</v>
      </c>
      <c r="B3898" s="138" t="s">
        <v>8118</v>
      </c>
      <c r="C3898" s="144" t="s">
        <v>8119</v>
      </c>
      <c r="D3898" s="138">
        <v>45615</v>
      </c>
      <c r="E3898" s="138" t="s">
        <v>937</v>
      </c>
    </row>
    <row r="3899" spans="1:5" ht="15.75">
      <c r="A3899" s="89" t="str">
        <f t="shared" si="60"/>
        <v>#25369</v>
      </c>
      <c r="B3899" s="138" t="s">
        <v>8120</v>
      </c>
      <c r="C3899" s="144" t="s">
        <v>6104</v>
      </c>
      <c r="D3899" s="138">
        <v>45615</v>
      </c>
      <c r="E3899" s="138" t="s">
        <v>937</v>
      </c>
    </row>
    <row r="3900" spans="1:5" ht="15.75">
      <c r="A3900" s="89" t="str">
        <f t="shared" si="60"/>
        <v>#25374</v>
      </c>
      <c r="B3900" s="138" t="s">
        <v>8121</v>
      </c>
      <c r="C3900" s="144" t="s">
        <v>1309</v>
      </c>
      <c r="D3900" s="138">
        <v>45615</v>
      </c>
      <c r="E3900" s="138" t="s">
        <v>752</v>
      </c>
    </row>
    <row r="3901" spans="1:5" ht="15.75">
      <c r="A3901" s="89" t="str">
        <f t="shared" si="60"/>
        <v>#25378</v>
      </c>
      <c r="B3901" s="138" t="s">
        <v>8122</v>
      </c>
      <c r="C3901" s="144" t="s">
        <v>8123</v>
      </c>
      <c r="D3901" s="138">
        <v>45619</v>
      </c>
      <c r="E3901" s="138" t="s">
        <v>1113</v>
      </c>
    </row>
    <row r="3902" spans="1:5" ht="15.75">
      <c r="A3902" s="89" t="str">
        <f t="shared" si="60"/>
        <v>#25402</v>
      </c>
      <c r="B3902" s="138" t="s">
        <v>8124</v>
      </c>
      <c r="C3902" s="144" t="s">
        <v>8125</v>
      </c>
      <c r="D3902" s="138">
        <v>45625</v>
      </c>
      <c r="E3902" s="138" t="s">
        <v>937</v>
      </c>
    </row>
    <row r="3903" spans="1:5" ht="15.75">
      <c r="A3903" s="89" t="str">
        <f t="shared" si="60"/>
        <v>#25406</v>
      </c>
      <c r="B3903" s="138" t="s">
        <v>8126</v>
      </c>
      <c r="C3903" s="144" t="s">
        <v>8127</v>
      </c>
      <c r="D3903" s="138">
        <v>45631</v>
      </c>
      <c r="E3903" s="138" t="s">
        <v>1098</v>
      </c>
    </row>
    <row r="3904" spans="1:5" ht="15.75">
      <c r="A3904" s="89" t="str">
        <f t="shared" si="60"/>
        <v>#25420</v>
      </c>
      <c r="B3904" s="138" t="s">
        <v>8128</v>
      </c>
      <c r="C3904" s="144" t="s">
        <v>3342</v>
      </c>
      <c r="D3904" s="138">
        <v>45636</v>
      </c>
      <c r="E3904" s="138" t="s">
        <v>937</v>
      </c>
    </row>
    <row r="3905" spans="1:5" ht="15.75">
      <c r="A3905" s="89" t="str">
        <f t="shared" si="60"/>
        <v>#25427</v>
      </c>
      <c r="B3905" s="138" t="s">
        <v>8129</v>
      </c>
      <c r="C3905" s="140" t="s">
        <v>8130</v>
      </c>
      <c r="D3905" s="138">
        <v>45646</v>
      </c>
      <c r="E3905" s="138" t="s">
        <v>937</v>
      </c>
    </row>
    <row r="3906" spans="1:5" ht="15.75">
      <c r="A3906" s="89" t="str">
        <f t="shared" si="60"/>
        <v>#25428</v>
      </c>
      <c r="B3906" s="138" t="s">
        <v>8131</v>
      </c>
      <c r="C3906" s="140" t="s">
        <v>8132</v>
      </c>
      <c r="D3906" s="138">
        <v>45646</v>
      </c>
      <c r="E3906" s="138" t="s">
        <v>7788</v>
      </c>
    </row>
    <row r="3907" spans="1:5" ht="15.75">
      <c r="A3907" s="89" t="str">
        <f t="shared" ref="A3907:A3970" si="61">"#"&amp;B3907</f>
        <v>#25435</v>
      </c>
      <c r="B3907" s="138" t="s">
        <v>8133</v>
      </c>
      <c r="C3907" s="140" t="s">
        <v>8134</v>
      </c>
      <c r="D3907" s="138">
        <v>45646</v>
      </c>
      <c r="E3907" s="138" t="s">
        <v>915</v>
      </c>
    </row>
    <row r="3908" spans="1:5" ht="15.75">
      <c r="A3908" s="89" t="str">
        <f t="shared" si="61"/>
        <v>#25443</v>
      </c>
      <c r="B3908" s="138" t="s">
        <v>8135</v>
      </c>
      <c r="C3908" s="144" t="s">
        <v>8136</v>
      </c>
      <c r="D3908" s="138">
        <v>45652</v>
      </c>
      <c r="E3908" s="138" t="s">
        <v>1487</v>
      </c>
    </row>
    <row r="3909" spans="1:5" ht="15.75">
      <c r="A3909" s="89" t="str">
        <f t="shared" si="61"/>
        <v>#25452</v>
      </c>
      <c r="B3909" s="138" t="s">
        <v>8137</v>
      </c>
      <c r="C3909" s="144" t="s">
        <v>8138</v>
      </c>
      <c r="D3909" s="138">
        <v>45664</v>
      </c>
      <c r="E3909" s="138" t="s">
        <v>721</v>
      </c>
    </row>
    <row r="3910" spans="1:5" ht="15.75">
      <c r="A3910" s="89" t="str">
        <f t="shared" si="61"/>
        <v>#25453</v>
      </c>
      <c r="B3910" s="138" t="s">
        <v>8139</v>
      </c>
      <c r="C3910" s="144" t="s">
        <v>4395</v>
      </c>
      <c r="D3910" s="138">
        <v>45696</v>
      </c>
      <c r="E3910" s="138" t="s">
        <v>721</v>
      </c>
    </row>
    <row r="3911" spans="1:5" ht="15.75">
      <c r="A3911" s="89" t="str">
        <f t="shared" si="61"/>
        <v>#25456</v>
      </c>
      <c r="B3911" s="138" t="s">
        <v>8140</v>
      </c>
      <c r="C3911" s="144" t="s">
        <v>8141</v>
      </c>
      <c r="D3911" s="138">
        <v>45696</v>
      </c>
      <c r="E3911" s="138" t="s">
        <v>927</v>
      </c>
    </row>
    <row r="3912" spans="1:5" ht="15.75">
      <c r="A3912" s="89" t="str">
        <f t="shared" si="61"/>
        <v>#25457</v>
      </c>
      <c r="B3912" s="138" t="s">
        <v>8142</v>
      </c>
      <c r="C3912" s="144" t="s">
        <v>8143</v>
      </c>
      <c r="D3912" s="138">
        <v>45696</v>
      </c>
      <c r="E3912" s="138" t="s">
        <v>927</v>
      </c>
    </row>
    <row r="3913" spans="1:5" ht="15.75">
      <c r="A3913" s="89" t="str">
        <f t="shared" si="61"/>
        <v>#25458</v>
      </c>
      <c r="B3913" s="138" t="s">
        <v>8144</v>
      </c>
      <c r="C3913" s="144" t="s">
        <v>8145</v>
      </c>
      <c r="D3913" s="138">
        <v>45696</v>
      </c>
      <c r="E3913" s="138" t="s">
        <v>927</v>
      </c>
    </row>
    <row r="3914" spans="1:5" ht="15.75">
      <c r="A3914" s="89" t="str">
        <f t="shared" si="61"/>
        <v>#25459</v>
      </c>
      <c r="B3914" s="138" t="s">
        <v>8146</v>
      </c>
      <c r="C3914" s="144" t="s">
        <v>8147</v>
      </c>
      <c r="D3914" s="138">
        <v>45696</v>
      </c>
      <c r="E3914" s="138" t="s">
        <v>927</v>
      </c>
    </row>
    <row r="3915" spans="1:5" ht="15.75">
      <c r="A3915" s="89" t="str">
        <f t="shared" si="61"/>
        <v>#25463</v>
      </c>
      <c r="B3915" s="138" t="s">
        <v>8148</v>
      </c>
      <c r="C3915" s="144" t="s">
        <v>7432</v>
      </c>
      <c r="D3915" s="138">
        <v>45696</v>
      </c>
      <c r="E3915" s="138" t="s">
        <v>890</v>
      </c>
    </row>
    <row r="3916" spans="1:5" ht="15.75">
      <c r="A3916" s="89" t="str">
        <f t="shared" si="61"/>
        <v>#25466</v>
      </c>
      <c r="B3916" s="138" t="s">
        <v>8149</v>
      </c>
      <c r="C3916" s="144" t="s">
        <v>8150</v>
      </c>
      <c r="D3916" s="138">
        <v>45696</v>
      </c>
      <c r="E3916" s="138" t="s">
        <v>890</v>
      </c>
    </row>
    <row r="3917" spans="1:5" ht="15.75">
      <c r="A3917" s="89" t="str">
        <f t="shared" si="61"/>
        <v>#25467</v>
      </c>
      <c r="B3917" s="138" t="s">
        <v>8151</v>
      </c>
      <c r="C3917" s="144" t="s">
        <v>8152</v>
      </c>
      <c r="D3917" s="138">
        <v>45696</v>
      </c>
      <c r="E3917" s="138" t="s">
        <v>890</v>
      </c>
    </row>
    <row r="3918" spans="1:5" ht="15.75">
      <c r="A3918" s="89" t="str">
        <f t="shared" si="61"/>
        <v>#25468</v>
      </c>
      <c r="B3918" s="138" t="s">
        <v>8153</v>
      </c>
      <c r="C3918" s="144" t="s">
        <v>8154</v>
      </c>
      <c r="D3918" s="138">
        <v>45696</v>
      </c>
      <c r="E3918" s="138" t="s">
        <v>890</v>
      </c>
    </row>
    <row r="3919" spans="1:5" ht="15.75">
      <c r="A3919" s="89" t="str">
        <f t="shared" si="61"/>
        <v>#25469</v>
      </c>
      <c r="B3919" s="138" t="s">
        <v>8155</v>
      </c>
      <c r="C3919" s="144" t="s">
        <v>1526</v>
      </c>
      <c r="D3919" s="138">
        <v>45696</v>
      </c>
      <c r="E3919" s="138" t="s">
        <v>890</v>
      </c>
    </row>
    <row r="3920" spans="1:5" ht="15.75">
      <c r="A3920" s="89" t="str">
        <f t="shared" si="61"/>
        <v>#25471</v>
      </c>
      <c r="B3920" s="138" t="s">
        <v>8156</v>
      </c>
      <c r="C3920" s="144" t="s">
        <v>8157</v>
      </c>
      <c r="D3920" s="138">
        <v>45696</v>
      </c>
      <c r="E3920" s="138" t="s">
        <v>1043</v>
      </c>
    </row>
    <row r="3921" spans="1:5" ht="15.75">
      <c r="A3921" s="89" t="str">
        <f t="shared" si="61"/>
        <v>#25473</v>
      </c>
      <c r="B3921" s="138" t="s">
        <v>8158</v>
      </c>
      <c r="C3921" s="144" t="s">
        <v>8159</v>
      </c>
      <c r="D3921" s="138">
        <v>45696</v>
      </c>
      <c r="E3921" s="138" t="s">
        <v>1113</v>
      </c>
    </row>
    <row r="3922" spans="1:5" ht="15.75">
      <c r="A3922" s="89" t="str">
        <f t="shared" si="61"/>
        <v>#25474</v>
      </c>
      <c r="B3922" s="138" t="s">
        <v>8160</v>
      </c>
      <c r="C3922" s="144" t="s">
        <v>4001</v>
      </c>
      <c r="D3922" s="138">
        <v>45696</v>
      </c>
      <c r="E3922" s="138" t="s">
        <v>1113</v>
      </c>
    </row>
    <row r="3923" spans="1:5" ht="15.75">
      <c r="A3923" s="89" t="str">
        <f t="shared" si="61"/>
        <v>#25475</v>
      </c>
      <c r="B3923" s="138" t="s">
        <v>8161</v>
      </c>
      <c r="C3923" s="144" t="s">
        <v>8162</v>
      </c>
      <c r="D3923" s="138">
        <v>45696</v>
      </c>
      <c r="E3923" s="138" t="s">
        <v>1444</v>
      </c>
    </row>
    <row r="3924" spans="1:5" ht="15.75">
      <c r="A3924" s="89" t="str">
        <f t="shared" si="61"/>
        <v>#25483</v>
      </c>
      <c r="B3924" s="138" t="s">
        <v>8163</v>
      </c>
      <c r="C3924" s="144" t="s">
        <v>891</v>
      </c>
      <c r="D3924" s="138">
        <v>45696</v>
      </c>
      <c r="E3924" s="138" t="s">
        <v>957</v>
      </c>
    </row>
    <row r="3925" spans="1:5" ht="15.75">
      <c r="A3925" s="89" t="str">
        <f t="shared" si="61"/>
        <v>#25489</v>
      </c>
      <c r="B3925" s="138" t="s">
        <v>8164</v>
      </c>
      <c r="C3925" s="144" t="s">
        <v>6043</v>
      </c>
      <c r="D3925" s="138">
        <v>45696</v>
      </c>
      <c r="E3925" s="138" t="s">
        <v>903</v>
      </c>
    </row>
    <row r="3926" spans="1:5" ht="15.75">
      <c r="A3926" s="89" t="str">
        <f t="shared" si="61"/>
        <v>#25494</v>
      </c>
      <c r="B3926" s="138" t="s">
        <v>8165</v>
      </c>
      <c r="C3926" s="144" t="s">
        <v>8166</v>
      </c>
      <c r="D3926" s="138">
        <v>45696</v>
      </c>
      <c r="E3926" s="138" t="s">
        <v>937</v>
      </c>
    </row>
    <row r="3927" spans="1:5" ht="15.75">
      <c r="A3927" s="89" t="str">
        <f t="shared" si="61"/>
        <v>#25511</v>
      </c>
      <c r="B3927" s="138" t="s">
        <v>8167</v>
      </c>
      <c r="C3927" s="144" t="s">
        <v>3730</v>
      </c>
      <c r="D3927" s="138">
        <v>45696</v>
      </c>
      <c r="E3927" s="138" t="s">
        <v>1098</v>
      </c>
    </row>
    <row r="3928" spans="1:5" ht="15.75">
      <c r="A3928" s="89" t="str">
        <f t="shared" si="61"/>
        <v>#25521</v>
      </c>
      <c r="B3928" s="138" t="s">
        <v>8168</v>
      </c>
      <c r="C3928" s="144" t="s">
        <v>1142</v>
      </c>
      <c r="D3928" s="138">
        <v>45700</v>
      </c>
      <c r="E3928" s="138" t="s">
        <v>8037</v>
      </c>
    </row>
    <row r="3929" spans="1:5" ht="15.75">
      <c r="A3929" s="89" t="str">
        <f t="shared" si="61"/>
        <v>#25526</v>
      </c>
      <c r="B3929" s="138" t="s">
        <v>8169</v>
      </c>
      <c r="C3929" s="144" t="s">
        <v>8170</v>
      </c>
      <c r="D3929" s="138">
        <v>45700</v>
      </c>
      <c r="E3929" s="138" t="s">
        <v>927</v>
      </c>
    </row>
    <row r="3930" spans="1:5" ht="15.75">
      <c r="A3930" s="89" t="str">
        <f t="shared" si="61"/>
        <v>#25528</v>
      </c>
      <c r="B3930" s="138" t="s">
        <v>8171</v>
      </c>
      <c r="C3930" s="144" t="s">
        <v>8172</v>
      </c>
      <c r="D3930" s="138">
        <v>45700</v>
      </c>
      <c r="E3930" s="138" t="s">
        <v>1113</v>
      </c>
    </row>
    <row r="3931" spans="1:5" ht="15.75">
      <c r="A3931" s="89" t="str">
        <f t="shared" si="61"/>
        <v>#25529</v>
      </c>
      <c r="B3931" s="138" t="s">
        <v>8173</v>
      </c>
      <c r="C3931" s="144" t="s">
        <v>1327</v>
      </c>
      <c r="D3931" s="138">
        <v>45700</v>
      </c>
      <c r="E3931" s="138" t="s">
        <v>937</v>
      </c>
    </row>
    <row r="3932" spans="1:5" ht="15.75">
      <c r="A3932" s="89" t="str">
        <f t="shared" si="61"/>
        <v>#25530</v>
      </c>
      <c r="B3932" s="138" t="s">
        <v>8174</v>
      </c>
      <c r="C3932" s="144" t="s">
        <v>8175</v>
      </c>
      <c r="D3932" s="138">
        <v>45700</v>
      </c>
      <c r="E3932" s="138" t="s">
        <v>937</v>
      </c>
    </row>
    <row r="3933" spans="1:5" ht="15.75">
      <c r="A3933" s="89" t="str">
        <f t="shared" si="61"/>
        <v>#25532</v>
      </c>
      <c r="B3933" s="138" t="s">
        <v>8176</v>
      </c>
      <c r="C3933" s="144" t="s">
        <v>8177</v>
      </c>
      <c r="D3933" s="138">
        <v>45700</v>
      </c>
      <c r="E3933" s="138" t="s">
        <v>1380</v>
      </c>
    </row>
    <row r="3934" spans="1:5" ht="15.75">
      <c r="A3934" s="89" t="str">
        <f t="shared" si="61"/>
        <v>#25533</v>
      </c>
      <c r="B3934" s="138" t="s">
        <v>8178</v>
      </c>
      <c r="C3934" s="144" t="s">
        <v>8179</v>
      </c>
      <c r="D3934" s="138">
        <v>45700</v>
      </c>
      <c r="E3934" s="138" t="s">
        <v>1380</v>
      </c>
    </row>
    <row r="3935" spans="1:5" ht="15.75">
      <c r="A3935" s="89" t="str">
        <f t="shared" si="61"/>
        <v>#25535</v>
      </c>
      <c r="B3935" s="138" t="s">
        <v>8180</v>
      </c>
      <c r="C3935" s="144" t="s">
        <v>8181</v>
      </c>
      <c r="D3935" s="138">
        <v>45700</v>
      </c>
      <c r="E3935" s="138" t="s">
        <v>1043</v>
      </c>
    </row>
    <row r="3936" spans="1:5" ht="15.75">
      <c r="A3936" s="89" t="str">
        <f t="shared" si="61"/>
        <v>#25536</v>
      </c>
      <c r="B3936" s="138" t="s">
        <v>8182</v>
      </c>
      <c r="C3936" s="144" t="s">
        <v>3570</v>
      </c>
      <c r="D3936" s="138">
        <v>45700</v>
      </c>
      <c r="E3936" s="138" t="s">
        <v>934</v>
      </c>
    </row>
    <row r="3937" spans="1:5" ht="15.75">
      <c r="A3937" s="89" t="str">
        <f t="shared" si="61"/>
        <v>#25549</v>
      </c>
      <c r="B3937" s="138" t="s">
        <v>8183</v>
      </c>
      <c r="C3937" s="144" t="s">
        <v>8184</v>
      </c>
      <c r="D3937" s="138">
        <v>45702</v>
      </c>
      <c r="E3937" s="138" t="s">
        <v>927</v>
      </c>
    </row>
    <row r="3938" spans="1:5" ht="15.75">
      <c r="A3938" s="89" t="str">
        <f t="shared" si="61"/>
        <v>#25559</v>
      </c>
      <c r="B3938" s="138" t="s">
        <v>8185</v>
      </c>
      <c r="C3938" s="144" t="s">
        <v>8186</v>
      </c>
      <c r="D3938" s="138">
        <v>45702</v>
      </c>
      <c r="E3938" s="241" t="s">
        <v>1380</v>
      </c>
    </row>
    <row r="3939" spans="1:5" ht="15.75">
      <c r="A3939" s="89" t="str">
        <f t="shared" si="61"/>
        <v>#25560</v>
      </c>
      <c r="B3939" s="138" t="s">
        <v>8187</v>
      </c>
      <c r="C3939" s="144" t="s">
        <v>976</v>
      </c>
      <c r="D3939" s="138">
        <v>45702</v>
      </c>
      <c r="E3939" s="138" t="s">
        <v>1380</v>
      </c>
    </row>
    <row r="3940" spans="1:5" ht="15.75">
      <c r="A3940" s="89" t="str">
        <f t="shared" si="61"/>
        <v>#25561</v>
      </c>
      <c r="B3940" s="138" t="s">
        <v>8188</v>
      </c>
      <c r="C3940" s="144" t="s">
        <v>8189</v>
      </c>
      <c r="D3940" s="138">
        <v>45702</v>
      </c>
      <c r="E3940" s="138" t="s">
        <v>895</v>
      </c>
    </row>
    <row r="3941" spans="1:5" ht="15.75">
      <c r="A3941" s="89" t="str">
        <f t="shared" si="61"/>
        <v>#25571</v>
      </c>
      <c r="B3941" s="138" t="s">
        <v>8190</v>
      </c>
      <c r="C3941" s="144" t="s">
        <v>8191</v>
      </c>
      <c r="D3941" s="138">
        <v>45702</v>
      </c>
      <c r="E3941" s="138" t="s">
        <v>1098</v>
      </c>
    </row>
    <row r="3942" spans="1:5" ht="15.75">
      <c r="A3942" s="89" t="str">
        <f t="shared" si="61"/>
        <v>#25572</v>
      </c>
      <c r="B3942" s="138" t="s">
        <v>8192</v>
      </c>
      <c r="C3942" s="144" t="s">
        <v>8193</v>
      </c>
      <c r="D3942" s="138">
        <v>45702</v>
      </c>
      <c r="E3942" s="138" t="s">
        <v>1098</v>
      </c>
    </row>
    <row r="3943" spans="1:5" ht="15.75">
      <c r="A3943" s="89" t="str">
        <f t="shared" si="61"/>
        <v>#25575</v>
      </c>
      <c r="B3943" s="138" t="s">
        <v>7982</v>
      </c>
      <c r="C3943" s="140" t="s">
        <v>7983</v>
      </c>
      <c r="D3943" s="138">
        <v>45707</v>
      </c>
      <c r="E3943" s="138" t="s">
        <v>773</v>
      </c>
    </row>
    <row r="3944" spans="1:5" ht="15.75">
      <c r="A3944" s="89" t="str">
        <f t="shared" si="61"/>
        <v>#25578</v>
      </c>
      <c r="B3944" s="138" t="s">
        <v>8194</v>
      </c>
      <c r="C3944" s="140" t="s">
        <v>8195</v>
      </c>
      <c r="D3944" s="138">
        <v>45707</v>
      </c>
      <c r="E3944" s="138" t="s">
        <v>927</v>
      </c>
    </row>
    <row r="3945" spans="1:5" ht="15.75">
      <c r="A3945" s="89" t="str">
        <f t="shared" si="61"/>
        <v>#25586</v>
      </c>
      <c r="B3945" s="138" t="s">
        <v>8196</v>
      </c>
      <c r="C3945" s="140" t="s">
        <v>5822</v>
      </c>
      <c r="D3945" s="138">
        <v>45707</v>
      </c>
      <c r="E3945" s="138" t="s">
        <v>924</v>
      </c>
    </row>
    <row r="3946" spans="1:5" ht="15.75">
      <c r="A3946" s="89" t="str">
        <f t="shared" si="61"/>
        <v>#25588</v>
      </c>
      <c r="B3946" s="138" t="s">
        <v>8197</v>
      </c>
      <c r="C3946" s="140" t="s">
        <v>3416</v>
      </c>
      <c r="D3946" s="138">
        <v>45707</v>
      </c>
      <c r="E3946" s="138" t="s">
        <v>937</v>
      </c>
    </row>
    <row r="3947" spans="1:5" ht="15.75">
      <c r="A3947" s="89" t="str">
        <f t="shared" si="61"/>
        <v>#25600</v>
      </c>
      <c r="B3947" s="138" t="s">
        <v>8198</v>
      </c>
      <c r="C3947" s="140" t="s">
        <v>8199</v>
      </c>
      <c r="D3947" s="138">
        <v>45707</v>
      </c>
      <c r="E3947" s="138" t="s">
        <v>915</v>
      </c>
    </row>
    <row r="3948" spans="1:5" ht="15.75">
      <c r="A3948" s="89" t="str">
        <f t="shared" si="61"/>
        <v>#25601</v>
      </c>
      <c r="B3948" s="138" t="s">
        <v>8200</v>
      </c>
      <c r="C3948" s="140" t="s">
        <v>8201</v>
      </c>
      <c r="D3948" s="138">
        <v>45707</v>
      </c>
      <c r="E3948" s="138" t="s">
        <v>915</v>
      </c>
    </row>
    <row r="3949" spans="1:5" ht="15.75">
      <c r="A3949" s="89" t="str">
        <f t="shared" si="61"/>
        <v>#25606</v>
      </c>
      <c r="B3949" s="138" t="s">
        <v>8202</v>
      </c>
      <c r="C3949" s="140" t="s">
        <v>8203</v>
      </c>
      <c r="D3949" s="138">
        <v>45709</v>
      </c>
      <c r="E3949" s="138" t="s">
        <v>1085</v>
      </c>
    </row>
    <row r="3950" spans="1:5" ht="15.75">
      <c r="A3950" s="89" t="str">
        <f t="shared" si="61"/>
        <v>#25622</v>
      </c>
      <c r="B3950" s="138" t="s">
        <v>8204</v>
      </c>
      <c r="C3950" s="140" t="s">
        <v>8205</v>
      </c>
      <c r="D3950" s="138">
        <v>45709</v>
      </c>
      <c r="E3950" s="138" t="s">
        <v>915</v>
      </c>
    </row>
    <row r="3951" spans="1:5" ht="15.75">
      <c r="A3951" s="89" t="str">
        <f t="shared" si="61"/>
        <v>#25623</v>
      </c>
      <c r="B3951" s="138" t="s">
        <v>8206</v>
      </c>
      <c r="C3951" s="140" t="s">
        <v>8207</v>
      </c>
      <c r="D3951" s="138">
        <v>45709</v>
      </c>
      <c r="E3951" s="138" t="s">
        <v>915</v>
      </c>
    </row>
    <row r="3952" spans="1:5" ht="15.75">
      <c r="A3952" s="89" t="str">
        <f t="shared" si="61"/>
        <v>#25627</v>
      </c>
      <c r="B3952" s="138" t="s">
        <v>8208</v>
      </c>
      <c r="C3952" s="140" t="s">
        <v>8209</v>
      </c>
      <c r="D3952" s="138">
        <v>45714</v>
      </c>
      <c r="E3952" s="138" t="s">
        <v>1188</v>
      </c>
    </row>
    <row r="3953" spans="1:5" ht="15.75">
      <c r="A3953" s="89" t="str">
        <f t="shared" si="61"/>
        <v>#25635</v>
      </c>
      <c r="B3953" s="138" t="s">
        <v>8210</v>
      </c>
      <c r="C3953" s="140" t="s">
        <v>4028</v>
      </c>
      <c r="D3953" s="138">
        <v>45714</v>
      </c>
      <c r="E3953" s="138" t="s">
        <v>927</v>
      </c>
    </row>
    <row r="3954" spans="1:5" ht="15.75">
      <c r="A3954" s="89" t="str">
        <f t="shared" si="61"/>
        <v>#25654</v>
      </c>
      <c r="B3954" s="138" t="s">
        <v>8211</v>
      </c>
      <c r="C3954" s="140" t="s">
        <v>2887</v>
      </c>
      <c r="D3954" s="138">
        <v>45717</v>
      </c>
      <c r="E3954" s="138" t="s">
        <v>721</v>
      </c>
    </row>
    <row r="3955" spans="1:5" ht="15.75">
      <c r="A3955" s="89" t="str">
        <f t="shared" si="61"/>
        <v>#25655</v>
      </c>
      <c r="B3955" s="138" t="s">
        <v>8212</v>
      </c>
      <c r="C3955" s="140" t="s">
        <v>990</v>
      </c>
      <c r="D3955" s="138">
        <v>45717</v>
      </c>
      <c r="E3955" s="138" t="s">
        <v>721</v>
      </c>
    </row>
    <row r="3956" spans="1:5" ht="15.75">
      <c r="A3956" s="89" t="str">
        <f t="shared" si="61"/>
        <v>#25657</v>
      </c>
      <c r="B3956" s="138" t="s">
        <v>8213</v>
      </c>
      <c r="C3956" s="140" t="s">
        <v>8214</v>
      </c>
      <c r="D3956" s="138">
        <v>45717</v>
      </c>
      <c r="E3956" s="138" t="s">
        <v>721</v>
      </c>
    </row>
    <row r="3957" spans="1:5" ht="15.75">
      <c r="A3957" s="89" t="str">
        <f t="shared" si="61"/>
        <v>#25658</v>
      </c>
      <c r="B3957" s="138" t="s">
        <v>7990</v>
      </c>
      <c r="C3957" s="140" t="s">
        <v>7994</v>
      </c>
      <c r="D3957" s="138">
        <v>45717</v>
      </c>
      <c r="E3957" s="138" t="s">
        <v>1004</v>
      </c>
    </row>
    <row r="3958" spans="1:5" ht="15.75">
      <c r="A3958" s="89" t="str">
        <f t="shared" si="61"/>
        <v>#25659</v>
      </c>
      <c r="B3958" s="138" t="s">
        <v>7991</v>
      </c>
      <c r="C3958" s="140" t="s">
        <v>7993</v>
      </c>
      <c r="D3958" s="138">
        <v>45717</v>
      </c>
      <c r="E3958" s="138" t="s">
        <v>1004</v>
      </c>
    </row>
    <row r="3959" spans="1:5" ht="15.75">
      <c r="A3959" s="89" t="str">
        <f t="shared" si="61"/>
        <v>#25664</v>
      </c>
      <c r="B3959" s="138" t="s">
        <v>8215</v>
      </c>
      <c r="C3959" s="140" t="s">
        <v>8216</v>
      </c>
      <c r="D3959" s="138">
        <v>45717</v>
      </c>
      <c r="E3959" s="138" t="s">
        <v>927</v>
      </c>
    </row>
    <row r="3960" spans="1:5" ht="15.75">
      <c r="A3960" s="89" t="str">
        <f t="shared" si="61"/>
        <v>#25665</v>
      </c>
      <c r="B3960" s="138" t="s">
        <v>8217</v>
      </c>
      <c r="C3960" s="140" t="s">
        <v>8218</v>
      </c>
      <c r="D3960" s="138">
        <v>45717</v>
      </c>
      <c r="E3960" s="138" t="s">
        <v>927</v>
      </c>
    </row>
    <row r="3961" spans="1:5" ht="15.75">
      <c r="A3961" s="89" t="str">
        <f t="shared" si="61"/>
        <v>#25667</v>
      </c>
      <c r="B3961" s="138" t="s">
        <v>8219</v>
      </c>
      <c r="C3961" s="140" t="s">
        <v>8220</v>
      </c>
      <c r="D3961" s="138">
        <v>45717</v>
      </c>
      <c r="E3961" s="138" t="s">
        <v>924</v>
      </c>
    </row>
    <row r="3962" spans="1:5" ht="15.75">
      <c r="A3962" s="89" t="str">
        <f t="shared" si="61"/>
        <v>#25671</v>
      </c>
      <c r="B3962" s="138" t="s">
        <v>8221</v>
      </c>
      <c r="C3962" s="140" t="s">
        <v>8222</v>
      </c>
      <c r="D3962" s="138">
        <v>45717</v>
      </c>
      <c r="E3962" s="138" t="s">
        <v>937</v>
      </c>
    </row>
    <row r="3963" spans="1:5" ht="15.75">
      <c r="A3963" s="89" t="str">
        <f t="shared" si="61"/>
        <v>#25676</v>
      </c>
      <c r="B3963" s="138" t="s">
        <v>8223</v>
      </c>
      <c r="C3963" s="140" t="s">
        <v>8224</v>
      </c>
      <c r="D3963" s="138">
        <v>45717</v>
      </c>
      <c r="E3963" s="138" t="s">
        <v>903</v>
      </c>
    </row>
    <row r="3964" spans="1:5" ht="16.5">
      <c r="A3964" s="89" t="str">
        <f t="shared" si="61"/>
        <v>#25677</v>
      </c>
      <c r="B3964" s="138" t="s">
        <v>8225</v>
      </c>
      <c r="C3964" s="145" t="s">
        <v>8226</v>
      </c>
      <c r="D3964" s="138">
        <v>45717</v>
      </c>
      <c r="E3964" s="138" t="s">
        <v>759</v>
      </c>
    </row>
    <row r="3965" spans="1:5" ht="15.75">
      <c r="A3965" s="89" t="str">
        <f t="shared" si="61"/>
        <v>#25678</v>
      </c>
      <c r="B3965" s="138" t="s">
        <v>8227</v>
      </c>
      <c r="C3965" s="140" t="s">
        <v>6293</v>
      </c>
      <c r="D3965" s="138">
        <v>45721</v>
      </c>
      <c r="E3965" s="138" t="s">
        <v>1444</v>
      </c>
    </row>
    <row r="3966" spans="1:5" ht="15.75">
      <c r="A3966" s="89" t="str">
        <f t="shared" si="61"/>
        <v>#25684</v>
      </c>
      <c r="B3966" s="138" t="s">
        <v>8228</v>
      </c>
      <c r="C3966" s="140" t="s">
        <v>8229</v>
      </c>
      <c r="D3966" s="138">
        <v>45721</v>
      </c>
      <c r="E3966" s="138" t="s">
        <v>8037</v>
      </c>
    </row>
    <row r="3967" spans="1:5" ht="15.75">
      <c r="A3967" s="89" t="str">
        <f t="shared" si="61"/>
        <v>#25690</v>
      </c>
      <c r="B3967" s="138" t="s">
        <v>8230</v>
      </c>
      <c r="C3967" s="140" t="s">
        <v>8231</v>
      </c>
      <c r="D3967" s="138">
        <v>45721</v>
      </c>
      <c r="E3967" s="138" t="s">
        <v>924</v>
      </c>
    </row>
    <row r="3968" spans="1:5" ht="15.75">
      <c r="A3968" s="89" t="str">
        <f t="shared" si="61"/>
        <v>#25691</v>
      </c>
      <c r="B3968" s="138" t="s">
        <v>8232</v>
      </c>
      <c r="C3968" s="140" t="s">
        <v>8233</v>
      </c>
      <c r="D3968" s="138">
        <v>45721</v>
      </c>
      <c r="E3968" s="138" t="s">
        <v>924</v>
      </c>
    </row>
    <row r="3969" spans="1:5" ht="15.75">
      <c r="A3969" s="89" t="str">
        <f t="shared" si="61"/>
        <v>#25695</v>
      </c>
      <c r="B3969" s="138" t="s">
        <v>8234</v>
      </c>
      <c r="C3969" s="140" t="s">
        <v>7751</v>
      </c>
      <c r="D3969" s="138">
        <v>45721</v>
      </c>
      <c r="E3969" s="138" t="s">
        <v>1098</v>
      </c>
    </row>
    <row r="3970" spans="1:5" ht="15.75">
      <c r="A3970" s="89" t="str">
        <f t="shared" si="61"/>
        <v>#25699</v>
      </c>
      <c r="B3970" s="138" t="s">
        <v>8235</v>
      </c>
      <c r="C3970" s="140" t="s">
        <v>8236</v>
      </c>
      <c r="D3970" s="138">
        <v>45721</v>
      </c>
      <c r="E3970" s="138" t="s">
        <v>1098</v>
      </c>
    </row>
    <row r="3971" spans="1:5" ht="15.75">
      <c r="A3971" s="89" t="str">
        <f t="shared" ref="A3971:A4034" si="62">"#"&amp;B3971</f>
        <v>#25700</v>
      </c>
      <c r="B3971" s="138" t="s">
        <v>8237</v>
      </c>
      <c r="C3971" s="140" t="s">
        <v>6084</v>
      </c>
      <c r="D3971" s="138">
        <v>45721</v>
      </c>
      <c r="E3971" s="138" t="s">
        <v>895</v>
      </c>
    </row>
    <row r="3972" spans="1:5" ht="15.75">
      <c r="A3972" s="89" t="str">
        <f t="shared" si="62"/>
        <v>#25702</v>
      </c>
      <c r="B3972" s="138" t="s">
        <v>8238</v>
      </c>
      <c r="C3972" s="140" t="s">
        <v>8239</v>
      </c>
      <c r="D3972" s="138">
        <v>45723</v>
      </c>
      <c r="E3972" s="138" t="s">
        <v>890</v>
      </c>
    </row>
    <row r="3973" spans="1:5" ht="15.75">
      <c r="A3973" s="89" t="str">
        <f t="shared" si="62"/>
        <v>#25718</v>
      </c>
      <c r="B3973" s="138" t="s">
        <v>8240</v>
      </c>
      <c r="C3973" s="140" t="s">
        <v>8241</v>
      </c>
      <c r="D3973" s="138">
        <v>45728</v>
      </c>
      <c r="E3973" s="138" t="s">
        <v>906</v>
      </c>
    </row>
    <row r="3974" spans="1:5" ht="15.75">
      <c r="A3974" s="89" t="str">
        <f t="shared" si="62"/>
        <v>#25719</v>
      </c>
      <c r="B3974" s="138" t="s">
        <v>8242</v>
      </c>
      <c r="C3974" s="140" t="s">
        <v>8243</v>
      </c>
      <c r="D3974" s="138">
        <v>45728</v>
      </c>
      <c r="E3974" s="138" t="s">
        <v>906</v>
      </c>
    </row>
    <row r="3975" spans="1:5" ht="15.75">
      <c r="A3975" s="89" t="str">
        <f t="shared" si="62"/>
        <v>#25720</v>
      </c>
      <c r="B3975" s="138" t="s">
        <v>8244</v>
      </c>
      <c r="C3975" s="140" t="s">
        <v>8245</v>
      </c>
      <c r="D3975" s="138">
        <v>45728</v>
      </c>
      <c r="E3975" s="138" t="s">
        <v>906</v>
      </c>
    </row>
    <row r="3976" spans="1:5" ht="15.75">
      <c r="A3976" s="89" t="str">
        <f t="shared" si="62"/>
        <v>#25722</v>
      </c>
      <c r="B3976" s="138" t="s">
        <v>8246</v>
      </c>
      <c r="C3976" s="140" t="s">
        <v>3661</v>
      </c>
      <c r="D3976" s="138">
        <v>45728</v>
      </c>
      <c r="E3976" s="138" t="s">
        <v>906</v>
      </c>
    </row>
    <row r="3977" spans="1:5" ht="15.75">
      <c r="A3977" s="89" t="str">
        <f t="shared" si="62"/>
        <v>#25723</v>
      </c>
      <c r="B3977" s="138" t="s">
        <v>8247</v>
      </c>
      <c r="C3977" s="140" t="s">
        <v>3743</v>
      </c>
      <c r="D3977" s="138">
        <v>45728</v>
      </c>
      <c r="E3977" s="138" t="s">
        <v>906</v>
      </c>
    </row>
    <row r="3978" spans="1:5" ht="15.75">
      <c r="A3978" s="89" t="str">
        <f t="shared" si="62"/>
        <v>#25724</v>
      </c>
      <c r="B3978" s="138" t="s">
        <v>7997</v>
      </c>
      <c r="C3978" s="140" t="s">
        <v>7999</v>
      </c>
      <c r="D3978" s="138">
        <v>45728</v>
      </c>
      <c r="E3978" s="138" t="s">
        <v>1004</v>
      </c>
    </row>
    <row r="3979" spans="1:5" ht="15.75">
      <c r="A3979" s="89" t="str">
        <f t="shared" si="62"/>
        <v>#25725</v>
      </c>
      <c r="B3979" s="138" t="s">
        <v>7998</v>
      </c>
      <c r="C3979" s="140" t="s">
        <v>8000</v>
      </c>
      <c r="D3979" s="138">
        <v>45728</v>
      </c>
      <c r="E3979" s="138" t="s">
        <v>1004</v>
      </c>
    </row>
    <row r="3980" spans="1:5" ht="15.75">
      <c r="A3980" s="89" t="str">
        <f t="shared" si="62"/>
        <v>#25736</v>
      </c>
      <c r="B3980" s="138" t="s">
        <v>8248</v>
      </c>
      <c r="C3980" s="140" t="s">
        <v>8249</v>
      </c>
      <c r="D3980" s="138">
        <v>45728</v>
      </c>
      <c r="E3980" s="138" t="s">
        <v>937</v>
      </c>
    </row>
    <row r="3981" spans="1:5" ht="15.75">
      <c r="A3981" s="89" t="str">
        <f t="shared" si="62"/>
        <v>#25739</v>
      </c>
      <c r="B3981" s="138" t="s">
        <v>8250</v>
      </c>
      <c r="C3981" s="140" t="s">
        <v>8251</v>
      </c>
      <c r="D3981" s="138">
        <v>45728</v>
      </c>
      <c r="E3981" s="138" t="s">
        <v>1098</v>
      </c>
    </row>
    <row r="3982" spans="1:5" ht="15.75">
      <c r="A3982" s="89" t="str">
        <f t="shared" si="62"/>
        <v>#25743</v>
      </c>
      <c r="B3982" s="138" t="s">
        <v>8252</v>
      </c>
      <c r="C3982" s="140" t="s">
        <v>8253</v>
      </c>
      <c r="D3982" s="138">
        <v>45728</v>
      </c>
      <c r="E3982" s="138" t="s">
        <v>895</v>
      </c>
    </row>
    <row r="3983" spans="1:5" ht="15.75">
      <c r="A3983" s="89" t="str">
        <f t="shared" si="62"/>
        <v>#25750</v>
      </c>
      <c r="B3983" s="138" t="s">
        <v>8254</v>
      </c>
      <c r="C3983" s="140" t="s">
        <v>8255</v>
      </c>
      <c r="D3983" s="138">
        <v>45730</v>
      </c>
      <c r="E3983" s="138" t="s">
        <v>1188</v>
      </c>
    </row>
    <row r="3984" spans="1:5" ht="15.75">
      <c r="A3984" s="89" t="str">
        <f t="shared" si="62"/>
        <v>#25753</v>
      </c>
      <c r="B3984" s="138" t="s">
        <v>8256</v>
      </c>
      <c r="C3984" s="140" t="s">
        <v>8257</v>
      </c>
      <c r="D3984" s="138">
        <v>45730</v>
      </c>
      <c r="E3984" s="138" t="s">
        <v>937</v>
      </c>
    </row>
    <row r="3985" spans="1:5" ht="15.75">
      <c r="A3985" s="89" t="str">
        <f t="shared" si="62"/>
        <v>#25757</v>
      </c>
      <c r="B3985" s="138" t="s">
        <v>8258</v>
      </c>
      <c r="C3985" s="140" t="s">
        <v>1327</v>
      </c>
      <c r="D3985" s="138">
        <v>45733</v>
      </c>
      <c r="E3985" s="138" t="s">
        <v>1191</v>
      </c>
    </row>
    <row r="3986" spans="1:5" ht="15.75">
      <c r="A3986" s="89" t="str">
        <f t="shared" si="62"/>
        <v>#25758</v>
      </c>
      <c r="B3986" s="138" t="s">
        <v>8259</v>
      </c>
      <c r="C3986" s="140" t="s">
        <v>8260</v>
      </c>
      <c r="D3986" s="138">
        <v>45734</v>
      </c>
      <c r="E3986" s="138" t="s">
        <v>773</v>
      </c>
    </row>
    <row r="3987" spans="1:5" ht="15.75">
      <c r="A3987" s="89" t="str">
        <f t="shared" si="62"/>
        <v>#25766</v>
      </c>
      <c r="B3987" s="138" t="s">
        <v>8261</v>
      </c>
      <c r="C3987" s="140" t="s">
        <v>3747</v>
      </c>
      <c r="D3987" s="138">
        <v>45735</v>
      </c>
      <c r="E3987" s="138" t="s">
        <v>937</v>
      </c>
    </row>
    <row r="3988" spans="1:5" ht="15.75">
      <c r="A3988" s="89" t="str">
        <f t="shared" si="62"/>
        <v>#25769</v>
      </c>
      <c r="B3988" s="138" t="s">
        <v>8262</v>
      </c>
      <c r="C3988" s="140" t="s">
        <v>8263</v>
      </c>
      <c r="D3988" s="138">
        <v>45735</v>
      </c>
      <c r="E3988" s="138" t="s">
        <v>895</v>
      </c>
    </row>
    <row r="3989" spans="1:5" ht="15.75">
      <c r="A3989" s="89" t="str">
        <f t="shared" si="62"/>
        <v>#25770</v>
      </c>
      <c r="B3989" s="138" t="s">
        <v>8264</v>
      </c>
      <c r="C3989" s="140" t="s">
        <v>8265</v>
      </c>
      <c r="D3989" s="138">
        <v>45735</v>
      </c>
      <c r="E3989" s="138" t="s">
        <v>1043</v>
      </c>
    </row>
    <row r="3990" spans="1:5" ht="15.75">
      <c r="A3990" s="89" t="str">
        <f t="shared" si="62"/>
        <v>#25772</v>
      </c>
      <c r="B3990" s="138" t="s">
        <v>8266</v>
      </c>
      <c r="C3990" s="140" t="s">
        <v>8267</v>
      </c>
      <c r="D3990" s="138">
        <v>45735</v>
      </c>
      <c r="E3990" s="138" t="s">
        <v>1043</v>
      </c>
    </row>
    <row r="3991" spans="1:5" ht="15.75">
      <c r="A3991" s="89" t="str">
        <f t="shared" si="62"/>
        <v>#25773</v>
      </c>
      <c r="B3991" s="138" t="s">
        <v>8268</v>
      </c>
      <c r="C3991" s="140" t="s">
        <v>1247</v>
      </c>
      <c r="D3991" s="138">
        <v>45735</v>
      </c>
      <c r="E3991" s="138" t="s">
        <v>1043</v>
      </c>
    </row>
    <row r="3992" spans="1:5" ht="15.75">
      <c r="A3992" s="89" t="str">
        <f t="shared" si="62"/>
        <v>#25775</v>
      </c>
      <c r="B3992" s="138" t="s">
        <v>8269</v>
      </c>
      <c r="C3992" s="140" t="s">
        <v>8270</v>
      </c>
      <c r="D3992" s="138">
        <v>45737</v>
      </c>
      <c r="E3992" s="138" t="s">
        <v>937</v>
      </c>
    </row>
    <row r="3993" spans="1:5" ht="15.75">
      <c r="A3993" s="89" t="str">
        <f t="shared" si="62"/>
        <v>#25777</v>
      </c>
      <c r="B3993" s="138" t="s">
        <v>8271</v>
      </c>
      <c r="C3993" s="140" t="s">
        <v>8272</v>
      </c>
      <c r="D3993" s="138">
        <v>45737</v>
      </c>
      <c r="E3993" s="138" t="s">
        <v>937</v>
      </c>
    </row>
    <row r="3994" spans="1:5" ht="15.75">
      <c r="A3994" s="89" t="str">
        <f t="shared" si="62"/>
        <v>#25783</v>
      </c>
      <c r="B3994" s="138" t="s">
        <v>8273</v>
      </c>
      <c r="C3994" s="140" t="s">
        <v>8274</v>
      </c>
      <c r="D3994" s="138">
        <v>45737</v>
      </c>
      <c r="E3994" s="138" t="s">
        <v>752</v>
      </c>
    </row>
    <row r="3995" spans="1:5" ht="15.75">
      <c r="A3995" s="89" t="str">
        <f t="shared" si="62"/>
        <v>#25787</v>
      </c>
      <c r="B3995" s="138" t="s">
        <v>8275</v>
      </c>
      <c r="C3995" s="140" t="s">
        <v>8276</v>
      </c>
      <c r="D3995" s="138">
        <v>45742</v>
      </c>
      <c r="E3995" s="138" t="s">
        <v>937</v>
      </c>
    </row>
    <row r="3996" spans="1:5" ht="15.75">
      <c r="A3996" s="89" t="str">
        <f t="shared" si="62"/>
        <v>#25796</v>
      </c>
      <c r="B3996" s="138" t="s">
        <v>8277</v>
      </c>
      <c r="C3996" s="140" t="s">
        <v>8278</v>
      </c>
      <c r="D3996" s="138">
        <v>45742</v>
      </c>
      <c r="E3996" s="138" t="s">
        <v>1541</v>
      </c>
    </row>
    <row r="3997" spans="1:5" ht="15.75">
      <c r="A3997" s="89" t="str">
        <f t="shared" si="62"/>
        <v>#25803</v>
      </c>
      <c r="B3997" s="138" t="s">
        <v>8279</v>
      </c>
      <c r="C3997" s="140" t="s">
        <v>6590</v>
      </c>
      <c r="D3997" s="138">
        <v>45744</v>
      </c>
      <c r="E3997" s="138" t="s">
        <v>1098</v>
      </c>
    </row>
    <row r="3998" spans="1:5" ht="15.75">
      <c r="A3998" s="89" t="str">
        <f t="shared" si="62"/>
        <v>#25804</v>
      </c>
      <c r="B3998" s="138" t="s">
        <v>8280</v>
      </c>
      <c r="C3998" s="140" t="s">
        <v>1704</v>
      </c>
      <c r="D3998" s="138">
        <v>45744</v>
      </c>
      <c r="E3998" s="138" t="s">
        <v>895</v>
      </c>
    </row>
    <row r="3999" spans="1:5" ht="15.75">
      <c r="A3999" s="89" t="str">
        <f t="shared" si="62"/>
        <v>#25806</v>
      </c>
      <c r="B3999" s="138" t="s">
        <v>8281</v>
      </c>
      <c r="C3999" s="140" t="s">
        <v>2173</v>
      </c>
      <c r="D3999" s="138">
        <v>45749</v>
      </c>
      <c r="E3999" s="138" t="s">
        <v>1098</v>
      </c>
    </row>
    <row r="4000" spans="1:5" ht="15.75">
      <c r="A4000" s="89" t="str">
        <f t="shared" si="62"/>
        <v>#25807</v>
      </c>
      <c r="B4000" s="138" t="s">
        <v>8282</v>
      </c>
      <c r="C4000" s="140" t="s">
        <v>8283</v>
      </c>
      <c r="D4000" s="138">
        <v>45749</v>
      </c>
      <c r="E4000" s="238" t="s">
        <v>7818</v>
      </c>
    </row>
    <row r="4001" spans="1:5" ht="15.75">
      <c r="A4001" s="89" t="str">
        <f t="shared" si="62"/>
        <v>#25813</v>
      </c>
      <c r="B4001" s="138" t="s">
        <v>8284</v>
      </c>
      <c r="C4001" s="140" t="s">
        <v>8285</v>
      </c>
      <c r="D4001" s="138">
        <v>45749</v>
      </c>
      <c r="E4001" s="138" t="s">
        <v>7788</v>
      </c>
    </row>
    <row r="4002" spans="1:5" ht="15.75">
      <c r="A4002" s="89" t="str">
        <f t="shared" si="62"/>
        <v>#25814</v>
      </c>
      <c r="B4002" s="138" t="s">
        <v>8009</v>
      </c>
      <c r="C4002" s="140" t="s">
        <v>8010</v>
      </c>
      <c r="D4002" s="138">
        <v>45749</v>
      </c>
      <c r="E4002" s="235" t="s">
        <v>8683</v>
      </c>
    </row>
    <row r="4003" spans="1:5" ht="15.75">
      <c r="A4003" s="89" t="str">
        <f t="shared" si="62"/>
        <v>#25820</v>
      </c>
      <c r="B4003" s="138" t="s">
        <v>8286</v>
      </c>
      <c r="C4003" s="140" t="s">
        <v>8287</v>
      </c>
      <c r="D4003" s="138">
        <v>45752</v>
      </c>
      <c r="E4003" s="138" t="s">
        <v>1098</v>
      </c>
    </row>
    <row r="4004" spans="1:5" ht="15.75">
      <c r="A4004" s="89" t="str">
        <f t="shared" si="62"/>
        <v>#25828</v>
      </c>
      <c r="B4004" s="138" t="s">
        <v>8288</v>
      </c>
      <c r="C4004" s="140" t="s">
        <v>5325</v>
      </c>
      <c r="D4004" s="138">
        <v>45757</v>
      </c>
      <c r="E4004" s="138" t="s">
        <v>752</v>
      </c>
    </row>
    <row r="4005" spans="1:5" ht="15.75">
      <c r="A4005" s="89" t="str">
        <f t="shared" si="62"/>
        <v>#25836</v>
      </c>
      <c r="B4005" s="138" t="s">
        <v>8289</v>
      </c>
      <c r="C4005" s="140" t="s">
        <v>8290</v>
      </c>
      <c r="D4005" s="138">
        <v>45761</v>
      </c>
      <c r="E4005" s="138" t="s">
        <v>1098</v>
      </c>
    </row>
    <row r="4006" spans="1:5" ht="15.75">
      <c r="A4006" s="89" t="str">
        <f t="shared" si="62"/>
        <v>#25837</v>
      </c>
      <c r="B4006" s="138" t="s">
        <v>8291</v>
      </c>
      <c r="C4006" s="140" t="s">
        <v>8292</v>
      </c>
      <c r="D4006" s="138">
        <v>45761</v>
      </c>
      <c r="E4006" s="138" t="s">
        <v>1098</v>
      </c>
    </row>
    <row r="4007" spans="1:5" ht="15.75">
      <c r="A4007" s="89" t="str">
        <f t="shared" si="62"/>
        <v>#25838</v>
      </c>
      <c r="B4007" s="138" t="s">
        <v>8293</v>
      </c>
      <c r="C4007" s="140" t="s">
        <v>8294</v>
      </c>
      <c r="D4007" s="138">
        <v>45761</v>
      </c>
      <c r="E4007" s="138" t="s">
        <v>948</v>
      </c>
    </row>
    <row r="4008" spans="1:5" ht="15.75">
      <c r="A4008" s="89" t="str">
        <f t="shared" si="62"/>
        <v>#25839</v>
      </c>
      <c r="B4008" s="138" t="s">
        <v>8295</v>
      </c>
      <c r="C4008" s="140" t="s">
        <v>8296</v>
      </c>
      <c r="D4008" s="138">
        <v>45761</v>
      </c>
      <c r="E4008" s="138" t="s">
        <v>948</v>
      </c>
    </row>
    <row r="4009" spans="1:5" ht="15.75">
      <c r="A4009" s="89" t="str">
        <f t="shared" si="62"/>
        <v>#25840</v>
      </c>
      <c r="B4009" s="138" t="s">
        <v>8297</v>
      </c>
      <c r="C4009" s="140" t="s">
        <v>8298</v>
      </c>
      <c r="D4009" s="138">
        <v>45761</v>
      </c>
      <c r="E4009" s="138" t="s">
        <v>948</v>
      </c>
    </row>
    <row r="4010" spans="1:5" ht="15.75">
      <c r="A4010" s="89" t="str">
        <f t="shared" si="62"/>
        <v>#25841</v>
      </c>
      <c r="B4010" s="138" t="s">
        <v>8299</v>
      </c>
      <c r="C4010" s="140" t="s">
        <v>8300</v>
      </c>
      <c r="D4010" s="138">
        <v>45761</v>
      </c>
      <c r="E4010" s="138" t="s">
        <v>948</v>
      </c>
    </row>
    <row r="4011" spans="1:5" ht="15.75">
      <c r="A4011" s="89" t="str">
        <f t="shared" si="62"/>
        <v>#25842</v>
      </c>
      <c r="B4011" s="138" t="s">
        <v>8301</v>
      </c>
      <c r="C4011" s="140" t="s">
        <v>8302</v>
      </c>
      <c r="D4011" s="138">
        <v>45761</v>
      </c>
      <c r="E4011" s="138" t="s">
        <v>1255</v>
      </c>
    </row>
    <row r="4012" spans="1:5" ht="15.75">
      <c r="A4012" s="89" t="str">
        <f t="shared" si="62"/>
        <v>#25843</v>
      </c>
      <c r="B4012" s="138" t="s">
        <v>8019</v>
      </c>
      <c r="C4012" s="140" t="s">
        <v>8021</v>
      </c>
      <c r="D4012" s="138">
        <v>45763</v>
      </c>
      <c r="E4012" s="138" t="s">
        <v>1541</v>
      </c>
    </row>
    <row r="4013" spans="1:5" ht="15.75">
      <c r="A4013" s="89" t="str">
        <f t="shared" si="62"/>
        <v>#25844</v>
      </c>
      <c r="B4013" s="138" t="s">
        <v>8303</v>
      </c>
      <c r="C4013" s="140" t="s">
        <v>4465</v>
      </c>
      <c r="D4013" s="138">
        <v>45763</v>
      </c>
      <c r="E4013" s="138" t="s">
        <v>1541</v>
      </c>
    </row>
    <row r="4014" spans="1:5" ht="15.75">
      <c r="A4014" s="89" t="str">
        <f t="shared" si="62"/>
        <v>#25845</v>
      </c>
      <c r="B4014" s="138" t="s">
        <v>8304</v>
      </c>
      <c r="C4014" s="140" t="s">
        <v>8305</v>
      </c>
      <c r="D4014" s="138">
        <v>45763</v>
      </c>
      <c r="E4014" s="138" t="s">
        <v>752</v>
      </c>
    </row>
    <row r="4015" spans="1:5" ht="15.75">
      <c r="A4015" s="89" t="str">
        <f t="shared" si="62"/>
        <v>#25848</v>
      </c>
      <c r="B4015" s="138" t="s">
        <v>8306</v>
      </c>
      <c r="C4015" s="140" t="s">
        <v>8307</v>
      </c>
      <c r="D4015" s="138">
        <v>45763</v>
      </c>
      <c r="E4015" s="138" t="s">
        <v>937</v>
      </c>
    </row>
    <row r="4016" spans="1:5" ht="15.75">
      <c r="A4016" s="89" t="str">
        <f t="shared" si="62"/>
        <v>#25858</v>
      </c>
      <c r="B4016" s="138" t="s">
        <v>8308</v>
      </c>
      <c r="C4016" s="140" t="s">
        <v>1818</v>
      </c>
      <c r="D4016" s="138">
        <v>45765</v>
      </c>
      <c r="E4016" s="138" t="s">
        <v>1098</v>
      </c>
    </row>
    <row r="4017" spans="1:5" ht="15.75">
      <c r="A4017" s="89" t="str">
        <f t="shared" si="62"/>
        <v>#25860</v>
      </c>
      <c r="B4017" s="138" t="s">
        <v>8020</v>
      </c>
      <c r="C4017" s="140" t="s">
        <v>8022</v>
      </c>
      <c r="D4017" s="138">
        <v>45765</v>
      </c>
      <c r="E4017" s="138" t="s">
        <v>1541</v>
      </c>
    </row>
    <row r="4018" spans="1:5" ht="15.75">
      <c r="A4018" s="89" t="str">
        <f t="shared" si="62"/>
        <v>#25863</v>
      </c>
      <c r="B4018" s="138" t="s">
        <v>8309</v>
      </c>
      <c r="C4018" s="140" t="s">
        <v>979</v>
      </c>
      <c r="D4018" s="138">
        <v>45765</v>
      </c>
      <c r="E4018" s="138" t="s">
        <v>1063</v>
      </c>
    </row>
    <row r="4019" spans="1:5" ht="15.75">
      <c r="A4019" s="89" t="str">
        <f t="shared" si="62"/>
        <v>#25867</v>
      </c>
      <c r="B4019" s="138" t="s">
        <v>8310</v>
      </c>
      <c r="C4019" s="140" t="s">
        <v>3445</v>
      </c>
      <c r="D4019" s="138">
        <v>45769</v>
      </c>
      <c r="E4019" s="138" t="s">
        <v>8037</v>
      </c>
    </row>
    <row r="4020" spans="1:5" ht="15.75">
      <c r="A4020" s="89" t="str">
        <f t="shared" si="62"/>
        <v>#25875</v>
      </c>
      <c r="B4020" s="138" t="s">
        <v>8311</v>
      </c>
      <c r="C4020" s="140" t="s">
        <v>8312</v>
      </c>
      <c r="D4020" s="138">
        <v>45769</v>
      </c>
      <c r="E4020" s="138" t="s">
        <v>7850</v>
      </c>
    </row>
    <row r="4021" spans="1:5" ht="15.75">
      <c r="A4021" s="89" t="str">
        <f t="shared" si="62"/>
        <v>#25889</v>
      </c>
      <c r="B4021" s="138" t="s">
        <v>8313</v>
      </c>
      <c r="C4021" s="140" t="s">
        <v>1556</v>
      </c>
      <c r="D4021" s="138">
        <v>45771</v>
      </c>
      <c r="E4021" s="138" t="s">
        <v>1098</v>
      </c>
    </row>
    <row r="4022" spans="1:5" ht="15.75">
      <c r="A4022" s="89" t="str">
        <f t="shared" si="62"/>
        <v>#25893</v>
      </c>
      <c r="B4022" s="138" t="s">
        <v>8314</v>
      </c>
      <c r="C4022" s="140" t="s">
        <v>8315</v>
      </c>
      <c r="D4022" s="138">
        <v>45771</v>
      </c>
      <c r="E4022" s="138" t="s">
        <v>721</v>
      </c>
    </row>
    <row r="4023" spans="1:5" ht="15.75">
      <c r="A4023" s="89" t="str">
        <f t="shared" si="62"/>
        <v>#25894</v>
      </c>
      <c r="B4023" s="138" t="s">
        <v>8316</v>
      </c>
      <c r="C4023" s="140" t="s">
        <v>1142</v>
      </c>
      <c r="D4023" s="138">
        <v>45771</v>
      </c>
      <c r="E4023" s="138" t="s">
        <v>721</v>
      </c>
    </row>
    <row r="4024" spans="1:5" ht="15.75">
      <c r="A4024" s="89" t="str">
        <f t="shared" si="62"/>
        <v>#25896</v>
      </c>
      <c r="B4024" s="138" t="s">
        <v>8317</v>
      </c>
      <c r="C4024" s="140" t="s">
        <v>8318</v>
      </c>
      <c r="D4024" s="138">
        <v>45771</v>
      </c>
      <c r="E4024" s="138" t="s">
        <v>957</v>
      </c>
    </row>
    <row r="4025" spans="1:5" ht="15.75">
      <c r="A4025" s="89" t="str">
        <f t="shared" si="62"/>
        <v>#25897</v>
      </c>
      <c r="B4025" s="138" t="s">
        <v>8319</v>
      </c>
      <c r="C4025" s="140" t="s">
        <v>1070</v>
      </c>
      <c r="D4025" s="138">
        <v>45771</v>
      </c>
      <c r="E4025" s="138" t="s">
        <v>915</v>
      </c>
    </row>
    <row r="4026" spans="1:5" ht="15.75">
      <c r="A4026" s="89" t="str">
        <f t="shared" si="62"/>
        <v>#25898</v>
      </c>
      <c r="B4026" s="138" t="s">
        <v>8320</v>
      </c>
      <c r="C4026" s="140" t="s">
        <v>8321</v>
      </c>
      <c r="D4026" s="138">
        <v>45773</v>
      </c>
      <c r="E4026" s="138" t="s">
        <v>7850</v>
      </c>
    </row>
    <row r="4027" spans="1:5" ht="15.75">
      <c r="A4027" s="89" t="str">
        <f t="shared" si="62"/>
        <v>#25899</v>
      </c>
      <c r="B4027" s="138" t="s">
        <v>8322</v>
      </c>
      <c r="C4027" s="140" t="s">
        <v>8323</v>
      </c>
      <c r="D4027" s="138">
        <v>45773</v>
      </c>
      <c r="E4027" s="138" t="s">
        <v>7646</v>
      </c>
    </row>
    <row r="4028" spans="1:5" ht="15.75">
      <c r="A4028" s="89" t="str">
        <f t="shared" si="62"/>
        <v>#25901</v>
      </c>
      <c r="B4028" s="138" t="s">
        <v>8324</v>
      </c>
      <c r="C4028" s="140" t="s">
        <v>8325</v>
      </c>
      <c r="D4028" s="138">
        <v>45773</v>
      </c>
      <c r="E4028" s="138" t="s">
        <v>1034</v>
      </c>
    </row>
    <row r="4029" spans="1:5" ht="15.75">
      <c r="A4029" s="89" t="str">
        <f t="shared" si="62"/>
        <v>#25903</v>
      </c>
      <c r="B4029" s="138" t="s">
        <v>8326</v>
      </c>
      <c r="C4029" s="140" t="s">
        <v>8327</v>
      </c>
      <c r="D4029" s="138">
        <v>45773</v>
      </c>
      <c r="E4029" s="138" t="s">
        <v>906</v>
      </c>
    </row>
    <row r="4030" spans="1:5" ht="15.75">
      <c r="A4030" s="89" t="str">
        <f t="shared" si="62"/>
        <v>#25906</v>
      </c>
      <c r="B4030" s="138" t="s">
        <v>8034</v>
      </c>
      <c r="C4030" s="140" t="s">
        <v>8035</v>
      </c>
      <c r="D4030" s="138">
        <v>45780</v>
      </c>
      <c r="E4030" s="138" t="s">
        <v>1098</v>
      </c>
    </row>
    <row r="4031" spans="1:5" ht="15.75">
      <c r="A4031" s="89" t="str">
        <f t="shared" si="62"/>
        <v>#25910</v>
      </c>
      <c r="B4031" s="138" t="s">
        <v>8328</v>
      </c>
      <c r="C4031" s="140" t="s">
        <v>8329</v>
      </c>
      <c r="D4031" s="138">
        <v>45780</v>
      </c>
      <c r="E4031" s="138" t="s">
        <v>895</v>
      </c>
    </row>
    <row r="4032" spans="1:5" ht="15.75">
      <c r="A4032" s="89" t="str">
        <f t="shared" si="62"/>
        <v>#25911</v>
      </c>
      <c r="B4032" s="138" t="s">
        <v>8330</v>
      </c>
      <c r="C4032" s="140" t="s">
        <v>8331</v>
      </c>
      <c r="D4032" s="138">
        <v>45780</v>
      </c>
      <c r="E4032" s="138" t="s">
        <v>895</v>
      </c>
    </row>
    <row r="4033" spans="1:5" ht="16.5">
      <c r="A4033" s="89" t="str">
        <f t="shared" si="62"/>
        <v>#25916</v>
      </c>
      <c r="B4033" s="138" t="s">
        <v>8332</v>
      </c>
      <c r="C4033" s="145" t="s">
        <v>6964</v>
      </c>
      <c r="D4033" s="138">
        <v>45784</v>
      </c>
      <c r="E4033" s="138" t="s">
        <v>1034</v>
      </c>
    </row>
    <row r="4034" spans="1:5" ht="16.5">
      <c r="A4034" s="89" t="str">
        <f t="shared" si="62"/>
        <v>#25917</v>
      </c>
      <c r="B4034" s="138" t="s">
        <v>8333</v>
      </c>
      <c r="C4034" s="145" t="s">
        <v>8334</v>
      </c>
      <c r="D4034" s="138">
        <v>45784</v>
      </c>
      <c r="E4034" s="138" t="s">
        <v>1034</v>
      </c>
    </row>
    <row r="4035" spans="1:5" ht="16.5">
      <c r="A4035" s="89" t="str">
        <f t="shared" ref="A4035:A4098" si="63">"#"&amp;B4035</f>
        <v>#25918</v>
      </c>
      <c r="B4035" s="138" t="s">
        <v>8335</v>
      </c>
      <c r="C4035" s="145" t="s">
        <v>4589</v>
      </c>
      <c r="D4035" s="138">
        <v>45784</v>
      </c>
      <c r="E4035" s="138" t="s">
        <v>927</v>
      </c>
    </row>
    <row r="4036" spans="1:5" ht="16.5">
      <c r="A4036" s="89" t="str">
        <f t="shared" si="63"/>
        <v>#25920</v>
      </c>
      <c r="B4036" s="138" t="s">
        <v>8336</v>
      </c>
      <c r="C4036" s="145" t="s">
        <v>8337</v>
      </c>
      <c r="D4036" s="138">
        <v>45784</v>
      </c>
      <c r="E4036" s="138" t="s">
        <v>1098</v>
      </c>
    </row>
    <row r="4037" spans="1:5" ht="16.5">
      <c r="A4037" s="89" t="str">
        <f t="shared" si="63"/>
        <v>#25927</v>
      </c>
      <c r="B4037" s="138" t="s">
        <v>8338</v>
      </c>
      <c r="C4037" s="145" t="s">
        <v>8339</v>
      </c>
      <c r="D4037" s="138">
        <v>45786</v>
      </c>
      <c r="E4037" s="138" t="s">
        <v>978</v>
      </c>
    </row>
    <row r="4038" spans="1:5" ht="16.5">
      <c r="A4038" s="89" t="str">
        <f t="shared" si="63"/>
        <v>#25928</v>
      </c>
      <c r="B4038" s="138" t="s">
        <v>8340</v>
      </c>
      <c r="C4038" s="145" t="s">
        <v>7223</v>
      </c>
      <c r="D4038" s="138">
        <v>45786</v>
      </c>
      <c r="E4038" s="138" t="s">
        <v>1098</v>
      </c>
    </row>
    <row r="4039" spans="1:5" ht="16.5">
      <c r="A4039" s="89" t="str">
        <f t="shared" si="63"/>
        <v>#25933</v>
      </c>
      <c r="B4039" s="138" t="s">
        <v>8341</v>
      </c>
      <c r="C4039" s="145" t="s">
        <v>8342</v>
      </c>
      <c r="D4039" s="138">
        <v>45789</v>
      </c>
      <c r="E4039" s="138" t="s">
        <v>937</v>
      </c>
    </row>
    <row r="4040" spans="1:5" ht="16.5">
      <c r="A4040" s="89" t="str">
        <f t="shared" si="63"/>
        <v>#25935</v>
      </c>
      <c r="B4040" s="138" t="s">
        <v>8343</v>
      </c>
      <c r="C4040" s="145" t="s">
        <v>8344</v>
      </c>
      <c r="D4040" s="138">
        <v>45789</v>
      </c>
      <c r="E4040" s="138" t="s">
        <v>1098</v>
      </c>
    </row>
    <row r="4041" spans="1:5" ht="16.5">
      <c r="A4041" s="89" t="str">
        <f t="shared" si="63"/>
        <v>#25936</v>
      </c>
      <c r="B4041" s="138" t="s">
        <v>8345</v>
      </c>
      <c r="C4041" s="145" t="s">
        <v>8346</v>
      </c>
      <c r="D4041" s="138">
        <v>45789</v>
      </c>
      <c r="E4041" s="138" t="s">
        <v>1098</v>
      </c>
    </row>
    <row r="4042" spans="1:5" ht="16.5">
      <c r="A4042" s="89" t="str">
        <f t="shared" si="63"/>
        <v>#25942</v>
      </c>
      <c r="B4042" s="138" t="s">
        <v>8347</v>
      </c>
      <c r="C4042" s="145" t="s">
        <v>8348</v>
      </c>
      <c r="D4042" s="138">
        <v>45791</v>
      </c>
      <c r="E4042" s="138" t="s">
        <v>927</v>
      </c>
    </row>
    <row r="4043" spans="1:5" ht="16.5">
      <c r="A4043" s="89" t="str">
        <f t="shared" si="63"/>
        <v>#25944</v>
      </c>
      <c r="B4043" s="138" t="s">
        <v>8349</v>
      </c>
      <c r="C4043" s="145" t="s">
        <v>8350</v>
      </c>
      <c r="D4043" s="138">
        <v>45791</v>
      </c>
      <c r="E4043" s="138" t="s">
        <v>927</v>
      </c>
    </row>
    <row r="4044" spans="1:5" ht="16.5">
      <c r="A4044" s="89" t="str">
        <f t="shared" si="63"/>
        <v>#25954</v>
      </c>
      <c r="B4044" s="138" t="s">
        <v>8351</v>
      </c>
      <c r="C4044" s="145" t="s">
        <v>3154</v>
      </c>
      <c r="D4044" s="138">
        <v>45791</v>
      </c>
      <c r="E4044" s="138" t="s">
        <v>957</v>
      </c>
    </row>
    <row r="4045" spans="1:5" ht="16.5">
      <c r="A4045" s="89" t="str">
        <f t="shared" si="63"/>
        <v>#25956</v>
      </c>
      <c r="B4045" s="138" t="s">
        <v>8025</v>
      </c>
      <c r="C4045" s="145" t="s">
        <v>8031</v>
      </c>
      <c r="D4045" s="138">
        <v>45793</v>
      </c>
      <c r="E4045" s="138" t="s">
        <v>1004</v>
      </c>
    </row>
    <row r="4046" spans="1:5" ht="16.5">
      <c r="A4046" s="89" t="str">
        <f t="shared" si="63"/>
        <v>#25957</v>
      </c>
      <c r="B4046" s="138" t="s">
        <v>8029</v>
      </c>
      <c r="C4046" s="145" t="s">
        <v>8030</v>
      </c>
      <c r="D4046" s="138">
        <v>45793</v>
      </c>
      <c r="E4046" s="138" t="s">
        <v>1004</v>
      </c>
    </row>
    <row r="4047" spans="1:5" ht="16.5">
      <c r="A4047" s="89" t="str">
        <f t="shared" si="63"/>
        <v>#25962</v>
      </c>
      <c r="B4047" s="138" t="s">
        <v>8352</v>
      </c>
      <c r="C4047" s="145" t="s">
        <v>8353</v>
      </c>
      <c r="D4047" s="138">
        <v>45793</v>
      </c>
      <c r="E4047" s="138" t="s">
        <v>1098</v>
      </c>
    </row>
    <row r="4048" spans="1:5" ht="16.5">
      <c r="A4048" s="89" t="str">
        <f t="shared" si="63"/>
        <v>#25967</v>
      </c>
      <c r="B4048" s="138" t="s">
        <v>8355</v>
      </c>
      <c r="C4048" s="145" t="s">
        <v>8356</v>
      </c>
      <c r="D4048" s="138">
        <v>45793</v>
      </c>
      <c r="E4048" s="138" t="s">
        <v>1098</v>
      </c>
    </row>
    <row r="4049" spans="1:5" ht="16.5">
      <c r="A4049" s="89" t="str">
        <f t="shared" si="63"/>
        <v>#25976</v>
      </c>
      <c r="B4049" s="138" t="s">
        <v>8357</v>
      </c>
      <c r="C4049" s="145" t="s">
        <v>8358</v>
      </c>
      <c r="D4049" s="138">
        <v>45798</v>
      </c>
      <c r="E4049" s="138" t="s">
        <v>903</v>
      </c>
    </row>
    <row r="4050" spans="1:5" ht="16.5">
      <c r="A4050" s="89" t="str">
        <f t="shared" si="63"/>
        <v>#25977</v>
      </c>
      <c r="B4050" s="138" t="s">
        <v>8359</v>
      </c>
      <c r="C4050" s="145" t="s">
        <v>8360</v>
      </c>
      <c r="D4050" s="138">
        <v>45798</v>
      </c>
      <c r="E4050" s="138" t="s">
        <v>903</v>
      </c>
    </row>
    <row r="4051" spans="1:5" ht="16.5">
      <c r="A4051" s="89" t="str">
        <f t="shared" si="63"/>
        <v>#25978</v>
      </c>
      <c r="B4051" s="138" t="s">
        <v>8361</v>
      </c>
      <c r="C4051" s="145" t="s">
        <v>8362</v>
      </c>
      <c r="D4051" s="138">
        <v>45798</v>
      </c>
      <c r="E4051" s="138" t="s">
        <v>1541</v>
      </c>
    </row>
    <row r="4052" spans="1:5" ht="16.5">
      <c r="A4052" s="89" t="str">
        <f t="shared" si="63"/>
        <v>#25979</v>
      </c>
      <c r="B4052" s="138" t="s">
        <v>8363</v>
      </c>
      <c r="C4052" s="145" t="s">
        <v>8364</v>
      </c>
      <c r="D4052" s="138">
        <v>45800</v>
      </c>
      <c r="E4052" s="138" t="s">
        <v>985</v>
      </c>
    </row>
    <row r="4053" spans="1:5" ht="16.5">
      <c r="A4053" s="89" t="str">
        <f t="shared" si="63"/>
        <v>#25986</v>
      </c>
      <c r="B4053" s="138" t="s">
        <v>8365</v>
      </c>
      <c r="C4053" s="145" t="s">
        <v>8366</v>
      </c>
      <c r="D4053" s="138">
        <v>45800</v>
      </c>
      <c r="E4053" s="138" t="s">
        <v>1098</v>
      </c>
    </row>
    <row r="4054" spans="1:5" ht="16.5">
      <c r="A4054" s="89" t="str">
        <f t="shared" si="63"/>
        <v>#25988</v>
      </c>
      <c r="B4054" s="138" t="s">
        <v>8367</v>
      </c>
      <c r="C4054" s="145" t="s">
        <v>8368</v>
      </c>
      <c r="D4054" s="138">
        <v>45805</v>
      </c>
      <c r="E4054" s="138" t="s">
        <v>890</v>
      </c>
    </row>
    <row r="4055" spans="1:5" ht="16.5">
      <c r="A4055" s="89" t="str">
        <f t="shared" si="63"/>
        <v>#25989</v>
      </c>
      <c r="B4055" s="138" t="s">
        <v>8369</v>
      </c>
      <c r="C4055" s="145" t="s">
        <v>5405</v>
      </c>
      <c r="D4055" s="138">
        <v>45805</v>
      </c>
      <c r="E4055" s="138" t="s">
        <v>1188</v>
      </c>
    </row>
    <row r="4056" spans="1:5" ht="16.5">
      <c r="A4056" s="89" t="str">
        <f t="shared" si="63"/>
        <v>#25990</v>
      </c>
      <c r="B4056" s="138" t="s">
        <v>8370</v>
      </c>
      <c r="C4056" s="145" t="s">
        <v>8371</v>
      </c>
      <c r="D4056" s="138">
        <v>45805</v>
      </c>
      <c r="E4056" s="138" t="s">
        <v>1188</v>
      </c>
    </row>
    <row r="4057" spans="1:5" ht="16.5">
      <c r="A4057" s="89" t="str">
        <f t="shared" si="63"/>
        <v>#26001</v>
      </c>
      <c r="B4057" s="138" t="s">
        <v>8372</v>
      </c>
      <c r="C4057" s="145" t="s">
        <v>8373</v>
      </c>
      <c r="D4057" s="138">
        <v>45805</v>
      </c>
      <c r="E4057" s="138" t="s">
        <v>1380</v>
      </c>
    </row>
    <row r="4058" spans="1:5" ht="16.5">
      <c r="A4058" s="89" t="str">
        <f t="shared" si="63"/>
        <v>#26002</v>
      </c>
      <c r="B4058" s="138" t="s">
        <v>8374</v>
      </c>
      <c r="C4058" s="145" t="s">
        <v>8375</v>
      </c>
      <c r="D4058" s="138">
        <v>45805</v>
      </c>
      <c r="E4058" s="138" t="s">
        <v>721</v>
      </c>
    </row>
    <row r="4059" spans="1:5" ht="16.5">
      <c r="A4059" s="89" t="str">
        <f t="shared" si="63"/>
        <v>#26003</v>
      </c>
      <c r="B4059" s="138" t="s">
        <v>8376</v>
      </c>
      <c r="C4059" s="145" t="s">
        <v>2680</v>
      </c>
      <c r="D4059" s="138">
        <v>45805</v>
      </c>
      <c r="E4059" s="138" t="s">
        <v>721</v>
      </c>
    </row>
    <row r="4060" spans="1:5" ht="16.5">
      <c r="A4060" s="89" t="str">
        <f t="shared" si="63"/>
        <v>#26005</v>
      </c>
      <c r="B4060" s="138" t="s">
        <v>8377</v>
      </c>
      <c r="C4060" s="145" t="s">
        <v>5357</v>
      </c>
      <c r="D4060" s="138">
        <v>45805</v>
      </c>
      <c r="E4060" s="138" t="s">
        <v>752</v>
      </c>
    </row>
    <row r="4061" spans="1:5" ht="16.5">
      <c r="A4061" s="89" t="str">
        <f t="shared" si="63"/>
        <v>#26007</v>
      </c>
      <c r="B4061" s="138" t="s">
        <v>8378</v>
      </c>
      <c r="C4061" s="145" t="s">
        <v>8379</v>
      </c>
      <c r="D4061" s="138">
        <v>45805</v>
      </c>
      <c r="E4061" s="138" t="s">
        <v>903</v>
      </c>
    </row>
    <row r="4062" spans="1:5" ht="16.5">
      <c r="A4062" s="89" t="str">
        <f t="shared" si="63"/>
        <v>#26008</v>
      </c>
      <c r="B4062" s="138" t="s">
        <v>8405</v>
      </c>
      <c r="C4062" s="188" t="s">
        <v>8406</v>
      </c>
      <c r="D4062" s="138">
        <v>45812</v>
      </c>
      <c r="E4062" s="241" t="s">
        <v>985</v>
      </c>
    </row>
    <row r="4063" spans="1:5" ht="16.5">
      <c r="A4063" s="89" t="str">
        <f t="shared" si="63"/>
        <v>#26014</v>
      </c>
      <c r="B4063" s="138" t="s">
        <v>8407</v>
      </c>
      <c r="C4063" s="188" t="s">
        <v>2739</v>
      </c>
      <c r="D4063" s="138">
        <v>45812</v>
      </c>
      <c r="E4063" s="138" t="s">
        <v>1716</v>
      </c>
    </row>
    <row r="4064" spans="1:5" ht="16.5">
      <c r="A4064" s="89" t="str">
        <f t="shared" si="63"/>
        <v>#26015</v>
      </c>
      <c r="B4064" s="138" t="s">
        <v>8408</v>
      </c>
      <c r="C4064" s="188" t="s">
        <v>1633</v>
      </c>
      <c r="D4064" s="138">
        <v>45812</v>
      </c>
      <c r="E4064" s="138" t="s">
        <v>978</v>
      </c>
    </row>
    <row r="4065" spans="1:5" ht="16.5">
      <c r="A4065" s="89" t="str">
        <f t="shared" si="63"/>
        <v>#26020</v>
      </c>
      <c r="B4065" s="138" t="s">
        <v>8409</v>
      </c>
      <c r="C4065" s="188" t="s">
        <v>8410</v>
      </c>
      <c r="D4065" s="138">
        <v>45812</v>
      </c>
      <c r="E4065" s="138" t="s">
        <v>937</v>
      </c>
    </row>
    <row r="4066" spans="1:5" ht="16.5">
      <c r="A4066" s="89" t="str">
        <f t="shared" si="63"/>
        <v>#26025</v>
      </c>
      <c r="B4066" s="138" t="s">
        <v>8411</v>
      </c>
      <c r="C4066" s="188" t="s">
        <v>1128</v>
      </c>
      <c r="D4066" s="138">
        <v>45812</v>
      </c>
      <c r="E4066" s="138" t="s">
        <v>752</v>
      </c>
    </row>
    <row r="4067" spans="1:5" ht="16.5">
      <c r="A4067" s="89" t="str">
        <f t="shared" si="63"/>
        <v>#26027</v>
      </c>
      <c r="B4067" s="138" t="s">
        <v>8412</v>
      </c>
      <c r="C4067" s="188" t="s">
        <v>8413</v>
      </c>
      <c r="D4067" s="138">
        <v>45812</v>
      </c>
      <c r="E4067" s="138" t="s">
        <v>1168</v>
      </c>
    </row>
    <row r="4068" spans="1:5" ht="16.5">
      <c r="A4068" s="89" t="str">
        <f t="shared" si="63"/>
        <v>#26028</v>
      </c>
      <c r="B4068" s="138" t="s">
        <v>8414</v>
      </c>
      <c r="C4068" s="188" t="s">
        <v>8415</v>
      </c>
      <c r="D4068" s="138">
        <v>45812</v>
      </c>
      <c r="E4068" s="138" t="s">
        <v>903</v>
      </c>
    </row>
    <row r="4069" spans="1:5" ht="16.5">
      <c r="A4069" s="89" t="str">
        <f t="shared" si="63"/>
        <v>#26032</v>
      </c>
      <c r="B4069" s="138" t="s">
        <v>8416</v>
      </c>
      <c r="C4069" s="188" t="s">
        <v>8417</v>
      </c>
      <c r="D4069" s="138">
        <v>45814</v>
      </c>
      <c r="E4069" s="138" t="s">
        <v>1188</v>
      </c>
    </row>
    <row r="4070" spans="1:5" ht="16.5">
      <c r="A4070" s="89" t="str">
        <f t="shared" si="63"/>
        <v>#26033</v>
      </c>
      <c r="B4070" s="138" t="s">
        <v>8418</v>
      </c>
      <c r="C4070" s="188" t="s">
        <v>8419</v>
      </c>
      <c r="D4070" s="138">
        <v>45814</v>
      </c>
      <c r="E4070" s="138" t="s">
        <v>1098</v>
      </c>
    </row>
    <row r="4071" spans="1:5" ht="16.5">
      <c r="A4071" s="89" t="str">
        <f t="shared" si="63"/>
        <v>#26034</v>
      </c>
      <c r="B4071" s="138" t="s">
        <v>8420</v>
      </c>
      <c r="C4071" s="188" t="s">
        <v>7733</v>
      </c>
      <c r="D4071" s="138">
        <v>45814</v>
      </c>
      <c r="E4071" s="138" t="s">
        <v>1098</v>
      </c>
    </row>
    <row r="4072" spans="1:5" ht="16.5">
      <c r="A4072" s="89" t="str">
        <f t="shared" si="63"/>
        <v>#26038</v>
      </c>
      <c r="B4072" s="138" t="s">
        <v>8421</v>
      </c>
      <c r="C4072" s="188" t="s">
        <v>4542</v>
      </c>
      <c r="D4072" s="138">
        <v>45814</v>
      </c>
      <c r="E4072" s="138" t="s">
        <v>1004</v>
      </c>
    </row>
    <row r="4073" spans="1:5" ht="15.75">
      <c r="A4073" s="89" t="str">
        <f t="shared" si="63"/>
        <v>#26040</v>
      </c>
      <c r="B4073" s="138" t="s">
        <v>8422</v>
      </c>
      <c r="C4073" s="140" t="s">
        <v>2949</v>
      </c>
      <c r="D4073" s="138">
        <v>45815</v>
      </c>
      <c r="E4073" s="138" t="s">
        <v>1004</v>
      </c>
    </row>
    <row r="4074" spans="1:5" ht="15.75">
      <c r="A4074" s="89" t="str">
        <f t="shared" si="63"/>
        <v>#26041</v>
      </c>
      <c r="B4074" s="171" t="s">
        <v>8396</v>
      </c>
      <c r="C4074" s="140" t="s">
        <v>8397</v>
      </c>
      <c r="D4074" s="138">
        <v>45817</v>
      </c>
      <c r="E4074" s="138" t="s">
        <v>1133</v>
      </c>
    </row>
    <row r="4075" spans="1:5" ht="16.5">
      <c r="A4075" s="89" t="str">
        <f t="shared" si="63"/>
        <v>#26042</v>
      </c>
      <c r="B4075" s="138" t="s">
        <v>8423</v>
      </c>
      <c r="C4075" s="145" t="s">
        <v>7118</v>
      </c>
      <c r="D4075" s="138">
        <v>45819</v>
      </c>
      <c r="E4075" s="138" t="s">
        <v>927</v>
      </c>
    </row>
    <row r="4076" spans="1:5" ht="16.5">
      <c r="A4076" s="89" t="str">
        <f t="shared" si="63"/>
        <v>#26043</v>
      </c>
      <c r="B4076" s="171" t="s">
        <v>8424</v>
      </c>
      <c r="C4076" s="145" t="s">
        <v>5397</v>
      </c>
      <c r="D4076" s="138">
        <v>45819</v>
      </c>
      <c r="E4076" s="138" t="s">
        <v>1113</v>
      </c>
    </row>
    <row r="4077" spans="1:5" ht="16.5">
      <c r="A4077" s="89" t="str">
        <f t="shared" si="63"/>
        <v>#26052</v>
      </c>
      <c r="B4077" s="138" t="s">
        <v>8425</v>
      </c>
      <c r="C4077" s="145" t="s">
        <v>8426</v>
      </c>
      <c r="D4077" s="138">
        <v>45819</v>
      </c>
      <c r="E4077" s="138" t="s">
        <v>1098</v>
      </c>
    </row>
    <row r="4078" spans="1:5" ht="33">
      <c r="A4078" s="89" t="str">
        <f t="shared" si="63"/>
        <v>#26054</v>
      </c>
      <c r="B4078" s="138" t="s">
        <v>8427</v>
      </c>
      <c r="C4078" s="145" t="s">
        <v>3728</v>
      </c>
      <c r="D4078" s="138">
        <v>45819</v>
      </c>
      <c r="E4078" s="138" t="s">
        <v>895</v>
      </c>
    </row>
    <row r="4079" spans="1:5" ht="16.5">
      <c r="A4079" s="89" t="str">
        <f t="shared" si="63"/>
        <v>#26055</v>
      </c>
      <c r="B4079" s="171" t="s">
        <v>8428</v>
      </c>
      <c r="C4079" s="145" t="s">
        <v>8429</v>
      </c>
      <c r="D4079" s="138">
        <v>45819</v>
      </c>
      <c r="E4079" s="138" t="s">
        <v>957</v>
      </c>
    </row>
    <row r="4080" spans="1:5" ht="16.5">
      <c r="A4080" s="89" t="str">
        <f t="shared" si="63"/>
        <v>#26057</v>
      </c>
      <c r="B4080" s="171" t="s">
        <v>8430</v>
      </c>
      <c r="C4080" s="145" t="s">
        <v>3668</v>
      </c>
      <c r="D4080" s="138">
        <v>45821</v>
      </c>
      <c r="E4080" s="138" t="s">
        <v>1113</v>
      </c>
    </row>
    <row r="4081" spans="1:5" ht="16.5">
      <c r="A4081" s="89" t="str">
        <f t="shared" si="63"/>
        <v>#26062</v>
      </c>
      <c r="B4081" s="138" t="s">
        <v>8431</v>
      </c>
      <c r="C4081" s="145" t="s">
        <v>8432</v>
      </c>
      <c r="D4081" s="138">
        <v>45821</v>
      </c>
      <c r="E4081" s="138" t="s">
        <v>924</v>
      </c>
    </row>
    <row r="4082" spans="1:5" ht="16.5">
      <c r="A4082" s="89" t="str">
        <f t="shared" si="63"/>
        <v>#26066</v>
      </c>
      <c r="B4082" s="138" t="s">
        <v>8433</v>
      </c>
      <c r="C4082" s="145" t="s">
        <v>8434</v>
      </c>
      <c r="D4082" s="138">
        <v>45821</v>
      </c>
      <c r="E4082" s="138" t="s">
        <v>906</v>
      </c>
    </row>
    <row r="4083" spans="1:5" ht="33">
      <c r="A4083" s="89" t="str">
        <f t="shared" si="63"/>
        <v>#26067</v>
      </c>
      <c r="B4083" s="138" t="s">
        <v>8435</v>
      </c>
      <c r="C4083" s="145" t="s">
        <v>8436</v>
      </c>
      <c r="D4083" s="138">
        <v>45824</v>
      </c>
      <c r="E4083" s="138" t="s">
        <v>1541</v>
      </c>
    </row>
    <row r="4084" spans="1:5" ht="16.5">
      <c r="A4084" s="89" t="str">
        <f t="shared" si="63"/>
        <v>#26071</v>
      </c>
      <c r="B4084" s="138" t="s">
        <v>8437</v>
      </c>
      <c r="C4084" s="145" t="s">
        <v>8438</v>
      </c>
      <c r="D4084" s="138">
        <v>45826</v>
      </c>
      <c r="E4084" s="138" t="s">
        <v>927</v>
      </c>
    </row>
    <row r="4085" spans="1:5" ht="16.5">
      <c r="A4085" s="89" t="str">
        <f t="shared" si="63"/>
        <v>#26080</v>
      </c>
      <c r="B4085" s="138" t="s">
        <v>8439</v>
      </c>
      <c r="C4085" s="145" t="s">
        <v>8440</v>
      </c>
      <c r="D4085" s="138">
        <v>45826</v>
      </c>
      <c r="E4085" s="138" t="s">
        <v>924</v>
      </c>
    </row>
    <row r="4086" spans="1:5" ht="16.5">
      <c r="A4086" s="89" t="str">
        <f t="shared" si="63"/>
        <v>#26081</v>
      </c>
      <c r="B4086" s="138" t="s">
        <v>8441</v>
      </c>
      <c r="C4086" s="145" t="s">
        <v>2112</v>
      </c>
      <c r="D4086" s="138">
        <v>45826</v>
      </c>
      <c r="E4086" s="138" t="s">
        <v>937</v>
      </c>
    </row>
    <row r="4087" spans="1:5" ht="16.5">
      <c r="A4087" s="89" t="str">
        <f t="shared" si="63"/>
        <v>#26083</v>
      </c>
      <c r="B4087" s="138" t="s">
        <v>8442</v>
      </c>
      <c r="C4087" s="145" t="s">
        <v>8443</v>
      </c>
      <c r="D4087" s="138">
        <v>45826</v>
      </c>
      <c r="E4087" s="138" t="s">
        <v>1098</v>
      </c>
    </row>
    <row r="4088" spans="1:5" ht="16.5">
      <c r="A4088" s="89" t="str">
        <f t="shared" si="63"/>
        <v>#26086</v>
      </c>
      <c r="B4088" s="138" t="s">
        <v>8444</v>
      </c>
      <c r="C4088" s="145" t="s">
        <v>4797</v>
      </c>
      <c r="D4088" s="138">
        <v>45826</v>
      </c>
      <c r="E4088" s="138" t="s">
        <v>796</v>
      </c>
    </row>
    <row r="4089" spans="1:5" ht="16.5">
      <c r="A4089" s="89" t="str">
        <f t="shared" si="63"/>
        <v>#26090</v>
      </c>
      <c r="B4089" s="138" t="s">
        <v>8445</v>
      </c>
      <c r="C4089" s="145" t="s">
        <v>8446</v>
      </c>
      <c r="D4089" s="138">
        <v>45828</v>
      </c>
      <c r="E4089" s="138" t="s">
        <v>1098</v>
      </c>
    </row>
    <row r="4090" spans="1:5" ht="16.5">
      <c r="A4090" s="89" t="str">
        <f t="shared" si="63"/>
        <v>#26092</v>
      </c>
      <c r="B4090" s="138" t="s">
        <v>8447</v>
      </c>
      <c r="C4090" s="145" t="s">
        <v>8448</v>
      </c>
      <c r="D4090" s="138">
        <v>45828</v>
      </c>
      <c r="E4090" s="138" t="s">
        <v>1004</v>
      </c>
    </row>
    <row r="4091" spans="1:5" ht="16.5">
      <c r="A4091" s="89" t="str">
        <f t="shared" si="63"/>
        <v>#26093</v>
      </c>
      <c r="B4091" s="138" t="s">
        <v>8449</v>
      </c>
      <c r="C4091" s="145" t="s">
        <v>8450</v>
      </c>
      <c r="D4091" s="138">
        <v>45828</v>
      </c>
      <c r="E4091" s="138" t="s">
        <v>1043</v>
      </c>
    </row>
    <row r="4092" spans="1:5" ht="16.5">
      <c r="A4092" s="89" t="str">
        <f t="shared" si="63"/>
        <v>#26095</v>
      </c>
      <c r="B4092" s="138" t="s">
        <v>8451</v>
      </c>
      <c r="C4092" s="145" t="s">
        <v>8452</v>
      </c>
      <c r="D4092" s="138">
        <v>45833</v>
      </c>
      <c r="E4092" s="138" t="s">
        <v>1188</v>
      </c>
    </row>
    <row r="4093" spans="1:5" ht="16.5">
      <c r="A4093" s="89" t="str">
        <f t="shared" si="63"/>
        <v>#26097</v>
      </c>
      <c r="B4093" s="138" t="s">
        <v>8453</v>
      </c>
      <c r="C4093" s="145" t="s">
        <v>2348</v>
      </c>
      <c r="D4093" s="138">
        <v>45833</v>
      </c>
      <c r="E4093" s="138" t="s">
        <v>927</v>
      </c>
    </row>
    <row r="4094" spans="1:5" ht="16.5">
      <c r="A4094" s="89" t="str">
        <f t="shared" si="63"/>
        <v>#26103</v>
      </c>
      <c r="B4094" s="138" t="s">
        <v>8454</v>
      </c>
      <c r="C4094" s="145" t="s">
        <v>8455</v>
      </c>
      <c r="D4094" s="138">
        <v>45833</v>
      </c>
      <c r="E4094" s="138" t="s">
        <v>1098</v>
      </c>
    </row>
    <row r="4095" spans="1:5" ht="16.5">
      <c r="A4095" s="89" t="str">
        <f t="shared" si="63"/>
        <v>#26107</v>
      </c>
      <c r="B4095" s="138" t="s">
        <v>8553</v>
      </c>
      <c r="C4095" s="145" t="s">
        <v>8456</v>
      </c>
      <c r="D4095" s="138">
        <v>45833</v>
      </c>
      <c r="E4095" s="138" t="s">
        <v>957</v>
      </c>
    </row>
    <row r="4096" spans="1:5" ht="16.5">
      <c r="A4096" s="89" t="str">
        <f t="shared" si="63"/>
        <v>#26112</v>
      </c>
      <c r="B4096" s="138" t="s">
        <v>8457</v>
      </c>
      <c r="C4096" s="145" t="s">
        <v>8458</v>
      </c>
      <c r="D4096" s="138">
        <v>45839</v>
      </c>
      <c r="E4096" s="138" t="s">
        <v>1098</v>
      </c>
    </row>
    <row r="4097" spans="1:5" ht="16.5">
      <c r="A4097" s="89" t="str">
        <f t="shared" si="63"/>
        <v>#26113</v>
      </c>
      <c r="B4097" s="138" t="s">
        <v>8459</v>
      </c>
      <c r="C4097" s="145" t="s">
        <v>8460</v>
      </c>
      <c r="D4097" s="138">
        <v>45839</v>
      </c>
      <c r="E4097" s="138" t="s">
        <v>1098</v>
      </c>
    </row>
    <row r="4098" spans="1:5" ht="16.5">
      <c r="A4098" s="89" t="str">
        <f t="shared" si="63"/>
        <v>#26117</v>
      </c>
      <c r="B4098" s="138" t="s">
        <v>8461</v>
      </c>
      <c r="C4098" s="145" t="s">
        <v>1846</v>
      </c>
      <c r="D4098" s="138">
        <v>45839</v>
      </c>
      <c r="E4098" s="138" t="s">
        <v>721</v>
      </c>
    </row>
    <row r="4099" spans="1:5" ht="16.5">
      <c r="A4099" s="89" t="str">
        <f t="shared" ref="A4099:A4162" si="64">"#"&amp;B4099</f>
        <v>#26118</v>
      </c>
      <c r="B4099" s="138" t="s">
        <v>8462</v>
      </c>
      <c r="C4099" s="145" t="s">
        <v>4425</v>
      </c>
      <c r="D4099" s="138">
        <v>45839</v>
      </c>
      <c r="E4099" s="138" t="s">
        <v>752</v>
      </c>
    </row>
    <row r="4100" spans="1:5" ht="16.5">
      <c r="A4100" s="89" t="str">
        <f t="shared" si="64"/>
        <v>#26120</v>
      </c>
      <c r="B4100" s="138" t="s">
        <v>8463</v>
      </c>
      <c r="C4100" s="145" t="s">
        <v>3197</v>
      </c>
      <c r="D4100" s="138">
        <v>45839</v>
      </c>
      <c r="E4100" s="138" t="s">
        <v>957</v>
      </c>
    </row>
    <row r="4101" spans="1:5" ht="16.5">
      <c r="A4101" s="89" t="str">
        <f t="shared" si="64"/>
        <v>#26122</v>
      </c>
      <c r="B4101" s="138" t="s">
        <v>8464</v>
      </c>
      <c r="C4101" s="145" t="s">
        <v>8465</v>
      </c>
      <c r="D4101" s="138">
        <v>45839</v>
      </c>
      <c r="E4101" s="138" t="s">
        <v>1043</v>
      </c>
    </row>
    <row r="4102" spans="1:5" ht="16.5">
      <c r="A4102" s="89" t="str">
        <f t="shared" si="64"/>
        <v>#26123</v>
      </c>
      <c r="B4102" s="138" t="s">
        <v>8466</v>
      </c>
      <c r="C4102" s="145" t="s">
        <v>8467</v>
      </c>
      <c r="D4102" s="138">
        <v>45839</v>
      </c>
      <c r="E4102" s="138" t="s">
        <v>903</v>
      </c>
    </row>
    <row r="4103" spans="1:5" ht="16.5">
      <c r="A4103" s="89" t="str">
        <f t="shared" si="64"/>
        <v>#26126</v>
      </c>
      <c r="B4103" s="138" t="s">
        <v>8468</v>
      </c>
      <c r="C4103" s="145" t="s">
        <v>8469</v>
      </c>
      <c r="D4103" s="138">
        <v>45841</v>
      </c>
      <c r="E4103" s="138" t="s">
        <v>1034</v>
      </c>
    </row>
    <row r="4104" spans="1:5" ht="16.5">
      <c r="A4104" s="89" t="str">
        <f t="shared" si="64"/>
        <v>#26127</v>
      </c>
      <c r="B4104" s="138" t="s">
        <v>8470</v>
      </c>
      <c r="C4104" s="145" t="s">
        <v>8471</v>
      </c>
      <c r="D4104" s="138">
        <v>45841</v>
      </c>
      <c r="E4104" s="138" t="s">
        <v>8037</v>
      </c>
    </row>
    <row r="4105" spans="1:5" ht="16.5">
      <c r="A4105" s="89" t="str">
        <f t="shared" si="64"/>
        <v>#26132</v>
      </c>
      <c r="B4105" s="138" t="s">
        <v>8472</v>
      </c>
      <c r="C4105" s="145" t="s">
        <v>8473</v>
      </c>
      <c r="D4105" s="138">
        <v>45845</v>
      </c>
      <c r="E4105" s="138" t="s">
        <v>1716</v>
      </c>
    </row>
    <row r="4106" spans="1:5" ht="16.5">
      <c r="A4106" s="89" t="str">
        <f t="shared" si="64"/>
        <v>#26136</v>
      </c>
      <c r="B4106" s="138" t="s">
        <v>8474</v>
      </c>
      <c r="C4106" s="145" t="s">
        <v>8475</v>
      </c>
      <c r="D4106" s="138">
        <v>45845</v>
      </c>
      <c r="E4106" s="138" t="s">
        <v>895</v>
      </c>
    </row>
    <row r="4107" spans="1:5" ht="16.5">
      <c r="A4107" s="89" t="str">
        <f t="shared" si="64"/>
        <v>#26137</v>
      </c>
      <c r="B4107" s="138" t="s">
        <v>8476</v>
      </c>
      <c r="C4107" s="145" t="s">
        <v>5698</v>
      </c>
      <c r="D4107" s="138">
        <v>45845</v>
      </c>
      <c r="E4107" s="138" t="s">
        <v>1043</v>
      </c>
    </row>
    <row r="4108" spans="1:5" ht="16.5">
      <c r="A4108" s="89" t="str">
        <f t="shared" si="64"/>
        <v>#26141</v>
      </c>
      <c r="B4108" s="138" t="s">
        <v>8477</v>
      </c>
      <c r="C4108" s="145" t="s">
        <v>8478</v>
      </c>
      <c r="D4108" s="138">
        <v>45847</v>
      </c>
      <c r="E4108" s="138" t="s">
        <v>890</v>
      </c>
    </row>
    <row r="4109" spans="1:5" ht="16.5">
      <c r="A4109" s="89" t="str">
        <f t="shared" si="64"/>
        <v>#26144</v>
      </c>
      <c r="B4109" s="138" t="s">
        <v>8479</v>
      </c>
      <c r="C4109" s="145" t="s">
        <v>8480</v>
      </c>
      <c r="D4109" s="138">
        <v>45847</v>
      </c>
      <c r="E4109" s="138" t="s">
        <v>895</v>
      </c>
    </row>
    <row r="4110" spans="1:5" ht="16.5">
      <c r="A4110" s="89" t="str">
        <f t="shared" si="64"/>
        <v>#26149</v>
      </c>
      <c r="B4110" s="138" t="s">
        <v>8481</v>
      </c>
      <c r="C4110" s="145" t="s">
        <v>8482</v>
      </c>
      <c r="D4110" s="138">
        <v>45847</v>
      </c>
      <c r="E4110" s="138" t="s">
        <v>903</v>
      </c>
    </row>
    <row r="4111" spans="1:5" ht="16.5">
      <c r="A4111" s="89" t="str">
        <f t="shared" si="64"/>
        <v>#26151</v>
      </c>
      <c r="B4111" s="138" t="s">
        <v>8487</v>
      </c>
      <c r="C4111" s="145" t="s">
        <v>8488</v>
      </c>
      <c r="D4111" s="138">
        <v>45849</v>
      </c>
      <c r="E4111" s="138" t="s">
        <v>8037</v>
      </c>
    </row>
    <row r="4112" spans="1:5" ht="16.5">
      <c r="A4112" s="89" t="str">
        <f t="shared" si="64"/>
        <v>#26152</v>
      </c>
      <c r="B4112" s="138" t="s">
        <v>8489</v>
      </c>
      <c r="C4112" s="145" t="s">
        <v>8490</v>
      </c>
      <c r="D4112" s="138">
        <v>45849</v>
      </c>
      <c r="E4112" s="138" t="s">
        <v>8037</v>
      </c>
    </row>
    <row r="4113" spans="1:5" ht="16.5">
      <c r="A4113" s="89" t="str">
        <f t="shared" si="64"/>
        <v>#26155</v>
      </c>
      <c r="B4113" s="138" t="s">
        <v>8491</v>
      </c>
      <c r="C4113" s="145" t="s">
        <v>8492</v>
      </c>
      <c r="D4113" s="138">
        <v>45849</v>
      </c>
      <c r="E4113" s="138" t="s">
        <v>1098</v>
      </c>
    </row>
    <row r="4114" spans="1:5" ht="16.5">
      <c r="A4114" s="89" t="str">
        <f t="shared" si="64"/>
        <v>#26156</v>
      </c>
      <c r="B4114" s="138" t="s">
        <v>8493</v>
      </c>
      <c r="C4114" s="145" t="s">
        <v>8483</v>
      </c>
      <c r="D4114" s="138">
        <v>45849</v>
      </c>
      <c r="E4114" s="138" t="s">
        <v>1191</v>
      </c>
    </row>
    <row r="4115" spans="1:5" ht="16.5">
      <c r="A4115" s="89" t="str">
        <f t="shared" si="64"/>
        <v>#26157</v>
      </c>
      <c r="B4115" s="138" t="s">
        <v>8496</v>
      </c>
      <c r="C4115" s="145" t="s">
        <v>8497</v>
      </c>
      <c r="D4115" s="138">
        <v>45852</v>
      </c>
      <c r="E4115" s="235" t="s">
        <v>8683</v>
      </c>
    </row>
    <row r="4116" spans="1:5" ht="15.75">
      <c r="A4116" s="89" t="str">
        <f t="shared" si="64"/>
        <v>#26158</v>
      </c>
      <c r="B4116" s="138" t="s">
        <v>8494</v>
      </c>
      <c r="C4116" s="140" t="s">
        <v>8495</v>
      </c>
      <c r="D4116" s="138">
        <v>45854</v>
      </c>
      <c r="E4116" s="138" t="s">
        <v>752</v>
      </c>
    </row>
    <row r="4117" spans="1:5" ht="33">
      <c r="A4117" s="89" t="str">
        <f t="shared" si="64"/>
        <v>#26166</v>
      </c>
      <c r="B4117" s="138" t="s">
        <v>8498</v>
      </c>
      <c r="C4117" s="145" t="s">
        <v>8499</v>
      </c>
      <c r="D4117" s="138">
        <v>45854</v>
      </c>
      <c r="E4117" s="138" t="s">
        <v>948</v>
      </c>
    </row>
    <row r="4118" spans="1:5" ht="15.75">
      <c r="A4118" s="89" t="str">
        <f t="shared" si="64"/>
        <v>#26172</v>
      </c>
      <c r="B4118" s="138" t="s">
        <v>8500</v>
      </c>
      <c r="C4118" s="140" t="s">
        <v>8501</v>
      </c>
      <c r="D4118" s="138">
        <v>45857</v>
      </c>
      <c r="E4118" s="138" t="s">
        <v>978</v>
      </c>
    </row>
    <row r="4119" spans="1:5" ht="16.5">
      <c r="A4119" s="89" t="str">
        <f t="shared" si="64"/>
        <v>#26183</v>
      </c>
      <c r="B4119" s="138" t="s">
        <v>8502</v>
      </c>
      <c r="C4119" s="145" t="s">
        <v>6286</v>
      </c>
      <c r="D4119" s="138">
        <v>45857</v>
      </c>
      <c r="E4119" s="138" t="s">
        <v>1541</v>
      </c>
    </row>
    <row r="4120" spans="1:5" ht="15.75">
      <c r="A4120" s="89" t="str">
        <f t="shared" si="64"/>
        <v>#26184</v>
      </c>
      <c r="B4120" s="138" t="s">
        <v>8503</v>
      </c>
      <c r="C4120" s="140" t="s">
        <v>8504</v>
      </c>
      <c r="D4120" s="138">
        <v>45857</v>
      </c>
      <c r="E4120" s="138" t="s">
        <v>957</v>
      </c>
    </row>
    <row r="4121" spans="1:5" ht="15.75">
      <c r="A4121" s="89" t="str">
        <f t="shared" si="64"/>
        <v>#26185</v>
      </c>
      <c r="B4121" s="138" t="s">
        <v>8505</v>
      </c>
      <c r="C4121" s="140" t="s">
        <v>998</v>
      </c>
      <c r="D4121" s="138">
        <v>45857</v>
      </c>
      <c r="E4121" s="138" t="s">
        <v>903</v>
      </c>
    </row>
    <row r="4122" spans="1:5" ht="15.75">
      <c r="A4122" s="89" t="str">
        <f t="shared" si="64"/>
        <v>#26188</v>
      </c>
      <c r="B4122" s="138" t="s">
        <v>8506</v>
      </c>
      <c r="C4122" s="140" t="s">
        <v>4665</v>
      </c>
      <c r="D4122" s="138">
        <v>45863</v>
      </c>
      <c r="E4122" s="138" t="s">
        <v>1034</v>
      </c>
    </row>
    <row r="4123" spans="1:5" ht="15.75">
      <c r="A4123" s="89" t="str">
        <f t="shared" si="64"/>
        <v>#26191</v>
      </c>
      <c r="B4123" s="138" t="s">
        <v>8507</v>
      </c>
      <c r="C4123" s="140" t="s">
        <v>1083</v>
      </c>
      <c r="D4123" s="138">
        <v>45863</v>
      </c>
      <c r="E4123" s="138" t="s">
        <v>721</v>
      </c>
    </row>
    <row r="4124" spans="1:5" ht="15.75">
      <c r="A4124" s="89" t="str">
        <f t="shared" si="64"/>
        <v>#26197</v>
      </c>
      <c r="B4124" s="138" t="s">
        <v>8508</v>
      </c>
      <c r="C4124" s="140" t="s">
        <v>8509</v>
      </c>
      <c r="D4124" s="138">
        <v>45868</v>
      </c>
      <c r="E4124" s="138" t="s">
        <v>985</v>
      </c>
    </row>
    <row r="4125" spans="1:5" ht="15.75">
      <c r="A4125" s="89" t="str">
        <f t="shared" si="64"/>
        <v>#26201</v>
      </c>
      <c r="B4125" s="138" t="s">
        <v>8510</v>
      </c>
      <c r="C4125" s="140" t="s">
        <v>8511</v>
      </c>
      <c r="D4125" s="138">
        <v>45868</v>
      </c>
      <c r="E4125" s="138" t="s">
        <v>978</v>
      </c>
    </row>
    <row r="4126" spans="1:5" ht="15.75">
      <c r="A4126" s="89" t="str">
        <f t="shared" si="64"/>
        <v>#26202</v>
      </c>
      <c r="B4126" s="138" t="s">
        <v>8512</v>
      </c>
      <c r="C4126" s="140" t="s">
        <v>8513</v>
      </c>
      <c r="D4126" s="138">
        <v>45868</v>
      </c>
      <c r="E4126" s="138" t="s">
        <v>924</v>
      </c>
    </row>
    <row r="4127" spans="1:5" ht="15.75">
      <c r="A4127" s="89" t="str">
        <f t="shared" si="64"/>
        <v>#26203</v>
      </c>
      <c r="B4127" s="138" t="s">
        <v>8514</v>
      </c>
      <c r="C4127" s="140" t="s">
        <v>8515</v>
      </c>
      <c r="D4127" s="138">
        <v>45868</v>
      </c>
      <c r="E4127" s="138" t="s">
        <v>1098</v>
      </c>
    </row>
    <row r="4128" spans="1:5" ht="15.75">
      <c r="A4128" s="89" t="str">
        <f t="shared" si="64"/>
        <v>#26204</v>
      </c>
      <c r="B4128" s="138" t="s">
        <v>8516</v>
      </c>
      <c r="C4128" s="140" t="s">
        <v>8517</v>
      </c>
      <c r="D4128" s="138">
        <v>45868</v>
      </c>
      <c r="E4128" s="138" t="s">
        <v>1541</v>
      </c>
    </row>
    <row r="4129" spans="1:5" ht="15.75">
      <c r="A4129" s="89" t="str">
        <f t="shared" si="64"/>
        <v>#26205</v>
      </c>
      <c r="B4129" s="138" t="s">
        <v>8518</v>
      </c>
      <c r="C4129" s="140" t="s">
        <v>8519</v>
      </c>
      <c r="D4129" s="138">
        <v>45868</v>
      </c>
      <c r="E4129" s="138" t="s">
        <v>895</v>
      </c>
    </row>
    <row r="4130" spans="1:5" ht="16.5">
      <c r="A4130" s="89" t="str">
        <f t="shared" si="64"/>
        <v>#26210</v>
      </c>
      <c r="B4130" s="138" t="s">
        <v>8520</v>
      </c>
      <c r="C4130" s="145" t="s">
        <v>8521</v>
      </c>
      <c r="D4130" s="138">
        <v>45870</v>
      </c>
      <c r="E4130" s="138" t="s">
        <v>1541</v>
      </c>
    </row>
    <row r="4131" spans="1:5" ht="16.5">
      <c r="A4131" s="89" t="str">
        <f t="shared" si="64"/>
        <v>#26211</v>
      </c>
      <c r="B4131" s="138" t="s">
        <v>8522</v>
      </c>
      <c r="C4131" s="145" t="s">
        <v>8523</v>
      </c>
      <c r="D4131" s="138">
        <v>45870</v>
      </c>
      <c r="E4131" s="138" t="s">
        <v>721</v>
      </c>
    </row>
    <row r="4132" spans="1:5" ht="15.75">
      <c r="A4132" s="89" t="str">
        <f t="shared" si="64"/>
        <v>#26213</v>
      </c>
      <c r="B4132" s="138" t="s">
        <v>8524</v>
      </c>
      <c r="C4132" s="140" t="s">
        <v>2248</v>
      </c>
      <c r="D4132" s="138">
        <v>45870</v>
      </c>
      <c r="E4132" s="138" t="s">
        <v>895</v>
      </c>
    </row>
    <row r="4133" spans="1:5" ht="15.75">
      <c r="A4133" s="89" t="str">
        <f t="shared" si="64"/>
        <v>#26216</v>
      </c>
      <c r="B4133" s="138" t="s">
        <v>8525</v>
      </c>
      <c r="C4133" s="140" t="s">
        <v>8526</v>
      </c>
      <c r="D4133" s="138">
        <v>45870</v>
      </c>
      <c r="E4133" s="138" t="s">
        <v>978</v>
      </c>
    </row>
    <row r="4134" spans="1:5" ht="15.75">
      <c r="A4134" s="89" t="str">
        <f t="shared" si="64"/>
        <v>#26220</v>
      </c>
      <c r="B4134" s="138" t="s">
        <v>8527</v>
      </c>
      <c r="C4134" s="140" t="s">
        <v>8528</v>
      </c>
      <c r="D4134" s="138">
        <v>45870</v>
      </c>
      <c r="E4134" s="138" t="s">
        <v>915</v>
      </c>
    </row>
    <row r="4135" spans="1:5" ht="15.75">
      <c r="A4135" s="89" t="str">
        <f t="shared" si="64"/>
        <v>#26223</v>
      </c>
      <c r="B4135" s="138" t="s">
        <v>8529</v>
      </c>
      <c r="C4135" s="140" t="s">
        <v>8530</v>
      </c>
      <c r="D4135" s="138">
        <v>45873</v>
      </c>
      <c r="E4135" s="138" t="s">
        <v>773</v>
      </c>
    </row>
    <row r="4136" spans="1:5" ht="15.75">
      <c r="A4136" s="89" t="str">
        <f t="shared" si="64"/>
        <v>#26230</v>
      </c>
      <c r="B4136" s="138" t="s">
        <v>8531</v>
      </c>
      <c r="C4136" s="140" t="s">
        <v>8532</v>
      </c>
      <c r="D4136" s="138">
        <v>45875</v>
      </c>
      <c r="E4136" s="138" t="s">
        <v>978</v>
      </c>
    </row>
    <row r="4137" spans="1:5" ht="15.75">
      <c r="A4137" s="89" t="str">
        <f t="shared" si="64"/>
        <v>#26233</v>
      </c>
      <c r="B4137" s="138" t="s">
        <v>8533</v>
      </c>
      <c r="C4137" s="140" t="s">
        <v>2371</v>
      </c>
      <c r="D4137" s="138">
        <v>45875</v>
      </c>
      <c r="E4137" s="138" t="s">
        <v>890</v>
      </c>
    </row>
    <row r="4138" spans="1:5" ht="15.75">
      <c r="A4138" s="89" t="str">
        <f t="shared" si="64"/>
        <v>#26234</v>
      </c>
      <c r="B4138" s="138" t="s">
        <v>8534</v>
      </c>
      <c r="C4138" s="140" t="s">
        <v>2772</v>
      </c>
      <c r="D4138" s="138">
        <v>45875</v>
      </c>
      <c r="E4138" s="138" t="s">
        <v>1098</v>
      </c>
    </row>
    <row r="4139" spans="1:5" ht="15.75">
      <c r="A4139" s="89" t="str">
        <f t="shared" si="64"/>
        <v>#26240</v>
      </c>
      <c r="B4139" s="138" t="s">
        <v>8535</v>
      </c>
      <c r="C4139" s="140" t="s">
        <v>8536</v>
      </c>
      <c r="D4139" s="138">
        <v>45875</v>
      </c>
      <c r="E4139" s="138" t="s">
        <v>915</v>
      </c>
    </row>
    <row r="4140" spans="1:5" ht="15.75">
      <c r="A4140" s="89" t="str">
        <f t="shared" si="64"/>
        <v>#26243</v>
      </c>
      <c r="B4140" s="138" t="s">
        <v>8554</v>
      </c>
      <c r="C4140" s="140" t="s">
        <v>4502</v>
      </c>
      <c r="D4140" s="138">
        <v>45877</v>
      </c>
      <c r="E4140" s="138" t="s">
        <v>985</v>
      </c>
    </row>
    <row r="4141" spans="1:5" ht="15.75">
      <c r="A4141" s="89" t="str">
        <f t="shared" si="64"/>
        <v>#26245</v>
      </c>
      <c r="B4141" s="138" t="s">
        <v>8555</v>
      </c>
      <c r="C4141" s="140" t="s">
        <v>8556</v>
      </c>
      <c r="D4141" s="138">
        <v>45877</v>
      </c>
      <c r="E4141" s="138" t="s">
        <v>978</v>
      </c>
    </row>
    <row r="4142" spans="1:5" ht="15.75">
      <c r="A4142" s="89" t="str">
        <f t="shared" si="64"/>
        <v>#26248</v>
      </c>
      <c r="B4142" s="138" t="s">
        <v>8557</v>
      </c>
      <c r="C4142" s="140" t="s">
        <v>5360</v>
      </c>
      <c r="D4142" s="138">
        <v>45877</v>
      </c>
      <c r="E4142" s="138" t="s">
        <v>937</v>
      </c>
    </row>
    <row r="4143" spans="1:5" ht="15.75">
      <c r="A4143" s="89" t="str">
        <f t="shared" si="64"/>
        <v>#26249</v>
      </c>
      <c r="B4143" s="138" t="s">
        <v>8558</v>
      </c>
      <c r="C4143" s="140" t="s">
        <v>8559</v>
      </c>
      <c r="D4143" s="138">
        <v>45877</v>
      </c>
      <c r="E4143" s="138" t="s">
        <v>1098</v>
      </c>
    </row>
    <row r="4144" spans="1:5" ht="15.75">
      <c r="A4144" s="89" t="str">
        <f t="shared" si="64"/>
        <v>#26251</v>
      </c>
      <c r="B4144" s="138" t="s">
        <v>8560</v>
      </c>
      <c r="C4144" s="140" t="s">
        <v>8285</v>
      </c>
      <c r="D4144" s="138">
        <v>45877</v>
      </c>
      <c r="E4144" s="138" t="s">
        <v>906</v>
      </c>
    </row>
    <row r="4145" spans="1:5" ht="15.75">
      <c r="A4145" s="89" t="str">
        <f t="shared" si="64"/>
        <v>#26253</v>
      </c>
      <c r="B4145" s="138" t="s">
        <v>8561</v>
      </c>
      <c r="C4145" s="140" t="s">
        <v>5560</v>
      </c>
      <c r="D4145" s="138">
        <v>45877</v>
      </c>
      <c r="E4145" s="138" t="s">
        <v>906</v>
      </c>
    </row>
    <row r="4146" spans="1:5" ht="15.75">
      <c r="A4146" s="89" t="str">
        <f t="shared" si="64"/>
        <v>#26254</v>
      </c>
      <c r="B4146" s="138" t="s">
        <v>8562</v>
      </c>
      <c r="C4146" s="140" t="s">
        <v>8563</v>
      </c>
      <c r="D4146" s="138">
        <v>45877</v>
      </c>
      <c r="E4146" s="138" t="s">
        <v>906</v>
      </c>
    </row>
    <row r="4147" spans="1:5" ht="15.75">
      <c r="A4147" s="89" t="str">
        <f t="shared" si="64"/>
        <v>#26261</v>
      </c>
      <c r="B4147" s="138" t="s">
        <v>8564</v>
      </c>
      <c r="C4147" s="140" t="s">
        <v>8565</v>
      </c>
      <c r="D4147" s="138">
        <v>45881</v>
      </c>
      <c r="E4147" s="138" t="s">
        <v>937</v>
      </c>
    </row>
    <row r="4148" spans="1:5" ht="15.75">
      <c r="A4148" s="89" t="str">
        <f t="shared" si="64"/>
        <v>#26264</v>
      </c>
      <c r="B4148" s="138" t="s">
        <v>8566</v>
      </c>
      <c r="C4148" s="140" t="s">
        <v>5558</v>
      </c>
      <c r="D4148" s="138">
        <v>45881</v>
      </c>
      <c r="E4148" s="138" t="s">
        <v>895</v>
      </c>
    </row>
    <row r="4149" spans="1:5" ht="15.75">
      <c r="A4149" s="89" t="str">
        <f t="shared" si="64"/>
        <v>#26265</v>
      </c>
      <c r="B4149" s="138" t="s">
        <v>8567</v>
      </c>
      <c r="C4149" s="140" t="s">
        <v>8568</v>
      </c>
      <c r="D4149" s="138">
        <v>45881</v>
      </c>
      <c r="E4149" s="138" t="s">
        <v>957</v>
      </c>
    </row>
    <row r="4150" spans="1:5" ht="15.75">
      <c r="A4150" s="89" t="str">
        <f t="shared" si="64"/>
        <v>#26266</v>
      </c>
      <c r="B4150" s="138" t="s">
        <v>8569</v>
      </c>
      <c r="C4150" s="140" t="s">
        <v>8570</v>
      </c>
      <c r="D4150" s="138">
        <v>45881</v>
      </c>
      <c r="E4150" s="241" t="s">
        <v>1098</v>
      </c>
    </row>
    <row r="4151" spans="1:5" ht="16.5">
      <c r="A4151" s="89" t="str">
        <f t="shared" si="64"/>
        <v>#26268</v>
      </c>
      <c r="B4151" s="138" t="s">
        <v>8571</v>
      </c>
      <c r="C4151" s="145" t="s">
        <v>8572</v>
      </c>
      <c r="D4151" s="138">
        <v>45884</v>
      </c>
      <c r="E4151" s="138" t="s">
        <v>8037</v>
      </c>
    </row>
    <row r="4152" spans="1:5" ht="16.5">
      <c r="A4152" s="89" t="str">
        <f t="shared" si="64"/>
        <v>#26271</v>
      </c>
      <c r="B4152" s="138" t="s">
        <v>8573</v>
      </c>
      <c r="C4152" s="145" t="s">
        <v>8574</v>
      </c>
      <c r="D4152" s="138">
        <v>45884</v>
      </c>
      <c r="E4152" s="138" t="s">
        <v>978</v>
      </c>
    </row>
    <row r="4153" spans="1:5" ht="16.5">
      <c r="A4153" s="89" t="str">
        <f t="shared" si="64"/>
        <v>#26272</v>
      </c>
      <c r="B4153" s="138" t="s">
        <v>8575</v>
      </c>
      <c r="C4153" s="145" t="s">
        <v>8576</v>
      </c>
      <c r="D4153" s="138">
        <v>45884</v>
      </c>
      <c r="E4153" s="138" t="s">
        <v>890</v>
      </c>
    </row>
    <row r="4154" spans="1:5" ht="16.5">
      <c r="A4154" s="89" t="str">
        <f t="shared" si="64"/>
        <v>#26277</v>
      </c>
      <c r="B4154" s="138" t="s">
        <v>8577</v>
      </c>
      <c r="C4154" s="145" t="s">
        <v>5751</v>
      </c>
      <c r="D4154" s="138">
        <v>45884</v>
      </c>
      <c r="E4154" s="138" t="s">
        <v>792</v>
      </c>
    </row>
    <row r="4155" spans="1:5" ht="16.5">
      <c r="A4155" s="89" t="str">
        <f t="shared" si="64"/>
        <v>#26278</v>
      </c>
      <c r="B4155" s="138" t="s">
        <v>8578</v>
      </c>
      <c r="C4155" s="145" t="s">
        <v>7458</v>
      </c>
      <c r="D4155" s="138">
        <v>45884</v>
      </c>
      <c r="E4155" s="138" t="s">
        <v>895</v>
      </c>
    </row>
    <row r="4156" spans="1:5" ht="16.5">
      <c r="A4156" s="89" t="str">
        <f t="shared" si="64"/>
        <v>#26279</v>
      </c>
      <c r="B4156" s="138" t="s">
        <v>8579</v>
      </c>
      <c r="C4156" s="145" t="s">
        <v>8580</v>
      </c>
      <c r="D4156" s="138">
        <v>45889</v>
      </c>
      <c r="E4156" s="138" t="s">
        <v>1034</v>
      </c>
    </row>
    <row r="4157" spans="1:5" ht="16.5">
      <c r="A4157" s="89" t="str">
        <f t="shared" si="64"/>
        <v>#26285</v>
      </c>
      <c r="B4157" s="138" t="s">
        <v>8581</v>
      </c>
      <c r="C4157" s="145" t="s">
        <v>8582</v>
      </c>
      <c r="D4157" s="138">
        <v>45889</v>
      </c>
      <c r="E4157" s="138" t="s">
        <v>1541</v>
      </c>
    </row>
    <row r="4158" spans="1:5" ht="16.5">
      <c r="A4158" s="89" t="str">
        <f t="shared" si="64"/>
        <v>#26286</v>
      </c>
      <c r="B4158" s="138" t="s">
        <v>8583</v>
      </c>
      <c r="C4158" s="145" t="s">
        <v>8584</v>
      </c>
      <c r="D4158" s="138">
        <v>45889</v>
      </c>
      <c r="E4158" s="138" t="s">
        <v>895</v>
      </c>
    </row>
    <row r="4159" spans="1:5" ht="16.5">
      <c r="A4159" s="89" t="str">
        <f t="shared" si="64"/>
        <v>#26293</v>
      </c>
      <c r="B4159" s="138" t="s">
        <v>8585</v>
      </c>
      <c r="C4159" s="145" t="s">
        <v>2792</v>
      </c>
      <c r="D4159" s="138">
        <v>45891</v>
      </c>
      <c r="E4159" s="138" t="s">
        <v>985</v>
      </c>
    </row>
    <row r="4160" spans="1:5" ht="16.5">
      <c r="A4160" s="89" t="str">
        <f t="shared" si="64"/>
        <v>#26294</v>
      </c>
      <c r="B4160" s="138" t="s">
        <v>8586</v>
      </c>
      <c r="C4160" s="145" t="s">
        <v>2369</v>
      </c>
      <c r="D4160" s="138">
        <v>45891</v>
      </c>
      <c r="E4160" s="138" t="s">
        <v>937</v>
      </c>
    </row>
    <row r="4161" spans="1:5" ht="16.5">
      <c r="A4161" s="89" t="str">
        <f t="shared" si="64"/>
        <v>#26299</v>
      </c>
      <c r="B4161" s="203" t="s">
        <v>8587</v>
      </c>
      <c r="C4161" s="145" t="s">
        <v>2815</v>
      </c>
      <c r="D4161" s="138">
        <v>45904</v>
      </c>
      <c r="E4161" s="145" t="s">
        <v>985</v>
      </c>
    </row>
    <row r="4162" spans="1:5" ht="16.5">
      <c r="A4162" s="89" t="str">
        <f t="shared" si="64"/>
        <v>#26300</v>
      </c>
      <c r="B4162" s="138" t="s">
        <v>8588</v>
      </c>
      <c r="C4162" s="145" t="s">
        <v>1767</v>
      </c>
      <c r="D4162" s="138">
        <v>45904</v>
      </c>
      <c r="E4162" s="257" t="s">
        <v>978</v>
      </c>
    </row>
    <row r="4163" spans="1:5" ht="16.5">
      <c r="A4163" s="89" t="str">
        <f t="shared" ref="A4163:A4226" si="65">"#"&amp;B4163</f>
        <v>#26301</v>
      </c>
      <c r="B4163" s="203" t="s">
        <v>8589</v>
      </c>
      <c r="C4163" s="145" t="s">
        <v>5918</v>
      </c>
      <c r="D4163" s="138">
        <v>45904</v>
      </c>
      <c r="E4163" s="257" t="s">
        <v>937</v>
      </c>
    </row>
    <row r="4164" spans="1:5" ht="16.5">
      <c r="A4164" s="89" t="str">
        <f t="shared" si="65"/>
        <v>#26302</v>
      </c>
      <c r="B4164" s="138" t="s">
        <v>8590</v>
      </c>
      <c r="C4164" s="145" t="s">
        <v>8591</v>
      </c>
      <c r="D4164" s="138">
        <v>45904</v>
      </c>
      <c r="E4164" s="145" t="s">
        <v>937</v>
      </c>
    </row>
    <row r="4165" spans="1:5" ht="16.5">
      <c r="A4165" s="89" t="str">
        <f t="shared" si="65"/>
        <v>#26303</v>
      </c>
      <c r="B4165" s="203" t="s">
        <v>8592</v>
      </c>
      <c r="C4165" s="145" t="s">
        <v>8593</v>
      </c>
      <c r="D4165" s="138">
        <v>45904</v>
      </c>
      <c r="E4165" s="145" t="s">
        <v>915</v>
      </c>
    </row>
    <row r="4166" spans="1:5" ht="16.5">
      <c r="A4166" s="89" t="str">
        <f t="shared" si="65"/>
        <v>#26306</v>
      </c>
      <c r="B4166" s="203" t="s">
        <v>8594</v>
      </c>
      <c r="C4166" s="145" t="s">
        <v>7376</v>
      </c>
      <c r="D4166" s="138">
        <v>45904</v>
      </c>
      <c r="E4166" s="145" t="s">
        <v>1004</v>
      </c>
    </row>
    <row r="4167" spans="1:5" ht="16.5">
      <c r="A4167" s="89" t="str">
        <f t="shared" si="65"/>
        <v>#26307</v>
      </c>
      <c r="B4167" s="138" t="s">
        <v>8595</v>
      </c>
      <c r="C4167" s="145" t="s">
        <v>8544</v>
      </c>
      <c r="D4167" s="138">
        <v>45904</v>
      </c>
      <c r="E4167" s="145" t="s">
        <v>1004</v>
      </c>
    </row>
    <row r="4168" spans="1:5" ht="16.5">
      <c r="A4168" s="89" t="str">
        <f t="shared" si="65"/>
        <v>#26308</v>
      </c>
      <c r="B4168" s="203" t="s">
        <v>8596</v>
      </c>
      <c r="C4168" s="145" t="s">
        <v>8597</v>
      </c>
      <c r="D4168" s="138">
        <v>45904</v>
      </c>
      <c r="E4168" s="145" t="s">
        <v>1541</v>
      </c>
    </row>
    <row r="4169" spans="1:5" ht="16.5">
      <c r="A4169" s="89" t="str">
        <f t="shared" si="65"/>
        <v>#26309</v>
      </c>
      <c r="B4169" s="203" t="s">
        <v>8598</v>
      </c>
      <c r="C4169" s="145" t="s">
        <v>8599</v>
      </c>
      <c r="D4169" s="138">
        <v>45904</v>
      </c>
      <c r="E4169" s="145" t="s">
        <v>752</v>
      </c>
    </row>
    <row r="4170" spans="1:5" ht="16.5">
      <c r="A4170" s="89" t="str">
        <f t="shared" si="65"/>
        <v>#26310</v>
      </c>
      <c r="B4170" s="138" t="s">
        <v>8600</v>
      </c>
      <c r="C4170" s="145" t="s">
        <v>8601</v>
      </c>
      <c r="D4170" s="138">
        <v>45904</v>
      </c>
      <c r="E4170" s="145" t="s">
        <v>1043</v>
      </c>
    </row>
    <row r="4171" spans="1:5" ht="16.5">
      <c r="A4171" s="89" t="str">
        <f t="shared" si="65"/>
        <v>#26315</v>
      </c>
      <c r="B4171" s="203" t="s">
        <v>8602</v>
      </c>
      <c r="C4171" s="145" t="s">
        <v>8603</v>
      </c>
      <c r="D4171" s="138">
        <v>45906</v>
      </c>
      <c r="E4171" s="145" t="s">
        <v>773</v>
      </c>
    </row>
    <row r="4172" spans="1:5" ht="16.5">
      <c r="A4172" s="89" t="str">
        <f t="shared" si="65"/>
        <v>#26316</v>
      </c>
      <c r="B4172" s="203" t="s">
        <v>8604</v>
      </c>
      <c r="C4172" s="145" t="s">
        <v>8605</v>
      </c>
      <c r="D4172" s="138">
        <v>45906</v>
      </c>
      <c r="E4172" s="145" t="s">
        <v>1043</v>
      </c>
    </row>
    <row r="4173" spans="1:5" ht="18.75">
      <c r="A4173" s="89" t="str">
        <f t="shared" si="65"/>
        <v>#26320</v>
      </c>
      <c r="B4173" s="203" t="s">
        <v>8606</v>
      </c>
      <c r="C4173" s="145" t="s">
        <v>8607</v>
      </c>
      <c r="D4173" s="138">
        <v>45910</v>
      </c>
      <c r="E4173" s="206" t="s">
        <v>8037</v>
      </c>
    </row>
    <row r="4174" spans="1:5" ht="16.5">
      <c r="A4174" s="89" t="str">
        <f t="shared" si="65"/>
        <v>#26328</v>
      </c>
      <c r="B4174" s="203" t="s">
        <v>8608</v>
      </c>
      <c r="C4174" s="145" t="s">
        <v>8609</v>
      </c>
      <c r="D4174" s="138">
        <v>45910</v>
      </c>
      <c r="E4174" s="138" t="s">
        <v>895</v>
      </c>
    </row>
    <row r="4175" spans="1:5" ht="16.5">
      <c r="A4175" s="89" t="str">
        <f t="shared" si="65"/>
        <v>#26329</v>
      </c>
      <c r="B4175" s="203" t="s">
        <v>8610</v>
      </c>
      <c r="C4175" s="145" t="s">
        <v>8611</v>
      </c>
      <c r="D4175" s="138">
        <v>45910</v>
      </c>
      <c r="E4175" s="145" t="s">
        <v>915</v>
      </c>
    </row>
    <row r="4176" spans="1:5" ht="16.5">
      <c r="A4176" s="89" t="str">
        <f t="shared" si="65"/>
        <v>#26330</v>
      </c>
      <c r="B4176" s="203" t="s">
        <v>8612</v>
      </c>
      <c r="C4176" s="145" t="s">
        <v>1765</v>
      </c>
      <c r="D4176" s="138">
        <v>45910</v>
      </c>
      <c r="E4176" s="145" t="s">
        <v>721</v>
      </c>
    </row>
    <row r="4177" spans="1:5" ht="16.5">
      <c r="A4177" s="89" t="str">
        <f t="shared" si="65"/>
        <v>#26332</v>
      </c>
      <c r="B4177" s="203" t="s">
        <v>8613</v>
      </c>
      <c r="C4177" s="145" t="s">
        <v>8616</v>
      </c>
      <c r="D4177" s="138">
        <v>45912</v>
      </c>
      <c r="E4177" s="145" t="s">
        <v>1034</v>
      </c>
    </row>
    <row r="4178" spans="1:5" ht="16.5">
      <c r="A4178" s="89" t="str">
        <f t="shared" si="65"/>
        <v>#26337</v>
      </c>
      <c r="B4178" s="203" t="s">
        <v>8614</v>
      </c>
      <c r="C4178" s="145" t="s">
        <v>8615</v>
      </c>
      <c r="D4178" s="138">
        <v>45912</v>
      </c>
      <c r="E4178" s="145" t="s">
        <v>752</v>
      </c>
    </row>
    <row r="4179" spans="1:5" ht="16.5">
      <c r="A4179" s="89" t="str">
        <f t="shared" si="65"/>
        <v>#26341</v>
      </c>
      <c r="B4179" s="203" t="s">
        <v>8617</v>
      </c>
      <c r="C4179" s="145" t="s">
        <v>3374</v>
      </c>
      <c r="D4179" s="138">
        <v>45917</v>
      </c>
      <c r="E4179" s="145" t="s">
        <v>1043</v>
      </c>
    </row>
    <row r="4180" spans="1:5" ht="18.75">
      <c r="A4180" s="89" t="str">
        <f t="shared" si="65"/>
        <v>#26342</v>
      </c>
      <c r="B4180" s="203" t="s">
        <v>8618</v>
      </c>
      <c r="C4180" s="145" t="s">
        <v>8619</v>
      </c>
      <c r="D4180" s="138">
        <v>45917</v>
      </c>
      <c r="E4180" s="206" t="s">
        <v>1188</v>
      </c>
    </row>
    <row r="4181" spans="1:5" ht="16.5">
      <c r="A4181" s="89" t="str">
        <f t="shared" si="65"/>
        <v>#26343</v>
      </c>
      <c r="B4181" s="203" t="s">
        <v>8620</v>
      </c>
      <c r="C4181" s="145" t="s">
        <v>2146</v>
      </c>
      <c r="D4181" s="138">
        <v>45917</v>
      </c>
      <c r="E4181" s="145" t="s">
        <v>1085</v>
      </c>
    </row>
    <row r="4182" spans="1:5" ht="16.5">
      <c r="A4182" s="89" t="str">
        <f t="shared" si="65"/>
        <v>#26344</v>
      </c>
      <c r="B4182" s="203" t="s">
        <v>8621</v>
      </c>
      <c r="C4182" s="145" t="s">
        <v>8622</v>
      </c>
      <c r="D4182" s="138">
        <v>45917</v>
      </c>
      <c r="E4182" s="138" t="s">
        <v>1675</v>
      </c>
    </row>
    <row r="4183" spans="1:5" ht="16.5">
      <c r="A4183" s="89" t="str">
        <f t="shared" si="65"/>
        <v>#26345</v>
      </c>
      <c r="B4183" s="203" t="s">
        <v>8623</v>
      </c>
      <c r="C4183" s="145" t="s">
        <v>8624</v>
      </c>
      <c r="D4183" s="138">
        <v>45917</v>
      </c>
      <c r="E4183" s="235" t="s">
        <v>8683</v>
      </c>
    </row>
    <row r="4184" spans="1:5" ht="16.5">
      <c r="A4184" s="89" t="str">
        <f t="shared" si="65"/>
        <v>#26348</v>
      </c>
      <c r="B4184" s="203" t="s">
        <v>8625</v>
      </c>
      <c r="C4184" s="145" t="s">
        <v>8626</v>
      </c>
      <c r="D4184" s="138">
        <v>45919</v>
      </c>
      <c r="E4184" s="145" t="s">
        <v>978</v>
      </c>
    </row>
    <row r="4185" spans="1:5" ht="16.5">
      <c r="A4185" s="89" t="str">
        <f t="shared" si="65"/>
        <v>#26349</v>
      </c>
      <c r="B4185" s="203" t="s">
        <v>8627</v>
      </c>
      <c r="C4185" s="145" t="s">
        <v>8628</v>
      </c>
      <c r="D4185" s="138">
        <v>45919</v>
      </c>
      <c r="E4185" s="145" t="s">
        <v>1541</v>
      </c>
    </row>
    <row r="4186" spans="1:5" ht="16.5">
      <c r="A4186" s="89" t="str">
        <f t="shared" si="65"/>
        <v>#26352</v>
      </c>
      <c r="B4186" s="203" t="s">
        <v>8629</v>
      </c>
      <c r="C4186" s="145" t="s">
        <v>1983</v>
      </c>
      <c r="D4186" s="138">
        <v>45924</v>
      </c>
      <c r="E4186" s="145" t="s">
        <v>1113</v>
      </c>
    </row>
    <row r="4187" spans="1:5" ht="16.5">
      <c r="A4187" s="89" t="str">
        <f t="shared" si="65"/>
        <v>#26354</v>
      </c>
      <c r="B4187" s="203" t="s">
        <v>8630</v>
      </c>
      <c r="C4187" s="258" t="s">
        <v>2647</v>
      </c>
      <c r="D4187" s="138">
        <v>45934</v>
      </c>
      <c r="E4187" s="145" t="s">
        <v>978</v>
      </c>
    </row>
    <row r="4188" spans="1:5" ht="16.5">
      <c r="A4188" s="89" t="str">
        <f t="shared" si="65"/>
        <v>#26355</v>
      </c>
      <c r="B4188" s="203" t="s">
        <v>8631</v>
      </c>
      <c r="C4188" s="258" t="s">
        <v>8632</v>
      </c>
      <c r="D4188" s="138">
        <v>45934</v>
      </c>
      <c r="E4188" s="145" t="s">
        <v>978</v>
      </c>
    </row>
    <row r="4189" spans="1:5" ht="16.5">
      <c r="A4189" s="89" t="str">
        <f t="shared" si="65"/>
        <v>#26357</v>
      </c>
      <c r="B4189" s="203" t="s">
        <v>8633</v>
      </c>
      <c r="C4189" s="258" t="s">
        <v>8634</v>
      </c>
      <c r="D4189" s="138">
        <v>45934</v>
      </c>
      <c r="E4189" s="145" t="s">
        <v>937</v>
      </c>
    </row>
    <row r="4190" spans="1:5" ht="16.5">
      <c r="A4190" s="89" t="str">
        <f t="shared" si="65"/>
        <v>#26358</v>
      </c>
      <c r="B4190" s="203" t="s">
        <v>8635</v>
      </c>
      <c r="C4190" s="258" t="s">
        <v>7398</v>
      </c>
      <c r="D4190" s="138">
        <v>45934</v>
      </c>
      <c r="E4190" s="145" t="s">
        <v>1541</v>
      </c>
    </row>
    <row r="4191" spans="1:5" ht="15.75">
      <c r="A4191" s="89" t="str">
        <f t="shared" si="65"/>
        <v>#26360</v>
      </c>
      <c r="B4191" s="203" t="s">
        <v>8684</v>
      </c>
      <c r="C4191" s="140" t="s">
        <v>8685</v>
      </c>
      <c r="D4191" s="138">
        <v>45938</v>
      </c>
      <c r="E4191" s="259" t="s">
        <v>937</v>
      </c>
    </row>
    <row r="4192" spans="1:5" ht="16.5">
      <c r="A4192" s="89" t="str">
        <f t="shared" si="65"/>
        <v>#26363</v>
      </c>
      <c r="B4192" s="203" t="s">
        <v>8686</v>
      </c>
      <c r="C4192" s="145" t="s">
        <v>8687</v>
      </c>
      <c r="D4192" s="138">
        <v>45939</v>
      </c>
      <c r="E4192" s="145" t="s">
        <v>1029</v>
      </c>
    </row>
    <row r="4193" spans="1:5" ht="16.5">
      <c r="A4193" s="89" t="str">
        <f t="shared" si="65"/>
        <v>#26364</v>
      </c>
      <c r="B4193" s="203" t="s">
        <v>8688</v>
      </c>
      <c r="C4193" s="145" t="s">
        <v>8689</v>
      </c>
      <c r="D4193" s="138">
        <v>45940</v>
      </c>
      <c r="E4193" s="145" t="s">
        <v>1034</v>
      </c>
    </row>
    <row r="4194" spans="1:5" ht="16.5">
      <c r="A4194" s="89" t="str">
        <f t="shared" si="65"/>
        <v>#26365</v>
      </c>
      <c r="B4194" s="203" t="s">
        <v>8690</v>
      </c>
      <c r="C4194" s="145" t="s">
        <v>8691</v>
      </c>
      <c r="D4194" s="138">
        <v>45940</v>
      </c>
      <c r="E4194" s="145" t="s">
        <v>978</v>
      </c>
    </row>
    <row r="4195" spans="1:5" ht="16.5">
      <c r="A4195" s="89" t="str">
        <f t="shared" si="65"/>
        <v>#26366</v>
      </c>
      <c r="B4195" s="203" t="s">
        <v>8692</v>
      </c>
      <c r="C4195" s="145" t="s">
        <v>8693</v>
      </c>
      <c r="D4195" s="138">
        <v>45940</v>
      </c>
      <c r="E4195" s="145" t="s">
        <v>978</v>
      </c>
    </row>
    <row r="4196" spans="1:5" ht="16.5">
      <c r="A4196" s="89" t="str">
        <f t="shared" si="65"/>
        <v>#26367</v>
      </c>
      <c r="B4196" s="203" t="s">
        <v>8694</v>
      </c>
      <c r="C4196" s="145" t="s">
        <v>8695</v>
      </c>
      <c r="D4196" s="138">
        <v>45940</v>
      </c>
      <c r="E4196" s="145" t="s">
        <v>1541</v>
      </c>
    </row>
    <row r="4197" spans="1:5" ht="16.5">
      <c r="A4197" s="89" t="str">
        <f t="shared" si="65"/>
        <v>#26368</v>
      </c>
      <c r="B4197" s="203" t="s">
        <v>8641</v>
      </c>
      <c r="C4197" s="145" t="s">
        <v>8640</v>
      </c>
      <c r="D4197" s="138">
        <v>45940</v>
      </c>
      <c r="E4197" s="145" t="s">
        <v>1541</v>
      </c>
    </row>
    <row r="4198" spans="1:5" ht="16.5">
      <c r="A4198" s="89" t="str">
        <f t="shared" si="65"/>
        <v>#26370</v>
      </c>
      <c r="B4198" s="203" t="s">
        <v>8696</v>
      </c>
      <c r="C4198" s="145" t="s">
        <v>8697</v>
      </c>
      <c r="D4198" s="138">
        <v>45945</v>
      </c>
      <c r="E4198" s="145" t="s">
        <v>985</v>
      </c>
    </row>
    <row r="4199" spans="1:5" ht="16.5">
      <c r="A4199" s="89" t="str">
        <f t="shared" si="65"/>
        <v>#26371</v>
      </c>
      <c r="B4199" s="203" t="s">
        <v>8698</v>
      </c>
      <c r="C4199" s="145" t="s">
        <v>8699</v>
      </c>
      <c r="D4199" s="138">
        <v>45945</v>
      </c>
      <c r="E4199" s="145" t="s">
        <v>985</v>
      </c>
    </row>
    <row r="4200" spans="1:5" ht="16.5">
      <c r="A4200" s="89" t="str">
        <f t="shared" si="65"/>
        <v>#26372</v>
      </c>
      <c r="B4200" s="203" t="s">
        <v>8700</v>
      </c>
      <c r="C4200" s="145" t="s">
        <v>8701</v>
      </c>
      <c r="D4200" s="138">
        <v>45945</v>
      </c>
      <c r="E4200" s="145" t="s">
        <v>985</v>
      </c>
    </row>
    <row r="4201" spans="1:5" ht="16.5">
      <c r="A4201" s="89" t="str">
        <f t="shared" si="65"/>
        <v>#26374</v>
      </c>
      <c r="B4201" s="203" t="s">
        <v>8702</v>
      </c>
      <c r="C4201" s="145" t="s">
        <v>1131</v>
      </c>
      <c r="D4201" s="138">
        <v>45945</v>
      </c>
      <c r="E4201" s="145" t="s">
        <v>1034</v>
      </c>
    </row>
    <row r="4202" spans="1:5" ht="16.5">
      <c r="A4202" s="89" t="str">
        <f t="shared" si="65"/>
        <v>#26379</v>
      </c>
      <c r="B4202" s="203" t="s">
        <v>8703</v>
      </c>
      <c r="C4202" s="145" t="s">
        <v>8704</v>
      </c>
      <c r="D4202" s="138">
        <v>45945</v>
      </c>
      <c r="E4202" s="145" t="s">
        <v>1541</v>
      </c>
    </row>
    <row r="4203" spans="1:5" ht="16.5">
      <c r="A4203" s="89" t="str">
        <f t="shared" si="65"/>
        <v>#26384</v>
      </c>
      <c r="B4203" s="203" t="s">
        <v>8705</v>
      </c>
      <c r="C4203" s="145" t="s">
        <v>8706</v>
      </c>
      <c r="D4203" s="138">
        <v>45947</v>
      </c>
      <c r="E4203" s="145" t="s">
        <v>978</v>
      </c>
    </row>
    <row r="4204" spans="1:5" ht="16.5">
      <c r="A4204" s="89" t="str">
        <f t="shared" si="65"/>
        <v>#26388</v>
      </c>
      <c r="B4204" s="203" t="s">
        <v>8707</v>
      </c>
      <c r="C4204" s="145" t="s">
        <v>8708</v>
      </c>
      <c r="D4204" s="138">
        <v>45950</v>
      </c>
      <c r="E4204" s="145" t="s">
        <v>1034</v>
      </c>
    </row>
    <row r="4205" spans="1:5" ht="16.5">
      <c r="A4205" s="89" t="str">
        <f t="shared" si="65"/>
        <v>#26390</v>
      </c>
      <c r="B4205" s="203" t="s">
        <v>8709</v>
      </c>
      <c r="C4205" s="140" t="s">
        <v>8710</v>
      </c>
      <c r="D4205" s="138">
        <v>45954</v>
      </c>
      <c r="E4205" s="145" t="s">
        <v>978</v>
      </c>
    </row>
    <row r="4206" spans="1:5" ht="16.5">
      <c r="A4206" s="89" t="str">
        <f t="shared" si="65"/>
        <v>#26391</v>
      </c>
      <c r="B4206" s="203" t="s">
        <v>8711</v>
      </c>
      <c r="C4206" s="140" t="s">
        <v>8712</v>
      </c>
      <c r="D4206" s="138">
        <v>45954</v>
      </c>
      <c r="E4206" s="145" t="s">
        <v>890</v>
      </c>
    </row>
    <row r="4207" spans="1:5" ht="16.5">
      <c r="A4207" s="89" t="str">
        <f t="shared" si="65"/>
        <v>#26393</v>
      </c>
      <c r="B4207" s="203" t="s">
        <v>8713</v>
      </c>
      <c r="C4207" s="140" t="s">
        <v>8714</v>
      </c>
      <c r="D4207" s="138">
        <v>45959</v>
      </c>
      <c r="E4207" s="145" t="s">
        <v>1133</v>
      </c>
    </row>
    <row r="4208" spans="1:5" ht="16.5">
      <c r="A4208" s="89" t="str">
        <f t="shared" si="65"/>
        <v>#26396</v>
      </c>
      <c r="B4208" s="203" t="s">
        <v>8715</v>
      </c>
      <c r="C4208" s="140" t="s">
        <v>8716</v>
      </c>
      <c r="D4208" s="138">
        <v>45959</v>
      </c>
      <c r="E4208" s="145" t="s">
        <v>890</v>
      </c>
    </row>
    <row r="4209" spans="1:5" ht="16.5">
      <c r="A4209" s="89" t="str">
        <f t="shared" si="65"/>
        <v>#26397</v>
      </c>
      <c r="B4209" s="203" t="s">
        <v>8717</v>
      </c>
      <c r="C4209" s="140" t="s">
        <v>8718</v>
      </c>
      <c r="D4209" s="138">
        <v>45959</v>
      </c>
      <c r="E4209" s="145" t="s">
        <v>937</v>
      </c>
    </row>
    <row r="4210" spans="1:5" ht="15.75">
      <c r="A4210" s="89" t="str">
        <f t="shared" si="65"/>
        <v>#26398</v>
      </c>
      <c r="B4210" s="203" t="s">
        <v>8719</v>
      </c>
      <c r="C4210" s="140" t="s">
        <v>8720</v>
      </c>
      <c r="D4210" s="138">
        <v>45959</v>
      </c>
      <c r="E4210" s="138" t="s">
        <v>895</v>
      </c>
    </row>
    <row r="4211" spans="1:5" ht="16.5">
      <c r="A4211" s="89" t="str">
        <f t="shared" si="65"/>
        <v>#26400</v>
      </c>
      <c r="B4211" s="203" t="s">
        <v>8721</v>
      </c>
      <c r="C4211" s="145" t="s">
        <v>4855</v>
      </c>
      <c r="D4211" s="138">
        <v>45962</v>
      </c>
      <c r="E4211" s="145" t="s">
        <v>1034</v>
      </c>
    </row>
    <row r="4212" spans="1:5" ht="16.5">
      <c r="A4212" s="89" t="str">
        <f t="shared" si="65"/>
        <v>#26401</v>
      </c>
      <c r="B4212" s="203" t="s">
        <v>8722</v>
      </c>
      <c r="C4212" s="145" t="s">
        <v>8723</v>
      </c>
      <c r="D4212" s="138">
        <v>45962</v>
      </c>
      <c r="E4212" s="145" t="s">
        <v>985</v>
      </c>
    </row>
    <row r="4213" spans="1:5" ht="16.5">
      <c r="A4213" s="89" t="str">
        <f t="shared" si="65"/>
        <v>#26402</v>
      </c>
      <c r="B4213" s="203" t="s">
        <v>8724</v>
      </c>
      <c r="C4213" s="145" t="s">
        <v>8725</v>
      </c>
      <c r="D4213" s="138">
        <v>45962</v>
      </c>
      <c r="E4213" s="145" t="s">
        <v>1034</v>
      </c>
    </row>
    <row r="4214" spans="1:5" ht="16.5">
      <c r="A4214" s="89" t="str">
        <f t="shared" si="65"/>
        <v>#26403</v>
      </c>
      <c r="B4214" s="203" t="s">
        <v>8726</v>
      </c>
      <c r="C4214" s="145" t="s">
        <v>8727</v>
      </c>
      <c r="D4214" s="138">
        <v>45962</v>
      </c>
      <c r="E4214" s="145" t="s">
        <v>1098</v>
      </c>
    </row>
    <row r="4215" spans="1:5" ht="16.5">
      <c r="A4215" s="89" t="str">
        <f t="shared" si="65"/>
        <v>#26404</v>
      </c>
      <c r="B4215" s="203" t="s">
        <v>8728</v>
      </c>
      <c r="C4215" s="145" t="s">
        <v>8729</v>
      </c>
      <c r="D4215" s="138">
        <v>45962</v>
      </c>
      <c r="E4215" s="145" t="s">
        <v>937</v>
      </c>
    </row>
    <row r="4216" spans="1:5" ht="16.5">
      <c r="A4216" s="89" t="str">
        <f t="shared" si="65"/>
        <v>#26405</v>
      </c>
      <c r="B4216" s="203" t="s">
        <v>8730</v>
      </c>
      <c r="C4216" s="145" t="s">
        <v>3039</v>
      </c>
      <c r="D4216" s="138">
        <v>45965</v>
      </c>
      <c r="E4216" s="145" t="s">
        <v>1029</v>
      </c>
    </row>
    <row r="4217" spans="1:5" ht="16.5">
      <c r="A4217" s="89" t="str">
        <f t="shared" si="65"/>
        <v>#26406</v>
      </c>
      <c r="B4217" s="203" t="s">
        <v>8731</v>
      </c>
      <c r="C4217" s="145" t="s">
        <v>8732</v>
      </c>
      <c r="D4217" s="138">
        <v>45966</v>
      </c>
      <c r="E4217" s="145" t="s">
        <v>985</v>
      </c>
    </row>
    <row r="4218" spans="1:5" ht="16.5">
      <c r="A4218" s="89" t="str">
        <f t="shared" si="65"/>
        <v>#26408</v>
      </c>
      <c r="B4218" s="203" t="s">
        <v>8733</v>
      </c>
      <c r="C4218" s="145" t="s">
        <v>8734</v>
      </c>
      <c r="D4218" s="138">
        <v>45966</v>
      </c>
      <c r="E4218" s="145" t="s">
        <v>985</v>
      </c>
    </row>
    <row r="4219" spans="1:5" ht="16.5">
      <c r="A4219" s="89" t="str">
        <f t="shared" si="65"/>
        <v>#26410</v>
      </c>
      <c r="B4219" s="203" t="s">
        <v>8735</v>
      </c>
      <c r="C4219" s="145" t="s">
        <v>1526</v>
      </c>
      <c r="D4219" s="138">
        <v>45966</v>
      </c>
      <c r="E4219" s="145" t="s">
        <v>1034</v>
      </c>
    </row>
    <row r="4220" spans="1:5" ht="16.5">
      <c r="A4220" s="89" t="str">
        <f t="shared" si="65"/>
        <v>#26411</v>
      </c>
      <c r="B4220" s="203" t="s">
        <v>8736</v>
      </c>
      <c r="C4220" s="145" t="s">
        <v>2231</v>
      </c>
      <c r="D4220" s="138">
        <v>45966</v>
      </c>
      <c r="E4220" s="145" t="s">
        <v>978</v>
      </c>
    </row>
    <row r="4221" spans="1:5" ht="16.5">
      <c r="A4221" s="89" t="str">
        <f t="shared" si="65"/>
        <v>#26412</v>
      </c>
      <c r="B4221" s="203" t="s">
        <v>8737</v>
      </c>
      <c r="C4221" s="145" t="s">
        <v>6043</v>
      </c>
      <c r="D4221" s="138">
        <v>45966</v>
      </c>
      <c r="E4221" s="145" t="s">
        <v>937</v>
      </c>
    </row>
    <row r="4222" spans="1:5" ht="16.5">
      <c r="A4222" s="89" t="str">
        <f t="shared" si="65"/>
        <v>#26415</v>
      </c>
      <c r="B4222" s="203" t="s">
        <v>8738</v>
      </c>
      <c r="C4222" s="145" t="s">
        <v>8678</v>
      </c>
      <c r="D4222" s="138">
        <v>45966</v>
      </c>
      <c r="E4222" s="145" t="s">
        <v>743</v>
      </c>
    </row>
    <row r="4223" spans="1:5" ht="16.5">
      <c r="A4223" s="89" t="str">
        <f t="shared" si="65"/>
        <v>#26416</v>
      </c>
      <c r="B4223" s="203" t="s">
        <v>8739</v>
      </c>
      <c r="C4223" s="145" t="s">
        <v>8740</v>
      </c>
      <c r="D4223" s="138">
        <v>45968</v>
      </c>
      <c r="E4223" s="145" t="s">
        <v>937</v>
      </c>
    </row>
    <row r="4224" spans="1:5" ht="16.5">
      <c r="A4224" s="89" t="str">
        <f t="shared" si="65"/>
        <v>#26418</v>
      </c>
      <c r="B4224" s="203" t="s">
        <v>8741</v>
      </c>
      <c r="C4224" s="145" t="s">
        <v>8742</v>
      </c>
      <c r="D4224" s="138">
        <v>45968</v>
      </c>
      <c r="E4224" s="145" t="s">
        <v>1098</v>
      </c>
    </row>
    <row r="4225" spans="1:5" ht="16.5">
      <c r="A4225" s="89" t="str">
        <f t="shared" si="65"/>
        <v>#26419</v>
      </c>
      <c r="B4225" s="203" t="s">
        <v>8743</v>
      </c>
      <c r="C4225" s="145" t="s">
        <v>6017</v>
      </c>
      <c r="D4225" s="138">
        <v>45968</v>
      </c>
      <c r="E4225" s="145" t="s">
        <v>915</v>
      </c>
    </row>
    <row r="4226" spans="1:5" ht="16.5">
      <c r="A4226" s="89" t="str">
        <f t="shared" si="65"/>
        <v>#26421</v>
      </c>
      <c r="B4226" s="203" t="s">
        <v>8744</v>
      </c>
      <c r="C4226" s="145" t="s">
        <v>8745</v>
      </c>
      <c r="D4226" s="138">
        <v>45968</v>
      </c>
      <c r="E4226" s="138" t="s">
        <v>895</v>
      </c>
    </row>
    <row r="4227" spans="1:5" ht="16.5">
      <c r="A4227" s="89" t="str">
        <f t="shared" ref="A4227:A4259" si="66">"#"&amp;B4227</f>
        <v>#26423</v>
      </c>
      <c r="B4227" s="203" t="s">
        <v>8746</v>
      </c>
      <c r="C4227" s="145" t="s">
        <v>5276</v>
      </c>
      <c r="D4227" s="138">
        <v>45973</v>
      </c>
      <c r="E4227" s="145" t="s">
        <v>1188</v>
      </c>
    </row>
    <row r="4228" spans="1:5" ht="16.5">
      <c r="A4228" s="89" t="str">
        <f t="shared" si="66"/>
        <v>#26424</v>
      </c>
      <c r="B4228" s="203" t="s">
        <v>8747</v>
      </c>
      <c r="C4228" s="145" t="s">
        <v>8748</v>
      </c>
      <c r="D4228" s="138">
        <v>45973</v>
      </c>
      <c r="E4228" s="145" t="s">
        <v>1188</v>
      </c>
    </row>
    <row r="4229" spans="1:5" ht="16.5">
      <c r="A4229" s="89" t="str">
        <f t="shared" si="66"/>
        <v>#26425</v>
      </c>
      <c r="B4229" s="203" t="s">
        <v>8749</v>
      </c>
      <c r="C4229" s="145" t="s">
        <v>8750</v>
      </c>
      <c r="D4229" s="138">
        <v>45973</v>
      </c>
      <c r="E4229" s="145" t="s">
        <v>1034</v>
      </c>
    </row>
    <row r="4230" spans="1:5" ht="16.5">
      <c r="A4230" s="89" t="str">
        <f t="shared" si="66"/>
        <v>#26426</v>
      </c>
      <c r="B4230" s="203" t="s">
        <v>8751</v>
      </c>
      <c r="C4230" s="145" t="s">
        <v>8752</v>
      </c>
      <c r="D4230" s="138">
        <v>45973</v>
      </c>
      <c r="E4230" s="145" t="s">
        <v>1133</v>
      </c>
    </row>
    <row r="4231" spans="1:5" ht="16.5">
      <c r="A4231" s="89" t="str">
        <f t="shared" si="66"/>
        <v>#26427</v>
      </c>
      <c r="B4231" s="203" t="s">
        <v>8753</v>
      </c>
      <c r="C4231" s="145" t="s">
        <v>8754</v>
      </c>
      <c r="D4231" s="138">
        <v>45973</v>
      </c>
      <c r="E4231" s="145" t="s">
        <v>721</v>
      </c>
    </row>
    <row r="4232" spans="1:5" ht="16.5">
      <c r="A4232" s="89" t="str">
        <f t="shared" si="66"/>
        <v>#26431</v>
      </c>
      <c r="B4232" s="203" t="s">
        <v>8755</v>
      </c>
      <c r="C4232" s="145" t="s">
        <v>8756</v>
      </c>
      <c r="D4232" s="138">
        <v>45976</v>
      </c>
      <c r="E4232" s="145" t="s">
        <v>937</v>
      </c>
    </row>
    <row r="4233" spans="1:5" ht="16.5">
      <c r="A4233" s="89" t="str">
        <f t="shared" si="66"/>
        <v>#26433</v>
      </c>
      <c r="B4233" s="203" t="s">
        <v>8757</v>
      </c>
      <c r="C4233" s="145" t="s">
        <v>8758</v>
      </c>
      <c r="D4233" s="138">
        <v>45976</v>
      </c>
      <c r="E4233" s="145" t="s">
        <v>1098</v>
      </c>
    </row>
    <row r="4234" spans="1:5" ht="16.5">
      <c r="A4234" s="89" t="str">
        <f t="shared" si="66"/>
        <v>#26434</v>
      </c>
      <c r="B4234" s="203" t="s">
        <v>8759</v>
      </c>
      <c r="C4234" s="145" t="s">
        <v>2734</v>
      </c>
      <c r="D4234" s="138">
        <v>45978</v>
      </c>
      <c r="E4234" s="145" t="s">
        <v>978</v>
      </c>
    </row>
    <row r="4235" spans="1:5" ht="16.5">
      <c r="A4235" s="89" t="str">
        <f t="shared" si="66"/>
        <v>#26435</v>
      </c>
      <c r="B4235" s="203" t="s">
        <v>8760</v>
      </c>
      <c r="C4235" s="145" t="s">
        <v>8761</v>
      </c>
      <c r="D4235" s="138">
        <v>45980</v>
      </c>
      <c r="E4235" s="145" t="s">
        <v>1133</v>
      </c>
    </row>
    <row r="4236" spans="1:5" ht="16.5">
      <c r="A4236" s="89" t="str">
        <f t="shared" si="66"/>
        <v>#26436</v>
      </c>
      <c r="B4236" s="203" t="s">
        <v>8762</v>
      </c>
      <c r="C4236" s="145" t="s">
        <v>8763</v>
      </c>
      <c r="D4236" s="138">
        <v>45980</v>
      </c>
      <c r="E4236" s="145" t="s">
        <v>937</v>
      </c>
    </row>
    <row r="4237" spans="1:5" ht="16.5">
      <c r="A4237" s="89" t="str">
        <f t="shared" si="66"/>
        <v>#26437</v>
      </c>
      <c r="B4237" s="203" t="s">
        <v>8764</v>
      </c>
      <c r="C4237" s="145" t="s">
        <v>4656</v>
      </c>
      <c r="D4237" s="138">
        <v>45980</v>
      </c>
      <c r="E4237" s="145" t="s">
        <v>1034</v>
      </c>
    </row>
    <row r="4238" spans="1:5" ht="16.5">
      <c r="A4238" s="89" t="str">
        <f t="shared" si="66"/>
        <v>#26438</v>
      </c>
      <c r="B4238" s="203" t="s">
        <v>8765</v>
      </c>
      <c r="C4238" s="145" t="s">
        <v>8766</v>
      </c>
      <c r="D4238" s="138">
        <v>45980</v>
      </c>
      <c r="E4238" s="145" t="s">
        <v>1043</v>
      </c>
    </row>
    <row r="4239" spans="1:5" ht="16.5">
      <c r="A4239" s="89" t="str">
        <f t="shared" si="66"/>
        <v>#26439</v>
      </c>
      <c r="B4239" s="203" t="s">
        <v>8767</v>
      </c>
      <c r="C4239" s="145" t="s">
        <v>8768</v>
      </c>
      <c r="D4239" s="138">
        <v>45985</v>
      </c>
      <c r="E4239" s="145" t="s">
        <v>937</v>
      </c>
    </row>
    <row r="4240" spans="1:5" ht="16.5">
      <c r="A4240" s="89" t="str">
        <f t="shared" si="66"/>
        <v>#26440</v>
      </c>
      <c r="B4240" s="203" t="s">
        <v>8769</v>
      </c>
      <c r="C4240" s="145" t="s">
        <v>8770</v>
      </c>
      <c r="D4240" s="138">
        <v>45987</v>
      </c>
      <c r="E4240" s="145" t="s">
        <v>937</v>
      </c>
    </row>
    <row r="4241" spans="1:5" ht="16.5">
      <c r="A4241" s="89" t="str">
        <f t="shared" si="66"/>
        <v>#26442</v>
      </c>
      <c r="B4241" s="203" t="s">
        <v>8771</v>
      </c>
      <c r="C4241" s="145" t="s">
        <v>2168</v>
      </c>
      <c r="D4241" s="138">
        <v>45987</v>
      </c>
      <c r="E4241" s="145" t="s">
        <v>1133</v>
      </c>
    </row>
    <row r="4242" spans="1:5" ht="16.5">
      <c r="A4242" s="89" t="str">
        <f t="shared" si="66"/>
        <v>#26444</v>
      </c>
      <c r="B4242" s="203" t="s">
        <v>8772</v>
      </c>
      <c r="C4242" s="145" t="s">
        <v>8773</v>
      </c>
      <c r="D4242" s="138">
        <v>45987</v>
      </c>
      <c r="E4242" s="145" t="s">
        <v>985</v>
      </c>
    </row>
    <row r="4243" spans="1:5" ht="16.5">
      <c r="A4243" s="89" t="str">
        <f t="shared" si="66"/>
        <v>#26445</v>
      </c>
      <c r="B4243" s="203" t="s">
        <v>8774</v>
      </c>
      <c r="C4243" s="145" t="s">
        <v>8775</v>
      </c>
      <c r="D4243" s="138">
        <v>45987</v>
      </c>
      <c r="E4243" s="145" t="s">
        <v>948</v>
      </c>
    </row>
    <row r="4244" spans="1:5" ht="16.5">
      <c r="A4244" s="89" t="str">
        <f t="shared" si="66"/>
        <v>#26446</v>
      </c>
      <c r="B4244" s="203" t="s">
        <v>8776</v>
      </c>
      <c r="C4244" s="145" t="s">
        <v>8777</v>
      </c>
      <c r="D4244" s="138">
        <v>45987</v>
      </c>
      <c r="E4244" s="145" t="s">
        <v>1098</v>
      </c>
    </row>
    <row r="4245" spans="1:5" ht="16.5">
      <c r="A4245" s="89" t="str">
        <f t="shared" si="66"/>
        <v>#26447</v>
      </c>
      <c r="B4245" s="203" t="s">
        <v>8778</v>
      </c>
      <c r="C4245" s="145" t="s">
        <v>8779</v>
      </c>
      <c r="D4245" s="138">
        <v>45987</v>
      </c>
      <c r="E4245" s="145" t="s">
        <v>1034</v>
      </c>
    </row>
    <row r="4246" spans="1:5" ht="16.5">
      <c r="A4246" s="89" t="str">
        <f t="shared" si="66"/>
        <v>#26448</v>
      </c>
      <c r="B4246" s="203" t="s">
        <v>8780</v>
      </c>
      <c r="C4246" s="145" t="s">
        <v>2549</v>
      </c>
      <c r="D4246" s="138">
        <v>45990</v>
      </c>
      <c r="E4246" s="145" t="s">
        <v>985</v>
      </c>
    </row>
    <row r="4247" spans="1:5" ht="16.5">
      <c r="A4247" s="89" t="str">
        <f t="shared" si="66"/>
        <v>#26449</v>
      </c>
      <c r="B4247" s="203" t="s">
        <v>8781</v>
      </c>
      <c r="C4247" s="145" t="s">
        <v>8782</v>
      </c>
      <c r="D4247" s="138">
        <v>45990</v>
      </c>
      <c r="E4247" s="145" t="s">
        <v>927</v>
      </c>
    </row>
    <row r="4248" spans="1:5" ht="16.5">
      <c r="A4248" s="89" t="str">
        <f t="shared" si="66"/>
        <v>#26450</v>
      </c>
      <c r="B4248" s="203" t="s">
        <v>8783</v>
      </c>
      <c r="C4248" s="145" t="s">
        <v>8784</v>
      </c>
      <c r="D4248" s="138">
        <v>45990</v>
      </c>
      <c r="E4248" s="145" t="s">
        <v>948</v>
      </c>
    </row>
    <row r="4249" spans="1:5" ht="16.5">
      <c r="A4249" s="89" t="str">
        <f t="shared" si="66"/>
        <v>#26451</v>
      </c>
      <c r="B4249" s="203" t="s">
        <v>8785</v>
      </c>
      <c r="C4249" s="145" t="s">
        <v>2528</v>
      </c>
      <c r="D4249" s="138">
        <v>45990</v>
      </c>
      <c r="E4249" s="145" t="s">
        <v>978</v>
      </c>
    </row>
    <row r="4250" spans="1:5" ht="16.5">
      <c r="A4250" s="89" t="str">
        <f t="shared" si="66"/>
        <v>#26452</v>
      </c>
      <c r="B4250" s="203" t="s">
        <v>8786</v>
      </c>
      <c r="C4250" s="145" t="s">
        <v>8787</v>
      </c>
      <c r="D4250" s="138">
        <v>45990</v>
      </c>
      <c r="E4250" s="145" t="s">
        <v>1085</v>
      </c>
    </row>
    <row r="4251" spans="1:5" ht="16.5">
      <c r="A4251" s="89" t="str">
        <f t="shared" si="66"/>
        <v>#26453</v>
      </c>
      <c r="B4251" s="203" t="s">
        <v>8788</v>
      </c>
      <c r="C4251" s="145" t="s">
        <v>8789</v>
      </c>
      <c r="D4251" s="138">
        <v>45990</v>
      </c>
      <c r="E4251" s="145" t="s">
        <v>1098</v>
      </c>
    </row>
    <row r="4252" spans="1:5" ht="16.5">
      <c r="A4252" s="89" t="str">
        <f t="shared" si="66"/>
        <v>#26454</v>
      </c>
      <c r="B4252" s="203" t="s">
        <v>8790</v>
      </c>
      <c r="C4252" s="145" t="s">
        <v>2045</v>
      </c>
      <c r="D4252" s="138">
        <v>45990</v>
      </c>
      <c r="E4252" s="145" t="s">
        <v>1098</v>
      </c>
    </row>
    <row r="4253" spans="1:5" ht="16.5">
      <c r="A4253" s="89" t="str">
        <f t="shared" si="66"/>
        <v>#26455</v>
      </c>
      <c r="B4253" s="203" t="s">
        <v>8791</v>
      </c>
      <c r="C4253" s="145" t="s">
        <v>8792</v>
      </c>
      <c r="D4253" s="138">
        <v>45990</v>
      </c>
      <c r="E4253" s="145" t="s">
        <v>1098</v>
      </c>
    </row>
    <row r="4254" spans="1:5" ht="16.5">
      <c r="A4254" s="89" t="str">
        <f t="shared" si="66"/>
        <v>#25963</v>
      </c>
      <c r="B4254" s="203" t="s">
        <v>8354</v>
      </c>
      <c r="C4254" s="145" t="s">
        <v>7647</v>
      </c>
      <c r="D4254" s="138">
        <v>45793</v>
      </c>
      <c r="E4254" s="145" t="s">
        <v>1098</v>
      </c>
    </row>
    <row r="4255" spans="1:5" ht="16.5">
      <c r="A4255" s="89" t="str">
        <f t="shared" si="66"/>
        <v>#26457</v>
      </c>
      <c r="B4255" s="203" t="s">
        <v>8793</v>
      </c>
      <c r="C4255" s="145" t="s">
        <v>8794</v>
      </c>
      <c r="D4255" s="138">
        <v>45994</v>
      </c>
      <c r="E4255" s="260" t="s">
        <v>1034</v>
      </c>
    </row>
    <row r="4256" spans="1:5" ht="16.5">
      <c r="A4256" s="89" t="str">
        <f t="shared" si="66"/>
        <v>#26458</v>
      </c>
      <c r="B4256" s="203" t="s">
        <v>8795</v>
      </c>
      <c r="C4256" s="145" t="s">
        <v>8796</v>
      </c>
      <c r="D4256" s="138">
        <v>45994</v>
      </c>
      <c r="E4256" s="260" t="s">
        <v>927</v>
      </c>
    </row>
    <row r="4257" spans="1:5" ht="33">
      <c r="A4257" s="89" t="str">
        <f t="shared" si="66"/>
        <v>#26459</v>
      </c>
      <c r="B4257" s="203" t="s">
        <v>8797</v>
      </c>
      <c r="C4257" s="145" t="s">
        <v>8798</v>
      </c>
      <c r="D4257" s="138">
        <v>45994</v>
      </c>
      <c r="E4257" s="260" t="s">
        <v>978</v>
      </c>
    </row>
    <row r="4258" spans="1:5" ht="16.5">
      <c r="A4258" s="89" t="str">
        <f t="shared" si="66"/>
        <v>#26460</v>
      </c>
      <c r="B4258" s="203" t="s">
        <v>8799</v>
      </c>
      <c r="C4258" s="145" t="s">
        <v>8800</v>
      </c>
      <c r="D4258" s="138">
        <v>45994</v>
      </c>
      <c r="E4258" s="260" t="s">
        <v>890</v>
      </c>
    </row>
    <row r="4259" spans="1:5" ht="16.5">
      <c r="A4259" s="89" t="str">
        <f t="shared" si="66"/>
        <v>#26461</v>
      </c>
      <c r="B4259" s="203" t="s">
        <v>8801</v>
      </c>
      <c r="C4259" s="145" t="s">
        <v>7394</v>
      </c>
      <c r="D4259" s="138">
        <v>45994</v>
      </c>
      <c r="E4259" s="260" t="s">
        <v>937</v>
      </c>
    </row>
    <row r="4260" spans="1:5">
      <c r="A4260" s="89" t="s">
        <v>8803</v>
      </c>
      <c r="B4260" s="266">
        <v>26471</v>
      </c>
      <c r="C4260" s="268" t="s">
        <v>8804</v>
      </c>
      <c r="D4260" s="267"/>
      <c r="E4260" s="267" t="s">
        <v>1191</v>
      </c>
    </row>
  </sheetData>
  <autoFilter ref="A1:D4384" xr:uid="{00000000-0009-0000-0000-000003000000}"/>
  <phoneticPr fontId="26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A9488-7FAA-4211-B4B0-A7EA9AB8D4BF}">
  <dimension ref="A1:N797"/>
  <sheetViews>
    <sheetView topLeftCell="G746" workbookViewId="0">
      <selection activeCell="G761" sqref="G761"/>
    </sheetView>
  </sheetViews>
  <sheetFormatPr defaultColWidth="8.85546875" defaultRowHeight="15"/>
  <cols>
    <col min="1" max="1" width="10.28515625" style="382" customWidth="1"/>
    <col min="2" max="2" width="11.140625" style="383" customWidth="1"/>
    <col min="3" max="4" width="16.7109375" style="319" customWidth="1"/>
    <col min="5" max="5" width="16.7109375" style="384" customWidth="1"/>
    <col min="6" max="6" width="27.28515625" style="319" customWidth="1"/>
    <col min="7" max="7" width="14.28515625" style="336" customWidth="1"/>
    <col min="8" max="8" width="19.42578125" style="336" customWidth="1"/>
    <col min="9" max="9" width="14.28515625" style="336" customWidth="1"/>
    <col min="10" max="10" width="18.7109375" style="336" customWidth="1"/>
    <col min="11" max="11" width="13.5703125" style="385" customWidth="1"/>
    <col min="12" max="12" width="14.7109375" style="386" customWidth="1"/>
    <col min="13" max="13" width="14.28515625" style="386" customWidth="1"/>
    <col min="14" max="16384" width="8.85546875" style="319"/>
  </cols>
  <sheetData>
    <row r="1" spans="1:14" ht="15.75">
      <c r="A1" s="412" t="s">
        <v>8815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</row>
    <row r="2" spans="1:14" ht="15.75">
      <c r="A2" s="320" t="s">
        <v>58</v>
      </c>
      <c r="B2" s="321" t="s">
        <v>8816</v>
      </c>
      <c r="C2" s="322" t="s">
        <v>8817</v>
      </c>
      <c r="D2" s="322" t="s">
        <v>10089</v>
      </c>
      <c r="E2" s="323" t="s">
        <v>10090</v>
      </c>
      <c r="F2" s="322" t="s">
        <v>8818</v>
      </c>
      <c r="G2" s="324" t="s">
        <v>61</v>
      </c>
      <c r="H2" s="325" t="s">
        <v>8819</v>
      </c>
      <c r="I2" s="325" t="s">
        <v>8820</v>
      </c>
      <c r="J2" s="325" t="s">
        <v>8821</v>
      </c>
      <c r="K2" s="322" t="s">
        <v>64</v>
      </c>
      <c r="L2" s="326" t="s">
        <v>8822</v>
      </c>
      <c r="M2" s="327" t="s">
        <v>820</v>
      </c>
      <c r="N2" s="328" t="s">
        <v>8813</v>
      </c>
    </row>
    <row r="3" spans="1:14" ht="15.75">
      <c r="A3" s="329">
        <v>1</v>
      </c>
      <c r="B3" s="330">
        <v>1</v>
      </c>
      <c r="C3" s="331" t="s">
        <v>8823</v>
      </c>
      <c r="D3" s="331" t="str">
        <f t="shared" ref="D3:D66" si="0">CONCATENATE("#",E3)</f>
        <v>#03441</v>
      </c>
      <c r="E3" s="332" t="s">
        <v>2221</v>
      </c>
      <c r="F3" s="331" t="s">
        <v>2220</v>
      </c>
      <c r="G3" s="331" t="s">
        <v>8824</v>
      </c>
      <c r="H3" s="331" t="str">
        <f t="shared" ref="H3:H66" si="1">CONCATENATE("VN",E3)</f>
        <v>VN03441</v>
      </c>
      <c r="I3" s="331" t="s">
        <v>8825</v>
      </c>
      <c r="J3" s="333"/>
      <c r="K3" s="334"/>
      <c r="L3" s="335"/>
      <c r="M3" s="335"/>
      <c r="N3" s="336"/>
    </row>
    <row r="4" spans="1:14" ht="15.75">
      <c r="A4" s="329">
        <v>2</v>
      </c>
      <c r="B4" s="330">
        <v>2</v>
      </c>
      <c r="C4" s="331" t="s">
        <v>8823</v>
      </c>
      <c r="D4" s="331" t="str">
        <f t="shared" si="0"/>
        <v>#07286</v>
      </c>
      <c r="E4" s="294" t="s">
        <v>3229</v>
      </c>
      <c r="F4" s="331" t="s">
        <v>3228</v>
      </c>
      <c r="G4" s="331" t="s">
        <v>8826</v>
      </c>
      <c r="H4" s="331" t="str">
        <f t="shared" si="1"/>
        <v>VN07286</v>
      </c>
      <c r="I4" s="331"/>
      <c r="J4" s="333"/>
      <c r="K4" s="334"/>
      <c r="L4" s="335"/>
      <c r="M4" s="335"/>
      <c r="N4" s="336"/>
    </row>
    <row r="5" spans="1:14" ht="15.75">
      <c r="A5" s="329">
        <v>3</v>
      </c>
      <c r="B5" s="330">
        <v>3</v>
      </c>
      <c r="C5" s="331" t="s">
        <v>8823</v>
      </c>
      <c r="D5" s="331" t="str">
        <f t="shared" si="0"/>
        <v>#07839</v>
      </c>
      <c r="E5" s="294" t="s">
        <v>8827</v>
      </c>
      <c r="F5" s="331" t="s">
        <v>3409</v>
      </c>
      <c r="G5" s="331" t="s">
        <v>8828</v>
      </c>
      <c r="H5" s="331" t="str">
        <f t="shared" si="1"/>
        <v>VN07839</v>
      </c>
      <c r="I5" s="331"/>
      <c r="J5" s="333"/>
      <c r="K5" s="334"/>
      <c r="L5" s="337">
        <v>45784</v>
      </c>
      <c r="M5" s="337">
        <v>45887</v>
      </c>
      <c r="N5" s="336"/>
    </row>
    <row r="6" spans="1:14" ht="15.75">
      <c r="A6" s="329">
        <v>4</v>
      </c>
      <c r="B6" s="330">
        <v>4</v>
      </c>
      <c r="C6" s="331" t="s">
        <v>8823</v>
      </c>
      <c r="D6" s="331" t="str">
        <f t="shared" si="0"/>
        <v>#00868</v>
      </c>
      <c r="E6" s="294" t="s">
        <v>1299</v>
      </c>
      <c r="F6" s="331" t="s">
        <v>1298</v>
      </c>
      <c r="G6" s="338" t="s">
        <v>8829</v>
      </c>
      <c r="H6" s="338" t="str">
        <f t="shared" si="1"/>
        <v>VN00868</v>
      </c>
      <c r="I6" s="338" t="s">
        <v>8825</v>
      </c>
      <c r="J6" s="339" t="s">
        <v>8830</v>
      </c>
      <c r="K6" s="334"/>
      <c r="L6" s="335"/>
      <c r="M6" s="335"/>
      <c r="N6" s="336"/>
    </row>
    <row r="7" spans="1:14" ht="15.75">
      <c r="A7" s="329">
        <v>5</v>
      </c>
      <c r="B7" s="330">
        <v>5</v>
      </c>
      <c r="C7" s="331" t="s">
        <v>8823</v>
      </c>
      <c r="D7" s="331" t="str">
        <f t="shared" si="0"/>
        <v>#01458</v>
      </c>
      <c r="E7" s="294" t="s">
        <v>1555</v>
      </c>
      <c r="F7" s="331" t="s">
        <v>1554</v>
      </c>
      <c r="G7" s="338" t="s">
        <v>8831</v>
      </c>
      <c r="H7" s="338" t="str">
        <f t="shared" si="1"/>
        <v>VN01458</v>
      </c>
      <c r="I7" s="338" t="s">
        <v>8832</v>
      </c>
      <c r="J7" s="339"/>
      <c r="K7" s="334"/>
      <c r="L7" s="335"/>
      <c r="M7" s="335"/>
      <c r="N7" s="336"/>
    </row>
    <row r="8" spans="1:14" ht="15.75">
      <c r="A8" s="329">
        <v>6</v>
      </c>
      <c r="B8" s="330">
        <v>6</v>
      </c>
      <c r="C8" s="331" t="s">
        <v>8823</v>
      </c>
      <c r="D8" s="331" t="str">
        <f t="shared" si="0"/>
        <v>#02175</v>
      </c>
      <c r="E8" s="294" t="s">
        <v>1773</v>
      </c>
      <c r="F8" s="331" t="s">
        <v>1772</v>
      </c>
      <c r="G8" s="338" t="s">
        <v>8833</v>
      </c>
      <c r="H8" s="338" t="str">
        <f t="shared" si="1"/>
        <v>VN02175</v>
      </c>
      <c r="I8" s="338"/>
      <c r="J8" s="339"/>
      <c r="K8" s="334"/>
      <c r="L8" s="335"/>
      <c r="M8" s="335"/>
      <c r="N8" s="336"/>
    </row>
    <row r="9" spans="1:14" ht="15.75">
      <c r="A9" s="329">
        <v>7</v>
      </c>
      <c r="B9" s="330">
        <v>7</v>
      </c>
      <c r="C9" s="331" t="s">
        <v>8823</v>
      </c>
      <c r="D9" s="331" t="str">
        <f t="shared" si="0"/>
        <v>#02319</v>
      </c>
      <c r="E9" s="294" t="s">
        <v>1817</v>
      </c>
      <c r="F9" s="331" t="s">
        <v>1816</v>
      </c>
      <c r="G9" s="338" t="s">
        <v>8834</v>
      </c>
      <c r="H9" s="338" t="str">
        <f t="shared" si="1"/>
        <v>VN02319</v>
      </c>
      <c r="I9" s="338"/>
      <c r="J9" s="339"/>
      <c r="K9" s="334"/>
      <c r="L9" s="335"/>
      <c r="M9" s="335"/>
      <c r="N9" s="336"/>
    </row>
    <row r="10" spans="1:14" ht="15.75">
      <c r="A10" s="329">
        <v>8</v>
      </c>
      <c r="B10" s="330">
        <v>8</v>
      </c>
      <c r="C10" s="331" t="s">
        <v>8823</v>
      </c>
      <c r="D10" s="331" t="str">
        <f t="shared" si="0"/>
        <v>#15502</v>
      </c>
      <c r="E10" s="294" t="s">
        <v>8835</v>
      </c>
      <c r="F10" s="331" t="s">
        <v>4972</v>
      </c>
      <c r="G10" s="338" t="s">
        <v>8836</v>
      </c>
      <c r="H10" s="338" t="str">
        <f t="shared" si="1"/>
        <v>VN15502</v>
      </c>
      <c r="I10" s="338"/>
      <c r="J10" s="339"/>
      <c r="K10" s="334"/>
      <c r="L10" s="337">
        <v>45596</v>
      </c>
      <c r="M10" s="337">
        <v>45887</v>
      </c>
      <c r="N10" s="336"/>
    </row>
    <row r="11" spans="1:14" ht="15.75">
      <c r="A11" s="329">
        <v>9</v>
      </c>
      <c r="B11" s="330">
        <v>9</v>
      </c>
      <c r="C11" s="331" t="s">
        <v>8823</v>
      </c>
      <c r="D11" s="331" t="str">
        <f t="shared" si="0"/>
        <v>#08917</v>
      </c>
      <c r="E11" s="294" t="s">
        <v>3680</v>
      </c>
      <c r="F11" s="331" t="s">
        <v>1070</v>
      </c>
      <c r="G11" s="338" t="s">
        <v>8837</v>
      </c>
      <c r="H11" s="338" t="str">
        <f t="shared" si="1"/>
        <v>VN08917</v>
      </c>
      <c r="I11" s="338"/>
      <c r="J11" s="339">
        <v>123456</v>
      </c>
      <c r="K11" s="334">
        <v>45525</v>
      </c>
      <c r="L11" s="335"/>
      <c r="M11" s="335"/>
      <c r="N11" s="336"/>
    </row>
    <row r="12" spans="1:14" ht="15.75">
      <c r="A12" s="329">
        <v>10</v>
      </c>
      <c r="B12" s="330">
        <v>10</v>
      </c>
      <c r="C12" s="331" t="s">
        <v>8823</v>
      </c>
      <c r="D12" s="331" t="str">
        <f t="shared" si="0"/>
        <v>#02857</v>
      </c>
      <c r="E12" s="294" t="s">
        <v>2007</v>
      </c>
      <c r="F12" s="331" t="s">
        <v>2006</v>
      </c>
      <c r="G12" s="338" t="s">
        <v>8838</v>
      </c>
      <c r="H12" s="338" t="str">
        <f t="shared" si="1"/>
        <v>VN02857</v>
      </c>
      <c r="I12" s="338" t="s">
        <v>8825</v>
      </c>
      <c r="J12" s="339"/>
      <c r="K12" s="334"/>
      <c r="L12" s="335"/>
      <c r="M12" s="335"/>
      <c r="N12" s="336"/>
    </row>
    <row r="13" spans="1:14" ht="15.75">
      <c r="A13" s="329">
        <v>11</v>
      </c>
      <c r="B13" s="330">
        <v>11</v>
      </c>
      <c r="C13" s="331" t="s">
        <v>8823</v>
      </c>
      <c r="D13" s="331" t="str">
        <f t="shared" si="0"/>
        <v>#19230</v>
      </c>
      <c r="E13" s="294" t="s">
        <v>6227</v>
      </c>
      <c r="F13" s="331" t="s">
        <v>8839</v>
      </c>
      <c r="G13" s="338" t="s">
        <v>8840</v>
      </c>
      <c r="H13" s="338" t="str">
        <f t="shared" si="1"/>
        <v>VN19230</v>
      </c>
      <c r="I13" s="338" t="s">
        <v>8825</v>
      </c>
      <c r="J13" s="339"/>
      <c r="K13" s="334"/>
      <c r="L13" s="335"/>
      <c r="M13" s="335"/>
      <c r="N13" s="336"/>
    </row>
    <row r="14" spans="1:14" ht="15.75">
      <c r="A14" s="329">
        <v>12</v>
      </c>
      <c r="B14" s="330">
        <v>1</v>
      </c>
      <c r="C14" s="331" t="s">
        <v>8841</v>
      </c>
      <c r="D14" s="331" t="str">
        <f t="shared" si="0"/>
        <v>#01614</v>
      </c>
      <c r="E14" s="294" t="s">
        <v>1610</v>
      </c>
      <c r="F14" s="331" t="s">
        <v>1609</v>
      </c>
      <c r="G14" s="331" t="s">
        <v>8842</v>
      </c>
      <c r="H14" s="331" t="str">
        <f t="shared" si="1"/>
        <v>VN01614</v>
      </c>
      <c r="I14" s="331"/>
      <c r="J14" s="333"/>
      <c r="K14" s="334"/>
      <c r="L14" s="335"/>
      <c r="M14" s="335"/>
      <c r="N14" s="336"/>
    </row>
    <row r="15" spans="1:14" ht="15.75">
      <c r="A15" s="329">
        <v>13</v>
      </c>
      <c r="B15" s="330">
        <v>2</v>
      </c>
      <c r="C15" s="331" t="s">
        <v>8841</v>
      </c>
      <c r="D15" s="331" t="str">
        <f t="shared" si="0"/>
        <v>#01021</v>
      </c>
      <c r="E15" s="294" t="s">
        <v>1377</v>
      </c>
      <c r="F15" s="331" t="s">
        <v>1376</v>
      </c>
      <c r="G15" s="331" t="s">
        <v>8843</v>
      </c>
      <c r="H15" s="331" t="str">
        <f t="shared" si="1"/>
        <v>VN01021</v>
      </c>
      <c r="I15" s="331" t="s">
        <v>8825</v>
      </c>
      <c r="J15" s="333"/>
      <c r="K15" s="334"/>
      <c r="L15" s="335"/>
      <c r="M15" s="335"/>
      <c r="N15" s="336"/>
    </row>
    <row r="16" spans="1:14" ht="15.75">
      <c r="A16" s="329">
        <v>14</v>
      </c>
      <c r="B16" s="330">
        <v>3</v>
      </c>
      <c r="C16" s="331" t="s">
        <v>8841</v>
      </c>
      <c r="D16" s="331" t="str">
        <f t="shared" si="0"/>
        <v>#09155</v>
      </c>
      <c r="E16" s="294" t="s">
        <v>3751</v>
      </c>
      <c r="F16" s="331" t="s">
        <v>3750</v>
      </c>
      <c r="G16" s="331" t="s">
        <v>8844</v>
      </c>
      <c r="H16" s="331" t="str">
        <f t="shared" si="1"/>
        <v>VN09155</v>
      </c>
      <c r="I16" s="331"/>
      <c r="J16" s="333"/>
      <c r="K16" s="334"/>
      <c r="L16" s="335"/>
      <c r="M16" s="335"/>
      <c r="N16" s="336"/>
    </row>
    <row r="17" spans="1:14" ht="15.75">
      <c r="A17" s="329">
        <v>15</v>
      </c>
      <c r="B17" s="330">
        <v>4</v>
      </c>
      <c r="C17" s="331" t="s">
        <v>8841</v>
      </c>
      <c r="D17" s="331" t="str">
        <f t="shared" si="0"/>
        <v>#01609</v>
      </c>
      <c r="E17" s="294" t="s">
        <v>1608</v>
      </c>
      <c r="F17" s="331" t="s">
        <v>1607</v>
      </c>
      <c r="G17" s="331" t="s">
        <v>8845</v>
      </c>
      <c r="H17" s="331" t="str">
        <f t="shared" si="1"/>
        <v>VN01609</v>
      </c>
      <c r="I17" s="331"/>
      <c r="J17" s="333"/>
      <c r="K17" s="334"/>
      <c r="L17" s="335"/>
      <c r="M17" s="335"/>
      <c r="N17" s="336"/>
    </row>
    <row r="18" spans="1:14" ht="15.75">
      <c r="A18" s="329">
        <v>16</v>
      </c>
      <c r="B18" s="330">
        <v>1</v>
      </c>
      <c r="C18" s="331" t="s">
        <v>709</v>
      </c>
      <c r="D18" s="331" t="str">
        <f t="shared" si="0"/>
        <v>#00285</v>
      </c>
      <c r="E18" s="294" t="s">
        <v>1003</v>
      </c>
      <c r="F18" s="331" t="s">
        <v>1002</v>
      </c>
      <c r="G18" s="331" t="s">
        <v>8846</v>
      </c>
      <c r="H18" s="331" t="str">
        <f t="shared" si="1"/>
        <v>VN00285</v>
      </c>
      <c r="I18" s="331"/>
      <c r="J18" s="333"/>
      <c r="K18" s="334"/>
      <c r="L18" s="335"/>
      <c r="M18" s="335"/>
      <c r="N18" s="336"/>
    </row>
    <row r="19" spans="1:14" ht="15.75">
      <c r="A19" s="329">
        <v>17</v>
      </c>
      <c r="B19" s="330">
        <v>2</v>
      </c>
      <c r="C19" s="331" t="s">
        <v>709</v>
      </c>
      <c r="D19" s="331" t="str">
        <f t="shared" si="0"/>
        <v>#00490</v>
      </c>
      <c r="E19" s="294" t="s">
        <v>1106</v>
      </c>
      <c r="F19" s="331" t="s">
        <v>1105</v>
      </c>
      <c r="G19" s="331" t="s">
        <v>8847</v>
      </c>
      <c r="H19" s="331" t="str">
        <f t="shared" si="1"/>
        <v>VN00490</v>
      </c>
      <c r="I19" s="331"/>
      <c r="J19" s="333"/>
      <c r="K19" s="334"/>
      <c r="L19" s="335"/>
      <c r="M19" s="335"/>
      <c r="N19" s="336"/>
    </row>
    <row r="20" spans="1:14" ht="15.75">
      <c r="A20" s="329">
        <v>18</v>
      </c>
      <c r="B20" s="330">
        <v>3</v>
      </c>
      <c r="C20" s="331" t="s">
        <v>709</v>
      </c>
      <c r="D20" s="331" t="str">
        <f t="shared" si="0"/>
        <v>#00799</v>
      </c>
      <c r="E20" s="294" t="s">
        <v>1272</v>
      </c>
      <c r="F20" s="331" t="s">
        <v>1271</v>
      </c>
      <c r="G20" s="331" t="s">
        <v>8848</v>
      </c>
      <c r="H20" s="331" t="str">
        <f t="shared" si="1"/>
        <v>VN00799</v>
      </c>
      <c r="I20" s="331"/>
      <c r="J20" s="333"/>
      <c r="K20" s="334"/>
      <c r="L20" s="335"/>
      <c r="M20" s="335"/>
      <c r="N20" s="336"/>
    </row>
    <row r="21" spans="1:14" ht="15.75">
      <c r="A21" s="329">
        <v>19</v>
      </c>
      <c r="B21" s="330">
        <v>4</v>
      </c>
      <c r="C21" s="331" t="s">
        <v>709</v>
      </c>
      <c r="D21" s="331" t="str">
        <f t="shared" si="0"/>
        <v>#01057</v>
      </c>
      <c r="E21" s="294" t="s">
        <v>1390</v>
      </c>
      <c r="F21" s="331" t="s">
        <v>1389</v>
      </c>
      <c r="G21" s="331" t="s">
        <v>8849</v>
      </c>
      <c r="H21" s="331" t="str">
        <f t="shared" si="1"/>
        <v>VN01057</v>
      </c>
      <c r="I21" s="331"/>
      <c r="J21" s="333"/>
      <c r="K21" s="334"/>
      <c r="L21" s="335"/>
      <c r="M21" s="335"/>
      <c r="N21" s="336"/>
    </row>
    <row r="22" spans="1:14" ht="15.75">
      <c r="A22" s="329">
        <v>20</v>
      </c>
      <c r="B22" s="330">
        <v>5</v>
      </c>
      <c r="C22" s="331" t="s">
        <v>709</v>
      </c>
      <c r="D22" s="331" t="str">
        <f t="shared" si="0"/>
        <v>#01955</v>
      </c>
      <c r="E22" s="294" t="s">
        <v>1732</v>
      </c>
      <c r="F22" s="331" t="s">
        <v>1731</v>
      </c>
      <c r="G22" s="331" t="s">
        <v>8850</v>
      </c>
      <c r="H22" s="331" t="str">
        <f t="shared" si="1"/>
        <v>VN01955</v>
      </c>
      <c r="I22" s="331"/>
      <c r="J22" s="333"/>
      <c r="K22" s="334"/>
      <c r="L22" s="335"/>
      <c r="M22" s="335"/>
      <c r="N22" s="336"/>
    </row>
    <row r="23" spans="1:14" ht="15.75">
      <c r="A23" s="329">
        <v>21</v>
      </c>
      <c r="B23" s="330">
        <v>6</v>
      </c>
      <c r="C23" s="331" t="s">
        <v>709</v>
      </c>
      <c r="D23" s="331" t="str">
        <f t="shared" si="0"/>
        <v>#02543</v>
      </c>
      <c r="E23" s="294" t="s">
        <v>1907</v>
      </c>
      <c r="F23" s="331" t="s">
        <v>8851</v>
      </c>
      <c r="G23" s="331" t="s">
        <v>8852</v>
      </c>
      <c r="H23" s="331" t="str">
        <f t="shared" si="1"/>
        <v>VN02543</v>
      </c>
      <c r="I23" s="331"/>
      <c r="J23" s="333"/>
      <c r="K23" s="334"/>
      <c r="L23" s="335"/>
      <c r="M23" s="335"/>
      <c r="N23" s="336"/>
    </row>
    <row r="24" spans="1:14" ht="15.75">
      <c r="A24" s="329">
        <v>22</v>
      </c>
      <c r="B24" s="330">
        <v>7</v>
      </c>
      <c r="C24" s="331" t="s">
        <v>709</v>
      </c>
      <c r="D24" s="331" t="str">
        <f t="shared" si="0"/>
        <v>#02642</v>
      </c>
      <c r="E24" s="294" t="s">
        <v>1938</v>
      </c>
      <c r="F24" s="331" t="s">
        <v>1937</v>
      </c>
      <c r="G24" s="331" t="s">
        <v>8853</v>
      </c>
      <c r="H24" s="331" t="str">
        <f t="shared" si="1"/>
        <v>VN02642</v>
      </c>
      <c r="I24" s="331"/>
      <c r="J24" s="333" t="s">
        <v>8854</v>
      </c>
      <c r="K24" s="334"/>
      <c r="L24" s="335"/>
      <c r="M24" s="335"/>
      <c r="N24" s="336"/>
    </row>
    <row r="25" spans="1:14" ht="15.75">
      <c r="A25" s="329">
        <v>23</v>
      </c>
      <c r="B25" s="330">
        <v>8</v>
      </c>
      <c r="C25" s="331" t="s">
        <v>709</v>
      </c>
      <c r="D25" s="331" t="str">
        <f t="shared" si="0"/>
        <v>#03487</v>
      </c>
      <c r="E25" s="294" t="s">
        <v>2243</v>
      </c>
      <c r="F25" s="331" t="s">
        <v>2242</v>
      </c>
      <c r="G25" s="331" t="s">
        <v>8855</v>
      </c>
      <c r="H25" s="331" t="str">
        <f t="shared" si="1"/>
        <v>VN03487</v>
      </c>
      <c r="I25" s="331"/>
      <c r="J25" s="333"/>
      <c r="K25" s="334"/>
      <c r="L25" s="335"/>
      <c r="M25" s="335"/>
      <c r="N25" s="336"/>
    </row>
    <row r="26" spans="1:14" ht="15.75">
      <c r="A26" s="329">
        <v>24</v>
      </c>
      <c r="B26" s="330">
        <v>9</v>
      </c>
      <c r="C26" s="331" t="s">
        <v>709</v>
      </c>
      <c r="D26" s="331" t="str">
        <f t="shared" si="0"/>
        <v>#03798</v>
      </c>
      <c r="E26" s="294" t="s">
        <v>2331</v>
      </c>
      <c r="F26" s="331" t="s">
        <v>2330</v>
      </c>
      <c r="G26" s="331" t="s">
        <v>8856</v>
      </c>
      <c r="H26" s="331" t="str">
        <f t="shared" si="1"/>
        <v>VN03798</v>
      </c>
      <c r="I26" s="331"/>
      <c r="J26" s="333"/>
      <c r="K26" s="334"/>
      <c r="L26" s="335"/>
      <c r="M26" s="335"/>
      <c r="N26" s="336"/>
    </row>
    <row r="27" spans="1:14" ht="15.75">
      <c r="A27" s="329">
        <v>25</v>
      </c>
      <c r="B27" s="330">
        <v>10</v>
      </c>
      <c r="C27" s="331" t="s">
        <v>709</v>
      </c>
      <c r="D27" s="331" t="str">
        <f t="shared" si="0"/>
        <v>#03889</v>
      </c>
      <c r="E27" s="294" t="s">
        <v>2361</v>
      </c>
      <c r="F27" s="331" t="s">
        <v>2360</v>
      </c>
      <c r="G27" s="331" t="s">
        <v>8857</v>
      </c>
      <c r="H27" s="331" t="str">
        <f t="shared" si="1"/>
        <v>VN03889</v>
      </c>
      <c r="I27" s="331"/>
      <c r="J27" s="333"/>
      <c r="K27" s="334"/>
      <c r="L27" s="335"/>
      <c r="M27" s="335"/>
      <c r="N27" s="336"/>
    </row>
    <row r="28" spans="1:14" ht="15.75">
      <c r="A28" s="329">
        <v>26</v>
      </c>
      <c r="B28" s="330">
        <v>11</v>
      </c>
      <c r="C28" s="331" t="s">
        <v>709</v>
      </c>
      <c r="D28" s="331" t="str">
        <f t="shared" si="0"/>
        <v>#04750</v>
      </c>
      <c r="E28" s="294" t="s">
        <v>2564</v>
      </c>
      <c r="F28" s="331" t="s">
        <v>2563</v>
      </c>
      <c r="G28" s="331" t="s">
        <v>8858</v>
      </c>
      <c r="H28" s="331" t="str">
        <f t="shared" si="1"/>
        <v>VN04750</v>
      </c>
      <c r="I28" s="331"/>
      <c r="J28" s="333"/>
      <c r="K28" s="334"/>
      <c r="L28" s="335"/>
      <c r="M28" s="335"/>
      <c r="N28" s="336"/>
    </row>
    <row r="29" spans="1:14" ht="15.75">
      <c r="A29" s="329">
        <v>27</v>
      </c>
      <c r="B29" s="330">
        <v>12</v>
      </c>
      <c r="C29" s="331" t="s">
        <v>709</v>
      </c>
      <c r="D29" s="331" t="str">
        <f t="shared" si="0"/>
        <v>#04751</v>
      </c>
      <c r="E29" s="294" t="s">
        <v>2566</v>
      </c>
      <c r="F29" s="331" t="s">
        <v>2565</v>
      </c>
      <c r="G29" s="331" t="s">
        <v>8859</v>
      </c>
      <c r="H29" s="331" t="str">
        <f t="shared" si="1"/>
        <v>VN04751</v>
      </c>
      <c r="I29" s="331"/>
      <c r="J29" s="333"/>
      <c r="K29" s="334"/>
      <c r="L29" s="335"/>
      <c r="M29" s="335"/>
      <c r="N29" s="336"/>
    </row>
    <row r="30" spans="1:14" ht="15.75">
      <c r="A30" s="329">
        <v>28</v>
      </c>
      <c r="B30" s="330">
        <v>13</v>
      </c>
      <c r="C30" s="331" t="s">
        <v>709</v>
      </c>
      <c r="D30" s="331" t="str">
        <f t="shared" si="0"/>
        <v>#05224</v>
      </c>
      <c r="E30" s="294" t="s">
        <v>2662</v>
      </c>
      <c r="F30" s="331" t="s">
        <v>2661</v>
      </c>
      <c r="G30" s="331" t="s">
        <v>8860</v>
      </c>
      <c r="H30" s="331" t="str">
        <f t="shared" si="1"/>
        <v>VN05224</v>
      </c>
      <c r="I30" s="331" t="s">
        <v>8825</v>
      </c>
      <c r="J30" s="333"/>
      <c r="K30" s="334"/>
      <c r="L30" s="335"/>
      <c r="M30" s="335"/>
      <c r="N30" s="336"/>
    </row>
    <row r="31" spans="1:14" ht="15.75">
      <c r="A31" s="329">
        <v>29</v>
      </c>
      <c r="B31" s="330">
        <v>14</v>
      </c>
      <c r="C31" s="331" t="s">
        <v>709</v>
      </c>
      <c r="D31" s="331" t="str">
        <f t="shared" si="0"/>
        <v>#06235</v>
      </c>
      <c r="E31" s="294" t="s">
        <v>8861</v>
      </c>
      <c r="F31" s="331" t="s">
        <v>7865</v>
      </c>
      <c r="G31" s="331" t="s">
        <v>8862</v>
      </c>
      <c r="H31" s="331" t="str">
        <f t="shared" si="1"/>
        <v>VN06235</v>
      </c>
      <c r="I31" s="331"/>
      <c r="J31" s="333"/>
      <c r="K31" s="334"/>
      <c r="L31" s="337">
        <v>45735</v>
      </c>
      <c r="M31" s="337">
        <v>45887</v>
      </c>
      <c r="N31" s="336"/>
    </row>
    <row r="32" spans="1:14" ht="15.75">
      <c r="A32" s="329">
        <v>30</v>
      </c>
      <c r="B32" s="330">
        <v>15</v>
      </c>
      <c r="C32" s="331" t="s">
        <v>709</v>
      </c>
      <c r="D32" s="331" t="str">
        <f t="shared" si="0"/>
        <v>#06382</v>
      </c>
      <c r="E32" s="294" t="s">
        <v>2868</v>
      </c>
      <c r="F32" s="331" t="s">
        <v>2867</v>
      </c>
      <c r="G32" s="331" t="s">
        <v>8863</v>
      </c>
      <c r="H32" s="331" t="str">
        <f t="shared" si="1"/>
        <v>VN06382</v>
      </c>
      <c r="I32" s="331"/>
      <c r="J32" s="333"/>
      <c r="K32" s="334"/>
      <c r="L32" s="335"/>
      <c r="M32" s="335"/>
      <c r="N32" s="336"/>
    </row>
    <row r="33" spans="1:14" ht="15.75">
      <c r="A33" s="329">
        <v>31</v>
      </c>
      <c r="B33" s="330">
        <v>16</v>
      </c>
      <c r="C33" s="331" t="s">
        <v>709</v>
      </c>
      <c r="D33" s="331" t="str">
        <f t="shared" si="0"/>
        <v>#07179</v>
      </c>
      <c r="E33" s="294" t="s">
        <v>3174</v>
      </c>
      <c r="F33" s="331" t="s">
        <v>3173</v>
      </c>
      <c r="G33" s="331" t="s">
        <v>8864</v>
      </c>
      <c r="H33" s="331" t="str">
        <f t="shared" si="1"/>
        <v>VN07179</v>
      </c>
      <c r="I33" s="331"/>
      <c r="J33" s="333"/>
      <c r="K33" s="334"/>
      <c r="L33" s="335"/>
      <c r="M33" s="335"/>
      <c r="N33" s="336"/>
    </row>
    <row r="34" spans="1:14" ht="15.75">
      <c r="A34" s="329">
        <v>32</v>
      </c>
      <c r="B34" s="330">
        <v>17</v>
      </c>
      <c r="C34" s="331" t="s">
        <v>709</v>
      </c>
      <c r="D34" s="331" t="str">
        <f t="shared" si="0"/>
        <v>#07837</v>
      </c>
      <c r="E34" s="294" t="s">
        <v>8865</v>
      </c>
      <c r="F34" s="331" t="s">
        <v>8866</v>
      </c>
      <c r="G34" s="331" t="s">
        <v>8867</v>
      </c>
      <c r="H34" s="331" t="str">
        <f t="shared" si="1"/>
        <v>VN07837</v>
      </c>
      <c r="I34" s="331"/>
      <c r="J34" s="333"/>
      <c r="K34" s="334"/>
      <c r="L34" s="337">
        <v>45672</v>
      </c>
      <c r="M34" s="337">
        <v>45887</v>
      </c>
      <c r="N34" s="336"/>
    </row>
    <row r="35" spans="1:14" ht="15.75">
      <c r="A35" s="329">
        <v>33</v>
      </c>
      <c r="B35" s="330">
        <v>18</v>
      </c>
      <c r="C35" s="331" t="s">
        <v>709</v>
      </c>
      <c r="D35" s="331" t="str">
        <f t="shared" si="0"/>
        <v>#08125</v>
      </c>
      <c r="E35" s="294" t="s">
        <v>8868</v>
      </c>
      <c r="F35" s="331" t="s">
        <v>8869</v>
      </c>
      <c r="G35" s="331" t="s">
        <v>8870</v>
      </c>
      <c r="H35" s="331" t="str">
        <f t="shared" si="1"/>
        <v>VN08125</v>
      </c>
      <c r="I35" s="331"/>
      <c r="J35" s="333"/>
      <c r="K35" s="334"/>
      <c r="L35" s="337">
        <v>45759</v>
      </c>
      <c r="M35" s="337">
        <v>45887</v>
      </c>
      <c r="N35" s="336"/>
    </row>
    <row r="36" spans="1:14" ht="15.75">
      <c r="A36" s="329">
        <v>34</v>
      </c>
      <c r="B36" s="330">
        <v>19</v>
      </c>
      <c r="C36" s="331" t="s">
        <v>709</v>
      </c>
      <c r="D36" s="331" t="str">
        <f t="shared" si="0"/>
        <v>#08128</v>
      </c>
      <c r="E36" s="294" t="s">
        <v>3502</v>
      </c>
      <c r="F36" s="331" t="s">
        <v>3501</v>
      </c>
      <c r="G36" s="331" t="s">
        <v>8871</v>
      </c>
      <c r="H36" s="331" t="str">
        <f t="shared" si="1"/>
        <v>VN08128</v>
      </c>
      <c r="I36" s="331"/>
      <c r="J36" s="333"/>
      <c r="K36" s="334"/>
      <c r="L36" s="335"/>
      <c r="M36" s="335"/>
      <c r="N36" s="336"/>
    </row>
    <row r="37" spans="1:14" ht="15.75">
      <c r="A37" s="329">
        <v>35</v>
      </c>
      <c r="B37" s="330">
        <v>20</v>
      </c>
      <c r="C37" s="331" t="s">
        <v>709</v>
      </c>
      <c r="D37" s="331" t="str">
        <f t="shared" si="0"/>
        <v>#08232</v>
      </c>
      <c r="E37" s="294" t="s">
        <v>3519</v>
      </c>
      <c r="F37" s="331" t="s">
        <v>2401</v>
      </c>
      <c r="G37" s="331" t="s">
        <v>8872</v>
      </c>
      <c r="H37" s="331" t="str">
        <f t="shared" si="1"/>
        <v>VN08232</v>
      </c>
      <c r="I37" s="331"/>
      <c r="J37" s="333"/>
      <c r="K37" s="334"/>
      <c r="L37" s="335"/>
      <c r="M37" s="335"/>
      <c r="N37" s="336"/>
    </row>
    <row r="38" spans="1:14" ht="15.75">
      <c r="A38" s="329">
        <v>36</v>
      </c>
      <c r="B38" s="330">
        <v>21</v>
      </c>
      <c r="C38" s="331" t="s">
        <v>709</v>
      </c>
      <c r="D38" s="331" t="str">
        <f t="shared" si="0"/>
        <v>#08552</v>
      </c>
      <c r="E38" s="294" t="s">
        <v>3588</v>
      </c>
      <c r="F38" s="331" t="s">
        <v>3587</v>
      </c>
      <c r="G38" s="331" t="s">
        <v>8873</v>
      </c>
      <c r="H38" s="331" t="str">
        <f t="shared" si="1"/>
        <v>VN08552</v>
      </c>
      <c r="I38" s="331"/>
      <c r="J38" s="333"/>
      <c r="K38" s="334"/>
      <c r="L38" s="335"/>
      <c r="M38" s="335"/>
      <c r="N38" s="336"/>
    </row>
    <row r="39" spans="1:14" ht="15.75">
      <c r="A39" s="329">
        <v>37</v>
      </c>
      <c r="B39" s="330">
        <v>22</v>
      </c>
      <c r="C39" s="331" t="s">
        <v>709</v>
      </c>
      <c r="D39" s="331" t="str">
        <f t="shared" si="0"/>
        <v>#09586</v>
      </c>
      <c r="E39" s="294" t="s">
        <v>3895</v>
      </c>
      <c r="F39" s="331" t="s">
        <v>3894</v>
      </c>
      <c r="G39" s="331" t="s">
        <v>8874</v>
      </c>
      <c r="H39" s="331" t="str">
        <f t="shared" si="1"/>
        <v>VN09586</v>
      </c>
      <c r="I39" s="331"/>
      <c r="J39" s="333"/>
      <c r="K39" s="334"/>
      <c r="L39" s="335"/>
      <c r="M39" s="335"/>
      <c r="N39" s="336"/>
    </row>
    <row r="40" spans="1:14" ht="15.75">
      <c r="A40" s="329">
        <v>38</v>
      </c>
      <c r="B40" s="330">
        <v>23</v>
      </c>
      <c r="C40" s="331" t="s">
        <v>709</v>
      </c>
      <c r="D40" s="331" t="str">
        <f t="shared" si="0"/>
        <v>#09587</v>
      </c>
      <c r="E40" s="294" t="s">
        <v>3897</v>
      </c>
      <c r="F40" s="331" t="s">
        <v>3896</v>
      </c>
      <c r="G40" s="331" t="s">
        <v>8875</v>
      </c>
      <c r="H40" s="331" t="str">
        <f t="shared" si="1"/>
        <v>VN09587</v>
      </c>
      <c r="I40" s="331"/>
      <c r="J40" s="333"/>
      <c r="K40" s="334"/>
      <c r="L40" s="335"/>
      <c r="M40" s="335"/>
      <c r="N40" s="336"/>
    </row>
    <row r="41" spans="1:14" ht="15.75">
      <c r="A41" s="329">
        <v>39</v>
      </c>
      <c r="B41" s="330">
        <v>24</v>
      </c>
      <c r="C41" s="331" t="s">
        <v>709</v>
      </c>
      <c r="D41" s="331" t="str">
        <f t="shared" si="0"/>
        <v>#09589</v>
      </c>
      <c r="E41" s="294" t="s">
        <v>3898</v>
      </c>
      <c r="F41" s="331" t="s">
        <v>2430</v>
      </c>
      <c r="G41" s="331" t="s">
        <v>8876</v>
      </c>
      <c r="H41" s="331" t="str">
        <f t="shared" si="1"/>
        <v>VN09589</v>
      </c>
      <c r="I41" s="331"/>
      <c r="J41" s="333"/>
      <c r="K41" s="334"/>
      <c r="L41" s="335"/>
      <c r="M41" s="335"/>
      <c r="N41" s="336"/>
    </row>
    <row r="42" spans="1:14" ht="15.75">
      <c r="A42" s="329">
        <v>40</v>
      </c>
      <c r="B42" s="330">
        <v>25</v>
      </c>
      <c r="C42" s="331" t="s">
        <v>709</v>
      </c>
      <c r="D42" s="331" t="str">
        <f t="shared" si="0"/>
        <v>#10610</v>
      </c>
      <c r="E42" s="294" t="s">
        <v>4206</v>
      </c>
      <c r="F42" s="331" t="s">
        <v>4205</v>
      </c>
      <c r="G42" s="331" t="s">
        <v>8877</v>
      </c>
      <c r="H42" s="331" t="str">
        <f t="shared" si="1"/>
        <v>VN10610</v>
      </c>
      <c r="I42" s="331"/>
      <c r="J42" s="333">
        <v>123456</v>
      </c>
      <c r="K42" s="334"/>
      <c r="L42" s="335"/>
      <c r="M42" s="335"/>
      <c r="N42" s="336"/>
    </row>
    <row r="43" spans="1:14" ht="15.75">
      <c r="A43" s="329">
        <v>41</v>
      </c>
      <c r="B43" s="330">
        <v>26</v>
      </c>
      <c r="C43" s="331" t="s">
        <v>709</v>
      </c>
      <c r="D43" s="331" t="str">
        <f t="shared" si="0"/>
        <v>#10611</v>
      </c>
      <c r="E43" s="294" t="s">
        <v>4207</v>
      </c>
      <c r="F43" s="331" t="s">
        <v>2495</v>
      </c>
      <c r="G43" s="331" t="s">
        <v>8878</v>
      </c>
      <c r="H43" s="331" t="str">
        <f t="shared" si="1"/>
        <v>VN10611</v>
      </c>
      <c r="I43" s="331"/>
      <c r="J43" s="333">
        <v>123456</v>
      </c>
      <c r="K43" s="334"/>
      <c r="L43" s="335"/>
      <c r="M43" s="335"/>
      <c r="N43" s="336"/>
    </row>
    <row r="44" spans="1:14" ht="15.75">
      <c r="A44" s="329">
        <v>42</v>
      </c>
      <c r="B44" s="330">
        <v>27</v>
      </c>
      <c r="C44" s="331" t="s">
        <v>709</v>
      </c>
      <c r="D44" s="331" t="str">
        <f t="shared" si="0"/>
        <v>#10782</v>
      </c>
      <c r="E44" s="294" t="s">
        <v>8879</v>
      </c>
      <c r="F44" s="331" t="s">
        <v>8880</v>
      </c>
      <c r="G44" s="331" t="s">
        <v>8881</v>
      </c>
      <c r="H44" s="331" t="str">
        <f t="shared" si="1"/>
        <v>VN10782</v>
      </c>
      <c r="I44" s="331"/>
      <c r="J44" s="333"/>
      <c r="K44" s="334"/>
      <c r="L44" s="337">
        <v>45748</v>
      </c>
      <c r="M44" s="337">
        <v>45887</v>
      </c>
      <c r="N44" s="336"/>
    </row>
    <row r="45" spans="1:14" ht="15.75">
      <c r="A45" s="329">
        <v>43</v>
      </c>
      <c r="B45" s="330">
        <v>28</v>
      </c>
      <c r="C45" s="331" t="s">
        <v>709</v>
      </c>
      <c r="D45" s="331" t="str">
        <f t="shared" si="0"/>
        <v>#10783</v>
      </c>
      <c r="E45" s="294" t="s">
        <v>4265</v>
      </c>
      <c r="F45" s="331" t="s">
        <v>4264</v>
      </c>
      <c r="G45" s="331" t="s">
        <v>8882</v>
      </c>
      <c r="H45" s="331" t="str">
        <f t="shared" si="1"/>
        <v>VN10783</v>
      </c>
      <c r="I45" s="331"/>
      <c r="J45" s="333"/>
      <c r="K45" s="334"/>
      <c r="L45" s="335"/>
      <c r="M45" s="335"/>
      <c r="N45" s="336"/>
    </row>
    <row r="46" spans="1:14" ht="15.75">
      <c r="A46" s="329">
        <v>44</v>
      </c>
      <c r="B46" s="330">
        <v>29</v>
      </c>
      <c r="C46" s="331" t="s">
        <v>709</v>
      </c>
      <c r="D46" s="331" t="str">
        <f t="shared" si="0"/>
        <v>#10784</v>
      </c>
      <c r="E46" s="294" t="s">
        <v>4266</v>
      </c>
      <c r="F46" s="331" t="s">
        <v>2984</v>
      </c>
      <c r="G46" s="331" t="s">
        <v>8883</v>
      </c>
      <c r="H46" s="331" t="str">
        <f t="shared" si="1"/>
        <v>VN10784</v>
      </c>
      <c r="I46" s="331"/>
      <c r="J46" s="333"/>
      <c r="K46" s="334"/>
      <c r="L46" s="335"/>
      <c r="M46" s="335"/>
      <c r="N46" s="336"/>
    </row>
    <row r="47" spans="1:14" ht="15.75">
      <c r="A47" s="329">
        <v>45</v>
      </c>
      <c r="B47" s="330">
        <v>30</v>
      </c>
      <c r="C47" s="331" t="s">
        <v>709</v>
      </c>
      <c r="D47" s="331" t="str">
        <f t="shared" si="0"/>
        <v>#10785</v>
      </c>
      <c r="E47" s="294" t="s">
        <v>4268</v>
      </c>
      <c r="F47" s="331" t="s">
        <v>4267</v>
      </c>
      <c r="G47" s="331" t="s">
        <v>8884</v>
      </c>
      <c r="H47" s="331" t="str">
        <f t="shared" si="1"/>
        <v>VN10785</v>
      </c>
      <c r="I47" s="331"/>
      <c r="J47" s="333"/>
      <c r="K47" s="334"/>
      <c r="L47" s="335"/>
      <c r="M47" s="335"/>
      <c r="N47" s="336"/>
    </row>
    <row r="48" spans="1:14" ht="15.75">
      <c r="A48" s="329">
        <v>46</v>
      </c>
      <c r="B48" s="330">
        <v>31</v>
      </c>
      <c r="C48" s="331" t="s">
        <v>709</v>
      </c>
      <c r="D48" s="331" t="str">
        <f t="shared" si="0"/>
        <v>#10861</v>
      </c>
      <c r="E48" s="294" t="s">
        <v>4298</v>
      </c>
      <c r="F48" s="331" t="s">
        <v>4297</v>
      </c>
      <c r="G48" s="331" t="s">
        <v>8885</v>
      </c>
      <c r="H48" s="331" t="str">
        <f t="shared" si="1"/>
        <v>VN10861</v>
      </c>
      <c r="I48" s="331"/>
      <c r="J48" s="333"/>
      <c r="K48" s="334"/>
      <c r="L48" s="335"/>
      <c r="M48" s="335"/>
      <c r="N48" s="336"/>
    </row>
    <row r="49" spans="1:14" ht="15.75">
      <c r="A49" s="329">
        <v>47</v>
      </c>
      <c r="B49" s="330">
        <v>32</v>
      </c>
      <c r="C49" s="331" t="s">
        <v>709</v>
      </c>
      <c r="D49" s="331" t="str">
        <f t="shared" si="0"/>
        <v>#10863</v>
      </c>
      <c r="E49" s="294" t="s">
        <v>4299</v>
      </c>
      <c r="F49" s="331" t="s">
        <v>1556</v>
      </c>
      <c r="G49" s="331" t="s">
        <v>8886</v>
      </c>
      <c r="H49" s="331" t="str">
        <f t="shared" si="1"/>
        <v>VN10863</v>
      </c>
      <c r="I49" s="331"/>
      <c r="J49" s="333"/>
      <c r="K49" s="334"/>
      <c r="L49" s="335"/>
      <c r="M49" s="335"/>
      <c r="N49" s="336"/>
    </row>
    <row r="50" spans="1:14" ht="15.75">
      <c r="A50" s="329">
        <v>48</v>
      </c>
      <c r="B50" s="330">
        <v>33</v>
      </c>
      <c r="C50" s="331" t="s">
        <v>709</v>
      </c>
      <c r="D50" s="331" t="str">
        <f t="shared" si="0"/>
        <v>#10864</v>
      </c>
      <c r="E50" s="294" t="s">
        <v>4301</v>
      </c>
      <c r="F50" s="331" t="s">
        <v>4300</v>
      </c>
      <c r="G50" s="331" t="s">
        <v>8887</v>
      </c>
      <c r="H50" s="331" t="str">
        <f t="shared" si="1"/>
        <v>VN10864</v>
      </c>
      <c r="I50" s="331"/>
      <c r="J50" s="333"/>
      <c r="K50" s="334"/>
      <c r="L50" s="335"/>
      <c r="M50" s="335"/>
      <c r="N50" s="336"/>
    </row>
    <row r="51" spans="1:14" ht="15.75" customHeight="1">
      <c r="A51" s="329">
        <v>49</v>
      </c>
      <c r="B51" s="330">
        <v>34</v>
      </c>
      <c r="C51" s="331" t="s">
        <v>709</v>
      </c>
      <c r="D51" s="331" t="str">
        <f t="shared" si="0"/>
        <v>#10878</v>
      </c>
      <c r="E51" s="294" t="s">
        <v>4303</v>
      </c>
      <c r="F51" s="331" t="s">
        <v>4302</v>
      </c>
      <c r="G51" s="331" t="s">
        <v>8888</v>
      </c>
      <c r="H51" s="331" t="str">
        <f t="shared" si="1"/>
        <v>VN10878</v>
      </c>
      <c r="I51" s="331"/>
      <c r="J51" s="333"/>
      <c r="K51" s="334"/>
      <c r="L51" s="335"/>
      <c r="M51" s="335"/>
      <c r="N51" s="336"/>
    </row>
    <row r="52" spans="1:14" ht="15.75">
      <c r="A52" s="329">
        <v>50</v>
      </c>
      <c r="B52" s="330">
        <v>35</v>
      </c>
      <c r="C52" s="331" t="s">
        <v>709</v>
      </c>
      <c r="D52" s="331" t="str">
        <f t="shared" si="0"/>
        <v>#10879</v>
      </c>
      <c r="E52" s="294" t="s">
        <v>4305</v>
      </c>
      <c r="F52" s="331" t="s">
        <v>4304</v>
      </c>
      <c r="G52" s="331" t="s">
        <v>8889</v>
      </c>
      <c r="H52" s="331" t="str">
        <f t="shared" si="1"/>
        <v>VN10879</v>
      </c>
      <c r="I52" s="331"/>
      <c r="J52" s="333"/>
      <c r="K52" s="334"/>
      <c r="L52" s="335"/>
      <c r="M52" s="335"/>
      <c r="N52" s="336"/>
    </row>
    <row r="53" spans="1:14" ht="15.75">
      <c r="A53" s="329">
        <v>51</v>
      </c>
      <c r="B53" s="330">
        <v>36</v>
      </c>
      <c r="C53" s="331" t="s">
        <v>709</v>
      </c>
      <c r="D53" s="331" t="str">
        <f t="shared" si="0"/>
        <v>#10945</v>
      </c>
      <c r="E53" s="294" t="s">
        <v>4317</v>
      </c>
      <c r="F53" s="331" t="s">
        <v>4316</v>
      </c>
      <c r="G53" s="331" t="s">
        <v>8890</v>
      </c>
      <c r="H53" s="331" t="str">
        <f t="shared" si="1"/>
        <v>VN10945</v>
      </c>
      <c r="I53" s="331"/>
      <c r="J53" s="333"/>
      <c r="K53" s="334"/>
      <c r="L53" s="335"/>
      <c r="M53" s="335"/>
      <c r="N53" s="336"/>
    </row>
    <row r="54" spans="1:14" ht="15.75">
      <c r="A54" s="329">
        <v>52</v>
      </c>
      <c r="B54" s="330">
        <v>37</v>
      </c>
      <c r="C54" s="331" t="s">
        <v>709</v>
      </c>
      <c r="D54" s="331" t="str">
        <f t="shared" si="0"/>
        <v>#10953</v>
      </c>
      <c r="E54" s="294" t="s">
        <v>4326</v>
      </c>
      <c r="F54" s="331" t="s">
        <v>4325</v>
      </c>
      <c r="G54" s="331" t="s">
        <v>8891</v>
      </c>
      <c r="H54" s="331" t="str">
        <f t="shared" si="1"/>
        <v>VN10953</v>
      </c>
      <c r="I54" s="331"/>
      <c r="J54" s="333"/>
      <c r="K54" s="334"/>
      <c r="L54" s="335"/>
      <c r="M54" s="335"/>
      <c r="N54" s="336"/>
    </row>
    <row r="55" spans="1:14" ht="15.75">
      <c r="A55" s="329">
        <v>53</v>
      </c>
      <c r="B55" s="330">
        <v>38</v>
      </c>
      <c r="C55" s="331" t="s">
        <v>709</v>
      </c>
      <c r="D55" s="331" t="str">
        <f t="shared" si="0"/>
        <v>#10954</v>
      </c>
      <c r="E55" s="294" t="s">
        <v>4328</v>
      </c>
      <c r="F55" s="331" t="s">
        <v>4327</v>
      </c>
      <c r="G55" s="331" t="s">
        <v>8892</v>
      </c>
      <c r="H55" s="331" t="str">
        <f t="shared" si="1"/>
        <v>VN10954</v>
      </c>
      <c r="I55" s="331"/>
      <c r="J55" s="333"/>
      <c r="K55" s="334"/>
      <c r="L55" s="335"/>
      <c r="M55" s="335"/>
      <c r="N55" s="336"/>
    </row>
    <row r="56" spans="1:14" ht="15.75">
      <c r="A56" s="329">
        <v>54</v>
      </c>
      <c r="B56" s="330">
        <v>39</v>
      </c>
      <c r="C56" s="331" t="s">
        <v>709</v>
      </c>
      <c r="D56" s="331" t="str">
        <f t="shared" si="0"/>
        <v>#10955</v>
      </c>
      <c r="E56" s="294" t="s">
        <v>4329</v>
      </c>
      <c r="F56" s="331" t="s">
        <v>8893</v>
      </c>
      <c r="G56" s="331" t="s">
        <v>8894</v>
      </c>
      <c r="H56" s="331" t="str">
        <f t="shared" si="1"/>
        <v>VN10955</v>
      </c>
      <c r="I56" s="331"/>
      <c r="J56" s="333"/>
      <c r="K56" s="334"/>
      <c r="L56" s="335"/>
      <c r="M56" s="335"/>
      <c r="N56" s="336"/>
    </row>
    <row r="57" spans="1:14" ht="15.75">
      <c r="A57" s="329">
        <v>55</v>
      </c>
      <c r="B57" s="330">
        <v>40</v>
      </c>
      <c r="C57" s="331" t="s">
        <v>709</v>
      </c>
      <c r="D57" s="331" t="str">
        <f t="shared" si="0"/>
        <v>#11131</v>
      </c>
      <c r="E57" s="294" t="s">
        <v>4365</v>
      </c>
      <c r="F57" s="331" t="s">
        <v>8895</v>
      </c>
      <c r="G57" s="331" t="s">
        <v>8896</v>
      </c>
      <c r="H57" s="331" t="str">
        <f t="shared" si="1"/>
        <v>VN11131</v>
      </c>
      <c r="I57" s="331" t="s">
        <v>8825</v>
      </c>
      <c r="J57" s="333"/>
      <c r="K57" s="334"/>
      <c r="L57" s="335"/>
      <c r="M57" s="335"/>
      <c r="N57" s="336"/>
    </row>
    <row r="58" spans="1:14" ht="15.75">
      <c r="A58" s="329">
        <v>56</v>
      </c>
      <c r="B58" s="330">
        <v>41</v>
      </c>
      <c r="C58" s="331" t="s">
        <v>709</v>
      </c>
      <c r="D58" s="331" t="str">
        <f t="shared" si="0"/>
        <v>#11132</v>
      </c>
      <c r="E58" s="294" t="s">
        <v>4367</v>
      </c>
      <c r="F58" s="331" t="s">
        <v>4366</v>
      </c>
      <c r="G58" s="331" t="s">
        <v>8897</v>
      </c>
      <c r="H58" s="331" t="str">
        <f t="shared" si="1"/>
        <v>VN11132</v>
      </c>
      <c r="I58" s="331"/>
      <c r="J58" s="333"/>
      <c r="K58" s="334"/>
      <c r="L58" s="335"/>
      <c r="M58" s="335"/>
      <c r="N58" s="336"/>
    </row>
    <row r="59" spans="1:14" ht="15.75">
      <c r="A59" s="329">
        <v>57</v>
      </c>
      <c r="B59" s="330">
        <v>42</v>
      </c>
      <c r="C59" s="331" t="s">
        <v>709</v>
      </c>
      <c r="D59" s="331" t="str">
        <f t="shared" si="0"/>
        <v>#11632</v>
      </c>
      <c r="E59" s="294" t="s">
        <v>4493</v>
      </c>
      <c r="F59" s="331" t="s">
        <v>4492</v>
      </c>
      <c r="G59" s="331" t="s">
        <v>8898</v>
      </c>
      <c r="H59" s="331" t="str">
        <f t="shared" si="1"/>
        <v>VN11632</v>
      </c>
      <c r="I59" s="331"/>
      <c r="J59" s="333">
        <v>123456</v>
      </c>
      <c r="K59" s="334"/>
      <c r="L59" s="335"/>
      <c r="M59" s="335"/>
      <c r="N59" s="336"/>
    </row>
    <row r="60" spans="1:14" ht="15.75">
      <c r="A60" s="329">
        <v>58</v>
      </c>
      <c r="B60" s="330">
        <v>43</v>
      </c>
      <c r="C60" s="331" t="s">
        <v>709</v>
      </c>
      <c r="D60" s="331" t="str">
        <f t="shared" si="0"/>
        <v>#11658</v>
      </c>
      <c r="E60" s="294" t="s">
        <v>4499</v>
      </c>
      <c r="F60" s="331" t="s">
        <v>4498</v>
      </c>
      <c r="G60" s="331" t="s">
        <v>8899</v>
      </c>
      <c r="H60" s="331" t="str">
        <f t="shared" si="1"/>
        <v>VN11658</v>
      </c>
      <c r="I60" s="331"/>
      <c r="J60" s="333">
        <v>123456</v>
      </c>
      <c r="K60" s="334"/>
      <c r="L60" s="335"/>
      <c r="M60" s="335"/>
      <c r="N60" s="336"/>
    </row>
    <row r="61" spans="1:14" ht="15.75">
      <c r="A61" s="329">
        <v>59</v>
      </c>
      <c r="B61" s="330">
        <v>44</v>
      </c>
      <c r="C61" s="331" t="s">
        <v>709</v>
      </c>
      <c r="D61" s="331" t="str">
        <f t="shared" si="0"/>
        <v>#11723</v>
      </c>
      <c r="E61" s="294" t="s">
        <v>4524</v>
      </c>
      <c r="F61" s="331" t="s">
        <v>4523</v>
      </c>
      <c r="G61" s="331" t="s">
        <v>8900</v>
      </c>
      <c r="H61" s="331" t="str">
        <f t="shared" si="1"/>
        <v>VN11723</v>
      </c>
      <c r="I61" s="331"/>
      <c r="J61" s="333"/>
      <c r="K61" s="334"/>
      <c r="L61" s="335"/>
      <c r="M61" s="335"/>
      <c r="N61" s="336"/>
    </row>
    <row r="62" spans="1:14" ht="15.75">
      <c r="A62" s="329">
        <v>60</v>
      </c>
      <c r="B62" s="330">
        <v>45</v>
      </c>
      <c r="C62" s="331" t="s">
        <v>709</v>
      </c>
      <c r="D62" s="331" t="str">
        <f t="shared" si="0"/>
        <v>#11724</v>
      </c>
      <c r="E62" s="294" t="s">
        <v>4525</v>
      </c>
      <c r="F62" s="331" t="s">
        <v>2647</v>
      </c>
      <c r="G62" s="331" t="s">
        <v>8901</v>
      </c>
      <c r="H62" s="331" t="str">
        <f t="shared" si="1"/>
        <v>VN11724</v>
      </c>
      <c r="I62" s="331" t="s">
        <v>8825</v>
      </c>
      <c r="J62" s="333"/>
      <c r="K62" s="334"/>
      <c r="L62" s="335"/>
      <c r="M62" s="335"/>
      <c r="N62" s="336"/>
    </row>
    <row r="63" spans="1:14" ht="15.75">
      <c r="A63" s="329">
        <v>61</v>
      </c>
      <c r="B63" s="330">
        <v>46</v>
      </c>
      <c r="C63" s="331" t="s">
        <v>709</v>
      </c>
      <c r="D63" s="331" t="str">
        <f t="shared" si="0"/>
        <v>#11725</v>
      </c>
      <c r="E63" s="294" t="s">
        <v>4527</v>
      </c>
      <c r="F63" s="331" t="s">
        <v>4526</v>
      </c>
      <c r="G63" s="331" t="s">
        <v>8902</v>
      </c>
      <c r="H63" s="331" t="str">
        <f t="shared" si="1"/>
        <v>VN11725</v>
      </c>
      <c r="I63" s="331"/>
      <c r="J63" s="333"/>
      <c r="K63" s="334"/>
      <c r="L63" s="335"/>
      <c r="M63" s="335"/>
      <c r="N63" s="336"/>
    </row>
    <row r="64" spans="1:14" ht="15.75">
      <c r="A64" s="329">
        <v>62</v>
      </c>
      <c r="B64" s="330">
        <v>47</v>
      </c>
      <c r="C64" s="331" t="s">
        <v>709</v>
      </c>
      <c r="D64" s="331" t="str">
        <f t="shared" si="0"/>
        <v>#11946</v>
      </c>
      <c r="E64" s="294" t="s">
        <v>8903</v>
      </c>
      <c r="F64" s="331" t="s">
        <v>8904</v>
      </c>
      <c r="G64" s="331" t="s">
        <v>8905</v>
      </c>
      <c r="H64" s="331" t="str">
        <f t="shared" si="1"/>
        <v>VN11946</v>
      </c>
      <c r="I64" s="331"/>
      <c r="J64" s="333"/>
      <c r="K64" s="334"/>
      <c r="L64" s="337">
        <v>45753</v>
      </c>
      <c r="M64" s="337">
        <v>45887</v>
      </c>
      <c r="N64" s="336"/>
    </row>
    <row r="65" spans="1:14" ht="15.75">
      <c r="A65" s="329">
        <v>63</v>
      </c>
      <c r="B65" s="330">
        <v>48</v>
      </c>
      <c r="C65" s="331" t="s">
        <v>709</v>
      </c>
      <c r="D65" s="331" t="str">
        <f t="shared" si="0"/>
        <v>#12038</v>
      </c>
      <c r="E65" s="294" t="s">
        <v>4597</v>
      </c>
      <c r="F65" s="331" t="s">
        <v>4596</v>
      </c>
      <c r="G65" s="331" t="s">
        <v>8906</v>
      </c>
      <c r="H65" s="331" t="str">
        <f t="shared" si="1"/>
        <v>VN12038</v>
      </c>
      <c r="I65" s="331"/>
      <c r="J65" s="333">
        <v>123456</v>
      </c>
      <c r="K65" s="334"/>
      <c r="L65" s="335"/>
      <c r="M65" s="335"/>
      <c r="N65" s="336"/>
    </row>
    <row r="66" spans="1:14" ht="15.75">
      <c r="A66" s="329">
        <v>64</v>
      </c>
      <c r="B66" s="330">
        <v>49</v>
      </c>
      <c r="C66" s="331" t="s">
        <v>709</v>
      </c>
      <c r="D66" s="331" t="str">
        <f t="shared" si="0"/>
        <v>#12403</v>
      </c>
      <c r="E66" s="294" t="s">
        <v>4679</v>
      </c>
      <c r="F66" s="331" t="s">
        <v>4678</v>
      </c>
      <c r="G66" s="331" t="s">
        <v>8907</v>
      </c>
      <c r="H66" s="331" t="str">
        <f t="shared" si="1"/>
        <v>VN12403</v>
      </c>
      <c r="I66" s="331"/>
      <c r="J66" s="333">
        <v>123456</v>
      </c>
      <c r="K66" s="334"/>
      <c r="L66" s="335"/>
      <c r="M66" s="335"/>
      <c r="N66" s="336"/>
    </row>
    <row r="67" spans="1:14" ht="15.75">
      <c r="A67" s="329">
        <v>65</v>
      </c>
      <c r="B67" s="330">
        <v>50</v>
      </c>
      <c r="C67" s="331" t="s">
        <v>709</v>
      </c>
      <c r="D67" s="331" t="str">
        <f t="shared" ref="D67:D130" si="2">CONCATENATE("#",E67)</f>
        <v>#12404</v>
      </c>
      <c r="E67" s="294" t="s">
        <v>8908</v>
      </c>
      <c r="F67" s="331" t="s">
        <v>8909</v>
      </c>
      <c r="G67" s="331" t="s">
        <v>8910</v>
      </c>
      <c r="H67" s="331" t="str">
        <f t="shared" ref="H67:H130" si="3">CONCATENATE("VN",E67)</f>
        <v>VN12404</v>
      </c>
      <c r="I67" s="331" t="s">
        <v>8825</v>
      </c>
      <c r="J67" s="333"/>
      <c r="K67" s="334"/>
      <c r="L67" s="337">
        <v>45761</v>
      </c>
      <c r="M67" s="337">
        <v>45887</v>
      </c>
      <c r="N67" s="336"/>
    </row>
    <row r="68" spans="1:14" ht="15.75">
      <c r="A68" s="329">
        <v>66</v>
      </c>
      <c r="B68" s="330">
        <v>51</v>
      </c>
      <c r="C68" s="331" t="s">
        <v>709</v>
      </c>
      <c r="D68" s="331" t="str">
        <f t="shared" si="2"/>
        <v>#12405</v>
      </c>
      <c r="E68" s="294" t="s">
        <v>4681</v>
      </c>
      <c r="F68" s="331" t="s">
        <v>4680</v>
      </c>
      <c r="G68" s="331" t="s">
        <v>8911</v>
      </c>
      <c r="H68" s="331" t="str">
        <f t="shared" si="3"/>
        <v>VN12405</v>
      </c>
      <c r="I68" s="331"/>
      <c r="J68" s="333"/>
      <c r="K68" s="334"/>
      <c r="L68" s="335"/>
      <c r="M68" s="335"/>
      <c r="N68" s="336"/>
    </row>
    <row r="69" spans="1:14" ht="15.75">
      <c r="A69" s="329">
        <v>67</v>
      </c>
      <c r="B69" s="330">
        <v>52</v>
      </c>
      <c r="C69" s="331" t="s">
        <v>709</v>
      </c>
      <c r="D69" s="331" t="str">
        <f t="shared" si="2"/>
        <v>#12580</v>
      </c>
      <c r="E69" s="294" t="s">
        <v>4711</v>
      </c>
      <c r="F69" s="331" t="s">
        <v>2945</v>
      </c>
      <c r="G69" s="331" t="s">
        <v>8912</v>
      </c>
      <c r="H69" s="331" t="str">
        <f t="shared" si="3"/>
        <v>VN12580</v>
      </c>
      <c r="I69" s="331"/>
      <c r="J69" s="333"/>
      <c r="K69" s="334"/>
      <c r="L69" s="335"/>
      <c r="M69" s="335"/>
      <c r="N69" s="336"/>
    </row>
    <row r="70" spans="1:14" ht="15.75">
      <c r="A70" s="329">
        <v>68</v>
      </c>
      <c r="B70" s="330">
        <v>53</v>
      </c>
      <c r="C70" s="331" t="s">
        <v>709</v>
      </c>
      <c r="D70" s="331" t="str">
        <f t="shared" si="2"/>
        <v>#12582</v>
      </c>
      <c r="E70" s="294" t="s">
        <v>4712</v>
      </c>
      <c r="F70" s="331" t="s">
        <v>1070</v>
      </c>
      <c r="G70" s="331" t="s">
        <v>8913</v>
      </c>
      <c r="H70" s="331" t="str">
        <f t="shared" si="3"/>
        <v>VN12582</v>
      </c>
      <c r="I70" s="331"/>
      <c r="J70" s="333">
        <v>123456</v>
      </c>
      <c r="K70" s="334"/>
      <c r="L70" s="335"/>
      <c r="M70" s="335"/>
      <c r="N70" s="336"/>
    </row>
    <row r="71" spans="1:14" ht="15.75">
      <c r="A71" s="329">
        <v>69</v>
      </c>
      <c r="B71" s="330">
        <v>54</v>
      </c>
      <c r="C71" s="331" t="s">
        <v>709</v>
      </c>
      <c r="D71" s="331" t="str">
        <f t="shared" si="2"/>
        <v>#12583</v>
      </c>
      <c r="E71" s="294" t="s">
        <v>4714</v>
      </c>
      <c r="F71" s="331" t="s">
        <v>4713</v>
      </c>
      <c r="G71" s="331" t="s">
        <v>8914</v>
      </c>
      <c r="H71" s="331" t="str">
        <f t="shared" si="3"/>
        <v>VN12583</v>
      </c>
      <c r="I71" s="331"/>
      <c r="J71" s="333" t="s">
        <v>8915</v>
      </c>
      <c r="K71" s="334"/>
      <c r="L71" s="335"/>
      <c r="M71" s="335"/>
      <c r="N71" s="336"/>
    </row>
    <row r="72" spans="1:14" ht="15.75">
      <c r="A72" s="329">
        <v>70</v>
      </c>
      <c r="B72" s="330">
        <v>55</v>
      </c>
      <c r="C72" s="331" t="s">
        <v>709</v>
      </c>
      <c r="D72" s="331" t="str">
        <f t="shared" si="2"/>
        <v>#12584</v>
      </c>
      <c r="E72" s="294" t="s">
        <v>4716</v>
      </c>
      <c r="F72" s="331" t="s">
        <v>4715</v>
      </c>
      <c r="G72" s="331" t="s">
        <v>8916</v>
      </c>
      <c r="H72" s="331" t="str">
        <f t="shared" si="3"/>
        <v>VN12584</v>
      </c>
      <c r="I72" s="331"/>
      <c r="J72" s="333"/>
      <c r="K72" s="334"/>
      <c r="L72" s="335"/>
      <c r="M72" s="335"/>
      <c r="N72" s="336"/>
    </row>
    <row r="73" spans="1:14" ht="15.75">
      <c r="A73" s="329">
        <v>71</v>
      </c>
      <c r="B73" s="330">
        <v>56</v>
      </c>
      <c r="C73" s="331" t="s">
        <v>709</v>
      </c>
      <c r="D73" s="331" t="str">
        <f t="shared" si="2"/>
        <v>#12698</v>
      </c>
      <c r="E73" s="294" t="s">
        <v>8917</v>
      </c>
      <c r="F73" s="331" t="s">
        <v>8918</v>
      </c>
      <c r="G73" s="331" t="s">
        <v>8919</v>
      </c>
      <c r="H73" s="331" t="str">
        <f t="shared" si="3"/>
        <v>VN12698</v>
      </c>
      <c r="I73" s="331" t="s">
        <v>8825</v>
      </c>
      <c r="J73" s="333"/>
      <c r="K73" s="334"/>
      <c r="L73" s="337">
        <v>45784</v>
      </c>
      <c r="M73" s="337">
        <v>45887</v>
      </c>
      <c r="N73" s="336"/>
    </row>
    <row r="74" spans="1:14" ht="15.75">
      <c r="A74" s="329">
        <v>72</v>
      </c>
      <c r="B74" s="330">
        <v>57</v>
      </c>
      <c r="C74" s="331" t="s">
        <v>709</v>
      </c>
      <c r="D74" s="331" t="str">
        <f t="shared" si="2"/>
        <v>#12760</v>
      </c>
      <c r="E74" s="294" t="s">
        <v>4737</v>
      </c>
      <c r="F74" s="331" t="s">
        <v>4736</v>
      </c>
      <c r="G74" s="331" t="s">
        <v>8920</v>
      </c>
      <c r="H74" s="331" t="str">
        <f t="shared" si="3"/>
        <v>VN12760</v>
      </c>
      <c r="I74" s="331"/>
      <c r="J74" s="333" t="s">
        <v>8921</v>
      </c>
      <c r="K74" s="334"/>
      <c r="L74" s="335"/>
      <c r="M74" s="335"/>
      <c r="N74" s="336"/>
    </row>
    <row r="75" spans="1:14" ht="15.75">
      <c r="A75" s="329">
        <v>73</v>
      </c>
      <c r="B75" s="330">
        <v>58</v>
      </c>
      <c r="C75" s="331" t="s">
        <v>709</v>
      </c>
      <c r="D75" s="331" t="str">
        <f t="shared" si="2"/>
        <v>#12761</v>
      </c>
      <c r="E75" s="294" t="s">
        <v>4739</v>
      </c>
      <c r="F75" s="331" t="s">
        <v>4738</v>
      </c>
      <c r="G75" s="331" t="s">
        <v>8922</v>
      </c>
      <c r="H75" s="331" t="str">
        <f t="shared" si="3"/>
        <v>VN12761</v>
      </c>
      <c r="I75" s="331" t="s">
        <v>8825</v>
      </c>
      <c r="J75" s="333"/>
      <c r="K75" s="334"/>
      <c r="L75" s="335"/>
      <c r="M75" s="335"/>
      <c r="N75" s="336"/>
    </row>
    <row r="76" spans="1:14" ht="15.75">
      <c r="A76" s="329">
        <v>74</v>
      </c>
      <c r="B76" s="330">
        <v>59</v>
      </c>
      <c r="C76" s="331" t="s">
        <v>709</v>
      </c>
      <c r="D76" s="331" t="str">
        <f t="shared" si="2"/>
        <v>#12805</v>
      </c>
      <c r="E76" s="294" t="s">
        <v>8923</v>
      </c>
      <c r="F76" s="331" t="s">
        <v>8924</v>
      </c>
      <c r="G76" s="331" t="s">
        <v>8925</v>
      </c>
      <c r="H76" s="331" t="str">
        <f t="shared" si="3"/>
        <v>VN12805</v>
      </c>
      <c r="I76" s="331"/>
      <c r="J76" s="333"/>
      <c r="K76" s="334"/>
      <c r="L76" s="337">
        <v>45354</v>
      </c>
      <c r="M76" s="337">
        <v>45887</v>
      </c>
      <c r="N76" s="336"/>
    </row>
    <row r="77" spans="1:14" ht="15.75">
      <c r="A77" s="329">
        <v>75</v>
      </c>
      <c r="B77" s="330">
        <v>60</v>
      </c>
      <c r="C77" s="331" t="s">
        <v>709</v>
      </c>
      <c r="D77" s="331" t="str">
        <f t="shared" si="2"/>
        <v>#12806</v>
      </c>
      <c r="E77" s="294" t="s">
        <v>4745</v>
      </c>
      <c r="F77" s="331" t="s">
        <v>4744</v>
      </c>
      <c r="G77" s="331" t="s">
        <v>8926</v>
      </c>
      <c r="H77" s="331" t="str">
        <f t="shared" si="3"/>
        <v>VN12806</v>
      </c>
      <c r="I77" s="331" t="s">
        <v>8825</v>
      </c>
      <c r="J77" s="333"/>
      <c r="K77" s="334"/>
      <c r="L77" s="335"/>
      <c r="M77" s="335"/>
      <c r="N77" s="336"/>
    </row>
    <row r="78" spans="1:14" ht="15.75">
      <c r="A78" s="329">
        <v>76</v>
      </c>
      <c r="B78" s="330">
        <v>61</v>
      </c>
      <c r="C78" s="331" t="s">
        <v>709</v>
      </c>
      <c r="D78" s="331" t="str">
        <f t="shared" si="2"/>
        <v>#12808</v>
      </c>
      <c r="E78" s="294" t="s">
        <v>4747</v>
      </c>
      <c r="F78" s="331" t="s">
        <v>4746</v>
      </c>
      <c r="G78" s="331" t="s">
        <v>8927</v>
      </c>
      <c r="H78" s="331" t="str">
        <f t="shared" si="3"/>
        <v>VN12808</v>
      </c>
      <c r="I78" s="331"/>
      <c r="J78" s="333"/>
      <c r="K78" s="334"/>
      <c r="L78" s="335"/>
      <c r="M78" s="335"/>
      <c r="N78" s="336"/>
    </row>
    <row r="79" spans="1:14" ht="15.75">
      <c r="A79" s="329">
        <v>77</v>
      </c>
      <c r="B79" s="330">
        <v>62</v>
      </c>
      <c r="C79" s="331" t="s">
        <v>709</v>
      </c>
      <c r="D79" s="331" t="str">
        <f t="shared" si="2"/>
        <v>#13074</v>
      </c>
      <c r="E79" s="294" t="s">
        <v>8928</v>
      </c>
      <c r="F79" s="331" t="s">
        <v>8929</v>
      </c>
      <c r="G79" s="331" t="s">
        <v>8930</v>
      </c>
      <c r="H79" s="331" t="str">
        <f t="shared" si="3"/>
        <v>VN13074</v>
      </c>
      <c r="I79" s="331"/>
      <c r="J79" s="333"/>
      <c r="K79" s="334"/>
      <c r="L79" s="337">
        <v>45824</v>
      </c>
      <c r="M79" s="337">
        <v>45887</v>
      </c>
      <c r="N79" s="336"/>
    </row>
    <row r="80" spans="1:14" ht="15.75">
      <c r="A80" s="329">
        <v>78</v>
      </c>
      <c r="B80" s="330">
        <v>63</v>
      </c>
      <c r="C80" s="331" t="s">
        <v>709</v>
      </c>
      <c r="D80" s="331" t="str">
        <f t="shared" si="2"/>
        <v>#13090</v>
      </c>
      <c r="E80" s="294" t="s">
        <v>4786</v>
      </c>
      <c r="F80" s="331" t="s">
        <v>4785</v>
      </c>
      <c r="G80" s="331" t="s">
        <v>8931</v>
      </c>
      <c r="H80" s="331" t="str">
        <f t="shared" si="3"/>
        <v>VN13090</v>
      </c>
      <c r="I80" s="331"/>
      <c r="J80" s="333"/>
      <c r="K80" s="334"/>
      <c r="L80" s="335"/>
      <c r="M80" s="335"/>
      <c r="N80" s="336"/>
    </row>
    <row r="81" spans="1:14" ht="15.75">
      <c r="A81" s="329">
        <v>79</v>
      </c>
      <c r="B81" s="330">
        <v>64</v>
      </c>
      <c r="C81" s="331" t="s">
        <v>709</v>
      </c>
      <c r="D81" s="331" t="str">
        <f t="shared" si="2"/>
        <v>#13165</v>
      </c>
      <c r="E81" s="294" t="s">
        <v>4795</v>
      </c>
      <c r="F81" s="331" t="s">
        <v>4028</v>
      </c>
      <c r="G81" s="331" t="s">
        <v>8932</v>
      </c>
      <c r="H81" s="331" t="str">
        <f t="shared" si="3"/>
        <v>VN13165</v>
      </c>
      <c r="I81" s="331"/>
      <c r="J81" s="333"/>
      <c r="K81" s="334"/>
      <c r="L81" s="335"/>
      <c r="M81" s="335"/>
      <c r="N81" s="336"/>
    </row>
    <row r="82" spans="1:14" ht="15.75">
      <c r="A82" s="329">
        <v>80</v>
      </c>
      <c r="B82" s="330">
        <v>65</v>
      </c>
      <c r="C82" s="331" t="s">
        <v>709</v>
      </c>
      <c r="D82" s="331" t="str">
        <f t="shared" si="2"/>
        <v>#13166</v>
      </c>
      <c r="E82" s="294" t="s">
        <v>8933</v>
      </c>
      <c r="F82" s="331" t="s">
        <v>8934</v>
      </c>
      <c r="G82" s="331" t="s">
        <v>8935</v>
      </c>
      <c r="H82" s="331" t="str">
        <f t="shared" si="3"/>
        <v>VN13166</v>
      </c>
      <c r="I82" s="331"/>
      <c r="J82" s="333"/>
      <c r="K82" s="334"/>
      <c r="L82" s="337">
        <v>45317</v>
      </c>
      <c r="M82" s="337">
        <v>45887</v>
      </c>
      <c r="N82" s="336"/>
    </row>
    <row r="83" spans="1:14" ht="15.75">
      <c r="A83" s="329">
        <v>81</v>
      </c>
      <c r="B83" s="330">
        <v>66</v>
      </c>
      <c r="C83" s="331" t="s">
        <v>709</v>
      </c>
      <c r="D83" s="331" t="str">
        <f t="shared" si="2"/>
        <v>#13209</v>
      </c>
      <c r="E83" s="294" t="s">
        <v>8936</v>
      </c>
      <c r="F83" s="331" t="s">
        <v>2557</v>
      </c>
      <c r="G83" s="331" t="s">
        <v>8937</v>
      </c>
      <c r="H83" s="331" t="str">
        <f t="shared" si="3"/>
        <v>VN13209</v>
      </c>
      <c r="I83" s="331"/>
      <c r="J83" s="333"/>
      <c r="K83" s="334"/>
      <c r="L83" s="337">
        <v>45346</v>
      </c>
      <c r="M83" s="337">
        <v>45887</v>
      </c>
      <c r="N83" s="336"/>
    </row>
    <row r="84" spans="1:14" ht="15.75">
      <c r="A84" s="329">
        <v>82</v>
      </c>
      <c r="B84" s="330">
        <v>67</v>
      </c>
      <c r="C84" s="331" t="s">
        <v>709</v>
      </c>
      <c r="D84" s="331" t="str">
        <f t="shared" si="2"/>
        <v>#13321</v>
      </c>
      <c r="E84" s="294" t="s">
        <v>4837</v>
      </c>
      <c r="F84" s="331" t="s">
        <v>4836</v>
      </c>
      <c r="G84" s="331" t="s">
        <v>8938</v>
      </c>
      <c r="H84" s="331" t="str">
        <f t="shared" si="3"/>
        <v>VN13321</v>
      </c>
      <c r="I84" s="331"/>
      <c r="J84" s="333" t="s">
        <v>8939</v>
      </c>
      <c r="K84" s="334"/>
      <c r="L84" s="335"/>
      <c r="M84" s="335"/>
      <c r="N84" s="336"/>
    </row>
    <row r="85" spans="1:14" ht="15.75">
      <c r="A85" s="329">
        <v>83</v>
      </c>
      <c r="B85" s="330">
        <v>68</v>
      </c>
      <c r="C85" s="331" t="s">
        <v>709</v>
      </c>
      <c r="D85" s="331" t="str">
        <f t="shared" si="2"/>
        <v>#13486</v>
      </c>
      <c r="E85" s="294" t="s">
        <v>8940</v>
      </c>
      <c r="F85" s="331" t="s">
        <v>8941</v>
      </c>
      <c r="G85" s="331" t="s">
        <v>8942</v>
      </c>
      <c r="H85" s="331" t="str">
        <f t="shared" si="3"/>
        <v>VN13486</v>
      </c>
      <c r="I85" s="331"/>
      <c r="J85" s="333"/>
      <c r="K85" s="334"/>
      <c r="L85" s="337">
        <v>45520</v>
      </c>
      <c r="M85" s="337">
        <v>45887</v>
      </c>
      <c r="N85" s="336"/>
    </row>
    <row r="86" spans="1:14" ht="15.75">
      <c r="A86" s="329">
        <v>84</v>
      </c>
      <c r="B86" s="330">
        <v>69</v>
      </c>
      <c r="C86" s="331" t="s">
        <v>709</v>
      </c>
      <c r="D86" s="331" t="str">
        <f t="shared" si="2"/>
        <v>#13667</v>
      </c>
      <c r="E86" s="294" t="s">
        <v>8943</v>
      </c>
      <c r="F86" s="331" t="s">
        <v>8944</v>
      </c>
      <c r="G86" s="331" t="s">
        <v>8945</v>
      </c>
      <c r="H86" s="331" t="str">
        <f t="shared" si="3"/>
        <v>VN13667</v>
      </c>
      <c r="I86" s="331" t="s">
        <v>8825</v>
      </c>
      <c r="J86" s="333"/>
      <c r="K86" s="334"/>
      <c r="L86" s="337">
        <v>45513</v>
      </c>
      <c r="M86" s="337">
        <v>45887</v>
      </c>
      <c r="N86" s="336"/>
    </row>
    <row r="87" spans="1:14" ht="15.75">
      <c r="A87" s="329">
        <v>85</v>
      </c>
      <c r="B87" s="330">
        <v>70</v>
      </c>
      <c r="C87" s="331" t="s">
        <v>709</v>
      </c>
      <c r="D87" s="331" t="str">
        <f t="shared" si="2"/>
        <v>#13668</v>
      </c>
      <c r="E87" s="294" t="s">
        <v>4911</v>
      </c>
      <c r="F87" s="331" t="s">
        <v>4910</v>
      </c>
      <c r="G87" s="331" t="s">
        <v>8946</v>
      </c>
      <c r="H87" s="331" t="str">
        <f t="shared" si="3"/>
        <v>VN13668</v>
      </c>
      <c r="I87" s="331" t="s">
        <v>8825</v>
      </c>
      <c r="J87" s="333" t="s">
        <v>8947</v>
      </c>
      <c r="K87" s="334"/>
      <c r="L87" s="335"/>
      <c r="M87" s="335"/>
      <c r="N87" s="336"/>
    </row>
    <row r="88" spans="1:14" ht="15.75">
      <c r="A88" s="329">
        <v>86</v>
      </c>
      <c r="B88" s="330">
        <v>71</v>
      </c>
      <c r="C88" s="331" t="s">
        <v>709</v>
      </c>
      <c r="D88" s="331" t="str">
        <f t="shared" si="2"/>
        <v>#13669</v>
      </c>
      <c r="E88" s="294" t="s">
        <v>4913</v>
      </c>
      <c r="F88" s="331" t="s">
        <v>4912</v>
      </c>
      <c r="G88" s="331" t="s">
        <v>8948</v>
      </c>
      <c r="H88" s="331" t="str">
        <f t="shared" si="3"/>
        <v>VN13669</v>
      </c>
      <c r="I88" s="331" t="s">
        <v>8825</v>
      </c>
      <c r="J88" s="333" t="s">
        <v>8939</v>
      </c>
      <c r="K88" s="334"/>
      <c r="L88" s="335"/>
      <c r="M88" s="335"/>
      <c r="N88" s="336"/>
    </row>
    <row r="89" spans="1:14" ht="15.75">
      <c r="A89" s="329">
        <v>87</v>
      </c>
      <c r="B89" s="330">
        <v>72</v>
      </c>
      <c r="C89" s="331" t="s">
        <v>709</v>
      </c>
      <c r="D89" s="331" t="str">
        <f t="shared" si="2"/>
        <v>#13671</v>
      </c>
      <c r="E89" s="294" t="s">
        <v>8949</v>
      </c>
      <c r="F89" s="331" t="s">
        <v>8950</v>
      </c>
      <c r="G89" s="331" t="s">
        <v>8951</v>
      </c>
      <c r="H89" s="331" t="str">
        <f t="shared" si="3"/>
        <v>VN13671</v>
      </c>
      <c r="I89" s="331"/>
      <c r="J89" s="333"/>
      <c r="K89" s="334"/>
      <c r="L89" s="337">
        <v>45506</v>
      </c>
      <c r="M89" s="337">
        <v>45887</v>
      </c>
      <c r="N89" s="336"/>
    </row>
    <row r="90" spans="1:14" ht="15.75">
      <c r="A90" s="329">
        <v>88</v>
      </c>
      <c r="B90" s="330">
        <v>73</v>
      </c>
      <c r="C90" s="331" t="s">
        <v>709</v>
      </c>
      <c r="D90" s="331" t="str">
        <f t="shared" si="2"/>
        <v>#13672</v>
      </c>
      <c r="E90" s="294" t="s">
        <v>4915</v>
      </c>
      <c r="F90" s="331" t="s">
        <v>4914</v>
      </c>
      <c r="G90" s="331" t="s">
        <v>8952</v>
      </c>
      <c r="H90" s="331" t="str">
        <f t="shared" si="3"/>
        <v>VN13672</v>
      </c>
      <c r="I90" s="331"/>
      <c r="J90" s="333"/>
      <c r="K90" s="334"/>
      <c r="L90" s="335"/>
      <c r="M90" s="335"/>
      <c r="N90" s="336"/>
    </row>
    <row r="91" spans="1:14" ht="15.75">
      <c r="A91" s="329">
        <v>89</v>
      </c>
      <c r="B91" s="330">
        <v>74</v>
      </c>
      <c r="C91" s="331" t="s">
        <v>709</v>
      </c>
      <c r="D91" s="331" t="str">
        <f t="shared" si="2"/>
        <v>#13852</v>
      </c>
      <c r="E91" s="294" t="s">
        <v>4969</v>
      </c>
      <c r="F91" s="331" t="s">
        <v>4968</v>
      </c>
      <c r="G91" s="331" t="s">
        <v>8953</v>
      </c>
      <c r="H91" s="331" t="str">
        <f t="shared" si="3"/>
        <v>VN13852</v>
      </c>
      <c r="I91" s="331" t="s">
        <v>8825</v>
      </c>
      <c r="J91" s="333"/>
      <c r="K91" s="334"/>
      <c r="L91" s="335"/>
      <c r="M91" s="335"/>
      <c r="N91" s="336"/>
    </row>
    <row r="92" spans="1:14" ht="15.75">
      <c r="A92" s="329">
        <v>90</v>
      </c>
      <c r="B92" s="330">
        <v>75</v>
      </c>
      <c r="C92" s="331" t="s">
        <v>709</v>
      </c>
      <c r="D92" s="331" t="str">
        <f t="shared" si="2"/>
        <v>#14081</v>
      </c>
      <c r="E92" s="294" t="s">
        <v>8954</v>
      </c>
      <c r="F92" s="331" t="s">
        <v>1372</v>
      </c>
      <c r="G92" s="331" t="s">
        <v>8955</v>
      </c>
      <c r="H92" s="331" t="str">
        <f t="shared" si="3"/>
        <v>VN14081</v>
      </c>
      <c r="I92" s="331"/>
      <c r="J92" s="333" t="s">
        <v>8956</v>
      </c>
      <c r="K92" s="334"/>
      <c r="L92" s="335">
        <v>45932</v>
      </c>
      <c r="M92" s="335"/>
      <c r="N92" s="336"/>
    </row>
    <row r="93" spans="1:14" ht="15.75">
      <c r="A93" s="329">
        <v>91</v>
      </c>
      <c r="B93" s="330">
        <v>76</v>
      </c>
      <c r="C93" s="331" t="s">
        <v>709</v>
      </c>
      <c r="D93" s="331" t="str">
        <f t="shared" si="2"/>
        <v>#14083</v>
      </c>
      <c r="E93" s="294" t="s">
        <v>8957</v>
      </c>
      <c r="F93" s="331" t="s">
        <v>8958</v>
      </c>
      <c r="G93" s="331" t="s">
        <v>8959</v>
      </c>
      <c r="H93" s="331" t="str">
        <f t="shared" si="3"/>
        <v>VN14083</v>
      </c>
      <c r="I93" s="331" t="s">
        <v>8825</v>
      </c>
      <c r="J93" s="333"/>
      <c r="K93" s="334"/>
      <c r="L93" s="337">
        <v>45509</v>
      </c>
      <c r="M93" s="337">
        <v>45887</v>
      </c>
      <c r="N93" s="336"/>
    </row>
    <row r="94" spans="1:14" ht="15.75">
      <c r="A94" s="329">
        <v>92</v>
      </c>
      <c r="B94" s="330">
        <v>77</v>
      </c>
      <c r="C94" s="331" t="s">
        <v>709</v>
      </c>
      <c r="D94" s="331" t="str">
        <f t="shared" si="2"/>
        <v>#17647</v>
      </c>
      <c r="E94" s="294" t="s">
        <v>8960</v>
      </c>
      <c r="F94" s="340" t="s">
        <v>7924</v>
      </c>
      <c r="G94" s="331" t="s">
        <v>8961</v>
      </c>
      <c r="H94" s="331" t="str">
        <f t="shared" si="3"/>
        <v>VN17647</v>
      </c>
      <c r="I94" s="331"/>
      <c r="J94" s="333"/>
      <c r="K94" s="334"/>
      <c r="L94" s="337">
        <v>45553</v>
      </c>
      <c r="M94" s="337">
        <v>45887</v>
      </c>
      <c r="N94" s="336"/>
    </row>
    <row r="95" spans="1:14" ht="15.75">
      <c r="A95" s="329">
        <v>93</v>
      </c>
      <c r="B95" s="330">
        <v>78</v>
      </c>
      <c r="C95" s="331" t="s">
        <v>709</v>
      </c>
      <c r="D95" s="331" t="str">
        <f t="shared" si="2"/>
        <v>#17582</v>
      </c>
      <c r="E95" s="294" t="s">
        <v>5764</v>
      </c>
      <c r="F95" s="331" t="s">
        <v>5763</v>
      </c>
      <c r="G95" s="331" t="s">
        <v>8962</v>
      </c>
      <c r="H95" s="331" t="str">
        <f t="shared" si="3"/>
        <v>VN17582</v>
      </c>
      <c r="I95" s="331"/>
      <c r="J95" s="333">
        <v>123456</v>
      </c>
      <c r="K95" s="334"/>
      <c r="L95" s="335"/>
      <c r="M95" s="335"/>
      <c r="N95" s="336"/>
    </row>
    <row r="96" spans="1:14" ht="15.75">
      <c r="A96" s="329">
        <v>94</v>
      </c>
      <c r="B96" s="330">
        <v>79</v>
      </c>
      <c r="C96" s="331" t="s">
        <v>709</v>
      </c>
      <c r="D96" s="331" t="str">
        <f t="shared" si="2"/>
        <v>#16851</v>
      </c>
      <c r="E96" s="294" t="s">
        <v>5582</v>
      </c>
      <c r="F96" s="331" t="s">
        <v>5581</v>
      </c>
      <c r="G96" s="338" t="s">
        <v>8963</v>
      </c>
      <c r="H96" s="338" t="str">
        <f t="shared" si="3"/>
        <v>VN16851</v>
      </c>
      <c r="I96" s="338"/>
      <c r="J96" s="339"/>
      <c r="K96" s="334"/>
      <c r="L96" s="335"/>
      <c r="M96" s="335"/>
      <c r="N96" s="336"/>
    </row>
    <row r="97" spans="1:14" ht="15.75">
      <c r="A97" s="329">
        <v>95</v>
      </c>
      <c r="B97" s="330">
        <v>80</v>
      </c>
      <c r="C97" s="331" t="s">
        <v>709</v>
      </c>
      <c r="D97" s="331" t="str">
        <f t="shared" si="2"/>
        <v>#16671</v>
      </c>
      <c r="E97" s="294" t="s">
        <v>8964</v>
      </c>
      <c r="F97" s="331" t="s">
        <v>8965</v>
      </c>
      <c r="G97" s="338" t="s">
        <v>8966</v>
      </c>
      <c r="H97" s="338" t="str">
        <f t="shared" si="3"/>
        <v>VN16671</v>
      </c>
      <c r="I97" s="338"/>
      <c r="J97" s="339"/>
      <c r="K97" s="334"/>
      <c r="L97" s="337">
        <v>45631</v>
      </c>
      <c r="M97" s="337">
        <v>45887</v>
      </c>
      <c r="N97" s="336"/>
    </row>
    <row r="98" spans="1:14" ht="15.75">
      <c r="A98" s="329">
        <v>96</v>
      </c>
      <c r="B98" s="330">
        <v>81</v>
      </c>
      <c r="C98" s="331" t="s">
        <v>709</v>
      </c>
      <c r="D98" s="331" t="str">
        <f t="shared" si="2"/>
        <v>#16290</v>
      </c>
      <c r="E98" s="294" t="s">
        <v>5488</v>
      </c>
      <c r="F98" s="331" t="s">
        <v>979</v>
      </c>
      <c r="G98" s="338" t="s">
        <v>8967</v>
      </c>
      <c r="H98" s="338" t="str">
        <f t="shared" si="3"/>
        <v>VN16290</v>
      </c>
      <c r="I98" s="338"/>
      <c r="J98" s="339" t="s">
        <v>8968</v>
      </c>
      <c r="K98" s="334"/>
      <c r="L98" s="335"/>
      <c r="M98" s="335"/>
      <c r="N98" s="336"/>
    </row>
    <row r="99" spans="1:14" ht="15.75">
      <c r="A99" s="329">
        <v>97</v>
      </c>
      <c r="B99" s="330">
        <v>82</v>
      </c>
      <c r="C99" s="331" t="s">
        <v>709</v>
      </c>
      <c r="D99" s="331" t="str">
        <f t="shared" si="2"/>
        <v>#16289</v>
      </c>
      <c r="E99" s="294" t="s">
        <v>5487</v>
      </c>
      <c r="F99" s="331" t="s">
        <v>3130</v>
      </c>
      <c r="G99" s="338" t="s">
        <v>8969</v>
      </c>
      <c r="H99" s="338" t="str">
        <f t="shared" si="3"/>
        <v>VN16289</v>
      </c>
      <c r="I99" s="338"/>
      <c r="J99" s="339">
        <v>123456</v>
      </c>
      <c r="K99" s="334"/>
      <c r="L99" s="335"/>
      <c r="M99" s="335"/>
      <c r="N99" s="336"/>
    </row>
    <row r="100" spans="1:14" ht="15.75">
      <c r="A100" s="329">
        <v>98</v>
      </c>
      <c r="B100" s="330">
        <v>83</v>
      </c>
      <c r="C100" s="331" t="s">
        <v>709</v>
      </c>
      <c r="D100" s="331" t="str">
        <f t="shared" si="2"/>
        <v>#16003</v>
      </c>
      <c r="E100" s="294" t="s">
        <v>8970</v>
      </c>
      <c r="F100" s="331" t="s">
        <v>8971</v>
      </c>
      <c r="G100" s="338" t="s">
        <v>8972</v>
      </c>
      <c r="H100" s="338" t="str">
        <f t="shared" si="3"/>
        <v>VN16003</v>
      </c>
      <c r="I100" s="338"/>
      <c r="J100" s="339"/>
      <c r="K100" s="334"/>
      <c r="L100" s="337">
        <v>45665</v>
      </c>
      <c r="M100" s="337">
        <v>45887</v>
      </c>
      <c r="N100" s="336"/>
    </row>
    <row r="101" spans="1:14" ht="15.75">
      <c r="A101" s="329">
        <v>99</v>
      </c>
      <c r="B101" s="330">
        <v>84</v>
      </c>
      <c r="C101" s="331" t="s">
        <v>709</v>
      </c>
      <c r="D101" s="331" t="str">
        <f t="shared" si="2"/>
        <v>#16002</v>
      </c>
      <c r="E101" s="294" t="s">
        <v>5428</v>
      </c>
      <c r="F101" s="331" t="s">
        <v>5427</v>
      </c>
      <c r="G101" s="338" t="s">
        <v>8973</v>
      </c>
      <c r="H101" s="338" t="str">
        <f t="shared" si="3"/>
        <v>VN16002</v>
      </c>
      <c r="I101" s="338"/>
      <c r="J101" s="339"/>
      <c r="K101" s="334"/>
      <c r="L101" s="335"/>
      <c r="M101" s="335"/>
      <c r="N101" s="336"/>
    </row>
    <row r="102" spans="1:14" ht="15.75">
      <c r="A102" s="329">
        <v>100</v>
      </c>
      <c r="B102" s="330">
        <v>85</v>
      </c>
      <c r="C102" s="331" t="s">
        <v>709</v>
      </c>
      <c r="D102" s="331" t="str">
        <f t="shared" si="2"/>
        <v>#15629</v>
      </c>
      <c r="E102" s="294" t="s">
        <v>5342</v>
      </c>
      <c r="F102" s="331" t="s">
        <v>979</v>
      </c>
      <c r="G102" s="338" t="s">
        <v>8974</v>
      </c>
      <c r="H102" s="338" t="str">
        <f t="shared" si="3"/>
        <v>VN15629</v>
      </c>
      <c r="I102" s="338"/>
      <c r="J102" s="339">
        <v>123456</v>
      </c>
      <c r="K102" s="334"/>
      <c r="L102" s="335"/>
      <c r="M102" s="335"/>
      <c r="N102" s="336"/>
    </row>
    <row r="103" spans="1:14" ht="15.75">
      <c r="A103" s="329">
        <v>101</v>
      </c>
      <c r="B103" s="330">
        <v>86</v>
      </c>
      <c r="C103" s="331" t="s">
        <v>709</v>
      </c>
      <c r="D103" s="331" t="str">
        <f t="shared" si="2"/>
        <v>#15627</v>
      </c>
      <c r="E103" s="294" t="s">
        <v>5340</v>
      </c>
      <c r="F103" s="331" t="s">
        <v>8975</v>
      </c>
      <c r="G103" s="338" t="s">
        <v>8976</v>
      </c>
      <c r="H103" s="338" t="str">
        <f t="shared" si="3"/>
        <v>VN15627</v>
      </c>
      <c r="I103" s="338"/>
      <c r="J103" s="339">
        <v>123456</v>
      </c>
      <c r="K103" s="334"/>
      <c r="L103" s="335"/>
      <c r="M103" s="335"/>
      <c r="N103" s="336"/>
    </row>
    <row r="104" spans="1:14" ht="15.75">
      <c r="A104" s="329">
        <v>102</v>
      </c>
      <c r="B104" s="330">
        <v>87</v>
      </c>
      <c r="C104" s="331" t="s">
        <v>709</v>
      </c>
      <c r="D104" s="331" t="str">
        <f t="shared" si="2"/>
        <v>#15626</v>
      </c>
      <c r="E104" s="294" t="s">
        <v>5338</v>
      </c>
      <c r="F104" s="331" t="s">
        <v>5337</v>
      </c>
      <c r="G104" s="338" t="s">
        <v>8977</v>
      </c>
      <c r="H104" s="338" t="str">
        <f t="shared" si="3"/>
        <v>VN15626</v>
      </c>
      <c r="I104" s="338"/>
      <c r="J104" s="339" t="s">
        <v>8978</v>
      </c>
      <c r="K104" s="334"/>
      <c r="L104" s="335"/>
      <c r="M104" s="335"/>
      <c r="N104" s="336"/>
    </row>
    <row r="105" spans="1:14" ht="15.75">
      <c r="A105" s="329">
        <v>103</v>
      </c>
      <c r="B105" s="330">
        <v>88</v>
      </c>
      <c r="C105" s="331" t="s">
        <v>709</v>
      </c>
      <c r="D105" s="331" t="str">
        <f t="shared" si="2"/>
        <v>#15625</v>
      </c>
      <c r="E105" s="294" t="s">
        <v>5336</v>
      </c>
      <c r="F105" s="331" t="s">
        <v>5335</v>
      </c>
      <c r="G105" s="338" t="s">
        <v>8979</v>
      </c>
      <c r="H105" s="338" t="str">
        <f t="shared" si="3"/>
        <v>VN15625</v>
      </c>
      <c r="I105" s="338"/>
      <c r="J105" s="339">
        <v>123456</v>
      </c>
      <c r="K105" s="334"/>
      <c r="L105" s="335"/>
      <c r="M105" s="335"/>
      <c r="N105" s="336"/>
    </row>
    <row r="106" spans="1:14" ht="15.75">
      <c r="A106" s="329">
        <v>104</v>
      </c>
      <c r="B106" s="330">
        <v>89</v>
      </c>
      <c r="C106" s="331" t="s">
        <v>709</v>
      </c>
      <c r="D106" s="331" t="str">
        <f t="shared" si="2"/>
        <v>#17885</v>
      </c>
      <c r="E106" s="294" t="s">
        <v>5882</v>
      </c>
      <c r="F106" s="331" t="s">
        <v>8980</v>
      </c>
      <c r="G106" s="331" t="s">
        <v>8981</v>
      </c>
      <c r="H106" s="331" t="str">
        <f t="shared" si="3"/>
        <v>VN17885</v>
      </c>
      <c r="I106" s="331"/>
      <c r="J106" s="333"/>
      <c r="K106" s="334"/>
      <c r="L106" s="335"/>
      <c r="M106" s="335"/>
      <c r="N106" s="336"/>
    </row>
    <row r="107" spans="1:14" s="342" customFormat="1" ht="15.75">
      <c r="A107" s="329">
        <v>105</v>
      </c>
      <c r="B107" s="330">
        <v>90</v>
      </c>
      <c r="C107" s="331" t="s">
        <v>709</v>
      </c>
      <c r="D107" s="331" t="str">
        <f t="shared" si="2"/>
        <v>#17573</v>
      </c>
      <c r="E107" s="294" t="s">
        <v>5755</v>
      </c>
      <c r="F107" s="331" t="s">
        <v>8982</v>
      </c>
      <c r="G107" s="331" t="s">
        <v>8983</v>
      </c>
      <c r="H107" s="331" t="str">
        <f t="shared" si="3"/>
        <v>VN17573</v>
      </c>
      <c r="I107" s="331"/>
      <c r="J107" s="333"/>
      <c r="K107" s="334"/>
      <c r="L107" s="334"/>
      <c r="M107" s="334"/>
      <c r="N107" s="341"/>
    </row>
    <row r="108" spans="1:14" s="342" customFormat="1" ht="15.75">
      <c r="A108" s="329">
        <v>106</v>
      </c>
      <c r="B108" s="330">
        <v>91</v>
      </c>
      <c r="C108" s="331" t="s">
        <v>709</v>
      </c>
      <c r="D108" s="331" t="str">
        <f t="shared" si="2"/>
        <v>#18082</v>
      </c>
      <c r="E108" s="294" t="s">
        <v>5936</v>
      </c>
      <c r="F108" s="331" t="s">
        <v>5935</v>
      </c>
      <c r="G108" s="331" t="s">
        <v>8984</v>
      </c>
      <c r="H108" s="331" t="str">
        <f t="shared" si="3"/>
        <v>VN18082</v>
      </c>
      <c r="I108" s="331"/>
      <c r="J108" s="333"/>
      <c r="K108" s="334"/>
      <c r="L108" s="335"/>
      <c r="M108" s="335"/>
      <c r="N108" s="341"/>
    </row>
    <row r="109" spans="1:14" s="342" customFormat="1" ht="15.75">
      <c r="A109" s="329">
        <v>107</v>
      </c>
      <c r="B109" s="330">
        <v>92</v>
      </c>
      <c r="C109" s="331" t="s">
        <v>709</v>
      </c>
      <c r="D109" s="331" t="str">
        <f t="shared" si="2"/>
        <v>#18062</v>
      </c>
      <c r="E109" s="294" t="s">
        <v>5927</v>
      </c>
      <c r="F109" s="331" t="s">
        <v>5926</v>
      </c>
      <c r="G109" s="331" t="s">
        <v>8985</v>
      </c>
      <c r="H109" s="331" t="str">
        <f t="shared" si="3"/>
        <v>VN18062</v>
      </c>
      <c r="I109" s="331" t="s">
        <v>8825</v>
      </c>
      <c r="J109" s="333"/>
      <c r="K109" s="334"/>
      <c r="L109" s="335"/>
      <c r="M109" s="335"/>
      <c r="N109" s="341"/>
    </row>
    <row r="110" spans="1:14" s="342" customFormat="1" ht="15.75">
      <c r="A110" s="329">
        <v>108</v>
      </c>
      <c r="B110" s="330">
        <v>93</v>
      </c>
      <c r="C110" s="331" t="s">
        <v>709</v>
      </c>
      <c r="D110" s="331" t="str">
        <f t="shared" si="2"/>
        <v>#17356</v>
      </c>
      <c r="E110" s="294" t="s">
        <v>5717</v>
      </c>
      <c r="F110" s="331" t="s">
        <v>5716</v>
      </c>
      <c r="G110" s="331" t="s">
        <v>8986</v>
      </c>
      <c r="H110" s="331" t="str">
        <f t="shared" si="3"/>
        <v>VN17356</v>
      </c>
      <c r="I110" s="331" t="s">
        <v>8825</v>
      </c>
      <c r="J110" s="333" t="s">
        <v>8987</v>
      </c>
      <c r="K110" s="334"/>
      <c r="L110" s="334"/>
      <c r="M110" s="334"/>
      <c r="N110" s="341"/>
    </row>
    <row r="111" spans="1:14" s="342" customFormat="1" ht="15.75">
      <c r="A111" s="329">
        <v>109</v>
      </c>
      <c r="B111" s="330">
        <v>94</v>
      </c>
      <c r="C111" s="331" t="s">
        <v>709</v>
      </c>
      <c r="D111" s="331" t="str">
        <f t="shared" si="2"/>
        <v>#17913</v>
      </c>
      <c r="E111" s="294" t="s">
        <v>5893</v>
      </c>
      <c r="F111" s="331" t="s">
        <v>1838</v>
      </c>
      <c r="G111" s="331" t="s">
        <v>8988</v>
      </c>
      <c r="H111" s="331" t="str">
        <f t="shared" si="3"/>
        <v>VN17913</v>
      </c>
      <c r="I111" s="331"/>
      <c r="J111" s="333"/>
      <c r="K111" s="334"/>
      <c r="L111" s="335"/>
      <c r="M111" s="335"/>
      <c r="N111" s="341"/>
    </row>
    <row r="112" spans="1:14" s="342" customFormat="1" ht="15.75">
      <c r="A112" s="329">
        <v>110</v>
      </c>
      <c r="B112" s="330">
        <v>95</v>
      </c>
      <c r="C112" s="331" t="s">
        <v>709</v>
      </c>
      <c r="D112" s="331" t="str">
        <f t="shared" si="2"/>
        <v>#17911</v>
      </c>
      <c r="E112" s="294" t="s">
        <v>5889</v>
      </c>
      <c r="F112" s="331" t="s">
        <v>2672</v>
      </c>
      <c r="G112" s="331" t="s">
        <v>8989</v>
      </c>
      <c r="H112" s="331" t="str">
        <f t="shared" si="3"/>
        <v>VN17911</v>
      </c>
      <c r="I112" s="331"/>
      <c r="J112" s="333">
        <v>123456</v>
      </c>
      <c r="K112" s="334"/>
      <c r="L112" s="335"/>
      <c r="M112" s="335"/>
      <c r="N112" s="341"/>
    </row>
    <row r="113" spans="1:14" s="342" customFormat="1" ht="15.75">
      <c r="A113" s="329">
        <v>111</v>
      </c>
      <c r="B113" s="330">
        <v>96</v>
      </c>
      <c r="C113" s="331" t="s">
        <v>709</v>
      </c>
      <c r="D113" s="331" t="str">
        <f t="shared" si="2"/>
        <v>#17589</v>
      </c>
      <c r="E113" s="294" t="s">
        <v>5770</v>
      </c>
      <c r="F113" s="331" t="s">
        <v>5769</v>
      </c>
      <c r="G113" s="331" t="s">
        <v>8990</v>
      </c>
      <c r="H113" s="331" t="str">
        <f t="shared" si="3"/>
        <v>VN17589</v>
      </c>
      <c r="I113" s="331"/>
      <c r="J113" s="333">
        <v>123456</v>
      </c>
      <c r="K113" s="334"/>
      <c r="L113" s="335"/>
      <c r="M113" s="335"/>
      <c r="N113" s="341"/>
    </row>
    <row r="114" spans="1:14" s="342" customFormat="1" ht="15.75">
      <c r="A114" s="329">
        <v>112</v>
      </c>
      <c r="B114" s="330">
        <v>97</v>
      </c>
      <c r="C114" s="331" t="s">
        <v>709</v>
      </c>
      <c r="D114" s="331" t="str">
        <f t="shared" si="2"/>
        <v>#17795</v>
      </c>
      <c r="E114" s="294" t="s">
        <v>5848</v>
      </c>
      <c r="F114" s="331" t="s">
        <v>5847</v>
      </c>
      <c r="G114" s="331" t="s">
        <v>8991</v>
      </c>
      <c r="H114" s="331" t="str">
        <f t="shared" si="3"/>
        <v>VN17795</v>
      </c>
      <c r="I114" s="331"/>
      <c r="J114" s="333">
        <v>123456</v>
      </c>
      <c r="K114" s="334"/>
      <c r="L114" s="335"/>
      <c r="M114" s="335"/>
      <c r="N114" s="341"/>
    </row>
    <row r="115" spans="1:14" s="342" customFormat="1" ht="15.75">
      <c r="A115" s="329">
        <v>113</v>
      </c>
      <c r="B115" s="330">
        <v>98</v>
      </c>
      <c r="C115" s="331" t="s">
        <v>709</v>
      </c>
      <c r="D115" s="331" t="str">
        <f t="shared" si="2"/>
        <v>#17794</v>
      </c>
      <c r="E115" s="294" t="s">
        <v>5846</v>
      </c>
      <c r="F115" s="331" t="s">
        <v>5845</v>
      </c>
      <c r="G115" s="331" t="s">
        <v>8992</v>
      </c>
      <c r="H115" s="331" t="str">
        <f t="shared" si="3"/>
        <v>VN17794</v>
      </c>
      <c r="I115" s="331"/>
      <c r="J115" s="333" t="s">
        <v>8993</v>
      </c>
      <c r="K115" s="334"/>
      <c r="L115" s="335"/>
      <c r="M115" s="335"/>
      <c r="N115" s="341"/>
    </row>
    <row r="116" spans="1:14" s="342" customFormat="1" ht="15.75">
      <c r="A116" s="329">
        <v>114</v>
      </c>
      <c r="B116" s="330">
        <v>99</v>
      </c>
      <c r="C116" s="331" t="s">
        <v>709</v>
      </c>
      <c r="D116" s="331" t="str">
        <f t="shared" si="2"/>
        <v>#17731</v>
      </c>
      <c r="E116" s="294" t="s">
        <v>5821</v>
      </c>
      <c r="F116" s="331" t="s">
        <v>5820</v>
      </c>
      <c r="G116" s="331" t="s">
        <v>8994</v>
      </c>
      <c r="H116" s="331" t="str">
        <f t="shared" si="3"/>
        <v>VN17731</v>
      </c>
      <c r="I116" s="331"/>
      <c r="J116" s="333" t="s">
        <v>8995</v>
      </c>
      <c r="K116" s="334"/>
      <c r="L116" s="335"/>
      <c r="M116" s="335"/>
      <c r="N116" s="341"/>
    </row>
    <row r="117" spans="1:14" s="342" customFormat="1" ht="15.75">
      <c r="A117" s="329">
        <v>115</v>
      </c>
      <c r="B117" s="330">
        <v>100</v>
      </c>
      <c r="C117" s="331" t="s">
        <v>709</v>
      </c>
      <c r="D117" s="331" t="str">
        <f t="shared" si="2"/>
        <v>#17730</v>
      </c>
      <c r="E117" s="294" t="s">
        <v>5819</v>
      </c>
      <c r="F117" s="331" t="s">
        <v>5818</v>
      </c>
      <c r="G117" s="331" t="s">
        <v>8996</v>
      </c>
      <c r="H117" s="331" t="str">
        <f t="shared" si="3"/>
        <v>VN17730</v>
      </c>
      <c r="I117" s="331"/>
      <c r="J117" s="333">
        <v>123456</v>
      </c>
      <c r="K117" s="334"/>
      <c r="L117" s="335"/>
      <c r="M117" s="335"/>
      <c r="N117" s="341"/>
    </row>
    <row r="118" spans="1:14" s="342" customFormat="1" ht="15.75">
      <c r="A118" s="329">
        <v>116</v>
      </c>
      <c r="B118" s="330">
        <v>101</v>
      </c>
      <c r="C118" s="331" t="s">
        <v>709</v>
      </c>
      <c r="D118" s="331" t="str">
        <f t="shared" si="2"/>
        <v>#18468</v>
      </c>
      <c r="E118" s="294" t="s">
        <v>8997</v>
      </c>
      <c r="F118" s="331" t="s">
        <v>4465</v>
      </c>
      <c r="G118" s="331" t="s">
        <v>8998</v>
      </c>
      <c r="H118" s="331" t="str">
        <f t="shared" si="3"/>
        <v>VN18468</v>
      </c>
      <c r="I118" s="331"/>
      <c r="J118" s="333"/>
      <c r="K118" s="334"/>
      <c r="L118" s="337">
        <v>45857</v>
      </c>
      <c r="M118" s="337">
        <v>45887</v>
      </c>
      <c r="N118" s="341"/>
    </row>
    <row r="119" spans="1:14" s="342" customFormat="1" ht="15.75">
      <c r="A119" s="329">
        <v>117</v>
      </c>
      <c r="B119" s="330">
        <v>102</v>
      </c>
      <c r="C119" s="331" t="s">
        <v>709</v>
      </c>
      <c r="D119" s="331" t="str">
        <f t="shared" si="2"/>
        <v>#17912</v>
      </c>
      <c r="E119" s="294" t="s">
        <v>5891</v>
      </c>
      <c r="F119" s="331" t="s">
        <v>5890</v>
      </c>
      <c r="G119" s="338" t="s">
        <v>8999</v>
      </c>
      <c r="H119" s="338" t="str">
        <f t="shared" si="3"/>
        <v>VN17912</v>
      </c>
      <c r="I119" s="338"/>
      <c r="J119" s="339" t="s">
        <v>9000</v>
      </c>
      <c r="K119" s="334"/>
      <c r="L119" s="335"/>
      <c r="M119" s="335"/>
      <c r="N119" s="341"/>
    </row>
    <row r="120" spans="1:14" s="342" customFormat="1" ht="15.75">
      <c r="A120" s="329">
        <v>118</v>
      </c>
      <c r="B120" s="330">
        <v>103</v>
      </c>
      <c r="C120" s="331" t="s">
        <v>709</v>
      </c>
      <c r="D120" s="331" t="str">
        <f t="shared" si="2"/>
        <v>#19753</v>
      </c>
      <c r="E120" s="294" t="s">
        <v>9001</v>
      </c>
      <c r="F120" s="331" t="s">
        <v>9002</v>
      </c>
      <c r="G120" s="338" t="s">
        <v>9003</v>
      </c>
      <c r="H120" s="338" t="str">
        <f t="shared" si="3"/>
        <v>VN19753</v>
      </c>
      <c r="I120" s="338"/>
      <c r="J120" s="339" t="s">
        <v>9004</v>
      </c>
      <c r="K120" s="334"/>
      <c r="L120" s="337">
        <v>45716</v>
      </c>
      <c r="M120" s="337">
        <v>45887</v>
      </c>
      <c r="N120" s="341"/>
    </row>
    <row r="121" spans="1:14" s="342" customFormat="1" ht="15.75">
      <c r="A121" s="329">
        <v>119</v>
      </c>
      <c r="B121" s="330">
        <v>104</v>
      </c>
      <c r="C121" s="331" t="s">
        <v>709</v>
      </c>
      <c r="D121" s="331" t="str">
        <f t="shared" si="2"/>
        <v>#20067</v>
      </c>
      <c r="E121" s="294" t="s">
        <v>9005</v>
      </c>
      <c r="F121" s="331" t="s">
        <v>9006</v>
      </c>
      <c r="G121" s="338" t="s">
        <v>9007</v>
      </c>
      <c r="H121" s="338" t="str">
        <f t="shared" si="3"/>
        <v>VN20067</v>
      </c>
      <c r="I121" s="338"/>
      <c r="J121" s="339"/>
      <c r="K121" s="334"/>
      <c r="L121" s="337">
        <v>45380</v>
      </c>
      <c r="M121" s="337">
        <v>45887</v>
      </c>
      <c r="N121" s="341"/>
    </row>
    <row r="122" spans="1:14" s="342" customFormat="1" ht="15.75">
      <c r="A122" s="329">
        <v>120</v>
      </c>
      <c r="B122" s="330">
        <v>105</v>
      </c>
      <c r="C122" s="331" t="s">
        <v>709</v>
      </c>
      <c r="D122" s="331" t="str">
        <f t="shared" si="2"/>
        <v>#20024</v>
      </c>
      <c r="E122" s="294" t="s">
        <v>6464</v>
      </c>
      <c r="F122" s="331" t="s">
        <v>6463</v>
      </c>
      <c r="G122" s="338" t="s">
        <v>9008</v>
      </c>
      <c r="H122" s="338" t="str">
        <f t="shared" si="3"/>
        <v>VN20024</v>
      </c>
      <c r="I122" s="338"/>
      <c r="J122" s="339"/>
      <c r="K122" s="334"/>
      <c r="L122" s="335"/>
      <c r="M122" s="335"/>
      <c r="N122" s="341"/>
    </row>
    <row r="123" spans="1:14" s="342" customFormat="1" ht="15.75">
      <c r="A123" s="329">
        <v>121</v>
      </c>
      <c r="B123" s="330">
        <v>106</v>
      </c>
      <c r="C123" s="331" t="s">
        <v>709</v>
      </c>
      <c r="D123" s="331" t="str">
        <f t="shared" si="2"/>
        <v>#17732</v>
      </c>
      <c r="E123" s="294" t="s">
        <v>9009</v>
      </c>
      <c r="F123" s="331" t="s">
        <v>9010</v>
      </c>
      <c r="G123" s="338" t="s">
        <v>9011</v>
      </c>
      <c r="H123" s="338" t="str">
        <f t="shared" si="3"/>
        <v>VN17732</v>
      </c>
      <c r="I123" s="338"/>
      <c r="J123" s="339">
        <v>123456</v>
      </c>
      <c r="K123" s="334"/>
      <c r="L123" s="337">
        <v>45761</v>
      </c>
      <c r="M123" s="337">
        <v>45887</v>
      </c>
      <c r="N123" s="341"/>
    </row>
    <row r="124" spans="1:14" s="342" customFormat="1" ht="15.75">
      <c r="A124" s="329">
        <v>122</v>
      </c>
      <c r="B124" s="330">
        <v>107</v>
      </c>
      <c r="C124" s="331" t="s">
        <v>709</v>
      </c>
      <c r="D124" s="331" t="str">
        <f t="shared" si="2"/>
        <v>#17581</v>
      </c>
      <c r="E124" s="294" t="s">
        <v>5762</v>
      </c>
      <c r="F124" s="331" t="s">
        <v>5761</v>
      </c>
      <c r="G124" s="338" t="s">
        <v>9012</v>
      </c>
      <c r="H124" s="338" t="str">
        <f t="shared" si="3"/>
        <v>VN17581</v>
      </c>
      <c r="I124" s="338"/>
      <c r="J124" s="339"/>
      <c r="K124" s="334"/>
      <c r="L124" s="335"/>
      <c r="M124" s="335"/>
      <c r="N124" s="341"/>
    </row>
    <row r="125" spans="1:14" s="342" customFormat="1" ht="15.75">
      <c r="A125" s="329">
        <v>123</v>
      </c>
      <c r="B125" s="330">
        <v>108</v>
      </c>
      <c r="C125" s="331" t="s">
        <v>709</v>
      </c>
      <c r="D125" s="331" t="str">
        <f t="shared" si="2"/>
        <v>#19409</v>
      </c>
      <c r="E125" s="294" t="s">
        <v>9013</v>
      </c>
      <c r="F125" s="331" t="s">
        <v>6273</v>
      </c>
      <c r="G125" s="338" t="s">
        <v>9014</v>
      </c>
      <c r="H125" s="338" t="str">
        <f t="shared" si="3"/>
        <v>VN19409</v>
      </c>
      <c r="I125" s="338"/>
      <c r="J125" s="339"/>
      <c r="K125" s="334"/>
      <c r="L125" s="337">
        <v>45729</v>
      </c>
      <c r="M125" s="337">
        <v>45887</v>
      </c>
      <c r="N125" s="341"/>
    </row>
    <row r="126" spans="1:14" s="342" customFormat="1" ht="15.75">
      <c r="A126" s="329">
        <v>124</v>
      </c>
      <c r="B126" s="330">
        <v>109</v>
      </c>
      <c r="C126" s="331" t="s">
        <v>709</v>
      </c>
      <c r="D126" s="331" t="str">
        <f t="shared" si="2"/>
        <v>#18143</v>
      </c>
      <c r="E126" s="294" t="s">
        <v>5954</v>
      </c>
      <c r="F126" s="331" t="s">
        <v>5953</v>
      </c>
      <c r="G126" s="338" t="s">
        <v>9015</v>
      </c>
      <c r="H126" s="338" t="str">
        <f t="shared" si="3"/>
        <v>VN18143</v>
      </c>
      <c r="I126" s="338"/>
      <c r="J126" s="339"/>
      <c r="K126" s="334"/>
      <c r="L126" s="335"/>
      <c r="M126" s="335"/>
      <c r="N126" s="341"/>
    </row>
    <row r="127" spans="1:14" s="342" customFormat="1" ht="15.75">
      <c r="A127" s="329">
        <v>125</v>
      </c>
      <c r="B127" s="330">
        <v>110</v>
      </c>
      <c r="C127" s="331" t="s">
        <v>709</v>
      </c>
      <c r="D127" s="331" t="str">
        <f t="shared" si="2"/>
        <v>#19129</v>
      </c>
      <c r="E127" s="294" t="s">
        <v>6203</v>
      </c>
      <c r="F127" s="331" t="s">
        <v>6202</v>
      </c>
      <c r="G127" s="338" t="s">
        <v>9016</v>
      </c>
      <c r="H127" s="338" t="str">
        <f t="shared" si="3"/>
        <v>VN19129</v>
      </c>
      <c r="I127" s="338"/>
      <c r="J127" s="339">
        <v>123456</v>
      </c>
      <c r="K127" s="334"/>
      <c r="L127" s="335"/>
      <c r="M127" s="335"/>
      <c r="N127" s="341"/>
    </row>
    <row r="128" spans="1:14" s="342" customFormat="1" ht="15.75">
      <c r="A128" s="329">
        <v>126</v>
      </c>
      <c r="B128" s="330">
        <v>111</v>
      </c>
      <c r="C128" s="331" t="s">
        <v>709</v>
      </c>
      <c r="D128" s="331" t="str">
        <f t="shared" si="2"/>
        <v>#20149</v>
      </c>
      <c r="E128" s="294" t="s">
        <v>6504</v>
      </c>
      <c r="F128" s="331" t="s">
        <v>6503</v>
      </c>
      <c r="G128" s="338" t="s">
        <v>9017</v>
      </c>
      <c r="H128" s="338" t="str">
        <f t="shared" si="3"/>
        <v>VN20149</v>
      </c>
      <c r="I128" s="338"/>
      <c r="J128" s="339">
        <v>123456</v>
      </c>
      <c r="K128" s="334"/>
      <c r="L128" s="335"/>
      <c r="M128" s="335"/>
      <c r="N128" s="341"/>
    </row>
    <row r="129" spans="1:14" s="342" customFormat="1" ht="15.75">
      <c r="A129" s="329">
        <v>127</v>
      </c>
      <c r="B129" s="330">
        <v>112</v>
      </c>
      <c r="C129" s="331" t="s">
        <v>709</v>
      </c>
      <c r="D129" s="331" t="str">
        <f t="shared" si="2"/>
        <v>#20625</v>
      </c>
      <c r="E129" s="294" t="s">
        <v>9018</v>
      </c>
      <c r="F129" s="331" t="s">
        <v>9019</v>
      </c>
      <c r="G129" s="338" t="s">
        <v>9020</v>
      </c>
      <c r="H129" s="338" t="str">
        <f t="shared" si="3"/>
        <v>VN20625</v>
      </c>
      <c r="I129" s="338"/>
      <c r="J129" s="339"/>
      <c r="K129" s="334"/>
      <c r="L129" s="337">
        <v>45699</v>
      </c>
      <c r="M129" s="337">
        <v>45887</v>
      </c>
      <c r="N129" s="341"/>
    </row>
    <row r="130" spans="1:14" s="342" customFormat="1" ht="15.75">
      <c r="A130" s="329">
        <v>128</v>
      </c>
      <c r="B130" s="330">
        <v>113</v>
      </c>
      <c r="C130" s="331" t="s">
        <v>709</v>
      </c>
      <c r="D130" s="331" t="str">
        <f t="shared" si="2"/>
        <v>#21398</v>
      </c>
      <c r="E130" s="294" t="s">
        <v>6800</v>
      </c>
      <c r="F130" s="331" t="s">
        <v>6799</v>
      </c>
      <c r="G130" s="338" t="s">
        <v>9021</v>
      </c>
      <c r="H130" s="338" t="str">
        <f t="shared" si="3"/>
        <v>VN21398</v>
      </c>
      <c r="I130" s="338"/>
      <c r="J130" s="339"/>
      <c r="K130" s="334"/>
      <c r="L130" s="335"/>
      <c r="M130" s="335"/>
      <c r="N130" s="341"/>
    </row>
    <row r="131" spans="1:14" s="342" customFormat="1" ht="15.75">
      <c r="A131" s="329">
        <v>129</v>
      </c>
      <c r="B131" s="330">
        <v>114</v>
      </c>
      <c r="C131" s="331" t="s">
        <v>709</v>
      </c>
      <c r="D131" s="331" t="str">
        <f t="shared" ref="D131:D194" si="4">CONCATENATE("#",E131)</f>
        <v>#19545</v>
      </c>
      <c r="E131" s="294" t="s">
        <v>6310</v>
      </c>
      <c r="F131" s="331" t="s">
        <v>4237</v>
      </c>
      <c r="G131" s="338" t="s">
        <v>9022</v>
      </c>
      <c r="H131" s="338" t="str">
        <f t="shared" ref="H131:H194" si="5">CONCATENATE("VN",E131)</f>
        <v>VN19545</v>
      </c>
      <c r="I131" s="338"/>
      <c r="J131" s="339">
        <v>123456</v>
      </c>
      <c r="K131" s="334"/>
      <c r="L131" s="335"/>
      <c r="M131" s="335"/>
      <c r="N131" s="341"/>
    </row>
    <row r="132" spans="1:14" s="342" customFormat="1" ht="15.75">
      <c r="A132" s="329">
        <v>130</v>
      </c>
      <c r="B132" s="330">
        <v>115</v>
      </c>
      <c r="C132" s="331" t="s">
        <v>709</v>
      </c>
      <c r="D132" s="331" t="str">
        <f t="shared" si="4"/>
        <v>#21265</v>
      </c>
      <c r="E132" s="294" t="s">
        <v>6767</v>
      </c>
      <c r="F132" s="331" t="s">
        <v>6766</v>
      </c>
      <c r="G132" s="338" t="s">
        <v>9023</v>
      </c>
      <c r="H132" s="338" t="str">
        <f t="shared" si="5"/>
        <v>VN21265</v>
      </c>
      <c r="I132" s="338"/>
      <c r="J132" s="339"/>
      <c r="K132" s="334"/>
      <c r="L132" s="335"/>
      <c r="M132" s="335"/>
      <c r="N132" s="341"/>
    </row>
    <row r="133" spans="1:14" s="342" customFormat="1" ht="15.75">
      <c r="A133" s="329">
        <v>131</v>
      </c>
      <c r="B133" s="330">
        <v>116</v>
      </c>
      <c r="C133" s="331" t="s">
        <v>709</v>
      </c>
      <c r="D133" s="331" t="str">
        <f t="shared" si="4"/>
        <v>#20715</v>
      </c>
      <c r="E133" s="294" t="s">
        <v>9024</v>
      </c>
      <c r="F133" s="331" t="s">
        <v>9025</v>
      </c>
      <c r="G133" s="338" t="s">
        <v>9026</v>
      </c>
      <c r="H133" s="338" t="str">
        <f t="shared" si="5"/>
        <v>VN20715</v>
      </c>
      <c r="I133" s="338"/>
      <c r="J133" s="339"/>
      <c r="K133" s="334"/>
      <c r="L133" s="337">
        <v>45671</v>
      </c>
      <c r="M133" s="337">
        <v>45887</v>
      </c>
      <c r="N133" s="341"/>
    </row>
    <row r="134" spans="1:14" s="342" customFormat="1" ht="15.75">
      <c r="A134" s="329">
        <v>132</v>
      </c>
      <c r="B134" s="330">
        <v>117</v>
      </c>
      <c r="C134" s="331" t="s">
        <v>709</v>
      </c>
      <c r="D134" s="331" t="str">
        <f t="shared" si="4"/>
        <v>#24323</v>
      </c>
      <c r="E134" s="294" t="s">
        <v>7520</v>
      </c>
      <c r="F134" s="331" t="s">
        <v>7519</v>
      </c>
      <c r="G134" s="338" t="s">
        <v>9027</v>
      </c>
      <c r="H134" s="338" t="str">
        <f t="shared" si="5"/>
        <v>VN24323</v>
      </c>
      <c r="I134" s="338"/>
      <c r="J134" s="339" t="s">
        <v>9028</v>
      </c>
      <c r="K134" s="334"/>
      <c r="L134" s="335"/>
      <c r="M134" s="335"/>
      <c r="N134" s="341"/>
    </row>
    <row r="135" spans="1:14" s="342" customFormat="1" ht="15.75">
      <c r="A135" s="329">
        <v>133</v>
      </c>
      <c r="B135" s="330">
        <v>118</v>
      </c>
      <c r="C135" s="331" t="s">
        <v>709</v>
      </c>
      <c r="D135" s="331" t="str">
        <f t="shared" si="4"/>
        <v>#24851</v>
      </c>
      <c r="E135" s="294" t="s">
        <v>9029</v>
      </c>
      <c r="F135" s="331" t="s">
        <v>9030</v>
      </c>
      <c r="G135" s="338" t="s">
        <v>9031</v>
      </c>
      <c r="H135" s="338" t="str">
        <f t="shared" si="5"/>
        <v>VN24851</v>
      </c>
      <c r="I135" s="338" t="s">
        <v>8825</v>
      </c>
      <c r="J135" s="339" t="s">
        <v>9032</v>
      </c>
      <c r="K135" s="334">
        <v>45456</v>
      </c>
      <c r="L135" s="337">
        <v>45748</v>
      </c>
      <c r="M135" s="337">
        <v>45887</v>
      </c>
      <c r="N135" s="341"/>
    </row>
    <row r="136" spans="1:14" s="342" customFormat="1" ht="15.75">
      <c r="A136" s="329">
        <v>134</v>
      </c>
      <c r="B136" s="330">
        <v>119</v>
      </c>
      <c r="C136" s="331" t="s">
        <v>709</v>
      </c>
      <c r="D136" s="331" t="str">
        <f t="shared" si="4"/>
        <v>#17474</v>
      </c>
      <c r="E136" s="294" t="s">
        <v>5739</v>
      </c>
      <c r="F136" s="331" t="s">
        <v>2384</v>
      </c>
      <c r="G136" s="338" t="s">
        <v>9033</v>
      </c>
      <c r="H136" s="338" t="str">
        <f t="shared" si="5"/>
        <v>VN17474</v>
      </c>
      <c r="I136" s="338"/>
      <c r="J136" s="339">
        <v>123456</v>
      </c>
      <c r="K136" s="334"/>
      <c r="L136" s="335"/>
      <c r="M136" s="335"/>
      <c r="N136" s="341"/>
    </row>
    <row r="137" spans="1:14" s="342" customFormat="1" ht="15.75">
      <c r="A137" s="329">
        <v>135</v>
      </c>
      <c r="B137" s="330">
        <v>120</v>
      </c>
      <c r="C137" s="331" t="s">
        <v>709</v>
      </c>
      <c r="D137" s="331" t="str">
        <f t="shared" si="4"/>
        <v>#17886</v>
      </c>
      <c r="E137" s="294" t="s">
        <v>5884</v>
      </c>
      <c r="F137" s="331" t="s">
        <v>9034</v>
      </c>
      <c r="G137" s="338" t="s">
        <v>9035</v>
      </c>
      <c r="H137" s="338" t="str">
        <f t="shared" si="5"/>
        <v>VN17886</v>
      </c>
      <c r="I137" s="338"/>
      <c r="J137" s="339" t="s">
        <v>9036</v>
      </c>
      <c r="K137" s="334"/>
      <c r="L137" s="337"/>
      <c r="M137" s="337"/>
      <c r="N137" s="341"/>
    </row>
    <row r="138" spans="1:14" s="342" customFormat="1" ht="15.75">
      <c r="A138" s="329">
        <v>136</v>
      </c>
      <c r="B138" s="330">
        <v>121</v>
      </c>
      <c r="C138" s="331" t="s">
        <v>709</v>
      </c>
      <c r="D138" s="331" t="str">
        <f t="shared" si="4"/>
        <v>#25150</v>
      </c>
      <c r="E138" s="294" t="s">
        <v>7923</v>
      </c>
      <c r="F138" s="331" t="s">
        <v>7924</v>
      </c>
      <c r="G138" s="338" t="s">
        <v>9037</v>
      </c>
      <c r="H138" s="338" t="str">
        <f t="shared" si="5"/>
        <v>VN25150</v>
      </c>
      <c r="I138" s="338"/>
      <c r="J138" s="339" t="s">
        <v>9038</v>
      </c>
      <c r="K138" s="334">
        <v>45553</v>
      </c>
      <c r="L138" s="335"/>
      <c r="M138" s="335"/>
      <c r="N138" s="341"/>
    </row>
    <row r="139" spans="1:14" s="342" customFormat="1" ht="15.75">
      <c r="A139" s="329">
        <v>137</v>
      </c>
      <c r="B139" s="330">
        <v>122</v>
      </c>
      <c r="C139" s="331" t="s">
        <v>709</v>
      </c>
      <c r="D139" s="331" t="str">
        <f t="shared" si="4"/>
        <v>#25658</v>
      </c>
      <c r="E139" s="294" t="s">
        <v>7990</v>
      </c>
      <c r="F139" s="331" t="s">
        <v>7994</v>
      </c>
      <c r="G139" s="338" t="s">
        <v>9039</v>
      </c>
      <c r="H139" s="338" t="str">
        <f t="shared" si="5"/>
        <v>VN25658</v>
      </c>
      <c r="I139" s="338"/>
      <c r="J139" s="339" t="s">
        <v>9040</v>
      </c>
      <c r="K139" s="334">
        <v>45748</v>
      </c>
      <c r="L139" s="335"/>
      <c r="M139" s="335"/>
      <c r="N139" s="341"/>
    </row>
    <row r="140" spans="1:14" s="342" customFormat="1" ht="15.75">
      <c r="A140" s="329">
        <v>138</v>
      </c>
      <c r="B140" s="330">
        <v>123</v>
      </c>
      <c r="C140" s="331" t="s">
        <v>709</v>
      </c>
      <c r="D140" s="331" t="str">
        <f t="shared" si="4"/>
        <v>#25659</v>
      </c>
      <c r="E140" s="294" t="s">
        <v>7991</v>
      </c>
      <c r="F140" s="331" t="s">
        <v>7993</v>
      </c>
      <c r="G140" s="338" t="s">
        <v>9041</v>
      </c>
      <c r="H140" s="338" t="str">
        <f t="shared" si="5"/>
        <v>VN25659</v>
      </c>
      <c r="I140" s="338"/>
      <c r="J140" s="339" t="s">
        <v>9042</v>
      </c>
      <c r="K140" s="334">
        <v>45748</v>
      </c>
      <c r="L140" s="335"/>
      <c r="M140" s="335"/>
      <c r="N140" s="341"/>
    </row>
    <row r="141" spans="1:14" s="342" customFormat="1" ht="15.75">
      <c r="A141" s="329">
        <v>139</v>
      </c>
      <c r="B141" s="330">
        <v>124</v>
      </c>
      <c r="C141" s="331" t="s">
        <v>709</v>
      </c>
      <c r="D141" s="331" t="str">
        <f t="shared" si="4"/>
        <v>#25724</v>
      </c>
      <c r="E141" s="294" t="s">
        <v>7997</v>
      </c>
      <c r="F141" s="331" t="s">
        <v>7999</v>
      </c>
      <c r="G141" s="338" t="s">
        <v>9043</v>
      </c>
      <c r="H141" s="338" t="str">
        <f t="shared" si="5"/>
        <v>VN25724</v>
      </c>
      <c r="I141" s="338"/>
      <c r="J141" s="339" t="s">
        <v>9044</v>
      </c>
      <c r="K141" s="334">
        <v>45748</v>
      </c>
      <c r="L141" s="335"/>
      <c r="M141" s="335"/>
      <c r="N141" s="341"/>
    </row>
    <row r="142" spans="1:14" s="342" customFormat="1" ht="15.75">
      <c r="A142" s="329">
        <v>140</v>
      </c>
      <c r="B142" s="330">
        <v>125</v>
      </c>
      <c r="C142" s="331" t="s">
        <v>709</v>
      </c>
      <c r="D142" s="331" t="str">
        <f t="shared" si="4"/>
        <v>#25725</v>
      </c>
      <c r="E142" s="294" t="s">
        <v>7998</v>
      </c>
      <c r="F142" s="331" t="s">
        <v>8000</v>
      </c>
      <c r="G142" s="338" t="s">
        <v>9045</v>
      </c>
      <c r="H142" s="338" t="str">
        <f t="shared" si="5"/>
        <v>VN25725</v>
      </c>
      <c r="I142" s="338"/>
      <c r="J142" s="339" t="s">
        <v>9046</v>
      </c>
      <c r="K142" s="334">
        <v>45748</v>
      </c>
      <c r="L142" s="335"/>
      <c r="M142" s="335"/>
      <c r="N142" s="341"/>
    </row>
    <row r="143" spans="1:14" s="342" customFormat="1" ht="15.75">
      <c r="A143" s="329">
        <v>141</v>
      </c>
      <c r="B143" s="330">
        <v>126</v>
      </c>
      <c r="C143" s="331" t="s">
        <v>709</v>
      </c>
      <c r="D143" s="331" t="str">
        <f t="shared" si="4"/>
        <v>#25957</v>
      </c>
      <c r="E143" s="294" t="s">
        <v>8029</v>
      </c>
      <c r="F143" s="331" t="s">
        <v>8030</v>
      </c>
      <c r="G143" s="338" t="s">
        <v>9047</v>
      </c>
      <c r="H143" s="338" t="str">
        <f t="shared" si="5"/>
        <v>VN25957</v>
      </c>
      <c r="I143" s="338"/>
      <c r="J143" s="339" t="s">
        <v>9048</v>
      </c>
      <c r="K143" s="334">
        <v>45803</v>
      </c>
      <c r="L143" s="335"/>
      <c r="M143" s="335"/>
      <c r="N143" s="341"/>
    </row>
    <row r="144" spans="1:14" s="342" customFormat="1" ht="15.75">
      <c r="A144" s="329">
        <v>142</v>
      </c>
      <c r="B144" s="330">
        <v>127</v>
      </c>
      <c r="C144" s="331" t="s">
        <v>709</v>
      </c>
      <c r="D144" s="331" t="str">
        <f t="shared" si="4"/>
        <v>#26038</v>
      </c>
      <c r="E144" s="294" t="s">
        <v>8421</v>
      </c>
      <c r="F144" s="331" t="s">
        <v>4542</v>
      </c>
      <c r="G144" s="338" t="s">
        <v>9049</v>
      </c>
      <c r="H144" s="338" t="str">
        <f t="shared" si="5"/>
        <v>VN26038</v>
      </c>
      <c r="I144" s="338"/>
      <c r="J144" s="339" t="s">
        <v>9050</v>
      </c>
      <c r="K144" s="334">
        <v>45824</v>
      </c>
      <c r="L144" s="335"/>
      <c r="M144" s="335"/>
      <c r="N144" s="341"/>
    </row>
    <row r="145" spans="1:14" s="342" customFormat="1" ht="15.75">
      <c r="A145" s="329">
        <v>143</v>
      </c>
      <c r="B145" s="330">
        <v>128</v>
      </c>
      <c r="C145" s="331" t="s">
        <v>709</v>
      </c>
      <c r="D145" s="331" t="str">
        <f t="shared" si="4"/>
        <v>#26040</v>
      </c>
      <c r="E145" s="294" t="s">
        <v>8422</v>
      </c>
      <c r="F145" s="331" t="s">
        <v>3668</v>
      </c>
      <c r="G145" s="338" t="s">
        <v>9051</v>
      </c>
      <c r="H145" s="338" t="str">
        <f t="shared" si="5"/>
        <v>VN26040</v>
      </c>
      <c r="I145" s="338"/>
      <c r="J145" s="339" t="s">
        <v>9052</v>
      </c>
      <c r="K145" s="334">
        <v>45824</v>
      </c>
      <c r="L145" s="335"/>
      <c r="M145" s="335"/>
      <c r="N145" s="341"/>
    </row>
    <row r="146" spans="1:14" s="342" customFormat="1" ht="15.75">
      <c r="A146" s="329">
        <v>144</v>
      </c>
      <c r="B146" s="330">
        <v>129</v>
      </c>
      <c r="C146" s="331" t="s">
        <v>709</v>
      </c>
      <c r="D146" s="331" t="str">
        <f t="shared" si="4"/>
        <v>#26092</v>
      </c>
      <c r="E146" s="294" t="s">
        <v>8447</v>
      </c>
      <c r="F146" s="331" t="s">
        <v>8448</v>
      </c>
      <c r="G146" s="338" t="s">
        <v>9053</v>
      </c>
      <c r="H146" s="338" t="str">
        <f t="shared" si="5"/>
        <v>VN26092</v>
      </c>
      <c r="I146" s="338"/>
      <c r="J146" s="339">
        <v>123456</v>
      </c>
      <c r="K146" s="334">
        <v>45853</v>
      </c>
      <c r="L146" s="335"/>
      <c r="M146" s="335"/>
      <c r="N146" s="341"/>
    </row>
    <row r="147" spans="1:14" ht="15.75">
      <c r="A147" s="329">
        <v>145</v>
      </c>
      <c r="B147" s="330">
        <v>130</v>
      </c>
      <c r="C147" s="331" t="s">
        <v>709</v>
      </c>
      <c r="D147" s="331" t="str">
        <f t="shared" si="4"/>
        <v>#25956</v>
      </c>
      <c r="E147" s="294" t="s">
        <v>8025</v>
      </c>
      <c r="F147" s="331" t="s">
        <v>8031</v>
      </c>
      <c r="G147" s="338" t="s">
        <v>9054</v>
      </c>
      <c r="H147" s="338" t="str">
        <f t="shared" si="5"/>
        <v>VN25956</v>
      </c>
      <c r="I147" s="338"/>
      <c r="J147" s="339" t="s">
        <v>9055</v>
      </c>
      <c r="K147" s="334">
        <v>45803</v>
      </c>
      <c r="L147" s="335"/>
      <c r="M147" s="335"/>
      <c r="N147" s="336"/>
    </row>
    <row r="148" spans="1:14" ht="15.75">
      <c r="A148" s="329">
        <v>146</v>
      </c>
      <c r="B148" s="330">
        <v>131</v>
      </c>
      <c r="C148" s="331" t="s">
        <v>709</v>
      </c>
      <c r="D148" s="331" t="str">
        <f t="shared" si="4"/>
        <v>#24410</v>
      </c>
      <c r="E148" s="294" t="s">
        <v>7580</v>
      </c>
      <c r="F148" s="343" t="s">
        <v>7579</v>
      </c>
      <c r="G148" s="344" t="s">
        <v>9056</v>
      </c>
      <c r="H148" s="344" t="str">
        <f t="shared" si="5"/>
        <v>VN24410</v>
      </c>
      <c r="I148" s="345"/>
      <c r="J148" s="339" t="s">
        <v>9057</v>
      </c>
      <c r="K148" s="346">
        <v>45891</v>
      </c>
      <c r="L148" s="347"/>
      <c r="M148" s="348"/>
      <c r="N148" s="336"/>
    </row>
    <row r="149" spans="1:14" ht="15.75">
      <c r="A149" s="329">
        <v>147</v>
      </c>
      <c r="B149" s="330">
        <v>132</v>
      </c>
      <c r="C149" s="331" t="s">
        <v>709</v>
      </c>
      <c r="D149" s="331" t="str">
        <f t="shared" si="4"/>
        <v>#26306</v>
      </c>
      <c r="E149" s="294">
        <v>26306</v>
      </c>
      <c r="F149" s="293" t="s">
        <v>7376</v>
      </c>
      <c r="G149" s="349" t="s">
        <v>9058</v>
      </c>
      <c r="H149" s="349" t="str">
        <f t="shared" si="5"/>
        <v>VN26306</v>
      </c>
      <c r="I149" s="345"/>
      <c r="J149" s="339" t="s">
        <v>9059</v>
      </c>
      <c r="K149" s="350">
        <v>45919</v>
      </c>
      <c r="L149" s="348"/>
      <c r="M149" s="348"/>
      <c r="N149" s="336"/>
    </row>
    <row r="150" spans="1:14" ht="15.75">
      <c r="A150" s="329">
        <v>148</v>
      </c>
      <c r="B150" s="330">
        <v>133</v>
      </c>
      <c r="C150" s="331" t="s">
        <v>709</v>
      </c>
      <c r="D150" s="331" t="str">
        <f t="shared" si="4"/>
        <v>#26307</v>
      </c>
      <c r="E150" s="294" t="s">
        <v>8595</v>
      </c>
      <c r="F150" s="343" t="s">
        <v>8544</v>
      </c>
      <c r="G150" s="344" t="s">
        <v>9060</v>
      </c>
      <c r="H150" s="344" t="str">
        <f t="shared" si="5"/>
        <v>VN26307</v>
      </c>
      <c r="I150" s="345"/>
      <c r="J150" s="339" t="s">
        <v>9061</v>
      </c>
      <c r="K150" s="346">
        <v>45919</v>
      </c>
      <c r="L150" s="347"/>
      <c r="M150" s="348"/>
      <c r="N150" s="336"/>
    </row>
    <row r="151" spans="1:14" ht="15.75">
      <c r="A151" s="329">
        <v>149</v>
      </c>
      <c r="B151" s="330">
        <v>1</v>
      </c>
      <c r="C151" s="331" t="s">
        <v>9062</v>
      </c>
      <c r="D151" s="331" t="str">
        <f t="shared" si="4"/>
        <v>#10636</v>
      </c>
      <c r="E151" s="294" t="s">
        <v>4219</v>
      </c>
      <c r="F151" s="331" t="s">
        <v>4218</v>
      </c>
      <c r="G151" s="331" t="s">
        <v>9063</v>
      </c>
      <c r="H151" s="331" t="str">
        <f t="shared" si="5"/>
        <v>VN10636</v>
      </c>
      <c r="I151" s="331"/>
      <c r="J151" s="333"/>
      <c r="K151" s="334"/>
      <c r="L151" s="335"/>
      <c r="M151" s="335"/>
      <c r="N151" s="336"/>
    </row>
    <row r="152" spans="1:14" ht="15.75">
      <c r="A152" s="329">
        <v>150</v>
      </c>
      <c r="B152" s="330">
        <v>2</v>
      </c>
      <c r="C152" s="331" t="s">
        <v>9062</v>
      </c>
      <c r="D152" s="331" t="str">
        <f t="shared" si="4"/>
        <v>#11364</v>
      </c>
      <c r="E152" s="294" t="s">
        <v>4422</v>
      </c>
      <c r="F152" s="331" t="s">
        <v>4421</v>
      </c>
      <c r="G152" s="331" t="s">
        <v>9064</v>
      </c>
      <c r="H152" s="331" t="str">
        <f t="shared" si="5"/>
        <v>VN11364</v>
      </c>
      <c r="I152" s="331" t="s">
        <v>8825</v>
      </c>
      <c r="J152" s="333"/>
      <c r="K152" s="334"/>
      <c r="L152" s="335"/>
      <c r="M152" s="335"/>
      <c r="N152" s="336"/>
    </row>
    <row r="153" spans="1:14" ht="15.75">
      <c r="A153" s="329">
        <v>151</v>
      </c>
      <c r="B153" s="330">
        <v>3</v>
      </c>
      <c r="C153" s="331" t="s">
        <v>9062</v>
      </c>
      <c r="D153" s="331" t="str">
        <f t="shared" si="4"/>
        <v>#11901</v>
      </c>
      <c r="E153" s="294" t="s">
        <v>4561</v>
      </c>
      <c r="F153" s="331" t="s">
        <v>4560</v>
      </c>
      <c r="G153" s="331" t="s">
        <v>9065</v>
      </c>
      <c r="H153" s="331" t="str">
        <f t="shared" si="5"/>
        <v>VN11901</v>
      </c>
      <c r="I153" s="331"/>
      <c r="J153" s="333"/>
      <c r="K153" s="334"/>
      <c r="L153" s="335"/>
      <c r="M153" s="335"/>
      <c r="N153" s="336"/>
    </row>
    <row r="154" spans="1:14" ht="15.75">
      <c r="A154" s="329">
        <v>152</v>
      </c>
      <c r="B154" s="330">
        <v>4</v>
      </c>
      <c r="C154" s="331" t="s">
        <v>9062</v>
      </c>
      <c r="D154" s="331" t="str">
        <f t="shared" si="4"/>
        <v>#14798</v>
      </c>
      <c r="E154" s="294" t="s">
        <v>5131</v>
      </c>
      <c r="F154" s="331" t="s">
        <v>5130</v>
      </c>
      <c r="G154" s="338" t="s">
        <v>9066</v>
      </c>
      <c r="H154" s="338" t="str">
        <f t="shared" si="5"/>
        <v>VN14798</v>
      </c>
      <c r="I154" s="338" t="s">
        <v>8825</v>
      </c>
      <c r="J154" s="339"/>
      <c r="K154" s="334"/>
      <c r="L154" s="335"/>
      <c r="M154" s="335"/>
      <c r="N154" s="336"/>
    </row>
    <row r="155" spans="1:14" ht="15.75">
      <c r="A155" s="329">
        <v>153</v>
      </c>
      <c r="B155" s="330">
        <v>5</v>
      </c>
      <c r="C155" s="331" t="s">
        <v>9062</v>
      </c>
      <c r="D155" s="331" t="str">
        <f t="shared" si="4"/>
        <v>#05225</v>
      </c>
      <c r="E155" s="294" t="s">
        <v>2664</v>
      </c>
      <c r="F155" s="331" t="s">
        <v>9067</v>
      </c>
      <c r="G155" s="331" t="s">
        <v>9068</v>
      </c>
      <c r="H155" s="331" t="str">
        <f t="shared" si="5"/>
        <v>VN05225</v>
      </c>
      <c r="I155" s="331"/>
      <c r="J155" s="333"/>
      <c r="K155" s="334"/>
      <c r="L155" s="335"/>
      <c r="M155" s="335"/>
      <c r="N155" s="336"/>
    </row>
    <row r="156" spans="1:14" ht="15.75">
      <c r="A156" s="329">
        <v>154</v>
      </c>
      <c r="B156" s="330">
        <v>6</v>
      </c>
      <c r="C156" s="331" t="s">
        <v>9062</v>
      </c>
      <c r="D156" s="331" t="str">
        <f t="shared" si="4"/>
        <v>#01286</v>
      </c>
      <c r="E156" s="294" t="s">
        <v>1499</v>
      </c>
      <c r="F156" s="331" t="s">
        <v>1498</v>
      </c>
      <c r="G156" s="331" t="s">
        <v>9069</v>
      </c>
      <c r="H156" s="331" t="str">
        <f t="shared" si="5"/>
        <v>VN01286</v>
      </c>
      <c r="I156" s="331"/>
      <c r="J156" s="333"/>
      <c r="K156" s="334"/>
      <c r="L156" s="335"/>
      <c r="M156" s="335"/>
      <c r="N156" s="336"/>
    </row>
    <row r="157" spans="1:14" ht="15.75">
      <c r="A157" s="329">
        <v>155</v>
      </c>
      <c r="B157" s="330">
        <v>7</v>
      </c>
      <c r="C157" s="331" t="s">
        <v>9062</v>
      </c>
      <c r="D157" s="331" t="str">
        <f t="shared" si="4"/>
        <v>#00279</v>
      </c>
      <c r="E157" s="294" t="s">
        <v>999</v>
      </c>
      <c r="F157" s="331" t="s">
        <v>998</v>
      </c>
      <c r="G157" s="338" t="s">
        <v>9070</v>
      </c>
      <c r="H157" s="338" t="str">
        <f t="shared" si="5"/>
        <v>VN00279</v>
      </c>
      <c r="I157" s="338"/>
      <c r="J157" s="339"/>
      <c r="K157" s="334"/>
      <c r="L157" s="335"/>
      <c r="M157" s="335"/>
      <c r="N157" s="336"/>
    </row>
    <row r="158" spans="1:14" ht="15.75">
      <c r="A158" s="329">
        <v>156</v>
      </c>
      <c r="B158" s="330">
        <v>8</v>
      </c>
      <c r="C158" s="331" t="s">
        <v>9062</v>
      </c>
      <c r="D158" s="331" t="str">
        <f t="shared" si="4"/>
        <v>#02413</v>
      </c>
      <c r="E158" s="294" t="s">
        <v>1845</v>
      </c>
      <c r="F158" s="331" t="s">
        <v>1844</v>
      </c>
      <c r="G158" s="331" t="s">
        <v>9071</v>
      </c>
      <c r="H158" s="331" t="str">
        <f t="shared" si="5"/>
        <v>VN02413</v>
      </c>
      <c r="I158" s="331"/>
      <c r="J158" s="333"/>
      <c r="K158" s="334"/>
      <c r="L158" s="335"/>
      <c r="M158" s="335"/>
      <c r="N158" s="336"/>
    </row>
    <row r="159" spans="1:14" ht="15.75">
      <c r="A159" s="329">
        <v>157</v>
      </c>
      <c r="B159" s="330">
        <v>9</v>
      </c>
      <c r="C159" s="331" t="s">
        <v>9062</v>
      </c>
      <c r="D159" s="331" t="str">
        <f t="shared" si="4"/>
        <v>#02696</v>
      </c>
      <c r="E159" s="294" t="s">
        <v>1955</v>
      </c>
      <c r="F159" s="331" t="s">
        <v>1954</v>
      </c>
      <c r="G159" s="338" t="s">
        <v>9072</v>
      </c>
      <c r="H159" s="338" t="str">
        <f t="shared" si="5"/>
        <v>VN02696</v>
      </c>
      <c r="I159" s="338" t="s">
        <v>8825</v>
      </c>
      <c r="J159" s="339"/>
      <c r="K159" s="334"/>
      <c r="L159" s="335"/>
      <c r="M159" s="335"/>
      <c r="N159" s="336"/>
    </row>
    <row r="160" spans="1:14" ht="15.75">
      <c r="A160" s="329">
        <v>158</v>
      </c>
      <c r="B160" s="330">
        <v>10</v>
      </c>
      <c r="C160" s="331" t="s">
        <v>9062</v>
      </c>
      <c r="D160" s="331" t="str">
        <f t="shared" si="4"/>
        <v>#08561</v>
      </c>
      <c r="E160" s="294" t="s">
        <v>3599</v>
      </c>
      <c r="F160" s="331" t="s">
        <v>3598</v>
      </c>
      <c r="G160" s="338" t="s">
        <v>9073</v>
      </c>
      <c r="H160" s="338" t="str">
        <f t="shared" si="5"/>
        <v>VN08561</v>
      </c>
      <c r="I160" s="338"/>
      <c r="J160" s="339"/>
      <c r="K160" s="334"/>
      <c r="L160" s="335"/>
      <c r="M160" s="335"/>
      <c r="N160" s="336"/>
    </row>
    <row r="161" spans="1:14" ht="15.75">
      <c r="A161" s="329">
        <v>159</v>
      </c>
      <c r="B161" s="330">
        <v>11</v>
      </c>
      <c r="C161" s="331" t="s">
        <v>9062</v>
      </c>
      <c r="D161" s="331" t="str">
        <f t="shared" si="4"/>
        <v>#07195</v>
      </c>
      <c r="E161" s="294" t="s">
        <v>3180</v>
      </c>
      <c r="F161" s="331" t="s">
        <v>3179</v>
      </c>
      <c r="G161" s="338" t="s">
        <v>9074</v>
      </c>
      <c r="H161" s="338" t="str">
        <f t="shared" si="5"/>
        <v>VN07195</v>
      </c>
      <c r="I161" s="338"/>
      <c r="J161" s="339"/>
      <c r="K161" s="334"/>
      <c r="L161" s="335"/>
      <c r="M161" s="335"/>
      <c r="N161" s="336"/>
    </row>
    <row r="162" spans="1:14" ht="15.75">
      <c r="A162" s="329">
        <v>160</v>
      </c>
      <c r="B162" s="330">
        <v>12</v>
      </c>
      <c r="C162" s="331" t="s">
        <v>9062</v>
      </c>
      <c r="D162" s="331" t="str">
        <f t="shared" si="4"/>
        <v>#25832</v>
      </c>
      <c r="E162" s="294" t="s">
        <v>9075</v>
      </c>
      <c r="F162" s="331" t="s">
        <v>3327</v>
      </c>
      <c r="G162" s="338" t="s">
        <v>9076</v>
      </c>
      <c r="H162" s="338" t="str">
        <f t="shared" si="5"/>
        <v>VN25832</v>
      </c>
      <c r="I162" s="338" t="s">
        <v>8825</v>
      </c>
      <c r="J162" s="339" t="s">
        <v>9077</v>
      </c>
      <c r="K162" s="334">
        <v>45768</v>
      </c>
      <c r="L162" s="337">
        <v>45762</v>
      </c>
      <c r="M162" s="337">
        <v>45887</v>
      </c>
      <c r="N162" s="336"/>
    </row>
    <row r="163" spans="1:14" ht="15.75">
      <c r="A163" s="329">
        <v>161</v>
      </c>
      <c r="B163" s="330">
        <v>13</v>
      </c>
      <c r="C163" s="331" t="s">
        <v>9062</v>
      </c>
      <c r="D163" s="331" t="str">
        <f t="shared" si="4"/>
        <v>#15388</v>
      </c>
      <c r="E163" s="294" t="s">
        <v>5279</v>
      </c>
      <c r="F163" s="331" t="s">
        <v>5278</v>
      </c>
      <c r="G163" s="338" t="s">
        <v>9078</v>
      </c>
      <c r="H163" s="338" t="str">
        <f t="shared" si="5"/>
        <v>VN15388</v>
      </c>
      <c r="I163" s="338"/>
      <c r="J163" s="339"/>
      <c r="K163" s="334"/>
      <c r="L163" s="335"/>
      <c r="M163" s="335"/>
      <c r="N163" s="336"/>
    </row>
    <row r="164" spans="1:14" ht="15.75">
      <c r="A164" s="329">
        <v>163</v>
      </c>
      <c r="B164" s="330">
        <v>1</v>
      </c>
      <c r="C164" s="331" t="s">
        <v>9079</v>
      </c>
      <c r="D164" s="331" t="str">
        <f t="shared" si="4"/>
        <v>#12014</v>
      </c>
      <c r="E164" s="294" t="s">
        <v>9080</v>
      </c>
      <c r="F164" s="331" t="s">
        <v>4589</v>
      </c>
      <c r="G164" s="331" t="s">
        <v>9081</v>
      </c>
      <c r="H164" s="331" t="str">
        <f t="shared" si="5"/>
        <v>VN12014</v>
      </c>
      <c r="I164" s="331" t="s">
        <v>8825</v>
      </c>
      <c r="J164" s="333"/>
      <c r="K164" s="334"/>
      <c r="L164" s="337">
        <v>45725</v>
      </c>
      <c r="M164" s="337">
        <v>45887</v>
      </c>
      <c r="N164" s="336"/>
    </row>
    <row r="165" spans="1:14" ht="15.75">
      <c r="A165" s="329">
        <v>164</v>
      </c>
      <c r="B165" s="330">
        <v>2</v>
      </c>
      <c r="C165" s="331" t="s">
        <v>9079</v>
      </c>
      <c r="D165" s="331" t="str">
        <f t="shared" si="4"/>
        <v>#15704</v>
      </c>
      <c r="E165" s="294" t="s">
        <v>5356</v>
      </c>
      <c r="F165" s="331" t="s">
        <v>5355</v>
      </c>
      <c r="G165" s="338" t="s">
        <v>9082</v>
      </c>
      <c r="H165" s="338" t="str">
        <f t="shared" si="5"/>
        <v>VN15704</v>
      </c>
      <c r="I165" s="338" t="s">
        <v>8825</v>
      </c>
      <c r="J165" s="339"/>
      <c r="K165" s="334"/>
      <c r="L165" s="335"/>
      <c r="M165" s="335"/>
      <c r="N165" s="336"/>
    </row>
    <row r="166" spans="1:14" ht="15.75">
      <c r="A166" s="329">
        <v>165</v>
      </c>
      <c r="B166" s="330">
        <v>3</v>
      </c>
      <c r="C166" s="331" t="s">
        <v>9079</v>
      </c>
      <c r="D166" s="331" t="str">
        <f t="shared" si="4"/>
        <v>#04276</v>
      </c>
      <c r="E166" s="294" t="s">
        <v>2454</v>
      </c>
      <c r="F166" s="331" t="s">
        <v>2453</v>
      </c>
      <c r="G166" s="331" t="s">
        <v>9083</v>
      </c>
      <c r="H166" s="331" t="str">
        <f t="shared" si="5"/>
        <v>VN04276</v>
      </c>
      <c r="I166" s="331"/>
      <c r="J166" s="333"/>
      <c r="K166" s="334"/>
      <c r="L166" s="335"/>
      <c r="M166" s="335"/>
      <c r="N166" s="336"/>
    </row>
    <row r="167" spans="1:14" ht="15.75">
      <c r="A167" s="329">
        <v>166</v>
      </c>
      <c r="B167" s="330">
        <v>4</v>
      </c>
      <c r="C167" s="331" t="s">
        <v>9079</v>
      </c>
      <c r="D167" s="331" t="str">
        <f t="shared" si="4"/>
        <v>#00576</v>
      </c>
      <c r="E167" s="294" t="s">
        <v>1149</v>
      </c>
      <c r="F167" s="331" t="s">
        <v>1148</v>
      </c>
      <c r="G167" s="331" t="s">
        <v>9084</v>
      </c>
      <c r="H167" s="331" t="str">
        <f t="shared" si="5"/>
        <v>VN00576</v>
      </c>
      <c r="I167" s="331" t="s">
        <v>8825</v>
      </c>
      <c r="J167" s="333">
        <v>123456</v>
      </c>
      <c r="K167" s="334"/>
      <c r="L167" s="335"/>
      <c r="M167" s="335"/>
      <c r="N167" s="336"/>
    </row>
    <row r="168" spans="1:14" ht="15.75">
      <c r="A168" s="329">
        <v>167</v>
      </c>
      <c r="B168" s="330">
        <v>5</v>
      </c>
      <c r="C168" s="331" t="s">
        <v>9079</v>
      </c>
      <c r="D168" s="331" t="str">
        <f t="shared" si="4"/>
        <v>#04233</v>
      </c>
      <c r="E168" s="294" t="s">
        <v>2431</v>
      </c>
      <c r="F168" s="331" t="s">
        <v>2430</v>
      </c>
      <c r="G168" s="331" t="s">
        <v>9085</v>
      </c>
      <c r="H168" s="331" t="str">
        <f t="shared" si="5"/>
        <v>VN04233</v>
      </c>
      <c r="I168" s="331"/>
      <c r="J168" s="333">
        <v>123456</v>
      </c>
      <c r="K168" s="334">
        <v>45540</v>
      </c>
      <c r="L168" s="335"/>
      <c r="M168" s="335"/>
      <c r="N168" s="336"/>
    </row>
    <row r="169" spans="1:14" ht="15.75">
      <c r="A169" s="329">
        <v>168</v>
      </c>
      <c r="B169" s="330">
        <v>6</v>
      </c>
      <c r="C169" s="331" t="s">
        <v>9079</v>
      </c>
      <c r="D169" s="331" t="str">
        <f t="shared" si="4"/>
        <v>#15705</v>
      </c>
      <c r="E169" s="294" t="s">
        <v>9086</v>
      </c>
      <c r="F169" s="331" t="s">
        <v>5357</v>
      </c>
      <c r="G169" s="338" t="s">
        <v>9087</v>
      </c>
      <c r="H169" s="338" t="str">
        <f t="shared" si="5"/>
        <v>VN15705</v>
      </c>
      <c r="I169" s="338"/>
      <c r="J169" s="339"/>
      <c r="K169" s="334"/>
      <c r="L169" s="337">
        <v>45749</v>
      </c>
      <c r="M169" s="337">
        <v>45887</v>
      </c>
      <c r="N169" s="336"/>
    </row>
    <row r="170" spans="1:14" ht="15.75">
      <c r="A170" s="329">
        <v>169</v>
      </c>
      <c r="B170" s="330">
        <v>1</v>
      </c>
      <c r="C170" s="331" t="s">
        <v>9088</v>
      </c>
      <c r="D170" s="331" t="str">
        <f t="shared" si="4"/>
        <v>#00116</v>
      </c>
      <c r="E170" s="294" t="s">
        <v>921</v>
      </c>
      <c r="F170" s="331" t="s">
        <v>920</v>
      </c>
      <c r="G170" s="338" t="s">
        <v>9089</v>
      </c>
      <c r="H170" s="338" t="str">
        <f t="shared" si="5"/>
        <v>VN00116</v>
      </c>
      <c r="I170" s="338"/>
      <c r="J170" s="339"/>
      <c r="K170" s="334"/>
      <c r="L170" s="335"/>
      <c r="M170" s="335"/>
      <c r="N170" s="336"/>
    </row>
    <row r="171" spans="1:14" ht="15.75">
      <c r="A171" s="329">
        <v>170</v>
      </c>
      <c r="B171" s="330">
        <v>2</v>
      </c>
      <c r="C171" s="331" t="s">
        <v>9088</v>
      </c>
      <c r="D171" s="331" t="str">
        <f t="shared" si="4"/>
        <v>#12694</v>
      </c>
      <c r="E171" s="294" t="s">
        <v>4729</v>
      </c>
      <c r="F171" s="331" t="s">
        <v>4728</v>
      </c>
      <c r="G171" s="331" t="s">
        <v>9090</v>
      </c>
      <c r="H171" s="331" t="str">
        <f t="shared" si="5"/>
        <v>VN12694</v>
      </c>
      <c r="I171" s="331" t="s">
        <v>8825</v>
      </c>
      <c r="J171" s="333"/>
      <c r="K171" s="334"/>
      <c r="L171" s="335"/>
      <c r="M171" s="335"/>
      <c r="N171" s="336"/>
    </row>
    <row r="172" spans="1:14" ht="15.75">
      <c r="A172" s="329">
        <v>171</v>
      </c>
      <c r="B172" s="330">
        <v>3</v>
      </c>
      <c r="C172" s="331" t="s">
        <v>9088</v>
      </c>
      <c r="D172" s="331" t="str">
        <f t="shared" si="4"/>
        <v>#00844</v>
      </c>
      <c r="E172" s="294" t="s">
        <v>1289</v>
      </c>
      <c r="F172" s="331" t="s">
        <v>1241</v>
      </c>
      <c r="G172" s="331" t="s">
        <v>9091</v>
      </c>
      <c r="H172" s="331" t="str">
        <f t="shared" si="5"/>
        <v>VN00844</v>
      </c>
      <c r="I172" s="331" t="s">
        <v>8825</v>
      </c>
      <c r="J172" s="333"/>
      <c r="K172" s="334"/>
      <c r="L172" s="335"/>
      <c r="M172" s="335"/>
      <c r="N172" s="336"/>
    </row>
    <row r="173" spans="1:14" ht="15.75">
      <c r="A173" s="329">
        <v>172</v>
      </c>
      <c r="B173" s="330">
        <v>4</v>
      </c>
      <c r="C173" s="331" t="s">
        <v>9088</v>
      </c>
      <c r="D173" s="331" t="str">
        <f t="shared" si="4"/>
        <v>#00807</v>
      </c>
      <c r="E173" s="294" t="s">
        <v>1278</v>
      </c>
      <c r="F173" s="331" t="s">
        <v>9092</v>
      </c>
      <c r="G173" s="331" t="s">
        <v>9093</v>
      </c>
      <c r="H173" s="331" t="str">
        <f t="shared" si="5"/>
        <v>VN00807</v>
      </c>
      <c r="I173" s="331"/>
      <c r="J173" s="333"/>
      <c r="K173" s="334"/>
      <c r="L173" s="335"/>
      <c r="M173" s="335"/>
      <c r="N173" s="336"/>
    </row>
    <row r="174" spans="1:14" ht="15.75">
      <c r="A174" s="329">
        <v>173</v>
      </c>
      <c r="B174" s="330">
        <v>5</v>
      </c>
      <c r="C174" s="331" t="s">
        <v>9088</v>
      </c>
      <c r="D174" s="331" t="str">
        <f t="shared" si="4"/>
        <v>#02295</v>
      </c>
      <c r="E174" s="294" t="s">
        <v>1805</v>
      </c>
      <c r="F174" s="331" t="s">
        <v>1804</v>
      </c>
      <c r="G174" s="331" t="s">
        <v>9094</v>
      </c>
      <c r="H174" s="331" t="str">
        <f t="shared" si="5"/>
        <v>VN02295</v>
      </c>
      <c r="I174" s="331"/>
      <c r="J174" s="333"/>
      <c r="K174" s="334"/>
      <c r="L174" s="335"/>
      <c r="M174" s="335"/>
      <c r="N174" s="336"/>
    </row>
    <row r="175" spans="1:14" ht="15.75">
      <c r="A175" s="329">
        <v>174</v>
      </c>
      <c r="B175" s="330">
        <v>6</v>
      </c>
      <c r="C175" s="331" t="s">
        <v>9088</v>
      </c>
      <c r="D175" s="331" t="str">
        <f t="shared" si="4"/>
        <v>#01653</v>
      </c>
      <c r="E175" s="294" t="s">
        <v>1628</v>
      </c>
      <c r="F175" s="331" t="s">
        <v>1627</v>
      </c>
      <c r="G175" s="331" t="s">
        <v>9095</v>
      </c>
      <c r="H175" s="331" t="str">
        <f t="shared" si="5"/>
        <v>VN01653</v>
      </c>
      <c r="I175" s="331"/>
      <c r="J175" s="333"/>
      <c r="K175" s="334"/>
      <c r="L175" s="335"/>
      <c r="M175" s="335"/>
      <c r="N175" s="336"/>
    </row>
    <row r="176" spans="1:14" ht="15.75">
      <c r="A176" s="329">
        <v>175</v>
      </c>
      <c r="B176" s="330">
        <v>7</v>
      </c>
      <c r="C176" s="331" t="s">
        <v>9088</v>
      </c>
      <c r="D176" s="331" t="str">
        <f t="shared" si="4"/>
        <v>#02630</v>
      </c>
      <c r="E176" s="294" t="s">
        <v>1928</v>
      </c>
      <c r="F176" s="331" t="s">
        <v>1927</v>
      </c>
      <c r="G176" s="331" t="s">
        <v>9096</v>
      </c>
      <c r="H176" s="331" t="str">
        <f t="shared" si="5"/>
        <v>VN02630</v>
      </c>
      <c r="I176" s="331" t="s">
        <v>8825</v>
      </c>
      <c r="J176" s="333"/>
      <c r="K176" s="334"/>
      <c r="L176" s="335"/>
      <c r="M176" s="335"/>
      <c r="N176" s="336"/>
    </row>
    <row r="177" spans="1:14" ht="15.75">
      <c r="A177" s="329">
        <v>176</v>
      </c>
      <c r="B177" s="330">
        <v>8</v>
      </c>
      <c r="C177" s="331" t="s">
        <v>9088</v>
      </c>
      <c r="D177" s="331" t="str">
        <f t="shared" si="4"/>
        <v>#09077</v>
      </c>
      <c r="E177" s="294" t="s">
        <v>3722</v>
      </c>
      <c r="F177" s="331" t="s">
        <v>3721</v>
      </c>
      <c r="G177" s="331" t="s">
        <v>9097</v>
      </c>
      <c r="H177" s="331" t="str">
        <f t="shared" si="5"/>
        <v>VN09077</v>
      </c>
      <c r="I177" s="331"/>
      <c r="J177" s="333"/>
      <c r="K177" s="334"/>
      <c r="L177" s="335"/>
      <c r="M177" s="335"/>
      <c r="N177" s="336"/>
    </row>
    <row r="178" spans="1:14" ht="15.75">
      <c r="A178" s="329">
        <v>177</v>
      </c>
      <c r="B178" s="330">
        <v>9</v>
      </c>
      <c r="C178" s="331" t="s">
        <v>9088</v>
      </c>
      <c r="D178" s="331" t="str">
        <f t="shared" si="4"/>
        <v>#00758</v>
      </c>
      <c r="E178" s="294" t="s">
        <v>1248</v>
      </c>
      <c r="F178" s="331" t="s">
        <v>1247</v>
      </c>
      <c r="G178" s="331" t="s">
        <v>9098</v>
      </c>
      <c r="H178" s="331" t="str">
        <f t="shared" si="5"/>
        <v>VN00758</v>
      </c>
      <c r="I178" s="331" t="s">
        <v>8825</v>
      </c>
      <c r="J178" s="333"/>
      <c r="K178" s="334"/>
      <c r="L178" s="335"/>
      <c r="M178" s="335"/>
      <c r="N178" s="336"/>
    </row>
    <row r="179" spans="1:14" ht="15.75">
      <c r="A179" s="329">
        <v>178</v>
      </c>
      <c r="B179" s="330">
        <v>10</v>
      </c>
      <c r="C179" s="331" t="s">
        <v>9088</v>
      </c>
      <c r="D179" s="331" t="str">
        <f t="shared" si="4"/>
        <v>#08553</v>
      </c>
      <c r="E179" s="294" t="s">
        <v>3590</v>
      </c>
      <c r="F179" s="331" t="s">
        <v>3589</v>
      </c>
      <c r="G179" s="331" t="s">
        <v>9099</v>
      </c>
      <c r="H179" s="331" t="str">
        <f t="shared" si="5"/>
        <v>VN08553</v>
      </c>
      <c r="I179" s="331"/>
      <c r="J179" s="333"/>
      <c r="K179" s="334"/>
      <c r="L179" s="335"/>
      <c r="M179" s="335"/>
      <c r="N179" s="336"/>
    </row>
    <row r="180" spans="1:14" ht="15.75">
      <c r="A180" s="329">
        <v>179</v>
      </c>
      <c r="B180" s="330">
        <v>11</v>
      </c>
      <c r="C180" s="331" t="s">
        <v>9088</v>
      </c>
      <c r="D180" s="331" t="str">
        <f t="shared" si="4"/>
        <v>#01787</v>
      </c>
      <c r="E180" s="294" t="s">
        <v>1677</v>
      </c>
      <c r="F180" s="331" t="s">
        <v>1676</v>
      </c>
      <c r="G180" s="331" t="s">
        <v>9100</v>
      </c>
      <c r="H180" s="331" t="str">
        <f t="shared" si="5"/>
        <v>VN01787</v>
      </c>
      <c r="I180" s="331" t="s">
        <v>8825</v>
      </c>
      <c r="J180" s="333"/>
      <c r="K180" s="334"/>
      <c r="L180" s="335"/>
      <c r="M180" s="335"/>
      <c r="N180" s="336"/>
    </row>
    <row r="181" spans="1:14" ht="15.75">
      <c r="A181" s="329">
        <v>180</v>
      </c>
      <c r="B181" s="330">
        <v>12</v>
      </c>
      <c r="C181" s="331" t="s">
        <v>9088</v>
      </c>
      <c r="D181" s="331" t="str">
        <f t="shared" si="4"/>
        <v>#01936</v>
      </c>
      <c r="E181" s="294" t="s">
        <v>1728</v>
      </c>
      <c r="F181" s="331" t="s">
        <v>1727</v>
      </c>
      <c r="G181" s="331" t="s">
        <v>9101</v>
      </c>
      <c r="H181" s="331" t="str">
        <f t="shared" si="5"/>
        <v>VN01936</v>
      </c>
      <c r="I181" s="331"/>
      <c r="J181" s="333"/>
      <c r="K181" s="334"/>
      <c r="L181" s="335"/>
      <c r="M181" s="335"/>
      <c r="N181" s="336"/>
    </row>
    <row r="182" spans="1:14" ht="15.75">
      <c r="A182" s="329">
        <v>181</v>
      </c>
      <c r="B182" s="330">
        <v>13</v>
      </c>
      <c r="C182" s="331" t="s">
        <v>9088</v>
      </c>
      <c r="D182" s="331" t="str">
        <f t="shared" si="4"/>
        <v>#07039</v>
      </c>
      <c r="E182" s="294" t="s">
        <v>3114</v>
      </c>
      <c r="F182" s="331" t="s">
        <v>3113</v>
      </c>
      <c r="G182" s="331" t="s">
        <v>9102</v>
      </c>
      <c r="H182" s="331" t="str">
        <f t="shared" si="5"/>
        <v>VN07039</v>
      </c>
      <c r="I182" s="331" t="s">
        <v>8825</v>
      </c>
      <c r="J182" s="333"/>
      <c r="K182" s="334"/>
      <c r="L182" s="335"/>
      <c r="M182" s="335"/>
      <c r="N182" s="336"/>
    </row>
    <row r="183" spans="1:14" ht="15.75">
      <c r="A183" s="329">
        <v>182</v>
      </c>
      <c r="B183" s="330">
        <v>14</v>
      </c>
      <c r="C183" s="331" t="s">
        <v>9088</v>
      </c>
      <c r="D183" s="331" t="str">
        <f t="shared" si="4"/>
        <v>#08949</v>
      </c>
      <c r="E183" s="294" t="s">
        <v>3687</v>
      </c>
      <c r="F183" s="331" t="s">
        <v>3686</v>
      </c>
      <c r="G183" s="331" t="s">
        <v>9103</v>
      </c>
      <c r="H183" s="331" t="str">
        <f t="shared" si="5"/>
        <v>VN08949</v>
      </c>
      <c r="I183" s="331"/>
      <c r="J183" s="333"/>
      <c r="K183" s="334"/>
      <c r="L183" s="335"/>
      <c r="M183" s="335"/>
      <c r="N183" s="336"/>
    </row>
    <row r="184" spans="1:14" ht="15.75">
      <c r="A184" s="329">
        <v>183</v>
      </c>
      <c r="B184" s="330">
        <v>15</v>
      </c>
      <c r="C184" s="331" t="s">
        <v>9088</v>
      </c>
      <c r="D184" s="331" t="str">
        <f t="shared" si="4"/>
        <v>#00400</v>
      </c>
      <c r="E184" s="294" t="s">
        <v>1058</v>
      </c>
      <c r="F184" s="331" t="s">
        <v>1057</v>
      </c>
      <c r="G184" s="331" t="s">
        <v>9104</v>
      </c>
      <c r="H184" s="331" t="str">
        <f t="shared" si="5"/>
        <v>VN00400</v>
      </c>
      <c r="I184" s="331" t="s">
        <v>8825</v>
      </c>
      <c r="J184" s="333"/>
      <c r="K184" s="334"/>
      <c r="L184" s="335"/>
      <c r="M184" s="335"/>
      <c r="N184" s="336"/>
    </row>
    <row r="185" spans="1:14" ht="15.75">
      <c r="A185" s="329">
        <v>184</v>
      </c>
      <c r="B185" s="330">
        <v>16</v>
      </c>
      <c r="C185" s="331" t="s">
        <v>9088</v>
      </c>
      <c r="D185" s="331" t="str">
        <f t="shared" si="4"/>
        <v>#00379</v>
      </c>
      <c r="E185" s="294" t="s">
        <v>1054</v>
      </c>
      <c r="F185" s="331" t="s">
        <v>1053</v>
      </c>
      <c r="G185" s="331" t="s">
        <v>9105</v>
      </c>
      <c r="H185" s="331" t="str">
        <f t="shared" si="5"/>
        <v>VN00379</v>
      </c>
      <c r="I185" s="331"/>
      <c r="J185" s="333"/>
      <c r="K185" s="334"/>
      <c r="L185" s="335"/>
      <c r="M185" s="335"/>
      <c r="N185" s="336"/>
    </row>
    <row r="186" spans="1:14" ht="15.75">
      <c r="A186" s="329">
        <v>185</v>
      </c>
      <c r="B186" s="330">
        <v>17</v>
      </c>
      <c r="C186" s="331" t="s">
        <v>9088</v>
      </c>
      <c r="D186" s="331" t="str">
        <f t="shared" si="4"/>
        <v>#00231</v>
      </c>
      <c r="E186" s="294" t="s">
        <v>975</v>
      </c>
      <c r="F186" s="331" t="s">
        <v>974</v>
      </c>
      <c r="G186" s="331" t="s">
        <v>9106</v>
      </c>
      <c r="H186" s="331" t="str">
        <f t="shared" si="5"/>
        <v>VN00231</v>
      </c>
      <c r="I186" s="331"/>
      <c r="J186" s="333"/>
      <c r="K186" s="334"/>
      <c r="L186" s="335"/>
      <c r="M186" s="335"/>
      <c r="N186" s="336"/>
    </row>
    <row r="187" spans="1:14" ht="15.75">
      <c r="A187" s="329">
        <v>186</v>
      </c>
      <c r="B187" s="330">
        <v>18</v>
      </c>
      <c r="C187" s="331" t="s">
        <v>9088</v>
      </c>
      <c r="D187" s="331" t="str">
        <f t="shared" si="4"/>
        <v>#00943</v>
      </c>
      <c r="E187" s="294" t="s">
        <v>9107</v>
      </c>
      <c r="F187" s="331" t="s">
        <v>5498</v>
      </c>
      <c r="G187" s="331" t="s">
        <v>9108</v>
      </c>
      <c r="H187" s="331" t="str">
        <f t="shared" si="5"/>
        <v>VN00943</v>
      </c>
      <c r="I187" s="331" t="s">
        <v>8825</v>
      </c>
      <c r="J187" s="333"/>
      <c r="K187" s="334"/>
      <c r="L187" s="337">
        <v>45660</v>
      </c>
      <c r="M187" s="337">
        <v>45887</v>
      </c>
      <c r="N187" s="336"/>
    </row>
    <row r="188" spans="1:14" ht="15.75">
      <c r="A188" s="329">
        <v>187</v>
      </c>
      <c r="B188" s="330">
        <v>19</v>
      </c>
      <c r="C188" s="331" t="s">
        <v>9088</v>
      </c>
      <c r="D188" s="331" t="str">
        <f t="shared" si="4"/>
        <v>#02420</v>
      </c>
      <c r="E188" s="294" t="s">
        <v>1851</v>
      </c>
      <c r="F188" s="331" t="s">
        <v>1850</v>
      </c>
      <c r="G188" s="331" t="s">
        <v>9109</v>
      </c>
      <c r="H188" s="331" t="str">
        <f t="shared" si="5"/>
        <v>VN02420</v>
      </c>
      <c r="I188" s="331"/>
      <c r="J188" s="333"/>
      <c r="K188" s="334"/>
      <c r="L188" s="335"/>
      <c r="M188" s="335"/>
      <c r="N188" s="336"/>
    </row>
    <row r="189" spans="1:14" ht="15.75">
      <c r="A189" s="329">
        <v>188</v>
      </c>
      <c r="B189" s="330">
        <v>20</v>
      </c>
      <c r="C189" s="331" t="s">
        <v>9088</v>
      </c>
      <c r="D189" s="331" t="str">
        <f t="shared" si="4"/>
        <v>#02196</v>
      </c>
      <c r="E189" s="294" t="s">
        <v>1779</v>
      </c>
      <c r="F189" s="331" t="s">
        <v>1778</v>
      </c>
      <c r="G189" s="331" t="s">
        <v>9110</v>
      </c>
      <c r="H189" s="331" t="str">
        <f t="shared" si="5"/>
        <v>VN02196</v>
      </c>
      <c r="I189" s="331"/>
      <c r="J189" s="333" t="s">
        <v>9111</v>
      </c>
      <c r="K189" s="334"/>
      <c r="L189" s="335"/>
      <c r="M189" s="335"/>
      <c r="N189" s="336"/>
    </row>
    <row r="190" spans="1:14" ht="15.75">
      <c r="A190" s="329">
        <v>189</v>
      </c>
      <c r="B190" s="330">
        <v>21</v>
      </c>
      <c r="C190" s="331" t="s">
        <v>9088</v>
      </c>
      <c r="D190" s="331" t="str">
        <f t="shared" si="4"/>
        <v>#00125</v>
      </c>
      <c r="E190" s="294" t="s">
        <v>929</v>
      </c>
      <c r="F190" s="331" t="s">
        <v>928</v>
      </c>
      <c r="G190" s="331" t="s">
        <v>9112</v>
      </c>
      <c r="H190" s="331" t="str">
        <f t="shared" si="5"/>
        <v>VN00125</v>
      </c>
      <c r="I190" s="331"/>
      <c r="J190" s="333"/>
      <c r="K190" s="334"/>
      <c r="L190" s="335"/>
      <c r="M190" s="335"/>
      <c r="N190" s="336"/>
    </row>
    <row r="191" spans="1:14" ht="15.75">
      <c r="A191" s="329">
        <v>190</v>
      </c>
      <c r="B191" s="330">
        <v>22</v>
      </c>
      <c r="C191" s="331" t="s">
        <v>9088</v>
      </c>
      <c r="D191" s="331" t="str">
        <f t="shared" si="4"/>
        <v>#00405</v>
      </c>
      <c r="E191" s="294" t="s">
        <v>1065</v>
      </c>
      <c r="F191" s="331" t="s">
        <v>1064</v>
      </c>
      <c r="G191" s="331" t="s">
        <v>9113</v>
      </c>
      <c r="H191" s="331" t="str">
        <f t="shared" si="5"/>
        <v>VN00405</v>
      </c>
      <c r="I191" s="331"/>
      <c r="J191" s="333"/>
      <c r="K191" s="334"/>
      <c r="L191" s="335"/>
      <c r="M191" s="335"/>
      <c r="N191" s="336"/>
    </row>
    <row r="192" spans="1:14" ht="15.75">
      <c r="A192" s="329">
        <v>191</v>
      </c>
      <c r="B192" s="330">
        <v>23</v>
      </c>
      <c r="C192" s="331" t="s">
        <v>9088</v>
      </c>
      <c r="D192" s="331" t="str">
        <f t="shared" si="4"/>
        <v>#02692</v>
      </c>
      <c r="E192" s="294" t="s">
        <v>1951</v>
      </c>
      <c r="F192" s="331" t="s">
        <v>1950</v>
      </c>
      <c r="G192" s="331" t="s">
        <v>9114</v>
      </c>
      <c r="H192" s="331" t="str">
        <f t="shared" si="5"/>
        <v>VN02692</v>
      </c>
      <c r="I192" s="331" t="s">
        <v>8825</v>
      </c>
      <c r="J192" s="333"/>
      <c r="K192" s="334"/>
      <c r="L192" s="335"/>
      <c r="M192" s="335"/>
      <c r="N192" s="336"/>
    </row>
    <row r="193" spans="1:14" ht="15.75">
      <c r="A193" s="329">
        <v>192</v>
      </c>
      <c r="B193" s="330">
        <v>24</v>
      </c>
      <c r="C193" s="331" t="s">
        <v>9088</v>
      </c>
      <c r="D193" s="331" t="str">
        <f t="shared" si="4"/>
        <v>#02529</v>
      </c>
      <c r="E193" s="294" t="s">
        <v>1905</v>
      </c>
      <c r="F193" s="331" t="s">
        <v>1904</v>
      </c>
      <c r="G193" s="331" t="s">
        <v>9115</v>
      </c>
      <c r="H193" s="331" t="str">
        <f t="shared" si="5"/>
        <v>VN02529</v>
      </c>
      <c r="I193" s="331"/>
      <c r="J193" s="333"/>
      <c r="K193" s="334"/>
      <c r="L193" s="335"/>
      <c r="M193" s="335"/>
      <c r="N193" s="336"/>
    </row>
    <row r="194" spans="1:14" ht="15.75">
      <c r="A194" s="329">
        <v>193</v>
      </c>
      <c r="B194" s="330">
        <v>25</v>
      </c>
      <c r="C194" s="331" t="s">
        <v>9088</v>
      </c>
      <c r="D194" s="331" t="str">
        <f t="shared" si="4"/>
        <v>#01662</v>
      </c>
      <c r="E194" s="294" t="s">
        <v>1632</v>
      </c>
      <c r="F194" s="331" t="s">
        <v>1631</v>
      </c>
      <c r="G194" s="331" t="s">
        <v>9116</v>
      </c>
      <c r="H194" s="331" t="str">
        <f t="shared" si="5"/>
        <v>VN01662</v>
      </c>
      <c r="I194" s="331"/>
      <c r="J194" s="333"/>
      <c r="K194" s="334"/>
      <c r="L194" s="335"/>
      <c r="M194" s="335"/>
      <c r="N194" s="336"/>
    </row>
    <row r="195" spans="1:14" ht="15.75">
      <c r="A195" s="329">
        <v>194</v>
      </c>
      <c r="B195" s="330">
        <v>26</v>
      </c>
      <c r="C195" s="331" t="s">
        <v>9088</v>
      </c>
      <c r="D195" s="331" t="str">
        <f t="shared" ref="D195:D258" si="6">CONCATENATE("#",E195)</f>
        <v>#01932</v>
      </c>
      <c r="E195" s="294" t="s">
        <v>1726</v>
      </c>
      <c r="F195" s="331" t="s">
        <v>1725</v>
      </c>
      <c r="G195" s="331" t="s">
        <v>9117</v>
      </c>
      <c r="H195" s="331" t="str">
        <f t="shared" ref="H195:H204" si="7">CONCATENATE("VN",E195)</f>
        <v>VN01932</v>
      </c>
      <c r="I195" s="331"/>
      <c r="J195" s="333"/>
      <c r="K195" s="334"/>
      <c r="L195" s="335"/>
      <c r="M195" s="335"/>
      <c r="N195" s="336"/>
    </row>
    <row r="196" spans="1:14" ht="15.75">
      <c r="A196" s="329">
        <v>195</v>
      </c>
      <c r="B196" s="330">
        <v>27</v>
      </c>
      <c r="C196" s="331" t="s">
        <v>9088</v>
      </c>
      <c r="D196" s="331" t="str">
        <f t="shared" si="6"/>
        <v>#03027</v>
      </c>
      <c r="E196" s="294" t="s">
        <v>2065</v>
      </c>
      <c r="F196" s="331" t="s">
        <v>2064</v>
      </c>
      <c r="G196" s="331" t="s">
        <v>9118</v>
      </c>
      <c r="H196" s="331" t="str">
        <f t="shared" si="7"/>
        <v>VN03027</v>
      </c>
      <c r="I196" s="331"/>
      <c r="J196" s="333"/>
      <c r="K196" s="334"/>
      <c r="L196" s="335"/>
      <c r="M196" s="335"/>
      <c r="N196" s="336"/>
    </row>
    <row r="197" spans="1:14" ht="15.75">
      <c r="A197" s="329">
        <v>196</v>
      </c>
      <c r="B197" s="330">
        <v>28</v>
      </c>
      <c r="C197" s="331" t="s">
        <v>9088</v>
      </c>
      <c r="D197" s="331" t="str">
        <f t="shared" si="6"/>
        <v>#15573</v>
      </c>
      <c r="E197" s="294" t="s">
        <v>5320</v>
      </c>
      <c r="F197" s="331" t="s">
        <v>5319</v>
      </c>
      <c r="G197" s="338" t="s">
        <v>9119</v>
      </c>
      <c r="H197" s="338" t="str">
        <f t="shared" si="7"/>
        <v>VN15573</v>
      </c>
      <c r="I197" s="338" t="s">
        <v>8825</v>
      </c>
      <c r="J197" s="339"/>
      <c r="K197" s="334"/>
      <c r="L197" s="335"/>
      <c r="M197" s="335"/>
      <c r="N197" s="336"/>
    </row>
    <row r="198" spans="1:14" ht="15.75">
      <c r="A198" s="329">
        <v>197</v>
      </c>
      <c r="B198" s="330">
        <v>29</v>
      </c>
      <c r="C198" s="331" t="s">
        <v>9088</v>
      </c>
      <c r="D198" s="331" t="str">
        <f t="shared" si="6"/>
        <v>#19908</v>
      </c>
      <c r="E198" s="294" t="s">
        <v>6414</v>
      </c>
      <c r="F198" s="331" t="s">
        <v>6413</v>
      </c>
      <c r="G198" s="338" t="s">
        <v>9120</v>
      </c>
      <c r="H198" s="338" t="str">
        <f t="shared" si="7"/>
        <v>VN19908</v>
      </c>
      <c r="I198" s="338" t="s">
        <v>8825</v>
      </c>
      <c r="J198" s="339" t="s">
        <v>9121</v>
      </c>
      <c r="K198" s="334"/>
      <c r="L198" s="335"/>
      <c r="M198" s="335"/>
      <c r="N198" s="336"/>
    </row>
    <row r="199" spans="1:14" ht="15.75">
      <c r="A199" s="329">
        <v>198</v>
      </c>
      <c r="B199" s="330">
        <v>30</v>
      </c>
      <c r="C199" s="331" t="s">
        <v>9088</v>
      </c>
      <c r="D199" s="331" t="str">
        <f t="shared" si="6"/>
        <v>#17908</v>
      </c>
      <c r="E199" s="294" t="s">
        <v>9122</v>
      </c>
      <c r="F199" s="331" t="s">
        <v>891</v>
      </c>
      <c r="G199" s="338" t="s">
        <v>9123</v>
      </c>
      <c r="H199" s="338" t="str">
        <f t="shared" si="7"/>
        <v>VN17908</v>
      </c>
      <c r="I199" s="338" t="s">
        <v>8825</v>
      </c>
      <c r="J199" s="339"/>
      <c r="K199" s="334"/>
      <c r="L199" s="337">
        <v>45397</v>
      </c>
      <c r="M199" s="337">
        <v>45887</v>
      </c>
      <c r="N199" s="336"/>
    </row>
    <row r="200" spans="1:14" ht="15.75">
      <c r="A200" s="329">
        <v>199</v>
      </c>
      <c r="B200" s="330">
        <v>31</v>
      </c>
      <c r="C200" s="331" t="s">
        <v>9088</v>
      </c>
      <c r="D200" s="331" t="str">
        <f t="shared" si="6"/>
        <v>#06747</v>
      </c>
      <c r="E200" s="294" t="s">
        <v>9124</v>
      </c>
      <c r="F200" s="331" t="s">
        <v>5918</v>
      </c>
      <c r="G200" s="338" t="s">
        <v>9125</v>
      </c>
      <c r="H200" s="338" t="str">
        <f t="shared" si="7"/>
        <v>VN06747</v>
      </c>
      <c r="I200" s="338"/>
      <c r="J200" s="339"/>
      <c r="K200" s="334"/>
      <c r="L200" s="337">
        <v>45366</v>
      </c>
      <c r="M200" s="337">
        <v>45887</v>
      </c>
      <c r="N200" s="336"/>
    </row>
    <row r="201" spans="1:14" ht="15.75">
      <c r="A201" s="329">
        <v>200</v>
      </c>
      <c r="B201" s="330">
        <v>32</v>
      </c>
      <c r="C201" s="331" t="s">
        <v>9088</v>
      </c>
      <c r="D201" s="331" t="str">
        <f t="shared" si="6"/>
        <v>#02183</v>
      </c>
      <c r="E201" s="294" t="s">
        <v>1777</v>
      </c>
      <c r="F201" s="331" t="s">
        <v>1776</v>
      </c>
      <c r="G201" s="338" t="s">
        <v>9126</v>
      </c>
      <c r="H201" s="338" t="str">
        <f t="shared" si="7"/>
        <v>VN02183</v>
      </c>
      <c r="I201" s="338" t="s">
        <v>8825</v>
      </c>
      <c r="J201" s="339"/>
      <c r="K201" s="334"/>
      <c r="L201" s="335"/>
      <c r="M201" s="335"/>
      <c r="N201" s="336"/>
    </row>
    <row r="202" spans="1:14" ht="15.75">
      <c r="A202" s="329">
        <v>201</v>
      </c>
      <c r="B202" s="330">
        <v>33</v>
      </c>
      <c r="C202" s="331" t="s">
        <v>9088</v>
      </c>
      <c r="D202" s="331" t="str">
        <f t="shared" si="6"/>
        <v>#07966</v>
      </c>
      <c r="E202" s="294" t="s">
        <v>3456</v>
      </c>
      <c r="F202" s="331" t="s">
        <v>9127</v>
      </c>
      <c r="G202" s="338" t="s">
        <v>9128</v>
      </c>
      <c r="H202" s="338" t="str">
        <f t="shared" si="7"/>
        <v>VN07966</v>
      </c>
      <c r="I202" s="338" t="s">
        <v>8825</v>
      </c>
      <c r="J202" s="339"/>
      <c r="K202" s="334"/>
      <c r="L202" s="335"/>
      <c r="M202" s="335"/>
      <c r="N202" s="336"/>
    </row>
    <row r="203" spans="1:14" ht="15.75">
      <c r="A203" s="329">
        <v>202</v>
      </c>
      <c r="B203" s="330">
        <v>34</v>
      </c>
      <c r="C203" s="331" t="s">
        <v>9088</v>
      </c>
      <c r="D203" s="331" t="str">
        <f t="shared" si="6"/>
        <v>#24199</v>
      </c>
      <c r="E203" s="294" t="s">
        <v>9129</v>
      </c>
      <c r="F203" s="331" t="s">
        <v>3913</v>
      </c>
      <c r="G203" s="338" t="s">
        <v>9130</v>
      </c>
      <c r="H203" s="338" t="str">
        <f t="shared" si="7"/>
        <v>VN24199</v>
      </c>
      <c r="I203" s="338" t="s">
        <v>8825</v>
      </c>
      <c r="J203" s="339" t="s">
        <v>9131</v>
      </c>
      <c r="K203" s="334"/>
      <c r="L203" s="335">
        <v>45976</v>
      </c>
      <c r="M203" s="335"/>
      <c r="N203" s="336"/>
    </row>
    <row r="204" spans="1:14" ht="15.75">
      <c r="A204" s="329">
        <v>203</v>
      </c>
      <c r="B204" s="330">
        <v>35</v>
      </c>
      <c r="C204" s="331" t="s">
        <v>9088</v>
      </c>
      <c r="D204" s="331" t="str">
        <f t="shared" si="6"/>
        <v>#24008</v>
      </c>
      <c r="E204" s="294" t="s">
        <v>7408</v>
      </c>
      <c r="F204" s="331" t="s">
        <v>7407</v>
      </c>
      <c r="G204" s="338" t="s">
        <v>9132</v>
      </c>
      <c r="H204" s="338" t="str">
        <f t="shared" si="7"/>
        <v>VN24008</v>
      </c>
      <c r="I204" s="338" t="s">
        <v>8825</v>
      </c>
      <c r="J204" s="339" t="s">
        <v>9133</v>
      </c>
      <c r="K204" s="334"/>
      <c r="L204" s="335"/>
      <c r="M204" s="335"/>
      <c r="N204" s="336"/>
    </row>
    <row r="205" spans="1:14" ht="15.75">
      <c r="A205" s="329">
        <v>204</v>
      </c>
      <c r="B205" s="330">
        <v>36</v>
      </c>
      <c r="C205" s="331" t="s">
        <v>9088</v>
      </c>
      <c r="D205" s="331"/>
      <c r="E205" s="294"/>
      <c r="F205" s="331"/>
      <c r="G205" s="338" t="s">
        <v>9134</v>
      </c>
      <c r="H205" s="338"/>
      <c r="I205" s="338" t="s">
        <v>8825</v>
      </c>
      <c r="J205" s="339">
        <v>123456</v>
      </c>
      <c r="K205" s="334">
        <v>45593</v>
      </c>
      <c r="L205" s="335"/>
      <c r="M205" s="335"/>
      <c r="N205" s="336"/>
    </row>
    <row r="206" spans="1:14" ht="15.75">
      <c r="A206" s="329">
        <v>205</v>
      </c>
      <c r="B206" s="330">
        <v>37</v>
      </c>
      <c r="C206" s="331" t="s">
        <v>9088</v>
      </c>
      <c r="D206" s="331" t="str">
        <f t="shared" ref="D206:D237" si="8">CONCATENATE("#",E206)</f>
        <v>#21343</v>
      </c>
      <c r="E206" s="294" t="s">
        <v>6789</v>
      </c>
      <c r="F206" s="331" t="s">
        <v>6788</v>
      </c>
      <c r="G206" s="338" t="s">
        <v>9135</v>
      </c>
      <c r="H206" s="338" t="str">
        <f t="shared" ref="H206:H269" si="9">CONCATENATE("VN",E206)</f>
        <v>VN21343</v>
      </c>
      <c r="I206" s="338" t="s">
        <v>8825</v>
      </c>
      <c r="J206" s="339" t="s">
        <v>9136</v>
      </c>
      <c r="K206" s="334">
        <v>45709</v>
      </c>
      <c r="L206" s="335"/>
      <c r="M206" s="335"/>
      <c r="N206" s="336"/>
    </row>
    <row r="207" spans="1:14" ht="15.75">
      <c r="A207" s="329">
        <v>206</v>
      </c>
      <c r="B207" s="330">
        <v>38</v>
      </c>
      <c r="C207" s="331" t="s">
        <v>9088</v>
      </c>
      <c r="D207" s="331" t="str">
        <f t="shared" si="8"/>
        <v>#24123</v>
      </c>
      <c r="E207" s="294" t="s">
        <v>7452</v>
      </c>
      <c r="F207" s="331" t="s">
        <v>9137</v>
      </c>
      <c r="G207" s="338" t="s">
        <v>9138</v>
      </c>
      <c r="H207" s="338" t="str">
        <f t="shared" si="9"/>
        <v>VN24123</v>
      </c>
      <c r="I207" s="338" t="s">
        <v>8825</v>
      </c>
      <c r="J207" s="339" t="s">
        <v>9139</v>
      </c>
      <c r="K207" s="334"/>
      <c r="L207" s="335"/>
      <c r="M207" s="335"/>
      <c r="N207" s="336"/>
    </row>
    <row r="208" spans="1:14" ht="15.75">
      <c r="A208" s="329">
        <v>207</v>
      </c>
      <c r="B208" s="330">
        <v>1</v>
      </c>
      <c r="C208" s="331" t="s">
        <v>9140</v>
      </c>
      <c r="D208" s="331" t="str">
        <f t="shared" si="8"/>
        <v>#00806</v>
      </c>
      <c r="E208" s="294" t="s">
        <v>1276</v>
      </c>
      <c r="F208" s="331" t="s">
        <v>9141</v>
      </c>
      <c r="G208" s="331" t="s">
        <v>9142</v>
      </c>
      <c r="H208" s="331" t="str">
        <f t="shared" si="9"/>
        <v>VN00806</v>
      </c>
      <c r="I208" s="331"/>
      <c r="J208" s="333"/>
      <c r="K208" s="334"/>
      <c r="L208" s="335"/>
      <c r="M208" s="335"/>
      <c r="N208" s="336"/>
    </row>
    <row r="209" spans="1:14" ht="15.75">
      <c r="A209" s="329">
        <v>208</v>
      </c>
      <c r="B209" s="330">
        <v>2</v>
      </c>
      <c r="C209" s="331" t="s">
        <v>9140</v>
      </c>
      <c r="D209" s="331" t="str">
        <f t="shared" si="8"/>
        <v>#01187</v>
      </c>
      <c r="E209" s="294" t="s">
        <v>1439</v>
      </c>
      <c r="F209" s="331" t="s">
        <v>9143</v>
      </c>
      <c r="G209" s="331" t="s">
        <v>9144</v>
      </c>
      <c r="H209" s="331" t="str">
        <f t="shared" si="9"/>
        <v>VN01187</v>
      </c>
      <c r="I209" s="331"/>
      <c r="J209" s="333"/>
      <c r="K209" s="334"/>
      <c r="L209" s="335"/>
      <c r="M209" s="335"/>
      <c r="N209" s="336"/>
    </row>
    <row r="210" spans="1:14" ht="15.75">
      <c r="A210" s="329">
        <v>209</v>
      </c>
      <c r="B210" s="330">
        <v>3</v>
      </c>
      <c r="C210" s="331" t="s">
        <v>9140</v>
      </c>
      <c r="D210" s="331" t="str">
        <f t="shared" si="8"/>
        <v>#00063</v>
      </c>
      <c r="E210" s="294" t="s">
        <v>902</v>
      </c>
      <c r="F210" s="331" t="s">
        <v>901</v>
      </c>
      <c r="G210" s="351" t="s">
        <v>9145</v>
      </c>
      <c r="H210" s="351" t="str">
        <f t="shared" si="9"/>
        <v>VN00063</v>
      </c>
      <c r="I210" s="351" t="s">
        <v>8825</v>
      </c>
      <c r="J210" s="333"/>
      <c r="K210" s="334"/>
      <c r="L210" s="335"/>
      <c r="M210" s="335"/>
      <c r="N210" s="336"/>
    </row>
    <row r="211" spans="1:14" ht="15.75">
      <c r="A211" s="329">
        <v>210</v>
      </c>
      <c r="B211" s="330">
        <v>4</v>
      </c>
      <c r="C211" s="331" t="s">
        <v>9140</v>
      </c>
      <c r="D211" s="331" t="str">
        <f t="shared" si="8"/>
        <v>#00895</v>
      </c>
      <c r="E211" s="294" t="s">
        <v>1312</v>
      </c>
      <c r="F211" s="331" t="s">
        <v>1311</v>
      </c>
      <c r="G211" s="338" t="s">
        <v>9146</v>
      </c>
      <c r="H211" s="338" t="str">
        <f t="shared" si="9"/>
        <v>VN00895</v>
      </c>
      <c r="I211" s="338" t="s">
        <v>8825</v>
      </c>
      <c r="J211" s="339"/>
      <c r="K211" s="334"/>
      <c r="L211" s="335"/>
      <c r="M211" s="335"/>
      <c r="N211" s="336"/>
    </row>
    <row r="212" spans="1:14" ht="15.75">
      <c r="A212" s="329">
        <v>211</v>
      </c>
      <c r="B212" s="330">
        <v>1</v>
      </c>
      <c r="C212" s="331" t="s">
        <v>9147</v>
      </c>
      <c r="D212" s="331" t="str">
        <f t="shared" si="8"/>
        <v>#04254</v>
      </c>
      <c r="E212" s="294" t="s">
        <v>2439</v>
      </c>
      <c r="F212" s="331" t="s">
        <v>2438</v>
      </c>
      <c r="G212" s="338" t="s">
        <v>9148</v>
      </c>
      <c r="H212" s="338" t="str">
        <f t="shared" si="9"/>
        <v>VN04254</v>
      </c>
      <c r="I212" s="338"/>
      <c r="J212" s="339"/>
      <c r="K212" s="334"/>
      <c r="L212" s="335"/>
      <c r="M212" s="335"/>
      <c r="N212" s="336"/>
    </row>
    <row r="213" spans="1:14" ht="15.75">
      <c r="A213" s="329">
        <v>212</v>
      </c>
      <c r="B213" s="330">
        <v>2</v>
      </c>
      <c r="C213" s="331" t="s">
        <v>9147</v>
      </c>
      <c r="D213" s="331" t="str">
        <f t="shared" si="8"/>
        <v>#00987</v>
      </c>
      <c r="E213" s="294" t="s">
        <v>1361</v>
      </c>
      <c r="F213" s="331" t="s">
        <v>9149</v>
      </c>
      <c r="G213" s="331" t="s">
        <v>9150</v>
      </c>
      <c r="H213" s="331" t="str">
        <f t="shared" si="9"/>
        <v>VN00987</v>
      </c>
      <c r="I213" s="331"/>
      <c r="J213" s="333"/>
      <c r="K213" s="334"/>
      <c r="L213" s="335"/>
      <c r="M213" s="335"/>
      <c r="N213" s="336"/>
    </row>
    <row r="214" spans="1:14" ht="15.75">
      <c r="A214" s="329">
        <v>213</v>
      </c>
      <c r="B214" s="330">
        <v>3</v>
      </c>
      <c r="C214" s="331" t="s">
        <v>9147</v>
      </c>
      <c r="D214" s="331" t="str">
        <f t="shared" si="8"/>
        <v>#05539</v>
      </c>
      <c r="E214" s="294" t="s">
        <v>2721</v>
      </c>
      <c r="F214" s="331" t="s">
        <v>9151</v>
      </c>
      <c r="G214" s="331" t="s">
        <v>9152</v>
      </c>
      <c r="H214" s="331" t="str">
        <f t="shared" si="9"/>
        <v>VN05539</v>
      </c>
      <c r="I214" s="331"/>
      <c r="J214" s="333"/>
      <c r="K214" s="334"/>
      <c r="L214" s="335"/>
      <c r="M214" s="335"/>
      <c r="N214" s="336"/>
    </row>
    <row r="215" spans="1:14" ht="15.75">
      <c r="A215" s="329">
        <v>214</v>
      </c>
      <c r="B215" s="330">
        <v>1</v>
      </c>
      <c r="C215" s="331" t="s">
        <v>9153</v>
      </c>
      <c r="D215" s="331" t="str">
        <f t="shared" si="8"/>
        <v>#10613</v>
      </c>
      <c r="E215" s="294" t="s">
        <v>4209</v>
      </c>
      <c r="F215" s="331" t="s">
        <v>9154</v>
      </c>
      <c r="G215" s="331" t="s">
        <v>9155</v>
      </c>
      <c r="H215" s="331" t="str">
        <f t="shared" si="9"/>
        <v>VN10613</v>
      </c>
      <c r="I215" s="331"/>
      <c r="J215" s="333"/>
      <c r="K215" s="334"/>
      <c r="L215" s="335"/>
      <c r="M215" s="335"/>
      <c r="N215" s="336"/>
    </row>
    <row r="216" spans="1:14" ht="15.75">
      <c r="A216" s="329">
        <v>215</v>
      </c>
      <c r="B216" s="330">
        <v>2</v>
      </c>
      <c r="C216" s="331" t="s">
        <v>9153</v>
      </c>
      <c r="D216" s="331" t="str">
        <f t="shared" si="8"/>
        <v>#14121</v>
      </c>
      <c r="E216" s="294" t="s">
        <v>5025</v>
      </c>
      <c r="F216" s="331" t="s">
        <v>1150</v>
      </c>
      <c r="G216" s="331" t="s">
        <v>9156</v>
      </c>
      <c r="H216" s="331" t="str">
        <f t="shared" si="9"/>
        <v>VN14121</v>
      </c>
      <c r="I216" s="331"/>
      <c r="J216" s="333"/>
      <c r="K216" s="334"/>
      <c r="L216" s="335"/>
      <c r="M216" s="335"/>
      <c r="N216" s="336"/>
    </row>
    <row r="217" spans="1:14" ht="15.75">
      <c r="A217" s="329">
        <v>216</v>
      </c>
      <c r="B217" s="330">
        <v>3</v>
      </c>
      <c r="C217" s="331" t="s">
        <v>9153</v>
      </c>
      <c r="D217" s="331" t="str">
        <f t="shared" si="8"/>
        <v>#20718</v>
      </c>
      <c r="E217" s="294" t="s">
        <v>6625</v>
      </c>
      <c r="F217" s="331" t="s">
        <v>9157</v>
      </c>
      <c r="G217" s="331" t="s">
        <v>9158</v>
      </c>
      <c r="H217" s="331" t="str">
        <f t="shared" si="9"/>
        <v>VN20718</v>
      </c>
      <c r="I217" s="331"/>
      <c r="J217" s="333" t="s">
        <v>9159</v>
      </c>
      <c r="K217" s="334">
        <v>45614</v>
      </c>
      <c r="L217" s="335"/>
      <c r="M217" s="335"/>
      <c r="N217" s="336"/>
    </row>
    <row r="218" spans="1:14" ht="15.75">
      <c r="A218" s="329">
        <v>217</v>
      </c>
      <c r="B218" s="330">
        <v>4</v>
      </c>
      <c r="C218" s="331" t="s">
        <v>9153</v>
      </c>
      <c r="D218" s="331" t="str">
        <f t="shared" si="8"/>
        <v>#09592</v>
      </c>
      <c r="E218" s="294" t="s">
        <v>3903</v>
      </c>
      <c r="F218" s="331" t="s">
        <v>3311</v>
      </c>
      <c r="G218" s="331" t="s">
        <v>9160</v>
      </c>
      <c r="H218" s="331" t="str">
        <f t="shared" si="9"/>
        <v>VN09592</v>
      </c>
      <c r="I218" s="331"/>
      <c r="J218" s="333"/>
      <c r="K218" s="334"/>
      <c r="L218" s="335"/>
      <c r="M218" s="335"/>
      <c r="N218" s="336"/>
    </row>
    <row r="219" spans="1:14" ht="15.75">
      <c r="A219" s="329">
        <v>218</v>
      </c>
      <c r="B219" s="330">
        <v>1</v>
      </c>
      <c r="C219" s="331" t="s">
        <v>9161</v>
      </c>
      <c r="D219" s="331" t="str">
        <f t="shared" si="8"/>
        <v>#00766</v>
      </c>
      <c r="E219" s="294" t="s">
        <v>1254</v>
      </c>
      <c r="F219" s="331" t="s">
        <v>9162</v>
      </c>
      <c r="G219" s="331" t="s">
        <v>9163</v>
      </c>
      <c r="H219" s="331" t="str">
        <f t="shared" si="9"/>
        <v>VN00766</v>
      </c>
      <c r="I219" s="331"/>
      <c r="J219" s="333"/>
      <c r="K219" s="334"/>
      <c r="L219" s="335"/>
      <c r="M219" s="335"/>
      <c r="N219" s="336"/>
    </row>
    <row r="220" spans="1:14" ht="15.75">
      <c r="A220" s="329">
        <v>219</v>
      </c>
      <c r="B220" s="330">
        <v>2</v>
      </c>
      <c r="C220" s="331" t="s">
        <v>9161</v>
      </c>
      <c r="D220" s="331" t="str">
        <f t="shared" si="8"/>
        <v>#01014</v>
      </c>
      <c r="E220" s="294" t="s">
        <v>1371</v>
      </c>
      <c r="F220" s="331" t="s">
        <v>9164</v>
      </c>
      <c r="G220" s="331" t="s">
        <v>9165</v>
      </c>
      <c r="H220" s="331" t="str">
        <f t="shared" si="9"/>
        <v>VN01014</v>
      </c>
      <c r="I220" s="331"/>
      <c r="J220" s="333"/>
      <c r="K220" s="334"/>
      <c r="L220" s="335"/>
      <c r="M220" s="335"/>
      <c r="N220" s="336"/>
    </row>
    <row r="221" spans="1:14" ht="15.75">
      <c r="A221" s="329">
        <v>220</v>
      </c>
      <c r="B221" s="330">
        <v>3</v>
      </c>
      <c r="C221" s="331" t="s">
        <v>9161</v>
      </c>
      <c r="D221" s="331" t="str">
        <f t="shared" si="8"/>
        <v>#01204</v>
      </c>
      <c r="E221" s="294" t="s">
        <v>1450</v>
      </c>
      <c r="F221" s="331" t="s">
        <v>1449</v>
      </c>
      <c r="G221" s="331" t="s">
        <v>9166</v>
      </c>
      <c r="H221" s="331" t="str">
        <f t="shared" si="9"/>
        <v>VN01204</v>
      </c>
      <c r="I221" s="331"/>
      <c r="J221" s="333"/>
      <c r="K221" s="334"/>
      <c r="L221" s="335"/>
      <c r="M221" s="335"/>
      <c r="N221" s="336"/>
    </row>
    <row r="222" spans="1:14" ht="15.75">
      <c r="A222" s="329">
        <v>221</v>
      </c>
      <c r="B222" s="330">
        <v>4</v>
      </c>
      <c r="C222" s="331" t="s">
        <v>9161</v>
      </c>
      <c r="D222" s="331" t="str">
        <f t="shared" si="8"/>
        <v>#01777</v>
      </c>
      <c r="E222" s="294" t="s">
        <v>1674</v>
      </c>
      <c r="F222" s="331" t="s">
        <v>9167</v>
      </c>
      <c r="G222" s="331" t="s">
        <v>9168</v>
      </c>
      <c r="H222" s="331" t="str">
        <f t="shared" si="9"/>
        <v>VN01777</v>
      </c>
      <c r="I222" s="331"/>
      <c r="J222" s="333"/>
      <c r="K222" s="334"/>
      <c r="L222" s="335"/>
      <c r="M222" s="335"/>
      <c r="N222" s="336"/>
    </row>
    <row r="223" spans="1:14" ht="15.75">
      <c r="A223" s="329">
        <v>222</v>
      </c>
      <c r="B223" s="330">
        <v>5</v>
      </c>
      <c r="C223" s="331" t="s">
        <v>9161</v>
      </c>
      <c r="D223" s="331" t="str">
        <f t="shared" si="8"/>
        <v>#03423</v>
      </c>
      <c r="E223" s="294" t="s">
        <v>2215</v>
      </c>
      <c r="F223" s="331" t="s">
        <v>2214</v>
      </c>
      <c r="G223" s="331" t="s">
        <v>9169</v>
      </c>
      <c r="H223" s="331" t="str">
        <f t="shared" si="9"/>
        <v>VN03423</v>
      </c>
      <c r="I223" s="331"/>
      <c r="J223" s="333"/>
      <c r="K223" s="334"/>
      <c r="L223" s="335"/>
      <c r="M223" s="335"/>
      <c r="N223" s="336"/>
    </row>
    <row r="224" spans="1:14" ht="15.75">
      <c r="A224" s="329">
        <v>223</v>
      </c>
      <c r="B224" s="330">
        <v>6</v>
      </c>
      <c r="C224" s="331" t="s">
        <v>9161</v>
      </c>
      <c r="D224" s="331" t="str">
        <f t="shared" si="8"/>
        <v>#03550</v>
      </c>
      <c r="E224" s="294" t="s">
        <v>2261</v>
      </c>
      <c r="F224" s="331" t="s">
        <v>2260</v>
      </c>
      <c r="G224" s="331" t="s">
        <v>9170</v>
      </c>
      <c r="H224" s="331" t="str">
        <f t="shared" si="9"/>
        <v>VN03550</v>
      </c>
      <c r="I224" s="331"/>
      <c r="J224" s="333"/>
      <c r="K224" s="334"/>
      <c r="L224" s="335"/>
      <c r="M224" s="335"/>
      <c r="N224" s="336"/>
    </row>
    <row r="225" spans="1:14" ht="15.75">
      <c r="A225" s="329">
        <v>224</v>
      </c>
      <c r="B225" s="330">
        <v>7</v>
      </c>
      <c r="C225" s="331" t="s">
        <v>9161</v>
      </c>
      <c r="D225" s="331" t="str">
        <f t="shared" si="8"/>
        <v>#04844</v>
      </c>
      <c r="E225" s="294" t="s">
        <v>2591</v>
      </c>
      <c r="F225" s="331" t="s">
        <v>2590</v>
      </c>
      <c r="G225" s="331" t="s">
        <v>9171</v>
      </c>
      <c r="H225" s="331" t="str">
        <f t="shared" si="9"/>
        <v>VN04844</v>
      </c>
      <c r="I225" s="331"/>
      <c r="J225" s="333"/>
      <c r="K225" s="334"/>
      <c r="L225" s="335"/>
      <c r="M225" s="335"/>
      <c r="N225" s="336"/>
    </row>
    <row r="226" spans="1:14" ht="15.75">
      <c r="A226" s="329">
        <v>225</v>
      </c>
      <c r="B226" s="330">
        <v>8</v>
      </c>
      <c r="C226" s="331" t="s">
        <v>9161</v>
      </c>
      <c r="D226" s="331" t="str">
        <f t="shared" si="8"/>
        <v>#07918</v>
      </c>
      <c r="E226" s="294" t="s">
        <v>3446</v>
      </c>
      <c r="F226" s="331" t="s">
        <v>3445</v>
      </c>
      <c r="G226" s="331" t="s">
        <v>9172</v>
      </c>
      <c r="H226" s="331" t="str">
        <f t="shared" si="9"/>
        <v>VN07918</v>
      </c>
      <c r="I226" s="331"/>
      <c r="J226" s="333"/>
      <c r="K226" s="334"/>
      <c r="L226" s="335"/>
      <c r="M226" s="335"/>
      <c r="N226" s="336"/>
    </row>
    <row r="227" spans="1:14" ht="15.75">
      <c r="A227" s="329">
        <v>226</v>
      </c>
      <c r="B227" s="330">
        <v>9</v>
      </c>
      <c r="C227" s="331" t="s">
        <v>9161</v>
      </c>
      <c r="D227" s="331" t="str">
        <f t="shared" si="8"/>
        <v>#07119</v>
      </c>
      <c r="E227" s="294" t="s">
        <v>3147</v>
      </c>
      <c r="F227" s="331" t="s">
        <v>3146</v>
      </c>
      <c r="G227" s="331" t="s">
        <v>9173</v>
      </c>
      <c r="H227" s="331" t="str">
        <f t="shared" si="9"/>
        <v>VN07119</v>
      </c>
      <c r="I227" s="331"/>
      <c r="J227" s="333"/>
      <c r="K227" s="334"/>
      <c r="L227" s="335"/>
      <c r="M227" s="335"/>
      <c r="N227" s="336"/>
    </row>
    <row r="228" spans="1:14" ht="15.75">
      <c r="A228" s="329">
        <v>227</v>
      </c>
      <c r="B228" s="330">
        <v>10</v>
      </c>
      <c r="C228" s="331" t="s">
        <v>9161</v>
      </c>
      <c r="D228" s="331" t="str">
        <f t="shared" si="8"/>
        <v>#08787</v>
      </c>
      <c r="E228" s="294" t="s">
        <v>3647</v>
      </c>
      <c r="F228" s="331" t="s">
        <v>3646</v>
      </c>
      <c r="G228" s="331" t="s">
        <v>9174</v>
      </c>
      <c r="H228" s="331" t="str">
        <f t="shared" si="9"/>
        <v>VN08787</v>
      </c>
      <c r="I228" s="331"/>
      <c r="J228" s="333"/>
      <c r="K228" s="334"/>
      <c r="L228" s="335"/>
      <c r="M228" s="335"/>
      <c r="N228" s="336"/>
    </row>
    <row r="229" spans="1:14" ht="15.75">
      <c r="A229" s="329">
        <v>228</v>
      </c>
      <c r="B229" s="330">
        <v>11</v>
      </c>
      <c r="C229" s="331" t="s">
        <v>9161</v>
      </c>
      <c r="D229" s="331" t="str">
        <f t="shared" si="8"/>
        <v>#08954</v>
      </c>
      <c r="E229" s="294" t="s">
        <v>3689</v>
      </c>
      <c r="F229" s="331" t="s">
        <v>3688</v>
      </c>
      <c r="G229" s="331" t="s">
        <v>9175</v>
      </c>
      <c r="H229" s="331" t="str">
        <f t="shared" si="9"/>
        <v>VN08954</v>
      </c>
      <c r="I229" s="331"/>
      <c r="J229" s="333"/>
      <c r="K229" s="334"/>
      <c r="L229" s="335"/>
      <c r="M229" s="335"/>
      <c r="N229" s="336"/>
    </row>
    <row r="230" spans="1:14" ht="15.75">
      <c r="A230" s="329">
        <v>229</v>
      </c>
      <c r="B230" s="330">
        <v>12</v>
      </c>
      <c r="C230" s="331" t="s">
        <v>9161</v>
      </c>
      <c r="D230" s="331" t="str">
        <f t="shared" si="8"/>
        <v>#10369</v>
      </c>
      <c r="E230" s="294" t="s">
        <v>4120</v>
      </c>
      <c r="F230" s="331" t="s">
        <v>2945</v>
      </c>
      <c r="G230" s="331" t="s">
        <v>9176</v>
      </c>
      <c r="H230" s="331" t="str">
        <f t="shared" si="9"/>
        <v>VN10369</v>
      </c>
      <c r="I230" s="331"/>
      <c r="J230" s="333"/>
      <c r="K230" s="334"/>
      <c r="L230" s="335"/>
      <c r="M230" s="335"/>
      <c r="N230" s="336"/>
    </row>
    <row r="231" spans="1:14" ht="15.75">
      <c r="A231" s="329">
        <v>230</v>
      </c>
      <c r="B231" s="330">
        <v>13</v>
      </c>
      <c r="C231" s="331" t="s">
        <v>9161</v>
      </c>
      <c r="D231" s="331" t="str">
        <f t="shared" si="8"/>
        <v>#10704</v>
      </c>
      <c r="E231" s="294" t="s">
        <v>4234</v>
      </c>
      <c r="F231" s="331" t="s">
        <v>4233</v>
      </c>
      <c r="G231" s="331" t="s">
        <v>9177</v>
      </c>
      <c r="H231" s="331" t="str">
        <f t="shared" si="9"/>
        <v>VN10704</v>
      </c>
      <c r="I231" s="331"/>
      <c r="J231" s="333"/>
      <c r="K231" s="334"/>
      <c r="L231" s="335"/>
      <c r="M231" s="335"/>
      <c r="N231" s="336"/>
    </row>
    <row r="232" spans="1:14" ht="15.75">
      <c r="A232" s="329">
        <v>231</v>
      </c>
      <c r="B232" s="330">
        <v>14</v>
      </c>
      <c r="C232" s="331" t="s">
        <v>9161</v>
      </c>
      <c r="D232" s="331" t="str">
        <f t="shared" si="8"/>
        <v>#10839</v>
      </c>
      <c r="E232" s="294" t="s">
        <v>4286</v>
      </c>
      <c r="F232" s="331" t="s">
        <v>4285</v>
      </c>
      <c r="G232" s="331" t="s">
        <v>9178</v>
      </c>
      <c r="H232" s="331" t="str">
        <f t="shared" si="9"/>
        <v>VN10839</v>
      </c>
      <c r="I232" s="331"/>
      <c r="J232" s="333"/>
      <c r="K232" s="334"/>
      <c r="L232" s="335"/>
      <c r="M232" s="335"/>
      <c r="N232" s="336"/>
    </row>
    <row r="233" spans="1:14" ht="15.75">
      <c r="A233" s="329">
        <v>232</v>
      </c>
      <c r="B233" s="330">
        <v>15</v>
      </c>
      <c r="C233" s="331" t="s">
        <v>9161</v>
      </c>
      <c r="D233" s="331" t="str">
        <f t="shared" si="8"/>
        <v>#10951</v>
      </c>
      <c r="E233" s="294" t="s">
        <v>4324</v>
      </c>
      <c r="F233" s="331" t="s">
        <v>4154</v>
      </c>
      <c r="G233" s="331" t="s">
        <v>9179</v>
      </c>
      <c r="H233" s="331" t="str">
        <f t="shared" si="9"/>
        <v>VN10951</v>
      </c>
      <c r="I233" s="331"/>
      <c r="J233" s="333"/>
      <c r="K233" s="334"/>
      <c r="L233" s="335"/>
      <c r="M233" s="335"/>
      <c r="N233" s="336"/>
    </row>
    <row r="234" spans="1:14" ht="15.75">
      <c r="A234" s="329">
        <v>233</v>
      </c>
      <c r="B234" s="330">
        <v>16</v>
      </c>
      <c r="C234" s="331" t="s">
        <v>9161</v>
      </c>
      <c r="D234" s="331" t="str">
        <f t="shared" si="8"/>
        <v>#11287</v>
      </c>
      <c r="E234" s="294" t="s">
        <v>4401</v>
      </c>
      <c r="F234" s="331" t="s">
        <v>4400</v>
      </c>
      <c r="G234" s="331" t="s">
        <v>9180</v>
      </c>
      <c r="H234" s="331" t="str">
        <f t="shared" si="9"/>
        <v>VN11287</v>
      </c>
      <c r="I234" s="331"/>
      <c r="J234" s="333"/>
      <c r="K234" s="334"/>
      <c r="L234" s="335"/>
      <c r="M234" s="335"/>
      <c r="N234" s="336"/>
    </row>
    <row r="235" spans="1:14" ht="15.75">
      <c r="A235" s="329">
        <v>234</v>
      </c>
      <c r="B235" s="330">
        <v>17</v>
      </c>
      <c r="C235" s="331" t="s">
        <v>9161</v>
      </c>
      <c r="D235" s="331" t="str">
        <f t="shared" si="8"/>
        <v>#11288</v>
      </c>
      <c r="E235" s="294" t="s">
        <v>4403</v>
      </c>
      <c r="F235" s="331" t="s">
        <v>4402</v>
      </c>
      <c r="G235" s="331" t="s">
        <v>9181</v>
      </c>
      <c r="H235" s="331" t="str">
        <f t="shared" si="9"/>
        <v>VN11288</v>
      </c>
      <c r="I235" s="331"/>
      <c r="J235" s="333"/>
      <c r="K235" s="334"/>
      <c r="L235" s="335"/>
      <c r="M235" s="335"/>
      <c r="N235" s="336"/>
    </row>
    <row r="236" spans="1:14" ht="15.75">
      <c r="A236" s="329">
        <v>235</v>
      </c>
      <c r="B236" s="330">
        <v>18</v>
      </c>
      <c r="C236" s="331" t="s">
        <v>9161</v>
      </c>
      <c r="D236" s="331" t="str">
        <f t="shared" si="8"/>
        <v>#11593</v>
      </c>
      <c r="E236" s="294" t="s">
        <v>4484</v>
      </c>
      <c r="F236" s="331" t="s">
        <v>4483</v>
      </c>
      <c r="G236" s="331" t="s">
        <v>9182</v>
      </c>
      <c r="H236" s="331" t="str">
        <f t="shared" si="9"/>
        <v>VN11593</v>
      </c>
      <c r="I236" s="331"/>
      <c r="J236" s="333"/>
      <c r="K236" s="334"/>
      <c r="L236" s="335"/>
      <c r="M236" s="335"/>
      <c r="N236" s="336"/>
    </row>
    <row r="237" spans="1:14" ht="15.75">
      <c r="A237" s="329">
        <v>236</v>
      </c>
      <c r="B237" s="330">
        <v>19</v>
      </c>
      <c r="C237" s="331" t="s">
        <v>9161</v>
      </c>
      <c r="D237" s="331" t="str">
        <f t="shared" si="8"/>
        <v>#11799</v>
      </c>
      <c r="E237" s="294" t="s">
        <v>4537</v>
      </c>
      <c r="F237" s="331" t="s">
        <v>4536</v>
      </c>
      <c r="G237" s="331" t="s">
        <v>9183</v>
      </c>
      <c r="H237" s="331" t="str">
        <f t="shared" si="9"/>
        <v>VN11799</v>
      </c>
      <c r="I237" s="331"/>
      <c r="J237" s="333"/>
      <c r="K237" s="334"/>
      <c r="L237" s="335"/>
      <c r="M237" s="335"/>
      <c r="N237" s="336"/>
    </row>
    <row r="238" spans="1:14" ht="15.75">
      <c r="A238" s="329">
        <v>237</v>
      </c>
      <c r="B238" s="330">
        <v>20</v>
      </c>
      <c r="C238" s="331" t="s">
        <v>9161</v>
      </c>
      <c r="D238" s="331" t="str">
        <f t="shared" ref="D238:D269" si="10">CONCATENATE("#",E238)</f>
        <v>#10507</v>
      </c>
      <c r="E238" s="294" t="s">
        <v>9184</v>
      </c>
      <c r="F238" s="331" t="s">
        <v>4160</v>
      </c>
      <c r="G238" s="331" t="s">
        <v>9185</v>
      </c>
      <c r="H238" s="331" t="str">
        <f t="shared" si="9"/>
        <v>VN10507</v>
      </c>
      <c r="I238" s="331"/>
      <c r="J238" s="333"/>
      <c r="K238" s="334"/>
      <c r="L238" s="337">
        <v>45720</v>
      </c>
      <c r="M238" s="337">
        <v>45887</v>
      </c>
      <c r="N238" s="336"/>
    </row>
    <row r="239" spans="1:14" ht="15.75">
      <c r="A239" s="329">
        <v>238</v>
      </c>
      <c r="B239" s="330">
        <v>21</v>
      </c>
      <c r="C239" s="331" t="s">
        <v>9161</v>
      </c>
      <c r="D239" s="331" t="str">
        <f t="shared" si="10"/>
        <v>#14516</v>
      </c>
      <c r="E239" s="294" t="s">
        <v>5084</v>
      </c>
      <c r="F239" s="331" t="s">
        <v>5083</v>
      </c>
      <c r="G239" s="331" t="s">
        <v>9186</v>
      </c>
      <c r="H239" s="331" t="str">
        <f t="shared" si="9"/>
        <v>VN14516</v>
      </c>
      <c r="I239" s="331"/>
      <c r="J239" s="333"/>
      <c r="K239" s="334"/>
      <c r="L239" s="335"/>
      <c r="M239" s="335"/>
      <c r="N239" s="336"/>
    </row>
    <row r="240" spans="1:14" ht="15.75">
      <c r="A240" s="329">
        <v>239</v>
      </c>
      <c r="B240" s="330">
        <v>22</v>
      </c>
      <c r="C240" s="331" t="s">
        <v>9161</v>
      </c>
      <c r="D240" s="331" t="str">
        <f t="shared" si="10"/>
        <v>#11458</v>
      </c>
      <c r="E240" s="294" t="s">
        <v>4457</v>
      </c>
      <c r="F240" s="331" t="s">
        <v>4456</v>
      </c>
      <c r="G240" s="331" t="s">
        <v>9187</v>
      </c>
      <c r="H240" s="331" t="str">
        <f t="shared" si="9"/>
        <v>VN11458</v>
      </c>
      <c r="I240" s="331"/>
      <c r="J240" s="333"/>
      <c r="K240" s="334"/>
      <c r="L240" s="335"/>
      <c r="M240" s="335"/>
      <c r="N240" s="336"/>
    </row>
    <row r="241" spans="1:14" ht="15.75">
      <c r="A241" s="329">
        <v>240</v>
      </c>
      <c r="B241" s="330">
        <v>23</v>
      </c>
      <c r="C241" s="331" t="s">
        <v>9161</v>
      </c>
      <c r="D241" s="331" t="str">
        <f t="shared" si="10"/>
        <v>#09441</v>
      </c>
      <c r="E241" s="294" t="s">
        <v>3819</v>
      </c>
      <c r="F241" s="331" t="s">
        <v>3818</v>
      </c>
      <c r="G241" s="331" t="s">
        <v>9188</v>
      </c>
      <c r="H241" s="331" t="str">
        <f t="shared" si="9"/>
        <v>VN09441</v>
      </c>
      <c r="I241" s="331"/>
      <c r="J241" s="333"/>
      <c r="K241" s="334"/>
      <c r="L241" s="335"/>
      <c r="M241" s="335"/>
      <c r="N241" s="336"/>
    </row>
    <row r="242" spans="1:14" ht="15.75">
      <c r="A242" s="329">
        <v>241</v>
      </c>
      <c r="B242" s="330">
        <v>24</v>
      </c>
      <c r="C242" s="331" t="s">
        <v>9161</v>
      </c>
      <c r="D242" s="331" t="str">
        <f t="shared" si="10"/>
        <v>#13855</v>
      </c>
      <c r="E242" s="294" t="s">
        <v>4971</v>
      </c>
      <c r="F242" s="331" t="s">
        <v>4970</v>
      </c>
      <c r="G242" s="331" t="s">
        <v>9189</v>
      </c>
      <c r="H242" s="331" t="str">
        <f t="shared" si="9"/>
        <v>VN13855</v>
      </c>
      <c r="I242" s="331"/>
      <c r="J242" s="333"/>
      <c r="K242" s="334"/>
      <c r="L242" s="335"/>
      <c r="M242" s="335"/>
      <c r="N242" s="336"/>
    </row>
    <row r="243" spans="1:14" ht="15.75">
      <c r="A243" s="329">
        <v>242</v>
      </c>
      <c r="B243" s="330">
        <v>25</v>
      </c>
      <c r="C243" s="331" t="s">
        <v>9161</v>
      </c>
      <c r="D243" s="331" t="str">
        <f t="shared" si="10"/>
        <v>#14150</v>
      </c>
      <c r="E243" s="294" t="s">
        <v>5032</v>
      </c>
      <c r="F243" s="331" t="s">
        <v>5031</v>
      </c>
      <c r="G243" s="331" t="s">
        <v>9190</v>
      </c>
      <c r="H243" s="331" t="str">
        <f t="shared" si="9"/>
        <v>VN14150</v>
      </c>
      <c r="I243" s="331"/>
      <c r="J243" s="333"/>
      <c r="K243" s="334"/>
      <c r="L243" s="335"/>
      <c r="M243" s="335"/>
      <c r="N243" s="336"/>
    </row>
    <row r="244" spans="1:14" ht="15.75">
      <c r="A244" s="329">
        <v>243</v>
      </c>
      <c r="B244" s="330">
        <v>26</v>
      </c>
      <c r="C244" s="331" t="s">
        <v>9161</v>
      </c>
      <c r="D244" s="331" t="str">
        <f t="shared" si="10"/>
        <v>#14377</v>
      </c>
      <c r="E244" s="294" t="s">
        <v>5060</v>
      </c>
      <c r="F244" s="331" t="s">
        <v>5059</v>
      </c>
      <c r="G244" s="331" t="s">
        <v>9191</v>
      </c>
      <c r="H244" s="331" t="str">
        <f t="shared" si="9"/>
        <v>VN14377</v>
      </c>
      <c r="I244" s="331"/>
      <c r="J244" s="333"/>
      <c r="K244" s="334"/>
      <c r="L244" s="335"/>
      <c r="M244" s="335"/>
      <c r="N244" s="336"/>
    </row>
    <row r="245" spans="1:14" ht="15.75">
      <c r="A245" s="329">
        <v>244</v>
      </c>
      <c r="B245" s="330">
        <v>27</v>
      </c>
      <c r="C245" s="331" t="s">
        <v>9161</v>
      </c>
      <c r="D245" s="331" t="str">
        <f t="shared" si="10"/>
        <v>#14517</v>
      </c>
      <c r="E245" s="294" t="s">
        <v>5086</v>
      </c>
      <c r="F245" s="331" t="s">
        <v>5085</v>
      </c>
      <c r="G245" s="331" t="s">
        <v>9192</v>
      </c>
      <c r="H245" s="331" t="str">
        <f t="shared" si="9"/>
        <v>VN14517</v>
      </c>
      <c r="I245" s="331"/>
      <c r="J245" s="333"/>
      <c r="K245" s="334"/>
      <c r="L245" s="335"/>
      <c r="M245" s="335"/>
      <c r="N245" s="336"/>
    </row>
    <row r="246" spans="1:14" ht="15.75">
      <c r="A246" s="329">
        <v>245</v>
      </c>
      <c r="B246" s="330">
        <v>28</v>
      </c>
      <c r="C246" s="331" t="s">
        <v>9161</v>
      </c>
      <c r="D246" s="331" t="str">
        <f t="shared" si="10"/>
        <v>#11581</v>
      </c>
      <c r="E246" s="294" t="s">
        <v>4480</v>
      </c>
      <c r="F246" s="331" t="s">
        <v>4479</v>
      </c>
      <c r="G246" s="331" t="s">
        <v>9193</v>
      </c>
      <c r="H246" s="331" t="str">
        <f t="shared" si="9"/>
        <v>VN11581</v>
      </c>
      <c r="I246" s="331"/>
      <c r="J246" s="333"/>
      <c r="K246" s="334"/>
      <c r="L246" s="335"/>
      <c r="M246" s="335"/>
      <c r="N246" s="336"/>
    </row>
    <row r="247" spans="1:14" ht="15.75">
      <c r="A247" s="329">
        <v>246</v>
      </c>
      <c r="B247" s="330">
        <v>29</v>
      </c>
      <c r="C247" s="331" t="s">
        <v>9161</v>
      </c>
      <c r="D247" s="331" t="str">
        <f t="shared" si="10"/>
        <v>#15628</v>
      </c>
      <c r="E247" s="294" t="s">
        <v>5341</v>
      </c>
      <c r="F247" s="331" t="s">
        <v>5002</v>
      </c>
      <c r="G247" s="352" t="s">
        <v>9194</v>
      </c>
      <c r="H247" s="352" t="str">
        <f t="shared" si="9"/>
        <v>VN15628</v>
      </c>
      <c r="I247" s="352"/>
      <c r="J247" s="353"/>
      <c r="K247" s="334"/>
      <c r="L247" s="335"/>
      <c r="M247" s="335"/>
      <c r="N247" s="336"/>
    </row>
    <row r="248" spans="1:14" ht="15.75">
      <c r="A248" s="329">
        <v>247</v>
      </c>
      <c r="B248" s="330">
        <v>30</v>
      </c>
      <c r="C248" s="331" t="s">
        <v>9161</v>
      </c>
      <c r="D248" s="331" t="str">
        <f t="shared" si="10"/>
        <v>#14394</v>
      </c>
      <c r="E248" s="294" t="s">
        <v>5062</v>
      </c>
      <c r="F248" s="331" t="s">
        <v>5061</v>
      </c>
      <c r="G248" s="331" t="s">
        <v>9195</v>
      </c>
      <c r="H248" s="331" t="str">
        <f t="shared" si="9"/>
        <v>VN14394</v>
      </c>
      <c r="I248" s="331"/>
      <c r="J248" s="333"/>
      <c r="K248" s="334"/>
      <c r="L248" s="335"/>
      <c r="M248" s="335"/>
      <c r="N248" s="336"/>
    </row>
    <row r="249" spans="1:14" ht="15.75">
      <c r="A249" s="329">
        <v>248</v>
      </c>
      <c r="B249" s="330">
        <v>31</v>
      </c>
      <c r="C249" s="331" t="s">
        <v>9161</v>
      </c>
      <c r="D249" s="331" t="str">
        <f t="shared" si="10"/>
        <v>#16363</v>
      </c>
      <c r="E249" s="294" t="s">
        <v>5504</v>
      </c>
      <c r="F249" s="354" t="s">
        <v>5503</v>
      </c>
      <c r="G249" s="331" t="s">
        <v>9196</v>
      </c>
      <c r="H249" s="331" t="str">
        <f t="shared" si="9"/>
        <v>VN16363</v>
      </c>
      <c r="I249" s="331"/>
      <c r="J249" s="333"/>
      <c r="K249" s="334"/>
      <c r="L249" s="335"/>
      <c r="M249" s="335"/>
      <c r="N249" s="336"/>
    </row>
    <row r="250" spans="1:14" ht="15.75">
      <c r="A250" s="329">
        <v>249</v>
      </c>
      <c r="B250" s="330">
        <v>32</v>
      </c>
      <c r="C250" s="331" t="s">
        <v>9161</v>
      </c>
      <c r="D250" s="331" t="str">
        <f t="shared" si="10"/>
        <v>#16629</v>
      </c>
      <c r="E250" s="294" t="s">
        <v>5545</v>
      </c>
      <c r="F250" s="331" t="s">
        <v>5544</v>
      </c>
      <c r="G250" s="331" t="s">
        <v>9197</v>
      </c>
      <c r="H250" s="331" t="str">
        <f t="shared" si="9"/>
        <v>VN16629</v>
      </c>
      <c r="I250" s="331"/>
      <c r="J250" s="333"/>
      <c r="K250" s="334"/>
      <c r="L250" s="335"/>
      <c r="M250" s="335"/>
      <c r="N250" s="336"/>
    </row>
    <row r="251" spans="1:14" ht="15.75">
      <c r="A251" s="329">
        <v>250</v>
      </c>
      <c r="B251" s="330">
        <v>33</v>
      </c>
      <c r="C251" s="331" t="s">
        <v>9161</v>
      </c>
      <c r="D251" s="331" t="str">
        <f t="shared" si="10"/>
        <v>#18120</v>
      </c>
      <c r="E251" s="294" t="s">
        <v>9198</v>
      </c>
      <c r="F251" s="331" t="s">
        <v>9199</v>
      </c>
      <c r="G251" s="331" t="s">
        <v>9200</v>
      </c>
      <c r="H251" s="331" t="str">
        <f t="shared" si="9"/>
        <v>VN18120</v>
      </c>
      <c r="I251" s="331"/>
      <c r="J251" s="333"/>
      <c r="K251" s="334"/>
      <c r="L251" s="337">
        <v>45662</v>
      </c>
      <c r="M251" s="337">
        <v>45887</v>
      </c>
      <c r="N251" s="336"/>
    </row>
    <row r="252" spans="1:14" ht="15.75">
      <c r="A252" s="329">
        <v>251</v>
      </c>
      <c r="B252" s="330">
        <v>34</v>
      </c>
      <c r="C252" s="331" t="s">
        <v>9161</v>
      </c>
      <c r="D252" s="331" t="str">
        <f t="shared" si="10"/>
        <v>#18500</v>
      </c>
      <c r="E252" s="294" t="s">
        <v>6029</v>
      </c>
      <c r="F252" s="331" t="s">
        <v>6028</v>
      </c>
      <c r="G252" s="331" t="s">
        <v>9201</v>
      </c>
      <c r="H252" s="331" t="str">
        <f t="shared" si="9"/>
        <v>VN18500</v>
      </c>
      <c r="I252" s="331"/>
      <c r="J252" s="333"/>
      <c r="K252" s="334"/>
      <c r="L252" s="335"/>
      <c r="M252" s="335"/>
      <c r="N252" s="336"/>
    </row>
    <row r="253" spans="1:14" ht="15.75">
      <c r="A253" s="329">
        <v>252</v>
      </c>
      <c r="B253" s="330">
        <v>35</v>
      </c>
      <c r="C253" s="331" t="s">
        <v>9161</v>
      </c>
      <c r="D253" s="331" t="str">
        <f t="shared" si="10"/>
        <v>#19818</v>
      </c>
      <c r="E253" s="294" t="s">
        <v>6383</v>
      </c>
      <c r="F253" s="331" t="s">
        <v>6356</v>
      </c>
      <c r="G253" s="331" t="s">
        <v>9202</v>
      </c>
      <c r="H253" s="331" t="str">
        <f t="shared" si="9"/>
        <v>VN19818</v>
      </c>
      <c r="I253" s="331"/>
      <c r="J253" s="333"/>
      <c r="K253" s="334"/>
      <c r="L253" s="335"/>
      <c r="M253" s="335"/>
      <c r="N253" s="336"/>
    </row>
    <row r="254" spans="1:14" ht="15.75">
      <c r="A254" s="329">
        <v>253</v>
      </c>
      <c r="B254" s="330">
        <v>36</v>
      </c>
      <c r="C254" s="331" t="s">
        <v>9161</v>
      </c>
      <c r="D254" s="331" t="str">
        <f t="shared" si="10"/>
        <v>#22391</v>
      </c>
      <c r="E254" s="294" t="s">
        <v>7054</v>
      </c>
      <c r="F254" s="331" t="s">
        <v>7053</v>
      </c>
      <c r="G254" s="331" t="s">
        <v>9203</v>
      </c>
      <c r="H254" s="331" t="str">
        <f t="shared" si="9"/>
        <v>VN22391</v>
      </c>
      <c r="I254" s="331"/>
      <c r="J254" s="333"/>
      <c r="K254" s="334"/>
      <c r="L254" s="335"/>
      <c r="M254" s="335"/>
      <c r="N254" s="336"/>
    </row>
    <row r="255" spans="1:14" ht="15.75">
      <c r="A255" s="329">
        <v>254</v>
      </c>
      <c r="B255" s="330">
        <v>37</v>
      </c>
      <c r="C255" s="331" t="s">
        <v>9161</v>
      </c>
      <c r="D255" s="331" t="str">
        <f t="shared" si="10"/>
        <v>#24014</v>
      </c>
      <c r="E255" s="294" t="s">
        <v>9204</v>
      </c>
      <c r="F255" s="331" t="s">
        <v>9205</v>
      </c>
      <c r="G255" s="331" t="s">
        <v>9206</v>
      </c>
      <c r="H255" s="331" t="str">
        <f t="shared" si="9"/>
        <v>VN24014</v>
      </c>
      <c r="I255" s="331"/>
      <c r="J255" s="333" t="s">
        <v>9207</v>
      </c>
      <c r="K255" s="334"/>
      <c r="L255" s="337">
        <v>45296</v>
      </c>
      <c r="M255" s="337">
        <v>45887</v>
      </c>
      <c r="N255" s="336"/>
    </row>
    <row r="256" spans="1:14" ht="15.75">
      <c r="A256" s="329">
        <v>255</v>
      </c>
      <c r="B256" s="330">
        <v>38</v>
      </c>
      <c r="C256" s="331" t="s">
        <v>9161</v>
      </c>
      <c r="D256" s="331" t="str">
        <f t="shared" si="10"/>
        <v>#23791</v>
      </c>
      <c r="E256" s="294" t="s">
        <v>9208</v>
      </c>
      <c r="F256" s="331" t="s">
        <v>9209</v>
      </c>
      <c r="G256" s="331" t="s">
        <v>9210</v>
      </c>
      <c r="H256" s="331" t="str">
        <f t="shared" si="9"/>
        <v>VN23791</v>
      </c>
      <c r="I256" s="331"/>
      <c r="J256" s="333"/>
      <c r="K256" s="334"/>
      <c r="L256" s="337">
        <v>45383</v>
      </c>
      <c r="M256" s="337">
        <v>45887</v>
      </c>
      <c r="N256" s="336"/>
    </row>
    <row r="257" spans="1:14" ht="15.75">
      <c r="A257" s="329">
        <v>256</v>
      </c>
      <c r="B257" s="330">
        <v>39</v>
      </c>
      <c r="C257" s="331" t="s">
        <v>9161</v>
      </c>
      <c r="D257" s="331" t="str">
        <f t="shared" si="10"/>
        <v>#23987</v>
      </c>
      <c r="E257" s="294" t="s">
        <v>7401</v>
      </c>
      <c r="F257" s="331" t="s">
        <v>7400</v>
      </c>
      <c r="G257" s="331" t="s">
        <v>9211</v>
      </c>
      <c r="H257" s="331" t="str">
        <f t="shared" si="9"/>
        <v>VN23987</v>
      </c>
      <c r="I257" s="331"/>
      <c r="J257" s="333" t="s">
        <v>9212</v>
      </c>
      <c r="K257" s="334"/>
      <c r="L257" s="335"/>
      <c r="M257" s="335"/>
      <c r="N257" s="336"/>
    </row>
    <row r="258" spans="1:14" ht="15.75">
      <c r="A258" s="329">
        <v>257</v>
      </c>
      <c r="B258" s="330">
        <v>40</v>
      </c>
      <c r="C258" s="331" t="s">
        <v>9161</v>
      </c>
      <c r="D258" s="331" t="str">
        <f t="shared" si="10"/>
        <v>#24329</v>
      </c>
      <c r="E258" s="294" t="s">
        <v>7528</v>
      </c>
      <c r="F258" s="331" t="s">
        <v>7527</v>
      </c>
      <c r="G258" s="331" t="s">
        <v>9213</v>
      </c>
      <c r="H258" s="331" t="str">
        <f t="shared" si="9"/>
        <v>VN24329</v>
      </c>
      <c r="I258" s="331"/>
      <c r="J258" s="333" t="s">
        <v>9214</v>
      </c>
      <c r="K258" s="334"/>
      <c r="L258" s="335"/>
      <c r="M258" s="335"/>
      <c r="N258" s="336"/>
    </row>
    <row r="259" spans="1:14" ht="15.75">
      <c r="A259" s="329">
        <v>258</v>
      </c>
      <c r="B259" s="330">
        <v>41</v>
      </c>
      <c r="C259" s="331" t="s">
        <v>9161</v>
      </c>
      <c r="D259" s="331" t="str">
        <f t="shared" si="10"/>
        <v>#24338</v>
      </c>
      <c r="E259" s="294" t="s">
        <v>7536</v>
      </c>
      <c r="F259" s="331" t="s">
        <v>7535</v>
      </c>
      <c r="G259" s="331" t="s">
        <v>9215</v>
      </c>
      <c r="H259" s="331" t="str">
        <f t="shared" si="9"/>
        <v>VN24338</v>
      </c>
      <c r="I259" s="331"/>
      <c r="J259" s="333" t="s">
        <v>9216</v>
      </c>
      <c r="K259" s="334"/>
      <c r="L259" s="335"/>
      <c r="M259" s="335"/>
      <c r="N259" s="336"/>
    </row>
    <row r="260" spans="1:14" ht="15.75">
      <c r="A260" s="329">
        <v>259</v>
      </c>
      <c r="B260" s="330">
        <v>42</v>
      </c>
      <c r="C260" s="331" t="s">
        <v>9161</v>
      </c>
      <c r="D260" s="331" t="str">
        <f t="shared" si="10"/>
        <v>#19423</v>
      </c>
      <c r="E260" s="294" t="s">
        <v>6277</v>
      </c>
      <c r="F260" s="331" t="s">
        <v>9217</v>
      </c>
      <c r="G260" s="331" t="s">
        <v>9218</v>
      </c>
      <c r="H260" s="331" t="str">
        <f t="shared" si="9"/>
        <v>VN19423</v>
      </c>
      <c r="I260" s="331"/>
      <c r="J260" s="333"/>
      <c r="K260" s="334"/>
      <c r="L260" s="335"/>
      <c r="M260" s="335"/>
      <c r="N260" s="336"/>
    </row>
    <row r="261" spans="1:14" ht="15.75">
      <c r="A261" s="329">
        <v>260</v>
      </c>
      <c r="B261" s="330">
        <v>43</v>
      </c>
      <c r="C261" s="331" t="s">
        <v>9161</v>
      </c>
      <c r="D261" s="331" t="str">
        <f t="shared" si="10"/>
        <v>#24324</v>
      </c>
      <c r="E261" s="294" t="s">
        <v>7522</v>
      </c>
      <c r="F261" s="331" t="s">
        <v>7521</v>
      </c>
      <c r="G261" s="331" t="s">
        <v>9219</v>
      </c>
      <c r="H261" s="331" t="str">
        <f t="shared" si="9"/>
        <v>VN24324</v>
      </c>
      <c r="I261" s="331"/>
      <c r="J261" s="333" t="s">
        <v>9220</v>
      </c>
      <c r="K261" s="334"/>
      <c r="L261" s="335"/>
      <c r="M261" s="335"/>
      <c r="N261" s="336"/>
    </row>
    <row r="262" spans="1:14" ht="15.75">
      <c r="A262" s="329">
        <v>261</v>
      </c>
      <c r="B262" s="330">
        <v>44</v>
      </c>
      <c r="C262" s="331" t="s">
        <v>9161</v>
      </c>
      <c r="D262" s="331" t="str">
        <f t="shared" si="10"/>
        <v>#24409</v>
      </c>
      <c r="E262" s="294" t="s">
        <v>7578</v>
      </c>
      <c r="F262" s="331" t="s">
        <v>7577</v>
      </c>
      <c r="G262" s="331" t="s">
        <v>9221</v>
      </c>
      <c r="H262" s="331" t="str">
        <f t="shared" si="9"/>
        <v>VN24409</v>
      </c>
      <c r="I262" s="331"/>
      <c r="J262" s="333" t="s">
        <v>9222</v>
      </c>
      <c r="K262" s="334"/>
      <c r="L262" s="335"/>
      <c r="M262" s="335"/>
      <c r="N262" s="336"/>
    </row>
    <row r="263" spans="1:14" ht="15.75">
      <c r="A263" s="329">
        <v>262</v>
      </c>
      <c r="B263" s="330">
        <v>45</v>
      </c>
      <c r="C263" s="331" t="s">
        <v>9161</v>
      </c>
      <c r="D263" s="331" t="str">
        <f t="shared" si="10"/>
        <v>#25842</v>
      </c>
      <c r="E263" s="294" t="s">
        <v>8301</v>
      </c>
      <c r="F263" s="331" t="s">
        <v>8015</v>
      </c>
      <c r="G263" s="331" t="s">
        <v>9223</v>
      </c>
      <c r="H263" s="331" t="str">
        <f t="shared" si="9"/>
        <v>VN25842</v>
      </c>
      <c r="I263" s="331"/>
      <c r="J263" s="333"/>
      <c r="K263" s="334"/>
      <c r="L263" s="335"/>
      <c r="M263" s="335"/>
      <c r="N263" s="336"/>
    </row>
    <row r="264" spans="1:14" ht="15.75">
      <c r="A264" s="329">
        <v>263</v>
      </c>
      <c r="B264" s="330">
        <v>46</v>
      </c>
      <c r="C264" s="331" t="s">
        <v>9161</v>
      </c>
      <c r="D264" s="331" t="str">
        <f t="shared" si="10"/>
        <v>#24870</v>
      </c>
      <c r="E264" s="294" t="s">
        <v>7776</v>
      </c>
      <c r="F264" s="331" t="s">
        <v>7775</v>
      </c>
      <c r="G264" s="331" t="s">
        <v>9224</v>
      </c>
      <c r="H264" s="331" t="str">
        <f t="shared" si="9"/>
        <v>VN24870</v>
      </c>
      <c r="I264" s="331"/>
      <c r="J264" s="333" t="s">
        <v>9225</v>
      </c>
      <c r="K264" s="334">
        <v>45456</v>
      </c>
      <c r="L264" s="335"/>
      <c r="M264" s="335"/>
      <c r="N264" s="336"/>
    </row>
    <row r="265" spans="1:14" ht="15.75">
      <c r="A265" s="329">
        <v>264</v>
      </c>
      <c r="B265" s="330">
        <v>47</v>
      </c>
      <c r="C265" s="331" t="s">
        <v>9161</v>
      </c>
      <c r="D265" s="331" t="str">
        <f t="shared" si="10"/>
        <v>#24570</v>
      </c>
      <c r="E265" s="294" t="s">
        <v>7661</v>
      </c>
      <c r="F265" s="331" t="s">
        <v>7660</v>
      </c>
      <c r="G265" s="331" t="s">
        <v>9226</v>
      </c>
      <c r="H265" s="331" t="str">
        <f t="shared" si="9"/>
        <v>VN24570</v>
      </c>
      <c r="I265" s="331"/>
      <c r="J265" s="333" t="s">
        <v>9227</v>
      </c>
      <c r="K265" s="334"/>
      <c r="L265" s="335"/>
      <c r="M265" s="335"/>
      <c r="N265" s="336"/>
    </row>
    <row r="266" spans="1:14" ht="15.75">
      <c r="A266" s="329">
        <v>265</v>
      </c>
      <c r="B266" s="330">
        <v>48</v>
      </c>
      <c r="C266" s="331" t="s">
        <v>9161</v>
      </c>
      <c r="D266" s="331" t="str">
        <f t="shared" si="10"/>
        <v>#26267</v>
      </c>
      <c r="E266" s="294" t="s">
        <v>9228</v>
      </c>
      <c r="F266" s="331" t="s">
        <v>9229</v>
      </c>
      <c r="G266" s="331" t="s">
        <v>9230</v>
      </c>
      <c r="H266" s="331" t="str">
        <f t="shared" si="9"/>
        <v>VN26267</v>
      </c>
      <c r="I266" s="331"/>
      <c r="J266" s="333" t="s">
        <v>9231</v>
      </c>
      <c r="K266" s="334">
        <v>45894</v>
      </c>
      <c r="L266" s="337"/>
      <c r="M266" s="348"/>
      <c r="N266" s="336"/>
    </row>
    <row r="267" spans="1:14" ht="15.75">
      <c r="A267" s="329">
        <v>266</v>
      </c>
      <c r="B267" s="330">
        <v>49</v>
      </c>
      <c r="C267" s="331" t="s">
        <v>9161</v>
      </c>
      <c r="D267" s="331" t="str">
        <f t="shared" si="10"/>
        <v>#26344</v>
      </c>
      <c r="E267" s="294" t="s">
        <v>8621</v>
      </c>
      <c r="F267" s="331" t="s">
        <v>8622</v>
      </c>
      <c r="G267" s="331" t="s">
        <v>9232</v>
      </c>
      <c r="H267" s="331" t="str">
        <f t="shared" si="9"/>
        <v>VN26344</v>
      </c>
      <c r="I267" s="331"/>
      <c r="J267" s="333" t="s">
        <v>9233</v>
      </c>
      <c r="K267" s="334">
        <v>45932</v>
      </c>
      <c r="L267" s="347"/>
      <c r="M267" s="348"/>
      <c r="N267" s="336"/>
    </row>
    <row r="268" spans="1:14" ht="15.75">
      <c r="A268" s="329">
        <v>267</v>
      </c>
      <c r="B268" s="330">
        <v>1</v>
      </c>
      <c r="C268" s="331" t="s">
        <v>721</v>
      </c>
      <c r="D268" s="331" t="str">
        <f t="shared" si="10"/>
        <v>#00039</v>
      </c>
      <c r="E268" s="294" t="s">
        <v>892</v>
      </c>
      <c r="F268" s="331" t="s">
        <v>891</v>
      </c>
      <c r="G268" s="331" t="s">
        <v>9234</v>
      </c>
      <c r="H268" s="331" t="str">
        <f t="shared" si="9"/>
        <v>VN00039</v>
      </c>
      <c r="I268" s="331"/>
      <c r="J268" s="333"/>
      <c r="K268" s="334"/>
      <c r="L268" s="335"/>
      <c r="M268" s="335"/>
      <c r="N268" s="336"/>
    </row>
    <row r="269" spans="1:14" ht="15.75">
      <c r="A269" s="329">
        <v>268</v>
      </c>
      <c r="B269" s="330">
        <v>2</v>
      </c>
      <c r="C269" s="331" t="s">
        <v>721</v>
      </c>
      <c r="D269" s="331" t="str">
        <f t="shared" si="10"/>
        <v>#00079</v>
      </c>
      <c r="E269" s="294" t="s">
        <v>912</v>
      </c>
      <c r="F269" s="331" t="s">
        <v>911</v>
      </c>
      <c r="G269" s="331" t="s">
        <v>9235</v>
      </c>
      <c r="H269" s="331" t="str">
        <f t="shared" si="9"/>
        <v>VN00079</v>
      </c>
      <c r="I269" s="331"/>
      <c r="J269" s="333"/>
      <c r="K269" s="334"/>
      <c r="L269" s="335"/>
      <c r="M269" s="335"/>
      <c r="N269" s="336"/>
    </row>
    <row r="270" spans="1:14" ht="15.75">
      <c r="A270" s="329">
        <v>269</v>
      </c>
      <c r="B270" s="330">
        <v>3</v>
      </c>
      <c r="C270" s="331" t="s">
        <v>721</v>
      </c>
      <c r="D270" s="331" t="str">
        <f t="shared" ref="D270:D301" si="11">CONCATENATE("#",E270)</f>
        <v>#00235</v>
      </c>
      <c r="E270" s="294" t="s">
        <v>980</v>
      </c>
      <c r="F270" s="331" t="s">
        <v>979</v>
      </c>
      <c r="G270" s="331" t="s">
        <v>9236</v>
      </c>
      <c r="H270" s="331" t="str">
        <f t="shared" ref="H270:H333" si="12">CONCATENATE("VN",E270)</f>
        <v>VN00235</v>
      </c>
      <c r="I270" s="331"/>
      <c r="J270" s="333"/>
      <c r="K270" s="334"/>
      <c r="L270" s="335"/>
      <c r="M270" s="335"/>
      <c r="N270" s="336"/>
    </row>
    <row r="271" spans="1:14" ht="15.75">
      <c r="A271" s="329">
        <v>270</v>
      </c>
      <c r="B271" s="330">
        <v>4</v>
      </c>
      <c r="C271" s="331" t="s">
        <v>721</v>
      </c>
      <c r="D271" s="331" t="str">
        <f t="shared" si="11"/>
        <v>#00259</v>
      </c>
      <c r="E271" s="294" t="s">
        <v>989</v>
      </c>
      <c r="F271" s="331" t="s">
        <v>988</v>
      </c>
      <c r="G271" s="331" t="s">
        <v>9237</v>
      </c>
      <c r="H271" s="331" t="str">
        <f t="shared" si="12"/>
        <v>VN00259</v>
      </c>
      <c r="I271" s="331"/>
      <c r="J271" s="333"/>
      <c r="K271" s="334"/>
      <c r="L271" s="335"/>
      <c r="M271" s="335"/>
      <c r="N271" s="336"/>
    </row>
    <row r="272" spans="1:14" ht="15.75">
      <c r="A272" s="329">
        <v>271</v>
      </c>
      <c r="B272" s="330">
        <v>5</v>
      </c>
      <c r="C272" s="331" t="s">
        <v>721</v>
      </c>
      <c r="D272" s="331" t="str">
        <f t="shared" si="11"/>
        <v>#00602</v>
      </c>
      <c r="E272" s="294" t="s">
        <v>1159</v>
      </c>
      <c r="F272" s="331" t="s">
        <v>1158</v>
      </c>
      <c r="G272" s="331" t="s">
        <v>9238</v>
      </c>
      <c r="H272" s="331" t="str">
        <f t="shared" si="12"/>
        <v>VN00602</v>
      </c>
      <c r="I272" s="331"/>
      <c r="J272" s="333"/>
      <c r="K272" s="334"/>
      <c r="L272" s="335"/>
      <c r="M272" s="335"/>
      <c r="N272" s="336"/>
    </row>
    <row r="273" spans="1:14" ht="15.75">
      <c r="A273" s="329">
        <v>272</v>
      </c>
      <c r="B273" s="330">
        <v>6</v>
      </c>
      <c r="C273" s="331" t="s">
        <v>721</v>
      </c>
      <c r="D273" s="331" t="str">
        <f t="shared" si="11"/>
        <v>#00683</v>
      </c>
      <c r="E273" s="294" t="s">
        <v>1207</v>
      </c>
      <c r="F273" s="331" t="s">
        <v>1206</v>
      </c>
      <c r="G273" s="331" t="s">
        <v>9239</v>
      </c>
      <c r="H273" s="331" t="str">
        <f t="shared" si="12"/>
        <v>VN00683</v>
      </c>
      <c r="I273" s="331"/>
      <c r="J273" s="333"/>
      <c r="K273" s="334"/>
      <c r="L273" s="335"/>
      <c r="M273" s="335"/>
      <c r="N273" s="336"/>
    </row>
    <row r="274" spans="1:14" ht="15.75">
      <c r="A274" s="329">
        <v>273</v>
      </c>
      <c r="B274" s="330">
        <v>7</v>
      </c>
      <c r="C274" s="331" t="s">
        <v>721</v>
      </c>
      <c r="D274" s="331" t="str">
        <f t="shared" si="11"/>
        <v>#00883</v>
      </c>
      <c r="E274" s="294" t="s">
        <v>1304</v>
      </c>
      <c r="F274" s="331" t="s">
        <v>1083</v>
      </c>
      <c r="G274" s="331" t="s">
        <v>9240</v>
      </c>
      <c r="H274" s="331" t="str">
        <f t="shared" si="12"/>
        <v>VN00883</v>
      </c>
      <c r="I274" s="331"/>
      <c r="J274" s="333"/>
      <c r="K274" s="334"/>
      <c r="L274" s="335"/>
      <c r="M274" s="335"/>
      <c r="N274" s="336"/>
    </row>
    <row r="275" spans="1:14" ht="15.75">
      <c r="A275" s="329">
        <v>274</v>
      </c>
      <c r="B275" s="330">
        <v>8</v>
      </c>
      <c r="C275" s="331" t="s">
        <v>721</v>
      </c>
      <c r="D275" s="331" t="str">
        <f t="shared" si="11"/>
        <v>#00913</v>
      </c>
      <c r="E275" s="294" t="s">
        <v>1318</v>
      </c>
      <c r="F275" s="331" t="s">
        <v>1317</v>
      </c>
      <c r="G275" s="331" t="s">
        <v>9241</v>
      </c>
      <c r="H275" s="331" t="str">
        <f t="shared" si="12"/>
        <v>VN00913</v>
      </c>
      <c r="I275" s="331"/>
      <c r="J275" s="333"/>
      <c r="K275" s="334"/>
      <c r="L275" s="335"/>
      <c r="M275" s="335"/>
      <c r="N275" s="336"/>
    </row>
    <row r="276" spans="1:14" ht="15.75">
      <c r="A276" s="329">
        <v>275</v>
      </c>
      <c r="B276" s="330">
        <v>9</v>
      </c>
      <c r="C276" s="331" t="s">
        <v>721</v>
      </c>
      <c r="D276" s="331" t="str">
        <f t="shared" si="11"/>
        <v>#00931</v>
      </c>
      <c r="E276" s="294" t="s">
        <v>1333</v>
      </c>
      <c r="F276" s="331" t="s">
        <v>1332</v>
      </c>
      <c r="G276" s="331" t="s">
        <v>9242</v>
      </c>
      <c r="H276" s="331" t="str">
        <f t="shared" si="12"/>
        <v>VN00931</v>
      </c>
      <c r="I276" s="331"/>
      <c r="J276" s="333"/>
      <c r="K276" s="334"/>
      <c r="L276" s="335"/>
      <c r="M276" s="335"/>
      <c r="N276" s="336"/>
    </row>
    <row r="277" spans="1:14" ht="15.75">
      <c r="A277" s="329">
        <v>276</v>
      </c>
      <c r="B277" s="330">
        <v>10</v>
      </c>
      <c r="C277" s="331" t="s">
        <v>721</v>
      </c>
      <c r="D277" s="331" t="str">
        <f t="shared" si="11"/>
        <v>#00990</v>
      </c>
      <c r="E277" s="294" t="s">
        <v>1363</v>
      </c>
      <c r="F277" s="331" t="s">
        <v>1362</v>
      </c>
      <c r="G277" s="331" t="s">
        <v>9243</v>
      </c>
      <c r="H277" s="331" t="str">
        <f t="shared" si="12"/>
        <v>VN00990</v>
      </c>
      <c r="I277" s="331"/>
      <c r="J277" s="333"/>
      <c r="K277" s="334"/>
      <c r="L277" s="335"/>
      <c r="M277" s="335"/>
      <c r="N277" s="336"/>
    </row>
    <row r="278" spans="1:14" ht="15.75">
      <c r="A278" s="329">
        <v>277</v>
      </c>
      <c r="B278" s="330">
        <v>11</v>
      </c>
      <c r="C278" s="331" t="s">
        <v>721</v>
      </c>
      <c r="D278" s="331" t="str">
        <f t="shared" si="11"/>
        <v>#00993</v>
      </c>
      <c r="E278" s="294" t="s">
        <v>1365</v>
      </c>
      <c r="F278" s="331" t="s">
        <v>1364</v>
      </c>
      <c r="G278" s="331" t="s">
        <v>9244</v>
      </c>
      <c r="H278" s="331" t="str">
        <f t="shared" si="12"/>
        <v>VN00993</v>
      </c>
      <c r="I278" s="331"/>
      <c r="J278" s="333"/>
      <c r="K278" s="334"/>
      <c r="L278" s="335"/>
      <c r="M278" s="335"/>
      <c r="N278" s="336"/>
    </row>
    <row r="279" spans="1:14" ht="15.75">
      <c r="A279" s="329">
        <v>278</v>
      </c>
      <c r="B279" s="330">
        <v>12</v>
      </c>
      <c r="C279" s="331" t="s">
        <v>721</v>
      </c>
      <c r="D279" s="331" t="str">
        <f t="shared" si="11"/>
        <v>#01214</v>
      </c>
      <c r="E279" s="294" t="s">
        <v>1457</v>
      </c>
      <c r="F279" s="331" t="s">
        <v>9245</v>
      </c>
      <c r="G279" s="331" t="s">
        <v>9246</v>
      </c>
      <c r="H279" s="331" t="str">
        <f t="shared" si="12"/>
        <v>VN01214</v>
      </c>
      <c r="I279" s="331"/>
      <c r="J279" s="333"/>
      <c r="K279" s="334"/>
      <c r="L279" s="335"/>
      <c r="M279" s="335"/>
      <c r="N279" s="336"/>
    </row>
    <row r="280" spans="1:14" ht="15.75">
      <c r="A280" s="329">
        <v>279</v>
      </c>
      <c r="B280" s="330">
        <v>13</v>
      </c>
      <c r="C280" s="331" t="s">
        <v>721</v>
      </c>
      <c r="D280" s="331" t="str">
        <f t="shared" si="11"/>
        <v>#01285</v>
      </c>
      <c r="E280" s="294" t="s">
        <v>1497</v>
      </c>
      <c r="F280" s="331" t="s">
        <v>1496</v>
      </c>
      <c r="G280" s="331" t="s">
        <v>9247</v>
      </c>
      <c r="H280" s="331" t="str">
        <f t="shared" si="12"/>
        <v>VN01285</v>
      </c>
      <c r="I280" s="331"/>
      <c r="J280" s="333"/>
      <c r="K280" s="334"/>
      <c r="L280" s="335"/>
      <c r="M280" s="335"/>
      <c r="N280" s="336"/>
    </row>
    <row r="281" spans="1:14" ht="15.75">
      <c r="A281" s="329">
        <v>280</v>
      </c>
      <c r="B281" s="330">
        <v>14</v>
      </c>
      <c r="C281" s="331" t="s">
        <v>721</v>
      </c>
      <c r="D281" s="331" t="str">
        <f t="shared" si="11"/>
        <v>#01960</v>
      </c>
      <c r="E281" s="294" t="s">
        <v>1736</v>
      </c>
      <c r="F281" s="331" t="s">
        <v>3433</v>
      </c>
      <c r="G281" s="331" t="s">
        <v>9248</v>
      </c>
      <c r="H281" s="331" t="str">
        <f t="shared" si="12"/>
        <v>VN01960</v>
      </c>
      <c r="I281" s="331"/>
      <c r="J281" s="333"/>
      <c r="K281" s="334"/>
      <c r="L281" s="335"/>
      <c r="M281" s="335"/>
      <c r="N281" s="336"/>
    </row>
    <row r="282" spans="1:14" ht="15.75">
      <c r="A282" s="329">
        <v>281</v>
      </c>
      <c r="B282" s="330">
        <v>15</v>
      </c>
      <c r="C282" s="331" t="s">
        <v>721</v>
      </c>
      <c r="D282" s="331" t="str">
        <f t="shared" si="11"/>
        <v>#02261</v>
      </c>
      <c r="E282" s="294" t="s">
        <v>1797</v>
      </c>
      <c r="F282" s="331" t="s">
        <v>1796</v>
      </c>
      <c r="G282" s="331" t="s">
        <v>9249</v>
      </c>
      <c r="H282" s="331" t="str">
        <f t="shared" si="12"/>
        <v>VN02261</v>
      </c>
      <c r="I282" s="331"/>
      <c r="J282" s="333"/>
      <c r="K282" s="334"/>
      <c r="L282" s="335"/>
      <c r="M282" s="335"/>
      <c r="N282" s="336"/>
    </row>
    <row r="283" spans="1:14" ht="15.75">
      <c r="A283" s="329">
        <v>282</v>
      </c>
      <c r="B283" s="330">
        <v>16</v>
      </c>
      <c r="C283" s="331" t="s">
        <v>721</v>
      </c>
      <c r="D283" s="331" t="str">
        <f t="shared" si="11"/>
        <v>#02684</v>
      </c>
      <c r="E283" s="294" t="s">
        <v>1948</v>
      </c>
      <c r="F283" s="331" t="s">
        <v>1947</v>
      </c>
      <c r="G283" s="331" t="s">
        <v>9250</v>
      </c>
      <c r="H283" s="331" t="str">
        <f t="shared" si="12"/>
        <v>VN02684</v>
      </c>
      <c r="I283" s="331"/>
      <c r="J283" s="333"/>
      <c r="K283" s="334"/>
      <c r="L283" s="335"/>
      <c r="M283" s="335"/>
      <c r="N283" s="336"/>
    </row>
    <row r="284" spans="1:14" ht="15.75">
      <c r="A284" s="329">
        <v>283</v>
      </c>
      <c r="B284" s="330">
        <v>17</v>
      </c>
      <c r="C284" s="331" t="s">
        <v>721</v>
      </c>
      <c r="D284" s="331" t="str">
        <f t="shared" si="11"/>
        <v>#02972</v>
      </c>
      <c r="E284" s="294" t="s">
        <v>2042</v>
      </c>
      <c r="F284" s="331" t="s">
        <v>2041</v>
      </c>
      <c r="G284" s="331" t="s">
        <v>9251</v>
      </c>
      <c r="H284" s="331" t="str">
        <f t="shared" si="12"/>
        <v>VN02972</v>
      </c>
      <c r="I284" s="331"/>
      <c r="J284" s="333"/>
      <c r="K284" s="334"/>
      <c r="L284" s="335"/>
      <c r="M284" s="335"/>
      <c r="N284" s="336"/>
    </row>
    <row r="285" spans="1:14" ht="15.75">
      <c r="A285" s="329">
        <v>284</v>
      </c>
      <c r="B285" s="330">
        <v>18</v>
      </c>
      <c r="C285" s="331" t="s">
        <v>721</v>
      </c>
      <c r="D285" s="331" t="str">
        <f t="shared" si="11"/>
        <v>#03037</v>
      </c>
      <c r="E285" s="294" t="s">
        <v>2069</v>
      </c>
      <c r="F285" s="331" t="s">
        <v>2068</v>
      </c>
      <c r="G285" s="331" t="s">
        <v>9252</v>
      </c>
      <c r="H285" s="331" t="str">
        <f t="shared" si="12"/>
        <v>VN03037</v>
      </c>
      <c r="I285" s="331"/>
      <c r="J285" s="333"/>
      <c r="K285" s="334"/>
      <c r="L285" s="335"/>
      <c r="M285" s="335"/>
      <c r="N285" s="336"/>
    </row>
    <row r="286" spans="1:14" ht="15.75">
      <c r="A286" s="329">
        <v>285</v>
      </c>
      <c r="B286" s="330">
        <v>19</v>
      </c>
      <c r="C286" s="331" t="s">
        <v>721</v>
      </c>
      <c r="D286" s="331" t="str">
        <f t="shared" si="11"/>
        <v>#03359</v>
      </c>
      <c r="E286" s="294" t="s">
        <v>2179</v>
      </c>
      <c r="F286" s="331" t="s">
        <v>2178</v>
      </c>
      <c r="G286" s="331" t="s">
        <v>9253</v>
      </c>
      <c r="H286" s="331" t="str">
        <f t="shared" si="12"/>
        <v>VN03359</v>
      </c>
      <c r="I286" s="331"/>
      <c r="J286" s="333"/>
      <c r="K286" s="334"/>
      <c r="L286" s="335"/>
      <c r="M286" s="335"/>
      <c r="N286" s="336"/>
    </row>
    <row r="287" spans="1:14" ht="15.75">
      <c r="A287" s="329">
        <v>286</v>
      </c>
      <c r="B287" s="330">
        <v>20</v>
      </c>
      <c r="C287" s="331" t="s">
        <v>721</v>
      </c>
      <c r="D287" s="331" t="str">
        <f t="shared" si="11"/>
        <v>#03408</v>
      </c>
      <c r="E287" s="294" t="s">
        <v>2205</v>
      </c>
      <c r="F287" s="331" t="s">
        <v>1580</v>
      </c>
      <c r="G287" s="331" t="s">
        <v>9254</v>
      </c>
      <c r="H287" s="331" t="str">
        <f t="shared" si="12"/>
        <v>VN03408</v>
      </c>
      <c r="I287" s="331"/>
      <c r="J287" s="333"/>
      <c r="K287" s="334"/>
      <c r="L287" s="335"/>
      <c r="M287" s="335"/>
      <c r="N287" s="336"/>
    </row>
    <row r="288" spans="1:14" ht="15.75">
      <c r="A288" s="329">
        <v>287</v>
      </c>
      <c r="B288" s="330">
        <v>21</v>
      </c>
      <c r="C288" s="331" t="s">
        <v>721</v>
      </c>
      <c r="D288" s="331" t="str">
        <f t="shared" si="11"/>
        <v>#03480</v>
      </c>
      <c r="E288" s="294" t="s">
        <v>2237</v>
      </c>
      <c r="F288" s="331" t="s">
        <v>2236</v>
      </c>
      <c r="G288" s="331" t="s">
        <v>9255</v>
      </c>
      <c r="H288" s="331" t="str">
        <f t="shared" si="12"/>
        <v>VN03480</v>
      </c>
      <c r="I288" s="331"/>
      <c r="J288" s="333"/>
      <c r="K288" s="334"/>
      <c r="L288" s="335"/>
      <c r="M288" s="335"/>
      <c r="N288" s="336"/>
    </row>
    <row r="289" spans="1:14" ht="15.75">
      <c r="A289" s="329">
        <v>288</v>
      </c>
      <c r="B289" s="330">
        <v>22</v>
      </c>
      <c r="C289" s="331" t="s">
        <v>721</v>
      </c>
      <c r="D289" s="331" t="str">
        <f t="shared" si="11"/>
        <v>#04021</v>
      </c>
      <c r="E289" s="294" t="s">
        <v>2398</v>
      </c>
      <c r="F289" s="331" t="s">
        <v>2320</v>
      </c>
      <c r="G289" s="331" t="s">
        <v>9256</v>
      </c>
      <c r="H289" s="331" t="str">
        <f t="shared" si="12"/>
        <v>VN04021</v>
      </c>
      <c r="I289" s="331"/>
      <c r="J289" s="333"/>
      <c r="K289" s="334"/>
      <c r="L289" s="335"/>
      <c r="M289" s="335"/>
      <c r="N289" s="336"/>
    </row>
    <row r="290" spans="1:14" ht="15.75">
      <c r="A290" s="329">
        <v>289</v>
      </c>
      <c r="B290" s="330">
        <v>23</v>
      </c>
      <c r="C290" s="331" t="s">
        <v>721</v>
      </c>
      <c r="D290" s="331" t="str">
        <f t="shared" si="11"/>
        <v>#04104</v>
      </c>
      <c r="E290" s="294" t="s">
        <v>2408</v>
      </c>
      <c r="F290" s="331" t="s">
        <v>2407</v>
      </c>
      <c r="G290" s="331" t="s">
        <v>9257</v>
      </c>
      <c r="H290" s="331" t="str">
        <f t="shared" si="12"/>
        <v>VN04104</v>
      </c>
      <c r="I290" s="331"/>
      <c r="J290" s="333"/>
      <c r="K290" s="334"/>
      <c r="L290" s="335"/>
      <c r="M290" s="335"/>
      <c r="N290" s="336"/>
    </row>
    <row r="291" spans="1:14" ht="15.75">
      <c r="A291" s="329">
        <v>290</v>
      </c>
      <c r="B291" s="330">
        <v>24</v>
      </c>
      <c r="C291" s="331" t="s">
        <v>721</v>
      </c>
      <c r="D291" s="331" t="str">
        <f t="shared" si="11"/>
        <v>#04843</v>
      </c>
      <c r="E291" s="294" t="s">
        <v>2589</v>
      </c>
      <c r="F291" s="331" t="s">
        <v>2588</v>
      </c>
      <c r="G291" s="331" t="s">
        <v>9258</v>
      </c>
      <c r="H291" s="331" t="str">
        <f t="shared" si="12"/>
        <v>VN04843</v>
      </c>
      <c r="I291" s="331"/>
      <c r="J291" s="333"/>
      <c r="K291" s="334"/>
      <c r="L291" s="335"/>
      <c r="M291" s="335"/>
      <c r="N291" s="336"/>
    </row>
    <row r="292" spans="1:14" ht="15.75">
      <c r="A292" s="329">
        <v>291</v>
      </c>
      <c r="B292" s="330">
        <v>25</v>
      </c>
      <c r="C292" s="331" t="s">
        <v>721</v>
      </c>
      <c r="D292" s="331" t="str">
        <f t="shared" si="11"/>
        <v>#05576</v>
      </c>
      <c r="E292" s="294" t="s">
        <v>2732</v>
      </c>
      <c r="F292" s="331" t="s">
        <v>2731</v>
      </c>
      <c r="G292" s="331" t="s">
        <v>9259</v>
      </c>
      <c r="H292" s="331" t="str">
        <f t="shared" si="12"/>
        <v>VN05576</v>
      </c>
      <c r="I292" s="331"/>
      <c r="J292" s="333"/>
      <c r="K292" s="334"/>
      <c r="L292" s="335"/>
      <c r="M292" s="335"/>
      <c r="N292" s="336"/>
    </row>
    <row r="293" spans="1:14" ht="15.75">
      <c r="A293" s="329">
        <v>292</v>
      </c>
      <c r="B293" s="330">
        <v>26</v>
      </c>
      <c r="C293" s="331" t="s">
        <v>721</v>
      </c>
      <c r="D293" s="331" t="str">
        <f t="shared" si="11"/>
        <v>#06237</v>
      </c>
      <c r="E293" s="294" t="s">
        <v>2840</v>
      </c>
      <c r="F293" s="331" t="s">
        <v>2839</v>
      </c>
      <c r="G293" s="331" t="s">
        <v>9260</v>
      </c>
      <c r="H293" s="331" t="str">
        <f t="shared" si="12"/>
        <v>VN06237</v>
      </c>
      <c r="I293" s="331"/>
      <c r="J293" s="333"/>
      <c r="K293" s="334"/>
      <c r="L293" s="335"/>
      <c r="M293" s="335"/>
      <c r="N293" s="336"/>
    </row>
    <row r="294" spans="1:14" ht="15.75">
      <c r="A294" s="329">
        <v>293</v>
      </c>
      <c r="B294" s="330">
        <v>27</v>
      </c>
      <c r="C294" s="331" t="s">
        <v>721</v>
      </c>
      <c r="D294" s="331" t="str">
        <f t="shared" si="11"/>
        <v>#06717</v>
      </c>
      <c r="E294" s="294" t="s">
        <v>9261</v>
      </c>
      <c r="F294" s="331" t="s">
        <v>2240</v>
      </c>
      <c r="G294" s="331" t="s">
        <v>9262</v>
      </c>
      <c r="H294" s="331" t="str">
        <f t="shared" si="12"/>
        <v>VN06717</v>
      </c>
      <c r="I294" s="331"/>
      <c r="J294" s="333"/>
      <c r="K294" s="334"/>
      <c r="L294" s="337">
        <v>45518</v>
      </c>
      <c r="M294" s="337">
        <v>45887</v>
      </c>
      <c r="N294" s="336"/>
    </row>
    <row r="295" spans="1:14" ht="15.75">
      <c r="A295" s="329">
        <v>294</v>
      </c>
      <c r="B295" s="330">
        <v>28</v>
      </c>
      <c r="C295" s="331" t="s">
        <v>721</v>
      </c>
      <c r="D295" s="331" t="str">
        <f t="shared" si="11"/>
        <v>#07279</v>
      </c>
      <c r="E295" s="294" t="s">
        <v>3224</v>
      </c>
      <c r="F295" s="331" t="s">
        <v>3223</v>
      </c>
      <c r="G295" s="331" t="s">
        <v>9263</v>
      </c>
      <c r="H295" s="331" t="str">
        <f t="shared" si="12"/>
        <v>VN07279</v>
      </c>
      <c r="I295" s="331"/>
      <c r="J295" s="333"/>
      <c r="K295" s="334"/>
      <c r="L295" s="335"/>
      <c r="M295" s="335"/>
      <c r="N295" s="336"/>
    </row>
    <row r="296" spans="1:14" ht="15.75">
      <c r="A296" s="329">
        <v>295</v>
      </c>
      <c r="B296" s="330">
        <v>29</v>
      </c>
      <c r="C296" s="331" t="s">
        <v>721</v>
      </c>
      <c r="D296" s="331" t="str">
        <f t="shared" si="11"/>
        <v>#08555</v>
      </c>
      <c r="E296" s="294" t="s">
        <v>3593</v>
      </c>
      <c r="F296" s="331" t="s">
        <v>979</v>
      </c>
      <c r="G296" s="331" t="s">
        <v>9264</v>
      </c>
      <c r="H296" s="331" t="str">
        <f t="shared" si="12"/>
        <v>VN08555</v>
      </c>
      <c r="I296" s="331"/>
      <c r="J296" s="333"/>
      <c r="K296" s="334"/>
      <c r="L296" s="335"/>
      <c r="M296" s="335"/>
      <c r="N296" s="336"/>
    </row>
    <row r="297" spans="1:14" ht="15.75">
      <c r="A297" s="329">
        <v>296</v>
      </c>
      <c r="B297" s="330">
        <v>30</v>
      </c>
      <c r="C297" s="331" t="s">
        <v>721</v>
      </c>
      <c r="D297" s="331" t="str">
        <f t="shared" si="11"/>
        <v>#08753</v>
      </c>
      <c r="E297" s="294" t="s">
        <v>9265</v>
      </c>
      <c r="F297" s="331" t="s">
        <v>9266</v>
      </c>
      <c r="G297" s="331" t="s">
        <v>9267</v>
      </c>
      <c r="H297" s="331" t="str">
        <f t="shared" si="12"/>
        <v>VN08753</v>
      </c>
      <c r="I297" s="331"/>
      <c r="J297" s="333"/>
      <c r="K297" s="334"/>
      <c r="L297" s="337">
        <v>45527</v>
      </c>
      <c r="M297" s="337">
        <v>45887</v>
      </c>
      <c r="N297" s="336"/>
    </row>
    <row r="298" spans="1:14" ht="15.75">
      <c r="A298" s="329">
        <v>297</v>
      </c>
      <c r="B298" s="330">
        <v>31</v>
      </c>
      <c r="C298" s="331" t="s">
        <v>721</v>
      </c>
      <c r="D298" s="331" t="str">
        <f t="shared" si="11"/>
        <v>#09482</v>
      </c>
      <c r="E298" s="294" t="s">
        <v>3839</v>
      </c>
      <c r="F298" s="331" t="s">
        <v>3838</v>
      </c>
      <c r="G298" s="331" t="s">
        <v>9268</v>
      </c>
      <c r="H298" s="331" t="str">
        <f t="shared" si="12"/>
        <v>VN09482</v>
      </c>
      <c r="I298" s="331"/>
      <c r="J298" s="333"/>
      <c r="K298" s="334"/>
      <c r="L298" s="335"/>
      <c r="M298" s="335"/>
      <c r="N298" s="336"/>
    </row>
    <row r="299" spans="1:14" ht="15.75">
      <c r="A299" s="329">
        <v>298</v>
      </c>
      <c r="B299" s="330">
        <v>32</v>
      </c>
      <c r="C299" s="331" t="s">
        <v>721</v>
      </c>
      <c r="D299" s="331" t="str">
        <f t="shared" si="11"/>
        <v>#09755</v>
      </c>
      <c r="E299" s="294" t="s">
        <v>3950</v>
      </c>
      <c r="F299" s="331" t="s">
        <v>3949</v>
      </c>
      <c r="G299" s="331" t="s">
        <v>9269</v>
      </c>
      <c r="H299" s="331" t="str">
        <f t="shared" si="12"/>
        <v>VN09755</v>
      </c>
      <c r="I299" s="331"/>
      <c r="J299" s="333"/>
      <c r="K299" s="334"/>
      <c r="L299" s="335"/>
      <c r="M299" s="335"/>
      <c r="N299" s="336"/>
    </row>
    <row r="300" spans="1:14" ht="15.75">
      <c r="A300" s="329">
        <v>299</v>
      </c>
      <c r="B300" s="330">
        <v>33</v>
      </c>
      <c r="C300" s="331" t="s">
        <v>721</v>
      </c>
      <c r="D300" s="331" t="str">
        <f t="shared" si="11"/>
        <v>#09759</v>
      </c>
      <c r="E300" s="294" t="s">
        <v>3952</v>
      </c>
      <c r="F300" s="331" t="s">
        <v>3951</v>
      </c>
      <c r="G300" s="331" t="s">
        <v>9270</v>
      </c>
      <c r="H300" s="331" t="str">
        <f t="shared" si="12"/>
        <v>VN09759</v>
      </c>
      <c r="I300" s="331"/>
      <c r="J300" s="333"/>
      <c r="K300" s="334"/>
      <c r="L300" s="335"/>
      <c r="M300" s="335"/>
      <c r="N300" s="336"/>
    </row>
    <row r="301" spans="1:14" ht="15.75">
      <c r="A301" s="329">
        <v>300</v>
      </c>
      <c r="B301" s="330">
        <v>34</v>
      </c>
      <c r="C301" s="331" t="s">
        <v>721</v>
      </c>
      <c r="D301" s="331" t="str">
        <f t="shared" si="11"/>
        <v>#06831</v>
      </c>
      <c r="E301" s="294" t="s">
        <v>3034</v>
      </c>
      <c r="F301" s="331" t="s">
        <v>3033</v>
      </c>
      <c r="G301" s="331" t="s">
        <v>9271</v>
      </c>
      <c r="H301" s="331" t="str">
        <f t="shared" si="12"/>
        <v>VN06831</v>
      </c>
      <c r="I301" s="331"/>
      <c r="J301" s="333"/>
      <c r="K301" s="334"/>
      <c r="L301" s="335"/>
      <c r="M301" s="335"/>
      <c r="N301" s="336"/>
    </row>
    <row r="302" spans="1:14" ht="15.75">
      <c r="A302" s="329">
        <v>301</v>
      </c>
      <c r="B302" s="330">
        <v>35</v>
      </c>
      <c r="C302" s="331" t="s">
        <v>721</v>
      </c>
      <c r="D302" s="331" t="str">
        <f t="shared" ref="D302:D333" si="13">CONCATENATE("#",E302)</f>
        <v>#10186</v>
      </c>
      <c r="E302" s="294" t="s">
        <v>4061</v>
      </c>
      <c r="F302" s="331" t="s">
        <v>4060</v>
      </c>
      <c r="G302" s="331" t="s">
        <v>9272</v>
      </c>
      <c r="H302" s="331" t="str">
        <f t="shared" si="12"/>
        <v>VN10186</v>
      </c>
      <c r="I302" s="331"/>
      <c r="J302" s="333"/>
      <c r="K302" s="334"/>
      <c r="L302" s="335"/>
      <c r="M302" s="335"/>
      <c r="N302" s="336"/>
    </row>
    <row r="303" spans="1:14" ht="15.75">
      <c r="A303" s="329">
        <v>302</v>
      </c>
      <c r="B303" s="330">
        <v>36</v>
      </c>
      <c r="C303" s="331" t="s">
        <v>721</v>
      </c>
      <c r="D303" s="331" t="str">
        <f t="shared" si="13"/>
        <v>#10693</v>
      </c>
      <c r="E303" s="294" t="s">
        <v>4228</v>
      </c>
      <c r="F303" s="331" t="s">
        <v>4227</v>
      </c>
      <c r="G303" s="331" t="s">
        <v>9273</v>
      </c>
      <c r="H303" s="331" t="str">
        <f t="shared" si="12"/>
        <v>VN10693</v>
      </c>
      <c r="I303" s="331"/>
      <c r="J303" s="333"/>
      <c r="K303" s="334"/>
      <c r="L303" s="335"/>
      <c r="M303" s="335"/>
      <c r="N303" s="336"/>
    </row>
    <row r="304" spans="1:14" ht="15.75">
      <c r="A304" s="329">
        <v>303</v>
      </c>
      <c r="B304" s="330">
        <v>37</v>
      </c>
      <c r="C304" s="331" t="s">
        <v>721</v>
      </c>
      <c r="D304" s="331" t="str">
        <f t="shared" si="13"/>
        <v>#11402</v>
      </c>
      <c r="E304" s="294" t="s">
        <v>4432</v>
      </c>
      <c r="F304" s="331" t="s">
        <v>4431</v>
      </c>
      <c r="G304" s="331" t="s">
        <v>9274</v>
      </c>
      <c r="H304" s="331" t="str">
        <f t="shared" si="12"/>
        <v>VN11402</v>
      </c>
      <c r="I304" s="331"/>
      <c r="J304" s="333"/>
      <c r="K304" s="334"/>
      <c r="L304" s="335"/>
      <c r="M304" s="335"/>
      <c r="N304" s="336"/>
    </row>
    <row r="305" spans="1:14" ht="15.75">
      <c r="A305" s="329">
        <v>304</v>
      </c>
      <c r="B305" s="330">
        <v>38</v>
      </c>
      <c r="C305" s="331" t="s">
        <v>721</v>
      </c>
      <c r="D305" s="331" t="str">
        <f t="shared" si="13"/>
        <v>#11584</v>
      </c>
      <c r="E305" s="294" t="s">
        <v>9275</v>
      </c>
      <c r="F305" s="331" t="s">
        <v>1362</v>
      </c>
      <c r="G305" s="331" t="s">
        <v>9276</v>
      </c>
      <c r="H305" s="331" t="str">
        <f t="shared" si="12"/>
        <v>VN11584</v>
      </c>
      <c r="I305" s="331"/>
      <c r="J305" s="333"/>
      <c r="K305" s="334"/>
      <c r="L305" s="337">
        <v>45529</v>
      </c>
      <c r="M305" s="337">
        <v>45887</v>
      </c>
      <c r="N305" s="336"/>
    </row>
    <row r="306" spans="1:14" ht="15.75">
      <c r="A306" s="329">
        <v>305</v>
      </c>
      <c r="B306" s="330">
        <v>39</v>
      </c>
      <c r="C306" s="331" t="s">
        <v>721</v>
      </c>
      <c r="D306" s="331" t="str">
        <f t="shared" si="13"/>
        <v>#11714</v>
      </c>
      <c r="E306" s="294" t="s">
        <v>4522</v>
      </c>
      <c r="F306" s="331" t="s">
        <v>4521</v>
      </c>
      <c r="G306" s="331" t="s">
        <v>9277</v>
      </c>
      <c r="H306" s="331" t="str">
        <f t="shared" si="12"/>
        <v>VN11714</v>
      </c>
      <c r="I306" s="331"/>
      <c r="J306" s="333"/>
      <c r="K306" s="334"/>
      <c r="L306" s="335"/>
      <c r="M306" s="335"/>
      <c r="N306" s="336"/>
    </row>
    <row r="307" spans="1:14" ht="15.75">
      <c r="A307" s="329">
        <v>306</v>
      </c>
      <c r="B307" s="330">
        <v>40</v>
      </c>
      <c r="C307" s="331" t="s">
        <v>721</v>
      </c>
      <c r="D307" s="331" t="str">
        <f t="shared" si="13"/>
        <v>#11798</v>
      </c>
      <c r="E307" s="294" t="s">
        <v>4535</v>
      </c>
      <c r="F307" s="331" t="s">
        <v>4534</v>
      </c>
      <c r="G307" s="331" t="s">
        <v>9278</v>
      </c>
      <c r="H307" s="331" t="str">
        <f t="shared" si="12"/>
        <v>VN11798</v>
      </c>
      <c r="I307" s="331"/>
      <c r="J307" s="333"/>
      <c r="K307" s="334"/>
      <c r="L307" s="335"/>
      <c r="M307" s="335"/>
      <c r="N307" s="336"/>
    </row>
    <row r="308" spans="1:14" ht="15.75">
      <c r="A308" s="329">
        <v>307</v>
      </c>
      <c r="B308" s="330">
        <v>41</v>
      </c>
      <c r="C308" s="331" t="s">
        <v>721</v>
      </c>
      <c r="D308" s="331" t="str">
        <f t="shared" si="13"/>
        <v>#12095</v>
      </c>
      <c r="E308" s="294" t="s">
        <v>4607</v>
      </c>
      <c r="F308" s="331" t="s">
        <v>4606</v>
      </c>
      <c r="G308" s="331" t="s">
        <v>9279</v>
      </c>
      <c r="H308" s="331" t="str">
        <f t="shared" si="12"/>
        <v>VN12095</v>
      </c>
      <c r="I308" s="331"/>
      <c r="J308" s="333"/>
      <c r="K308" s="334"/>
      <c r="L308" s="335"/>
      <c r="M308" s="335"/>
      <c r="N308" s="336"/>
    </row>
    <row r="309" spans="1:14" ht="15.75">
      <c r="A309" s="329">
        <v>308</v>
      </c>
      <c r="B309" s="330">
        <v>42</v>
      </c>
      <c r="C309" s="331" t="s">
        <v>721</v>
      </c>
      <c r="D309" s="331" t="str">
        <f t="shared" si="13"/>
        <v>#13073</v>
      </c>
      <c r="E309" s="294" t="s">
        <v>4783</v>
      </c>
      <c r="F309" s="331" t="s">
        <v>4782</v>
      </c>
      <c r="G309" s="331" t="s">
        <v>9280</v>
      </c>
      <c r="H309" s="331" t="str">
        <f t="shared" si="12"/>
        <v>VN13073</v>
      </c>
      <c r="I309" s="331"/>
      <c r="J309" s="333"/>
      <c r="K309" s="334"/>
      <c r="L309" s="335"/>
      <c r="M309" s="335"/>
      <c r="N309" s="336"/>
    </row>
    <row r="310" spans="1:14" ht="15.75">
      <c r="A310" s="329">
        <v>309</v>
      </c>
      <c r="B310" s="330">
        <v>43</v>
      </c>
      <c r="C310" s="331" t="s">
        <v>721</v>
      </c>
      <c r="D310" s="331" t="str">
        <f t="shared" si="13"/>
        <v>#15505</v>
      </c>
      <c r="E310" s="294" t="s">
        <v>9281</v>
      </c>
      <c r="F310" s="331" t="s">
        <v>9282</v>
      </c>
      <c r="G310" s="338" t="s">
        <v>9283</v>
      </c>
      <c r="H310" s="338" t="str">
        <f t="shared" si="12"/>
        <v>VN15505</v>
      </c>
      <c r="I310" s="338"/>
      <c r="J310" s="339"/>
      <c r="K310" s="334"/>
      <c r="L310" s="337">
        <v>45398</v>
      </c>
      <c r="M310" s="337">
        <v>45887</v>
      </c>
      <c r="N310" s="336"/>
    </row>
    <row r="311" spans="1:14" ht="15.75">
      <c r="A311" s="329">
        <v>310</v>
      </c>
      <c r="B311" s="330">
        <v>44</v>
      </c>
      <c r="C311" s="331" t="s">
        <v>721</v>
      </c>
      <c r="D311" s="331" t="str">
        <f t="shared" si="13"/>
        <v>#13847</v>
      </c>
      <c r="E311" s="294" t="s">
        <v>4967</v>
      </c>
      <c r="F311" s="331" t="s">
        <v>2666</v>
      </c>
      <c r="G311" s="331" t="s">
        <v>9284</v>
      </c>
      <c r="H311" s="331" t="str">
        <f t="shared" si="12"/>
        <v>VN13847</v>
      </c>
      <c r="I311" s="331"/>
      <c r="J311" s="333" t="s">
        <v>9285</v>
      </c>
      <c r="K311" s="334"/>
      <c r="L311" s="335"/>
      <c r="M311" s="335"/>
      <c r="N311" s="336"/>
    </row>
    <row r="312" spans="1:14" ht="15.75">
      <c r="A312" s="329">
        <v>311</v>
      </c>
      <c r="B312" s="330">
        <v>45</v>
      </c>
      <c r="C312" s="331" t="s">
        <v>721</v>
      </c>
      <c r="D312" s="331"/>
      <c r="E312" s="294"/>
      <c r="F312" s="331" t="s">
        <v>9286</v>
      </c>
      <c r="G312" s="338" t="s">
        <v>9287</v>
      </c>
      <c r="H312" s="338" t="str">
        <f t="shared" si="12"/>
        <v>VN</v>
      </c>
      <c r="I312" s="338"/>
      <c r="J312" s="339"/>
      <c r="K312" s="334"/>
      <c r="L312" s="335"/>
      <c r="M312" s="335"/>
      <c r="N312" s="336"/>
    </row>
    <row r="313" spans="1:14" ht="15.75">
      <c r="A313" s="329">
        <v>312</v>
      </c>
      <c r="B313" s="330">
        <v>46</v>
      </c>
      <c r="C313" s="331" t="s">
        <v>721</v>
      </c>
      <c r="D313" s="331" t="str">
        <f t="shared" ref="D313:D376" si="14">CONCATENATE("#",E313)</f>
        <v>#13743</v>
      </c>
      <c r="E313" s="294" t="s">
        <v>4935</v>
      </c>
      <c r="F313" s="331" t="s">
        <v>4638</v>
      </c>
      <c r="G313" s="331" t="s">
        <v>9288</v>
      </c>
      <c r="H313" s="331" t="str">
        <f t="shared" si="12"/>
        <v>VN13743</v>
      </c>
      <c r="I313" s="331"/>
      <c r="J313" s="333"/>
      <c r="K313" s="334"/>
      <c r="L313" s="335"/>
      <c r="M313" s="335"/>
      <c r="N313" s="336"/>
    </row>
    <row r="314" spans="1:14" ht="15.75">
      <c r="A314" s="329">
        <v>313</v>
      </c>
      <c r="B314" s="330">
        <v>47</v>
      </c>
      <c r="C314" s="331" t="s">
        <v>721</v>
      </c>
      <c r="D314" s="331" t="str">
        <f t="shared" si="14"/>
        <v>#13072</v>
      </c>
      <c r="E314" s="294" t="s">
        <v>4781</v>
      </c>
      <c r="F314" s="331" t="s">
        <v>4780</v>
      </c>
      <c r="G314" s="331" t="s">
        <v>9289</v>
      </c>
      <c r="H314" s="331" t="str">
        <f t="shared" si="12"/>
        <v>VN13072</v>
      </c>
      <c r="I314" s="331" t="s">
        <v>8825</v>
      </c>
      <c r="J314" s="333"/>
      <c r="K314" s="334"/>
      <c r="L314" s="335"/>
      <c r="M314" s="335"/>
      <c r="N314" s="336"/>
    </row>
    <row r="315" spans="1:14" ht="15.75">
      <c r="A315" s="329">
        <v>314</v>
      </c>
      <c r="B315" s="330">
        <v>48</v>
      </c>
      <c r="C315" s="331" t="s">
        <v>721</v>
      </c>
      <c r="D315" s="331" t="str">
        <f t="shared" si="14"/>
        <v>#15940</v>
      </c>
      <c r="E315" s="294" t="s">
        <v>5408</v>
      </c>
      <c r="F315" s="331" t="s">
        <v>5407</v>
      </c>
      <c r="G315" s="331" t="s">
        <v>9290</v>
      </c>
      <c r="H315" s="331" t="str">
        <f t="shared" si="12"/>
        <v>VN15940</v>
      </c>
      <c r="I315" s="331" t="s">
        <v>8825</v>
      </c>
      <c r="J315" s="333"/>
      <c r="K315" s="334"/>
      <c r="L315" s="335"/>
      <c r="M315" s="335"/>
      <c r="N315" s="336"/>
    </row>
    <row r="316" spans="1:14" ht="15.75">
      <c r="A316" s="329">
        <v>315</v>
      </c>
      <c r="B316" s="330">
        <v>49</v>
      </c>
      <c r="C316" s="331" t="s">
        <v>721</v>
      </c>
      <c r="D316" s="331" t="str">
        <f t="shared" si="14"/>
        <v>#19164</v>
      </c>
      <c r="E316" s="294" t="s">
        <v>6215</v>
      </c>
      <c r="F316" s="331" t="s">
        <v>1175</v>
      </c>
      <c r="G316" s="331" t="s">
        <v>9291</v>
      </c>
      <c r="H316" s="331" t="str">
        <f t="shared" si="12"/>
        <v>VN19164</v>
      </c>
      <c r="I316" s="331" t="s">
        <v>8825</v>
      </c>
      <c r="J316" s="333"/>
      <c r="K316" s="334"/>
      <c r="L316" s="335"/>
      <c r="M316" s="335"/>
      <c r="N316" s="336"/>
    </row>
    <row r="317" spans="1:14" ht="15.75">
      <c r="A317" s="329">
        <v>316</v>
      </c>
      <c r="B317" s="330">
        <v>50</v>
      </c>
      <c r="C317" s="331" t="s">
        <v>721</v>
      </c>
      <c r="D317" s="331" t="str">
        <f t="shared" si="14"/>
        <v>#13586</v>
      </c>
      <c r="E317" s="294" t="s">
        <v>4884</v>
      </c>
      <c r="F317" s="331" t="s">
        <v>4883</v>
      </c>
      <c r="G317" s="331" t="s">
        <v>9292</v>
      </c>
      <c r="H317" s="331" t="str">
        <f t="shared" si="12"/>
        <v>VN13586</v>
      </c>
      <c r="I317" s="331"/>
      <c r="J317" s="333"/>
      <c r="K317" s="334"/>
      <c r="L317" s="335"/>
      <c r="M317" s="335"/>
      <c r="N317" s="336"/>
    </row>
    <row r="318" spans="1:14" ht="15.75">
      <c r="A318" s="329">
        <v>317</v>
      </c>
      <c r="B318" s="330">
        <v>51</v>
      </c>
      <c r="C318" s="331" t="s">
        <v>721</v>
      </c>
      <c r="D318" s="331" t="str">
        <f t="shared" si="14"/>
        <v>#20906</v>
      </c>
      <c r="E318" s="294" t="s">
        <v>6675</v>
      </c>
      <c r="F318" s="331" t="s">
        <v>6674</v>
      </c>
      <c r="G318" s="331" t="s">
        <v>9293</v>
      </c>
      <c r="H318" s="331" t="str">
        <f t="shared" si="12"/>
        <v>VN20906</v>
      </c>
      <c r="I318" s="331" t="s">
        <v>8825</v>
      </c>
      <c r="J318" s="333"/>
      <c r="K318" s="334"/>
      <c r="L318" s="335"/>
      <c r="M318" s="335"/>
      <c r="N318" s="336"/>
    </row>
    <row r="319" spans="1:14" ht="15.75">
      <c r="A319" s="329">
        <v>318</v>
      </c>
      <c r="B319" s="330">
        <v>52</v>
      </c>
      <c r="C319" s="331" t="s">
        <v>721</v>
      </c>
      <c r="D319" s="331" t="str">
        <f t="shared" si="14"/>
        <v>#19777</v>
      </c>
      <c r="E319" s="294" t="s">
        <v>6361</v>
      </c>
      <c r="F319" s="331" t="s">
        <v>6360</v>
      </c>
      <c r="G319" s="331" t="s">
        <v>9294</v>
      </c>
      <c r="H319" s="331" t="str">
        <f t="shared" si="12"/>
        <v>VN19777</v>
      </c>
      <c r="I319" s="331" t="s">
        <v>8825</v>
      </c>
      <c r="J319" s="333"/>
      <c r="K319" s="334"/>
      <c r="L319" s="335"/>
      <c r="M319" s="335"/>
      <c r="N319" s="336"/>
    </row>
    <row r="320" spans="1:14" ht="15.75">
      <c r="A320" s="329">
        <v>319</v>
      </c>
      <c r="B320" s="330">
        <v>53</v>
      </c>
      <c r="C320" s="331" t="s">
        <v>721</v>
      </c>
      <c r="D320" s="331" t="str">
        <f t="shared" si="14"/>
        <v>#20193</v>
      </c>
      <c r="E320" s="294" t="s">
        <v>9295</v>
      </c>
      <c r="F320" s="331" t="s">
        <v>9296</v>
      </c>
      <c r="G320" s="331" t="s">
        <v>9297</v>
      </c>
      <c r="H320" s="331" t="str">
        <f t="shared" si="12"/>
        <v>VN20193</v>
      </c>
      <c r="I320" s="331" t="s">
        <v>8825</v>
      </c>
      <c r="J320" s="333"/>
      <c r="K320" s="334"/>
      <c r="L320" s="337">
        <v>45333</v>
      </c>
      <c r="M320" s="337">
        <v>45887</v>
      </c>
      <c r="N320" s="336"/>
    </row>
    <row r="321" spans="1:14" ht="15.75">
      <c r="A321" s="329">
        <v>320</v>
      </c>
      <c r="B321" s="330">
        <v>54</v>
      </c>
      <c r="C321" s="331" t="s">
        <v>721</v>
      </c>
      <c r="D321" s="331" t="str">
        <f t="shared" si="14"/>
        <v>#22655</v>
      </c>
      <c r="E321" s="294" t="s">
        <v>9298</v>
      </c>
      <c r="F321" s="331" t="s">
        <v>1466</v>
      </c>
      <c r="G321" s="331" t="s">
        <v>9299</v>
      </c>
      <c r="H321" s="331" t="str">
        <f t="shared" si="12"/>
        <v>VN22655</v>
      </c>
      <c r="I321" s="331" t="s">
        <v>8825</v>
      </c>
      <c r="J321" s="333"/>
      <c r="K321" s="334"/>
      <c r="L321" s="337">
        <v>45307</v>
      </c>
      <c r="M321" s="337">
        <v>45887</v>
      </c>
      <c r="N321" s="336"/>
    </row>
    <row r="322" spans="1:14" ht="15.75">
      <c r="A322" s="329">
        <v>321</v>
      </c>
      <c r="B322" s="330">
        <v>55</v>
      </c>
      <c r="C322" s="331" t="s">
        <v>721</v>
      </c>
      <c r="D322" s="331" t="str">
        <f t="shared" si="14"/>
        <v>#19425</v>
      </c>
      <c r="E322" s="294" t="s">
        <v>6281</v>
      </c>
      <c r="F322" s="331" t="s">
        <v>5890</v>
      </c>
      <c r="G322" s="331" t="s">
        <v>9300</v>
      </c>
      <c r="H322" s="331" t="str">
        <f t="shared" si="12"/>
        <v>VN19425</v>
      </c>
      <c r="I322" s="331"/>
      <c r="J322" s="333"/>
      <c r="K322" s="334"/>
      <c r="L322" s="334"/>
      <c r="M322" s="335"/>
      <c r="N322" s="336"/>
    </row>
    <row r="323" spans="1:14" ht="15.75">
      <c r="A323" s="329">
        <v>322</v>
      </c>
      <c r="B323" s="330">
        <v>56</v>
      </c>
      <c r="C323" s="331" t="s">
        <v>721</v>
      </c>
      <c r="D323" s="331" t="str">
        <f t="shared" si="14"/>
        <v>#24110</v>
      </c>
      <c r="E323" s="294" t="s">
        <v>7447</v>
      </c>
      <c r="F323" s="331" t="s">
        <v>7446</v>
      </c>
      <c r="G323" s="331" t="s">
        <v>9301</v>
      </c>
      <c r="H323" s="331" t="str">
        <f t="shared" si="12"/>
        <v>VN24110</v>
      </c>
      <c r="I323" s="331"/>
      <c r="J323" s="333" t="s">
        <v>9302</v>
      </c>
      <c r="K323" s="334"/>
      <c r="L323" s="334"/>
      <c r="M323" s="335"/>
      <c r="N323" s="336"/>
    </row>
    <row r="324" spans="1:14" ht="15.75">
      <c r="A324" s="329">
        <v>323</v>
      </c>
      <c r="B324" s="330">
        <v>57</v>
      </c>
      <c r="C324" s="331" t="s">
        <v>721</v>
      </c>
      <c r="D324" s="331" t="str">
        <f t="shared" si="14"/>
        <v>#11403</v>
      </c>
      <c r="E324" s="294" t="s">
        <v>9303</v>
      </c>
      <c r="F324" s="331" t="s">
        <v>4425</v>
      </c>
      <c r="G324" s="331" t="s">
        <v>9304</v>
      </c>
      <c r="H324" s="331" t="str">
        <f t="shared" si="12"/>
        <v>VN11403</v>
      </c>
      <c r="I324" s="331" t="s">
        <v>8825</v>
      </c>
      <c r="J324" s="333" t="s">
        <v>9305</v>
      </c>
      <c r="K324" s="334"/>
      <c r="L324" s="337">
        <v>45644</v>
      </c>
      <c r="M324" s="337">
        <v>45887</v>
      </c>
      <c r="N324" s="336"/>
    </row>
    <row r="325" spans="1:14" ht="15.75">
      <c r="A325" s="329">
        <v>324</v>
      </c>
      <c r="B325" s="330">
        <v>58</v>
      </c>
      <c r="C325" s="331" t="s">
        <v>721</v>
      </c>
      <c r="D325" s="331" t="str">
        <f t="shared" si="14"/>
        <v>#24125</v>
      </c>
      <c r="E325" s="294" t="s">
        <v>7455</v>
      </c>
      <c r="F325" s="331" t="s">
        <v>3064</v>
      </c>
      <c r="G325" s="331" t="s">
        <v>9306</v>
      </c>
      <c r="H325" s="331" t="str">
        <f t="shared" si="12"/>
        <v>VN24125</v>
      </c>
      <c r="I325" s="331"/>
      <c r="J325" s="333">
        <v>123456</v>
      </c>
      <c r="K325" s="334"/>
      <c r="L325" s="334"/>
      <c r="M325" s="335"/>
      <c r="N325" s="336"/>
    </row>
    <row r="326" spans="1:14" ht="15.75">
      <c r="A326" s="329">
        <v>325</v>
      </c>
      <c r="B326" s="330">
        <v>59</v>
      </c>
      <c r="C326" s="331" t="s">
        <v>721</v>
      </c>
      <c r="D326" s="331" t="str">
        <f t="shared" si="14"/>
        <v>#00952</v>
      </c>
      <c r="E326" s="294" t="s">
        <v>1341</v>
      </c>
      <c r="F326" s="331" t="s">
        <v>1340</v>
      </c>
      <c r="G326" s="331" t="s">
        <v>9307</v>
      </c>
      <c r="H326" s="331" t="str">
        <f t="shared" si="12"/>
        <v>VN00952</v>
      </c>
      <c r="I326" s="331" t="s">
        <v>8825</v>
      </c>
      <c r="J326" s="333" t="s">
        <v>9308</v>
      </c>
      <c r="K326" s="334">
        <v>45313</v>
      </c>
      <c r="L326" s="334"/>
      <c r="M326" s="335"/>
      <c r="N326" s="336"/>
    </row>
    <row r="327" spans="1:14" ht="15.75">
      <c r="A327" s="329">
        <v>326</v>
      </c>
      <c r="B327" s="330">
        <v>60</v>
      </c>
      <c r="C327" s="331" t="s">
        <v>721</v>
      </c>
      <c r="D327" s="331" t="str">
        <f t="shared" si="14"/>
        <v>#24525</v>
      </c>
      <c r="E327" s="294" t="s">
        <v>9309</v>
      </c>
      <c r="F327" s="331" t="s">
        <v>9310</v>
      </c>
      <c r="G327" s="331" t="s">
        <v>9311</v>
      </c>
      <c r="H327" s="331" t="str">
        <f t="shared" si="12"/>
        <v>VN24525</v>
      </c>
      <c r="I327" s="331"/>
      <c r="J327" s="333" t="s">
        <v>9312</v>
      </c>
      <c r="K327" s="334">
        <v>45456</v>
      </c>
      <c r="L327" s="337">
        <v>45779</v>
      </c>
      <c r="M327" s="337">
        <v>45887</v>
      </c>
      <c r="N327" s="336"/>
    </row>
    <row r="328" spans="1:14" ht="15.75">
      <c r="A328" s="329">
        <v>327</v>
      </c>
      <c r="B328" s="330">
        <v>61</v>
      </c>
      <c r="C328" s="331" t="s">
        <v>721</v>
      </c>
      <c r="D328" s="331" t="str">
        <f t="shared" si="14"/>
        <v>#24081</v>
      </c>
      <c r="E328" s="294" t="s">
        <v>7433</v>
      </c>
      <c r="F328" s="331" t="s">
        <v>7432</v>
      </c>
      <c r="G328" s="331" t="s">
        <v>9313</v>
      </c>
      <c r="H328" s="331" t="str">
        <f t="shared" si="12"/>
        <v>VN24081</v>
      </c>
      <c r="I328" s="331"/>
      <c r="J328" s="333" t="s">
        <v>9314</v>
      </c>
      <c r="K328" s="334">
        <v>45456</v>
      </c>
      <c r="L328" s="334"/>
      <c r="M328" s="335"/>
      <c r="N328" s="336"/>
    </row>
    <row r="329" spans="1:14" ht="15.75">
      <c r="A329" s="329">
        <v>328</v>
      </c>
      <c r="B329" s="330">
        <v>62</v>
      </c>
      <c r="C329" s="331" t="s">
        <v>721</v>
      </c>
      <c r="D329" s="331" t="str">
        <f t="shared" si="14"/>
        <v>#19779</v>
      </c>
      <c r="E329" s="294" t="s">
        <v>6364</v>
      </c>
      <c r="F329" s="331" t="s">
        <v>1544</v>
      </c>
      <c r="G329" s="331" t="s">
        <v>9315</v>
      </c>
      <c r="H329" s="331" t="str">
        <f t="shared" si="12"/>
        <v>VN19779</v>
      </c>
      <c r="I329" s="331"/>
      <c r="J329" s="333" t="s">
        <v>9316</v>
      </c>
      <c r="K329" s="334">
        <v>45477</v>
      </c>
      <c r="L329" s="335"/>
      <c r="M329" s="335"/>
      <c r="N329" s="336"/>
    </row>
    <row r="330" spans="1:14" ht="15.75">
      <c r="A330" s="329">
        <v>329</v>
      </c>
      <c r="B330" s="330">
        <v>63</v>
      </c>
      <c r="C330" s="331" t="s">
        <v>721</v>
      </c>
      <c r="D330" s="331" t="str">
        <f t="shared" si="14"/>
        <v>#24754</v>
      </c>
      <c r="E330" s="294" t="s">
        <v>7732</v>
      </c>
      <c r="F330" s="331" t="s">
        <v>4634</v>
      </c>
      <c r="G330" s="331" t="s">
        <v>9317</v>
      </c>
      <c r="H330" s="331" t="str">
        <f t="shared" si="12"/>
        <v>VN24754</v>
      </c>
      <c r="I330" s="331"/>
      <c r="J330" s="333" t="s">
        <v>9318</v>
      </c>
      <c r="K330" s="334">
        <v>45456</v>
      </c>
      <c r="L330" s="334"/>
      <c r="M330" s="335"/>
      <c r="N330" s="336"/>
    </row>
    <row r="331" spans="1:14" ht="15.75">
      <c r="A331" s="329">
        <v>330</v>
      </c>
      <c r="B331" s="330">
        <v>64</v>
      </c>
      <c r="C331" s="331" t="s">
        <v>721</v>
      </c>
      <c r="D331" s="331" t="str">
        <f t="shared" si="14"/>
        <v>#24996</v>
      </c>
      <c r="E331" s="294" t="s">
        <v>7842</v>
      </c>
      <c r="F331" s="331" t="s">
        <v>7843</v>
      </c>
      <c r="G331" s="331" t="s">
        <v>9319</v>
      </c>
      <c r="H331" s="331" t="str">
        <f t="shared" si="12"/>
        <v>VN24996</v>
      </c>
      <c r="I331" s="331"/>
      <c r="J331" s="333" t="s">
        <v>9320</v>
      </c>
      <c r="K331" s="334">
        <v>45598</v>
      </c>
      <c r="L331" s="335"/>
      <c r="M331" s="335"/>
      <c r="N331" s="336"/>
    </row>
    <row r="332" spans="1:14" ht="15.75">
      <c r="A332" s="329">
        <v>331</v>
      </c>
      <c r="B332" s="330">
        <v>65</v>
      </c>
      <c r="C332" s="331" t="s">
        <v>721</v>
      </c>
      <c r="D332" s="331" t="str">
        <f t="shared" si="14"/>
        <v>#24084</v>
      </c>
      <c r="E332" s="294" t="s">
        <v>7437</v>
      </c>
      <c r="F332" s="331" t="s">
        <v>7436</v>
      </c>
      <c r="G332" s="331" t="s">
        <v>9321</v>
      </c>
      <c r="H332" s="331" t="str">
        <f t="shared" si="12"/>
        <v>VN24084</v>
      </c>
      <c r="I332" s="331"/>
      <c r="J332" s="333">
        <v>123456</v>
      </c>
      <c r="K332" s="334"/>
      <c r="L332" s="335"/>
      <c r="M332" s="335"/>
      <c r="N332" s="336"/>
    </row>
    <row r="333" spans="1:14" ht="15.75">
      <c r="A333" s="329">
        <v>332</v>
      </c>
      <c r="B333" s="330">
        <v>66</v>
      </c>
      <c r="C333" s="331" t="s">
        <v>721</v>
      </c>
      <c r="D333" s="331" t="str">
        <f t="shared" si="14"/>
        <v>#11457</v>
      </c>
      <c r="E333" s="294" t="s">
        <v>4455</v>
      </c>
      <c r="F333" s="331" t="s">
        <v>4454</v>
      </c>
      <c r="G333" s="331" t="s">
        <v>9322</v>
      </c>
      <c r="H333" s="331" t="str">
        <f t="shared" si="12"/>
        <v>VN11457</v>
      </c>
      <c r="I333" s="331" t="s">
        <v>8825</v>
      </c>
      <c r="J333" s="333" t="s">
        <v>9323</v>
      </c>
      <c r="K333" s="334">
        <v>45756</v>
      </c>
      <c r="L333" s="335"/>
      <c r="M333" s="335"/>
      <c r="N333" s="336"/>
    </row>
    <row r="334" spans="1:14" ht="15.75">
      <c r="A334" s="329">
        <v>333</v>
      </c>
      <c r="B334" s="330">
        <v>67</v>
      </c>
      <c r="C334" s="331" t="s">
        <v>721</v>
      </c>
      <c r="D334" s="331" t="str">
        <f t="shared" si="14"/>
        <v>#26003</v>
      </c>
      <c r="E334" s="294" t="s">
        <v>8376</v>
      </c>
      <c r="F334" s="331" t="s">
        <v>2680</v>
      </c>
      <c r="G334" s="331" t="s">
        <v>9324</v>
      </c>
      <c r="H334" s="331" t="str">
        <f t="shared" ref="H334:H397" si="15">CONCATENATE("VN",E334)</f>
        <v>VN26003</v>
      </c>
      <c r="I334" s="331" t="s">
        <v>8825</v>
      </c>
      <c r="J334" s="333" t="s">
        <v>9325</v>
      </c>
      <c r="K334" s="334">
        <v>45811</v>
      </c>
      <c r="L334" s="335"/>
      <c r="M334" s="335"/>
      <c r="N334" s="336"/>
    </row>
    <row r="335" spans="1:14" ht="15.75">
      <c r="A335" s="329">
        <v>334</v>
      </c>
      <c r="B335" s="330">
        <v>68</v>
      </c>
      <c r="C335" s="331" t="s">
        <v>721</v>
      </c>
      <c r="D335" s="331" t="str">
        <f t="shared" si="14"/>
        <v>#10188</v>
      </c>
      <c r="E335" s="294" t="s">
        <v>4065</v>
      </c>
      <c r="F335" s="331" t="s">
        <v>4064</v>
      </c>
      <c r="G335" s="331" t="s">
        <v>9326</v>
      </c>
      <c r="H335" s="331" t="str">
        <f t="shared" si="15"/>
        <v>VN10188</v>
      </c>
      <c r="I335" s="331"/>
      <c r="J335" s="333" t="s">
        <v>9327</v>
      </c>
      <c r="K335" s="334">
        <v>45568</v>
      </c>
      <c r="L335" s="335"/>
      <c r="M335" s="335"/>
      <c r="N335" s="336"/>
    </row>
    <row r="336" spans="1:14" ht="15.75">
      <c r="A336" s="329">
        <v>335</v>
      </c>
      <c r="B336" s="355">
        <v>69</v>
      </c>
      <c r="C336" s="343" t="s">
        <v>721</v>
      </c>
      <c r="D336" s="343" t="str">
        <f t="shared" si="14"/>
        <v>#25894</v>
      </c>
      <c r="E336" s="356">
        <v>25894</v>
      </c>
      <c r="F336" s="343" t="s">
        <v>1142</v>
      </c>
      <c r="G336" s="343" t="s">
        <v>9328</v>
      </c>
      <c r="H336" s="343" t="str">
        <f t="shared" si="15"/>
        <v>VN25894</v>
      </c>
      <c r="I336" s="334"/>
      <c r="J336" s="357" t="s">
        <v>9329</v>
      </c>
      <c r="K336" s="346">
        <v>46006</v>
      </c>
      <c r="L336" s="347"/>
      <c r="M336" s="348"/>
      <c r="N336" s="336"/>
    </row>
    <row r="337" spans="1:14" ht="15.75">
      <c r="A337" s="329">
        <v>336</v>
      </c>
      <c r="B337" s="330">
        <v>1</v>
      </c>
      <c r="C337" s="331" t="s">
        <v>1168</v>
      </c>
      <c r="D337" s="331" t="str">
        <f t="shared" si="14"/>
        <v>#01790</v>
      </c>
      <c r="E337" s="294" t="s">
        <v>9330</v>
      </c>
      <c r="F337" s="331" t="s">
        <v>9331</v>
      </c>
      <c r="G337" s="331" t="s">
        <v>9332</v>
      </c>
      <c r="H337" s="331" t="str">
        <f t="shared" si="15"/>
        <v>VN01790</v>
      </c>
      <c r="I337" s="331"/>
      <c r="J337" s="333"/>
      <c r="K337" s="334"/>
      <c r="L337" s="337">
        <v>45669</v>
      </c>
      <c r="M337" s="337">
        <v>45887</v>
      </c>
      <c r="N337" s="336"/>
    </row>
    <row r="338" spans="1:14" ht="15.75">
      <c r="A338" s="329">
        <v>337</v>
      </c>
      <c r="B338" s="330">
        <v>2</v>
      </c>
      <c r="C338" s="331" t="s">
        <v>1168</v>
      </c>
      <c r="D338" s="331" t="str">
        <f t="shared" si="14"/>
        <v>#00610</v>
      </c>
      <c r="E338" s="294" t="s">
        <v>1167</v>
      </c>
      <c r="F338" s="331" t="s">
        <v>1166</v>
      </c>
      <c r="G338" s="331" t="s">
        <v>9333</v>
      </c>
      <c r="H338" s="331" t="str">
        <f t="shared" si="15"/>
        <v>VN00610</v>
      </c>
      <c r="I338" s="331"/>
      <c r="J338" s="333"/>
      <c r="K338" s="334"/>
      <c r="L338" s="335"/>
      <c r="M338" s="335"/>
      <c r="N338" s="336"/>
    </row>
    <row r="339" spans="1:14" ht="15.75">
      <c r="A339" s="329">
        <v>338</v>
      </c>
      <c r="B339" s="330">
        <v>3</v>
      </c>
      <c r="C339" s="331" t="s">
        <v>1168</v>
      </c>
      <c r="D339" s="331" t="str">
        <f t="shared" si="14"/>
        <v>#04036</v>
      </c>
      <c r="E339" s="294" t="s">
        <v>2404</v>
      </c>
      <c r="F339" s="331" t="s">
        <v>2403</v>
      </c>
      <c r="G339" s="331" t="s">
        <v>9334</v>
      </c>
      <c r="H339" s="331" t="str">
        <f t="shared" si="15"/>
        <v>VN04036</v>
      </c>
      <c r="I339" s="331"/>
      <c r="J339" s="333"/>
      <c r="K339" s="334"/>
      <c r="L339" s="335"/>
      <c r="M339" s="335"/>
      <c r="N339" s="336"/>
    </row>
    <row r="340" spans="1:14" ht="15.75">
      <c r="A340" s="329">
        <v>339</v>
      </c>
      <c r="B340" s="330">
        <v>4</v>
      </c>
      <c r="C340" s="331" t="s">
        <v>1168</v>
      </c>
      <c r="D340" s="331" t="str">
        <f t="shared" si="14"/>
        <v>#08941</v>
      </c>
      <c r="E340" s="294" t="s">
        <v>3683</v>
      </c>
      <c r="F340" s="331" t="s">
        <v>3682</v>
      </c>
      <c r="G340" s="331" t="s">
        <v>9335</v>
      </c>
      <c r="H340" s="331" t="str">
        <f t="shared" si="15"/>
        <v>VN08941</v>
      </c>
      <c r="I340" s="331"/>
      <c r="J340" s="333"/>
      <c r="K340" s="334"/>
      <c r="L340" s="335"/>
      <c r="M340" s="335"/>
      <c r="N340" s="336"/>
    </row>
    <row r="341" spans="1:14" ht="15.75">
      <c r="A341" s="329">
        <v>340</v>
      </c>
      <c r="B341" s="330">
        <v>5</v>
      </c>
      <c r="C341" s="331" t="s">
        <v>1168</v>
      </c>
      <c r="D341" s="331" t="str">
        <f t="shared" si="14"/>
        <v>#09527</v>
      </c>
      <c r="E341" s="294" t="s">
        <v>3868</v>
      </c>
      <c r="F341" s="331" t="s">
        <v>3867</v>
      </c>
      <c r="G341" s="331" t="s">
        <v>9336</v>
      </c>
      <c r="H341" s="331" t="str">
        <f t="shared" si="15"/>
        <v>VN09527</v>
      </c>
      <c r="I341" s="331"/>
      <c r="J341" s="333"/>
      <c r="K341" s="334"/>
      <c r="L341" s="335"/>
      <c r="M341" s="335"/>
      <c r="N341" s="336"/>
    </row>
    <row r="342" spans="1:14" ht="15.75">
      <c r="A342" s="329">
        <v>341</v>
      </c>
      <c r="B342" s="330">
        <v>6</v>
      </c>
      <c r="C342" s="331" t="s">
        <v>1168</v>
      </c>
      <c r="D342" s="331" t="str">
        <f t="shared" si="14"/>
        <v>#09878</v>
      </c>
      <c r="E342" s="294" t="s">
        <v>3987</v>
      </c>
      <c r="F342" s="331" t="s">
        <v>2716</v>
      </c>
      <c r="G342" s="331" t="s">
        <v>9337</v>
      </c>
      <c r="H342" s="331" t="str">
        <f t="shared" si="15"/>
        <v>VN09878</v>
      </c>
      <c r="I342" s="331"/>
      <c r="J342" s="333"/>
      <c r="K342" s="334"/>
      <c r="L342" s="335"/>
      <c r="M342" s="335"/>
      <c r="N342" s="336"/>
    </row>
    <row r="343" spans="1:14" ht="15.75">
      <c r="A343" s="329">
        <v>342</v>
      </c>
      <c r="B343" s="330">
        <v>7</v>
      </c>
      <c r="C343" s="331" t="s">
        <v>1168</v>
      </c>
      <c r="D343" s="331" t="str">
        <f t="shared" si="14"/>
        <v>#10480</v>
      </c>
      <c r="E343" s="294" t="s">
        <v>4147</v>
      </c>
      <c r="F343" s="331" t="s">
        <v>4146</v>
      </c>
      <c r="G343" s="331" t="s">
        <v>9338</v>
      </c>
      <c r="H343" s="331" t="str">
        <f t="shared" si="15"/>
        <v>VN10480</v>
      </c>
      <c r="I343" s="331"/>
      <c r="J343" s="333"/>
      <c r="K343" s="334"/>
      <c r="L343" s="335"/>
      <c r="M343" s="335"/>
      <c r="N343" s="336"/>
    </row>
    <row r="344" spans="1:14" ht="15.75">
      <c r="A344" s="329">
        <v>343</v>
      </c>
      <c r="B344" s="330">
        <v>8</v>
      </c>
      <c r="C344" s="331" t="s">
        <v>1168</v>
      </c>
      <c r="D344" s="331" t="str">
        <f t="shared" si="14"/>
        <v>#13986</v>
      </c>
      <c r="E344" s="294" t="s">
        <v>4991</v>
      </c>
      <c r="F344" s="331" t="s">
        <v>4990</v>
      </c>
      <c r="G344" s="331" t="s">
        <v>9339</v>
      </c>
      <c r="H344" s="331" t="str">
        <f t="shared" si="15"/>
        <v>VN13986</v>
      </c>
      <c r="I344" s="331"/>
      <c r="J344" s="333"/>
      <c r="K344" s="334"/>
      <c r="L344" s="335"/>
      <c r="M344" s="335"/>
      <c r="N344" s="336"/>
    </row>
    <row r="345" spans="1:14" ht="15.75">
      <c r="A345" s="329">
        <v>344</v>
      </c>
      <c r="B345" s="330">
        <v>9</v>
      </c>
      <c r="C345" s="331" t="s">
        <v>1168</v>
      </c>
      <c r="D345" s="331" t="str">
        <f t="shared" si="14"/>
        <v>#26027</v>
      </c>
      <c r="E345" s="294" t="s">
        <v>8412</v>
      </c>
      <c r="F345" s="331" t="s">
        <v>8413</v>
      </c>
      <c r="G345" s="331" t="s">
        <v>9340</v>
      </c>
      <c r="H345" s="331" t="str">
        <f t="shared" si="15"/>
        <v>VN26027</v>
      </c>
      <c r="I345" s="331"/>
      <c r="J345" s="333" t="s">
        <v>9341</v>
      </c>
      <c r="K345" s="334">
        <v>45813</v>
      </c>
      <c r="L345" s="335"/>
      <c r="M345" s="335"/>
      <c r="N345" s="336"/>
    </row>
    <row r="346" spans="1:14" ht="15.75">
      <c r="A346" s="329">
        <v>345</v>
      </c>
      <c r="B346" s="330">
        <v>10</v>
      </c>
      <c r="C346" s="331" t="s">
        <v>1168</v>
      </c>
      <c r="D346" s="331" t="str">
        <f t="shared" si="14"/>
        <v>#22147</v>
      </c>
      <c r="E346" s="294" t="s">
        <v>7002</v>
      </c>
      <c r="F346" s="331" t="s">
        <v>7001</v>
      </c>
      <c r="G346" s="331" t="s">
        <v>9342</v>
      </c>
      <c r="H346" s="331" t="str">
        <f t="shared" si="15"/>
        <v>VN22147</v>
      </c>
      <c r="I346" s="331"/>
      <c r="J346" s="333"/>
      <c r="K346" s="334"/>
      <c r="L346" s="335"/>
      <c r="M346" s="335"/>
      <c r="N346" s="336"/>
    </row>
    <row r="347" spans="1:14" ht="15.75">
      <c r="A347" s="329">
        <v>346</v>
      </c>
      <c r="B347" s="330">
        <v>1</v>
      </c>
      <c r="C347" s="331" t="s">
        <v>8402</v>
      </c>
      <c r="D347" s="331" t="str">
        <f t="shared" si="14"/>
        <v>#00038</v>
      </c>
      <c r="E347" s="294" t="s">
        <v>889</v>
      </c>
      <c r="F347" s="331" t="s">
        <v>888</v>
      </c>
      <c r="G347" s="331" t="s">
        <v>9343</v>
      </c>
      <c r="H347" s="331" t="str">
        <f t="shared" si="15"/>
        <v>VN00038</v>
      </c>
      <c r="I347" s="331" t="s">
        <v>8825</v>
      </c>
      <c r="J347" s="333"/>
      <c r="K347" s="334"/>
      <c r="L347" s="335"/>
      <c r="M347" s="335"/>
      <c r="N347" s="336"/>
    </row>
    <row r="348" spans="1:14" ht="15.75">
      <c r="A348" s="329">
        <v>347</v>
      </c>
      <c r="B348" s="330">
        <v>2</v>
      </c>
      <c r="C348" s="331" t="s">
        <v>8402</v>
      </c>
      <c r="D348" s="331" t="str">
        <f t="shared" si="14"/>
        <v>#00798</v>
      </c>
      <c r="E348" s="294" t="s">
        <v>1270</v>
      </c>
      <c r="F348" s="331" t="s">
        <v>1269</v>
      </c>
      <c r="G348" s="338" t="s">
        <v>9344</v>
      </c>
      <c r="H348" s="338" t="str">
        <f t="shared" si="15"/>
        <v>VN00798</v>
      </c>
      <c r="I348" s="338"/>
      <c r="J348" s="339"/>
      <c r="K348" s="334"/>
      <c r="L348" s="335"/>
      <c r="M348" s="335"/>
      <c r="N348" s="336"/>
    </row>
    <row r="349" spans="1:14" ht="15.75">
      <c r="A349" s="329">
        <v>348</v>
      </c>
      <c r="B349" s="330">
        <v>3</v>
      </c>
      <c r="C349" s="331" t="s">
        <v>8402</v>
      </c>
      <c r="D349" s="331" t="str">
        <f t="shared" si="14"/>
        <v>#00832</v>
      </c>
      <c r="E349" s="294" t="s">
        <v>1284</v>
      </c>
      <c r="F349" s="331" t="s">
        <v>1283</v>
      </c>
      <c r="G349" s="352" t="s">
        <v>9345</v>
      </c>
      <c r="H349" s="352" t="str">
        <f t="shared" si="15"/>
        <v>VN00832</v>
      </c>
      <c r="I349" s="352"/>
      <c r="J349" s="353"/>
      <c r="K349" s="334"/>
      <c r="L349" s="335"/>
      <c r="M349" s="335"/>
      <c r="N349" s="336"/>
    </row>
    <row r="350" spans="1:14" ht="15.75">
      <c r="A350" s="329">
        <v>349</v>
      </c>
      <c r="B350" s="330">
        <v>4</v>
      </c>
      <c r="C350" s="331" t="s">
        <v>8402</v>
      </c>
      <c r="D350" s="331" t="str">
        <f t="shared" si="14"/>
        <v>#02322</v>
      </c>
      <c r="E350" s="294" t="s">
        <v>1819</v>
      </c>
      <c r="F350" s="331" t="s">
        <v>1818</v>
      </c>
      <c r="G350" s="331" t="s">
        <v>9346</v>
      </c>
      <c r="H350" s="331" t="str">
        <f t="shared" si="15"/>
        <v>VN02322</v>
      </c>
      <c r="I350" s="331"/>
      <c r="J350" s="333"/>
      <c r="K350" s="334"/>
      <c r="L350" s="335"/>
      <c r="M350" s="335"/>
      <c r="N350" s="336"/>
    </row>
    <row r="351" spans="1:14" ht="15.75">
      <c r="A351" s="329">
        <v>350</v>
      </c>
      <c r="B351" s="330">
        <v>5</v>
      </c>
      <c r="C351" s="331" t="s">
        <v>8402</v>
      </c>
      <c r="D351" s="331" t="str">
        <f t="shared" si="14"/>
        <v>#02884</v>
      </c>
      <c r="E351" s="294" t="s">
        <v>2023</v>
      </c>
      <c r="F351" s="331" t="s">
        <v>2022</v>
      </c>
      <c r="G351" s="331" t="s">
        <v>9347</v>
      </c>
      <c r="H351" s="331" t="str">
        <f t="shared" si="15"/>
        <v>VN02884</v>
      </c>
      <c r="I351" s="331"/>
      <c r="J351" s="333"/>
      <c r="K351" s="334"/>
      <c r="L351" s="335"/>
      <c r="M351" s="335"/>
      <c r="N351" s="336"/>
    </row>
    <row r="352" spans="1:14" ht="15.75">
      <c r="A352" s="329">
        <v>351</v>
      </c>
      <c r="B352" s="330">
        <v>6</v>
      </c>
      <c r="C352" s="331" t="s">
        <v>8402</v>
      </c>
      <c r="D352" s="331" t="str">
        <f t="shared" si="14"/>
        <v>#03481</v>
      </c>
      <c r="E352" s="294" t="s">
        <v>2239</v>
      </c>
      <c r="F352" s="331" t="s">
        <v>2238</v>
      </c>
      <c r="G352" s="331" t="s">
        <v>9348</v>
      </c>
      <c r="H352" s="331" t="str">
        <f t="shared" si="15"/>
        <v>VN03481</v>
      </c>
      <c r="I352" s="331"/>
      <c r="J352" s="333"/>
      <c r="K352" s="334"/>
      <c r="L352" s="335"/>
      <c r="M352" s="335"/>
      <c r="N352" s="336"/>
    </row>
    <row r="353" spans="1:14" ht="15.75">
      <c r="A353" s="329">
        <v>352</v>
      </c>
      <c r="B353" s="330">
        <v>7</v>
      </c>
      <c r="C353" s="331" t="s">
        <v>8402</v>
      </c>
      <c r="D353" s="331" t="str">
        <f t="shared" si="14"/>
        <v>#08244</v>
      </c>
      <c r="E353" s="294" t="s">
        <v>3525</v>
      </c>
      <c r="F353" s="331" t="s">
        <v>3524</v>
      </c>
      <c r="G353" s="331" t="s">
        <v>9349</v>
      </c>
      <c r="H353" s="331" t="str">
        <f t="shared" si="15"/>
        <v>VN08244</v>
      </c>
      <c r="I353" s="331"/>
      <c r="J353" s="333"/>
      <c r="K353" s="334"/>
      <c r="L353" s="335"/>
      <c r="M353" s="335"/>
      <c r="N353" s="336"/>
    </row>
    <row r="354" spans="1:14" ht="15.75">
      <c r="A354" s="329">
        <v>353</v>
      </c>
      <c r="B354" s="330">
        <v>8</v>
      </c>
      <c r="C354" s="331" t="s">
        <v>8402</v>
      </c>
      <c r="D354" s="331" t="str">
        <f t="shared" si="14"/>
        <v>#09300</v>
      </c>
      <c r="E354" s="294" t="s">
        <v>9350</v>
      </c>
      <c r="F354" s="331" t="s">
        <v>9351</v>
      </c>
      <c r="G354" s="331" t="s">
        <v>9352</v>
      </c>
      <c r="H354" s="331" t="str">
        <f t="shared" si="15"/>
        <v>VN09300</v>
      </c>
      <c r="I354" s="331"/>
      <c r="J354" s="333"/>
      <c r="K354" s="334"/>
      <c r="L354" s="337">
        <v>45669</v>
      </c>
      <c r="M354" s="337">
        <v>45887</v>
      </c>
      <c r="N354" s="336"/>
    </row>
    <row r="355" spans="1:14" ht="15.75">
      <c r="A355" s="329">
        <v>354</v>
      </c>
      <c r="B355" s="330">
        <v>9</v>
      </c>
      <c r="C355" s="331" t="s">
        <v>8402</v>
      </c>
      <c r="D355" s="331" t="str">
        <f t="shared" si="14"/>
        <v>#10251</v>
      </c>
      <c r="E355" s="294" t="s">
        <v>4087</v>
      </c>
      <c r="F355" s="331" t="s">
        <v>1719</v>
      </c>
      <c r="G355" s="331" t="s">
        <v>9353</v>
      </c>
      <c r="H355" s="331" t="str">
        <f t="shared" si="15"/>
        <v>VN10251</v>
      </c>
      <c r="I355" s="331"/>
      <c r="J355" s="333"/>
      <c r="K355" s="334"/>
      <c r="L355" s="335"/>
      <c r="M355" s="335"/>
      <c r="N355" s="336"/>
    </row>
    <row r="356" spans="1:14" ht="15.75">
      <c r="A356" s="329">
        <v>355</v>
      </c>
      <c r="B356" s="330">
        <v>10</v>
      </c>
      <c r="C356" s="331" t="s">
        <v>8402</v>
      </c>
      <c r="D356" s="331" t="str">
        <f t="shared" si="14"/>
        <v>#00470</v>
      </c>
      <c r="E356" s="294" t="s">
        <v>1089</v>
      </c>
      <c r="F356" s="331" t="s">
        <v>1088</v>
      </c>
      <c r="G356" s="331" t="s">
        <v>9354</v>
      </c>
      <c r="H356" s="331" t="str">
        <f t="shared" si="15"/>
        <v>VN00470</v>
      </c>
      <c r="I356" s="331"/>
      <c r="J356" s="333"/>
      <c r="K356" s="334"/>
      <c r="L356" s="335"/>
      <c r="M356" s="335"/>
      <c r="N356" s="336"/>
    </row>
    <row r="357" spans="1:14" ht="15.75">
      <c r="A357" s="329">
        <v>356</v>
      </c>
      <c r="B357" s="330">
        <v>11</v>
      </c>
      <c r="C357" s="331" t="s">
        <v>8402</v>
      </c>
      <c r="D357" s="331" t="str">
        <f t="shared" si="14"/>
        <v>#06645</v>
      </c>
      <c r="E357" s="294" t="s">
        <v>2960</v>
      </c>
      <c r="F357" s="331" t="s">
        <v>9355</v>
      </c>
      <c r="G357" s="331" t="s">
        <v>9356</v>
      </c>
      <c r="H357" s="331" t="str">
        <f t="shared" si="15"/>
        <v>VN06645</v>
      </c>
      <c r="I357" s="331"/>
      <c r="J357" s="333"/>
      <c r="K357" s="334"/>
      <c r="L357" s="335"/>
      <c r="M357" s="335"/>
      <c r="N357" s="336"/>
    </row>
    <row r="358" spans="1:14" ht="15.75">
      <c r="A358" s="329">
        <v>357</v>
      </c>
      <c r="B358" s="330">
        <v>12</v>
      </c>
      <c r="C358" s="331" t="s">
        <v>8402</v>
      </c>
      <c r="D358" s="331" t="str">
        <f t="shared" si="14"/>
        <v>#00138</v>
      </c>
      <c r="E358" s="294" t="s">
        <v>941</v>
      </c>
      <c r="F358" s="331" t="s">
        <v>940</v>
      </c>
      <c r="G358" s="331" t="s">
        <v>9357</v>
      </c>
      <c r="H358" s="331" t="str">
        <f t="shared" si="15"/>
        <v>VN00138</v>
      </c>
      <c r="I358" s="331"/>
      <c r="J358" s="333"/>
      <c r="K358" s="334"/>
      <c r="L358" s="335"/>
      <c r="M358" s="335"/>
      <c r="N358" s="336"/>
    </row>
    <row r="359" spans="1:14" ht="15.75">
      <c r="A359" s="329">
        <v>358</v>
      </c>
      <c r="B359" s="330">
        <v>13</v>
      </c>
      <c r="C359" s="331" t="s">
        <v>8402</v>
      </c>
      <c r="D359" s="331" t="str">
        <f t="shared" si="14"/>
        <v>#01566</v>
      </c>
      <c r="E359" s="294" t="s">
        <v>1593</v>
      </c>
      <c r="F359" s="331" t="s">
        <v>1327</v>
      </c>
      <c r="G359" s="331" t="s">
        <v>9358</v>
      </c>
      <c r="H359" s="331" t="str">
        <f t="shared" si="15"/>
        <v>VN01566</v>
      </c>
      <c r="I359" s="331"/>
      <c r="J359" s="333"/>
      <c r="K359" s="334"/>
      <c r="L359" s="335"/>
      <c r="M359" s="335"/>
      <c r="N359" s="336"/>
    </row>
    <row r="360" spans="1:14" ht="15.75">
      <c r="A360" s="329">
        <v>359</v>
      </c>
      <c r="B360" s="330">
        <v>1</v>
      </c>
      <c r="C360" s="331" t="s">
        <v>9359</v>
      </c>
      <c r="D360" s="331" t="str">
        <f t="shared" si="14"/>
        <v>#00658</v>
      </c>
      <c r="E360" s="294" t="s">
        <v>1190</v>
      </c>
      <c r="F360" s="331" t="s">
        <v>1189</v>
      </c>
      <c r="G360" s="331" t="s">
        <v>9360</v>
      </c>
      <c r="H360" s="331" t="str">
        <f t="shared" si="15"/>
        <v>VN00658</v>
      </c>
      <c r="I360" s="331"/>
      <c r="J360" s="333"/>
      <c r="K360" s="334"/>
      <c r="L360" s="335"/>
      <c r="M360" s="335"/>
      <c r="N360" s="336"/>
    </row>
    <row r="361" spans="1:14" ht="15.75">
      <c r="A361" s="329">
        <v>360</v>
      </c>
      <c r="B361" s="330">
        <v>2</v>
      </c>
      <c r="C361" s="331" t="s">
        <v>9359</v>
      </c>
      <c r="D361" s="331" t="str">
        <f t="shared" si="14"/>
        <v>#00770</v>
      </c>
      <c r="E361" s="294" t="s">
        <v>9361</v>
      </c>
      <c r="F361" s="331" t="s">
        <v>9362</v>
      </c>
      <c r="G361" s="331" t="s">
        <v>9363</v>
      </c>
      <c r="H361" s="331" t="str">
        <f t="shared" si="15"/>
        <v>VN00770</v>
      </c>
      <c r="I361" s="331"/>
      <c r="J361" s="333"/>
      <c r="K361" s="334"/>
      <c r="L361" s="337">
        <v>45481</v>
      </c>
      <c r="M361" s="337">
        <v>45887</v>
      </c>
      <c r="N361" s="336"/>
    </row>
    <row r="362" spans="1:14" ht="15.75">
      <c r="A362" s="329">
        <v>361</v>
      </c>
      <c r="B362" s="330">
        <v>3</v>
      </c>
      <c r="C362" s="331" t="s">
        <v>9359</v>
      </c>
      <c r="D362" s="331" t="str">
        <f t="shared" si="14"/>
        <v>#01574</v>
      </c>
      <c r="E362" s="294" t="s">
        <v>1596</v>
      </c>
      <c r="F362" s="331" t="s">
        <v>1595</v>
      </c>
      <c r="G362" s="331" t="s">
        <v>9364</v>
      </c>
      <c r="H362" s="331" t="str">
        <f t="shared" si="15"/>
        <v>VN01574</v>
      </c>
      <c r="I362" s="331"/>
      <c r="J362" s="333"/>
      <c r="K362" s="334"/>
      <c r="L362" s="335"/>
      <c r="M362" s="335"/>
      <c r="N362" s="336"/>
    </row>
    <row r="363" spans="1:14" ht="15.75">
      <c r="A363" s="329">
        <v>362</v>
      </c>
      <c r="B363" s="330">
        <v>4</v>
      </c>
      <c r="C363" s="331" t="s">
        <v>9359</v>
      </c>
      <c r="D363" s="331" t="str">
        <f t="shared" si="14"/>
        <v>#01656</v>
      </c>
      <c r="E363" s="294" t="s">
        <v>1630</v>
      </c>
      <c r="F363" s="331" t="s">
        <v>1629</v>
      </c>
      <c r="G363" s="331" t="s">
        <v>9365</v>
      </c>
      <c r="H363" s="331" t="str">
        <f t="shared" si="15"/>
        <v>VN01656</v>
      </c>
      <c r="I363" s="331"/>
      <c r="J363" s="333"/>
      <c r="K363" s="334"/>
      <c r="L363" s="335"/>
      <c r="M363" s="335"/>
      <c r="N363" s="336"/>
    </row>
    <row r="364" spans="1:14" ht="15.75">
      <c r="A364" s="329">
        <v>363</v>
      </c>
      <c r="B364" s="330">
        <v>5</v>
      </c>
      <c r="C364" s="331" t="s">
        <v>9359</v>
      </c>
      <c r="D364" s="331" t="str">
        <f t="shared" si="14"/>
        <v>#01737</v>
      </c>
      <c r="E364" s="294" t="s">
        <v>1656</v>
      </c>
      <c r="F364" s="331" t="s">
        <v>1655</v>
      </c>
      <c r="G364" s="331" t="s">
        <v>9366</v>
      </c>
      <c r="H364" s="331" t="str">
        <f t="shared" si="15"/>
        <v>VN01737</v>
      </c>
      <c r="I364" s="331"/>
      <c r="J364" s="333"/>
      <c r="K364" s="334"/>
      <c r="L364" s="335"/>
      <c r="M364" s="335"/>
      <c r="N364" s="336"/>
    </row>
    <row r="365" spans="1:14" ht="15.75">
      <c r="A365" s="329">
        <v>364</v>
      </c>
      <c r="B365" s="330">
        <v>6</v>
      </c>
      <c r="C365" s="331" t="s">
        <v>9359</v>
      </c>
      <c r="D365" s="331" t="str">
        <f t="shared" si="14"/>
        <v>#01914</v>
      </c>
      <c r="E365" s="294" t="s">
        <v>1722</v>
      </c>
      <c r="F365" s="331" t="s">
        <v>1721</v>
      </c>
      <c r="G365" s="331" t="s">
        <v>9367</v>
      </c>
      <c r="H365" s="331" t="str">
        <f t="shared" si="15"/>
        <v>VN01914</v>
      </c>
      <c r="I365" s="331"/>
      <c r="J365" s="333"/>
      <c r="K365" s="334"/>
      <c r="L365" s="335"/>
      <c r="M365" s="335"/>
      <c r="N365" s="336"/>
    </row>
    <row r="366" spans="1:14" ht="15.75">
      <c r="A366" s="329">
        <v>365</v>
      </c>
      <c r="B366" s="330">
        <v>7</v>
      </c>
      <c r="C366" s="331" t="s">
        <v>9359</v>
      </c>
      <c r="D366" s="331" t="str">
        <f t="shared" si="14"/>
        <v>#08755</v>
      </c>
      <c r="E366" s="294" t="s">
        <v>3639</v>
      </c>
      <c r="F366" s="331" t="s">
        <v>3638</v>
      </c>
      <c r="G366" s="331" t="s">
        <v>9368</v>
      </c>
      <c r="H366" s="331" t="str">
        <f t="shared" si="15"/>
        <v>VN08755</v>
      </c>
      <c r="I366" s="331"/>
      <c r="J366" s="333"/>
      <c r="K366" s="334"/>
      <c r="L366" s="335"/>
      <c r="M366" s="335"/>
      <c r="N366" s="336"/>
    </row>
    <row r="367" spans="1:14" ht="15.75">
      <c r="A367" s="329">
        <v>366</v>
      </c>
      <c r="B367" s="330">
        <v>8</v>
      </c>
      <c r="C367" s="331" t="s">
        <v>9359</v>
      </c>
      <c r="D367" s="331" t="str">
        <f t="shared" si="14"/>
        <v>#08889</v>
      </c>
      <c r="E367" s="294" t="s">
        <v>3665</v>
      </c>
      <c r="F367" s="331" t="s">
        <v>3664</v>
      </c>
      <c r="G367" s="331" t="s">
        <v>9369</v>
      </c>
      <c r="H367" s="331" t="str">
        <f t="shared" si="15"/>
        <v>VN08889</v>
      </c>
      <c r="I367" s="331"/>
      <c r="J367" s="333"/>
      <c r="K367" s="334"/>
      <c r="L367" s="335"/>
      <c r="M367" s="335"/>
      <c r="N367" s="336"/>
    </row>
    <row r="368" spans="1:14" ht="15.75">
      <c r="A368" s="329">
        <v>367</v>
      </c>
      <c r="B368" s="330">
        <v>9</v>
      </c>
      <c r="C368" s="331" t="s">
        <v>9359</v>
      </c>
      <c r="D368" s="331" t="str">
        <f t="shared" si="14"/>
        <v>#08894</v>
      </c>
      <c r="E368" s="294" t="s">
        <v>3667</v>
      </c>
      <c r="F368" s="331" t="s">
        <v>3666</v>
      </c>
      <c r="G368" s="331" t="s">
        <v>9370</v>
      </c>
      <c r="H368" s="331" t="str">
        <f t="shared" si="15"/>
        <v>VN08894</v>
      </c>
      <c r="I368" s="331"/>
      <c r="J368" s="333"/>
      <c r="K368" s="334"/>
      <c r="L368" s="335"/>
      <c r="M368" s="335"/>
      <c r="N368" s="336"/>
    </row>
    <row r="369" spans="1:14" ht="15.75">
      <c r="A369" s="329">
        <v>368</v>
      </c>
      <c r="B369" s="330">
        <v>10</v>
      </c>
      <c r="C369" s="331" t="s">
        <v>9359</v>
      </c>
      <c r="D369" s="331" t="str">
        <f t="shared" si="14"/>
        <v>#08898</v>
      </c>
      <c r="E369" s="294" t="s">
        <v>3669</v>
      </c>
      <c r="F369" s="331" t="s">
        <v>3668</v>
      </c>
      <c r="G369" s="331" t="s">
        <v>9371</v>
      </c>
      <c r="H369" s="331" t="str">
        <f t="shared" si="15"/>
        <v>VN08898</v>
      </c>
      <c r="I369" s="331"/>
      <c r="J369" s="333"/>
      <c r="K369" s="334"/>
      <c r="L369" s="335"/>
      <c r="M369" s="335"/>
      <c r="N369" s="336"/>
    </row>
    <row r="370" spans="1:14" ht="15.75">
      <c r="A370" s="329">
        <v>369</v>
      </c>
      <c r="B370" s="330">
        <v>11</v>
      </c>
      <c r="C370" s="331" t="s">
        <v>9359</v>
      </c>
      <c r="D370" s="331" t="str">
        <f t="shared" si="14"/>
        <v>#09244</v>
      </c>
      <c r="E370" s="294" t="s">
        <v>3769</v>
      </c>
      <c r="F370" s="331" t="s">
        <v>3768</v>
      </c>
      <c r="G370" s="331" t="s">
        <v>9372</v>
      </c>
      <c r="H370" s="331" t="str">
        <f t="shared" si="15"/>
        <v>VN09244</v>
      </c>
      <c r="I370" s="331"/>
      <c r="J370" s="333"/>
      <c r="K370" s="334"/>
      <c r="L370" s="335"/>
      <c r="M370" s="335"/>
      <c r="N370" s="336"/>
    </row>
    <row r="371" spans="1:14" ht="15.75">
      <c r="A371" s="329">
        <v>370</v>
      </c>
      <c r="B371" s="330">
        <v>12</v>
      </c>
      <c r="C371" s="331" t="s">
        <v>9359</v>
      </c>
      <c r="D371" s="331" t="str">
        <f t="shared" si="14"/>
        <v>#09590</v>
      </c>
      <c r="E371" s="294" t="s">
        <v>3900</v>
      </c>
      <c r="F371" s="331" t="s">
        <v>3899</v>
      </c>
      <c r="G371" s="331" t="s">
        <v>9373</v>
      </c>
      <c r="H371" s="331" t="str">
        <f t="shared" si="15"/>
        <v>VN09590</v>
      </c>
      <c r="I371" s="331"/>
      <c r="J371" s="333"/>
      <c r="K371" s="334"/>
      <c r="L371" s="335"/>
      <c r="M371" s="335"/>
      <c r="N371" s="336"/>
    </row>
    <row r="372" spans="1:14" ht="15.75">
      <c r="A372" s="329">
        <v>371</v>
      </c>
      <c r="B372" s="330">
        <v>13</v>
      </c>
      <c r="C372" s="331" t="s">
        <v>9359</v>
      </c>
      <c r="D372" s="331" t="str">
        <f t="shared" si="14"/>
        <v>#10949</v>
      </c>
      <c r="E372" s="294" t="s">
        <v>4321</v>
      </c>
      <c r="F372" s="331" t="s">
        <v>4320</v>
      </c>
      <c r="G372" s="331" t="s">
        <v>9374</v>
      </c>
      <c r="H372" s="331" t="str">
        <f t="shared" si="15"/>
        <v>VN10949</v>
      </c>
      <c r="I372" s="331"/>
      <c r="J372" s="333"/>
      <c r="K372" s="334"/>
      <c r="L372" s="335"/>
      <c r="M372" s="335"/>
      <c r="N372" s="336"/>
    </row>
    <row r="373" spans="1:14" ht="15.75">
      <c r="A373" s="329">
        <v>372</v>
      </c>
      <c r="B373" s="330">
        <v>14</v>
      </c>
      <c r="C373" s="331" t="s">
        <v>9359</v>
      </c>
      <c r="D373" s="331" t="str">
        <f t="shared" si="14"/>
        <v>#13167</v>
      </c>
      <c r="E373" s="294" t="s">
        <v>4796</v>
      </c>
      <c r="F373" s="331" t="s">
        <v>3951</v>
      </c>
      <c r="G373" s="331" t="s">
        <v>9375</v>
      </c>
      <c r="H373" s="331" t="str">
        <f t="shared" si="15"/>
        <v>VN13167</v>
      </c>
      <c r="I373" s="331"/>
      <c r="J373" s="333"/>
      <c r="K373" s="334"/>
      <c r="L373" s="335"/>
      <c r="M373" s="335"/>
      <c r="N373" s="336"/>
    </row>
    <row r="374" spans="1:14" ht="15.75">
      <c r="A374" s="329">
        <v>373</v>
      </c>
      <c r="B374" s="330">
        <v>15</v>
      </c>
      <c r="C374" s="331" t="s">
        <v>9359</v>
      </c>
      <c r="D374" s="331" t="str">
        <f t="shared" si="14"/>
        <v>#13750</v>
      </c>
      <c r="E374" s="294" t="s">
        <v>4939</v>
      </c>
      <c r="F374" s="331" t="s">
        <v>4938</v>
      </c>
      <c r="G374" s="331" t="s">
        <v>9376</v>
      </c>
      <c r="H374" s="331" t="str">
        <f t="shared" si="15"/>
        <v>VN13750</v>
      </c>
      <c r="I374" s="331"/>
      <c r="J374" s="333"/>
      <c r="K374" s="334"/>
      <c r="L374" s="335"/>
      <c r="M374" s="335"/>
      <c r="N374" s="336"/>
    </row>
    <row r="375" spans="1:14" ht="15.75">
      <c r="A375" s="329">
        <v>374</v>
      </c>
      <c r="B375" s="330">
        <v>16</v>
      </c>
      <c r="C375" s="331" t="s">
        <v>9359</v>
      </c>
      <c r="D375" s="331" t="str">
        <f t="shared" si="14"/>
        <v>#14376</v>
      </c>
      <c r="E375" s="294">
        <v>14376</v>
      </c>
      <c r="F375" s="331" t="s">
        <v>5057</v>
      </c>
      <c r="G375" s="331" t="s">
        <v>9377</v>
      </c>
      <c r="H375" s="331" t="str">
        <f t="shared" si="15"/>
        <v>VN14376</v>
      </c>
      <c r="I375" s="331"/>
      <c r="J375" s="333"/>
      <c r="K375" s="334"/>
      <c r="L375" s="335"/>
      <c r="M375" s="335"/>
      <c r="N375" s="336"/>
    </row>
    <row r="376" spans="1:14" ht="15.75">
      <c r="A376" s="329">
        <v>375</v>
      </c>
      <c r="B376" s="330">
        <v>17</v>
      </c>
      <c r="C376" s="331" t="s">
        <v>9359</v>
      </c>
      <c r="D376" s="331" t="str">
        <f t="shared" si="14"/>
        <v>#14456</v>
      </c>
      <c r="E376" s="294" t="s">
        <v>9378</v>
      </c>
      <c r="F376" s="331" t="s">
        <v>9379</v>
      </c>
      <c r="G376" s="331" t="s">
        <v>9380</v>
      </c>
      <c r="H376" s="331" t="str">
        <f t="shared" si="15"/>
        <v>VN14456</v>
      </c>
      <c r="I376" s="331"/>
      <c r="J376" s="333"/>
      <c r="K376" s="334"/>
      <c r="L376" s="337">
        <v>45371</v>
      </c>
      <c r="M376" s="337">
        <v>45887</v>
      </c>
      <c r="N376" s="336"/>
    </row>
    <row r="377" spans="1:14" ht="15.75">
      <c r="A377" s="329">
        <v>376</v>
      </c>
      <c r="B377" s="330">
        <v>18</v>
      </c>
      <c r="C377" s="331" t="s">
        <v>9359</v>
      </c>
      <c r="D377" s="331" t="str">
        <f t="shared" ref="D377:D440" si="16">CONCATENATE("#",E377)</f>
        <v>#18013</v>
      </c>
      <c r="E377" s="294" t="s">
        <v>9381</v>
      </c>
      <c r="F377" s="331" t="s">
        <v>3548</v>
      </c>
      <c r="G377" s="331" t="s">
        <v>9382</v>
      </c>
      <c r="H377" s="331" t="str">
        <f t="shared" si="15"/>
        <v>VN18013</v>
      </c>
      <c r="I377" s="331"/>
      <c r="J377" s="333"/>
      <c r="K377" s="334"/>
      <c r="L377" s="337">
        <v>45683</v>
      </c>
      <c r="M377" s="337">
        <v>45887</v>
      </c>
      <c r="N377" s="336"/>
    </row>
    <row r="378" spans="1:14" ht="15.75">
      <c r="A378" s="329">
        <v>377</v>
      </c>
      <c r="B378" s="330">
        <v>19</v>
      </c>
      <c r="C378" s="331" t="s">
        <v>9359</v>
      </c>
      <c r="D378" s="331" t="str">
        <f t="shared" si="16"/>
        <v>#14595</v>
      </c>
      <c r="E378" s="294" t="s">
        <v>5093</v>
      </c>
      <c r="F378" s="331" t="s">
        <v>5092</v>
      </c>
      <c r="G378" s="331" t="s">
        <v>9383</v>
      </c>
      <c r="H378" s="331" t="str">
        <f t="shared" si="15"/>
        <v>VN14595</v>
      </c>
      <c r="I378" s="331"/>
      <c r="J378" s="333"/>
      <c r="K378" s="334"/>
      <c r="L378" s="335"/>
      <c r="M378" s="335"/>
      <c r="N378" s="336"/>
    </row>
    <row r="379" spans="1:14" ht="15.75">
      <c r="A379" s="329">
        <v>378</v>
      </c>
      <c r="B379" s="330">
        <v>20</v>
      </c>
      <c r="C379" s="331" t="s">
        <v>9359</v>
      </c>
      <c r="D379" s="331" t="str">
        <f t="shared" si="16"/>
        <v>#16669</v>
      </c>
      <c r="E379" s="294" t="s">
        <v>5553</v>
      </c>
      <c r="F379" s="331" t="s">
        <v>4924</v>
      </c>
      <c r="G379" s="338" t="s">
        <v>9384</v>
      </c>
      <c r="H379" s="338" t="str">
        <f t="shared" si="15"/>
        <v>VN16669</v>
      </c>
      <c r="I379" s="338"/>
      <c r="J379" s="339"/>
      <c r="K379" s="334"/>
      <c r="L379" s="335"/>
      <c r="M379" s="335"/>
      <c r="N379" s="336"/>
    </row>
    <row r="380" spans="1:14" ht="15.75">
      <c r="A380" s="329">
        <v>379</v>
      </c>
      <c r="B380" s="330">
        <v>21</v>
      </c>
      <c r="C380" s="331" t="s">
        <v>9359</v>
      </c>
      <c r="D380" s="331" t="str">
        <f t="shared" si="16"/>
        <v>#17064</v>
      </c>
      <c r="E380" s="294" t="s">
        <v>5622</v>
      </c>
      <c r="F380" s="331" t="s">
        <v>5621</v>
      </c>
      <c r="G380" s="338" t="s">
        <v>9385</v>
      </c>
      <c r="H380" s="338" t="str">
        <f t="shared" si="15"/>
        <v>VN17064</v>
      </c>
      <c r="I380" s="338"/>
      <c r="J380" s="339"/>
      <c r="K380" s="334"/>
      <c r="L380" s="335"/>
      <c r="M380" s="335"/>
      <c r="N380" s="336"/>
    </row>
    <row r="381" spans="1:14" ht="15.75">
      <c r="A381" s="329">
        <v>380</v>
      </c>
      <c r="B381" s="330">
        <v>22</v>
      </c>
      <c r="C381" s="331" t="s">
        <v>9359</v>
      </c>
      <c r="D381" s="331" t="str">
        <f t="shared" si="16"/>
        <v>#17952</v>
      </c>
      <c r="E381" s="294" t="s">
        <v>5904</v>
      </c>
      <c r="F381" s="331" t="s">
        <v>1818</v>
      </c>
      <c r="G381" s="338" t="s">
        <v>9386</v>
      </c>
      <c r="H381" s="338" t="str">
        <f t="shared" si="15"/>
        <v>VN17952</v>
      </c>
      <c r="I381" s="338"/>
      <c r="J381" s="339"/>
      <c r="K381" s="334"/>
      <c r="L381" s="335"/>
      <c r="M381" s="335"/>
      <c r="N381" s="336"/>
    </row>
    <row r="382" spans="1:14" ht="15.75">
      <c r="A382" s="329">
        <v>381</v>
      </c>
      <c r="B382" s="330">
        <v>23</v>
      </c>
      <c r="C382" s="331" t="s">
        <v>9359</v>
      </c>
      <c r="D382" s="331" t="str">
        <f t="shared" si="16"/>
        <v>#18155</v>
      </c>
      <c r="E382" s="294" t="s">
        <v>5964</v>
      </c>
      <c r="F382" s="331" t="s">
        <v>5963</v>
      </c>
      <c r="G382" s="338" t="s">
        <v>9387</v>
      </c>
      <c r="H382" s="338" t="str">
        <f t="shared" si="15"/>
        <v>VN18155</v>
      </c>
      <c r="I382" s="338"/>
      <c r="J382" s="339"/>
      <c r="K382" s="334"/>
      <c r="L382" s="335"/>
      <c r="M382" s="335"/>
      <c r="N382" s="336"/>
    </row>
    <row r="383" spans="1:14" ht="15.75">
      <c r="A383" s="329">
        <v>382</v>
      </c>
      <c r="B383" s="330">
        <v>24</v>
      </c>
      <c r="C383" s="331" t="s">
        <v>9359</v>
      </c>
      <c r="D383" s="331" t="str">
        <f t="shared" si="16"/>
        <v>#17578</v>
      </c>
      <c r="E383" s="294" t="s">
        <v>5760</v>
      </c>
      <c r="F383" s="331" t="s">
        <v>2761</v>
      </c>
      <c r="G383" s="338" t="s">
        <v>9388</v>
      </c>
      <c r="H383" s="338" t="str">
        <f t="shared" si="15"/>
        <v>VN17578</v>
      </c>
      <c r="I383" s="338"/>
      <c r="J383" s="339"/>
      <c r="K383" s="334"/>
      <c r="L383" s="335"/>
      <c r="M383" s="335"/>
      <c r="N383" s="336"/>
    </row>
    <row r="384" spans="1:14" ht="15.75">
      <c r="A384" s="329">
        <v>383</v>
      </c>
      <c r="B384" s="330">
        <v>25</v>
      </c>
      <c r="C384" s="331" t="s">
        <v>9359</v>
      </c>
      <c r="D384" s="331" t="str">
        <f t="shared" si="16"/>
        <v>#19343</v>
      </c>
      <c r="E384" s="294" t="s">
        <v>6264</v>
      </c>
      <c r="F384" s="331" t="s">
        <v>6263</v>
      </c>
      <c r="G384" s="338" t="s">
        <v>9389</v>
      </c>
      <c r="H384" s="338" t="str">
        <f t="shared" si="15"/>
        <v>VN19343</v>
      </c>
      <c r="I384" s="338"/>
      <c r="J384" s="339"/>
      <c r="K384" s="334"/>
      <c r="L384" s="335"/>
      <c r="M384" s="335"/>
      <c r="N384" s="336"/>
    </row>
    <row r="385" spans="1:14" ht="15.75">
      <c r="A385" s="329">
        <v>384</v>
      </c>
      <c r="B385" s="330">
        <v>26</v>
      </c>
      <c r="C385" s="331" t="s">
        <v>9359</v>
      </c>
      <c r="D385" s="331" t="str">
        <f t="shared" si="16"/>
        <v>#22259</v>
      </c>
      <c r="E385" s="294" t="s">
        <v>7035</v>
      </c>
      <c r="F385" s="331" t="s">
        <v>7034</v>
      </c>
      <c r="G385" s="338" t="s">
        <v>9390</v>
      </c>
      <c r="H385" s="338" t="str">
        <f t="shared" si="15"/>
        <v>VN22259</v>
      </c>
      <c r="I385" s="338"/>
      <c r="J385" s="339"/>
      <c r="K385" s="334"/>
      <c r="L385" s="335"/>
      <c r="M385" s="335"/>
      <c r="N385" s="336"/>
    </row>
    <row r="386" spans="1:14" ht="15.75">
      <c r="A386" s="329">
        <v>386</v>
      </c>
      <c r="B386" s="330">
        <v>28</v>
      </c>
      <c r="C386" s="331" t="s">
        <v>9359</v>
      </c>
      <c r="D386" s="331" t="str">
        <f t="shared" si="16"/>
        <v>#08756</v>
      </c>
      <c r="E386" s="294" t="s">
        <v>3641</v>
      </c>
      <c r="F386" s="331" t="s">
        <v>3640</v>
      </c>
      <c r="G386" s="331" t="s">
        <v>9391</v>
      </c>
      <c r="H386" s="331" t="str">
        <f t="shared" si="15"/>
        <v>VN08756</v>
      </c>
      <c r="I386" s="331"/>
      <c r="J386" s="333" t="s">
        <v>9392</v>
      </c>
      <c r="K386" s="334"/>
      <c r="L386" s="335"/>
      <c r="M386" s="335"/>
      <c r="N386" s="336"/>
    </row>
    <row r="387" spans="1:14" ht="15.75">
      <c r="A387" s="329">
        <v>387</v>
      </c>
      <c r="B387" s="330">
        <v>29</v>
      </c>
      <c r="C387" s="331" t="s">
        <v>9359</v>
      </c>
      <c r="D387" s="331" t="str">
        <f t="shared" si="16"/>
        <v>#22756</v>
      </c>
      <c r="E387" s="294" t="s">
        <v>7145</v>
      </c>
      <c r="F387" s="331" t="s">
        <v>7144</v>
      </c>
      <c r="G387" s="331" t="s">
        <v>9393</v>
      </c>
      <c r="H387" s="331" t="str">
        <f t="shared" si="15"/>
        <v>VN22756</v>
      </c>
      <c r="I387" s="331"/>
      <c r="J387" s="333"/>
      <c r="K387" s="334"/>
      <c r="L387" s="335"/>
      <c r="M387" s="335"/>
      <c r="N387" s="336"/>
    </row>
    <row r="388" spans="1:14" ht="15.75">
      <c r="A388" s="329">
        <v>388</v>
      </c>
      <c r="B388" s="330">
        <v>30</v>
      </c>
      <c r="C388" s="331" t="s">
        <v>9359</v>
      </c>
      <c r="D388" s="331" t="str">
        <f t="shared" si="16"/>
        <v>#24295</v>
      </c>
      <c r="E388" s="294" t="s">
        <v>9394</v>
      </c>
      <c r="F388" s="331" t="s">
        <v>9395</v>
      </c>
      <c r="G388" s="331" t="s">
        <v>9396</v>
      </c>
      <c r="H388" s="331" t="str">
        <f t="shared" si="15"/>
        <v>VN24295</v>
      </c>
      <c r="I388" s="331"/>
      <c r="J388" s="333" t="s">
        <v>9397</v>
      </c>
      <c r="K388" s="334"/>
      <c r="L388" s="337">
        <v>45392</v>
      </c>
      <c r="M388" s="337">
        <v>45887</v>
      </c>
      <c r="N388" s="336"/>
    </row>
    <row r="389" spans="1:14" ht="15.75">
      <c r="A389" s="329">
        <v>389</v>
      </c>
      <c r="B389" s="330">
        <v>31</v>
      </c>
      <c r="C389" s="331" t="s">
        <v>9359</v>
      </c>
      <c r="D389" s="331" t="str">
        <f t="shared" si="16"/>
        <v>#24337</v>
      </c>
      <c r="E389" s="294" t="s">
        <v>7534</v>
      </c>
      <c r="F389" s="331" t="s">
        <v>3668</v>
      </c>
      <c r="G389" s="331" t="s">
        <v>9398</v>
      </c>
      <c r="H389" s="331" t="str">
        <f t="shared" si="15"/>
        <v>VN24337</v>
      </c>
      <c r="I389" s="331"/>
      <c r="J389" s="333" t="s">
        <v>9399</v>
      </c>
      <c r="K389" s="334"/>
      <c r="L389" s="335"/>
      <c r="M389" s="335"/>
      <c r="N389" s="336"/>
    </row>
    <row r="390" spans="1:14" ht="15.75">
      <c r="A390" s="329">
        <v>390</v>
      </c>
      <c r="B390" s="330">
        <v>32</v>
      </c>
      <c r="C390" s="331" t="s">
        <v>9359</v>
      </c>
      <c r="D390" s="331" t="str">
        <f t="shared" si="16"/>
        <v>#24509</v>
      </c>
      <c r="E390" s="294" t="s">
        <v>7631</v>
      </c>
      <c r="F390" s="331" t="s">
        <v>5088</v>
      </c>
      <c r="G390" s="331" t="s">
        <v>9400</v>
      </c>
      <c r="H390" s="331" t="str">
        <f t="shared" si="15"/>
        <v>VN24509</v>
      </c>
      <c r="I390" s="331"/>
      <c r="J390" s="333"/>
      <c r="K390" s="334"/>
      <c r="L390" s="335"/>
      <c r="M390" s="335"/>
      <c r="N390" s="336"/>
    </row>
    <row r="391" spans="1:14" ht="15.75">
      <c r="A391" s="329">
        <v>391</v>
      </c>
      <c r="B391" s="330">
        <v>33</v>
      </c>
      <c r="C391" s="331" t="s">
        <v>9359</v>
      </c>
      <c r="D391" s="331" t="str">
        <f t="shared" si="16"/>
        <v>#24568</v>
      </c>
      <c r="E391" s="294" t="s">
        <v>7658</v>
      </c>
      <c r="F391" s="331" t="s">
        <v>7657</v>
      </c>
      <c r="G391" s="331" t="s">
        <v>9401</v>
      </c>
      <c r="H391" s="331" t="str">
        <f t="shared" si="15"/>
        <v>VN24568</v>
      </c>
      <c r="I391" s="331"/>
      <c r="J391" s="333" t="s">
        <v>9402</v>
      </c>
      <c r="K391" s="334">
        <v>45440</v>
      </c>
      <c r="L391" s="335"/>
      <c r="M391" s="335"/>
      <c r="N391" s="336"/>
    </row>
    <row r="392" spans="1:14" ht="15.75">
      <c r="A392" s="329">
        <v>392</v>
      </c>
      <c r="B392" s="330">
        <v>34</v>
      </c>
      <c r="C392" s="331" t="s">
        <v>9359</v>
      </c>
      <c r="D392" s="331" t="str">
        <f t="shared" si="16"/>
        <v>#24569</v>
      </c>
      <c r="E392" s="294" t="s">
        <v>7659</v>
      </c>
      <c r="F392" s="331" t="s">
        <v>9403</v>
      </c>
      <c r="G392" s="331" t="s">
        <v>9404</v>
      </c>
      <c r="H392" s="331" t="str">
        <f t="shared" si="15"/>
        <v>VN24569</v>
      </c>
      <c r="I392" s="331"/>
      <c r="J392" s="333" t="s">
        <v>9405</v>
      </c>
      <c r="K392" s="334">
        <v>45440</v>
      </c>
      <c r="L392" s="335"/>
      <c r="M392" s="335"/>
      <c r="N392" s="336"/>
    </row>
    <row r="393" spans="1:14" ht="15.75">
      <c r="A393" s="329">
        <v>393</v>
      </c>
      <c r="B393" s="330">
        <v>35</v>
      </c>
      <c r="C393" s="331" t="s">
        <v>9359</v>
      </c>
      <c r="D393" s="331" t="str">
        <f t="shared" si="16"/>
        <v>#24642</v>
      </c>
      <c r="E393" s="294" t="s">
        <v>7702</v>
      </c>
      <c r="F393" s="331" t="s">
        <v>7701</v>
      </c>
      <c r="G393" s="331" t="s">
        <v>9406</v>
      </c>
      <c r="H393" s="331" t="str">
        <f t="shared" si="15"/>
        <v>VN24642</v>
      </c>
      <c r="I393" s="331"/>
      <c r="J393" s="333"/>
      <c r="K393" s="334"/>
      <c r="L393" s="335"/>
      <c r="M393" s="335"/>
      <c r="N393" s="336"/>
    </row>
    <row r="394" spans="1:14" ht="15.75">
      <c r="A394" s="329">
        <v>395</v>
      </c>
      <c r="B394" s="330">
        <v>37</v>
      </c>
      <c r="C394" s="331" t="s">
        <v>9359</v>
      </c>
      <c r="D394" s="331" t="str">
        <f t="shared" si="16"/>
        <v>#24336</v>
      </c>
      <c r="E394" s="294" t="s">
        <v>9407</v>
      </c>
      <c r="F394" s="331" t="s">
        <v>9408</v>
      </c>
      <c r="G394" s="331" t="s">
        <v>9409</v>
      </c>
      <c r="H394" s="331" t="str">
        <f t="shared" si="15"/>
        <v>VN24336</v>
      </c>
      <c r="I394" s="331"/>
      <c r="J394" s="333" t="s">
        <v>9410</v>
      </c>
      <c r="K394" s="334"/>
      <c r="L394" s="337">
        <v>45716</v>
      </c>
      <c r="M394" s="337">
        <v>45887</v>
      </c>
      <c r="N394" s="336"/>
    </row>
    <row r="395" spans="1:14" ht="15.75">
      <c r="A395" s="329">
        <v>396</v>
      </c>
      <c r="B395" s="330">
        <v>38</v>
      </c>
      <c r="C395" s="331" t="s">
        <v>9359</v>
      </c>
      <c r="D395" s="331" t="str">
        <f t="shared" si="16"/>
        <v>#26156</v>
      </c>
      <c r="E395" s="294" t="s">
        <v>8493</v>
      </c>
      <c r="F395" s="331" t="s">
        <v>8483</v>
      </c>
      <c r="G395" s="331" t="s">
        <v>9411</v>
      </c>
      <c r="H395" s="331" t="str">
        <f t="shared" si="15"/>
        <v>VN26156</v>
      </c>
      <c r="I395" s="331"/>
      <c r="J395" s="333" t="s">
        <v>9412</v>
      </c>
      <c r="K395" s="334">
        <v>45870</v>
      </c>
      <c r="L395" s="335"/>
      <c r="M395" s="335"/>
      <c r="N395" s="336"/>
    </row>
    <row r="396" spans="1:14" ht="15.75">
      <c r="A396" s="329">
        <v>397</v>
      </c>
      <c r="B396" s="330">
        <v>39</v>
      </c>
      <c r="C396" s="331" t="s">
        <v>9359</v>
      </c>
      <c r="D396" s="331" t="str">
        <f t="shared" si="16"/>
        <v>#25757</v>
      </c>
      <c r="E396" s="294" t="s">
        <v>8258</v>
      </c>
      <c r="F396" s="331" t="s">
        <v>1327</v>
      </c>
      <c r="G396" s="338" t="s">
        <v>9413</v>
      </c>
      <c r="H396" s="338" t="str">
        <f t="shared" si="15"/>
        <v>VN25757</v>
      </c>
      <c r="I396" s="338"/>
      <c r="J396" s="339" t="s">
        <v>9414</v>
      </c>
      <c r="K396" s="334"/>
      <c r="L396" s="335"/>
      <c r="M396" s="334"/>
      <c r="N396" s="336"/>
    </row>
    <row r="397" spans="1:14" ht="15.75">
      <c r="A397" s="329">
        <v>398</v>
      </c>
      <c r="B397" s="330">
        <v>40</v>
      </c>
      <c r="C397" s="331" t="s">
        <v>9359</v>
      </c>
      <c r="D397" s="331" t="str">
        <f t="shared" si="16"/>
        <v>#17646</v>
      </c>
      <c r="E397" s="294" t="s">
        <v>5785</v>
      </c>
      <c r="F397" s="331" t="s">
        <v>3329</v>
      </c>
      <c r="G397" s="338" t="s">
        <v>9415</v>
      </c>
      <c r="H397" s="338" t="str">
        <f t="shared" si="15"/>
        <v>VN17646</v>
      </c>
      <c r="I397" s="338"/>
      <c r="J397" s="339" t="s">
        <v>9036</v>
      </c>
      <c r="K397" s="334">
        <v>45888</v>
      </c>
      <c r="L397" s="335"/>
      <c r="M397" s="348"/>
      <c r="N397" s="336"/>
    </row>
    <row r="398" spans="1:14" ht="15.75">
      <c r="A398" s="329">
        <v>399</v>
      </c>
      <c r="B398" s="330">
        <v>41</v>
      </c>
      <c r="C398" s="331" t="s">
        <v>9359</v>
      </c>
      <c r="D398" s="331" t="str">
        <f t="shared" si="16"/>
        <v>#10788</v>
      </c>
      <c r="E398" s="294" t="s">
        <v>4269</v>
      </c>
      <c r="F398" s="331" t="s">
        <v>2444</v>
      </c>
      <c r="G398" s="331" t="s">
        <v>9416</v>
      </c>
      <c r="H398" s="331" t="str">
        <f t="shared" ref="H398:H461" si="17">CONCATENATE("VN",E398)</f>
        <v>VN10788</v>
      </c>
      <c r="I398" s="331"/>
      <c r="J398" s="333"/>
      <c r="K398" s="334"/>
      <c r="L398" s="358"/>
      <c r="M398" s="358"/>
      <c r="N398" s="336"/>
    </row>
    <row r="399" spans="1:14" ht="15.75">
      <c r="A399" s="329">
        <v>400</v>
      </c>
      <c r="B399" s="330">
        <v>1</v>
      </c>
      <c r="C399" s="331" t="s">
        <v>9417</v>
      </c>
      <c r="D399" s="331" t="str">
        <f t="shared" si="16"/>
        <v>#00464</v>
      </c>
      <c r="E399" s="294" t="s">
        <v>1087</v>
      </c>
      <c r="F399" s="331" t="s">
        <v>1086</v>
      </c>
      <c r="G399" s="331" t="s">
        <v>9418</v>
      </c>
      <c r="H399" s="331" t="str">
        <f t="shared" si="17"/>
        <v>VN00464</v>
      </c>
      <c r="I399" s="331"/>
      <c r="J399" s="333"/>
      <c r="K399" s="334"/>
      <c r="L399" s="335"/>
      <c r="M399" s="335"/>
      <c r="N399" s="336"/>
    </row>
    <row r="400" spans="1:14" ht="15.75">
      <c r="A400" s="329">
        <v>401</v>
      </c>
      <c r="B400" s="330">
        <v>2</v>
      </c>
      <c r="C400" s="331" t="s">
        <v>9417</v>
      </c>
      <c r="D400" s="331" t="str">
        <f t="shared" si="16"/>
        <v>#00662</v>
      </c>
      <c r="E400" s="294" t="s">
        <v>1195</v>
      </c>
      <c r="F400" s="331" t="s">
        <v>9419</v>
      </c>
      <c r="G400" s="331" t="s">
        <v>9420</v>
      </c>
      <c r="H400" s="331" t="str">
        <f t="shared" si="17"/>
        <v>VN00662</v>
      </c>
      <c r="I400" s="331"/>
      <c r="J400" s="333"/>
      <c r="K400" s="334"/>
      <c r="L400" s="335"/>
      <c r="M400" s="335"/>
      <c r="N400" s="336"/>
    </row>
    <row r="401" spans="1:14" ht="15.75">
      <c r="A401" s="329">
        <v>402</v>
      </c>
      <c r="B401" s="330">
        <v>3</v>
      </c>
      <c r="C401" s="331" t="s">
        <v>9417</v>
      </c>
      <c r="D401" s="331" t="str">
        <f t="shared" si="16"/>
        <v>#01015</v>
      </c>
      <c r="E401" s="294" t="s">
        <v>1373</v>
      </c>
      <c r="F401" s="331" t="s">
        <v>9421</v>
      </c>
      <c r="G401" s="331" t="s">
        <v>9422</v>
      </c>
      <c r="H401" s="331" t="str">
        <f t="shared" si="17"/>
        <v>VN01015</v>
      </c>
      <c r="I401" s="331"/>
      <c r="J401" s="333"/>
      <c r="K401" s="334"/>
      <c r="L401" s="335"/>
      <c r="M401" s="335"/>
      <c r="N401" s="336"/>
    </row>
    <row r="402" spans="1:14" ht="15.75">
      <c r="A402" s="329">
        <v>403</v>
      </c>
      <c r="B402" s="330">
        <v>4</v>
      </c>
      <c r="C402" s="331" t="s">
        <v>9417</v>
      </c>
      <c r="D402" s="331" t="str">
        <f t="shared" si="16"/>
        <v>#01294</v>
      </c>
      <c r="E402" s="294" t="s">
        <v>1501</v>
      </c>
      <c r="F402" s="331" t="s">
        <v>1500</v>
      </c>
      <c r="G402" s="331" t="s">
        <v>9423</v>
      </c>
      <c r="H402" s="331" t="str">
        <f t="shared" si="17"/>
        <v>VN01294</v>
      </c>
      <c r="I402" s="331"/>
      <c r="J402" s="333"/>
      <c r="K402" s="334"/>
      <c r="L402" s="335"/>
      <c r="M402" s="335"/>
      <c r="N402" s="336"/>
    </row>
    <row r="403" spans="1:14" ht="15.75">
      <c r="A403" s="329">
        <v>404</v>
      </c>
      <c r="B403" s="330">
        <v>5</v>
      </c>
      <c r="C403" s="331" t="s">
        <v>9417</v>
      </c>
      <c r="D403" s="331" t="str">
        <f t="shared" si="16"/>
        <v>#01386</v>
      </c>
      <c r="E403" s="294" t="s">
        <v>1531</v>
      </c>
      <c r="F403" s="331" t="s">
        <v>1530</v>
      </c>
      <c r="G403" s="331" t="s">
        <v>9424</v>
      </c>
      <c r="H403" s="331" t="str">
        <f t="shared" si="17"/>
        <v>VN01386</v>
      </c>
      <c r="I403" s="331"/>
      <c r="J403" s="333"/>
      <c r="K403" s="334"/>
      <c r="L403" s="335"/>
      <c r="M403" s="335"/>
      <c r="N403" s="336"/>
    </row>
    <row r="404" spans="1:14" ht="15.75">
      <c r="A404" s="329">
        <v>405</v>
      </c>
      <c r="B404" s="330">
        <v>6</v>
      </c>
      <c r="C404" s="331" t="s">
        <v>9417</v>
      </c>
      <c r="D404" s="331" t="str">
        <f t="shared" si="16"/>
        <v>#01525</v>
      </c>
      <c r="E404" s="294" t="s">
        <v>1575</v>
      </c>
      <c r="F404" s="331" t="s">
        <v>1574</v>
      </c>
      <c r="G404" s="331" t="s">
        <v>9425</v>
      </c>
      <c r="H404" s="331" t="str">
        <f t="shared" si="17"/>
        <v>VN01525</v>
      </c>
      <c r="I404" s="331"/>
      <c r="J404" s="333"/>
      <c r="K404" s="334"/>
      <c r="L404" s="335"/>
      <c r="M404" s="335"/>
      <c r="N404" s="336"/>
    </row>
    <row r="405" spans="1:14" ht="15.75">
      <c r="A405" s="329">
        <v>406</v>
      </c>
      <c r="B405" s="330">
        <v>7</v>
      </c>
      <c r="C405" s="331" t="s">
        <v>9417</v>
      </c>
      <c r="D405" s="331" t="str">
        <f t="shared" si="16"/>
        <v>#01527</v>
      </c>
      <c r="E405" s="294" t="s">
        <v>1577</v>
      </c>
      <c r="F405" s="331" t="s">
        <v>1576</v>
      </c>
      <c r="G405" s="331" t="s">
        <v>9426</v>
      </c>
      <c r="H405" s="331" t="str">
        <f t="shared" si="17"/>
        <v>VN01527</v>
      </c>
      <c r="I405" s="331"/>
      <c r="J405" s="333"/>
      <c r="K405" s="334"/>
      <c r="L405" s="335"/>
      <c r="M405" s="335"/>
      <c r="N405" s="336"/>
    </row>
    <row r="406" spans="1:14" ht="15.75">
      <c r="A406" s="329">
        <v>407</v>
      </c>
      <c r="B406" s="330">
        <v>8</v>
      </c>
      <c r="C406" s="331" t="s">
        <v>9417</v>
      </c>
      <c r="D406" s="331" t="str">
        <f t="shared" si="16"/>
        <v>#01555</v>
      </c>
      <c r="E406" s="294" t="s">
        <v>1587</v>
      </c>
      <c r="F406" s="331" t="s">
        <v>1586</v>
      </c>
      <c r="G406" s="331" t="s">
        <v>9427</v>
      </c>
      <c r="H406" s="331" t="str">
        <f t="shared" si="17"/>
        <v>VN01555</v>
      </c>
      <c r="I406" s="331"/>
      <c r="J406" s="333"/>
      <c r="K406" s="334"/>
      <c r="L406" s="335"/>
      <c r="M406" s="335"/>
      <c r="N406" s="336"/>
    </row>
    <row r="407" spans="1:14" ht="15.75">
      <c r="A407" s="329">
        <v>408</v>
      </c>
      <c r="B407" s="330">
        <v>9</v>
      </c>
      <c r="C407" s="331" t="s">
        <v>9417</v>
      </c>
      <c r="D407" s="331" t="str">
        <f t="shared" si="16"/>
        <v>#01919</v>
      </c>
      <c r="E407" s="294" t="s">
        <v>9428</v>
      </c>
      <c r="F407" s="331" t="s">
        <v>9429</v>
      </c>
      <c r="G407" s="331" t="s">
        <v>9430</v>
      </c>
      <c r="H407" s="331" t="str">
        <f t="shared" si="17"/>
        <v>VN01919</v>
      </c>
      <c r="I407" s="331"/>
      <c r="J407" s="333"/>
      <c r="K407" s="334"/>
      <c r="L407" s="337">
        <v>45780</v>
      </c>
      <c r="M407" s="337">
        <v>45887</v>
      </c>
      <c r="N407" s="336"/>
    </row>
    <row r="408" spans="1:14" ht="15.75">
      <c r="A408" s="329">
        <v>409</v>
      </c>
      <c r="B408" s="330">
        <v>10</v>
      </c>
      <c r="C408" s="331" t="s">
        <v>9417</v>
      </c>
      <c r="D408" s="331" t="str">
        <f t="shared" si="16"/>
        <v>#02646</v>
      </c>
      <c r="E408" s="294" t="s">
        <v>1940</v>
      </c>
      <c r="F408" s="331" t="s">
        <v>1939</v>
      </c>
      <c r="G408" s="331" t="s">
        <v>9431</v>
      </c>
      <c r="H408" s="331" t="str">
        <f t="shared" si="17"/>
        <v>VN02646</v>
      </c>
      <c r="I408" s="331"/>
      <c r="J408" s="333"/>
      <c r="K408" s="334"/>
      <c r="L408" s="335"/>
      <c r="M408" s="335"/>
      <c r="N408" s="336"/>
    </row>
    <row r="409" spans="1:14" ht="15.75">
      <c r="A409" s="329">
        <v>410</v>
      </c>
      <c r="B409" s="330">
        <v>11</v>
      </c>
      <c r="C409" s="331" t="s">
        <v>9417</v>
      </c>
      <c r="D409" s="331" t="str">
        <f t="shared" si="16"/>
        <v>#03615</v>
      </c>
      <c r="E409" s="294" t="s">
        <v>2287</v>
      </c>
      <c r="F409" s="331" t="s">
        <v>2286</v>
      </c>
      <c r="G409" s="331" t="s">
        <v>9432</v>
      </c>
      <c r="H409" s="331" t="str">
        <f t="shared" si="17"/>
        <v>VN03615</v>
      </c>
      <c r="I409" s="331"/>
      <c r="J409" s="333"/>
      <c r="K409" s="334"/>
      <c r="L409" s="335"/>
      <c r="M409" s="335"/>
      <c r="N409" s="336"/>
    </row>
    <row r="410" spans="1:14" ht="15.75">
      <c r="A410" s="329">
        <v>411</v>
      </c>
      <c r="B410" s="330">
        <v>12</v>
      </c>
      <c r="C410" s="331" t="s">
        <v>9417</v>
      </c>
      <c r="D410" s="331" t="str">
        <f t="shared" si="16"/>
        <v>#04197</v>
      </c>
      <c r="E410" s="294" t="s">
        <v>2412</v>
      </c>
      <c r="F410" s="331" t="s">
        <v>2411</v>
      </c>
      <c r="G410" s="331" t="s">
        <v>9433</v>
      </c>
      <c r="H410" s="331" t="str">
        <f t="shared" si="17"/>
        <v>VN04197</v>
      </c>
      <c r="I410" s="331"/>
      <c r="J410" s="333"/>
      <c r="K410" s="334"/>
      <c r="L410" s="335"/>
      <c r="M410" s="335"/>
      <c r="N410" s="336"/>
    </row>
    <row r="411" spans="1:14" ht="15.75">
      <c r="A411" s="329">
        <v>412</v>
      </c>
      <c r="B411" s="330">
        <v>13</v>
      </c>
      <c r="C411" s="331" t="s">
        <v>9417</v>
      </c>
      <c r="D411" s="331" t="str">
        <f t="shared" si="16"/>
        <v>#07843</v>
      </c>
      <c r="E411" s="294" t="s">
        <v>3411</v>
      </c>
      <c r="F411" s="331" t="s">
        <v>3410</v>
      </c>
      <c r="G411" s="331" t="s">
        <v>9434</v>
      </c>
      <c r="H411" s="331" t="str">
        <f t="shared" si="17"/>
        <v>VN07843</v>
      </c>
      <c r="I411" s="331"/>
      <c r="J411" s="333"/>
      <c r="K411" s="334"/>
      <c r="L411" s="335"/>
      <c r="M411" s="335"/>
      <c r="N411" s="336"/>
    </row>
    <row r="412" spans="1:14" ht="15.75">
      <c r="A412" s="329">
        <v>413</v>
      </c>
      <c r="B412" s="330">
        <v>14</v>
      </c>
      <c r="C412" s="331" t="s">
        <v>9417</v>
      </c>
      <c r="D412" s="331" t="str">
        <f t="shared" si="16"/>
        <v>#09879</v>
      </c>
      <c r="E412" s="294" t="s">
        <v>3989</v>
      </c>
      <c r="F412" s="331" t="s">
        <v>3988</v>
      </c>
      <c r="G412" s="331" t="s">
        <v>9435</v>
      </c>
      <c r="H412" s="331" t="str">
        <f t="shared" si="17"/>
        <v>VN09879</v>
      </c>
      <c r="I412" s="331"/>
      <c r="J412" s="333"/>
      <c r="K412" s="334"/>
      <c r="L412" s="335"/>
      <c r="M412" s="335"/>
      <c r="N412" s="336"/>
    </row>
    <row r="413" spans="1:14" ht="15.75">
      <c r="A413" s="329">
        <v>414</v>
      </c>
      <c r="B413" s="330">
        <v>15</v>
      </c>
      <c r="C413" s="331" t="s">
        <v>9417</v>
      </c>
      <c r="D413" s="331" t="str">
        <f t="shared" si="16"/>
        <v>#14021</v>
      </c>
      <c r="E413" s="294" t="s">
        <v>5006</v>
      </c>
      <c r="F413" s="331" t="s">
        <v>3857</v>
      </c>
      <c r="G413" s="331" t="s">
        <v>9436</v>
      </c>
      <c r="H413" s="331" t="str">
        <f t="shared" si="17"/>
        <v>VN14021</v>
      </c>
      <c r="I413" s="331"/>
      <c r="J413" s="333"/>
      <c r="K413" s="334"/>
      <c r="L413" s="335"/>
      <c r="M413" s="335"/>
      <c r="N413" s="336"/>
    </row>
    <row r="414" spans="1:14" ht="15.75">
      <c r="A414" s="329">
        <v>415</v>
      </c>
      <c r="B414" s="330">
        <v>16</v>
      </c>
      <c r="C414" s="331" t="s">
        <v>9417</v>
      </c>
      <c r="D414" s="331" t="str">
        <f t="shared" si="16"/>
        <v>#25677</v>
      </c>
      <c r="E414" s="294" t="s">
        <v>8225</v>
      </c>
      <c r="F414" s="331" t="s">
        <v>8226</v>
      </c>
      <c r="G414" s="331" t="s">
        <v>9437</v>
      </c>
      <c r="H414" s="331" t="str">
        <f t="shared" si="17"/>
        <v>VN25677</v>
      </c>
      <c r="I414" s="331"/>
      <c r="J414" s="333" t="s">
        <v>9438</v>
      </c>
      <c r="K414" s="334">
        <v>45722</v>
      </c>
      <c r="L414" s="335"/>
      <c r="M414" s="335"/>
      <c r="N414" s="336"/>
    </row>
    <row r="415" spans="1:14" ht="15.75">
      <c r="A415" s="329">
        <v>416</v>
      </c>
      <c r="B415" s="330">
        <v>17</v>
      </c>
      <c r="C415" s="331" t="s">
        <v>9417</v>
      </c>
      <c r="D415" s="331" t="str">
        <f t="shared" si="16"/>
        <v>#24953</v>
      </c>
      <c r="E415" s="294" t="s">
        <v>7826</v>
      </c>
      <c r="F415" s="331" t="s">
        <v>7827</v>
      </c>
      <c r="G415" s="338" t="s">
        <v>9439</v>
      </c>
      <c r="H415" s="338" t="str">
        <f t="shared" si="17"/>
        <v>VN24953</v>
      </c>
      <c r="I415" s="338"/>
      <c r="J415" s="339" t="s">
        <v>9440</v>
      </c>
      <c r="K415" s="334">
        <v>45516</v>
      </c>
      <c r="L415" s="335"/>
      <c r="M415" s="335"/>
      <c r="N415" s="336"/>
    </row>
    <row r="416" spans="1:14" ht="15.75">
      <c r="A416" s="329">
        <v>417</v>
      </c>
      <c r="B416" s="330">
        <v>1</v>
      </c>
      <c r="C416" s="331" t="s">
        <v>9441</v>
      </c>
      <c r="D416" s="331" t="str">
        <f t="shared" si="16"/>
        <v>#00606</v>
      </c>
      <c r="E416" s="294" t="s">
        <v>1163</v>
      </c>
      <c r="F416" s="331" t="s">
        <v>1162</v>
      </c>
      <c r="G416" s="331" t="s">
        <v>9442</v>
      </c>
      <c r="H416" s="331" t="str">
        <f t="shared" si="17"/>
        <v>VN00606</v>
      </c>
      <c r="I416" s="331"/>
      <c r="J416" s="333"/>
      <c r="K416" s="334"/>
      <c r="L416" s="335"/>
      <c r="M416" s="335"/>
      <c r="N416" s="336"/>
    </row>
    <row r="417" spans="1:14" ht="15.75">
      <c r="A417" s="329">
        <v>418</v>
      </c>
      <c r="B417" s="330">
        <v>2</v>
      </c>
      <c r="C417" s="331" t="s">
        <v>9441</v>
      </c>
      <c r="D417" s="331" t="str">
        <f t="shared" si="16"/>
        <v>#01465</v>
      </c>
      <c r="E417" s="294" t="s">
        <v>1557</v>
      </c>
      <c r="F417" s="331" t="s">
        <v>1556</v>
      </c>
      <c r="G417" s="331" t="s">
        <v>9443</v>
      </c>
      <c r="H417" s="331" t="str">
        <f t="shared" si="17"/>
        <v>VN01465</v>
      </c>
      <c r="I417" s="331" t="s">
        <v>8825</v>
      </c>
      <c r="J417" s="333"/>
      <c r="K417" s="334"/>
      <c r="L417" s="335"/>
      <c r="M417" s="335"/>
      <c r="N417" s="336"/>
    </row>
    <row r="418" spans="1:14" ht="15.75">
      <c r="A418" s="329">
        <v>419</v>
      </c>
      <c r="B418" s="330">
        <v>3</v>
      </c>
      <c r="C418" s="331" t="s">
        <v>9441</v>
      </c>
      <c r="D418" s="331" t="str">
        <f t="shared" si="16"/>
        <v>#00640</v>
      </c>
      <c r="E418" s="294" t="s">
        <v>1180</v>
      </c>
      <c r="F418" s="331" t="s">
        <v>1179</v>
      </c>
      <c r="G418" s="331" t="s">
        <v>9444</v>
      </c>
      <c r="H418" s="331" t="str">
        <f t="shared" si="17"/>
        <v>VN00640</v>
      </c>
      <c r="I418" s="331"/>
      <c r="J418" s="333"/>
      <c r="K418" s="334"/>
      <c r="L418" s="335"/>
      <c r="M418" s="335"/>
      <c r="N418" s="336"/>
    </row>
    <row r="419" spans="1:14" ht="15.75">
      <c r="A419" s="329">
        <v>420</v>
      </c>
      <c r="B419" s="330">
        <v>4</v>
      </c>
      <c r="C419" s="331" t="s">
        <v>9441</v>
      </c>
      <c r="D419" s="331" t="str">
        <f t="shared" si="16"/>
        <v>#01706</v>
      </c>
      <c r="E419" s="294" t="s">
        <v>1648</v>
      </c>
      <c r="F419" s="331" t="s">
        <v>1647</v>
      </c>
      <c r="G419" s="331" t="s">
        <v>9445</v>
      </c>
      <c r="H419" s="331" t="str">
        <f t="shared" si="17"/>
        <v>VN01706</v>
      </c>
      <c r="I419" s="331" t="s">
        <v>8825</v>
      </c>
      <c r="J419" s="333" t="s">
        <v>9446</v>
      </c>
      <c r="K419" s="334"/>
      <c r="L419" s="335"/>
      <c r="M419" s="335"/>
      <c r="N419" s="336"/>
    </row>
    <row r="420" spans="1:14" ht="15.75">
      <c r="A420" s="329">
        <v>421</v>
      </c>
      <c r="B420" s="330">
        <v>5</v>
      </c>
      <c r="C420" s="331" t="s">
        <v>9441</v>
      </c>
      <c r="D420" s="331" t="str">
        <f t="shared" si="16"/>
        <v>#03048</v>
      </c>
      <c r="E420" s="294" t="s">
        <v>2079</v>
      </c>
      <c r="F420" s="331" t="s">
        <v>6356</v>
      </c>
      <c r="G420" s="331" t="s">
        <v>9447</v>
      </c>
      <c r="H420" s="331" t="str">
        <f t="shared" si="17"/>
        <v>VN03048</v>
      </c>
      <c r="I420" s="331"/>
      <c r="J420" s="333"/>
      <c r="K420" s="334"/>
      <c r="L420" s="335"/>
      <c r="M420" s="335"/>
      <c r="N420" s="336"/>
    </row>
    <row r="421" spans="1:14" ht="15.75">
      <c r="A421" s="329">
        <v>422</v>
      </c>
      <c r="B421" s="330">
        <v>6</v>
      </c>
      <c r="C421" s="331" t="s">
        <v>9441</v>
      </c>
      <c r="D421" s="331" t="str">
        <f t="shared" si="16"/>
        <v>#07153</v>
      </c>
      <c r="E421" s="294" t="s">
        <v>3163</v>
      </c>
      <c r="F421" s="331" t="s">
        <v>3162</v>
      </c>
      <c r="G421" s="331" t="s">
        <v>9448</v>
      </c>
      <c r="H421" s="331" t="str">
        <f t="shared" si="17"/>
        <v>VN07153</v>
      </c>
      <c r="I421" s="331"/>
      <c r="J421" s="333"/>
      <c r="K421" s="334"/>
      <c r="L421" s="335"/>
      <c r="M421" s="335"/>
      <c r="N421" s="336"/>
    </row>
    <row r="422" spans="1:14" ht="15.75">
      <c r="A422" s="329">
        <v>423</v>
      </c>
      <c r="B422" s="330">
        <v>7</v>
      </c>
      <c r="C422" s="331" t="s">
        <v>9441</v>
      </c>
      <c r="D422" s="331" t="str">
        <f t="shared" si="16"/>
        <v>#07702</v>
      </c>
      <c r="E422" s="294" t="s">
        <v>3361</v>
      </c>
      <c r="F422" s="331" t="s">
        <v>3254</v>
      </c>
      <c r="G422" s="331" t="s">
        <v>9449</v>
      </c>
      <c r="H422" s="331" t="str">
        <f t="shared" si="17"/>
        <v>VN07702</v>
      </c>
      <c r="I422" s="331"/>
      <c r="J422" s="333"/>
      <c r="K422" s="334"/>
      <c r="L422" s="335"/>
      <c r="M422" s="335"/>
      <c r="N422" s="336"/>
    </row>
    <row r="423" spans="1:14" ht="15.75">
      <c r="A423" s="329">
        <v>424</v>
      </c>
      <c r="B423" s="330">
        <v>8</v>
      </c>
      <c r="C423" s="331" t="s">
        <v>9441</v>
      </c>
      <c r="D423" s="331" t="str">
        <f t="shared" si="16"/>
        <v>#11151</v>
      </c>
      <c r="E423" s="294" t="s">
        <v>4371</v>
      </c>
      <c r="F423" s="331" t="s">
        <v>9450</v>
      </c>
      <c r="G423" s="331" t="s">
        <v>9451</v>
      </c>
      <c r="H423" s="331" t="str">
        <f t="shared" si="17"/>
        <v>VN11151</v>
      </c>
      <c r="I423" s="331"/>
      <c r="J423" s="333"/>
      <c r="K423" s="334"/>
      <c r="L423" s="335"/>
      <c r="M423" s="335"/>
      <c r="N423" s="336"/>
    </row>
    <row r="424" spans="1:14" ht="15.75">
      <c r="A424" s="329">
        <v>425</v>
      </c>
      <c r="B424" s="330">
        <v>9</v>
      </c>
      <c r="C424" s="331" t="s">
        <v>9441</v>
      </c>
      <c r="D424" s="331" t="str">
        <f t="shared" si="16"/>
        <v>#09787</v>
      </c>
      <c r="E424" s="294" t="s">
        <v>3965</v>
      </c>
      <c r="F424" s="331" t="s">
        <v>2830</v>
      </c>
      <c r="G424" s="331" t="s">
        <v>9452</v>
      </c>
      <c r="H424" s="331" t="str">
        <f t="shared" si="17"/>
        <v>VN09787</v>
      </c>
      <c r="I424" s="331"/>
      <c r="J424" s="333"/>
      <c r="K424" s="334"/>
      <c r="L424" s="335"/>
      <c r="M424" s="335"/>
      <c r="N424" s="336"/>
    </row>
    <row r="425" spans="1:14" ht="15.75">
      <c r="A425" s="329">
        <v>426</v>
      </c>
      <c r="B425" s="330">
        <v>10</v>
      </c>
      <c r="C425" s="331" t="s">
        <v>9441</v>
      </c>
      <c r="D425" s="331" t="str">
        <f t="shared" si="16"/>
        <v>#01705</v>
      </c>
      <c r="E425" s="294" t="s">
        <v>1646</v>
      </c>
      <c r="F425" s="331" t="s">
        <v>9453</v>
      </c>
      <c r="G425" s="331" t="s">
        <v>9454</v>
      </c>
      <c r="H425" s="331" t="str">
        <f t="shared" si="17"/>
        <v>VN01705</v>
      </c>
      <c r="I425" s="331"/>
      <c r="J425" s="333"/>
      <c r="K425" s="334"/>
      <c r="L425" s="335"/>
      <c r="M425" s="335"/>
      <c r="N425" s="336"/>
    </row>
    <row r="426" spans="1:14" ht="15.75">
      <c r="A426" s="329">
        <v>427</v>
      </c>
      <c r="B426" s="330">
        <v>11</v>
      </c>
      <c r="C426" s="331" t="s">
        <v>9441</v>
      </c>
      <c r="D426" s="331" t="str">
        <f t="shared" si="16"/>
        <v>#16198</v>
      </c>
      <c r="E426" s="294" t="s">
        <v>5472</v>
      </c>
      <c r="F426" s="331" t="s">
        <v>5471</v>
      </c>
      <c r="G426" s="331" t="s">
        <v>9455</v>
      </c>
      <c r="H426" s="331" t="str">
        <f t="shared" si="17"/>
        <v>VN16198</v>
      </c>
      <c r="I426" s="331" t="s">
        <v>8825</v>
      </c>
      <c r="J426" s="333" t="s">
        <v>9456</v>
      </c>
      <c r="K426" s="334"/>
      <c r="L426" s="335"/>
      <c r="M426" s="335"/>
      <c r="N426" s="336"/>
    </row>
    <row r="427" spans="1:14" ht="15.75">
      <c r="A427" s="329">
        <v>428</v>
      </c>
      <c r="B427" s="330">
        <v>12</v>
      </c>
      <c r="C427" s="331" t="s">
        <v>9441</v>
      </c>
      <c r="D427" s="331" t="str">
        <f t="shared" si="16"/>
        <v>#06436</v>
      </c>
      <c r="E427" s="294" t="s">
        <v>2882</v>
      </c>
      <c r="F427" s="331" t="s">
        <v>2881</v>
      </c>
      <c r="G427" s="338" t="s">
        <v>9457</v>
      </c>
      <c r="H427" s="338" t="str">
        <f t="shared" si="17"/>
        <v>VN06436</v>
      </c>
      <c r="I427" s="338"/>
      <c r="J427" s="339" t="s">
        <v>9458</v>
      </c>
      <c r="K427" s="334">
        <v>45379</v>
      </c>
      <c r="L427" s="335"/>
      <c r="M427" s="335"/>
      <c r="N427" s="336"/>
    </row>
    <row r="428" spans="1:14" ht="15.75">
      <c r="A428" s="329">
        <v>429</v>
      </c>
      <c r="B428" s="330">
        <v>1</v>
      </c>
      <c r="C428" s="331" t="s">
        <v>9459</v>
      </c>
      <c r="D428" s="331" t="str">
        <f t="shared" si="16"/>
        <v>#03168</v>
      </c>
      <c r="E428" s="294" t="s">
        <v>2120</v>
      </c>
      <c r="F428" s="331" t="s">
        <v>2119</v>
      </c>
      <c r="G428" s="331" t="s">
        <v>9460</v>
      </c>
      <c r="H428" s="331" t="str">
        <f t="shared" si="17"/>
        <v>VN03168</v>
      </c>
      <c r="I428" s="331" t="s">
        <v>8825</v>
      </c>
      <c r="J428" s="333"/>
      <c r="K428" s="334"/>
      <c r="L428" s="335"/>
      <c r="M428" s="335"/>
      <c r="N428" s="336"/>
    </row>
    <row r="429" spans="1:14" ht="15.75">
      <c r="A429" s="329">
        <v>430</v>
      </c>
      <c r="B429" s="330">
        <v>2</v>
      </c>
      <c r="C429" s="331" t="s">
        <v>9459</v>
      </c>
      <c r="D429" s="331" t="str">
        <f t="shared" si="16"/>
        <v>#00256</v>
      </c>
      <c r="E429" s="294" t="s">
        <v>987</v>
      </c>
      <c r="F429" s="331" t="s">
        <v>986</v>
      </c>
      <c r="G429" s="331" t="s">
        <v>9461</v>
      </c>
      <c r="H429" s="331" t="str">
        <f t="shared" si="17"/>
        <v>VN00256</v>
      </c>
      <c r="I429" s="331"/>
      <c r="J429" s="333"/>
      <c r="K429" s="334"/>
      <c r="L429" s="335"/>
      <c r="M429" s="335"/>
      <c r="N429" s="336"/>
    </row>
    <row r="430" spans="1:14" ht="15.75">
      <c r="A430" s="329">
        <v>431</v>
      </c>
      <c r="B430" s="330">
        <v>3</v>
      </c>
      <c r="C430" s="331" t="s">
        <v>9459</v>
      </c>
      <c r="D430" s="331" t="str">
        <f t="shared" si="16"/>
        <v>#10070</v>
      </c>
      <c r="E430" s="294" t="s">
        <v>4042</v>
      </c>
      <c r="F430" s="331" t="s">
        <v>3445</v>
      </c>
      <c r="G430" s="331" t="s">
        <v>9462</v>
      </c>
      <c r="H430" s="331" t="str">
        <f t="shared" si="17"/>
        <v>VN10070</v>
      </c>
      <c r="I430" s="331" t="s">
        <v>8825</v>
      </c>
      <c r="J430" s="333"/>
      <c r="K430" s="334"/>
      <c r="L430" s="335"/>
      <c r="M430" s="335"/>
      <c r="N430" s="336"/>
    </row>
    <row r="431" spans="1:14" ht="15.75">
      <c r="A431" s="329">
        <v>432</v>
      </c>
      <c r="B431" s="330">
        <v>4</v>
      </c>
      <c r="C431" s="331" t="s">
        <v>9459</v>
      </c>
      <c r="D431" s="331" t="str">
        <f t="shared" si="16"/>
        <v>#01235</v>
      </c>
      <c r="E431" s="294" t="s">
        <v>1467</v>
      </c>
      <c r="F431" s="331" t="s">
        <v>1466</v>
      </c>
      <c r="G431" s="331" t="s">
        <v>9463</v>
      </c>
      <c r="H431" s="331" t="str">
        <f t="shared" si="17"/>
        <v>VN01235</v>
      </c>
      <c r="I431" s="331" t="s">
        <v>8825</v>
      </c>
      <c r="J431" s="333"/>
      <c r="K431" s="334"/>
      <c r="L431" s="335"/>
      <c r="M431" s="335"/>
      <c r="N431" s="336"/>
    </row>
    <row r="432" spans="1:14" ht="15.75">
      <c r="A432" s="329">
        <v>433</v>
      </c>
      <c r="B432" s="330">
        <v>5</v>
      </c>
      <c r="C432" s="331" t="s">
        <v>9459</v>
      </c>
      <c r="D432" s="331" t="str">
        <f t="shared" si="16"/>
        <v>#4.269</v>
      </c>
      <c r="E432" s="294" t="s">
        <v>9464</v>
      </c>
      <c r="F432" s="331" t="s">
        <v>994</v>
      </c>
      <c r="G432" s="331" t="s">
        <v>9465</v>
      </c>
      <c r="H432" s="331" t="str">
        <f t="shared" si="17"/>
        <v>VN4.269</v>
      </c>
      <c r="I432" s="331" t="s">
        <v>8825</v>
      </c>
      <c r="J432" s="333"/>
      <c r="K432" s="334"/>
      <c r="L432" s="335"/>
      <c r="M432" s="335"/>
      <c r="N432" s="336"/>
    </row>
    <row r="433" spans="1:14" ht="15.75">
      <c r="A433" s="329">
        <v>434</v>
      </c>
      <c r="B433" s="330">
        <v>6</v>
      </c>
      <c r="C433" s="331" t="s">
        <v>9459</v>
      </c>
      <c r="D433" s="331" t="str">
        <f t="shared" si="16"/>
        <v>#06404</v>
      </c>
      <c r="E433" s="294" t="s">
        <v>2870</v>
      </c>
      <c r="F433" s="331" t="s">
        <v>2869</v>
      </c>
      <c r="G433" s="331" t="s">
        <v>9466</v>
      </c>
      <c r="H433" s="331" t="str">
        <f t="shared" si="17"/>
        <v>VN06404</v>
      </c>
      <c r="I433" s="331"/>
      <c r="J433" s="333"/>
      <c r="K433" s="334"/>
      <c r="L433" s="335"/>
      <c r="M433" s="335"/>
      <c r="N433" s="336"/>
    </row>
    <row r="434" spans="1:14" ht="15.75">
      <c r="A434" s="329">
        <v>435</v>
      </c>
      <c r="B434" s="330">
        <v>7</v>
      </c>
      <c r="C434" s="331" t="s">
        <v>9459</v>
      </c>
      <c r="D434" s="331" t="str">
        <f t="shared" si="16"/>
        <v>#10979</v>
      </c>
      <c r="E434" s="294" t="s">
        <v>9467</v>
      </c>
      <c r="F434" s="331" t="s">
        <v>3191</v>
      </c>
      <c r="G434" s="331" t="s">
        <v>9468</v>
      </c>
      <c r="H434" s="331" t="str">
        <f t="shared" si="17"/>
        <v>VN10979</v>
      </c>
      <c r="I434" s="331" t="s">
        <v>8825</v>
      </c>
      <c r="J434" s="333"/>
      <c r="K434" s="334"/>
      <c r="L434" s="337">
        <v>45658</v>
      </c>
      <c r="M434" s="337">
        <v>45887</v>
      </c>
      <c r="N434" s="336"/>
    </row>
    <row r="435" spans="1:14" ht="15.75">
      <c r="A435" s="329">
        <v>436</v>
      </c>
      <c r="B435" s="330">
        <v>8</v>
      </c>
      <c r="C435" s="331" t="s">
        <v>9459</v>
      </c>
      <c r="D435" s="331" t="str">
        <f t="shared" si="16"/>
        <v>#01413</v>
      </c>
      <c r="E435" s="294" t="s">
        <v>1536</v>
      </c>
      <c r="F435" s="331" t="s">
        <v>9469</v>
      </c>
      <c r="G435" s="331" t="s">
        <v>9470</v>
      </c>
      <c r="H435" s="331" t="str">
        <f t="shared" si="17"/>
        <v>VN01413</v>
      </c>
      <c r="I435" s="331"/>
      <c r="J435" s="333"/>
      <c r="K435" s="334"/>
      <c r="L435" s="335"/>
      <c r="M435" s="335"/>
      <c r="N435" s="336"/>
    </row>
    <row r="436" spans="1:14" ht="15.75">
      <c r="A436" s="329">
        <v>437</v>
      </c>
      <c r="B436" s="330">
        <v>9</v>
      </c>
      <c r="C436" s="331" t="s">
        <v>9459</v>
      </c>
      <c r="D436" s="331" t="str">
        <f t="shared" si="16"/>
        <v>#06762</v>
      </c>
      <c r="E436" s="294" t="s">
        <v>3009</v>
      </c>
      <c r="F436" s="331" t="s">
        <v>3008</v>
      </c>
      <c r="G436" s="331" t="s">
        <v>9471</v>
      </c>
      <c r="H436" s="331" t="str">
        <f t="shared" si="17"/>
        <v>VN06762</v>
      </c>
      <c r="I436" s="331" t="s">
        <v>8825</v>
      </c>
      <c r="J436" s="333" t="s">
        <v>9472</v>
      </c>
      <c r="K436" s="334">
        <v>45622</v>
      </c>
      <c r="L436" s="335"/>
      <c r="M436" s="335"/>
      <c r="N436" s="336"/>
    </row>
    <row r="437" spans="1:14" ht="15.75">
      <c r="A437" s="329">
        <v>438</v>
      </c>
      <c r="B437" s="330">
        <v>10</v>
      </c>
      <c r="C437" s="331" t="s">
        <v>9459</v>
      </c>
      <c r="D437" s="331" t="str">
        <f t="shared" si="16"/>
        <v>#03790</v>
      </c>
      <c r="E437" s="294" t="s">
        <v>2327</v>
      </c>
      <c r="F437" s="331" t="s">
        <v>9473</v>
      </c>
      <c r="G437" s="331" t="s">
        <v>9474</v>
      </c>
      <c r="H437" s="331" t="str">
        <f t="shared" si="17"/>
        <v>VN03790</v>
      </c>
      <c r="I437" s="331" t="s">
        <v>8825</v>
      </c>
      <c r="J437" s="333"/>
      <c r="K437" s="334"/>
      <c r="L437" s="335"/>
      <c r="M437" s="335"/>
      <c r="N437" s="336"/>
    </row>
    <row r="438" spans="1:14" ht="15.75">
      <c r="A438" s="329">
        <v>439</v>
      </c>
      <c r="B438" s="330">
        <v>11</v>
      </c>
      <c r="C438" s="331" t="s">
        <v>9459</v>
      </c>
      <c r="D438" s="331" t="str">
        <f t="shared" si="16"/>
        <v>#10199</v>
      </c>
      <c r="E438" s="294" t="s">
        <v>4071</v>
      </c>
      <c r="F438" s="331" t="s">
        <v>4070</v>
      </c>
      <c r="G438" s="338" t="s">
        <v>9475</v>
      </c>
      <c r="H438" s="338" t="str">
        <f t="shared" si="17"/>
        <v>VN10199</v>
      </c>
      <c r="I438" s="338"/>
      <c r="J438" s="339"/>
      <c r="K438" s="334"/>
      <c r="L438" s="335"/>
      <c r="M438" s="335"/>
      <c r="N438" s="336"/>
    </row>
    <row r="439" spans="1:14" ht="15.75">
      <c r="A439" s="329">
        <v>440</v>
      </c>
      <c r="B439" s="330">
        <v>1</v>
      </c>
      <c r="C439" s="331" t="s">
        <v>717</v>
      </c>
      <c r="D439" s="331" t="str">
        <f t="shared" si="16"/>
        <v>#00776</v>
      </c>
      <c r="E439" s="294" t="s">
        <v>1261</v>
      </c>
      <c r="F439" s="331" t="s">
        <v>1260</v>
      </c>
      <c r="G439" s="331" t="s">
        <v>9476</v>
      </c>
      <c r="H439" s="331" t="str">
        <f t="shared" si="17"/>
        <v>VN00776</v>
      </c>
      <c r="I439" s="331"/>
      <c r="J439" s="333"/>
      <c r="K439" s="334"/>
      <c r="L439" s="335"/>
      <c r="M439" s="335"/>
      <c r="N439" s="336"/>
    </row>
    <row r="440" spans="1:14" ht="15.75">
      <c r="A440" s="329">
        <v>441</v>
      </c>
      <c r="B440" s="330">
        <v>2</v>
      </c>
      <c r="C440" s="331" t="s">
        <v>717</v>
      </c>
      <c r="D440" s="331" t="str">
        <f t="shared" si="16"/>
        <v>#00917</v>
      </c>
      <c r="E440" s="294" t="s">
        <v>1320</v>
      </c>
      <c r="F440" s="331" t="s">
        <v>1319</v>
      </c>
      <c r="G440" s="331" t="s">
        <v>9477</v>
      </c>
      <c r="H440" s="331" t="str">
        <f t="shared" si="17"/>
        <v>VN00917</v>
      </c>
      <c r="I440" s="331"/>
      <c r="J440" s="333"/>
      <c r="K440" s="334"/>
      <c r="L440" s="335"/>
      <c r="M440" s="335"/>
      <c r="N440" s="336"/>
    </row>
    <row r="441" spans="1:14" ht="15.75">
      <c r="A441" s="329">
        <v>442</v>
      </c>
      <c r="B441" s="330">
        <v>3</v>
      </c>
      <c r="C441" s="331" t="s">
        <v>717</v>
      </c>
      <c r="D441" s="331" t="str">
        <f t="shared" ref="D441:D504" si="18">CONCATENATE("#",E441)</f>
        <v>#00930</v>
      </c>
      <c r="E441" s="294" t="s">
        <v>1331</v>
      </c>
      <c r="F441" s="331" t="s">
        <v>1330</v>
      </c>
      <c r="G441" s="331" t="s">
        <v>9478</v>
      </c>
      <c r="H441" s="331" t="str">
        <f t="shared" si="17"/>
        <v>VN00930</v>
      </c>
      <c r="I441" s="331"/>
      <c r="J441" s="333"/>
      <c r="K441" s="334"/>
      <c r="L441" s="335"/>
      <c r="M441" s="335"/>
      <c r="N441" s="336"/>
    </row>
    <row r="442" spans="1:14" ht="15.75">
      <c r="A442" s="329">
        <v>443</v>
      </c>
      <c r="B442" s="330">
        <v>4</v>
      </c>
      <c r="C442" s="331" t="s">
        <v>717</v>
      </c>
      <c r="D442" s="331" t="str">
        <f t="shared" si="18"/>
        <v>#01198</v>
      </c>
      <c r="E442" s="294" t="s">
        <v>1448</v>
      </c>
      <c r="F442" s="331" t="s">
        <v>1447</v>
      </c>
      <c r="G442" s="331" t="s">
        <v>9479</v>
      </c>
      <c r="H442" s="331" t="str">
        <f t="shared" si="17"/>
        <v>VN01198</v>
      </c>
      <c r="I442" s="331"/>
      <c r="J442" s="333"/>
      <c r="K442" s="334"/>
      <c r="L442" s="335"/>
      <c r="M442" s="335"/>
      <c r="N442" s="336"/>
    </row>
    <row r="443" spans="1:14" ht="15.75">
      <c r="A443" s="329">
        <v>444</v>
      </c>
      <c r="B443" s="330">
        <v>5</v>
      </c>
      <c r="C443" s="331" t="s">
        <v>717</v>
      </c>
      <c r="D443" s="331" t="str">
        <f t="shared" si="18"/>
        <v>#01373</v>
      </c>
      <c r="E443" s="294" t="s">
        <v>1525</v>
      </c>
      <c r="F443" s="331" t="s">
        <v>1524</v>
      </c>
      <c r="G443" s="331" t="s">
        <v>9480</v>
      </c>
      <c r="H443" s="331" t="str">
        <f t="shared" si="17"/>
        <v>VN01373</v>
      </c>
      <c r="I443" s="331"/>
      <c r="J443" s="333"/>
      <c r="K443" s="334"/>
      <c r="L443" s="335"/>
      <c r="M443" s="335"/>
      <c r="N443" s="336"/>
    </row>
    <row r="444" spans="1:14" ht="15.75">
      <c r="A444" s="329">
        <v>445</v>
      </c>
      <c r="B444" s="330">
        <v>6</v>
      </c>
      <c r="C444" s="331" t="s">
        <v>717</v>
      </c>
      <c r="D444" s="331" t="str">
        <f t="shared" si="18"/>
        <v>#01434</v>
      </c>
      <c r="E444" s="294" t="s">
        <v>1540</v>
      </c>
      <c r="F444" s="331" t="s">
        <v>1539</v>
      </c>
      <c r="G444" s="331" t="s">
        <v>9481</v>
      </c>
      <c r="H444" s="331" t="str">
        <f t="shared" si="17"/>
        <v>VN01434</v>
      </c>
      <c r="I444" s="331"/>
      <c r="J444" s="333"/>
      <c r="K444" s="334"/>
      <c r="L444" s="335"/>
      <c r="M444" s="335"/>
      <c r="N444" s="336"/>
    </row>
    <row r="445" spans="1:14" ht="15.75">
      <c r="A445" s="329">
        <v>446</v>
      </c>
      <c r="B445" s="330">
        <v>7</v>
      </c>
      <c r="C445" s="331" t="s">
        <v>717</v>
      </c>
      <c r="D445" s="331" t="str">
        <f t="shared" si="18"/>
        <v>#01436</v>
      </c>
      <c r="E445" s="294" t="s">
        <v>1543</v>
      </c>
      <c r="F445" s="331" t="s">
        <v>1542</v>
      </c>
      <c r="G445" s="331" t="s">
        <v>9482</v>
      </c>
      <c r="H445" s="331" t="str">
        <f t="shared" si="17"/>
        <v>VN01436</v>
      </c>
      <c r="I445" s="331"/>
      <c r="J445" s="333"/>
      <c r="K445" s="334"/>
      <c r="L445" s="335"/>
      <c r="M445" s="335"/>
      <c r="N445" s="336"/>
    </row>
    <row r="446" spans="1:14" ht="15.75">
      <c r="A446" s="329">
        <v>447</v>
      </c>
      <c r="B446" s="330">
        <v>8</v>
      </c>
      <c r="C446" s="331" t="s">
        <v>717</v>
      </c>
      <c r="D446" s="331" t="str">
        <f t="shared" si="18"/>
        <v>#05479</v>
      </c>
      <c r="E446" s="294" t="s">
        <v>2709</v>
      </c>
      <c r="F446" s="331" t="s">
        <v>2708</v>
      </c>
      <c r="G446" s="331" t="s">
        <v>9483</v>
      </c>
      <c r="H446" s="331" t="str">
        <f t="shared" si="17"/>
        <v>VN05479</v>
      </c>
      <c r="I446" s="331"/>
      <c r="J446" s="333"/>
      <c r="K446" s="334"/>
      <c r="L446" s="335"/>
      <c r="M446" s="335"/>
      <c r="N446" s="336"/>
    </row>
    <row r="447" spans="1:14" ht="15.75">
      <c r="A447" s="329">
        <v>448</v>
      </c>
      <c r="B447" s="330">
        <v>9</v>
      </c>
      <c r="C447" s="331" t="s">
        <v>717</v>
      </c>
      <c r="D447" s="331" t="str">
        <f t="shared" si="18"/>
        <v>#09194</v>
      </c>
      <c r="E447" s="294" t="s">
        <v>3757</v>
      </c>
      <c r="F447" s="331" t="s">
        <v>3756</v>
      </c>
      <c r="G447" s="331" t="s">
        <v>9484</v>
      </c>
      <c r="H447" s="331" t="str">
        <f t="shared" si="17"/>
        <v>VN09194</v>
      </c>
      <c r="I447" s="331"/>
      <c r="J447" s="333"/>
      <c r="K447" s="334"/>
      <c r="L447" s="335"/>
      <c r="M447" s="335"/>
      <c r="N447" s="336"/>
    </row>
    <row r="448" spans="1:14" ht="15.75">
      <c r="A448" s="329">
        <v>449</v>
      </c>
      <c r="B448" s="330">
        <v>10</v>
      </c>
      <c r="C448" s="331" t="s">
        <v>717</v>
      </c>
      <c r="D448" s="331" t="str">
        <f t="shared" si="18"/>
        <v>#09784</v>
      </c>
      <c r="E448" s="294" t="s">
        <v>3962</v>
      </c>
      <c r="F448" s="331" t="s">
        <v>3961</v>
      </c>
      <c r="G448" s="331" t="s">
        <v>9485</v>
      </c>
      <c r="H448" s="331" t="str">
        <f t="shared" si="17"/>
        <v>VN09784</v>
      </c>
      <c r="I448" s="331" t="s">
        <v>8825</v>
      </c>
      <c r="J448" s="333"/>
      <c r="K448" s="334"/>
      <c r="L448" s="335"/>
      <c r="M448" s="335"/>
      <c r="N448" s="336"/>
    </row>
    <row r="449" spans="1:14" ht="15.75">
      <c r="A449" s="329">
        <v>450</v>
      </c>
      <c r="B449" s="330">
        <v>11</v>
      </c>
      <c r="C449" s="331" t="s">
        <v>717</v>
      </c>
      <c r="D449" s="331" t="str">
        <f t="shared" si="18"/>
        <v>#16878</v>
      </c>
      <c r="E449" s="294" t="s">
        <v>5586</v>
      </c>
      <c r="F449" s="331" t="s">
        <v>5585</v>
      </c>
      <c r="G449" s="352" t="s">
        <v>9486</v>
      </c>
      <c r="H449" s="352" t="str">
        <f t="shared" si="17"/>
        <v>VN16878</v>
      </c>
      <c r="I449" s="352"/>
      <c r="J449" s="353"/>
      <c r="K449" s="334"/>
      <c r="L449" s="335"/>
      <c r="M449" s="335"/>
      <c r="N449" s="336"/>
    </row>
    <row r="450" spans="1:14" ht="15.75">
      <c r="A450" s="329">
        <v>451</v>
      </c>
      <c r="B450" s="330">
        <v>12</v>
      </c>
      <c r="C450" s="331" t="s">
        <v>717</v>
      </c>
      <c r="D450" s="331" t="str">
        <f t="shared" si="18"/>
        <v>#16439</v>
      </c>
      <c r="E450" s="294" t="s">
        <v>5517</v>
      </c>
      <c r="F450" s="331" t="s">
        <v>5516</v>
      </c>
      <c r="G450" s="352" t="s">
        <v>9487</v>
      </c>
      <c r="H450" s="352" t="str">
        <f t="shared" si="17"/>
        <v>VN16439</v>
      </c>
      <c r="I450" s="352"/>
      <c r="J450" s="353"/>
      <c r="K450" s="334"/>
      <c r="L450" s="335"/>
      <c r="M450" s="335"/>
      <c r="N450" s="336"/>
    </row>
    <row r="451" spans="1:14" ht="15.75">
      <c r="A451" s="329">
        <v>452</v>
      </c>
      <c r="B451" s="330">
        <v>13</v>
      </c>
      <c r="C451" s="331" t="s">
        <v>717</v>
      </c>
      <c r="D451" s="331" t="str">
        <f t="shared" si="18"/>
        <v>#12501</v>
      </c>
      <c r="E451" s="294" t="s">
        <v>9488</v>
      </c>
      <c r="F451" s="331" t="s">
        <v>9489</v>
      </c>
      <c r="G451" s="331" t="s">
        <v>9490</v>
      </c>
      <c r="H451" s="331" t="str">
        <f t="shared" si="17"/>
        <v>VN12501</v>
      </c>
      <c r="I451" s="331" t="s">
        <v>8825</v>
      </c>
      <c r="J451" s="333"/>
      <c r="K451" s="334"/>
      <c r="L451" s="337">
        <v>45801</v>
      </c>
      <c r="M451" s="337">
        <v>45887</v>
      </c>
      <c r="N451" s="336"/>
    </row>
    <row r="452" spans="1:14" ht="15.75">
      <c r="A452" s="329">
        <v>453</v>
      </c>
      <c r="B452" s="330">
        <v>14</v>
      </c>
      <c r="C452" s="331" t="s">
        <v>717</v>
      </c>
      <c r="D452" s="331" t="str">
        <f t="shared" si="18"/>
        <v>#15378</v>
      </c>
      <c r="E452" s="294" t="s">
        <v>9491</v>
      </c>
      <c r="F452" s="331" t="s">
        <v>9492</v>
      </c>
      <c r="G452" s="352" t="s">
        <v>9493</v>
      </c>
      <c r="H452" s="352" t="str">
        <f t="shared" si="17"/>
        <v>VN15378</v>
      </c>
      <c r="I452" s="352"/>
      <c r="J452" s="353"/>
      <c r="K452" s="334"/>
      <c r="L452" s="337">
        <v>45660</v>
      </c>
      <c r="M452" s="337">
        <v>45887</v>
      </c>
      <c r="N452" s="336"/>
    </row>
    <row r="453" spans="1:14" ht="15.75">
      <c r="A453" s="329">
        <v>454</v>
      </c>
      <c r="B453" s="330">
        <v>15</v>
      </c>
      <c r="C453" s="331" t="s">
        <v>717</v>
      </c>
      <c r="D453" s="331" t="str">
        <f t="shared" si="18"/>
        <v>#14020</v>
      </c>
      <c r="E453" s="294" t="s">
        <v>9494</v>
      </c>
      <c r="F453" s="331" t="s">
        <v>9495</v>
      </c>
      <c r="G453" s="331" t="s">
        <v>9496</v>
      </c>
      <c r="H453" s="331" t="str">
        <f t="shared" si="17"/>
        <v>VN14020</v>
      </c>
      <c r="I453" s="331"/>
      <c r="J453" s="333"/>
      <c r="K453" s="334"/>
      <c r="L453" s="337">
        <v>45774</v>
      </c>
      <c r="M453" s="337">
        <v>45887</v>
      </c>
      <c r="N453" s="336"/>
    </row>
    <row r="454" spans="1:14" ht="15.75">
      <c r="A454" s="329">
        <v>455</v>
      </c>
      <c r="B454" s="330">
        <v>16</v>
      </c>
      <c r="C454" s="331" t="s">
        <v>717</v>
      </c>
      <c r="D454" s="331" t="str">
        <f t="shared" si="18"/>
        <v>#02611</v>
      </c>
      <c r="E454" s="294" t="s">
        <v>1924</v>
      </c>
      <c r="F454" s="331" t="s">
        <v>1923</v>
      </c>
      <c r="G454" s="331" t="s">
        <v>9497</v>
      </c>
      <c r="H454" s="331" t="str">
        <f t="shared" si="17"/>
        <v>VN02611</v>
      </c>
      <c r="I454" s="331" t="s">
        <v>8825</v>
      </c>
      <c r="J454" s="333"/>
      <c r="K454" s="334"/>
      <c r="L454" s="334"/>
      <c r="M454" s="334"/>
      <c r="N454" s="336"/>
    </row>
    <row r="455" spans="1:14" ht="15.75">
      <c r="A455" s="329">
        <v>456</v>
      </c>
      <c r="B455" s="330">
        <v>17</v>
      </c>
      <c r="C455" s="331" t="s">
        <v>717</v>
      </c>
      <c r="D455" s="331" t="str">
        <f t="shared" si="18"/>
        <v>#09169</v>
      </c>
      <c r="E455" s="294" t="s">
        <v>3753</v>
      </c>
      <c r="F455" s="331" t="s">
        <v>3752</v>
      </c>
      <c r="G455" s="331" t="s">
        <v>9498</v>
      </c>
      <c r="H455" s="331" t="str">
        <f t="shared" si="17"/>
        <v>VN09169</v>
      </c>
      <c r="I455" s="331"/>
      <c r="J455" s="333"/>
      <c r="K455" s="334"/>
      <c r="L455" s="335"/>
      <c r="M455" s="335"/>
      <c r="N455" s="336"/>
    </row>
    <row r="456" spans="1:14" ht="15.75">
      <c r="A456" s="329">
        <v>457</v>
      </c>
      <c r="B456" s="330">
        <v>18</v>
      </c>
      <c r="C456" s="331" t="s">
        <v>717</v>
      </c>
      <c r="D456" s="331" t="str">
        <f t="shared" si="18"/>
        <v>#09655</v>
      </c>
      <c r="E456" s="294" t="s">
        <v>3918</v>
      </c>
      <c r="F456" s="331" t="s">
        <v>3917</v>
      </c>
      <c r="G456" s="331" t="s">
        <v>9499</v>
      </c>
      <c r="H456" s="331" t="str">
        <f t="shared" si="17"/>
        <v>VN09655</v>
      </c>
      <c r="I456" s="331"/>
      <c r="J456" s="333"/>
      <c r="K456" s="334"/>
      <c r="L456" s="335"/>
      <c r="M456" s="335"/>
      <c r="N456" s="336"/>
    </row>
    <row r="457" spans="1:14" ht="15.75">
      <c r="A457" s="329">
        <v>458</v>
      </c>
      <c r="B457" s="330">
        <v>19</v>
      </c>
      <c r="C457" s="331" t="s">
        <v>717</v>
      </c>
      <c r="D457" s="331" t="str">
        <f t="shared" si="18"/>
        <v>#19005</v>
      </c>
      <c r="E457" s="294" t="s">
        <v>6166</v>
      </c>
      <c r="F457" s="331" t="s">
        <v>6165</v>
      </c>
      <c r="G457" s="331" t="s">
        <v>9500</v>
      </c>
      <c r="H457" s="331" t="str">
        <f t="shared" si="17"/>
        <v>VN19005</v>
      </c>
      <c r="I457" s="331" t="s">
        <v>8825</v>
      </c>
      <c r="J457" s="333"/>
      <c r="K457" s="334"/>
      <c r="L457" s="335"/>
      <c r="M457" s="335"/>
      <c r="N457" s="336"/>
    </row>
    <row r="458" spans="1:14" ht="15.75">
      <c r="A458" s="329">
        <v>459</v>
      </c>
      <c r="B458" s="330">
        <v>20</v>
      </c>
      <c r="C458" s="331" t="s">
        <v>717</v>
      </c>
      <c r="D458" s="331" t="str">
        <f t="shared" si="18"/>
        <v>#06000</v>
      </c>
      <c r="E458" s="294" t="s">
        <v>2818</v>
      </c>
      <c r="F458" s="331" t="s">
        <v>2817</v>
      </c>
      <c r="G458" s="331" t="s">
        <v>9501</v>
      </c>
      <c r="H458" s="331" t="str">
        <f t="shared" si="17"/>
        <v>VN06000</v>
      </c>
      <c r="I458" s="331" t="s">
        <v>8825</v>
      </c>
      <c r="J458" s="333"/>
      <c r="K458" s="334"/>
      <c r="L458" s="335"/>
      <c r="M458" s="335"/>
      <c r="N458" s="336"/>
    </row>
    <row r="459" spans="1:14" ht="15.75">
      <c r="A459" s="329">
        <v>460</v>
      </c>
      <c r="B459" s="330">
        <v>21</v>
      </c>
      <c r="C459" s="331" t="s">
        <v>717</v>
      </c>
      <c r="D459" s="331" t="str">
        <f t="shared" si="18"/>
        <v>#02065</v>
      </c>
      <c r="E459" s="294" t="s">
        <v>1747</v>
      </c>
      <c r="F459" s="331" t="s">
        <v>1746</v>
      </c>
      <c r="G459" s="331" t="s">
        <v>9502</v>
      </c>
      <c r="H459" s="331" t="str">
        <f t="shared" si="17"/>
        <v>VN02065</v>
      </c>
      <c r="I459" s="331" t="s">
        <v>8825</v>
      </c>
      <c r="J459" s="333"/>
      <c r="K459" s="334"/>
      <c r="L459" s="335"/>
      <c r="M459" s="335"/>
      <c r="N459" s="336"/>
    </row>
    <row r="460" spans="1:14" ht="15.75">
      <c r="A460" s="329">
        <v>461</v>
      </c>
      <c r="B460" s="330">
        <v>1</v>
      </c>
      <c r="C460" s="331" t="s">
        <v>9503</v>
      </c>
      <c r="D460" s="331" t="str">
        <f t="shared" si="18"/>
        <v>#01644</v>
      </c>
      <c r="E460" s="294" t="s">
        <v>1622</v>
      </c>
      <c r="F460" s="331" t="s">
        <v>1621</v>
      </c>
      <c r="G460" s="331" t="s">
        <v>9504</v>
      </c>
      <c r="H460" s="331" t="str">
        <f t="shared" si="17"/>
        <v>VN01644</v>
      </c>
      <c r="I460" s="331"/>
      <c r="J460" s="333"/>
      <c r="K460" s="334"/>
      <c r="L460" s="335"/>
      <c r="M460" s="335"/>
      <c r="N460" s="336"/>
    </row>
    <row r="461" spans="1:14" ht="15.75">
      <c r="A461" s="329">
        <v>462</v>
      </c>
      <c r="B461" s="330">
        <v>2</v>
      </c>
      <c r="C461" s="331" t="s">
        <v>9503</v>
      </c>
      <c r="D461" s="331" t="str">
        <f t="shared" si="18"/>
        <v>#03299</v>
      </c>
      <c r="E461" s="294" t="s">
        <v>2162</v>
      </c>
      <c r="F461" s="331" t="s">
        <v>2161</v>
      </c>
      <c r="G461" s="338" t="s">
        <v>9505</v>
      </c>
      <c r="H461" s="338" t="str">
        <f t="shared" si="17"/>
        <v>VN03299</v>
      </c>
      <c r="I461" s="338"/>
      <c r="J461" s="339"/>
      <c r="K461" s="334"/>
      <c r="L461" s="335"/>
      <c r="M461" s="335"/>
      <c r="N461" s="336"/>
    </row>
    <row r="462" spans="1:14" ht="15.75">
      <c r="A462" s="329">
        <v>463</v>
      </c>
      <c r="B462" s="330">
        <v>3</v>
      </c>
      <c r="C462" s="331" t="s">
        <v>9503</v>
      </c>
      <c r="D462" s="331" t="str">
        <f t="shared" si="18"/>
        <v>#10495</v>
      </c>
      <c r="E462" s="294" t="s">
        <v>4153</v>
      </c>
      <c r="F462" s="331" t="s">
        <v>4152</v>
      </c>
      <c r="G462" s="331" t="s">
        <v>9506</v>
      </c>
      <c r="H462" s="331" t="str">
        <f t="shared" ref="H462:H525" si="19">CONCATENATE("VN",E462)</f>
        <v>VN10495</v>
      </c>
      <c r="I462" s="331" t="s">
        <v>8825</v>
      </c>
      <c r="J462" s="333"/>
      <c r="K462" s="334"/>
      <c r="L462" s="335"/>
      <c r="M462" s="335"/>
      <c r="N462" s="336"/>
    </row>
    <row r="463" spans="1:14" ht="15.75">
      <c r="A463" s="329">
        <v>464</v>
      </c>
      <c r="B463" s="330">
        <v>4</v>
      </c>
      <c r="C463" s="331" t="s">
        <v>9503</v>
      </c>
      <c r="D463" s="331" t="str">
        <f t="shared" si="18"/>
        <v>#09568</v>
      </c>
      <c r="E463" s="294" t="s">
        <v>3882</v>
      </c>
      <c r="F463" s="331" t="s">
        <v>3881</v>
      </c>
      <c r="G463" s="331" t="s">
        <v>9507</v>
      </c>
      <c r="H463" s="331" t="str">
        <f t="shared" si="19"/>
        <v>VN09568</v>
      </c>
      <c r="I463" s="331" t="s">
        <v>8825</v>
      </c>
      <c r="J463" s="333"/>
      <c r="K463" s="334"/>
      <c r="L463" s="335"/>
      <c r="M463" s="335"/>
      <c r="N463" s="336"/>
    </row>
    <row r="464" spans="1:14" ht="15.75">
      <c r="A464" s="329">
        <v>465</v>
      </c>
      <c r="B464" s="330">
        <v>5</v>
      </c>
      <c r="C464" s="331" t="s">
        <v>9503</v>
      </c>
      <c r="D464" s="331" t="str">
        <f t="shared" si="18"/>
        <v>#17212</v>
      </c>
      <c r="E464" s="294" t="s">
        <v>9508</v>
      </c>
      <c r="F464" s="331" t="s">
        <v>9509</v>
      </c>
      <c r="G464" s="331" t="s">
        <v>9510</v>
      </c>
      <c r="H464" s="331" t="str">
        <f t="shared" si="19"/>
        <v>VN17212</v>
      </c>
      <c r="I464" s="331"/>
      <c r="J464" s="333"/>
      <c r="K464" s="334"/>
      <c r="L464" s="337">
        <v>45774</v>
      </c>
      <c r="M464" s="337">
        <v>45887</v>
      </c>
      <c r="N464" s="336"/>
    </row>
    <row r="465" spans="1:14" ht="15.75">
      <c r="A465" s="329">
        <v>466</v>
      </c>
      <c r="B465" s="330">
        <v>6</v>
      </c>
      <c r="C465" s="331" t="s">
        <v>9503</v>
      </c>
      <c r="D465" s="331" t="str">
        <f t="shared" si="18"/>
        <v>#01034</v>
      </c>
      <c r="E465" s="294" t="s">
        <v>1379</v>
      </c>
      <c r="F465" s="331" t="s">
        <v>2072</v>
      </c>
      <c r="G465" s="331" t="s">
        <v>9511</v>
      </c>
      <c r="H465" s="331" t="str">
        <f t="shared" si="19"/>
        <v>VN01034</v>
      </c>
      <c r="I465" s="331"/>
      <c r="J465" s="333"/>
      <c r="K465" s="334"/>
      <c r="L465" s="335"/>
      <c r="M465" s="335"/>
      <c r="N465" s="336"/>
    </row>
    <row r="466" spans="1:14" ht="15.75">
      <c r="A466" s="329">
        <v>467</v>
      </c>
      <c r="B466" s="330">
        <v>7</v>
      </c>
      <c r="C466" s="331" t="s">
        <v>9503</v>
      </c>
      <c r="D466" s="331" t="str">
        <f t="shared" si="18"/>
        <v>#11422</v>
      </c>
      <c r="E466" s="294" t="s">
        <v>4439</v>
      </c>
      <c r="F466" s="331" t="s">
        <v>4438</v>
      </c>
      <c r="G466" s="331" t="s">
        <v>9512</v>
      </c>
      <c r="H466" s="331" t="str">
        <f t="shared" si="19"/>
        <v>VN11422</v>
      </c>
      <c r="I466" s="331" t="s">
        <v>8825</v>
      </c>
      <c r="J466" s="333" t="s">
        <v>9513</v>
      </c>
      <c r="K466" s="334">
        <v>45520</v>
      </c>
      <c r="L466" s="335"/>
      <c r="M466" s="335"/>
      <c r="N466" s="336"/>
    </row>
    <row r="467" spans="1:14" ht="15.75">
      <c r="A467" s="329">
        <v>468</v>
      </c>
      <c r="B467" s="330">
        <v>8</v>
      </c>
      <c r="C467" s="331" t="s">
        <v>9503</v>
      </c>
      <c r="D467" s="331" t="str">
        <f t="shared" si="18"/>
        <v>#13581</v>
      </c>
      <c r="E467" s="294" t="s">
        <v>4880</v>
      </c>
      <c r="F467" s="331" t="s">
        <v>1053</v>
      </c>
      <c r="G467" s="331" t="s">
        <v>9514</v>
      </c>
      <c r="H467" s="331" t="str">
        <f t="shared" si="19"/>
        <v>VN13581</v>
      </c>
      <c r="I467" s="331" t="s">
        <v>8825</v>
      </c>
      <c r="J467" s="333" t="s">
        <v>9515</v>
      </c>
      <c r="K467" s="334">
        <v>45520</v>
      </c>
      <c r="L467" s="335"/>
      <c r="M467" s="335"/>
      <c r="N467" s="336"/>
    </row>
    <row r="468" spans="1:14" ht="15.75">
      <c r="A468" s="329">
        <v>469</v>
      </c>
      <c r="B468" s="330">
        <v>1</v>
      </c>
      <c r="C468" s="331" t="s">
        <v>9516</v>
      </c>
      <c r="D468" s="331" t="str">
        <f t="shared" si="18"/>
        <v>#01268</v>
      </c>
      <c r="E468" s="294" t="s">
        <v>1486</v>
      </c>
      <c r="F468" s="331" t="s">
        <v>1485</v>
      </c>
      <c r="G468" s="331" t="s">
        <v>9517</v>
      </c>
      <c r="H468" s="331" t="str">
        <f t="shared" si="19"/>
        <v>VN01268</v>
      </c>
      <c r="I468" s="331"/>
      <c r="J468" s="333" t="s">
        <v>9518</v>
      </c>
      <c r="K468" s="334"/>
      <c r="L468" s="335"/>
      <c r="M468" s="335"/>
      <c r="N468" s="336"/>
    </row>
    <row r="469" spans="1:14" ht="15.75">
      <c r="A469" s="329">
        <v>470</v>
      </c>
      <c r="B469" s="330">
        <v>2</v>
      </c>
      <c r="C469" s="331" t="s">
        <v>9516</v>
      </c>
      <c r="D469" s="331" t="str">
        <f t="shared" si="18"/>
        <v>#01543</v>
      </c>
      <c r="E469" s="294" t="s">
        <v>1583</v>
      </c>
      <c r="F469" s="331" t="s">
        <v>1582</v>
      </c>
      <c r="G469" s="331" t="s">
        <v>9519</v>
      </c>
      <c r="H469" s="331" t="str">
        <f t="shared" si="19"/>
        <v>VN01543</v>
      </c>
      <c r="I469" s="331" t="s">
        <v>8825</v>
      </c>
      <c r="J469" s="333"/>
      <c r="K469" s="334"/>
      <c r="L469" s="335"/>
      <c r="M469" s="335"/>
      <c r="N469" s="336"/>
    </row>
    <row r="470" spans="1:14" ht="15.75">
      <c r="A470" s="329">
        <v>471</v>
      </c>
      <c r="B470" s="330">
        <v>3</v>
      </c>
      <c r="C470" s="331" t="s">
        <v>9520</v>
      </c>
      <c r="D470" s="331" t="str">
        <f t="shared" si="18"/>
        <v>#22410</v>
      </c>
      <c r="E470" s="294" t="s">
        <v>7060</v>
      </c>
      <c r="F470" s="331" t="s">
        <v>7059</v>
      </c>
      <c r="G470" s="331" t="s">
        <v>9521</v>
      </c>
      <c r="H470" s="331" t="str">
        <f t="shared" si="19"/>
        <v>VN22410</v>
      </c>
      <c r="I470" s="331" t="s">
        <v>8825</v>
      </c>
      <c r="J470" s="333" t="s">
        <v>9522</v>
      </c>
      <c r="K470" s="334">
        <v>45121</v>
      </c>
      <c r="L470" s="335"/>
      <c r="M470" s="335"/>
      <c r="N470" s="336"/>
    </row>
    <row r="471" spans="1:14" ht="15.75">
      <c r="A471" s="329">
        <v>472</v>
      </c>
      <c r="B471" s="330">
        <v>4</v>
      </c>
      <c r="C471" s="331" t="s">
        <v>9516</v>
      </c>
      <c r="D471" s="331" t="str">
        <f t="shared" si="18"/>
        <v>#06887</v>
      </c>
      <c r="E471" s="294" t="s">
        <v>3057</v>
      </c>
      <c r="F471" s="331" t="s">
        <v>2229</v>
      </c>
      <c r="G471" s="331" t="s">
        <v>9523</v>
      </c>
      <c r="H471" s="331" t="str">
        <f t="shared" si="19"/>
        <v>VN06887</v>
      </c>
      <c r="I471" s="331" t="s">
        <v>8825</v>
      </c>
      <c r="J471" s="333" t="s">
        <v>9524</v>
      </c>
      <c r="K471" s="334"/>
      <c r="L471" s="335"/>
      <c r="M471" s="335"/>
      <c r="N471" s="336"/>
    </row>
    <row r="472" spans="1:14" ht="15.75">
      <c r="A472" s="329">
        <v>473</v>
      </c>
      <c r="B472" s="330">
        <v>5</v>
      </c>
      <c r="C472" s="331" t="s">
        <v>9516</v>
      </c>
      <c r="D472" s="331" t="str">
        <f t="shared" si="18"/>
        <v>#24531</v>
      </c>
      <c r="E472" s="294" t="s">
        <v>9525</v>
      </c>
      <c r="F472" s="331" t="s">
        <v>3857</v>
      </c>
      <c r="G472" s="331" t="s">
        <v>9526</v>
      </c>
      <c r="H472" s="331" t="str">
        <f t="shared" si="19"/>
        <v>VN24531</v>
      </c>
      <c r="I472" s="331" t="s">
        <v>8825</v>
      </c>
      <c r="J472" s="333" t="s">
        <v>9527</v>
      </c>
      <c r="K472" s="334">
        <v>45380</v>
      </c>
      <c r="L472" s="337">
        <v>45437</v>
      </c>
      <c r="M472" s="337">
        <v>45887</v>
      </c>
      <c r="N472" s="336"/>
    </row>
    <row r="473" spans="1:14" ht="15.75">
      <c r="A473" s="329">
        <v>474</v>
      </c>
      <c r="B473" s="330">
        <v>6</v>
      </c>
      <c r="C473" s="331" t="s">
        <v>9516</v>
      </c>
      <c r="D473" s="331" t="str">
        <f t="shared" si="18"/>
        <v>#26068</v>
      </c>
      <c r="E473" s="294" t="s">
        <v>9528</v>
      </c>
      <c r="F473" s="331" t="s">
        <v>9529</v>
      </c>
      <c r="G473" s="331" t="s">
        <v>9530</v>
      </c>
      <c r="H473" s="331" t="str">
        <f t="shared" si="19"/>
        <v>VN26068</v>
      </c>
      <c r="I473" s="331" t="s">
        <v>8825</v>
      </c>
      <c r="J473" s="333" t="s">
        <v>9531</v>
      </c>
      <c r="K473" s="334">
        <v>45831</v>
      </c>
      <c r="L473" s="335">
        <v>45978</v>
      </c>
      <c r="M473" s="335"/>
      <c r="N473" s="336"/>
    </row>
    <row r="474" spans="1:14" ht="15.75">
      <c r="A474" s="329">
        <v>475</v>
      </c>
      <c r="B474" s="330">
        <v>7</v>
      </c>
      <c r="C474" s="331" t="s">
        <v>9516</v>
      </c>
      <c r="D474" s="331" t="str">
        <f t="shared" si="18"/>
        <v>#24765</v>
      </c>
      <c r="E474" s="294" t="s">
        <v>7734</v>
      </c>
      <c r="F474" s="331" t="s">
        <v>3857</v>
      </c>
      <c r="G474" s="331" t="s">
        <v>9532</v>
      </c>
      <c r="H474" s="331" t="str">
        <f t="shared" si="19"/>
        <v>VN24765</v>
      </c>
      <c r="I474" s="331" t="s">
        <v>8825</v>
      </c>
      <c r="J474" s="333" t="s">
        <v>9533</v>
      </c>
      <c r="K474" s="334">
        <v>45437</v>
      </c>
      <c r="L474" s="335"/>
      <c r="M474" s="335"/>
      <c r="N474" s="336"/>
    </row>
    <row r="475" spans="1:14" ht="15.75">
      <c r="A475" s="329">
        <v>476</v>
      </c>
      <c r="B475" s="330">
        <v>1</v>
      </c>
      <c r="C475" s="331" t="s">
        <v>9534</v>
      </c>
      <c r="D475" s="331" t="str">
        <f t="shared" si="18"/>
        <v>#00336</v>
      </c>
      <c r="E475" s="294" t="s">
        <v>1028</v>
      </c>
      <c r="F475" s="331" t="s">
        <v>1027</v>
      </c>
      <c r="G475" s="331" t="s">
        <v>9535</v>
      </c>
      <c r="H475" s="331" t="str">
        <f t="shared" si="19"/>
        <v>VN00336</v>
      </c>
      <c r="I475" s="331"/>
      <c r="J475" s="333"/>
      <c r="K475" s="334"/>
      <c r="L475" s="335"/>
      <c r="M475" s="335"/>
      <c r="N475" s="336"/>
    </row>
    <row r="476" spans="1:14" ht="15.75">
      <c r="A476" s="329">
        <v>477</v>
      </c>
      <c r="B476" s="330">
        <v>2</v>
      </c>
      <c r="C476" s="331" t="s">
        <v>9534</v>
      </c>
      <c r="D476" s="331" t="str">
        <f t="shared" si="18"/>
        <v>#00740</v>
      </c>
      <c r="E476" s="294" t="s">
        <v>1238</v>
      </c>
      <c r="F476" s="331" t="s">
        <v>1237</v>
      </c>
      <c r="G476" s="331" t="s">
        <v>9536</v>
      </c>
      <c r="H476" s="331" t="str">
        <f t="shared" si="19"/>
        <v>VN00740</v>
      </c>
      <c r="I476" s="331"/>
      <c r="J476" s="333"/>
      <c r="K476" s="334"/>
      <c r="L476" s="335"/>
      <c r="M476" s="335"/>
      <c r="N476" s="336"/>
    </row>
    <row r="477" spans="1:14" ht="15.75">
      <c r="A477" s="329">
        <v>478</v>
      </c>
      <c r="B477" s="330">
        <v>3</v>
      </c>
      <c r="C477" s="331" t="s">
        <v>9534</v>
      </c>
      <c r="D477" s="331" t="str">
        <f t="shared" si="18"/>
        <v>#01188</v>
      </c>
      <c r="E477" s="294" t="s">
        <v>1441</v>
      </c>
      <c r="F477" s="331" t="s">
        <v>1440</v>
      </c>
      <c r="G477" s="331" t="s">
        <v>9537</v>
      </c>
      <c r="H477" s="331" t="str">
        <f t="shared" si="19"/>
        <v>VN01188</v>
      </c>
      <c r="I477" s="331"/>
      <c r="J477" s="333"/>
      <c r="K477" s="334"/>
      <c r="L477" s="335"/>
      <c r="M477" s="335"/>
      <c r="N477" s="336"/>
    </row>
    <row r="478" spans="1:14" ht="15.75">
      <c r="A478" s="329">
        <v>479</v>
      </c>
      <c r="B478" s="330">
        <v>4</v>
      </c>
      <c r="C478" s="331" t="s">
        <v>9534</v>
      </c>
      <c r="D478" s="331" t="str">
        <f t="shared" si="18"/>
        <v>#02824</v>
      </c>
      <c r="E478" s="294" t="s">
        <v>1986</v>
      </c>
      <c r="F478" s="331" t="s">
        <v>1985</v>
      </c>
      <c r="G478" s="331" t="s">
        <v>9538</v>
      </c>
      <c r="H478" s="331" t="str">
        <f t="shared" si="19"/>
        <v>VN02824</v>
      </c>
      <c r="I478" s="331"/>
      <c r="J478" s="333"/>
      <c r="K478" s="334"/>
      <c r="L478" s="335"/>
      <c r="M478" s="335"/>
      <c r="N478" s="336"/>
    </row>
    <row r="479" spans="1:14" ht="15.75">
      <c r="A479" s="329">
        <v>480</v>
      </c>
      <c r="B479" s="330">
        <v>5</v>
      </c>
      <c r="C479" s="331" t="s">
        <v>9534</v>
      </c>
      <c r="D479" s="331" t="str">
        <f t="shared" si="18"/>
        <v>#03489</v>
      </c>
      <c r="E479" s="294" t="s">
        <v>2245</v>
      </c>
      <c r="F479" s="331" t="s">
        <v>2244</v>
      </c>
      <c r="G479" s="331" t="s">
        <v>9539</v>
      </c>
      <c r="H479" s="331" t="str">
        <f t="shared" si="19"/>
        <v>VN03489</v>
      </c>
      <c r="I479" s="331"/>
      <c r="J479" s="333"/>
      <c r="K479" s="334"/>
      <c r="L479" s="335"/>
      <c r="M479" s="335"/>
      <c r="N479" s="336"/>
    </row>
    <row r="480" spans="1:14" ht="15.75">
      <c r="A480" s="329">
        <v>481</v>
      </c>
      <c r="B480" s="330">
        <v>6</v>
      </c>
      <c r="C480" s="331" t="s">
        <v>9534</v>
      </c>
      <c r="D480" s="331" t="str">
        <f t="shared" si="18"/>
        <v>#03499</v>
      </c>
      <c r="E480" s="294" t="s">
        <v>2247</v>
      </c>
      <c r="F480" s="331" t="s">
        <v>2246</v>
      </c>
      <c r="G480" s="331" t="s">
        <v>9540</v>
      </c>
      <c r="H480" s="331" t="str">
        <f t="shared" si="19"/>
        <v>VN03499</v>
      </c>
      <c r="I480" s="331" t="s">
        <v>8825</v>
      </c>
      <c r="J480" s="333"/>
      <c r="K480" s="334"/>
      <c r="L480" s="335"/>
      <c r="M480" s="335"/>
      <c r="N480" s="336"/>
    </row>
    <row r="481" spans="1:14" ht="15.75">
      <c r="A481" s="329">
        <v>482</v>
      </c>
      <c r="B481" s="330">
        <v>7</v>
      </c>
      <c r="C481" s="331" t="s">
        <v>9534</v>
      </c>
      <c r="D481" s="331" t="str">
        <f t="shared" si="18"/>
        <v>#17645</v>
      </c>
      <c r="E481" s="294" t="s">
        <v>5783</v>
      </c>
      <c r="F481" s="331" t="s">
        <v>9541</v>
      </c>
      <c r="G481" s="331" t="s">
        <v>9542</v>
      </c>
      <c r="H481" s="331" t="str">
        <f t="shared" si="19"/>
        <v>VN17645</v>
      </c>
      <c r="I481" s="331"/>
      <c r="J481" s="333"/>
      <c r="K481" s="334"/>
      <c r="L481" s="335"/>
      <c r="M481" s="335"/>
      <c r="N481" s="336"/>
    </row>
    <row r="482" spans="1:14" ht="15.75">
      <c r="A482" s="329">
        <v>483</v>
      </c>
      <c r="B482" s="330">
        <v>8</v>
      </c>
      <c r="C482" s="331" t="s">
        <v>9534</v>
      </c>
      <c r="D482" s="331" t="str">
        <f t="shared" si="18"/>
        <v>#18258</v>
      </c>
      <c r="E482" s="294" t="s">
        <v>5983</v>
      </c>
      <c r="F482" s="331" t="s">
        <v>4665</v>
      </c>
      <c r="G482" s="331" t="s">
        <v>9543</v>
      </c>
      <c r="H482" s="331" t="str">
        <f t="shared" si="19"/>
        <v>VN18258</v>
      </c>
      <c r="I482" s="331" t="s">
        <v>8825</v>
      </c>
      <c r="J482" s="333"/>
      <c r="K482" s="334"/>
      <c r="L482" s="335"/>
      <c r="M482" s="335"/>
      <c r="N482" s="336"/>
    </row>
    <row r="483" spans="1:14" ht="15.75">
      <c r="A483" s="329">
        <v>484</v>
      </c>
      <c r="B483" s="330">
        <v>9</v>
      </c>
      <c r="C483" s="331" t="s">
        <v>9534</v>
      </c>
      <c r="D483" s="331" t="str">
        <f t="shared" si="18"/>
        <v>#20019</v>
      </c>
      <c r="E483" s="294" t="s">
        <v>6456</v>
      </c>
      <c r="F483" s="331" t="s">
        <v>4790</v>
      </c>
      <c r="G483" s="331" t="s">
        <v>9544</v>
      </c>
      <c r="H483" s="331" t="str">
        <f t="shared" si="19"/>
        <v>VN20019</v>
      </c>
      <c r="I483" s="331"/>
      <c r="J483" s="333"/>
      <c r="K483" s="334"/>
      <c r="L483" s="335"/>
      <c r="M483" s="335"/>
      <c r="N483" s="336"/>
    </row>
    <row r="484" spans="1:14" ht="15.75">
      <c r="A484" s="329">
        <v>485</v>
      </c>
      <c r="B484" s="330">
        <v>10</v>
      </c>
      <c r="C484" s="331" t="s">
        <v>9534</v>
      </c>
      <c r="D484" s="331" t="str">
        <f t="shared" si="18"/>
        <v>#24333</v>
      </c>
      <c r="E484" s="294" t="s">
        <v>9545</v>
      </c>
      <c r="F484" s="331" t="s">
        <v>8170</v>
      </c>
      <c r="G484" s="331" t="s">
        <v>9546</v>
      </c>
      <c r="H484" s="331" t="str">
        <f t="shared" si="19"/>
        <v>VN24333</v>
      </c>
      <c r="I484" s="331"/>
      <c r="J484" s="333" t="s">
        <v>9547</v>
      </c>
      <c r="K484" s="334"/>
      <c r="L484" s="337">
        <v>45822</v>
      </c>
      <c r="M484" s="337">
        <v>45887</v>
      </c>
      <c r="N484" s="336"/>
    </row>
    <row r="485" spans="1:14" ht="15.75">
      <c r="A485" s="329">
        <v>486</v>
      </c>
      <c r="B485" s="330">
        <v>11</v>
      </c>
      <c r="C485" s="331" t="s">
        <v>9534</v>
      </c>
      <c r="D485" s="331" t="str">
        <f t="shared" si="18"/>
        <v>#25319</v>
      </c>
      <c r="E485" s="294" t="s">
        <v>7986</v>
      </c>
      <c r="F485" s="331" t="s">
        <v>8098</v>
      </c>
      <c r="G485" s="331" t="s">
        <v>9548</v>
      </c>
      <c r="H485" s="331" t="str">
        <f t="shared" si="19"/>
        <v>VN25319</v>
      </c>
      <c r="I485" s="331"/>
      <c r="J485" s="333" t="s">
        <v>9549</v>
      </c>
      <c r="K485" s="334">
        <v>45768</v>
      </c>
      <c r="L485" s="335"/>
      <c r="M485" s="335"/>
      <c r="N485" s="336"/>
    </row>
    <row r="486" spans="1:14" ht="15.75">
      <c r="A486" s="329">
        <v>487</v>
      </c>
      <c r="B486" s="330">
        <v>12</v>
      </c>
      <c r="C486" s="331" t="s">
        <v>9534</v>
      </c>
      <c r="D486" s="331" t="str">
        <f t="shared" si="18"/>
        <v>#20907</v>
      </c>
      <c r="E486" s="294" t="s">
        <v>6677</v>
      </c>
      <c r="F486" s="331" t="s">
        <v>6676</v>
      </c>
      <c r="G486" s="331" t="s">
        <v>9550</v>
      </c>
      <c r="H486" s="331" t="str">
        <f t="shared" si="19"/>
        <v>VN20907</v>
      </c>
      <c r="I486" s="331" t="s">
        <v>8825</v>
      </c>
      <c r="J486" s="333"/>
      <c r="K486" s="334"/>
      <c r="L486" s="335"/>
      <c r="M486" s="335"/>
      <c r="N486" s="336"/>
    </row>
    <row r="487" spans="1:14" ht="15.75">
      <c r="A487" s="329">
        <v>488</v>
      </c>
      <c r="B487" s="330">
        <v>1</v>
      </c>
      <c r="C487" s="331" t="s">
        <v>9551</v>
      </c>
      <c r="D487" s="331" t="str">
        <f t="shared" si="18"/>
        <v>#00200</v>
      </c>
      <c r="E487" s="294" t="s">
        <v>967</v>
      </c>
      <c r="F487" s="331" t="s">
        <v>966</v>
      </c>
      <c r="G487" s="331" t="s">
        <v>9552</v>
      </c>
      <c r="H487" s="331" t="str">
        <f t="shared" si="19"/>
        <v>VN00200</v>
      </c>
      <c r="I487" s="331"/>
      <c r="J487" s="333"/>
      <c r="K487" s="334"/>
      <c r="L487" s="335"/>
      <c r="M487" s="335"/>
      <c r="N487" s="336"/>
    </row>
    <row r="488" spans="1:14" ht="15.75">
      <c r="A488" s="329">
        <v>489</v>
      </c>
      <c r="B488" s="330">
        <v>2</v>
      </c>
      <c r="C488" s="331" t="s">
        <v>9551</v>
      </c>
      <c r="D488" s="331" t="str">
        <f t="shared" si="18"/>
        <v>#00288</v>
      </c>
      <c r="E488" s="294" t="s">
        <v>1006</v>
      </c>
      <c r="F488" s="331" t="s">
        <v>1005</v>
      </c>
      <c r="G488" s="331" t="s">
        <v>9553</v>
      </c>
      <c r="H488" s="331" t="str">
        <f t="shared" si="19"/>
        <v>VN00288</v>
      </c>
      <c r="I488" s="331" t="s">
        <v>8825</v>
      </c>
      <c r="J488" s="333"/>
      <c r="K488" s="334"/>
      <c r="L488" s="335"/>
      <c r="M488" s="335"/>
      <c r="N488" s="336"/>
    </row>
    <row r="489" spans="1:14" ht="15.75">
      <c r="A489" s="329">
        <v>490</v>
      </c>
      <c r="B489" s="330">
        <v>3</v>
      </c>
      <c r="C489" s="331" t="s">
        <v>9551</v>
      </c>
      <c r="D489" s="331" t="str">
        <f t="shared" si="18"/>
        <v>#00303</v>
      </c>
      <c r="E489" s="294" t="s">
        <v>1018</v>
      </c>
      <c r="F489" s="331" t="s">
        <v>1017</v>
      </c>
      <c r="G489" s="331" t="s">
        <v>9554</v>
      </c>
      <c r="H489" s="331" t="str">
        <f t="shared" si="19"/>
        <v>VN00303</v>
      </c>
      <c r="I489" s="331"/>
      <c r="J489" s="333"/>
      <c r="K489" s="334"/>
      <c r="L489" s="335"/>
      <c r="M489" s="335"/>
      <c r="N489" s="336"/>
    </row>
    <row r="490" spans="1:14" ht="15.75">
      <c r="A490" s="329">
        <v>491</v>
      </c>
      <c r="B490" s="330">
        <v>4</v>
      </c>
      <c r="C490" s="331" t="s">
        <v>9551</v>
      </c>
      <c r="D490" s="331" t="str">
        <f t="shared" si="18"/>
        <v>#00624</v>
      </c>
      <c r="E490" s="294" t="s">
        <v>1172</v>
      </c>
      <c r="F490" s="331" t="s">
        <v>1171</v>
      </c>
      <c r="G490" s="352" t="s">
        <v>9555</v>
      </c>
      <c r="H490" s="352" t="str">
        <f t="shared" si="19"/>
        <v>VN00624</v>
      </c>
      <c r="I490" s="352"/>
      <c r="J490" s="353"/>
      <c r="K490" s="334"/>
      <c r="L490" s="335"/>
      <c r="M490" s="335"/>
      <c r="N490" s="336"/>
    </row>
    <row r="491" spans="1:14" ht="15.75">
      <c r="A491" s="329">
        <v>492</v>
      </c>
      <c r="B491" s="330">
        <v>5</v>
      </c>
      <c r="C491" s="331" t="s">
        <v>9551</v>
      </c>
      <c r="D491" s="331" t="str">
        <f t="shared" si="18"/>
        <v>#01240</v>
      </c>
      <c r="E491" s="294" t="s">
        <v>1468</v>
      </c>
      <c r="F491" s="331" t="s">
        <v>1407</v>
      </c>
      <c r="G491" s="352" t="s">
        <v>9556</v>
      </c>
      <c r="H491" s="352" t="str">
        <f t="shared" si="19"/>
        <v>VN01240</v>
      </c>
      <c r="I491" s="352"/>
      <c r="J491" s="353"/>
      <c r="K491" s="334"/>
      <c r="L491" s="335"/>
      <c r="M491" s="335"/>
      <c r="N491" s="336"/>
    </row>
    <row r="492" spans="1:14" ht="15.75">
      <c r="A492" s="329">
        <v>493</v>
      </c>
      <c r="B492" s="330">
        <v>6</v>
      </c>
      <c r="C492" s="331" t="s">
        <v>9551</v>
      </c>
      <c r="D492" s="331" t="str">
        <f t="shared" si="18"/>
        <v>#15895</v>
      </c>
      <c r="E492" s="294" t="s">
        <v>5401</v>
      </c>
      <c r="F492" s="331" t="s">
        <v>5400</v>
      </c>
      <c r="G492" s="338" t="s">
        <v>9557</v>
      </c>
      <c r="H492" s="338" t="str">
        <f t="shared" si="19"/>
        <v>VN15895</v>
      </c>
      <c r="I492" s="338"/>
      <c r="J492" s="339"/>
      <c r="K492" s="334"/>
      <c r="L492" s="335"/>
      <c r="M492" s="335"/>
      <c r="N492" s="336"/>
    </row>
    <row r="493" spans="1:14" ht="15.75">
      <c r="A493" s="329">
        <v>494</v>
      </c>
      <c r="B493" s="330">
        <v>7</v>
      </c>
      <c r="C493" s="331" t="s">
        <v>9551</v>
      </c>
      <c r="D493" s="331" t="str">
        <f t="shared" si="18"/>
        <v>#00884</v>
      </c>
      <c r="E493" s="294" t="s">
        <v>1306</v>
      </c>
      <c r="F493" s="331" t="s">
        <v>1305</v>
      </c>
      <c r="G493" s="331" t="s">
        <v>9558</v>
      </c>
      <c r="H493" s="331" t="str">
        <f t="shared" si="19"/>
        <v>VN00884</v>
      </c>
      <c r="I493" s="331"/>
      <c r="J493" s="333"/>
      <c r="K493" s="334"/>
      <c r="L493" s="335"/>
      <c r="M493" s="335"/>
      <c r="N493" s="336"/>
    </row>
    <row r="494" spans="1:14" ht="15.75">
      <c r="A494" s="329">
        <v>495</v>
      </c>
      <c r="B494" s="330">
        <v>8</v>
      </c>
      <c r="C494" s="331" t="s">
        <v>9551</v>
      </c>
      <c r="D494" s="331" t="str">
        <f t="shared" si="18"/>
        <v>#03554</v>
      </c>
      <c r="E494" s="294" t="s">
        <v>2263</v>
      </c>
      <c r="F494" s="331" t="s">
        <v>2262</v>
      </c>
      <c r="G494" s="338" t="s">
        <v>9559</v>
      </c>
      <c r="H494" s="338" t="str">
        <f t="shared" si="19"/>
        <v>VN03554</v>
      </c>
      <c r="I494" s="338"/>
      <c r="J494" s="339"/>
      <c r="K494" s="334"/>
      <c r="L494" s="335"/>
      <c r="M494" s="335"/>
      <c r="N494" s="336"/>
    </row>
    <row r="495" spans="1:14" ht="15.75">
      <c r="A495" s="329">
        <v>496</v>
      </c>
      <c r="B495" s="330">
        <v>9</v>
      </c>
      <c r="C495" s="331" t="s">
        <v>9551</v>
      </c>
      <c r="D495" s="331" t="str">
        <f t="shared" si="18"/>
        <v>#07844</v>
      </c>
      <c r="E495" s="294" t="s">
        <v>3413</v>
      </c>
      <c r="F495" s="331" t="s">
        <v>9560</v>
      </c>
      <c r="G495" s="331" t="s">
        <v>9561</v>
      </c>
      <c r="H495" s="331" t="str">
        <f t="shared" si="19"/>
        <v>VN07844</v>
      </c>
      <c r="I495" s="331"/>
      <c r="J495" s="333" t="s">
        <v>9562</v>
      </c>
      <c r="K495" s="334"/>
      <c r="L495" s="335"/>
      <c r="M495" s="335"/>
      <c r="N495" s="336"/>
    </row>
    <row r="496" spans="1:14" ht="15.75">
      <c r="A496" s="329">
        <v>497</v>
      </c>
      <c r="B496" s="330">
        <v>10</v>
      </c>
      <c r="C496" s="331" t="s">
        <v>9551</v>
      </c>
      <c r="D496" s="331" t="str">
        <f t="shared" si="18"/>
        <v>#02485</v>
      </c>
      <c r="E496" s="294" t="s">
        <v>1880</v>
      </c>
      <c r="F496" s="331" t="s">
        <v>1879</v>
      </c>
      <c r="G496" s="331" t="s">
        <v>9563</v>
      </c>
      <c r="H496" s="331" t="str">
        <f t="shared" si="19"/>
        <v>VN02485</v>
      </c>
      <c r="I496" s="331" t="s">
        <v>8825</v>
      </c>
      <c r="J496" s="333" t="s">
        <v>9564</v>
      </c>
      <c r="K496" s="334"/>
      <c r="L496" s="335"/>
      <c r="M496" s="335"/>
      <c r="N496" s="336"/>
    </row>
    <row r="497" spans="1:14" ht="15.75">
      <c r="A497" s="329">
        <v>499</v>
      </c>
      <c r="B497" s="330">
        <v>12</v>
      </c>
      <c r="C497" s="331" t="s">
        <v>9551</v>
      </c>
      <c r="D497" s="331" t="str">
        <f t="shared" si="18"/>
        <v>#16118</v>
      </c>
      <c r="E497" s="294" t="s">
        <v>5448</v>
      </c>
      <c r="F497" s="331" t="s">
        <v>9565</v>
      </c>
      <c r="G497" s="331" t="s">
        <v>9566</v>
      </c>
      <c r="H497" s="331" t="str">
        <f t="shared" si="19"/>
        <v>VN16118</v>
      </c>
      <c r="I497" s="331" t="s">
        <v>8825</v>
      </c>
      <c r="J497" s="333" t="s">
        <v>9567</v>
      </c>
      <c r="K497" s="334">
        <v>45771</v>
      </c>
      <c r="L497" s="335"/>
      <c r="M497" s="335"/>
      <c r="N497" s="336"/>
    </row>
    <row r="498" spans="1:14" ht="15.75">
      <c r="A498" s="329">
        <v>500</v>
      </c>
      <c r="B498" s="330">
        <v>13</v>
      </c>
      <c r="C498" s="331" t="s">
        <v>9551</v>
      </c>
      <c r="D498" s="331" t="str">
        <f t="shared" si="18"/>
        <v>#09055</v>
      </c>
      <c r="E498" s="294" t="s">
        <v>9568</v>
      </c>
      <c r="F498" s="331" t="s">
        <v>3710</v>
      </c>
      <c r="G498" s="338" t="s">
        <v>9569</v>
      </c>
      <c r="H498" s="338" t="str">
        <f t="shared" si="19"/>
        <v>VN09055</v>
      </c>
      <c r="I498" s="338" t="s">
        <v>8825</v>
      </c>
      <c r="J498" s="339" t="s">
        <v>9570</v>
      </c>
      <c r="K498" s="334"/>
      <c r="L498" s="335"/>
      <c r="M498" s="335"/>
      <c r="N498" s="336"/>
    </row>
    <row r="499" spans="1:14" ht="15.75">
      <c r="A499" s="329">
        <v>501</v>
      </c>
      <c r="B499" s="330">
        <v>1</v>
      </c>
      <c r="C499" s="331" t="s">
        <v>9571</v>
      </c>
      <c r="D499" s="331" t="str">
        <f t="shared" si="18"/>
        <v>#13456</v>
      </c>
      <c r="E499" s="294" t="s">
        <v>4860</v>
      </c>
      <c r="F499" s="331" t="s">
        <v>4859</v>
      </c>
      <c r="G499" s="331" t="s">
        <v>9572</v>
      </c>
      <c r="H499" s="331" t="str">
        <f t="shared" si="19"/>
        <v>VN13456</v>
      </c>
      <c r="I499" s="331"/>
      <c r="J499" s="333"/>
      <c r="K499" s="334"/>
      <c r="L499" s="335"/>
      <c r="M499" s="335"/>
      <c r="N499" s="336"/>
    </row>
    <row r="500" spans="1:14" ht="15.75">
      <c r="A500" s="329">
        <v>502</v>
      </c>
      <c r="B500" s="330">
        <v>2</v>
      </c>
      <c r="C500" s="331" t="s">
        <v>9571</v>
      </c>
      <c r="D500" s="331" t="str">
        <f t="shared" si="18"/>
        <v>#00462</v>
      </c>
      <c r="E500" s="294" t="s">
        <v>1084</v>
      </c>
      <c r="F500" s="331" t="s">
        <v>1083</v>
      </c>
      <c r="G500" s="352" t="s">
        <v>9573</v>
      </c>
      <c r="H500" s="352" t="str">
        <f t="shared" si="19"/>
        <v>VN00462</v>
      </c>
      <c r="I500" s="352"/>
      <c r="J500" s="353"/>
      <c r="K500" s="334"/>
      <c r="L500" s="335"/>
      <c r="M500" s="335"/>
      <c r="N500" s="336"/>
    </row>
    <row r="501" spans="1:14" ht="15.75">
      <c r="A501" s="329">
        <v>503</v>
      </c>
      <c r="B501" s="330">
        <v>3</v>
      </c>
      <c r="C501" s="331" t="s">
        <v>9571</v>
      </c>
      <c r="D501" s="331" t="str">
        <f t="shared" si="18"/>
        <v>#01227</v>
      </c>
      <c r="E501" s="294" t="s">
        <v>1461</v>
      </c>
      <c r="F501" s="331" t="s">
        <v>1460</v>
      </c>
      <c r="G501" s="352" t="s">
        <v>9574</v>
      </c>
      <c r="H501" s="352" t="str">
        <f t="shared" si="19"/>
        <v>VN01227</v>
      </c>
      <c r="I501" s="352" t="s">
        <v>8825</v>
      </c>
      <c r="J501" s="353"/>
      <c r="K501" s="334"/>
      <c r="L501" s="335"/>
      <c r="M501" s="335"/>
      <c r="N501" s="336"/>
    </row>
    <row r="502" spans="1:14" ht="15.75">
      <c r="A502" s="329">
        <v>504</v>
      </c>
      <c r="B502" s="330">
        <v>4</v>
      </c>
      <c r="C502" s="331" t="s">
        <v>9571</v>
      </c>
      <c r="D502" s="331" t="str">
        <f t="shared" si="18"/>
        <v>#06994</v>
      </c>
      <c r="E502" s="294" t="s">
        <v>9575</v>
      </c>
      <c r="F502" s="331" t="s">
        <v>9576</v>
      </c>
      <c r="G502" s="331" t="s">
        <v>9577</v>
      </c>
      <c r="H502" s="331" t="str">
        <f t="shared" si="19"/>
        <v>VN06994</v>
      </c>
      <c r="I502" s="331" t="s">
        <v>8825</v>
      </c>
      <c r="J502" s="333"/>
      <c r="K502" s="334"/>
      <c r="L502" s="337">
        <v>45749</v>
      </c>
      <c r="M502" s="337">
        <v>45887</v>
      </c>
      <c r="N502" s="336"/>
    </row>
    <row r="503" spans="1:14" ht="15.75">
      <c r="A503" s="329">
        <v>505</v>
      </c>
      <c r="B503" s="330">
        <v>5</v>
      </c>
      <c r="C503" s="331" t="s">
        <v>9571</v>
      </c>
      <c r="D503" s="331" t="str">
        <f t="shared" si="18"/>
        <v>#04201</v>
      </c>
      <c r="E503" s="294" t="s">
        <v>2415</v>
      </c>
      <c r="F503" s="331" t="s">
        <v>4496</v>
      </c>
      <c r="G503" s="331" t="s">
        <v>9578</v>
      </c>
      <c r="H503" s="331" t="str">
        <f t="shared" si="19"/>
        <v>VN04201</v>
      </c>
      <c r="I503" s="331"/>
      <c r="J503" s="333"/>
      <c r="K503" s="334"/>
      <c r="L503" s="335"/>
      <c r="M503" s="335"/>
      <c r="N503" s="336"/>
    </row>
    <row r="504" spans="1:14" ht="15.75">
      <c r="A504" s="329">
        <v>506</v>
      </c>
      <c r="B504" s="330">
        <v>6</v>
      </c>
      <c r="C504" s="331" t="s">
        <v>9571</v>
      </c>
      <c r="D504" s="331" t="str">
        <f t="shared" si="18"/>
        <v>#11580</v>
      </c>
      <c r="E504" s="294" t="s">
        <v>4478</v>
      </c>
      <c r="F504" s="331" t="s">
        <v>4477</v>
      </c>
      <c r="G504" s="331" t="s">
        <v>9579</v>
      </c>
      <c r="H504" s="331" t="str">
        <f t="shared" si="19"/>
        <v>VN11580</v>
      </c>
      <c r="I504" s="331"/>
      <c r="J504" s="333"/>
      <c r="K504" s="334"/>
      <c r="L504" s="335"/>
      <c r="M504" s="335"/>
      <c r="N504" s="336"/>
    </row>
    <row r="505" spans="1:14" ht="15.75">
      <c r="A505" s="329">
        <v>507</v>
      </c>
      <c r="B505" s="330">
        <v>7</v>
      </c>
      <c r="C505" s="331" t="s">
        <v>9571</v>
      </c>
      <c r="D505" s="331" t="str">
        <f t="shared" ref="D505:D568" si="20">CONCATENATE("#",E505)</f>
        <v>#25606</v>
      </c>
      <c r="E505" s="294" t="s">
        <v>8202</v>
      </c>
      <c r="F505" s="331" t="s">
        <v>8203</v>
      </c>
      <c r="G505" s="331" t="s">
        <v>9580</v>
      </c>
      <c r="H505" s="331" t="str">
        <f t="shared" si="19"/>
        <v>VN25606</v>
      </c>
      <c r="I505" s="331" t="s">
        <v>8825</v>
      </c>
      <c r="J505" s="333" t="s">
        <v>9581</v>
      </c>
      <c r="K505" s="334">
        <v>45817</v>
      </c>
      <c r="L505" s="335"/>
      <c r="M505" s="335"/>
      <c r="N505" s="336"/>
    </row>
    <row r="506" spans="1:14" ht="15.75">
      <c r="A506" s="329">
        <v>508</v>
      </c>
      <c r="B506" s="330">
        <v>8</v>
      </c>
      <c r="C506" s="331" t="s">
        <v>9571</v>
      </c>
      <c r="D506" s="331" t="str">
        <f t="shared" si="20"/>
        <v>#16268</v>
      </c>
      <c r="E506" s="294" t="s">
        <v>5484</v>
      </c>
      <c r="F506" s="331" t="s">
        <v>5483</v>
      </c>
      <c r="G506" s="331" t="s">
        <v>9582</v>
      </c>
      <c r="H506" s="331" t="str">
        <f t="shared" si="19"/>
        <v>VN16268</v>
      </c>
      <c r="I506" s="331"/>
      <c r="J506" s="333"/>
      <c r="K506" s="334"/>
      <c r="L506" s="334"/>
      <c r="M506" s="335"/>
      <c r="N506" s="336"/>
    </row>
    <row r="507" spans="1:14" ht="15.75">
      <c r="A507" s="329">
        <v>509</v>
      </c>
      <c r="B507" s="330">
        <v>1</v>
      </c>
      <c r="C507" s="331" t="s">
        <v>9583</v>
      </c>
      <c r="D507" s="331" t="str">
        <f t="shared" si="20"/>
        <v>#10109</v>
      </c>
      <c r="E507" s="294" t="s">
        <v>4048</v>
      </c>
      <c r="F507" s="331" t="s">
        <v>4047</v>
      </c>
      <c r="G507" s="338" t="s">
        <v>9584</v>
      </c>
      <c r="H507" s="338" t="str">
        <f t="shared" si="19"/>
        <v>VN10109</v>
      </c>
      <c r="I507" s="338"/>
      <c r="J507" s="339"/>
      <c r="K507" s="334"/>
      <c r="L507" s="334"/>
      <c r="M507" s="334"/>
      <c r="N507" s="336"/>
    </row>
    <row r="508" spans="1:14" ht="15.75">
      <c r="A508" s="329">
        <v>510</v>
      </c>
      <c r="B508" s="330">
        <v>2</v>
      </c>
      <c r="C508" s="331" t="s">
        <v>9583</v>
      </c>
      <c r="D508" s="331" t="str">
        <f t="shared" si="20"/>
        <v>#02257</v>
      </c>
      <c r="E508" s="294" t="s">
        <v>9585</v>
      </c>
      <c r="F508" s="331" t="s">
        <v>9586</v>
      </c>
      <c r="G508" s="338" t="s">
        <v>9587</v>
      </c>
      <c r="H508" s="338" t="str">
        <f t="shared" si="19"/>
        <v>VN02257</v>
      </c>
      <c r="I508" s="338" t="s">
        <v>8825</v>
      </c>
      <c r="J508" s="339"/>
      <c r="K508" s="334"/>
      <c r="L508" s="337">
        <v>45831</v>
      </c>
      <c r="M508" s="337">
        <v>45887</v>
      </c>
      <c r="N508" s="336"/>
    </row>
    <row r="509" spans="1:14" ht="15.75">
      <c r="A509" s="329">
        <v>511</v>
      </c>
      <c r="B509" s="330">
        <v>3</v>
      </c>
      <c r="C509" s="331" t="s">
        <v>9583</v>
      </c>
      <c r="D509" s="331" t="str">
        <f t="shared" si="20"/>
        <v>#12804</v>
      </c>
      <c r="E509" s="294" t="s">
        <v>4743</v>
      </c>
      <c r="F509" s="331" t="s">
        <v>2945</v>
      </c>
      <c r="G509" s="338" t="s">
        <v>9588</v>
      </c>
      <c r="H509" s="338" t="str">
        <f t="shared" si="19"/>
        <v>VN12804</v>
      </c>
      <c r="I509" s="338"/>
      <c r="J509" s="339" t="s">
        <v>9589</v>
      </c>
      <c r="K509" s="334">
        <v>44975</v>
      </c>
      <c r="L509" s="335"/>
      <c r="M509" s="335"/>
      <c r="N509" s="336"/>
    </row>
    <row r="510" spans="1:14" ht="15.75">
      <c r="A510" s="329">
        <v>512</v>
      </c>
      <c r="B510" s="330">
        <v>4</v>
      </c>
      <c r="C510" s="331" t="s">
        <v>9583</v>
      </c>
      <c r="D510" s="331" t="str">
        <f t="shared" si="20"/>
        <v>#19546</v>
      </c>
      <c r="E510" s="294" t="s">
        <v>6312</v>
      </c>
      <c r="F510" s="331" t="s">
        <v>6311</v>
      </c>
      <c r="G510" s="338" t="s">
        <v>9590</v>
      </c>
      <c r="H510" s="338" t="str">
        <f t="shared" si="19"/>
        <v>VN19546</v>
      </c>
      <c r="I510" s="338" t="s">
        <v>8825</v>
      </c>
      <c r="J510" s="339"/>
      <c r="K510" s="334"/>
      <c r="L510" s="335"/>
      <c r="M510" s="335"/>
      <c r="N510" s="336"/>
    </row>
    <row r="511" spans="1:14" ht="15.75">
      <c r="A511" s="329">
        <v>513</v>
      </c>
      <c r="B511" s="330">
        <v>5</v>
      </c>
      <c r="C511" s="331" t="s">
        <v>9583</v>
      </c>
      <c r="D511" s="331" t="str">
        <f t="shared" si="20"/>
        <v>#04192</v>
      </c>
      <c r="E511" s="294" t="s">
        <v>9591</v>
      </c>
      <c r="F511" s="331" t="s">
        <v>9592</v>
      </c>
      <c r="G511" s="338" t="s">
        <v>9593</v>
      </c>
      <c r="H511" s="338" t="str">
        <f t="shared" si="19"/>
        <v>VN04192</v>
      </c>
      <c r="I511" s="338" t="s">
        <v>8825</v>
      </c>
      <c r="J511" s="339"/>
      <c r="K511" s="334">
        <v>45099</v>
      </c>
      <c r="L511" s="337">
        <v>45730</v>
      </c>
      <c r="M511" s="337">
        <v>45887</v>
      </c>
      <c r="N511" s="336"/>
    </row>
    <row r="512" spans="1:14" ht="15.75">
      <c r="A512" s="329">
        <v>514</v>
      </c>
      <c r="B512" s="330">
        <v>6</v>
      </c>
      <c r="C512" s="331" t="s">
        <v>9583</v>
      </c>
      <c r="D512" s="331" t="str">
        <f t="shared" si="20"/>
        <v>#22077</v>
      </c>
      <c r="E512" s="294" t="s">
        <v>6973</v>
      </c>
      <c r="F512" s="331" t="s">
        <v>6972</v>
      </c>
      <c r="G512" s="338" t="s">
        <v>9594</v>
      </c>
      <c r="H512" s="338" t="str">
        <f t="shared" si="19"/>
        <v>VN22077</v>
      </c>
      <c r="I512" s="338" t="s">
        <v>8825</v>
      </c>
      <c r="J512" s="339" t="s">
        <v>9595</v>
      </c>
      <c r="K512" s="334">
        <v>45111</v>
      </c>
      <c r="L512" s="335"/>
      <c r="M512" s="335"/>
      <c r="N512" s="336"/>
    </row>
    <row r="513" spans="1:14" ht="15.75">
      <c r="A513" s="329">
        <v>515</v>
      </c>
      <c r="B513" s="330">
        <v>7</v>
      </c>
      <c r="C513" s="331" t="s">
        <v>9583</v>
      </c>
      <c r="D513" s="331" t="str">
        <f t="shared" si="20"/>
        <v>#09262</v>
      </c>
      <c r="E513" s="294" t="s">
        <v>3784</v>
      </c>
      <c r="F513" s="331" t="s">
        <v>3783</v>
      </c>
      <c r="G513" s="338" t="s">
        <v>9596</v>
      </c>
      <c r="H513" s="338" t="str">
        <f t="shared" si="19"/>
        <v>VN09262</v>
      </c>
      <c r="I513" s="338" t="s">
        <v>8825</v>
      </c>
      <c r="J513" s="339" t="s">
        <v>9597</v>
      </c>
      <c r="K513" s="334">
        <v>45520</v>
      </c>
      <c r="L513" s="335"/>
      <c r="M513" s="335"/>
      <c r="N513" s="336"/>
    </row>
    <row r="514" spans="1:14" ht="15.75">
      <c r="A514" s="329">
        <v>516</v>
      </c>
      <c r="B514" s="330">
        <v>8</v>
      </c>
      <c r="C514" s="331" t="s">
        <v>9583</v>
      </c>
      <c r="D514" s="331" t="str">
        <f t="shared" si="20"/>
        <v>#00046</v>
      </c>
      <c r="E514" s="294" t="s">
        <v>897</v>
      </c>
      <c r="F514" s="331" t="s">
        <v>896</v>
      </c>
      <c r="G514" s="331" t="s">
        <v>9598</v>
      </c>
      <c r="H514" s="331" t="str">
        <f t="shared" si="19"/>
        <v>VN00046</v>
      </c>
      <c r="I514" s="331" t="s">
        <v>8825</v>
      </c>
      <c r="J514" s="333" t="s">
        <v>9599</v>
      </c>
      <c r="K514" s="334">
        <v>45477</v>
      </c>
      <c r="L514" s="335"/>
      <c r="M514" s="335"/>
      <c r="N514" s="336"/>
    </row>
    <row r="515" spans="1:14" ht="15.75">
      <c r="A515" s="329">
        <v>517</v>
      </c>
      <c r="B515" s="330">
        <v>9</v>
      </c>
      <c r="C515" s="331" t="s">
        <v>9583</v>
      </c>
      <c r="D515" s="331" t="str">
        <f t="shared" si="20"/>
        <v>#25156</v>
      </c>
      <c r="E515" s="294" t="s">
        <v>7971</v>
      </c>
      <c r="F515" s="331" t="s">
        <v>9600</v>
      </c>
      <c r="G515" s="338" t="s">
        <v>9601</v>
      </c>
      <c r="H515" s="338" t="str">
        <f t="shared" si="19"/>
        <v>VN25156</v>
      </c>
      <c r="I515" s="338" t="s">
        <v>8825</v>
      </c>
      <c r="J515" s="339" t="s">
        <v>9602</v>
      </c>
      <c r="K515" s="334">
        <v>45572</v>
      </c>
      <c r="L515" s="335"/>
      <c r="M515" s="335"/>
      <c r="N515" s="336"/>
    </row>
    <row r="516" spans="1:14" ht="15.75">
      <c r="A516" s="329">
        <v>518</v>
      </c>
      <c r="B516" s="330">
        <v>10</v>
      </c>
      <c r="C516" s="331" t="s">
        <v>9583</v>
      </c>
      <c r="D516" s="331" t="str">
        <f t="shared" si="20"/>
        <v>#00413</v>
      </c>
      <c r="E516" s="294" t="s">
        <v>1067</v>
      </c>
      <c r="F516" s="331" t="s">
        <v>1066</v>
      </c>
      <c r="G516" s="331" t="s">
        <v>9603</v>
      </c>
      <c r="H516" s="331" t="str">
        <f t="shared" si="19"/>
        <v>VN00413</v>
      </c>
      <c r="I516" s="331" t="s">
        <v>8825</v>
      </c>
      <c r="J516" s="333" t="s">
        <v>9604</v>
      </c>
      <c r="K516" s="334">
        <v>45743</v>
      </c>
      <c r="L516" s="335"/>
      <c r="M516" s="335"/>
      <c r="N516" s="336"/>
    </row>
    <row r="517" spans="1:14" ht="15.75">
      <c r="A517" s="329">
        <v>519</v>
      </c>
      <c r="B517" s="330">
        <v>11</v>
      </c>
      <c r="C517" s="331" t="s">
        <v>9583</v>
      </c>
      <c r="D517" s="331" t="str">
        <f t="shared" si="20"/>
        <v>#25906</v>
      </c>
      <c r="E517" s="294" t="s">
        <v>8034</v>
      </c>
      <c r="F517" s="331" t="s">
        <v>8035</v>
      </c>
      <c r="G517" s="331" t="s">
        <v>9605</v>
      </c>
      <c r="H517" s="331" t="str">
        <f t="shared" si="19"/>
        <v>VN25906</v>
      </c>
      <c r="I517" s="331"/>
      <c r="J517" s="333" t="s">
        <v>9606</v>
      </c>
      <c r="K517" s="334">
        <v>45805</v>
      </c>
      <c r="L517" s="335"/>
      <c r="M517" s="335"/>
      <c r="N517" s="336"/>
    </row>
    <row r="518" spans="1:14" ht="15.75">
      <c r="A518" s="329">
        <v>520</v>
      </c>
      <c r="B518" s="330">
        <v>12</v>
      </c>
      <c r="C518" s="331" t="s">
        <v>9583</v>
      </c>
      <c r="D518" s="331" t="str">
        <f t="shared" si="20"/>
        <v>#00941</v>
      </c>
      <c r="E518" s="294" t="s">
        <v>1335</v>
      </c>
      <c r="F518" s="331" t="s">
        <v>9607</v>
      </c>
      <c r="G518" s="338" t="s">
        <v>9608</v>
      </c>
      <c r="H518" s="338" t="str">
        <f t="shared" si="19"/>
        <v>VN00941</v>
      </c>
      <c r="I518" s="338" t="s">
        <v>8825</v>
      </c>
      <c r="J518" s="339" t="s">
        <v>9609</v>
      </c>
      <c r="K518" s="334">
        <v>45776</v>
      </c>
      <c r="L518" s="334"/>
      <c r="M518" s="335"/>
      <c r="N518" s="336"/>
    </row>
    <row r="519" spans="1:14" ht="15.75">
      <c r="A519" s="329">
        <v>521</v>
      </c>
      <c r="B519" s="330">
        <v>1</v>
      </c>
      <c r="C519" s="331" t="s">
        <v>9610</v>
      </c>
      <c r="D519" s="331" t="str">
        <f t="shared" si="20"/>
        <v>#00234</v>
      </c>
      <c r="E519" s="294" t="s">
        <v>977</v>
      </c>
      <c r="F519" s="331" t="s">
        <v>976</v>
      </c>
      <c r="G519" s="331" t="s">
        <v>9611</v>
      </c>
      <c r="H519" s="331" t="str">
        <f t="shared" si="19"/>
        <v>VN00234</v>
      </c>
      <c r="I519" s="331"/>
      <c r="J519" s="333"/>
      <c r="K519" s="334"/>
      <c r="L519" s="334"/>
      <c r="M519" s="334"/>
      <c r="N519" s="336"/>
    </row>
    <row r="520" spans="1:14" ht="15.75">
      <c r="A520" s="329">
        <v>522</v>
      </c>
      <c r="B520" s="330">
        <v>2</v>
      </c>
      <c r="C520" s="331" t="s">
        <v>9610</v>
      </c>
      <c r="D520" s="331" t="str">
        <f t="shared" si="20"/>
        <v>#01911</v>
      </c>
      <c r="E520" s="294" t="s">
        <v>1718</v>
      </c>
      <c r="F520" s="331" t="s">
        <v>1717</v>
      </c>
      <c r="G520" s="331" t="s">
        <v>9612</v>
      </c>
      <c r="H520" s="331" t="str">
        <f t="shared" si="19"/>
        <v>VN01911</v>
      </c>
      <c r="I520" s="331"/>
      <c r="J520" s="333"/>
      <c r="K520" s="334"/>
      <c r="L520" s="334"/>
      <c r="M520" s="334"/>
      <c r="N520" s="336"/>
    </row>
    <row r="521" spans="1:14" ht="15.75">
      <c r="A521" s="329">
        <v>523</v>
      </c>
      <c r="B521" s="330">
        <v>3</v>
      </c>
      <c r="C521" s="331" t="s">
        <v>9610</v>
      </c>
      <c r="D521" s="331" t="str">
        <f t="shared" si="20"/>
        <v>#01309</v>
      </c>
      <c r="E521" s="294" t="s">
        <v>1507</v>
      </c>
      <c r="F521" s="331" t="s">
        <v>1506</v>
      </c>
      <c r="G521" s="338" t="s">
        <v>9613</v>
      </c>
      <c r="H521" s="338" t="str">
        <f t="shared" si="19"/>
        <v>VN01309</v>
      </c>
      <c r="I521" s="338" t="s">
        <v>8825</v>
      </c>
      <c r="J521" s="339"/>
      <c r="K521" s="334"/>
      <c r="L521" s="334"/>
      <c r="M521" s="334"/>
      <c r="N521" s="336"/>
    </row>
    <row r="522" spans="1:14" ht="15.75">
      <c r="A522" s="329">
        <v>524</v>
      </c>
      <c r="B522" s="330">
        <v>4</v>
      </c>
      <c r="C522" s="331" t="s">
        <v>9610</v>
      </c>
      <c r="D522" s="331" t="str">
        <f t="shared" si="20"/>
        <v>#01795</v>
      </c>
      <c r="E522" s="294" t="s">
        <v>1683</v>
      </c>
      <c r="F522" s="331" t="s">
        <v>1682</v>
      </c>
      <c r="G522" s="338" t="s">
        <v>9614</v>
      </c>
      <c r="H522" s="338" t="str">
        <f t="shared" si="19"/>
        <v>VN01795</v>
      </c>
      <c r="I522" s="338"/>
      <c r="J522" s="339"/>
      <c r="K522" s="334"/>
      <c r="L522" s="334"/>
      <c r="M522" s="334"/>
      <c r="N522" s="336"/>
    </row>
    <row r="523" spans="1:14" ht="15.75">
      <c r="A523" s="329">
        <v>525</v>
      </c>
      <c r="B523" s="330">
        <v>5</v>
      </c>
      <c r="C523" s="331" t="s">
        <v>9610</v>
      </c>
      <c r="D523" s="331" t="str">
        <f t="shared" si="20"/>
        <v>#01134</v>
      </c>
      <c r="E523" s="294" t="s">
        <v>1423</v>
      </c>
      <c r="F523" s="331" t="s">
        <v>1422</v>
      </c>
      <c r="G523" s="331" t="s">
        <v>9615</v>
      </c>
      <c r="H523" s="331" t="str">
        <f t="shared" si="19"/>
        <v>VN01134</v>
      </c>
      <c r="I523" s="331"/>
      <c r="J523" s="333"/>
      <c r="K523" s="334"/>
      <c r="L523" s="334"/>
      <c r="M523" s="334"/>
      <c r="N523" s="336"/>
    </row>
    <row r="524" spans="1:14" ht="15.75">
      <c r="A524" s="329">
        <v>526</v>
      </c>
      <c r="B524" s="330">
        <v>6</v>
      </c>
      <c r="C524" s="331" t="s">
        <v>9610</v>
      </c>
      <c r="D524" s="331" t="str">
        <f t="shared" si="20"/>
        <v>#11988</v>
      </c>
      <c r="E524" s="294" t="s">
        <v>4578</v>
      </c>
      <c r="F524" s="331" t="s">
        <v>2112</v>
      </c>
      <c r="G524" s="331" t="s">
        <v>9616</v>
      </c>
      <c r="H524" s="331" t="str">
        <f t="shared" si="19"/>
        <v>VN11988</v>
      </c>
      <c r="I524" s="331"/>
      <c r="J524" s="333"/>
      <c r="K524" s="334"/>
      <c r="L524" s="334"/>
      <c r="M524" s="334"/>
      <c r="N524" s="336"/>
    </row>
    <row r="525" spans="1:14" ht="15.75">
      <c r="A525" s="329">
        <v>527</v>
      </c>
      <c r="B525" s="330">
        <v>7</v>
      </c>
      <c r="C525" s="331" t="s">
        <v>9610</v>
      </c>
      <c r="D525" s="331" t="str">
        <f t="shared" si="20"/>
        <v>#01899</v>
      </c>
      <c r="E525" s="294" t="s">
        <v>9617</v>
      </c>
      <c r="F525" s="331" t="s">
        <v>9618</v>
      </c>
      <c r="G525" s="331" t="s">
        <v>9619</v>
      </c>
      <c r="H525" s="331" t="str">
        <f t="shared" si="19"/>
        <v>VN01899</v>
      </c>
      <c r="I525" s="331" t="s">
        <v>8825</v>
      </c>
      <c r="J525" s="333"/>
      <c r="K525" s="334"/>
      <c r="L525" s="337">
        <v>45444</v>
      </c>
      <c r="M525" s="337">
        <v>45887</v>
      </c>
      <c r="N525" s="336"/>
    </row>
    <row r="526" spans="1:14" ht="15.75">
      <c r="A526" s="329">
        <v>528</v>
      </c>
      <c r="B526" s="330">
        <v>8</v>
      </c>
      <c r="C526" s="331" t="s">
        <v>9610</v>
      </c>
      <c r="D526" s="331" t="str">
        <f t="shared" si="20"/>
        <v>#10140</v>
      </c>
      <c r="E526" s="294" t="s">
        <v>4050</v>
      </c>
      <c r="F526" s="331" t="s">
        <v>4049</v>
      </c>
      <c r="G526" s="331" t="s">
        <v>9620</v>
      </c>
      <c r="H526" s="331" t="str">
        <f t="shared" ref="H526:H589" si="21">CONCATENATE("VN",E526)</f>
        <v>VN10140</v>
      </c>
      <c r="I526" s="331" t="s">
        <v>8825</v>
      </c>
      <c r="J526" s="333"/>
      <c r="K526" s="334"/>
      <c r="L526" s="334"/>
      <c r="M526" s="334"/>
      <c r="N526" s="336"/>
    </row>
    <row r="527" spans="1:14" ht="15.75">
      <c r="A527" s="329">
        <v>529</v>
      </c>
      <c r="B527" s="330">
        <v>9</v>
      </c>
      <c r="C527" s="331" t="s">
        <v>9610</v>
      </c>
      <c r="D527" s="331" t="str">
        <f t="shared" si="20"/>
        <v>#01906</v>
      </c>
      <c r="E527" s="294" t="s">
        <v>1711</v>
      </c>
      <c r="F527" s="331" t="s">
        <v>1710</v>
      </c>
      <c r="G527" s="331" t="s">
        <v>9621</v>
      </c>
      <c r="H527" s="331" t="str">
        <f t="shared" si="21"/>
        <v>VN01906</v>
      </c>
      <c r="I527" s="331"/>
      <c r="J527" s="333"/>
      <c r="K527" s="334"/>
      <c r="L527" s="334"/>
      <c r="M527" s="334"/>
      <c r="N527" s="336"/>
    </row>
    <row r="528" spans="1:14" ht="15.75">
      <c r="A528" s="329">
        <v>530</v>
      </c>
      <c r="B528" s="330">
        <v>10</v>
      </c>
      <c r="C528" s="331" t="s">
        <v>9610</v>
      </c>
      <c r="D528" s="331" t="str">
        <f t="shared" si="20"/>
        <v>#14019</v>
      </c>
      <c r="E528" s="294" t="s">
        <v>5005</v>
      </c>
      <c r="F528" s="331" t="s">
        <v>5004</v>
      </c>
      <c r="G528" s="331" t="s">
        <v>9622</v>
      </c>
      <c r="H528" s="331" t="str">
        <f t="shared" si="21"/>
        <v>VN14019</v>
      </c>
      <c r="I528" s="331"/>
      <c r="J528" s="333"/>
      <c r="K528" s="334"/>
      <c r="L528" s="334"/>
      <c r="M528" s="334"/>
      <c r="N528" s="336"/>
    </row>
    <row r="529" spans="1:14" ht="15.75">
      <c r="A529" s="329">
        <v>531</v>
      </c>
      <c r="B529" s="330">
        <v>11</v>
      </c>
      <c r="C529" s="331" t="s">
        <v>9610</v>
      </c>
      <c r="D529" s="331" t="str">
        <f t="shared" si="20"/>
        <v>#13208</v>
      </c>
      <c r="E529" s="294" t="s">
        <v>9623</v>
      </c>
      <c r="F529" s="331" t="s">
        <v>5276</v>
      </c>
      <c r="G529" s="331" t="s">
        <v>9624</v>
      </c>
      <c r="H529" s="331" t="str">
        <f t="shared" si="21"/>
        <v>VN13208</v>
      </c>
      <c r="I529" s="331"/>
      <c r="J529" s="333"/>
      <c r="K529" s="334"/>
      <c r="L529" s="337">
        <v>45761</v>
      </c>
      <c r="M529" s="337">
        <v>45887</v>
      </c>
      <c r="N529" s="336"/>
    </row>
    <row r="530" spans="1:14" ht="15.75">
      <c r="A530" s="329">
        <v>532</v>
      </c>
      <c r="B530" s="330">
        <v>12</v>
      </c>
      <c r="C530" s="331" t="s">
        <v>9610</v>
      </c>
      <c r="D530" s="331" t="str">
        <f t="shared" si="20"/>
        <v>#01167</v>
      </c>
      <c r="E530" s="294" t="s">
        <v>1433</v>
      </c>
      <c r="F530" s="331" t="s">
        <v>9625</v>
      </c>
      <c r="G530" s="331" t="s">
        <v>9626</v>
      </c>
      <c r="H530" s="331" t="str">
        <f t="shared" si="21"/>
        <v>VN01167</v>
      </c>
      <c r="I530" s="331" t="s">
        <v>8825</v>
      </c>
      <c r="J530" s="333"/>
      <c r="K530" s="334">
        <v>45598</v>
      </c>
      <c r="L530" s="335"/>
      <c r="M530" s="335"/>
      <c r="N530" s="336"/>
    </row>
    <row r="531" spans="1:14" ht="15.75">
      <c r="A531" s="329">
        <v>533</v>
      </c>
      <c r="B531" s="330">
        <v>13</v>
      </c>
      <c r="C531" s="331" t="s">
        <v>9610</v>
      </c>
      <c r="D531" s="331" t="str">
        <f t="shared" si="20"/>
        <v>#11314</v>
      </c>
      <c r="E531" s="294" t="s">
        <v>4414</v>
      </c>
      <c r="F531" s="331" t="s">
        <v>1898</v>
      </c>
      <c r="G531" s="331" t="s">
        <v>9627</v>
      </c>
      <c r="H531" s="331" t="str">
        <f t="shared" si="21"/>
        <v>VN11314</v>
      </c>
      <c r="I531" s="331" t="s">
        <v>8825</v>
      </c>
      <c r="J531" s="333" t="s">
        <v>8939</v>
      </c>
      <c r="K531" s="334">
        <v>45599</v>
      </c>
      <c r="L531" s="335"/>
      <c r="M531" s="335"/>
      <c r="N531" s="336"/>
    </row>
    <row r="532" spans="1:14" ht="15.75">
      <c r="A532" s="329">
        <v>534</v>
      </c>
      <c r="B532" s="330">
        <v>14</v>
      </c>
      <c r="C532" s="331" t="s">
        <v>9610</v>
      </c>
      <c r="D532" s="331" t="str">
        <f t="shared" si="20"/>
        <v>#17213</v>
      </c>
      <c r="E532" s="294" t="s">
        <v>5663</v>
      </c>
      <c r="F532" s="331" t="s">
        <v>5662</v>
      </c>
      <c r="G532" s="331" t="s">
        <v>9628</v>
      </c>
      <c r="H532" s="331" t="str">
        <f t="shared" si="21"/>
        <v>VN17213</v>
      </c>
      <c r="I532" s="331" t="s">
        <v>8825</v>
      </c>
      <c r="J532" s="333" t="s">
        <v>8939</v>
      </c>
      <c r="K532" s="334">
        <v>45600</v>
      </c>
      <c r="L532" s="335"/>
      <c r="M532" s="335"/>
      <c r="N532" s="336"/>
    </row>
    <row r="533" spans="1:14" ht="15.75">
      <c r="A533" s="329">
        <v>535</v>
      </c>
      <c r="B533" s="330">
        <v>15</v>
      </c>
      <c r="C533" s="331" t="s">
        <v>9610</v>
      </c>
      <c r="D533" s="331" t="str">
        <f t="shared" si="20"/>
        <v>#19427</v>
      </c>
      <c r="E533" s="294" t="s">
        <v>6285</v>
      </c>
      <c r="F533" s="331" t="s">
        <v>6284</v>
      </c>
      <c r="G533" s="331" t="s">
        <v>9629</v>
      </c>
      <c r="H533" s="331" t="str">
        <f t="shared" si="21"/>
        <v>VN19427</v>
      </c>
      <c r="I533" s="331" t="s">
        <v>8825</v>
      </c>
      <c r="J533" s="333" t="s">
        <v>8939</v>
      </c>
      <c r="K533" s="334">
        <v>45601</v>
      </c>
      <c r="L533" s="335"/>
      <c r="M533" s="335"/>
      <c r="N533" s="336"/>
    </row>
    <row r="534" spans="1:14" ht="15.75">
      <c r="A534" s="329">
        <v>536</v>
      </c>
      <c r="B534" s="330">
        <v>16</v>
      </c>
      <c r="C534" s="331" t="s">
        <v>9610</v>
      </c>
      <c r="D534" s="331" t="str">
        <f t="shared" si="20"/>
        <v>#24203</v>
      </c>
      <c r="E534" s="294" t="s">
        <v>7471</v>
      </c>
      <c r="F534" s="331" t="s">
        <v>7470</v>
      </c>
      <c r="G534" s="331" t="s">
        <v>9630</v>
      </c>
      <c r="H534" s="331" t="str">
        <f t="shared" si="21"/>
        <v>VN24203</v>
      </c>
      <c r="I534" s="331" t="s">
        <v>8825</v>
      </c>
      <c r="J534" s="333" t="s">
        <v>8939</v>
      </c>
      <c r="K534" s="334">
        <v>45602</v>
      </c>
      <c r="L534" s="335"/>
      <c r="M534" s="335"/>
      <c r="N534" s="336"/>
    </row>
    <row r="535" spans="1:14" ht="15.75">
      <c r="A535" s="329">
        <v>537</v>
      </c>
      <c r="B535" s="330">
        <v>17</v>
      </c>
      <c r="C535" s="331" t="s">
        <v>9610</v>
      </c>
      <c r="D535" s="331" t="str">
        <f t="shared" si="20"/>
        <v>#23055</v>
      </c>
      <c r="E535" s="294" t="s">
        <v>7207</v>
      </c>
      <c r="F535" s="331" t="s">
        <v>6011</v>
      </c>
      <c r="G535" s="331" t="s">
        <v>9631</v>
      </c>
      <c r="H535" s="331" t="str">
        <f t="shared" si="21"/>
        <v>VN23055</v>
      </c>
      <c r="I535" s="331" t="s">
        <v>8825</v>
      </c>
      <c r="J535" s="333" t="s">
        <v>8939</v>
      </c>
      <c r="K535" s="334">
        <v>45603</v>
      </c>
      <c r="L535" s="335"/>
      <c r="M535" s="335"/>
      <c r="N535" s="336"/>
    </row>
    <row r="536" spans="1:14" ht="15.75">
      <c r="A536" s="329">
        <v>538</v>
      </c>
      <c r="B536" s="330">
        <v>18</v>
      </c>
      <c r="C536" s="331" t="s">
        <v>9610</v>
      </c>
      <c r="D536" s="331" t="str">
        <f t="shared" si="20"/>
        <v>#24124</v>
      </c>
      <c r="E536" s="294" t="s">
        <v>7454</v>
      </c>
      <c r="F536" s="331" t="s">
        <v>7453</v>
      </c>
      <c r="G536" s="331" t="s">
        <v>9632</v>
      </c>
      <c r="H536" s="331" t="str">
        <f t="shared" si="21"/>
        <v>VN24124</v>
      </c>
      <c r="I536" s="331" t="s">
        <v>8825</v>
      </c>
      <c r="J536" s="333" t="s">
        <v>8939</v>
      </c>
      <c r="K536" s="334">
        <v>45604</v>
      </c>
      <c r="L536" s="335"/>
      <c r="M536" s="335"/>
      <c r="N536" s="336"/>
    </row>
    <row r="537" spans="1:14" ht="15.75">
      <c r="A537" s="329">
        <v>539</v>
      </c>
      <c r="B537" s="330">
        <v>19</v>
      </c>
      <c r="C537" s="331" t="s">
        <v>9610</v>
      </c>
      <c r="D537" s="331" t="str">
        <f t="shared" si="20"/>
        <v>#24332</v>
      </c>
      <c r="E537" s="294" t="s">
        <v>7531</v>
      </c>
      <c r="F537" s="331" t="s">
        <v>7530</v>
      </c>
      <c r="G537" s="331" t="s">
        <v>9633</v>
      </c>
      <c r="H537" s="331" t="str">
        <f t="shared" si="21"/>
        <v>VN24332</v>
      </c>
      <c r="I537" s="331" t="s">
        <v>8825</v>
      </c>
      <c r="J537" s="333" t="s">
        <v>8939</v>
      </c>
      <c r="K537" s="334">
        <v>45605</v>
      </c>
      <c r="L537" s="335"/>
      <c r="M537" s="335"/>
      <c r="N537" s="336"/>
    </row>
    <row r="538" spans="1:14" ht="15.75">
      <c r="A538" s="329">
        <v>540</v>
      </c>
      <c r="B538" s="330">
        <v>20</v>
      </c>
      <c r="C538" s="331" t="s">
        <v>9610</v>
      </c>
      <c r="D538" s="331" t="str">
        <f t="shared" si="20"/>
        <v>#23748</v>
      </c>
      <c r="E538" s="294" t="s">
        <v>7341</v>
      </c>
      <c r="F538" s="331" t="s">
        <v>7340</v>
      </c>
      <c r="G538" s="331" t="s">
        <v>9634</v>
      </c>
      <c r="H538" s="331" t="str">
        <f t="shared" si="21"/>
        <v>VN23748</v>
      </c>
      <c r="I538" s="331" t="s">
        <v>8825</v>
      </c>
      <c r="J538" s="333" t="s">
        <v>8939</v>
      </c>
      <c r="K538" s="334">
        <v>45606</v>
      </c>
      <c r="L538" s="335"/>
      <c r="M538" s="335"/>
      <c r="N538" s="336"/>
    </row>
    <row r="539" spans="1:14" ht="15.75">
      <c r="A539" s="329">
        <v>541</v>
      </c>
      <c r="B539" s="330">
        <v>21</v>
      </c>
      <c r="C539" s="331" t="s">
        <v>9610</v>
      </c>
      <c r="D539" s="331" t="str">
        <f t="shared" si="20"/>
        <v>#21794</v>
      </c>
      <c r="E539" s="294" t="s">
        <v>6883</v>
      </c>
      <c r="F539" s="331" t="s">
        <v>6882</v>
      </c>
      <c r="G539" s="331" t="s">
        <v>9635</v>
      </c>
      <c r="H539" s="331" t="str">
        <f t="shared" si="21"/>
        <v>VN21794</v>
      </c>
      <c r="I539" s="331" t="s">
        <v>8825</v>
      </c>
      <c r="J539" s="333" t="s">
        <v>8939</v>
      </c>
      <c r="K539" s="334">
        <v>45607</v>
      </c>
      <c r="L539" s="335"/>
      <c r="M539" s="335"/>
      <c r="N539" s="336"/>
    </row>
    <row r="540" spans="1:14" ht="15.75">
      <c r="A540" s="329">
        <v>542</v>
      </c>
      <c r="B540" s="330">
        <v>22</v>
      </c>
      <c r="C540" s="331" t="s">
        <v>9610</v>
      </c>
      <c r="D540" s="331" t="str">
        <f t="shared" si="20"/>
        <v>#22881</v>
      </c>
      <c r="E540" s="294" t="s">
        <v>7172</v>
      </c>
      <c r="F540" s="331" t="s">
        <v>7171</v>
      </c>
      <c r="G540" s="331" t="s">
        <v>9636</v>
      </c>
      <c r="H540" s="331" t="str">
        <f t="shared" si="21"/>
        <v>VN22881</v>
      </c>
      <c r="I540" s="331" t="s">
        <v>8825</v>
      </c>
      <c r="J540" s="333" t="s">
        <v>8939</v>
      </c>
      <c r="K540" s="334">
        <v>45608</v>
      </c>
      <c r="L540" s="335"/>
      <c r="M540" s="335"/>
      <c r="N540" s="336"/>
    </row>
    <row r="541" spans="1:14" ht="15.75">
      <c r="A541" s="329">
        <v>543</v>
      </c>
      <c r="B541" s="330">
        <v>23</v>
      </c>
      <c r="C541" s="331" t="s">
        <v>9610</v>
      </c>
      <c r="D541" s="331" t="str">
        <f t="shared" si="20"/>
        <v>#24325</v>
      </c>
      <c r="E541" s="294" t="s">
        <v>7524</v>
      </c>
      <c r="F541" s="331" t="s">
        <v>7523</v>
      </c>
      <c r="G541" s="331" t="s">
        <v>9637</v>
      </c>
      <c r="H541" s="331" t="str">
        <f t="shared" si="21"/>
        <v>VN24325</v>
      </c>
      <c r="I541" s="331" t="s">
        <v>8825</v>
      </c>
      <c r="J541" s="333" t="s">
        <v>8939</v>
      </c>
      <c r="K541" s="334">
        <v>45609</v>
      </c>
      <c r="L541" s="335"/>
      <c r="M541" s="335"/>
      <c r="N541" s="336"/>
    </row>
    <row r="542" spans="1:14" ht="15.75">
      <c r="A542" s="329">
        <v>544</v>
      </c>
      <c r="B542" s="330">
        <v>24</v>
      </c>
      <c r="C542" s="331" t="s">
        <v>9610</v>
      </c>
      <c r="D542" s="331" t="str">
        <f t="shared" si="20"/>
        <v>#24326</v>
      </c>
      <c r="E542" s="294" t="s">
        <v>7526</v>
      </c>
      <c r="F542" s="331" t="s">
        <v>7525</v>
      </c>
      <c r="G542" s="331" t="s">
        <v>9638</v>
      </c>
      <c r="H542" s="331" t="str">
        <f t="shared" si="21"/>
        <v>VN24326</v>
      </c>
      <c r="I542" s="331" t="s">
        <v>8825</v>
      </c>
      <c r="J542" s="333" t="s">
        <v>8939</v>
      </c>
      <c r="K542" s="334">
        <v>45610</v>
      </c>
      <c r="L542" s="335"/>
      <c r="M542" s="335"/>
      <c r="N542" s="336"/>
    </row>
    <row r="543" spans="1:14" ht="15.75">
      <c r="A543" s="329">
        <v>545</v>
      </c>
      <c r="B543" s="330">
        <v>25</v>
      </c>
      <c r="C543" s="331" t="s">
        <v>9610</v>
      </c>
      <c r="D543" s="331" t="str">
        <f t="shared" si="20"/>
        <v>#24327</v>
      </c>
      <c r="E543" s="294" t="s">
        <v>9639</v>
      </c>
      <c r="F543" s="331" t="s">
        <v>9640</v>
      </c>
      <c r="G543" s="331" t="s">
        <v>9641</v>
      </c>
      <c r="H543" s="331" t="str">
        <f t="shared" si="21"/>
        <v>VN24327</v>
      </c>
      <c r="I543" s="331" t="s">
        <v>8825</v>
      </c>
      <c r="J543" s="333" t="s">
        <v>8939</v>
      </c>
      <c r="K543" s="334">
        <v>45611</v>
      </c>
      <c r="L543" s="337">
        <v>45703</v>
      </c>
      <c r="M543" s="337">
        <v>45887</v>
      </c>
      <c r="N543" s="336"/>
    </row>
    <row r="544" spans="1:14" ht="15.75">
      <c r="A544" s="329">
        <v>546</v>
      </c>
      <c r="B544" s="330">
        <v>26</v>
      </c>
      <c r="C544" s="331" t="s">
        <v>9610</v>
      </c>
      <c r="D544" s="331" t="str">
        <f t="shared" si="20"/>
        <v>#24994</v>
      </c>
      <c r="E544" s="294" t="s">
        <v>7839</v>
      </c>
      <c r="F544" s="331" t="s">
        <v>7840</v>
      </c>
      <c r="G544" s="331" t="s">
        <v>9642</v>
      </c>
      <c r="H544" s="331" t="str">
        <f t="shared" si="21"/>
        <v>VN24994</v>
      </c>
      <c r="I544" s="331" t="s">
        <v>8825</v>
      </c>
      <c r="J544" s="333" t="s">
        <v>8939</v>
      </c>
      <c r="K544" s="334">
        <v>45612</v>
      </c>
      <c r="L544" s="335"/>
      <c r="M544" s="335"/>
      <c r="N544" s="336"/>
    </row>
    <row r="545" spans="1:14" ht="15.75">
      <c r="A545" s="329">
        <v>547</v>
      </c>
      <c r="B545" s="330">
        <v>27</v>
      </c>
      <c r="C545" s="331" t="s">
        <v>9610</v>
      </c>
      <c r="D545" s="331" t="str">
        <f t="shared" si="20"/>
        <v>#25022</v>
      </c>
      <c r="E545" s="294" t="s">
        <v>9643</v>
      </c>
      <c r="F545" s="331" t="s">
        <v>9644</v>
      </c>
      <c r="G545" s="331" t="s">
        <v>9645</v>
      </c>
      <c r="H545" s="331" t="str">
        <f t="shared" si="21"/>
        <v>VN25022</v>
      </c>
      <c r="I545" s="331" t="s">
        <v>8825</v>
      </c>
      <c r="J545" s="333" t="s">
        <v>8939</v>
      </c>
      <c r="K545" s="334">
        <v>45613</v>
      </c>
      <c r="L545" s="335">
        <v>45980</v>
      </c>
      <c r="M545" s="335"/>
      <c r="N545" s="336"/>
    </row>
    <row r="546" spans="1:14" ht="15.75">
      <c r="A546" s="329">
        <v>548</v>
      </c>
      <c r="B546" s="330">
        <v>28</v>
      </c>
      <c r="C546" s="331" t="s">
        <v>9610</v>
      </c>
      <c r="D546" s="331" t="str">
        <f t="shared" si="20"/>
        <v>#16577</v>
      </c>
      <c r="E546" s="294" t="s">
        <v>5538</v>
      </c>
      <c r="F546" s="331" t="s">
        <v>5537</v>
      </c>
      <c r="G546" s="331" t="s">
        <v>9646</v>
      </c>
      <c r="H546" s="331" t="str">
        <f t="shared" si="21"/>
        <v>VN16577</v>
      </c>
      <c r="I546" s="331" t="s">
        <v>8825</v>
      </c>
      <c r="J546" s="333"/>
      <c r="K546" s="334"/>
      <c r="L546" s="334"/>
      <c r="M546" s="334"/>
      <c r="N546" s="336"/>
    </row>
    <row r="547" spans="1:14" ht="15.75">
      <c r="A547" s="329">
        <v>549</v>
      </c>
      <c r="B547" s="330">
        <v>29</v>
      </c>
      <c r="C547" s="331" t="s">
        <v>9610</v>
      </c>
      <c r="D547" s="331" t="str">
        <f t="shared" si="20"/>
        <v>#16917</v>
      </c>
      <c r="E547" s="294" t="s">
        <v>5596</v>
      </c>
      <c r="F547" s="331" t="s">
        <v>5595</v>
      </c>
      <c r="G547" s="331" t="s">
        <v>9647</v>
      </c>
      <c r="H547" s="331" t="str">
        <f t="shared" si="21"/>
        <v>VN16917</v>
      </c>
      <c r="I547" s="331"/>
      <c r="J547" s="333"/>
      <c r="K547" s="334"/>
      <c r="L547" s="334"/>
      <c r="M547" s="334"/>
      <c r="N547" s="336"/>
    </row>
    <row r="548" spans="1:14" ht="15.75">
      <c r="A548" s="329">
        <v>550</v>
      </c>
      <c r="B548" s="330">
        <v>30</v>
      </c>
      <c r="C548" s="331" t="s">
        <v>9610</v>
      </c>
      <c r="D548" s="331" t="str">
        <f t="shared" si="20"/>
        <v>#17950</v>
      </c>
      <c r="E548" s="294" t="s">
        <v>5903</v>
      </c>
      <c r="F548" s="331" t="s">
        <v>998</v>
      </c>
      <c r="G548" s="331" t="s">
        <v>9648</v>
      </c>
      <c r="H548" s="331" t="str">
        <f t="shared" si="21"/>
        <v>VN17950</v>
      </c>
      <c r="I548" s="331"/>
      <c r="J548" s="333"/>
      <c r="K548" s="334"/>
      <c r="L548" s="334"/>
      <c r="M548" s="334"/>
      <c r="N548" s="336"/>
    </row>
    <row r="549" spans="1:14" ht="15.75">
      <c r="A549" s="329">
        <v>551</v>
      </c>
      <c r="B549" s="330">
        <v>31</v>
      </c>
      <c r="C549" s="331" t="s">
        <v>9610</v>
      </c>
      <c r="D549" s="331" t="str">
        <f t="shared" si="20"/>
        <v>#23101</v>
      </c>
      <c r="E549" s="294" t="s">
        <v>7214</v>
      </c>
      <c r="F549" s="331" t="s">
        <v>2173</v>
      </c>
      <c r="G549" s="331" t="s">
        <v>9649</v>
      </c>
      <c r="H549" s="331" t="str">
        <f t="shared" si="21"/>
        <v>VN23101</v>
      </c>
      <c r="I549" s="331"/>
      <c r="J549" s="333"/>
      <c r="K549" s="334"/>
      <c r="L549" s="334"/>
      <c r="M549" s="334"/>
      <c r="N549" s="336"/>
    </row>
    <row r="550" spans="1:14" ht="15.75">
      <c r="A550" s="329">
        <v>552</v>
      </c>
      <c r="B550" s="330">
        <v>32</v>
      </c>
      <c r="C550" s="331" t="s">
        <v>9610</v>
      </c>
      <c r="D550" s="331" t="str">
        <f t="shared" si="20"/>
        <v>#25843</v>
      </c>
      <c r="E550" s="294" t="s">
        <v>8019</v>
      </c>
      <c r="F550" s="331" t="s">
        <v>8021</v>
      </c>
      <c r="G550" s="331" t="s">
        <v>9650</v>
      </c>
      <c r="H550" s="331" t="str">
        <f t="shared" si="21"/>
        <v>VN25843</v>
      </c>
      <c r="I550" s="331"/>
      <c r="J550" s="333" t="s">
        <v>9651</v>
      </c>
      <c r="K550" s="334">
        <v>45770</v>
      </c>
      <c r="L550" s="335"/>
      <c r="M550" s="335"/>
      <c r="N550" s="336"/>
    </row>
    <row r="551" spans="1:14" ht="15.75">
      <c r="A551" s="329">
        <v>553</v>
      </c>
      <c r="B551" s="330">
        <v>33</v>
      </c>
      <c r="C551" s="331" t="s">
        <v>9610</v>
      </c>
      <c r="D551" s="331" t="str">
        <f t="shared" si="20"/>
        <v>#25978</v>
      </c>
      <c r="E551" s="294" t="s">
        <v>8361</v>
      </c>
      <c r="F551" s="331" t="s">
        <v>8362</v>
      </c>
      <c r="G551" s="331" t="s">
        <v>9652</v>
      </c>
      <c r="H551" s="331" t="str">
        <f t="shared" si="21"/>
        <v>VN25978</v>
      </c>
      <c r="I551" s="331" t="s">
        <v>8825</v>
      </c>
      <c r="J551" s="333" t="s">
        <v>9653</v>
      </c>
      <c r="K551" s="334">
        <v>45818</v>
      </c>
      <c r="L551" s="335"/>
      <c r="M551" s="335"/>
      <c r="N551" s="336"/>
    </row>
    <row r="552" spans="1:14" ht="15.75">
      <c r="A552" s="329">
        <v>554</v>
      </c>
      <c r="B552" s="330">
        <v>34</v>
      </c>
      <c r="C552" s="331" t="s">
        <v>9610</v>
      </c>
      <c r="D552" s="331" t="str">
        <f t="shared" si="20"/>
        <v>#20363</v>
      </c>
      <c r="E552" s="294" t="s">
        <v>6556</v>
      </c>
      <c r="F552" s="331" t="s">
        <v>6555</v>
      </c>
      <c r="G552" s="331" t="s">
        <v>9654</v>
      </c>
      <c r="H552" s="331" t="str">
        <f t="shared" si="21"/>
        <v>VN20363</v>
      </c>
      <c r="I552" s="331" t="s">
        <v>8825</v>
      </c>
      <c r="J552" s="333"/>
      <c r="K552" s="334"/>
      <c r="L552" s="335"/>
      <c r="M552" s="335"/>
      <c r="N552" s="336"/>
    </row>
    <row r="553" spans="1:14" ht="15.75">
      <c r="A553" s="329">
        <v>555</v>
      </c>
      <c r="B553" s="330">
        <v>35</v>
      </c>
      <c r="C553" s="331" t="s">
        <v>9610</v>
      </c>
      <c r="D553" s="331" t="str">
        <f t="shared" si="20"/>
        <v>#25844</v>
      </c>
      <c r="E553" s="359">
        <v>25844</v>
      </c>
      <c r="F553" s="293" t="s">
        <v>4465</v>
      </c>
      <c r="G553" s="293" t="s">
        <v>9655</v>
      </c>
      <c r="H553" s="293" t="str">
        <f t="shared" si="21"/>
        <v>VN25844</v>
      </c>
      <c r="I553" s="331" t="s">
        <v>8825</v>
      </c>
      <c r="J553" s="333" t="s">
        <v>9656</v>
      </c>
      <c r="K553" s="350">
        <v>45916</v>
      </c>
      <c r="L553" s="348"/>
      <c r="M553" s="348"/>
      <c r="N553" s="336"/>
    </row>
    <row r="554" spans="1:14" ht="15.75">
      <c r="A554" s="329">
        <v>556</v>
      </c>
      <c r="B554" s="330">
        <v>36</v>
      </c>
      <c r="C554" s="331" t="s">
        <v>9610</v>
      </c>
      <c r="D554" s="331" t="str">
        <f t="shared" si="20"/>
        <v>#26285</v>
      </c>
      <c r="E554" s="359">
        <v>26285</v>
      </c>
      <c r="F554" s="293" t="s">
        <v>8582</v>
      </c>
      <c r="G554" s="293" t="s">
        <v>9657</v>
      </c>
      <c r="H554" s="293" t="str">
        <f t="shared" si="21"/>
        <v>VN26285</v>
      </c>
      <c r="I554" s="331" t="s">
        <v>8825</v>
      </c>
      <c r="J554" s="333" t="s">
        <v>9658</v>
      </c>
      <c r="K554" s="350">
        <v>45916</v>
      </c>
      <c r="L554" s="348"/>
      <c r="M554" s="348"/>
      <c r="N554" s="336"/>
    </row>
    <row r="555" spans="1:14" ht="15.75">
      <c r="A555" s="329">
        <v>557</v>
      </c>
      <c r="B555" s="330">
        <v>37</v>
      </c>
      <c r="C555" s="331" t="s">
        <v>9610</v>
      </c>
      <c r="D555" s="331" t="str">
        <f t="shared" si="20"/>
        <v>#26183</v>
      </c>
      <c r="E555" s="359">
        <v>26183</v>
      </c>
      <c r="F555" s="293" t="s">
        <v>6286</v>
      </c>
      <c r="G555" s="293" t="s">
        <v>9659</v>
      </c>
      <c r="H555" s="293" t="str">
        <f t="shared" si="21"/>
        <v>VN26183</v>
      </c>
      <c r="I555" s="331" t="s">
        <v>8825</v>
      </c>
      <c r="J555" s="333" t="s">
        <v>9660</v>
      </c>
      <c r="K555" s="350">
        <v>45916</v>
      </c>
      <c r="L555" s="348"/>
      <c r="M555" s="348"/>
      <c r="N555" s="336"/>
    </row>
    <row r="556" spans="1:14" ht="15.75">
      <c r="A556" s="329">
        <v>558</v>
      </c>
      <c r="B556" s="330">
        <v>38</v>
      </c>
      <c r="C556" s="331" t="s">
        <v>9610</v>
      </c>
      <c r="D556" s="331" t="str">
        <f t="shared" si="20"/>
        <v>#24995</v>
      </c>
      <c r="E556" s="359">
        <v>24995</v>
      </c>
      <c r="F556" s="293" t="s">
        <v>7691</v>
      </c>
      <c r="G556" s="293" t="s">
        <v>9661</v>
      </c>
      <c r="H556" s="293" t="str">
        <f t="shared" si="21"/>
        <v>VN24995</v>
      </c>
      <c r="I556" s="331" t="s">
        <v>8825</v>
      </c>
      <c r="J556" s="333" t="s">
        <v>9662</v>
      </c>
      <c r="K556" s="350">
        <v>45916</v>
      </c>
      <c r="L556" s="348"/>
      <c r="M556" s="348"/>
      <c r="N556" s="336"/>
    </row>
    <row r="557" spans="1:14" ht="15.75">
      <c r="A557" s="329">
        <v>559</v>
      </c>
      <c r="B557" s="330">
        <v>39</v>
      </c>
      <c r="C557" s="331" t="s">
        <v>9610</v>
      </c>
      <c r="D557" s="331" t="str">
        <f t="shared" si="20"/>
        <v>#25860</v>
      </c>
      <c r="E557" s="359">
        <v>25860</v>
      </c>
      <c r="F557" s="293" t="s">
        <v>8022</v>
      </c>
      <c r="G557" s="293" t="s">
        <v>9663</v>
      </c>
      <c r="H557" s="293" t="str">
        <f t="shared" si="21"/>
        <v>VN25860</v>
      </c>
      <c r="I557" s="331" t="s">
        <v>8825</v>
      </c>
      <c r="J557" s="333" t="s">
        <v>9664</v>
      </c>
      <c r="K557" s="350">
        <v>45916</v>
      </c>
      <c r="L557" s="348"/>
      <c r="M557" s="348"/>
      <c r="N557" s="336"/>
    </row>
    <row r="558" spans="1:14" ht="15.75">
      <c r="A558" s="329">
        <v>560</v>
      </c>
      <c r="B558" s="330">
        <v>40</v>
      </c>
      <c r="C558" s="331" t="s">
        <v>9610</v>
      </c>
      <c r="D558" s="331" t="str">
        <f t="shared" si="20"/>
        <v>#26204</v>
      </c>
      <c r="E558" s="359">
        <v>26204</v>
      </c>
      <c r="F558" s="343" t="s">
        <v>8517</v>
      </c>
      <c r="G558" s="293" t="s">
        <v>9665</v>
      </c>
      <c r="H558" s="293" t="str">
        <f t="shared" si="21"/>
        <v>VN26204</v>
      </c>
      <c r="I558" s="331" t="s">
        <v>8825</v>
      </c>
      <c r="J558" s="333" t="s">
        <v>9666</v>
      </c>
      <c r="K558" s="350">
        <v>45916</v>
      </c>
      <c r="L558" s="347"/>
      <c r="M558" s="348"/>
      <c r="N558" s="336"/>
    </row>
    <row r="559" spans="1:14" ht="15.75">
      <c r="A559" s="329">
        <v>561</v>
      </c>
      <c r="B559" s="330">
        <v>41</v>
      </c>
      <c r="C559" s="331" t="s">
        <v>9610</v>
      </c>
      <c r="D559" s="331" t="str">
        <f t="shared" si="20"/>
        <v>#26349</v>
      </c>
      <c r="E559" s="294">
        <v>26349</v>
      </c>
      <c r="F559" s="331" t="s">
        <v>8628</v>
      </c>
      <c r="G559" s="331" t="s">
        <v>9667</v>
      </c>
      <c r="H559" s="331" t="str">
        <f t="shared" si="21"/>
        <v>VN26349</v>
      </c>
      <c r="I559" s="331" t="s">
        <v>8825</v>
      </c>
      <c r="J559" s="333" t="s">
        <v>8939</v>
      </c>
      <c r="K559" s="334">
        <v>45992</v>
      </c>
      <c r="L559" s="348"/>
      <c r="M559" s="348"/>
      <c r="N559" s="336"/>
    </row>
    <row r="560" spans="1:14" ht="15.75">
      <c r="A560" s="329">
        <v>562</v>
      </c>
      <c r="B560" s="330">
        <v>42</v>
      </c>
      <c r="C560" s="331" t="s">
        <v>9610</v>
      </c>
      <c r="D560" s="331" t="str">
        <f t="shared" si="20"/>
        <v>#26358</v>
      </c>
      <c r="E560" s="294" t="s">
        <v>8635</v>
      </c>
      <c r="F560" s="331" t="s">
        <v>7398</v>
      </c>
      <c r="G560" s="331" t="s">
        <v>9668</v>
      </c>
      <c r="H560" s="331" t="str">
        <f t="shared" si="21"/>
        <v>VN26358</v>
      </c>
      <c r="I560" s="331" t="s">
        <v>8825</v>
      </c>
      <c r="J560" s="333" t="s">
        <v>8939</v>
      </c>
      <c r="K560" s="334">
        <v>45992</v>
      </c>
      <c r="L560" s="348"/>
      <c r="M560" s="348"/>
      <c r="N560" s="336"/>
    </row>
    <row r="561" spans="1:14" ht="15.75">
      <c r="A561" s="329">
        <v>563</v>
      </c>
      <c r="B561" s="330">
        <v>43</v>
      </c>
      <c r="C561" s="331" t="s">
        <v>9610</v>
      </c>
      <c r="D561" s="331" t="str">
        <f t="shared" si="20"/>
        <v>#26379</v>
      </c>
      <c r="E561" s="294" t="s">
        <v>8703</v>
      </c>
      <c r="F561" s="331" t="s">
        <v>8704</v>
      </c>
      <c r="G561" s="331" t="s">
        <v>9669</v>
      </c>
      <c r="H561" s="331" t="str">
        <f t="shared" si="21"/>
        <v>VN26379</v>
      </c>
      <c r="I561" s="331" t="s">
        <v>8825</v>
      </c>
      <c r="J561" s="333" t="s">
        <v>8939</v>
      </c>
      <c r="K561" s="334">
        <v>45992</v>
      </c>
      <c r="L561" s="348"/>
      <c r="M561" s="348"/>
      <c r="N561" s="336"/>
    </row>
    <row r="562" spans="1:14" ht="15.75">
      <c r="A562" s="329">
        <v>564</v>
      </c>
      <c r="B562" s="330">
        <v>44</v>
      </c>
      <c r="C562" s="331" t="s">
        <v>9610</v>
      </c>
      <c r="D562" s="331" t="str">
        <f t="shared" si="20"/>
        <v>#26067</v>
      </c>
      <c r="E562" s="294" t="s">
        <v>8435</v>
      </c>
      <c r="F562" s="331" t="s">
        <v>8436</v>
      </c>
      <c r="G562" s="331" t="s">
        <v>9670</v>
      </c>
      <c r="H562" s="331" t="str">
        <f t="shared" si="21"/>
        <v>VN26067</v>
      </c>
      <c r="I562" s="331" t="s">
        <v>8825</v>
      </c>
      <c r="J562" s="333" t="s">
        <v>8939</v>
      </c>
      <c r="K562" s="334">
        <v>45992</v>
      </c>
      <c r="L562" s="348"/>
      <c r="M562" s="348"/>
      <c r="N562" s="336"/>
    </row>
    <row r="563" spans="1:14" ht="15.75">
      <c r="A563" s="329">
        <v>565</v>
      </c>
      <c r="B563" s="330">
        <v>45</v>
      </c>
      <c r="C563" s="331" t="s">
        <v>9610</v>
      </c>
      <c r="D563" s="331" t="str">
        <f t="shared" si="20"/>
        <v>#26367</v>
      </c>
      <c r="E563" s="359">
        <v>26367</v>
      </c>
      <c r="F563" s="293" t="s">
        <v>8695</v>
      </c>
      <c r="G563" s="293" t="s">
        <v>9671</v>
      </c>
      <c r="H563" s="293" t="str">
        <f t="shared" si="21"/>
        <v>VN26367</v>
      </c>
      <c r="I563" s="331" t="s">
        <v>8825</v>
      </c>
      <c r="J563" s="333" t="s">
        <v>8939</v>
      </c>
      <c r="K563" s="334">
        <v>45992</v>
      </c>
      <c r="L563" s="348"/>
      <c r="M563" s="348"/>
      <c r="N563" s="336"/>
    </row>
    <row r="564" spans="1:14" ht="15.75">
      <c r="A564" s="329">
        <v>566</v>
      </c>
      <c r="B564" s="330">
        <v>46</v>
      </c>
      <c r="C564" s="331" t="s">
        <v>9610</v>
      </c>
      <c r="D564" s="331" t="str">
        <f t="shared" si="20"/>
        <v>#26308</v>
      </c>
      <c r="E564" s="359">
        <v>26308</v>
      </c>
      <c r="F564" s="293" t="s">
        <v>8597</v>
      </c>
      <c r="G564" s="293" t="s">
        <v>9672</v>
      </c>
      <c r="H564" s="293" t="str">
        <f t="shared" si="21"/>
        <v>VN26308</v>
      </c>
      <c r="I564" s="331" t="s">
        <v>8825</v>
      </c>
      <c r="J564" s="333" t="s">
        <v>8939</v>
      </c>
      <c r="K564" s="334">
        <v>45992</v>
      </c>
      <c r="L564" s="348"/>
      <c r="M564" s="348"/>
      <c r="N564" s="336"/>
    </row>
    <row r="565" spans="1:14" ht="15.75">
      <c r="A565" s="329">
        <v>567</v>
      </c>
      <c r="B565" s="330">
        <v>47</v>
      </c>
      <c r="C565" s="331" t="s">
        <v>9610</v>
      </c>
      <c r="D565" s="331" t="str">
        <f t="shared" si="20"/>
        <v>#26210</v>
      </c>
      <c r="E565" s="359">
        <v>26210</v>
      </c>
      <c r="F565" s="293" t="s">
        <v>8521</v>
      </c>
      <c r="G565" s="293" t="s">
        <v>9673</v>
      </c>
      <c r="H565" s="293" t="str">
        <f t="shared" si="21"/>
        <v>VN26210</v>
      </c>
      <c r="I565" s="331" t="s">
        <v>8825</v>
      </c>
      <c r="J565" s="333" t="s">
        <v>8939</v>
      </c>
      <c r="K565" s="334">
        <v>45992</v>
      </c>
      <c r="L565" s="348"/>
      <c r="M565" s="348"/>
      <c r="N565" s="336"/>
    </row>
    <row r="566" spans="1:14" ht="15.75">
      <c r="A566" s="329">
        <v>568</v>
      </c>
      <c r="B566" s="330">
        <v>1</v>
      </c>
      <c r="C566" s="331" t="s">
        <v>9674</v>
      </c>
      <c r="D566" s="331" t="str">
        <f t="shared" si="20"/>
        <v>#00748</v>
      </c>
      <c r="E566" s="359" t="s">
        <v>1242</v>
      </c>
      <c r="F566" s="293" t="s">
        <v>1241</v>
      </c>
      <c r="G566" s="293" t="s">
        <v>9675</v>
      </c>
      <c r="H566" s="293" t="str">
        <f t="shared" si="21"/>
        <v>VN00748</v>
      </c>
      <c r="I566" s="331"/>
      <c r="J566" s="333"/>
      <c r="K566" s="334"/>
      <c r="L566" s="347"/>
      <c r="M566" s="334"/>
      <c r="N566" s="336"/>
    </row>
    <row r="567" spans="1:14" ht="15.75">
      <c r="A567" s="329">
        <v>569</v>
      </c>
      <c r="B567" s="330">
        <v>2</v>
      </c>
      <c r="C567" s="331" t="s">
        <v>9674</v>
      </c>
      <c r="D567" s="331" t="str">
        <f t="shared" si="20"/>
        <v>#06573</v>
      </c>
      <c r="E567" s="359" t="s">
        <v>2937</v>
      </c>
      <c r="F567" s="293" t="s">
        <v>9676</v>
      </c>
      <c r="G567" s="293" t="s">
        <v>9677</v>
      </c>
      <c r="H567" s="293" t="str">
        <f t="shared" si="21"/>
        <v>VN06573</v>
      </c>
      <c r="I567" s="331"/>
      <c r="J567" s="333"/>
      <c r="K567" s="350"/>
      <c r="L567" s="348"/>
      <c r="M567" s="335"/>
      <c r="N567" s="336"/>
    </row>
    <row r="568" spans="1:14" ht="15.75">
      <c r="A568" s="329">
        <v>570</v>
      </c>
      <c r="B568" s="330">
        <v>3</v>
      </c>
      <c r="C568" s="331" t="s">
        <v>9674</v>
      </c>
      <c r="D568" s="331" t="str">
        <f t="shared" si="20"/>
        <v>#09253</v>
      </c>
      <c r="E568" s="359" t="s">
        <v>3779</v>
      </c>
      <c r="F568" s="343" t="s">
        <v>3778</v>
      </c>
      <c r="G568" s="293" t="s">
        <v>9678</v>
      </c>
      <c r="H568" s="293" t="str">
        <f t="shared" si="21"/>
        <v>VN09253</v>
      </c>
      <c r="I568" s="331"/>
      <c r="J568" s="333"/>
      <c r="K568" s="350"/>
      <c r="L568" s="334"/>
      <c r="M568" s="334"/>
      <c r="N568" s="336"/>
    </row>
    <row r="569" spans="1:14" ht="15.75">
      <c r="A569" s="329">
        <v>571</v>
      </c>
      <c r="B569" s="330">
        <v>4</v>
      </c>
      <c r="C569" s="331" t="s">
        <v>9674</v>
      </c>
      <c r="D569" s="331" t="str">
        <f t="shared" ref="D569:D632" si="22">CONCATENATE("#",E569)</f>
        <v>#08605</v>
      </c>
      <c r="E569" s="294" t="s">
        <v>3607</v>
      </c>
      <c r="F569" s="360" t="s">
        <v>3407</v>
      </c>
      <c r="G569" s="338" t="s">
        <v>9679</v>
      </c>
      <c r="H569" s="338" t="str">
        <f t="shared" si="21"/>
        <v>VN08605</v>
      </c>
      <c r="I569" s="338"/>
      <c r="J569" s="339">
        <v>123456</v>
      </c>
      <c r="K569" s="334"/>
      <c r="L569" s="335"/>
      <c r="M569" s="335"/>
      <c r="N569" s="336"/>
    </row>
    <row r="570" spans="1:14" ht="15.75">
      <c r="A570" s="329">
        <v>572</v>
      </c>
      <c r="B570" s="330">
        <v>5</v>
      </c>
      <c r="C570" s="331" t="s">
        <v>9674</v>
      </c>
      <c r="D570" s="331" t="str">
        <f t="shared" si="22"/>
        <v>#11553</v>
      </c>
      <c r="E570" s="294" t="s">
        <v>4471</v>
      </c>
      <c r="F570" s="331" t="s">
        <v>4470</v>
      </c>
      <c r="G570" s="331" t="s">
        <v>9680</v>
      </c>
      <c r="H570" s="331" t="str">
        <f t="shared" si="21"/>
        <v>VN11553</v>
      </c>
      <c r="I570" s="331"/>
      <c r="J570" s="333"/>
      <c r="K570" s="334"/>
      <c r="L570" s="335"/>
      <c r="M570" s="335"/>
      <c r="N570" s="336"/>
    </row>
    <row r="571" spans="1:14" ht="15.75">
      <c r="A571" s="329">
        <v>573</v>
      </c>
      <c r="B571" s="330">
        <v>6</v>
      </c>
      <c r="C571" s="331" t="s">
        <v>9674</v>
      </c>
      <c r="D571" s="331" t="str">
        <f t="shared" si="22"/>
        <v>#11064</v>
      </c>
      <c r="E571" s="294" t="s">
        <v>4344</v>
      </c>
      <c r="F571" s="331" t="s">
        <v>2549</v>
      </c>
      <c r="G571" s="331" t="s">
        <v>9681</v>
      </c>
      <c r="H571" s="331" t="str">
        <f t="shared" si="21"/>
        <v>VN11064</v>
      </c>
      <c r="I571" s="331" t="s">
        <v>8825</v>
      </c>
      <c r="J571" s="333"/>
      <c r="K571" s="334"/>
      <c r="L571" s="334"/>
      <c r="M571" s="334"/>
      <c r="N571" s="336"/>
    </row>
    <row r="572" spans="1:14" ht="15.75">
      <c r="A572" s="329">
        <v>574</v>
      </c>
      <c r="B572" s="330">
        <v>7</v>
      </c>
      <c r="C572" s="331" t="s">
        <v>9674</v>
      </c>
      <c r="D572" s="331" t="str">
        <f t="shared" si="22"/>
        <v>#09567</v>
      </c>
      <c r="E572" s="294" t="s">
        <v>3880</v>
      </c>
      <c r="F572" s="331" t="s">
        <v>3879</v>
      </c>
      <c r="G572" s="331" t="s">
        <v>9682</v>
      </c>
      <c r="H572" s="331" t="str">
        <f t="shared" si="21"/>
        <v>VN09567</v>
      </c>
      <c r="I572" s="331" t="s">
        <v>8825</v>
      </c>
      <c r="J572" s="333"/>
      <c r="K572" s="334"/>
      <c r="L572" s="335"/>
      <c r="M572" s="335"/>
      <c r="N572" s="336"/>
    </row>
    <row r="573" spans="1:14" ht="15.75">
      <c r="A573" s="329">
        <v>575</v>
      </c>
      <c r="B573" s="330">
        <v>8</v>
      </c>
      <c r="C573" s="331" t="s">
        <v>9674</v>
      </c>
      <c r="D573" s="331" t="str">
        <f t="shared" si="22"/>
        <v>#20055</v>
      </c>
      <c r="E573" s="294" t="s">
        <v>9683</v>
      </c>
      <c r="F573" s="331" t="s">
        <v>3977</v>
      </c>
      <c r="G573" s="331" t="s">
        <v>9684</v>
      </c>
      <c r="H573" s="331" t="str">
        <f t="shared" si="21"/>
        <v>VN20055</v>
      </c>
      <c r="I573" s="331"/>
      <c r="J573" s="333">
        <v>123456</v>
      </c>
      <c r="K573" s="334" t="s">
        <v>9685</v>
      </c>
      <c r="L573" s="337">
        <v>45852</v>
      </c>
      <c r="M573" s="337">
        <v>45887</v>
      </c>
      <c r="N573" s="336"/>
    </row>
    <row r="574" spans="1:14" ht="15.75">
      <c r="A574" s="329">
        <v>576</v>
      </c>
      <c r="B574" s="330">
        <v>1</v>
      </c>
      <c r="C574" s="331" t="s">
        <v>9686</v>
      </c>
      <c r="D574" s="331" t="str">
        <f t="shared" si="22"/>
        <v>#00082</v>
      </c>
      <c r="E574" s="332" t="s">
        <v>914</v>
      </c>
      <c r="F574" s="331" t="s">
        <v>913</v>
      </c>
      <c r="G574" s="331" t="s">
        <v>9687</v>
      </c>
      <c r="H574" s="331" t="str">
        <f t="shared" si="21"/>
        <v>VN00082</v>
      </c>
      <c r="I574" s="331"/>
      <c r="J574" s="333" t="s">
        <v>9688</v>
      </c>
      <c r="K574" s="334"/>
      <c r="L574" s="335"/>
      <c r="M574" s="335"/>
      <c r="N574" s="336"/>
    </row>
    <row r="575" spans="1:14" ht="15.75">
      <c r="A575" s="329">
        <v>577</v>
      </c>
      <c r="B575" s="330">
        <v>2</v>
      </c>
      <c r="C575" s="331" t="s">
        <v>9686</v>
      </c>
      <c r="D575" s="331" t="str">
        <f t="shared" si="22"/>
        <v>#22757</v>
      </c>
      <c r="E575" s="294" t="s">
        <v>7147</v>
      </c>
      <c r="F575" s="331" t="s">
        <v>7146</v>
      </c>
      <c r="G575" s="331" t="s">
        <v>9689</v>
      </c>
      <c r="H575" s="331" t="str">
        <f t="shared" si="21"/>
        <v>VN22757</v>
      </c>
      <c r="I575" s="331" t="s">
        <v>8825</v>
      </c>
      <c r="J575" s="333">
        <v>654321</v>
      </c>
      <c r="K575" s="334"/>
      <c r="L575" s="335"/>
      <c r="M575" s="335"/>
      <c r="N575" s="336"/>
    </row>
    <row r="576" spans="1:14" ht="15.75">
      <c r="A576" s="329">
        <v>578</v>
      </c>
      <c r="B576" s="330">
        <v>3</v>
      </c>
      <c r="C576" s="331" t="s">
        <v>9686</v>
      </c>
      <c r="D576" s="331" t="str">
        <f t="shared" si="22"/>
        <v>#18433</v>
      </c>
      <c r="E576" s="294" t="s">
        <v>9690</v>
      </c>
      <c r="F576" s="331" t="s">
        <v>6014</v>
      </c>
      <c r="G576" s="331" t="s">
        <v>9691</v>
      </c>
      <c r="H576" s="331" t="str">
        <f t="shared" si="21"/>
        <v>VN18433</v>
      </c>
      <c r="I576" s="331" t="s">
        <v>8825</v>
      </c>
      <c r="J576" s="333" t="s">
        <v>9692</v>
      </c>
      <c r="K576" s="334">
        <v>45173</v>
      </c>
      <c r="L576" s="337">
        <v>45580</v>
      </c>
      <c r="M576" s="337">
        <v>45887</v>
      </c>
      <c r="N576" s="336"/>
    </row>
    <row r="577" spans="1:14" ht="15.75">
      <c r="A577" s="329">
        <v>579</v>
      </c>
      <c r="B577" s="330">
        <v>4</v>
      </c>
      <c r="C577" s="331" t="s">
        <v>9686</v>
      </c>
      <c r="D577" s="331" t="str">
        <f t="shared" si="22"/>
        <v>#21050</v>
      </c>
      <c r="E577" s="294" t="s">
        <v>9693</v>
      </c>
      <c r="F577" s="331" t="s">
        <v>9694</v>
      </c>
      <c r="G577" s="331" t="s">
        <v>9695</v>
      </c>
      <c r="H577" s="331" t="str">
        <f t="shared" si="21"/>
        <v>VN21050</v>
      </c>
      <c r="I577" s="331" t="s">
        <v>8825</v>
      </c>
      <c r="J577" s="333" t="s">
        <v>9696</v>
      </c>
      <c r="K577" s="334">
        <v>45173</v>
      </c>
      <c r="L577" s="337">
        <v>45826</v>
      </c>
      <c r="M577" s="337">
        <v>45887</v>
      </c>
      <c r="N577" s="336"/>
    </row>
    <row r="578" spans="1:14" ht="15.75">
      <c r="A578" s="329">
        <v>580</v>
      </c>
      <c r="B578" s="330">
        <v>5</v>
      </c>
      <c r="C578" s="331" t="s">
        <v>9686</v>
      </c>
      <c r="D578" s="331" t="str">
        <f t="shared" si="22"/>
        <v>#10452</v>
      </c>
      <c r="E578" s="294" t="s">
        <v>4143</v>
      </c>
      <c r="F578" s="331" t="s">
        <v>4142</v>
      </c>
      <c r="G578" s="331" t="s">
        <v>9697</v>
      </c>
      <c r="H578" s="331" t="str">
        <f t="shared" si="21"/>
        <v>VN10452</v>
      </c>
      <c r="I578" s="331" t="s">
        <v>8825</v>
      </c>
      <c r="J578" s="333" t="s">
        <v>9698</v>
      </c>
      <c r="K578" s="334">
        <v>45353</v>
      </c>
      <c r="L578" s="335"/>
      <c r="M578" s="335"/>
      <c r="N578" s="336"/>
    </row>
    <row r="579" spans="1:14" ht="15.75">
      <c r="A579" s="329">
        <v>581</v>
      </c>
      <c r="B579" s="330">
        <v>6</v>
      </c>
      <c r="C579" s="331" t="s">
        <v>9686</v>
      </c>
      <c r="D579" s="331" t="str">
        <f t="shared" si="22"/>
        <v>#20977</v>
      </c>
      <c r="E579" s="294" t="s">
        <v>6692</v>
      </c>
      <c r="F579" s="331" t="s">
        <v>6691</v>
      </c>
      <c r="G579" s="331" t="s">
        <v>9699</v>
      </c>
      <c r="H579" s="331" t="str">
        <f t="shared" si="21"/>
        <v>VN20977</v>
      </c>
      <c r="I579" s="331" t="s">
        <v>8825</v>
      </c>
      <c r="J579" s="333" t="s">
        <v>9700</v>
      </c>
      <c r="K579" s="334">
        <v>45478</v>
      </c>
      <c r="L579" s="335"/>
      <c r="M579" s="335"/>
      <c r="N579" s="336"/>
    </row>
    <row r="580" spans="1:14" ht="15.75">
      <c r="A580" s="329">
        <v>582</v>
      </c>
      <c r="B580" s="330">
        <v>7</v>
      </c>
      <c r="C580" s="331" t="s">
        <v>9686</v>
      </c>
      <c r="D580" s="331" t="str">
        <f t="shared" si="22"/>
        <v>#15648</v>
      </c>
      <c r="E580" s="294" t="s">
        <v>9701</v>
      </c>
      <c r="F580" s="331" t="s">
        <v>4248</v>
      </c>
      <c r="G580" s="331" t="s">
        <v>9702</v>
      </c>
      <c r="H580" s="331" t="str">
        <f t="shared" si="21"/>
        <v>VN15648</v>
      </c>
      <c r="I580" s="331" t="s">
        <v>8825</v>
      </c>
      <c r="J580" s="333"/>
      <c r="K580" s="334"/>
      <c r="L580" s="337">
        <v>45188</v>
      </c>
      <c r="M580" s="337">
        <v>45887</v>
      </c>
      <c r="N580" s="336"/>
    </row>
    <row r="581" spans="1:14" ht="15.75">
      <c r="A581" s="329">
        <v>583</v>
      </c>
      <c r="B581" s="330">
        <v>8</v>
      </c>
      <c r="C581" s="331" t="s">
        <v>9686</v>
      </c>
      <c r="D581" s="331" t="str">
        <f t="shared" si="22"/>
        <v>#12479</v>
      </c>
      <c r="E581" s="294" t="s">
        <v>4695</v>
      </c>
      <c r="F581" s="331" t="s">
        <v>4694</v>
      </c>
      <c r="G581" s="331" t="s">
        <v>9703</v>
      </c>
      <c r="H581" s="331" t="str">
        <f t="shared" si="21"/>
        <v>VN12479</v>
      </c>
      <c r="I581" s="331" t="s">
        <v>8825</v>
      </c>
      <c r="J581" s="333" t="s">
        <v>9704</v>
      </c>
      <c r="K581" s="334">
        <v>45580</v>
      </c>
      <c r="L581" s="335"/>
      <c r="M581" s="335"/>
      <c r="N581" s="336"/>
    </row>
    <row r="582" spans="1:14" ht="15.75">
      <c r="A582" s="329">
        <v>584</v>
      </c>
      <c r="B582" s="330">
        <v>9</v>
      </c>
      <c r="C582" s="331" t="s">
        <v>9062</v>
      </c>
      <c r="D582" s="331" t="str">
        <f t="shared" si="22"/>
        <v>#26041</v>
      </c>
      <c r="E582" s="294" t="s">
        <v>8396</v>
      </c>
      <c r="F582" s="331" t="s">
        <v>8397</v>
      </c>
      <c r="G582" s="331" t="s">
        <v>9705</v>
      </c>
      <c r="H582" s="331" t="str">
        <f t="shared" si="21"/>
        <v>VN26041</v>
      </c>
      <c r="I582" s="331" t="s">
        <v>8825</v>
      </c>
      <c r="J582" s="333" t="s">
        <v>9706</v>
      </c>
      <c r="K582" s="334">
        <v>45821</v>
      </c>
      <c r="L582" s="358"/>
      <c r="M582" s="335"/>
      <c r="N582" s="336"/>
    </row>
    <row r="583" spans="1:14" ht="15.75">
      <c r="A583" s="329">
        <v>585</v>
      </c>
      <c r="B583" s="355">
        <v>10</v>
      </c>
      <c r="C583" s="331" t="s">
        <v>9686</v>
      </c>
      <c r="D583" s="331" t="str">
        <f t="shared" si="22"/>
        <v>#26470</v>
      </c>
      <c r="E583" s="356">
        <v>26470</v>
      </c>
      <c r="F583" s="343" t="s">
        <v>9707</v>
      </c>
      <c r="G583" s="343" t="s">
        <v>9708</v>
      </c>
      <c r="H583" s="343" t="str">
        <f t="shared" si="21"/>
        <v>VN26470</v>
      </c>
      <c r="I583" s="334"/>
      <c r="J583" s="357" t="s">
        <v>9709</v>
      </c>
      <c r="K583" s="346">
        <v>46002</v>
      </c>
      <c r="L583" s="347"/>
      <c r="M583" s="348"/>
      <c r="N583" s="336" t="s">
        <v>9710</v>
      </c>
    </row>
    <row r="584" spans="1:14" ht="15.75">
      <c r="A584" s="329">
        <v>586</v>
      </c>
      <c r="B584" s="330">
        <v>1</v>
      </c>
      <c r="C584" s="331" t="s">
        <v>9711</v>
      </c>
      <c r="D584" s="331" t="str">
        <f t="shared" si="22"/>
        <v>#20599</v>
      </c>
      <c r="E584" s="294" t="s">
        <v>6600</v>
      </c>
      <c r="F584" s="331" t="s">
        <v>6599</v>
      </c>
      <c r="G584" s="331" t="s">
        <v>9712</v>
      </c>
      <c r="H584" s="331" t="str">
        <f t="shared" si="21"/>
        <v>VN20599</v>
      </c>
      <c r="I584" s="331" t="s">
        <v>8825</v>
      </c>
      <c r="J584" s="333"/>
      <c r="K584" s="334"/>
      <c r="L584" s="335"/>
      <c r="M584" s="335"/>
      <c r="N584" s="336"/>
    </row>
    <row r="585" spans="1:14" ht="15.75">
      <c r="A585" s="329">
        <v>587</v>
      </c>
      <c r="B585" s="330">
        <v>2</v>
      </c>
      <c r="C585" s="331" t="s">
        <v>9711</v>
      </c>
      <c r="D585" s="331" t="str">
        <f t="shared" si="22"/>
        <v>#01909</v>
      </c>
      <c r="E585" s="294" t="s">
        <v>1715</v>
      </c>
      <c r="F585" s="331" t="s">
        <v>3836</v>
      </c>
      <c r="G585" s="331" t="s">
        <v>9713</v>
      </c>
      <c r="H585" s="331" t="str">
        <f t="shared" si="21"/>
        <v>VN01909</v>
      </c>
      <c r="I585" s="331"/>
      <c r="J585" s="333" t="s">
        <v>9714</v>
      </c>
      <c r="K585" s="334"/>
      <c r="L585" s="358"/>
      <c r="M585" s="358"/>
      <c r="N585" s="336"/>
    </row>
    <row r="586" spans="1:14" ht="15.75">
      <c r="A586" s="329">
        <v>588</v>
      </c>
      <c r="B586" s="330">
        <v>3</v>
      </c>
      <c r="C586" s="331" t="s">
        <v>9711</v>
      </c>
      <c r="D586" s="331" t="str">
        <f t="shared" si="22"/>
        <v>#18061</v>
      </c>
      <c r="E586" s="294" t="s">
        <v>9715</v>
      </c>
      <c r="F586" s="331" t="s">
        <v>9716</v>
      </c>
      <c r="G586" s="331" t="s">
        <v>9717</v>
      </c>
      <c r="H586" s="331" t="str">
        <f t="shared" si="21"/>
        <v>VN18061</v>
      </c>
      <c r="I586" s="331"/>
      <c r="J586" s="333"/>
      <c r="K586" s="334"/>
      <c r="L586" s="337">
        <v>45810</v>
      </c>
      <c r="M586" s="337">
        <v>45887</v>
      </c>
      <c r="N586" s="336"/>
    </row>
    <row r="587" spans="1:14" ht="15.75">
      <c r="A587" s="329">
        <v>589</v>
      </c>
      <c r="B587" s="330">
        <v>4</v>
      </c>
      <c r="C587" s="331" t="s">
        <v>9711</v>
      </c>
      <c r="D587" s="331" t="str">
        <f t="shared" si="22"/>
        <v>#22231</v>
      </c>
      <c r="E587" s="294" t="s">
        <v>9718</v>
      </c>
      <c r="F587" s="331" t="s">
        <v>3197</v>
      </c>
      <c r="G587" s="331" t="s">
        <v>9719</v>
      </c>
      <c r="H587" s="331" t="str">
        <f t="shared" si="21"/>
        <v>VN22231</v>
      </c>
      <c r="I587" s="331" t="s">
        <v>8825</v>
      </c>
      <c r="J587" s="333"/>
      <c r="K587" s="334"/>
      <c r="L587" s="361">
        <v>45359</v>
      </c>
      <c r="M587" s="337">
        <v>45887</v>
      </c>
      <c r="N587" s="336"/>
    </row>
    <row r="588" spans="1:14" ht="15.75">
      <c r="A588" s="329">
        <v>590</v>
      </c>
      <c r="B588" s="330">
        <v>5</v>
      </c>
      <c r="C588" s="331" t="s">
        <v>9711</v>
      </c>
      <c r="D588" s="331" t="str">
        <f t="shared" si="22"/>
        <v>#21313</v>
      </c>
      <c r="E588" s="294" t="s">
        <v>6781</v>
      </c>
      <c r="F588" s="331" t="s">
        <v>1852</v>
      </c>
      <c r="G588" s="331" t="s">
        <v>9720</v>
      </c>
      <c r="H588" s="331" t="str">
        <f t="shared" si="21"/>
        <v>VN21313</v>
      </c>
      <c r="I588" s="331"/>
      <c r="J588" s="333"/>
      <c r="K588" s="334"/>
      <c r="L588" s="335"/>
      <c r="M588" s="335"/>
      <c r="N588" s="336"/>
    </row>
    <row r="589" spans="1:14" ht="15.75">
      <c r="A589" s="329">
        <v>591</v>
      </c>
      <c r="B589" s="330">
        <v>6</v>
      </c>
      <c r="C589" s="331" t="s">
        <v>9711</v>
      </c>
      <c r="D589" s="331" t="str">
        <f t="shared" si="22"/>
        <v>#19951</v>
      </c>
      <c r="E589" s="294" t="s">
        <v>6422</v>
      </c>
      <c r="F589" s="331" t="s">
        <v>4160</v>
      </c>
      <c r="G589" s="331" t="s">
        <v>9721</v>
      </c>
      <c r="H589" s="331" t="str">
        <f t="shared" si="21"/>
        <v>VN19951</v>
      </c>
      <c r="I589" s="331"/>
      <c r="J589" s="333"/>
      <c r="K589" s="334"/>
      <c r="L589" s="335"/>
      <c r="M589" s="335"/>
      <c r="N589" s="336"/>
    </row>
    <row r="590" spans="1:14" ht="15.75">
      <c r="A590" s="329">
        <v>592</v>
      </c>
      <c r="B590" s="330">
        <v>7</v>
      </c>
      <c r="C590" s="331" t="s">
        <v>9711</v>
      </c>
      <c r="D590" s="331" t="str">
        <f t="shared" si="22"/>
        <v>#20612</v>
      </c>
      <c r="E590" s="294" t="s">
        <v>6603</v>
      </c>
      <c r="F590" s="331" t="s">
        <v>6511</v>
      </c>
      <c r="G590" s="331" t="s">
        <v>9722</v>
      </c>
      <c r="H590" s="331" t="str">
        <f t="shared" ref="H590:H653" si="23">CONCATENATE("VN",E590)</f>
        <v>VN20612</v>
      </c>
      <c r="I590" s="331"/>
      <c r="J590" s="333"/>
      <c r="K590" s="334"/>
      <c r="L590" s="335"/>
      <c r="M590" s="335"/>
      <c r="N590" s="336"/>
    </row>
    <row r="591" spans="1:14" ht="15.75">
      <c r="A591" s="329">
        <v>593</v>
      </c>
      <c r="B591" s="330">
        <v>8</v>
      </c>
      <c r="C591" s="331" t="s">
        <v>9711</v>
      </c>
      <c r="D591" s="331" t="str">
        <f t="shared" si="22"/>
        <v>#21137</v>
      </c>
      <c r="E591" s="294" t="s">
        <v>6741</v>
      </c>
      <c r="F591" s="331" t="s">
        <v>6740</v>
      </c>
      <c r="G591" s="331" t="s">
        <v>9723</v>
      </c>
      <c r="H591" s="331" t="str">
        <f t="shared" si="23"/>
        <v>VN21137</v>
      </c>
      <c r="I591" s="331" t="s">
        <v>8825</v>
      </c>
      <c r="J591" s="333"/>
      <c r="K591" s="334">
        <v>45099</v>
      </c>
      <c r="L591" s="335"/>
      <c r="M591" s="335"/>
      <c r="N591" s="336"/>
    </row>
    <row r="592" spans="1:14" ht="15.75">
      <c r="A592" s="329">
        <v>594</v>
      </c>
      <c r="B592" s="330">
        <v>9</v>
      </c>
      <c r="C592" s="331" t="s">
        <v>9711</v>
      </c>
      <c r="D592" s="331" t="str">
        <f t="shared" si="22"/>
        <v>#03282</v>
      </c>
      <c r="E592" s="294" t="s">
        <v>2147</v>
      </c>
      <c r="F592" s="331" t="s">
        <v>2146</v>
      </c>
      <c r="G592" s="331" t="s">
        <v>9724</v>
      </c>
      <c r="H592" s="331" t="str">
        <f t="shared" si="23"/>
        <v>VN03282</v>
      </c>
      <c r="I592" s="331" t="s">
        <v>8825</v>
      </c>
      <c r="J592" s="333" t="s">
        <v>9725</v>
      </c>
      <c r="K592" s="334">
        <v>45364</v>
      </c>
      <c r="L592" s="335"/>
      <c r="M592" s="335"/>
      <c r="N592" s="336"/>
    </row>
    <row r="593" spans="1:14" ht="15.75">
      <c r="A593" s="329">
        <v>595</v>
      </c>
      <c r="B593" s="330">
        <v>10</v>
      </c>
      <c r="C593" s="331" t="s">
        <v>9711</v>
      </c>
      <c r="D593" s="331" t="str">
        <f t="shared" si="22"/>
        <v>#21314</v>
      </c>
      <c r="E593" s="294" t="s">
        <v>6783</v>
      </c>
      <c r="F593" s="331" t="s">
        <v>6782</v>
      </c>
      <c r="G593" s="331" t="s">
        <v>9726</v>
      </c>
      <c r="H593" s="331" t="str">
        <f t="shared" si="23"/>
        <v>VN21314</v>
      </c>
      <c r="I593" s="331"/>
      <c r="J593" s="333" t="s">
        <v>9727</v>
      </c>
      <c r="K593" s="334">
        <v>45385</v>
      </c>
      <c r="L593" s="335"/>
      <c r="M593" s="335"/>
      <c r="N593" s="336"/>
    </row>
    <row r="594" spans="1:14" ht="15.75">
      <c r="A594" s="329">
        <v>596</v>
      </c>
      <c r="B594" s="330">
        <v>11</v>
      </c>
      <c r="C594" s="331" t="s">
        <v>9711</v>
      </c>
      <c r="D594" s="331" t="str">
        <f t="shared" si="22"/>
        <v>#24508</v>
      </c>
      <c r="E594" s="294" t="s">
        <v>9728</v>
      </c>
      <c r="F594" s="331" t="s">
        <v>9729</v>
      </c>
      <c r="G594" s="331" t="s">
        <v>9730</v>
      </c>
      <c r="H594" s="331" t="str">
        <f t="shared" si="23"/>
        <v>VN24508</v>
      </c>
      <c r="I594" s="331" t="s">
        <v>8825</v>
      </c>
      <c r="J594" s="333" t="s">
        <v>9731</v>
      </c>
      <c r="K594" s="334">
        <v>45387</v>
      </c>
      <c r="L594" s="337">
        <v>45792</v>
      </c>
      <c r="M594" s="337">
        <v>45887</v>
      </c>
      <c r="N594" s="336"/>
    </row>
    <row r="595" spans="1:14" ht="15.75">
      <c r="A595" s="329">
        <v>597</v>
      </c>
      <c r="B595" s="330">
        <v>12</v>
      </c>
      <c r="C595" s="331" t="s">
        <v>9711</v>
      </c>
      <c r="D595" s="331" t="str">
        <f t="shared" si="22"/>
        <v>#00834</v>
      </c>
      <c r="E595" s="294" t="s">
        <v>1286</v>
      </c>
      <c r="F595" s="331" t="s">
        <v>1285</v>
      </c>
      <c r="G595" s="331" t="s">
        <v>9732</v>
      </c>
      <c r="H595" s="331" t="str">
        <f t="shared" si="23"/>
        <v>VN00834</v>
      </c>
      <c r="I595" s="331"/>
      <c r="J595" s="333"/>
      <c r="K595" s="334">
        <v>45467</v>
      </c>
      <c r="L595" s="335"/>
      <c r="M595" s="335"/>
      <c r="N595" s="336"/>
    </row>
    <row r="596" spans="1:14" ht="15.75">
      <c r="A596" s="329">
        <v>598</v>
      </c>
      <c r="B596" s="330">
        <v>13</v>
      </c>
      <c r="C596" s="331" t="s">
        <v>9711</v>
      </c>
      <c r="D596" s="331" t="str">
        <f t="shared" si="22"/>
        <v>#09874</v>
      </c>
      <c r="E596" s="294" t="s">
        <v>3986</v>
      </c>
      <c r="F596" s="331" t="s">
        <v>9733</v>
      </c>
      <c r="G596" s="331" t="s">
        <v>9734</v>
      </c>
      <c r="H596" s="331" t="str">
        <f t="shared" si="23"/>
        <v>VN09874</v>
      </c>
      <c r="I596" s="331" t="s">
        <v>8825</v>
      </c>
      <c r="J596" s="333" t="s">
        <v>9735</v>
      </c>
      <c r="K596" s="334">
        <v>45483</v>
      </c>
      <c r="L596" s="335"/>
      <c r="M596" s="335"/>
      <c r="N596" s="336"/>
    </row>
    <row r="597" spans="1:14" ht="15.75">
      <c r="A597" s="329">
        <v>599</v>
      </c>
      <c r="B597" s="330">
        <v>14</v>
      </c>
      <c r="C597" s="331" t="s">
        <v>9736</v>
      </c>
      <c r="D597" s="331" t="str">
        <f t="shared" si="22"/>
        <v>#00172</v>
      </c>
      <c r="E597" s="332" t="s">
        <v>947</v>
      </c>
      <c r="F597" s="331" t="s">
        <v>946</v>
      </c>
      <c r="G597" s="331" t="s">
        <v>9737</v>
      </c>
      <c r="H597" s="331" t="str">
        <f t="shared" si="23"/>
        <v>VN00172</v>
      </c>
      <c r="I597" s="331" t="s">
        <v>8825</v>
      </c>
      <c r="J597" s="333"/>
      <c r="K597" s="334"/>
      <c r="L597" s="335"/>
      <c r="M597" s="335"/>
      <c r="N597" s="336"/>
    </row>
    <row r="598" spans="1:14" ht="15.75">
      <c r="A598" s="329">
        <v>600</v>
      </c>
      <c r="B598" s="330">
        <v>15</v>
      </c>
      <c r="C598" s="331" t="s">
        <v>9711</v>
      </c>
      <c r="D598" s="331" t="str">
        <f t="shared" si="22"/>
        <v>#00431</v>
      </c>
      <c r="E598" s="294" t="s">
        <v>1073</v>
      </c>
      <c r="F598" s="331" t="s">
        <v>1072</v>
      </c>
      <c r="G598" s="331" t="s">
        <v>9738</v>
      </c>
      <c r="H598" s="331" t="str">
        <f t="shared" si="23"/>
        <v>VN00431</v>
      </c>
      <c r="I598" s="331" t="s">
        <v>8825</v>
      </c>
      <c r="J598" s="333" t="s">
        <v>9739</v>
      </c>
      <c r="K598" s="334">
        <v>45549</v>
      </c>
      <c r="L598" s="358"/>
      <c r="M598" s="335"/>
      <c r="N598" s="336"/>
    </row>
    <row r="599" spans="1:14" ht="15.75">
      <c r="A599" s="329">
        <v>601</v>
      </c>
      <c r="B599" s="330">
        <v>1</v>
      </c>
      <c r="C599" s="331" t="s">
        <v>9740</v>
      </c>
      <c r="D599" s="331" t="str">
        <f t="shared" si="22"/>
        <v>#00254</v>
      </c>
      <c r="E599" s="294" t="s">
        <v>984</v>
      </c>
      <c r="F599" s="331" t="s">
        <v>983</v>
      </c>
      <c r="G599" s="331" t="s">
        <v>9741</v>
      </c>
      <c r="H599" s="331" t="str">
        <f t="shared" si="23"/>
        <v>VN00254</v>
      </c>
      <c r="I599" s="331"/>
      <c r="J599" s="333"/>
      <c r="K599" s="334"/>
      <c r="L599" s="335"/>
      <c r="M599" s="335"/>
      <c r="N599" s="336"/>
    </row>
    <row r="600" spans="1:14" ht="15.75">
      <c r="A600" s="329">
        <v>602</v>
      </c>
      <c r="B600" s="330">
        <v>2</v>
      </c>
      <c r="C600" s="331" t="s">
        <v>9740</v>
      </c>
      <c r="D600" s="331" t="str">
        <f t="shared" si="22"/>
        <v>#03094</v>
      </c>
      <c r="E600" s="294" t="s">
        <v>2097</v>
      </c>
      <c r="F600" s="331" t="s">
        <v>2096</v>
      </c>
      <c r="G600" s="331" t="s">
        <v>9742</v>
      </c>
      <c r="H600" s="331" t="str">
        <f t="shared" si="23"/>
        <v>VN03094</v>
      </c>
      <c r="I600" s="331" t="s">
        <v>8825</v>
      </c>
      <c r="J600" s="333"/>
      <c r="K600" s="334"/>
      <c r="L600" s="335"/>
      <c r="M600" s="335"/>
      <c r="N600" s="336"/>
    </row>
    <row r="601" spans="1:14" ht="15.75">
      <c r="A601" s="329">
        <v>603</v>
      </c>
      <c r="B601" s="330">
        <v>3</v>
      </c>
      <c r="C601" s="331" t="s">
        <v>9740</v>
      </c>
      <c r="D601" s="331" t="str">
        <f t="shared" si="22"/>
        <v>#04619</v>
      </c>
      <c r="E601" s="294" t="s">
        <v>2532</v>
      </c>
      <c r="F601" s="331" t="s">
        <v>1023</v>
      </c>
      <c r="G601" s="331" t="s">
        <v>9743</v>
      </c>
      <c r="H601" s="331" t="str">
        <f t="shared" si="23"/>
        <v>VN04619</v>
      </c>
      <c r="I601" s="331" t="s">
        <v>8825</v>
      </c>
      <c r="J601" s="333"/>
      <c r="K601" s="334"/>
      <c r="L601" s="335"/>
      <c r="M601" s="335"/>
      <c r="N601" s="336"/>
    </row>
    <row r="602" spans="1:14" ht="15.75">
      <c r="A602" s="329">
        <v>604</v>
      </c>
      <c r="B602" s="330">
        <v>4</v>
      </c>
      <c r="C602" s="331" t="s">
        <v>9740</v>
      </c>
      <c r="D602" s="331" t="str">
        <f t="shared" si="22"/>
        <v>#16755</v>
      </c>
      <c r="E602" s="294" t="s">
        <v>9744</v>
      </c>
      <c r="F602" s="331" t="s">
        <v>6897</v>
      </c>
      <c r="G602" s="338" t="s">
        <v>9745</v>
      </c>
      <c r="H602" s="338" t="str">
        <f t="shared" si="23"/>
        <v>VN16755</v>
      </c>
      <c r="I602" s="338"/>
      <c r="J602" s="339"/>
      <c r="K602" s="334"/>
      <c r="L602" s="361">
        <v>45791</v>
      </c>
      <c r="M602" s="337">
        <v>45887</v>
      </c>
      <c r="N602" s="336"/>
    </row>
    <row r="603" spans="1:14" ht="15.75">
      <c r="A603" s="329">
        <v>605</v>
      </c>
      <c r="B603" s="330">
        <v>5</v>
      </c>
      <c r="C603" s="331" t="s">
        <v>9740</v>
      </c>
      <c r="D603" s="331" t="str">
        <f t="shared" si="22"/>
        <v>#07790</v>
      </c>
      <c r="E603" s="294" t="s">
        <v>3396</v>
      </c>
      <c r="F603" s="331" t="s">
        <v>2407</v>
      </c>
      <c r="G603" s="338" t="s">
        <v>9746</v>
      </c>
      <c r="H603" s="338" t="str">
        <f t="shared" si="23"/>
        <v>VN07790</v>
      </c>
      <c r="I603" s="338"/>
      <c r="J603" s="339"/>
      <c r="K603" s="334"/>
      <c r="L603" s="335"/>
      <c r="M603" s="335"/>
      <c r="N603" s="336"/>
    </row>
    <row r="604" spans="1:14" ht="15.75">
      <c r="A604" s="329">
        <v>607</v>
      </c>
      <c r="B604" s="330">
        <v>7</v>
      </c>
      <c r="C604" s="331" t="s">
        <v>9740</v>
      </c>
      <c r="D604" s="331" t="str">
        <f t="shared" si="22"/>
        <v>#10595</v>
      </c>
      <c r="E604" s="294" t="s">
        <v>4188</v>
      </c>
      <c r="F604" s="331" t="s">
        <v>1372</v>
      </c>
      <c r="G604" s="331" t="s">
        <v>9747</v>
      </c>
      <c r="H604" s="331" t="str">
        <f t="shared" si="23"/>
        <v>VN10595</v>
      </c>
      <c r="I604" s="331"/>
      <c r="J604" s="333"/>
      <c r="K604" s="334"/>
      <c r="L604" s="335"/>
      <c r="M604" s="335"/>
      <c r="N604" s="336"/>
    </row>
    <row r="605" spans="1:14" ht="15.75">
      <c r="A605" s="329">
        <v>608</v>
      </c>
      <c r="B605" s="330">
        <v>8</v>
      </c>
      <c r="C605" s="331" t="s">
        <v>9740</v>
      </c>
      <c r="D605" s="331" t="str">
        <f t="shared" si="22"/>
        <v>#00998</v>
      </c>
      <c r="E605" s="294" t="s">
        <v>1369</v>
      </c>
      <c r="F605" s="331" t="s">
        <v>1368</v>
      </c>
      <c r="G605" s="331" t="s">
        <v>9748</v>
      </c>
      <c r="H605" s="331" t="str">
        <f t="shared" si="23"/>
        <v>VN00998</v>
      </c>
      <c r="I605" s="331" t="s">
        <v>8825</v>
      </c>
      <c r="J605" s="333"/>
      <c r="K605" s="334">
        <v>45755</v>
      </c>
      <c r="L605" s="335"/>
      <c r="M605" s="335"/>
      <c r="N605" s="336"/>
    </row>
    <row r="606" spans="1:14" ht="15.75">
      <c r="A606" s="329">
        <v>609</v>
      </c>
      <c r="B606" s="330">
        <v>1</v>
      </c>
      <c r="C606" s="331" t="s">
        <v>9749</v>
      </c>
      <c r="D606" s="331" t="str">
        <f t="shared" si="22"/>
        <v>#01443</v>
      </c>
      <c r="E606" s="294" t="s">
        <v>1547</v>
      </c>
      <c r="F606" s="331" t="s">
        <v>1546</v>
      </c>
      <c r="G606" s="331" t="s">
        <v>9750</v>
      </c>
      <c r="H606" s="331" t="str">
        <f t="shared" si="23"/>
        <v>VN01443</v>
      </c>
      <c r="I606" s="331"/>
      <c r="J606" s="333"/>
      <c r="K606" s="334"/>
      <c r="L606" s="334"/>
      <c r="M606" s="334"/>
      <c r="N606" s="336"/>
    </row>
    <row r="607" spans="1:14" ht="15.75">
      <c r="A607" s="329">
        <v>610</v>
      </c>
      <c r="B607" s="330">
        <v>2</v>
      </c>
      <c r="C607" s="331" t="s">
        <v>9749</v>
      </c>
      <c r="D607" s="331" t="str">
        <f t="shared" si="22"/>
        <v>#03502</v>
      </c>
      <c r="E607" s="294" t="s">
        <v>2251</v>
      </c>
      <c r="F607" s="331" t="s">
        <v>2250</v>
      </c>
      <c r="G607" s="331" t="s">
        <v>9751</v>
      </c>
      <c r="H607" s="331" t="str">
        <f t="shared" si="23"/>
        <v>VN03502</v>
      </c>
      <c r="I607" s="331"/>
      <c r="J607" s="333"/>
      <c r="K607" s="334"/>
      <c r="L607" s="335"/>
      <c r="M607" s="335"/>
      <c r="N607" s="336"/>
    </row>
    <row r="608" spans="1:14" ht="15.75">
      <c r="A608" s="329">
        <v>611</v>
      </c>
      <c r="B608" s="330">
        <v>3</v>
      </c>
      <c r="C608" s="331" t="s">
        <v>9749</v>
      </c>
      <c r="D608" s="331" t="str">
        <f t="shared" si="22"/>
        <v>#15950</v>
      </c>
      <c r="E608" s="294" t="s">
        <v>5414</v>
      </c>
      <c r="F608" s="331" t="s">
        <v>5413</v>
      </c>
      <c r="G608" s="331" t="s">
        <v>9752</v>
      </c>
      <c r="H608" s="331" t="str">
        <f t="shared" si="23"/>
        <v>VN15950</v>
      </c>
      <c r="I608" s="331" t="s">
        <v>8825</v>
      </c>
      <c r="J608" s="333"/>
      <c r="K608" s="334"/>
      <c r="L608" s="358"/>
      <c r="M608" s="358"/>
      <c r="N608" s="336"/>
    </row>
    <row r="609" spans="1:14" ht="15.75">
      <c r="A609" s="329">
        <v>612</v>
      </c>
      <c r="B609" s="330">
        <v>4</v>
      </c>
      <c r="C609" s="331" t="s">
        <v>9749</v>
      </c>
      <c r="D609" s="331" t="str">
        <f t="shared" si="22"/>
        <v>#22261</v>
      </c>
      <c r="E609" s="294" t="s">
        <v>9753</v>
      </c>
      <c r="F609" s="331" t="s">
        <v>1088</v>
      </c>
      <c r="G609" s="331" t="s">
        <v>9754</v>
      </c>
      <c r="H609" s="331" t="str">
        <f t="shared" si="23"/>
        <v>VN22261</v>
      </c>
      <c r="I609" s="331"/>
      <c r="J609" s="333"/>
      <c r="K609" s="334"/>
      <c r="L609" s="361">
        <v>45432</v>
      </c>
      <c r="M609" s="337">
        <v>45887</v>
      </c>
      <c r="N609" s="336"/>
    </row>
    <row r="610" spans="1:14" ht="15.75">
      <c r="A610" s="329">
        <v>613</v>
      </c>
      <c r="B610" s="330">
        <v>5</v>
      </c>
      <c r="C610" s="331" t="s">
        <v>9749</v>
      </c>
      <c r="D610" s="331" t="str">
        <f t="shared" si="22"/>
        <v>#03618</v>
      </c>
      <c r="E610" s="294" t="s">
        <v>2288</v>
      </c>
      <c r="F610" s="331" t="s">
        <v>1407</v>
      </c>
      <c r="G610" s="331" t="s">
        <v>9755</v>
      </c>
      <c r="H610" s="331" t="str">
        <f t="shared" si="23"/>
        <v>VN03618</v>
      </c>
      <c r="I610" s="331"/>
      <c r="J610" s="333"/>
      <c r="K610" s="334"/>
      <c r="L610" s="335"/>
      <c r="M610" s="358"/>
      <c r="N610" s="336"/>
    </row>
    <row r="611" spans="1:14" ht="15.75">
      <c r="A611" s="329">
        <v>614</v>
      </c>
      <c r="B611" s="330">
        <v>6</v>
      </c>
      <c r="C611" s="331" t="s">
        <v>9749</v>
      </c>
      <c r="D611" s="331" t="str">
        <f t="shared" si="22"/>
        <v>#25127</v>
      </c>
      <c r="E611" s="294" t="s">
        <v>7908</v>
      </c>
      <c r="F611" s="331" t="s">
        <v>7909</v>
      </c>
      <c r="G611" s="331" t="s">
        <v>9756</v>
      </c>
      <c r="H611" s="331" t="str">
        <f t="shared" si="23"/>
        <v>VN25127</v>
      </c>
      <c r="I611" s="331"/>
      <c r="J611" s="333" t="s">
        <v>9757</v>
      </c>
      <c r="K611" s="334">
        <v>45549</v>
      </c>
      <c r="L611" s="335"/>
      <c r="M611" s="358"/>
      <c r="N611" s="336"/>
    </row>
    <row r="612" spans="1:14" ht="15.75">
      <c r="A612" s="329">
        <v>615</v>
      </c>
      <c r="B612" s="330">
        <v>7</v>
      </c>
      <c r="C612" s="331" t="s">
        <v>9749</v>
      </c>
      <c r="D612" s="331" t="str">
        <f t="shared" si="22"/>
        <v>#25148</v>
      </c>
      <c r="E612" s="294" t="s">
        <v>7920</v>
      </c>
      <c r="F612" s="331" t="s">
        <v>7921</v>
      </c>
      <c r="G612" s="331" t="s">
        <v>9758</v>
      </c>
      <c r="H612" s="331" t="str">
        <f t="shared" si="23"/>
        <v>VN25148</v>
      </c>
      <c r="I612" s="331"/>
      <c r="J612" s="333" t="s">
        <v>9758</v>
      </c>
      <c r="K612" s="334">
        <v>45730</v>
      </c>
      <c r="L612" s="335"/>
      <c r="M612" s="358"/>
      <c r="N612" s="336"/>
    </row>
    <row r="613" spans="1:14" ht="15.75">
      <c r="A613" s="329">
        <v>616</v>
      </c>
      <c r="B613" s="330">
        <v>8</v>
      </c>
      <c r="C613" s="331" t="s">
        <v>9749</v>
      </c>
      <c r="D613" s="331" t="str">
        <f t="shared" si="22"/>
        <v>#25678</v>
      </c>
      <c r="E613" s="294" t="s">
        <v>8227</v>
      </c>
      <c r="F613" s="331" t="s">
        <v>6293</v>
      </c>
      <c r="G613" s="331" t="s">
        <v>9759</v>
      </c>
      <c r="H613" s="331" t="str">
        <f t="shared" si="23"/>
        <v>VN25678</v>
      </c>
      <c r="I613" s="331"/>
      <c r="J613" s="333" t="s">
        <v>9760</v>
      </c>
      <c r="K613" s="334">
        <v>45729</v>
      </c>
      <c r="L613" s="335"/>
      <c r="M613" s="335"/>
      <c r="N613" s="336"/>
    </row>
    <row r="614" spans="1:14" ht="15.75">
      <c r="A614" s="329">
        <v>617</v>
      </c>
      <c r="B614" s="330">
        <v>1</v>
      </c>
      <c r="C614" s="331" t="s">
        <v>743</v>
      </c>
      <c r="D614" s="331" t="str">
        <f t="shared" si="22"/>
        <v>#17925</v>
      </c>
      <c r="E614" s="294" t="s">
        <v>9761</v>
      </c>
      <c r="F614" s="331" t="s">
        <v>9762</v>
      </c>
      <c r="G614" s="338" t="s">
        <v>9763</v>
      </c>
      <c r="H614" s="338" t="str">
        <f t="shared" si="23"/>
        <v>VN17925</v>
      </c>
      <c r="I614" s="338" t="s">
        <v>8825</v>
      </c>
      <c r="J614" s="339"/>
      <c r="K614" s="334"/>
      <c r="L614" s="361">
        <v>45444</v>
      </c>
      <c r="M614" s="337">
        <v>45887</v>
      </c>
      <c r="N614" s="336"/>
    </row>
    <row r="615" spans="1:14" ht="15.75">
      <c r="A615" s="329">
        <v>618</v>
      </c>
      <c r="B615" s="330">
        <v>2</v>
      </c>
      <c r="C615" s="331" t="s">
        <v>743</v>
      </c>
      <c r="D615" s="331" t="str">
        <f t="shared" si="22"/>
        <v>#23792</v>
      </c>
      <c r="E615" s="294" t="s">
        <v>7348</v>
      </c>
      <c r="F615" s="331" t="s">
        <v>7347</v>
      </c>
      <c r="G615" s="338" t="s">
        <v>9764</v>
      </c>
      <c r="H615" s="338" t="str">
        <f t="shared" si="23"/>
        <v>VN23792</v>
      </c>
      <c r="I615" s="338" t="s">
        <v>8825</v>
      </c>
      <c r="J615" s="339"/>
      <c r="K615" s="334"/>
      <c r="L615" s="335"/>
      <c r="M615" s="335"/>
      <c r="N615" s="336"/>
    </row>
    <row r="616" spans="1:14" ht="15.75">
      <c r="A616" s="329">
        <v>619</v>
      </c>
      <c r="B616" s="330">
        <v>3</v>
      </c>
      <c r="C616" s="331" t="s">
        <v>743</v>
      </c>
      <c r="D616" s="331" t="str">
        <f t="shared" si="22"/>
        <v>#23793</v>
      </c>
      <c r="E616" s="294" t="s">
        <v>7349</v>
      </c>
      <c r="F616" s="331" t="s">
        <v>1356</v>
      </c>
      <c r="G616" s="338" t="s">
        <v>9765</v>
      </c>
      <c r="H616" s="338" t="str">
        <f t="shared" si="23"/>
        <v>VN23793</v>
      </c>
      <c r="I616" s="338"/>
      <c r="J616" s="339"/>
      <c r="K616" s="334"/>
      <c r="L616" s="334"/>
      <c r="M616" s="334"/>
      <c r="N616" s="336"/>
    </row>
    <row r="617" spans="1:14" ht="15.75">
      <c r="A617" s="329">
        <v>620</v>
      </c>
      <c r="B617" s="330">
        <v>4</v>
      </c>
      <c r="C617" s="331" t="s">
        <v>743</v>
      </c>
      <c r="D617" s="331" t="str">
        <f t="shared" si="22"/>
        <v>#22986</v>
      </c>
      <c r="E617" s="294" t="s">
        <v>9766</v>
      </c>
      <c r="F617" s="331" t="s">
        <v>9767</v>
      </c>
      <c r="G617" s="338" t="s">
        <v>9768</v>
      </c>
      <c r="H617" s="338" t="str">
        <f t="shared" si="23"/>
        <v>VN22986</v>
      </c>
      <c r="I617" s="338"/>
      <c r="J617" s="339"/>
      <c r="K617" s="334"/>
      <c r="L617" s="337">
        <v>45761</v>
      </c>
      <c r="M617" s="337">
        <v>45887</v>
      </c>
      <c r="N617" s="336"/>
    </row>
    <row r="618" spans="1:14" ht="15.75">
      <c r="A618" s="329">
        <v>621</v>
      </c>
      <c r="B618" s="330">
        <v>5</v>
      </c>
      <c r="C618" s="331" t="s">
        <v>743</v>
      </c>
      <c r="D618" s="331" t="str">
        <f t="shared" si="22"/>
        <v>#16143</v>
      </c>
      <c r="E618" s="294" t="s">
        <v>5456</v>
      </c>
      <c r="F618" s="331" t="s">
        <v>4589</v>
      </c>
      <c r="G618" s="338" t="s">
        <v>9769</v>
      </c>
      <c r="H618" s="338" t="str">
        <f t="shared" si="23"/>
        <v>VN16143</v>
      </c>
      <c r="I618" s="338" t="s">
        <v>8825</v>
      </c>
      <c r="J618" s="339" t="s">
        <v>9770</v>
      </c>
      <c r="K618" s="334">
        <v>45201</v>
      </c>
      <c r="L618" s="335"/>
      <c r="M618" s="335"/>
      <c r="N618" s="336"/>
    </row>
    <row r="619" spans="1:14" ht="15.75">
      <c r="A619" s="329">
        <v>622</v>
      </c>
      <c r="B619" s="330">
        <v>6</v>
      </c>
      <c r="C619" s="331" t="s">
        <v>743</v>
      </c>
      <c r="D619" s="331" t="str">
        <f t="shared" si="22"/>
        <v>#24328</v>
      </c>
      <c r="E619" s="294" t="s">
        <v>9771</v>
      </c>
      <c r="F619" s="331" t="s">
        <v>9772</v>
      </c>
      <c r="G619" s="338" t="s">
        <v>9773</v>
      </c>
      <c r="H619" s="338" t="str">
        <f t="shared" si="23"/>
        <v>VN24328</v>
      </c>
      <c r="I619" s="338" t="s">
        <v>8825</v>
      </c>
      <c r="J619" s="339" t="s">
        <v>9774</v>
      </c>
      <c r="K619" s="334">
        <v>45264</v>
      </c>
      <c r="L619" s="337">
        <v>45716</v>
      </c>
      <c r="M619" s="337">
        <v>45887</v>
      </c>
      <c r="N619" s="336"/>
    </row>
    <row r="620" spans="1:14" ht="15.75">
      <c r="A620" s="329">
        <v>623</v>
      </c>
      <c r="B620" s="330">
        <v>7</v>
      </c>
      <c r="C620" s="331" t="s">
        <v>743</v>
      </c>
      <c r="D620" s="331" t="str">
        <f t="shared" si="22"/>
        <v>#24900</v>
      </c>
      <c r="E620" s="294" t="s">
        <v>7782</v>
      </c>
      <c r="F620" s="331" t="s">
        <v>7781</v>
      </c>
      <c r="G620" s="338" t="s">
        <v>9775</v>
      </c>
      <c r="H620" s="338" t="str">
        <f t="shared" si="23"/>
        <v>VN24900</v>
      </c>
      <c r="I620" s="338" t="s">
        <v>8825</v>
      </c>
      <c r="J620" s="339" t="s">
        <v>9776</v>
      </c>
      <c r="K620" s="334">
        <v>45456</v>
      </c>
      <c r="L620" s="335"/>
      <c r="M620" s="335"/>
      <c r="N620" s="336"/>
    </row>
    <row r="621" spans="1:14" ht="15.75">
      <c r="A621" s="329">
        <v>624</v>
      </c>
      <c r="B621" s="330">
        <v>8</v>
      </c>
      <c r="C621" s="331" t="s">
        <v>743</v>
      </c>
      <c r="D621" s="331" t="str">
        <f t="shared" si="22"/>
        <v>#09245</v>
      </c>
      <c r="E621" s="294" t="s">
        <v>3771</v>
      </c>
      <c r="F621" s="331" t="s">
        <v>3770</v>
      </c>
      <c r="G621" s="338" t="s">
        <v>9777</v>
      </c>
      <c r="H621" s="338" t="str">
        <f t="shared" si="23"/>
        <v>VN09245</v>
      </c>
      <c r="I621" s="338"/>
      <c r="J621" s="339">
        <v>123456</v>
      </c>
      <c r="K621" s="334"/>
      <c r="L621" s="335"/>
      <c r="M621" s="335"/>
      <c r="N621" s="336"/>
    </row>
    <row r="622" spans="1:14" ht="15.75">
      <c r="A622" s="329">
        <v>625</v>
      </c>
      <c r="B622" s="330">
        <v>9</v>
      </c>
      <c r="C622" s="331" t="s">
        <v>743</v>
      </c>
      <c r="D622" s="331" t="str">
        <f t="shared" si="22"/>
        <v>#23862</v>
      </c>
      <c r="E622" s="294" t="s">
        <v>7365</v>
      </c>
      <c r="F622" s="331" t="s">
        <v>1325</v>
      </c>
      <c r="G622" s="338" t="s">
        <v>9778</v>
      </c>
      <c r="H622" s="338" t="str">
        <f t="shared" si="23"/>
        <v>VN23862</v>
      </c>
      <c r="I622" s="338"/>
      <c r="J622" s="339"/>
      <c r="K622" s="334"/>
      <c r="L622" s="358"/>
      <c r="M622" s="358"/>
      <c r="N622" s="336"/>
    </row>
    <row r="623" spans="1:14" ht="15.75">
      <c r="A623" s="329">
        <v>626</v>
      </c>
      <c r="B623" s="330">
        <v>10</v>
      </c>
      <c r="C623" s="331" t="s">
        <v>743</v>
      </c>
      <c r="D623" s="331" t="str">
        <f t="shared" si="22"/>
        <v>#26415</v>
      </c>
      <c r="E623" s="294">
        <v>26415</v>
      </c>
      <c r="F623" s="331" t="s">
        <v>8678</v>
      </c>
      <c r="G623" s="338" t="s">
        <v>9779</v>
      </c>
      <c r="H623" s="338" t="str">
        <f t="shared" si="23"/>
        <v>VN26415</v>
      </c>
      <c r="I623" s="338" t="s">
        <v>8825</v>
      </c>
      <c r="J623" s="339" t="s">
        <v>9780</v>
      </c>
      <c r="K623" s="334">
        <v>45968</v>
      </c>
      <c r="L623" s="347"/>
      <c r="M623" s="362"/>
      <c r="N623" s="336"/>
    </row>
    <row r="624" spans="1:14" ht="15.75">
      <c r="A624" s="329">
        <v>627</v>
      </c>
      <c r="B624" s="330">
        <v>11</v>
      </c>
      <c r="C624" s="331" t="s">
        <v>743</v>
      </c>
      <c r="D624" s="331" t="str">
        <f t="shared" si="22"/>
        <v>#19617</v>
      </c>
      <c r="E624" s="294">
        <v>19617</v>
      </c>
      <c r="F624" s="343" t="s">
        <v>2244</v>
      </c>
      <c r="G624" s="344" t="s">
        <v>9781</v>
      </c>
      <c r="H624" s="344" t="str">
        <f t="shared" si="23"/>
        <v>VN19617</v>
      </c>
      <c r="I624" s="345"/>
      <c r="J624" s="339" t="s">
        <v>9782</v>
      </c>
      <c r="K624" s="346">
        <v>45995</v>
      </c>
      <c r="L624" s="347"/>
      <c r="M624" s="362"/>
      <c r="N624" s="336"/>
    </row>
    <row r="625" spans="1:14" ht="15.75">
      <c r="A625" s="329">
        <v>628</v>
      </c>
      <c r="B625" s="330">
        <v>1</v>
      </c>
      <c r="C625" s="331" t="s">
        <v>9783</v>
      </c>
      <c r="D625" s="331" t="str">
        <f t="shared" si="22"/>
        <v>#00376</v>
      </c>
      <c r="E625" s="294" t="s">
        <v>1051</v>
      </c>
      <c r="F625" s="331" t="s">
        <v>1050</v>
      </c>
      <c r="G625" s="331" t="s">
        <v>9784</v>
      </c>
      <c r="H625" s="331" t="str">
        <f t="shared" si="23"/>
        <v>VN00376</v>
      </c>
      <c r="I625" s="331"/>
      <c r="J625" s="333"/>
      <c r="K625" s="334"/>
      <c r="L625" s="335"/>
      <c r="M625" s="335"/>
      <c r="N625" s="336"/>
    </row>
    <row r="626" spans="1:14" ht="15.75">
      <c r="A626" s="329">
        <v>629</v>
      </c>
      <c r="B626" s="330">
        <v>2</v>
      </c>
      <c r="C626" s="331" t="s">
        <v>9783</v>
      </c>
      <c r="D626" s="331" t="str">
        <f t="shared" si="22"/>
        <v>#01162</v>
      </c>
      <c r="E626" s="294" t="s">
        <v>1431</v>
      </c>
      <c r="F626" s="331" t="s">
        <v>1430</v>
      </c>
      <c r="G626" s="331" t="s">
        <v>9785</v>
      </c>
      <c r="H626" s="331" t="str">
        <f t="shared" si="23"/>
        <v>VN01162</v>
      </c>
      <c r="I626" s="331"/>
      <c r="J626" s="333"/>
      <c r="K626" s="334"/>
      <c r="L626" s="358"/>
      <c r="M626" s="358"/>
      <c r="N626" s="336"/>
    </row>
    <row r="627" spans="1:14" ht="15.75">
      <c r="A627" s="329">
        <v>630</v>
      </c>
      <c r="B627" s="330">
        <v>3</v>
      </c>
      <c r="C627" s="331" t="s">
        <v>9783</v>
      </c>
      <c r="D627" s="331" t="str">
        <f t="shared" si="22"/>
        <v>#00369</v>
      </c>
      <c r="E627" s="294" t="s">
        <v>1047</v>
      </c>
      <c r="F627" s="331" t="s">
        <v>1046</v>
      </c>
      <c r="G627" s="331" t="s">
        <v>9786</v>
      </c>
      <c r="H627" s="331" t="str">
        <f t="shared" si="23"/>
        <v>VN00369</v>
      </c>
      <c r="I627" s="331" t="s">
        <v>8825</v>
      </c>
      <c r="J627" s="333"/>
      <c r="K627" s="334"/>
      <c r="L627" s="335"/>
      <c r="M627" s="335"/>
      <c r="N627" s="336"/>
    </row>
    <row r="628" spans="1:14" ht="15.75">
      <c r="A628" s="329">
        <v>631</v>
      </c>
      <c r="B628" s="330">
        <v>4</v>
      </c>
      <c r="C628" s="331" t="s">
        <v>9783</v>
      </c>
      <c r="D628" s="331" t="str">
        <f t="shared" si="22"/>
        <v>#09481</v>
      </c>
      <c r="E628" s="294" t="s">
        <v>3837</v>
      </c>
      <c r="F628" s="331" t="s">
        <v>3836</v>
      </c>
      <c r="G628" s="331" t="s">
        <v>9787</v>
      </c>
      <c r="H628" s="331" t="str">
        <f t="shared" si="23"/>
        <v>VN09481</v>
      </c>
      <c r="I628" s="331" t="s">
        <v>8825</v>
      </c>
      <c r="J628" s="333" t="s">
        <v>9788</v>
      </c>
      <c r="K628" s="334">
        <v>45112</v>
      </c>
      <c r="L628" s="335"/>
      <c r="M628" s="335"/>
      <c r="N628" s="336"/>
    </row>
    <row r="629" spans="1:14" ht="15.75">
      <c r="A629" s="329">
        <v>632</v>
      </c>
      <c r="B629" s="330">
        <v>5</v>
      </c>
      <c r="C629" s="331" t="s">
        <v>9783</v>
      </c>
      <c r="D629" s="331" t="str">
        <f t="shared" si="22"/>
        <v>#05074</v>
      </c>
      <c r="E629" s="294" t="s">
        <v>2634</v>
      </c>
      <c r="F629" s="331" t="s">
        <v>2633</v>
      </c>
      <c r="G629" s="331" t="s">
        <v>9789</v>
      </c>
      <c r="H629" s="331" t="str">
        <f t="shared" si="23"/>
        <v>VN05074</v>
      </c>
      <c r="I629" s="331" t="s">
        <v>8825</v>
      </c>
      <c r="J629" s="333"/>
      <c r="K629" s="334"/>
      <c r="L629" s="358"/>
      <c r="M629" s="358"/>
      <c r="N629" s="336"/>
    </row>
    <row r="630" spans="1:14" ht="15.75">
      <c r="A630" s="329">
        <v>633</v>
      </c>
      <c r="B630" s="330">
        <v>6</v>
      </c>
      <c r="C630" s="331" t="s">
        <v>9783</v>
      </c>
      <c r="D630" s="331" t="str">
        <f t="shared" si="22"/>
        <v>#17574</v>
      </c>
      <c r="E630" s="294">
        <v>17574</v>
      </c>
      <c r="F630" s="331" t="s">
        <v>5756</v>
      </c>
      <c r="G630" s="331" t="s">
        <v>9790</v>
      </c>
      <c r="H630" s="331" t="str">
        <f t="shared" si="23"/>
        <v>VN17574</v>
      </c>
      <c r="I630" s="334" t="s">
        <v>8825</v>
      </c>
      <c r="J630" s="333" t="s">
        <v>9791</v>
      </c>
      <c r="K630" s="346">
        <v>45939</v>
      </c>
      <c r="L630" s="347"/>
      <c r="M630" s="362"/>
      <c r="N630" s="336"/>
    </row>
    <row r="631" spans="1:14" ht="15.75">
      <c r="A631" s="329">
        <v>634</v>
      </c>
      <c r="B631" s="330">
        <v>7</v>
      </c>
      <c r="C631" s="331" t="s">
        <v>9783</v>
      </c>
      <c r="D631" s="331" t="str">
        <f t="shared" si="22"/>
        <v>#06682</v>
      </c>
      <c r="E631" s="294" t="s">
        <v>2970</v>
      </c>
      <c r="F631" s="331" t="s">
        <v>1500</v>
      </c>
      <c r="G631" s="331" t="s">
        <v>9792</v>
      </c>
      <c r="H631" s="331" t="str">
        <f t="shared" si="23"/>
        <v>VN06682</v>
      </c>
      <c r="I631" s="334" t="s">
        <v>8825</v>
      </c>
      <c r="J631" s="363" t="s">
        <v>9793</v>
      </c>
      <c r="K631" s="346">
        <v>45958</v>
      </c>
      <c r="L631" s="347"/>
      <c r="M631" s="362"/>
      <c r="N631" s="336"/>
    </row>
    <row r="632" spans="1:14" ht="15.75">
      <c r="A632" s="329">
        <v>635</v>
      </c>
      <c r="B632" s="330">
        <v>8</v>
      </c>
      <c r="C632" s="331" t="s">
        <v>9783</v>
      </c>
      <c r="D632" s="331" t="str">
        <f t="shared" si="22"/>
        <v>#10294</v>
      </c>
      <c r="E632" s="294" t="s">
        <v>4095</v>
      </c>
      <c r="F632" s="331" t="s">
        <v>4094</v>
      </c>
      <c r="G632" s="331" t="s">
        <v>9794</v>
      </c>
      <c r="H632" s="331" t="str">
        <f t="shared" si="23"/>
        <v>VN10294</v>
      </c>
      <c r="I632" s="334" t="s">
        <v>8825</v>
      </c>
      <c r="J632" s="363" t="s">
        <v>9795</v>
      </c>
      <c r="K632" s="346">
        <v>45958</v>
      </c>
      <c r="L632" s="347"/>
      <c r="M632" s="362"/>
      <c r="N632" s="336"/>
    </row>
    <row r="633" spans="1:14" ht="15.75">
      <c r="A633" s="329">
        <v>636</v>
      </c>
      <c r="B633" s="330">
        <v>1</v>
      </c>
      <c r="C633" s="331" t="s">
        <v>796</v>
      </c>
      <c r="D633" s="331" t="str">
        <f t="shared" ref="D633:D696" si="24">CONCATENATE("#",E633)</f>
        <v>#00334</v>
      </c>
      <c r="E633" s="294" t="s">
        <v>1026</v>
      </c>
      <c r="F633" s="331" t="s">
        <v>1025</v>
      </c>
      <c r="G633" s="331" t="s">
        <v>9796</v>
      </c>
      <c r="H633" s="331" t="str">
        <f t="shared" si="23"/>
        <v>VN00334</v>
      </c>
      <c r="I633" s="331"/>
      <c r="J633" s="333"/>
      <c r="K633" s="334"/>
      <c r="L633" s="358"/>
      <c r="M633" s="358"/>
      <c r="N633" s="336"/>
    </row>
    <row r="634" spans="1:14" ht="15.75">
      <c r="A634" s="329">
        <v>637</v>
      </c>
      <c r="B634" s="330">
        <v>2</v>
      </c>
      <c r="C634" s="331" t="s">
        <v>796</v>
      </c>
      <c r="D634" s="331" t="str">
        <f t="shared" si="24"/>
        <v>#07281</v>
      </c>
      <c r="E634" s="294" t="s">
        <v>3225</v>
      </c>
      <c r="F634" s="331" t="s">
        <v>1502</v>
      </c>
      <c r="G634" s="331" t="s">
        <v>9797</v>
      </c>
      <c r="H634" s="331" t="str">
        <f t="shared" si="23"/>
        <v>VN07281</v>
      </c>
      <c r="I634" s="331" t="s">
        <v>8825</v>
      </c>
      <c r="J634" s="333"/>
      <c r="K634" s="334"/>
      <c r="L634" s="335"/>
      <c r="M634" s="335"/>
      <c r="N634" s="336"/>
    </row>
    <row r="635" spans="1:14" ht="15.75">
      <c r="A635" s="329">
        <v>638</v>
      </c>
      <c r="B635" s="330">
        <v>1</v>
      </c>
      <c r="C635" s="331" t="s">
        <v>9798</v>
      </c>
      <c r="D635" s="331" t="str">
        <f t="shared" si="24"/>
        <v>#07948</v>
      </c>
      <c r="E635" s="294" t="s">
        <v>3452</v>
      </c>
      <c r="F635" s="331" t="s">
        <v>3451</v>
      </c>
      <c r="G635" s="331" t="s">
        <v>9799</v>
      </c>
      <c r="H635" s="331" t="str">
        <f t="shared" si="23"/>
        <v>VN07948</v>
      </c>
      <c r="I635" s="331"/>
      <c r="J635" s="333"/>
      <c r="K635" s="334"/>
      <c r="L635" s="358"/>
      <c r="M635" s="358"/>
      <c r="N635" s="336"/>
    </row>
    <row r="636" spans="1:14" ht="15.75">
      <c r="A636" s="329">
        <v>639</v>
      </c>
      <c r="B636" s="330">
        <v>1</v>
      </c>
      <c r="C636" s="331" t="s">
        <v>752</v>
      </c>
      <c r="D636" s="331" t="str">
        <f t="shared" si="24"/>
        <v>#00072</v>
      </c>
      <c r="E636" s="294" t="s">
        <v>910</v>
      </c>
      <c r="F636" s="331" t="s">
        <v>909</v>
      </c>
      <c r="G636" s="331" t="s">
        <v>9800</v>
      </c>
      <c r="H636" s="331" t="str">
        <f t="shared" si="23"/>
        <v>VN00072</v>
      </c>
      <c r="I636" s="331"/>
      <c r="J636" s="333"/>
      <c r="K636" s="334"/>
      <c r="L636" s="335"/>
      <c r="M636" s="335"/>
      <c r="N636" s="336"/>
    </row>
    <row r="637" spans="1:14" ht="15.75">
      <c r="A637" s="329">
        <v>640</v>
      </c>
      <c r="B637" s="330">
        <v>2</v>
      </c>
      <c r="C637" s="331" t="s">
        <v>752</v>
      </c>
      <c r="D637" s="331" t="str">
        <f t="shared" si="24"/>
        <v>#00328</v>
      </c>
      <c r="E637" s="294" t="s">
        <v>1024</v>
      </c>
      <c r="F637" s="331" t="s">
        <v>2442</v>
      </c>
      <c r="G637" s="331" t="s">
        <v>9801</v>
      </c>
      <c r="H637" s="331" t="str">
        <f t="shared" si="23"/>
        <v>VN00328</v>
      </c>
      <c r="I637" s="331"/>
      <c r="J637" s="333"/>
      <c r="K637" s="334"/>
      <c r="L637" s="358"/>
      <c r="M637" s="358"/>
      <c r="N637" s="336"/>
    </row>
    <row r="638" spans="1:14" ht="15.75">
      <c r="A638" s="329">
        <v>641</v>
      </c>
      <c r="B638" s="330">
        <v>3</v>
      </c>
      <c r="C638" s="331" t="s">
        <v>752</v>
      </c>
      <c r="D638" s="331" t="str">
        <f t="shared" si="24"/>
        <v>#00533</v>
      </c>
      <c r="E638" s="294" t="s">
        <v>1130</v>
      </c>
      <c r="F638" s="331" t="s">
        <v>9802</v>
      </c>
      <c r="G638" s="331" t="s">
        <v>9803</v>
      </c>
      <c r="H638" s="331" t="str">
        <f t="shared" si="23"/>
        <v>VN00533</v>
      </c>
      <c r="I638" s="331"/>
      <c r="J638" s="333"/>
      <c r="K638" s="334"/>
      <c r="L638" s="335"/>
      <c r="M638" s="335"/>
      <c r="N638" s="336"/>
    </row>
    <row r="639" spans="1:14" ht="15.75">
      <c r="A639" s="329">
        <v>642</v>
      </c>
      <c r="B639" s="330">
        <v>4</v>
      </c>
      <c r="C639" s="331" t="s">
        <v>752</v>
      </c>
      <c r="D639" s="331" t="str">
        <f t="shared" si="24"/>
        <v>#00637</v>
      </c>
      <c r="E639" s="294" t="s">
        <v>1178</v>
      </c>
      <c r="F639" s="331" t="s">
        <v>1177</v>
      </c>
      <c r="G639" s="331" t="s">
        <v>9804</v>
      </c>
      <c r="H639" s="331" t="str">
        <f t="shared" si="23"/>
        <v>VN00637</v>
      </c>
      <c r="I639" s="331"/>
      <c r="J639" s="333"/>
      <c r="K639" s="334"/>
      <c r="L639" s="358"/>
      <c r="M639" s="358"/>
      <c r="N639" s="336"/>
    </row>
    <row r="640" spans="1:14" ht="15.75">
      <c r="A640" s="329">
        <v>643</v>
      </c>
      <c r="B640" s="330">
        <v>5</v>
      </c>
      <c r="C640" s="331" t="s">
        <v>752</v>
      </c>
      <c r="D640" s="331" t="str">
        <f t="shared" si="24"/>
        <v>#00665</v>
      </c>
      <c r="E640" s="294" t="s">
        <v>1199</v>
      </c>
      <c r="F640" s="331" t="s">
        <v>1198</v>
      </c>
      <c r="G640" s="331" t="s">
        <v>9805</v>
      </c>
      <c r="H640" s="331" t="str">
        <f t="shared" si="23"/>
        <v>VN00665</v>
      </c>
      <c r="I640" s="331"/>
      <c r="J640" s="333"/>
      <c r="K640" s="334"/>
      <c r="L640" s="335"/>
      <c r="M640" s="335"/>
      <c r="N640" s="336"/>
    </row>
    <row r="641" spans="1:14" ht="15.75">
      <c r="A641" s="329">
        <v>644</v>
      </c>
      <c r="B641" s="330">
        <v>6</v>
      </c>
      <c r="C641" s="331" t="s">
        <v>752</v>
      </c>
      <c r="D641" s="331" t="str">
        <f t="shared" si="24"/>
        <v>#00767</v>
      </c>
      <c r="E641" s="294" t="s">
        <v>1257</v>
      </c>
      <c r="F641" s="331" t="s">
        <v>1256</v>
      </c>
      <c r="G641" s="331" t="s">
        <v>9806</v>
      </c>
      <c r="H641" s="331" t="str">
        <f t="shared" si="23"/>
        <v>VN00767</v>
      </c>
      <c r="I641" s="331"/>
      <c r="J641" s="333"/>
      <c r="K641" s="334"/>
      <c r="L641" s="358"/>
      <c r="M641" s="358"/>
      <c r="N641" s="336"/>
    </row>
    <row r="642" spans="1:14" ht="15.75">
      <c r="A642" s="329">
        <v>645</v>
      </c>
      <c r="B642" s="330">
        <v>7</v>
      </c>
      <c r="C642" s="331" t="s">
        <v>752</v>
      </c>
      <c r="D642" s="331" t="str">
        <f t="shared" si="24"/>
        <v>#01232</v>
      </c>
      <c r="E642" s="294" t="s">
        <v>1463</v>
      </c>
      <c r="F642" s="331" t="s">
        <v>1462</v>
      </c>
      <c r="G642" s="331" t="s">
        <v>9807</v>
      </c>
      <c r="H642" s="331" t="str">
        <f t="shared" si="23"/>
        <v>VN01232</v>
      </c>
      <c r="I642" s="331"/>
      <c r="J642" s="333"/>
      <c r="K642" s="334"/>
      <c r="L642" s="335"/>
      <c r="M642" s="335"/>
      <c r="N642" s="336"/>
    </row>
    <row r="643" spans="1:14" ht="15.75">
      <c r="A643" s="329">
        <v>646</v>
      </c>
      <c r="B643" s="330">
        <v>8</v>
      </c>
      <c r="C643" s="331" t="s">
        <v>752</v>
      </c>
      <c r="D643" s="331" t="str">
        <f t="shared" si="24"/>
        <v>#01233</v>
      </c>
      <c r="E643" s="294" t="s">
        <v>1465</v>
      </c>
      <c r="F643" s="331" t="s">
        <v>1464</v>
      </c>
      <c r="G643" s="331" t="s">
        <v>9808</v>
      </c>
      <c r="H643" s="331" t="str">
        <f t="shared" si="23"/>
        <v>VN01233</v>
      </c>
      <c r="I643" s="331"/>
      <c r="J643" s="333"/>
      <c r="K643" s="334"/>
      <c r="L643" s="358"/>
      <c r="M643" s="358"/>
      <c r="N643" s="336"/>
    </row>
    <row r="644" spans="1:14" ht="15.75">
      <c r="A644" s="329">
        <v>647</v>
      </c>
      <c r="B644" s="330">
        <v>9</v>
      </c>
      <c r="C644" s="331" t="s">
        <v>752</v>
      </c>
      <c r="D644" s="331" t="str">
        <f t="shared" si="24"/>
        <v>#01534</v>
      </c>
      <c r="E644" s="294" t="s">
        <v>1579</v>
      </c>
      <c r="F644" s="331" t="s">
        <v>1578</v>
      </c>
      <c r="G644" s="331" t="s">
        <v>9809</v>
      </c>
      <c r="H644" s="331" t="str">
        <f t="shared" si="23"/>
        <v>VN01534</v>
      </c>
      <c r="I644" s="331" t="s">
        <v>8825</v>
      </c>
      <c r="J644" s="333"/>
      <c r="K644" s="334"/>
      <c r="L644" s="335"/>
      <c r="M644" s="335"/>
      <c r="N644" s="336"/>
    </row>
    <row r="645" spans="1:14" ht="15.75">
      <c r="A645" s="329">
        <v>648</v>
      </c>
      <c r="B645" s="330">
        <v>10</v>
      </c>
      <c r="C645" s="331" t="s">
        <v>752</v>
      </c>
      <c r="D645" s="331" t="str">
        <f t="shared" si="24"/>
        <v>#02421</v>
      </c>
      <c r="E645" s="294" t="s">
        <v>1853</v>
      </c>
      <c r="F645" s="331" t="s">
        <v>3425</v>
      </c>
      <c r="G645" s="331" t="s">
        <v>9810</v>
      </c>
      <c r="H645" s="331" t="str">
        <f t="shared" si="23"/>
        <v>VN02421</v>
      </c>
      <c r="I645" s="331" t="s">
        <v>8825</v>
      </c>
      <c r="J645" s="333"/>
      <c r="K645" s="334"/>
      <c r="L645" s="358"/>
      <c r="M645" s="358"/>
      <c r="N645" s="336"/>
    </row>
    <row r="646" spans="1:14" ht="15.75">
      <c r="A646" s="329">
        <v>649</v>
      </c>
      <c r="B646" s="330">
        <v>11</v>
      </c>
      <c r="C646" s="331" t="s">
        <v>752</v>
      </c>
      <c r="D646" s="331" t="str">
        <f t="shared" si="24"/>
        <v>#02547</v>
      </c>
      <c r="E646" s="294" t="s">
        <v>1909</v>
      </c>
      <c r="F646" s="331" t="s">
        <v>1908</v>
      </c>
      <c r="G646" s="331" t="s">
        <v>9811</v>
      </c>
      <c r="H646" s="331" t="str">
        <f t="shared" si="23"/>
        <v>VN02547</v>
      </c>
      <c r="I646" s="331"/>
      <c r="J646" s="333"/>
      <c r="K646" s="334"/>
      <c r="L646" s="335"/>
      <c r="M646" s="335"/>
      <c r="N646" s="336"/>
    </row>
    <row r="647" spans="1:14" ht="15.75">
      <c r="A647" s="329">
        <v>650</v>
      </c>
      <c r="B647" s="330">
        <v>12</v>
      </c>
      <c r="C647" s="331" t="s">
        <v>752</v>
      </c>
      <c r="D647" s="331" t="str">
        <f t="shared" si="24"/>
        <v>#03747</v>
      </c>
      <c r="E647" s="294" t="s">
        <v>2321</v>
      </c>
      <c r="F647" s="331" t="s">
        <v>2320</v>
      </c>
      <c r="G647" s="331" t="s">
        <v>9812</v>
      </c>
      <c r="H647" s="331" t="str">
        <f t="shared" si="23"/>
        <v>VN03747</v>
      </c>
      <c r="I647" s="331"/>
      <c r="J647" s="333"/>
      <c r="K647" s="334"/>
      <c r="L647" s="358"/>
      <c r="M647" s="358"/>
      <c r="N647" s="336"/>
    </row>
    <row r="648" spans="1:14" ht="15.75">
      <c r="A648" s="329">
        <v>651</v>
      </c>
      <c r="B648" s="330">
        <v>13</v>
      </c>
      <c r="C648" s="331" t="s">
        <v>752</v>
      </c>
      <c r="D648" s="331" t="str">
        <f t="shared" si="24"/>
        <v>#04427</v>
      </c>
      <c r="E648" s="294" t="s">
        <v>2490</v>
      </c>
      <c r="F648" s="331" t="s">
        <v>2489</v>
      </c>
      <c r="G648" s="331" t="s">
        <v>9813</v>
      </c>
      <c r="H648" s="331" t="str">
        <f t="shared" si="23"/>
        <v>VN04427</v>
      </c>
      <c r="I648" s="331" t="s">
        <v>8825</v>
      </c>
      <c r="J648" s="333"/>
      <c r="K648" s="334"/>
      <c r="L648" s="335"/>
      <c r="M648" s="335"/>
      <c r="N648" s="336"/>
    </row>
    <row r="649" spans="1:14" ht="15.75">
      <c r="A649" s="329">
        <v>652</v>
      </c>
      <c r="B649" s="330">
        <v>14</v>
      </c>
      <c r="C649" s="331" t="s">
        <v>752</v>
      </c>
      <c r="D649" s="331" t="str">
        <f t="shared" si="24"/>
        <v>#04428</v>
      </c>
      <c r="E649" s="294" t="s">
        <v>2492</v>
      </c>
      <c r="F649" s="331" t="s">
        <v>2491</v>
      </c>
      <c r="G649" s="331" t="s">
        <v>9814</v>
      </c>
      <c r="H649" s="331" t="str">
        <f t="shared" si="23"/>
        <v>VN04428</v>
      </c>
      <c r="I649" s="331"/>
      <c r="J649" s="333"/>
      <c r="K649" s="334"/>
      <c r="L649" s="358"/>
      <c r="M649" s="358"/>
      <c r="N649" s="336"/>
    </row>
    <row r="650" spans="1:14" ht="15.75">
      <c r="A650" s="329">
        <v>653</v>
      </c>
      <c r="B650" s="330">
        <v>15</v>
      </c>
      <c r="C650" s="331" t="s">
        <v>752</v>
      </c>
      <c r="D650" s="331" t="str">
        <f t="shared" si="24"/>
        <v>#06492</v>
      </c>
      <c r="E650" s="294" t="s">
        <v>2898</v>
      </c>
      <c r="F650" s="331" t="s">
        <v>9815</v>
      </c>
      <c r="G650" s="331" t="s">
        <v>9816</v>
      </c>
      <c r="H650" s="331" t="str">
        <f t="shared" si="23"/>
        <v>VN06492</v>
      </c>
      <c r="I650" s="331"/>
      <c r="J650" s="333"/>
      <c r="K650" s="334"/>
      <c r="L650" s="358"/>
      <c r="M650" s="358"/>
      <c r="N650" s="336"/>
    </row>
    <row r="651" spans="1:14" ht="15.75">
      <c r="A651" s="329">
        <v>654</v>
      </c>
      <c r="B651" s="330">
        <v>16</v>
      </c>
      <c r="C651" s="331" t="s">
        <v>752</v>
      </c>
      <c r="D651" s="331" t="str">
        <f t="shared" si="24"/>
        <v>#06748</v>
      </c>
      <c r="E651" s="294" t="s">
        <v>3001</v>
      </c>
      <c r="F651" s="331" t="s">
        <v>1502</v>
      </c>
      <c r="G651" s="331" t="s">
        <v>9817</v>
      </c>
      <c r="H651" s="331" t="str">
        <f t="shared" si="23"/>
        <v>VN06748</v>
      </c>
      <c r="I651" s="331"/>
      <c r="J651" s="333"/>
      <c r="K651" s="334"/>
      <c r="L651" s="335"/>
      <c r="M651" s="335"/>
      <c r="N651" s="336"/>
    </row>
    <row r="652" spans="1:14" ht="15.75">
      <c r="A652" s="329">
        <v>655</v>
      </c>
      <c r="B652" s="330">
        <v>17</v>
      </c>
      <c r="C652" s="331" t="s">
        <v>752</v>
      </c>
      <c r="D652" s="331" t="str">
        <f t="shared" si="24"/>
        <v>#06905</v>
      </c>
      <c r="E652" s="294" t="s">
        <v>9818</v>
      </c>
      <c r="F652" s="331" t="s">
        <v>9819</v>
      </c>
      <c r="G652" s="331" t="s">
        <v>9820</v>
      </c>
      <c r="H652" s="331" t="str">
        <f t="shared" si="23"/>
        <v>VN06905</v>
      </c>
      <c r="I652" s="331"/>
      <c r="J652" s="333"/>
      <c r="K652" s="334"/>
      <c r="L652" s="361">
        <v>45730</v>
      </c>
      <c r="M652" s="337">
        <v>45887</v>
      </c>
      <c r="N652" s="336"/>
    </row>
    <row r="653" spans="1:14" ht="15.75">
      <c r="A653" s="329">
        <v>656</v>
      </c>
      <c r="B653" s="330">
        <v>18</v>
      </c>
      <c r="C653" s="331" t="s">
        <v>752</v>
      </c>
      <c r="D653" s="331" t="str">
        <f t="shared" si="24"/>
        <v>#07789</v>
      </c>
      <c r="E653" s="294" t="s">
        <v>3395</v>
      </c>
      <c r="F653" s="331" t="s">
        <v>3394</v>
      </c>
      <c r="G653" s="331" t="s">
        <v>9821</v>
      </c>
      <c r="H653" s="331" t="str">
        <f t="shared" si="23"/>
        <v>VN07789</v>
      </c>
      <c r="I653" s="331"/>
      <c r="J653" s="333"/>
      <c r="K653" s="334"/>
      <c r="L653" s="335"/>
      <c r="M653" s="335"/>
      <c r="N653" s="336"/>
    </row>
    <row r="654" spans="1:14" ht="15.75">
      <c r="A654" s="329">
        <v>657</v>
      </c>
      <c r="B654" s="330">
        <v>19</v>
      </c>
      <c r="C654" s="331" t="s">
        <v>752</v>
      </c>
      <c r="D654" s="331" t="str">
        <f t="shared" si="24"/>
        <v>#00433</v>
      </c>
      <c r="E654" s="294" t="s">
        <v>1074</v>
      </c>
      <c r="F654" s="331" t="s">
        <v>990</v>
      </c>
      <c r="G654" s="331" t="s">
        <v>9822</v>
      </c>
      <c r="H654" s="331" t="str">
        <f t="shared" ref="H654:H717" si="25">CONCATENATE("VN",E654)</f>
        <v>VN00433</v>
      </c>
      <c r="I654" s="331" t="s">
        <v>8825</v>
      </c>
      <c r="J654" s="333"/>
      <c r="K654" s="334"/>
      <c r="L654" s="358"/>
      <c r="M654" s="358"/>
      <c r="N654" s="336"/>
    </row>
    <row r="655" spans="1:14" ht="15.75">
      <c r="A655" s="329">
        <v>658</v>
      </c>
      <c r="B655" s="330">
        <v>20</v>
      </c>
      <c r="C655" s="331" t="s">
        <v>752</v>
      </c>
      <c r="D655" s="331" t="str">
        <f t="shared" si="24"/>
        <v>#10437</v>
      </c>
      <c r="E655" s="294" t="s">
        <v>9823</v>
      </c>
      <c r="F655" s="331" t="s">
        <v>9824</v>
      </c>
      <c r="G655" s="331" t="s">
        <v>9825</v>
      </c>
      <c r="H655" s="331" t="str">
        <f t="shared" si="25"/>
        <v>VN10437</v>
      </c>
      <c r="I655" s="331"/>
      <c r="J655" s="333"/>
      <c r="K655" s="334"/>
      <c r="L655" s="337">
        <v>45615</v>
      </c>
      <c r="M655" s="337">
        <v>45887</v>
      </c>
      <c r="N655" s="336"/>
    </row>
    <row r="656" spans="1:14" ht="15.75">
      <c r="A656" s="329">
        <v>659</v>
      </c>
      <c r="B656" s="330">
        <v>21</v>
      </c>
      <c r="C656" s="331" t="s">
        <v>752</v>
      </c>
      <c r="D656" s="331" t="str">
        <f t="shared" si="24"/>
        <v>#11937</v>
      </c>
      <c r="E656" s="294" t="s">
        <v>4575</v>
      </c>
      <c r="F656" s="331" t="s">
        <v>4574</v>
      </c>
      <c r="G656" s="331" t="s">
        <v>9826</v>
      </c>
      <c r="H656" s="331" t="str">
        <f t="shared" si="25"/>
        <v>VN11937</v>
      </c>
      <c r="I656" s="331"/>
      <c r="J656" s="333"/>
      <c r="K656" s="334"/>
      <c r="L656" s="358"/>
      <c r="M656" s="358"/>
      <c r="N656" s="336"/>
    </row>
    <row r="657" spans="1:14" ht="15.75">
      <c r="A657" s="329">
        <v>660</v>
      </c>
      <c r="B657" s="330">
        <v>22</v>
      </c>
      <c r="C657" s="331" t="s">
        <v>752</v>
      </c>
      <c r="D657" s="331" t="str">
        <f t="shared" si="24"/>
        <v>#13982</v>
      </c>
      <c r="E657" s="294" t="s">
        <v>9827</v>
      </c>
      <c r="F657" s="331" t="s">
        <v>9828</v>
      </c>
      <c r="G657" s="331" t="s">
        <v>9829</v>
      </c>
      <c r="H657" s="331" t="str">
        <f t="shared" si="25"/>
        <v>VN13982</v>
      </c>
      <c r="I657" s="331"/>
      <c r="J657" s="333"/>
      <c r="K657" s="334"/>
      <c r="L657" s="337">
        <v>45673</v>
      </c>
      <c r="M657" s="337">
        <v>45887</v>
      </c>
      <c r="N657" s="336"/>
    </row>
    <row r="658" spans="1:14" ht="15.75">
      <c r="A658" s="329">
        <v>661</v>
      </c>
      <c r="B658" s="330">
        <v>23</v>
      </c>
      <c r="C658" s="331" t="s">
        <v>752</v>
      </c>
      <c r="D658" s="331" t="str">
        <f t="shared" si="24"/>
        <v>#04267</v>
      </c>
      <c r="E658" s="294" t="s">
        <v>2446</v>
      </c>
      <c r="F658" s="331" t="s">
        <v>2346</v>
      </c>
      <c r="G658" s="331" t="s">
        <v>9830</v>
      </c>
      <c r="H658" s="331" t="str">
        <f t="shared" si="25"/>
        <v>VN04267</v>
      </c>
      <c r="I658" s="331"/>
      <c r="J658" s="333"/>
      <c r="K658" s="334"/>
      <c r="L658" s="358"/>
      <c r="M658" s="358"/>
      <c r="N658" s="336"/>
    </row>
    <row r="659" spans="1:14" ht="15.75">
      <c r="A659" s="329">
        <v>662</v>
      </c>
      <c r="B659" s="330">
        <v>24</v>
      </c>
      <c r="C659" s="331" t="s">
        <v>752</v>
      </c>
      <c r="D659" s="331" t="str">
        <f t="shared" si="24"/>
        <v>#04268</v>
      </c>
      <c r="E659" s="294" t="s">
        <v>2448</v>
      </c>
      <c r="F659" s="331" t="s">
        <v>2447</v>
      </c>
      <c r="G659" s="331" t="s">
        <v>9831</v>
      </c>
      <c r="H659" s="331" t="str">
        <f t="shared" si="25"/>
        <v>VN04268</v>
      </c>
      <c r="I659" s="331"/>
      <c r="J659" s="333"/>
      <c r="K659" s="334"/>
      <c r="L659" s="335"/>
      <c r="M659" s="335"/>
      <c r="N659" s="336"/>
    </row>
    <row r="660" spans="1:14" ht="15.75">
      <c r="A660" s="329">
        <v>663</v>
      </c>
      <c r="B660" s="330">
        <v>25</v>
      </c>
      <c r="C660" s="331" t="s">
        <v>752</v>
      </c>
      <c r="D660" s="331" t="str">
        <f t="shared" si="24"/>
        <v>#01273</v>
      </c>
      <c r="E660" s="294" t="s">
        <v>1493</v>
      </c>
      <c r="F660" s="331" t="s">
        <v>1492</v>
      </c>
      <c r="G660" s="331" t="s">
        <v>9832</v>
      </c>
      <c r="H660" s="331" t="str">
        <f t="shared" si="25"/>
        <v>VN01273</v>
      </c>
      <c r="I660" s="331"/>
      <c r="J660" s="333"/>
      <c r="K660" s="334"/>
      <c r="L660" s="358"/>
      <c r="M660" s="358"/>
      <c r="N660" s="336"/>
    </row>
    <row r="661" spans="1:14" ht="15.75">
      <c r="A661" s="329">
        <v>664</v>
      </c>
      <c r="B661" s="330">
        <v>26</v>
      </c>
      <c r="C661" s="331" t="s">
        <v>752</v>
      </c>
      <c r="D661" s="331" t="str">
        <f t="shared" si="24"/>
        <v>#00186</v>
      </c>
      <c r="E661" s="294" t="s">
        <v>959</v>
      </c>
      <c r="F661" s="331" t="s">
        <v>958</v>
      </c>
      <c r="G661" s="331" t="s">
        <v>9833</v>
      </c>
      <c r="H661" s="331" t="str">
        <f t="shared" si="25"/>
        <v>VN00186</v>
      </c>
      <c r="I661" s="331"/>
      <c r="J661" s="333"/>
      <c r="K661" s="334"/>
      <c r="L661" s="335"/>
      <c r="M661" s="335"/>
      <c r="N661" s="336"/>
    </row>
    <row r="662" spans="1:14" ht="15.75">
      <c r="A662" s="329">
        <v>665</v>
      </c>
      <c r="B662" s="330">
        <v>27</v>
      </c>
      <c r="C662" s="331" t="s">
        <v>752</v>
      </c>
      <c r="D662" s="331" t="str">
        <f t="shared" si="24"/>
        <v>#08550</v>
      </c>
      <c r="E662" s="294" t="s">
        <v>3586</v>
      </c>
      <c r="F662" s="331" t="s">
        <v>3585</v>
      </c>
      <c r="G662" s="331" t="s">
        <v>9834</v>
      </c>
      <c r="H662" s="331" t="str">
        <f t="shared" si="25"/>
        <v>VN08550</v>
      </c>
      <c r="I662" s="331"/>
      <c r="J662" s="333"/>
      <c r="K662" s="334"/>
      <c r="L662" s="335"/>
      <c r="M662" s="335"/>
      <c r="N662" s="336"/>
    </row>
    <row r="663" spans="1:14" ht="15.75">
      <c r="A663" s="329">
        <v>666</v>
      </c>
      <c r="B663" s="330">
        <v>28</v>
      </c>
      <c r="C663" s="331" t="s">
        <v>752</v>
      </c>
      <c r="D663" s="331" t="str">
        <f t="shared" si="24"/>
        <v>#08759</v>
      </c>
      <c r="E663" s="294" t="s">
        <v>9835</v>
      </c>
      <c r="F663" s="331" t="s">
        <v>9836</v>
      </c>
      <c r="G663" s="331" t="s">
        <v>9837</v>
      </c>
      <c r="H663" s="331" t="str">
        <f t="shared" si="25"/>
        <v>VN08759</v>
      </c>
      <c r="I663" s="331"/>
      <c r="J663" s="333"/>
      <c r="K663" s="334"/>
      <c r="L663" s="361">
        <v>45730</v>
      </c>
      <c r="M663" s="337">
        <v>45887</v>
      </c>
      <c r="N663" s="336"/>
    </row>
    <row r="664" spans="1:14" ht="15.75">
      <c r="A664" s="329">
        <v>667</v>
      </c>
      <c r="B664" s="330">
        <v>29</v>
      </c>
      <c r="C664" s="331" t="s">
        <v>752</v>
      </c>
      <c r="D664" s="331" t="str">
        <f t="shared" si="24"/>
        <v>#08886</v>
      </c>
      <c r="E664" s="294" t="s">
        <v>3663</v>
      </c>
      <c r="F664" s="331" t="s">
        <v>2647</v>
      </c>
      <c r="G664" s="331" t="s">
        <v>9838</v>
      </c>
      <c r="H664" s="331" t="str">
        <f t="shared" si="25"/>
        <v>VN08886</v>
      </c>
      <c r="I664" s="331"/>
      <c r="J664" s="333"/>
      <c r="K664" s="334"/>
      <c r="L664" s="335"/>
      <c r="M664" s="335"/>
      <c r="N664" s="336"/>
    </row>
    <row r="665" spans="1:14" ht="15.75">
      <c r="A665" s="329">
        <v>668</v>
      </c>
      <c r="B665" s="330">
        <v>30</v>
      </c>
      <c r="C665" s="331" t="s">
        <v>752</v>
      </c>
      <c r="D665" s="331" t="str">
        <f t="shared" si="24"/>
        <v>#09145</v>
      </c>
      <c r="E665" s="294" t="s">
        <v>3744</v>
      </c>
      <c r="F665" s="331" t="s">
        <v>3743</v>
      </c>
      <c r="G665" s="331" t="s">
        <v>9839</v>
      </c>
      <c r="H665" s="331" t="str">
        <f t="shared" si="25"/>
        <v>VN09145</v>
      </c>
      <c r="I665" s="331"/>
      <c r="J665" s="333"/>
      <c r="K665" s="334"/>
      <c r="L665" s="358"/>
      <c r="M665" s="358"/>
      <c r="N665" s="336"/>
    </row>
    <row r="666" spans="1:14" ht="15.75">
      <c r="A666" s="329">
        <v>669</v>
      </c>
      <c r="B666" s="330">
        <v>31</v>
      </c>
      <c r="C666" s="331" t="s">
        <v>752</v>
      </c>
      <c r="D666" s="331" t="str">
        <f t="shared" si="24"/>
        <v>#09752</v>
      </c>
      <c r="E666" s="294" t="s">
        <v>9840</v>
      </c>
      <c r="F666" s="331" t="s">
        <v>3885</v>
      </c>
      <c r="G666" s="331" t="s">
        <v>9841</v>
      </c>
      <c r="H666" s="331" t="str">
        <f t="shared" si="25"/>
        <v>VN09752</v>
      </c>
      <c r="I666" s="331"/>
      <c r="J666" s="333"/>
      <c r="K666" s="334"/>
      <c r="L666" s="337">
        <v>45707</v>
      </c>
      <c r="M666" s="337">
        <v>45887</v>
      </c>
      <c r="N666" s="336"/>
    </row>
    <row r="667" spans="1:14" ht="15.75">
      <c r="A667" s="329">
        <v>670</v>
      </c>
      <c r="B667" s="330">
        <v>32</v>
      </c>
      <c r="C667" s="331" t="s">
        <v>752</v>
      </c>
      <c r="D667" s="331" t="str">
        <f t="shared" si="24"/>
        <v>#11764</v>
      </c>
      <c r="E667" s="294" t="s">
        <v>9842</v>
      </c>
      <c r="F667" s="331" t="s">
        <v>4072</v>
      </c>
      <c r="G667" s="331" t="s">
        <v>9843</v>
      </c>
      <c r="H667" s="331" t="str">
        <f t="shared" si="25"/>
        <v>VN11764</v>
      </c>
      <c r="I667" s="331"/>
      <c r="J667" s="333"/>
      <c r="K667" s="334"/>
      <c r="L667" s="337">
        <v>45668</v>
      </c>
      <c r="M667" s="337">
        <v>45887</v>
      </c>
      <c r="N667" s="336"/>
    </row>
    <row r="668" spans="1:14" ht="15.75">
      <c r="A668" s="329">
        <v>671</v>
      </c>
      <c r="B668" s="330">
        <v>33</v>
      </c>
      <c r="C668" s="331" t="s">
        <v>752</v>
      </c>
      <c r="D668" s="331" t="str">
        <f t="shared" si="24"/>
        <v>#13582</v>
      </c>
      <c r="E668" s="294" t="s">
        <v>4882</v>
      </c>
      <c r="F668" s="331" t="s">
        <v>4881</v>
      </c>
      <c r="G668" s="331" t="s">
        <v>9844</v>
      </c>
      <c r="H668" s="331" t="str">
        <f t="shared" si="25"/>
        <v>VN13582</v>
      </c>
      <c r="I668" s="331"/>
      <c r="J668" s="333"/>
      <c r="K668" s="334"/>
      <c r="L668" s="358"/>
      <c r="M668" s="358"/>
      <c r="N668" s="336"/>
    </row>
    <row r="669" spans="1:14" ht="15.75">
      <c r="A669" s="329">
        <v>672</v>
      </c>
      <c r="B669" s="330">
        <v>34</v>
      </c>
      <c r="C669" s="331" t="s">
        <v>752</v>
      </c>
      <c r="D669" s="331" t="str">
        <f t="shared" si="24"/>
        <v>#15781</v>
      </c>
      <c r="E669" s="294" t="s">
        <v>9845</v>
      </c>
      <c r="F669" s="331" t="s">
        <v>3913</v>
      </c>
      <c r="G669" s="338" t="s">
        <v>9846</v>
      </c>
      <c r="H669" s="338" t="str">
        <f t="shared" si="25"/>
        <v>VN15781</v>
      </c>
      <c r="I669" s="338"/>
      <c r="J669" s="339"/>
      <c r="K669" s="334"/>
      <c r="L669" s="361">
        <v>45702</v>
      </c>
      <c r="M669" s="337">
        <v>45887</v>
      </c>
      <c r="N669" s="336"/>
    </row>
    <row r="670" spans="1:14" ht="15.75">
      <c r="A670" s="329">
        <v>673</v>
      </c>
      <c r="B670" s="330">
        <v>35</v>
      </c>
      <c r="C670" s="331" t="s">
        <v>752</v>
      </c>
      <c r="D670" s="331" t="str">
        <f t="shared" si="24"/>
        <v>#15572</v>
      </c>
      <c r="E670" s="294" t="s">
        <v>9847</v>
      </c>
      <c r="F670" s="331" t="s">
        <v>9848</v>
      </c>
      <c r="G670" s="338" t="s">
        <v>9849</v>
      </c>
      <c r="H670" s="338" t="str">
        <f t="shared" si="25"/>
        <v>VN15572</v>
      </c>
      <c r="I670" s="338" t="s">
        <v>8825</v>
      </c>
      <c r="J670" s="339"/>
      <c r="K670" s="334"/>
      <c r="L670" s="337">
        <v>45671</v>
      </c>
      <c r="M670" s="337">
        <v>45887</v>
      </c>
      <c r="N670" s="336"/>
    </row>
    <row r="671" spans="1:14" ht="15.75">
      <c r="A671" s="329">
        <v>674</v>
      </c>
      <c r="B671" s="330">
        <v>36</v>
      </c>
      <c r="C671" s="331" t="s">
        <v>752</v>
      </c>
      <c r="D671" s="331" t="str">
        <f t="shared" si="24"/>
        <v>#04202</v>
      </c>
      <c r="E671" s="294" t="s">
        <v>2417</v>
      </c>
      <c r="F671" s="331" t="s">
        <v>2416</v>
      </c>
      <c r="G671" s="338" t="s">
        <v>9850</v>
      </c>
      <c r="H671" s="338" t="str">
        <f t="shared" si="25"/>
        <v>VN04202</v>
      </c>
      <c r="I671" s="338"/>
      <c r="J671" s="339"/>
      <c r="K671" s="334"/>
      <c r="L671" s="358"/>
      <c r="M671" s="358"/>
      <c r="N671" s="336"/>
    </row>
    <row r="672" spans="1:14" ht="15.75">
      <c r="A672" s="329">
        <v>675</v>
      </c>
      <c r="B672" s="330">
        <v>37</v>
      </c>
      <c r="C672" s="331" t="s">
        <v>752</v>
      </c>
      <c r="D672" s="331" t="str">
        <f t="shared" si="24"/>
        <v>#14639</v>
      </c>
      <c r="E672" s="294" t="s">
        <v>9851</v>
      </c>
      <c r="F672" s="331" t="s">
        <v>9852</v>
      </c>
      <c r="G672" s="331" t="s">
        <v>9853</v>
      </c>
      <c r="H672" s="331" t="str">
        <f t="shared" si="25"/>
        <v>VN14639</v>
      </c>
      <c r="I672" s="331"/>
      <c r="J672" s="333"/>
      <c r="K672" s="334"/>
      <c r="L672" s="337">
        <v>45707</v>
      </c>
      <c r="M672" s="337">
        <v>45887</v>
      </c>
      <c r="N672" s="336"/>
    </row>
    <row r="673" spans="1:14" ht="15.75">
      <c r="A673" s="329">
        <v>676</v>
      </c>
      <c r="B673" s="330">
        <v>38</v>
      </c>
      <c r="C673" s="331" t="s">
        <v>752</v>
      </c>
      <c r="D673" s="331" t="str">
        <f t="shared" si="24"/>
        <v>#18616</v>
      </c>
      <c r="E673" s="294" t="s">
        <v>6056</v>
      </c>
      <c r="F673" s="331" t="s">
        <v>6055</v>
      </c>
      <c r="G673" s="331" t="s">
        <v>9854</v>
      </c>
      <c r="H673" s="331" t="str">
        <f t="shared" si="25"/>
        <v>VN18616</v>
      </c>
      <c r="I673" s="331" t="s">
        <v>8825</v>
      </c>
      <c r="J673" s="333"/>
      <c r="K673" s="334"/>
      <c r="L673" s="358"/>
      <c r="M673" s="358"/>
      <c r="N673" s="336"/>
    </row>
    <row r="674" spans="1:14" ht="15.75">
      <c r="A674" s="329">
        <v>677</v>
      </c>
      <c r="B674" s="330">
        <v>39</v>
      </c>
      <c r="C674" s="331" t="s">
        <v>752</v>
      </c>
      <c r="D674" s="331" t="str">
        <f t="shared" si="24"/>
        <v>#18153</v>
      </c>
      <c r="E674" s="294" t="s">
        <v>9855</v>
      </c>
      <c r="F674" s="331" t="s">
        <v>1432</v>
      </c>
      <c r="G674" s="331" t="s">
        <v>9856</v>
      </c>
      <c r="H674" s="331" t="str">
        <f t="shared" si="25"/>
        <v>VN18153</v>
      </c>
      <c r="I674" s="331" t="s">
        <v>8825</v>
      </c>
      <c r="J674" s="333"/>
      <c r="K674" s="334"/>
      <c r="L674" s="337">
        <v>45443</v>
      </c>
      <c r="M674" s="337">
        <v>45887</v>
      </c>
      <c r="N674" s="336"/>
    </row>
    <row r="675" spans="1:14" ht="15.75">
      <c r="A675" s="329">
        <v>678</v>
      </c>
      <c r="B675" s="330">
        <v>40</v>
      </c>
      <c r="C675" s="331" t="s">
        <v>752</v>
      </c>
      <c r="D675" s="331" t="str">
        <f t="shared" si="24"/>
        <v>#20292</v>
      </c>
      <c r="E675" s="294" t="s">
        <v>9857</v>
      </c>
      <c r="F675" s="331" t="s">
        <v>9858</v>
      </c>
      <c r="G675" s="331" t="s">
        <v>9859</v>
      </c>
      <c r="H675" s="331" t="str">
        <f t="shared" si="25"/>
        <v>VN20292</v>
      </c>
      <c r="I675" s="331" t="s">
        <v>8825</v>
      </c>
      <c r="J675" s="333"/>
      <c r="K675" s="334"/>
      <c r="L675" s="361">
        <v>45671</v>
      </c>
      <c r="M675" s="337">
        <v>45887</v>
      </c>
      <c r="N675" s="336"/>
    </row>
    <row r="676" spans="1:14" ht="15.75">
      <c r="A676" s="329">
        <v>679</v>
      </c>
      <c r="B676" s="330">
        <v>41</v>
      </c>
      <c r="C676" s="331" t="s">
        <v>752</v>
      </c>
      <c r="D676" s="331" t="str">
        <f t="shared" si="24"/>
        <v>#22095</v>
      </c>
      <c r="E676" s="294" t="s">
        <v>6984</v>
      </c>
      <c r="F676" s="331" t="s">
        <v>6983</v>
      </c>
      <c r="G676" s="331" t="s">
        <v>9860</v>
      </c>
      <c r="H676" s="331" t="str">
        <f t="shared" si="25"/>
        <v>VN22095</v>
      </c>
      <c r="I676" s="331" t="s">
        <v>8825</v>
      </c>
      <c r="J676" s="333"/>
      <c r="K676" s="334"/>
      <c r="L676" s="335"/>
      <c r="M676" s="335"/>
      <c r="N676" s="336"/>
    </row>
    <row r="677" spans="1:14" ht="15.75">
      <c r="A677" s="329">
        <v>680</v>
      </c>
      <c r="B677" s="330">
        <v>42</v>
      </c>
      <c r="C677" s="331" t="s">
        <v>752</v>
      </c>
      <c r="D677" s="331" t="str">
        <f t="shared" si="24"/>
        <v>#24016</v>
      </c>
      <c r="E677" s="294" t="s">
        <v>7411</v>
      </c>
      <c r="F677" s="331" t="s">
        <v>3407</v>
      </c>
      <c r="G677" s="331" t="s">
        <v>9861</v>
      </c>
      <c r="H677" s="331" t="str">
        <f t="shared" si="25"/>
        <v>VN24016</v>
      </c>
      <c r="I677" s="331" t="s">
        <v>8825</v>
      </c>
      <c r="J677" s="333" t="s">
        <v>9862</v>
      </c>
      <c r="K677" s="334">
        <v>45111</v>
      </c>
      <c r="L677" s="335"/>
      <c r="M677" s="335"/>
      <c r="N677" s="336"/>
    </row>
    <row r="678" spans="1:14" ht="15.75">
      <c r="A678" s="329">
        <v>681</v>
      </c>
      <c r="B678" s="330">
        <v>43</v>
      </c>
      <c r="C678" s="331" t="s">
        <v>752</v>
      </c>
      <c r="D678" s="331" t="str">
        <f t="shared" si="24"/>
        <v>#23613</v>
      </c>
      <c r="E678" s="294" t="s">
        <v>9863</v>
      </c>
      <c r="F678" s="331" t="s">
        <v>9864</v>
      </c>
      <c r="G678" s="331" t="s">
        <v>9865</v>
      </c>
      <c r="H678" s="331" t="str">
        <f t="shared" si="25"/>
        <v>VN23613</v>
      </c>
      <c r="I678" s="331" t="s">
        <v>8825</v>
      </c>
      <c r="J678" s="333" t="s">
        <v>9866</v>
      </c>
      <c r="K678" s="334">
        <v>45155</v>
      </c>
      <c r="L678" s="337">
        <v>45414</v>
      </c>
      <c r="M678" s="337">
        <v>45887</v>
      </c>
      <c r="N678" s="336"/>
    </row>
    <row r="679" spans="1:14" ht="15.75">
      <c r="A679" s="329">
        <v>682</v>
      </c>
      <c r="B679" s="330">
        <v>44</v>
      </c>
      <c r="C679" s="331" t="s">
        <v>752</v>
      </c>
      <c r="D679" s="331" t="str">
        <f t="shared" si="24"/>
        <v>#24318</v>
      </c>
      <c r="E679" s="294" t="s">
        <v>9867</v>
      </c>
      <c r="F679" s="331" t="s">
        <v>9868</v>
      </c>
      <c r="G679" s="331" t="s">
        <v>9869</v>
      </c>
      <c r="H679" s="331" t="str">
        <f t="shared" si="25"/>
        <v>VN24318</v>
      </c>
      <c r="I679" s="331" t="s">
        <v>8825</v>
      </c>
      <c r="J679" s="333" t="s">
        <v>9866</v>
      </c>
      <c r="K679" s="334">
        <v>45261</v>
      </c>
      <c r="L679" s="337">
        <v>45406</v>
      </c>
      <c r="M679" s="337">
        <v>45887</v>
      </c>
      <c r="N679" s="336"/>
    </row>
    <row r="680" spans="1:14" ht="15.75">
      <c r="A680" s="329">
        <v>683</v>
      </c>
      <c r="B680" s="330">
        <v>45</v>
      </c>
      <c r="C680" s="331" t="s">
        <v>752</v>
      </c>
      <c r="D680" s="331" t="str">
        <f t="shared" si="24"/>
        <v>#20328</v>
      </c>
      <c r="E680" s="294" t="s">
        <v>6541</v>
      </c>
      <c r="F680" s="331" t="s">
        <v>9870</v>
      </c>
      <c r="G680" s="331" t="s">
        <v>9871</v>
      </c>
      <c r="H680" s="331" t="str">
        <f t="shared" si="25"/>
        <v>VN20328</v>
      </c>
      <c r="I680" s="331" t="s">
        <v>8825</v>
      </c>
      <c r="J680" s="333"/>
      <c r="K680" s="334"/>
      <c r="L680" s="358"/>
      <c r="M680" s="358"/>
      <c r="N680" s="336"/>
    </row>
    <row r="681" spans="1:14" ht="15.75">
      <c r="A681" s="329">
        <v>684</v>
      </c>
      <c r="B681" s="330">
        <v>46</v>
      </c>
      <c r="C681" s="331" t="s">
        <v>752</v>
      </c>
      <c r="D681" s="331" t="str">
        <f t="shared" si="24"/>
        <v>#19909</v>
      </c>
      <c r="E681" s="294" t="s">
        <v>6416</v>
      </c>
      <c r="F681" s="331" t="s">
        <v>6415</v>
      </c>
      <c r="G681" s="331" t="s">
        <v>9872</v>
      </c>
      <c r="H681" s="331" t="str">
        <f t="shared" si="25"/>
        <v>VN19909</v>
      </c>
      <c r="I681" s="331"/>
      <c r="J681" s="333"/>
      <c r="K681" s="334"/>
      <c r="L681" s="335"/>
      <c r="M681" s="335"/>
      <c r="N681" s="336"/>
    </row>
    <row r="682" spans="1:14" ht="15.75">
      <c r="A682" s="329">
        <v>685</v>
      </c>
      <c r="B682" s="330">
        <v>47</v>
      </c>
      <c r="C682" s="331" t="s">
        <v>752</v>
      </c>
      <c r="D682" s="331" t="str">
        <f t="shared" si="24"/>
        <v>#03500</v>
      </c>
      <c r="E682" s="294" t="s">
        <v>2249</v>
      </c>
      <c r="F682" s="331" t="s">
        <v>2248</v>
      </c>
      <c r="G682" s="331" t="s">
        <v>9873</v>
      </c>
      <c r="H682" s="331" t="str">
        <f t="shared" si="25"/>
        <v>VN03500</v>
      </c>
      <c r="I682" s="331"/>
      <c r="J682" s="333"/>
      <c r="K682" s="334"/>
      <c r="L682" s="358"/>
      <c r="M682" s="358"/>
      <c r="N682" s="336"/>
    </row>
    <row r="683" spans="1:14" ht="15.75">
      <c r="A683" s="329">
        <v>686</v>
      </c>
      <c r="B683" s="330">
        <v>48</v>
      </c>
      <c r="C683" s="331" t="s">
        <v>752</v>
      </c>
      <c r="D683" s="331" t="str">
        <f t="shared" si="24"/>
        <v>#03613</v>
      </c>
      <c r="E683" s="294" t="s">
        <v>2285</v>
      </c>
      <c r="F683" s="331" t="s">
        <v>2284</v>
      </c>
      <c r="G683" s="331" t="s">
        <v>9874</v>
      </c>
      <c r="H683" s="331" t="str">
        <f t="shared" si="25"/>
        <v>VN03613</v>
      </c>
      <c r="I683" s="331"/>
      <c r="J683" s="333"/>
      <c r="K683" s="334"/>
      <c r="L683" s="335"/>
      <c r="M683" s="335"/>
      <c r="N683" s="336"/>
    </row>
    <row r="684" spans="1:14" ht="15.75">
      <c r="A684" s="329">
        <v>687</v>
      </c>
      <c r="B684" s="330">
        <v>49</v>
      </c>
      <c r="C684" s="331" t="s">
        <v>752</v>
      </c>
      <c r="D684" s="331" t="str">
        <f t="shared" si="24"/>
        <v>#19767</v>
      </c>
      <c r="E684" s="294" t="s">
        <v>9875</v>
      </c>
      <c r="F684" s="331" t="s">
        <v>9876</v>
      </c>
      <c r="G684" s="331" t="s">
        <v>9877</v>
      </c>
      <c r="H684" s="331" t="str">
        <f t="shared" si="25"/>
        <v>VN19767</v>
      </c>
      <c r="I684" s="331"/>
      <c r="J684" s="333"/>
      <c r="K684" s="334"/>
      <c r="L684" s="361">
        <v>45839</v>
      </c>
      <c r="M684" s="337">
        <v>45887</v>
      </c>
      <c r="N684" s="336"/>
    </row>
    <row r="685" spans="1:14" ht="15.75">
      <c r="A685" s="329">
        <v>688</v>
      </c>
      <c r="B685" s="330">
        <v>50</v>
      </c>
      <c r="C685" s="331" t="s">
        <v>752</v>
      </c>
      <c r="D685" s="331" t="str">
        <f t="shared" si="24"/>
        <v>#15725</v>
      </c>
      <c r="E685" s="294" t="s">
        <v>5362</v>
      </c>
      <c r="F685" s="331" t="s">
        <v>4012</v>
      </c>
      <c r="G685" s="331" t="s">
        <v>9878</v>
      </c>
      <c r="H685" s="331" t="str">
        <f t="shared" si="25"/>
        <v>VN15725</v>
      </c>
      <c r="I685" s="331"/>
      <c r="J685" s="333"/>
      <c r="K685" s="334"/>
      <c r="L685" s="335"/>
      <c r="M685" s="335"/>
      <c r="N685" s="336"/>
    </row>
    <row r="686" spans="1:14" ht="15.75">
      <c r="A686" s="329">
        <v>689</v>
      </c>
      <c r="B686" s="330">
        <v>51</v>
      </c>
      <c r="C686" s="331" t="s">
        <v>752</v>
      </c>
      <c r="D686" s="331" t="str">
        <f t="shared" si="24"/>
        <v>#19406</v>
      </c>
      <c r="E686" s="294" t="s">
        <v>6272</v>
      </c>
      <c r="F686" s="331" t="s">
        <v>990</v>
      </c>
      <c r="G686" s="331" t="s">
        <v>9879</v>
      </c>
      <c r="H686" s="331" t="str">
        <f t="shared" si="25"/>
        <v>VN19406</v>
      </c>
      <c r="I686" s="331" t="s">
        <v>8825</v>
      </c>
      <c r="J686" s="333"/>
      <c r="K686" s="334"/>
      <c r="L686" s="335"/>
      <c r="M686" s="358"/>
      <c r="N686" s="336"/>
    </row>
    <row r="687" spans="1:14" ht="15.75">
      <c r="A687" s="329">
        <v>690</v>
      </c>
      <c r="B687" s="330">
        <v>52</v>
      </c>
      <c r="C687" s="331" t="s">
        <v>752</v>
      </c>
      <c r="D687" s="331" t="str">
        <f t="shared" si="24"/>
        <v>#10029</v>
      </c>
      <c r="E687" s="294" t="s">
        <v>4030</v>
      </c>
      <c r="F687" s="331" t="s">
        <v>4029</v>
      </c>
      <c r="G687" s="331" t="s">
        <v>9880</v>
      </c>
      <c r="H687" s="331" t="str">
        <f t="shared" si="25"/>
        <v>VN10029</v>
      </c>
      <c r="I687" s="331"/>
      <c r="J687" s="333" t="s">
        <v>9881</v>
      </c>
      <c r="K687" s="334">
        <v>45442</v>
      </c>
      <c r="L687" s="335"/>
      <c r="M687" s="358"/>
      <c r="N687" s="336"/>
    </row>
    <row r="688" spans="1:14" ht="15.75">
      <c r="A688" s="329">
        <v>691</v>
      </c>
      <c r="B688" s="330">
        <v>53</v>
      </c>
      <c r="C688" s="331" t="s">
        <v>752</v>
      </c>
      <c r="D688" s="331" t="str">
        <f t="shared" si="24"/>
        <v>#24335</v>
      </c>
      <c r="E688" s="294" t="s">
        <v>7533</v>
      </c>
      <c r="F688" s="331" t="s">
        <v>7532</v>
      </c>
      <c r="G688" s="331" t="s">
        <v>9882</v>
      </c>
      <c r="H688" s="331" t="str">
        <f t="shared" si="25"/>
        <v>VN24335</v>
      </c>
      <c r="I688" s="331"/>
      <c r="J688" s="333" t="s">
        <v>9883</v>
      </c>
      <c r="K688" s="334"/>
      <c r="L688" s="335"/>
      <c r="M688" s="358"/>
      <c r="N688" s="336"/>
    </row>
    <row r="689" spans="1:14" ht="15.75">
      <c r="A689" s="329">
        <v>692</v>
      </c>
      <c r="B689" s="330">
        <v>54</v>
      </c>
      <c r="C689" s="331" t="s">
        <v>752</v>
      </c>
      <c r="D689" s="331" t="str">
        <f t="shared" si="24"/>
        <v>#24751</v>
      </c>
      <c r="E689" s="294" t="s">
        <v>9884</v>
      </c>
      <c r="F689" s="331" t="s">
        <v>9885</v>
      </c>
      <c r="G689" s="331" t="s">
        <v>9886</v>
      </c>
      <c r="H689" s="331" t="str">
        <f t="shared" si="25"/>
        <v>VN24751</v>
      </c>
      <c r="I689" s="331" t="s">
        <v>8825</v>
      </c>
      <c r="J689" s="333" t="s">
        <v>9887</v>
      </c>
      <c r="K689" s="334">
        <v>45425</v>
      </c>
      <c r="L689" s="337">
        <v>45702</v>
      </c>
      <c r="M689" s="337">
        <v>45887</v>
      </c>
      <c r="N689" s="336"/>
    </row>
    <row r="690" spans="1:14" ht="15.75">
      <c r="A690" s="329">
        <v>693</v>
      </c>
      <c r="B690" s="330">
        <v>55</v>
      </c>
      <c r="C690" s="331" t="s">
        <v>752</v>
      </c>
      <c r="D690" s="331" t="str">
        <f t="shared" si="24"/>
        <v>#25374</v>
      </c>
      <c r="E690" s="294" t="s">
        <v>8121</v>
      </c>
      <c r="F690" s="331" t="s">
        <v>1309</v>
      </c>
      <c r="G690" s="331" t="s">
        <v>9888</v>
      </c>
      <c r="H690" s="331" t="str">
        <f t="shared" si="25"/>
        <v>VN25374</v>
      </c>
      <c r="I690" s="331"/>
      <c r="J690" s="333" t="s">
        <v>9889</v>
      </c>
      <c r="K690" s="334">
        <v>45621</v>
      </c>
      <c r="L690" s="335"/>
      <c r="M690" s="335"/>
      <c r="N690" s="336"/>
    </row>
    <row r="691" spans="1:14" ht="15.75">
      <c r="A691" s="329">
        <v>694</v>
      </c>
      <c r="B691" s="330">
        <v>56</v>
      </c>
      <c r="C691" s="331" t="s">
        <v>752</v>
      </c>
      <c r="D691" s="331" t="str">
        <f t="shared" si="24"/>
        <v>#24871</v>
      </c>
      <c r="E691" s="294" t="s">
        <v>7778</v>
      </c>
      <c r="F691" s="331" t="s">
        <v>7777</v>
      </c>
      <c r="G691" s="331" t="s">
        <v>9890</v>
      </c>
      <c r="H691" s="331" t="str">
        <f t="shared" si="25"/>
        <v>VN24871</v>
      </c>
      <c r="I691" s="331" t="s">
        <v>8825</v>
      </c>
      <c r="J691" s="333" t="s">
        <v>9891</v>
      </c>
      <c r="K691" s="334">
        <v>45503</v>
      </c>
      <c r="L691" s="335"/>
      <c r="M691" s="335"/>
      <c r="N691" s="336"/>
    </row>
    <row r="692" spans="1:14" ht="15.75">
      <c r="A692" s="329">
        <v>695</v>
      </c>
      <c r="B692" s="330">
        <v>57</v>
      </c>
      <c r="C692" s="331" t="s">
        <v>752</v>
      </c>
      <c r="D692" s="331" t="str">
        <f t="shared" si="24"/>
        <v>#26158</v>
      </c>
      <c r="E692" s="294" t="s">
        <v>8494</v>
      </c>
      <c r="F692" s="331" t="s">
        <v>8495</v>
      </c>
      <c r="G692" s="331" t="s">
        <v>9892</v>
      </c>
      <c r="H692" s="331" t="str">
        <f t="shared" si="25"/>
        <v>VN26158</v>
      </c>
      <c r="I692" s="331" t="s">
        <v>8825</v>
      </c>
      <c r="J692" s="333" t="s">
        <v>9893</v>
      </c>
      <c r="K692" s="334">
        <v>45910</v>
      </c>
      <c r="L692" s="358"/>
      <c r="M692" s="358"/>
      <c r="N692" s="336"/>
    </row>
    <row r="693" spans="1:14" ht="15.75">
      <c r="A693" s="329">
        <v>696</v>
      </c>
      <c r="B693" s="330">
        <v>58</v>
      </c>
      <c r="C693" s="331" t="s">
        <v>752</v>
      </c>
      <c r="D693" s="331" t="str">
        <f t="shared" si="24"/>
        <v>#26309</v>
      </c>
      <c r="E693" s="294">
        <v>26309</v>
      </c>
      <c r="F693" s="331" t="s">
        <v>8599</v>
      </c>
      <c r="G693" s="331" t="s">
        <v>9894</v>
      </c>
      <c r="H693" s="331" t="str">
        <f t="shared" si="25"/>
        <v>VN26309</v>
      </c>
      <c r="I693" s="331"/>
      <c r="J693" s="333" t="s">
        <v>9895</v>
      </c>
      <c r="K693" s="334">
        <v>45947</v>
      </c>
      <c r="L693" s="358"/>
      <c r="M693" s="358"/>
      <c r="N693" s="336"/>
    </row>
    <row r="694" spans="1:14" ht="15.75">
      <c r="A694" s="329">
        <v>697</v>
      </c>
      <c r="B694" s="330">
        <v>1</v>
      </c>
      <c r="C694" s="331" t="s">
        <v>792</v>
      </c>
      <c r="D694" s="331" t="str">
        <f t="shared" si="24"/>
        <v>#00720</v>
      </c>
      <c r="E694" s="294" t="s">
        <v>1224</v>
      </c>
      <c r="F694" s="331" t="s">
        <v>1223</v>
      </c>
      <c r="G694" s="331" t="s">
        <v>9896</v>
      </c>
      <c r="H694" s="331" t="str">
        <f t="shared" si="25"/>
        <v>VN00720</v>
      </c>
      <c r="I694" s="331"/>
      <c r="J694" s="333"/>
      <c r="K694" s="334"/>
      <c r="L694" s="335"/>
      <c r="M694" s="335"/>
      <c r="N694" s="336"/>
    </row>
    <row r="695" spans="1:14" ht="15.75">
      <c r="A695" s="329">
        <v>698</v>
      </c>
      <c r="B695" s="330">
        <v>2</v>
      </c>
      <c r="C695" s="331" t="s">
        <v>792</v>
      </c>
      <c r="D695" s="331" t="str">
        <f t="shared" si="24"/>
        <v>#17444</v>
      </c>
      <c r="E695" s="294" t="s">
        <v>9897</v>
      </c>
      <c r="F695" s="331" t="s">
        <v>1767</v>
      </c>
      <c r="G695" s="331" t="s">
        <v>9898</v>
      </c>
      <c r="H695" s="331" t="str">
        <f t="shared" si="25"/>
        <v>VN17444</v>
      </c>
      <c r="I695" s="331"/>
      <c r="J695" s="333"/>
      <c r="K695" s="334"/>
      <c r="L695" s="361">
        <v>45460</v>
      </c>
      <c r="M695" s="337">
        <v>45887</v>
      </c>
      <c r="N695" s="336"/>
    </row>
    <row r="696" spans="1:14" ht="15.75">
      <c r="A696" s="329">
        <v>699</v>
      </c>
      <c r="B696" s="330">
        <v>3</v>
      </c>
      <c r="C696" s="331" t="s">
        <v>792</v>
      </c>
      <c r="D696" s="331" t="str">
        <f t="shared" si="24"/>
        <v>#24294</v>
      </c>
      <c r="E696" s="294" t="s">
        <v>7505</v>
      </c>
      <c r="F696" s="331" t="s">
        <v>4106</v>
      </c>
      <c r="G696" s="331" t="s">
        <v>9899</v>
      </c>
      <c r="H696" s="331" t="str">
        <f t="shared" si="25"/>
        <v>VN24294</v>
      </c>
      <c r="I696" s="331" t="s">
        <v>8825</v>
      </c>
      <c r="J696" s="333" t="s">
        <v>9900</v>
      </c>
      <c r="K696" s="334">
        <v>45173</v>
      </c>
      <c r="L696" s="335"/>
      <c r="M696" s="358"/>
      <c r="N696" s="336"/>
    </row>
    <row r="697" spans="1:14" ht="15.75">
      <c r="A697" s="329">
        <v>700</v>
      </c>
      <c r="B697" s="330">
        <v>4</v>
      </c>
      <c r="C697" s="331" t="s">
        <v>792</v>
      </c>
      <c r="D697" s="331" t="str">
        <f t="shared" ref="D697:D760" si="26">CONCATENATE("#",E697)</f>
        <v>#24901</v>
      </c>
      <c r="E697" s="294" t="s">
        <v>7783</v>
      </c>
      <c r="F697" s="331" t="s">
        <v>886</v>
      </c>
      <c r="G697" s="331" t="s">
        <v>9901</v>
      </c>
      <c r="H697" s="331" t="str">
        <f t="shared" si="25"/>
        <v>VN24901</v>
      </c>
      <c r="I697" s="331"/>
      <c r="J697" s="333" t="s">
        <v>9902</v>
      </c>
      <c r="K697" s="334">
        <v>45467</v>
      </c>
      <c r="L697" s="335"/>
      <c r="M697" s="335"/>
      <c r="N697" s="336"/>
    </row>
    <row r="698" spans="1:14" ht="15.75">
      <c r="A698" s="329">
        <v>701</v>
      </c>
      <c r="B698" s="330">
        <v>5</v>
      </c>
      <c r="C698" s="331" t="s">
        <v>792</v>
      </c>
      <c r="D698" s="331" t="str">
        <f t="shared" si="26"/>
        <v>#25126</v>
      </c>
      <c r="E698" s="294" t="s">
        <v>9903</v>
      </c>
      <c r="F698" s="331" t="s">
        <v>7804</v>
      </c>
      <c r="G698" s="331" t="s">
        <v>9904</v>
      </c>
      <c r="H698" s="331" t="str">
        <f t="shared" si="25"/>
        <v>VN25126</v>
      </c>
      <c r="I698" s="331"/>
      <c r="J698" s="333" t="s">
        <v>9905</v>
      </c>
      <c r="K698" s="334">
        <v>45330</v>
      </c>
      <c r="L698" s="358">
        <v>45887</v>
      </c>
      <c r="M698" s="358"/>
      <c r="N698" s="336"/>
    </row>
    <row r="699" spans="1:14" ht="15.75">
      <c r="A699" s="329">
        <v>702</v>
      </c>
      <c r="B699" s="330">
        <v>6</v>
      </c>
      <c r="C699" s="331" t="s">
        <v>792</v>
      </c>
      <c r="D699" s="331" t="str">
        <f t="shared" si="26"/>
        <v>#26277</v>
      </c>
      <c r="E699" s="294" t="s">
        <v>8577</v>
      </c>
      <c r="F699" s="331" t="s">
        <v>5751</v>
      </c>
      <c r="G699" s="331" t="s">
        <v>9906</v>
      </c>
      <c r="H699" s="331" t="str">
        <f t="shared" si="25"/>
        <v>VN26277</v>
      </c>
      <c r="I699" s="331"/>
      <c r="J699" s="333" t="s">
        <v>9907</v>
      </c>
      <c r="K699" s="334">
        <v>45888</v>
      </c>
      <c r="L699" s="358"/>
      <c r="M699" s="362"/>
      <c r="N699" s="336"/>
    </row>
    <row r="700" spans="1:14" ht="15.75">
      <c r="A700" s="329">
        <v>703</v>
      </c>
      <c r="B700" s="330">
        <v>1</v>
      </c>
      <c r="C700" s="331" t="s">
        <v>9736</v>
      </c>
      <c r="D700" s="331" t="str">
        <f t="shared" si="26"/>
        <v>#00677</v>
      </c>
      <c r="E700" s="294" t="s">
        <v>1203</v>
      </c>
      <c r="F700" s="331" t="s">
        <v>1202</v>
      </c>
      <c r="G700" s="331" t="s">
        <v>9908</v>
      </c>
      <c r="H700" s="331" t="str">
        <f t="shared" si="25"/>
        <v>VN00677</v>
      </c>
      <c r="I700" s="331"/>
      <c r="J700" s="333"/>
      <c r="K700" s="334"/>
      <c r="L700" s="335"/>
      <c r="M700" s="335"/>
      <c r="N700" s="336"/>
    </row>
    <row r="701" spans="1:14" ht="15.75">
      <c r="A701" s="329">
        <v>704</v>
      </c>
      <c r="B701" s="330">
        <v>2</v>
      </c>
      <c r="C701" s="331" t="s">
        <v>9736</v>
      </c>
      <c r="D701" s="331" t="str">
        <f t="shared" si="26"/>
        <v>#00760</v>
      </c>
      <c r="E701" s="294" t="s">
        <v>1250</v>
      </c>
      <c r="F701" s="331" t="s">
        <v>1249</v>
      </c>
      <c r="G701" s="331" t="s">
        <v>9909</v>
      </c>
      <c r="H701" s="331" t="str">
        <f t="shared" si="25"/>
        <v>VN00760</v>
      </c>
      <c r="I701" s="331" t="s">
        <v>8825</v>
      </c>
      <c r="J701" s="333"/>
      <c r="K701" s="334"/>
      <c r="L701" s="358"/>
      <c r="M701" s="358"/>
      <c r="N701" s="336"/>
    </row>
    <row r="702" spans="1:14" ht="15.75">
      <c r="A702" s="329">
        <v>705</v>
      </c>
      <c r="B702" s="330">
        <v>3</v>
      </c>
      <c r="C702" s="331" t="s">
        <v>9736</v>
      </c>
      <c r="D702" s="331" t="str">
        <f t="shared" si="26"/>
        <v>#09096</v>
      </c>
      <c r="E702" s="294" t="s">
        <v>3729</v>
      </c>
      <c r="F702" s="331" t="s">
        <v>3728</v>
      </c>
      <c r="G702" s="331" t="s">
        <v>9910</v>
      </c>
      <c r="H702" s="331" t="str">
        <f t="shared" si="25"/>
        <v>VN09096</v>
      </c>
      <c r="I702" s="331"/>
      <c r="J702" s="333"/>
      <c r="K702" s="334"/>
      <c r="L702" s="335"/>
      <c r="M702" s="335"/>
      <c r="N702" s="336"/>
    </row>
    <row r="703" spans="1:14" ht="15.75">
      <c r="A703" s="329">
        <v>706</v>
      </c>
      <c r="B703" s="330">
        <v>4</v>
      </c>
      <c r="C703" s="331" t="s">
        <v>9736</v>
      </c>
      <c r="D703" s="331" t="str">
        <f t="shared" si="26"/>
        <v>#09866</v>
      </c>
      <c r="E703" s="294" t="s">
        <v>3979</v>
      </c>
      <c r="F703" s="331" t="s">
        <v>1804</v>
      </c>
      <c r="G703" s="331" t="s">
        <v>9911</v>
      </c>
      <c r="H703" s="331" t="str">
        <f t="shared" si="25"/>
        <v>VN09866</v>
      </c>
      <c r="I703" s="331"/>
      <c r="J703" s="333"/>
      <c r="K703" s="334"/>
      <c r="L703" s="358"/>
      <c r="M703" s="358"/>
      <c r="N703" s="336"/>
    </row>
    <row r="704" spans="1:14" ht="15.75">
      <c r="A704" s="329">
        <v>707</v>
      </c>
      <c r="B704" s="330">
        <v>5</v>
      </c>
      <c r="C704" s="331" t="s">
        <v>9736</v>
      </c>
      <c r="D704" s="331" t="str">
        <f t="shared" si="26"/>
        <v>#10368</v>
      </c>
      <c r="E704" s="294" t="s">
        <v>4119</v>
      </c>
      <c r="F704" s="331" t="s">
        <v>4118</v>
      </c>
      <c r="G704" s="331" t="s">
        <v>9912</v>
      </c>
      <c r="H704" s="331" t="str">
        <f t="shared" si="25"/>
        <v>VN10368</v>
      </c>
      <c r="I704" s="331" t="s">
        <v>8825</v>
      </c>
      <c r="J704" s="333" t="s">
        <v>9913</v>
      </c>
      <c r="K704" s="334">
        <v>45520</v>
      </c>
      <c r="L704" s="335"/>
      <c r="M704" s="335"/>
      <c r="N704" s="336"/>
    </row>
    <row r="705" spans="1:14" ht="15.75">
      <c r="A705" s="329">
        <v>708</v>
      </c>
      <c r="B705" s="330">
        <v>6</v>
      </c>
      <c r="C705" s="331" t="s">
        <v>9736</v>
      </c>
      <c r="D705" s="331" t="str">
        <f t="shared" si="26"/>
        <v>#23295</v>
      </c>
      <c r="E705" s="294" t="s">
        <v>7255</v>
      </c>
      <c r="F705" s="331" t="s">
        <v>7254</v>
      </c>
      <c r="G705" s="331" t="s">
        <v>9914</v>
      </c>
      <c r="H705" s="331" t="str">
        <f t="shared" si="25"/>
        <v>VN23295</v>
      </c>
      <c r="I705" s="331" t="s">
        <v>8825</v>
      </c>
      <c r="J705" s="333" t="s">
        <v>9915</v>
      </c>
      <c r="K705" s="334">
        <v>45568</v>
      </c>
      <c r="L705" s="335"/>
      <c r="M705" s="335"/>
      <c r="N705" s="336"/>
    </row>
    <row r="706" spans="1:14" ht="15.75">
      <c r="A706" s="329">
        <v>709</v>
      </c>
      <c r="B706" s="330">
        <v>7</v>
      </c>
      <c r="C706" s="331" t="s">
        <v>9736</v>
      </c>
      <c r="D706" s="331" t="str">
        <f t="shared" si="26"/>
        <v>#10367</v>
      </c>
      <c r="E706" s="294" t="s">
        <v>4117</v>
      </c>
      <c r="F706" s="331" t="s">
        <v>4116</v>
      </c>
      <c r="G706" s="331" t="s">
        <v>9916</v>
      </c>
      <c r="H706" s="331" t="str">
        <f t="shared" si="25"/>
        <v>VN10367</v>
      </c>
      <c r="I706" s="331"/>
      <c r="J706" s="333"/>
      <c r="K706" s="334"/>
      <c r="L706" s="358"/>
      <c r="M706" s="358"/>
      <c r="N706" s="336"/>
    </row>
    <row r="707" spans="1:14" ht="15.75">
      <c r="A707" s="329">
        <v>710</v>
      </c>
      <c r="B707" s="330">
        <v>8</v>
      </c>
      <c r="C707" s="331" t="s">
        <v>9736</v>
      </c>
      <c r="D707" s="331" t="str">
        <f t="shared" si="26"/>
        <v>#01283</v>
      </c>
      <c r="E707" s="294" t="s">
        <v>1495</v>
      </c>
      <c r="F707" s="331" t="s">
        <v>1494</v>
      </c>
      <c r="G707" s="331" t="s">
        <v>9917</v>
      </c>
      <c r="H707" s="331" t="str">
        <f t="shared" si="25"/>
        <v>VN01283</v>
      </c>
      <c r="I707" s="331"/>
      <c r="J707" s="333"/>
      <c r="K707" s="334"/>
      <c r="L707" s="335"/>
      <c r="M707" s="358"/>
      <c r="N707" s="336"/>
    </row>
    <row r="708" spans="1:14" ht="15.75">
      <c r="A708" s="329">
        <v>711</v>
      </c>
      <c r="B708" s="330">
        <v>9</v>
      </c>
      <c r="C708" s="331" t="s">
        <v>9736</v>
      </c>
      <c r="D708" s="331" t="str">
        <f t="shared" si="26"/>
        <v>#09354</v>
      </c>
      <c r="E708" s="294" t="s">
        <v>9918</v>
      </c>
      <c r="F708" s="331" t="s">
        <v>5355</v>
      </c>
      <c r="G708" s="364" t="s">
        <v>9919</v>
      </c>
      <c r="H708" s="364" t="str">
        <f t="shared" si="25"/>
        <v>VN09354</v>
      </c>
      <c r="I708" s="364"/>
      <c r="J708" s="365"/>
      <c r="K708" s="334"/>
      <c r="L708" s="337">
        <v>45671</v>
      </c>
      <c r="M708" s="337">
        <v>45887</v>
      </c>
      <c r="N708" s="336"/>
    </row>
    <row r="709" spans="1:14" ht="15.75">
      <c r="A709" s="329">
        <v>712</v>
      </c>
      <c r="B709" s="330">
        <v>1</v>
      </c>
      <c r="C709" s="331" t="s">
        <v>9920</v>
      </c>
      <c r="D709" s="331" t="str">
        <f t="shared" si="26"/>
        <v>#00661</v>
      </c>
      <c r="E709" s="294" t="s">
        <v>1193</v>
      </c>
      <c r="F709" s="331" t="s">
        <v>1192</v>
      </c>
      <c r="G709" s="331" t="s">
        <v>9921</v>
      </c>
      <c r="H709" s="331" t="str">
        <f t="shared" si="25"/>
        <v>VN00661</v>
      </c>
      <c r="I709" s="331"/>
      <c r="J709" s="333"/>
      <c r="K709" s="334"/>
      <c r="L709" s="358"/>
      <c r="M709" s="358"/>
      <c r="N709" s="336"/>
    </row>
    <row r="710" spans="1:14" ht="15.75">
      <c r="A710" s="329">
        <v>713</v>
      </c>
      <c r="B710" s="330">
        <v>2</v>
      </c>
      <c r="C710" s="331" t="s">
        <v>9920</v>
      </c>
      <c r="D710" s="331" t="str">
        <f t="shared" si="26"/>
        <v>#00127</v>
      </c>
      <c r="E710" s="294" t="s">
        <v>931</v>
      </c>
      <c r="F710" s="331" t="s">
        <v>930</v>
      </c>
      <c r="G710" s="331" t="s">
        <v>9922</v>
      </c>
      <c r="H710" s="331" t="str">
        <f t="shared" si="25"/>
        <v>VN00127</v>
      </c>
      <c r="I710" s="331"/>
      <c r="J710" s="333"/>
      <c r="K710" s="334"/>
      <c r="L710" s="335"/>
      <c r="M710" s="335"/>
      <c r="N710" s="336"/>
    </row>
    <row r="711" spans="1:14" ht="15.75">
      <c r="A711" s="329">
        <v>714</v>
      </c>
      <c r="B711" s="330">
        <v>3</v>
      </c>
      <c r="C711" s="331" t="s">
        <v>9920</v>
      </c>
      <c r="D711" s="331" t="str">
        <f t="shared" si="26"/>
        <v>#12122</v>
      </c>
      <c r="E711" s="294" t="s">
        <v>9923</v>
      </c>
      <c r="F711" s="331" t="s">
        <v>9924</v>
      </c>
      <c r="G711" s="331" t="s">
        <v>9925</v>
      </c>
      <c r="H711" s="331" t="str">
        <f t="shared" si="25"/>
        <v>VN12122</v>
      </c>
      <c r="I711" s="331"/>
      <c r="J711" s="333"/>
      <c r="K711" s="334"/>
      <c r="L711" s="361">
        <v>45518</v>
      </c>
      <c r="M711" s="337">
        <v>45887</v>
      </c>
      <c r="N711" s="336"/>
    </row>
    <row r="712" spans="1:14" ht="15.75">
      <c r="A712" s="329">
        <v>715</v>
      </c>
      <c r="B712" s="330">
        <v>4</v>
      </c>
      <c r="C712" s="331" t="s">
        <v>9920</v>
      </c>
      <c r="D712" s="331" t="str">
        <f t="shared" si="26"/>
        <v>#17577</v>
      </c>
      <c r="E712" s="294" t="s">
        <v>5759</v>
      </c>
      <c r="F712" s="331" t="s">
        <v>5758</v>
      </c>
      <c r="G712" s="331" t="s">
        <v>9926</v>
      </c>
      <c r="H712" s="331" t="str">
        <f t="shared" si="25"/>
        <v>VN17577</v>
      </c>
      <c r="I712" s="331"/>
      <c r="J712" s="333"/>
      <c r="K712" s="334"/>
      <c r="L712" s="358"/>
      <c r="M712" s="358"/>
      <c r="N712" s="336"/>
    </row>
    <row r="713" spans="1:14" ht="15.75">
      <c r="A713" s="329">
        <v>716</v>
      </c>
      <c r="B713" s="330">
        <v>5</v>
      </c>
      <c r="C713" s="331" t="s">
        <v>9920</v>
      </c>
      <c r="D713" s="331" t="str">
        <f t="shared" si="26"/>
        <v>#25814</v>
      </c>
      <c r="E713" s="294" t="s">
        <v>8009</v>
      </c>
      <c r="F713" s="331" t="s">
        <v>5658</v>
      </c>
      <c r="G713" s="331" t="s">
        <v>9927</v>
      </c>
      <c r="H713" s="331" t="str">
        <f t="shared" si="25"/>
        <v>VN25814</v>
      </c>
      <c r="I713" s="331"/>
      <c r="J713" s="333" t="s">
        <v>9928</v>
      </c>
      <c r="K713" s="334">
        <v>45770</v>
      </c>
      <c r="L713" s="335"/>
      <c r="M713" s="358"/>
      <c r="N713" s="336"/>
    </row>
    <row r="714" spans="1:14" ht="15.75">
      <c r="A714" s="329">
        <v>717</v>
      </c>
      <c r="B714" s="330">
        <v>6</v>
      </c>
      <c r="C714" s="331" t="s">
        <v>9920</v>
      </c>
      <c r="D714" s="331" t="str">
        <f t="shared" si="26"/>
        <v>#25149</v>
      </c>
      <c r="E714" s="294" t="s">
        <v>7922</v>
      </c>
      <c r="F714" s="331" t="s">
        <v>5035</v>
      </c>
      <c r="G714" s="331" t="s">
        <v>9929</v>
      </c>
      <c r="H714" s="331" t="str">
        <f t="shared" si="25"/>
        <v>VN25149</v>
      </c>
      <c r="I714" s="331"/>
      <c r="J714" s="333">
        <v>123456</v>
      </c>
      <c r="K714" s="334">
        <v>45546</v>
      </c>
      <c r="L714" s="335"/>
      <c r="M714" s="358"/>
      <c r="N714" s="336"/>
    </row>
    <row r="715" spans="1:14" ht="15.75">
      <c r="A715" s="329">
        <v>718</v>
      </c>
      <c r="B715" s="330">
        <v>7</v>
      </c>
      <c r="C715" s="331" t="s">
        <v>9920</v>
      </c>
      <c r="D715" s="331" t="str">
        <f t="shared" si="26"/>
        <v>#26157</v>
      </c>
      <c r="E715" s="294" t="s">
        <v>8496</v>
      </c>
      <c r="F715" s="331" t="s">
        <v>8497</v>
      </c>
      <c r="G715" s="331" t="s">
        <v>9930</v>
      </c>
      <c r="H715" s="331" t="str">
        <f t="shared" si="25"/>
        <v>VN26157</v>
      </c>
      <c r="I715" s="331"/>
      <c r="J715" s="333" t="s">
        <v>9931</v>
      </c>
      <c r="K715" s="334">
        <v>45855</v>
      </c>
      <c r="L715" s="335"/>
      <c r="M715" s="358"/>
      <c r="N715" s="336"/>
    </row>
    <row r="716" spans="1:14" ht="15.75">
      <c r="A716" s="329">
        <v>719</v>
      </c>
      <c r="B716" s="330">
        <v>8</v>
      </c>
      <c r="C716" s="331" t="s">
        <v>9920</v>
      </c>
      <c r="D716" s="331" t="str">
        <f t="shared" si="26"/>
        <v>#26345</v>
      </c>
      <c r="E716" s="366" t="s">
        <v>8623</v>
      </c>
      <c r="F716" s="331" t="s">
        <v>8624</v>
      </c>
      <c r="G716" s="331" t="s">
        <v>9932</v>
      </c>
      <c r="H716" s="331" t="str">
        <f t="shared" si="25"/>
        <v>VN26345</v>
      </c>
      <c r="I716" s="331"/>
      <c r="J716" s="333" t="s">
        <v>9933</v>
      </c>
      <c r="K716" s="334">
        <v>45922</v>
      </c>
      <c r="L716" s="335"/>
      <c r="M716" s="362"/>
      <c r="N716" s="336"/>
    </row>
    <row r="717" spans="1:14" ht="15.75">
      <c r="A717" s="329">
        <v>720</v>
      </c>
      <c r="B717" s="330">
        <v>1</v>
      </c>
      <c r="C717" s="331" t="s">
        <v>9934</v>
      </c>
      <c r="D717" s="331" t="str">
        <f t="shared" si="26"/>
        <v>#01742</v>
      </c>
      <c r="E717" s="294" t="s">
        <v>1660</v>
      </c>
      <c r="F717" s="331" t="s">
        <v>1659</v>
      </c>
      <c r="G717" s="331" t="s">
        <v>9935</v>
      </c>
      <c r="H717" s="331" t="str">
        <f t="shared" si="25"/>
        <v>VN01742</v>
      </c>
      <c r="I717" s="331" t="s">
        <v>8825</v>
      </c>
      <c r="J717" s="333"/>
      <c r="K717" s="334"/>
      <c r="L717" s="335"/>
      <c r="M717" s="335"/>
      <c r="N717" s="336"/>
    </row>
    <row r="718" spans="1:14" ht="15.75">
      <c r="A718" s="329">
        <v>721</v>
      </c>
      <c r="B718" s="330">
        <v>1</v>
      </c>
      <c r="C718" s="331" t="s">
        <v>51</v>
      </c>
      <c r="D718" s="331" t="str">
        <f t="shared" si="26"/>
        <v>#01959</v>
      </c>
      <c r="E718" s="294" t="s">
        <v>1734</v>
      </c>
      <c r="F718" s="331" t="s">
        <v>1733</v>
      </c>
      <c r="G718" s="331" t="s">
        <v>9936</v>
      </c>
      <c r="H718" s="331" t="str">
        <f t="shared" ref="H718:H781" si="27">CONCATENATE("VN",E718)</f>
        <v>VN01959</v>
      </c>
      <c r="I718" s="331"/>
      <c r="J718" s="333"/>
      <c r="K718" s="334"/>
      <c r="L718" s="358"/>
      <c r="M718" s="358"/>
      <c r="N718" s="336"/>
    </row>
    <row r="719" spans="1:14" ht="15.75">
      <c r="A719" s="329">
        <v>722</v>
      </c>
      <c r="B719" s="330">
        <v>2</v>
      </c>
      <c r="C719" s="331" t="s">
        <v>51</v>
      </c>
      <c r="D719" s="331" t="str">
        <f t="shared" si="26"/>
        <v>#15060</v>
      </c>
      <c r="E719" s="294" t="s">
        <v>5188</v>
      </c>
      <c r="F719" s="331" t="s">
        <v>5187</v>
      </c>
      <c r="G719" s="331" t="s">
        <v>9937</v>
      </c>
      <c r="H719" s="331" t="str">
        <f t="shared" si="27"/>
        <v>VN15060</v>
      </c>
      <c r="I719" s="331" t="s">
        <v>8825</v>
      </c>
      <c r="J719" s="333"/>
      <c r="K719" s="334"/>
      <c r="L719" s="358"/>
      <c r="M719" s="358"/>
      <c r="N719" s="336"/>
    </row>
    <row r="720" spans="1:14" ht="15.75">
      <c r="A720" s="329">
        <v>723</v>
      </c>
      <c r="B720" s="330">
        <v>3</v>
      </c>
      <c r="C720" s="331" t="s">
        <v>51</v>
      </c>
      <c r="D720" s="331" t="str">
        <f t="shared" si="26"/>
        <v>#16138</v>
      </c>
      <c r="E720" s="294" t="s">
        <v>5452</v>
      </c>
      <c r="F720" s="331" t="s">
        <v>5451</v>
      </c>
      <c r="G720" s="338" t="s">
        <v>9938</v>
      </c>
      <c r="H720" s="338" t="str">
        <f t="shared" si="27"/>
        <v>VN16138</v>
      </c>
      <c r="I720" s="338"/>
      <c r="J720" s="339"/>
      <c r="K720" s="334"/>
      <c r="L720" s="335"/>
      <c r="M720" s="335"/>
      <c r="N720" s="336"/>
    </row>
    <row r="721" spans="1:14" ht="15.75">
      <c r="A721" s="329">
        <v>724</v>
      </c>
      <c r="B721" s="330">
        <v>4</v>
      </c>
      <c r="C721" s="331" t="s">
        <v>51</v>
      </c>
      <c r="D721" s="331" t="str">
        <f t="shared" si="26"/>
        <v>#17655</v>
      </c>
      <c r="E721" s="294" t="s">
        <v>5789</v>
      </c>
      <c r="F721" s="331" t="s">
        <v>5788</v>
      </c>
      <c r="G721" s="338" t="s">
        <v>9939</v>
      </c>
      <c r="H721" s="338" t="str">
        <f t="shared" si="27"/>
        <v>VN17655</v>
      </c>
      <c r="I721" s="338" t="s">
        <v>8825</v>
      </c>
      <c r="J721" s="339"/>
      <c r="K721" s="334"/>
      <c r="L721" s="335"/>
      <c r="M721" s="335"/>
      <c r="N721" s="336"/>
    </row>
    <row r="722" spans="1:14" ht="15.75">
      <c r="A722" s="329">
        <v>725</v>
      </c>
      <c r="B722" s="330">
        <v>5</v>
      </c>
      <c r="C722" s="331" t="s">
        <v>51</v>
      </c>
      <c r="D722" s="331" t="str">
        <f t="shared" si="26"/>
        <v>#18119</v>
      </c>
      <c r="E722" s="294" t="s">
        <v>5950</v>
      </c>
      <c r="F722" s="331" t="s">
        <v>5949</v>
      </c>
      <c r="G722" s="331" t="s">
        <v>9940</v>
      </c>
      <c r="H722" s="331" t="str">
        <f t="shared" si="27"/>
        <v>VN18119</v>
      </c>
      <c r="I722" s="331" t="s">
        <v>8825</v>
      </c>
      <c r="J722" s="333"/>
      <c r="K722" s="334"/>
      <c r="L722" s="358"/>
      <c r="M722" s="358"/>
      <c r="N722" s="336"/>
    </row>
    <row r="723" spans="1:14" ht="15.75">
      <c r="A723" s="329">
        <v>726</v>
      </c>
      <c r="B723" s="330">
        <v>6</v>
      </c>
      <c r="C723" s="331" t="s">
        <v>51</v>
      </c>
      <c r="D723" s="331" t="str">
        <f t="shared" si="26"/>
        <v>#18499</v>
      </c>
      <c r="E723" s="294" t="s">
        <v>6027</v>
      </c>
      <c r="F723" s="331" t="s">
        <v>6026</v>
      </c>
      <c r="G723" s="331" t="s">
        <v>9941</v>
      </c>
      <c r="H723" s="331" t="str">
        <f t="shared" si="27"/>
        <v>VN18499</v>
      </c>
      <c r="I723" s="331" t="s">
        <v>8825</v>
      </c>
      <c r="J723" s="333"/>
      <c r="K723" s="334"/>
      <c r="L723" s="358"/>
      <c r="M723" s="358"/>
      <c r="N723" s="336"/>
    </row>
    <row r="724" spans="1:14" ht="15.75">
      <c r="A724" s="329">
        <v>727</v>
      </c>
      <c r="B724" s="330">
        <v>7</v>
      </c>
      <c r="C724" s="331" t="s">
        <v>51</v>
      </c>
      <c r="D724" s="331" t="str">
        <f t="shared" si="26"/>
        <v>#20021</v>
      </c>
      <c r="E724" s="294" t="s">
        <v>6458</v>
      </c>
      <c r="F724" s="331" t="s">
        <v>6457</v>
      </c>
      <c r="G724" s="331" t="s">
        <v>9942</v>
      </c>
      <c r="H724" s="331" t="str">
        <f t="shared" si="27"/>
        <v>VN20021</v>
      </c>
      <c r="I724" s="331" t="s">
        <v>8825</v>
      </c>
      <c r="J724" s="333"/>
      <c r="K724" s="334"/>
      <c r="L724" s="335"/>
      <c r="M724" s="335"/>
      <c r="N724" s="336"/>
    </row>
    <row r="725" spans="1:14" ht="15.75">
      <c r="A725" s="329">
        <v>728</v>
      </c>
      <c r="B725" s="330">
        <v>8</v>
      </c>
      <c r="C725" s="331" t="s">
        <v>51</v>
      </c>
      <c r="D725" s="331" t="str">
        <f t="shared" si="26"/>
        <v>#25758</v>
      </c>
      <c r="E725" s="294" t="s">
        <v>8259</v>
      </c>
      <c r="F725" s="331" t="s">
        <v>8260</v>
      </c>
      <c r="G725" s="331" t="s">
        <v>9943</v>
      </c>
      <c r="H725" s="331" t="str">
        <f t="shared" si="27"/>
        <v>VN25758</v>
      </c>
      <c r="I725" s="331"/>
      <c r="J725" s="333" t="s">
        <v>9944</v>
      </c>
      <c r="K725" s="334">
        <v>45748</v>
      </c>
      <c r="L725" s="335"/>
      <c r="M725" s="335"/>
      <c r="N725" s="336"/>
    </row>
    <row r="726" spans="1:14" ht="15.75">
      <c r="A726" s="329">
        <v>729</v>
      </c>
      <c r="B726" s="330">
        <v>9</v>
      </c>
      <c r="C726" s="331" t="s">
        <v>51</v>
      </c>
      <c r="D726" s="331" t="str">
        <f t="shared" si="26"/>
        <v>#M1-MEETING</v>
      </c>
      <c r="E726" s="295" t="s">
        <v>259</v>
      </c>
      <c r="F726" s="331" t="s">
        <v>9945</v>
      </c>
      <c r="G726" s="331" t="s">
        <v>9946</v>
      </c>
      <c r="H726" s="331" t="str">
        <f t="shared" si="27"/>
        <v>VNM1-MEETING</v>
      </c>
      <c r="I726" s="331"/>
      <c r="J726" s="333"/>
      <c r="K726" s="334"/>
      <c r="L726" s="358"/>
      <c r="M726" s="358"/>
      <c r="N726" s="336"/>
    </row>
    <row r="727" spans="1:14" ht="15.75">
      <c r="A727" s="329">
        <v>730</v>
      </c>
      <c r="B727" s="330">
        <v>10</v>
      </c>
      <c r="C727" s="331" t="s">
        <v>51</v>
      </c>
      <c r="D727" s="331" t="str">
        <f t="shared" si="26"/>
        <v>#M2-MEETING</v>
      </c>
      <c r="E727" s="295" t="s">
        <v>261</v>
      </c>
      <c r="F727" s="331" t="s">
        <v>9947</v>
      </c>
      <c r="G727" s="331" t="s">
        <v>9948</v>
      </c>
      <c r="H727" s="331" t="str">
        <f t="shared" si="27"/>
        <v>VNM2-MEETING</v>
      </c>
      <c r="I727" s="331"/>
      <c r="J727" s="333"/>
      <c r="K727" s="334"/>
      <c r="L727" s="335"/>
      <c r="M727" s="335"/>
      <c r="N727" s="336"/>
    </row>
    <row r="728" spans="1:14" ht="15.75">
      <c r="A728" s="329">
        <v>731</v>
      </c>
      <c r="B728" s="330">
        <v>11</v>
      </c>
      <c r="C728" s="331" t="s">
        <v>51</v>
      </c>
      <c r="D728" s="331" t="str">
        <f t="shared" si="26"/>
        <v>#</v>
      </c>
      <c r="E728" s="294"/>
      <c r="F728" s="331" t="s">
        <v>9949</v>
      </c>
      <c r="G728" s="331" t="s">
        <v>9950</v>
      </c>
      <c r="H728" s="331" t="str">
        <f t="shared" si="27"/>
        <v>VN</v>
      </c>
      <c r="I728" s="331"/>
      <c r="J728" s="363" t="s">
        <v>8541</v>
      </c>
      <c r="K728" s="334"/>
      <c r="L728" s="358"/>
      <c r="M728" s="358"/>
      <c r="N728" s="336"/>
    </row>
    <row r="729" spans="1:14" ht="15.75">
      <c r="A729" s="329">
        <v>732</v>
      </c>
      <c r="B729" s="330">
        <v>12</v>
      </c>
      <c r="C729" s="331" t="s">
        <v>51</v>
      </c>
      <c r="D729" s="331" t="str">
        <f t="shared" si="26"/>
        <v>#M7-MEETING</v>
      </c>
      <c r="E729" s="295" t="s">
        <v>9951</v>
      </c>
      <c r="F729" s="331" t="s">
        <v>9952</v>
      </c>
      <c r="G729" s="331" t="s">
        <v>326</v>
      </c>
      <c r="H729" s="331" t="str">
        <f t="shared" si="27"/>
        <v>VNM7-MEETING</v>
      </c>
      <c r="I729" s="331"/>
      <c r="J729" s="333"/>
      <c r="K729" s="334"/>
      <c r="L729" s="335"/>
      <c r="M729" s="358"/>
      <c r="N729" s="336"/>
    </row>
    <row r="730" spans="1:14" ht="15.75">
      <c r="A730" s="329">
        <v>733</v>
      </c>
      <c r="B730" s="330">
        <v>13</v>
      </c>
      <c r="C730" s="331" t="s">
        <v>51</v>
      </c>
      <c r="D730" s="331" t="str">
        <f t="shared" si="26"/>
        <v>#</v>
      </c>
      <c r="E730" s="294"/>
      <c r="F730" s="331" t="s">
        <v>9953</v>
      </c>
      <c r="G730" s="331" t="s">
        <v>9954</v>
      </c>
      <c r="H730" s="331" t="str">
        <f t="shared" si="27"/>
        <v>VN</v>
      </c>
      <c r="I730" s="331"/>
      <c r="J730" s="333" t="s">
        <v>8541</v>
      </c>
      <c r="K730" s="334">
        <v>45826</v>
      </c>
      <c r="L730" s="335"/>
      <c r="M730" s="358"/>
      <c r="N730" s="336"/>
    </row>
    <row r="731" spans="1:14" ht="15.75">
      <c r="A731" s="329">
        <v>734</v>
      </c>
      <c r="B731" s="330">
        <v>14</v>
      </c>
      <c r="C731" s="331" t="s">
        <v>51</v>
      </c>
      <c r="D731" s="331" t="str">
        <f t="shared" si="26"/>
        <v>#22028</v>
      </c>
      <c r="E731" s="294" t="s">
        <v>6956</v>
      </c>
      <c r="F731" s="331" t="s">
        <v>1852</v>
      </c>
      <c r="G731" s="331" t="s">
        <v>9955</v>
      </c>
      <c r="H731" s="331" t="str">
        <f t="shared" si="27"/>
        <v>VN22028</v>
      </c>
      <c r="I731" s="331" t="s">
        <v>8825</v>
      </c>
      <c r="J731" s="333"/>
      <c r="K731" s="334"/>
      <c r="L731" s="335"/>
      <c r="M731" s="335"/>
      <c r="N731" s="336"/>
    </row>
    <row r="732" spans="1:14" ht="15.75">
      <c r="A732" s="329">
        <v>735</v>
      </c>
      <c r="B732" s="330">
        <v>15</v>
      </c>
      <c r="C732" s="331" t="s">
        <v>51</v>
      </c>
      <c r="D732" s="331" t="str">
        <f t="shared" si="26"/>
        <v>#23169</v>
      </c>
      <c r="E732" s="294" t="s">
        <v>9956</v>
      </c>
      <c r="F732" s="331" t="s">
        <v>2455</v>
      </c>
      <c r="G732" s="331" t="s">
        <v>9957</v>
      </c>
      <c r="H732" s="331" t="str">
        <f t="shared" si="27"/>
        <v>VN23169</v>
      </c>
      <c r="I732" s="331" t="s">
        <v>8825</v>
      </c>
      <c r="J732" s="333"/>
      <c r="K732" s="334"/>
      <c r="L732" s="361">
        <v>45839</v>
      </c>
      <c r="M732" s="337">
        <v>45887</v>
      </c>
      <c r="N732" s="336"/>
    </row>
    <row r="733" spans="1:14" ht="15.75">
      <c r="A733" s="329">
        <v>736</v>
      </c>
      <c r="B733" s="330">
        <v>16</v>
      </c>
      <c r="C733" s="331" t="s">
        <v>51</v>
      </c>
      <c r="D733" s="331" t="str">
        <f t="shared" si="26"/>
        <v>#24085</v>
      </c>
      <c r="E733" s="294" t="s">
        <v>7439</v>
      </c>
      <c r="F733" s="331" t="s">
        <v>7438</v>
      </c>
      <c r="G733" s="331" t="s">
        <v>9958</v>
      </c>
      <c r="H733" s="331" t="str">
        <f t="shared" si="27"/>
        <v>VN24085</v>
      </c>
      <c r="I733" s="331"/>
      <c r="J733" s="333" t="s">
        <v>9959</v>
      </c>
      <c r="K733" s="334"/>
      <c r="L733" s="335"/>
      <c r="M733" s="335"/>
      <c r="N733" s="336"/>
    </row>
    <row r="734" spans="1:14" ht="15.75">
      <c r="A734" s="329">
        <v>737</v>
      </c>
      <c r="B734" s="330">
        <v>17</v>
      </c>
      <c r="C734" s="331" t="s">
        <v>51</v>
      </c>
      <c r="D734" s="331" t="str">
        <f t="shared" si="26"/>
        <v>#24322</v>
      </c>
      <c r="E734" s="294" t="s">
        <v>7518</v>
      </c>
      <c r="F734" s="331" t="s">
        <v>7517</v>
      </c>
      <c r="G734" s="331" t="s">
        <v>9960</v>
      </c>
      <c r="H734" s="331" t="str">
        <f t="shared" si="27"/>
        <v>VN24322</v>
      </c>
      <c r="I734" s="331"/>
      <c r="J734" s="333" t="s">
        <v>9961</v>
      </c>
      <c r="K734" s="334"/>
      <c r="L734" s="358"/>
      <c r="M734" s="335"/>
      <c r="N734" s="336"/>
    </row>
    <row r="735" spans="1:14" ht="15.75">
      <c r="A735" s="329">
        <v>738</v>
      </c>
      <c r="B735" s="330">
        <v>18</v>
      </c>
      <c r="C735" s="331" t="s">
        <v>51</v>
      </c>
      <c r="D735" s="331" t="str">
        <f t="shared" si="26"/>
        <v>#24320</v>
      </c>
      <c r="E735" s="294" t="s">
        <v>7516</v>
      </c>
      <c r="F735" s="331" t="s">
        <v>7515</v>
      </c>
      <c r="G735" s="331" t="s">
        <v>9962</v>
      </c>
      <c r="H735" s="331" t="str">
        <f t="shared" si="27"/>
        <v>VN24320</v>
      </c>
      <c r="I735" s="331" t="s">
        <v>8825</v>
      </c>
      <c r="J735" s="333" t="s">
        <v>9963</v>
      </c>
      <c r="K735" s="334"/>
      <c r="L735" s="335"/>
      <c r="M735" s="335"/>
      <c r="N735" s="336"/>
    </row>
    <row r="736" spans="1:14" ht="15.75">
      <c r="A736" s="329">
        <v>739</v>
      </c>
      <c r="B736" s="330">
        <v>19</v>
      </c>
      <c r="C736" s="331" t="s">
        <v>51</v>
      </c>
      <c r="D736" s="331" t="str">
        <f t="shared" si="26"/>
        <v>#24334</v>
      </c>
      <c r="E736" s="294" t="s">
        <v>9964</v>
      </c>
      <c r="F736" s="331" t="s">
        <v>3197</v>
      </c>
      <c r="G736" s="331" t="s">
        <v>9965</v>
      </c>
      <c r="H736" s="331" t="str">
        <f t="shared" si="27"/>
        <v>VN24334</v>
      </c>
      <c r="I736" s="331"/>
      <c r="J736" s="333" t="s">
        <v>9966</v>
      </c>
      <c r="K736" s="334"/>
      <c r="L736" s="337">
        <v>45758</v>
      </c>
      <c r="M736" s="337">
        <v>45887</v>
      </c>
      <c r="N736" s="336"/>
    </row>
    <row r="737" spans="1:14" ht="15.75">
      <c r="A737" s="329">
        <v>740</v>
      </c>
      <c r="B737" s="330">
        <v>20</v>
      </c>
      <c r="C737" s="331" t="s">
        <v>51</v>
      </c>
      <c r="D737" s="331" t="str">
        <f t="shared" si="26"/>
        <v>#24703</v>
      </c>
      <c r="E737" s="294" t="s">
        <v>9967</v>
      </c>
      <c r="F737" s="331" t="s">
        <v>2340</v>
      </c>
      <c r="G737" s="331" t="s">
        <v>9968</v>
      </c>
      <c r="H737" s="331" t="str">
        <f t="shared" si="27"/>
        <v>VN24703</v>
      </c>
      <c r="I737" s="331"/>
      <c r="J737" s="333" t="s">
        <v>9969</v>
      </c>
      <c r="K737" s="334"/>
      <c r="L737" s="337">
        <v>45824</v>
      </c>
      <c r="M737" s="337">
        <v>45887</v>
      </c>
      <c r="N737" s="336"/>
    </row>
    <row r="738" spans="1:14" ht="15.75">
      <c r="A738" s="329">
        <v>741</v>
      </c>
      <c r="B738" s="330">
        <v>21</v>
      </c>
      <c r="C738" s="331" t="s">
        <v>51</v>
      </c>
      <c r="D738" s="331" t="str">
        <f t="shared" si="26"/>
        <v>#25575</v>
      </c>
      <c r="E738" s="294" t="s">
        <v>7982</v>
      </c>
      <c r="F738" s="331" t="s">
        <v>7983</v>
      </c>
      <c r="G738" s="331" t="s">
        <v>9970</v>
      </c>
      <c r="H738" s="331" t="str">
        <f t="shared" si="27"/>
        <v>VN25575</v>
      </c>
      <c r="I738" s="331" t="s">
        <v>8825</v>
      </c>
      <c r="J738" s="333" t="s">
        <v>9971</v>
      </c>
      <c r="K738" s="334">
        <v>45708</v>
      </c>
      <c r="L738" s="335"/>
      <c r="M738" s="335"/>
      <c r="N738" s="336"/>
    </row>
    <row r="739" spans="1:14" ht="15.75">
      <c r="A739" s="329">
        <v>742</v>
      </c>
      <c r="B739" s="330">
        <v>22</v>
      </c>
      <c r="C739" s="331" t="s">
        <v>51</v>
      </c>
      <c r="D739" s="331" t="str">
        <f t="shared" si="26"/>
        <v>#26094</v>
      </c>
      <c r="E739" s="294" t="s">
        <v>9972</v>
      </c>
      <c r="F739" s="331" t="s">
        <v>9973</v>
      </c>
      <c r="G739" s="331" t="s">
        <v>9974</v>
      </c>
      <c r="H739" s="331" t="str">
        <f t="shared" si="27"/>
        <v>VN26094</v>
      </c>
      <c r="I739" s="331"/>
      <c r="J739" s="333" t="s">
        <v>9975</v>
      </c>
      <c r="K739" s="334">
        <v>45831</v>
      </c>
      <c r="L739" s="337">
        <v>45834</v>
      </c>
      <c r="M739" s="337">
        <v>45887</v>
      </c>
      <c r="N739" s="336"/>
    </row>
    <row r="740" spans="1:14" ht="15.75">
      <c r="A740" s="329">
        <v>743</v>
      </c>
      <c r="B740" s="330">
        <v>23</v>
      </c>
      <c r="C740" s="331" t="s">
        <v>51</v>
      </c>
      <c r="D740" s="331" t="str">
        <f t="shared" si="26"/>
        <v>#26223</v>
      </c>
      <c r="E740" s="294" t="s">
        <v>8529</v>
      </c>
      <c r="F740" s="331" t="s">
        <v>8530</v>
      </c>
      <c r="G740" s="331" t="s">
        <v>9976</v>
      </c>
      <c r="H740" s="331" t="str">
        <f t="shared" si="27"/>
        <v>VN26223</v>
      </c>
      <c r="I740" s="331" t="s">
        <v>8825</v>
      </c>
      <c r="J740" s="333" t="s">
        <v>9977</v>
      </c>
      <c r="K740" s="334">
        <v>45875</v>
      </c>
      <c r="L740" s="335"/>
      <c r="M740" s="335"/>
      <c r="N740" s="336"/>
    </row>
    <row r="741" spans="1:14" ht="15.75">
      <c r="A741" s="329">
        <v>744</v>
      </c>
      <c r="B741" s="330">
        <v>24</v>
      </c>
      <c r="C741" s="331" t="s">
        <v>51</v>
      </c>
      <c r="D741" s="331" t="str">
        <f t="shared" si="26"/>
        <v>#26315</v>
      </c>
      <c r="E741" s="294">
        <v>26315</v>
      </c>
      <c r="F741" s="331" t="s">
        <v>8603</v>
      </c>
      <c r="G741" s="331" t="s">
        <v>9978</v>
      </c>
      <c r="H741" s="331" t="str">
        <f t="shared" si="27"/>
        <v>VN26315</v>
      </c>
      <c r="I741" s="331"/>
      <c r="J741" s="333" t="s">
        <v>9979</v>
      </c>
      <c r="K741" s="334">
        <v>45910</v>
      </c>
      <c r="L741" s="347"/>
      <c r="M741" s="348"/>
      <c r="N741" s="336"/>
    </row>
    <row r="742" spans="1:14" ht="15.75">
      <c r="A742" s="329">
        <v>745</v>
      </c>
      <c r="B742" s="330">
        <v>25</v>
      </c>
      <c r="C742" s="331" t="s">
        <v>51</v>
      </c>
      <c r="D742" s="331" t="str">
        <f t="shared" si="26"/>
        <v>#26350</v>
      </c>
      <c r="E742" s="294">
        <v>26350</v>
      </c>
      <c r="F742" s="331" t="s">
        <v>1690</v>
      </c>
      <c r="G742" s="331" t="s">
        <v>9980</v>
      </c>
      <c r="H742" s="331" t="str">
        <f t="shared" si="27"/>
        <v>VN26350</v>
      </c>
      <c r="I742" s="331" t="s">
        <v>8825</v>
      </c>
      <c r="J742" s="333" t="s">
        <v>9981</v>
      </c>
      <c r="K742" s="334">
        <v>45937</v>
      </c>
      <c r="L742" s="347">
        <v>45973</v>
      </c>
      <c r="M742" s="348"/>
      <c r="N742" s="336"/>
    </row>
    <row r="743" spans="1:14" ht="15.75">
      <c r="A743" s="329">
        <v>746</v>
      </c>
      <c r="B743" s="330">
        <v>1</v>
      </c>
      <c r="C743" s="331" t="s">
        <v>829</v>
      </c>
      <c r="D743" s="331" t="str">
        <f t="shared" si="26"/>
        <v>#24112</v>
      </c>
      <c r="E743" s="294" t="s">
        <v>7448</v>
      </c>
      <c r="F743" s="338" t="s">
        <v>1500</v>
      </c>
      <c r="G743" s="338" t="s">
        <v>9982</v>
      </c>
      <c r="H743" s="338" t="str">
        <f t="shared" si="27"/>
        <v>VN24112</v>
      </c>
      <c r="I743" s="338" t="s">
        <v>8825</v>
      </c>
      <c r="J743" s="339" t="s">
        <v>9983</v>
      </c>
      <c r="K743" s="334">
        <v>45042</v>
      </c>
      <c r="L743" s="335"/>
      <c r="M743" s="335"/>
      <c r="N743" s="336"/>
    </row>
    <row r="744" spans="1:14" ht="15.75">
      <c r="A744" s="329">
        <v>747</v>
      </c>
      <c r="B744" s="330">
        <v>2</v>
      </c>
      <c r="C744" s="331" t="s">
        <v>829</v>
      </c>
      <c r="D744" s="331" t="str">
        <f t="shared" si="26"/>
        <v>#24210</v>
      </c>
      <c r="E744" s="294" t="s">
        <v>7480</v>
      </c>
      <c r="F744" s="338" t="s">
        <v>2112</v>
      </c>
      <c r="G744" s="338" t="s">
        <v>9984</v>
      </c>
      <c r="H744" s="338" t="str">
        <f t="shared" si="27"/>
        <v>VN24210</v>
      </c>
      <c r="I744" s="338"/>
      <c r="J744" s="339" t="s">
        <v>9985</v>
      </c>
      <c r="K744" s="334"/>
      <c r="L744" s="335"/>
      <c r="M744" s="335"/>
      <c r="N744" s="336"/>
    </row>
    <row r="745" spans="1:14" ht="15.75">
      <c r="A745" s="329">
        <v>748</v>
      </c>
      <c r="B745" s="330">
        <v>3</v>
      </c>
      <c r="C745" s="331" t="s">
        <v>829</v>
      </c>
      <c r="D745" s="331" t="str">
        <f t="shared" si="26"/>
        <v>#24918</v>
      </c>
      <c r="E745" s="294" t="s">
        <v>7785</v>
      </c>
      <c r="F745" s="331" t="s">
        <v>7784</v>
      </c>
      <c r="G745" s="331" t="s">
        <v>9986</v>
      </c>
      <c r="H745" s="331" t="str">
        <f t="shared" si="27"/>
        <v>VN24918</v>
      </c>
      <c r="I745" s="331"/>
      <c r="J745" s="333" t="s">
        <v>9987</v>
      </c>
      <c r="K745" s="334">
        <v>45460</v>
      </c>
      <c r="L745" s="335"/>
      <c r="M745" s="335"/>
      <c r="N745" s="336"/>
    </row>
    <row r="746" spans="1:14" ht="15.75">
      <c r="A746" s="329">
        <v>749</v>
      </c>
      <c r="B746" s="330">
        <v>1</v>
      </c>
      <c r="C746" s="331" t="s">
        <v>7810</v>
      </c>
      <c r="D746" s="331" t="str">
        <f t="shared" si="26"/>
        <v>#25010</v>
      </c>
      <c r="E746" s="294" t="s">
        <v>7815</v>
      </c>
      <c r="F746" s="331" t="s">
        <v>2780</v>
      </c>
      <c r="G746" s="331" t="s">
        <v>9988</v>
      </c>
      <c r="H746" s="331" t="str">
        <f t="shared" si="27"/>
        <v>VN25010</v>
      </c>
      <c r="I746" s="331"/>
      <c r="J746" s="333" t="s">
        <v>9989</v>
      </c>
      <c r="K746" s="334"/>
      <c r="L746" s="335"/>
      <c r="M746" s="335"/>
      <c r="N746" s="336"/>
    </row>
    <row r="747" spans="1:14" ht="15.75">
      <c r="A747" s="329">
        <v>750</v>
      </c>
      <c r="B747" s="330">
        <v>2</v>
      </c>
      <c r="C747" s="331" t="s">
        <v>7810</v>
      </c>
      <c r="D747" s="331" t="str">
        <f t="shared" si="26"/>
        <v>#24919</v>
      </c>
      <c r="E747" s="294" t="s">
        <v>7787</v>
      </c>
      <c r="F747" s="331" t="s">
        <v>7786</v>
      </c>
      <c r="G747" s="331" t="s">
        <v>9990</v>
      </c>
      <c r="H747" s="331" t="str">
        <f t="shared" si="27"/>
        <v>VN24919</v>
      </c>
      <c r="I747" s="331"/>
      <c r="J747" s="333" t="s">
        <v>9991</v>
      </c>
      <c r="K747" s="334" t="s">
        <v>9992</v>
      </c>
      <c r="L747" s="335"/>
      <c r="M747" s="335"/>
      <c r="N747" s="336"/>
    </row>
    <row r="748" spans="1:14" ht="15.75">
      <c r="A748" s="329">
        <v>751</v>
      </c>
      <c r="B748" s="330">
        <v>1</v>
      </c>
      <c r="C748" s="331" t="s">
        <v>9993</v>
      </c>
      <c r="D748" s="331" t="str">
        <f t="shared" si="26"/>
        <v>#DL01</v>
      </c>
      <c r="E748" s="294" t="s">
        <v>699</v>
      </c>
      <c r="F748" s="367" t="s">
        <v>701</v>
      </c>
      <c r="G748" s="365" t="s">
        <v>9994</v>
      </c>
      <c r="H748" s="368" t="str">
        <f t="shared" si="27"/>
        <v>VNDL01</v>
      </c>
      <c r="I748" s="368"/>
      <c r="J748" s="365"/>
      <c r="K748" s="368"/>
      <c r="L748" s="369"/>
      <c r="M748" s="335"/>
      <c r="N748" s="336"/>
    </row>
    <row r="749" spans="1:14" ht="15.75">
      <c r="A749" s="329">
        <v>752</v>
      </c>
      <c r="B749" s="330">
        <v>2</v>
      </c>
      <c r="C749" s="331" t="s">
        <v>9995</v>
      </c>
      <c r="D749" s="331" t="str">
        <f t="shared" si="26"/>
        <v>#DL02</v>
      </c>
      <c r="E749" s="294" t="s">
        <v>174</v>
      </c>
      <c r="F749" s="367" t="s">
        <v>704</v>
      </c>
      <c r="G749" s="365" t="s">
        <v>9996</v>
      </c>
      <c r="H749" s="368" t="str">
        <f t="shared" si="27"/>
        <v>VNDL02</v>
      </c>
      <c r="I749" s="368"/>
      <c r="J749" s="365"/>
      <c r="K749" s="368"/>
      <c r="L749" s="369"/>
      <c r="M749" s="335"/>
      <c r="N749" s="336"/>
    </row>
    <row r="750" spans="1:14" ht="15.75">
      <c r="A750" s="329">
        <v>753</v>
      </c>
      <c r="B750" s="330">
        <v>3</v>
      </c>
      <c r="C750" s="331" t="s">
        <v>9995</v>
      </c>
      <c r="D750" s="331" t="str">
        <f t="shared" si="26"/>
        <v>#DL05</v>
      </c>
      <c r="E750" s="294" t="s">
        <v>706</v>
      </c>
      <c r="F750" s="367" t="s">
        <v>708</v>
      </c>
      <c r="G750" s="365" t="s">
        <v>9997</v>
      </c>
      <c r="H750" s="368" t="str">
        <f t="shared" si="27"/>
        <v>VNDL05</v>
      </c>
      <c r="I750" s="368"/>
      <c r="J750" s="365"/>
      <c r="K750" s="368"/>
      <c r="L750" s="369"/>
      <c r="M750" s="335"/>
      <c r="N750" s="336"/>
    </row>
    <row r="751" spans="1:14" ht="15.75">
      <c r="A751" s="329">
        <v>754</v>
      </c>
      <c r="B751" s="330">
        <v>4</v>
      </c>
      <c r="C751" s="331" t="s">
        <v>9998</v>
      </c>
      <c r="D751" s="331" t="str">
        <f t="shared" si="26"/>
        <v>#DL06</v>
      </c>
      <c r="E751" s="294" t="s">
        <v>710</v>
      </c>
      <c r="F751" s="367" t="s">
        <v>712</v>
      </c>
      <c r="G751" s="365" t="s">
        <v>9999</v>
      </c>
      <c r="H751" s="368" t="str">
        <f t="shared" si="27"/>
        <v>VNDL06</v>
      </c>
      <c r="I751" s="368"/>
      <c r="J751" s="365"/>
      <c r="K751" s="368"/>
      <c r="L751" s="369"/>
      <c r="M751" s="335"/>
      <c r="N751" s="336"/>
    </row>
    <row r="752" spans="1:14" ht="15.75">
      <c r="A752" s="329">
        <v>755</v>
      </c>
      <c r="B752" s="330">
        <v>5</v>
      </c>
      <c r="C752" s="331" t="s">
        <v>9993</v>
      </c>
      <c r="D752" s="331" t="str">
        <f t="shared" si="26"/>
        <v>#DL10</v>
      </c>
      <c r="E752" s="294" t="s">
        <v>714</v>
      </c>
      <c r="F752" s="331" t="s">
        <v>716</v>
      </c>
      <c r="G752" s="365" t="s">
        <v>10000</v>
      </c>
      <c r="H752" s="368" t="str">
        <f t="shared" si="27"/>
        <v>VNDL10</v>
      </c>
      <c r="I752" s="368"/>
      <c r="J752" s="365"/>
      <c r="K752" s="368"/>
      <c r="L752" s="337">
        <v>45680</v>
      </c>
      <c r="M752" s="337">
        <v>45887</v>
      </c>
      <c r="N752" s="336"/>
    </row>
    <row r="753" spans="1:14" ht="15.75">
      <c r="A753" s="329">
        <v>756</v>
      </c>
      <c r="B753" s="330">
        <v>6</v>
      </c>
      <c r="C753" s="331" t="s">
        <v>9995</v>
      </c>
      <c r="D753" s="331" t="str">
        <f t="shared" si="26"/>
        <v>#DL13</v>
      </c>
      <c r="E753" s="294" t="s">
        <v>745</v>
      </c>
      <c r="F753" s="367" t="s">
        <v>747</v>
      </c>
      <c r="G753" s="365" t="s">
        <v>10001</v>
      </c>
      <c r="H753" s="368" t="str">
        <f t="shared" si="27"/>
        <v>VNDL13</v>
      </c>
      <c r="I753" s="368"/>
      <c r="J753" s="365"/>
      <c r="K753" s="368"/>
      <c r="L753" s="369"/>
      <c r="M753" s="335"/>
      <c r="N753" s="336"/>
    </row>
    <row r="754" spans="1:14" ht="15.75">
      <c r="A754" s="329">
        <v>757</v>
      </c>
      <c r="B754" s="330">
        <v>7</v>
      </c>
      <c r="C754" s="331" t="s">
        <v>10002</v>
      </c>
      <c r="D754" s="331" t="str">
        <f t="shared" si="26"/>
        <v>#DL19</v>
      </c>
      <c r="E754" s="294" t="s">
        <v>749</v>
      </c>
      <c r="F754" s="367" t="s">
        <v>751</v>
      </c>
      <c r="G754" s="365" t="s">
        <v>10003</v>
      </c>
      <c r="H754" s="368" t="str">
        <f t="shared" si="27"/>
        <v>VNDL19</v>
      </c>
      <c r="I754" s="368"/>
      <c r="J754" s="365"/>
      <c r="K754" s="368"/>
      <c r="L754" s="369"/>
      <c r="M754" s="335"/>
      <c r="N754" s="336"/>
    </row>
    <row r="755" spans="1:14" ht="15.75">
      <c r="A755" s="329">
        <v>758</v>
      </c>
      <c r="B755" s="330">
        <v>8</v>
      </c>
      <c r="C755" s="331" t="s">
        <v>9995</v>
      </c>
      <c r="D755" s="331" t="str">
        <f t="shared" si="26"/>
        <v>#DL57</v>
      </c>
      <c r="E755" s="294" t="s">
        <v>753</v>
      </c>
      <c r="F755" s="367" t="s">
        <v>755</v>
      </c>
      <c r="G755" s="365" t="s">
        <v>10004</v>
      </c>
      <c r="H755" s="368" t="str">
        <f t="shared" si="27"/>
        <v>VNDL57</v>
      </c>
      <c r="I755" s="368"/>
      <c r="J755" s="365"/>
      <c r="K755" s="368"/>
      <c r="L755" s="369"/>
      <c r="M755" s="335"/>
      <c r="N755" s="336"/>
    </row>
    <row r="756" spans="1:14" ht="15.75">
      <c r="A756" s="329">
        <v>759</v>
      </c>
      <c r="B756" s="330">
        <v>9</v>
      </c>
      <c r="C756" s="331" t="s">
        <v>9995</v>
      </c>
      <c r="D756" s="331" t="str">
        <f t="shared" si="26"/>
        <v>#DL70</v>
      </c>
      <c r="E756" s="294" t="s">
        <v>756</v>
      </c>
      <c r="F756" s="367" t="s">
        <v>758</v>
      </c>
      <c r="G756" s="365" t="s">
        <v>10005</v>
      </c>
      <c r="H756" s="368" t="str">
        <f t="shared" si="27"/>
        <v>VNDL70</v>
      </c>
      <c r="I756" s="368"/>
      <c r="J756" s="365"/>
      <c r="K756" s="368"/>
      <c r="L756" s="369"/>
      <c r="M756" s="335"/>
      <c r="N756" s="336"/>
    </row>
    <row r="757" spans="1:14" ht="15.75">
      <c r="A757" s="329">
        <v>760</v>
      </c>
      <c r="B757" s="330">
        <v>10</v>
      </c>
      <c r="C757" s="331" t="s">
        <v>9995</v>
      </c>
      <c r="D757" s="331" t="str">
        <f t="shared" si="26"/>
        <v>#DL77</v>
      </c>
      <c r="E757" s="294" t="s">
        <v>767</v>
      </c>
      <c r="F757" s="367" t="s">
        <v>762</v>
      </c>
      <c r="G757" s="365" t="s">
        <v>10006</v>
      </c>
      <c r="H757" s="368" t="str">
        <f t="shared" si="27"/>
        <v>VNDL77</v>
      </c>
      <c r="I757" s="368"/>
      <c r="J757" s="365"/>
      <c r="K757" s="368"/>
      <c r="L757" s="369"/>
      <c r="M757" s="335"/>
      <c r="N757" s="336"/>
    </row>
    <row r="758" spans="1:14" ht="15.75">
      <c r="A758" s="329">
        <v>761</v>
      </c>
      <c r="B758" s="330">
        <v>11</v>
      </c>
      <c r="C758" s="331" t="s">
        <v>9993</v>
      </c>
      <c r="D758" s="331" t="str">
        <f t="shared" si="26"/>
        <v>#DL76</v>
      </c>
      <c r="E758" s="294" t="s">
        <v>763</v>
      </c>
      <c r="F758" s="367" t="s">
        <v>10007</v>
      </c>
      <c r="G758" s="365" t="s">
        <v>10008</v>
      </c>
      <c r="H758" s="368" t="str">
        <f t="shared" si="27"/>
        <v>VNDL76</v>
      </c>
      <c r="I758" s="368"/>
      <c r="J758" s="365"/>
      <c r="K758" s="368"/>
      <c r="L758" s="369"/>
      <c r="M758" s="335"/>
      <c r="N758" s="336"/>
    </row>
    <row r="759" spans="1:14" ht="15.75">
      <c r="A759" s="329">
        <v>762</v>
      </c>
      <c r="B759" s="330">
        <v>12</v>
      </c>
      <c r="C759" s="331" t="s">
        <v>9995</v>
      </c>
      <c r="D759" s="331" t="str">
        <f t="shared" si="26"/>
        <v>#DL77</v>
      </c>
      <c r="E759" s="294" t="s">
        <v>767</v>
      </c>
      <c r="F759" s="367" t="s">
        <v>769</v>
      </c>
      <c r="G759" s="365" t="s">
        <v>10009</v>
      </c>
      <c r="H759" s="368" t="str">
        <f t="shared" si="27"/>
        <v>VNDL77</v>
      </c>
      <c r="I759" s="368"/>
      <c r="J759" s="365"/>
      <c r="K759" s="368"/>
      <c r="L759" s="369"/>
      <c r="M759" s="335"/>
      <c r="N759" s="336"/>
    </row>
    <row r="760" spans="1:14" ht="15.75">
      <c r="A760" s="329">
        <v>763</v>
      </c>
      <c r="B760" s="330">
        <v>13</v>
      </c>
      <c r="C760" s="331" t="s">
        <v>9995</v>
      </c>
      <c r="D760" s="331" t="str">
        <f t="shared" si="26"/>
        <v>#DL89</v>
      </c>
      <c r="E760" s="294" t="s">
        <v>770</v>
      </c>
      <c r="F760" s="367" t="s">
        <v>10010</v>
      </c>
      <c r="G760" s="365" t="s">
        <v>10011</v>
      </c>
      <c r="H760" s="368" t="str">
        <f t="shared" si="27"/>
        <v>VNDL89</v>
      </c>
      <c r="I760" s="368"/>
      <c r="J760" s="365"/>
      <c r="K760" s="368"/>
      <c r="L760" s="369"/>
      <c r="M760" s="335"/>
      <c r="N760" s="336"/>
    </row>
    <row r="761" spans="1:14" ht="15.75">
      <c r="A761" s="329">
        <v>764</v>
      </c>
      <c r="B761" s="330">
        <v>14</v>
      </c>
      <c r="C761" s="331" t="s">
        <v>9995</v>
      </c>
      <c r="D761" s="331" t="str">
        <f t="shared" ref="D761:D824" si="28">CONCATENATE("#",E761)</f>
        <v>#DL90</v>
      </c>
      <c r="E761" s="294" t="s">
        <v>774</v>
      </c>
      <c r="F761" s="367" t="s">
        <v>776</v>
      </c>
      <c r="G761" s="365" t="s">
        <v>10012</v>
      </c>
      <c r="H761" s="368" t="str">
        <f t="shared" si="27"/>
        <v>VNDL90</v>
      </c>
      <c r="I761" s="368"/>
      <c r="J761" s="365"/>
      <c r="K761" s="368"/>
      <c r="L761" s="369"/>
      <c r="M761" s="335"/>
      <c r="N761" s="336"/>
    </row>
    <row r="762" spans="1:14" ht="15.75">
      <c r="A762" s="329">
        <v>765</v>
      </c>
      <c r="B762" s="330">
        <v>15</v>
      </c>
      <c r="C762" s="331" t="s">
        <v>9995</v>
      </c>
      <c r="D762" s="331" t="str">
        <f t="shared" si="28"/>
        <v>#DL92</v>
      </c>
      <c r="E762" s="294" t="s">
        <v>777</v>
      </c>
      <c r="F762" s="367" t="s">
        <v>10013</v>
      </c>
      <c r="G762" s="365" t="s">
        <v>10014</v>
      </c>
      <c r="H762" s="368" t="str">
        <f t="shared" si="27"/>
        <v>VNDL92</v>
      </c>
      <c r="I762" s="368"/>
      <c r="J762" s="365"/>
      <c r="K762" s="368"/>
      <c r="L762" s="369"/>
      <c r="M762" s="335"/>
      <c r="N762" s="336"/>
    </row>
    <row r="763" spans="1:14" ht="15.75">
      <c r="A763" s="329">
        <v>766</v>
      </c>
      <c r="B763" s="330">
        <v>16</v>
      </c>
      <c r="C763" s="331" t="s">
        <v>10015</v>
      </c>
      <c r="D763" s="331" t="str">
        <f t="shared" si="28"/>
        <v>#TQ53</v>
      </c>
      <c r="E763" s="294" t="s">
        <v>781</v>
      </c>
      <c r="F763" s="367" t="s">
        <v>783</v>
      </c>
      <c r="G763" s="365" t="s">
        <v>10016</v>
      </c>
      <c r="H763" s="368" t="str">
        <f t="shared" si="27"/>
        <v>VNTQ53</v>
      </c>
      <c r="I763" s="368"/>
      <c r="J763" s="365"/>
      <c r="K763" s="368"/>
      <c r="L763" s="369"/>
      <c r="M763" s="335"/>
      <c r="N763" s="336"/>
    </row>
    <row r="764" spans="1:14" ht="15.75">
      <c r="A764" s="329">
        <v>767</v>
      </c>
      <c r="B764" s="330">
        <v>17</v>
      </c>
      <c r="C764" s="331" t="s">
        <v>9995</v>
      </c>
      <c r="D764" s="331" t="str">
        <f t="shared" si="28"/>
        <v>#DL94</v>
      </c>
      <c r="E764" s="294" t="s">
        <v>801</v>
      </c>
      <c r="F764" s="367" t="s">
        <v>10017</v>
      </c>
      <c r="G764" s="365" t="s">
        <v>10018</v>
      </c>
      <c r="H764" s="368" t="str">
        <f t="shared" si="27"/>
        <v>VNDL94</v>
      </c>
      <c r="I764" s="368"/>
      <c r="J764" s="365"/>
      <c r="K764" s="368"/>
      <c r="L764" s="369"/>
      <c r="M764" s="335"/>
      <c r="N764" s="336"/>
    </row>
    <row r="765" spans="1:14" ht="15.75">
      <c r="A765" s="329">
        <v>768</v>
      </c>
      <c r="B765" s="330">
        <v>18</v>
      </c>
      <c r="C765" s="331" t="s">
        <v>9995</v>
      </c>
      <c r="D765" s="331" t="str">
        <f t="shared" si="28"/>
        <v>#</v>
      </c>
      <c r="E765" s="294"/>
      <c r="F765" s="331" t="s">
        <v>10019</v>
      </c>
      <c r="G765" s="365" t="s">
        <v>10020</v>
      </c>
      <c r="H765" s="368" t="str">
        <f t="shared" si="27"/>
        <v>VN</v>
      </c>
      <c r="I765" s="368"/>
      <c r="J765" s="365"/>
      <c r="K765" s="368"/>
      <c r="L765" s="337">
        <v>45237</v>
      </c>
      <c r="M765" s="337">
        <v>45887</v>
      </c>
      <c r="N765" s="336"/>
    </row>
    <row r="766" spans="1:14" ht="15.75">
      <c r="A766" s="329">
        <v>769</v>
      </c>
      <c r="B766" s="330">
        <v>19</v>
      </c>
      <c r="C766" s="331" t="s">
        <v>9995</v>
      </c>
      <c r="D766" s="331" t="str">
        <f t="shared" si="28"/>
        <v>#</v>
      </c>
      <c r="E766" s="294"/>
      <c r="F766" s="331" t="s">
        <v>10021</v>
      </c>
      <c r="G766" s="365" t="s">
        <v>10022</v>
      </c>
      <c r="H766" s="368" t="str">
        <f t="shared" si="27"/>
        <v>VN</v>
      </c>
      <c r="I766" s="368"/>
      <c r="J766" s="365"/>
      <c r="K766" s="368"/>
      <c r="L766" s="337">
        <v>45203</v>
      </c>
      <c r="M766" s="337">
        <v>45887</v>
      </c>
      <c r="N766" s="336"/>
    </row>
    <row r="767" spans="1:14" ht="15.75">
      <c r="A767" s="329">
        <v>770</v>
      </c>
      <c r="B767" s="330">
        <v>20</v>
      </c>
      <c r="C767" s="331" t="s">
        <v>9995</v>
      </c>
      <c r="D767" s="331" t="str">
        <f t="shared" si="28"/>
        <v>#DL126</v>
      </c>
      <c r="E767" s="294" t="s">
        <v>803</v>
      </c>
      <c r="F767" s="331" t="s">
        <v>10023</v>
      </c>
      <c r="G767" s="365" t="s">
        <v>10024</v>
      </c>
      <c r="H767" s="368" t="str">
        <f t="shared" si="27"/>
        <v>VNDL126</v>
      </c>
      <c r="I767" s="368"/>
      <c r="J767" s="365"/>
      <c r="K767" s="368"/>
      <c r="L767" s="369"/>
      <c r="M767" s="335"/>
      <c r="N767" s="336"/>
    </row>
    <row r="768" spans="1:14" ht="15.75">
      <c r="A768" s="329">
        <v>771</v>
      </c>
      <c r="B768" s="330">
        <v>21</v>
      </c>
      <c r="C768" s="331" t="s">
        <v>9995</v>
      </c>
      <c r="D768" s="331" t="str">
        <f t="shared" si="28"/>
        <v>#</v>
      </c>
      <c r="E768" s="294"/>
      <c r="F768" s="331" t="s">
        <v>10025</v>
      </c>
      <c r="G768" s="365" t="s">
        <v>10026</v>
      </c>
      <c r="H768" s="368" t="str">
        <f t="shared" si="27"/>
        <v>VN</v>
      </c>
      <c r="I768" s="368"/>
      <c r="J768" s="365"/>
      <c r="K768" s="368"/>
      <c r="L768" s="337">
        <v>45096</v>
      </c>
      <c r="M768" s="337">
        <v>45887</v>
      </c>
      <c r="N768" s="336"/>
    </row>
    <row r="769" spans="1:14" ht="15.75">
      <c r="A769" s="329">
        <v>772</v>
      </c>
      <c r="B769" s="330">
        <v>22</v>
      </c>
      <c r="C769" s="331" t="s">
        <v>10027</v>
      </c>
      <c r="D769" s="331" t="str">
        <f t="shared" si="28"/>
        <v>#</v>
      </c>
      <c r="E769" s="294"/>
      <c r="F769" s="331" t="s">
        <v>10028</v>
      </c>
      <c r="G769" s="365" t="s">
        <v>10029</v>
      </c>
      <c r="H769" s="368" t="str">
        <f t="shared" si="27"/>
        <v>VN</v>
      </c>
      <c r="I769" s="368"/>
      <c r="J769" s="365"/>
      <c r="K769" s="368"/>
      <c r="L769" s="369"/>
      <c r="M769" s="335"/>
      <c r="N769" s="336"/>
    </row>
    <row r="770" spans="1:14" ht="15.75">
      <c r="A770" s="329">
        <v>773</v>
      </c>
      <c r="B770" s="330">
        <v>23</v>
      </c>
      <c r="C770" s="331" t="s">
        <v>10030</v>
      </c>
      <c r="D770" s="331" t="str">
        <f t="shared" si="28"/>
        <v>#</v>
      </c>
      <c r="E770" s="294"/>
      <c r="F770" s="331" t="s">
        <v>10031</v>
      </c>
      <c r="G770" s="365" t="s">
        <v>10032</v>
      </c>
      <c r="H770" s="368" t="str">
        <f t="shared" si="27"/>
        <v>VN</v>
      </c>
      <c r="I770" s="368"/>
      <c r="J770" s="365"/>
      <c r="K770" s="368"/>
      <c r="L770" s="369"/>
      <c r="M770" s="335"/>
      <c r="N770" s="336"/>
    </row>
    <row r="771" spans="1:14" ht="15.75">
      <c r="A771" s="329">
        <v>774</v>
      </c>
      <c r="B771" s="330">
        <v>24</v>
      </c>
      <c r="C771" s="370" t="s">
        <v>9995</v>
      </c>
      <c r="D771" s="370" t="str">
        <f t="shared" si="28"/>
        <v>#</v>
      </c>
      <c r="E771" s="371"/>
      <c r="F771" s="331" t="s">
        <v>10033</v>
      </c>
      <c r="G771" s="340" t="s">
        <v>10034</v>
      </c>
      <c r="H771" s="340" t="str">
        <f t="shared" si="27"/>
        <v>VN</v>
      </c>
      <c r="I771" s="340"/>
      <c r="J771" s="372"/>
      <c r="K771" s="368"/>
      <c r="L771" s="337">
        <v>44750</v>
      </c>
      <c r="M771" s="337">
        <v>45887</v>
      </c>
      <c r="N771" s="336"/>
    </row>
    <row r="772" spans="1:14" ht="15.75">
      <c r="A772" s="329">
        <v>775</v>
      </c>
      <c r="B772" s="330">
        <v>25</v>
      </c>
      <c r="C772" s="370" t="s">
        <v>9995</v>
      </c>
      <c r="D772" s="370" t="str">
        <f t="shared" si="28"/>
        <v>#DL110</v>
      </c>
      <c r="E772" s="371" t="s">
        <v>722</v>
      </c>
      <c r="F772" s="367" t="s">
        <v>724</v>
      </c>
      <c r="G772" s="340" t="s">
        <v>10035</v>
      </c>
      <c r="H772" s="340" t="str">
        <f t="shared" si="27"/>
        <v>VNDL110</v>
      </c>
      <c r="I772" s="340"/>
      <c r="J772" s="372"/>
      <c r="K772" s="368"/>
      <c r="L772" s="369"/>
      <c r="M772" s="335"/>
      <c r="N772" s="336"/>
    </row>
    <row r="773" spans="1:14" ht="15.75">
      <c r="A773" s="329">
        <v>776</v>
      </c>
      <c r="B773" s="330">
        <v>26</v>
      </c>
      <c r="C773" s="370" t="s">
        <v>9995</v>
      </c>
      <c r="D773" s="370" t="str">
        <f t="shared" si="28"/>
        <v>#</v>
      </c>
      <c r="E773" s="371"/>
      <c r="F773" s="367" t="s">
        <v>720</v>
      </c>
      <c r="G773" s="340" t="s">
        <v>10036</v>
      </c>
      <c r="H773" s="340" t="str">
        <f t="shared" si="27"/>
        <v>VN</v>
      </c>
      <c r="I773" s="340"/>
      <c r="J773" s="372"/>
      <c r="K773" s="368"/>
      <c r="L773" s="337">
        <v>45678</v>
      </c>
      <c r="M773" s="337">
        <v>45887</v>
      </c>
      <c r="N773" s="336"/>
    </row>
    <row r="774" spans="1:14" ht="15.75">
      <c r="A774" s="329">
        <v>777</v>
      </c>
      <c r="B774" s="330">
        <v>27</v>
      </c>
      <c r="C774" s="370" t="s">
        <v>9995</v>
      </c>
      <c r="D774" s="370" t="str">
        <f t="shared" si="28"/>
        <v>#DL113</v>
      </c>
      <c r="E774" s="371" t="s">
        <v>10037</v>
      </c>
      <c r="F774" s="367" t="s">
        <v>10038</v>
      </c>
      <c r="G774" s="340" t="s">
        <v>10039</v>
      </c>
      <c r="H774" s="340" t="str">
        <f t="shared" si="27"/>
        <v>VNDL113</v>
      </c>
      <c r="I774" s="340"/>
      <c r="J774" s="372"/>
      <c r="K774" s="368"/>
      <c r="L774" s="337">
        <v>46027</v>
      </c>
      <c r="M774" s="335"/>
      <c r="N774" s="336"/>
    </row>
    <row r="775" spans="1:14" ht="15.75">
      <c r="A775" s="329">
        <v>778</v>
      </c>
      <c r="B775" s="330">
        <v>28</v>
      </c>
      <c r="C775" s="370" t="s">
        <v>9995</v>
      </c>
      <c r="D775" s="370" t="str">
        <f t="shared" si="28"/>
        <v>#</v>
      </c>
      <c r="E775" s="371"/>
      <c r="F775" s="373" t="s">
        <v>731</v>
      </c>
      <c r="G775" s="340" t="s">
        <v>10040</v>
      </c>
      <c r="H775" s="340" t="str">
        <f t="shared" si="27"/>
        <v>VN</v>
      </c>
      <c r="I775" s="340"/>
      <c r="J775" s="372"/>
      <c r="K775" s="368"/>
      <c r="L775" s="337">
        <v>45172</v>
      </c>
      <c r="M775" s="337">
        <v>45887</v>
      </c>
      <c r="N775" s="336"/>
    </row>
    <row r="776" spans="1:14" ht="15.75">
      <c r="A776" s="329">
        <v>779</v>
      </c>
      <c r="B776" s="330">
        <v>29</v>
      </c>
      <c r="C776" s="370" t="s">
        <v>9995</v>
      </c>
      <c r="D776" s="370" t="str">
        <f t="shared" si="28"/>
        <v>#DL114</v>
      </c>
      <c r="E776" s="371" t="s">
        <v>737</v>
      </c>
      <c r="F776" s="374" t="s">
        <v>739</v>
      </c>
      <c r="G776" s="340" t="s">
        <v>10041</v>
      </c>
      <c r="H776" s="340" t="str">
        <f t="shared" si="27"/>
        <v>VNDL114</v>
      </c>
      <c r="I776" s="340"/>
      <c r="J776" s="372"/>
      <c r="K776" s="368" t="s">
        <v>10042</v>
      </c>
      <c r="L776" s="369"/>
      <c r="M776" s="335"/>
      <c r="N776" s="336"/>
    </row>
    <row r="777" spans="1:14" ht="15.75">
      <c r="A777" s="329">
        <v>780</v>
      </c>
      <c r="B777" s="330">
        <v>30</v>
      </c>
      <c r="C777" s="370" t="s">
        <v>9995</v>
      </c>
      <c r="D777" s="370" t="str">
        <f t="shared" si="28"/>
        <v>#</v>
      </c>
      <c r="E777" s="371"/>
      <c r="F777" s="367" t="s">
        <v>10043</v>
      </c>
      <c r="G777" s="340" t="s">
        <v>10044</v>
      </c>
      <c r="H777" s="340" t="str">
        <f t="shared" si="27"/>
        <v>VN</v>
      </c>
      <c r="I777" s="340"/>
      <c r="J777" s="372"/>
      <c r="K777" s="368" t="s">
        <v>10045</v>
      </c>
      <c r="L777" s="337">
        <v>45141</v>
      </c>
      <c r="M777" s="337">
        <v>45887</v>
      </c>
      <c r="N777" s="336"/>
    </row>
    <row r="778" spans="1:14" ht="15.75">
      <c r="A778" s="329">
        <v>781</v>
      </c>
      <c r="B778" s="330">
        <v>31</v>
      </c>
      <c r="C778" s="370" t="s">
        <v>9995</v>
      </c>
      <c r="D778" s="370" t="str">
        <f t="shared" si="28"/>
        <v>#DL118</v>
      </c>
      <c r="E778" s="371" t="s">
        <v>10046</v>
      </c>
      <c r="F778" s="367" t="s">
        <v>787</v>
      </c>
      <c r="G778" s="340" t="s">
        <v>10047</v>
      </c>
      <c r="H778" s="340" t="str">
        <f t="shared" si="27"/>
        <v>VNDL118</v>
      </c>
      <c r="I778" s="340"/>
      <c r="J778" s="372"/>
      <c r="K778" s="368" t="s">
        <v>10048</v>
      </c>
      <c r="L778" s="369"/>
      <c r="M778" s="335"/>
      <c r="N778" s="336"/>
    </row>
    <row r="779" spans="1:14" ht="15.75">
      <c r="A779" s="329">
        <v>782</v>
      </c>
      <c r="B779" s="330">
        <v>32</v>
      </c>
      <c r="C779" s="370" t="s">
        <v>9995</v>
      </c>
      <c r="D779" s="370" t="str">
        <f t="shared" si="28"/>
        <v>#</v>
      </c>
      <c r="E779" s="371"/>
      <c r="F779" s="331" t="s">
        <v>10049</v>
      </c>
      <c r="G779" s="375" t="s">
        <v>10050</v>
      </c>
      <c r="H779" s="375" t="str">
        <f t="shared" si="27"/>
        <v>VN</v>
      </c>
      <c r="I779" s="375"/>
      <c r="J779" s="376"/>
      <c r="K779" s="368" t="s">
        <v>10051</v>
      </c>
      <c r="L779" s="337">
        <v>45418</v>
      </c>
      <c r="M779" s="337">
        <v>45887</v>
      </c>
      <c r="N779" s="336"/>
    </row>
    <row r="780" spans="1:14" ht="15.75">
      <c r="A780" s="329">
        <v>783</v>
      </c>
      <c r="B780" s="330">
        <v>33</v>
      </c>
      <c r="C780" s="370" t="s">
        <v>9995</v>
      </c>
      <c r="D780" s="370" t="str">
        <f t="shared" si="28"/>
        <v>#</v>
      </c>
      <c r="E780" s="371"/>
      <c r="F780" s="367" t="s">
        <v>742</v>
      </c>
      <c r="G780" s="340" t="s">
        <v>10052</v>
      </c>
      <c r="H780" s="340" t="str">
        <f t="shared" si="27"/>
        <v>VN</v>
      </c>
      <c r="I780" s="340"/>
      <c r="J780" s="372"/>
      <c r="K780" s="368"/>
      <c r="L780" s="337">
        <v>45391</v>
      </c>
      <c r="M780" s="337">
        <v>45887</v>
      </c>
      <c r="N780" s="336"/>
    </row>
    <row r="781" spans="1:14" ht="15.75">
      <c r="A781" s="329">
        <v>784</v>
      </c>
      <c r="B781" s="330">
        <v>34</v>
      </c>
      <c r="C781" s="370" t="s">
        <v>9995</v>
      </c>
      <c r="D781" s="370" t="str">
        <f t="shared" si="28"/>
        <v>#DL122</v>
      </c>
      <c r="E781" s="371" t="s">
        <v>733</v>
      </c>
      <c r="F781" s="331" t="s">
        <v>735</v>
      </c>
      <c r="G781" s="340" t="s">
        <v>10053</v>
      </c>
      <c r="H781" s="340" t="str">
        <f t="shared" si="27"/>
        <v>VNDL122</v>
      </c>
      <c r="I781" s="340"/>
      <c r="J781" s="372"/>
      <c r="K781" s="368" t="s">
        <v>10054</v>
      </c>
      <c r="L781" s="369"/>
      <c r="M781" s="335"/>
      <c r="N781" s="336"/>
    </row>
    <row r="782" spans="1:14" ht="15.75">
      <c r="A782" s="329">
        <v>785</v>
      </c>
      <c r="B782" s="330">
        <v>35</v>
      </c>
      <c r="C782" s="370" t="s">
        <v>9995</v>
      </c>
      <c r="D782" s="370" t="str">
        <f t="shared" si="28"/>
        <v>#DL124</v>
      </c>
      <c r="E782" s="371" t="s">
        <v>793</v>
      </c>
      <c r="F782" s="374" t="s">
        <v>795</v>
      </c>
      <c r="G782" s="340" t="s">
        <v>793</v>
      </c>
      <c r="H782" s="340" t="str">
        <f t="shared" ref="H782:H797" si="29">CONCATENATE("VN",E782)</f>
        <v>VNDL124</v>
      </c>
      <c r="I782" s="340"/>
      <c r="J782" s="372"/>
      <c r="K782" s="368">
        <v>45250</v>
      </c>
      <c r="L782" s="369"/>
      <c r="M782" s="335"/>
      <c r="N782" s="336"/>
    </row>
    <row r="783" spans="1:14" ht="15.75">
      <c r="A783" s="329">
        <v>786</v>
      </c>
      <c r="B783" s="330">
        <v>36</v>
      </c>
      <c r="C783" s="370" t="s">
        <v>9995</v>
      </c>
      <c r="D783" s="370" t="str">
        <f t="shared" si="28"/>
        <v>#DL125</v>
      </c>
      <c r="E783" s="371" t="s">
        <v>806</v>
      </c>
      <c r="F783" s="374" t="s">
        <v>808</v>
      </c>
      <c r="G783" s="340" t="s">
        <v>10055</v>
      </c>
      <c r="H783" s="340" t="str">
        <f t="shared" si="29"/>
        <v>VNDL125</v>
      </c>
      <c r="I783" s="340"/>
      <c r="J783" s="372"/>
      <c r="K783" s="368" t="s">
        <v>10056</v>
      </c>
      <c r="L783" s="369"/>
      <c r="M783" s="335"/>
      <c r="N783" s="336"/>
    </row>
    <row r="784" spans="1:14" ht="15.75">
      <c r="A784" s="329">
        <v>787</v>
      </c>
      <c r="B784" s="330">
        <v>37</v>
      </c>
      <c r="C784" s="370" t="s">
        <v>9995</v>
      </c>
      <c r="D784" s="370" t="str">
        <f t="shared" si="28"/>
        <v>#DL128</v>
      </c>
      <c r="E784" s="371" t="s">
        <v>10057</v>
      </c>
      <c r="F784" s="374" t="s">
        <v>10058</v>
      </c>
      <c r="G784" s="340" t="s">
        <v>10059</v>
      </c>
      <c r="H784" s="340" t="str">
        <f t="shared" si="29"/>
        <v>VNDL128</v>
      </c>
      <c r="I784" s="340"/>
      <c r="J784" s="372"/>
      <c r="K784" s="368" t="s">
        <v>10060</v>
      </c>
      <c r="L784" s="337">
        <v>46027</v>
      </c>
      <c r="M784" s="335"/>
      <c r="N784" s="336"/>
    </row>
    <row r="785" spans="1:14" ht="15.75">
      <c r="A785" s="329">
        <v>788</v>
      </c>
      <c r="B785" s="330">
        <v>38</v>
      </c>
      <c r="C785" s="370" t="s">
        <v>9995</v>
      </c>
      <c r="D785" s="370" t="str">
        <f t="shared" si="28"/>
        <v>#DL130</v>
      </c>
      <c r="E785" s="371" t="s">
        <v>10061</v>
      </c>
      <c r="F785" s="374" t="s">
        <v>10062</v>
      </c>
      <c r="G785" s="340" t="s">
        <v>10063</v>
      </c>
      <c r="H785" s="340" t="str">
        <f t="shared" si="29"/>
        <v>VNDL130</v>
      </c>
      <c r="I785" s="340"/>
      <c r="J785" s="372"/>
      <c r="K785" s="368" t="s">
        <v>10064</v>
      </c>
      <c r="L785" s="369"/>
      <c r="M785" s="335"/>
      <c r="N785" s="336"/>
    </row>
    <row r="786" spans="1:14" ht="15.75">
      <c r="A786" s="329">
        <v>789</v>
      </c>
      <c r="B786" s="330">
        <v>39</v>
      </c>
      <c r="C786" s="370" t="s">
        <v>9995</v>
      </c>
      <c r="D786" s="370" t="str">
        <f t="shared" si="28"/>
        <v>#</v>
      </c>
      <c r="E786" s="371"/>
      <c r="F786" s="367" t="s">
        <v>727</v>
      </c>
      <c r="G786" s="338" t="s">
        <v>10065</v>
      </c>
      <c r="H786" s="338" t="str">
        <f t="shared" si="29"/>
        <v>VN</v>
      </c>
      <c r="I786" s="338"/>
      <c r="J786" s="339"/>
      <c r="K786" s="368"/>
      <c r="L786" s="337">
        <v>45457</v>
      </c>
      <c r="M786" s="337">
        <v>45887</v>
      </c>
      <c r="N786" s="336"/>
    </row>
    <row r="787" spans="1:14" ht="15.75">
      <c r="A787" s="329">
        <v>790</v>
      </c>
      <c r="B787" s="330">
        <v>40</v>
      </c>
      <c r="C787" s="370" t="s">
        <v>9995</v>
      </c>
      <c r="D787" s="370" t="str">
        <f t="shared" si="28"/>
        <v>#DL133</v>
      </c>
      <c r="E787" s="371" t="s">
        <v>10066</v>
      </c>
      <c r="F787" s="374" t="s">
        <v>10067</v>
      </c>
      <c r="G787" s="364" t="s">
        <v>10068</v>
      </c>
      <c r="H787" s="364" t="str">
        <f t="shared" si="29"/>
        <v>VNDL133</v>
      </c>
      <c r="I787" s="364"/>
      <c r="J787" s="365"/>
      <c r="K787" s="368">
        <v>45810</v>
      </c>
      <c r="L787" s="368"/>
      <c r="M787" s="335"/>
      <c r="N787" s="336"/>
    </row>
    <row r="788" spans="1:14" ht="15.75">
      <c r="A788" s="329">
        <v>791</v>
      </c>
      <c r="B788" s="330">
        <v>41</v>
      </c>
      <c r="C788" s="370" t="s">
        <v>9995</v>
      </c>
      <c r="D788" s="370" t="str">
        <f t="shared" si="28"/>
        <v>#DL134</v>
      </c>
      <c r="E788" s="371" t="s">
        <v>10069</v>
      </c>
      <c r="F788" s="374" t="s">
        <v>10070</v>
      </c>
      <c r="G788" s="364" t="s">
        <v>10069</v>
      </c>
      <c r="H788" s="364" t="str">
        <f t="shared" si="29"/>
        <v>VNDL134</v>
      </c>
      <c r="I788" s="364"/>
      <c r="J788" s="365"/>
      <c r="K788" s="368">
        <v>45826</v>
      </c>
      <c r="L788" s="368"/>
      <c r="M788" s="335"/>
      <c r="N788" s="336"/>
    </row>
    <row r="789" spans="1:14" ht="15.75">
      <c r="A789" s="329">
        <v>792</v>
      </c>
      <c r="B789" s="330">
        <v>42</v>
      </c>
      <c r="C789" s="370" t="s">
        <v>9995</v>
      </c>
      <c r="D789" s="370" t="str">
        <f t="shared" si="28"/>
        <v>#DL135</v>
      </c>
      <c r="E789" s="371" t="s">
        <v>10071</v>
      </c>
      <c r="F789" s="374" t="s">
        <v>10072</v>
      </c>
      <c r="G789" s="364" t="s">
        <v>10071</v>
      </c>
      <c r="H789" s="364" t="str">
        <f t="shared" si="29"/>
        <v>VNDL135</v>
      </c>
      <c r="I789" s="364"/>
      <c r="J789" s="365"/>
      <c r="K789" s="368">
        <v>45828</v>
      </c>
      <c r="L789" s="368"/>
      <c r="M789" s="335"/>
      <c r="N789" s="336"/>
    </row>
    <row r="790" spans="1:14" ht="15.75">
      <c r="A790" s="329">
        <v>793</v>
      </c>
      <c r="B790" s="330">
        <v>43</v>
      </c>
      <c r="C790" s="370" t="s">
        <v>9995</v>
      </c>
      <c r="D790" s="370" t="str">
        <f t="shared" si="28"/>
        <v>#DL131</v>
      </c>
      <c r="E790" s="371" t="s">
        <v>10073</v>
      </c>
      <c r="F790" s="374" t="s">
        <v>10074</v>
      </c>
      <c r="G790" s="364" t="s">
        <v>10073</v>
      </c>
      <c r="H790" s="364" t="str">
        <f t="shared" si="29"/>
        <v>VNDL131</v>
      </c>
      <c r="I790" s="364"/>
      <c r="J790" s="365"/>
      <c r="K790" s="368">
        <v>45856</v>
      </c>
      <c r="L790" s="368"/>
      <c r="M790" s="335"/>
      <c r="N790" s="336"/>
    </row>
    <row r="791" spans="1:14" ht="15.75">
      <c r="A791" s="329">
        <v>794</v>
      </c>
      <c r="B791" s="330">
        <v>44</v>
      </c>
      <c r="C791" s="370" t="s">
        <v>9995</v>
      </c>
      <c r="D791" s="370" t="str">
        <f t="shared" si="28"/>
        <v>#DL127</v>
      </c>
      <c r="E791" s="371" t="s">
        <v>10075</v>
      </c>
      <c r="F791" s="374" t="s">
        <v>10076</v>
      </c>
      <c r="G791" s="331" t="s">
        <v>10077</v>
      </c>
      <c r="H791" s="331" t="str">
        <f t="shared" si="29"/>
        <v>VNDL127</v>
      </c>
      <c r="I791" s="331"/>
      <c r="J791" s="333"/>
      <c r="K791" s="334"/>
      <c r="L791" s="335"/>
      <c r="M791" s="335"/>
      <c r="N791" s="336"/>
    </row>
    <row r="792" spans="1:14" ht="15.75">
      <c r="A792" s="329">
        <v>795</v>
      </c>
      <c r="B792" s="330">
        <v>45</v>
      </c>
      <c r="C792" s="370" t="s">
        <v>9995</v>
      </c>
      <c r="D792" s="370" t="str">
        <f t="shared" si="28"/>
        <v>#DL125</v>
      </c>
      <c r="E792" s="371" t="s">
        <v>806</v>
      </c>
      <c r="F792" s="374" t="s">
        <v>808</v>
      </c>
      <c r="G792" s="331" t="s">
        <v>806</v>
      </c>
      <c r="H792" s="331" t="str">
        <f t="shared" si="29"/>
        <v>VNDL125</v>
      </c>
      <c r="I792" s="331"/>
      <c r="J792" s="333"/>
      <c r="K792" s="334"/>
      <c r="L792" s="335"/>
      <c r="M792" s="335"/>
      <c r="N792" s="336"/>
    </row>
    <row r="793" spans="1:14" ht="15.75">
      <c r="A793" s="329">
        <v>796</v>
      </c>
      <c r="B793" s="330">
        <v>46</v>
      </c>
      <c r="C793" s="370" t="s">
        <v>10015</v>
      </c>
      <c r="D793" s="370" t="str">
        <f t="shared" si="28"/>
        <v>#DL132</v>
      </c>
      <c r="E793" s="371" t="s">
        <v>10078</v>
      </c>
      <c r="F793" s="374" t="s">
        <v>10079</v>
      </c>
      <c r="G793" s="331" t="s">
        <v>10078</v>
      </c>
      <c r="H793" s="331" t="str">
        <f t="shared" si="29"/>
        <v>VNDL132</v>
      </c>
      <c r="I793" s="331"/>
      <c r="J793" s="333"/>
      <c r="K793" s="334"/>
      <c r="L793" s="335"/>
      <c r="M793" s="335"/>
      <c r="N793" s="336"/>
    </row>
    <row r="794" spans="1:14" ht="15.75">
      <c r="A794" s="329">
        <v>797</v>
      </c>
      <c r="B794" s="330">
        <v>47</v>
      </c>
      <c r="C794" s="370" t="s">
        <v>9995</v>
      </c>
      <c r="D794" s="370" t="str">
        <f t="shared" si="28"/>
        <v>#</v>
      </c>
      <c r="E794" s="371"/>
      <c r="F794" s="331" t="s">
        <v>10080</v>
      </c>
      <c r="G794" s="331" t="s">
        <v>10081</v>
      </c>
      <c r="H794" s="331" t="str">
        <f t="shared" si="29"/>
        <v>VN</v>
      </c>
      <c r="I794" s="331"/>
      <c r="J794" s="333"/>
      <c r="K794" s="334"/>
      <c r="L794" s="335"/>
      <c r="M794" s="335"/>
      <c r="N794" s="336"/>
    </row>
    <row r="795" spans="1:14" ht="15.75">
      <c r="A795" s="329">
        <v>798</v>
      </c>
      <c r="B795" s="330">
        <v>48</v>
      </c>
      <c r="C795" s="370" t="s">
        <v>9995</v>
      </c>
      <c r="D795" s="370" t="str">
        <f t="shared" si="28"/>
        <v>#</v>
      </c>
      <c r="E795" s="371"/>
      <c r="F795" s="367" t="s">
        <v>10082</v>
      </c>
      <c r="G795" s="331" t="s">
        <v>10083</v>
      </c>
      <c r="H795" s="331" t="str">
        <f t="shared" si="29"/>
        <v>VN</v>
      </c>
      <c r="I795" s="331"/>
      <c r="J795" s="333"/>
      <c r="K795" s="334"/>
      <c r="L795" s="337">
        <v>45748</v>
      </c>
      <c r="M795" s="337">
        <v>45887</v>
      </c>
      <c r="N795" s="336"/>
    </row>
    <row r="796" spans="1:14" ht="15.75">
      <c r="A796" s="329">
        <v>799</v>
      </c>
      <c r="B796" s="377">
        <v>49</v>
      </c>
      <c r="C796" s="378" t="s">
        <v>9995</v>
      </c>
      <c r="D796" s="378" t="str">
        <f t="shared" si="28"/>
        <v>#</v>
      </c>
      <c r="E796" s="379"/>
      <c r="F796" s="380" t="s">
        <v>10084</v>
      </c>
      <c r="G796" s="293" t="s">
        <v>10085</v>
      </c>
      <c r="H796" s="293" t="str">
        <f t="shared" si="29"/>
        <v>VN</v>
      </c>
      <c r="I796" s="293"/>
      <c r="J796" s="381"/>
      <c r="K796" s="350"/>
      <c r="L796" s="337"/>
      <c r="M796" s="348"/>
      <c r="N796" s="336"/>
    </row>
    <row r="797" spans="1:14" ht="15.75">
      <c r="A797" s="329">
        <v>800</v>
      </c>
      <c r="B797" s="330">
        <v>50</v>
      </c>
      <c r="C797" s="378" t="s">
        <v>9995</v>
      </c>
      <c r="D797" s="378" t="str">
        <f t="shared" si="28"/>
        <v>#DL136</v>
      </c>
      <c r="E797" s="379" t="s">
        <v>10086</v>
      </c>
      <c r="F797" s="380" t="s">
        <v>10087</v>
      </c>
      <c r="G797" s="293" t="s">
        <v>10086</v>
      </c>
      <c r="H797" s="293" t="str">
        <f t="shared" si="29"/>
        <v>VNDL136</v>
      </c>
      <c r="I797" s="293"/>
      <c r="J797" s="381" t="s">
        <v>10088</v>
      </c>
      <c r="K797" s="350">
        <v>45889</v>
      </c>
      <c r="L797" s="347"/>
      <c r="M797" s="348"/>
      <c r="N797" s="336"/>
    </row>
  </sheetData>
  <mergeCells count="1">
    <mergeCell ref="A1:M1"/>
  </mergeCells>
  <conditionalFormatting sqref="G266:H266">
    <cfRule type="duplicateValues" dxfId="41" priority="4"/>
  </conditionalFormatting>
  <conditionalFormatting sqref="G267:H267">
    <cfRule type="duplicateValues" dxfId="40" priority="5"/>
  </conditionalFormatting>
  <conditionalFormatting sqref="G397:H397">
    <cfRule type="duplicateValues" dxfId="39" priority="6"/>
  </conditionalFormatting>
  <conditionalFormatting sqref="G559:H568">
    <cfRule type="duplicateValues" dxfId="38" priority="7"/>
  </conditionalFormatting>
  <conditionalFormatting sqref="G573:H573">
    <cfRule type="duplicateValues" dxfId="37" priority="8"/>
  </conditionalFormatting>
  <conditionalFormatting sqref="G623:H623">
    <cfRule type="duplicateValues" dxfId="36" priority="9"/>
  </conditionalFormatting>
  <conditionalFormatting sqref="G624:H624">
    <cfRule type="duplicateValues" dxfId="35" priority="10"/>
  </conditionalFormatting>
  <conditionalFormatting sqref="G630:H630">
    <cfRule type="duplicateValues" dxfId="34" priority="11"/>
  </conditionalFormatting>
  <conditionalFormatting sqref="G632:H632">
    <cfRule type="duplicateValues" dxfId="33" priority="12"/>
  </conditionalFormatting>
  <conditionalFormatting sqref="G691:H691">
    <cfRule type="duplicateValues" dxfId="32" priority="13"/>
  </conditionalFormatting>
  <conditionalFormatting sqref="G693:H693">
    <cfRule type="duplicateValues" dxfId="31" priority="14"/>
  </conditionalFormatting>
  <conditionalFormatting sqref="G699:H699">
    <cfRule type="duplicateValues" dxfId="30" priority="15"/>
  </conditionalFormatting>
  <conditionalFormatting sqref="G716:H716">
    <cfRule type="duplicateValues" dxfId="29" priority="16"/>
  </conditionalFormatting>
  <conditionalFormatting sqref="G741:H741">
    <cfRule type="duplicateValues" dxfId="28" priority="17"/>
  </conditionalFormatting>
  <conditionalFormatting sqref="G742:H742">
    <cfRule type="duplicateValues" dxfId="27" priority="18"/>
  </conditionalFormatting>
  <conditionalFormatting sqref="G797:H797">
    <cfRule type="duplicateValues" dxfId="26" priority="19"/>
  </conditionalFormatting>
  <conditionalFormatting sqref="G798:H1048576 G2:H265 G574:H622 G743:H796 G692:H692 G398:H558 G700:H715 G268:H396 G717:H740 G694:H698 G633:H690 G569:H572 G625:H629">
    <cfRule type="duplicateValues" dxfId="25" priority="20"/>
  </conditionalFormatting>
  <conditionalFormatting sqref="G631:H631">
    <cfRule type="duplicateValues" dxfId="24" priority="21"/>
  </conditionalFormatting>
  <conditionalFormatting sqref="E726">
    <cfRule type="duplicateValues" dxfId="23" priority="3"/>
  </conditionalFormatting>
  <conditionalFormatting sqref="E727">
    <cfRule type="duplicateValues" dxfId="22" priority="2"/>
  </conditionalFormatting>
  <conditionalFormatting sqref="E729">
    <cfRule type="duplicateValues" dxfId="21" priority="1"/>
  </conditionalFormatting>
  <hyperlinks>
    <hyperlink ref="J266" r:id="rId1" xr:uid="{1BFBDCBC-DBFC-462A-8F2C-9270D4F98974}"/>
    <hyperlink ref="J728" r:id="rId2" xr:uid="{BEAE8577-F774-4ED3-B06F-CF1AE231822E}"/>
    <hyperlink ref="J741" r:id="rId3" xr:uid="{46A54ADF-4B82-4E7F-BC47-E44FBE21E9F3}"/>
    <hyperlink ref="J630" r:id="rId4" xr:uid="{ADA0E79D-6DE2-43AE-AC0E-B7AEC0567D42}"/>
    <hyperlink ref="J624" r:id="rId5" xr:uid="{01AF671A-F8EB-4D17-9C15-EE2112A4D8C1}"/>
    <hyperlink ref="J583" r:id="rId6" xr:uid="{54CA536E-6197-4096-8BB7-B1C0A1F2CAE5}"/>
    <hyperlink ref="J336" r:id="rId7" xr:uid="{A8990853-2E41-4B1B-A218-26CD81EF8550}"/>
  </hyperlinks>
  <pageMargins left="0.7" right="0.7" top="0.75" bottom="0.75" header="0.3" footer="0.3"/>
  <legacyDrawing r:id="rId8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5"/>
  <sheetViews>
    <sheetView workbookViewId="0">
      <selection activeCell="F25" sqref="F25"/>
    </sheetView>
  </sheetViews>
  <sheetFormatPr defaultColWidth="9" defaultRowHeight="15"/>
  <sheetData>
    <row r="5" spans="2:2">
      <c r="B5" s="38" t="s">
        <v>694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4"/>
  <sheetViews>
    <sheetView zoomScale="80" zoomScaleNormal="80" workbookViewId="0">
      <pane ySplit="1" topLeftCell="A9" activePane="bottomLeft" state="frozen"/>
      <selection pane="bottomLeft" activeCell="F2" sqref="F2:G34"/>
    </sheetView>
  </sheetViews>
  <sheetFormatPr defaultColWidth="9" defaultRowHeight="15"/>
  <cols>
    <col min="1" max="1" width="11.7109375" customWidth="1"/>
    <col min="2" max="2" width="28.85546875" style="1" customWidth="1"/>
    <col min="3" max="3" width="24.28515625" style="2" customWidth="1"/>
    <col min="4" max="5" width="29" style="2" hidden="1" customWidth="1"/>
    <col min="6" max="6" width="19.140625" customWidth="1"/>
    <col min="7" max="7" width="19.28515625" customWidth="1"/>
    <col min="8" max="8" width="19" customWidth="1"/>
    <col min="9" max="9" width="15.28515625" customWidth="1"/>
  </cols>
  <sheetData>
    <row r="1" spans="1:9" ht="31.5">
      <c r="A1" s="3" t="s">
        <v>58</v>
      </c>
      <c r="B1" s="4" t="s">
        <v>60</v>
      </c>
      <c r="C1" s="4" t="s">
        <v>61</v>
      </c>
      <c r="D1" s="5" t="s">
        <v>695</v>
      </c>
      <c r="E1" s="5" t="s">
        <v>696</v>
      </c>
      <c r="F1" s="6" t="s">
        <v>62</v>
      </c>
      <c r="G1" s="6" t="s">
        <v>63</v>
      </c>
      <c r="H1" s="7" t="s">
        <v>64</v>
      </c>
      <c r="I1" s="6" t="s">
        <v>697</v>
      </c>
    </row>
    <row r="2" spans="1:9" ht="18.600000000000001" customHeight="1">
      <c r="A2" s="8">
        <v>1</v>
      </c>
      <c r="B2" s="9" t="s">
        <v>698</v>
      </c>
      <c r="C2" s="9" t="s">
        <v>699</v>
      </c>
      <c r="D2" s="10" t="s">
        <v>700</v>
      </c>
      <c r="E2" s="11" t="s">
        <v>701</v>
      </c>
      <c r="F2" s="12" t="str">
        <f>C2</f>
        <v>DL01</v>
      </c>
      <c r="G2" s="13" t="s">
        <v>67</v>
      </c>
      <c r="H2" s="14"/>
      <c r="I2" s="14"/>
    </row>
    <row r="3" spans="1:9" ht="18.600000000000001" customHeight="1">
      <c r="A3" s="15">
        <v>2</v>
      </c>
      <c r="B3" s="16" t="s">
        <v>702</v>
      </c>
      <c r="C3" s="16" t="s">
        <v>174</v>
      </c>
      <c r="D3" s="17" t="s">
        <v>703</v>
      </c>
      <c r="E3" s="18" t="s">
        <v>704</v>
      </c>
      <c r="F3" s="12" t="str">
        <f t="shared" ref="F3:F34" si="0">C3</f>
        <v>DL02</v>
      </c>
      <c r="G3" s="13" t="s">
        <v>67</v>
      </c>
      <c r="H3" s="19"/>
      <c r="I3" s="19"/>
    </row>
    <row r="4" spans="1:9" ht="18.600000000000001" customHeight="1">
      <c r="A4" s="15">
        <v>3</v>
      </c>
      <c r="B4" s="20" t="s">
        <v>705</v>
      </c>
      <c r="C4" s="20" t="s">
        <v>706</v>
      </c>
      <c r="D4" s="21" t="s">
        <v>707</v>
      </c>
      <c r="E4" s="22" t="s">
        <v>708</v>
      </c>
      <c r="F4" s="12" t="str">
        <f t="shared" si="0"/>
        <v>DL05</v>
      </c>
      <c r="G4" s="13" t="s">
        <v>67</v>
      </c>
      <c r="H4" s="19"/>
      <c r="I4" s="19"/>
    </row>
    <row r="5" spans="1:9" ht="18.600000000000001" customHeight="1">
      <c r="A5" s="15">
        <v>4</v>
      </c>
      <c r="B5" s="16" t="s">
        <v>709</v>
      </c>
      <c r="C5" s="16" t="s">
        <v>710</v>
      </c>
      <c r="D5" s="17" t="s">
        <v>711</v>
      </c>
      <c r="E5" s="18" t="s">
        <v>712</v>
      </c>
      <c r="F5" s="12" t="str">
        <f t="shared" si="0"/>
        <v>DL06</v>
      </c>
      <c r="G5" s="13" t="s">
        <v>67</v>
      </c>
      <c r="H5" s="19"/>
      <c r="I5" s="19"/>
    </row>
    <row r="6" spans="1:9" ht="18.600000000000001" customHeight="1">
      <c r="A6" s="15">
        <v>5</v>
      </c>
      <c r="B6" s="20" t="s">
        <v>713</v>
      </c>
      <c r="C6" s="20" t="s">
        <v>714</v>
      </c>
      <c r="D6" s="21" t="s">
        <v>715</v>
      </c>
      <c r="E6" s="22" t="s">
        <v>716</v>
      </c>
      <c r="F6" s="12" t="str">
        <f t="shared" si="0"/>
        <v>DL10</v>
      </c>
      <c r="G6" s="13" t="s">
        <v>67</v>
      </c>
      <c r="H6" s="19"/>
      <c r="I6" s="19"/>
    </row>
    <row r="7" spans="1:9" ht="18.600000000000001" customHeight="1">
      <c r="A7" s="15">
        <v>6</v>
      </c>
      <c r="B7" s="16" t="s">
        <v>717</v>
      </c>
      <c r="C7" s="16" t="s">
        <v>718</v>
      </c>
      <c r="D7" s="17" t="s">
        <v>719</v>
      </c>
      <c r="E7" s="23" t="s">
        <v>720</v>
      </c>
      <c r="F7" s="12" t="str">
        <f t="shared" si="0"/>
        <v>DL109</v>
      </c>
      <c r="G7" s="13" t="s">
        <v>67</v>
      </c>
      <c r="H7" s="19"/>
      <c r="I7" s="19"/>
    </row>
    <row r="8" spans="1:9" ht="18.600000000000001" customHeight="1">
      <c r="A8" s="15">
        <v>7</v>
      </c>
      <c r="B8" s="20" t="s">
        <v>721</v>
      </c>
      <c r="C8" s="20" t="s">
        <v>722</v>
      </c>
      <c r="D8" s="21" t="s">
        <v>723</v>
      </c>
      <c r="E8" s="22" t="s">
        <v>724</v>
      </c>
      <c r="F8" s="12" t="str">
        <f t="shared" si="0"/>
        <v>DL110</v>
      </c>
      <c r="G8" s="13" t="s">
        <v>67</v>
      </c>
      <c r="H8" s="19"/>
      <c r="I8" s="19"/>
    </row>
    <row r="9" spans="1:9" ht="18.600000000000001" customHeight="1">
      <c r="A9" s="15">
        <v>8</v>
      </c>
      <c r="B9" s="16" t="s">
        <v>709</v>
      </c>
      <c r="C9" s="16" t="s">
        <v>725</v>
      </c>
      <c r="D9" s="17" t="s">
        <v>726</v>
      </c>
      <c r="E9" s="18" t="s">
        <v>727</v>
      </c>
      <c r="F9" s="12" t="str">
        <f t="shared" si="0"/>
        <v>DL111</v>
      </c>
      <c r="G9" s="13" t="s">
        <v>67</v>
      </c>
      <c r="H9" s="19"/>
      <c r="I9" s="19"/>
    </row>
    <row r="10" spans="1:9" ht="18.600000000000001" customHeight="1">
      <c r="A10" s="15">
        <v>9</v>
      </c>
      <c r="B10" s="20" t="s">
        <v>728</v>
      </c>
      <c r="C10" s="20" t="s">
        <v>729</v>
      </c>
      <c r="D10" s="21" t="s">
        <v>730</v>
      </c>
      <c r="E10" s="22" t="s">
        <v>731</v>
      </c>
      <c r="F10" s="12" t="str">
        <f t="shared" si="0"/>
        <v>DL112</v>
      </c>
      <c r="G10" s="13" t="s">
        <v>67</v>
      </c>
      <c r="H10" s="19"/>
      <c r="I10" s="19"/>
    </row>
    <row r="11" spans="1:9" ht="18.600000000000001" customHeight="1">
      <c r="A11" s="15">
        <v>10</v>
      </c>
      <c r="B11" s="24" t="s">
        <v>732</v>
      </c>
      <c r="C11" s="16" t="s">
        <v>733</v>
      </c>
      <c r="D11" s="25" t="s">
        <v>734</v>
      </c>
      <c r="E11" s="23" t="s">
        <v>735</v>
      </c>
      <c r="F11" s="12" t="str">
        <f t="shared" si="0"/>
        <v>DL122</v>
      </c>
      <c r="G11" s="13" t="s">
        <v>67</v>
      </c>
      <c r="H11" s="19"/>
      <c r="I11" s="19"/>
    </row>
    <row r="12" spans="1:9" ht="18.600000000000001" customHeight="1">
      <c r="A12" s="15">
        <v>11</v>
      </c>
      <c r="B12" s="20" t="s">
        <v>736</v>
      </c>
      <c r="C12" s="20" t="s">
        <v>737</v>
      </c>
      <c r="D12" s="21" t="s">
        <v>738</v>
      </c>
      <c r="E12" s="26" t="s">
        <v>739</v>
      </c>
      <c r="F12" s="12" t="str">
        <f t="shared" si="0"/>
        <v>DL114</v>
      </c>
      <c r="G12" s="13" t="s">
        <v>67</v>
      </c>
      <c r="H12" s="19"/>
      <c r="I12" s="19"/>
    </row>
    <row r="13" spans="1:9" ht="18.600000000000001" customHeight="1">
      <c r="A13" s="15">
        <v>12</v>
      </c>
      <c r="B13" s="16" t="s">
        <v>709</v>
      </c>
      <c r="C13" s="16" t="s">
        <v>740</v>
      </c>
      <c r="D13" s="17" t="s">
        <v>741</v>
      </c>
      <c r="E13" s="23" t="s">
        <v>742</v>
      </c>
      <c r="F13" s="12" t="str">
        <f t="shared" si="0"/>
        <v>DL120</v>
      </c>
      <c r="G13" s="13" t="s">
        <v>67</v>
      </c>
      <c r="H13" s="19"/>
      <c r="I13" s="19"/>
    </row>
    <row r="14" spans="1:9" ht="18.600000000000001" customHeight="1">
      <c r="A14" s="15">
        <v>13</v>
      </c>
      <c r="B14" s="20" t="s">
        <v>743</v>
      </c>
      <c r="C14" s="20" t="s">
        <v>733</v>
      </c>
      <c r="D14" s="27" t="s">
        <v>734</v>
      </c>
      <c r="E14" s="26" t="s">
        <v>735</v>
      </c>
      <c r="F14" s="12" t="str">
        <f t="shared" si="0"/>
        <v>DL122</v>
      </c>
      <c r="G14" s="13" t="s">
        <v>67</v>
      </c>
      <c r="H14" s="19"/>
      <c r="I14" s="19"/>
    </row>
    <row r="15" spans="1:9" ht="18.600000000000001" customHeight="1">
      <c r="A15" s="15">
        <v>14</v>
      </c>
      <c r="B15" s="16" t="s">
        <v>744</v>
      </c>
      <c r="C15" s="16" t="s">
        <v>745</v>
      </c>
      <c r="D15" s="17" t="s">
        <v>746</v>
      </c>
      <c r="E15" s="18" t="s">
        <v>747</v>
      </c>
      <c r="F15" s="12" t="str">
        <f t="shared" si="0"/>
        <v>DL13</v>
      </c>
      <c r="G15" s="13" t="s">
        <v>67</v>
      </c>
      <c r="H15" s="19"/>
      <c r="I15" s="19"/>
    </row>
    <row r="16" spans="1:9" ht="18.600000000000001" customHeight="1">
      <c r="A16" s="15">
        <v>17</v>
      </c>
      <c r="B16" s="20" t="s">
        <v>748</v>
      </c>
      <c r="C16" s="20" t="s">
        <v>749</v>
      </c>
      <c r="D16" s="21" t="s">
        <v>750</v>
      </c>
      <c r="E16" s="22" t="s">
        <v>751</v>
      </c>
      <c r="F16" s="12" t="str">
        <f t="shared" si="0"/>
        <v>DL19</v>
      </c>
      <c r="G16" s="13" t="s">
        <v>67</v>
      </c>
      <c r="H16" s="19"/>
      <c r="I16" s="19"/>
    </row>
    <row r="17" spans="1:9" ht="18.600000000000001" customHeight="1">
      <c r="A17" s="15">
        <v>20</v>
      </c>
      <c r="B17" s="24" t="s">
        <v>752</v>
      </c>
      <c r="C17" s="16" t="s">
        <v>753</v>
      </c>
      <c r="D17" s="17" t="s">
        <v>754</v>
      </c>
      <c r="E17" s="18" t="s">
        <v>755</v>
      </c>
      <c r="F17" s="12" t="str">
        <f t="shared" si="0"/>
        <v>DL57</v>
      </c>
      <c r="G17" s="13" t="s">
        <v>67</v>
      </c>
      <c r="H17" s="19"/>
      <c r="I17" s="19"/>
    </row>
    <row r="18" spans="1:9" ht="18.600000000000001" customHeight="1">
      <c r="A18" s="15">
        <v>23</v>
      </c>
      <c r="B18" s="20" t="s">
        <v>728</v>
      </c>
      <c r="C18" s="20" t="s">
        <v>756</v>
      </c>
      <c r="D18" s="21" t="s">
        <v>757</v>
      </c>
      <c r="E18" s="22" t="s">
        <v>758</v>
      </c>
      <c r="F18" s="12" t="str">
        <f t="shared" si="0"/>
        <v>DL70</v>
      </c>
      <c r="G18" s="13" t="s">
        <v>67</v>
      </c>
      <c r="H18" s="19"/>
      <c r="I18" s="19"/>
    </row>
    <row r="19" spans="1:9" ht="18.600000000000001" customHeight="1">
      <c r="A19" s="15">
        <v>24</v>
      </c>
      <c r="B19" s="16" t="s">
        <v>759</v>
      </c>
      <c r="C19" s="16" t="s">
        <v>760</v>
      </c>
      <c r="D19" s="17" t="s">
        <v>761</v>
      </c>
      <c r="E19" s="18" t="s">
        <v>762</v>
      </c>
      <c r="F19" s="12" t="str">
        <f t="shared" si="0"/>
        <v>DL71</v>
      </c>
      <c r="G19" s="13" t="s">
        <v>67</v>
      </c>
      <c r="H19" s="19"/>
      <c r="I19" s="19"/>
    </row>
    <row r="20" spans="1:9" ht="18.600000000000001" customHeight="1">
      <c r="A20" s="15">
        <v>25</v>
      </c>
      <c r="B20" s="28" t="s">
        <v>728</v>
      </c>
      <c r="C20" s="20" t="s">
        <v>763</v>
      </c>
      <c r="D20" s="21" t="s">
        <v>764</v>
      </c>
      <c r="E20" s="22" t="s">
        <v>765</v>
      </c>
      <c r="F20" s="12" t="str">
        <f t="shared" si="0"/>
        <v>DL76</v>
      </c>
      <c r="G20" s="13" t="s">
        <v>67</v>
      </c>
      <c r="H20" s="19"/>
      <c r="I20" s="19"/>
    </row>
    <row r="21" spans="1:9" ht="18.600000000000001" customHeight="1">
      <c r="A21" s="15">
        <v>26</v>
      </c>
      <c r="B21" s="24" t="s">
        <v>766</v>
      </c>
      <c r="C21" s="86" t="s">
        <v>767</v>
      </c>
      <c r="D21" s="29" t="s">
        <v>768</v>
      </c>
      <c r="E21" s="30" t="s">
        <v>769</v>
      </c>
      <c r="F21" s="12" t="str">
        <f t="shared" si="0"/>
        <v>DL77</v>
      </c>
      <c r="G21" s="13" t="s">
        <v>67</v>
      </c>
      <c r="H21" s="19"/>
      <c r="I21" s="19"/>
    </row>
    <row r="22" spans="1:9" ht="18.600000000000001" customHeight="1">
      <c r="A22" s="15">
        <v>27</v>
      </c>
      <c r="B22" s="20" t="s">
        <v>709</v>
      </c>
      <c r="C22" s="20" t="s">
        <v>770</v>
      </c>
      <c r="D22" s="21" t="s">
        <v>771</v>
      </c>
      <c r="E22" s="22" t="s">
        <v>772</v>
      </c>
      <c r="F22" s="12" t="str">
        <f t="shared" si="0"/>
        <v>DL89</v>
      </c>
      <c r="G22" s="13" t="s">
        <v>67</v>
      </c>
      <c r="H22" s="19"/>
      <c r="I22" s="19"/>
    </row>
    <row r="23" spans="1:9" ht="18.600000000000001" customHeight="1">
      <c r="A23" s="15">
        <v>28</v>
      </c>
      <c r="B23" s="16" t="s">
        <v>773</v>
      </c>
      <c r="C23" s="31" t="s">
        <v>774</v>
      </c>
      <c r="D23" s="29" t="s">
        <v>775</v>
      </c>
      <c r="E23" s="18" t="s">
        <v>776</v>
      </c>
      <c r="F23" s="12" t="str">
        <f t="shared" si="0"/>
        <v>DL90</v>
      </c>
      <c r="G23" s="13" t="s">
        <v>67</v>
      </c>
      <c r="H23" s="19"/>
      <c r="I23" s="19"/>
    </row>
    <row r="24" spans="1:9" ht="18.600000000000001" customHeight="1">
      <c r="A24" s="15">
        <v>30</v>
      </c>
      <c r="B24" s="16" t="s">
        <v>717</v>
      </c>
      <c r="C24" s="16" t="s">
        <v>777</v>
      </c>
      <c r="D24" s="17" t="s">
        <v>778</v>
      </c>
      <c r="E24" s="18" t="s">
        <v>779</v>
      </c>
      <c r="F24" s="12" t="str">
        <f t="shared" si="0"/>
        <v>DL92</v>
      </c>
      <c r="G24" s="13" t="s">
        <v>67</v>
      </c>
      <c r="H24" s="19"/>
      <c r="I24" s="19"/>
    </row>
    <row r="25" spans="1:9" ht="15.75">
      <c r="A25" s="15">
        <v>32</v>
      </c>
      <c r="B25" s="24" t="s">
        <v>780</v>
      </c>
      <c r="C25" s="16" t="s">
        <v>781</v>
      </c>
      <c r="D25" s="32" t="s">
        <v>782</v>
      </c>
      <c r="E25" s="18" t="s">
        <v>783</v>
      </c>
      <c r="F25" s="12" t="str">
        <f t="shared" si="0"/>
        <v>TQ53</v>
      </c>
      <c r="G25" s="13" t="s">
        <v>67</v>
      </c>
      <c r="H25" s="19"/>
      <c r="I25" s="19"/>
    </row>
    <row r="26" spans="1:9" ht="15.75">
      <c r="A26" s="15">
        <v>33</v>
      </c>
      <c r="B26" s="33" t="s">
        <v>784</v>
      </c>
      <c r="C26" s="20" t="s">
        <v>785</v>
      </c>
      <c r="D26" s="34" t="s">
        <v>786</v>
      </c>
      <c r="E26" s="22" t="s">
        <v>787</v>
      </c>
      <c r="F26" s="12" t="str">
        <f t="shared" si="0"/>
        <v>DL119</v>
      </c>
      <c r="G26" s="13" t="s">
        <v>67</v>
      </c>
      <c r="H26" s="19"/>
      <c r="I26" s="19"/>
    </row>
    <row r="27" spans="1:9" ht="15.75">
      <c r="A27" s="15">
        <v>34</v>
      </c>
      <c r="B27" s="16" t="s">
        <v>788</v>
      </c>
      <c r="C27" s="16" t="s">
        <v>789</v>
      </c>
      <c r="D27" s="35" t="s">
        <v>790</v>
      </c>
      <c r="E27" s="36" t="s">
        <v>791</v>
      </c>
      <c r="F27" s="12" t="str">
        <f t="shared" si="0"/>
        <v>DL123</v>
      </c>
      <c r="G27" s="13" t="s">
        <v>67</v>
      </c>
      <c r="H27" s="19"/>
      <c r="I27" s="19"/>
    </row>
    <row r="28" spans="1:9" ht="15.75">
      <c r="A28" s="15">
        <v>35</v>
      </c>
      <c r="B28" s="20" t="s">
        <v>792</v>
      </c>
      <c r="C28" s="20" t="s">
        <v>793</v>
      </c>
      <c r="D28" s="37" t="s">
        <v>794</v>
      </c>
      <c r="E28" s="26" t="s">
        <v>795</v>
      </c>
      <c r="F28" s="12" t="str">
        <f t="shared" si="0"/>
        <v>DL124</v>
      </c>
      <c r="G28" s="13" t="s">
        <v>67</v>
      </c>
      <c r="H28" s="19"/>
      <c r="I28" s="19"/>
    </row>
    <row r="29" spans="1:9" ht="15.75">
      <c r="A29" s="15">
        <v>36</v>
      </c>
      <c r="B29" s="16" t="s">
        <v>796</v>
      </c>
      <c r="C29" s="16" t="s">
        <v>756</v>
      </c>
      <c r="D29" s="17" t="s">
        <v>757</v>
      </c>
      <c r="E29" s="18" t="s">
        <v>758</v>
      </c>
      <c r="F29" s="12" t="str">
        <f t="shared" si="0"/>
        <v>DL70</v>
      </c>
      <c r="G29" s="13" t="s">
        <v>67</v>
      </c>
      <c r="H29" s="19"/>
      <c r="I29" s="19"/>
    </row>
    <row r="30" spans="1:9" ht="15.75">
      <c r="A30" s="15">
        <v>37</v>
      </c>
      <c r="B30" s="20" t="s">
        <v>797</v>
      </c>
      <c r="C30" s="20" t="s">
        <v>756</v>
      </c>
      <c r="D30" s="21" t="s">
        <v>757</v>
      </c>
      <c r="E30" s="22" t="s">
        <v>758</v>
      </c>
      <c r="F30" s="12" t="str">
        <f t="shared" si="0"/>
        <v>DL70</v>
      </c>
      <c r="G30" s="13" t="s">
        <v>67</v>
      </c>
      <c r="H30" s="19"/>
      <c r="I30" s="19"/>
    </row>
    <row r="31" spans="1:9" ht="15.75">
      <c r="A31" s="15">
        <v>38</v>
      </c>
      <c r="B31" s="16" t="s">
        <v>728</v>
      </c>
      <c r="C31" s="16" t="s">
        <v>798</v>
      </c>
      <c r="D31" s="35" t="s">
        <v>799</v>
      </c>
      <c r="E31" s="23" t="s">
        <v>800</v>
      </c>
      <c r="F31" s="12" t="str">
        <f t="shared" si="0"/>
        <v>DL115</v>
      </c>
      <c r="G31" s="13" t="s">
        <v>67</v>
      </c>
      <c r="H31" s="19"/>
      <c r="I31" s="19"/>
    </row>
    <row r="32" spans="1:9" ht="15.75">
      <c r="A32" s="15">
        <v>39</v>
      </c>
      <c r="B32" s="20" t="s">
        <v>766</v>
      </c>
      <c r="C32" s="20" t="s">
        <v>801</v>
      </c>
      <c r="D32" s="37" t="s">
        <v>802</v>
      </c>
      <c r="E32" s="26"/>
      <c r="F32" s="12" t="str">
        <f t="shared" si="0"/>
        <v>DL94</v>
      </c>
      <c r="G32" s="13" t="s">
        <v>67</v>
      </c>
      <c r="H32" s="19"/>
      <c r="I32" s="19"/>
    </row>
    <row r="33" spans="1:9" ht="15.75">
      <c r="A33" s="15">
        <v>40</v>
      </c>
      <c r="B33" s="16" t="s">
        <v>766</v>
      </c>
      <c r="C33" s="16" t="s">
        <v>803</v>
      </c>
      <c r="D33" s="35" t="s">
        <v>804</v>
      </c>
      <c r="E33" s="23"/>
      <c r="F33" s="12" t="str">
        <f t="shared" si="0"/>
        <v>DL126</v>
      </c>
      <c r="G33" s="13" t="s">
        <v>67</v>
      </c>
      <c r="H33" s="19"/>
      <c r="I33" s="19"/>
    </row>
    <row r="34" spans="1:9" ht="15.75">
      <c r="A34" s="15">
        <v>41</v>
      </c>
      <c r="B34" s="20" t="s">
        <v>805</v>
      </c>
      <c r="C34" s="20" t="s">
        <v>806</v>
      </c>
      <c r="D34" s="37" t="s">
        <v>807</v>
      </c>
      <c r="E34" s="26" t="s">
        <v>808</v>
      </c>
      <c r="F34" s="12" t="str">
        <f t="shared" si="0"/>
        <v>DL125</v>
      </c>
      <c r="G34" s="13" t="s">
        <v>67</v>
      </c>
      <c r="H34" s="19"/>
      <c r="I34" s="19"/>
    </row>
  </sheetData>
  <autoFilter ref="A1:H34" xr:uid="{00000000-0009-0000-0000-000005000000}"/>
  <conditionalFormatting sqref="C11">
    <cfRule type="duplicateValues" dxfId="4" priority="5"/>
  </conditionalFormatting>
  <conditionalFormatting sqref="C26">
    <cfRule type="duplicateValues" dxfId="3" priority="7"/>
  </conditionalFormatting>
  <conditionalFormatting sqref="C27:C28 C2:C10 C12:C25 C31:C34">
    <cfRule type="duplicateValues" dxfId="2" priority="12"/>
  </conditionalFormatting>
  <conditionalFormatting sqref="C29">
    <cfRule type="duplicateValues" dxfId="1" priority="4"/>
  </conditionalFormatting>
  <conditionalFormatting sqref="C30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PLAN (2)</vt:lpstr>
      <vt:lpstr>Repost</vt:lpstr>
      <vt:lpstr>Total</vt:lpstr>
      <vt:lpstr>Sheet3</vt:lpstr>
      <vt:lpstr>Sheet4</vt:lpstr>
      <vt:lpstr>DS</vt:lpstr>
      <vt:lpstr>FileServer</vt:lpstr>
      <vt:lpstr>Sheet1</vt:lpstr>
      <vt:lpstr>Manage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 </cp:lastModifiedBy>
  <cp:lastPrinted>2021-07-01T06:59:00Z</cp:lastPrinted>
  <dcterms:created xsi:type="dcterms:W3CDTF">2020-10-22T07:01:00Z</dcterms:created>
  <dcterms:modified xsi:type="dcterms:W3CDTF">2026-01-12T00:56:59Z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CD1A07CE72BE4658B7752F6CA8F33251_12</vt:lpwstr>
  </property>
  <property fmtid="{D5CDD505-2E9C-101B-9397-08002B2CF9AE}" pid="3" name="KSOProductBuildVer">
    <vt:lpwstr>1033-12.2.0.17119</vt:lpwstr>
  </property>
</Properties>
</file>