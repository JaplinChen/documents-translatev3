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92.168.20.202\MIS_Public\4.REPORTS\6.BC_THU_HAI_HANG_TUAN\2026\2026_02\02_02\Mr. Hanh\SMB2\"/>
    </mc:Choice>
  </mc:AlternateContent>
  <xr:revisionPtr revIDLastSave="0" documentId="13_ncr:1_{77594931-B32B-4D31-972C-9332B7574BAC}" xr6:coauthVersionLast="36" xr6:coauthVersionMax="47" xr10:uidLastSave="{00000000-0000-0000-0000-000000000000}"/>
  <bookViews>
    <workbookView xWindow="0" yWindow="0" windowWidth="19200" windowHeight="10665" activeTab="2" xr2:uid="{00000000-000D-0000-FFFF-FFFF00000000}"/>
  </bookViews>
  <sheets>
    <sheet name="ProjectSchedule" sheetId="11" r:id="rId1"/>
    <sheet name="Sheet1" sheetId="13" r:id="rId2"/>
    <sheet name="Total" sheetId="12" r:id="rId3"/>
  </sheets>
  <definedNames>
    <definedName name="_xlnm._FilterDatabase" localSheetId="2" hidden="1">Total!$A$1:$N$832</definedName>
    <definedName name="Display_Week">ProjectSchedule!$E$4</definedName>
    <definedName name="_xlnm.Print_Titles" localSheetId="0">ProjectSchedule!$4:$6</definedName>
    <definedName name="Project_Start">ProjectSchedule!$E$3</definedName>
    <definedName name="task_end" localSheetId="0">ProjectSchedule!$G1</definedName>
    <definedName name="task_progress" localSheetId="0">ProjectSchedule!$D1</definedName>
    <definedName name="task_schedule" localSheetId="0">ProjectSchedule!$F1</definedName>
    <definedName name="task_start" localSheetId="0">ProjectSchedule!$E1</definedName>
    <definedName name="today" localSheetId="0">TODAY()</definedName>
  </definedNames>
  <calcPr calcId="191028"/>
  <pivotCaches>
    <pivotCache cacheId="6" r:id="rId4"/>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11" l="1"/>
  <c r="D14" i="11" s="1"/>
  <c r="H8" i="11"/>
  <c r="D8" i="11" s="1"/>
  <c r="H9" i="11"/>
  <c r="D9" i="11" s="1"/>
  <c r="H13" i="11" l="1"/>
  <c r="D13" i="11" s="1"/>
  <c r="H12" i="11"/>
  <c r="D12" i="11" s="1"/>
  <c r="H11" i="11"/>
  <c r="D11" i="11" s="1"/>
  <c r="I14" i="11"/>
  <c r="H10" i="11" l="1"/>
  <c r="D10" i="11" s="1"/>
  <c r="J5" i="11"/>
  <c r="K5" i="11" s="1"/>
  <c r="I16" i="11"/>
  <c r="I15" i="11"/>
  <c r="I12" i="11"/>
  <c r="I9" i="11"/>
  <c r="I8" i="11"/>
  <c r="I7" i="11"/>
  <c r="L5" i="11" l="1"/>
  <c r="K6" i="11"/>
  <c r="J4" i="11"/>
  <c r="J6" i="11"/>
  <c r="L6" i="11" l="1"/>
  <c r="M5" i="11"/>
  <c r="N5" i="11" s="1"/>
  <c r="M6" i="11" l="1"/>
  <c r="O5" i="11"/>
  <c r="P5" i="11" s="1"/>
  <c r="P6" i="11" s="1"/>
  <c r="N6" i="11"/>
  <c r="O6" i="11" l="1"/>
  <c r="Q5" i="11" l="1"/>
  <c r="R5" i="11" l="1"/>
  <c r="S5" i="11" s="1"/>
  <c r="Q6" i="11"/>
  <c r="T5" i="11" l="1"/>
  <c r="T6" i="11" s="1"/>
  <c r="S6" i="11"/>
  <c r="R6" i="11"/>
  <c r="U5" i="11" l="1"/>
  <c r="V5" i="11" l="1"/>
  <c r="W5" i="11" s="1"/>
  <c r="U6" i="11"/>
  <c r="X5" i="11" l="1"/>
  <c r="W6" i="11"/>
  <c r="V6" i="11"/>
  <c r="Y5" i="11" l="1"/>
  <c r="X6" i="11"/>
  <c r="Y6" i="11" l="1"/>
  <c r="Z5" i="11"/>
  <c r="Z6" i="11" l="1"/>
  <c r="AA5" i="11"/>
  <c r="AB5" i="11" l="1"/>
  <c r="AA6" i="11"/>
  <c r="AB6" i="11" l="1"/>
  <c r="AC5" i="11"/>
  <c r="AD5" i="11" l="1"/>
  <c r="AC6" i="11"/>
  <c r="AD6" i="11" l="1"/>
  <c r="AE5" i="11"/>
  <c r="AE6" i="11" l="1"/>
  <c r="AF5" i="11"/>
  <c r="AG5" i="11" l="1"/>
  <c r="AF6" i="11"/>
  <c r="AH5" i="11" l="1"/>
  <c r="AG6" i="11"/>
  <c r="AI5" i="11" l="1"/>
  <c r="AH6" i="11"/>
  <c r="AJ5" i="11" l="1"/>
  <c r="AI6" i="11"/>
  <c r="AJ6" i="11" l="1"/>
  <c r="AK5" i="11"/>
  <c r="AK6" i="11" l="1"/>
  <c r="AL5" i="11"/>
  <c r="AL6" i="11" l="1"/>
  <c r="AM5" i="11"/>
  <c r="AN5" i="11" l="1"/>
  <c r="AM6" i="11"/>
  <c r="AO5" i="11" l="1"/>
  <c r="AN6" i="11"/>
  <c r="AO6" i="11" l="1"/>
  <c r="AP5" i="11"/>
  <c r="AQ5" i="11" l="1"/>
  <c r="AP6" i="11"/>
  <c r="AR5" i="11" l="1"/>
  <c r="AQ6" i="11"/>
  <c r="AS5" i="11" l="1"/>
  <c r="AR6" i="11"/>
  <c r="AS6" i="11" l="1"/>
  <c r="AT5" i="11"/>
  <c r="AT6" i="11" l="1"/>
  <c r="AU5" i="11"/>
  <c r="AV5" i="11" l="1"/>
  <c r="AU6" i="11"/>
  <c r="AW5" i="11" l="1"/>
  <c r="AV6" i="11"/>
  <c r="AX5" i="11" l="1"/>
  <c r="AW6" i="11"/>
  <c r="AX6" i="11" l="1"/>
  <c r="AY5" i="11"/>
  <c r="AY6" i="11" l="1"/>
  <c r="AZ5" i="11"/>
  <c r="BA5" i="11" l="1"/>
  <c r="AZ6" i="11"/>
  <c r="BB5" i="11" l="1"/>
  <c r="BA6" i="11"/>
  <c r="BC5" i="11" l="1"/>
  <c r="BC6" i="11" s="1"/>
  <c r="BB6" i="11"/>
</calcChain>
</file>

<file path=xl/sharedStrings.xml><?xml version="1.0" encoding="utf-8"?>
<sst xmlns="http://schemas.openxmlformats.org/spreadsheetml/2006/main" count="8376" uniqueCount="2330">
  <si>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</si>
  <si>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</si>
  <si>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</si>
  <si>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</si>
  <si>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</si>
  <si>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</si>
  <si>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</si>
  <si>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DAYS</t>
  </si>
  <si>
    <t>#18119</t>
  </si>
  <si>
    <t>MIS</t>
  </si>
  <si>
    <t>This row marks the end of the Project Schedule. DO NOT enter anything in this row. 
Insert new rows ABOVE this one to continue building out your Project Schedule.</t>
  </si>
  <si>
    <t>Insert new rows ABOVE this one</t>
  </si>
  <si>
    <r>
      <rPr>
        <sz val="9"/>
        <color theme="1"/>
        <rFont val="Times New Roman"/>
        <family val="1"/>
      </rPr>
      <t xml:space="preserve">Kế hoạch dự kiến
</t>
    </r>
    <r>
      <rPr>
        <sz val="9"/>
        <color rgb="FF0000FF"/>
        <rFont val="Times New Roman"/>
        <family val="1"/>
      </rPr>
      <t>預計計劃</t>
    </r>
  </si>
  <si>
    <r>
      <rPr>
        <sz val="9"/>
        <color theme="1"/>
        <rFont val="Times New Roman"/>
        <family val="1"/>
      </rPr>
      <t xml:space="preserve">Tiến độ thực tế
</t>
    </r>
    <r>
      <rPr>
        <sz val="9"/>
        <color rgb="FF0000FF"/>
        <rFont val="Times New Roman"/>
        <family val="1"/>
      </rPr>
      <t>實際進度</t>
    </r>
  </si>
  <si>
    <t>PC-NAME</t>
  </si>
  <si>
    <t>IP</t>
  </si>
  <si>
    <t>USER</t>
  </si>
  <si>
    <t>Manager</t>
  </si>
  <si>
    <t>DHCP</t>
  </si>
  <si>
    <t>DL57</t>
  </si>
  <si>
    <t>#15060</t>
  </si>
  <si>
    <t>DL71</t>
  </si>
  <si>
    <t>#17655</t>
  </si>
  <si>
    <t>DL01</t>
  </si>
  <si>
    <t>DL89</t>
  </si>
  <si>
    <t>#20021</t>
  </si>
  <si>
    <t>DL92</t>
  </si>
  <si>
    <t>DL76</t>
  </si>
  <si>
    <t>DL131</t>
  </si>
  <si>
    <t>DL130</t>
  </si>
  <si>
    <t>DL77</t>
  </si>
  <si>
    <t>DL05</t>
  </si>
  <si>
    <t>DL02</t>
  </si>
  <si>
    <t>QA</t>
  </si>
  <si>
    <t>DL127</t>
  </si>
  <si>
    <t>DL13</t>
  </si>
  <si>
    <t>X1</t>
  </si>
  <si>
    <t>VPX101</t>
  </si>
  <si>
    <t>192.168.31.1</t>
  </si>
  <si>
    <t>#10437</t>
  </si>
  <si>
    <t>VPX102</t>
  </si>
  <si>
    <t>192.168.31.2</t>
  </si>
  <si>
    <t>#00328</t>
  </si>
  <si>
    <t>VPX103</t>
  </si>
  <si>
    <t>192.168.31.3</t>
  </si>
  <si>
    <t>#00854</t>
  </si>
  <si>
    <t>VPX104</t>
  </si>
  <si>
    <t>192.168.31.4</t>
  </si>
  <si>
    <t>#04202</t>
  </si>
  <si>
    <t>VPX105</t>
  </si>
  <si>
    <t>192.168.31.5</t>
  </si>
  <si>
    <t>#07789</t>
  </si>
  <si>
    <t>VPX106</t>
  </si>
  <si>
    <t>192.168.31.6</t>
  </si>
  <si>
    <t>#13582</t>
  </si>
  <si>
    <t>VPX107</t>
  </si>
  <si>
    <t>192.168.31.7</t>
  </si>
  <si>
    <t>#08550</t>
  </si>
  <si>
    <t>VPX108</t>
  </si>
  <si>
    <t>192.168.31.8</t>
  </si>
  <si>
    <t>#07290</t>
  </si>
  <si>
    <t>VPX109</t>
  </si>
  <si>
    <t>192.168.31.9</t>
  </si>
  <si>
    <t>#08759</t>
  </si>
  <si>
    <t>VPX110</t>
  </si>
  <si>
    <t>192.168.31.10</t>
  </si>
  <si>
    <t>#02245</t>
  </si>
  <si>
    <t>VPX111</t>
  </si>
  <si>
    <t>192.168.31.11</t>
  </si>
  <si>
    <t>#15884</t>
  </si>
  <si>
    <t>VPX113</t>
  </si>
  <si>
    <t>192.168.31.13</t>
  </si>
  <si>
    <t>#00665</t>
  </si>
  <si>
    <t>VPX114</t>
  </si>
  <si>
    <t>192.168.31.14</t>
  </si>
  <si>
    <t>#06748</t>
  </si>
  <si>
    <t>VPX115</t>
  </si>
  <si>
    <t>192.168.31.15</t>
  </si>
  <si>
    <t>#15725</t>
  </si>
  <si>
    <t>VPX116</t>
  </si>
  <si>
    <t>192.168.31.16</t>
  </si>
  <si>
    <t>#00186</t>
  </si>
  <si>
    <t>VPX117</t>
  </si>
  <si>
    <t>192.168.31.17</t>
  </si>
  <si>
    <t>#04427+#01534</t>
  </si>
  <si>
    <t>VPX118</t>
  </si>
  <si>
    <t>192.168.31.18</t>
  </si>
  <si>
    <t>#15726</t>
  </si>
  <si>
    <t>VPX119</t>
  </si>
  <si>
    <t>192.168.31.19</t>
  </si>
  <si>
    <t>#09145</t>
  </si>
  <si>
    <t>VPX120</t>
  </si>
  <si>
    <t>192.168.31.20</t>
  </si>
  <si>
    <t>#24335</t>
  </si>
  <si>
    <t>VPX121</t>
  </si>
  <si>
    <t>192.168.31.21</t>
  </si>
  <si>
    <t>#03747</t>
  </si>
  <si>
    <t>VPX122</t>
  </si>
  <si>
    <t>192.168.31.22</t>
  </si>
  <si>
    <t>#04428</t>
  </si>
  <si>
    <t>VPX123</t>
  </si>
  <si>
    <t>192.168.31.23</t>
  </si>
  <si>
    <t>#20328</t>
  </si>
  <si>
    <t>VPX124</t>
  </si>
  <si>
    <t>192.168.31.24</t>
  </si>
  <si>
    <t>#03613</t>
  </si>
  <si>
    <t>VPX125</t>
  </si>
  <si>
    <t>192.168.31.25</t>
  </si>
  <si>
    <t>#06908</t>
  </si>
  <si>
    <t>VPX126</t>
  </si>
  <si>
    <t>192.168.31.26</t>
  </si>
  <si>
    <t>#19767</t>
  </si>
  <si>
    <t>VPX127</t>
  </si>
  <si>
    <t>192.168.31.27</t>
  </si>
  <si>
    <t>#12694</t>
  </si>
  <si>
    <t>VPX128</t>
  </si>
  <si>
    <t>192.168.31.28</t>
  </si>
  <si>
    <t>#01232</t>
  </si>
  <si>
    <t>VPX129</t>
  </si>
  <si>
    <t>192.168.31.29</t>
  </si>
  <si>
    <t>#23862</t>
  </si>
  <si>
    <t>VPX130</t>
  </si>
  <si>
    <t>192.168.31.30</t>
  </si>
  <si>
    <t>VPX131</t>
  </si>
  <si>
    <t>192.168.31.71</t>
  </si>
  <si>
    <t>#00767</t>
  </si>
  <si>
    <t>VPX132</t>
  </si>
  <si>
    <t>192.168.31.72</t>
  </si>
  <si>
    <t>#11937</t>
  </si>
  <si>
    <t>VPX133</t>
  </si>
  <si>
    <t>192.168.31.74</t>
  </si>
  <si>
    <t>#24016</t>
  </si>
  <si>
    <t>VPX134</t>
  </si>
  <si>
    <t>192.168.31.75</t>
  </si>
  <si>
    <t>#24009</t>
  </si>
  <si>
    <t>VPX140</t>
  </si>
  <si>
    <t>192.168.31.40</t>
  </si>
  <si>
    <t>#19909</t>
  </si>
  <si>
    <t>BOTQLSX</t>
  </si>
  <si>
    <t>192.168.31.60</t>
  </si>
  <si>
    <t>#08886</t>
  </si>
  <si>
    <t>QLSX-VN00072</t>
  </si>
  <si>
    <t>#00072</t>
  </si>
  <si>
    <t>QLSX-MEET</t>
  </si>
  <si>
    <t>192.168.31.98</t>
  </si>
  <si>
    <t>QC1</t>
  </si>
  <si>
    <t>QC101</t>
  </si>
  <si>
    <t>192.168.31.31</t>
  </si>
  <si>
    <t>#00990</t>
  </si>
  <si>
    <t>QC102</t>
  </si>
  <si>
    <t>192.168.31.32</t>
  </si>
  <si>
    <t>#01960</t>
  </si>
  <si>
    <t>QC103</t>
  </si>
  <si>
    <t>192.168.31.33</t>
  </si>
  <si>
    <t>#19779</t>
  </si>
  <si>
    <t>QC104</t>
  </si>
  <si>
    <t>192.168.31.34</t>
  </si>
  <si>
    <t>#00952</t>
  </si>
  <si>
    <t>192.168.31.35</t>
  </si>
  <si>
    <t>#00683</t>
  </si>
  <si>
    <t>QC106</t>
  </si>
  <si>
    <t>192.168.31.36</t>
  </si>
  <si>
    <t>#00883</t>
  </si>
  <si>
    <t>QC107</t>
  </si>
  <si>
    <t>192.168.31.37</t>
  </si>
  <si>
    <t>#01214</t>
  </si>
  <si>
    <t>QC108</t>
  </si>
  <si>
    <t>192.168.31.38</t>
  </si>
  <si>
    <t>#01285</t>
  </si>
  <si>
    <t>QC109</t>
  </si>
  <si>
    <t>192.168.31.39</t>
  </si>
  <si>
    <t>#11798</t>
  </si>
  <si>
    <t>QC111</t>
  </si>
  <si>
    <t>192.168.31.41</t>
  </si>
  <si>
    <t>#13743</t>
  </si>
  <si>
    <t>QC112</t>
  </si>
  <si>
    <t>192.168.31.42</t>
  </si>
  <si>
    <t>#15940</t>
  </si>
  <si>
    <t>QC114</t>
  </si>
  <si>
    <t>192.168.31.44</t>
  </si>
  <si>
    <t>#20906</t>
  </si>
  <si>
    <t>QC115</t>
  </si>
  <si>
    <t>192.168.31.45</t>
  </si>
  <si>
    <t>#19164</t>
  </si>
  <si>
    <t>QC117</t>
  </si>
  <si>
    <t>192.168.31.47</t>
  </si>
  <si>
    <t>#03037</t>
  </si>
  <si>
    <t>QC121</t>
  </si>
  <si>
    <t>192.168.34.25</t>
  </si>
  <si>
    <t>#09755</t>
  </si>
  <si>
    <t>QC-VN00683</t>
  </si>
  <si>
    <t>QC-VN24110</t>
  </si>
  <si>
    <t>#24110</t>
  </si>
  <si>
    <t>HAN101</t>
  </si>
  <si>
    <t>192.168.31.61</t>
  </si>
  <si>
    <t>#10324</t>
  </si>
  <si>
    <t>HAN102</t>
  </si>
  <si>
    <t>192.168.31.62</t>
  </si>
  <si>
    <t>HAN103</t>
  </si>
  <si>
    <t>192.168.31.63</t>
  </si>
  <si>
    <t>#01566</t>
  </si>
  <si>
    <t>HAN104</t>
  </si>
  <si>
    <t>192.168.31.64</t>
  </si>
  <si>
    <t>#02322</t>
  </si>
  <si>
    <t>HAN105</t>
  </si>
  <si>
    <t>192.168.31.65</t>
  </si>
  <si>
    <t>#07269</t>
  </si>
  <si>
    <t>HAN106</t>
  </si>
  <si>
    <t>192.168.31.66</t>
  </si>
  <si>
    <t>#00470</t>
  </si>
  <si>
    <t>HAN107</t>
  </si>
  <si>
    <t>192.168.31.67</t>
  </si>
  <si>
    <t>#03481</t>
  </si>
  <si>
    <t>HAN108</t>
  </si>
  <si>
    <t>192.168.31.68</t>
  </si>
  <si>
    <t>#00038</t>
  </si>
  <si>
    <t>HAN109</t>
  </si>
  <si>
    <t>192.168.31.69</t>
  </si>
  <si>
    <t>#07228</t>
  </si>
  <si>
    <t>HAN111</t>
  </si>
  <si>
    <t>192.168.31.73</t>
  </si>
  <si>
    <t>#01177</t>
  </si>
  <si>
    <t>HAN112</t>
  </si>
  <si>
    <t>192.168.31.12</t>
  </si>
  <si>
    <t>#00886</t>
  </si>
  <si>
    <t>#00798</t>
  </si>
  <si>
    <t>HAN1_KIEN</t>
  </si>
  <si>
    <t>#00832</t>
  </si>
  <si>
    <t>NL101</t>
  </si>
  <si>
    <t>192.168.31.51</t>
  </si>
  <si>
    <t>#07039</t>
  </si>
  <si>
    <t>NL102</t>
  </si>
  <si>
    <t>192.168.31.52</t>
  </si>
  <si>
    <t>#21343</t>
  </si>
  <si>
    <t>NL103</t>
  </si>
  <si>
    <t>192.168.31.53</t>
  </si>
  <si>
    <t>#00400</t>
  </si>
  <si>
    <t>NL104</t>
  </si>
  <si>
    <t>192.168.31.54</t>
  </si>
  <si>
    <t>#02419</t>
  </si>
  <si>
    <t>NL106</t>
  </si>
  <si>
    <t>192.168.31.56</t>
  </si>
  <si>
    <t>NL108</t>
  </si>
  <si>
    <t>192.168.31.58</t>
  </si>
  <si>
    <t>#02183</t>
  </si>
  <si>
    <t>NL301</t>
  </si>
  <si>
    <t>192.168.32.11</t>
  </si>
  <si>
    <t>#06654</t>
  </si>
  <si>
    <t>NL401</t>
  </si>
  <si>
    <t>192.168.33.138</t>
  </si>
  <si>
    <t>#09040</t>
  </si>
  <si>
    <t>DAP101</t>
  </si>
  <si>
    <t>192.168.32.66</t>
  </si>
  <si>
    <t>#07790</t>
  </si>
  <si>
    <t>DAP102</t>
  </si>
  <si>
    <t>192.168.32.16</t>
  </si>
  <si>
    <t>#16479</t>
  </si>
  <si>
    <t>DAP103</t>
  </si>
  <si>
    <t>192.168.32.68</t>
  </si>
  <si>
    <t>#10988</t>
  </si>
  <si>
    <t>DAP104</t>
  </si>
  <si>
    <t>192.168.31.80</t>
  </si>
  <si>
    <t>#03439</t>
  </si>
  <si>
    <t>DAP105</t>
  </si>
  <si>
    <t>192.168.32.17</t>
  </si>
  <si>
    <t>#03094</t>
  </si>
  <si>
    <t>DAP106</t>
  </si>
  <si>
    <t>192.168.32.18</t>
  </si>
  <si>
    <t>#17617</t>
  </si>
  <si>
    <t>DAP107</t>
  </si>
  <si>
    <t>192.168.32.19</t>
  </si>
  <si>
    <t>#00998</t>
  </si>
  <si>
    <t>DAP108</t>
  </si>
  <si>
    <t>192.168.32.20</t>
  </si>
  <si>
    <t>#00487</t>
  </si>
  <si>
    <t>DAP109</t>
  </si>
  <si>
    <t>192.168.32.12</t>
  </si>
  <si>
    <t>#00765</t>
  </si>
  <si>
    <t>DAP1_TUONG</t>
  </si>
  <si>
    <t>#00254</t>
  </si>
  <si>
    <t>SON101</t>
  </si>
  <si>
    <t>192.168.32.50</t>
  </si>
  <si>
    <t>#11637</t>
  </si>
  <si>
    <t>SON102</t>
  </si>
  <si>
    <t>192.168.32.51</t>
  </si>
  <si>
    <t>#11553</t>
  </si>
  <si>
    <t>SON103</t>
  </si>
  <si>
    <t>192.168.32.52</t>
  </si>
  <si>
    <t>#11064</t>
  </si>
  <si>
    <t>SON104</t>
  </si>
  <si>
    <t>192.168.32.53</t>
  </si>
  <si>
    <t>#09567</t>
  </si>
  <si>
    <t>MEETING-SON105</t>
  </si>
  <si>
    <t>192.168.32.54</t>
  </si>
  <si>
    <t>SON105-MEETING</t>
  </si>
  <si>
    <t>SON106</t>
  </si>
  <si>
    <t>192.168.32.55</t>
  </si>
  <si>
    <t>#20055</t>
  </si>
  <si>
    <t>LK101</t>
  </si>
  <si>
    <t>192.168.32.69</t>
  </si>
  <si>
    <t>#00125</t>
  </si>
  <si>
    <t>LK102</t>
  </si>
  <si>
    <t>192.168.32.45</t>
  </si>
  <si>
    <t>#00807</t>
  </si>
  <si>
    <t>LK103</t>
  </si>
  <si>
    <t>192.168.32.46</t>
  </si>
  <si>
    <t>LK104</t>
  </si>
  <si>
    <t>192.168.32.62</t>
  </si>
  <si>
    <t>LK105</t>
  </si>
  <si>
    <t>192.168.32.63</t>
  </si>
  <si>
    <t># 03042</t>
  </si>
  <si>
    <t>X3</t>
  </si>
  <si>
    <t>SON301</t>
  </si>
  <si>
    <t>192.168.32.40</t>
  </si>
  <si>
    <t>#00987</t>
  </si>
  <si>
    <t>SON302</t>
  </si>
  <si>
    <t>192.168.32.41</t>
  </si>
  <si>
    <t>#05539</t>
  </si>
  <si>
    <t>SON303</t>
  </si>
  <si>
    <t>192.168.32.43</t>
  </si>
  <si>
    <t>#09592</t>
  </si>
  <si>
    <t>SON304</t>
  </si>
  <si>
    <t>192.168.32.44</t>
  </si>
  <si>
    <t>#10613</t>
  </si>
  <si>
    <t>SON305</t>
  </si>
  <si>
    <t>192.168.32.42</t>
  </si>
  <si>
    <t>#01187</t>
  </si>
  <si>
    <t>SON306</t>
  </si>
  <si>
    <t>192.168.32.47</t>
  </si>
  <si>
    <t>#00811</t>
  </si>
  <si>
    <t>SON307</t>
  </si>
  <si>
    <t>192.168.32.49</t>
  </si>
  <si>
    <t>#00895</t>
  </si>
  <si>
    <t>SONED-MESHELI</t>
  </si>
  <si>
    <t>#04254</t>
  </si>
  <si>
    <t>LK301</t>
  </si>
  <si>
    <t>192.168.32.80</t>
  </si>
  <si>
    <t>#00844</t>
  </si>
  <si>
    <t>LK302</t>
  </si>
  <si>
    <t>192.168.32.65</t>
  </si>
  <si>
    <t>#00758</t>
  </si>
  <si>
    <t>LK303</t>
  </si>
  <si>
    <t>192.168.32.37</t>
  </si>
  <si>
    <t>#01787</t>
  </si>
  <si>
    <t>LK304</t>
  </si>
  <si>
    <t>192.168.32.85</t>
  </si>
  <si>
    <t>#02630</t>
  </si>
  <si>
    <t>LK305</t>
  </si>
  <si>
    <t>192.168.32.61</t>
  </si>
  <si>
    <t>DAP301</t>
  </si>
  <si>
    <t>192.168.32.21</t>
  </si>
  <si>
    <t>#03229</t>
  </si>
  <si>
    <t>DAP302</t>
  </si>
  <si>
    <t>192.168.32.64</t>
  </si>
  <si>
    <t>DAP303</t>
  </si>
  <si>
    <t>192.168.32.23</t>
  </si>
  <si>
    <t>#10368</t>
  </si>
  <si>
    <t>DAP304</t>
  </si>
  <si>
    <t>192.168.32.24</t>
  </si>
  <si>
    <t>#01283</t>
  </si>
  <si>
    <t>DAP305</t>
  </si>
  <si>
    <t>192.168.32.25</t>
  </si>
  <si>
    <t>#09866</t>
  </si>
  <si>
    <t>DAP306</t>
  </si>
  <si>
    <t>192.168.32.26</t>
  </si>
  <si>
    <t>#10367</t>
  </si>
  <si>
    <t>DAP307</t>
  </si>
  <si>
    <t>192.168.32.27</t>
  </si>
  <si>
    <t>#17741</t>
  </si>
  <si>
    <t>DAP308</t>
  </si>
  <si>
    <t>192.168.32.67/10.10.10.2</t>
  </si>
  <si>
    <t>#23205</t>
  </si>
  <si>
    <t>DAP309</t>
  </si>
  <si>
    <t>192.168.32.70</t>
  </si>
  <si>
    <t>#19230</t>
  </si>
  <si>
    <t>DAP310</t>
  </si>
  <si>
    <t>192.168.32.71</t>
  </si>
  <si>
    <t>#08917</t>
  </si>
  <si>
    <t>DAP311</t>
  </si>
  <si>
    <t>192.168.32.72</t>
  </si>
  <si>
    <t>#02857</t>
  </si>
  <si>
    <t>DAP312</t>
  </si>
  <si>
    <t>192.168.32.73</t>
  </si>
  <si>
    <t>DAP313</t>
  </si>
  <si>
    <t>192.168.32.76</t>
  </si>
  <si>
    <t>#02319</t>
  </si>
  <si>
    <t>CNC-LASER- PC</t>
  </si>
  <si>
    <t>#00868</t>
  </si>
  <si>
    <t>VUTHANH</t>
  </si>
  <si>
    <t>#00172</t>
  </si>
  <si>
    <t>LAPRAP01</t>
  </si>
  <si>
    <t>192.168.32.31</t>
  </si>
  <si>
    <t>#13581</t>
  </si>
  <si>
    <t>LAPRAP02</t>
  </si>
  <si>
    <t>192.168.32.32</t>
  </si>
  <si>
    <t>#03299</t>
  </si>
  <si>
    <t>LAPRAP03</t>
  </si>
  <si>
    <t>192.168.32.33</t>
  </si>
  <si>
    <t>#01266</t>
  </si>
  <si>
    <t>LAPRAP04</t>
  </si>
  <si>
    <t>192.168.32.34</t>
  </si>
  <si>
    <t>#14212</t>
  </si>
  <si>
    <t>HAN301</t>
  </si>
  <si>
    <t>192.168.32.1</t>
  </si>
  <si>
    <t>HAN302</t>
  </si>
  <si>
    <t>192.168.32.2</t>
  </si>
  <si>
    <t>#02260</t>
  </si>
  <si>
    <t>HAN303</t>
  </si>
  <si>
    <t>192.168.32.3</t>
  </si>
  <si>
    <t>#19163+07844</t>
  </si>
  <si>
    <t>HAN304</t>
  </si>
  <si>
    <t>192.168.32.4</t>
  </si>
  <si>
    <t>HAN305</t>
  </si>
  <si>
    <t>192.168.32.5</t>
  </si>
  <si>
    <t>#15895</t>
  </si>
  <si>
    <t>HAN306</t>
  </si>
  <si>
    <t>192.168.32.6</t>
  </si>
  <si>
    <t>#03554</t>
  </si>
  <si>
    <t>HAN307</t>
  </si>
  <si>
    <t>192.168.32.7</t>
  </si>
  <si>
    <t>#00288</t>
  </si>
  <si>
    <t>HAN309</t>
  </si>
  <si>
    <t>192.168.32.9</t>
  </si>
  <si>
    <t>#00624</t>
  </si>
  <si>
    <t>HAN310</t>
  </si>
  <si>
    <t>192.168.32.22</t>
  </si>
  <si>
    <t>#09096</t>
  </si>
  <si>
    <t>#00884</t>
  </si>
  <si>
    <t>HAN3-CNC</t>
  </si>
  <si>
    <t>192.168.32.10</t>
  </si>
  <si>
    <t>#14201</t>
  </si>
  <si>
    <t>#19617</t>
  </si>
  <si>
    <t>XIMA04</t>
  </si>
  <si>
    <t>192.168.32.94</t>
  </si>
  <si>
    <t>#10495</t>
  </si>
  <si>
    <t>XIMA05</t>
  </si>
  <si>
    <t>192.168.32.95</t>
  </si>
  <si>
    <t>#01034</t>
  </si>
  <si>
    <t>XIMA07</t>
  </si>
  <si>
    <t>192.168.32.97</t>
  </si>
  <si>
    <t>#09568</t>
  </si>
  <si>
    <t>KD01</t>
  </si>
  <si>
    <t>192.168.30.1</t>
  </si>
  <si>
    <t>#08954</t>
  </si>
  <si>
    <t>KD02</t>
  </si>
  <si>
    <t>192.168.30.4</t>
  </si>
  <si>
    <t>#00766</t>
  </si>
  <si>
    <t>KD03</t>
  </si>
  <si>
    <t>192.168.30.6</t>
  </si>
  <si>
    <t>KD-VN07119</t>
  </si>
  <si>
    <t>192.168.30.26</t>
  </si>
  <si>
    <t>#07119</t>
  </si>
  <si>
    <t>KD-HOAI</t>
  </si>
  <si>
    <t>#24870</t>
  </si>
  <si>
    <t>KD-PHUONG</t>
  </si>
  <si>
    <t>#14517</t>
  </si>
  <si>
    <t>#16629</t>
  </si>
  <si>
    <t>SALES-HIEP</t>
  </si>
  <si>
    <t>#04844</t>
  </si>
  <si>
    <t>KD-DUYANH</t>
  </si>
  <si>
    <t>#11287</t>
  </si>
  <si>
    <t>KD-TRACYTRANG</t>
  </si>
  <si>
    <t>#14516</t>
  </si>
  <si>
    <t>KD-HOANGYEN</t>
  </si>
  <si>
    <t>#24409</t>
  </si>
  <si>
    <t>KD-NHAT</t>
  </si>
  <si>
    <t>#14377</t>
  </si>
  <si>
    <t>KD-TESSHAU</t>
  </si>
  <si>
    <t>#14150</t>
  </si>
  <si>
    <t>KD-THUYCELINA</t>
  </si>
  <si>
    <t>#15628</t>
  </si>
  <si>
    <t>KD-IVYHUE</t>
  </si>
  <si>
    <t>#03550</t>
  </si>
  <si>
    <t>KD-VN24570</t>
  </si>
  <si>
    <t>#24570</t>
  </si>
  <si>
    <t>KD-DUYEN</t>
  </si>
  <si>
    <t>#23987</t>
  </si>
  <si>
    <t>KD-TRUONG9441</t>
  </si>
  <si>
    <t>#09441</t>
  </si>
  <si>
    <t>#13855</t>
  </si>
  <si>
    <t>KD-NGAN</t>
  </si>
  <si>
    <t>#11458</t>
  </si>
  <si>
    <t>KD-HANH1777</t>
  </si>
  <si>
    <t>KD-HUYEN</t>
  </si>
  <si>
    <t>#01204</t>
  </si>
  <si>
    <t>KD-KHUYEN</t>
  </si>
  <si>
    <t>#14394</t>
  </si>
  <si>
    <t>KD-ROSENGA</t>
  </si>
  <si>
    <t>#10369</t>
  </si>
  <si>
    <t>KD-PHUONG7918</t>
  </si>
  <si>
    <t>#07918</t>
  </si>
  <si>
    <t>KD-LINH19818</t>
  </si>
  <si>
    <t>#19818</t>
  </si>
  <si>
    <t>KD-NGUYEN20230</t>
  </si>
  <si>
    <t>#18500</t>
  </si>
  <si>
    <t>192.168.90.251</t>
  </si>
  <si>
    <t>M1-MEETING</t>
  </si>
  <si>
    <t>192.168.90.252</t>
  </si>
  <si>
    <t>M2-MEETING</t>
  </si>
  <si>
    <t>GDO-LINH</t>
  </si>
  <si>
    <t>#25149</t>
  </si>
  <si>
    <t>GDO02</t>
  </si>
  <si>
    <t>192.168.30.13</t>
  </si>
  <si>
    <t>#17577</t>
  </si>
  <si>
    <t>GDO03</t>
  </si>
  <si>
    <t>192.168.30.30</t>
  </si>
  <si>
    <t>#09245</t>
  </si>
  <si>
    <t>Peter-Ngo</t>
  </si>
  <si>
    <t>192.168.30.33</t>
  </si>
  <si>
    <t>#00661</t>
  </si>
  <si>
    <t>KTSX01</t>
  </si>
  <si>
    <t>192.168.30.72</t>
  </si>
  <si>
    <t>KTSX02</t>
  </si>
  <si>
    <t>#24900</t>
  </si>
  <si>
    <t>KTSX03</t>
  </si>
  <si>
    <t>192.168.30.73</t>
  </si>
  <si>
    <t>#23793</t>
  </si>
  <si>
    <t>KTSX04</t>
  </si>
  <si>
    <t>192.168.30.74</t>
  </si>
  <si>
    <t>#16143</t>
  </si>
  <si>
    <t>KTSX05</t>
  </si>
  <si>
    <t>192.168.30.75</t>
  </si>
  <si>
    <t>#23792</t>
  </si>
  <si>
    <t>172.16.31.89</t>
  </si>
  <si>
    <t>KTSX07</t>
  </si>
  <si>
    <t>192.168.30.16</t>
  </si>
  <si>
    <t>#00127</t>
  </si>
  <si>
    <t>KTSX09</t>
  </si>
  <si>
    <t>192.168.30.79</t>
  </si>
  <si>
    <t>TM01</t>
  </si>
  <si>
    <t>192.168.34.51</t>
  </si>
  <si>
    <t>#24337</t>
  </si>
  <si>
    <t>TM02</t>
  </si>
  <si>
    <t>192.168.34.52</t>
  </si>
  <si>
    <t>#10949</t>
  </si>
  <si>
    <t>TM03</t>
  </si>
  <si>
    <t>192.168.34.53</t>
  </si>
  <si>
    <t>TM04</t>
  </si>
  <si>
    <t>192.168.34.54</t>
  </si>
  <si>
    <t>#17952</t>
  </si>
  <si>
    <t>TM05</t>
  </si>
  <si>
    <t>192.168.34.55</t>
  </si>
  <si>
    <t>#16743</t>
  </si>
  <si>
    <t>TM06</t>
  </si>
  <si>
    <t>192.168.34.56</t>
  </si>
  <si>
    <t>#18155</t>
  </si>
  <si>
    <t>TM07</t>
  </si>
  <si>
    <t>192.168.34.57</t>
  </si>
  <si>
    <t>#19343</t>
  </si>
  <si>
    <t>TM08</t>
  </si>
  <si>
    <t>192.168.34.58</t>
  </si>
  <si>
    <t>#01574</t>
  </si>
  <si>
    <t>TM09</t>
  </si>
  <si>
    <t>192.168.34.59</t>
  </si>
  <si>
    <t>#22259</t>
  </si>
  <si>
    <t>TM10</t>
  </si>
  <si>
    <t>192.168.34.60</t>
  </si>
  <si>
    <t>#24569</t>
  </si>
  <si>
    <t>TM11</t>
  </si>
  <si>
    <t>192.168.34.61</t>
  </si>
  <si>
    <t>#24568</t>
  </si>
  <si>
    <t>TM12</t>
  </si>
  <si>
    <t>192.168.34.62</t>
  </si>
  <si>
    <t>#08898</t>
  </si>
  <si>
    <t>TM13</t>
  </si>
  <si>
    <t>192.168.34.63</t>
  </si>
  <si>
    <t>#08755</t>
  </si>
  <si>
    <t>TM14</t>
  </si>
  <si>
    <t>192.168.34.64</t>
  </si>
  <si>
    <t>#19766</t>
  </si>
  <si>
    <t>TM15</t>
  </si>
  <si>
    <t>192.168.34.65</t>
  </si>
  <si>
    <t>#13167</t>
  </si>
  <si>
    <t>TM16</t>
  </si>
  <si>
    <t>192.168.34.66</t>
  </si>
  <si>
    <t>#08894</t>
  </si>
  <si>
    <t>TM17</t>
  </si>
  <si>
    <t>192.168.34.67</t>
  </si>
  <si>
    <t>#16669</t>
  </si>
  <si>
    <t>TM18</t>
  </si>
  <si>
    <t>192.168.34.68</t>
  </si>
  <si>
    <t>#14595</t>
  </si>
  <si>
    <t>TM19</t>
  </si>
  <si>
    <t>192.168.34.69</t>
  </si>
  <si>
    <t>#22756</t>
  </si>
  <si>
    <t>TM21</t>
  </si>
  <si>
    <t>192.168.34.71</t>
  </si>
  <si>
    <t>#17578</t>
  </si>
  <si>
    <t>TM22</t>
  </si>
  <si>
    <t>192.168.34.72</t>
  </si>
  <si>
    <t>TM23</t>
  </si>
  <si>
    <t>192.168.34.73</t>
  </si>
  <si>
    <t>#14376</t>
  </si>
  <si>
    <t>TM24</t>
  </si>
  <si>
    <t>192.168.34.74</t>
  </si>
  <si>
    <t xml:space="preserve">#17646 </t>
  </si>
  <si>
    <t>TM25</t>
  </si>
  <si>
    <t>192.168.34.75</t>
  </si>
  <si>
    <t>#13750</t>
  </si>
  <si>
    <t>TM26</t>
  </si>
  <si>
    <t>192.168.34.76</t>
  </si>
  <si>
    <t>#21835</t>
  </si>
  <si>
    <t>TM-NGHIA</t>
  </si>
  <si>
    <t>#08756</t>
  </si>
  <si>
    <t>TM-TOAN</t>
  </si>
  <si>
    <t>#09590</t>
  </si>
  <si>
    <t>#09244</t>
  </si>
  <si>
    <t>#01737</t>
  </si>
  <si>
    <t>NS01</t>
  </si>
  <si>
    <t>192.168.34.31</t>
  </si>
  <si>
    <t>#02824</t>
  </si>
  <si>
    <t>NS02</t>
  </si>
  <si>
    <t>192.168.34.32</t>
  </si>
  <si>
    <t>#18258</t>
  </si>
  <si>
    <t>NS03</t>
  </si>
  <si>
    <t>192.168.34.33</t>
  </si>
  <si>
    <t>#00740</t>
  </si>
  <si>
    <t>NS04</t>
  </si>
  <si>
    <t>192.168.34.34</t>
  </si>
  <si>
    <t>#00336</t>
  </si>
  <si>
    <t>NS05</t>
  </si>
  <si>
    <t>192.168.34.35</t>
  </si>
  <si>
    <t>#03489</t>
  </si>
  <si>
    <t>NS06</t>
  </si>
  <si>
    <t>192.168.34.36</t>
  </si>
  <si>
    <t>#01188</t>
  </si>
  <si>
    <t>NS07</t>
  </si>
  <si>
    <t>192.168.34.37</t>
  </si>
  <si>
    <t>#00369</t>
  </si>
  <si>
    <t>NS08</t>
  </si>
  <si>
    <t>192.168.34.38</t>
  </si>
  <si>
    <t>#01162</t>
  </si>
  <si>
    <t>NS09</t>
  </si>
  <si>
    <t>192.168.34.39</t>
  </si>
  <si>
    <t>#03499</t>
  </si>
  <si>
    <t>NS10</t>
  </si>
  <si>
    <t>#17645</t>
  </si>
  <si>
    <t>NS12</t>
  </si>
  <si>
    <t>192.168.34.45</t>
  </si>
  <si>
    <t>#09870</t>
  </si>
  <si>
    <t>NS13</t>
  </si>
  <si>
    <t>192.168.34.48</t>
  </si>
  <si>
    <t>#20019</t>
  </si>
  <si>
    <t>NS14</t>
  </si>
  <si>
    <t>192.168.34.49</t>
  </si>
  <si>
    <t>#20907</t>
  </si>
  <si>
    <t>BOTNHANSU</t>
  </si>
  <si>
    <t>BOTTONGVU</t>
  </si>
  <si>
    <t>192.168.34.79</t>
  </si>
  <si>
    <t>MEETING-M6</t>
  </si>
  <si>
    <t>M6-MEETING</t>
  </si>
  <si>
    <t>NS-DAOTAO</t>
  </si>
  <si>
    <t>192.168.34.88</t>
  </si>
  <si>
    <t>X5</t>
  </si>
  <si>
    <t>TONGDAI5</t>
  </si>
  <si>
    <t>192.168.22.55</t>
  </si>
  <si>
    <t>#10294</t>
  </si>
  <si>
    <t>X6</t>
  </si>
  <si>
    <t>TV601</t>
  </si>
  <si>
    <t>172.16.31.41</t>
  </si>
  <si>
    <t>#18499</t>
  </si>
  <si>
    <t>NS601</t>
  </si>
  <si>
    <t>172.16.31.42</t>
  </si>
  <si>
    <t>YTE01</t>
  </si>
  <si>
    <t>192.168.32.81</t>
  </si>
  <si>
    <t>#00376</t>
  </si>
  <si>
    <t>YTE02</t>
  </si>
  <si>
    <t>192.168.32.82</t>
  </si>
  <si>
    <t>#05074</t>
  </si>
  <si>
    <t>YTE03</t>
  </si>
  <si>
    <t>192.168.22.56</t>
  </si>
  <si>
    <t>#01967</t>
  </si>
  <si>
    <t>YTE601</t>
  </si>
  <si>
    <t>172.16.31.44</t>
  </si>
  <si>
    <t>#01742</t>
  </si>
  <si>
    <t>#25575</t>
  </si>
  <si>
    <t>192.168.34.41</t>
  </si>
  <si>
    <t>#01443</t>
  </si>
  <si>
    <t>ATMT02</t>
  </si>
  <si>
    <t>192.168.34.42</t>
  </si>
  <si>
    <t>#03502</t>
  </si>
  <si>
    <t>ATMT03</t>
  </si>
  <si>
    <t>192.168.34.43</t>
  </si>
  <si>
    <t>#15950</t>
  </si>
  <si>
    <t>ATMT04</t>
  </si>
  <si>
    <t>192.168.34.44</t>
  </si>
  <si>
    <t>#03618</t>
  </si>
  <si>
    <t>ATMT05</t>
  </si>
  <si>
    <t>192.168.34.46</t>
  </si>
  <si>
    <t>ATMT07</t>
  </si>
  <si>
    <t>192.168.34.47</t>
  </si>
  <si>
    <t>ATMT602</t>
  </si>
  <si>
    <t>172.16.31.2</t>
  </si>
  <si>
    <t>XNK01</t>
  </si>
  <si>
    <t>192.168.30.40</t>
  </si>
  <si>
    <t>#00610</t>
  </si>
  <si>
    <t>XNK02</t>
  </si>
  <si>
    <t>192.168.30.41</t>
  </si>
  <si>
    <t>#04036</t>
  </si>
  <si>
    <t>XNK03</t>
  </si>
  <si>
    <t>192.168.30.42</t>
  </si>
  <si>
    <t>#09527</t>
  </si>
  <si>
    <t>XNK04</t>
  </si>
  <si>
    <t>192.168.30.43</t>
  </si>
  <si>
    <t>#08941</t>
  </si>
  <si>
    <t>XNK05</t>
  </si>
  <si>
    <t>192.168.30.45</t>
  </si>
  <si>
    <t>#10480</t>
  </si>
  <si>
    <t>XNK06</t>
  </si>
  <si>
    <t>192.168.30.48</t>
  </si>
  <si>
    <t>#22147</t>
  </si>
  <si>
    <t>XNK07</t>
  </si>
  <si>
    <t>192.168.30.46</t>
  </si>
  <si>
    <t>#13986</t>
  </si>
  <si>
    <t>XNK08</t>
  </si>
  <si>
    <t>192.168.30.47</t>
  </si>
  <si>
    <t>#09878</t>
  </si>
  <si>
    <t>BOTXNK</t>
  </si>
  <si>
    <t>192.168.30.44</t>
  </si>
  <si>
    <t>XNK-PHI</t>
  </si>
  <si>
    <t>KSNB01</t>
  </si>
  <si>
    <t>192.168.30.27</t>
  </si>
  <si>
    <t>#24294</t>
  </si>
  <si>
    <t>KSNB02</t>
  </si>
  <si>
    <t>192.168.30.28</t>
  </si>
  <si>
    <t>PHUNGTUANHUNG</t>
  </si>
  <si>
    <t>#00720</t>
  </si>
  <si>
    <t>KSNB-CUONG</t>
  </si>
  <si>
    <t>#24901</t>
  </si>
  <si>
    <t>DL124</t>
  </si>
  <si>
    <t>X4</t>
  </si>
  <si>
    <t>KAIFA</t>
  </si>
  <si>
    <t>KF02</t>
  </si>
  <si>
    <t>192.168.33.2</t>
  </si>
  <si>
    <t>#15626</t>
  </si>
  <si>
    <t>KF03</t>
  </si>
  <si>
    <t>192.168.33.3</t>
  </si>
  <si>
    <t>#12760</t>
  </si>
  <si>
    <t>KF04</t>
  </si>
  <si>
    <t>192.168.33.4</t>
  </si>
  <si>
    <t>#11725</t>
  </si>
  <si>
    <t>KF05</t>
  </si>
  <si>
    <t>#11132</t>
  </si>
  <si>
    <t>KF06</t>
  </si>
  <si>
    <t>192.168.33.6</t>
  </si>
  <si>
    <t>#13852</t>
  </si>
  <si>
    <t>KF07</t>
  </si>
  <si>
    <t>192.168.33.7</t>
  </si>
  <si>
    <t>#11723</t>
  </si>
  <si>
    <t>KF08</t>
  </si>
  <si>
    <t>192.168.33.8</t>
  </si>
  <si>
    <t>#00285</t>
  </si>
  <si>
    <t>KF09</t>
  </si>
  <si>
    <t>192.168.33.9</t>
  </si>
  <si>
    <t>#03798</t>
  </si>
  <si>
    <t>KF10</t>
  </si>
  <si>
    <t>192.168.33.10</t>
  </si>
  <si>
    <t>#01955</t>
  </si>
  <si>
    <t>KF11</t>
  </si>
  <si>
    <t>192.168.33.11</t>
  </si>
  <si>
    <t>#18143</t>
  </si>
  <si>
    <t>#03487</t>
  </si>
  <si>
    <t>KF13</t>
  </si>
  <si>
    <t>192.168.33.13</t>
  </si>
  <si>
    <t>#17912</t>
  </si>
  <si>
    <t>KF14</t>
  </si>
  <si>
    <t>192.168.33.14</t>
  </si>
  <si>
    <t xml:space="preserve"> #10953</t>
  </si>
  <si>
    <t>KF15</t>
  </si>
  <si>
    <t>192.168.33.15</t>
  </si>
  <si>
    <t>#04751</t>
  </si>
  <si>
    <t>KF16</t>
  </si>
  <si>
    <t>192.168.33.16</t>
  </si>
  <si>
    <t>#09587</t>
  </si>
  <si>
    <t>KF17</t>
  </si>
  <si>
    <t>192.168.33.17</t>
  </si>
  <si>
    <t>#12582</t>
  </si>
  <si>
    <t>KF18</t>
  </si>
  <si>
    <t>192.168.33.18</t>
  </si>
  <si>
    <t>#07179</t>
  </si>
  <si>
    <t>KF19</t>
  </si>
  <si>
    <t>192.168.33.19</t>
  </si>
  <si>
    <t>#05224</t>
  </si>
  <si>
    <t>KF20</t>
  </si>
  <si>
    <t>192.168.33.20</t>
  </si>
  <si>
    <t>#17794</t>
  </si>
  <si>
    <t>KF21</t>
  </si>
  <si>
    <t>192.168.33.21</t>
  </si>
  <si>
    <t>#10864</t>
  </si>
  <si>
    <t>KF22</t>
  </si>
  <si>
    <t>192.168.33.22</t>
  </si>
  <si>
    <t>#08232</t>
  </si>
  <si>
    <t>KF23</t>
  </si>
  <si>
    <t>192.168.33.23</t>
  </si>
  <si>
    <t>#17589</t>
  </si>
  <si>
    <t>KF24</t>
  </si>
  <si>
    <t>192.168.33.24</t>
  </si>
  <si>
    <t>#15625</t>
  </si>
  <si>
    <t>KF25</t>
  </si>
  <si>
    <t>192.168.33.25</t>
  </si>
  <si>
    <t>#13165</t>
  </si>
  <si>
    <t>KF26</t>
  </si>
  <si>
    <t>192.168.33.88</t>
  </si>
  <si>
    <t>#09586</t>
  </si>
  <si>
    <t>KF27</t>
  </si>
  <si>
    <t>192.168.33.27</t>
  </si>
  <si>
    <t>#17573</t>
  </si>
  <si>
    <t>KF28</t>
  </si>
  <si>
    <t>192.168.33.28</t>
  </si>
  <si>
    <t>#16002</t>
  </si>
  <si>
    <t>KF31</t>
  </si>
  <si>
    <t>192.168.33.31</t>
  </si>
  <si>
    <t>#17356</t>
  </si>
  <si>
    <t>#12584</t>
  </si>
  <si>
    <t>KF33</t>
  </si>
  <si>
    <t>192.168.33.33</t>
  </si>
  <si>
    <t>#17886</t>
  </si>
  <si>
    <t>KF34</t>
  </si>
  <si>
    <t>192.168.33.34</t>
  </si>
  <si>
    <t>#12580</t>
  </si>
  <si>
    <t>KF35</t>
  </si>
  <si>
    <t>192.168.33.35</t>
  </si>
  <si>
    <t>#10879</t>
  </si>
  <si>
    <t>KF36</t>
  </si>
  <si>
    <t>192.168.33.36</t>
  </si>
  <si>
    <t>#16290</t>
  </si>
  <si>
    <t>KF37</t>
  </si>
  <si>
    <t>192.168.33.37</t>
  </si>
  <si>
    <t>#15629</t>
  </si>
  <si>
    <t>KF38</t>
  </si>
  <si>
    <t>192.168.33.38</t>
  </si>
  <si>
    <t>#17474</t>
  </si>
  <si>
    <t>KF39</t>
  </si>
  <si>
    <t>192.168.33.39</t>
  </si>
  <si>
    <t>#13668</t>
  </si>
  <si>
    <t>KF40</t>
  </si>
  <si>
    <t>192.168.33.40</t>
  </si>
  <si>
    <t>#21398</t>
  </si>
  <si>
    <t>KF41</t>
  </si>
  <si>
    <t>192.168.33.41</t>
  </si>
  <si>
    <t>KF42</t>
  </si>
  <si>
    <t>192.168.33.42</t>
  </si>
  <si>
    <t>#04750</t>
  </si>
  <si>
    <t>KF43</t>
  </si>
  <si>
    <t>192.168.33.43</t>
  </si>
  <si>
    <t>#12761</t>
  </si>
  <si>
    <t>KF44</t>
  </si>
  <si>
    <t>192.168.33.44</t>
  </si>
  <si>
    <t>KF45</t>
  </si>
  <si>
    <t>192.168.33.45</t>
  </si>
  <si>
    <t>#17795</t>
  </si>
  <si>
    <t>KF46</t>
  </si>
  <si>
    <t>192.168.33.46</t>
  </si>
  <si>
    <t>#12403</t>
  </si>
  <si>
    <t>KF47</t>
  </si>
  <si>
    <t>192.168.33.47</t>
  </si>
  <si>
    <t>#16003</t>
  </si>
  <si>
    <t>KF48</t>
  </si>
  <si>
    <t>192.168.33.48</t>
  </si>
  <si>
    <t>#10955</t>
  </si>
  <si>
    <t>KF49</t>
  </si>
  <si>
    <t>192.168.33.49</t>
  </si>
  <si>
    <t>#13090</t>
  </si>
  <si>
    <t>KF50</t>
  </si>
  <si>
    <t>192.168.33.50</t>
  </si>
  <si>
    <t>#25150</t>
  </si>
  <si>
    <t>KF51</t>
  </si>
  <si>
    <t>192.168.33.51</t>
  </si>
  <si>
    <t>#13672</t>
  </si>
  <si>
    <t>KF53</t>
  </si>
  <si>
    <t>192.168.33.53</t>
  </si>
  <si>
    <t>#10954</t>
  </si>
  <si>
    <t>KF54</t>
  </si>
  <si>
    <t>192.168.33.54</t>
  </si>
  <si>
    <t>#00490</t>
  </si>
  <si>
    <t>KF55</t>
  </si>
  <si>
    <t>192.168.33.55</t>
  </si>
  <si>
    <t>#10945</t>
  </si>
  <si>
    <t>KF56</t>
  </si>
  <si>
    <t>192.168.33.56</t>
  </si>
  <si>
    <t>#09589</t>
  </si>
  <si>
    <t>KF57</t>
  </si>
  <si>
    <t>192.168.33.57</t>
  </si>
  <si>
    <t>#19129</t>
  </si>
  <si>
    <t>KF58</t>
  </si>
  <si>
    <t>192.168.33.58</t>
  </si>
  <si>
    <t>#08128</t>
  </si>
  <si>
    <t>KF60</t>
  </si>
  <si>
    <t>192.168.33.60</t>
  </si>
  <si>
    <t>#25725</t>
  </si>
  <si>
    <t>KF61</t>
  </si>
  <si>
    <t>192.168.33.94</t>
  </si>
  <si>
    <t>192.168.33.62</t>
  </si>
  <si>
    <t>#17582</t>
  </si>
  <si>
    <t>KF63</t>
  </si>
  <si>
    <t>192.168.33.63</t>
  </si>
  <si>
    <t>#15627</t>
  </si>
  <si>
    <t>KF64</t>
  </si>
  <si>
    <t>192.168.33.64</t>
  </si>
  <si>
    <t>#12038</t>
  </si>
  <si>
    <t>KF65</t>
  </si>
  <si>
    <t>192.168.33.65</t>
  </si>
  <si>
    <t>#12808</t>
  </si>
  <si>
    <t>KF66</t>
  </si>
  <si>
    <t>192.168.33.66</t>
  </si>
  <si>
    <t>#10784</t>
  </si>
  <si>
    <t>#03889</t>
  </si>
  <si>
    <t>KF-MEETING2</t>
  </si>
  <si>
    <t>192.168.33.68</t>
  </si>
  <si>
    <t>KF-MEET2</t>
  </si>
  <si>
    <t>KF69</t>
  </si>
  <si>
    <t>192.168.33.69</t>
  </si>
  <si>
    <t>#10863</t>
  </si>
  <si>
    <t>KF71</t>
  </si>
  <si>
    <t>192.168.33.71</t>
  </si>
  <si>
    <t>#16289</t>
  </si>
  <si>
    <t>KF72</t>
  </si>
  <si>
    <t>192.168.33.72</t>
  </si>
  <si>
    <t>#17911</t>
  </si>
  <si>
    <t>KF73</t>
  </si>
  <si>
    <t>192.168.33.73</t>
  </si>
  <si>
    <t>#10610</t>
  </si>
  <si>
    <t>KF74</t>
  </si>
  <si>
    <t>192.168.33.74</t>
  </si>
  <si>
    <t>#12806</t>
  </si>
  <si>
    <t>KF75</t>
  </si>
  <si>
    <t>192.168.33.75</t>
  </si>
  <si>
    <t>#11131</t>
  </si>
  <si>
    <t>KF76</t>
  </si>
  <si>
    <t>192.168.33.76</t>
  </si>
  <si>
    <t>#17731</t>
  </si>
  <si>
    <t>KF77</t>
  </si>
  <si>
    <t>192.168.33.77</t>
  </si>
  <si>
    <t>#10878</t>
  </si>
  <si>
    <t>KF78</t>
  </si>
  <si>
    <t>192.168.33.78</t>
  </si>
  <si>
    <t>#12405</t>
  </si>
  <si>
    <t>KF79</t>
  </si>
  <si>
    <t>192.168.33.79</t>
  </si>
  <si>
    <t>#11724</t>
  </si>
  <si>
    <t>KF80</t>
  </si>
  <si>
    <t>192.168.33.80</t>
  </si>
  <si>
    <t>#01057</t>
  </si>
  <si>
    <t>KF81</t>
  </si>
  <si>
    <t>192.168.33.81</t>
  </si>
  <si>
    <t>#08552</t>
  </si>
  <si>
    <t>KF82</t>
  </si>
  <si>
    <t>192.168.33.82</t>
  </si>
  <si>
    <t>#12583</t>
  </si>
  <si>
    <t>KF62</t>
  </si>
  <si>
    <t>192.168.33.84</t>
  </si>
  <si>
    <t>KF85</t>
  </si>
  <si>
    <t>192.168.33.85</t>
  </si>
  <si>
    <t>#18062</t>
  </si>
  <si>
    <t>KF86</t>
  </si>
  <si>
    <t>192.168.33.86</t>
  </si>
  <si>
    <t>#17581</t>
  </si>
  <si>
    <t>KF87</t>
  </si>
  <si>
    <t>192.168.33.87</t>
  </si>
  <si>
    <t>#13321</t>
  </si>
  <si>
    <t>KF88</t>
  </si>
  <si>
    <t>192.168.33.98</t>
  </si>
  <si>
    <t>#16851</t>
  </si>
  <si>
    <t>KF89</t>
  </si>
  <si>
    <t>192.168.33.89</t>
  </si>
  <si>
    <t>#17913</t>
  </si>
  <si>
    <t>KF91</t>
  </si>
  <si>
    <t>192.168.33.91</t>
  </si>
  <si>
    <t>#25724</t>
  </si>
  <si>
    <t>KF92</t>
  </si>
  <si>
    <t>192.168.33.92</t>
  </si>
  <si>
    <t>#10611</t>
  </si>
  <si>
    <t>KF93</t>
  </si>
  <si>
    <t>192.168.33.93</t>
  </si>
  <si>
    <t>KF95</t>
  </si>
  <si>
    <t>192.168.33.95</t>
  </si>
  <si>
    <t>#19545</t>
  </si>
  <si>
    <t>KF96</t>
  </si>
  <si>
    <t>192.168.33.96</t>
  </si>
  <si>
    <t>#13669</t>
  </si>
  <si>
    <t>KF97</t>
  </si>
  <si>
    <t>192.168.33.97</t>
  </si>
  <si>
    <t>KF99</t>
  </si>
  <si>
    <t>192.168.33.99</t>
  </si>
  <si>
    <t>#11658</t>
  </si>
  <si>
    <t>KF100</t>
  </si>
  <si>
    <t>192.168.33.26</t>
  </si>
  <si>
    <t>#11632</t>
  </si>
  <si>
    <t>KF98</t>
  </si>
  <si>
    <t>192.168.33.61</t>
  </si>
  <si>
    <t>#20149</t>
  </si>
  <si>
    <t>KF70</t>
  </si>
  <si>
    <t>192.168.33.70</t>
  </si>
  <si>
    <t>KF-VN03798</t>
  </si>
  <si>
    <t>KF-VN10783</t>
  </si>
  <si>
    <t>#10783</t>
  </si>
  <si>
    <t>KF-VN02543</t>
  </si>
  <si>
    <t>#02543</t>
  </si>
  <si>
    <t>KF-VN01955</t>
  </si>
  <si>
    <t>KF-VN10955</t>
  </si>
  <si>
    <t>KF-VN21265</t>
  </si>
  <si>
    <t>#21265</t>
  </si>
  <si>
    <t>KF-VN20024</t>
  </si>
  <si>
    <t>#20024</t>
  </si>
  <si>
    <t>KF-VN18082</t>
  </si>
  <si>
    <t>#18082</t>
  </si>
  <si>
    <t>KF-VN10861</t>
  </si>
  <si>
    <t>#10861</t>
  </si>
  <si>
    <t>KF-VN17885</t>
  </si>
  <si>
    <t>#17885</t>
  </si>
  <si>
    <t>CNC13</t>
  </si>
  <si>
    <t>192.168.33.162</t>
  </si>
  <si>
    <t>#01705</t>
  </si>
  <si>
    <t>KM01</t>
  </si>
  <si>
    <t>192.168.33.121</t>
  </si>
  <si>
    <t>#07702</t>
  </si>
  <si>
    <t>KM02</t>
  </si>
  <si>
    <t>192.168.33.122</t>
  </si>
  <si>
    <t>#07153</t>
  </si>
  <si>
    <t>KM03</t>
  </si>
  <si>
    <t>192.168.33.123</t>
  </si>
  <si>
    <t>#01465</t>
  </si>
  <si>
    <t>KM04</t>
  </si>
  <si>
    <t>192.168.33.124/192.192.200.1</t>
  </si>
  <si>
    <t>#10406</t>
  </si>
  <si>
    <t>KM05</t>
  </si>
  <si>
    <t>192.168.33.125</t>
  </si>
  <si>
    <t>#16198</t>
  </si>
  <si>
    <t>KM06</t>
  </si>
  <si>
    <t>192.168.33.126</t>
  </si>
  <si>
    <t>#03048</t>
  </si>
  <si>
    <t>KM07</t>
  </si>
  <si>
    <t>192.168.33.127</t>
  </si>
  <si>
    <t>#18894</t>
  </si>
  <si>
    <t>KM08</t>
  </si>
  <si>
    <t>172.16.31.101</t>
  </si>
  <si>
    <t>#06436</t>
  </si>
  <si>
    <t>KM09</t>
  </si>
  <si>
    <t>192.168.33.131</t>
  </si>
  <si>
    <t>#01706</t>
  </si>
  <si>
    <t xml:space="preserve">KM10 </t>
  </si>
  <si>
    <t>192.168.33.182</t>
  </si>
  <si>
    <t>#09787</t>
  </si>
  <si>
    <t>THANH_KM</t>
  </si>
  <si>
    <t>#00606</t>
  </si>
  <si>
    <t>QA01</t>
  </si>
  <si>
    <t>192.168.32.90</t>
  </si>
  <si>
    <t>#00259</t>
  </si>
  <si>
    <t>QA02</t>
  </si>
  <si>
    <t>192.168.33.102</t>
  </si>
  <si>
    <t>#00913</t>
  </si>
  <si>
    <t>QA03</t>
  </si>
  <si>
    <t>192.168.33.103</t>
  </si>
  <si>
    <t>#11714</t>
  </si>
  <si>
    <t>QA04</t>
  </si>
  <si>
    <t>192.168.33.104</t>
  </si>
  <si>
    <t>#19425</t>
  </si>
  <si>
    <t>QA05</t>
  </si>
  <si>
    <t>192.168.33.105</t>
  </si>
  <si>
    <t>#24125</t>
  </si>
  <si>
    <t>QA06</t>
  </si>
  <si>
    <t>192.168.33.106</t>
  </si>
  <si>
    <t>#03408</t>
  </si>
  <si>
    <t>QA08</t>
  </si>
  <si>
    <t>192.168.33.108</t>
  </si>
  <si>
    <t>#00079</t>
  </si>
  <si>
    <t>QA09</t>
  </si>
  <si>
    <t>192.168.33.109</t>
  </si>
  <si>
    <t>#04104</t>
  </si>
  <si>
    <t>QA10</t>
  </si>
  <si>
    <t>192.168.33.110</t>
  </si>
  <si>
    <t>#24525</t>
  </si>
  <si>
    <t>QA11</t>
  </si>
  <si>
    <t>QA12</t>
  </si>
  <si>
    <t>192.168.33.112</t>
  </si>
  <si>
    <t>#10693</t>
  </si>
  <si>
    <t>QA15</t>
  </si>
  <si>
    <t>192.168.33.115</t>
  </si>
  <si>
    <t>#24081</t>
  </si>
  <si>
    <t>QA17</t>
  </si>
  <si>
    <t>192.168.33.117</t>
  </si>
  <si>
    <t>QA18</t>
  </si>
  <si>
    <t>192.168.33.118</t>
  </si>
  <si>
    <t>#11402</t>
  </si>
  <si>
    <t>QA19</t>
  </si>
  <si>
    <t>192.168.33.119</t>
  </si>
  <si>
    <t>#06237</t>
  </si>
  <si>
    <t>QA20</t>
  </si>
  <si>
    <t>192.168.33.120</t>
  </si>
  <si>
    <t>#03480</t>
  </si>
  <si>
    <t>QA22</t>
  </si>
  <si>
    <t>192.168.33.135</t>
  </si>
  <si>
    <t>#17025</t>
  </si>
  <si>
    <t>QA37</t>
  </si>
  <si>
    <t>192.168.33.137</t>
  </si>
  <si>
    <t>#24084</t>
  </si>
  <si>
    <t>QA-HA913</t>
  </si>
  <si>
    <t>QA-HAI3408</t>
  </si>
  <si>
    <t>QA-VN19777</t>
  </si>
  <si>
    <t>#19777</t>
  </si>
  <si>
    <t>QA-THANH</t>
  </si>
  <si>
    <t>#13847</t>
  </si>
  <si>
    <t>QA-PC</t>
  </si>
  <si>
    <t>DAP402</t>
  </si>
  <si>
    <t>192.168.34.12</t>
  </si>
  <si>
    <t>DAP403</t>
  </si>
  <si>
    <t>192.168.34.13</t>
  </si>
  <si>
    <t>#11901</t>
  </si>
  <si>
    <t>DAP404</t>
  </si>
  <si>
    <t>192.168.34.21</t>
  </si>
  <si>
    <t>#01413</t>
  </si>
  <si>
    <t>DAP405</t>
  </si>
  <si>
    <t>192.168.34.15</t>
  </si>
  <si>
    <t>#10636</t>
  </si>
  <si>
    <t>DAP406</t>
  </si>
  <si>
    <t>192.168.34.16</t>
  </si>
  <si>
    <t>#05225</t>
  </si>
  <si>
    <t>DAP408</t>
  </si>
  <si>
    <t>192.168.34.18</t>
  </si>
  <si>
    <t>#10595</t>
  </si>
  <si>
    <t>DAP409</t>
  </si>
  <si>
    <t>192.168.34.19</t>
  </si>
  <si>
    <t>#16434</t>
  </si>
  <si>
    <t>DAP410</t>
  </si>
  <si>
    <t>192.168.34.14</t>
  </si>
  <si>
    <t>#08352</t>
  </si>
  <si>
    <t>DAP411</t>
  </si>
  <si>
    <t>192.168.34.22</t>
  </si>
  <si>
    <t>DAP412</t>
  </si>
  <si>
    <t>192.168.34.50</t>
  </si>
  <si>
    <t>#04276</t>
  </si>
  <si>
    <t>#00576</t>
  </si>
  <si>
    <t>CHANG</t>
  </si>
  <si>
    <t>TP301</t>
  </si>
  <si>
    <t>192.168.34.1</t>
  </si>
  <si>
    <t>TP302</t>
  </si>
  <si>
    <t>192.168.34.2</t>
  </si>
  <si>
    <t>TP303</t>
  </si>
  <si>
    <t>192.168.34.3</t>
  </si>
  <si>
    <t>#00405</t>
  </si>
  <si>
    <t>TP304</t>
  </si>
  <si>
    <t>192.168.34.4</t>
  </si>
  <si>
    <t>#08949</t>
  </si>
  <si>
    <t>TP305</t>
  </si>
  <si>
    <t>192.168.34.5</t>
  </si>
  <si>
    <t>#00231</t>
  </si>
  <si>
    <t>TP306</t>
  </si>
  <si>
    <t>192.168.34.6</t>
  </si>
  <si>
    <t>#02295</t>
  </si>
  <si>
    <t>TP307</t>
  </si>
  <si>
    <t>192.168.34.7</t>
  </si>
  <si>
    <t>#02196</t>
  </si>
  <si>
    <t>TP308</t>
  </si>
  <si>
    <t>192.168.34.8</t>
  </si>
  <si>
    <t>#24199</t>
  </si>
  <si>
    <t>TP309</t>
  </si>
  <si>
    <t>192.168.34.9</t>
  </si>
  <si>
    <t>#00379</t>
  </si>
  <si>
    <t>TP310</t>
  </si>
  <si>
    <t>192.168.34.10</t>
  </si>
  <si>
    <t>#01936</t>
  </si>
  <si>
    <t>TP311</t>
  </si>
  <si>
    <t>192.168.34.23</t>
  </si>
  <si>
    <t>#08553</t>
  </si>
  <si>
    <t>TP312</t>
  </si>
  <si>
    <t>192.168.34.24</t>
  </si>
  <si>
    <t>TP313</t>
  </si>
  <si>
    <t>192.168.34.70</t>
  </si>
  <si>
    <t>CVU01</t>
  </si>
  <si>
    <t>192.168.34.20</t>
  </si>
  <si>
    <t>#07948</t>
  </si>
  <si>
    <t>CVU02</t>
  </si>
  <si>
    <t>192.168.34.192</t>
  </si>
  <si>
    <t>#00213</t>
  </si>
  <si>
    <t>QLTB601</t>
  </si>
  <si>
    <t>172.16.31.81</t>
  </si>
  <si>
    <t>#04015</t>
  </si>
  <si>
    <t>QLTB01</t>
  </si>
  <si>
    <t>192.168.34.90</t>
  </si>
  <si>
    <t>#07281</t>
  </si>
  <si>
    <t>QLTB05</t>
  </si>
  <si>
    <t>192.168.22.220</t>
  </si>
  <si>
    <t>QLTB06</t>
  </si>
  <si>
    <t>X2</t>
  </si>
  <si>
    <t>BOTTAIVU</t>
  </si>
  <si>
    <t>192.168.23.19</t>
  </si>
  <si>
    <t>#01555</t>
  </si>
  <si>
    <t>#01525</t>
  </si>
  <si>
    <t>KT01</t>
  </si>
  <si>
    <t>192.168.23.1</t>
  </si>
  <si>
    <t>KT02</t>
  </si>
  <si>
    <t>192.168.23.2</t>
  </si>
  <si>
    <t>#00464</t>
  </si>
  <si>
    <t>KT03</t>
  </si>
  <si>
    <t>192.168.23.3</t>
  </si>
  <si>
    <t>#09879</t>
  </si>
  <si>
    <t>KT04</t>
  </si>
  <si>
    <t>192.168.23.4</t>
  </si>
  <si>
    <t>#01386</t>
  </si>
  <si>
    <t>KT05</t>
  </si>
  <si>
    <t>192.168.23.5</t>
  </si>
  <si>
    <t>#14021</t>
  </si>
  <si>
    <t>KT06</t>
  </si>
  <si>
    <t>192.168.23.6</t>
  </si>
  <si>
    <t>#07843</t>
  </si>
  <si>
    <t>KT07</t>
  </si>
  <si>
    <t>192.168.23.7</t>
  </si>
  <si>
    <t>#01527</t>
  </si>
  <si>
    <t>KT08</t>
  </si>
  <si>
    <t>192.168.23.8</t>
  </si>
  <si>
    <t>#01015</t>
  </si>
  <si>
    <t>KT09</t>
  </si>
  <si>
    <t>192.168.23.9</t>
  </si>
  <si>
    <t>#04197</t>
  </si>
  <si>
    <t>KT10</t>
  </si>
  <si>
    <t>192.168.23.10</t>
  </si>
  <si>
    <t>KT11</t>
  </si>
  <si>
    <t>192.168.23.11</t>
  </si>
  <si>
    <t>#00662</t>
  </si>
  <si>
    <t>KT13</t>
  </si>
  <si>
    <t>192.168.23.13</t>
  </si>
  <si>
    <t>#01294</t>
  </si>
  <si>
    <t>KT14</t>
  </si>
  <si>
    <t>192.168.23.14</t>
  </si>
  <si>
    <t>#23102</t>
  </si>
  <si>
    <t>KT15</t>
  </si>
  <si>
    <t>192.168.23.15</t>
  </si>
  <si>
    <t>#02646</t>
  </si>
  <si>
    <t>KT16</t>
  </si>
  <si>
    <t>192.168.23.16</t>
  </si>
  <si>
    <t>#03615</t>
  </si>
  <si>
    <t>MEETING-KT</t>
  </si>
  <si>
    <t>DUC01</t>
  </si>
  <si>
    <t>192.168.23.21</t>
  </si>
  <si>
    <t>#01436</t>
  </si>
  <si>
    <t>DUC02</t>
  </si>
  <si>
    <t>192.168.23.62</t>
  </si>
  <si>
    <t>#00776</t>
  </si>
  <si>
    <t>DUC03</t>
  </si>
  <si>
    <t>192.168.23.23</t>
  </si>
  <si>
    <t>#02611</t>
  </si>
  <si>
    <t>DUC04</t>
  </si>
  <si>
    <t>192.168.23.24</t>
  </si>
  <si>
    <t>DUC05</t>
  </si>
  <si>
    <t>192.168.23.25</t>
  </si>
  <si>
    <t>#00917</t>
  </si>
  <si>
    <t>DUC06</t>
  </si>
  <si>
    <t>192.168.23.26</t>
  </si>
  <si>
    <t>#01198</t>
  </si>
  <si>
    <t>DUC07</t>
  </si>
  <si>
    <t>192.168.23.27</t>
  </si>
  <si>
    <t>#04914</t>
  </si>
  <si>
    <t>DUC08</t>
  </si>
  <si>
    <t>192.168.23.69</t>
  </si>
  <si>
    <t>#16878</t>
  </si>
  <si>
    <t>DUC10</t>
  </si>
  <si>
    <t>192.168.23.30</t>
  </si>
  <si>
    <t>#09194</t>
  </si>
  <si>
    <t>DUC11</t>
  </si>
  <si>
    <t>192.168.23.64</t>
  </si>
  <si>
    <t>#19005</t>
  </si>
  <si>
    <t>DUC12</t>
  </si>
  <si>
    <t>192.168.23.65</t>
  </si>
  <si>
    <t>#09155</t>
  </si>
  <si>
    <t>DUC13</t>
  </si>
  <si>
    <t>192.168.23.68</t>
  </si>
  <si>
    <t>#00167</t>
  </si>
  <si>
    <t>DUC14</t>
  </si>
  <si>
    <t>192.168.23.34</t>
  </si>
  <si>
    <t>DUC16</t>
  </si>
  <si>
    <t>192.168.23.36</t>
  </si>
  <si>
    <t>#6000</t>
  </si>
  <si>
    <t>DUC17</t>
  </si>
  <si>
    <t>192.168.23.57</t>
  </si>
  <si>
    <t>GC01</t>
  </si>
  <si>
    <t>192.168.23.41</t>
  </si>
  <si>
    <t>#01906</t>
  </si>
  <si>
    <t>GC02</t>
  </si>
  <si>
    <t>192.168.23.39</t>
  </si>
  <si>
    <t>#01376</t>
  </si>
  <si>
    <t>GC03</t>
  </si>
  <si>
    <t>192.168.23.43</t>
  </si>
  <si>
    <t>#01911</t>
  </si>
  <si>
    <t>GC04</t>
  </si>
  <si>
    <t>192.168.23.44</t>
  </si>
  <si>
    <t># 01134</t>
  </si>
  <si>
    <t>GC05</t>
  </si>
  <si>
    <t>192.168.23.45</t>
  </si>
  <si>
    <t>#18616</t>
  </si>
  <si>
    <t>GC06</t>
  </si>
  <si>
    <t>192.168.23.46</t>
  </si>
  <si>
    <t>#01167</t>
  </si>
  <si>
    <t>GC07</t>
  </si>
  <si>
    <t>192.168.23.47</t>
  </si>
  <si>
    <t>#11988</t>
  </si>
  <si>
    <t>GC08</t>
  </si>
  <si>
    <t>192.168.23.48</t>
  </si>
  <si>
    <t>GC09</t>
  </si>
  <si>
    <t>192.168.23.49</t>
  </si>
  <si>
    <t>#09784</t>
  </si>
  <si>
    <t>GC10</t>
  </si>
  <si>
    <t>192.168.23.50</t>
  </si>
  <si>
    <t>#19427</t>
  </si>
  <si>
    <t>GC11</t>
  </si>
  <si>
    <t>192.168.23.51</t>
  </si>
  <si>
    <t>#14019</t>
  </si>
  <si>
    <t>GC12</t>
  </si>
  <si>
    <t>192.168.23.52</t>
  </si>
  <si>
    <t>#00234</t>
  </si>
  <si>
    <t>GC13</t>
  </si>
  <si>
    <t>192.168.23.53</t>
  </si>
  <si>
    <t>#10140</t>
  </si>
  <si>
    <t>GC14</t>
  </si>
  <si>
    <t>192.168.23.54</t>
  </si>
  <si>
    <t>GC15</t>
  </si>
  <si>
    <t>192.168.23.56</t>
  </si>
  <si>
    <t>#01309</t>
  </si>
  <si>
    <t>GC18</t>
  </si>
  <si>
    <t>192.168.23.58</t>
  </si>
  <si>
    <t>#16577</t>
  </si>
  <si>
    <t>GC19</t>
  </si>
  <si>
    <t>192.168.23.59</t>
  </si>
  <si>
    <t>#16917</t>
  </si>
  <si>
    <t>GC20</t>
  </si>
  <si>
    <t>192.168.23.60</t>
  </si>
  <si>
    <t>#02131</t>
  </si>
  <si>
    <t>GC21</t>
  </si>
  <si>
    <t>192.168.23.29</t>
  </si>
  <si>
    <t>#24332</t>
  </si>
  <si>
    <t>GC22</t>
  </si>
  <si>
    <t>192.168.23.22</t>
  </si>
  <si>
    <t>#16439</t>
  </si>
  <si>
    <t>GC23</t>
  </si>
  <si>
    <t>192.168.23.28</t>
  </si>
  <si>
    <t>#20363</t>
  </si>
  <si>
    <t>GC24</t>
  </si>
  <si>
    <t>192.168.23.35</t>
  </si>
  <si>
    <t>#00930</t>
  </si>
  <si>
    <t>GC25</t>
  </si>
  <si>
    <t>192.168.23.32</t>
  </si>
  <si>
    <t>#24203</t>
  </si>
  <si>
    <t>GC26</t>
  </si>
  <si>
    <t>192.168.23.31</t>
  </si>
  <si>
    <t>#01434</t>
  </si>
  <si>
    <t>GC27</t>
  </si>
  <si>
    <t>192.168.23.37</t>
  </si>
  <si>
    <t>#18327</t>
  </si>
  <si>
    <t>GC28</t>
  </si>
  <si>
    <t>192.168.23.38</t>
  </si>
  <si>
    <t>#02985</t>
  </si>
  <si>
    <t>GC29</t>
  </si>
  <si>
    <t>192.168.23.40</t>
  </si>
  <si>
    <t>GC30</t>
  </si>
  <si>
    <t>192.168.23.42</t>
  </si>
  <si>
    <t>KTKP01</t>
  </si>
  <si>
    <t>192.168.23.75</t>
  </si>
  <si>
    <t>#17213</t>
  </si>
  <si>
    <t>KTKP02</t>
  </si>
  <si>
    <t>192.168.23.76</t>
  </si>
  <si>
    <t>#22881</t>
  </si>
  <si>
    <t>KTKP03</t>
  </si>
  <si>
    <t>192.168.23.77</t>
  </si>
  <si>
    <t>#23748</t>
  </si>
  <si>
    <t>KTKP04</t>
  </si>
  <si>
    <t>192.168.23.78</t>
  </si>
  <si>
    <t>#23101</t>
  </si>
  <si>
    <t>KTKP05</t>
  </si>
  <si>
    <t>192.168.23.79</t>
  </si>
  <si>
    <t>KTKP06</t>
  </si>
  <si>
    <t>192.168.23.80</t>
  </si>
  <si>
    <t>KTKP07</t>
  </si>
  <si>
    <t>192.168.23.83</t>
  </si>
  <si>
    <t>#24325</t>
  </si>
  <si>
    <t>KTKP08</t>
  </si>
  <si>
    <t>192.168.23.67</t>
  </si>
  <si>
    <t>KTKP09</t>
  </si>
  <si>
    <t>192.168.23.70</t>
  </si>
  <si>
    <t>#24327</t>
  </si>
  <si>
    <t>KTKP10</t>
  </si>
  <si>
    <t>192.168.23.97</t>
  </si>
  <si>
    <t>#15378</t>
  </si>
  <si>
    <t>KTKP11</t>
  </si>
  <si>
    <t>192.168.23.33</t>
  </si>
  <si>
    <t>KTKP12</t>
  </si>
  <si>
    <t>192.168.23.55</t>
  </si>
  <si>
    <t>#21794</t>
  </si>
  <si>
    <t>KTKP13</t>
  </si>
  <si>
    <t>192.168.23.66</t>
  </si>
  <si>
    <t>#24326</t>
  </si>
  <si>
    <t>GC-MEETING</t>
  </si>
  <si>
    <t>192.168.23.203</t>
  </si>
  <si>
    <t>KTKP-VN17950</t>
  </si>
  <si>
    <t>#17950</t>
  </si>
  <si>
    <t>GC-VN10140</t>
  </si>
  <si>
    <t>KTKP-VN11314</t>
  </si>
  <si>
    <t>#11314</t>
  </si>
  <si>
    <t>DUC-BOSS</t>
  </si>
  <si>
    <t>KTKP-VN09655</t>
  </si>
  <si>
    <t>#09655</t>
  </si>
  <si>
    <t>GC-VN01434</t>
  </si>
  <si>
    <t>QC2</t>
  </si>
  <si>
    <t>QCX203</t>
  </si>
  <si>
    <t>192.168.23.73</t>
  </si>
  <si>
    <t>#02261</t>
  </si>
  <si>
    <t>QCX205</t>
  </si>
  <si>
    <t>192.168.23.85</t>
  </si>
  <si>
    <t>#11366</t>
  </si>
  <si>
    <t>TP201</t>
  </si>
  <si>
    <t>192.168.23.86</t>
  </si>
  <si>
    <t>TP202</t>
  </si>
  <si>
    <t>192.168.23.87</t>
  </si>
  <si>
    <t>#01932</t>
  </si>
  <si>
    <t>TP203</t>
  </si>
  <si>
    <t>192.168.23.88</t>
  </si>
  <si>
    <t>#15573</t>
  </si>
  <si>
    <t>TP204</t>
  </si>
  <si>
    <t>192.168.23.89</t>
  </si>
  <si>
    <t>TP205</t>
  </si>
  <si>
    <t>192.168.23.90</t>
  </si>
  <si>
    <t>CHENSON2</t>
  </si>
  <si>
    <t>SON201</t>
  </si>
  <si>
    <t>192.168.23.81</t>
  </si>
  <si>
    <t>#14121</t>
  </si>
  <si>
    <t>SON202</t>
  </si>
  <si>
    <t>192.168.23.82</t>
  </si>
  <si>
    <t>#00806</t>
  </si>
  <si>
    <t>SON203</t>
  </si>
  <si>
    <t>#09253</t>
  </si>
  <si>
    <t>SON204</t>
  </si>
  <si>
    <t>192.168.23.84</t>
  </si>
  <si>
    <t>SON205</t>
  </si>
  <si>
    <t>192.168.23.61</t>
  </si>
  <si>
    <t>#01614</t>
  </si>
  <si>
    <t>VPX201</t>
  </si>
  <si>
    <t>192.168.23.91</t>
  </si>
  <si>
    <t>#01233</t>
  </si>
  <si>
    <t>VPX202</t>
  </si>
  <si>
    <t>192.168.23.92</t>
  </si>
  <si>
    <t>#02421</t>
  </si>
  <si>
    <t>VPX203</t>
  </si>
  <si>
    <t>192.168.23.93</t>
  </si>
  <si>
    <t>#04267</t>
  </si>
  <si>
    <t>VPX204</t>
  </si>
  <si>
    <t>192.168.23.94</t>
  </si>
  <si>
    <t>#21090</t>
  </si>
  <si>
    <t>VPX205</t>
  </si>
  <si>
    <t>192.168.23.95</t>
  </si>
  <si>
    <t>#04268</t>
  </si>
  <si>
    <t>VPX206</t>
  </si>
  <si>
    <t>192.168.23.96</t>
  </si>
  <si>
    <t>#06492</t>
  </si>
  <si>
    <t>QLSX2-TOAN</t>
  </si>
  <si>
    <t>#01273</t>
  </si>
  <si>
    <t>VPX209</t>
  </si>
  <si>
    <t>192.168.23.99</t>
  </si>
  <si>
    <t>#22094</t>
  </si>
  <si>
    <t>CANONG01</t>
  </si>
  <si>
    <t>192.168.22.47</t>
  </si>
  <si>
    <t>#15013</t>
  </si>
  <si>
    <t>CANONG02</t>
  </si>
  <si>
    <t>192.168.22.48</t>
  </si>
  <si>
    <t>#03562</t>
  </si>
  <si>
    <t>QLK501</t>
  </si>
  <si>
    <t>192.168.22.1</t>
  </si>
  <si>
    <t>QLK502</t>
  </si>
  <si>
    <t>192.168.22.2</t>
  </si>
  <si>
    <t>QLK503</t>
  </si>
  <si>
    <t>192.168.22.5</t>
  </si>
  <si>
    <t>#09077</t>
  </si>
  <si>
    <t>QLK504</t>
  </si>
  <si>
    <t>192.168.22.4</t>
  </si>
  <si>
    <t>#07966</t>
  </si>
  <si>
    <t>QLK505</t>
  </si>
  <si>
    <t>192.168.22.3</t>
  </si>
  <si>
    <t>#02420</t>
  </si>
  <si>
    <t>QLK506</t>
  </si>
  <si>
    <t>192.168.22.6</t>
  </si>
  <si>
    <t>#00900</t>
  </si>
  <si>
    <t>QLK507</t>
  </si>
  <si>
    <t>192.168.22.7</t>
  </si>
  <si>
    <t>#04029</t>
  </si>
  <si>
    <t>QLK508</t>
  </si>
  <si>
    <t>192.168.22.45</t>
  </si>
  <si>
    <t>QC5</t>
  </si>
  <si>
    <t>QC501</t>
  </si>
  <si>
    <t>192.168.22.21</t>
  </si>
  <si>
    <t>#09759</t>
  </si>
  <si>
    <t>QC503</t>
  </si>
  <si>
    <t>192.168.22.23</t>
  </si>
  <si>
    <t>#07279</t>
  </si>
  <si>
    <t>HAN401</t>
  </si>
  <si>
    <t>192.168.22.31</t>
  </si>
  <si>
    <t>#03790</t>
  </si>
  <si>
    <t>HAN402</t>
  </si>
  <si>
    <t>192.168.22.32</t>
  </si>
  <si>
    <t>HAN403</t>
  </si>
  <si>
    <t>192.168.22.33</t>
  </si>
  <si>
    <t>#01235</t>
  </si>
  <si>
    <t>HAN404</t>
  </si>
  <si>
    <t>192.168.22.34</t>
  </si>
  <si>
    <t>#06404</t>
  </si>
  <si>
    <t>HAN405</t>
  </si>
  <si>
    <t>192.168.22.35</t>
  </si>
  <si>
    <t>#03168</t>
  </si>
  <si>
    <t>HAN406</t>
  </si>
  <si>
    <t>192.168.22.36</t>
  </si>
  <si>
    <t>#10070</t>
  </si>
  <si>
    <t>HAN407</t>
  </si>
  <si>
    <t>192.168.22.37</t>
  </si>
  <si>
    <t>#00269</t>
  </si>
  <si>
    <t>HAN408</t>
  </si>
  <si>
    <t>192.168.22.15</t>
  </si>
  <si>
    <t>#00256</t>
  </si>
  <si>
    <t>DAP501</t>
  </si>
  <si>
    <t>192.168.22.11</t>
  </si>
  <si>
    <t>#14798</t>
  </si>
  <si>
    <t>DAP503</t>
  </si>
  <si>
    <t>192.168.22.13</t>
  </si>
  <si>
    <t>DAP504</t>
  </si>
  <si>
    <t>192.168.22.14</t>
  </si>
  <si>
    <t>#11364</t>
  </si>
  <si>
    <t>DAP506</t>
  </si>
  <si>
    <t>192.168.22.16</t>
  </si>
  <si>
    <t>#07195</t>
  </si>
  <si>
    <t>DAP507</t>
  </si>
  <si>
    <t>192.168.22.17</t>
  </si>
  <si>
    <t>#02696</t>
  </si>
  <si>
    <t>DAP508</t>
  </si>
  <si>
    <t>192.168.22.18</t>
  </si>
  <si>
    <t>#02413</t>
  </si>
  <si>
    <t>DAP509</t>
  </si>
  <si>
    <t>192.168.22.19</t>
  </si>
  <si>
    <t>#15388</t>
  </si>
  <si>
    <t>DAP510</t>
  </si>
  <si>
    <t>192.168.22.20</t>
  </si>
  <si>
    <t>#01874</t>
  </si>
  <si>
    <t>192.168.22.50</t>
  </si>
  <si>
    <t>DAP5-MEETING</t>
  </si>
  <si>
    <t>DAP511</t>
  </si>
  <si>
    <t>192.168.22.51</t>
  </si>
  <si>
    <t>#10828</t>
  </si>
  <si>
    <t>DAP512</t>
  </si>
  <si>
    <t>192.168.22.24</t>
  </si>
  <si>
    <t>#08561</t>
  </si>
  <si>
    <t>DAP513</t>
  </si>
  <si>
    <t>192.168.22.27</t>
  </si>
  <si>
    <t>#00279</t>
  </si>
  <si>
    <t>HAN501</t>
  </si>
  <si>
    <t>192.168.22.41</t>
  </si>
  <si>
    <t>HAN502</t>
  </si>
  <si>
    <t>192.168.22.42</t>
  </si>
  <si>
    <t>#13456</t>
  </si>
  <si>
    <t>HAN503</t>
  </si>
  <si>
    <t>192.168.22.43</t>
  </si>
  <si>
    <t>#11580</t>
  </si>
  <si>
    <t>HAN504</t>
  </si>
  <si>
    <t>192.168.22.44</t>
  </si>
  <si>
    <t>#16268</t>
  </si>
  <si>
    <t>DUNG00462</t>
  </si>
  <si>
    <t>#00462</t>
  </si>
  <si>
    <t>MIS01</t>
  </si>
  <si>
    <t>192.168.40.21</t>
  </si>
  <si>
    <t>#24210</t>
  </si>
  <si>
    <t>MIS02</t>
  </si>
  <si>
    <t>192.168.40.22</t>
  </si>
  <si>
    <t>#22028</t>
  </si>
  <si>
    <t>MIS03</t>
  </si>
  <si>
    <t>192.168.40.23</t>
  </si>
  <si>
    <t>#16138</t>
  </si>
  <si>
    <t>MIS05</t>
  </si>
  <si>
    <t>192.168.40.25</t>
  </si>
  <si>
    <t>MIS06</t>
  </si>
  <si>
    <t>192.168.40.26</t>
  </si>
  <si>
    <t>MIS08</t>
  </si>
  <si>
    <t>192.168.40.28</t>
  </si>
  <si>
    <t>MIS09</t>
  </si>
  <si>
    <t>192.168.40.29</t>
  </si>
  <si>
    <t>#24085</t>
  </si>
  <si>
    <t>MIS12</t>
  </si>
  <si>
    <t>192.168.40.32</t>
  </si>
  <si>
    <t>#24320</t>
  </si>
  <si>
    <t>MIS13</t>
  </si>
  <si>
    <t>192.168.40.33</t>
  </si>
  <si>
    <t>MIS14</t>
  </si>
  <si>
    <t>192.168.40.34</t>
  </si>
  <si>
    <t>ROOT</t>
  </si>
  <si>
    <t>192.168.40.246</t>
  </si>
  <si>
    <t>#01959</t>
  </si>
  <si>
    <t>MIS601</t>
  </si>
  <si>
    <t>172.16.30.1</t>
  </si>
  <si>
    <t>MIS602</t>
  </si>
  <si>
    <t>172.16.30.2</t>
  </si>
  <si>
    <t>ATTT02</t>
  </si>
  <si>
    <t>192.168.40.35</t>
  </si>
  <si>
    <t>#24918</t>
  </si>
  <si>
    <t>ATTT03</t>
  </si>
  <si>
    <t>192.168.40.30</t>
  </si>
  <si>
    <t>#24112</t>
  </si>
  <si>
    <t>MEETING-X6</t>
  </si>
  <si>
    <t>172.16.31.200</t>
  </si>
  <si>
    <t>X6-MEETING</t>
  </si>
  <si>
    <t>QLK601</t>
  </si>
  <si>
    <t>172.16.31.6</t>
  </si>
  <si>
    <t>#01653</t>
  </si>
  <si>
    <t>QLK602</t>
  </si>
  <si>
    <t>172.16.31.7</t>
  </si>
  <si>
    <t>#03027</t>
  </si>
  <si>
    <t>QLK603</t>
  </si>
  <si>
    <t>172.16.31.8</t>
  </si>
  <si>
    <t>#02692</t>
  </si>
  <si>
    <t>QLK604</t>
  </si>
  <si>
    <t>172.16.31.9</t>
  </si>
  <si>
    <t>#02954</t>
  </si>
  <si>
    <t>QLK605</t>
  </si>
  <si>
    <t>172.16.31.10</t>
  </si>
  <si>
    <t>#17175</t>
  </si>
  <si>
    <t>QC6</t>
  </si>
  <si>
    <t>QC601</t>
  </si>
  <si>
    <t>172.16.31.16</t>
  </si>
  <si>
    <t>#02684</t>
  </si>
  <si>
    <t>QC602</t>
  </si>
  <si>
    <t>172.16.31.17</t>
  </si>
  <si>
    <t>#09482</t>
  </si>
  <si>
    <t>QC603</t>
  </si>
  <si>
    <t>172.16.31.18</t>
  </si>
  <si>
    <t>#00235</t>
  </si>
  <si>
    <t>DAP602</t>
  </si>
  <si>
    <t>172.16.31.27</t>
  </si>
  <si>
    <t>#24002</t>
  </si>
  <si>
    <t>DAP603</t>
  </si>
  <si>
    <t>172.16.31.28</t>
  </si>
  <si>
    <t>#20599</t>
  </si>
  <si>
    <t>DAP604</t>
  </si>
  <si>
    <t>172.16.31.29</t>
  </si>
  <si>
    <t>DAP605</t>
  </si>
  <si>
    <t>172.16.31.30</t>
  </si>
  <si>
    <t>#21313</t>
  </si>
  <si>
    <t>DAP606</t>
  </si>
  <si>
    <t>172.16.31.31</t>
  </si>
  <si>
    <t>#21137</t>
  </si>
  <si>
    <t>DAP607</t>
  </si>
  <si>
    <t>172.16.31.32</t>
  </si>
  <si>
    <t>#21314</t>
  </si>
  <si>
    <t>DAP609</t>
  </si>
  <si>
    <t>172.16.31.34</t>
  </si>
  <si>
    <t>#03282</t>
  </si>
  <si>
    <t>HAN601</t>
  </si>
  <si>
    <t>172.16.31.91</t>
  </si>
  <si>
    <t>#12804</t>
  </si>
  <si>
    <t>HAN602</t>
  </si>
  <si>
    <t>172.16.31.92</t>
  </si>
  <si>
    <t>#10109</t>
  </si>
  <si>
    <t>HAN603</t>
  </si>
  <si>
    <t>172.16.31.93</t>
  </si>
  <si>
    <t>#19546</t>
  </si>
  <si>
    <t>HAN604</t>
  </si>
  <si>
    <t>172.16.31.94</t>
  </si>
  <si>
    <t>#22077</t>
  </si>
  <si>
    <t>HAN605</t>
  </si>
  <si>
    <t>172.16.31.95</t>
  </si>
  <si>
    <t>HAN606</t>
  </si>
  <si>
    <t>172.16.31.96</t>
  </si>
  <si>
    <t>#03699</t>
  </si>
  <si>
    <t>HAN607</t>
  </si>
  <si>
    <t>172.16.31.97</t>
  </si>
  <si>
    <t>#25156</t>
  </si>
  <si>
    <t>LAPRAP601</t>
  </si>
  <si>
    <t>172.16.31.51</t>
  </si>
  <si>
    <t>#22410</t>
  </si>
  <si>
    <t>LAPRAP602</t>
  </si>
  <si>
    <t>172.16.31.52</t>
  </si>
  <si>
    <t>#01268</t>
  </si>
  <si>
    <t>LAPRAP603</t>
  </si>
  <si>
    <t>172.16.31.53</t>
  </si>
  <si>
    <t>#22409</t>
  </si>
  <si>
    <t>LAPRAP604</t>
  </si>
  <si>
    <t>172.16.31.54</t>
  </si>
  <si>
    <t>#01543</t>
  </si>
  <si>
    <t>LAPRAP605</t>
  </si>
  <si>
    <t>172.16.31.55</t>
  </si>
  <si>
    <t>#06887</t>
  </si>
  <si>
    <t>LAPRAP606</t>
  </si>
  <si>
    <t>172.16.31.56</t>
  </si>
  <si>
    <t>#24765</t>
  </si>
  <si>
    <t>SON601</t>
  </si>
  <si>
    <t>172.16.31.61</t>
  </si>
  <si>
    <t>#12479</t>
  </si>
  <si>
    <t>SON602</t>
  </si>
  <si>
    <t>172.16.31.62</t>
  </si>
  <si>
    <t>#10452</t>
  </si>
  <si>
    <t>SON603</t>
  </si>
  <si>
    <t>172.16.31.63</t>
  </si>
  <si>
    <t>#22757</t>
  </si>
  <si>
    <t>SON604</t>
  </si>
  <si>
    <t>172.16.31.64</t>
  </si>
  <si>
    <t>#20977</t>
  </si>
  <si>
    <t>DUY082</t>
  </si>
  <si>
    <t>#00082</t>
  </si>
  <si>
    <t>HOA-QLSX</t>
  </si>
  <si>
    <t>#00533</t>
  </si>
  <si>
    <t>QLSX601</t>
  </si>
  <si>
    <t>172.16.31.71</t>
  </si>
  <si>
    <t>QLSX602</t>
  </si>
  <si>
    <t>172.16.31.72</t>
  </si>
  <si>
    <t>#22095</t>
  </si>
  <si>
    <t>QLSX603</t>
  </si>
  <si>
    <t>172.16.31.73</t>
  </si>
  <si>
    <t>#19406</t>
  </si>
  <si>
    <t>QLSX604</t>
  </si>
  <si>
    <t>172.16.31.74</t>
  </si>
  <si>
    <t>QLSX605</t>
  </si>
  <si>
    <t>172.16.31.75</t>
  </si>
  <si>
    <t>#24871</t>
  </si>
  <si>
    <t>ATMT-VN01443</t>
  </si>
  <si>
    <t>ATTT01</t>
  </si>
  <si>
    <t>BINH-TM</t>
  </si>
  <si>
    <t>DAOTAO-KT</t>
  </si>
  <si>
    <t>DAP110</t>
  </si>
  <si>
    <t>DAP314</t>
  </si>
  <si>
    <t>DAP4-VN00576</t>
  </si>
  <si>
    <t>DAP401</t>
  </si>
  <si>
    <t>DAP413</t>
  </si>
  <si>
    <t>DAP414</t>
  </si>
  <si>
    <t>DAP415</t>
  </si>
  <si>
    <t>DAP416</t>
  </si>
  <si>
    <t>DAP514</t>
  </si>
  <si>
    <t>DAP608</t>
  </si>
  <si>
    <t>DAP610</t>
  </si>
  <si>
    <t>DOAN_2196</t>
  </si>
  <si>
    <t>DUC09</t>
  </si>
  <si>
    <t>GC31</t>
  </si>
  <si>
    <t>GDO-VN25814</t>
  </si>
  <si>
    <t>GDO01</t>
  </si>
  <si>
    <t>GDO04</t>
  </si>
  <si>
    <t>HAN114</t>
  </si>
  <si>
    <t>HAN312</t>
  </si>
  <si>
    <t>HAN410</t>
  </si>
  <si>
    <t>HAN411</t>
  </si>
  <si>
    <t>HAN608</t>
  </si>
  <si>
    <t>HAN609</t>
  </si>
  <si>
    <t>IQCX5</t>
  </si>
  <si>
    <t>KD-DIEP</t>
  </si>
  <si>
    <t>KD-DUNG10839</t>
  </si>
  <si>
    <t>KD-HANG</t>
  </si>
  <si>
    <t>KD-HAU8787</t>
  </si>
  <si>
    <t>KD-HOANG13855</t>
  </si>
  <si>
    <t>KD-HUONG</t>
  </si>
  <si>
    <t>KD-HUYEN24329</t>
  </si>
  <si>
    <t>KD-LUCYNGUYET</t>
  </si>
  <si>
    <t>KD-MAICARLA</t>
  </si>
  <si>
    <t>KD-NHUNGHANNY</t>
  </si>
  <si>
    <t>KD-RICHARD</t>
  </si>
  <si>
    <t>KD-SELINATHAO</t>
  </si>
  <si>
    <t>KD-THANHADA</t>
  </si>
  <si>
    <t>KD-THUYBETTY</t>
  </si>
  <si>
    <t>KD-TRUONG</t>
  </si>
  <si>
    <t>KD-VAN</t>
  </si>
  <si>
    <t>KD-VN22391</t>
  </si>
  <si>
    <t>KD-VN26344</t>
  </si>
  <si>
    <t>KD_ANNE</t>
  </si>
  <si>
    <t>KF-VN00799</t>
  </si>
  <si>
    <t>KF-VN03889</t>
  </si>
  <si>
    <t>KF-VN06382</t>
  </si>
  <si>
    <t>KF01</t>
  </si>
  <si>
    <t>KF29</t>
  </si>
  <si>
    <t>KF84</t>
  </si>
  <si>
    <t>KHONGDUONG</t>
  </si>
  <si>
    <t>KM-MEETING</t>
  </si>
  <si>
    <t>KTKP-VN23101</t>
  </si>
  <si>
    <t>KTKP-VN26368</t>
  </si>
  <si>
    <t>KTKP14</t>
  </si>
  <si>
    <t>KTKP15</t>
  </si>
  <si>
    <t>KTKP16</t>
  </si>
  <si>
    <t>KTKP17</t>
  </si>
  <si>
    <t>KTKP18</t>
  </si>
  <si>
    <t>KTKP19</t>
  </si>
  <si>
    <t>KTKP20</t>
  </si>
  <si>
    <t>KTKP21</t>
  </si>
  <si>
    <t>LAPRAP607</t>
  </si>
  <si>
    <t>MEETING-M1</t>
  </si>
  <si>
    <t>MEETING-M2</t>
  </si>
  <si>
    <t>MIS-X6</t>
  </si>
  <si>
    <t>MIS04</t>
  </si>
  <si>
    <t>MIS07</t>
  </si>
  <si>
    <t>MIS15</t>
  </si>
  <si>
    <t>NS15</t>
  </si>
  <si>
    <t>NS16</t>
  </si>
  <si>
    <t>PETER-NGO-LT</t>
  </si>
  <si>
    <t>QA-VN00990</t>
  </si>
  <si>
    <t>QA-VN13073</t>
  </si>
  <si>
    <t>QC-CUONG00235</t>
  </si>
  <si>
    <t>QC-DONG0931</t>
  </si>
  <si>
    <t>QC-VN00039</t>
  </si>
  <si>
    <t>QC-VN00602</t>
  </si>
  <si>
    <t>QC-VN02972</t>
  </si>
  <si>
    <t>QC-VN09442</t>
  </si>
  <si>
    <t>QC-VN10186</t>
  </si>
  <si>
    <t>QC-VN24125</t>
  </si>
  <si>
    <t>QC604</t>
  </si>
  <si>
    <t>QLK-HAI</t>
  </si>
  <si>
    <t>QLK-VN01936</t>
  </si>
  <si>
    <t>QLSX-MEETING</t>
  </si>
  <si>
    <t>QLSX-VN00116</t>
  </si>
  <si>
    <t>QLSX-VN00637</t>
  </si>
  <si>
    <t>QLSX-VN02547</t>
  </si>
  <si>
    <t>QLSX-VN08886</t>
  </si>
  <si>
    <t>QLSX-VN25783</t>
  </si>
  <si>
    <t>QUYNH-PC</t>
  </si>
  <si>
    <t>THANG677</t>
  </si>
  <si>
    <t>TM-DONG</t>
  </si>
  <si>
    <t>TM-HAIYEN</t>
  </si>
  <si>
    <t>TM-HUNG</t>
  </si>
  <si>
    <t>TM-THANH</t>
  </si>
  <si>
    <t>TM-VN17952</t>
  </si>
  <si>
    <t>TM-XUANTHE</t>
  </si>
  <si>
    <t>TM20</t>
  </si>
  <si>
    <t>TM27</t>
  </si>
  <si>
    <t>TOAN-4021</t>
  </si>
  <si>
    <t>TONGDAI3</t>
  </si>
  <si>
    <t>TONGDAI6</t>
  </si>
  <si>
    <t>TRUNG1644</t>
  </si>
  <si>
    <t>WIRECUT03</t>
  </si>
  <si>
    <t>XIMA-VN08605</t>
  </si>
  <si>
    <t>XIMA01</t>
  </si>
  <si>
    <t>XIMA02</t>
  </si>
  <si>
    <t>XIMA03</t>
  </si>
  <si>
    <t>XNK09</t>
  </si>
  <si>
    <t>#00116</t>
  </si>
  <si>
    <t>#00637</t>
  </si>
  <si>
    <t>#02547</t>
  </si>
  <si>
    <t>#25783</t>
  </si>
  <si>
    <t>#10029</t>
  </si>
  <si>
    <t>VPX141</t>
  </si>
  <si>
    <t>#26309</t>
  </si>
  <si>
    <t>#00039</t>
  </si>
  <si>
    <t>#00602</t>
  </si>
  <si>
    <t>#02972</t>
  </si>
  <si>
    <t>QC-VN03359</t>
  </si>
  <si>
    <t>#03359</t>
  </si>
  <si>
    <t>#09442</t>
  </si>
  <si>
    <t>#10186</t>
  </si>
  <si>
    <t>QC-VN12095</t>
  </si>
  <si>
    <t>#12095</t>
  </si>
  <si>
    <t>CMM</t>
  </si>
  <si>
    <t>192.168.31.103</t>
  </si>
  <si>
    <t>#24007</t>
  </si>
  <si>
    <t>CV2000</t>
  </si>
  <si>
    <t>10.10.10.13</t>
  </si>
  <si>
    <t>DOLUONG-SOI1</t>
  </si>
  <si>
    <t>10.10.1.1/192.168.31.102</t>
  </si>
  <si>
    <t>#04843</t>
  </si>
  <si>
    <t>DOLUONG-SOI2</t>
  </si>
  <si>
    <t>10.10.1.4</t>
  </si>
  <si>
    <t>DOLUONG-SOI3</t>
  </si>
  <si>
    <t>none</t>
  </si>
  <si>
    <t>FARO-NEW</t>
  </si>
  <si>
    <t>192.168.33.130</t>
  </si>
  <si>
    <t>FARO-X6</t>
  </si>
  <si>
    <t>10.10.1.3</t>
  </si>
  <si>
    <t>FARO-X601</t>
  </si>
  <si>
    <t>10.10.1.22</t>
  </si>
  <si>
    <t>#20369</t>
  </si>
  <si>
    <t>GOMPC</t>
  </si>
  <si>
    <t>10.10.1.8</t>
  </si>
  <si>
    <t>KEONEN</t>
  </si>
  <si>
    <t>10.10.1.7</t>
  </si>
  <si>
    <t>QC122</t>
  </si>
  <si>
    <t>10.10.1.2</t>
  </si>
  <si>
    <t>THULUC</t>
  </si>
  <si>
    <t>10.10.1.5</t>
  </si>
  <si>
    <t>#02716</t>
  </si>
  <si>
    <t>HAN110</t>
  </si>
  <si>
    <t>192.168.31.70/192.168.2.100</t>
  </si>
  <si>
    <t>HAN113</t>
  </si>
  <si>
    <t>192.168.32.35</t>
  </si>
  <si>
    <t>#04419</t>
  </si>
  <si>
    <t>192.168.31.59</t>
  </si>
  <si>
    <t>#25988</t>
  </si>
  <si>
    <t>192.168.32.15</t>
  </si>
  <si>
    <t>#00860</t>
  </si>
  <si>
    <t>#05077</t>
  </si>
  <si>
    <t>#24123</t>
  </si>
  <si>
    <t>CNC-3D</t>
  </si>
  <si>
    <t>192.168.32.200</t>
  </si>
  <si>
    <t>#07286</t>
  </si>
  <si>
    <t>#26001</t>
  </si>
  <si>
    <t>192.168.32.14</t>
  </si>
  <si>
    <t>#00677</t>
  </si>
  <si>
    <t>#16118</t>
  </si>
  <si>
    <t>#04210</t>
  </si>
  <si>
    <t>HAN311</t>
  </si>
  <si>
    <t>192.168.32.8\172.16.30.1</t>
  </si>
  <si>
    <t>192.168.32.28</t>
  </si>
  <si>
    <t>#00293</t>
  </si>
  <si>
    <t>HAN3-VN00884</t>
  </si>
  <si>
    <t>#01644</t>
  </si>
  <si>
    <t>192.168.32.91</t>
  </si>
  <si>
    <t>#24789</t>
  </si>
  <si>
    <t>192.168.32.92</t>
  </si>
  <si>
    <t>#25010</t>
  </si>
  <si>
    <t>192.168.32.93</t>
  </si>
  <si>
    <t>#24919</t>
  </si>
  <si>
    <t>XIMA06</t>
  </si>
  <si>
    <t>192.168.32.96</t>
  </si>
  <si>
    <t>#01644(XRAY)</t>
  </si>
  <si>
    <t>#08605</t>
  </si>
  <si>
    <t>KD-16363</t>
  </si>
  <si>
    <t>#16363</t>
  </si>
  <si>
    <t>#01014</t>
  </si>
  <si>
    <t>#10839</t>
  </si>
  <si>
    <t>KD-EmmaDung</t>
  </si>
  <si>
    <t>#11581</t>
  </si>
  <si>
    <t>#11288</t>
  </si>
  <si>
    <t>#1777</t>
  </si>
  <si>
    <t>#08787</t>
  </si>
  <si>
    <t>#03423</t>
  </si>
  <si>
    <t>#24329</t>
  </si>
  <si>
    <t>#10704</t>
  </si>
  <si>
    <t>#24338</t>
  </si>
  <si>
    <t>#24323</t>
  </si>
  <si>
    <t>KD-OANH</t>
  </si>
  <si>
    <t>#11799</t>
  </si>
  <si>
    <t>#25842</t>
  </si>
  <si>
    <t>#19423</t>
  </si>
  <si>
    <t>#10951</t>
  </si>
  <si>
    <t>#11593</t>
  </si>
  <si>
    <t>#22391</t>
  </si>
  <si>
    <t>#26344</t>
  </si>
  <si>
    <t>192.168.90.29</t>
  </si>
  <si>
    <t>#26157</t>
  </si>
  <si>
    <t>192.168.30.31</t>
  </si>
  <si>
    <t>#26345</t>
  </si>
  <si>
    <t>#25814</t>
  </si>
  <si>
    <t>#17064</t>
  </si>
  <si>
    <t>#26156</t>
  </si>
  <si>
    <t>192.168.34.77</t>
  </si>
  <si>
    <t>#24642</t>
  </si>
  <si>
    <t>#25757</t>
  </si>
  <si>
    <t>192.168.34.80</t>
  </si>
  <si>
    <t>#10788</t>
  </si>
  <si>
    <t>#01914</t>
  </si>
  <si>
    <t>#00658</t>
  </si>
  <si>
    <t>#01656</t>
  </si>
  <si>
    <t>TM-LINH</t>
  </si>
  <si>
    <t>#24509</t>
  </si>
  <si>
    <t>TM-VN17578</t>
  </si>
  <si>
    <t>#08889</t>
  </si>
  <si>
    <t>192.168.34.142</t>
  </si>
  <si>
    <t>DAOTAO-X6</t>
  </si>
  <si>
    <t>172.16.31.201</t>
  </si>
  <si>
    <t>NSX6.MEET</t>
  </si>
  <si>
    <t>MEETING-M7</t>
  </si>
  <si>
    <t>192.168.90.250</t>
  </si>
  <si>
    <t>M7</t>
  </si>
  <si>
    <t>192.168.90.28</t>
  </si>
  <si>
    <t>#25319</t>
  </si>
  <si>
    <t>192.168.34.30</t>
  </si>
  <si>
    <t>#26363</t>
  </si>
  <si>
    <t>192.168.32.83</t>
  </si>
  <si>
    <t>172.16.31.43</t>
  </si>
  <si>
    <t>#20194</t>
  </si>
  <si>
    <t>#17574</t>
  </si>
  <si>
    <t>#25148</t>
  </si>
  <si>
    <t>#25678</t>
  </si>
  <si>
    <t>#25127</t>
  </si>
  <si>
    <t>#25354</t>
  </si>
  <si>
    <t>192.168.30.49</t>
  </si>
  <si>
    <t>#26027</t>
  </si>
  <si>
    <t>#26277</t>
  </si>
  <si>
    <t>192.168.33.1</t>
  </si>
  <si>
    <t>#26038</t>
  </si>
  <si>
    <t>192.168.33.5</t>
  </si>
  <si>
    <t>#25956</t>
  </si>
  <si>
    <t>192.168.33.29</t>
  </si>
  <si>
    <t>#26307</t>
  </si>
  <si>
    <t>#26306</t>
  </si>
  <si>
    <t>#17730</t>
  </si>
  <si>
    <t>#25639</t>
  </si>
  <si>
    <t>#17724</t>
  </si>
  <si>
    <t>#25658</t>
  </si>
  <si>
    <t>KF-MEETING</t>
  </si>
  <si>
    <t>192.168.33.253</t>
  </si>
  <si>
    <t>KF.MEETING</t>
  </si>
  <si>
    <t>KF-PAMSTAMP</t>
  </si>
  <si>
    <t>192.168.33.206</t>
  </si>
  <si>
    <t>#00799</t>
  </si>
  <si>
    <t>KF-VN02642</t>
  </si>
  <si>
    <t>#02642</t>
  </si>
  <si>
    <t>#06382</t>
  </si>
  <si>
    <t>KF-VN10785</t>
  </si>
  <si>
    <t>#10785</t>
  </si>
  <si>
    <t>KF-VN24410</t>
  </si>
  <si>
    <t>#24410</t>
  </si>
  <si>
    <t>KF-VN26040</t>
  </si>
  <si>
    <t>#26040</t>
  </si>
  <si>
    <t>CNC</t>
  </si>
  <si>
    <t xml:space="preserve"> 192.192.200.2</t>
  </si>
  <si>
    <t>#15374</t>
  </si>
  <si>
    <t>CNC11</t>
  </si>
  <si>
    <t>192.168.33.160/192.192.200.131</t>
  </si>
  <si>
    <t>#11706</t>
  </si>
  <si>
    <t>CNC12</t>
  </si>
  <si>
    <t>192.192.200.132</t>
  </si>
  <si>
    <t>#08904</t>
  </si>
  <si>
    <t>CNC14</t>
  </si>
  <si>
    <t>192.168.33.163/192.168.200.3</t>
  </si>
  <si>
    <t>#10567</t>
  </si>
  <si>
    <t>CNC4</t>
  </si>
  <si>
    <t>192.192.200.4</t>
  </si>
  <si>
    <t>#03412</t>
  </si>
  <si>
    <t>KM11</t>
  </si>
  <si>
    <t>#00264</t>
  </si>
  <si>
    <t>KM-Laser</t>
  </si>
  <si>
    <t>192.168.33.129/ 192.192.100.20</t>
  </si>
  <si>
    <t>#10605</t>
  </si>
  <si>
    <t>192.168.33.128</t>
  </si>
  <si>
    <t>KM.MEET</t>
  </si>
  <si>
    <t>WIRECUT01</t>
  </si>
  <si>
    <t>192.168.0.55</t>
  </si>
  <si>
    <t>#04506</t>
  </si>
  <si>
    <t>WIRECUT02</t>
  </si>
  <si>
    <t>192.168.33.132/192.168.0.100</t>
  </si>
  <si>
    <t>#01066</t>
  </si>
  <si>
    <t>192.168.33.134/ 192.168.0.99</t>
  </si>
  <si>
    <t>#00640</t>
  </si>
  <si>
    <t>QA-VN00993</t>
  </si>
  <si>
    <t>#00993</t>
  </si>
  <si>
    <t>#13073</t>
  </si>
  <si>
    <t>192.168.34.11</t>
  </si>
  <si>
    <t>#15704</t>
  </si>
  <si>
    <t>#20390</t>
  </si>
  <si>
    <t>192.168.34.17</t>
  </si>
  <si>
    <t>#04365</t>
  </si>
  <si>
    <t>192.168.34.27</t>
  </si>
  <si>
    <t>#10199</t>
  </si>
  <si>
    <t>192.168.34.28</t>
  </si>
  <si>
    <t>192.168.34.29</t>
  </si>
  <si>
    <t>#26071</t>
  </si>
  <si>
    <t>#02529</t>
  </si>
  <si>
    <t>#19908</t>
  </si>
  <si>
    <t>#03073</t>
  </si>
  <si>
    <t>TP314</t>
  </si>
  <si>
    <t>192.168.34.26</t>
  </si>
  <si>
    <t>QLTB03</t>
  </si>
  <si>
    <t>192.168.34.221</t>
  </si>
  <si>
    <t>QUOCTOAN</t>
  </si>
  <si>
    <t>#00334</t>
  </si>
  <si>
    <t>BOT_AR</t>
  </si>
  <si>
    <t>192.168.23.20</t>
  </si>
  <si>
    <t>#25677</t>
  </si>
  <si>
    <t>KT-CANH</t>
  </si>
  <si>
    <t>#05479</t>
  </si>
  <si>
    <t>192.168.23.63</t>
  </si>
  <si>
    <t>#01021</t>
  </si>
  <si>
    <t>#02065</t>
  </si>
  <si>
    <t>DUC15</t>
  </si>
  <si>
    <t>#01876</t>
  </si>
  <si>
    <t>192.168.23.18</t>
  </si>
  <si>
    <t/>
  </si>
  <si>
    <t>#24124</t>
  </si>
  <si>
    <t>#24914</t>
  </si>
  <si>
    <t>192.168.23.71</t>
  </si>
  <si>
    <t>#25843</t>
  </si>
  <si>
    <t>192.168.23.74</t>
  </si>
  <si>
    <t>#25860</t>
  </si>
  <si>
    <t>192.168.23.103</t>
  </si>
  <si>
    <t>#01795</t>
  </si>
  <si>
    <t>192.168.23.100</t>
  </si>
  <si>
    <t>#25844</t>
  </si>
  <si>
    <t>192.168.23.101</t>
  </si>
  <si>
    <t>192.168.23.102</t>
  </si>
  <si>
    <t>#25830</t>
  </si>
  <si>
    <t>#26368</t>
  </si>
  <si>
    <t>KTKP 
開發工程課</t>
  </si>
  <si>
    <t>#00931</t>
  </si>
  <si>
    <t>QCX202</t>
  </si>
  <si>
    <t>192.168.23.72</t>
  </si>
  <si>
    <t>#06831</t>
  </si>
  <si>
    <t>#20718</t>
  </si>
  <si>
    <t>CMM-2</t>
  </si>
  <si>
    <t>10.10.1.16</t>
  </si>
  <si>
    <t>#08555</t>
  </si>
  <si>
    <t>DOLUONG201</t>
  </si>
  <si>
    <t>10.10.1.14</t>
  </si>
  <si>
    <t>DOTRU</t>
  </si>
  <si>
    <t>10.10.1.11</t>
  </si>
  <si>
    <t>LAY-OUT</t>
  </si>
  <si>
    <t>10.10.1.15</t>
  </si>
  <si>
    <t>MITUTOY</t>
  </si>
  <si>
    <t>10.10.1.12/192.168.23.135</t>
  </si>
  <si>
    <t>QUANGPHO</t>
  </si>
  <si>
    <t>#03671</t>
  </si>
  <si>
    <t>#05574</t>
  </si>
  <si>
    <t>192.168.22.9</t>
  </si>
  <si>
    <t>#04021</t>
  </si>
  <si>
    <t>192.168.22.25</t>
  </si>
  <si>
    <t>#19426</t>
  </si>
  <si>
    <t>FARO X5</t>
  </si>
  <si>
    <t>192.168.22.26</t>
  </si>
  <si>
    <t>SOI X5</t>
  </si>
  <si>
    <t>192.168.22.28</t>
  </si>
  <si>
    <t>#16762</t>
  </si>
  <si>
    <t>192.168.22.8</t>
  </si>
  <si>
    <t>192.168.22.12</t>
  </si>
  <si>
    <t>#07045</t>
  </si>
  <si>
    <t>#26041</t>
  </si>
  <si>
    <t>#14920</t>
  </si>
  <si>
    <t>192.168.22.10</t>
  </si>
  <si>
    <t>#10034</t>
  </si>
  <si>
    <t>DAP5-VN00256</t>
  </si>
  <si>
    <t>DAP5-VN00279</t>
  </si>
  <si>
    <t>#25606</t>
  </si>
  <si>
    <t>HAIVP</t>
  </si>
  <si>
    <t>192.168.40.31</t>
  </si>
  <si>
    <t>#24322</t>
  </si>
  <si>
    <t>192.168.40.24</t>
  </si>
  <si>
    <t>#26350</t>
  </si>
  <si>
    <t>192.168.40.27</t>
  </si>
  <si>
    <t>#26223</t>
  </si>
  <si>
    <t>#25758</t>
  </si>
  <si>
    <t>#26315</t>
  </si>
  <si>
    <t>CAT-LASER</t>
  </si>
  <si>
    <t>172.16.31.35</t>
  </si>
  <si>
    <t>#19951 + #20612</t>
  </si>
  <si>
    <t>#26166</t>
  </si>
  <si>
    <t>172.16.31.33</t>
  </si>
  <si>
    <t>#01909</t>
  </si>
  <si>
    <t>172.16.31.36</t>
  </si>
  <si>
    <t>#11457</t>
  </si>
  <si>
    <t>172.16.31.19</t>
  </si>
  <si>
    <t>#25894</t>
  </si>
  <si>
    <t>#00413</t>
  </si>
  <si>
    <t>172.16.31.98</t>
  </si>
  <si>
    <t>#00046</t>
  </si>
  <si>
    <t>172.16.31.99</t>
  </si>
  <si>
    <t>#00941</t>
  </si>
  <si>
    <t>HAN610</t>
  </si>
  <si>
    <t>172.16.31.100</t>
  </si>
  <si>
    <t>#25906</t>
  </si>
  <si>
    <t>172.16.31.57</t>
  </si>
  <si>
    <t>#26470</t>
  </si>
  <si>
    <t>#00834</t>
  </si>
  <si>
    <t>#26158</t>
  </si>
  <si>
    <t>BIENDANG</t>
  </si>
  <si>
    <t>10.10.1.19</t>
  </si>
  <si>
    <t>CMM6</t>
  </si>
  <si>
    <t>10.10.1.21</t>
  </si>
  <si>
    <t>DOTRU6</t>
  </si>
  <si>
    <t>10.10.1.18</t>
  </si>
  <si>
    <t>FAROX1</t>
  </si>
  <si>
    <t>10.10.1.9</t>
  </si>
  <si>
    <t>LEICA</t>
  </si>
  <si>
    <t>10.10.1.20/172.16.31.21</t>
  </si>
  <si>
    <t>#24206</t>
  </si>
  <si>
    <t>SPECTRO</t>
  </si>
  <si>
    <t>10.10.1.17</t>
  </si>
  <si>
    <t>CHENSON</t>
  </si>
  <si>
    <r>
      <t xml:space="preserve">QLSX X1
</t>
    </r>
    <r>
      <rPr>
        <sz val="12"/>
        <color rgb="FF0000FF"/>
        <rFont val="Times New Roman"/>
        <family val="1"/>
      </rPr>
      <t>一廠生管</t>
    </r>
  </si>
  <si>
    <r>
      <t xml:space="preserve">HAN1
</t>
    </r>
    <r>
      <rPr>
        <sz val="12"/>
        <color rgb="FF0000FF"/>
        <rFont val="Times New Roman"/>
        <family val="1"/>
      </rPr>
      <t>一廠焊接</t>
    </r>
  </si>
  <si>
    <r>
      <t xml:space="preserve">KHO NL1
</t>
    </r>
    <r>
      <rPr>
        <sz val="12"/>
        <color rgb="FF0000FF"/>
        <rFont val="Times New Roman"/>
        <family val="1"/>
      </rPr>
      <t>一廠原料倉庫</t>
    </r>
  </si>
  <si>
    <r>
      <t xml:space="preserve">DAP1
</t>
    </r>
    <r>
      <rPr>
        <sz val="12"/>
        <color rgb="FF0000FF"/>
        <rFont val="Times New Roman"/>
        <family val="1"/>
      </rPr>
      <t>一廠沖壓</t>
    </r>
  </si>
  <si>
    <r>
      <t xml:space="preserve">SON1
</t>
    </r>
    <r>
      <rPr>
        <sz val="12"/>
        <color rgb="FF0000FF"/>
        <rFont val="Times New Roman"/>
        <family val="1"/>
      </rPr>
      <t>一廠塗裝</t>
    </r>
  </si>
  <si>
    <r>
      <t xml:space="preserve">KHO LK1
</t>
    </r>
    <r>
      <rPr>
        <sz val="12"/>
        <color rgb="FF0000FF"/>
        <rFont val="Times New Roman"/>
        <family val="1"/>
      </rPr>
      <t>一廠零件倉庫</t>
    </r>
  </si>
  <si>
    <r>
      <t xml:space="preserve">SON3
</t>
    </r>
    <r>
      <rPr>
        <sz val="12"/>
        <color rgb="FF0000FF"/>
        <rFont val="Times New Roman"/>
        <family val="1"/>
      </rPr>
      <t>三廠塗裝</t>
    </r>
  </si>
  <si>
    <r>
      <t xml:space="preserve">KHO LK3
</t>
    </r>
    <r>
      <rPr>
        <sz val="12"/>
        <color rgb="FF0000FF"/>
        <rFont val="Times New Roman"/>
        <family val="1"/>
      </rPr>
      <t>三廠零件倉庫</t>
    </r>
  </si>
  <si>
    <r>
      <t xml:space="preserve">DAP3
</t>
    </r>
    <r>
      <rPr>
        <sz val="12"/>
        <color rgb="FF0000FF"/>
        <rFont val="Times New Roman"/>
        <family val="1"/>
      </rPr>
      <t>三廠沖壓</t>
    </r>
  </si>
  <si>
    <r>
      <t xml:space="preserve">LAPRAP
</t>
    </r>
    <r>
      <rPr>
        <sz val="12"/>
        <color rgb="FF0000FF"/>
        <rFont val="Times New Roman"/>
        <family val="1"/>
      </rPr>
      <t>組裝</t>
    </r>
  </si>
  <si>
    <r>
      <t xml:space="preserve">HAN3
</t>
    </r>
    <r>
      <rPr>
        <sz val="12"/>
        <color rgb="FF0000FF"/>
        <rFont val="Times New Roman"/>
        <family val="1"/>
      </rPr>
      <t>三廠焊接</t>
    </r>
  </si>
  <si>
    <r>
      <t xml:space="preserve">XIMA
</t>
    </r>
    <r>
      <rPr>
        <sz val="12"/>
        <color rgb="FF0000FF"/>
        <rFont val="Times New Roman"/>
        <family val="1"/>
      </rPr>
      <t>電鍍</t>
    </r>
  </si>
  <si>
    <r>
      <t xml:space="preserve">KINHDOANH
</t>
    </r>
    <r>
      <rPr>
        <sz val="12"/>
        <color rgb="FF0000FF"/>
        <rFont val="Times New Roman"/>
        <family val="1"/>
      </rPr>
      <t>業務</t>
    </r>
  </si>
  <si>
    <r>
      <t xml:space="preserve">GDO
</t>
    </r>
    <r>
      <rPr>
        <sz val="12"/>
        <color rgb="FF0000FF"/>
        <rFont val="Times New Roman"/>
        <family val="1"/>
      </rPr>
      <t>總經理室</t>
    </r>
  </si>
  <si>
    <r>
      <t xml:space="preserve">KTSX
</t>
    </r>
    <r>
      <rPr>
        <sz val="12"/>
        <color rgb="FF0000FF"/>
        <rFont val="Times New Roman"/>
        <family val="1"/>
      </rPr>
      <t>生技</t>
    </r>
  </si>
  <si>
    <r>
      <t xml:space="preserve">THUMUA
</t>
    </r>
    <r>
      <rPr>
        <sz val="12"/>
        <color rgb="FF0000FF"/>
        <rFont val="Times New Roman"/>
        <family val="1"/>
      </rPr>
      <t>採購</t>
    </r>
  </si>
  <si>
    <r>
      <t xml:space="preserve">NHANSU
</t>
    </r>
    <r>
      <rPr>
        <sz val="12"/>
        <color rgb="FF0000FF"/>
        <rFont val="Times New Roman"/>
        <family val="1"/>
      </rPr>
      <t>人事</t>
    </r>
  </si>
  <si>
    <r>
      <t xml:space="preserve">YTE
</t>
    </r>
    <r>
      <rPr>
        <sz val="12"/>
        <color rgb="FF0000FF"/>
        <rFont val="Times New Roman"/>
        <family val="1"/>
      </rPr>
      <t>醫療</t>
    </r>
  </si>
  <si>
    <r>
      <t xml:space="preserve">ATMT
</t>
    </r>
    <r>
      <rPr>
        <sz val="12"/>
        <color rgb="FF0000FF"/>
        <rFont val="Times New Roman"/>
        <family val="1"/>
      </rPr>
      <t>安環市</t>
    </r>
  </si>
  <si>
    <r>
      <t xml:space="preserve">XNK
</t>
    </r>
    <r>
      <rPr>
        <sz val="12"/>
        <color rgb="FF0000FF"/>
        <rFont val="Times New Roman"/>
        <family val="1"/>
      </rPr>
      <t>進出口</t>
    </r>
  </si>
  <si>
    <r>
      <t xml:space="preserve">KSNB
</t>
    </r>
    <r>
      <rPr>
        <sz val="12"/>
        <color rgb="FF0000FF"/>
        <rFont val="Times New Roman"/>
        <family val="1"/>
      </rPr>
      <t>稽核室</t>
    </r>
  </si>
  <si>
    <r>
      <t xml:space="preserve">KM
</t>
    </r>
    <r>
      <rPr>
        <sz val="12"/>
        <color rgb="FF0000FF"/>
        <rFont val="Times New Roman"/>
        <family val="1"/>
      </rPr>
      <t>模具</t>
    </r>
  </si>
  <si>
    <r>
      <t xml:space="preserve">DAP4
</t>
    </r>
    <r>
      <rPr>
        <sz val="12"/>
        <color rgb="FF0000FF"/>
        <rFont val="Times New Roman"/>
        <family val="1"/>
      </rPr>
      <t>四廠沖壓</t>
    </r>
  </si>
  <si>
    <r>
      <t xml:space="preserve">KHO TP3
</t>
    </r>
    <r>
      <rPr>
        <sz val="12"/>
        <color rgb="FF0000FF"/>
        <rFont val="Times New Roman"/>
        <family val="1"/>
      </rPr>
      <t>三廠成品倉庫</t>
    </r>
  </si>
  <si>
    <r>
      <t xml:space="preserve">CVU
</t>
    </r>
    <r>
      <rPr>
        <sz val="12"/>
        <color rgb="FF0000FF"/>
        <rFont val="Times New Roman"/>
        <family val="1"/>
      </rPr>
      <t>公務</t>
    </r>
  </si>
  <si>
    <r>
      <t xml:space="preserve">QLTB
</t>
    </r>
    <r>
      <rPr>
        <sz val="12"/>
        <color rgb="FF0000FF"/>
        <rFont val="Times New Roman"/>
        <family val="1"/>
      </rPr>
      <t>設管</t>
    </r>
  </si>
  <si>
    <r>
      <t xml:space="preserve">KETOAN
</t>
    </r>
    <r>
      <rPr>
        <sz val="12"/>
        <color rgb="FF0000FF"/>
        <rFont val="Times New Roman"/>
        <family val="1"/>
      </rPr>
      <t>會計</t>
    </r>
  </si>
  <si>
    <r>
      <t xml:space="preserve">DUC
</t>
    </r>
    <r>
      <rPr>
        <sz val="12"/>
        <color rgb="FF0000FF"/>
        <rFont val="Times New Roman"/>
        <family val="1"/>
      </rPr>
      <t>壓鑄</t>
    </r>
  </si>
  <si>
    <r>
      <t xml:space="preserve">GIACONG
</t>
    </r>
    <r>
      <rPr>
        <sz val="12"/>
        <color rgb="FF0000FF"/>
        <rFont val="Times New Roman"/>
        <family val="1"/>
      </rPr>
      <t>加工</t>
    </r>
  </si>
  <si>
    <r>
      <t xml:space="preserve">KHO TP2
</t>
    </r>
    <r>
      <rPr>
        <sz val="12"/>
        <color rgb="FF0000FF"/>
        <rFont val="Times New Roman"/>
        <family val="1"/>
      </rPr>
      <t>二廠成品倉庫</t>
    </r>
  </si>
  <si>
    <r>
      <t xml:space="preserve">SON2
</t>
    </r>
    <r>
      <rPr>
        <sz val="12"/>
        <color rgb="FF0000FF"/>
        <rFont val="Times New Roman"/>
        <family val="1"/>
      </rPr>
      <t>二廠塗裝</t>
    </r>
  </si>
  <si>
    <r>
      <t xml:space="preserve">QLSX2
</t>
    </r>
    <r>
      <rPr>
        <sz val="12"/>
        <color rgb="FF0000FF"/>
        <rFont val="Times New Roman"/>
        <family val="1"/>
      </rPr>
      <t>二廠生管</t>
    </r>
  </si>
  <si>
    <r>
      <t xml:space="preserve">CAN ONG
</t>
    </r>
    <r>
      <rPr>
        <sz val="12"/>
        <color rgb="FF0000FF"/>
        <rFont val="Times New Roman"/>
        <family val="1"/>
      </rPr>
      <t>製管</t>
    </r>
  </si>
  <si>
    <r>
      <t xml:space="preserve">HAN5A
</t>
    </r>
    <r>
      <rPr>
        <sz val="12"/>
        <color rgb="FF0000FF"/>
        <rFont val="Times New Roman"/>
        <family val="1"/>
      </rPr>
      <t>五廠 A 焊接</t>
    </r>
  </si>
  <si>
    <r>
      <t xml:space="preserve">DAP5
</t>
    </r>
    <r>
      <rPr>
        <sz val="12"/>
        <color rgb="FF0000FF"/>
        <rFont val="Times New Roman"/>
        <family val="1"/>
      </rPr>
      <t>五廠沖壓</t>
    </r>
  </si>
  <si>
    <r>
      <t xml:space="preserve">HAN5
</t>
    </r>
    <r>
      <rPr>
        <sz val="12"/>
        <color rgb="FF0000FF"/>
        <rFont val="Times New Roman"/>
        <family val="1"/>
      </rPr>
      <t>五廠焊接</t>
    </r>
  </si>
  <si>
    <r>
      <t xml:space="preserve">ATTT
</t>
    </r>
    <r>
      <rPr>
        <sz val="12"/>
        <color rgb="FF0000FF"/>
        <rFont val="Times New Roman"/>
        <family val="1"/>
      </rPr>
      <t>資安室</t>
    </r>
  </si>
  <si>
    <r>
      <t xml:space="preserve">QLK6
</t>
    </r>
    <r>
      <rPr>
        <sz val="12"/>
        <color rgb="FF0000FF"/>
        <rFont val="Times New Roman"/>
        <family val="1"/>
      </rPr>
      <t>六廠倉管</t>
    </r>
  </si>
  <si>
    <r>
      <t xml:space="preserve">DAP6
</t>
    </r>
    <r>
      <rPr>
        <sz val="12"/>
        <color rgb="FF0000FF"/>
        <rFont val="Times New Roman"/>
        <family val="1"/>
      </rPr>
      <t>六廠沖壓</t>
    </r>
  </si>
  <si>
    <r>
      <t xml:space="preserve">HAN6
</t>
    </r>
    <r>
      <rPr>
        <sz val="12"/>
        <color rgb="FF0000FF"/>
        <rFont val="Times New Roman"/>
        <family val="1"/>
      </rPr>
      <t>六廠焊接</t>
    </r>
  </si>
  <si>
    <r>
      <t xml:space="preserve">LAPRAP6
</t>
    </r>
    <r>
      <rPr>
        <sz val="12"/>
        <color rgb="FF0000FF"/>
        <rFont val="Times New Roman"/>
        <family val="1"/>
      </rPr>
      <t>六廠組裝</t>
    </r>
  </si>
  <si>
    <r>
      <t xml:space="preserve">SON6
</t>
    </r>
    <r>
      <rPr>
        <sz val="12"/>
        <color rgb="FF0000FF"/>
        <rFont val="Times New Roman"/>
        <family val="1"/>
      </rPr>
      <t>六廠塗裝</t>
    </r>
  </si>
  <si>
    <r>
      <t xml:space="preserve">QLSX6
</t>
    </r>
    <r>
      <rPr>
        <sz val="12"/>
        <color rgb="FF0000FF"/>
        <rFont val="Times New Roman"/>
        <family val="1"/>
      </rPr>
      <t>六廠生管</t>
    </r>
  </si>
  <si>
    <t>P</t>
  </si>
  <si>
    <t>JAMES</t>
  </si>
  <si>
    <t>ANDY</t>
  </si>
  <si>
    <t>ROBERT-PC</t>
  </si>
  <si>
    <t>MING</t>
  </si>
  <si>
    <t>MR.ArthurWang</t>
  </si>
  <si>
    <t>GLEN</t>
  </si>
  <si>
    <t>Poyuchen</t>
  </si>
  <si>
    <t>LAPTOP-JAPLIN</t>
  </si>
  <si>
    <t>Jeremychen</t>
  </si>
  <si>
    <t>Mr-Peng</t>
  </si>
  <si>
    <t>ANDY-LEE</t>
  </si>
  <si>
    <t>KEVIN-TSAI</t>
  </si>
  <si>
    <t>MR-JIMTSENG</t>
  </si>
  <si>
    <t>Hsin Lin</t>
  </si>
  <si>
    <t>MR-CHENGLIANGKU</t>
  </si>
  <si>
    <t>MR-WuChungChi</t>
  </si>
  <si>
    <t>MR-TONYLIN</t>
  </si>
  <si>
    <t>PECKZHANG</t>
  </si>
  <si>
    <t>ASUS-NB (laptop Mr.TungLin KSNB)</t>
  </si>
  <si>
    <t>FS-Charlin</t>
  </si>
  <si>
    <t>Marty Lin</t>
  </si>
  <si>
    <t>CHANG HAN QUAN</t>
  </si>
  <si>
    <t>IT</t>
  </si>
  <si>
    <t>DL70</t>
  </si>
  <si>
    <t>DL90</t>
  </si>
  <si>
    <t>TQ53</t>
  </si>
  <si>
    <t>DL110</t>
  </si>
  <si>
    <t>DL114</t>
  </si>
  <si>
    <t>DL119</t>
  </si>
  <si>
    <t>DL125</t>
  </si>
  <si>
    <t>DL122</t>
  </si>
  <si>
    <t>#25918</t>
  </si>
  <si>
    <t>DL06</t>
    <phoneticPr fontId="11" type="noConversion"/>
  </si>
  <si>
    <t>DL19</t>
    <phoneticPr fontId="11" type="noConversion"/>
  </si>
  <si>
    <t>DL134</t>
    <phoneticPr fontId="11" type="noConversion"/>
  </si>
  <si>
    <t>DL136</t>
    <phoneticPr fontId="11" type="noConversion"/>
  </si>
  <si>
    <r>
      <t xml:space="preserve">NHANSU
</t>
    </r>
    <r>
      <rPr>
        <sz val="12"/>
        <color rgb="FF0000FF"/>
        <rFont val="Microsoft JhengHei UI"/>
        <family val="2"/>
        <charset val="136"/>
      </rPr>
      <t>人事</t>
    </r>
  </si>
  <si>
    <t>MR-POWERTY</t>
  </si>
  <si>
    <t>LIAO-KAIFA</t>
  </si>
  <si>
    <t>DAP4-CHANG</t>
  </si>
  <si>
    <t>ARTHUR_WANG</t>
  </si>
  <si>
    <r>
      <t xml:space="preserve">STT
</t>
    </r>
    <r>
      <rPr>
        <b/>
        <sz val="12"/>
        <color rgb="FF0000FF"/>
        <rFont val="Microsoft JhengHei"/>
        <family val="2"/>
        <charset val="134"/>
      </rPr>
      <t>序號</t>
    </r>
  </si>
  <si>
    <r>
      <t xml:space="preserve">Bộ phận
</t>
    </r>
    <r>
      <rPr>
        <b/>
        <sz val="11"/>
        <color rgb="FF0000FF"/>
        <rFont val="Microsoft JhengHei"/>
        <family val="2"/>
        <charset val="134"/>
      </rPr>
      <t>部門</t>
    </r>
  </si>
  <si>
    <r>
      <t xml:space="preserve">Ngày thực hiện
</t>
    </r>
    <r>
      <rPr>
        <b/>
        <sz val="12"/>
        <color rgb="FF0000FF"/>
        <rFont val="Microsoft JhengHei"/>
        <family val="2"/>
        <charset val="134"/>
      </rPr>
      <t>執行日期</t>
    </r>
    <phoneticPr fontId="24" type="noConversion"/>
  </si>
  <si>
    <r>
      <t xml:space="preserve">Ghi chú
</t>
    </r>
    <r>
      <rPr>
        <b/>
        <sz val="12"/>
        <color rgb="FF0000FF"/>
        <rFont val="Microsoft JhengHei"/>
        <family val="2"/>
        <charset val="134"/>
      </rPr>
      <t>備註</t>
    </r>
  </si>
  <si>
    <r>
      <t xml:space="preserve">NHANSU
</t>
    </r>
    <r>
      <rPr>
        <sz val="12"/>
        <color rgb="FF0000FF"/>
        <rFont val="Microsoft JhengHei"/>
        <family val="2"/>
        <charset val="134"/>
      </rPr>
      <t>人事</t>
    </r>
  </si>
  <si>
    <r>
      <t xml:space="preserve">YTE
</t>
    </r>
    <r>
      <rPr>
        <sz val="12"/>
        <color rgb="FF0000FF"/>
        <rFont val="Microsoft JhengHei"/>
        <family val="2"/>
        <charset val="134"/>
      </rPr>
      <t>醫療</t>
    </r>
  </si>
  <si>
    <r>
      <t xml:space="preserve">ATMT
</t>
    </r>
    <r>
      <rPr>
        <sz val="12"/>
        <color rgb="FF0000FF"/>
        <rFont val="Microsoft JhengHei"/>
        <family val="2"/>
        <charset val="134"/>
      </rPr>
      <t>安環市</t>
    </r>
  </si>
  <si>
    <r>
      <t xml:space="preserve">QLTB
</t>
    </r>
    <r>
      <rPr>
        <sz val="12"/>
        <color rgb="FF0000FF"/>
        <rFont val="Microsoft JhengHei"/>
        <family val="2"/>
        <charset val="134"/>
      </rPr>
      <t>設管</t>
    </r>
  </si>
  <si>
    <r>
      <t xml:space="preserve">QLK6
</t>
    </r>
    <r>
      <rPr>
        <sz val="12"/>
        <color rgb="FF0000FF"/>
        <rFont val="Microsoft JhengHei"/>
        <family val="2"/>
        <charset val="134"/>
      </rPr>
      <t>六廠倉管</t>
    </r>
  </si>
  <si>
    <r>
      <t xml:space="preserve">DOLUONG6
</t>
    </r>
    <r>
      <rPr>
        <sz val="12"/>
        <color rgb="FF0000FF"/>
        <rFont val="Microsoft JhengHei"/>
        <family val="2"/>
        <charset val="134"/>
      </rPr>
      <t>六廠測量</t>
    </r>
    <phoneticPr fontId="24" type="noConversion"/>
  </si>
  <si>
    <r>
      <t xml:space="preserve">DAP6
</t>
    </r>
    <r>
      <rPr>
        <sz val="12"/>
        <color rgb="FF0000FF"/>
        <rFont val="Microsoft JhengHei"/>
        <family val="2"/>
        <charset val="134"/>
      </rPr>
      <t>六廠沖壓</t>
    </r>
  </si>
  <si>
    <r>
      <t xml:space="preserve">HAN6
</t>
    </r>
    <r>
      <rPr>
        <sz val="12"/>
        <color rgb="FF0000FF"/>
        <rFont val="Microsoft JhengHei"/>
        <family val="2"/>
        <charset val="134"/>
      </rPr>
      <t>六廠焊接</t>
    </r>
  </si>
  <si>
    <r>
      <t xml:space="preserve">LAPRAP6
</t>
    </r>
    <r>
      <rPr>
        <sz val="12"/>
        <color rgb="FF0000FF"/>
        <rFont val="Microsoft JhengHei"/>
        <family val="2"/>
        <charset val="134"/>
      </rPr>
      <t>六廠組裝</t>
    </r>
  </si>
  <si>
    <r>
      <t xml:space="preserve">SON6
</t>
    </r>
    <r>
      <rPr>
        <sz val="12"/>
        <color rgb="FF0000FF"/>
        <rFont val="Microsoft JhengHei"/>
        <family val="2"/>
        <charset val="134"/>
      </rPr>
      <t>六廠塗裝</t>
    </r>
  </si>
  <si>
    <r>
      <t xml:space="preserve">QLSX6
</t>
    </r>
    <r>
      <rPr>
        <sz val="12"/>
        <color rgb="FF0000FF"/>
        <rFont val="Microsoft JhengHei"/>
        <family val="2"/>
        <charset val="134"/>
      </rPr>
      <t>六廠生管</t>
    </r>
  </si>
  <si>
    <r>
      <t xml:space="preserve">Xưởng
</t>
    </r>
    <r>
      <rPr>
        <b/>
        <sz val="12"/>
        <color rgb="FF0000FF"/>
        <rFont val="Microsoft JhengHei"/>
        <family val="2"/>
        <charset val="134"/>
      </rPr>
      <t>廠別</t>
    </r>
  </si>
  <si>
    <r>
      <t>Ti</t>
    </r>
    <r>
      <rPr>
        <b/>
        <sz val="12"/>
        <rFont val="Microsoft JhengHei"/>
        <family val="2"/>
        <charset val="134"/>
      </rPr>
      <t>ế</t>
    </r>
    <r>
      <rPr>
        <b/>
        <sz val="12"/>
        <rFont val="Times New Roman"/>
        <family val="1"/>
      </rPr>
      <t xml:space="preserve">n độ
</t>
    </r>
    <r>
      <rPr>
        <b/>
        <sz val="12"/>
        <color rgb="FF0000FF"/>
        <rFont val="Microsoft JhengHei"/>
        <family val="2"/>
        <charset val="134"/>
      </rPr>
      <t>進度</t>
    </r>
    <phoneticPr fontId="24" type="noConversion"/>
  </si>
  <si>
    <r>
      <t xml:space="preserve">Người thực hiện
</t>
    </r>
    <r>
      <rPr>
        <b/>
        <sz val="12"/>
        <color rgb="FF0000FF"/>
        <rFont val="Microsoft JhengHei"/>
        <family val="2"/>
        <charset val="134"/>
      </rPr>
      <t>執行者</t>
    </r>
  </si>
  <si>
    <r>
      <t xml:space="preserve">STT
</t>
    </r>
    <r>
      <rPr>
        <b/>
        <sz val="11"/>
        <color rgb="FF0000FF"/>
        <rFont val="Microsoft JhengHei"/>
        <family val="2"/>
        <charset val="134"/>
      </rPr>
      <t>序號</t>
    </r>
  </si>
  <si>
    <r>
      <t xml:space="preserve">Nội dung công việc
</t>
    </r>
    <r>
      <rPr>
        <b/>
        <sz val="11"/>
        <color rgb="FF0000FF"/>
        <rFont val="Microsoft JhengHei"/>
        <family val="2"/>
        <charset val="134"/>
      </rPr>
      <t>工作內容</t>
    </r>
  </si>
  <si>
    <r>
      <t xml:space="preserve">Trách nhiệm
</t>
    </r>
    <r>
      <rPr>
        <b/>
        <sz val="11"/>
        <color rgb="FF0000FF"/>
        <rFont val="Microsoft JhengHei"/>
        <family val="2"/>
        <charset val="134"/>
      </rPr>
      <t>擔當</t>
    </r>
  </si>
  <si>
    <r>
      <t xml:space="preserve">Tổng hợp báo cáo
</t>
    </r>
    <r>
      <rPr>
        <sz val="12"/>
        <color rgb="FF0000FF"/>
        <rFont val="Microsoft JhengHei"/>
        <family val="2"/>
        <charset val="134"/>
      </rPr>
      <t>彙總報告</t>
    </r>
    <phoneticPr fontId="30" type="noConversion"/>
  </si>
  <si>
    <r>
      <t>Ti</t>
    </r>
    <r>
      <rPr>
        <b/>
        <sz val="11"/>
        <rFont val="Microsoft JhengHei"/>
        <family val="2"/>
        <charset val="134"/>
      </rPr>
      <t>ế</t>
    </r>
    <r>
      <rPr>
        <b/>
        <sz val="11"/>
        <rFont val="Times New Roman"/>
        <family val="1"/>
      </rPr>
      <t xml:space="preserve">n độ
hoàn thành
</t>
    </r>
    <r>
      <rPr>
        <b/>
        <sz val="11"/>
        <color rgb="FF0000FF"/>
        <rFont val="Microsoft JhengHei"/>
        <family val="2"/>
        <charset val="134"/>
      </rPr>
      <t>完成進度</t>
    </r>
  </si>
  <si>
    <r>
      <t>Ngày dự
ki</t>
    </r>
    <r>
      <rPr>
        <b/>
        <sz val="11"/>
        <rFont val="Microsoft JhengHei"/>
        <family val="2"/>
        <charset val="134"/>
      </rPr>
      <t>ế</t>
    </r>
    <r>
      <rPr>
        <b/>
        <sz val="11"/>
        <rFont val="Times New Roman"/>
        <family val="1"/>
      </rPr>
      <t xml:space="preserve">n bắt đầu 
</t>
    </r>
    <r>
      <rPr>
        <b/>
        <sz val="11"/>
        <color rgb="FF0000FF"/>
        <rFont val="Microsoft JhengHei"/>
        <family val="2"/>
        <charset val="134"/>
      </rPr>
      <t>預計開始時間</t>
    </r>
  </si>
  <si>
    <r>
      <t>Ngày dự ki</t>
    </r>
    <r>
      <rPr>
        <b/>
        <sz val="11"/>
        <rFont val="Microsoft JhengHei"/>
        <family val="2"/>
        <charset val="134"/>
      </rPr>
      <t>ế</t>
    </r>
    <r>
      <rPr>
        <b/>
        <sz val="11"/>
        <rFont val="Times New Roman"/>
        <family val="1"/>
      </rPr>
      <t xml:space="preserve">n 
hoàn thành
</t>
    </r>
    <r>
      <rPr>
        <b/>
        <sz val="11"/>
        <color rgb="FF0000FF"/>
        <rFont val="Microsoft JhengHei"/>
        <family val="2"/>
        <charset val="134"/>
      </rPr>
      <t>預計完成時間</t>
    </r>
    <phoneticPr fontId="30" type="noConversion"/>
  </si>
  <si>
    <r>
      <t>Ngày hoàn 
thành thực t</t>
    </r>
    <r>
      <rPr>
        <b/>
        <sz val="11"/>
        <rFont val="Microsoft JhengHei"/>
        <family val="2"/>
        <charset val="134"/>
      </rPr>
      <t xml:space="preserve">ế
</t>
    </r>
    <r>
      <rPr>
        <b/>
        <sz val="11"/>
        <color rgb="FF0000FF"/>
        <rFont val="Microsoft JhengHei"/>
        <family val="2"/>
        <charset val="134"/>
      </rPr>
      <t>實際完成時間</t>
    </r>
    <phoneticPr fontId="30" type="noConversion"/>
  </si>
  <si>
    <r>
      <t>Số lượng PC dự ki</t>
    </r>
    <r>
      <rPr>
        <b/>
        <sz val="11"/>
        <rFont val="Microsoft JhengHei"/>
        <family val="2"/>
        <charset val="134"/>
      </rPr>
      <t>ế</t>
    </r>
    <r>
      <rPr>
        <b/>
        <sz val="11"/>
        <rFont val="Times New Roman"/>
        <family val="1"/>
      </rPr>
      <t xml:space="preserve">n
</t>
    </r>
    <r>
      <rPr>
        <b/>
        <sz val="11"/>
        <color rgb="FF0000FF"/>
        <rFont val="Microsoft JhengHei"/>
        <family val="2"/>
        <charset val="134"/>
      </rPr>
      <t>預計的</t>
    </r>
    <r>
      <rPr>
        <b/>
        <sz val="11"/>
        <color rgb="FF0000FF"/>
        <rFont val="Times New Roman"/>
        <family val="1"/>
      </rPr>
      <t xml:space="preserve"> PC </t>
    </r>
    <r>
      <rPr>
        <b/>
        <sz val="11"/>
        <color rgb="FF0000FF"/>
        <rFont val="Microsoft JhengHei"/>
        <family val="2"/>
        <charset val="134"/>
      </rPr>
      <t>數量</t>
    </r>
  </si>
  <si>
    <r>
      <t>Xây dựng k</t>
    </r>
    <r>
      <rPr>
        <sz val="12"/>
        <color theme="1"/>
        <rFont val="Microsoft JhengHei"/>
        <family val="2"/>
        <charset val="134"/>
      </rPr>
      <t>ế</t>
    </r>
    <r>
      <rPr>
        <sz val="12"/>
        <color theme="1"/>
        <rFont val="Times New Roman"/>
        <family val="1"/>
      </rPr>
      <t xml:space="preserve"> hoạch và phân bổ nhân lực thực hiện
</t>
    </r>
    <r>
      <rPr>
        <sz val="12"/>
        <color rgb="FF0000FF"/>
        <rFont val="Microsoft JhengHei"/>
        <family val="2"/>
        <charset val="134"/>
      </rPr>
      <t>制定計劃並安排人力</t>
    </r>
    <phoneticPr fontId="30" type="noConversion"/>
  </si>
  <si>
    <r>
      <t xml:space="preserve">DOLUONG
</t>
    </r>
    <r>
      <rPr>
        <sz val="12"/>
        <color rgb="FF0000FF"/>
        <rFont val="Times New Roman"/>
        <family val="1"/>
      </rPr>
      <t>測量</t>
    </r>
  </si>
  <si>
    <r>
      <t xml:space="preserve">KTKP 
</t>
    </r>
    <r>
      <rPr>
        <sz val="12"/>
        <color rgb="FF0000FF"/>
        <rFont val="Times New Roman"/>
        <family val="1"/>
      </rPr>
      <t>開發工程課</t>
    </r>
  </si>
  <si>
    <r>
      <t xml:space="preserve">DOLUONG2
</t>
    </r>
    <r>
      <rPr>
        <sz val="12"/>
        <color rgb="FF0000FF"/>
        <rFont val="Times New Roman"/>
        <family val="1"/>
      </rPr>
      <t>二廠測量</t>
    </r>
  </si>
  <si>
    <r>
      <t xml:space="preserve">DOLUONG5
</t>
    </r>
    <r>
      <rPr>
        <sz val="12"/>
        <color rgb="FF0000FF"/>
        <rFont val="Times New Roman"/>
        <family val="1"/>
      </rPr>
      <t>五廠測量</t>
    </r>
  </si>
  <si>
    <r>
      <t xml:space="preserve">QLK5
</t>
    </r>
    <r>
      <rPr>
        <sz val="12"/>
        <color rgb="FF0000FF"/>
        <rFont val="Times New Roman"/>
        <family val="1"/>
      </rPr>
      <t>五廠倉庫</t>
    </r>
  </si>
  <si>
    <r>
      <t xml:space="preserve">Tài Vụ 
</t>
    </r>
    <r>
      <rPr>
        <sz val="12"/>
        <color rgb="FF0000FF"/>
        <rFont val="Times New Roman"/>
        <family val="1"/>
      </rPr>
      <t>財務</t>
    </r>
  </si>
  <si>
    <r>
      <t xml:space="preserve">VPTGD </t>
    </r>
    <r>
      <rPr>
        <sz val="12"/>
        <color rgb="FF0000FF"/>
        <rFont val="Times New Roman"/>
        <family val="1"/>
      </rPr>
      <t xml:space="preserve">總經理室 </t>
    </r>
  </si>
  <si>
    <r>
      <t xml:space="preserve">QC </t>
    </r>
    <r>
      <rPr>
        <sz val="12"/>
        <color rgb="FF0000FF"/>
        <rFont val="Times New Roman"/>
        <family val="1"/>
      </rPr>
      <t>品管</t>
    </r>
  </si>
  <si>
    <r>
      <t xml:space="preserve">Tài Vụ </t>
    </r>
    <r>
      <rPr>
        <sz val="12"/>
        <color rgb="FF0000FF"/>
        <rFont val="Times New Roman"/>
        <family val="1"/>
      </rPr>
      <t>財務</t>
    </r>
  </si>
  <si>
    <r>
      <t xml:space="preserve">Ban sản xuất 6
</t>
    </r>
    <r>
      <rPr>
        <sz val="12"/>
        <color rgb="FF0000FF"/>
        <rFont val="Times New Roman"/>
        <family val="1"/>
      </rPr>
      <t>生六部</t>
    </r>
  </si>
  <si>
    <r>
      <t xml:space="preserve">Ban sản xuất 5
</t>
    </r>
    <r>
      <rPr>
        <sz val="12"/>
        <color rgb="FF0000FF"/>
        <rFont val="Times New Roman"/>
        <family val="1"/>
      </rPr>
      <t>生五部</t>
    </r>
  </si>
  <si>
    <r>
      <t xml:space="preserve">QLSX </t>
    </r>
    <r>
      <rPr>
        <sz val="12"/>
        <color rgb="FF0000FF"/>
        <rFont val="Times New Roman"/>
        <family val="1"/>
      </rPr>
      <t>生管</t>
    </r>
  </si>
  <si>
    <r>
      <t>VPTGD</t>
    </r>
    <r>
      <rPr>
        <sz val="12"/>
        <color rgb="FF0000FF"/>
        <rFont val="Times New Roman"/>
        <family val="1"/>
      </rPr>
      <t xml:space="preserve"> 總經理室 </t>
    </r>
  </si>
  <si>
    <r>
      <t xml:space="preserve">Sơn 3 </t>
    </r>
    <r>
      <rPr>
        <sz val="12"/>
        <color rgb="FF0000FF"/>
        <rFont val="Times New Roman"/>
        <family val="1"/>
      </rPr>
      <t>三廠塗裝</t>
    </r>
  </si>
  <si>
    <r>
      <t>Sơn 3</t>
    </r>
    <r>
      <rPr>
        <sz val="12"/>
        <color rgb="FF0000FF"/>
        <rFont val="Times New Roman"/>
        <family val="1"/>
      </rPr>
      <t xml:space="preserve"> 三廠塗裝</t>
    </r>
  </si>
  <si>
    <t>HAN1-VN00798</t>
  </si>
  <si>
    <t>KTSX
生技</t>
  </si>
  <si>
    <t>Mr-JACKIELIN</t>
  </si>
  <si>
    <t>DL133</t>
  </si>
  <si>
    <t>Kinh Doanh</t>
  </si>
  <si>
    <t>Thu Mua</t>
  </si>
  <si>
    <t>Kaifa Màu</t>
  </si>
  <si>
    <t>kaifa Đen trắng</t>
  </si>
  <si>
    <t>QC</t>
  </si>
  <si>
    <t>QLSX</t>
  </si>
  <si>
    <t>Kế Toán</t>
  </si>
  <si>
    <t>Gia Công màu</t>
  </si>
  <si>
    <t>Gia Công Đen Trắng</t>
  </si>
  <si>
    <t>Xưởng 5 Màu</t>
  </si>
  <si>
    <t>Xưởng 5 Đen trắng</t>
  </si>
  <si>
    <t>QLK TP03</t>
  </si>
  <si>
    <t>FileServer</t>
  </si>
  <si>
    <t>11 Pro</t>
  </si>
  <si>
    <t>Đã hoàn thành
已完成</t>
  </si>
  <si>
    <t>VP Xưởng 3</t>
  </si>
  <si>
    <t>PhotoCopy</t>
  </si>
  <si>
    <t>-</t>
  </si>
  <si>
    <t>Mở giao thức SMB2 tại Xưởng 6</t>
  </si>
  <si>
    <t>Mở giao thức SMB2 tại Xưởng 1</t>
  </si>
  <si>
    <t>Mở giao thức SMB2 tại Xưởng 3</t>
  </si>
  <si>
    <t>Mở giao thức SMB2 tại Xưởng 4</t>
  </si>
  <si>
    <t>Mở giao thức SMB2 tại Xưởng 5</t>
  </si>
  <si>
    <t>Mở giao thức SMB2 tại Xưởng 2</t>
  </si>
  <si>
    <t>Mở giao thức SMB2 Máy tính manage</t>
  </si>
  <si>
    <t xml:space="preserve">KẾ HOẠCH TRIỂN KHAI MỞ GIAO THỨC SMB2
</t>
  </si>
  <si>
    <t>7 Pro</t>
  </si>
  <si>
    <t>XP</t>
  </si>
  <si>
    <t>10 Pro</t>
  </si>
  <si>
    <t>11 Home</t>
  </si>
  <si>
    <t>8 Pro</t>
  </si>
  <si>
    <t>10 Pro OEM</t>
  </si>
  <si>
    <t>X</t>
  </si>
  <si>
    <t>Window</t>
  </si>
  <si>
    <t>Khóa SMB1</t>
  </si>
  <si>
    <t>Mở SMB2</t>
  </si>
  <si>
    <t>- Máy CNC kết nốt máy tính lấy dữ liệu bằng giao thức SMB1</t>
  </si>
  <si>
    <t>Row Labels</t>
  </si>
  <si>
    <t>Grand Total</t>
  </si>
  <si>
    <t>Count of Khóa SMB1</t>
  </si>
  <si>
    <t>Count of Mở SMB2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</si>
</sst>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d/yy;@"/>
    <numFmt numFmtId="165" formatCode="ddd\,\ m/d/yyyy"/>
    <numFmt numFmtId="166" formatCode="dd/mm/yyyy;@"/>
    <numFmt numFmtId="167" formatCode="0_);\(0\)"/>
    <numFmt numFmtId="168" formatCode="mmm"/>
    <numFmt numFmtId="169" formatCode="d"/>
    <numFmt numFmtId="170" formatCode="[$-409]d\-mmm\-yyyy;@"/>
  </numFmts>
  <fonts count="5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2"/>
      <color theme="1"/>
      <name val="Times New Roman"/>
      <family val="1"/>
    </font>
    <font>
      <sz val="12"/>
      <color theme="1"/>
      <name val="Times New Roman"/>
      <family val="1"/>
    </font>
    <font>
      <sz val="12"/>
      <name val="Times New Roman"/>
      <family val="1"/>
    </font>
    <font>
      <sz val="11"/>
      <name val="Times New Roman"/>
      <family val="1"/>
    </font>
    <font>
      <sz val="11"/>
      <color theme="0"/>
      <name val="Calibri"/>
      <family val="2"/>
      <scheme val="minor"/>
    </font>
    <font>
      <sz val="10"/>
      <color theme="1"/>
      <name val="Calibri"/>
      <family val="2"/>
      <scheme val="minor"/>
    </font>
    <font>
      <i/>
      <sz val="9"/>
      <color theme="1"/>
      <name val="Segoe UI"/>
      <family val="2"/>
    </font>
    <font>
      <i/>
      <sz val="10"/>
      <color theme="1"/>
      <name val="Calibri"/>
      <family val="2"/>
      <scheme val="minor"/>
    </font>
    <font>
      <i/>
      <sz val="9"/>
      <color theme="1"/>
      <name val="Calibri"/>
      <family val="2"/>
      <scheme val="minor"/>
    </font>
    <font>
      <sz val="1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sz val="9"/>
      <color theme="1"/>
      <name val="Times New Roman"/>
      <family val="1"/>
    </font>
    <font>
      <sz val="11"/>
      <color theme="1"/>
      <name val="Calibri"/>
      <family val="2"/>
      <scheme val="minor"/>
    </font>
    <font>
      <u/>
      <sz val="11"/>
      <color indexed="12"/>
      <name val="Arial"/>
      <family val="2"/>
    </font>
    <font>
      <b/>
      <sz val="22"/>
      <color theme="1" tint="0.34998626667073579"/>
      <name val="Calibri"/>
      <family val="2"/>
      <scheme val="major"/>
    </font>
    <font>
      <sz val="14"/>
      <color theme="1"/>
      <name val="Calibri"/>
      <family val="2"/>
      <scheme val="minor"/>
    </font>
    <font>
      <sz val="9"/>
      <color rgb="FF0000FF"/>
      <name val="Times New Roman"/>
      <family val="1"/>
    </font>
    <font>
      <sz val="8"/>
      <name val="Calibri"/>
      <family val="2"/>
      <scheme val="minor"/>
    </font>
    <font>
      <sz val="12"/>
      <color rgb="FF0000FF"/>
      <name val="Times New Roman"/>
      <family val="1"/>
    </font>
    <font>
      <sz val="12"/>
      <color rgb="FFFF0000"/>
      <name val="Times New Roman"/>
      <family val="1"/>
    </font>
    <font>
      <sz val="12"/>
      <color rgb="FF000000"/>
      <name val="Times New Roman"/>
      <family val="1"/>
    </font>
    <font>
      <sz val="12"/>
      <color rgb="FF0000FF"/>
      <name val="Microsoft JhengHei UI"/>
      <family val="2"/>
      <charset val="136"/>
    </font>
    <font>
      <sz val="12"/>
      <name val="Wingdings 2"/>
      <family val="1"/>
      <charset val="2"/>
    </font>
    <font>
      <sz val="9"/>
      <name val="Calibri"/>
      <family val="3"/>
      <charset val="136"/>
      <scheme val="minor"/>
    </font>
    <font>
      <sz val="11"/>
      <color theme="0"/>
      <name val="Times New Roman"/>
      <family val="1"/>
    </font>
    <font>
      <b/>
      <sz val="12"/>
      <color rgb="FF0000FF"/>
      <name val="Microsoft JhengHei"/>
      <family val="2"/>
      <charset val="134"/>
    </font>
    <font>
      <b/>
      <sz val="11"/>
      <color rgb="FF0000FF"/>
      <name val="Microsoft JhengHei"/>
      <family val="2"/>
      <charset val="134"/>
    </font>
    <font>
      <b/>
      <sz val="12"/>
      <name val="Microsoft JhengHei"/>
      <family val="2"/>
      <charset val="134"/>
    </font>
    <font>
      <sz val="12"/>
      <color rgb="FF0000FF"/>
      <name val="Microsoft JhengHei"/>
      <family val="2"/>
      <charset val="134"/>
    </font>
    <font>
      <b/>
      <sz val="11"/>
      <color theme="1"/>
      <name val="Times New Roman"/>
      <family val="1"/>
    </font>
    <font>
      <b/>
      <sz val="12"/>
      <name val="Times New Roman"/>
      <family val="1"/>
    </font>
    <font>
      <b/>
      <sz val="11"/>
      <name val="Microsoft JhengHei"/>
      <family val="2"/>
      <charset val="134"/>
    </font>
    <font>
      <sz val="12"/>
      <color theme="1"/>
      <name val="Microsoft JhengHei"/>
      <family val="2"/>
      <charset val="134"/>
    </font>
    <font>
      <b/>
      <sz val="18"/>
      <color theme="1" tint="0.34998626667073579"/>
      <name val="Times New Roman"/>
      <family val="1"/>
    </font>
    <font>
      <sz val="10"/>
      <name val="Times New Roman"/>
      <family val="1"/>
    </font>
    <font>
      <b/>
      <sz val="11"/>
      <color theme="1" tint="0.499984740745262"/>
      <name val="Times New Roman"/>
      <family val="1"/>
    </font>
    <font>
      <sz val="10"/>
      <color theme="1" tint="0.499984740745262"/>
      <name val="Times New Roman"/>
      <family val="1"/>
    </font>
    <font>
      <sz val="10"/>
      <color theme="1"/>
      <name val="Times New Roman"/>
      <family val="1"/>
    </font>
    <font>
      <sz val="9"/>
      <name val="Times New Roman"/>
      <family val="1"/>
    </font>
    <font>
      <sz val="9"/>
      <color rgb="FFFF0000"/>
      <name val="Times New Roman"/>
      <family val="1"/>
    </font>
    <font>
      <b/>
      <sz val="11"/>
      <name val="Times New Roman"/>
      <family val="1"/>
    </font>
    <font>
      <b/>
      <sz val="11"/>
      <color rgb="FF0000FF"/>
      <name val="Times New Roman"/>
      <family val="1"/>
    </font>
    <font>
      <b/>
      <sz val="9"/>
      <color theme="0"/>
      <name val="Times New Roman"/>
      <family val="1"/>
    </font>
    <font>
      <b/>
      <sz val="8"/>
      <name val="Times New Roman"/>
      <family val="1"/>
    </font>
    <font>
      <b/>
      <sz val="8"/>
      <color rgb="FFFF0000"/>
      <name val="Times New Roman"/>
      <family val="1"/>
    </font>
    <font>
      <i/>
      <sz val="10"/>
      <color theme="1"/>
      <name val="Times New Roman"/>
      <family val="1"/>
    </font>
    <font>
      <i/>
      <sz val="9"/>
      <color theme="1"/>
      <name val="Times New Roman"/>
      <family val="1"/>
    </font>
  </fonts>
  <fills count="12">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3" tint="0.79995117038483843"/>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1" tint="0.34998626667073579"/>
        <bgColor theme="4"/>
      </patternFill>
    </fill>
    <fill>
      <patternFill patternType="lightDown"/>
    </fill>
    <fill>
      <patternFill patternType="solid">
        <fgColor rgb="FFD8B0F6"/>
        <bgColor indexed="64"/>
      </patternFill>
    </fill>
    <fill>
      <patternFill patternType="solid">
        <fgColor rgb="FF53D2FF"/>
        <bgColor indexed="64"/>
      </patternFill>
    </fill>
    <fill>
      <patternFill patternType="solid">
        <fgColor rgb="FF92D05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auto="1"/>
      </left>
      <right/>
      <top style="thin">
        <color auto="1"/>
      </top>
      <bottom style="thin">
        <color auto="1"/>
      </bottom>
      <diagonal/>
    </border>
    <border>
      <left/>
      <right/>
      <top style="medium">
        <color theme="0" tint="-0.14993743705557422"/>
      </top>
      <bottom style="medium">
        <color theme="0" tint="-0.14993743705557422"/>
      </bottom>
      <diagonal/>
    </border>
    <border>
      <left/>
      <right/>
      <top/>
      <bottom style="medium">
        <color theme="0" tint="-0.14993743705557422"/>
      </bottom>
      <diagonal/>
    </border>
    <border>
      <left/>
      <right/>
      <top style="thin">
        <color auto="1"/>
      </top>
      <bottom style="thin">
        <color auto="1"/>
      </bottom>
      <diagonal/>
    </border>
    <border>
      <left/>
      <right/>
      <top style="thin">
        <color theme="0" tint="-0.34998626667073579"/>
      </top>
      <bottom/>
      <diagonal/>
    </border>
    <border>
      <left style="thin">
        <color auto="1"/>
      </left>
      <right style="thin">
        <color theme="0" tint="-0.34998626667073579"/>
      </right>
      <top/>
      <bottom style="medium">
        <color theme="0" tint="-0.14993743705557422"/>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style="thin">
        <color theme="0" tint="-0.34998626667073579"/>
      </left>
      <right style="thin">
        <color theme="0" tint="-0.34998626667073579"/>
      </right>
      <top/>
      <bottom style="thin">
        <color auto="1"/>
      </bottom>
      <diagonal/>
    </border>
  </borders>
  <cellStyleXfs count="34">
    <xf numFmtId="0" fontId="0" fillId="0" borderId="0"/>
    <xf numFmtId="9" fontId="19" fillId="0" borderId="0" applyFont="0" applyFill="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Protection="0">
      <alignment vertical="top"/>
    </xf>
    <xf numFmtId="0" fontId="19" fillId="0" borderId="0" applyNumberFormat="0" applyFill="0" applyProtection="0">
      <alignment horizontal="right" indent="1"/>
    </xf>
    <xf numFmtId="164" fontId="19" fillId="0" borderId="7" applyFill="0">
      <alignment horizontal="center" vertical="center"/>
    </xf>
    <xf numFmtId="0" fontId="19" fillId="0" borderId="7" applyFill="0">
      <alignment horizontal="center" vertical="center"/>
    </xf>
    <xf numFmtId="165" fontId="19" fillId="0" borderId="4">
      <alignment horizontal="center" vertical="center"/>
    </xf>
    <xf numFmtId="0" fontId="19" fillId="0" borderId="7" applyFill="0">
      <alignment horizontal="left" vertical="center" indent="2"/>
    </xf>
    <xf numFmtId="0" fontId="9" fillId="0" borderId="0"/>
    <xf numFmtId="9" fontId="3" fillId="0" borderId="0" applyFont="0" applyFill="0" applyBorder="0" applyAlignment="0" applyProtection="0"/>
    <xf numFmtId="0" fontId="3" fillId="0" borderId="0" applyNumberFormat="0" applyFill="0" applyProtection="0">
      <alignment horizontal="right" indent="1"/>
    </xf>
    <xf numFmtId="164" fontId="3" fillId="0" borderId="7" applyFill="0">
      <alignment horizontal="center" vertical="center"/>
    </xf>
    <xf numFmtId="0" fontId="3" fillId="0" borderId="7" applyFill="0">
      <alignment horizontal="center" vertical="center"/>
    </xf>
    <xf numFmtId="165" fontId="3" fillId="0" borderId="4">
      <alignment horizontal="center" vertical="center"/>
    </xf>
    <xf numFmtId="0" fontId="3" fillId="0" borderId="7" applyFill="0">
      <alignment horizontal="left" vertical="center" indent="2"/>
    </xf>
    <xf numFmtId="170" fontId="2" fillId="0" borderId="0"/>
    <xf numFmtId="0" fontId="2" fillId="0" borderId="0"/>
    <xf numFmtId="0" fontId="1" fillId="0" borderId="0"/>
    <xf numFmtId="9" fontId="1" fillId="0" borderId="0" applyFont="0" applyFill="0" applyBorder="0" applyAlignment="0" applyProtection="0"/>
    <xf numFmtId="0" fontId="1" fillId="0" borderId="0" applyNumberFormat="0" applyFill="0" applyProtection="0">
      <alignment horizontal="right" indent="1"/>
    </xf>
    <xf numFmtId="164" fontId="1" fillId="0" borderId="7" applyFill="0">
      <alignment horizontal="center" vertical="center"/>
    </xf>
    <xf numFmtId="0" fontId="1" fillId="0" borderId="7" applyFill="0">
      <alignment horizontal="center" vertical="center"/>
    </xf>
    <xf numFmtId="165" fontId="1" fillId="0" borderId="4">
      <alignment horizontal="center" vertical="center"/>
    </xf>
    <xf numFmtId="0" fontId="1" fillId="0" borderId="7" applyFill="0">
      <alignment horizontal="left" vertical="center" indent="2"/>
    </xf>
    <xf numFmtId="9" fontId="1" fillId="0" borderId="0" applyFont="0" applyFill="0" applyBorder="0" applyAlignment="0" applyProtection="0"/>
    <xf numFmtId="0" fontId="1" fillId="0" borderId="0" applyNumberFormat="0" applyFill="0" applyProtection="0">
      <alignment horizontal="right" indent="1"/>
    </xf>
    <xf numFmtId="164" fontId="1" fillId="0" borderId="7" applyFill="0">
      <alignment horizontal="center" vertical="center"/>
    </xf>
    <xf numFmtId="0" fontId="1" fillId="0" borderId="7" applyFill="0">
      <alignment horizontal="center" vertical="center"/>
    </xf>
    <xf numFmtId="165" fontId="1" fillId="0" borderId="4">
      <alignment horizontal="center" vertical="center"/>
    </xf>
    <xf numFmtId="0" fontId="1" fillId="0" borderId="7" applyFill="0">
      <alignment horizontal="left" vertical="center" indent="2"/>
    </xf>
    <xf numFmtId="170" fontId="1" fillId="0" borderId="0"/>
    <xf numFmtId="0" fontId="1" fillId="0" borderId="0"/>
  </cellStyleXfs>
  <cellXfs count="113">
    <xf numFmtId="0" fontId="0" fillId="0" borderId="0" xfId="0"/>
    <xf numFmtId="0" fontId="4" fillId="0" borderId="0" xfId="0" applyFont="1" applyAlignment="1">
      <alignment horizontal="center"/>
    </xf>
    <xf numFmtId="0" fontId="4" fillId="0" borderId="0" xfId="0" applyFont="1"/>
    <xf numFmtId="166" fontId="4" fillId="0" borderId="0" xfId="0" applyNumberFormat="1"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xf>
    <xf numFmtId="167" fontId="6" fillId="3" borderId="1" xfId="0" applyNumberFormat="1" applyFont="1" applyFill="1" applyBorder="1" applyAlignment="1">
      <alignment horizontal="center" vertical="center" wrapText="1"/>
    </xf>
    <xf numFmtId="167" fontId="6" fillId="3" borderId="1" xfId="0" applyNumberFormat="1" applyFont="1" applyFill="1" applyBorder="1" applyAlignment="1">
      <alignment horizontal="left" vertical="center" wrapText="1"/>
    </xf>
    <xf numFmtId="0" fontId="4" fillId="0" borderId="1" xfId="0" applyFont="1" applyBorder="1" applyAlignment="1">
      <alignment horizontal="center" vertical="center"/>
    </xf>
    <xf numFmtId="14" fontId="6" fillId="0" borderId="1" xfId="0" applyNumberFormat="1" applyFont="1" applyBorder="1" applyAlignment="1">
      <alignment horizontal="center" vertical="center"/>
    </xf>
    <xf numFmtId="166" fontId="7" fillId="0" borderId="1" xfId="0" applyNumberFormat="1" applyFont="1" applyBorder="1" applyAlignment="1">
      <alignment horizontal="center" vertical="center"/>
    </xf>
    <xf numFmtId="0" fontId="0" fillId="0" borderId="0" xfId="0" applyAlignment="1">
      <alignment vertical="center"/>
    </xf>
    <xf numFmtId="0" fontId="9" fillId="0" borderId="0" xfId="10"/>
    <xf numFmtId="0" fontId="10" fillId="0" borderId="0" xfId="0" applyFont="1"/>
    <xf numFmtId="0" fontId="0" fillId="0" borderId="0" xfId="0" applyAlignment="1">
      <alignment horizontal="center"/>
    </xf>
    <xf numFmtId="0" fontId="9" fillId="0" borderId="0" xfId="10" applyAlignment="1">
      <alignment wrapText="1"/>
    </xf>
    <xf numFmtId="0" fontId="12" fillId="5" borderId="0" xfId="0" applyFont="1" applyFill="1" applyAlignment="1">
      <alignment horizontal="left" vertical="center" indent="1"/>
    </xf>
    <xf numFmtId="0" fontId="13" fillId="5" borderId="0" xfId="0" applyFont="1" applyFill="1" applyAlignment="1">
      <alignment horizontal="center" vertical="center"/>
    </xf>
    <xf numFmtId="9" fontId="14" fillId="5" borderId="0" xfId="1" applyFont="1" applyFill="1" applyBorder="1" applyAlignment="1">
      <alignment horizontal="center" vertical="center"/>
    </xf>
    <xf numFmtId="164" fontId="15" fillId="5" borderId="0" xfId="0" applyNumberFormat="1" applyFont="1" applyFill="1" applyAlignment="1">
      <alignment horizontal="left" vertical="center"/>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0" fontId="16" fillId="0" borderId="0" xfId="0" applyFont="1"/>
    <xf numFmtId="0" fontId="9" fillId="0" borderId="0" xfId="0" applyFont="1" applyAlignment="1">
      <alignment horizontal="center"/>
    </xf>
    <xf numFmtId="0" fontId="17" fillId="0" borderId="0" xfId="2" applyFont="1" applyAlignment="1" applyProtection="1"/>
    <xf numFmtId="0" fontId="0" fillId="5" borderId="0" xfId="0" applyFill="1" applyAlignment="1">
      <alignment vertical="center"/>
    </xf>
    <xf numFmtId="0" fontId="18" fillId="9" borderId="0" xfId="0" applyFont="1" applyFill="1"/>
    <xf numFmtId="0" fontId="0" fillId="10" borderId="0" xfId="0" applyFill="1"/>
    <xf numFmtId="166" fontId="8" fillId="0" borderId="0" xfId="0" applyNumberFormat="1" applyFont="1" applyAlignment="1">
      <alignment horizontal="center" vertical="center"/>
    </xf>
    <xf numFmtId="0" fontId="6" fillId="0" borderId="1" xfId="0" applyFont="1" applyBorder="1" applyAlignment="1">
      <alignment horizontal="center" vertical="center"/>
    </xf>
    <xf numFmtId="0" fontId="18" fillId="0" borderId="0" xfId="0" applyFont="1" applyAlignment="1">
      <alignment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70" fontId="6" fillId="3" borderId="1" xfId="17" applyFont="1" applyFill="1" applyBorder="1" applyAlignment="1">
      <alignment horizontal="center" vertical="center"/>
    </xf>
    <xf numFmtId="170" fontId="6" fillId="3" borderId="1" xfId="17" applyFont="1" applyFill="1" applyBorder="1" applyAlignment="1">
      <alignment horizontal="center" vertical="center" wrapText="1"/>
    </xf>
    <xf numFmtId="170" fontId="6" fillId="3" borderId="2" xfId="17" applyFont="1" applyFill="1" applyBorder="1" applyAlignment="1">
      <alignment horizontal="center" vertical="center"/>
    </xf>
    <xf numFmtId="49" fontId="6" fillId="3" borderId="1" xfId="17" applyNumberFormat="1" applyFont="1" applyFill="1" applyBorder="1" applyAlignment="1">
      <alignment horizontal="center" vertical="center" wrapText="1"/>
    </xf>
    <xf numFmtId="49" fontId="7" fillId="3" borderId="1" xfId="17" applyNumberFormat="1" applyFont="1" applyFill="1" applyBorder="1" applyAlignment="1">
      <alignment horizontal="center" vertical="center" wrapText="1"/>
    </xf>
    <xf numFmtId="49" fontId="27" fillId="3" borderId="1" xfId="17" applyNumberFormat="1" applyFont="1" applyFill="1" applyBorder="1" applyAlignment="1">
      <alignment horizontal="center" vertical="center" wrapText="1"/>
    </xf>
    <xf numFmtId="49" fontId="7" fillId="3" borderId="2" xfId="17" applyNumberFormat="1" applyFont="1" applyFill="1" applyBorder="1" applyAlignment="1">
      <alignment horizontal="center" vertical="center" wrapText="1"/>
    </xf>
    <xf numFmtId="0" fontId="6" fillId="0" borderId="1" xfId="0" quotePrefix="1" applyFont="1" applyBorder="1" applyAlignment="1">
      <alignment horizontal="center"/>
    </xf>
    <xf numFmtId="170" fontId="6" fillId="0" borderId="1" xfId="17" applyFont="1" applyFill="1" applyBorder="1" applyAlignment="1">
      <alignment horizontal="center" vertical="center"/>
    </xf>
    <xf numFmtId="49" fontId="6"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49" fontId="6" fillId="0" borderId="1" xfId="18" applyNumberFormat="1" applyFont="1" applyFill="1" applyBorder="1" applyAlignment="1">
      <alignment horizontal="center" vertical="center"/>
    </xf>
    <xf numFmtId="170" fontId="6" fillId="0" borderId="1" xfId="17" applyFont="1" applyBorder="1" applyAlignment="1">
      <alignment horizontal="center" vertical="center"/>
    </xf>
    <xf numFmtId="166" fontId="29" fillId="0" borderId="1" xfId="0" applyNumberFormat="1" applyFont="1" applyBorder="1" applyAlignment="1">
      <alignment horizontal="center" vertical="center"/>
    </xf>
    <xf numFmtId="0" fontId="31" fillId="0" borderId="0" xfId="10" applyFont="1" applyAlignment="1">
      <alignment wrapText="1"/>
    </xf>
    <xf numFmtId="0" fontId="36"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166" fontId="37" fillId="2" borderId="1" xfId="0" applyNumberFormat="1" applyFont="1" applyFill="1" applyBorder="1" applyAlignment="1">
      <alignment horizontal="center" vertical="center" wrapText="1"/>
    </xf>
    <xf numFmtId="14" fontId="6" fillId="0" borderId="1" xfId="0" applyNumberFormat="1" applyFont="1" applyBorder="1" applyAlignment="1">
      <alignment horizontal="center" vertical="center" wrapText="1"/>
    </xf>
    <xf numFmtId="0" fontId="40" fillId="0" borderId="0" xfId="3" applyNumberFormat="1" applyFont="1" applyAlignment="1">
      <alignment horizontal="center" vertical="center" wrapText="1"/>
    </xf>
    <xf numFmtId="0" fontId="41" fillId="0" borderId="0" xfId="0" applyFont="1"/>
    <xf numFmtId="0" fontId="42" fillId="0" borderId="0" xfId="0" applyFont="1"/>
    <xf numFmtId="0" fontId="31" fillId="0" borderId="0" xfId="10" applyFont="1"/>
    <xf numFmtId="0" fontId="43" fillId="0" borderId="0" xfId="2" applyFont="1" applyProtection="1">
      <alignment vertical="top"/>
    </xf>
    <xf numFmtId="0" fontId="44" fillId="0" borderId="0" xfId="4" applyFont="1">
      <alignment vertical="top"/>
    </xf>
    <xf numFmtId="0" fontId="4" fillId="0" borderId="0" xfId="5" applyFont="1">
      <alignment horizontal="right" indent="1"/>
    </xf>
    <xf numFmtId="0" fontId="4" fillId="0" borderId="3" xfId="5" applyFont="1" applyBorder="1">
      <alignment horizontal="right" indent="1"/>
    </xf>
    <xf numFmtId="166" fontId="4" fillId="0" borderId="4" xfId="8" applyNumberFormat="1" applyFont="1">
      <alignment horizontal="center" vertical="center"/>
    </xf>
    <xf numFmtId="166" fontId="4" fillId="0" borderId="0" xfId="8" applyNumberFormat="1" applyFont="1" applyBorder="1">
      <alignment horizontal="center" vertical="center"/>
    </xf>
    <xf numFmtId="0" fontId="4" fillId="0" borderId="0" xfId="8" applyNumberFormat="1" applyFont="1" applyBorder="1">
      <alignment horizontal="center" vertical="center"/>
    </xf>
    <xf numFmtId="0" fontId="44" fillId="0" borderId="0" xfId="0" applyFont="1"/>
    <xf numFmtId="0" fontId="4" fillId="0" borderId="4" xfId="0" applyFont="1" applyBorder="1" applyAlignment="1">
      <alignment horizontal="center" vertical="center"/>
    </xf>
    <xf numFmtId="0" fontId="4" fillId="0" borderId="5" xfId="0" applyFont="1" applyBorder="1"/>
    <xf numFmtId="169" fontId="45" fillId="0" borderId="1" xfId="0" applyNumberFormat="1" applyFont="1" applyBorder="1" applyAlignment="1">
      <alignment horizontal="center" vertical="center"/>
    </xf>
    <xf numFmtId="169" fontId="46" fillId="6" borderId="1" xfId="0" applyNumberFormat="1" applyFont="1" applyFill="1" applyBorder="1" applyAlignment="1">
      <alignment horizontal="center" vertical="center"/>
    </xf>
    <xf numFmtId="0" fontId="47" fillId="4" borderId="1" xfId="10" applyFont="1" applyFill="1" applyBorder="1" applyAlignment="1">
      <alignment horizontal="center" vertical="center" wrapText="1"/>
    </xf>
    <xf numFmtId="0" fontId="47" fillId="4" borderId="1" xfId="0" applyFont="1" applyFill="1" applyBorder="1" applyAlignment="1">
      <alignment horizontal="center" vertical="center" wrapText="1"/>
    </xf>
    <xf numFmtId="0" fontId="47" fillId="4" borderId="6" xfId="0" applyFont="1" applyFill="1" applyBorder="1" applyAlignment="1">
      <alignment horizontal="center" vertical="center" wrapText="1"/>
    </xf>
    <xf numFmtId="0" fontId="49" fillId="7" borderId="10" xfId="0" applyFont="1" applyFill="1" applyBorder="1" applyAlignment="1">
      <alignment horizontal="center" vertical="center" wrapText="1"/>
    </xf>
    <xf numFmtId="0" fontId="50" fillId="0" borderId="11" xfId="0" applyFont="1" applyBorder="1" applyAlignment="1">
      <alignment horizontal="center" vertical="center" shrinkToFit="1"/>
    </xf>
    <xf numFmtId="0" fontId="50" fillId="0" borderId="12" xfId="0" applyFont="1" applyBorder="1" applyAlignment="1">
      <alignment horizontal="center" vertical="center" shrinkToFit="1"/>
    </xf>
    <xf numFmtId="0" fontId="51" fillId="6" borderId="14" xfId="0" applyFont="1" applyFill="1" applyBorder="1" applyAlignment="1">
      <alignment horizontal="center" vertical="center" shrinkToFit="1"/>
    </xf>
    <xf numFmtId="0" fontId="50" fillId="0" borderId="14" xfId="0" applyFont="1" applyBorder="1" applyAlignment="1">
      <alignment horizontal="center" vertical="center" shrinkToFit="1"/>
    </xf>
    <xf numFmtId="0" fontId="7" fillId="0" borderId="1" xfId="10" applyFont="1" applyBorder="1" applyAlignment="1">
      <alignment horizontal="center" vertical="center" wrapText="1"/>
    </xf>
    <xf numFmtId="0" fontId="6" fillId="0" borderId="1" xfId="9" applyFont="1" applyFill="1" applyBorder="1" applyAlignment="1">
      <alignment horizontal="left" vertical="center" wrapText="1"/>
    </xf>
    <xf numFmtId="0" fontId="6" fillId="0" borderId="1" xfId="7" applyFont="1" applyFill="1" applyBorder="1">
      <alignment horizontal="center" vertical="center"/>
    </xf>
    <xf numFmtId="9" fontId="7" fillId="0" borderId="1" xfId="1" applyFont="1" applyFill="1" applyBorder="1" applyAlignment="1">
      <alignment horizontal="center" vertical="center"/>
    </xf>
    <xf numFmtId="166" fontId="6" fillId="0" borderId="1" xfId="13" applyNumberFormat="1" applyFont="1" applyFill="1" applyBorder="1">
      <alignment horizontal="center" vertical="center"/>
    </xf>
    <xf numFmtId="166" fontId="6" fillId="0" borderId="6" xfId="13" applyNumberFormat="1" applyFont="1" applyFill="1" applyBorder="1">
      <alignment horizontal="center" vertical="center"/>
    </xf>
    <xf numFmtId="0" fontId="6" fillId="0" borderId="1" xfId="6" applyNumberFormat="1" applyFont="1" applyFill="1" applyBorder="1">
      <alignment horizontal="center" vertical="center"/>
    </xf>
    <xf numFmtId="0" fontId="8" fillId="0" borderId="7" xfId="0" applyFont="1" applyBorder="1" applyAlignment="1">
      <alignment horizontal="center" vertical="center"/>
    </xf>
    <xf numFmtId="0" fontId="4" fillId="0" borderId="13" xfId="0" applyFont="1" applyBorder="1" applyAlignment="1">
      <alignment vertical="center"/>
    </xf>
    <xf numFmtId="0" fontId="4" fillId="8" borderId="13" xfId="0" applyFont="1" applyFill="1" applyBorder="1" applyAlignment="1">
      <alignment vertical="center"/>
    </xf>
    <xf numFmtId="166" fontId="6" fillId="0" borderId="6" xfId="6" applyNumberFormat="1" applyFont="1" applyFill="1" applyBorder="1">
      <alignment horizontal="center" vertical="center"/>
    </xf>
    <xf numFmtId="0" fontId="52" fillId="5" borderId="7" xfId="0" applyFont="1" applyFill="1" applyBorder="1" applyAlignment="1">
      <alignment horizontal="left" vertical="center" indent="1"/>
    </xf>
    <xf numFmtId="0" fontId="53" fillId="5" borderId="8" xfId="0" applyFont="1" applyFill="1" applyBorder="1" applyAlignment="1">
      <alignment horizontal="center" vertical="center"/>
    </xf>
    <xf numFmtId="9" fontId="8" fillId="5" borderId="8" xfId="1" applyFont="1" applyFill="1" applyBorder="1" applyAlignment="1">
      <alignment horizontal="center" vertical="center"/>
    </xf>
    <xf numFmtId="164" fontId="43" fillId="5" borderId="8" xfId="0" applyNumberFormat="1" applyFont="1" applyFill="1" applyBorder="1" applyAlignment="1">
      <alignment horizontal="left" vertical="center"/>
    </xf>
    <xf numFmtId="0" fontId="8" fillId="5" borderId="8" xfId="0" applyFont="1" applyFill="1" applyBorder="1" applyAlignment="1">
      <alignment horizontal="center" vertical="center"/>
    </xf>
    <xf numFmtId="164" fontId="8" fillId="5" borderId="8" xfId="0" applyNumberFormat="1" applyFont="1" applyFill="1" applyBorder="1" applyAlignment="1">
      <alignment horizontal="center" vertical="center"/>
    </xf>
    <xf numFmtId="0" fontId="8" fillId="5" borderId="7" xfId="0" applyFont="1" applyFill="1" applyBorder="1" applyAlignment="1">
      <alignment horizontal="center" vertical="center"/>
    </xf>
    <xf numFmtId="0" fontId="4" fillId="5" borderId="13" xfId="0" applyFont="1" applyFill="1" applyBorder="1" applyAlignment="1">
      <alignment vertical="center"/>
    </xf>
    <xf numFmtId="170" fontId="7" fillId="0" borderId="1" xfId="17" applyFont="1" applyFill="1" applyBorder="1" applyAlignment="1">
      <alignment horizontal="center" vertical="center"/>
    </xf>
    <xf numFmtId="49" fontId="6" fillId="0" borderId="2" xfId="0" applyNumberFormat="1" applyFont="1" applyFill="1" applyBorder="1" applyAlignment="1">
      <alignment horizontal="center" vertical="center"/>
    </xf>
    <xf numFmtId="9" fontId="7" fillId="0" borderId="1" xfId="1" applyFont="1" applyFill="1" applyBorder="1" applyAlignment="1">
      <alignment horizontal="center" vertical="center" wrapText="1"/>
    </xf>
    <xf numFmtId="0" fontId="4" fillId="0" borderId="2" xfId="0" applyFont="1" applyBorder="1" applyAlignment="1">
      <alignment horizontal="center" vertical="center"/>
    </xf>
    <xf numFmtId="166" fontId="7" fillId="11" borderId="1" xfId="0" applyNumberFormat="1" applyFont="1" applyFill="1" applyBorder="1" applyAlignment="1">
      <alignment horizontal="center" vertical="center" wrapText="1"/>
    </xf>
    <xf numFmtId="14" fontId="26" fillId="0" borderId="1" xfId="0" quotePrefix="1" applyNumberFormat="1" applyFont="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168" fontId="36" fillId="4" borderId="6" xfId="0" applyNumberFormat="1" applyFont="1" applyFill="1" applyBorder="1" applyAlignment="1">
      <alignment horizontal="center" vertical="center" wrapText="1"/>
    </xf>
    <xf numFmtId="168" fontId="36" fillId="4" borderId="9" xfId="0" applyNumberFormat="1" applyFont="1" applyFill="1" applyBorder="1" applyAlignment="1">
      <alignment horizontal="center" vertical="center" wrapText="1"/>
    </xf>
    <xf numFmtId="0" fontId="18" fillId="0" borderId="0" xfId="0" applyFont="1" applyAlignment="1">
      <alignment horizontal="left" wrapText="1"/>
    </xf>
    <xf numFmtId="0" fontId="40" fillId="0" borderId="0" xfId="3" applyFont="1" applyAlignment="1">
      <alignment horizontal="center" vertical="center" wrapText="1"/>
    </xf>
  </cellXfs>
  <cellStyles count="34">
    <cellStyle name="Date" xfId="6" xr:uid="{00000000-0005-0000-0000-000000000000}"/>
    <cellStyle name="Date 2" xfId="13" xr:uid="{4C4B5117-6D08-4172-AF7E-B7941A4A7B80}"/>
    <cellStyle name="Date 2 2" xfId="28" xr:uid="{216A4276-BBC8-4B82-A5CB-B7C51B92BC0A}"/>
    <cellStyle name="Date 3" xfId="22" xr:uid="{8D3D4078-3993-4126-83D3-A13760B9A029}"/>
    <cellStyle name="Heading 2" xfId="4" builtinId="17"/>
    <cellStyle name="Heading 3" xfId="5" builtinId="18"/>
    <cellStyle name="Heading 3 2" xfId="12" xr:uid="{3CB9F5DF-CF48-491A-A2CA-F68E2074AD15}"/>
    <cellStyle name="Heading 3 2 2" xfId="27" xr:uid="{A111E2C7-10ED-458F-906B-E6A24C4945A0}"/>
    <cellStyle name="Heading 3 3" xfId="21" xr:uid="{741FBA76-E088-4CAA-8A2D-1273B054B6FF}"/>
    <cellStyle name="Hyperlink" xfId="2" builtinId="8"/>
    <cellStyle name="Name" xfId="7" xr:uid="{00000000-0005-0000-0000-000004000000}"/>
    <cellStyle name="Name 2" xfId="14" xr:uid="{B9F54841-B1D8-42F3-810F-89F5FC6CA107}"/>
    <cellStyle name="Name 2 2" xfId="29" xr:uid="{10494C3C-FBF6-4828-B19F-E0DD46F3337B}"/>
    <cellStyle name="Name 3" xfId="23" xr:uid="{C35CD59F-AC96-4D5D-BDC5-759F97FCA98F}"/>
    <cellStyle name="Normal" xfId="0" builtinId="0"/>
    <cellStyle name="Normal 2" xfId="17" xr:uid="{78F428D6-4C41-467A-B4C1-895D3CE9ED2D}"/>
    <cellStyle name="Normal 2 2" xfId="32" xr:uid="{7F85B705-0C65-42ED-8C7D-CA4715CA5775}"/>
    <cellStyle name="Normal 3" xfId="18" xr:uid="{E7986646-C55D-434C-8034-6838A9540DBB}"/>
    <cellStyle name="Normal 3 2" xfId="33" xr:uid="{6323FDC8-1634-40DC-A3BD-BBC957FC6AAA}"/>
    <cellStyle name="Normal 4" xfId="19" xr:uid="{4838FE69-7A2B-4303-8AEF-61BB0C2765C4}"/>
    <cellStyle name="Percent" xfId="1" builtinId="5"/>
    <cellStyle name="Percent 2" xfId="11" xr:uid="{354B929D-89AC-45EF-8DDF-901535CB7C1E}"/>
    <cellStyle name="Percent 2 2" xfId="26" xr:uid="{33498FC7-7CBF-4E18-A0F6-ED2E036AFFFB}"/>
    <cellStyle name="Percent 3" xfId="20" xr:uid="{9996FF3A-C375-40FE-B395-05A853D09369}"/>
    <cellStyle name="Project Start" xfId="8" xr:uid="{00000000-0005-0000-0000-000007000000}"/>
    <cellStyle name="Project Start 2" xfId="15" xr:uid="{7DF5FEC6-BE71-4405-A30C-17DC56BBFFCF}"/>
    <cellStyle name="Project Start 2 2" xfId="30" xr:uid="{9947FA7E-B3F7-4EC9-BF54-233005099C5B}"/>
    <cellStyle name="Project Start 3" xfId="24" xr:uid="{AA5F1F17-96CC-4A9A-98A9-19EC66D44C94}"/>
    <cellStyle name="Task" xfId="9" xr:uid="{00000000-0005-0000-0000-000008000000}"/>
    <cellStyle name="Task 2" xfId="16" xr:uid="{086B2567-5E78-4CB0-B607-65F7A63F5507}"/>
    <cellStyle name="Task 2 2" xfId="31" xr:uid="{33B316C0-164E-4502-843B-4384BBB055F9}"/>
    <cellStyle name="Task 3" xfId="25" xr:uid="{85EE003C-EA90-48A4-B7DA-BC39D5F44A46}"/>
    <cellStyle name="Title" xfId="3" builtinId="15"/>
    <cellStyle name="zHiddenText" xfId="10" xr:uid="{00000000-0005-0000-0000-00000A000000}"/>
  </cellStyles>
  <dxfs count="9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border>
        <left style="thin">
          <color theme="0" tint="-0.24994659260841701"/>
        </left>
      </border>
    </dxf>
    <dxf>
      <border>
        <left style="thin">
          <color theme="0" tint="-0.24994659260841701"/>
        </left>
      </border>
    </dxf>
    <dxf>
      <border>
        <top style="thin">
          <color theme="4" tint="0.39991454817346722"/>
        </top>
      </border>
    </dxf>
    <dxf>
      <fill>
        <patternFill patternType="solid">
          <bgColor theme="0" tint="-4.9989318521683403E-2"/>
        </patternFill>
      </fill>
      <border>
        <top style="thin">
          <color theme="4" tint="0.399914548173467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91"/>
      <tableStyleElement type="headerRow" dxfId="90"/>
      <tableStyleElement type="totalRow" dxfId="89"/>
      <tableStyleElement type="firstColumn" dxfId="88"/>
      <tableStyleElement type="lastColumn" dxfId="87"/>
      <tableStyleElement type="firstRowStripe" dxfId="86"/>
      <tableStyleElement type="secondRowStripe" dxfId="85"/>
      <tableStyleElement type="firstColumnStripe" dxfId="84"/>
      <tableStyleElement type="secondColumnStripe" dxfId="8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FF"/>
      <color rgb="FFD8B0F6"/>
      <color rgb="FF53D2FF"/>
      <color rgb="FF71DAFF"/>
      <color rgb="FF57D2EF"/>
      <color rgb="FFA5E5F9"/>
      <color rgb="FF215881"/>
      <color rgb="FF42648A"/>
      <color rgb="FF969696"/>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 KẾ HOẠCH TRIỂN KHAI SMB2.xlsx]Sheet1!PivotTable1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ĐÓNG</a:t>
            </a:r>
            <a:r>
              <a:rPr lang="en-US" baseline="0"/>
              <a:t> SMB1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P</c:v>
                </c:pt>
                <c:pt idx="1">
                  <c:v>X</c:v>
                </c:pt>
              </c:strCache>
            </c:strRef>
          </c:cat>
          <c:val>
            <c:numRef>
              <c:f>Sheet1!$B$4:$B$6</c:f>
              <c:numCache>
                <c:formatCode>General</c:formatCode>
                <c:ptCount val="2"/>
                <c:pt idx="0">
                  <c:v>827</c:v>
                </c:pt>
                <c:pt idx="1">
                  <c:v>4</c:v>
                </c:pt>
              </c:numCache>
            </c:numRef>
          </c:val>
          <c:extLst>
            <c:ext xmlns:c16="http://schemas.microsoft.com/office/drawing/2014/chart" uri="{C3380CC4-5D6E-409C-BE32-E72D297353CC}">
              <c16:uniqueId val="{00000000-FF3D-488C-AD92-73A41AFFA704}"/>
            </c:ext>
          </c:extLst>
        </c:ser>
        <c:dLbls>
          <c:showLegendKey val="0"/>
          <c:showVal val="0"/>
          <c:showCatName val="0"/>
          <c:showSerName val="0"/>
          <c:showPercent val="0"/>
          <c:showBubbleSize val="0"/>
        </c:dLbls>
        <c:gapWidth val="219"/>
        <c:overlap val="-27"/>
        <c:axId val="544801936"/>
        <c:axId val="729969648"/>
      </c:barChart>
      <c:catAx>
        <c:axId val="54480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69648"/>
        <c:crosses val="autoZero"/>
        <c:auto val="1"/>
        <c:lblAlgn val="ctr"/>
        <c:lblOffset val="100"/>
        <c:noMultiLvlLbl val="0"/>
      </c:catAx>
      <c:valAx>
        <c:axId val="72996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0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 KẾ HOẠCH TRIỂN KHAI SMB2.xlsx]Sheet1!PivotTable2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MM</a:t>
            </a:r>
            <a:r>
              <a:rPr lang="en-US" baseline="0"/>
              <a:t> SMB2</a:t>
            </a:r>
            <a:endParaRPr lang="en-US"/>
          </a:p>
        </c:rich>
      </c:tx>
      <c:layout>
        <c:manualLayout>
          <c:xMode val="edge"/>
          <c:yMode val="edge"/>
          <c:x val="0.464722222222222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Sheet1!$A$13:$A$15</c:f>
              <c:strCache>
                <c:ptCount val="2"/>
                <c:pt idx="0">
                  <c:v>P</c:v>
                </c:pt>
                <c:pt idx="1">
                  <c:v>X</c:v>
                </c:pt>
              </c:strCache>
            </c:strRef>
          </c:cat>
          <c:val>
            <c:numRef>
              <c:f>Sheet1!$B$13:$B$15</c:f>
              <c:numCache>
                <c:formatCode>General</c:formatCode>
                <c:ptCount val="2"/>
                <c:pt idx="0">
                  <c:v>820</c:v>
                </c:pt>
                <c:pt idx="1">
                  <c:v>11</c:v>
                </c:pt>
              </c:numCache>
            </c:numRef>
          </c:val>
          <c:extLst>
            <c:ext xmlns:c16="http://schemas.microsoft.com/office/drawing/2014/chart" uri="{C3380CC4-5D6E-409C-BE32-E72D297353CC}">
              <c16:uniqueId val="{00000000-D7FB-439D-80C5-39D5C7EE0D1F}"/>
            </c:ext>
          </c:extLst>
        </c:ser>
        <c:dLbls>
          <c:dLblPos val="outEnd"/>
          <c:showLegendKey val="0"/>
          <c:showVal val="1"/>
          <c:showCatName val="0"/>
          <c:showSerName val="0"/>
          <c:showPercent val="0"/>
          <c:showBubbleSize val="0"/>
        </c:dLbls>
        <c:gapWidth val="219"/>
        <c:overlap val="-27"/>
        <c:axId val="630654256"/>
        <c:axId val="548692416"/>
      </c:barChart>
      <c:catAx>
        <c:axId val="6306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92416"/>
        <c:crosses val="autoZero"/>
        <c:auto val="1"/>
        <c:lblAlgn val="ctr"/>
        <c:lblOffset val="100"/>
        <c:noMultiLvlLbl val="0"/>
      </c:catAx>
      <c:valAx>
        <c:axId val="54869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5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119062</xdr:colOff>
      <xdr:row>0</xdr:row>
      <xdr:rowOff>80962</xdr:rowOff>
    </xdr:from>
    <xdr:to>
      <xdr:col>11</xdr:col>
      <xdr:colOff>423862</xdr:colOff>
      <xdr:row>14</xdr:row>
      <xdr:rowOff>157162</xdr:rowOff>
    </xdr:to>
    <xdr:graphicFrame macro="">
      <xdr:nvGraphicFramePr>
        <xdr:cNvPr id="3" name="Chart 2">
          <a:extLst>
            <a:ext uri="{FF2B5EF4-FFF2-40B4-BE49-F238E27FC236}">
              <a16:creationId xmlns:a16="http://schemas.microsoft.com/office/drawing/2014/main" id="{22218C53-FE2D-4148-BFA0-5F156A277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61912</xdr:colOff>
      <xdr:row>16</xdr:row>
      <xdr:rowOff>52387</xdr:rowOff>
    </xdr:from>
    <xdr:to>
      <xdr:col>11</xdr:col>
      <xdr:colOff>366712</xdr:colOff>
      <xdr:row>30</xdr:row>
      <xdr:rowOff>128587</xdr:rowOff>
    </xdr:to>
    <xdr:graphicFrame macro="">
      <xdr:nvGraphicFramePr>
        <xdr:cNvPr id="4" name="Chart 3">
          <a:extLst>
            <a:ext uri="{FF2B5EF4-FFF2-40B4-BE49-F238E27FC236}">
              <a16:creationId xmlns:a16="http://schemas.microsoft.com/office/drawing/2014/main" id="{66025AD5-1EA7-4F26-9C28-86AA3E493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7</xdr:col>
      <xdr:colOff>0</xdr:colOff>
      <xdr:row>42</xdr:row>
      <xdr:rowOff>0</xdr:rowOff>
    </xdr:from>
    <xdr:ext cx="0" cy="172227"/>
    <xdr:sp macro="" textlink="">
      <xdr:nvSpPr>
        <xdr:cNvPr id="1150" name="TextBox 1149">
          <a:extLst>
            <a:ext uri="{FF2B5EF4-FFF2-40B4-BE49-F238E27FC236}">
              <a16:creationId xmlns:a16="http://schemas.microsoft.com/office/drawing/2014/main" id="{00000000-0008-0000-0100-00007E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1" name="TextBox 1150">
          <a:extLst>
            <a:ext uri="{FF2B5EF4-FFF2-40B4-BE49-F238E27FC236}">
              <a16:creationId xmlns:a16="http://schemas.microsoft.com/office/drawing/2014/main" id="{00000000-0008-0000-0100-00007F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2" name="TextBox 1151">
          <a:extLst>
            <a:ext uri="{FF2B5EF4-FFF2-40B4-BE49-F238E27FC236}">
              <a16:creationId xmlns:a16="http://schemas.microsoft.com/office/drawing/2014/main" id="{00000000-0008-0000-0100-000080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3" name="TextBox 1152">
          <a:extLst>
            <a:ext uri="{FF2B5EF4-FFF2-40B4-BE49-F238E27FC236}">
              <a16:creationId xmlns:a16="http://schemas.microsoft.com/office/drawing/2014/main" id="{00000000-0008-0000-0100-000081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4" name="TextBox 1153">
          <a:extLst>
            <a:ext uri="{FF2B5EF4-FFF2-40B4-BE49-F238E27FC236}">
              <a16:creationId xmlns:a16="http://schemas.microsoft.com/office/drawing/2014/main" id="{00000000-0008-0000-0100-000082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5" name="TextBox 1154">
          <a:extLst>
            <a:ext uri="{FF2B5EF4-FFF2-40B4-BE49-F238E27FC236}">
              <a16:creationId xmlns:a16="http://schemas.microsoft.com/office/drawing/2014/main" id="{00000000-0008-0000-0100-000083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6" name="TextBox 1155">
          <a:extLst>
            <a:ext uri="{FF2B5EF4-FFF2-40B4-BE49-F238E27FC236}">
              <a16:creationId xmlns:a16="http://schemas.microsoft.com/office/drawing/2014/main" id="{00000000-0008-0000-0100-000084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42</xdr:row>
      <xdr:rowOff>0</xdr:rowOff>
    </xdr:from>
    <xdr:ext cx="0" cy="172227"/>
    <xdr:sp macro="" textlink="">
      <xdr:nvSpPr>
        <xdr:cNvPr id="1157" name="TextBox 1156">
          <a:extLst>
            <a:ext uri="{FF2B5EF4-FFF2-40B4-BE49-F238E27FC236}">
              <a16:creationId xmlns:a16="http://schemas.microsoft.com/office/drawing/2014/main" id="{00000000-0008-0000-0100-000085040000}"/>
            </a:ext>
          </a:extLst>
        </xdr:cNvPr>
        <xdr:cNvSpPr txBox="1"/>
      </xdr:nvSpPr>
      <xdr:spPr>
        <a:xfrm>
          <a:off x="6334125" y="60248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48</xdr:row>
      <xdr:rowOff>0</xdr:rowOff>
    </xdr:from>
    <xdr:ext cx="0" cy="172227"/>
    <xdr:sp macro="" textlink="">
      <xdr:nvSpPr>
        <xdr:cNvPr id="1158" name="TextBox 1157">
          <a:extLst>
            <a:ext uri="{FF2B5EF4-FFF2-40B4-BE49-F238E27FC236}">
              <a16:creationId xmlns:a16="http://schemas.microsoft.com/office/drawing/2014/main" id="{00000000-0008-0000-0100-000086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48</xdr:row>
      <xdr:rowOff>0</xdr:rowOff>
    </xdr:from>
    <xdr:ext cx="0" cy="172227"/>
    <xdr:sp macro="" textlink="">
      <xdr:nvSpPr>
        <xdr:cNvPr id="1159" name="TextBox 1158">
          <a:extLst>
            <a:ext uri="{FF2B5EF4-FFF2-40B4-BE49-F238E27FC236}">
              <a16:creationId xmlns:a16="http://schemas.microsoft.com/office/drawing/2014/main" id="{00000000-0008-0000-0100-000087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48</xdr:row>
      <xdr:rowOff>0</xdr:rowOff>
    </xdr:from>
    <xdr:ext cx="0" cy="172227"/>
    <xdr:sp macro="" textlink="">
      <xdr:nvSpPr>
        <xdr:cNvPr id="1160" name="TextBox 1159">
          <a:extLst>
            <a:ext uri="{FF2B5EF4-FFF2-40B4-BE49-F238E27FC236}">
              <a16:creationId xmlns:a16="http://schemas.microsoft.com/office/drawing/2014/main" id="{00000000-0008-0000-0100-000088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48</xdr:row>
      <xdr:rowOff>0</xdr:rowOff>
    </xdr:from>
    <xdr:ext cx="0" cy="172227"/>
    <xdr:sp macro="" textlink="">
      <xdr:nvSpPr>
        <xdr:cNvPr id="1161" name="TextBox 1160">
          <a:extLst>
            <a:ext uri="{FF2B5EF4-FFF2-40B4-BE49-F238E27FC236}">
              <a16:creationId xmlns:a16="http://schemas.microsoft.com/office/drawing/2014/main" id="{00000000-0008-0000-0100-000089040000}"/>
            </a:ext>
          </a:extLst>
        </xdr:cNvPr>
        <xdr:cNvSpPr txBox="1"/>
      </xdr:nvSpPr>
      <xdr:spPr>
        <a:xfrm>
          <a:off x="6334125" y="81965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90</xdr:row>
      <xdr:rowOff>0</xdr:rowOff>
    </xdr:from>
    <xdr:ext cx="0" cy="172227"/>
    <xdr:sp macro="" textlink="">
      <xdr:nvSpPr>
        <xdr:cNvPr id="1162" name="TextBox 1161">
          <a:extLst>
            <a:ext uri="{FF2B5EF4-FFF2-40B4-BE49-F238E27FC236}">
              <a16:creationId xmlns:a16="http://schemas.microsoft.com/office/drawing/2014/main" id="{00000000-0008-0000-0100-00008A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90</xdr:row>
      <xdr:rowOff>0</xdr:rowOff>
    </xdr:from>
    <xdr:ext cx="0" cy="172227"/>
    <xdr:sp macro="" textlink="">
      <xdr:nvSpPr>
        <xdr:cNvPr id="1163" name="TextBox 1162">
          <a:extLst>
            <a:ext uri="{FF2B5EF4-FFF2-40B4-BE49-F238E27FC236}">
              <a16:creationId xmlns:a16="http://schemas.microsoft.com/office/drawing/2014/main" id="{00000000-0008-0000-0100-00008B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90</xdr:row>
      <xdr:rowOff>0</xdr:rowOff>
    </xdr:from>
    <xdr:ext cx="0" cy="172227"/>
    <xdr:sp macro="" textlink="">
      <xdr:nvSpPr>
        <xdr:cNvPr id="1164" name="TextBox 1163">
          <a:extLst>
            <a:ext uri="{FF2B5EF4-FFF2-40B4-BE49-F238E27FC236}">
              <a16:creationId xmlns:a16="http://schemas.microsoft.com/office/drawing/2014/main" id="{00000000-0008-0000-0100-00008C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90</xdr:row>
      <xdr:rowOff>0</xdr:rowOff>
    </xdr:from>
    <xdr:ext cx="0" cy="172227"/>
    <xdr:sp macro="" textlink="">
      <xdr:nvSpPr>
        <xdr:cNvPr id="1165" name="TextBox 1164">
          <a:extLst>
            <a:ext uri="{FF2B5EF4-FFF2-40B4-BE49-F238E27FC236}">
              <a16:creationId xmlns:a16="http://schemas.microsoft.com/office/drawing/2014/main" id="{00000000-0008-0000-0100-00008D040000}"/>
            </a:ext>
          </a:extLst>
        </xdr:cNvPr>
        <xdr:cNvSpPr txBox="1"/>
      </xdr:nvSpPr>
      <xdr:spPr>
        <a:xfrm>
          <a:off x="6334125" y="212934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88</xdr:row>
      <xdr:rowOff>0</xdr:rowOff>
    </xdr:from>
    <xdr:ext cx="0" cy="172227"/>
    <xdr:sp macro="" textlink="">
      <xdr:nvSpPr>
        <xdr:cNvPr id="1166" name="TextBox 1165">
          <a:extLst>
            <a:ext uri="{FF2B5EF4-FFF2-40B4-BE49-F238E27FC236}">
              <a16:creationId xmlns:a16="http://schemas.microsoft.com/office/drawing/2014/main" id="{00000000-0008-0000-0100-00008E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88</xdr:row>
      <xdr:rowOff>0</xdr:rowOff>
    </xdr:from>
    <xdr:ext cx="0" cy="172227"/>
    <xdr:sp macro="" textlink="">
      <xdr:nvSpPr>
        <xdr:cNvPr id="1167" name="TextBox 1166">
          <a:extLst>
            <a:ext uri="{FF2B5EF4-FFF2-40B4-BE49-F238E27FC236}">
              <a16:creationId xmlns:a16="http://schemas.microsoft.com/office/drawing/2014/main" id="{00000000-0008-0000-0100-00008F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88</xdr:row>
      <xdr:rowOff>0</xdr:rowOff>
    </xdr:from>
    <xdr:ext cx="0" cy="172227"/>
    <xdr:sp macro="" textlink="">
      <xdr:nvSpPr>
        <xdr:cNvPr id="1168" name="TextBox 1167">
          <a:extLst>
            <a:ext uri="{FF2B5EF4-FFF2-40B4-BE49-F238E27FC236}">
              <a16:creationId xmlns:a16="http://schemas.microsoft.com/office/drawing/2014/main" id="{00000000-0008-0000-0100-000090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88</xdr:row>
      <xdr:rowOff>0</xdr:rowOff>
    </xdr:from>
    <xdr:ext cx="0" cy="172227"/>
    <xdr:sp macro="" textlink="">
      <xdr:nvSpPr>
        <xdr:cNvPr id="1169" name="TextBox 1168">
          <a:extLst>
            <a:ext uri="{FF2B5EF4-FFF2-40B4-BE49-F238E27FC236}">
              <a16:creationId xmlns:a16="http://schemas.microsoft.com/office/drawing/2014/main" id="{00000000-0008-0000-0100-000091040000}"/>
            </a:ext>
          </a:extLst>
        </xdr:cNvPr>
        <xdr:cNvSpPr txBox="1"/>
      </xdr:nvSpPr>
      <xdr:spPr>
        <a:xfrm>
          <a:off x="6334125" y="2089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0" name="TextBox 1169">
          <a:extLst>
            <a:ext uri="{FF2B5EF4-FFF2-40B4-BE49-F238E27FC236}">
              <a16:creationId xmlns:a16="http://schemas.microsoft.com/office/drawing/2014/main" id="{00000000-0008-0000-0100-000092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1" name="TextBox 1170">
          <a:extLst>
            <a:ext uri="{FF2B5EF4-FFF2-40B4-BE49-F238E27FC236}">
              <a16:creationId xmlns:a16="http://schemas.microsoft.com/office/drawing/2014/main" id="{00000000-0008-0000-0100-000093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2" name="TextBox 1171">
          <a:extLst>
            <a:ext uri="{FF2B5EF4-FFF2-40B4-BE49-F238E27FC236}">
              <a16:creationId xmlns:a16="http://schemas.microsoft.com/office/drawing/2014/main" id="{00000000-0008-0000-0100-000094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3" name="TextBox 1172">
          <a:extLst>
            <a:ext uri="{FF2B5EF4-FFF2-40B4-BE49-F238E27FC236}">
              <a16:creationId xmlns:a16="http://schemas.microsoft.com/office/drawing/2014/main" id="{00000000-0008-0000-0100-000095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4" name="TextBox 1173">
          <a:extLst>
            <a:ext uri="{FF2B5EF4-FFF2-40B4-BE49-F238E27FC236}">
              <a16:creationId xmlns:a16="http://schemas.microsoft.com/office/drawing/2014/main" id="{00000000-0008-0000-0100-000096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5" name="TextBox 1174">
          <a:extLst>
            <a:ext uri="{FF2B5EF4-FFF2-40B4-BE49-F238E27FC236}">
              <a16:creationId xmlns:a16="http://schemas.microsoft.com/office/drawing/2014/main" id="{00000000-0008-0000-0100-000097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6" name="TextBox 1175">
          <a:extLst>
            <a:ext uri="{FF2B5EF4-FFF2-40B4-BE49-F238E27FC236}">
              <a16:creationId xmlns:a16="http://schemas.microsoft.com/office/drawing/2014/main" id="{00000000-0008-0000-0100-000098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7" name="TextBox 1176">
          <a:extLst>
            <a:ext uri="{FF2B5EF4-FFF2-40B4-BE49-F238E27FC236}">
              <a16:creationId xmlns:a16="http://schemas.microsoft.com/office/drawing/2014/main" id="{00000000-0008-0000-0100-000099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8" name="TextBox 1177">
          <a:extLst>
            <a:ext uri="{FF2B5EF4-FFF2-40B4-BE49-F238E27FC236}">
              <a16:creationId xmlns:a16="http://schemas.microsoft.com/office/drawing/2014/main" id="{00000000-0008-0000-0100-00009A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79" name="TextBox 1178">
          <a:extLst>
            <a:ext uri="{FF2B5EF4-FFF2-40B4-BE49-F238E27FC236}">
              <a16:creationId xmlns:a16="http://schemas.microsoft.com/office/drawing/2014/main" id="{00000000-0008-0000-0100-00009B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0" name="TextBox 1179">
          <a:extLst>
            <a:ext uri="{FF2B5EF4-FFF2-40B4-BE49-F238E27FC236}">
              <a16:creationId xmlns:a16="http://schemas.microsoft.com/office/drawing/2014/main" id="{00000000-0008-0000-0100-00009C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1" name="TextBox 1180">
          <a:extLst>
            <a:ext uri="{FF2B5EF4-FFF2-40B4-BE49-F238E27FC236}">
              <a16:creationId xmlns:a16="http://schemas.microsoft.com/office/drawing/2014/main" id="{00000000-0008-0000-0100-00009D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2" name="TextBox 1181">
          <a:extLst>
            <a:ext uri="{FF2B5EF4-FFF2-40B4-BE49-F238E27FC236}">
              <a16:creationId xmlns:a16="http://schemas.microsoft.com/office/drawing/2014/main" id="{00000000-0008-0000-0100-00009E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3" name="TextBox 1182">
          <a:extLst>
            <a:ext uri="{FF2B5EF4-FFF2-40B4-BE49-F238E27FC236}">
              <a16:creationId xmlns:a16="http://schemas.microsoft.com/office/drawing/2014/main" id="{00000000-0008-0000-0100-00009F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4" name="TextBox 1183">
          <a:extLst>
            <a:ext uri="{FF2B5EF4-FFF2-40B4-BE49-F238E27FC236}">
              <a16:creationId xmlns:a16="http://schemas.microsoft.com/office/drawing/2014/main" id="{00000000-0008-0000-0100-0000A0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5" name="TextBox 1184">
          <a:extLst>
            <a:ext uri="{FF2B5EF4-FFF2-40B4-BE49-F238E27FC236}">
              <a16:creationId xmlns:a16="http://schemas.microsoft.com/office/drawing/2014/main" id="{00000000-0008-0000-0100-0000A1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6" name="TextBox 1185">
          <a:extLst>
            <a:ext uri="{FF2B5EF4-FFF2-40B4-BE49-F238E27FC236}">
              <a16:creationId xmlns:a16="http://schemas.microsoft.com/office/drawing/2014/main" id="{00000000-0008-0000-0100-0000A2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7" name="TextBox 1186">
          <a:extLst>
            <a:ext uri="{FF2B5EF4-FFF2-40B4-BE49-F238E27FC236}">
              <a16:creationId xmlns:a16="http://schemas.microsoft.com/office/drawing/2014/main" id="{00000000-0008-0000-0100-0000A3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8" name="TextBox 1187">
          <a:extLst>
            <a:ext uri="{FF2B5EF4-FFF2-40B4-BE49-F238E27FC236}">
              <a16:creationId xmlns:a16="http://schemas.microsoft.com/office/drawing/2014/main" id="{00000000-0008-0000-0100-0000A4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89" name="TextBox 1188">
          <a:extLst>
            <a:ext uri="{FF2B5EF4-FFF2-40B4-BE49-F238E27FC236}">
              <a16:creationId xmlns:a16="http://schemas.microsoft.com/office/drawing/2014/main" id="{00000000-0008-0000-0100-0000A5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0" name="TextBox 1189">
          <a:extLst>
            <a:ext uri="{FF2B5EF4-FFF2-40B4-BE49-F238E27FC236}">
              <a16:creationId xmlns:a16="http://schemas.microsoft.com/office/drawing/2014/main" id="{00000000-0008-0000-0100-0000A6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1" name="TextBox 1190">
          <a:extLst>
            <a:ext uri="{FF2B5EF4-FFF2-40B4-BE49-F238E27FC236}">
              <a16:creationId xmlns:a16="http://schemas.microsoft.com/office/drawing/2014/main" id="{00000000-0008-0000-0100-0000A7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2" name="TextBox 1191">
          <a:extLst>
            <a:ext uri="{FF2B5EF4-FFF2-40B4-BE49-F238E27FC236}">
              <a16:creationId xmlns:a16="http://schemas.microsoft.com/office/drawing/2014/main" id="{00000000-0008-0000-0100-0000A8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3" name="TextBox 1192">
          <a:extLst>
            <a:ext uri="{FF2B5EF4-FFF2-40B4-BE49-F238E27FC236}">
              <a16:creationId xmlns:a16="http://schemas.microsoft.com/office/drawing/2014/main" id="{00000000-0008-0000-0100-0000A9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4" name="TextBox 1193">
          <a:extLst>
            <a:ext uri="{FF2B5EF4-FFF2-40B4-BE49-F238E27FC236}">
              <a16:creationId xmlns:a16="http://schemas.microsoft.com/office/drawing/2014/main" id="{00000000-0008-0000-0100-0000AA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5" name="TextBox 1194">
          <a:extLst>
            <a:ext uri="{FF2B5EF4-FFF2-40B4-BE49-F238E27FC236}">
              <a16:creationId xmlns:a16="http://schemas.microsoft.com/office/drawing/2014/main" id="{00000000-0008-0000-0100-0000AB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6" name="TextBox 1195">
          <a:extLst>
            <a:ext uri="{FF2B5EF4-FFF2-40B4-BE49-F238E27FC236}">
              <a16:creationId xmlns:a16="http://schemas.microsoft.com/office/drawing/2014/main" id="{00000000-0008-0000-0100-0000AC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7" name="TextBox 1196">
          <a:extLst>
            <a:ext uri="{FF2B5EF4-FFF2-40B4-BE49-F238E27FC236}">
              <a16:creationId xmlns:a16="http://schemas.microsoft.com/office/drawing/2014/main" id="{00000000-0008-0000-0100-0000AD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8" name="TextBox 1197">
          <a:extLst>
            <a:ext uri="{FF2B5EF4-FFF2-40B4-BE49-F238E27FC236}">
              <a16:creationId xmlns:a16="http://schemas.microsoft.com/office/drawing/2014/main" id="{00000000-0008-0000-0100-0000AE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199" name="TextBox 1198">
          <a:extLst>
            <a:ext uri="{FF2B5EF4-FFF2-40B4-BE49-F238E27FC236}">
              <a16:creationId xmlns:a16="http://schemas.microsoft.com/office/drawing/2014/main" id="{00000000-0008-0000-0100-0000AF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0" name="TextBox 1199">
          <a:extLst>
            <a:ext uri="{FF2B5EF4-FFF2-40B4-BE49-F238E27FC236}">
              <a16:creationId xmlns:a16="http://schemas.microsoft.com/office/drawing/2014/main" id="{00000000-0008-0000-0100-0000B0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1" name="TextBox 1200">
          <a:extLst>
            <a:ext uri="{FF2B5EF4-FFF2-40B4-BE49-F238E27FC236}">
              <a16:creationId xmlns:a16="http://schemas.microsoft.com/office/drawing/2014/main" id="{00000000-0008-0000-0100-0000B1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2" name="TextBox 1201">
          <a:extLst>
            <a:ext uri="{FF2B5EF4-FFF2-40B4-BE49-F238E27FC236}">
              <a16:creationId xmlns:a16="http://schemas.microsoft.com/office/drawing/2014/main" id="{00000000-0008-0000-0100-0000B2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3" name="TextBox 1202">
          <a:extLst>
            <a:ext uri="{FF2B5EF4-FFF2-40B4-BE49-F238E27FC236}">
              <a16:creationId xmlns:a16="http://schemas.microsoft.com/office/drawing/2014/main" id="{00000000-0008-0000-0100-0000B3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4" name="TextBox 1203">
          <a:extLst>
            <a:ext uri="{FF2B5EF4-FFF2-40B4-BE49-F238E27FC236}">
              <a16:creationId xmlns:a16="http://schemas.microsoft.com/office/drawing/2014/main" id="{00000000-0008-0000-0100-0000B4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5" name="TextBox 1204">
          <a:extLst>
            <a:ext uri="{FF2B5EF4-FFF2-40B4-BE49-F238E27FC236}">
              <a16:creationId xmlns:a16="http://schemas.microsoft.com/office/drawing/2014/main" id="{00000000-0008-0000-0100-0000B5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6" name="TextBox 1205">
          <a:extLst>
            <a:ext uri="{FF2B5EF4-FFF2-40B4-BE49-F238E27FC236}">
              <a16:creationId xmlns:a16="http://schemas.microsoft.com/office/drawing/2014/main" id="{00000000-0008-0000-0100-0000B6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7" name="TextBox 1206">
          <a:extLst>
            <a:ext uri="{FF2B5EF4-FFF2-40B4-BE49-F238E27FC236}">
              <a16:creationId xmlns:a16="http://schemas.microsoft.com/office/drawing/2014/main" id="{00000000-0008-0000-0100-0000B7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8" name="TextBox 1207">
          <a:extLst>
            <a:ext uri="{FF2B5EF4-FFF2-40B4-BE49-F238E27FC236}">
              <a16:creationId xmlns:a16="http://schemas.microsoft.com/office/drawing/2014/main" id="{00000000-0008-0000-0100-0000B8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09" name="TextBox 1208">
          <a:extLst>
            <a:ext uri="{FF2B5EF4-FFF2-40B4-BE49-F238E27FC236}">
              <a16:creationId xmlns:a16="http://schemas.microsoft.com/office/drawing/2014/main" id="{00000000-0008-0000-0100-0000B9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0" name="TextBox 1209">
          <a:extLst>
            <a:ext uri="{FF2B5EF4-FFF2-40B4-BE49-F238E27FC236}">
              <a16:creationId xmlns:a16="http://schemas.microsoft.com/office/drawing/2014/main" id="{00000000-0008-0000-0100-0000BA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1" name="TextBox 1210">
          <a:extLst>
            <a:ext uri="{FF2B5EF4-FFF2-40B4-BE49-F238E27FC236}">
              <a16:creationId xmlns:a16="http://schemas.microsoft.com/office/drawing/2014/main" id="{00000000-0008-0000-0100-0000BB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2" name="TextBox 1211">
          <a:extLst>
            <a:ext uri="{FF2B5EF4-FFF2-40B4-BE49-F238E27FC236}">
              <a16:creationId xmlns:a16="http://schemas.microsoft.com/office/drawing/2014/main" id="{00000000-0008-0000-0100-0000BC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3" name="TextBox 1212">
          <a:extLst>
            <a:ext uri="{FF2B5EF4-FFF2-40B4-BE49-F238E27FC236}">
              <a16:creationId xmlns:a16="http://schemas.microsoft.com/office/drawing/2014/main" id="{00000000-0008-0000-0100-0000BD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4" name="TextBox 1213">
          <a:extLst>
            <a:ext uri="{FF2B5EF4-FFF2-40B4-BE49-F238E27FC236}">
              <a16:creationId xmlns:a16="http://schemas.microsoft.com/office/drawing/2014/main" id="{00000000-0008-0000-0100-0000BE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5" name="TextBox 1214">
          <a:extLst>
            <a:ext uri="{FF2B5EF4-FFF2-40B4-BE49-F238E27FC236}">
              <a16:creationId xmlns:a16="http://schemas.microsoft.com/office/drawing/2014/main" id="{00000000-0008-0000-0100-0000BF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6" name="TextBox 1215">
          <a:extLst>
            <a:ext uri="{FF2B5EF4-FFF2-40B4-BE49-F238E27FC236}">
              <a16:creationId xmlns:a16="http://schemas.microsoft.com/office/drawing/2014/main" id="{00000000-0008-0000-0100-0000C0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525</xdr:row>
      <xdr:rowOff>0</xdr:rowOff>
    </xdr:from>
    <xdr:ext cx="0" cy="172227"/>
    <xdr:sp macro="" textlink="">
      <xdr:nvSpPr>
        <xdr:cNvPr id="1217" name="TextBox 1216">
          <a:extLst>
            <a:ext uri="{FF2B5EF4-FFF2-40B4-BE49-F238E27FC236}">
              <a16:creationId xmlns:a16="http://schemas.microsoft.com/office/drawing/2014/main" id="{00000000-0008-0000-0100-0000C1040000}"/>
            </a:ext>
          </a:extLst>
        </xdr:cNvPr>
        <xdr:cNvSpPr txBox="1"/>
      </xdr:nvSpPr>
      <xdr:spPr>
        <a:xfrm>
          <a:off x="6334125" y="684517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18" name="TextBox 1217">
          <a:extLst>
            <a:ext uri="{FF2B5EF4-FFF2-40B4-BE49-F238E27FC236}">
              <a16:creationId xmlns:a16="http://schemas.microsoft.com/office/drawing/2014/main" id="{00000000-0008-0000-0100-0000C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19" name="TextBox 1218">
          <a:extLst>
            <a:ext uri="{FF2B5EF4-FFF2-40B4-BE49-F238E27FC236}">
              <a16:creationId xmlns:a16="http://schemas.microsoft.com/office/drawing/2014/main" id="{00000000-0008-0000-0100-0000C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0" name="TextBox 1219">
          <a:extLst>
            <a:ext uri="{FF2B5EF4-FFF2-40B4-BE49-F238E27FC236}">
              <a16:creationId xmlns:a16="http://schemas.microsoft.com/office/drawing/2014/main" id="{00000000-0008-0000-0100-0000C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1" name="TextBox 1220">
          <a:extLst>
            <a:ext uri="{FF2B5EF4-FFF2-40B4-BE49-F238E27FC236}">
              <a16:creationId xmlns:a16="http://schemas.microsoft.com/office/drawing/2014/main" id="{00000000-0008-0000-0100-0000C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2" name="TextBox 1221">
          <a:extLst>
            <a:ext uri="{FF2B5EF4-FFF2-40B4-BE49-F238E27FC236}">
              <a16:creationId xmlns:a16="http://schemas.microsoft.com/office/drawing/2014/main" id="{00000000-0008-0000-0100-0000C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3" name="TextBox 1222">
          <a:extLst>
            <a:ext uri="{FF2B5EF4-FFF2-40B4-BE49-F238E27FC236}">
              <a16:creationId xmlns:a16="http://schemas.microsoft.com/office/drawing/2014/main" id="{00000000-0008-0000-0100-0000C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4" name="TextBox 1223">
          <a:extLst>
            <a:ext uri="{FF2B5EF4-FFF2-40B4-BE49-F238E27FC236}">
              <a16:creationId xmlns:a16="http://schemas.microsoft.com/office/drawing/2014/main" id="{00000000-0008-0000-0100-0000C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5" name="TextBox 1224">
          <a:extLst>
            <a:ext uri="{FF2B5EF4-FFF2-40B4-BE49-F238E27FC236}">
              <a16:creationId xmlns:a16="http://schemas.microsoft.com/office/drawing/2014/main" id="{00000000-0008-0000-0100-0000C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6" name="TextBox 1225">
          <a:extLst>
            <a:ext uri="{FF2B5EF4-FFF2-40B4-BE49-F238E27FC236}">
              <a16:creationId xmlns:a16="http://schemas.microsoft.com/office/drawing/2014/main" id="{00000000-0008-0000-0100-0000C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7" name="TextBox 1226">
          <a:extLst>
            <a:ext uri="{FF2B5EF4-FFF2-40B4-BE49-F238E27FC236}">
              <a16:creationId xmlns:a16="http://schemas.microsoft.com/office/drawing/2014/main" id="{00000000-0008-0000-0100-0000C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8" name="TextBox 1227">
          <a:extLst>
            <a:ext uri="{FF2B5EF4-FFF2-40B4-BE49-F238E27FC236}">
              <a16:creationId xmlns:a16="http://schemas.microsoft.com/office/drawing/2014/main" id="{00000000-0008-0000-0100-0000C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29" name="TextBox 1228">
          <a:extLst>
            <a:ext uri="{FF2B5EF4-FFF2-40B4-BE49-F238E27FC236}">
              <a16:creationId xmlns:a16="http://schemas.microsoft.com/office/drawing/2014/main" id="{00000000-0008-0000-0100-0000C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0" name="TextBox 1229">
          <a:extLst>
            <a:ext uri="{FF2B5EF4-FFF2-40B4-BE49-F238E27FC236}">
              <a16:creationId xmlns:a16="http://schemas.microsoft.com/office/drawing/2014/main" id="{00000000-0008-0000-0100-0000C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1" name="TextBox 1230">
          <a:extLst>
            <a:ext uri="{FF2B5EF4-FFF2-40B4-BE49-F238E27FC236}">
              <a16:creationId xmlns:a16="http://schemas.microsoft.com/office/drawing/2014/main" id="{00000000-0008-0000-0100-0000C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2" name="TextBox 1231">
          <a:extLst>
            <a:ext uri="{FF2B5EF4-FFF2-40B4-BE49-F238E27FC236}">
              <a16:creationId xmlns:a16="http://schemas.microsoft.com/office/drawing/2014/main" id="{00000000-0008-0000-0100-0000D0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3" name="TextBox 1232">
          <a:extLst>
            <a:ext uri="{FF2B5EF4-FFF2-40B4-BE49-F238E27FC236}">
              <a16:creationId xmlns:a16="http://schemas.microsoft.com/office/drawing/2014/main" id="{00000000-0008-0000-0100-0000D1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4" name="TextBox 1233">
          <a:extLst>
            <a:ext uri="{FF2B5EF4-FFF2-40B4-BE49-F238E27FC236}">
              <a16:creationId xmlns:a16="http://schemas.microsoft.com/office/drawing/2014/main" id="{00000000-0008-0000-0100-0000D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5" name="TextBox 1234">
          <a:extLst>
            <a:ext uri="{FF2B5EF4-FFF2-40B4-BE49-F238E27FC236}">
              <a16:creationId xmlns:a16="http://schemas.microsoft.com/office/drawing/2014/main" id="{00000000-0008-0000-0100-0000D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6" name="TextBox 1235">
          <a:extLst>
            <a:ext uri="{FF2B5EF4-FFF2-40B4-BE49-F238E27FC236}">
              <a16:creationId xmlns:a16="http://schemas.microsoft.com/office/drawing/2014/main" id="{00000000-0008-0000-0100-0000D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7" name="TextBox 1236">
          <a:extLst>
            <a:ext uri="{FF2B5EF4-FFF2-40B4-BE49-F238E27FC236}">
              <a16:creationId xmlns:a16="http://schemas.microsoft.com/office/drawing/2014/main" id="{00000000-0008-0000-0100-0000D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8" name="TextBox 1237">
          <a:extLst>
            <a:ext uri="{FF2B5EF4-FFF2-40B4-BE49-F238E27FC236}">
              <a16:creationId xmlns:a16="http://schemas.microsoft.com/office/drawing/2014/main" id="{00000000-0008-0000-0100-0000D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39" name="TextBox 1238">
          <a:extLst>
            <a:ext uri="{FF2B5EF4-FFF2-40B4-BE49-F238E27FC236}">
              <a16:creationId xmlns:a16="http://schemas.microsoft.com/office/drawing/2014/main" id="{00000000-0008-0000-0100-0000D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0" name="TextBox 1239">
          <a:extLst>
            <a:ext uri="{FF2B5EF4-FFF2-40B4-BE49-F238E27FC236}">
              <a16:creationId xmlns:a16="http://schemas.microsoft.com/office/drawing/2014/main" id="{00000000-0008-0000-0100-0000D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1" name="TextBox 1240">
          <a:extLst>
            <a:ext uri="{FF2B5EF4-FFF2-40B4-BE49-F238E27FC236}">
              <a16:creationId xmlns:a16="http://schemas.microsoft.com/office/drawing/2014/main" id="{00000000-0008-0000-0100-0000D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2" name="TextBox 1241">
          <a:extLst>
            <a:ext uri="{FF2B5EF4-FFF2-40B4-BE49-F238E27FC236}">
              <a16:creationId xmlns:a16="http://schemas.microsoft.com/office/drawing/2014/main" id="{00000000-0008-0000-0100-0000D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3" name="TextBox 1242">
          <a:extLst>
            <a:ext uri="{FF2B5EF4-FFF2-40B4-BE49-F238E27FC236}">
              <a16:creationId xmlns:a16="http://schemas.microsoft.com/office/drawing/2014/main" id="{00000000-0008-0000-0100-0000D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4" name="TextBox 1243">
          <a:extLst>
            <a:ext uri="{FF2B5EF4-FFF2-40B4-BE49-F238E27FC236}">
              <a16:creationId xmlns:a16="http://schemas.microsoft.com/office/drawing/2014/main" id="{00000000-0008-0000-0100-0000D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5" name="TextBox 1244">
          <a:extLst>
            <a:ext uri="{FF2B5EF4-FFF2-40B4-BE49-F238E27FC236}">
              <a16:creationId xmlns:a16="http://schemas.microsoft.com/office/drawing/2014/main" id="{00000000-0008-0000-0100-0000D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6" name="TextBox 1245">
          <a:extLst>
            <a:ext uri="{FF2B5EF4-FFF2-40B4-BE49-F238E27FC236}">
              <a16:creationId xmlns:a16="http://schemas.microsoft.com/office/drawing/2014/main" id="{00000000-0008-0000-0100-0000D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7" name="TextBox 1246">
          <a:extLst>
            <a:ext uri="{FF2B5EF4-FFF2-40B4-BE49-F238E27FC236}">
              <a16:creationId xmlns:a16="http://schemas.microsoft.com/office/drawing/2014/main" id="{00000000-0008-0000-0100-0000D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8" name="TextBox 1247">
          <a:extLst>
            <a:ext uri="{FF2B5EF4-FFF2-40B4-BE49-F238E27FC236}">
              <a16:creationId xmlns:a16="http://schemas.microsoft.com/office/drawing/2014/main" id="{00000000-0008-0000-0100-0000E0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49" name="TextBox 1248">
          <a:extLst>
            <a:ext uri="{FF2B5EF4-FFF2-40B4-BE49-F238E27FC236}">
              <a16:creationId xmlns:a16="http://schemas.microsoft.com/office/drawing/2014/main" id="{00000000-0008-0000-0100-0000E1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0" name="TextBox 1249">
          <a:extLst>
            <a:ext uri="{FF2B5EF4-FFF2-40B4-BE49-F238E27FC236}">
              <a16:creationId xmlns:a16="http://schemas.microsoft.com/office/drawing/2014/main" id="{00000000-0008-0000-0100-0000E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1" name="TextBox 1250">
          <a:extLst>
            <a:ext uri="{FF2B5EF4-FFF2-40B4-BE49-F238E27FC236}">
              <a16:creationId xmlns:a16="http://schemas.microsoft.com/office/drawing/2014/main" id="{00000000-0008-0000-0100-0000E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2" name="TextBox 1251">
          <a:extLst>
            <a:ext uri="{FF2B5EF4-FFF2-40B4-BE49-F238E27FC236}">
              <a16:creationId xmlns:a16="http://schemas.microsoft.com/office/drawing/2014/main" id="{00000000-0008-0000-0100-0000E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3" name="TextBox 1252">
          <a:extLst>
            <a:ext uri="{FF2B5EF4-FFF2-40B4-BE49-F238E27FC236}">
              <a16:creationId xmlns:a16="http://schemas.microsoft.com/office/drawing/2014/main" id="{00000000-0008-0000-0100-0000E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4" name="TextBox 1253">
          <a:extLst>
            <a:ext uri="{FF2B5EF4-FFF2-40B4-BE49-F238E27FC236}">
              <a16:creationId xmlns:a16="http://schemas.microsoft.com/office/drawing/2014/main" id="{00000000-0008-0000-0100-0000E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5" name="TextBox 1254">
          <a:extLst>
            <a:ext uri="{FF2B5EF4-FFF2-40B4-BE49-F238E27FC236}">
              <a16:creationId xmlns:a16="http://schemas.microsoft.com/office/drawing/2014/main" id="{00000000-0008-0000-0100-0000E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6" name="TextBox 1255">
          <a:extLst>
            <a:ext uri="{FF2B5EF4-FFF2-40B4-BE49-F238E27FC236}">
              <a16:creationId xmlns:a16="http://schemas.microsoft.com/office/drawing/2014/main" id="{00000000-0008-0000-0100-0000E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7" name="TextBox 1256">
          <a:extLst>
            <a:ext uri="{FF2B5EF4-FFF2-40B4-BE49-F238E27FC236}">
              <a16:creationId xmlns:a16="http://schemas.microsoft.com/office/drawing/2014/main" id="{00000000-0008-0000-0100-0000E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8" name="TextBox 1257">
          <a:extLst>
            <a:ext uri="{FF2B5EF4-FFF2-40B4-BE49-F238E27FC236}">
              <a16:creationId xmlns:a16="http://schemas.microsoft.com/office/drawing/2014/main" id="{00000000-0008-0000-0100-0000E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59" name="TextBox 1258">
          <a:extLst>
            <a:ext uri="{FF2B5EF4-FFF2-40B4-BE49-F238E27FC236}">
              <a16:creationId xmlns:a16="http://schemas.microsoft.com/office/drawing/2014/main" id="{00000000-0008-0000-0100-0000E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0" name="TextBox 1259">
          <a:extLst>
            <a:ext uri="{FF2B5EF4-FFF2-40B4-BE49-F238E27FC236}">
              <a16:creationId xmlns:a16="http://schemas.microsoft.com/office/drawing/2014/main" id="{00000000-0008-0000-0100-0000E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1" name="TextBox 1260">
          <a:extLst>
            <a:ext uri="{FF2B5EF4-FFF2-40B4-BE49-F238E27FC236}">
              <a16:creationId xmlns:a16="http://schemas.microsoft.com/office/drawing/2014/main" id="{00000000-0008-0000-0100-0000E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2" name="TextBox 1261">
          <a:extLst>
            <a:ext uri="{FF2B5EF4-FFF2-40B4-BE49-F238E27FC236}">
              <a16:creationId xmlns:a16="http://schemas.microsoft.com/office/drawing/2014/main" id="{00000000-0008-0000-0100-0000E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3" name="TextBox 1262">
          <a:extLst>
            <a:ext uri="{FF2B5EF4-FFF2-40B4-BE49-F238E27FC236}">
              <a16:creationId xmlns:a16="http://schemas.microsoft.com/office/drawing/2014/main" id="{00000000-0008-0000-0100-0000E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4" name="TextBox 1263">
          <a:extLst>
            <a:ext uri="{FF2B5EF4-FFF2-40B4-BE49-F238E27FC236}">
              <a16:creationId xmlns:a16="http://schemas.microsoft.com/office/drawing/2014/main" id="{00000000-0008-0000-0100-0000F0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5" name="TextBox 1264">
          <a:extLst>
            <a:ext uri="{FF2B5EF4-FFF2-40B4-BE49-F238E27FC236}">
              <a16:creationId xmlns:a16="http://schemas.microsoft.com/office/drawing/2014/main" id="{00000000-0008-0000-0100-0000F1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6" name="TextBox 1265">
          <a:extLst>
            <a:ext uri="{FF2B5EF4-FFF2-40B4-BE49-F238E27FC236}">
              <a16:creationId xmlns:a16="http://schemas.microsoft.com/office/drawing/2014/main" id="{00000000-0008-0000-0100-0000F2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7" name="TextBox 1266">
          <a:extLst>
            <a:ext uri="{FF2B5EF4-FFF2-40B4-BE49-F238E27FC236}">
              <a16:creationId xmlns:a16="http://schemas.microsoft.com/office/drawing/2014/main" id="{00000000-0008-0000-0100-0000F3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8" name="TextBox 1267">
          <a:extLst>
            <a:ext uri="{FF2B5EF4-FFF2-40B4-BE49-F238E27FC236}">
              <a16:creationId xmlns:a16="http://schemas.microsoft.com/office/drawing/2014/main" id="{00000000-0008-0000-0100-0000F4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69" name="TextBox 1268">
          <a:extLst>
            <a:ext uri="{FF2B5EF4-FFF2-40B4-BE49-F238E27FC236}">
              <a16:creationId xmlns:a16="http://schemas.microsoft.com/office/drawing/2014/main" id="{00000000-0008-0000-0100-0000F5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0" name="TextBox 1269">
          <a:extLst>
            <a:ext uri="{FF2B5EF4-FFF2-40B4-BE49-F238E27FC236}">
              <a16:creationId xmlns:a16="http://schemas.microsoft.com/office/drawing/2014/main" id="{00000000-0008-0000-0100-0000F6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1" name="TextBox 1270">
          <a:extLst>
            <a:ext uri="{FF2B5EF4-FFF2-40B4-BE49-F238E27FC236}">
              <a16:creationId xmlns:a16="http://schemas.microsoft.com/office/drawing/2014/main" id="{00000000-0008-0000-0100-0000F7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2" name="TextBox 1271">
          <a:extLst>
            <a:ext uri="{FF2B5EF4-FFF2-40B4-BE49-F238E27FC236}">
              <a16:creationId xmlns:a16="http://schemas.microsoft.com/office/drawing/2014/main" id="{00000000-0008-0000-0100-0000F8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3" name="TextBox 1272">
          <a:extLst>
            <a:ext uri="{FF2B5EF4-FFF2-40B4-BE49-F238E27FC236}">
              <a16:creationId xmlns:a16="http://schemas.microsoft.com/office/drawing/2014/main" id="{00000000-0008-0000-0100-0000F9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4" name="TextBox 1273">
          <a:extLst>
            <a:ext uri="{FF2B5EF4-FFF2-40B4-BE49-F238E27FC236}">
              <a16:creationId xmlns:a16="http://schemas.microsoft.com/office/drawing/2014/main" id="{00000000-0008-0000-0100-0000FA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5" name="TextBox 1274">
          <a:extLst>
            <a:ext uri="{FF2B5EF4-FFF2-40B4-BE49-F238E27FC236}">
              <a16:creationId xmlns:a16="http://schemas.microsoft.com/office/drawing/2014/main" id="{00000000-0008-0000-0100-0000FB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6" name="TextBox 1275">
          <a:extLst>
            <a:ext uri="{FF2B5EF4-FFF2-40B4-BE49-F238E27FC236}">
              <a16:creationId xmlns:a16="http://schemas.microsoft.com/office/drawing/2014/main" id="{00000000-0008-0000-0100-0000FC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7" name="TextBox 1276">
          <a:extLst>
            <a:ext uri="{FF2B5EF4-FFF2-40B4-BE49-F238E27FC236}">
              <a16:creationId xmlns:a16="http://schemas.microsoft.com/office/drawing/2014/main" id="{00000000-0008-0000-0100-0000FD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8" name="TextBox 1277">
          <a:extLst>
            <a:ext uri="{FF2B5EF4-FFF2-40B4-BE49-F238E27FC236}">
              <a16:creationId xmlns:a16="http://schemas.microsoft.com/office/drawing/2014/main" id="{00000000-0008-0000-0100-0000FE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79" name="TextBox 1278">
          <a:extLst>
            <a:ext uri="{FF2B5EF4-FFF2-40B4-BE49-F238E27FC236}">
              <a16:creationId xmlns:a16="http://schemas.microsoft.com/office/drawing/2014/main" id="{00000000-0008-0000-0100-0000FF04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0" name="TextBox 1279">
          <a:extLst>
            <a:ext uri="{FF2B5EF4-FFF2-40B4-BE49-F238E27FC236}">
              <a16:creationId xmlns:a16="http://schemas.microsoft.com/office/drawing/2014/main" id="{00000000-0008-0000-0100-00000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1" name="TextBox 1280">
          <a:extLst>
            <a:ext uri="{FF2B5EF4-FFF2-40B4-BE49-F238E27FC236}">
              <a16:creationId xmlns:a16="http://schemas.microsoft.com/office/drawing/2014/main" id="{00000000-0008-0000-0100-00000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2" name="TextBox 1281">
          <a:extLst>
            <a:ext uri="{FF2B5EF4-FFF2-40B4-BE49-F238E27FC236}">
              <a16:creationId xmlns:a16="http://schemas.microsoft.com/office/drawing/2014/main" id="{00000000-0008-0000-0100-00000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3" name="TextBox 1282">
          <a:extLst>
            <a:ext uri="{FF2B5EF4-FFF2-40B4-BE49-F238E27FC236}">
              <a16:creationId xmlns:a16="http://schemas.microsoft.com/office/drawing/2014/main" id="{00000000-0008-0000-0100-00000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4" name="TextBox 1283">
          <a:extLst>
            <a:ext uri="{FF2B5EF4-FFF2-40B4-BE49-F238E27FC236}">
              <a16:creationId xmlns:a16="http://schemas.microsoft.com/office/drawing/2014/main" id="{00000000-0008-0000-0100-00000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5" name="TextBox 1284">
          <a:extLst>
            <a:ext uri="{FF2B5EF4-FFF2-40B4-BE49-F238E27FC236}">
              <a16:creationId xmlns:a16="http://schemas.microsoft.com/office/drawing/2014/main" id="{00000000-0008-0000-0100-00000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6" name="TextBox 1285">
          <a:extLst>
            <a:ext uri="{FF2B5EF4-FFF2-40B4-BE49-F238E27FC236}">
              <a16:creationId xmlns:a16="http://schemas.microsoft.com/office/drawing/2014/main" id="{00000000-0008-0000-0100-00000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7" name="TextBox 1286">
          <a:extLst>
            <a:ext uri="{FF2B5EF4-FFF2-40B4-BE49-F238E27FC236}">
              <a16:creationId xmlns:a16="http://schemas.microsoft.com/office/drawing/2014/main" id="{00000000-0008-0000-0100-00000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8" name="TextBox 1287">
          <a:extLst>
            <a:ext uri="{FF2B5EF4-FFF2-40B4-BE49-F238E27FC236}">
              <a16:creationId xmlns:a16="http://schemas.microsoft.com/office/drawing/2014/main" id="{00000000-0008-0000-0100-00000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89" name="TextBox 1288">
          <a:extLst>
            <a:ext uri="{FF2B5EF4-FFF2-40B4-BE49-F238E27FC236}">
              <a16:creationId xmlns:a16="http://schemas.microsoft.com/office/drawing/2014/main" id="{00000000-0008-0000-0100-00000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0" name="TextBox 1289">
          <a:extLst>
            <a:ext uri="{FF2B5EF4-FFF2-40B4-BE49-F238E27FC236}">
              <a16:creationId xmlns:a16="http://schemas.microsoft.com/office/drawing/2014/main" id="{00000000-0008-0000-0100-00000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1" name="TextBox 1290">
          <a:extLst>
            <a:ext uri="{FF2B5EF4-FFF2-40B4-BE49-F238E27FC236}">
              <a16:creationId xmlns:a16="http://schemas.microsoft.com/office/drawing/2014/main" id="{00000000-0008-0000-0100-00000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2" name="TextBox 1291">
          <a:extLst>
            <a:ext uri="{FF2B5EF4-FFF2-40B4-BE49-F238E27FC236}">
              <a16:creationId xmlns:a16="http://schemas.microsoft.com/office/drawing/2014/main" id="{00000000-0008-0000-0100-00000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3" name="TextBox 1292">
          <a:extLst>
            <a:ext uri="{FF2B5EF4-FFF2-40B4-BE49-F238E27FC236}">
              <a16:creationId xmlns:a16="http://schemas.microsoft.com/office/drawing/2014/main" id="{00000000-0008-0000-0100-00000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4" name="TextBox 1293">
          <a:extLst>
            <a:ext uri="{FF2B5EF4-FFF2-40B4-BE49-F238E27FC236}">
              <a16:creationId xmlns:a16="http://schemas.microsoft.com/office/drawing/2014/main" id="{00000000-0008-0000-0100-00000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5" name="TextBox 1294">
          <a:extLst>
            <a:ext uri="{FF2B5EF4-FFF2-40B4-BE49-F238E27FC236}">
              <a16:creationId xmlns:a16="http://schemas.microsoft.com/office/drawing/2014/main" id="{00000000-0008-0000-0100-00000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6" name="TextBox 1295">
          <a:extLst>
            <a:ext uri="{FF2B5EF4-FFF2-40B4-BE49-F238E27FC236}">
              <a16:creationId xmlns:a16="http://schemas.microsoft.com/office/drawing/2014/main" id="{00000000-0008-0000-0100-00001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7" name="TextBox 1296">
          <a:extLst>
            <a:ext uri="{FF2B5EF4-FFF2-40B4-BE49-F238E27FC236}">
              <a16:creationId xmlns:a16="http://schemas.microsoft.com/office/drawing/2014/main" id="{00000000-0008-0000-0100-00001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8" name="TextBox 1297">
          <a:extLst>
            <a:ext uri="{FF2B5EF4-FFF2-40B4-BE49-F238E27FC236}">
              <a16:creationId xmlns:a16="http://schemas.microsoft.com/office/drawing/2014/main" id="{00000000-0008-0000-0100-00001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299" name="TextBox 1298">
          <a:extLst>
            <a:ext uri="{FF2B5EF4-FFF2-40B4-BE49-F238E27FC236}">
              <a16:creationId xmlns:a16="http://schemas.microsoft.com/office/drawing/2014/main" id="{00000000-0008-0000-0100-00001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0" name="TextBox 1299">
          <a:extLst>
            <a:ext uri="{FF2B5EF4-FFF2-40B4-BE49-F238E27FC236}">
              <a16:creationId xmlns:a16="http://schemas.microsoft.com/office/drawing/2014/main" id="{00000000-0008-0000-0100-00001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1" name="TextBox 1300">
          <a:extLst>
            <a:ext uri="{FF2B5EF4-FFF2-40B4-BE49-F238E27FC236}">
              <a16:creationId xmlns:a16="http://schemas.microsoft.com/office/drawing/2014/main" id="{00000000-0008-0000-0100-00001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2" name="TextBox 1301">
          <a:extLst>
            <a:ext uri="{FF2B5EF4-FFF2-40B4-BE49-F238E27FC236}">
              <a16:creationId xmlns:a16="http://schemas.microsoft.com/office/drawing/2014/main" id="{00000000-0008-0000-0100-00001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3" name="TextBox 1302">
          <a:extLst>
            <a:ext uri="{FF2B5EF4-FFF2-40B4-BE49-F238E27FC236}">
              <a16:creationId xmlns:a16="http://schemas.microsoft.com/office/drawing/2014/main" id="{00000000-0008-0000-0100-00001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4" name="TextBox 1303">
          <a:extLst>
            <a:ext uri="{FF2B5EF4-FFF2-40B4-BE49-F238E27FC236}">
              <a16:creationId xmlns:a16="http://schemas.microsoft.com/office/drawing/2014/main" id="{00000000-0008-0000-0100-00001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5" name="TextBox 1304">
          <a:extLst>
            <a:ext uri="{FF2B5EF4-FFF2-40B4-BE49-F238E27FC236}">
              <a16:creationId xmlns:a16="http://schemas.microsoft.com/office/drawing/2014/main" id="{00000000-0008-0000-0100-00001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6" name="TextBox 1305">
          <a:extLst>
            <a:ext uri="{FF2B5EF4-FFF2-40B4-BE49-F238E27FC236}">
              <a16:creationId xmlns:a16="http://schemas.microsoft.com/office/drawing/2014/main" id="{00000000-0008-0000-0100-00001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7" name="TextBox 1306">
          <a:extLst>
            <a:ext uri="{FF2B5EF4-FFF2-40B4-BE49-F238E27FC236}">
              <a16:creationId xmlns:a16="http://schemas.microsoft.com/office/drawing/2014/main" id="{00000000-0008-0000-0100-00001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8" name="TextBox 1307">
          <a:extLst>
            <a:ext uri="{FF2B5EF4-FFF2-40B4-BE49-F238E27FC236}">
              <a16:creationId xmlns:a16="http://schemas.microsoft.com/office/drawing/2014/main" id="{00000000-0008-0000-0100-00001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09" name="TextBox 1308">
          <a:extLst>
            <a:ext uri="{FF2B5EF4-FFF2-40B4-BE49-F238E27FC236}">
              <a16:creationId xmlns:a16="http://schemas.microsoft.com/office/drawing/2014/main" id="{00000000-0008-0000-0100-00001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0" name="TextBox 1309">
          <a:extLst>
            <a:ext uri="{FF2B5EF4-FFF2-40B4-BE49-F238E27FC236}">
              <a16:creationId xmlns:a16="http://schemas.microsoft.com/office/drawing/2014/main" id="{00000000-0008-0000-0100-00001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1" name="TextBox 1310">
          <a:extLst>
            <a:ext uri="{FF2B5EF4-FFF2-40B4-BE49-F238E27FC236}">
              <a16:creationId xmlns:a16="http://schemas.microsoft.com/office/drawing/2014/main" id="{00000000-0008-0000-0100-00001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2" name="TextBox 1311">
          <a:extLst>
            <a:ext uri="{FF2B5EF4-FFF2-40B4-BE49-F238E27FC236}">
              <a16:creationId xmlns:a16="http://schemas.microsoft.com/office/drawing/2014/main" id="{00000000-0008-0000-0100-00002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3" name="TextBox 1312">
          <a:extLst>
            <a:ext uri="{FF2B5EF4-FFF2-40B4-BE49-F238E27FC236}">
              <a16:creationId xmlns:a16="http://schemas.microsoft.com/office/drawing/2014/main" id="{00000000-0008-0000-0100-00002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4" name="TextBox 1313">
          <a:extLst>
            <a:ext uri="{FF2B5EF4-FFF2-40B4-BE49-F238E27FC236}">
              <a16:creationId xmlns:a16="http://schemas.microsoft.com/office/drawing/2014/main" id="{00000000-0008-0000-0100-00002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5" name="TextBox 1314">
          <a:extLst>
            <a:ext uri="{FF2B5EF4-FFF2-40B4-BE49-F238E27FC236}">
              <a16:creationId xmlns:a16="http://schemas.microsoft.com/office/drawing/2014/main" id="{00000000-0008-0000-0100-00002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6" name="TextBox 1315">
          <a:extLst>
            <a:ext uri="{FF2B5EF4-FFF2-40B4-BE49-F238E27FC236}">
              <a16:creationId xmlns:a16="http://schemas.microsoft.com/office/drawing/2014/main" id="{00000000-0008-0000-0100-00002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7" name="TextBox 1316">
          <a:extLst>
            <a:ext uri="{FF2B5EF4-FFF2-40B4-BE49-F238E27FC236}">
              <a16:creationId xmlns:a16="http://schemas.microsoft.com/office/drawing/2014/main" id="{00000000-0008-0000-0100-00002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8" name="TextBox 1317">
          <a:extLst>
            <a:ext uri="{FF2B5EF4-FFF2-40B4-BE49-F238E27FC236}">
              <a16:creationId xmlns:a16="http://schemas.microsoft.com/office/drawing/2014/main" id="{00000000-0008-0000-0100-00002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19" name="TextBox 1318">
          <a:extLst>
            <a:ext uri="{FF2B5EF4-FFF2-40B4-BE49-F238E27FC236}">
              <a16:creationId xmlns:a16="http://schemas.microsoft.com/office/drawing/2014/main" id="{00000000-0008-0000-0100-00002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0" name="TextBox 1319">
          <a:extLst>
            <a:ext uri="{FF2B5EF4-FFF2-40B4-BE49-F238E27FC236}">
              <a16:creationId xmlns:a16="http://schemas.microsoft.com/office/drawing/2014/main" id="{00000000-0008-0000-0100-00002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1" name="TextBox 1320">
          <a:extLst>
            <a:ext uri="{FF2B5EF4-FFF2-40B4-BE49-F238E27FC236}">
              <a16:creationId xmlns:a16="http://schemas.microsoft.com/office/drawing/2014/main" id="{00000000-0008-0000-0100-00002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2" name="TextBox 1321">
          <a:extLst>
            <a:ext uri="{FF2B5EF4-FFF2-40B4-BE49-F238E27FC236}">
              <a16:creationId xmlns:a16="http://schemas.microsoft.com/office/drawing/2014/main" id="{00000000-0008-0000-0100-00002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3" name="TextBox 1322">
          <a:extLst>
            <a:ext uri="{FF2B5EF4-FFF2-40B4-BE49-F238E27FC236}">
              <a16:creationId xmlns:a16="http://schemas.microsoft.com/office/drawing/2014/main" id="{00000000-0008-0000-0100-00002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4" name="TextBox 1323">
          <a:extLst>
            <a:ext uri="{FF2B5EF4-FFF2-40B4-BE49-F238E27FC236}">
              <a16:creationId xmlns:a16="http://schemas.microsoft.com/office/drawing/2014/main" id="{00000000-0008-0000-0100-00002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5" name="TextBox 1324">
          <a:extLst>
            <a:ext uri="{FF2B5EF4-FFF2-40B4-BE49-F238E27FC236}">
              <a16:creationId xmlns:a16="http://schemas.microsoft.com/office/drawing/2014/main" id="{00000000-0008-0000-0100-00002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6" name="TextBox 1325">
          <a:extLst>
            <a:ext uri="{FF2B5EF4-FFF2-40B4-BE49-F238E27FC236}">
              <a16:creationId xmlns:a16="http://schemas.microsoft.com/office/drawing/2014/main" id="{00000000-0008-0000-0100-00002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7" name="TextBox 1326">
          <a:extLst>
            <a:ext uri="{FF2B5EF4-FFF2-40B4-BE49-F238E27FC236}">
              <a16:creationId xmlns:a16="http://schemas.microsoft.com/office/drawing/2014/main" id="{00000000-0008-0000-0100-00002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8" name="TextBox 1327">
          <a:extLst>
            <a:ext uri="{FF2B5EF4-FFF2-40B4-BE49-F238E27FC236}">
              <a16:creationId xmlns:a16="http://schemas.microsoft.com/office/drawing/2014/main" id="{00000000-0008-0000-0100-00003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29" name="TextBox 1328">
          <a:extLst>
            <a:ext uri="{FF2B5EF4-FFF2-40B4-BE49-F238E27FC236}">
              <a16:creationId xmlns:a16="http://schemas.microsoft.com/office/drawing/2014/main" id="{00000000-0008-0000-0100-00003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0" name="TextBox 1329">
          <a:extLst>
            <a:ext uri="{FF2B5EF4-FFF2-40B4-BE49-F238E27FC236}">
              <a16:creationId xmlns:a16="http://schemas.microsoft.com/office/drawing/2014/main" id="{00000000-0008-0000-0100-00003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1" name="TextBox 1330">
          <a:extLst>
            <a:ext uri="{FF2B5EF4-FFF2-40B4-BE49-F238E27FC236}">
              <a16:creationId xmlns:a16="http://schemas.microsoft.com/office/drawing/2014/main" id="{00000000-0008-0000-0100-00003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2" name="TextBox 1331">
          <a:extLst>
            <a:ext uri="{FF2B5EF4-FFF2-40B4-BE49-F238E27FC236}">
              <a16:creationId xmlns:a16="http://schemas.microsoft.com/office/drawing/2014/main" id="{00000000-0008-0000-0100-00003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3" name="TextBox 1332">
          <a:extLst>
            <a:ext uri="{FF2B5EF4-FFF2-40B4-BE49-F238E27FC236}">
              <a16:creationId xmlns:a16="http://schemas.microsoft.com/office/drawing/2014/main" id="{00000000-0008-0000-0100-00003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4" name="TextBox 1333">
          <a:extLst>
            <a:ext uri="{FF2B5EF4-FFF2-40B4-BE49-F238E27FC236}">
              <a16:creationId xmlns:a16="http://schemas.microsoft.com/office/drawing/2014/main" id="{00000000-0008-0000-0100-00003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5" name="TextBox 1334">
          <a:extLst>
            <a:ext uri="{FF2B5EF4-FFF2-40B4-BE49-F238E27FC236}">
              <a16:creationId xmlns:a16="http://schemas.microsoft.com/office/drawing/2014/main" id="{00000000-0008-0000-0100-00003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6" name="TextBox 1335">
          <a:extLst>
            <a:ext uri="{FF2B5EF4-FFF2-40B4-BE49-F238E27FC236}">
              <a16:creationId xmlns:a16="http://schemas.microsoft.com/office/drawing/2014/main" id="{00000000-0008-0000-0100-00003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7" name="TextBox 1336">
          <a:extLst>
            <a:ext uri="{FF2B5EF4-FFF2-40B4-BE49-F238E27FC236}">
              <a16:creationId xmlns:a16="http://schemas.microsoft.com/office/drawing/2014/main" id="{00000000-0008-0000-0100-00003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8" name="TextBox 1337">
          <a:extLst>
            <a:ext uri="{FF2B5EF4-FFF2-40B4-BE49-F238E27FC236}">
              <a16:creationId xmlns:a16="http://schemas.microsoft.com/office/drawing/2014/main" id="{00000000-0008-0000-0100-00003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39" name="TextBox 1338">
          <a:extLst>
            <a:ext uri="{FF2B5EF4-FFF2-40B4-BE49-F238E27FC236}">
              <a16:creationId xmlns:a16="http://schemas.microsoft.com/office/drawing/2014/main" id="{00000000-0008-0000-0100-00003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0" name="TextBox 1339">
          <a:extLst>
            <a:ext uri="{FF2B5EF4-FFF2-40B4-BE49-F238E27FC236}">
              <a16:creationId xmlns:a16="http://schemas.microsoft.com/office/drawing/2014/main" id="{00000000-0008-0000-0100-00003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1" name="TextBox 1340">
          <a:extLst>
            <a:ext uri="{FF2B5EF4-FFF2-40B4-BE49-F238E27FC236}">
              <a16:creationId xmlns:a16="http://schemas.microsoft.com/office/drawing/2014/main" id="{00000000-0008-0000-0100-00003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2" name="TextBox 1341">
          <a:extLst>
            <a:ext uri="{FF2B5EF4-FFF2-40B4-BE49-F238E27FC236}">
              <a16:creationId xmlns:a16="http://schemas.microsoft.com/office/drawing/2014/main" id="{00000000-0008-0000-0100-00003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3" name="TextBox 1342">
          <a:extLst>
            <a:ext uri="{FF2B5EF4-FFF2-40B4-BE49-F238E27FC236}">
              <a16:creationId xmlns:a16="http://schemas.microsoft.com/office/drawing/2014/main" id="{00000000-0008-0000-0100-00003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4" name="TextBox 1343">
          <a:extLst>
            <a:ext uri="{FF2B5EF4-FFF2-40B4-BE49-F238E27FC236}">
              <a16:creationId xmlns:a16="http://schemas.microsoft.com/office/drawing/2014/main" id="{00000000-0008-0000-0100-00004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5" name="TextBox 1344">
          <a:extLst>
            <a:ext uri="{FF2B5EF4-FFF2-40B4-BE49-F238E27FC236}">
              <a16:creationId xmlns:a16="http://schemas.microsoft.com/office/drawing/2014/main" id="{00000000-0008-0000-0100-00004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6" name="TextBox 1345">
          <a:extLst>
            <a:ext uri="{FF2B5EF4-FFF2-40B4-BE49-F238E27FC236}">
              <a16:creationId xmlns:a16="http://schemas.microsoft.com/office/drawing/2014/main" id="{00000000-0008-0000-0100-00004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7" name="TextBox 1346">
          <a:extLst>
            <a:ext uri="{FF2B5EF4-FFF2-40B4-BE49-F238E27FC236}">
              <a16:creationId xmlns:a16="http://schemas.microsoft.com/office/drawing/2014/main" id="{00000000-0008-0000-0100-00004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8" name="TextBox 1347">
          <a:extLst>
            <a:ext uri="{FF2B5EF4-FFF2-40B4-BE49-F238E27FC236}">
              <a16:creationId xmlns:a16="http://schemas.microsoft.com/office/drawing/2014/main" id="{00000000-0008-0000-0100-00004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49" name="TextBox 1348">
          <a:extLst>
            <a:ext uri="{FF2B5EF4-FFF2-40B4-BE49-F238E27FC236}">
              <a16:creationId xmlns:a16="http://schemas.microsoft.com/office/drawing/2014/main" id="{00000000-0008-0000-0100-00004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0" name="TextBox 1349">
          <a:extLst>
            <a:ext uri="{FF2B5EF4-FFF2-40B4-BE49-F238E27FC236}">
              <a16:creationId xmlns:a16="http://schemas.microsoft.com/office/drawing/2014/main" id="{00000000-0008-0000-0100-00004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1" name="TextBox 1350">
          <a:extLst>
            <a:ext uri="{FF2B5EF4-FFF2-40B4-BE49-F238E27FC236}">
              <a16:creationId xmlns:a16="http://schemas.microsoft.com/office/drawing/2014/main" id="{00000000-0008-0000-0100-00004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2" name="TextBox 1351">
          <a:extLst>
            <a:ext uri="{FF2B5EF4-FFF2-40B4-BE49-F238E27FC236}">
              <a16:creationId xmlns:a16="http://schemas.microsoft.com/office/drawing/2014/main" id="{00000000-0008-0000-0100-00004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3" name="TextBox 1352">
          <a:extLst>
            <a:ext uri="{FF2B5EF4-FFF2-40B4-BE49-F238E27FC236}">
              <a16:creationId xmlns:a16="http://schemas.microsoft.com/office/drawing/2014/main" id="{00000000-0008-0000-0100-00004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4" name="TextBox 1353">
          <a:extLst>
            <a:ext uri="{FF2B5EF4-FFF2-40B4-BE49-F238E27FC236}">
              <a16:creationId xmlns:a16="http://schemas.microsoft.com/office/drawing/2014/main" id="{00000000-0008-0000-0100-00004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5" name="TextBox 1354">
          <a:extLst>
            <a:ext uri="{FF2B5EF4-FFF2-40B4-BE49-F238E27FC236}">
              <a16:creationId xmlns:a16="http://schemas.microsoft.com/office/drawing/2014/main" id="{00000000-0008-0000-0100-00004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6" name="TextBox 1355">
          <a:extLst>
            <a:ext uri="{FF2B5EF4-FFF2-40B4-BE49-F238E27FC236}">
              <a16:creationId xmlns:a16="http://schemas.microsoft.com/office/drawing/2014/main" id="{00000000-0008-0000-0100-00004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7" name="TextBox 1356">
          <a:extLst>
            <a:ext uri="{FF2B5EF4-FFF2-40B4-BE49-F238E27FC236}">
              <a16:creationId xmlns:a16="http://schemas.microsoft.com/office/drawing/2014/main" id="{00000000-0008-0000-0100-00004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8" name="TextBox 1357">
          <a:extLst>
            <a:ext uri="{FF2B5EF4-FFF2-40B4-BE49-F238E27FC236}">
              <a16:creationId xmlns:a16="http://schemas.microsoft.com/office/drawing/2014/main" id="{00000000-0008-0000-0100-00004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59" name="TextBox 1358">
          <a:extLst>
            <a:ext uri="{FF2B5EF4-FFF2-40B4-BE49-F238E27FC236}">
              <a16:creationId xmlns:a16="http://schemas.microsoft.com/office/drawing/2014/main" id="{00000000-0008-0000-0100-00004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0" name="TextBox 1359">
          <a:extLst>
            <a:ext uri="{FF2B5EF4-FFF2-40B4-BE49-F238E27FC236}">
              <a16:creationId xmlns:a16="http://schemas.microsoft.com/office/drawing/2014/main" id="{00000000-0008-0000-0100-00005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1" name="TextBox 1360">
          <a:extLst>
            <a:ext uri="{FF2B5EF4-FFF2-40B4-BE49-F238E27FC236}">
              <a16:creationId xmlns:a16="http://schemas.microsoft.com/office/drawing/2014/main" id="{00000000-0008-0000-0100-00005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2" name="TextBox 1361">
          <a:extLst>
            <a:ext uri="{FF2B5EF4-FFF2-40B4-BE49-F238E27FC236}">
              <a16:creationId xmlns:a16="http://schemas.microsoft.com/office/drawing/2014/main" id="{00000000-0008-0000-0100-00005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3" name="TextBox 1362">
          <a:extLst>
            <a:ext uri="{FF2B5EF4-FFF2-40B4-BE49-F238E27FC236}">
              <a16:creationId xmlns:a16="http://schemas.microsoft.com/office/drawing/2014/main" id="{00000000-0008-0000-0100-00005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4" name="TextBox 1363">
          <a:extLst>
            <a:ext uri="{FF2B5EF4-FFF2-40B4-BE49-F238E27FC236}">
              <a16:creationId xmlns:a16="http://schemas.microsoft.com/office/drawing/2014/main" id="{00000000-0008-0000-0100-00005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5" name="TextBox 1364">
          <a:extLst>
            <a:ext uri="{FF2B5EF4-FFF2-40B4-BE49-F238E27FC236}">
              <a16:creationId xmlns:a16="http://schemas.microsoft.com/office/drawing/2014/main" id="{00000000-0008-0000-0100-00005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6" name="TextBox 1365">
          <a:extLst>
            <a:ext uri="{FF2B5EF4-FFF2-40B4-BE49-F238E27FC236}">
              <a16:creationId xmlns:a16="http://schemas.microsoft.com/office/drawing/2014/main" id="{00000000-0008-0000-0100-00005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7" name="TextBox 1366">
          <a:extLst>
            <a:ext uri="{FF2B5EF4-FFF2-40B4-BE49-F238E27FC236}">
              <a16:creationId xmlns:a16="http://schemas.microsoft.com/office/drawing/2014/main" id="{00000000-0008-0000-0100-00005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8" name="TextBox 1367">
          <a:extLst>
            <a:ext uri="{FF2B5EF4-FFF2-40B4-BE49-F238E27FC236}">
              <a16:creationId xmlns:a16="http://schemas.microsoft.com/office/drawing/2014/main" id="{00000000-0008-0000-0100-00005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69" name="TextBox 1368">
          <a:extLst>
            <a:ext uri="{FF2B5EF4-FFF2-40B4-BE49-F238E27FC236}">
              <a16:creationId xmlns:a16="http://schemas.microsoft.com/office/drawing/2014/main" id="{00000000-0008-0000-0100-00005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0" name="TextBox 1369">
          <a:extLst>
            <a:ext uri="{FF2B5EF4-FFF2-40B4-BE49-F238E27FC236}">
              <a16:creationId xmlns:a16="http://schemas.microsoft.com/office/drawing/2014/main" id="{00000000-0008-0000-0100-00005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1" name="TextBox 1370">
          <a:extLst>
            <a:ext uri="{FF2B5EF4-FFF2-40B4-BE49-F238E27FC236}">
              <a16:creationId xmlns:a16="http://schemas.microsoft.com/office/drawing/2014/main" id="{00000000-0008-0000-0100-00005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2" name="TextBox 1371">
          <a:extLst>
            <a:ext uri="{FF2B5EF4-FFF2-40B4-BE49-F238E27FC236}">
              <a16:creationId xmlns:a16="http://schemas.microsoft.com/office/drawing/2014/main" id="{00000000-0008-0000-0100-00005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3" name="TextBox 1372">
          <a:extLst>
            <a:ext uri="{FF2B5EF4-FFF2-40B4-BE49-F238E27FC236}">
              <a16:creationId xmlns:a16="http://schemas.microsoft.com/office/drawing/2014/main" id="{00000000-0008-0000-0100-00005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4" name="TextBox 1373">
          <a:extLst>
            <a:ext uri="{FF2B5EF4-FFF2-40B4-BE49-F238E27FC236}">
              <a16:creationId xmlns:a16="http://schemas.microsoft.com/office/drawing/2014/main" id="{00000000-0008-0000-0100-00005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5" name="TextBox 1374">
          <a:extLst>
            <a:ext uri="{FF2B5EF4-FFF2-40B4-BE49-F238E27FC236}">
              <a16:creationId xmlns:a16="http://schemas.microsoft.com/office/drawing/2014/main" id="{00000000-0008-0000-0100-00005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6" name="TextBox 1375">
          <a:extLst>
            <a:ext uri="{FF2B5EF4-FFF2-40B4-BE49-F238E27FC236}">
              <a16:creationId xmlns:a16="http://schemas.microsoft.com/office/drawing/2014/main" id="{00000000-0008-0000-0100-00006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7" name="TextBox 1376">
          <a:extLst>
            <a:ext uri="{FF2B5EF4-FFF2-40B4-BE49-F238E27FC236}">
              <a16:creationId xmlns:a16="http://schemas.microsoft.com/office/drawing/2014/main" id="{00000000-0008-0000-0100-00006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8" name="TextBox 1377">
          <a:extLst>
            <a:ext uri="{FF2B5EF4-FFF2-40B4-BE49-F238E27FC236}">
              <a16:creationId xmlns:a16="http://schemas.microsoft.com/office/drawing/2014/main" id="{00000000-0008-0000-0100-00006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79" name="TextBox 1378">
          <a:extLst>
            <a:ext uri="{FF2B5EF4-FFF2-40B4-BE49-F238E27FC236}">
              <a16:creationId xmlns:a16="http://schemas.microsoft.com/office/drawing/2014/main" id="{00000000-0008-0000-0100-00006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0" name="TextBox 1379">
          <a:extLst>
            <a:ext uri="{FF2B5EF4-FFF2-40B4-BE49-F238E27FC236}">
              <a16:creationId xmlns:a16="http://schemas.microsoft.com/office/drawing/2014/main" id="{00000000-0008-0000-0100-00006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1" name="TextBox 1380">
          <a:extLst>
            <a:ext uri="{FF2B5EF4-FFF2-40B4-BE49-F238E27FC236}">
              <a16:creationId xmlns:a16="http://schemas.microsoft.com/office/drawing/2014/main" id="{00000000-0008-0000-0100-00006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2" name="TextBox 1381">
          <a:extLst>
            <a:ext uri="{FF2B5EF4-FFF2-40B4-BE49-F238E27FC236}">
              <a16:creationId xmlns:a16="http://schemas.microsoft.com/office/drawing/2014/main" id="{00000000-0008-0000-0100-00006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3" name="TextBox 1382">
          <a:extLst>
            <a:ext uri="{FF2B5EF4-FFF2-40B4-BE49-F238E27FC236}">
              <a16:creationId xmlns:a16="http://schemas.microsoft.com/office/drawing/2014/main" id="{00000000-0008-0000-0100-00006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4" name="TextBox 1383">
          <a:extLst>
            <a:ext uri="{FF2B5EF4-FFF2-40B4-BE49-F238E27FC236}">
              <a16:creationId xmlns:a16="http://schemas.microsoft.com/office/drawing/2014/main" id="{00000000-0008-0000-0100-00006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5" name="TextBox 1384">
          <a:extLst>
            <a:ext uri="{FF2B5EF4-FFF2-40B4-BE49-F238E27FC236}">
              <a16:creationId xmlns:a16="http://schemas.microsoft.com/office/drawing/2014/main" id="{00000000-0008-0000-0100-00006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6" name="TextBox 1385">
          <a:extLst>
            <a:ext uri="{FF2B5EF4-FFF2-40B4-BE49-F238E27FC236}">
              <a16:creationId xmlns:a16="http://schemas.microsoft.com/office/drawing/2014/main" id="{00000000-0008-0000-0100-00006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7" name="TextBox 1386">
          <a:extLst>
            <a:ext uri="{FF2B5EF4-FFF2-40B4-BE49-F238E27FC236}">
              <a16:creationId xmlns:a16="http://schemas.microsoft.com/office/drawing/2014/main" id="{00000000-0008-0000-0100-00006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8" name="TextBox 1387">
          <a:extLst>
            <a:ext uri="{FF2B5EF4-FFF2-40B4-BE49-F238E27FC236}">
              <a16:creationId xmlns:a16="http://schemas.microsoft.com/office/drawing/2014/main" id="{00000000-0008-0000-0100-00006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89" name="TextBox 1388">
          <a:extLst>
            <a:ext uri="{FF2B5EF4-FFF2-40B4-BE49-F238E27FC236}">
              <a16:creationId xmlns:a16="http://schemas.microsoft.com/office/drawing/2014/main" id="{00000000-0008-0000-0100-00006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0" name="TextBox 1389">
          <a:extLst>
            <a:ext uri="{FF2B5EF4-FFF2-40B4-BE49-F238E27FC236}">
              <a16:creationId xmlns:a16="http://schemas.microsoft.com/office/drawing/2014/main" id="{00000000-0008-0000-0100-00006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1" name="TextBox 1390">
          <a:extLst>
            <a:ext uri="{FF2B5EF4-FFF2-40B4-BE49-F238E27FC236}">
              <a16:creationId xmlns:a16="http://schemas.microsoft.com/office/drawing/2014/main" id="{00000000-0008-0000-0100-00006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2" name="TextBox 1391">
          <a:extLst>
            <a:ext uri="{FF2B5EF4-FFF2-40B4-BE49-F238E27FC236}">
              <a16:creationId xmlns:a16="http://schemas.microsoft.com/office/drawing/2014/main" id="{00000000-0008-0000-0100-00007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3" name="TextBox 1392">
          <a:extLst>
            <a:ext uri="{FF2B5EF4-FFF2-40B4-BE49-F238E27FC236}">
              <a16:creationId xmlns:a16="http://schemas.microsoft.com/office/drawing/2014/main" id="{00000000-0008-0000-0100-00007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4" name="TextBox 1393">
          <a:extLst>
            <a:ext uri="{FF2B5EF4-FFF2-40B4-BE49-F238E27FC236}">
              <a16:creationId xmlns:a16="http://schemas.microsoft.com/office/drawing/2014/main" id="{00000000-0008-0000-0100-00007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5" name="TextBox 1394">
          <a:extLst>
            <a:ext uri="{FF2B5EF4-FFF2-40B4-BE49-F238E27FC236}">
              <a16:creationId xmlns:a16="http://schemas.microsoft.com/office/drawing/2014/main" id="{00000000-0008-0000-0100-00007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6" name="TextBox 1395">
          <a:extLst>
            <a:ext uri="{FF2B5EF4-FFF2-40B4-BE49-F238E27FC236}">
              <a16:creationId xmlns:a16="http://schemas.microsoft.com/office/drawing/2014/main" id="{00000000-0008-0000-0100-00007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7" name="TextBox 1396">
          <a:extLst>
            <a:ext uri="{FF2B5EF4-FFF2-40B4-BE49-F238E27FC236}">
              <a16:creationId xmlns:a16="http://schemas.microsoft.com/office/drawing/2014/main" id="{00000000-0008-0000-0100-00007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8" name="TextBox 1397">
          <a:extLst>
            <a:ext uri="{FF2B5EF4-FFF2-40B4-BE49-F238E27FC236}">
              <a16:creationId xmlns:a16="http://schemas.microsoft.com/office/drawing/2014/main" id="{00000000-0008-0000-0100-00007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399" name="TextBox 1398">
          <a:extLst>
            <a:ext uri="{FF2B5EF4-FFF2-40B4-BE49-F238E27FC236}">
              <a16:creationId xmlns:a16="http://schemas.microsoft.com/office/drawing/2014/main" id="{00000000-0008-0000-0100-00007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0" name="TextBox 1399">
          <a:extLst>
            <a:ext uri="{FF2B5EF4-FFF2-40B4-BE49-F238E27FC236}">
              <a16:creationId xmlns:a16="http://schemas.microsoft.com/office/drawing/2014/main" id="{00000000-0008-0000-0100-00007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1" name="TextBox 1400">
          <a:extLst>
            <a:ext uri="{FF2B5EF4-FFF2-40B4-BE49-F238E27FC236}">
              <a16:creationId xmlns:a16="http://schemas.microsoft.com/office/drawing/2014/main" id="{00000000-0008-0000-0100-00007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2" name="TextBox 1401">
          <a:extLst>
            <a:ext uri="{FF2B5EF4-FFF2-40B4-BE49-F238E27FC236}">
              <a16:creationId xmlns:a16="http://schemas.microsoft.com/office/drawing/2014/main" id="{00000000-0008-0000-0100-00007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3" name="TextBox 1402">
          <a:extLst>
            <a:ext uri="{FF2B5EF4-FFF2-40B4-BE49-F238E27FC236}">
              <a16:creationId xmlns:a16="http://schemas.microsoft.com/office/drawing/2014/main" id="{00000000-0008-0000-0100-00007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4" name="TextBox 1403">
          <a:extLst>
            <a:ext uri="{FF2B5EF4-FFF2-40B4-BE49-F238E27FC236}">
              <a16:creationId xmlns:a16="http://schemas.microsoft.com/office/drawing/2014/main" id="{00000000-0008-0000-0100-00007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5" name="TextBox 1404">
          <a:extLst>
            <a:ext uri="{FF2B5EF4-FFF2-40B4-BE49-F238E27FC236}">
              <a16:creationId xmlns:a16="http://schemas.microsoft.com/office/drawing/2014/main" id="{00000000-0008-0000-0100-00007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6" name="TextBox 1405">
          <a:extLst>
            <a:ext uri="{FF2B5EF4-FFF2-40B4-BE49-F238E27FC236}">
              <a16:creationId xmlns:a16="http://schemas.microsoft.com/office/drawing/2014/main" id="{00000000-0008-0000-0100-00007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7" name="TextBox 1406">
          <a:extLst>
            <a:ext uri="{FF2B5EF4-FFF2-40B4-BE49-F238E27FC236}">
              <a16:creationId xmlns:a16="http://schemas.microsoft.com/office/drawing/2014/main" id="{00000000-0008-0000-0100-00007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8" name="TextBox 1407">
          <a:extLst>
            <a:ext uri="{FF2B5EF4-FFF2-40B4-BE49-F238E27FC236}">
              <a16:creationId xmlns:a16="http://schemas.microsoft.com/office/drawing/2014/main" id="{00000000-0008-0000-0100-00008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09" name="TextBox 1408">
          <a:extLst>
            <a:ext uri="{FF2B5EF4-FFF2-40B4-BE49-F238E27FC236}">
              <a16:creationId xmlns:a16="http://schemas.microsoft.com/office/drawing/2014/main" id="{00000000-0008-0000-0100-00008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0" name="TextBox 1409">
          <a:extLst>
            <a:ext uri="{FF2B5EF4-FFF2-40B4-BE49-F238E27FC236}">
              <a16:creationId xmlns:a16="http://schemas.microsoft.com/office/drawing/2014/main" id="{00000000-0008-0000-0100-00008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1" name="TextBox 1410">
          <a:extLst>
            <a:ext uri="{FF2B5EF4-FFF2-40B4-BE49-F238E27FC236}">
              <a16:creationId xmlns:a16="http://schemas.microsoft.com/office/drawing/2014/main" id="{00000000-0008-0000-0100-00008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2" name="TextBox 1411">
          <a:extLst>
            <a:ext uri="{FF2B5EF4-FFF2-40B4-BE49-F238E27FC236}">
              <a16:creationId xmlns:a16="http://schemas.microsoft.com/office/drawing/2014/main" id="{00000000-0008-0000-0100-00008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3" name="TextBox 1412">
          <a:extLst>
            <a:ext uri="{FF2B5EF4-FFF2-40B4-BE49-F238E27FC236}">
              <a16:creationId xmlns:a16="http://schemas.microsoft.com/office/drawing/2014/main" id="{00000000-0008-0000-0100-00008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4" name="TextBox 1413">
          <a:extLst>
            <a:ext uri="{FF2B5EF4-FFF2-40B4-BE49-F238E27FC236}">
              <a16:creationId xmlns:a16="http://schemas.microsoft.com/office/drawing/2014/main" id="{00000000-0008-0000-0100-00008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5" name="TextBox 1414">
          <a:extLst>
            <a:ext uri="{FF2B5EF4-FFF2-40B4-BE49-F238E27FC236}">
              <a16:creationId xmlns:a16="http://schemas.microsoft.com/office/drawing/2014/main" id="{00000000-0008-0000-0100-00008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6" name="TextBox 1415">
          <a:extLst>
            <a:ext uri="{FF2B5EF4-FFF2-40B4-BE49-F238E27FC236}">
              <a16:creationId xmlns:a16="http://schemas.microsoft.com/office/drawing/2014/main" id="{00000000-0008-0000-0100-00008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7" name="TextBox 1416">
          <a:extLst>
            <a:ext uri="{FF2B5EF4-FFF2-40B4-BE49-F238E27FC236}">
              <a16:creationId xmlns:a16="http://schemas.microsoft.com/office/drawing/2014/main" id="{00000000-0008-0000-0100-00008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8" name="TextBox 1417">
          <a:extLst>
            <a:ext uri="{FF2B5EF4-FFF2-40B4-BE49-F238E27FC236}">
              <a16:creationId xmlns:a16="http://schemas.microsoft.com/office/drawing/2014/main" id="{00000000-0008-0000-0100-00008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19" name="TextBox 1418">
          <a:extLst>
            <a:ext uri="{FF2B5EF4-FFF2-40B4-BE49-F238E27FC236}">
              <a16:creationId xmlns:a16="http://schemas.microsoft.com/office/drawing/2014/main" id="{00000000-0008-0000-0100-00008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0" name="TextBox 1419">
          <a:extLst>
            <a:ext uri="{FF2B5EF4-FFF2-40B4-BE49-F238E27FC236}">
              <a16:creationId xmlns:a16="http://schemas.microsoft.com/office/drawing/2014/main" id="{00000000-0008-0000-0100-00008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1" name="TextBox 1420">
          <a:extLst>
            <a:ext uri="{FF2B5EF4-FFF2-40B4-BE49-F238E27FC236}">
              <a16:creationId xmlns:a16="http://schemas.microsoft.com/office/drawing/2014/main" id="{00000000-0008-0000-0100-00008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2" name="TextBox 1421">
          <a:extLst>
            <a:ext uri="{FF2B5EF4-FFF2-40B4-BE49-F238E27FC236}">
              <a16:creationId xmlns:a16="http://schemas.microsoft.com/office/drawing/2014/main" id="{00000000-0008-0000-0100-00008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3" name="TextBox 1422">
          <a:extLst>
            <a:ext uri="{FF2B5EF4-FFF2-40B4-BE49-F238E27FC236}">
              <a16:creationId xmlns:a16="http://schemas.microsoft.com/office/drawing/2014/main" id="{00000000-0008-0000-0100-00008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4" name="TextBox 1423">
          <a:extLst>
            <a:ext uri="{FF2B5EF4-FFF2-40B4-BE49-F238E27FC236}">
              <a16:creationId xmlns:a16="http://schemas.microsoft.com/office/drawing/2014/main" id="{00000000-0008-0000-0100-00009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5" name="TextBox 1424">
          <a:extLst>
            <a:ext uri="{FF2B5EF4-FFF2-40B4-BE49-F238E27FC236}">
              <a16:creationId xmlns:a16="http://schemas.microsoft.com/office/drawing/2014/main" id="{00000000-0008-0000-0100-00009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6" name="TextBox 1425">
          <a:extLst>
            <a:ext uri="{FF2B5EF4-FFF2-40B4-BE49-F238E27FC236}">
              <a16:creationId xmlns:a16="http://schemas.microsoft.com/office/drawing/2014/main" id="{00000000-0008-0000-0100-00009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7" name="TextBox 1426">
          <a:extLst>
            <a:ext uri="{FF2B5EF4-FFF2-40B4-BE49-F238E27FC236}">
              <a16:creationId xmlns:a16="http://schemas.microsoft.com/office/drawing/2014/main" id="{00000000-0008-0000-0100-00009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8" name="TextBox 1427">
          <a:extLst>
            <a:ext uri="{FF2B5EF4-FFF2-40B4-BE49-F238E27FC236}">
              <a16:creationId xmlns:a16="http://schemas.microsoft.com/office/drawing/2014/main" id="{00000000-0008-0000-0100-00009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29" name="TextBox 1428">
          <a:extLst>
            <a:ext uri="{FF2B5EF4-FFF2-40B4-BE49-F238E27FC236}">
              <a16:creationId xmlns:a16="http://schemas.microsoft.com/office/drawing/2014/main" id="{00000000-0008-0000-0100-00009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0" name="TextBox 1429">
          <a:extLst>
            <a:ext uri="{FF2B5EF4-FFF2-40B4-BE49-F238E27FC236}">
              <a16:creationId xmlns:a16="http://schemas.microsoft.com/office/drawing/2014/main" id="{00000000-0008-0000-0100-00009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1" name="TextBox 1430">
          <a:extLst>
            <a:ext uri="{FF2B5EF4-FFF2-40B4-BE49-F238E27FC236}">
              <a16:creationId xmlns:a16="http://schemas.microsoft.com/office/drawing/2014/main" id="{00000000-0008-0000-0100-00009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2" name="TextBox 1431">
          <a:extLst>
            <a:ext uri="{FF2B5EF4-FFF2-40B4-BE49-F238E27FC236}">
              <a16:creationId xmlns:a16="http://schemas.microsoft.com/office/drawing/2014/main" id="{00000000-0008-0000-0100-00009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3" name="TextBox 1432">
          <a:extLst>
            <a:ext uri="{FF2B5EF4-FFF2-40B4-BE49-F238E27FC236}">
              <a16:creationId xmlns:a16="http://schemas.microsoft.com/office/drawing/2014/main" id="{00000000-0008-0000-0100-00009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4" name="TextBox 1433">
          <a:extLst>
            <a:ext uri="{FF2B5EF4-FFF2-40B4-BE49-F238E27FC236}">
              <a16:creationId xmlns:a16="http://schemas.microsoft.com/office/drawing/2014/main" id="{00000000-0008-0000-0100-00009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5" name="TextBox 1434">
          <a:extLst>
            <a:ext uri="{FF2B5EF4-FFF2-40B4-BE49-F238E27FC236}">
              <a16:creationId xmlns:a16="http://schemas.microsoft.com/office/drawing/2014/main" id="{00000000-0008-0000-0100-00009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6" name="TextBox 1435">
          <a:extLst>
            <a:ext uri="{FF2B5EF4-FFF2-40B4-BE49-F238E27FC236}">
              <a16:creationId xmlns:a16="http://schemas.microsoft.com/office/drawing/2014/main" id="{00000000-0008-0000-0100-00009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7" name="TextBox 1436">
          <a:extLst>
            <a:ext uri="{FF2B5EF4-FFF2-40B4-BE49-F238E27FC236}">
              <a16:creationId xmlns:a16="http://schemas.microsoft.com/office/drawing/2014/main" id="{00000000-0008-0000-0100-00009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8" name="TextBox 1437">
          <a:extLst>
            <a:ext uri="{FF2B5EF4-FFF2-40B4-BE49-F238E27FC236}">
              <a16:creationId xmlns:a16="http://schemas.microsoft.com/office/drawing/2014/main" id="{00000000-0008-0000-0100-00009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39" name="TextBox 1438">
          <a:extLst>
            <a:ext uri="{FF2B5EF4-FFF2-40B4-BE49-F238E27FC236}">
              <a16:creationId xmlns:a16="http://schemas.microsoft.com/office/drawing/2014/main" id="{00000000-0008-0000-0100-00009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0" name="TextBox 1439">
          <a:extLst>
            <a:ext uri="{FF2B5EF4-FFF2-40B4-BE49-F238E27FC236}">
              <a16:creationId xmlns:a16="http://schemas.microsoft.com/office/drawing/2014/main" id="{00000000-0008-0000-0100-0000A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1" name="TextBox 1440">
          <a:extLst>
            <a:ext uri="{FF2B5EF4-FFF2-40B4-BE49-F238E27FC236}">
              <a16:creationId xmlns:a16="http://schemas.microsoft.com/office/drawing/2014/main" id="{00000000-0008-0000-0100-0000A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2" name="TextBox 1441">
          <a:extLst>
            <a:ext uri="{FF2B5EF4-FFF2-40B4-BE49-F238E27FC236}">
              <a16:creationId xmlns:a16="http://schemas.microsoft.com/office/drawing/2014/main" id="{00000000-0008-0000-0100-0000A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3" name="TextBox 1442">
          <a:extLst>
            <a:ext uri="{FF2B5EF4-FFF2-40B4-BE49-F238E27FC236}">
              <a16:creationId xmlns:a16="http://schemas.microsoft.com/office/drawing/2014/main" id="{00000000-0008-0000-0100-0000A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4" name="TextBox 1443">
          <a:extLst>
            <a:ext uri="{FF2B5EF4-FFF2-40B4-BE49-F238E27FC236}">
              <a16:creationId xmlns:a16="http://schemas.microsoft.com/office/drawing/2014/main" id="{00000000-0008-0000-0100-0000A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5" name="TextBox 1444">
          <a:extLst>
            <a:ext uri="{FF2B5EF4-FFF2-40B4-BE49-F238E27FC236}">
              <a16:creationId xmlns:a16="http://schemas.microsoft.com/office/drawing/2014/main" id="{00000000-0008-0000-0100-0000A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6" name="TextBox 1445">
          <a:extLst>
            <a:ext uri="{FF2B5EF4-FFF2-40B4-BE49-F238E27FC236}">
              <a16:creationId xmlns:a16="http://schemas.microsoft.com/office/drawing/2014/main" id="{00000000-0008-0000-0100-0000A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7" name="TextBox 1446">
          <a:extLst>
            <a:ext uri="{FF2B5EF4-FFF2-40B4-BE49-F238E27FC236}">
              <a16:creationId xmlns:a16="http://schemas.microsoft.com/office/drawing/2014/main" id="{00000000-0008-0000-0100-0000A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8" name="TextBox 1447">
          <a:extLst>
            <a:ext uri="{FF2B5EF4-FFF2-40B4-BE49-F238E27FC236}">
              <a16:creationId xmlns:a16="http://schemas.microsoft.com/office/drawing/2014/main" id="{00000000-0008-0000-0100-0000A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49" name="TextBox 1448">
          <a:extLst>
            <a:ext uri="{FF2B5EF4-FFF2-40B4-BE49-F238E27FC236}">
              <a16:creationId xmlns:a16="http://schemas.microsoft.com/office/drawing/2014/main" id="{00000000-0008-0000-0100-0000A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0" name="TextBox 1449">
          <a:extLst>
            <a:ext uri="{FF2B5EF4-FFF2-40B4-BE49-F238E27FC236}">
              <a16:creationId xmlns:a16="http://schemas.microsoft.com/office/drawing/2014/main" id="{00000000-0008-0000-0100-0000A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1" name="TextBox 1450">
          <a:extLst>
            <a:ext uri="{FF2B5EF4-FFF2-40B4-BE49-F238E27FC236}">
              <a16:creationId xmlns:a16="http://schemas.microsoft.com/office/drawing/2014/main" id="{00000000-0008-0000-0100-0000A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2" name="TextBox 1451">
          <a:extLst>
            <a:ext uri="{FF2B5EF4-FFF2-40B4-BE49-F238E27FC236}">
              <a16:creationId xmlns:a16="http://schemas.microsoft.com/office/drawing/2014/main" id="{00000000-0008-0000-0100-0000A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3" name="TextBox 1452">
          <a:extLst>
            <a:ext uri="{FF2B5EF4-FFF2-40B4-BE49-F238E27FC236}">
              <a16:creationId xmlns:a16="http://schemas.microsoft.com/office/drawing/2014/main" id="{00000000-0008-0000-0100-0000A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4" name="TextBox 1453">
          <a:extLst>
            <a:ext uri="{FF2B5EF4-FFF2-40B4-BE49-F238E27FC236}">
              <a16:creationId xmlns:a16="http://schemas.microsoft.com/office/drawing/2014/main" id="{00000000-0008-0000-0100-0000A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5" name="TextBox 1454">
          <a:extLst>
            <a:ext uri="{FF2B5EF4-FFF2-40B4-BE49-F238E27FC236}">
              <a16:creationId xmlns:a16="http://schemas.microsoft.com/office/drawing/2014/main" id="{00000000-0008-0000-0100-0000A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6" name="TextBox 1455">
          <a:extLst>
            <a:ext uri="{FF2B5EF4-FFF2-40B4-BE49-F238E27FC236}">
              <a16:creationId xmlns:a16="http://schemas.microsoft.com/office/drawing/2014/main" id="{00000000-0008-0000-0100-0000B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7" name="TextBox 1456">
          <a:extLst>
            <a:ext uri="{FF2B5EF4-FFF2-40B4-BE49-F238E27FC236}">
              <a16:creationId xmlns:a16="http://schemas.microsoft.com/office/drawing/2014/main" id="{00000000-0008-0000-0100-0000B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8" name="TextBox 1457">
          <a:extLst>
            <a:ext uri="{FF2B5EF4-FFF2-40B4-BE49-F238E27FC236}">
              <a16:creationId xmlns:a16="http://schemas.microsoft.com/office/drawing/2014/main" id="{00000000-0008-0000-0100-0000B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59" name="TextBox 1458">
          <a:extLst>
            <a:ext uri="{FF2B5EF4-FFF2-40B4-BE49-F238E27FC236}">
              <a16:creationId xmlns:a16="http://schemas.microsoft.com/office/drawing/2014/main" id="{00000000-0008-0000-0100-0000B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0" name="TextBox 1459">
          <a:extLst>
            <a:ext uri="{FF2B5EF4-FFF2-40B4-BE49-F238E27FC236}">
              <a16:creationId xmlns:a16="http://schemas.microsoft.com/office/drawing/2014/main" id="{00000000-0008-0000-0100-0000B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1" name="TextBox 1460">
          <a:extLst>
            <a:ext uri="{FF2B5EF4-FFF2-40B4-BE49-F238E27FC236}">
              <a16:creationId xmlns:a16="http://schemas.microsoft.com/office/drawing/2014/main" id="{00000000-0008-0000-0100-0000B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2" name="TextBox 1461">
          <a:extLst>
            <a:ext uri="{FF2B5EF4-FFF2-40B4-BE49-F238E27FC236}">
              <a16:creationId xmlns:a16="http://schemas.microsoft.com/office/drawing/2014/main" id="{00000000-0008-0000-0100-0000B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3" name="TextBox 1462">
          <a:extLst>
            <a:ext uri="{FF2B5EF4-FFF2-40B4-BE49-F238E27FC236}">
              <a16:creationId xmlns:a16="http://schemas.microsoft.com/office/drawing/2014/main" id="{00000000-0008-0000-0100-0000B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4" name="TextBox 1463">
          <a:extLst>
            <a:ext uri="{FF2B5EF4-FFF2-40B4-BE49-F238E27FC236}">
              <a16:creationId xmlns:a16="http://schemas.microsoft.com/office/drawing/2014/main" id="{00000000-0008-0000-0100-0000B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5" name="TextBox 1464">
          <a:extLst>
            <a:ext uri="{FF2B5EF4-FFF2-40B4-BE49-F238E27FC236}">
              <a16:creationId xmlns:a16="http://schemas.microsoft.com/office/drawing/2014/main" id="{00000000-0008-0000-0100-0000B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6" name="TextBox 1465">
          <a:extLst>
            <a:ext uri="{FF2B5EF4-FFF2-40B4-BE49-F238E27FC236}">
              <a16:creationId xmlns:a16="http://schemas.microsoft.com/office/drawing/2014/main" id="{00000000-0008-0000-0100-0000B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7" name="TextBox 1466">
          <a:extLst>
            <a:ext uri="{FF2B5EF4-FFF2-40B4-BE49-F238E27FC236}">
              <a16:creationId xmlns:a16="http://schemas.microsoft.com/office/drawing/2014/main" id="{00000000-0008-0000-0100-0000B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8" name="TextBox 1467">
          <a:extLst>
            <a:ext uri="{FF2B5EF4-FFF2-40B4-BE49-F238E27FC236}">
              <a16:creationId xmlns:a16="http://schemas.microsoft.com/office/drawing/2014/main" id="{00000000-0008-0000-0100-0000B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69" name="TextBox 1468">
          <a:extLst>
            <a:ext uri="{FF2B5EF4-FFF2-40B4-BE49-F238E27FC236}">
              <a16:creationId xmlns:a16="http://schemas.microsoft.com/office/drawing/2014/main" id="{00000000-0008-0000-0100-0000B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0" name="TextBox 1469">
          <a:extLst>
            <a:ext uri="{FF2B5EF4-FFF2-40B4-BE49-F238E27FC236}">
              <a16:creationId xmlns:a16="http://schemas.microsoft.com/office/drawing/2014/main" id="{00000000-0008-0000-0100-0000B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1" name="TextBox 1470">
          <a:extLst>
            <a:ext uri="{FF2B5EF4-FFF2-40B4-BE49-F238E27FC236}">
              <a16:creationId xmlns:a16="http://schemas.microsoft.com/office/drawing/2014/main" id="{00000000-0008-0000-0100-0000B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2" name="TextBox 1471">
          <a:extLst>
            <a:ext uri="{FF2B5EF4-FFF2-40B4-BE49-F238E27FC236}">
              <a16:creationId xmlns:a16="http://schemas.microsoft.com/office/drawing/2014/main" id="{00000000-0008-0000-0100-0000C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3" name="TextBox 1472">
          <a:extLst>
            <a:ext uri="{FF2B5EF4-FFF2-40B4-BE49-F238E27FC236}">
              <a16:creationId xmlns:a16="http://schemas.microsoft.com/office/drawing/2014/main" id="{00000000-0008-0000-0100-0000C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4" name="TextBox 1473">
          <a:extLst>
            <a:ext uri="{FF2B5EF4-FFF2-40B4-BE49-F238E27FC236}">
              <a16:creationId xmlns:a16="http://schemas.microsoft.com/office/drawing/2014/main" id="{00000000-0008-0000-0100-0000C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5" name="TextBox 1474">
          <a:extLst>
            <a:ext uri="{FF2B5EF4-FFF2-40B4-BE49-F238E27FC236}">
              <a16:creationId xmlns:a16="http://schemas.microsoft.com/office/drawing/2014/main" id="{00000000-0008-0000-0100-0000C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6" name="TextBox 1475">
          <a:extLst>
            <a:ext uri="{FF2B5EF4-FFF2-40B4-BE49-F238E27FC236}">
              <a16:creationId xmlns:a16="http://schemas.microsoft.com/office/drawing/2014/main" id="{00000000-0008-0000-0100-0000C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7" name="TextBox 1476">
          <a:extLst>
            <a:ext uri="{FF2B5EF4-FFF2-40B4-BE49-F238E27FC236}">
              <a16:creationId xmlns:a16="http://schemas.microsoft.com/office/drawing/2014/main" id="{00000000-0008-0000-0100-0000C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8" name="TextBox 1477">
          <a:extLst>
            <a:ext uri="{FF2B5EF4-FFF2-40B4-BE49-F238E27FC236}">
              <a16:creationId xmlns:a16="http://schemas.microsoft.com/office/drawing/2014/main" id="{00000000-0008-0000-0100-0000C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79" name="TextBox 1478">
          <a:extLst>
            <a:ext uri="{FF2B5EF4-FFF2-40B4-BE49-F238E27FC236}">
              <a16:creationId xmlns:a16="http://schemas.microsoft.com/office/drawing/2014/main" id="{00000000-0008-0000-0100-0000C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0" name="TextBox 1479">
          <a:extLst>
            <a:ext uri="{FF2B5EF4-FFF2-40B4-BE49-F238E27FC236}">
              <a16:creationId xmlns:a16="http://schemas.microsoft.com/office/drawing/2014/main" id="{00000000-0008-0000-0100-0000C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1" name="TextBox 1480">
          <a:extLst>
            <a:ext uri="{FF2B5EF4-FFF2-40B4-BE49-F238E27FC236}">
              <a16:creationId xmlns:a16="http://schemas.microsoft.com/office/drawing/2014/main" id="{00000000-0008-0000-0100-0000C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2" name="TextBox 1481">
          <a:extLst>
            <a:ext uri="{FF2B5EF4-FFF2-40B4-BE49-F238E27FC236}">
              <a16:creationId xmlns:a16="http://schemas.microsoft.com/office/drawing/2014/main" id="{00000000-0008-0000-0100-0000C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3" name="TextBox 1482">
          <a:extLst>
            <a:ext uri="{FF2B5EF4-FFF2-40B4-BE49-F238E27FC236}">
              <a16:creationId xmlns:a16="http://schemas.microsoft.com/office/drawing/2014/main" id="{00000000-0008-0000-0100-0000C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4" name="TextBox 1483">
          <a:extLst>
            <a:ext uri="{FF2B5EF4-FFF2-40B4-BE49-F238E27FC236}">
              <a16:creationId xmlns:a16="http://schemas.microsoft.com/office/drawing/2014/main" id="{00000000-0008-0000-0100-0000C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5" name="TextBox 1484">
          <a:extLst>
            <a:ext uri="{FF2B5EF4-FFF2-40B4-BE49-F238E27FC236}">
              <a16:creationId xmlns:a16="http://schemas.microsoft.com/office/drawing/2014/main" id="{00000000-0008-0000-0100-0000C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6" name="TextBox 1485">
          <a:extLst>
            <a:ext uri="{FF2B5EF4-FFF2-40B4-BE49-F238E27FC236}">
              <a16:creationId xmlns:a16="http://schemas.microsoft.com/office/drawing/2014/main" id="{00000000-0008-0000-0100-0000C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7" name="TextBox 1486">
          <a:extLst>
            <a:ext uri="{FF2B5EF4-FFF2-40B4-BE49-F238E27FC236}">
              <a16:creationId xmlns:a16="http://schemas.microsoft.com/office/drawing/2014/main" id="{00000000-0008-0000-0100-0000C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8" name="TextBox 1487">
          <a:extLst>
            <a:ext uri="{FF2B5EF4-FFF2-40B4-BE49-F238E27FC236}">
              <a16:creationId xmlns:a16="http://schemas.microsoft.com/office/drawing/2014/main" id="{00000000-0008-0000-0100-0000D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89" name="TextBox 1488">
          <a:extLst>
            <a:ext uri="{FF2B5EF4-FFF2-40B4-BE49-F238E27FC236}">
              <a16:creationId xmlns:a16="http://schemas.microsoft.com/office/drawing/2014/main" id="{00000000-0008-0000-0100-0000D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0" name="TextBox 1489">
          <a:extLst>
            <a:ext uri="{FF2B5EF4-FFF2-40B4-BE49-F238E27FC236}">
              <a16:creationId xmlns:a16="http://schemas.microsoft.com/office/drawing/2014/main" id="{00000000-0008-0000-0100-0000D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1" name="TextBox 1490">
          <a:extLst>
            <a:ext uri="{FF2B5EF4-FFF2-40B4-BE49-F238E27FC236}">
              <a16:creationId xmlns:a16="http://schemas.microsoft.com/office/drawing/2014/main" id="{00000000-0008-0000-0100-0000D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2" name="TextBox 1491">
          <a:extLst>
            <a:ext uri="{FF2B5EF4-FFF2-40B4-BE49-F238E27FC236}">
              <a16:creationId xmlns:a16="http://schemas.microsoft.com/office/drawing/2014/main" id="{00000000-0008-0000-0100-0000D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3" name="TextBox 1492">
          <a:extLst>
            <a:ext uri="{FF2B5EF4-FFF2-40B4-BE49-F238E27FC236}">
              <a16:creationId xmlns:a16="http://schemas.microsoft.com/office/drawing/2014/main" id="{00000000-0008-0000-0100-0000D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4" name="TextBox 1493">
          <a:extLst>
            <a:ext uri="{FF2B5EF4-FFF2-40B4-BE49-F238E27FC236}">
              <a16:creationId xmlns:a16="http://schemas.microsoft.com/office/drawing/2014/main" id="{00000000-0008-0000-0100-0000D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5" name="TextBox 1494">
          <a:extLst>
            <a:ext uri="{FF2B5EF4-FFF2-40B4-BE49-F238E27FC236}">
              <a16:creationId xmlns:a16="http://schemas.microsoft.com/office/drawing/2014/main" id="{00000000-0008-0000-0100-0000D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6" name="TextBox 1495">
          <a:extLst>
            <a:ext uri="{FF2B5EF4-FFF2-40B4-BE49-F238E27FC236}">
              <a16:creationId xmlns:a16="http://schemas.microsoft.com/office/drawing/2014/main" id="{00000000-0008-0000-0100-0000D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7" name="TextBox 1496">
          <a:extLst>
            <a:ext uri="{FF2B5EF4-FFF2-40B4-BE49-F238E27FC236}">
              <a16:creationId xmlns:a16="http://schemas.microsoft.com/office/drawing/2014/main" id="{00000000-0008-0000-0100-0000D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8" name="TextBox 1497">
          <a:extLst>
            <a:ext uri="{FF2B5EF4-FFF2-40B4-BE49-F238E27FC236}">
              <a16:creationId xmlns:a16="http://schemas.microsoft.com/office/drawing/2014/main" id="{00000000-0008-0000-0100-0000D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499" name="TextBox 1498">
          <a:extLst>
            <a:ext uri="{FF2B5EF4-FFF2-40B4-BE49-F238E27FC236}">
              <a16:creationId xmlns:a16="http://schemas.microsoft.com/office/drawing/2014/main" id="{00000000-0008-0000-0100-0000D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0" name="TextBox 1499">
          <a:extLst>
            <a:ext uri="{FF2B5EF4-FFF2-40B4-BE49-F238E27FC236}">
              <a16:creationId xmlns:a16="http://schemas.microsoft.com/office/drawing/2014/main" id="{00000000-0008-0000-0100-0000D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1" name="TextBox 1500">
          <a:extLst>
            <a:ext uri="{FF2B5EF4-FFF2-40B4-BE49-F238E27FC236}">
              <a16:creationId xmlns:a16="http://schemas.microsoft.com/office/drawing/2014/main" id="{00000000-0008-0000-0100-0000D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2" name="TextBox 1501">
          <a:extLst>
            <a:ext uri="{FF2B5EF4-FFF2-40B4-BE49-F238E27FC236}">
              <a16:creationId xmlns:a16="http://schemas.microsoft.com/office/drawing/2014/main" id="{00000000-0008-0000-0100-0000D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3" name="TextBox 1502">
          <a:extLst>
            <a:ext uri="{FF2B5EF4-FFF2-40B4-BE49-F238E27FC236}">
              <a16:creationId xmlns:a16="http://schemas.microsoft.com/office/drawing/2014/main" id="{00000000-0008-0000-0100-0000D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4" name="TextBox 1503">
          <a:extLst>
            <a:ext uri="{FF2B5EF4-FFF2-40B4-BE49-F238E27FC236}">
              <a16:creationId xmlns:a16="http://schemas.microsoft.com/office/drawing/2014/main" id="{00000000-0008-0000-0100-0000E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5" name="TextBox 1504">
          <a:extLst>
            <a:ext uri="{FF2B5EF4-FFF2-40B4-BE49-F238E27FC236}">
              <a16:creationId xmlns:a16="http://schemas.microsoft.com/office/drawing/2014/main" id="{00000000-0008-0000-0100-0000E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6" name="TextBox 1505">
          <a:extLst>
            <a:ext uri="{FF2B5EF4-FFF2-40B4-BE49-F238E27FC236}">
              <a16:creationId xmlns:a16="http://schemas.microsoft.com/office/drawing/2014/main" id="{00000000-0008-0000-0100-0000E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7" name="TextBox 1506">
          <a:extLst>
            <a:ext uri="{FF2B5EF4-FFF2-40B4-BE49-F238E27FC236}">
              <a16:creationId xmlns:a16="http://schemas.microsoft.com/office/drawing/2014/main" id="{00000000-0008-0000-0100-0000E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8" name="TextBox 1507">
          <a:extLst>
            <a:ext uri="{FF2B5EF4-FFF2-40B4-BE49-F238E27FC236}">
              <a16:creationId xmlns:a16="http://schemas.microsoft.com/office/drawing/2014/main" id="{00000000-0008-0000-0100-0000E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09" name="TextBox 1508">
          <a:extLst>
            <a:ext uri="{FF2B5EF4-FFF2-40B4-BE49-F238E27FC236}">
              <a16:creationId xmlns:a16="http://schemas.microsoft.com/office/drawing/2014/main" id="{00000000-0008-0000-0100-0000E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0" name="TextBox 1509">
          <a:extLst>
            <a:ext uri="{FF2B5EF4-FFF2-40B4-BE49-F238E27FC236}">
              <a16:creationId xmlns:a16="http://schemas.microsoft.com/office/drawing/2014/main" id="{00000000-0008-0000-0100-0000E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1" name="TextBox 1510">
          <a:extLst>
            <a:ext uri="{FF2B5EF4-FFF2-40B4-BE49-F238E27FC236}">
              <a16:creationId xmlns:a16="http://schemas.microsoft.com/office/drawing/2014/main" id="{00000000-0008-0000-0100-0000E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2" name="TextBox 1511">
          <a:extLst>
            <a:ext uri="{FF2B5EF4-FFF2-40B4-BE49-F238E27FC236}">
              <a16:creationId xmlns:a16="http://schemas.microsoft.com/office/drawing/2014/main" id="{00000000-0008-0000-0100-0000E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3" name="TextBox 1512">
          <a:extLst>
            <a:ext uri="{FF2B5EF4-FFF2-40B4-BE49-F238E27FC236}">
              <a16:creationId xmlns:a16="http://schemas.microsoft.com/office/drawing/2014/main" id="{00000000-0008-0000-0100-0000E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4" name="TextBox 1513">
          <a:extLst>
            <a:ext uri="{FF2B5EF4-FFF2-40B4-BE49-F238E27FC236}">
              <a16:creationId xmlns:a16="http://schemas.microsoft.com/office/drawing/2014/main" id="{00000000-0008-0000-0100-0000E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5" name="TextBox 1514">
          <a:extLst>
            <a:ext uri="{FF2B5EF4-FFF2-40B4-BE49-F238E27FC236}">
              <a16:creationId xmlns:a16="http://schemas.microsoft.com/office/drawing/2014/main" id="{00000000-0008-0000-0100-0000E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6" name="TextBox 1515">
          <a:extLst>
            <a:ext uri="{FF2B5EF4-FFF2-40B4-BE49-F238E27FC236}">
              <a16:creationId xmlns:a16="http://schemas.microsoft.com/office/drawing/2014/main" id="{00000000-0008-0000-0100-0000E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7" name="TextBox 1516">
          <a:extLst>
            <a:ext uri="{FF2B5EF4-FFF2-40B4-BE49-F238E27FC236}">
              <a16:creationId xmlns:a16="http://schemas.microsoft.com/office/drawing/2014/main" id="{00000000-0008-0000-0100-0000E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8" name="TextBox 1517">
          <a:extLst>
            <a:ext uri="{FF2B5EF4-FFF2-40B4-BE49-F238E27FC236}">
              <a16:creationId xmlns:a16="http://schemas.microsoft.com/office/drawing/2014/main" id="{00000000-0008-0000-0100-0000E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19" name="TextBox 1518">
          <a:extLst>
            <a:ext uri="{FF2B5EF4-FFF2-40B4-BE49-F238E27FC236}">
              <a16:creationId xmlns:a16="http://schemas.microsoft.com/office/drawing/2014/main" id="{00000000-0008-0000-0100-0000E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0" name="TextBox 1519">
          <a:extLst>
            <a:ext uri="{FF2B5EF4-FFF2-40B4-BE49-F238E27FC236}">
              <a16:creationId xmlns:a16="http://schemas.microsoft.com/office/drawing/2014/main" id="{00000000-0008-0000-0100-0000F0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1" name="TextBox 1520">
          <a:extLst>
            <a:ext uri="{FF2B5EF4-FFF2-40B4-BE49-F238E27FC236}">
              <a16:creationId xmlns:a16="http://schemas.microsoft.com/office/drawing/2014/main" id="{00000000-0008-0000-0100-0000F1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2" name="TextBox 1521">
          <a:extLst>
            <a:ext uri="{FF2B5EF4-FFF2-40B4-BE49-F238E27FC236}">
              <a16:creationId xmlns:a16="http://schemas.microsoft.com/office/drawing/2014/main" id="{00000000-0008-0000-0100-0000F2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3" name="TextBox 1522">
          <a:extLst>
            <a:ext uri="{FF2B5EF4-FFF2-40B4-BE49-F238E27FC236}">
              <a16:creationId xmlns:a16="http://schemas.microsoft.com/office/drawing/2014/main" id="{00000000-0008-0000-0100-0000F3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4" name="TextBox 1523">
          <a:extLst>
            <a:ext uri="{FF2B5EF4-FFF2-40B4-BE49-F238E27FC236}">
              <a16:creationId xmlns:a16="http://schemas.microsoft.com/office/drawing/2014/main" id="{00000000-0008-0000-0100-0000F4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5" name="TextBox 1524">
          <a:extLst>
            <a:ext uri="{FF2B5EF4-FFF2-40B4-BE49-F238E27FC236}">
              <a16:creationId xmlns:a16="http://schemas.microsoft.com/office/drawing/2014/main" id="{00000000-0008-0000-0100-0000F5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6" name="TextBox 1525">
          <a:extLst>
            <a:ext uri="{FF2B5EF4-FFF2-40B4-BE49-F238E27FC236}">
              <a16:creationId xmlns:a16="http://schemas.microsoft.com/office/drawing/2014/main" id="{00000000-0008-0000-0100-0000F6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7" name="TextBox 1526">
          <a:extLst>
            <a:ext uri="{FF2B5EF4-FFF2-40B4-BE49-F238E27FC236}">
              <a16:creationId xmlns:a16="http://schemas.microsoft.com/office/drawing/2014/main" id="{00000000-0008-0000-0100-0000F7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8" name="TextBox 1527">
          <a:extLst>
            <a:ext uri="{FF2B5EF4-FFF2-40B4-BE49-F238E27FC236}">
              <a16:creationId xmlns:a16="http://schemas.microsoft.com/office/drawing/2014/main" id="{00000000-0008-0000-0100-0000F8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29" name="TextBox 1528">
          <a:extLst>
            <a:ext uri="{FF2B5EF4-FFF2-40B4-BE49-F238E27FC236}">
              <a16:creationId xmlns:a16="http://schemas.microsoft.com/office/drawing/2014/main" id="{00000000-0008-0000-0100-0000F9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0" name="TextBox 1529">
          <a:extLst>
            <a:ext uri="{FF2B5EF4-FFF2-40B4-BE49-F238E27FC236}">
              <a16:creationId xmlns:a16="http://schemas.microsoft.com/office/drawing/2014/main" id="{00000000-0008-0000-0100-0000FA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1" name="TextBox 1530">
          <a:extLst>
            <a:ext uri="{FF2B5EF4-FFF2-40B4-BE49-F238E27FC236}">
              <a16:creationId xmlns:a16="http://schemas.microsoft.com/office/drawing/2014/main" id="{00000000-0008-0000-0100-0000FB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2" name="TextBox 1531">
          <a:extLst>
            <a:ext uri="{FF2B5EF4-FFF2-40B4-BE49-F238E27FC236}">
              <a16:creationId xmlns:a16="http://schemas.microsoft.com/office/drawing/2014/main" id="{00000000-0008-0000-0100-0000FC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3" name="TextBox 1532">
          <a:extLst>
            <a:ext uri="{FF2B5EF4-FFF2-40B4-BE49-F238E27FC236}">
              <a16:creationId xmlns:a16="http://schemas.microsoft.com/office/drawing/2014/main" id="{00000000-0008-0000-0100-0000FD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4" name="TextBox 1533">
          <a:extLst>
            <a:ext uri="{FF2B5EF4-FFF2-40B4-BE49-F238E27FC236}">
              <a16:creationId xmlns:a16="http://schemas.microsoft.com/office/drawing/2014/main" id="{00000000-0008-0000-0100-0000FE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5" name="TextBox 1534">
          <a:extLst>
            <a:ext uri="{FF2B5EF4-FFF2-40B4-BE49-F238E27FC236}">
              <a16:creationId xmlns:a16="http://schemas.microsoft.com/office/drawing/2014/main" id="{00000000-0008-0000-0100-0000FF05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6" name="TextBox 1535">
          <a:extLst>
            <a:ext uri="{FF2B5EF4-FFF2-40B4-BE49-F238E27FC236}">
              <a16:creationId xmlns:a16="http://schemas.microsoft.com/office/drawing/2014/main" id="{00000000-0008-0000-0100-00000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7" name="TextBox 1536">
          <a:extLst>
            <a:ext uri="{FF2B5EF4-FFF2-40B4-BE49-F238E27FC236}">
              <a16:creationId xmlns:a16="http://schemas.microsoft.com/office/drawing/2014/main" id="{00000000-0008-0000-0100-00000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8" name="TextBox 1537">
          <a:extLst>
            <a:ext uri="{FF2B5EF4-FFF2-40B4-BE49-F238E27FC236}">
              <a16:creationId xmlns:a16="http://schemas.microsoft.com/office/drawing/2014/main" id="{00000000-0008-0000-0100-00000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39" name="TextBox 1538">
          <a:extLst>
            <a:ext uri="{FF2B5EF4-FFF2-40B4-BE49-F238E27FC236}">
              <a16:creationId xmlns:a16="http://schemas.microsoft.com/office/drawing/2014/main" id="{00000000-0008-0000-0100-00000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0" name="TextBox 1539">
          <a:extLst>
            <a:ext uri="{FF2B5EF4-FFF2-40B4-BE49-F238E27FC236}">
              <a16:creationId xmlns:a16="http://schemas.microsoft.com/office/drawing/2014/main" id="{00000000-0008-0000-0100-00000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1" name="TextBox 1540">
          <a:extLst>
            <a:ext uri="{FF2B5EF4-FFF2-40B4-BE49-F238E27FC236}">
              <a16:creationId xmlns:a16="http://schemas.microsoft.com/office/drawing/2014/main" id="{00000000-0008-0000-0100-00000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2" name="TextBox 1541">
          <a:extLst>
            <a:ext uri="{FF2B5EF4-FFF2-40B4-BE49-F238E27FC236}">
              <a16:creationId xmlns:a16="http://schemas.microsoft.com/office/drawing/2014/main" id="{00000000-0008-0000-0100-00000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3" name="TextBox 1542">
          <a:extLst>
            <a:ext uri="{FF2B5EF4-FFF2-40B4-BE49-F238E27FC236}">
              <a16:creationId xmlns:a16="http://schemas.microsoft.com/office/drawing/2014/main" id="{00000000-0008-0000-0100-00000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4" name="TextBox 1543">
          <a:extLst>
            <a:ext uri="{FF2B5EF4-FFF2-40B4-BE49-F238E27FC236}">
              <a16:creationId xmlns:a16="http://schemas.microsoft.com/office/drawing/2014/main" id="{00000000-0008-0000-0100-00000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5" name="TextBox 1544">
          <a:extLst>
            <a:ext uri="{FF2B5EF4-FFF2-40B4-BE49-F238E27FC236}">
              <a16:creationId xmlns:a16="http://schemas.microsoft.com/office/drawing/2014/main" id="{00000000-0008-0000-0100-00000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6" name="TextBox 1545">
          <a:extLst>
            <a:ext uri="{FF2B5EF4-FFF2-40B4-BE49-F238E27FC236}">
              <a16:creationId xmlns:a16="http://schemas.microsoft.com/office/drawing/2014/main" id="{00000000-0008-0000-0100-00000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7" name="TextBox 1546">
          <a:extLst>
            <a:ext uri="{FF2B5EF4-FFF2-40B4-BE49-F238E27FC236}">
              <a16:creationId xmlns:a16="http://schemas.microsoft.com/office/drawing/2014/main" id="{00000000-0008-0000-0100-00000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8" name="TextBox 1547">
          <a:extLst>
            <a:ext uri="{FF2B5EF4-FFF2-40B4-BE49-F238E27FC236}">
              <a16:creationId xmlns:a16="http://schemas.microsoft.com/office/drawing/2014/main" id="{00000000-0008-0000-0100-00000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49" name="TextBox 1548">
          <a:extLst>
            <a:ext uri="{FF2B5EF4-FFF2-40B4-BE49-F238E27FC236}">
              <a16:creationId xmlns:a16="http://schemas.microsoft.com/office/drawing/2014/main" id="{00000000-0008-0000-0100-00000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0" name="TextBox 1549">
          <a:extLst>
            <a:ext uri="{FF2B5EF4-FFF2-40B4-BE49-F238E27FC236}">
              <a16:creationId xmlns:a16="http://schemas.microsoft.com/office/drawing/2014/main" id="{00000000-0008-0000-0100-00000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1" name="TextBox 1550">
          <a:extLst>
            <a:ext uri="{FF2B5EF4-FFF2-40B4-BE49-F238E27FC236}">
              <a16:creationId xmlns:a16="http://schemas.microsoft.com/office/drawing/2014/main" id="{00000000-0008-0000-0100-00000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2" name="TextBox 1551">
          <a:extLst>
            <a:ext uri="{FF2B5EF4-FFF2-40B4-BE49-F238E27FC236}">
              <a16:creationId xmlns:a16="http://schemas.microsoft.com/office/drawing/2014/main" id="{00000000-0008-0000-0100-00001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3" name="TextBox 1552">
          <a:extLst>
            <a:ext uri="{FF2B5EF4-FFF2-40B4-BE49-F238E27FC236}">
              <a16:creationId xmlns:a16="http://schemas.microsoft.com/office/drawing/2014/main" id="{00000000-0008-0000-0100-00001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4" name="TextBox 1553">
          <a:extLst>
            <a:ext uri="{FF2B5EF4-FFF2-40B4-BE49-F238E27FC236}">
              <a16:creationId xmlns:a16="http://schemas.microsoft.com/office/drawing/2014/main" id="{00000000-0008-0000-0100-00001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5" name="TextBox 1554">
          <a:extLst>
            <a:ext uri="{FF2B5EF4-FFF2-40B4-BE49-F238E27FC236}">
              <a16:creationId xmlns:a16="http://schemas.microsoft.com/office/drawing/2014/main" id="{00000000-0008-0000-0100-00001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6" name="TextBox 1555">
          <a:extLst>
            <a:ext uri="{FF2B5EF4-FFF2-40B4-BE49-F238E27FC236}">
              <a16:creationId xmlns:a16="http://schemas.microsoft.com/office/drawing/2014/main" id="{00000000-0008-0000-0100-00001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7" name="TextBox 1556">
          <a:extLst>
            <a:ext uri="{FF2B5EF4-FFF2-40B4-BE49-F238E27FC236}">
              <a16:creationId xmlns:a16="http://schemas.microsoft.com/office/drawing/2014/main" id="{00000000-0008-0000-0100-00001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8" name="TextBox 1557">
          <a:extLst>
            <a:ext uri="{FF2B5EF4-FFF2-40B4-BE49-F238E27FC236}">
              <a16:creationId xmlns:a16="http://schemas.microsoft.com/office/drawing/2014/main" id="{00000000-0008-0000-0100-00001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59" name="TextBox 1558">
          <a:extLst>
            <a:ext uri="{FF2B5EF4-FFF2-40B4-BE49-F238E27FC236}">
              <a16:creationId xmlns:a16="http://schemas.microsoft.com/office/drawing/2014/main" id="{00000000-0008-0000-0100-00001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0" name="TextBox 1559">
          <a:extLst>
            <a:ext uri="{FF2B5EF4-FFF2-40B4-BE49-F238E27FC236}">
              <a16:creationId xmlns:a16="http://schemas.microsoft.com/office/drawing/2014/main" id="{00000000-0008-0000-0100-00001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1" name="TextBox 1560">
          <a:extLst>
            <a:ext uri="{FF2B5EF4-FFF2-40B4-BE49-F238E27FC236}">
              <a16:creationId xmlns:a16="http://schemas.microsoft.com/office/drawing/2014/main" id="{00000000-0008-0000-0100-00001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2" name="TextBox 1561">
          <a:extLst>
            <a:ext uri="{FF2B5EF4-FFF2-40B4-BE49-F238E27FC236}">
              <a16:creationId xmlns:a16="http://schemas.microsoft.com/office/drawing/2014/main" id="{00000000-0008-0000-0100-00001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3" name="TextBox 1562">
          <a:extLst>
            <a:ext uri="{FF2B5EF4-FFF2-40B4-BE49-F238E27FC236}">
              <a16:creationId xmlns:a16="http://schemas.microsoft.com/office/drawing/2014/main" id="{00000000-0008-0000-0100-00001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4" name="TextBox 1563">
          <a:extLst>
            <a:ext uri="{FF2B5EF4-FFF2-40B4-BE49-F238E27FC236}">
              <a16:creationId xmlns:a16="http://schemas.microsoft.com/office/drawing/2014/main" id="{00000000-0008-0000-0100-00001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5" name="TextBox 1564">
          <a:extLst>
            <a:ext uri="{FF2B5EF4-FFF2-40B4-BE49-F238E27FC236}">
              <a16:creationId xmlns:a16="http://schemas.microsoft.com/office/drawing/2014/main" id="{00000000-0008-0000-0100-00001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6" name="TextBox 1565">
          <a:extLst>
            <a:ext uri="{FF2B5EF4-FFF2-40B4-BE49-F238E27FC236}">
              <a16:creationId xmlns:a16="http://schemas.microsoft.com/office/drawing/2014/main" id="{00000000-0008-0000-0100-00001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7" name="TextBox 1566">
          <a:extLst>
            <a:ext uri="{FF2B5EF4-FFF2-40B4-BE49-F238E27FC236}">
              <a16:creationId xmlns:a16="http://schemas.microsoft.com/office/drawing/2014/main" id="{00000000-0008-0000-0100-00001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8" name="TextBox 1567">
          <a:extLst>
            <a:ext uri="{FF2B5EF4-FFF2-40B4-BE49-F238E27FC236}">
              <a16:creationId xmlns:a16="http://schemas.microsoft.com/office/drawing/2014/main" id="{00000000-0008-0000-0100-00002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69" name="TextBox 1568">
          <a:extLst>
            <a:ext uri="{FF2B5EF4-FFF2-40B4-BE49-F238E27FC236}">
              <a16:creationId xmlns:a16="http://schemas.microsoft.com/office/drawing/2014/main" id="{00000000-0008-0000-0100-00002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0" name="TextBox 1569">
          <a:extLst>
            <a:ext uri="{FF2B5EF4-FFF2-40B4-BE49-F238E27FC236}">
              <a16:creationId xmlns:a16="http://schemas.microsoft.com/office/drawing/2014/main" id="{00000000-0008-0000-0100-00002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1" name="TextBox 1570">
          <a:extLst>
            <a:ext uri="{FF2B5EF4-FFF2-40B4-BE49-F238E27FC236}">
              <a16:creationId xmlns:a16="http://schemas.microsoft.com/office/drawing/2014/main" id="{00000000-0008-0000-0100-00002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2" name="TextBox 1571">
          <a:extLst>
            <a:ext uri="{FF2B5EF4-FFF2-40B4-BE49-F238E27FC236}">
              <a16:creationId xmlns:a16="http://schemas.microsoft.com/office/drawing/2014/main" id="{00000000-0008-0000-0100-00002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3" name="TextBox 1572">
          <a:extLst>
            <a:ext uri="{FF2B5EF4-FFF2-40B4-BE49-F238E27FC236}">
              <a16:creationId xmlns:a16="http://schemas.microsoft.com/office/drawing/2014/main" id="{00000000-0008-0000-0100-00002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4" name="TextBox 1573">
          <a:extLst>
            <a:ext uri="{FF2B5EF4-FFF2-40B4-BE49-F238E27FC236}">
              <a16:creationId xmlns:a16="http://schemas.microsoft.com/office/drawing/2014/main" id="{00000000-0008-0000-0100-00002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5" name="TextBox 1574">
          <a:extLst>
            <a:ext uri="{FF2B5EF4-FFF2-40B4-BE49-F238E27FC236}">
              <a16:creationId xmlns:a16="http://schemas.microsoft.com/office/drawing/2014/main" id="{00000000-0008-0000-0100-00002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6" name="TextBox 1575">
          <a:extLst>
            <a:ext uri="{FF2B5EF4-FFF2-40B4-BE49-F238E27FC236}">
              <a16:creationId xmlns:a16="http://schemas.microsoft.com/office/drawing/2014/main" id="{00000000-0008-0000-0100-00002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7" name="TextBox 1576">
          <a:extLst>
            <a:ext uri="{FF2B5EF4-FFF2-40B4-BE49-F238E27FC236}">
              <a16:creationId xmlns:a16="http://schemas.microsoft.com/office/drawing/2014/main" id="{00000000-0008-0000-0100-00002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8" name="TextBox 1577">
          <a:extLst>
            <a:ext uri="{FF2B5EF4-FFF2-40B4-BE49-F238E27FC236}">
              <a16:creationId xmlns:a16="http://schemas.microsoft.com/office/drawing/2014/main" id="{00000000-0008-0000-0100-00002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79" name="TextBox 1578">
          <a:extLst>
            <a:ext uri="{FF2B5EF4-FFF2-40B4-BE49-F238E27FC236}">
              <a16:creationId xmlns:a16="http://schemas.microsoft.com/office/drawing/2014/main" id="{00000000-0008-0000-0100-00002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0" name="TextBox 1579">
          <a:extLst>
            <a:ext uri="{FF2B5EF4-FFF2-40B4-BE49-F238E27FC236}">
              <a16:creationId xmlns:a16="http://schemas.microsoft.com/office/drawing/2014/main" id="{00000000-0008-0000-0100-00002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1" name="TextBox 1580">
          <a:extLst>
            <a:ext uri="{FF2B5EF4-FFF2-40B4-BE49-F238E27FC236}">
              <a16:creationId xmlns:a16="http://schemas.microsoft.com/office/drawing/2014/main" id="{00000000-0008-0000-0100-00002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2" name="TextBox 1581">
          <a:extLst>
            <a:ext uri="{FF2B5EF4-FFF2-40B4-BE49-F238E27FC236}">
              <a16:creationId xmlns:a16="http://schemas.microsoft.com/office/drawing/2014/main" id="{00000000-0008-0000-0100-00002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3" name="TextBox 1582">
          <a:extLst>
            <a:ext uri="{FF2B5EF4-FFF2-40B4-BE49-F238E27FC236}">
              <a16:creationId xmlns:a16="http://schemas.microsoft.com/office/drawing/2014/main" id="{00000000-0008-0000-0100-00002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4" name="TextBox 1583">
          <a:extLst>
            <a:ext uri="{FF2B5EF4-FFF2-40B4-BE49-F238E27FC236}">
              <a16:creationId xmlns:a16="http://schemas.microsoft.com/office/drawing/2014/main" id="{00000000-0008-0000-0100-00003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5" name="TextBox 1584">
          <a:extLst>
            <a:ext uri="{FF2B5EF4-FFF2-40B4-BE49-F238E27FC236}">
              <a16:creationId xmlns:a16="http://schemas.microsoft.com/office/drawing/2014/main" id="{00000000-0008-0000-0100-00003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6" name="TextBox 1585">
          <a:extLst>
            <a:ext uri="{FF2B5EF4-FFF2-40B4-BE49-F238E27FC236}">
              <a16:creationId xmlns:a16="http://schemas.microsoft.com/office/drawing/2014/main" id="{00000000-0008-0000-0100-00003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7" name="TextBox 1586">
          <a:extLst>
            <a:ext uri="{FF2B5EF4-FFF2-40B4-BE49-F238E27FC236}">
              <a16:creationId xmlns:a16="http://schemas.microsoft.com/office/drawing/2014/main" id="{00000000-0008-0000-0100-00003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8" name="TextBox 1587">
          <a:extLst>
            <a:ext uri="{FF2B5EF4-FFF2-40B4-BE49-F238E27FC236}">
              <a16:creationId xmlns:a16="http://schemas.microsoft.com/office/drawing/2014/main" id="{00000000-0008-0000-0100-00003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89" name="TextBox 1588">
          <a:extLst>
            <a:ext uri="{FF2B5EF4-FFF2-40B4-BE49-F238E27FC236}">
              <a16:creationId xmlns:a16="http://schemas.microsoft.com/office/drawing/2014/main" id="{00000000-0008-0000-0100-00003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0" name="TextBox 1589">
          <a:extLst>
            <a:ext uri="{FF2B5EF4-FFF2-40B4-BE49-F238E27FC236}">
              <a16:creationId xmlns:a16="http://schemas.microsoft.com/office/drawing/2014/main" id="{00000000-0008-0000-0100-00003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1" name="TextBox 1590">
          <a:extLst>
            <a:ext uri="{FF2B5EF4-FFF2-40B4-BE49-F238E27FC236}">
              <a16:creationId xmlns:a16="http://schemas.microsoft.com/office/drawing/2014/main" id="{00000000-0008-0000-0100-00003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2" name="TextBox 1591">
          <a:extLst>
            <a:ext uri="{FF2B5EF4-FFF2-40B4-BE49-F238E27FC236}">
              <a16:creationId xmlns:a16="http://schemas.microsoft.com/office/drawing/2014/main" id="{00000000-0008-0000-0100-00003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3" name="TextBox 1592">
          <a:extLst>
            <a:ext uri="{FF2B5EF4-FFF2-40B4-BE49-F238E27FC236}">
              <a16:creationId xmlns:a16="http://schemas.microsoft.com/office/drawing/2014/main" id="{00000000-0008-0000-0100-00003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4" name="TextBox 1593">
          <a:extLst>
            <a:ext uri="{FF2B5EF4-FFF2-40B4-BE49-F238E27FC236}">
              <a16:creationId xmlns:a16="http://schemas.microsoft.com/office/drawing/2014/main" id="{00000000-0008-0000-0100-00003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5" name="TextBox 1594">
          <a:extLst>
            <a:ext uri="{FF2B5EF4-FFF2-40B4-BE49-F238E27FC236}">
              <a16:creationId xmlns:a16="http://schemas.microsoft.com/office/drawing/2014/main" id="{00000000-0008-0000-0100-00003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6" name="TextBox 1595">
          <a:extLst>
            <a:ext uri="{FF2B5EF4-FFF2-40B4-BE49-F238E27FC236}">
              <a16:creationId xmlns:a16="http://schemas.microsoft.com/office/drawing/2014/main" id="{00000000-0008-0000-0100-00003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7" name="TextBox 1596">
          <a:extLst>
            <a:ext uri="{FF2B5EF4-FFF2-40B4-BE49-F238E27FC236}">
              <a16:creationId xmlns:a16="http://schemas.microsoft.com/office/drawing/2014/main" id="{00000000-0008-0000-0100-00003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8" name="TextBox 1597">
          <a:extLst>
            <a:ext uri="{FF2B5EF4-FFF2-40B4-BE49-F238E27FC236}">
              <a16:creationId xmlns:a16="http://schemas.microsoft.com/office/drawing/2014/main" id="{00000000-0008-0000-0100-00003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599" name="TextBox 1598">
          <a:extLst>
            <a:ext uri="{FF2B5EF4-FFF2-40B4-BE49-F238E27FC236}">
              <a16:creationId xmlns:a16="http://schemas.microsoft.com/office/drawing/2014/main" id="{00000000-0008-0000-0100-00003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0" name="TextBox 1599">
          <a:extLst>
            <a:ext uri="{FF2B5EF4-FFF2-40B4-BE49-F238E27FC236}">
              <a16:creationId xmlns:a16="http://schemas.microsoft.com/office/drawing/2014/main" id="{00000000-0008-0000-0100-00004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1" name="TextBox 1600">
          <a:extLst>
            <a:ext uri="{FF2B5EF4-FFF2-40B4-BE49-F238E27FC236}">
              <a16:creationId xmlns:a16="http://schemas.microsoft.com/office/drawing/2014/main" id="{00000000-0008-0000-0100-00004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2" name="TextBox 1601">
          <a:extLst>
            <a:ext uri="{FF2B5EF4-FFF2-40B4-BE49-F238E27FC236}">
              <a16:creationId xmlns:a16="http://schemas.microsoft.com/office/drawing/2014/main" id="{00000000-0008-0000-0100-00004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3" name="TextBox 1602">
          <a:extLst>
            <a:ext uri="{FF2B5EF4-FFF2-40B4-BE49-F238E27FC236}">
              <a16:creationId xmlns:a16="http://schemas.microsoft.com/office/drawing/2014/main" id="{00000000-0008-0000-0100-00004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4" name="TextBox 1603">
          <a:extLst>
            <a:ext uri="{FF2B5EF4-FFF2-40B4-BE49-F238E27FC236}">
              <a16:creationId xmlns:a16="http://schemas.microsoft.com/office/drawing/2014/main" id="{00000000-0008-0000-0100-00004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5" name="TextBox 1604">
          <a:extLst>
            <a:ext uri="{FF2B5EF4-FFF2-40B4-BE49-F238E27FC236}">
              <a16:creationId xmlns:a16="http://schemas.microsoft.com/office/drawing/2014/main" id="{00000000-0008-0000-0100-00004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6" name="TextBox 1605">
          <a:extLst>
            <a:ext uri="{FF2B5EF4-FFF2-40B4-BE49-F238E27FC236}">
              <a16:creationId xmlns:a16="http://schemas.microsoft.com/office/drawing/2014/main" id="{00000000-0008-0000-0100-00004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7" name="TextBox 1606">
          <a:extLst>
            <a:ext uri="{FF2B5EF4-FFF2-40B4-BE49-F238E27FC236}">
              <a16:creationId xmlns:a16="http://schemas.microsoft.com/office/drawing/2014/main" id="{00000000-0008-0000-0100-00004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8" name="TextBox 1607">
          <a:extLst>
            <a:ext uri="{FF2B5EF4-FFF2-40B4-BE49-F238E27FC236}">
              <a16:creationId xmlns:a16="http://schemas.microsoft.com/office/drawing/2014/main" id="{00000000-0008-0000-0100-00004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09" name="TextBox 1608">
          <a:extLst>
            <a:ext uri="{FF2B5EF4-FFF2-40B4-BE49-F238E27FC236}">
              <a16:creationId xmlns:a16="http://schemas.microsoft.com/office/drawing/2014/main" id="{00000000-0008-0000-0100-00004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0" name="TextBox 1609">
          <a:extLst>
            <a:ext uri="{FF2B5EF4-FFF2-40B4-BE49-F238E27FC236}">
              <a16:creationId xmlns:a16="http://schemas.microsoft.com/office/drawing/2014/main" id="{00000000-0008-0000-0100-00004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1" name="TextBox 1610">
          <a:extLst>
            <a:ext uri="{FF2B5EF4-FFF2-40B4-BE49-F238E27FC236}">
              <a16:creationId xmlns:a16="http://schemas.microsoft.com/office/drawing/2014/main" id="{00000000-0008-0000-0100-00004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2" name="TextBox 1611">
          <a:extLst>
            <a:ext uri="{FF2B5EF4-FFF2-40B4-BE49-F238E27FC236}">
              <a16:creationId xmlns:a16="http://schemas.microsoft.com/office/drawing/2014/main" id="{00000000-0008-0000-0100-00004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3" name="TextBox 1612">
          <a:extLst>
            <a:ext uri="{FF2B5EF4-FFF2-40B4-BE49-F238E27FC236}">
              <a16:creationId xmlns:a16="http://schemas.microsoft.com/office/drawing/2014/main" id="{00000000-0008-0000-0100-00004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4" name="TextBox 1613">
          <a:extLst>
            <a:ext uri="{FF2B5EF4-FFF2-40B4-BE49-F238E27FC236}">
              <a16:creationId xmlns:a16="http://schemas.microsoft.com/office/drawing/2014/main" id="{00000000-0008-0000-0100-00004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5" name="TextBox 1614">
          <a:extLst>
            <a:ext uri="{FF2B5EF4-FFF2-40B4-BE49-F238E27FC236}">
              <a16:creationId xmlns:a16="http://schemas.microsoft.com/office/drawing/2014/main" id="{00000000-0008-0000-0100-00004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6" name="TextBox 1615">
          <a:extLst>
            <a:ext uri="{FF2B5EF4-FFF2-40B4-BE49-F238E27FC236}">
              <a16:creationId xmlns:a16="http://schemas.microsoft.com/office/drawing/2014/main" id="{00000000-0008-0000-0100-00005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7" name="TextBox 1616">
          <a:extLst>
            <a:ext uri="{FF2B5EF4-FFF2-40B4-BE49-F238E27FC236}">
              <a16:creationId xmlns:a16="http://schemas.microsoft.com/office/drawing/2014/main" id="{00000000-0008-0000-0100-00005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8" name="TextBox 1617">
          <a:extLst>
            <a:ext uri="{FF2B5EF4-FFF2-40B4-BE49-F238E27FC236}">
              <a16:creationId xmlns:a16="http://schemas.microsoft.com/office/drawing/2014/main" id="{00000000-0008-0000-0100-00005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19" name="TextBox 1618">
          <a:extLst>
            <a:ext uri="{FF2B5EF4-FFF2-40B4-BE49-F238E27FC236}">
              <a16:creationId xmlns:a16="http://schemas.microsoft.com/office/drawing/2014/main" id="{00000000-0008-0000-0100-00005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0" name="TextBox 1619">
          <a:extLst>
            <a:ext uri="{FF2B5EF4-FFF2-40B4-BE49-F238E27FC236}">
              <a16:creationId xmlns:a16="http://schemas.microsoft.com/office/drawing/2014/main" id="{00000000-0008-0000-0100-00005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1" name="TextBox 1620">
          <a:extLst>
            <a:ext uri="{FF2B5EF4-FFF2-40B4-BE49-F238E27FC236}">
              <a16:creationId xmlns:a16="http://schemas.microsoft.com/office/drawing/2014/main" id="{00000000-0008-0000-0100-00005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2" name="TextBox 1621">
          <a:extLst>
            <a:ext uri="{FF2B5EF4-FFF2-40B4-BE49-F238E27FC236}">
              <a16:creationId xmlns:a16="http://schemas.microsoft.com/office/drawing/2014/main" id="{00000000-0008-0000-0100-00005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3" name="TextBox 1622">
          <a:extLst>
            <a:ext uri="{FF2B5EF4-FFF2-40B4-BE49-F238E27FC236}">
              <a16:creationId xmlns:a16="http://schemas.microsoft.com/office/drawing/2014/main" id="{00000000-0008-0000-0100-00005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4" name="TextBox 1623">
          <a:extLst>
            <a:ext uri="{FF2B5EF4-FFF2-40B4-BE49-F238E27FC236}">
              <a16:creationId xmlns:a16="http://schemas.microsoft.com/office/drawing/2014/main" id="{00000000-0008-0000-0100-00005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5" name="TextBox 1624">
          <a:extLst>
            <a:ext uri="{FF2B5EF4-FFF2-40B4-BE49-F238E27FC236}">
              <a16:creationId xmlns:a16="http://schemas.microsoft.com/office/drawing/2014/main" id="{00000000-0008-0000-0100-00005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6" name="TextBox 1625">
          <a:extLst>
            <a:ext uri="{FF2B5EF4-FFF2-40B4-BE49-F238E27FC236}">
              <a16:creationId xmlns:a16="http://schemas.microsoft.com/office/drawing/2014/main" id="{00000000-0008-0000-0100-00005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7" name="TextBox 1626">
          <a:extLst>
            <a:ext uri="{FF2B5EF4-FFF2-40B4-BE49-F238E27FC236}">
              <a16:creationId xmlns:a16="http://schemas.microsoft.com/office/drawing/2014/main" id="{00000000-0008-0000-0100-00005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8" name="TextBox 1627">
          <a:extLst>
            <a:ext uri="{FF2B5EF4-FFF2-40B4-BE49-F238E27FC236}">
              <a16:creationId xmlns:a16="http://schemas.microsoft.com/office/drawing/2014/main" id="{00000000-0008-0000-0100-00005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29" name="TextBox 1628">
          <a:extLst>
            <a:ext uri="{FF2B5EF4-FFF2-40B4-BE49-F238E27FC236}">
              <a16:creationId xmlns:a16="http://schemas.microsoft.com/office/drawing/2014/main" id="{00000000-0008-0000-0100-00005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0" name="TextBox 1629">
          <a:extLst>
            <a:ext uri="{FF2B5EF4-FFF2-40B4-BE49-F238E27FC236}">
              <a16:creationId xmlns:a16="http://schemas.microsoft.com/office/drawing/2014/main" id="{00000000-0008-0000-0100-00005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1" name="TextBox 1630">
          <a:extLst>
            <a:ext uri="{FF2B5EF4-FFF2-40B4-BE49-F238E27FC236}">
              <a16:creationId xmlns:a16="http://schemas.microsoft.com/office/drawing/2014/main" id="{00000000-0008-0000-0100-00005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2" name="TextBox 1631">
          <a:extLst>
            <a:ext uri="{FF2B5EF4-FFF2-40B4-BE49-F238E27FC236}">
              <a16:creationId xmlns:a16="http://schemas.microsoft.com/office/drawing/2014/main" id="{00000000-0008-0000-0100-00006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3" name="TextBox 1632">
          <a:extLst>
            <a:ext uri="{FF2B5EF4-FFF2-40B4-BE49-F238E27FC236}">
              <a16:creationId xmlns:a16="http://schemas.microsoft.com/office/drawing/2014/main" id="{00000000-0008-0000-0100-00006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4" name="TextBox 1633">
          <a:extLst>
            <a:ext uri="{FF2B5EF4-FFF2-40B4-BE49-F238E27FC236}">
              <a16:creationId xmlns:a16="http://schemas.microsoft.com/office/drawing/2014/main" id="{00000000-0008-0000-0100-00006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5" name="TextBox 1634">
          <a:extLst>
            <a:ext uri="{FF2B5EF4-FFF2-40B4-BE49-F238E27FC236}">
              <a16:creationId xmlns:a16="http://schemas.microsoft.com/office/drawing/2014/main" id="{00000000-0008-0000-0100-00006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6" name="TextBox 1635">
          <a:extLst>
            <a:ext uri="{FF2B5EF4-FFF2-40B4-BE49-F238E27FC236}">
              <a16:creationId xmlns:a16="http://schemas.microsoft.com/office/drawing/2014/main" id="{00000000-0008-0000-0100-00006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7" name="TextBox 1636">
          <a:extLst>
            <a:ext uri="{FF2B5EF4-FFF2-40B4-BE49-F238E27FC236}">
              <a16:creationId xmlns:a16="http://schemas.microsoft.com/office/drawing/2014/main" id="{00000000-0008-0000-0100-00006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8" name="TextBox 1637">
          <a:extLst>
            <a:ext uri="{FF2B5EF4-FFF2-40B4-BE49-F238E27FC236}">
              <a16:creationId xmlns:a16="http://schemas.microsoft.com/office/drawing/2014/main" id="{00000000-0008-0000-0100-00006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39" name="TextBox 1638">
          <a:extLst>
            <a:ext uri="{FF2B5EF4-FFF2-40B4-BE49-F238E27FC236}">
              <a16:creationId xmlns:a16="http://schemas.microsoft.com/office/drawing/2014/main" id="{00000000-0008-0000-0100-00006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0" name="TextBox 1639">
          <a:extLst>
            <a:ext uri="{FF2B5EF4-FFF2-40B4-BE49-F238E27FC236}">
              <a16:creationId xmlns:a16="http://schemas.microsoft.com/office/drawing/2014/main" id="{00000000-0008-0000-0100-00006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1" name="TextBox 1640">
          <a:extLst>
            <a:ext uri="{FF2B5EF4-FFF2-40B4-BE49-F238E27FC236}">
              <a16:creationId xmlns:a16="http://schemas.microsoft.com/office/drawing/2014/main" id="{00000000-0008-0000-0100-00006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2" name="TextBox 1641">
          <a:extLst>
            <a:ext uri="{FF2B5EF4-FFF2-40B4-BE49-F238E27FC236}">
              <a16:creationId xmlns:a16="http://schemas.microsoft.com/office/drawing/2014/main" id="{00000000-0008-0000-0100-00006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3" name="TextBox 1642">
          <a:extLst>
            <a:ext uri="{FF2B5EF4-FFF2-40B4-BE49-F238E27FC236}">
              <a16:creationId xmlns:a16="http://schemas.microsoft.com/office/drawing/2014/main" id="{00000000-0008-0000-0100-00006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4" name="TextBox 1643">
          <a:extLst>
            <a:ext uri="{FF2B5EF4-FFF2-40B4-BE49-F238E27FC236}">
              <a16:creationId xmlns:a16="http://schemas.microsoft.com/office/drawing/2014/main" id="{00000000-0008-0000-0100-00006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5" name="TextBox 1644">
          <a:extLst>
            <a:ext uri="{FF2B5EF4-FFF2-40B4-BE49-F238E27FC236}">
              <a16:creationId xmlns:a16="http://schemas.microsoft.com/office/drawing/2014/main" id="{00000000-0008-0000-0100-00006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6" name="TextBox 1645">
          <a:extLst>
            <a:ext uri="{FF2B5EF4-FFF2-40B4-BE49-F238E27FC236}">
              <a16:creationId xmlns:a16="http://schemas.microsoft.com/office/drawing/2014/main" id="{00000000-0008-0000-0100-00006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7" name="TextBox 1646">
          <a:extLst>
            <a:ext uri="{FF2B5EF4-FFF2-40B4-BE49-F238E27FC236}">
              <a16:creationId xmlns:a16="http://schemas.microsoft.com/office/drawing/2014/main" id="{00000000-0008-0000-0100-00006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8" name="TextBox 1647">
          <a:extLst>
            <a:ext uri="{FF2B5EF4-FFF2-40B4-BE49-F238E27FC236}">
              <a16:creationId xmlns:a16="http://schemas.microsoft.com/office/drawing/2014/main" id="{00000000-0008-0000-0100-00007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49" name="TextBox 1648">
          <a:extLst>
            <a:ext uri="{FF2B5EF4-FFF2-40B4-BE49-F238E27FC236}">
              <a16:creationId xmlns:a16="http://schemas.microsoft.com/office/drawing/2014/main" id="{00000000-0008-0000-0100-00007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0" name="TextBox 1649">
          <a:extLst>
            <a:ext uri="{FF2B5EF4-FFF2-40B4-BE49-F238E27FC236}">
              <a16:creationId xmlns:a16="http://schemas.microsoft.com/office/drawing/2014/main" id="{00000000-0008-0000-0100-00007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1" name="TextBox 1650">
          <a:extLst>
            <a:ext uri="{FF2B5EF4-FFF2-40B4-BE49-F238E27FC236}">
              <a16:creationId xmlns:a16="http://schemas.microsoft.com/office/drawing/2014/main" id="{00000000-0008-0000-0100-00007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2" name="TextBox 1651">
          <a:extLst>
            <a:ext uri="{FF2B5EF4-FFF2-40B4-BE49-F238E27FC236}">
              <a16:creationId xmlns:a16="http://schemas.microsoft.com/office/drawing/2014/main" id="{00000000-0008-0000-0100-00007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3" name="TextBox 1652">
          <a:extLst>
            <a:ext uri="{FF2B5EF4-FFF2-40B4-BE49-F238E27FC236}">
              <a16:creationId xmlns:a16="http://schemas.microsoft.com/office/drawing/2014/main" id="{00000000-0008-0000-0100-00007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4" name="TextBox 1653">
          <a:extLst>
            <a:ext uri="{FF2B5EF4-FFF2-40B4-BE49-F238E27FC236}">
              <a16:creationId xmlns:a16="http://schemas.microsoft.com/office/drawing/2014/main" id="{00000000-0008-0000-0100-00007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5" name="TextBox 1654">
          <a:extLst>
            <a:ext uri="{FF2B5EF4-FFF2-40B4-BE49-F238E27FC236}">
              <a16:creationId xmlns:a16="http://schemas.microsoft.com/office/drawing/2014/main" id="{00000000-0008-0000-0100-00007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6" name="TextBox 1655">
          <a:extLst>
            <a:ext uri="{FF2B5EF4-FFF2-40B4-BE49-F238E27FC236}">
              <a16:creationId xmlns:a16="http://schemas.microsoft.com/office/drawing/2014/main" id="{00000000-0008-0000-0100-00007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7" name="TextBox 1656">
          <a:extLst>
            <a:ext uri="{FF2B5EF4-FFF2-40B4-BE49-F238E27FC236}">
              <a16:creationId xmlns:a16="http://schemas.microsoft.com/office/drawing/2014/main" id="{00000000-0008-0000-0100-00007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8" name="TextBox 1657">
          <a:extLst>
            <a:ext uri="{FF2B5EF4-FFF2-40B4-BE49-F238E27FC236}">
              <a16:creationId xmlns:a16="http://schemas.microsoft.com/office/drawing/2014/main" id="{00000000-0008-0000-0100-00007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59" name="TextBox 1658">
          <a:extLst>
            <a:ext uri="{FF2B5EF4-FFF2-40B4-BE49-F238E27FC236}">
              <a16:creationId xmlns:a16="http://schemas.microsoft.com/office/drawing/2014/main" id="{00000000-0008-0000-0100-00007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0" name="TextBox 1659">
          <a:extLst>
            <a:ext uri="{FF2B5EF4-FFF2-40B4-BE49-F238E27FC236}">
              <a16:creationId xmlns:a16="http://schemas.microsoft.com/office/drawing/2014/main" id="{00000000-0008-0000-0100-00007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1" name="TextBox 1660">
          <a:extLst>
            <a:ext uri="{FF2B5EF4-FFF2-40B4-BE49-F238E27FC236}">
              <a16:creationId xmlns:a16="http://schemas.microsoft.com/office/drawing/2014/main" id="{00000000-0008-0000-0100-00007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2" name="TextBox 1661">
          <a:extLst>
            <a:ext uri="{FF2B5EF4-FFF2-40B4-BE49-F238E27FC236}">
              <a16:creationId xmlns:a16="http://schemas.microsoft.com/office/drawing/2014/main" id="{00000000-0008-0000-0100-00007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3" name="TextBox 1662">
          <a:extLst>
            <a:ext uri="{FF2B5EF4-FFF2-40B4-BE49-F238E27FC236}">
              <a16:creationId xmlns:a16="http://schemas.microsoft.com/office/drawing/2014/main" id="{00000000-0008-0000-0100-00007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4" name="TextBox 1663">
          <a:extLst>
            <a:ext uri="{FF2B5EF4-FFF2-40B4-BE49-F238E27FC236}">
              <a16:creationId xmlns:a16="http://schemas.microsoft.com/office/drawing/2014/main" id="{00000000-0008-0000-0100-00008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5" name="TextBox 1664">
          <a:extLst>
            <a:ext uri="{FF2B5EF4-FFF2-40B4-BE49-F238E27FC236}">
              <a16:creationId xmlns:a16="http://schemas.microsoft.com/office/drawing/2014/main" id="{00000000-0008-0000-0100-00008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6" name="TextBox 1665">
          <a:extLst>
            <a:ext uri="{FF2B5EF4-FFF2-40B4-BE49-F238E27FC236}">
              <a16:creationId xmlns:a16="http://schemas.microsoft.com/office/drawing/2014/main" id="{00000000-0008-0000-0100-00008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7" name="TextBox 1666">
          <a:extLst>
            <a:ext uri="{FF2B5EF4-FFF2-40B4-BE49-F238E27FC236}">
              <a16:creationId xmlns:a16="http://schemas.microsoft.com/office/drawing/2014/main" id="{00000000-0008-0000-0100-00008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8" name="TextBox 1667">
          <a:extLst>
            <a:ext uri="{FF2B5EF4-FFF2-40B4-BE49-F238E27FC236}">
              <a16:creationId xmlns:a16="http://schemas.microsoft.com/office/drawing/2014/main" id="{00000000-0008-0000-0100-00008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69" name="TextBox 1668">
          <a:extLst>
            <a:ext uri="{FF2B5EF4-FFF2-40B4-BE49-F238E27FC236}">
              <a16:creationId xmlns:a16="http://schemas.microsoft.com/office/drawing/2014/main" id="{00000000-0008-0000-0100-00008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0" name="TextBox 1669">
          <a:extLst>
            <a:ext uri="{FF2B5EF4-FFF2-40B4-BE49-F238E27FC236}">
              <a16:creationId xmlns:a16="http://schemas.microsoft.com/office/drawing/2014/main" id="{00000000-0008-0000-0100-00008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1" name="TextBox 1670">
          <a:extLst>
            <a:ext uri="{FF2B5EF4-FFF2-40B4-BE49-F238E27FC236}">
              <a16:creationId xmlns:a16="http://schemas.microsoft.com/office/drawing/2014/main" id="{00000000-0008-0000-0100-00008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2" name="TextBox 1671">
          <a:extLst>
            <a:ext uri="{FF2B5EF4-FFF2-40B4-BE49-F238E27FC236}">
              <a16:creationId xmlns:a16="http://schemas.microsoft.com/office/drawing/2014/main" id="{00000000-0008-0000-0100-00008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3" name="TextBox 1672">
          <a:extLst>
            <a:ext uri="{FF2B5EF4-FFF2-40B4-BE49-F238E27FC236}">
              <a16:creationId xmlns:a16="http://schemas.microsoft.com/office/drawing/2014/main" id="{00000000-0008-0000-0100-00008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4" name="TextBox 1673">
          <a:extLst>
            <a:ext uri="{FF2B5EF4-FFF2-40B4-BE49-F238E27FC236}">
              <a16:creationId xmlns:a16="http://schemas.microsoft.com/office/drawing/2014/main" id="{00000000-0008-0000-0100-00008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5" name="TextBox 1674">
          <a:extLst>
            <a:ext uri="{FF2B5EF4-FFF2-40B4-BE49-F238E27FC236}">
              <a16:creationId xmlns:a16="http://schemas.microsoft.com/office/drawing/2014/main" id="{00000000-0008-0000-0100-00008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6" name="TextBox 1675">
          <a:extLst>
            <a:ext uri="{FF2B5EF4-FFF2-40B4-BE49-F238E27FC236}">
              <a16:creationId xmlns:a16="http://schemas.microsoft.com/office/drawing/2014/main" id="{00000000-0008-0000-0100-00008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7" name="TextBox 1676">
          <a:extLst>
            <a:ext uri="{FF2B5EF4-FFF2-40B4-BE49-F238E27FC236}">
              <a16:creationId xmlns:a16="http://schemas.microsoft.com/office/drawing/2014/main" id="{00000000-0008-0000-0100-00008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8" name="TextBox 1677">
          <a:extLst>
            <a:ext uri="{FF2B5EF4-FFF2-40B4-BE49-F238E27FC236}">
              <a16:creationId xmlns:a16="http://schemas.microsoft.com/office/drawing/2014/main" id="{00000000-0008-0000-0100-00008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79" name="TextBox 1678">
          <a:extLst>
            <a:ext uri="{FF2B5EF4-FFF2-40B4-BE49-F238E27FC236}">
              <a16:creationId xmlns:a16="http://schemas.microsoft.com/office/drawing/2014/main" id="{00000000-0008-0000-0100-00008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0" name="TextBox 1679">
          <a:extLst>
            <a:ext uri="{FF2B5EF4-FFF2-40B4-BE49-F238E27FC236}">
              <a16:creationId xmlns:a16="http://schemas.microsoft.com/office/drawing/2014/main" id="{00000000-0008-0000-0100-00009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1" name="TextBox 1680">
          <a:extLst>
            <a:ext uri="{FF2B5EF4-FFF2-40B4-BE49-F238E27FC236}">
              <a16:creationId xmlns:a16="http://schemas.microsoft.com/office/drawing/2014/main" id="{00000000-0008-0000-0100-00009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2" name="TextBox 1681">
          <a:extLst>
            <a:ext uri="{FF2B5EF4-FFF2-40B4-BE49-F238E27FC236}">
              <a16:creationId xmlns:a16="http://schemas.microsoft.com/office/drawing/2014/main" id="{00000000-0008-0000-0100-00009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3" name="TextBox 1682">
          <a:extLst>
            <a:ext uri="{FF2B5EF4-FFF2-40B4-BE49-F238E27FC236}">
              <a16:creationId xmlns:a16="http://schemas.microsoft.com/office/drawing/2014/main" id="{00000000-0008-0000-0100-00009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4" name="TextBox 1683">
          <a:extLst>
            <a:ext uri="{FF2B5EF4-FFF2-40B4-BE49-F238E27FC236}">
              <a16:creationId xmlns:a16="http://schemas.microsoft.com/office/drawing/2014/main" id="{00000000-0008-0000-0100-00009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5" name="TextBox 1684">
          <a:extLst>
            <a:ext uri="{FF2B5EF4-FFF2-40B4-BE49-F238E27FC236}">
              <a16:creationId xmlns:a16="http://schemas.microsoft.com/office/drawing/2014/main" id="{00000000-0008-0000-0100-00009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6" name="TextBox 1685">
          <a:extLst>
            <a:ext uri="{FF2B5EF4-FFF2-40B4-BE49-F238E27FC236}">
              <a16:creationId xmlns:a16="http://schemas.microsoft.com/office/drawing/2014/main" id="{00000000-0008-0000-0100-00009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7" name="TextBox 1686">
          <a:extLst>
            <a:ext uri="{FF2B5EF4-FFF2-40B4-BE49-F238E27FC236}">
              <a16:creationId xmlns:a16="http://schemas.microsoft.com/office/drawing/2014/main" id="{00000000-0008-0000-0100-00009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8" name="TextBox 1687">
          <a:extLst>
            <a:ext uri="{FF2B5EF4-FFF2-40B4-BE49-F238E27FC236}">
              <a16:creationId xmlns:a16="http://schemas.microsoft.com/office/drawing/2014/main" id="{00000000-0008-0000-0100-00009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89" name="TextBox 1688">
          <a:extLst>
            <a:ext uri="{FF2B5EF4-FFF2-40B4-BE49-F238E27FC236}">
              <a16:creationId xmlns:a16="http://schemas.microsoft.com/office/drawing/2014/main" id="{00000000-0008-0000-0100-00009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0" name="TextBox 1689">
          <a:extLst>
            <a:ext uri="{FF2B5EF4-FFF2-40B4-BE49-F238E27FC236}">
              <a16:creationId xmlns:a16="http://schemas.microsoft.com/office/drawing/2014/main" id="{00000000-0008-0000-0100-00009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1" name="TextBox 1690">
          <a:extLst>
            <a:ext uri="{FF2B5EF4-FFF2-40B4-BE49-F238E27FC236}">
              <a16:creationId xmlns:a16="http://schemas.microsoft.com/office/drawing/2014/main" id="{00000000-0008-0000-0100-00009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2" name="TextBox 1691">
          <a:extLst>
            <a:ext uri="{FF2B5EF4-FFF2-40B4-BE49-F238E27FC236}">
              <a16:creationId xmlns:a16="http://schemas.microsoft.com/office/drawing/2014/main" id="{00000000-0008-0000-0100-00009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3" name="TextBox 1692">
          <a:extLst>
            <a:ext uri="{FF2B5EF4-FFF2-40B4-BE49-F238E27FC236}">
              <a16:creationId xmlns:a16="http://schemas.microsoft.com/office/drawing/2014/main" id="{00000000-0008-0000-0100-00009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4" name="TextBox 1693">
          <a:extLst>
            <a:ext uri="{FF2B5EF4-FFF2-40B4-BE49-F238E27FC236}">
              <a16:creationId xmlns:a16="http://schemas.microsoft.com/office/drawing/2014/main" id="{00000000-0008-0000-0100-00009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5" name="TextBox 1694">
          <a:extLst>
            <a:ext uri="{FF2B5EF4-FFF2-40B4-BE49-F238E27FC236}">
              <a16:creationId xmlns:a16="http://schemas.microsoft.com/office/drawing/2014/main" id="{00000000-0008-0000-0100-00009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6" name="TextBox 1695">
          <a:extLst>
            <a:ext uri="{FF2B5EF4-FFF2-40B4-BE49-F238E27FC236}">
              <a16:creationId xmlns:a16="http://schemas.microsoft.com/office/drawing/2014/main" id="{00000000-0008-0000-0100-0000A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7" name="TextBox 1696">
          <a:extLst>
            <a:ext uri="{FF2B5EF4-FFF2-40B4-BE49-F238E27FC236}">
              <a16:creationId xmlns:a16="http://schemas.microsoft.com/office/drawing/2014/main" id="{00000000-0008-0000-0100-0000A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8" name="TextBox 1697">
          <a:extLst>
            <a:ext uri="{FF2B5EF4-FFF2-40B4-BE49-F238E27FC236}">
              <a16:creationId xmlns:a16="http://schemas.microsoft.com/office/drawing/2014/main" id="{00000000-0008-0000-0100-0000A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699" name="TextBox 1698">
          <a:extLst>
            <a:ext uri="{FF2B5EF4-FFF2-40B4-BE49-F238E27FC236}">
              <a16:creationId xmlns:a16="http://schemas.microsoft.com/office/drawing/2014/main" id="{00000000-0008-0000-0100-0000A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0" name="TextBox 1699">
          <a:extLst>
            <a:ext uri="{FF2B5EF4-FFF2-40B4-BE49-F238E27FC236}">
              <a16:creationId xmlns:a16="http://schemas.microsoft.com/office/drawing/2014/main" id="{00000000-0008-0000-0100-0000A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1" name="TextBox 1700">
          <a:extLst>
            <a:ext uri="{FF2B5EF4-FFF2-40B4-BE49-F238E27FC236}">
              <a16:creationId xmlns:a16="http://schemas.microsoft.com/office/drawing/2014/main" id="{00000000-0008-0000-0100-0000A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2" name="TextBox 1701">
          <a:extLst>
            <a:ext uri="{FF2B5EF4-FFF2-40B4-BE49-F238E27FC236}">
              <a16:creationId xmlns:a16="http://schemas.microsoft.com/office/drawing/2014/main" id="{00000000-0008-0000-0100-0000A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3" name="TextBox 1702">
          <a:extLst>
            <a:ext uri="{FF2B5EF4-FFF2-40B4-BE49-F238E27FC236}">
              <a16:creationId xmlns:a16="http://schemas.microsoft.com/office/drawing/2014/main" id="{00000000-0008-0000-0100-0000A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4" name="TextBox 1703">
          <a:extLst>
            <a:ext uri="{FF2B5EF4-FFF2-40B4-BE49-F238E27FC236}">
              <a16:creationId xmlns:a16="http://schemas.microsoft.com/office/drawing/2014/main" id="{00000000-0008-0000-0100-0000A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5" name="TextBox 1704">
          <a:extLst>
            <a:ext uri="{FF2B5EF4-FFF2-40B4-BE49-F238E27FC236}">
              <a16:creationId xmlns:a16="http://schemas.microsoft.com/office/drawing/2014/main" id="{00000000-0008-0000-0100-0000A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6" name="TextBox 1705">
          <a:extLst>
            <a:ext uri="{FF2B5EF4-FFF2-40B4-BE49-F238E27FC236}">
              <a16:creationId xmlns:a16="http://schemas.microsoft.com/office/drawing/2014/main" id="{00000000-0008-0000-0100-0000A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7" name="TextBox 1706">
          <a:extLst>
            <a:ext uri="{FF2B5EF4-FFF2-40B4-BE49-F238E27FC236}">
              <a16:creationId xmlns:a16="http://schemas.microsoft.com/office/drawing/2014/main" id="{00000000-0008-0000-0100-0000A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8" name="TextBox 1707">
          <a:extLst>
            <a:ext uri="{FF2B5EF4-FFF2-40B4-BE49-F238E27FC236}">
              <a16:creationId xmlns:a16="http://schemas.microsoft.com/office/drawing/2014/main" id="{00000000-0008-0000-0100-0000A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09" name="TextBox 1708">
          <a:extLst>
            <a:ext uri="{FF2B5EF4-FFF2-40B4-BE49-F238E27FC236}">
              <a16:creationId xmlns:a16="http://schemas.microsoft.com/office/drawing/2014/main" id="{00000000-0008-0000-0100-0000A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0" name="TextBox 1709">
          <a:extLst>
            <a:ext uri="{FF2B5EF4-FFF2-40B4-BE49-F238E27FC236}">
              <a16:creationId xmlns:a16="http://schemas.microsoft.com/office/drawing/2014/main" id="{00000000-0008-0000-0100-0000A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1" name="TextBox 1710">
          <a:extLst>
            <a:ext uri="{FF2B5EF4-FFF2-40B4-BE49-F238E27FC236}">
              <a16:creationId xmlns:a16="http://schemas.microsoft.com/office/drawing/2014/main" id="{00000000-0008-0000-0100-0000A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2" name="TextBox 1711">
          <a:extLst>
            <a:ext uri="{FF2B5EF4-FFF2-40B4-BE49-F238E27FC236}">
              <a16:creationId xmlns:a16="http://schemas.microsoft.com/office/drawing/2014/main" id="{00000000-0008-0000-0100-0000B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3" name="TextBox 1712">
          <a:extLst>
            <a:ext uri="{FF2B5EF4-FFF2-40B4-BE49-F238E27FC236}">
              <a16:creationId xmlns:a16="http://schemas.microsoft.com/office/drawing/2014/main" id="{00000000-0008-0000-0100-0000B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4" name="TextBox 1713">
          <a:extLst>
            <a:ext uri="{FF2B5EF4-FFF2-40B4-BE49-F238E27FC236}">
              <a16:creationId xmlns:a16="http://schemas.microsoft.com/office/drawing/2014/main" id="{00000000-0008-0000-0100-0000B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5" name="TextBox 1714">
          <a:extLst>
            <a:ext uri="{FF2B5EF4-FFF2-40B4-BE49-F238E27FC236}">
              <a16:creationId xmlns:a16="http://schemas.microsoft.com/office/drawing/2014/main" id="{00000000-0008-0000-0100-0000B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6" name="TextBox 1715">
          <a:extLst>
            <a:ext uri="{FF2B5EF4-FFF2-40B4-BE49-F238E27FC236}">
              <a16:creationId xmlns:a16="http://schemas.microsoft.com/office/drawing/2014/main" id="{00000000-0008-0000-0100-0000B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7" name="TextBox 1716">
          <a:extLst>
            <a:ext uri="{FF2B5EF4-FFF2-40B4-BE49-F238E27FC236}">
              <a16:creationId xmlns:a16="http://schemas.microsoft.com/office/drawing/2014/main" id="{00000000-0008-0000-0100-0000B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8" name="TextBox 1717">
          <a:extLst>
            <a:ext uri="{FF2B5EF4-FFF2-40B4-BE49-F238E27FC236}">
              <a16:creationId xmlns:a16="http://schemas.microsoft.com/office/drawing/2014/main" id="{00000000-0008-0000-0100-0000B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19" name="TextBox 1718">
          <a:extLst>
            <a:ext uri="{FF2B5EF4-FFF2-40B4-BE49-F238E27FC236}">
              <a16:creationId xmlns:a16="http://schemas.microsoft.com/office/drawing/2014/main" id="{00000000-0008-0000-0100-0000B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0" name="TextBox 1719">
          <a:extLst>
            <a:ext uri="{FF2B5EF4-FFF2-40B4-BE49-F238E27FC236}">
              <a16:creationId xmlns:a16="http://schemas.microsoft.com/office/drawing/2014/main" id="{00000000-0008-0000-0100-0000B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1" name="TextBox 1720">
          <a:extLst>
            <a:ext uri="{FF2B5EF4-FFF2-40B4-BE49-F238E27FC236}">
              <a16:creationId xmlns:a16="http://schemas.microsoft.com/office/drawing/2014/main" id="{00000000-0008-0000-0100-0000B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2" name="TextBox 1721">
          <a:extLst>
            <a:ext uri="{FF2B5EF4-FFF2-40B4-BE49-F238E27FC236}">
              <a16:creationId xmlns:a16="http://schemas.microsoft.com/office/drawing/2014/main" id="{00000000-0008-0000-0100-0000B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3" name="TextBox 1722">
          <a:extLst>
            <a:ext uri="{FF2B5EF4-FFF2-40B4-BE49-F238E27FC236}">
              <a16:creationId xmlns:a16="http://schemas.microsoft.com/office/drawing/2014/main" id="{00000000-0008-0000-0100-0000B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4" name="TextBox 1723">
          <a:extLst>
            <a:ext uri="{FF2B5EF4-FFF2-40B4-BE49-F238E27FC236}">
              <a16:creationId xmlns:a16="http://schemas.microsoft.com/office/drawing/2014/main" id="{00000000-0008-0000-0100-0000B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5" name="TextBox 1724">
          <a:extLst>
            <a:ext uri="{FF2B5EF4-FFF2-40B4-BE49-F238E27FC236}">
              <a16:creationId xmlns:a16="http://schemas.microsoft.com/office/drawing/2014/main" id="{00000000-0008-0000-0100-0000B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6" name="TextBox 1725">
          <a:extLst>
            <a:ext uri="{FF2B5EF4-FFF2-40B4-BE49-F238E27FC236}">
              <a16:creationId xmlns:a16="http://schemas.microsoft.com/office/drawing/2014/main" id="{00000000-0008-0000-0100-0000B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7" name="TextBox 1726">
          <a:extLst>
            <a:ext uri="{FF2B5EF4-FFF2-40B4-BE49-F238E27FC236}">
              <a16:creationId xmlns:a16="http://schemas.microsoft.com/office/drawing/2014/main" id="{00000000-0008-0000-0100-0000B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8" name="TextBox 1727">
          <a:extLst>
            <a:ext uri="{FF2B5EF4-FFF2-40B4-BE49-F238E27FC236}">
              <a16:creationId xmlns:a16="http://schemas.microsoft.com/office/drawing/2014/main" id="{00000000-0008-0000-0100-0000C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29" name="TextBox 1728">
          <a:extLst>
            <a:ext uri="{FF2B5EF4-FFF2-40B4-BE49-F238E27FC236}">
              <a16:creationId xmlns:a16="http://schemas.microsoft.com/office/drawing/2014/main" id="{00000000-0008-0000-0100-0000C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0" name="TextBox 1729">
          <a:extLst>
            <a:ext uri="{FF2B5EF4-FFF2-40B4-BE49-F238E27FC236}">
              <a16:creationId xmlns:a16="http://schemas.microsoft.com/office/drawing/2014/main" id="{00000000-0008-0000-0100-0000C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1" name="TextBox 1730">
          <a:extLst>
            <a:ext uri="{FF2B5EF4-FFF2-40B4-BE49-F238E27FC236}">
              <a16:creationId xmlns:a16="http://schemas.microsoft.com/office/drawing/2014/main" id="{00000000-0008-0000-0100-0000C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2" name="TextBox 1731">
          <a:extLst>
            <a:ext uri="{FF2B5EF4-FFF2-40B4-BE49-F238E27FC236}">
              <a16:creationId xmlns:a16="http://schemas.microsoft.com/office/drawing/2014/main" id="{00000000-0008-0000-0100-0000C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3" name="TextBox 1732">
          <a:extLst>
            <a:ext uri="{FF2B5EF4-FFF2-40B4-BE49-F238E27FC236}">
              <a16:creationId xmlns:a16="http://schemas.microsoft.com/office/drawing/2014/main" id="{00000000-0008-0000-0100-0000C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4" name="TextBox 1733">
          <a:extLst>
            <a:ext uri="{FF2B5EF4-FFF2-40B4-BE49-F238E27FC236}">
              <a16:creationId xmlns:a16="http://schemas.microsoft.com/office/drawing/2014/main" id="{00000000-0008-0000-0100-0000C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5" name="TextBox 1734">
          <a:extLst>
            <a:ext uri="{FF2B5EF4-FFF2-40B4-BE49-F238E27FC236}">
              <a16:creationId xmlns:a16="http://schemas.microsoft.com/office/drawing/2014/main" id="{00000000-0008-0000-0100-0000C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6" name="TextBox 1735">
          <a:extLst>
            <a:ext uri="{FF2B5EF4-FFF2-40B4-BE49-F238E27FC236}">
              <a16:creationId xmlns:a16="http://schemas.microsoft.com/office/drawing/2014/main" id="{00000000-0008-0000-0100-0000C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7" name="TextBox 1736">
          <a:extLst>
            <a:ext uri="{FF2B5EF4-FFF2-40B4-BE49-F238E27FC236}">
              <a16:creationId xmlns:a16="http://schemas.microsoft.com/office/drawing/2014/main" id="{00000000-0008-0000-0100-0000C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8" name="TextBox 1737">
          <a:extLst>
            <a:ext uri="{FF2B5EF4-FFF2-40B4-BE49-F238E27FC236}">
              <a16:creationId xmlns:a16="http://schemas.microsoft.com/office/drawing/2014/main" id="{00000000-0008-0000-0100-0000C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39" name="TextBox 1738">
          <a:extLst>
            <a:ext uri="{FF2B5EF4-FFF2-40B4-BE49-F238E27FC236}">
              <a16:creationId xmlns:a16="http://schemas.microsoft.com/office/drawing/2014/main" id="{00000000-0008-0000-0100-0000C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0" name="TextBox 1739">
          <a:extLst>
            <a:ext uri="{FF2B5EF4-FFF2-40B4-BE49-F238E27FC236}">
              <a16:creationId xmlns:a16="http://schemas.microsoft.com/office/drawing/2014/main" id="{00000000-0008-0000-0100-0000C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1" name="TextBox 1740">
          <a:extLst>
            <a:ext uri="{FF2B5EF4-FFF2-40B4-BE49-F238E27FC236}">
              <a16:creationId xmlns:a16="http://schemas.microsoft.com/office/drawing/2014/main" id="{00000000-0008-0000-0100-0000C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2" name="TextBox 1741">
          <a:extLst>
            <a:ext uri="{FF2B5EF4-FFF2-40B4-BE49-F238E27FC236}">
              <a16:creationId xmlns:a16="http://schemas.microsoft.com/office/drawing/2014/main" id="{00000000-0008-0000-0100-0000C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3" name="TextBox 1742">
          <a:extLst>
            <a:ext uri="{FF2B5EF4-FFF2-40B4-BE49-F238E27FC236}">
              <a16:creationId xmlns:a16="http://schemas.microsoft.com/office/drawing/2014/main" id="{00000000-0008-0000-0100-0000C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4" name="TextBox 1743">
          <a:extLst>
            <a:ext uri="{FF2B5EF4-FFF2-40B4-BE49-F238E27FC236}">
              <a16:creationId xmlns:a16="http://schemas.microsoft.com/office/drawing/2014/main" id="{00000000-0008-0000-0100-0000D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5" name="TextBox 1744">
          <a:extLst>
            <a:ext uri="{FF2B5EF4-FFF2-40B4-BE49-F238E27FC236}">
              <a16:creationId xmlns:a16="http://schemas.microsoft.com/office/drawing/2014/main" id="{00000000-0008-0000-0100-0000D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6" name="TextBox 1745">
          <a:extLst>
            <a:ext uri="{FF2B5EF4-FFF2-40B4-BE49-F238E27FC236}">
              <a16:creationId xmlns:a16="http://schemas.microsoft.com/office/drawing/2014/main" id="{00000000-0008-0000-0100-0000D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7" name="TextBox 1746">
          <a:extLst>
            <a:ext uri="{FF2B5EF4-FFF2-40B4-BE49-F238E27FC236}">
              <a16:creationId xmlns:a16="http://schemas.microsoft.com/office/drawing/2014/main" id="{00000000-0008-0000-0100-0000D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8" name="TextBox 1747">
          <a:extLst>
            <a:ext uri="{FF2B5EF4-FFF2-40B4-BE49-F238E27FC236}">
              <a16:creationId xmlns:a16="http://schemas.microsoft.com/office/drawing/2014/main" id="{00000000-0008-0000-0100-0000D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49" name="TextBox 1748">
          <a:extLst>
            <a:ext uri="{FF2B5EF4-FFF2-40B4-BE49-F238E27FC236}">
              <a16:creationId xmlns:a16="http://schemas.microsoft.com/office/drawing/2014/main" id="{00000000-0008-0000-0100-0000D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0" name="TextBox 1749">
          <a:extLst>
            <a:ext uri="{FF2B5EF4-FFF2-40B4-BE49-F238E27FC236}">
              <a16:creationId xmlns:a16="http://schemas.microsoft.com/office/drawing/2014/main" id="{00000000-0008-0000-0100-0000D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1" name="TextBox 1750">
          <a:extLst>
            <a:ext uri="{FF2B5EF4-FFF2-40B4-BE49-F238E27FC236}">
              <a16:creationId xmlns:a16="http://schemas.microsoft.com/office/drawing/2014/main" id="{00000000-0008-0000-0100-0000D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2" name="TextBox 1751">
          <a:extLst>
            <a:ext uri="{FF2B5EF4-FFF2-40B4-BE49-F238E27FC236}">
              <a16:creationId xmlns:a16="http://schemas.microsoft.com/office/drawing/2014/main" id="{00000000-0008-0000-0100-0000D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3" name="TextBox 1752">
          <a:extLst>
            <a:ext uri="{FF2B5EF4-FFF2-40B4-BE49-F238E27FC236}">
              <a16:creationId xmlns:a16="http://schemas.microsoft.com/office/drawing/2014/main" id="{00000000-0008-0000-0100-0000D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4" name="TextBox 1753">
          <a:extLst>
            <a:ext uri="{FF2B5EF4-FFF2-40B4-BE49-F238E27FC236}">
              <a16:creationId xmlns:a16="http://schemas.microsoft.com/office/drawing/2014/main" id="{00000000-0008-0000-0100-0000D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5" name="TextBox 1754">
          <a:extLst>
            <a:ext uri="{FF2B5EF4-FFF2-40B4-BE49-F238E27FC236}">
              <a16:creationId xmlns:a16="http://schemas.microsoft.com/office/drawing/2014/main" id="{00000000-0008-0000-0100-0000D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6" name="TextBox 1755">
          <a:extLst>
            <a:ext uri="{FF2B5EF4-FFF2-40B4-BE49-F238E27FC236}">
              <a16:creationId xmlns:a16="http://schemas.microsoft.com/office/drawing/2014/main" id="{00000000-0008-0000-0100-0000D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7" name="TextBox 1756">
          <a:extLst>
            <a:ext uri="{FF2B5EF4-FFF2-40B4-BE49-F238E27FC236}">
              <a16:creationId xmlns:a16="http://schemas.microsoft.com/office/drawing/2014/main" id="{00000000-0008-0000-0100-0000D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8" name="TextBox 1757">
          <a:extLst>
            <a:ext uri="{FF2B5EF4-FFF2-40B4-BE49-F238E27FC236}">
              <a16:creationId xmlns:a16="http://schemas.microsoft.com/office/drawing/2014/main" id="{00000000-0008-0000-0100-0000D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59" name="TextBox 1758">
          <a:extLst>
            <a:ext uri="{FF2B5EF4-FFF2-40B4-BE49-F238E27FC236}">
              <a16:creationId xmlns:a16="http://schemas.microsoft.com/office/drawing/2014/main" id="{00000000-0008-0000-0100-0000D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0" name="TextBox 1759">
          <a:extLst>
            <a:ext uri="{FF2B5EF4-FFF2-40B4-BE49-F238E27FC236}">
              <a16:creationId xmlns:a16="http://schemas.microsoft.com/office/drawing/2014/main" id="{00000000-0008-0000-0100-0000E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1" name="TextBox 1760">
          <a:extLst>
            <a:ext uri="{FF2B5EF4-FFF2-40B4-BE49-F238E27FC236}">
              <a16:creationId xmlns:a16="http://schemas.microsoft.com/office/drawing/2014/main" id="{00000000-0008-0000-0100-0000E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2" name="TextBox 1761">
          <a:extLst>
            <a:ext uri="{FF2B5EF4-FFF2-40B4-BE49-F238E27FC236}">
              <a16:creationId xmlns:a16="http://schemas.microsoft.com/office/drawing/2014/main" id="{00000000-0008-0000-0100-0000E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3" name="TextBox 1762">
          <a:extLst>
            <a:ext uri="{FF2B5EF4-FFF2-40B4-BE49-F238E27FC236}">
              <a16:creationId xmlns:a16="http://schemas.microsoft.com/office/drawing/2014/main" id="{00000000-0008-0000-0100-0000E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4" name="TextBox 1763">
          <a:extLst>
            <a:ext uri="{FF2B5EF4-FFF2-40B4-BE49-F238E27FC236}">
              <a16:creationId xmlns:a16="http://schemas.microsoft.com/office/drawing/2014/main" id="{00000000-0008-0000-0100-0000E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5" name="TextBox 1764">
          <a:extLst>
            <a:ext uri="{FF2B5EF4-FFF2-40B4-BE49-F238E27FC236}">
              <a16:creationId xmlns:a16="http://schemas.microsoft.com/office/drawing/2014/main" id="{00000000-0008-0000-0100-0000E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6" name="TextBox 1765">
          <a:extLst>
            <a:ext uri="{FF2B5EF4-FFF2-40B4-BE49-F238E27FC236}">
              <a16:creationId xmlns:a16="http://schemas.microsoft.com/office/drawing/2014/main" id="{00000000-0008-0000-0100-0000E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7" name="TextBox 1766">
          <a:extLst>
            <a:ext uri="{FF2B5EF4-FFF2-40B4-BE49-F238E27FC236}">
              <a16:creationId xmlns:a16="http://schemas.microsoft.com/office/drawing/2014/main" id="{00000000-0008-0000-0100-0000E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8" name="TextBox 1767">
          <a:extLst>
            <a:ext uri="{FF2B5EF4-FFF2-40B4-BE49-F238E27FC236}">
              <a16:creationId xmlns:a16="http://schemas.microsoft.com/office/drawing/2014/main" id="{00000000-0008-0000-0100-0000E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69" name="TextBox 1768">
          <a:extLst>
            <a:ext uri="{FF2B5EF4-FFF2-40B4-BE49-F238E27FC236}">
              <a16:creationId xmlns:a16="http://schemas.microsoft.com/office/drawing/2014/main" id="{00000000-0008-0000-0100-0000E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0" name="TextBox 1769">
          <a:extLst>
            <a:ext uri="{FF2B5EF4-FFF2-40B4-BE49-F238E27FC236}">
              <a16:creationId xmlns:a16="http://schemas.microsoft.com/office/drawing/2014/main" id="{00000000-0008-0000-0100-0000E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1" name="TextBox 1770">
          <a:extLst>
            <a:ext uri="{FF2B5EF4-FFF2-40B4-BE49-F238E27FC236}">
              <a16:creationId xmlns:a16="http://schemas.microsoft.com/office/drawing/2014/main" id="{00000000-0008-0000-0100-0000E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2" name="TextBox 1771">
          <a:extLst>
            <a:ext uri="{FF2B5EF4-FFF2-40B4-BE49-F238E27FC236}">
              <a16:creationId xmlns:a16="http://schemas.microsoft.com/office/drawing/2014/main" id="{00000000-0008-0000-0100-0000E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3" name="TextBox 1772">
          <a:extLst>
            <a:ext uri="{FF2B5EF4-FFF2-40B4-BE49-F238E27FC236}">
              <a16:creationId xmlns:a16="http://schemas.microsoft.com/office/drawing/2014/main" id="{00000000-0008-0000-0100-0000E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4" name="TextBox 1773">
          <a:extLst>
            <a:ext uri="{FF2B5EF4-FFF2-40B4-BE49-F238E27FC236}">
              <a16:creationId xmlns:a16="http://schemas.microsoft.com/office/drawing/2014/main" id="{00000000-0008-0000-0100-0000E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5" name="TextBox 1774">
          <a:extLst>
            <a:ext uri="{FF2B5EF4-FFF2-40B4-BE49-F238E27FC236}">
              <a16:creationId xmlns:a16="http://schemas.microsoft.com/office/drawing/2014/main" id="{00000000-0008-0000-0100-0000E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6" name="TextBox 1775">
          <a:extLst>
            <a:ext uri="{FF2B5EF4-FFF2-40B4-BE49-F238E27FC236}">
              <a16:creationId xmlns:a16="http://schemas.microsoft.com/office/drawing/2014/main" id="{00000000-0008-0000-0100-0000F0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7" name="TextBox 1776">
          <a:extLst>
            <a:ext uri="{FF2B5EF4-FFF2-40B4-BE49-F238E27FC236}">
              <a16:creationId xmlns:a16="http://schemas.microsoft.com/office/drawing/2014/main" id="{00000000-0008-0000-0100-0000F1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8" name="TextBox 1777">
          <a:extLst>
            <a:ext uri="{FF2B5EF4-FFF2-40B4-BE49-F238E27FC236}">
              <a16:creationId xmlns:a16="http://schemas.microsoft.com/office/drawing/2014/main" id="{00000000-0008-0000-0100-0000F2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79" name="TextBox 1778">
          <a:extLst>
            <a:ext uri="{FF2B5EF4-FFF2-40B4-BE49-F238E27FC236}">
              <a16:creationId xmlns:a16="http://schemas.microsoft.com/office/drawing/2014/main" id="{00000000-0008-0000-0100-0000F3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0" name="TextBox 1779">
          <a:extLst>
            <a:ext uri="{FF2B5EF4-FFF2-40B4-BE49-F238E27FC236}">
              <a16:creationId xmlns:a16="http://schemas.microsoft.com/office/drawing/2014/main" id="{00000000-0008-0000-0100-0000F4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1" name="TextBox 1780">
          <a:extLst>
            <a:ext uri="{FF2B5EF4-FFF2-40B4-BE49-F238E27FC236}">
              <a16:creationId xmlns:a16="http://schemas.microsoft.com/office/drawing/2014/main" id="{00000000-0008-0000-0100-0000F5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2" name="TextBox 1781">
          <a:extLst>
            <a:ext uri="{FF2B5EF4-FFF2-40B4-BE49-F238E27FC236}">
              <a16:creationId xmlns:a16="http://schemas.microsoft.com/office/drawing/2014/main" id="{00000000-0008-0000-0100-0000F6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3" name="TextBox 1782">
          <a:extLst>
            <a:ext uri="{FF2B5EF4-FFF2-40B4-BE49-F238E27FC236}">
              <a16:creationId xmlns:a16="http://schemas.microsoft.com/office/drawing/2014/main" id="{00000000-0008-0000-0100-0000F7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4" name="TextBox 1783">
          <a:extLst>
            <a:ext uri="{FF2B5EF4-FFF2-40B4-BE49-F238E27FC236}">
              <a16:creationId xmlns:a16="http://schemas.microsoft.com/office/drawing/2014/main" id="{00000000-0008-0000-0100-0000F8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5" name="TextBox 1784">
          <a:extLst>
            <a:ext uri="{FF2B5EF4-FFF2-40B4-BE49-F238E27FC236}">
              <a16:creationId xmlns:a16="http://schemas.microsoft.com/office/drawing/2014/main" id="{00000000-0008-0000-0100-0000F9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6" name="TextBox 1785">
          <a:extLst>
            <a:ext uri="{FF2B5EF4-FFF2-40B4-BE49-F238E27FC236}">
              <a16:creationId xmlns:a16="http://schemas.microsoft.com/office/drawing/2014/main" id="{00000000-0008-0000-0100-0000FA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7" name="TextBox 1786">
          <a:extLst>
            <a:ext uri="{FF2B5EF4-FFF2-40B4-BE49-F238E27FC236}">
              <a16:creationId xmlns:a16="http://schemas.microsoft.com/office/drawing/2014/main" id="{00000000-0008-0000-0100-0000FB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8" name="TextBox 1787">
          <a:extLst>
            <a:ext uri="{FF2B5EF4-FFF2-40B4-BE49-F238E27FC236}">
              <a16:creationId xmlns:a16="http://schemas.microsoft.com/office/drawing/2014/main" id="{00000000-0008-0000-0100-0000FC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89" name="TextBox 1788">
          <a:extLst>
            <a:ext uri="{FF2B5EF4-FFF2-40B4-BE49-F238E27FC236}">
              <a16:creationId xmlns:a16="http://schemas.microsoft.com/office/drawing/2014/main" id="{00000000-0008-0000-0100-0000FD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0" name="TextBox 1789">
          <a:extLst>
            <a:ext uri="{FF2B5EF4-FFF2-40B4-BE49-F238E27FC236}">
              <a16:creationId xmlns:a16="http://schemas.microsoft.com/office/drawing/2014/main" id="{00000000-0008-0000-0100-0000FE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1" name="TextBox 1790">
          <a:extLst>
            <a:ext uri="{FF2B5EF4-FFF2-40B4-BE49-F238E27FC236}">
              <a16:creationId xmlns:a16="http://schemas.microsoft.com/office/drawing/2014/main" id="{00000000-0008-0000-0100-0000FF06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2" name="TextBox 1791">
          <a:extLst>
            <a:ext uri="{FF2B5EF4-FFF2-40B4-BE49-F238E27FC236}">
              <a16:creationId xmlns:a16="http://schemas.microsoft.com/office/drawing/2014/main" id="{00000000-0008-0000-0100-00000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3" name="TextBox 1792">
          <a:extLst>
            <a:ext uri="{FF2B5EF4-FFF2-40B4-BE49-F238E27FC236}">
              <a16:creationId xmlns:a16="http://schemas.microsoft.com/office/drawing/2014/main" id="{00000000-0008-0000-0100-00000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4" name="TextBox 1793">
          <a:extLst>
            <a:ext uri="{FF2B5EF4-FFF2-40B4-BE49-F238E27FC236}">
              <a16:creationId xmlns:a16="http://schemas.microsoft.com/office/drawing/2014/main" id="{00000000-0008-0000-0100-00000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5" name="TextBox 1794">
          <a:extLst>
            <a:ext uri="{FF2B5EF4-FFF2-40B4-BE49-F238E27FC236}">
              <a16:creationId xmlns:a16="http://schemas.microsoft.com/office/drawing/2014/main" id="{00000000-0008-0000-0100-00000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6" name="TextBox 1795">
          <a:extLst>
            <a:ext uri="{FF2B5EF4-FFF2-40B4-BE49-F238E27FC236}">
              <a16:creationId xmlns:a16="http://schemas.microsoft.com/office/drawing/2014/main" id="{00000000-0008-0000-0100-00000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7" name="TextBox 1796">
          <a:extLst>
            <a:ext uri="{FF2B5EF4-FFF2-40B4-BE49-F238E27FC236}">
              <a16:creationId xmlns:a16="http://schemas.microsoft.com/office/drawing/2014/main" id="{00000000-0008-0000-0100-00000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8" name="TextBox 1797">
          <a:extLst>
            <a:ext uri="{FF2B5EF4-FFF2-40B4-BE49-F238E27FC236}">
              <a16:creationId xmlns:a16="http://schemas.microsoft.com/office/drawing/2014/main" id="{00000000-0008-0000-0100-00000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799" name="TextBox 1798">
          <a:extLst>
            <a:ext uri="{FF2B5EF4-FFF2-40B4-BE49-F238E27FC236}">
              <a16:creationId xmlns:a16="http://schemas.microsoft.com/office/drawing/2014/main" id="{00000000-0008-0000-0100-00000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0" name="TextBox 1799">
          <a:extLst>
            <a:ext uri="{FF2B5EF4-FFF2-40B4-BE49-F238E27FC236}">
              <a16:creationId xmlns:a16="http://schemas.microsoft.com/office/drawing/2014/main" id="{00000000-0008-0000-0100-00000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1" name="TextBox 1800">
          <a:extLst>
            <a:ext uri="{FF2B5EF4-FFF2-40B4-BE49-F238E27FC236}">
              <a16:creationId xmlns:a16="http://schemas.microsoft.com/office/drawing/2014/main" id="{00000000-0008-0000-0100-00000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2" name="TextBox 1801">
          <a:extLst>
            <a:ext uri="{FF2B5EF4-FFF2-40B4-BE49-F238E27FC236}">
              <a16:creationId xmlns:a16="http://schemas.microsoft.com/office/drawing/2014/main" id="{00000000-0008-0000-0100-00000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3" name="TextBox 1802">
          <a:extLst>
            <a:ext uri="{FF2B5EF4-FFF2-40B4-BE49-F238E27FC236}">
              <a16:creationId xmlns:a16="http://schemas.microsoft.com/office/drawing/2014/main" id="{00000000-0008-0000-0100-00000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4" name="TextBox 1803">
          <a:extLst>
            <a:ext uri="{FF2B5EF4-FFF2-40B4-BE49-F238E27FC236}">
              <a16:creationId xmlns:a16="http://schemas.microsoft.com/office/drawing/2014/main" id="{00000000-0008-0000-0100-00000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5" name="TextBox 1804">
          <a:extLst>
            <a:ext uri="{FF2B5EF4-FFF2-40B4-BE49-F238E27FC236}">
              <a16:creationId xmlns:a16="http://schemas.microsoft.com/office/drawing/2014/main" id="{00000000-0008-0000-0100-00000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6" name="TextBox 1805">
          <a:extLst>
            <a:ext uri="{FF2B5EF4-FFF2-40B4-BE49-F238E27FC236}">
              <a16:creationId xmlns:a16="http://schemas.microsoft.com/office/drawing/2014/main" id="{00000000-0008-0000-0100-00000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7" name="TextBox 1806">
          <a:extLst>
            <a:ext uri="{FF2B5EF4-FFF2-40B4-BE49-F238E27FC236}">
              <a16:creationId xmlns:a16="http://schemas.microsoft.com/office/drawing/2014/main" id="{00000000-0008-0000-0100-00000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8" name="TextBox 1807">
          <a:extLst>
            <a:ext uri="{FF2B5EF4-FFF2-40B4-BE49-F238E27FC236}">
              <a16:creationId xmlns:a16="http://schemas.microsoft.com/office/drawing/2014/main" id="{00000000-0008-0000-0100-00001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09" name="TextBox 1808">
          <a:extLst>
            <a:ext uri="{FF2B5EF4-FFF2-40B4-BE49-F238E27FC236}">
              <a16:creationId xmlns:a16="http://schemas.microsoft.com/office/drawing/2014/main" id="{00000000-0008-0000-0100-00001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0" name="TextBox 1809">
          <a:extLst>
            <a:ext uri="{FF2B5EF4-FFF2-40B4-BE49-F238E27FC236}">
              <a16:creationId xmlns:a16="http://schemas.microsoft.com/office/drawing/2014/main" id="{00000000-0008-0000-0100-00001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1" name="TextBox 1810">
          <a:extLst>
            <a:ext uri="{FF2B5EF4-FFF2-40B4-BE49-F238E27FC236}">
              <a16:creationId xmlns:a16="http://schemas.microsoft.com/office/drawing/2014/main" id="{00000000-0008-0000-0100-00001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2" name="TextBox 1811">
          <a:extLst>
            <a:ext uri="{FF2B5EF4-FFF2-40B4-BE49-F238E27FC236}">
              <a16:creationId xmlns:a16="http://schemas.microsoft.com/office/drawing/2014/main" id="{00000000-0008-0000-0100-00001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3" name="TextBox 1812">
          <a:extLst>
            <a:ext uri="{FF2B5EF4-FFF2-40B4-BE49-F238E27FC236}">
              <a16:creationId xmlns:a16="http://schemas.microsoft.com/office/drawing/2014/main" id="{00000000-0008-0000-0100-00001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4" name="TextBox 1813">
          <a:extLst>
            <a:ext uri="{FF2B5EF4-FFF2-40B4-BE49-F238E27FC236}">
              <a16:creationId xmlns:a16="http://schemas.microsoft.com/office/drawing/2014/main" id="{00000000-0008-0000-0100-00001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5" name="TextBox 1814">
          <a:extLst>
            <a:ext uri="{FF2B5EF4-FFF2-40B4-BE49-F238E27FC236}">
              <a16:creationId xmlns:a16="http://schemas.microsoft.com/office/drawing/2014/main" id="{00000000-0008-0000-0100-00001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6" name="TextBox 1815">
          <a:extLst>
            <a:ext uri="{FF2B5EF4-FFF2-40B4-BE49-F238E27FC236}">
              <a16:creationId xmlns:a16="http://schemas.microsoft.com/office/drawing/2014/main" id="{00000000-0008-0000-0100-00001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7" name="TextBox 1816">
          <a:extLst>
            <a:ext uri="{FF2B5EF4-FFF2-40B4-BE49-F238E27FC236}">
              <a16:creationId xmlns:a16="http://schemas.microsoft.com/office/drawing/2014/main" id="{00000000-0008-0000-0100-00001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8" name="TextBox 1817">
          <a:extLst>
            <a:ext uri="{FF2B5EF4-FFF2-40B4-BE49-F238E27FC236}">
              <a16:creationId xmlns:a16="http://schemas.microsoft.com/office/drawing/2014/main" id="{00000000-0008-0000-0100-00001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19" name="TextBox 1818">
          <a:extLst>
            <a:ext uri="{FF2B5EF4-FFF2-40B4-BE49-F238E27FC236}">
              <a16:creationId xmlns:a16="http://schemas.microsoft.com/office/drawing/2014/main" id="{00000000-0008-0000-0100-00001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0" name="TextBox 1819">
          <a:extLst>
            <a:ext uri="{FF2B5EF4-FFF2-40B4-BE49-F238E27FC236}">
              <a16:creationId xmlns:a16="http://schemas.microsoft.com/office/drawing/2014/main" id="{00000000-0008-0000-0100-00001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1" name="TextBox 1820">
          <a:extLst>
            <a:ext uri="{FF2B5EF4-FFF2-40B4-BE49-F238E27FC236}">
              <a16:creationId xmlns:a16="http://schemas.microsoft.com/office/drawing/2014/main" id="{00000000-0008-0000-0100-00001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2" name="TextBox 1821">
          <a:extLst>
            <a:ext uri="{FF2B5EF4-FFF2-40B4-BE49-F238E27FC236}">
              <a16:creationId xmlns:a16="http://schemas.microsoft.com/office/drawing/2014/main" id="{00000000-0008-0000-0100-00001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3" name="TextBox 1822">
          <a:extLst>
            <a:ext uri="{FF2B5EF4-FFF2-40B4-BE49-F238E27FC236}">
              <a16:creationId xmlns:a16="http://schemas.microsoft.com/office/drawing/2014/main" id="{00000000-0008-0000-0100-00001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4" name="TextBox 1823">
          <a:extLst>
            <a:ext uri="{FF2B5EF4-FFF2-40B4-BE49-F238E27FC236}">
              <a16:creationId xmlns:a16="http://schemas.microsoft.com/office/drawing/2014/main" id="{00000000-0008-0000-0100-00002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5" name="TextBox 1824">
          <a:extLst>
            <a:ext uri="{FF2B5EF4-FFF2-40B4-BE49-F238E27FC236}">
              <a16:creationId xmlns:a16="http://schemas.microsoft.com/office/drawing/2014/main" id="{00000000-0008-0000-0100-00002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6" name="TextBox 1825">
          <a:extLst>
            <a:ext uri="{FF2B5EF4-FFF2-40B4-BE49-F238E27FC236}">
              <a16:creationId xmlns:a16="http://schemas.microsoft.com/office/drawing/2014/main" id="{00000000-0008-0000-0100-00002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7" name="TextBox 1826">
          <a:extLst>
            <a:ext uri="{FF2B5EF4-FFF2-40B4-BE49-F238E27FC236}">
              <a16:creationId xmlns:a16="http://schemas.microsoft.com/office/drawing/2014/main" id="{00000000-0008-0000-0100-00002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8" name="TextBox 1827">
          <a:extLst>
            <a:ext uri="{FF2B5EF4-FFF2-40B4-BE49-F238E27FC236}">
              <a16:creationId xmlns:a16="http://schemas.microsoft.com/office/drawing/2014/main" id="{00000000-0008-0000-0100-00002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29" name="TextBox 1828">
          <a:extLst>
            <a:ext uri="{FF2B5EF4-FFF2-40B4-BE49-F238E27FC236}">
              <a16:creationId xmlns:a16="http://schemas.microsoft.com/office/drawing/2014/main" id="{00000000-0008-0000-0100-00002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0" name="TextBox 1829">
          <a:extLst>
            <a:ext uri="{FF2B5EF4-FFF2-40B4-BE49-F238E27FC236}">
              <a16:creationId xmlns:a16="http://schemas.microsoft.com/office/drawing/2014/main" id="{00000000-0008-0000-0100-00002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1" name="TextBox 1830">
          <a:extLst>
            <a:ext uri="{FF2B5EF4-FFF2-40B4-BE49-F238E27FC236}">
              <a16:creationId xmlns:a16="http://schemas.microsoft.com/office/drawing/2014/main" id="{00000000-0008-0000-0100-00002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2" name="TextBox 1831">
          <a:extLst>
            <a:ext uri="{FF2B5EF4-FFF2-40B4-BE49-F238E27FC236}">
              <a16:creationId xmlns:a16="http://schemas.microsoft.com/office/drawing/2014/main" id="{00000000-0008-0000-0100-00002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3" name="TextBox 1832">
          <a:extLst>
            <a:ext uri="{FF2B5EF4-FFF2-40B4-BE49-F238E27FC236}">
              <a16:creationId xmlns:a16="http://schemas.microsoft.com/office/drawing/2014/main" id="{00000000-0008-0000-0100-00002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4" name="TextBox 1833">
          <a:extLst>
            <a:ext uri="{FF2B5EF4-FFF2-40B4-BE49-F238E27FC236}">
              <a16:creationId xmlns:a16="http://schemas.microsoft.com/office/drawing/2014/main" id="{00000000-0008-0000-0100-00002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5" name="TextBox 1834">
          <a:extLst>
            <a:ext uri="{FF2B5EF4-FFF2-40B4-BE49-F238E27FC236}">
              <a16:creationId xmlns:a16="http://schemas.microsoft.com/office/drawing/2014/main" id="{00000000-0008-0000-0100-00002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6" name="TextBox 1835">
          <a:extLst>
            <a:ext uri="{FF2B5EF4-FFF2-40B4-BE49-F238E27FC236}">
              <a16:creationId xmlns:a16="http://schemas.microsoft.com/office/drawing/2014/main" id="{00000000-0008-0000-0100-00002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7" name="TextBox 1836">
          <a:extLst>
            <a:ext uri="{FF2B5EF4-FFF2-40B4-BE49-F238E27FC236}">
              <a16:creationId xmlns:a16="http://schemas.microsoft.com/office/drawing/2014/main" id="{00000000-0008-0000-0100-00002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8" name="TextBox 1837">
          <a:extLst>
            <a:ext uri="{FF2B5EF4-FFF2-40B4-BE49-F238E27FC236}">
              <a16:creationId xmlns:a16="http://schemas.microsoft.com/office/drawing/2014/main" id="{00000000-0008-0000-0100-00002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39" name="TextBox 1838">
          <a:extLst>
            <a:ext uri="{FF2B5EF4-FFF2-40B4-BE49-F238E27FC236}">
              <a16:creationId xmlns:a16="http://schemas.microsoft.com/office/drawing/2014/main" id="{00000000-0008-0000-0100-00002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0" name="TextBox 1839">
          <a:extLst>
            <a:ext uri="{FF2B5EF4-FFF2-40B4-BE49-F238E27FC236}">
              <a16:creationId xmlns:a16="http://schemas.microsoft.com/office/drawing/2014/main" id="{00000000-0008-0000-0100-00003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1" name="TextBox 1840">
          <a:extLst>
            <a:ext uri="{FF2B5EF4-FFF2-40B4-BE49-F238E27FC236}">
              <a16:creationId xmlns:a16="http://schemas.microsoft.com/office/drawing/2014/main" id="{00000000-0008-0000-0100-00003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2" name="TextBox 1841">
          <a:extLst>
            <a:ext uri="{FF2B5EF4-FFF2-40B4-BE49-F238E27FC236}">
              <a16:creationId xmlns:a16="http://schemas.microsoft.com/office/drawing/2014/main" id="{00000000-0008-0000-0100-00003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3" name="TextBox 1842">
          <a:extLst>
            <a:ext uri="{FF2B5EF4-FFF2-40B4-BE49-F238E27FC236}">
              <a16:creationId xmlns:a16="http://schemas.microsoft.com/office/drawing/2014/main" id="{00000000-0008-0000-0100-00003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4" name="TextBox 1843">
          <a:extLst>
            <a:ext uri="{FF2B5EF4-FFF2-40B4-BE49-F238E27FC236}">
              <a16:creationId xmlns:a16="http://schemas.microsoft.com/office/drawing/2014/main" id="{00000000-0008-0000-0100-00003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5" name="TextBox 1844">
          <a:extLst>
            <a:ext uri="{FF2B5EF4-FFF2-40B4-BE49-F238E27FC236}">
              <a16:creationId xmlns:a16="http://schemas.microsoft.com/office/drawing/2014/main" id="{00000000-0008-0000-0100-00003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6" name="TextBox 1845">
          <a:extLst>
            <a:ext uri="{FF2B5EF4-FFF2-40B4-BE49-F238E27FC236}">
              <a16:creationId xmlns:a16="http://schemas.microsoft.com/office/drawing/2014/main" id="{00000000-0008-0000-0100-00003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7" name="TextBox 1846">
          <a:extLst>
            <a:ext uri="{FF2B5EF4-FFF2-40B4-BE49-F238E27FC236}">
              <a16:creationId xmlns:a16="http://schemas.microsoft.com/office/drawing/2014/main" id="{00000000-0008-0000-0100-00003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8" name="TextBox 1847">
          <a:extLst>
            <a:ext uri="{FF2B5EF4-FFF2-40B4-BE49-F238E27FC236}">
              <a16:creationId xmlns:a16="http://schemas.microsoft.com/office/drawing/2014/main" id="{00000000-0008-0000-0100-00003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49" name="TextBox 1848">
          <a:extLst>
            <a:ext uri="{FF2B5EF4-FFF2-40B4-BE49-F238E27FC236}">
              <a16:creationId xmlns:a16="http://schemas.microsoft.com/office/drawing/2014/main" id="{00000000-0008-0000-0100-00003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0" name="TextBox 1849">
          <a:extLst>
            <a:ext uri="{FF2B5EF4-FFF2-40B4-BE49-F238E27FC236}">
              <a16:creationId xmlns:a16="http://schemas.microsoft.com/office/drawing/2014/main" id="{00000000-0008-0000-0100-00003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1" name="TextBox 1850">
          <a:extLst>
            <a:ext uri="{FF2B5EF4-FFF2-40B4-BE49-F238E27FC236}">
              <a16:creationId xmlns:a16="http://schemas.microsoft.com/office/drawing/2014/main" id="{00000000-0008-0000-0100-00003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2" name="TextBox 1851">
          <a:extLst>
            <a:ext uri="{FF2B5EF4-FFF2-40B4-BE49-F238E27FC236}">
              <a16:creationId xmlns:a16="http://schemas.microsoft.com/office/drawing/2014/main" id="{00000000-0008-0000-0100-00003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3" name="TextBox 1852">
          <a:extLst>
            <a:ext uri="{FF2B5EF4-FFF2-40B4-BE49-F238E27FC236}">
              <a16:creationId xmlns:a16="http://schemas.microsoft.com/office/drawing/2014/main" id="{00000000-0008-0000-0100-00003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4" name="TextBox 1853">
          <a:extLst>
            <a:ext uri="{FF2B5EF4-FFF2-40B4-BE49-F238E27FC236}">
              <a16:creationId xmlns:a16="http://schemas.microsoft.com/office/drawing/2014/main" id="{00000000-0008-0000-0100-00003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5" name="TextBox 1854">
          <a:extLst>
            <a:ext uri="{FF2B5EF4-FFF2-40B4-BE49-F238E27FC236}">
              <a16:creationId xmlns:a16="http://schemas.microsoft.com/office/drawing/2014/main" id="{00000000-0008-0000-0100-00003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6" name="TextBox 1855">
          <a:extLst>
            <a:ext uri="{FF2B5EF4-FFF2-40B4-BE49-F238E27FC236}">
              <a16:creationId xmlns:a16="http://schemas.microsoft.com/office/drawing/2014/main" id="{00000000-0008-0000-0100-00004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7" name="TextBox 1856">
          <a:extLst>
            <a:ext uri="{FF2B5EF4-FFF2-40B4-BE49-F238E27FC236}">
              <a16:creationId xmlns:a16="http://schemas.microsoft.com/office/drawing/2014/main" id="{00000000-0008-0000-0100-00004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8" name="TextBox 1857">
          <a:extLst>
            <a:ext uri="{FF2B5EF4-FFF2-40B4-BE49-F238E27FC236}">
              <a16:creationId xmlns:a16="http://schemas.microsoft.com/office/drawing/2014/main" id="{00000000-0008-0000-0100-00004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59" name="TextBox 1858">
          <a:extLst>
            <a:ext uri="{FF2B5EF4-FFF2-40B4-BE49-F238E27FC236}">
              <a16:creationId xmlns:a16="http://schemas.microsoft.com/office/drawing/2014/main" id="{00000000-0008-0000-0100-00004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0" name="TextBox 1859">
          <a:extLst>
            <a:ext uri="{FF2B5EF4-FFF2-40B4-BE49-F238E27FC236}">
              <a16:creationId xmlns:a16="http://schemas.microsoft.com/office/drawing/2014/main" id="{00000000-0008-0000-0100-00004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1" name="TextBox 1860">
          <a:extLst>
            <a:ext uri="{FF2B5EF4-FFF2-40B4-BE49-F238E27FC236}">
              <a16:creationId xmlns:a16="http://schemas.microsoft.com/office/drawing/2014/main" id="{00000000-0008-0000-0100-00004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2" name="TextBox 1861">
          <a:extLst>
            <a:ext uri="{FF2B5EF4-FFF2-40B4-BE49-F238E27FC236}">
              <a16:creationId xmlns:a16="http://schemas.microsoft.com/office/drawing/2014/main" id="{00000000-0008-0000-0100-00004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3" name="TextBox 1862">
          <a:extLst>
            <a:ext uri="{FF2B5EF4-FFF2-40B4-BE49-F238E27FC236}">
              <a16:creationId xmlns:a16="http://schemas.microsoft.com/office/drawing/2014/main" id="{00000000-0008-0000-0100-00004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4" name="TextBox 1863">
          <a:extLst>
            <a:ext uri="{FF2B5EF4-FFF2-40B4-BE49-F238E27FC236}">
              <a16:creationId xmlns:a16="http://schemas.microsoft.com/office/drawing/2014/main" id="{00000000-0008-0000-0100-00004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5" name="TextBox 1864">
          <a:extLst>
            <a:ext uri="{FF2B5EF4-FFF2-40B4-BE49-F238E27FC236}">
              <a16:creationId xmlns:a16="http://schemas.microsoft.com/office/drawing/2014/main" id="{00000000-0008-0000-0100-00004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6" name="TextBox 1865">
          <a:extLst>
            <a:ext uri="{FF2B5EF4-FFF2-40B4-BE49-F238E27FC236}">
              <a16:creationId xmlns:a16="http://schemas.microsoft.com/office/drawing/2014/main" id="{00000000-0008-0000-0100-00004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7" name="TextBox 1866">
          <a:extLst>
            <a:ext uri="{FF2B5EF4-FFF2-40B4-BE49-F238E27FC236}">
              <a16:creationId xmlns:a16="http://schemas.microsoft.com/office/drawing/2014/main" id="{00000000-0008-0000-0100-00004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8" name="TextBox 1867">
          <a:extLst>
            <a:ext uri="{FF2B5EF4-FFF2-40B4-BE49-F238E27FC236}">
              <a16:creationId xmlns:a16="http://schemas.microsoft.com/office/drawing/2014/main" id="{00000000-0008-0000-0100-00004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69" name="TextBox 1868">
          <a:extLst>
            <a:ext uri="{FF2B5EF4-FFF2-40B4-BE49-F238E27FC236}">
              <a16:creationId xmlns:a16="http://schemas.microsoft.com/office/drawing/2014/main" id="{00000000-0008-0000-0100-00004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0" name="TextBox 1869">
          <a:extLst>
            <a:ext uri="{FF2B5EF4-FFF2-40B4-BE49-F238E27FC236}">
              <a16:creationId xmlns:a16="http://schemas.microsoft.com/office/drawing/2014/main" id="{00000000-0008-0000-0100-00004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1" name="TextBox 1870">
          <a:extLst>
            <a:ext uri="{FF2B5EF4-FFF2-40B4-BE49-F238E27FC236}">
              <a16:creationId xmlns:a16="http://schemas.microsoft.com/office/drawing/2014/main" id="{00000000-0008-0000-0100-00004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2" name="TextBox 1871">
          <a:extLst>
            <a:ext uri="{FF2B5EF4-FFF2-40B4-BE49-F238E27FC236}">
              <a16:creationId xmlns:a16="http://schemas.microsoft.com/office/drawing/2014/main" id="{00000000-0008-0000-0100-00005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3" name="TextBox 1872">
          <a:extLst>
            <a:ext uri="{FF2B5EF4-FFF2-40B4-BE49-F238E27FC236}">
              <a16:creationId xmlns:a16="http://schemas.microsoft.com/office/drawing/2014/main" id="{00000000-0008-0000-0100-00005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4" name="TextBox 1873">
          <a:extLst>
            <a:ext uri="{FF2B5EF4-FFF2-40B4-BE49-F238E27FC236}">
              <a16:creationId xmlns:a16="http://schemas.microsoft.com/office/drawing/2014/main" id="{00000000-0008-0000-0100-00005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5" name="TextBox 1874">
          <a:extLst>
            <a:ext uri="{FF2B5EF4-FFF2-40B4-BE49-F238E27FC236}">
              <a16:creationId xmlns:a16="http://schemas.microsoft.com/office/drawing/2014/main" id="{00000000-0008-0000-0100-00005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6" name="TextBox 1875">
          <a:extLst>
            <a:ext uri="{FF2B5EF4-FFF2-40B4-BE49-F238E27FC236}">
              <a16:creationId xmlns:a16="http://schemas.microsoft.com/office/drawing/2014/main" id="{00000000-0008-0000-0100-00005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7" name="TextBox 1876">
          <a:extLst>
            <a:ext uri="{FF2B5EF4-FFF2-40B4-BE49-F238E27FC236}">
              <a16:creationId xmlns:a16="http://schemas.microsoft.com/office/drawing/2014/main" id="{00000000-0008-0000-0100-00005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8" name="TextBox 1877">
          <a:extLst>
            <a:ext uri="{FF2B5EF4-FFF2-40B4-BE49-F238E27FC236}">
              <a16:creationId xmlns:a16="http://schemas.microsoft.com/office/drawing/2014/main" id="{00000000-0008-0000-0100-00005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79" name="TextBox 1878">
          <a:extLst>
            <a:ext uri="{FF2B5EF4-FFF2-40B4-BE49-F238E27FC236}">
              <a16:creationId xmlns:a16="http://schemas.microsoft.com/office/drawing/2014/main" id="{00000000-0008-0000-0100-00005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0" name="TextBox 1879">
          <a:extLst>
            <a:ext uri="{FF2B5EF4-FFF2-40B4-BE49-F238E27FC236}">
              <a16:creationId xmlns:a16="http://schemas.microsoft.com/office/drawing/2014/main" id="{00000000-0008-0000-0100-00005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1" name="TextBox 1880">
          <a:extLst>
            <a:ext uri="{FF2B5EF4-FFF2-40B4-BE49-F238E27FC236}">
              <a16:creationId xmlns:a16="http://schemas.microsoft.com/office/drawing/2014/main" id="{00000000-0008-0000-0100-00005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2" name="TextBox 1881">
          <a:extLst>
            <a:ext uri="{FF2B5EF4-FFF2-40B4-BE49-F238E27FC236}">
              <a16:creationId xmlns:a16="http://schemas.microsoft.com/office/drawing/2014/main" id="{00000000-0008-0000-0100-00005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3" name="TextBox 1882">
          <a:extLst>
            <a:ext uri="{FF2B5EF4-FFF2-40B4-BE49-F238E27FC236}">
              <a16:creationId xmlns:a16="http://schemas.microsoft.com/office/drawing/2014/main" id="{00000000-0008-0000-0100-00005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4" name="TextBox 1883">
          <a:extLst>
            <a:ext uri="{FF2B5EF4-FFF2-40B4-BE49-F238E27FC236}">
              <a16:creationId xmlns:a16="http://schemas.microsoft.com/office/drawing/2014/main" id="{00000000-0008-0000-0100-00005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5" name="TextBox 1884">
          <a:extLst>
            <a:ext uri="{FF2B5EF4-FFF2-40B4-BE49-F238E27FC236}">
              <a16:creationId xmlns:a16="http://schemas.microsoft.com/office/drawing/2014/main" id="{00000000-0008-0000-0100-00005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6" name="TextBox 1885">
          <a:extLst>
            <a:ext uri="{FF2B5EF4-FFF2-40B4-BE49-F238E27FC236}">
              <a16:creationId xmlns:a16="http://schemas.microsoft.com/office/drawing/2014/main" id="{00000000-0008-0000-0100-00005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7" name="TextBox 1886">
          <a:extLst>
            <a:ext uri="{FF2B5EF4-FFF2-40B4-BE49-F238E27FC236}">
              <a16:creationId xmlns:a16="http://schemas.microsoft.com/office/drawing/2014/main" id="{00000000-0008-0000-0100-00005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8" name="TextBox 1887">
          <a:extLst>
            <a:ext uri="{FF2B5EF4-FFF2-40B4-BE49-F238E27FC236}">
              <a16:creationId xmlns:a16="http://schemas.microsoft.com/office/drawing/2014/main" id="{00000000-0008-0000-0100-00006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89" name="TextBox 1888">
          <a:extLst>
            <a:ext uri="{FF2B5EF4-FFF2-40B4-BE49-F238E27FC236}">
              <a16:creationId xmlns:a16="http://schemas.microsoft.com/office/drawing/2014/main" id="{00000000-0008-0000-0100-00006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0" name="TextBox 1889">
          <a:extLst>
            <a:ext uri="{FF2B5EF4-FFF2-40B4-BE49-F238E27FC236}">
              <a16:creationId xmlns:a16="http://schemas.microsoft.com/office/drawing/2014/main" id="{00000000-0008-0000-0100-00006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1" name="TextBox 1890">
          <a:extLst>
            <a:ext uri="{FF2B5EF4-FFF2-40B4-BE49-F238E27FC236}">
              <a16:creationId xmlns:a16="http://schemas.microsoft.com/office/drawing/2014/main" id="{00000000-0008-0000-0100-00006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2" name="TextBox 1891">
          <a:extLst>
            <a:ext uri="{FF2B5EF4-FFF2-40B4-BE49-F238E27FC236}">
              <a16:creationId xmlns:a16="http://schemas.microsoft.com/office/drawing/2014/main" id="{00000000-0008-0000-0100-00006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3" name="TextBox 1892">
          <a:extLst>
            <a:ext uri="{FF2B5EF4-FFF2-40B4-BE49-F238E27FC236}">
              <a16:creationId xmlns:a16="http://schemas.microsoft.com/office/drawing/2014/main" id="{00000000-0008-0000-0100-00006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4" name="TextBox 1893">
          <a:extLst>
            <a:ext uri="{FF2B5EF4-FFF2-40B4-BE49-F238E27FC236}">
              <a16:creationId xmlns:a16="http://schemas.microsoft.com/office/drawing/2014/main" id="{00000000-0008-0000-0100-00006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5" name="TextBox 1894">
          <a:extLst>
            <a:ext uri="{FF2B5EF4-FFF2-40B4-BE49-F238E27FC236}">
              <a16:creationId xmlns:a16="http://schemas.microsoft.com/office/drawing/2014/main" id="{00000000-0008-0000-0100-00006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6" name="TextBox 1895">
          <a:extLst>
            <a:ext uri="{FF2B5EF4-FFF2-40B4-BE49-F238E27FC236}">
              <a16:creationId xmlns:a16="http://schemas.microsoft.com/office/drawing/2014/main" id="{00000000-0008-0000-0100-00006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7" name="TextBox 1896">
          <a:extLst>
            <a:ext uri="{FF2B5EF4-FFF2-40B4-BE49-F238E27FC236}">
              <a16:creationId xmlns:a16="http://schemas.microsoft.com/office/drawing/2014/main" id="{00000000-0008-0000-0100-00006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8" name="TextBox 1897">
          <a:extLst>
            <a:ext uri="{FF2B5EF4-FFF2-40B4-BE49-F238E27FC236}">
              <a16:creationId xmlns:a16="http://schemas.microsoft.com/office/drawing/2014/main" id="{00000000-0008-0000-0100-00006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899" name="TextBox 1898">
          <a:extLst>
            <a:ext uri="{FF2B5EF4-FFF2-40B4-BE49-F238E27FC236}">
              <a16:creationId xmlns:a16="http://schemas.microsoft.com/office/drawing/2014/main" id="{00000000-0008-0000-0100-00006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0" name="TextBox 1899">
          <a:extLst>
            <a:ext uri="{FF2B5EF4-FFF2-40B4-BE49-F238E27FC236}">
              <a16:creationId xmlns:a16="http://schemas.microsoft.com/office/drawing/2014/main" id="{00000000-0008-0000-0100-00006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1" name="TextBox 1900">
          <a:extLst>
            <a:ext uri="{FF2B5EF4-FFF2-40B4-BE49-F238E27FC236}">
              <a16:creationId xmlns:a16="http://schemas.microsoft.com/office/drawing/2014/main" id="{00000000-0008-0000-0100-00006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2" name="TextBox 1901">
          <a:extLst>
            <a:ext uri="{FF2B5EF4-FFF2-40B4-BE49-F238E27FC236}">
              <a16:creationId xmlns:a16="http://schemas.microsoft.com/office/drawing/2014/main" id="{00000000-0008-0000-0100-00006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3" name="TextBox 1902">
          <a:extLst>
            <a:ext uri="{FF2B5EF4-FFF2-40B4-BE49-F238E27FC236}">
              <a16:creationId xmlns:a16="http://schemas.microsoft.com/office/drawing/2014/main" id="{00000000-0008-0000-0100-00006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4" name="TextBox 1903">
          <a:extLst>
            <a:ext uri="{FF2B5EF4-FFF2-40B4-BE49-F238E27FC236}">
              <a16:creationId xmlns:a16="http://schemas.microsoft.com/office/drawing/2014/main" id="{00000000-0008-0000-0100-00007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5" name="TextBox 1904">
          <a:extLst>
            <a:ext uri="{FF2B5EF4-FFF2-40B4-BE49-F238E27FC236}">
              <a16:creationId xmlns:a16="http://schemas.microsoft.com/office/drawing/2014/main" id="{00000000-0008-0000-0100-00007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6" name="TextBox 1905">
          <a:extLst>
            <a:ext uri="{FF2B5EF4-FFF2-40B4-BE49-F238E27FC236}">
              <a16:creationId xmlns:a16="http://schemas.microsoft.com/office/drawing/2014/main" id="{00000000-0008-0000-0100-00007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7" name="TextBox 1906">
          <a:extLst>
            <a:ext uri="{FF2B5EF4-FFF2-40B4-BE49-F238E27FC236}">
              <a16:creationId xmlns:a16="http://schemas.microsoft.com/office/drawing/2014/main" id="{00000000-0008-0000-0100-00007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8" name="TextBox 1907">
          <a:extLst>
            <a:ext uri="{FF2B5EF4-FFF2-40B4-BE49-F238E27FC236}">
              <a16:creationId xmlns:a16="http://schemas.microsoft.com/office/drawing/2014/main" id="{00000000-0008-0000-0100-00007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09" name="TextBox 1908">
          <a:extLst>
            <a:ext uri="{FF2B5EF4-FFF2-40B4-BE49-F238E27FC236}">
              <a16:creationId xmlns:a16="http://schemas.microsoft.com/office/drawing/2014/main" id="{00000000-0008-0000-0100-00007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0" name="TextBox 1909">
          <a:extLst>
            <a:ext uri="{FF2B5EF4-FFF2-40B4-BE49-F238E27FC236}">
              <a16:creationId xmlns:a16="http://schemas.microsoft.com/office/drawing/2014/main" id="{00000000-0008-0000-0100-00007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1" name="TextBox 1910">
          <a:extLst>
            <a:ext uri="{FF2B5EF4-FFF2-40B4-BE49-F238E27FC236}">
              <a16:creationId xmlns:a16="http://schemas.microsoft.com/office/drawing/2014/main" id="{00000000-0008-0000-0100-00007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2" name="TextBox 1911">
          <a:extLst>
            <a:ext uri="{FF2B5EF4-FFF2-40B4-BE49-F238E27FC236}">
              <a16:creationId xmlns:a16="http://schemas.microsoft.com/office/drawing/2014/main" id="{00000000-0008-0000-0100-00007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3" name="TextBox 1912">
          <a:extLst>
            <a:ext uri="{FF2B5EF4-FFF2-40B4-BE49-F238E27FC236}">
              <a16:creationId xmlns:a16="http://schemas.microsoft.com/office/drawing/2014/main" id="{00000000-0008-0000-0100-00007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4" name="TextBox 1913">
          <a:extLst>
            <a:ext uri="{FF2B5EF4-FFF2-40B4-BE49-F238E27FC236}">
              <a16:creationId xmlns:a16="http://schemas.microsoft.com/office/drawing/2014/main" id="{00000000-0008-0000-0100-00007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5" name="TextBox 1914">
          <a:extLst>
            <a:ext uri="{FF2B5EF4-FFF2-40B4-BE49-F238E27FC236}">
              <a16:creationId xmlns:a16="http://schemas.microsoft.com/office/drawing/2014/main" id="{00000000-0008-0000-0100-00007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6" name="TextBox 1915">
          <a:extLst>
            <a:ext uri="{FF2B5EF4-FFF2-40B4-BE49-F238E27FC236}">
              <a16:creationId xmlns:a16="http://schemas.microsoft.com/office/drawing/2014/main" id="{00000000-0008-0000-0100-00007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7" name="TextBox 1916">
          <a:extLst>
            <a:ext uri="{FF2B5EF4-FFF2-40B4-BE49-F238E27FC236}">
              <a16:creationId xmlns:a16="http://schemas.microsoft.com/office/drawing/2014/main" id="{00000000-0008-0000-0100-00007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8" name="TextBox 1917">
          <a:extLst>
            <a:ext uri="{FF2B5EF4-FFF2-40B4-BE49-F238E27FC236}">
              <a16:creationId xmlns:a16="http://schemas.microsoft.com/office/drawing/2014/main" id="{00000000-0008-0000-0100-00007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19" name="TextBox 1918">
          <a:extLst>
            <a:ext uri="{FF2B5EF4-FFF2-40B4-BE49-F238E27FC236}">
              <a16:creationId xmlns:a16="http://schemas.microsoft.com/office/drawing/2014/main" id="{00000000-0008-0000-0100-00007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0" name="TextBox 1919">
          <a:extLst>
            <a:ext uri="{FF2B5EF4-FFF2-40B4-BE49-F238E27FC236}">
              <a16:creationId xmlns:a16="http://schemas.microsoft.com/office/drawing/2014/main" id="{00000000-0008-0000-0100-00008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1" name="TextBox 1920">
          <a:extLst>
            <a:ext uri="{FF2B5EF4-FFF2-40B4-BE49-F238E27FC236}">
              <a16:creationId xmlns:a16="http://schemas.microsoft.com/office/drawing/2014/main" id="{00000000-0008-0000-0100-00008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2" name="TextBox 1921">
          <a:extLst>
            <a:ext uri="{FF2B5EF4-FFF2-40B4-BE49-F238E27FC236}">
              <a16:creationId xmlns:a16="http://schemas.microsoft.com/office/drawing/2014/main" id="{00000000-0008-0000-0100-00008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3" name="TextBox 1922">
          <a:extLst>
            <a:ext uri="{FF2B5EF4-FFF2-40B4-BE49-F238E27FC236}">
              <a16:creationId xmlns:a16="http://schemas.microsoft.com/office/drawing/2014/main" id="{00000000-0008-0000-0100-00008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4" name="TextBox 1923">
          <a:extLst>
            <a:ext uri="{FF2B5EF4-FFF2-40B4-BE49-F238E27FC236}">
              <a16:creationId xmlns:a16="http://schemas.microsoft.com/office/drawing/2014/main" id="{00000000-0008-0000-0100-00008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5" name="TextBox 1924">
          <a:extLst>
            <a:ext uri="{FF2B5EF4-FFF2-40B4-BE49-F238E27FC236}">
              <a16:creationId xmlns:a16="http://schemas.microsoft.com/office/drawing/2014/main" id="{00000000-0008-0000-0100-00008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6" name="TextBox 1925">
          <a:extLst>
            <a:ext uri="{FF2B5EF4-FFF2-40B4-BE49-F238E27FC236}">
              <a16:creationId xmlns:a16="http://schemas.microsoft.com/office/drawing/2014/main" id="{00000000-0008-0000-0100-00008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7" name="TextBox 1926">
          <a:extLst>
            <a:ext uri="{FF2B5EF4-FFF2-40B4-BE49-F238E27FC236}">
              <a16:creationId xmlns:a16="http://schemas.microsoft.com/office/drawing/2014/main" id="{00000000-0008-0000-0100-00008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8" name="TextBox 1927">
          <a:extLst>
            <a:ext uri="{FF2B5EF4-FFF2-40B4-BE49-F238E27FC236}">
              <a16:creationId xmlns:a16="http://schemas.microsoft.com/office/drawing/2014/main" id="{00000000-0008-0000-0100-00008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29" name="TextBox 1928">
          <a:extLst>
            <a:ext uri="{FF2B5EF4-FFF2-40B4-BE49-F238E27FC236}">
              <a16:creationId xmlns:a16="http://schemas.microsoft.com/office/drawing/2014/main" id="{00000000-0008-0000-0100-00008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0" name="TextBox 1929">
          <a:extLst>
            <a:ext uri="{FF2B5EF4-FFF2-40B4-BE49-F238E27FC236}">
              <a16:creationId xmlns:a16="http://schemas.microsoft.com/office/drawing/2014/main" id="{00000000-0008-0000-0100-00008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1" name="TextBox 1930">
          <a:extLst>
            <a:ext uri="{FF2B5EF4-FFF2-40B4-BE49-F238E27FC236}">
              <a16:creationId xmlns:a16="http://schemas.microsoft.com/office/drawing/2014/main" id="{00000000-0008-0000-0100-00008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2" name="TextBox 1931">
          <a:extLst>
            <a:ext uri="{FF2B5EF4-FFF2-40B4-BE49-F238E27FC236}">
              <a16:creationId xmlns:a16="http://schemas.microsoft.com/office/drawing/2014/main" id="{00000000-0008-0000-0100-00008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3" name="TextBox 1932">
          <a:extLst>
            <a:ext uri="{FF2B5EF4-FFF2-40B4-BE49-F238E27FC236}">
              <a16:creationId xmlns:a16="http://schemas.microsoft.com/office/drawing/2014/main" id="{00000000-0008-0000-0100-00008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4" name="TextBox 1933">
          <a:extLst>
            <a:ext uri="{FF2B5EF4-FFF2-40B4-BE49-F238E27FC236}">
              <a16:creationId xmlns:a16="http://schemas.microsoft.com/office/drawing/2014/main" id="{00000000-0008-0000-0100-00008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5" name="TextBox 1934">
          <a:extLst>
            <a:ext uri="{FF2B5EF4-FFF2-40B4-BE49-F238E27FC236}">
              <a16:creationId xmlns:a16="http://schemas.microsoft.com/office/drawing/2014/main" id="{00000000-0008-0000-0100-00008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6" name="TextBox 1935">
          <a:extLst>
            <a:ext uri="{FF2B5EF4-FFF2-40B4-BE49-F238E27FC236}">
              <a16:creationId xmlns:a16="http://schemas.microsoft.com/office/drawing/2014/main" id="{00000000-0008-0000-0100-00009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7" name="TextBox 1936">
          <a:extLst>
            <a:ext uri="{FF2B5EF4-FFF2-40B4-BE49-F238E27FC236}">
              <a16:creationId xmlns:a16="http://schemas.microsoft.com/office/drawing/2014/main" id="{00000000-0008-0000-0100-00009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8" name="TextBox 1937">
          <a:extLst>
            <a:ext uri="{FF2B5EF4-FFF2-40B4-BE49-F238E27FC236}">
              <a16:creationId xmlns:a16="http://schemas.microsoft.com/office/drawing/2014/main" id="{00000000-0008-0000-0100-00009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39" name="TextBox 1938">
          <a:extLst>
            <a:ext uri="{FF2B5EF4-FFF2-40B4-BE49-F238E27FC236}">
              <a16:creationId xmlns:a16="http://schemas.microsoft.com/office/drawing/2014/main" id="{00000000-0008-0000-0100-00009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0" name="TextBox 1939">
          <a:extLst>
            <a:ext uri="{FF2B5EF4-FFF2-40B4-BE49-F238E27FC236}">
              <a16:creationId xmlns:a16="http://schemas.microsoft.com/office/drawing/2014/main" id="{00000000-0008-0000-0100-00009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1" name="TextBox 1940">
          <a:extLst>
            <a:ext uri="{FF2B5EF4-FFF2-40B4-BE49-F238E27FC236}">
              <a16:creationId xmlns:a16="http://schemas.microsoft.com/office/drawing/2014/main" id="{00000000-0008-0000-0100-00009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2" name="TextBox 1941">
          <a:extLst>
            <a:ext uri="{FF2B5EF4-FFF2-40B4-BE49-F238E27FC236}">
              <a16:creationId xmlns:a16="http://schemas.microsoft.com/office/drawing/2014/main" id="{00000000-0008-0000-0100-00009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3" name="TextBox 1942">
          <a:extLst>
            <a:ext uri="{FF2B5EF4-FFF2-40B4-BE49-F238E27FC236}">
              <a16:creationId xmlns:a16="http://schemas.microsoft.com/office/drawing/2014/main" id="{00000000-0008-0000-0100-00009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4" name="TextBox 1943">
          <a:extLst>
            <a:ext uri="{FF2B5EF4-FFF2-40B4-BE49-F238E27FC236}">
              <a16:creationId xmlns:a16="http://schemas.microsoft.com/office/drawing/2014/main" id="{00000000-0008-0000-0100-00009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5" name="TextBox 1944">
          <a:extLst>
            <a:ext uri="{FF2B5EF4-FFF2-40B4-BE49-F238E27FC236}">
              <a16:creationId xmlns:a16="http://schemas.microsoft.com/office/drawing/2014/main" id="{00000000-0008-0000-0100-00009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6" name="TextBox 1945">
          <a:extLst>
            <a:ext uri="{FF2B5EF4-FFF2-40B4-BE49-F238E27FC236}">
              <a16:creationId xmlns:a16="http://schemas.microsoft.com/office/drawing/2014/main" id="{00000000-0008-0000-0100-00009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7" name="TextBox 1946">
          <a:extLst>
            <a:ext uri="{FF2B5EF4-FFF2-40B4-BE49-F238E27FC236}">
              <a16:creationId xmlns:a16="http://schemas.microsoft.com/office/drawing/2014/main" id="{00000000-0008-0000-0100-00009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8" name="TextBox 1947">
          <a:extLst>
            <a:ext uri="{FF2B5EF4-FFF2-40B4-BE49-F238E27FC236}">
              <a16:creationId xmlns:a16="http://schemas.microsoft.com/office/drawing/2014/main" id="{00000000-0008-0000-0100-00009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49" name="TextBox 1948">
          <a:extLst>
            <a:ext uri="{FF2B5EF4-FFF2-40B4-BE49-F238E27FC236}">
              <a16:creationId xmlns:a16="http://schemas.microsoft.com/office/drawing/2014/main" id="{00000000-0008-0000-0100-00009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0" name="TextBox 1949">
          <a:extLst>
            <a:ext uri="{FF2B5EF4-FFF2-40B4-BE49-F238E27FC236}">
              <a16:creationId xmlns:a16="http://schemas.microsoft.com/office/drawing/2014/main" id="{00000000-0008-0000-0100-00009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1" name="TextBox 1950">
          <a:extLst>
            <a:ext uri="{FF2B5EF4-FFF2-40B4-BE49-F238E27FC236}">
              <a16:creationId xmlns:a16="http://schemas.microsoft.com/office/drawing/2014/main" id="{00000000-0008-0000-0100-00009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2" name="TextBox 1951">
          <a:extLst>
            <a:ext uri="{FF2B5EF4-FFF2-40B4-BE49-F238E27FC236}">
              <a16:creationId xmlns:a16="http://schemas.microsoft.com/office/drawing/2014/main" id="{00000000-0008-0000-0100-0000A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3" name="TextBox 1952">
          <a:extLst>
            <a:ext uri="{FF2B5EF4-FFF2-40B4-BE49-F238E27FC236}">
              <a16:creationId xmlns:a16="http://schemas.microsoft.com/office/drawing/2014/main" id="{00000000-0008-0000-0100-0000A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4" name="TextBox 1953">
          <a:extLst>
            <a:ext uri="{FF2B5EF4-FFF2-40B4-BE49-F238E27FC236}">
              <a16:creationId xmlns:a16="http://schemas.microsoft.com/office/drawing/2014/main" id="{00000000-0008-0000-0100-0000A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5" name="TextBox 1954">
          <a:extLst>
            <a:ext uri="{FF2B5EF4-FFF2-40B4-BE49-F238E27FC236}">
              <a16:creationId xmlns:a16="http://schemas.microsoft.com/office/drawing/2014/main" id="{00000000-0008-0000-0100-0000A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6" name="TextBox 1955">
          <a:extLst>
            <a:ext uri="{FF2B5EF4-FFF2-40B4-BE49-F238E27FC236}">
              <a16:creationId xmlns:a16="http://schemas.microsoft.com/office/drawing/2014/main" id="{00000000-0008-0000-0100-0000A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7" name="TextBox 1956">
          <a:extLst>
            <a:ext uri="{FF2B5EF4-FFF2-40B4-BE49-F238E27FC236}">
              <a16:creationId xmlns:a16="http://schemas.microsoft.com/office/drawing/2014/main" id="{00000000-0008-0000-0100-0000A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8" name="TextBox 1957">
          <a:extLst>
            <a:ext uri="{FF2B5EF4-FFF2-40B4-BE49-F238E27FC236}">
              <a16:creationId xmlns:a16="http://schemas.microsoft.com/office/drawing/2014/main" id="{00000000-0008-0000-0100-0000A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59" name="TextBox 1958">
          <a:extLst>
            <a:ext uri="{FF2B5EF4-FFF2-40B4-BE49-F238E27FC236}">
              <a16:creationId xmlns:a16="http://schemas.microsoft.com/office/drawing/2014/main" id="{00000000-0008-0000-0100-0000A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0" name="TextBox 1959">
          <a:extLst>
            <a:ext uri="{FF2B5EF4-FFF2-40B4-BE49-F238E27FC236}">
              <a16:creationId xmlns:a16="http://schemas.microsoft.com/office/drawing/2014/main" id="{00000000-0008-0000-0100-0000A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1" name="TextBox 1960">
          <a:extLst>
            <a:ext uri="{FF2B5EF4-FFF2-40B4-BE49-F238E27FC236}">
              <a16:creationId xmlns:a16="http://schemas.microsoft.com/office/drawing/2014/main" id="{00000000-0008-0000-0100-0000A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2" name="TextBox 1961">
          <a:extLst>
            <a:ext uri="{FF2B5EF4-FFF2-40B4-BE49-F238E27FC236}">
              <a16:creationId xmlns:a16="http://schemas.microsoft.com/office/drawing/2014/main" id="{00000000-0008-0000-0100-0000A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3" name="TextBox 1962">
          <a:extLst>
            <a:ext uri="{FF2B5EF4-FFF2-40B4-BE49-F238E27FC236}">
              <a16:creationId xmlns:a16="http://schemas.microsoft.com/office/drawing/2014/main" id="{00000000-0008-0000-0100-0000A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4" name="TextBox 1963">
          <a:extLst>
            <a:ext uri="{FF2B5EF4-FFF2-40B4-BE49-F238E27FC236}">
              <a16:creationId xmlns:a16="http://schemas.microsoft.com/office/drawing/2014/main" id="{00000000-0008-0000-0100-0000A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5" name="TextBox 1964">
          <a:extLst>
            <a:ext uri="{FF2B5EF4-FFF2-40B4-BE49-F238E27FC236}">
              <a16:creationId xmlns:a16="http://schemas.microsoft.com/office/drawing/2014/main" id="{00000000-0008-0000-0100-0000A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6" name="TextBox 1965">
          <a:extLst>
            <a:ext uri="{FF2B5EF4-FFF2-40B4-BE49-F238E27FC236}">
              <a16:creationId xmlns:a16="http://schemas.microsoft.com/office/drawing/2014/main" id="{00000000-0008-0000-0100-0000A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7" name="TextBox 1966">
          <a:extLst>
            <a:ext uri="{FF2B5EF4-FFF2-40B4-BE49-F238E27FC236}">
              <a16:creationId xmlns:a16="http://schemas.microsoft.com/office/drawing/2014/main" id="{00000000-0008-0000-0100-0000A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8" name="TextBox 1967">
          <a:extLst>
            <a:ext uri="{FF2B5EF4-FFF2-40B4-BE49-F238E27FC236}">
              <a16:creationId xmlns:a16="http://schemas.microsoft.com/office/drawing/2014/main" id="{00000000-0008-0000-0100-0000B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69" name="TextBox 1968">
          <a:extLst>
            <a:ext uri="{FF2B5EF4-FFF2-40B4-BE49-F238E27FC236}">
              <a16:creationId xmlns:a16="http://schemas.microsoft.com/office/drawing/2014/main" id="{00000000-0008-0000-0100-0000B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0" name="TextBox 1969">
          <a:extLst>
            <a:ext uri="{FF2B5EF4-FFF2-40B4-BE49-F238E27FC236}">
              <a16:creationId xmlns:a16="http://schemas.microsoft.com/office/drawing/2014/main" id="{00000000-0008-0000-0100-0000B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1" name="TextBox 1970">
          <a:extLst>
            <a:ext uri="{FF2B5EF4-FFF2-40B4-BE49-F238E27FC236}">
              <a16:creationId xmlns:a16="http://schemas.microsoft.com/office/drawing/2014/main" id="{00000000-0008-0000-0100-0000B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2" name="TextBox 1971">
          <a:extLst>
            <a:ext uri="{FF2B5EF4-FFF2-40B4-BE49-F238E27FC236}">
              <a16:creationId xmlns:a16="http://schemas.microsoft.com/office/drawing/2014/main" id="{00000000-0008-0000-0100-0000B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3" name="TextBox 1972">
          <a:extLst>
            <a:ext uri="{FF2B5EF4-FFF2-40B4-BE49-F238E27FC236}">
              <a16:creationId xmlns:a16="http://schemas.microsoft.com/office/drawing/2014/main" id="{00000000-0008-0000-0100-0000B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4" name="TextBox 1973">
          <a:extLst>
            <a:ext uri="{FF2B5EF4-FFF2-40B4-BE49-F238E27FC236}">
              <a16:creationId xmlns:a16="http://schemas.microsoft.com/office/drawing/2014/main" id="{00000000-0008-0000-0100-0000B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5" name="TextBox 1974">
          <a:extLst>
            <a:ext uri="{FF2B5EF4-FFF2-40B4-BE49-F238E27FC236}">
              <a16:creationId xmlns:a16="http://schemas.microsoft.com/office/drawing/2014/main" id="{00000000-0008-0000-0100-0000B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6" name="TextBox 1975">
          <a:extLst>
            <a:ext uri="{FF2B5EF4-FFF2-40B4-BE49-F238E27FC236}">
              <a16:creationId xmlns:a16="http://schemas.microsoft.com/office/drawing/2014/main" id="{00000000-0008-0000-0100-0000B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7" name="TextBox 1976">
          <a:extLst>
            <a:ext uri="{FF2B5EF4-FFF2-40B4-BE49-F238E27FC236}">
              <a16:creationId xmlns:a16="http://schemas.microsoft.com/office/drawing/2014/main" id="{00000000-0008-0000-0100-0000B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8" name="TextBox 1977">
          <a:extLst>
            <a:ext uri="{FF2B5EF4-FFF2-40B4-BE49-F238E27FC236}">
              <a16:creationId xmlns:a16="http://schemas.microsoft.com/office/drawing/2014/main" id="{00000000-0008-0000-0100-0000B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79" name="TextBox 1978">
          <a:extLst>
            <a:ext uri="{FF2B5EF4-FFF2-40B4-BE49-F238E27FC236}">
              <a16:creationId xmlns:a16="http://schemas.microsoft.com/office/drawing/2014/main" id="{00000000-0008-0000-0100-0000B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0" name="TextBox 1979">
          <a:extLst>
            <a:ext uri="{FF2B5EF4-FFF2-40B4-BE49-F238E27FC236}">
              <a16:creationId xmlns:a16="http://schemas.microsoft.com/office/drawing/2014/main" id="{00000000-0008-0000-0100-0000B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1" name="TextBox 1980">
          <a:extLst>
            <a:ext uri="{FF2B5EF4-FFF2-40B4-BE49-F238E27FC236}">
              <a16:creationId xmlns:a16="http://schemas.microsoft.com/office/drawing/2014/main" id="{00000000-0008-0000-0100-0000B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2" name="TextBox 1981">
          <a:extLst>
            <a:ext uri="{FF2B5EF4-FFF2-40B4-BE49-F238E27FC236}">
              <a16:creationId xmlns:a16="http://schemas.microsoft.com/office/drawing/2014/main" id="{00000000-0008-0000-0100-0000B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3" name="TextBox 1982">
          <a:extLst>
            <a:ext uri="{FF2B5EF4-FFF2-40B4-BE49-F238E27FC236}">
              <a16:creationId xmlns:a16="http://schemas.microsoft.com/office/drawing/2014/main" id="{00000000-0008-0000-0100-0000B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4" name="TextBox 1983">
          <a:extLst>
            <a:ext uri="{FF2B5EF4-FFF2-40B4-BE49-F238E27FC236}">
              <a16:creationId xmlns:a16="http://schemas.microsoft.com/office/drawing/2014/main" id="{00000000-0008-0000-0100-0000C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5" name="TextBox 1984">
          <a:extLst>
            <a:ext uri="{FF2B5EF4-FFF2-40B4-BE49-F238E27FC236}">
              <a16:creationId xmlns:a16="http://schemas.microsoft.com/office/drawing/2014/main" id="{00000000-0008-0000-0100-0000C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6" name="TextBox 1985">
          <a:extLst>
            <a:ext uri="{FF2B5EF4-FFF2-40B4-BE49-F238E27FC236}">
              <a16:creationId xmlns:a16="http://schemas.microsoft.com/office/drawing/2014/main" id="{00000000-0008-0000-0100-0000C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7" name="TextBox 1986">
          <a:extLst>
            <a:ext uri="{FF2B5EF4-FFF2-40B4-BE49-F238E27FC236}">
              <a16:creationId xmlns:a16="http://schemas.microsoft.com/office/drawing/2014/main" id="{00000000-0008-0000-0100-0000C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8" name="TextBox 1987">
          <a:extLst>
            <a:ext uri="{FF2B5EF4-FFF2-40B4-BE49-F238E27FC236}">
              <a16:creationId xmlns:a16="http://schemas.microsoft.com/office/drawing/2014/main" id="{00000000-0008-0000-0100-0000C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89" name="TextBox 1988">
          <a:extLst>
            <a:ext uri="{FF2B5EF4-FFF2-40B4-BE49-F238E27FC236}">
              <a16:creationId xmlns:a16="http://schemas.microsoft.com/office/drawing/2014/main" id="{00000000-0008-0000-0100-0000C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0" name="TextBox 1989">
          <a:extLst>
            <a:ext uri="{FF2B5EF4-FFF2-40B4-BE49-F238E27FC236}">
              <a16:creationId xmlns:a16="http://schemas.microsoft.com/office/drawing/2014/main" id="{00000000-0008-0000-0100-0000C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1" name="TextBox 1990">
          <a:extLst>
            <a:ext uri="{FF2B5EF4-FFF2-40B4-BE49-F238E27FC236}">
              <a16:creationId xmlns:a16="http://schemas.microsoft.com/office/drawing/2014/main" id="{00000000-0008-0000-0100-0000C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2" name="TextBox 1991">
          <a:extLst>
            <a:ext uri="{FF2B5EF4-FFF2-40B4-BE49-F238E27FC236}">
              <a16:creationId xmlns:a16="http://schemas.microsoft.com/office/drawing/2014/main" id="{00000000-0008-0000-0100-0000C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3" name="TextBox 1992">
          <a:extLst>
            <a:ext uri="{FF2B5EF4-FFF2-40B4-BE49-F238E27FC236}">
              <a16:creationId xmlns:a16="http://schemas.microsoft.com/office/drawing/2014/main" id="{00000000-0008-0000-0100-0000C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4" name="TextBox 1993">
          <a:extLst>
            <a:ext uri="{FF2B5EF4-FFF2-40B4-BE49-F238E27FC236}">
              <a16:creationId xmlns:a16="http://schemas.microsoft.com/office/drawing/2014/main" id="{00000000-0008-0000-0100-0000C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5" name="TextBox 1994">
          <a:extLst>
            <a:ext uri="{FF2B5EF4-FFF2-40B4-BE49-F238E27FC236}">
              <a16:creationId xmlns:a16="http://schemas.microsoft.com/office/drawing/2014/main" id="{00000000-0008-0000-0100-0000C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6" name="TextBox 1995">
          <a:extLst>
            <a:ext uri="{FF2B5EF4-FFF2-40B4-BE49-F238E27FC236}">
              <a16:creationId xmlns:a16="http://schemas.microsoft.com/office/drawing/2014/main" id="{00000000-0008-0000-0100-0000C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7" name="TextBox 1996">
          <a:extLst>
            <a:ext uri="{FF2B5EF4-FFF2-40B4-BE49-F238E27FC236}">
              <a16:creationId xmlns:a16="http://schemas.microsoft.com/office/drawing/2014/main" id="{00000000-0008-0000-0100-0000C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8" name="TextBox 1997">
          <a:extLst>
            <a:ext uri="{FF2B5EF4-FFF2-40B4-BE49-F238E27FC236}">
              <a16:creationId xmlns:a16="http://schemas.microsoft.com/office/drawing/2014/main" id="{00000000-0008-0000-0100-0000C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1999" name="TextBox 1998">
          <a:extLst>
            <a:ext uri="{FF2B5EF4-FFF2-40B4-BE49-F238E27FC236}">
              <a16:creationId xmlns:a16="http://schemas.microsoft.com/office/drawing/2014/main" id="{00000000-0008-0000-0100-0000C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0" name="TextBox 1999">
          <a:extLst>
            <a:ext uri="{FF2B5EF4-FFF2-40B4-BE49-F238E27FC236}">
              <a16:creationId xmlns:a16="http://schemas.microsoft.com/office/drawing/2014/main" id="{00000000-0008-0000-0100-0000D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1" name="TextBox 2000">
          <a:extLst>
            <a:ext uri="{FF2B5EF4-FFF2-40B4-BE49-F238E27FC236}">
              <a16:creationId xmlns:a16="http://schemas.microsoft.com/office/drawing/2014/main" id="{00000000-0008-0000-0100-0000D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2" name="TextBox 2001">
          <a:extLst>
            <a:ext uri="{FF2B5EF4-FFF2-40B4-BE49-F238E27FC236}">
              <a16:creationId xmlns:a16="http://schemas.microsoft.com/office/drawing/2014/main" id="{00000000-0008-0000-0100-0000D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3" name="TextBox 2002">
          <a:extLst>
            <a:ext uri="{FF2B5EF4-FFF2-40B4-BE49-F238E27FC236}">
              <a16:creationId xmlns:a16="http://schemas.microsoft.com/office/drawing/2014/main" id="{00000000-0008-0000-0100-0000D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4" name="TextBox 2003">
          <a:extLst>
            <a:ext uri="{FF2B5EF4-FFF2-40B4-BE49-F238E27FC236}">
              <a16:creationId xmlns:a16="http://schemas.microsoft.com/office/drawing/2014/main" id="{00000000-0008-0000-0100-0000D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5" name="TextBox 2004">
          <a:extLst>
            <a:ext uri="{FF2B5EF4-FFF2-40B4-BE49-F238E27FC236}">
              <a16:creationId xmlns:a16="http://schemas.microsoft.com/office/drawing/2014/main" id="{00000000-0008-0000-0100-0000D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6" name="TextBox 2005">
          <a:extLst>
            <a:ext uri="{FF2B5EF4-FFF2-40B4-BE49-F238E27FC236}">
              <a16:creationId xmlns:a16="http://schemas.microsoft.com/office/drawing/2014/main" id="{00000000-0008-0000-0100-0000D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7" name="TextBox 2006">
          <a:extLst>
            <a:ext uri="{FF2B5EF4-FFF2-40B4-BE49-F238E27FC236}">
              <a16:creationId xmlns:a16="http://schemas.microsoft.com/office/drawing/2014/main" id="{00000000-0008-0000-0100-0000D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8" name="TextBox 2007">
          <a:extLst>
            <a:ext uri="{FF2B5EF4-FFF2-40B4-BE49-F238E27FC236}">
              <a16:creationId xmlns:a16="http://schemas.microsoft.com/office/drawing/2014/main" id="{00000000-0008-0000-0100-0000D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09" name="TextBox 2008">
          <a:extLst>
            <a:ext uri="{FF2B5EF4-FFF2-40B4-BE49-F238E27FC236}">
              <a16:creationId xmlns:a16="http://schemas.microsoft.com/office/drawing/2014/main" id="{00000000-0008-0000-0100-0000D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0" name="TextBox 2009">
          <a:extLst>
            <a:ext uri="{FF2B5EF4-FFF2-40B4-BE49-F238E27FC236}">
              <a16:creationId xmlns:a16="http://schemas.microsoft.com/office/drawing/2014/main" id="{00000000-0008-0000-0100-0000D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1" name="TextBox 2010">
          <a:extLst>
            <a:ext uri="{FF2B5EF4-FFF2-40B4-BE49-F238E27FC236}">
              <a16:creationId xmlns:a16="http://schemas.microsoft.com/office/drawing/2014/main" id="{00000000-0008-0000-0100-0000D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2" name="TextBox 2011">
          <a:extLst>
            <a:ext uri="{FF2B5EF4-FFF2-40B4-BE49-F238E27FC236}">
              <a16:creationId xmlns:a16="http://schemas.microsoft.com/office/drawing/2014/main" id="{00000000-0008-0000-0100-0000D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3" name="TextBox 2012">
          <a:extLst>
            <a:ext uri="{FF2B5EF4-FFF2-40B4-BE49-F238E27FC236}">
              <a16:creationId xmlns:a16="http://schemas.microsoft.com/office/drawing/2014/main" id="{00000000-0008-0000-0100-0000D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4" name="TextBox 2013">
          <a:extLst>
            <a:ext uri="{FF2B5EF4-FFF2-40B4-BE49-F238E27FC236}">
              <a16:creationId xmlns:a16="http://schemas.microsoft.com/office/drawing/2014/main" id="{00000000-0008-0000-0100-0000D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5" name="TextBox 2014">
          <a:extLst>
            <a:ext uri="{FF2B5EF4-FFF2-40B4-BE49-F238E27FC236}">
              <a16:creationId xmlns:a16="http://schemas.microsoft.com/office/drawing/2014/main" id="{00000000-0008-0000-0100-0000D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6" name="TextBox 2015">
          <a:extLst>
            <a:ext uri="{FF2B5EF4-FFF2-40B4-BE49-F238E27FC236}">
              <a16:creationId xmlns:a16="http://schemas.microsoft.com/office/drawing/2014/main" id="{00000000-0008-0000-0100-0000E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7" name="TextBox 2016">
          <a:extLst>
            <a:ext uri="{FF2B5EF4-FFF2-40B4-BE49-F238E27FC236}">
              <a16:creationId xmlns:a16="http://schemas.microsoft.com/office/drawing/2014/main" id="{00000000-0008-0000-0100-0000E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8" name="TextBox 2017">
          <a:extLst>
            <a:ext uri="{FF2B5EF4-FFF2-40B4-BE49-F238E27FC236}">
              <a16:creationId xmlns:a16="http://schemas.microsoft.com/office/drawing/2014/main" id="{00000000-0008-0000-0100-0000E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19" name="TextBox 2018">
          <a:extLst>
            <a:ext uri="{FF2B5EF4-FFF2-40B4-BE49-F238E27FC236}">
              <a16:creationId xmlns:a16="http://schemas.microsoft.com/office/drawing/2014/main" id="{00000000-0008-0000-0100-0000E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0" name="TextBox 2019">
          <a:extLst>
            <a:ext uri="{FF2B5EF4-FFF2-40B4-BE49-F238E27FC236}">
              <a16:creationId xmlns:a16="http://schemas.microsoft.com/office/drawing/2014/main" id="{00000000-0008-0000-0100-0000E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1" name="TextBox 2020">
          <a:extLst>
            <a:ext uri="{FF2B5EF4-FFF2-40B4-BE49-F238E27FC236}">
              <a16:creationId xmlns:a16="http://schemas.microsoft.com/office/drawing/2014/main" id="{00000000-0008-0000-0100-0000E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2" name="TextBox 2021">
          <a:extLst>
            <a:ext uri="{FF2B5EF4-FFF2-40B4-BE49-F238E27FC236}">
              <a16:creationId xmlns:a16="http://schemas.microsoft.com/office/drawing/2014/main" id="{00000000-0008-0000-0100-0000E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3" name="TextBox 2022">
          <a:extLst>
            <a:ext uri="{FF2B5EF4-FFF2-40B4-BE49-F238E27FC236}">
              <a16:creationId xmlns:a16="http://schemas.microsoft.com/office/drawing/2014/main" id="{00000000-0008-0000-0100-0000E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4" name="TextBox 2023">
          <a:extLst>
            <a:ext uri="{FF2B5EF4-FFF2-40B4-BE49-F238E27FC236}">
              <a16:creationId xmlns:a16="http://schemas.microsoft.com/office/drawing/2014/main" id="{00000000-0008-0000-0100-0000E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5" name="TextBox 2024">
          <a:extLst>
            <a:ext uri="{FF2B5EF4-FFF2-40B4-BE49-F238E27FC236}">
              <a16:creationId xmlns:a16="http://schemas.microsoft.com/office/drawing/2014/main" id="{00000000-0008-0000-0100-0000E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6" name="TextBox 2025">
          <a:extLst>
            <a:ext uri="{FF2B5EF4-FFF2-40B4-BE49-F238E27FC236}">
              <a16:creationId xmlns:a16="http://schemas.microsoft.com/office/drawing/2014/main" id="{00000000-0008-0000-0100-0000E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7" name="TextBox 2026">
          <a:extLst>
            <a:ext uri="{FF2B5EF4-FFF2-40B4-BE49-F238E27FC236}">
              <a16:creationId xmlns:a16="http://schemas.microsoft.com/office/drawing/2014/main" id="{00000000-0008-0000-0100-0000E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8" name="TextBox 2027">
          <a:extLst>
            <a:ext uri="{FF2B5EF4-FFF2-40B4-BE49-F238E27FC236}">
              <a16:creationId xmlns:a16="http://schemas.microsoft.com/office/drawing/2014/main" id="{00000000-0008-0000-0100-0000E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29" name="TextBox 2028">
          <a:extLst>
            <a:ext uri="{FF2B5EF4-FFF2-40B4-BE49-F238E27FC236}">
              <a16:creationId xmlns:a16="http://schemas.microsoft.com/office/drawing/2014/main" id="{00000000-0008-0000-0100-0000E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0" name="TextBox 2029">
          <a:extLst>
            <a:ext uri="{FF2B5EF4-FFF2-40B4-BE49-F238E27FC236}">
              <a16:creationId xmlns:a16="http://schemas.microsoft.com/office/drawing/2014/main" id="{00000000-0008-0000-0100-0000E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1" name="TextBox 2030">
          <a:extLst>
            <a:ext uri="{FF2B5EF4-FFF2-40B4-BE49-F238E27FC236}">
              <a16:creationId xmlns:a16="http://schemas.microsoft.com/office/drawing/2014/main" id="{00000000-0008-0000-0100-0000E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2" name="TextBox 2031">
          <a:extLst>
            <a:ext uri="{FF2B5EF4-FFF2-40B4-BE49-F238E27FC236}">
              <a16:creationId xmlns:a16="http://schemas.microsoft.com/office/drawing/2014/main" id="{00000000-0008-0000-0100-0000F0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3" name="TextBox 2032">
          <a:extLst>
            <a:ext uri="{FF2B5EF4-FFF2-40B4-BE49-F238E27FC236}">
              <a16:creationId xmlns:a16="http://schemas.microsoft.com/office/drawing/2014/main" id="{00000000-0008-0000-0100-0000F1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4" name="TextBox 2033">
          <a:extLst>
            <a:ext uri="{FF2B5EF4-FFF2-40B4-BE49-F238E27FC236}">
              <a16:creationId xmlns:a16="http://schemas.microsoft.com/office/drawing/2014/main" id="{00000000-0008-0000-0100-0000F2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5" name="TextBox 2034">
          <a:extLst>
            <a:ext uri="{FF2B5EF4-FFF2-40B4-BE49-F238E27FC236}">
              <a16:creationId xmlns:a16="http://schemas.microsoft.com/office/drawing/2014/main" id="{00000000-0008-0000-0100-0000F3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6" name="TextBox 2035">
          <a:extLst>
            <a:ext uri="{FF2B5EF4-FFF2-40B4-BE49-F238E27FC236}">
              <a16:creationId xmlns:a16="http://schemas.microsoft.com/office/drawing/2014/main" id="{00000000-0008-0000-0100-0000F4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7" name="TextBox 2036">
          <a:extLst>
            <a:ext uri="{FF2B5EF4-FFF2-40B4-BE49-F238E27FC236}">
              <a16:creationId xmlns:a16="http://schemas.microsoft.com/office/drawing/2014/main" id="{00000000-0008-0000-0100-0000F5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8" name="TextBox 2037">
          <a:extLst>
            <a:ext uri="{FF2B5EF4-FFF2-40B4-BE49-F238E27FC236}">
              <a16:creationId xmlns:a16="http://schemas.microsoft.com/office/drawing/2014/main" id="{00000000-0008-0000-0100-0000F6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39" name="TextBox 2038">
          <a:extLst>
            <a:ext uri="{FF2B5EF4-FFF2-40B4-BE49-F238E27FC236}">
              <a16:creationId xmlns:a16="http://schemas.microsoft.com/office/drawing/2014/main" id="{00000000-0008-0000-0100-0000F7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0" name="TextBox 2039">
          <a:extLst>
            <a:ext uri="{FF2B5EF4-FFF2-40B4-BE49-F238E27FC236}">
              <a16:creationId xmlns:a16="http://schemas.microsoft.com/office/drawing/2014/main" id="{00000000-0008-0000-0100-0000F8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1" name="TextBox 2040">
          <a:extLst>
            <a:ext uri="{FF2B5EF4-FFF2-40B4-BE49-F238E27FC236}">
              <a16:creationId xmlns:a16="http://schemas.microsoft.com/office/drawing/2014/main" id="{00000000-0008-0000-0100-0000F9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2" name="TextBox 2041">
          <a:extLst>
            <a:ext uri="{FF2B5EF4-FFF2-40B4-BE49-F238E27FC236}">
              <a16:creationId xmlns:a16="http://schemas.microsoft.com/office/drawing/2014/main" id="{00000000-0008-0000-0100-0000FA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3" name="TextBox 2042">
          <a:extLst>
            <a:ext uri="{FF2B5EF4-FFF2-40B4-BE49-F238E27FC236}">
              <a16:creationId xmlns:a16="http://schemas.microsoft.com/office/drawing/2014/main" id="{00000000-0008-0000-0100-0000FB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4" name="TextBox 2043">
          <a:extLst>
            <a:ext uri="{FF2B5EF4-FFF2-40B4-BE49-F238E27FC236}">
              <a16:creationId xmlns:a16="http://schemas.microsoft.com/office/drawing/2014/main" id="{00000000-0008-0000-0100-0000FC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5" name="TextBox 2044">
          <a:extLst>
            <a:ext uri="{FF2B5EF4-FFF2-40B4-BE49-F238E27FC236}">
              <a16:creationId xmlns:a16="http://schemas.microsoft.com/office/drawing/2014/main" id="{00000000-0008-0000-0100-0000FD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6" name="TextBox 2045">
          <a:extLst>
            <a:ext uri="{FF2B5EF4-FFF2-40B4-BE49-F238E27FC236}">
              <a16:creationId xmlns:a16="http://schemas.microsoft.com/office/drawing/2014/main" id="{00000000-0008-0000-0100-0000FE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7" name="TextBox 2046">
          <a:extLst>
            <a:ext uri="{FF2B5EF4-FFF2-40B4-BE49-F238E27FC236}">
              <a16:creationId xmlns:a16="http://schemas.microsoft.com/office/drawing/2014/main" id="{00000000-0008-0000-0100-0000FF07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8" name="TextBox 2047">
          <a:extLst>
            <a:ext uri="{FF2B5EF4-FFF2-40B4-BE49-F238E27FC236}">
              <a16:creationId xmlns:a16="http://schemas.microsoft.com/office/drawing/2014/main" id="{00000000-0008-0000-0100-00000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49" name="TextBox 2048">
          <a:extLst>
            <a:ext uri="{FF2B5EF4-FFF2-40B4-BE49-F238E27FC236}">
              <a16:creationId xmlns:a16="http://schemas.microsoft.com/office/drawing/2014/main" id="{00000000-0008-0000-0100-00000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0" name="TextBox 2049">
          <a:extLst>
            <a:ext uri="{FF2B5EF4-FFF2-40B4-BE49-F238E27FC236}">
              <a16:creationId xmlns:a16="http://schemas.microsoft.com/office/drawing/2014/main" id="{00000000-0008-0000-0100-00000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1" name="TextBox 2050">
          <a:extLst>
            <a:ext uri="{FF2B5EF4-FFF2-40B4-BE49-F238E27FC236}">
              <a16:creationId xmlns:a16="http://schemas.microsoft.com/office/drawing/2014/main" id="{00000000-0008-0000-0100-00000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2" name="TextBox 2051">
          <a:extLst>
            <a:ext uri="{FF2B5EF4-FFF2-40B4-BE49-F238E27FC236}">
              <a16:creationId xmlns:a16="http://schemas.microsoft.com/office/drawing/2014/main" id="{00000000-0008-0000-0100-00000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3" name="TextBox 2052">
          <a:extLst>
            <a:ext uri="{FF2B5EF4-FFF2-40B4-BE49-F238E27FC236}">
              <a16:creationId xmlns:a16="http://schemas.microsoft.com/office/drawing/2014/main" id="{00000000-0008-0000-0100-00000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4" name="TextBox 2053">
          <a:extLst>
            <a:ext uri="{FF2B5EF4-FFF2-40B4-BE49-F238E27FC236}">
              <a16:creationId xmlns:a16="http://schemas.microsoft.com/office/drawing/2014/main" id="{00000000-0008-0000-0100-00000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5" name="TextBox 2054">
          <a:extLst>
            <a:ext uri="{FF2B5EF4-FFF2-40B4-BE49-F238E27FC236}">
              <a16:creationId xmlns:a16="http://schemas.microsoft.com/office/drawing/2014/main" id="{00000000-0008-0000-0100-00000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6" name="TextBox 2055">
          <a:extLst>
            <a:ext uri="{FF2B5EF4-FFF2-40B4-BE49-F238E27FC236}">
              <a16:creationId xmlns:a16="http://schemas.microsoft.com/office/drawing/2014/main" id="{00000000-0008-0000-0100-00000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7" name="TextBox 2056">
          <a:extLst>
            <a:ext uri="{FF2B5EF4-FFF2-40B4-BE49-F238E27FC236}">
              <a16:creationId xmlns:a16="http://schemas.microsoft.com/office/drawing/2014/main" id="{00000000-0008-0000-0100-00000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8" name="TextBox 2057">
          <a:extLst>
            <a:ext uri="{FF2B5EF4-FFF2-40B4-BE49-F238E27FC236}">
              <a16:creationId xmlns:a16="http://schemas.microsoft.com/office/drawing/2014/main" id="{00000000-0008-0000-0100-00000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59" name="TextBox 2058">
          <a:extLst>
            <a:ext uri="{FF2B5EF4-FFF2-40B4-BE49-F238E27FC236}">
              <a16:creationId xmlns:a16="http://schemas.microsoft.com/office/drawing/2014/main" id="{00000000-0008-0000-0100-00000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0" name="TextBox 2059">
          <a:extLst>
            <a:ext uri="{FF2B5EF4-FFF2-40B4-BE49-F238E27FC236}">
              <a16:creationId xmlns:a16="http://schemas.microsoft.com/office/drawing/2014/main" id="{00000000-0008-0000-0100-00000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1" name="TextBox 2060">
          <a:extLst>
            <a:ext uri="{FF2B5EF4-FFF2-40B4-BE49-F238E27FC236}">
              <a16:creationId xmlns:a16="http://schemas.microsoft.com/office/drawing/2014/main" id="{00000000-0008-0000-0100-00000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2" name="TextBox 2061">
          <a:extLst>
            <a:ext uri="{FF2B5EF4-FFF2-40B4-BE49-F238E27FC236}">
              <a16:creationId xmlns:a16="http://schemas.microsoft.com/office/drawing/2014/main" id="{00000000-0008-0000-0100-00000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3" name="TextBox 2062">
          <a:extLst>
            <a:ext uri="{FF2B5EF4-FFF2-40B4-BE49-F238E27FC236}">
              <a16:creationId xmlns:a16="http://schemas.microsoft.com/office/drawing/2014/main" id="{00000000-0008-0000-0100-00000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4" name="TextBox 2063">
          <a:extLst>
            <a:ext uri="{FF2B5EF4-FFF2-40B4-BE49-F238E27FC236}">
              <a16:creationId xmlns:a16="http://schemas.microsoft.com/office/drawing/2014/main" id="{00000000-0008-0000-0100-00001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5" name="TextBox 2064">
          <a:extLst>
            <a:ext uri="{FF2B5EF4-FFF2-40B4-BE49-F238E27FC236}">
              <a16:creationId xmlns:a16="http://schemas.microsoft.com/office/drawing/2014/main" id="{00000000-0008-0000-0100-00001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6" name="TextBox 2065">
          <a:extLst>
            <a:ext uri="{FF2B5EF4-FFF2-40B4-BE49-F238E27FC236}">
              <a16:creationId xmlns:a16="http://schemas.microsoft.com/office/drawing/2014/main" id="{00000000-0008-0000-0100-00001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7" name="TextBox 2066">
          <a:extLst>
            <a:ext uri="{FF2B5EF4-FFF2-40B4-BE49-F238E27FC236}">
              <a16:creationId xmlns:a16="http://schemas.microsoft.com/office/drawing/2014/main" id="{00000000-0008-0000-0100-00001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8" name="TextBox 2067">
          <a:extLst>
            <a:ext uri="{FF2B5EF4-FFF2-40B4-BE49-F238E27FC236}">
              <a16:creationId xmlns:a16="http://schemas.microsoft.com/office/drawing/2014/main" id="{00000000-0008-0000-0100-00001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69" name="TextBox 2068">
          <a:extLst>
            <a:ext uri="{FF2B5EF4-FFF2-40B4-BE49-F238E27FC236}">
              <a16:creationId xmlns:a16="http://schemas.microsoft.com/office/drawing/2014/main" id="{00000000-0008-0000-0100-00001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0" name="TextBox 2069">
          <a:extLst>
            <a:ext uri="{FF2B5EF4-FFF2-40B4-BE49-F238E27FC236}">
              <a16:creationId xmlns:a16="http://schemas.microsoft.com/office/drawing/2014/main" id="{00000000-0008-0000-0100-00001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1" name="TextBox 2070">
          <a:extLst>
            <a:ext uri="{FF2B5EF4-FFF2-40B4-BE49-F238E27FC236}">
              <a16:creationId xmlns:a16="http://schemas.microsoft.com/office/drawing/2014/main" id="{00000000-0008-0000-0100-00001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2" name="TextBox 2071">
          <a:extLst>
            <a:ext uri="{FF2B5EF4-FFF2-40B4-BE49-F238E27FC236}">
              <a16:creationId xmlns:a16="http://schemas.microsoft.com/office/drawing/2014/main" id="{00000000-0008-0000-0100-00001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3" name="TextBox 2072">
          <a:extLst>
            <a:ext uri="{FF2B5EF4-FFF2-40B4-BE49-F238E27FC236}">
              <a16:creationId xmlns:a16="http://schemas.microsoft.com/office/drawing/2014/main" id="{00000000-0008-0000-0100-00001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4" name="TextBox 2073">
          <a:extLst>
            <a:ext uri="{FF2B5EF4-FFF2-40B4-BE49-F238E27FC236}">
              <a16:creationId xmlns:a16="http://schemas.microsoft.com/office/drawing/2014/main" id="{00000000-0008-0000-0100-00001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5" name="TextBox 2074">
          <a:extLst>
            <a:ext uri="{FF2B5EF4-FFF2-40B4-BE49-F238E27FC236}">
              <a16:creationId xmlns:a16="http://schemas.microsoft.com/office/drawing/2014/main" id="{00000000-0008-0000-0100-00001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6" name="TextBox 2075">
          <a:extLst>
            <a:ext uri="{FF2B5EF4-FFF2-40B4-BE49-F238E27FC236}">
              <a16:creationId xmlns:a16="http://schemas.microsoft.com/office/drawing/2014/main" id="{00000000-0008-0000-0100-00001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7" name="TextBox 2076">
          <a:extLst>
            <a:ext uri="{FF2B5EF4-FFF2-40B4-BE49-F238E27FC236}">
              <a16:creationId xmlns:a16="http://schemas.microsoft.com/office/drawing/2014/main" id="{00000000-0008-0000-0100-00001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8" name="TextBox 2077">
          <a:extLst>
            <a:ext uri="{FF2B5EF4-FFF2-40B4-BE49-F238E27FC236}">
              <a16:creationId xmlns:a16="http://schemas.microsoft.com/office/drawing/2014/main" id="{00000000-0008-0000-0100-00001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79" name="TextBox 2078">
          <a:extLst>
            <a:ext uri="{FF2B5EF4-FFF2-40B4-BE49-F238E27FC236}">
              <a16:creationId xmlns:a16="http://schemas.microsoft.com/office/drawing/2014/main" id="{00000000-0008-0000-0100-00001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0" name="TextBox 2079">
          <a:extLst>
            <a:ext uri="{FF2B5EF4-FFF2-40B4-BE49-F238E27FC236}">
              <a16:creationId xmlns:a16="http://schemas.microsoft.com/office/drawing/2014/main" id="{00000000-0008-0000-0100-00002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1" name="TextBox 2080">
          <a:extLst>
            <a:ext uri="{FF2B5EF4-FFF2-40B4-BE49-F238E27FC236}">
              <a16:creationId xmlns:a16="http://schemas.microsoft.com/office/drawing/2014/main" id="{00000000-0008-0000-0100-00002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2" name="TextBox 2081">
          <a:extLst>
            <a:ext uri="{FF2B5EF4-FFF2-40B4-BE49-F238E27FC236}">
              <a16:creationId xmlns:a16="http://schemas.microsoft.com/office/drawing/2014/main" id="{00000000-0008-0000-0100-00002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3" name="TextBox 2082">
          <a:extLst>
            <a:ext uri="{FF2B5EF4-FFF2-40B4-BE49-F238E27FC236}">
              <a16:creationId xmlns:a16="http://schemas.microsoft.com/office/drawing/2014/main" id="{00000000-0008-0000-0100-00002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4" name="TextBox 2083">
          <a:extLst>
            <a:ext uri="{FF2B5EF4-FFF2-40B4-BE49-F238E27FC236}">
              <a16:creationId xmlns:a16="http://schemas.microsoft.com/office/drawing/2014/main" id="{00000000-0008-0000-0100-00002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5" name="TextBox 2084">
          <a:extLst>
            <a:ext uri="{FF2B5EF4-FFF2-40B4-BE49-F238E27FC236}">
              <a16:creationId xmlns:a16="http://schemas.microsoft.com/office/drawing/2014/main" id="{00000000-0008-0000-0100-00002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6" name="TextBox 2085">
          <a:extLst>
            <a:ext uri="{FF2B5EF4-FFF2-40B4-BE49-F238E27FC236}">
              <a16:creationId xmlns:a16="http://schemas.microsoft.com/office/drawing/2014/main" id="{00000000-0008-0000-0100-00002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7" name="TextBox 2086">
          <a:extLst>
            <a:ext uri="{FF2B5EF4-FFF2-40B4-BE49-F238E27FC236}">
              <a16:creationId xmlns:a16="http://schemas.microsoft.com/office/drawing/2014/main" id="{00000000-0008-0000-0100-00002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8" name="TextBox 2087">
          <a:extLst>
            <a:ext uri="{FF2B5EF4-FFF2-40B4-BE49-F238E27FC236}">
              <a16:creationId xmlns:a16="http://schemas.microsoft.com/office/drawing/2014/main" id="{00000000-0008-0000-0100-00002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89" name="TextBox 2088">
          <a:extLst>
            <a:ext uri="{FF2B5EF4-FFF2-40B4-BE49-F238E27FC236}">
              <a16:creationId xmlns:a16="http://schemas.microsoft.com/office/drawing/2014/main" id="{00000000-0008-0000-0100-00002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0" name="TextBox 2089">
          <a:extLst>
            <a:ext uri="{FF2B5EF4-FFF2-40B4-BE49-F238E27FC236}">
              <a16:creationId xmlns:a16="http://schemas.microsoft.com/office/drawing/2014/main" id="{00000000-0008-0000-0100-00002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1" name="TextBox 2090">
          <a:extLst>
            <a:ext uri="{FF2B5EF4-FFF2-40B4-BE49-F238E27FC236}">
              <a16:creationId xmlns:a16="http://schemas.microsoft.com/office/drawing/2014/main" id="{00000000-0008-0000-0100-00002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2" name="TextBox 2091">
          <a:extLst>
            <a:ext uri="{FF2B5EF4-FFF2-40B4-BE49-F238E27FC236}">
              <a16:creationId xmlns:a16="http://schemas.microsoft.com/office/drawing/2014/main" id="{00000000-0008-0000-0100-00002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3" name="TextBox 2092">
          <a:extLst>
            <a:ext uri="{FF2B5EF4-FFF2-40B4-BE49-F238E27FC236}">
              <a16:creationId xmlns:a16="http://schemas.microsoft.com/office/drawing/2014/main" id="{00000000-0008-0000-0100-00002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4" name="TextBox 2093">
          <a:extLst>
            <a:ext uri="{FF2B5EF4-FFF2-40B4-BE49-F238E27FC236}">
              <a16:creationId xmlns:a16="http://schemas.microsoft.com/office/drawing/2014/main" id="{00000000-0008-0000-0100-00002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5" name="TextBox 2094">
          <a:extLst>
            <a:ext uri="{FF2B5EF4-FFF2-40B4-BE49-F238E27FC236}">
              <a16:creationId xmlns:a16="http://schemas.microsoft.com/office/drawing/2014/main" id="{00000000-0008-0000-0100-00002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6" name="TextBox 2095">
          <a:extLst>
            <a:ext uri="{FF2B5EF4-FFF2-40B4-BE49-F238E27FC236}">
              <a16:creationId xmlns:a16="http://schemas.microsoft.com/office/drawing/2014/main" id="{00000000-0008-0000-0100-00003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7" name="TextBox 2096">
          <a:extLst>
            <a:ext uri="{FF2B5EF4-FFF2-40B4-BE49-F238E27FC236}">
              <a16:creationId xmlns:a16="http://schemas.microsoft.com/office/drawing/2014/main" id="{00000000-0008-0000-0100-00003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8" name="TextBox 2097">
          <a:extLst>
            <a:ext uri="{FF2B5EF4-FFF2-40B4-BE49-F238E27FC236}">
              <a16:creationId xmlns:a16="http://schemas.microsoft.com/office/drawing/2014/main" id="{00000000-0008-0000-0100-00003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099" name="TextBox 2098">
          <a:extLst>
            <a:ext uri="{FF2B5EF4-FFF2-40B4-BE49-F238E27FC236}">
              <a16:creationId xmlns:a16="http://schemas.microsoft.com/office/drawing/2014/main" id="{00000000-0008-0000-0100-00003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0" name="TextBox 2099">
          <a:extLst>
            <a:ext uri="{FF2B5EF4-FFF2-40B4-BE49-F238E27FC236}">
              <a16:creationId xmlns:a16="http://schemas.microsoft.com/office/drawing/2014/main" id="{00000000-0008-0000-0100-00003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1" name="TextBox 2100">
          <a:extLst>
            <a:ext uri="{FF2B5EF4-FFF2-40B4-BE49-F238E27FC236}">
              <a16:creationId xmlns:a16="http://schemas.microsoft.com/office/drawing/2014/main" id="{00000000-0008-0000-0100-00003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2" name="TextBox 2101">
          <a:extLst>
            <a:ext uri="{FF2B5EF4-FFF2-40B4-BE49-F238E27FC236}">
              <a16:creationId xmlns:a16="http://schemas.microsoft.com/office/drawing/2014/main" id="{00000000-0008-0000-0100-00003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3" name="TextBox 2102">
          <a:extLst>
            <a:ext uri="{FF2B5EF4-FFF2-40B4-BE49-F238E27FC236}">
              <a16:creationId xmlns:a16="http://schemas.microsoft.com/office/drawing/2014/main" id="{00000000-0008-0000-0100-00003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4" name="TextBox 2103">
          <a:extLst>
            <a:ext uri="{FF2B5EF4-FFF2-40B4-BE49-F238E27FC236}">
              <a16:creationId xmlns:a16="http://schemas.microsoft.com/office/drawing/2014/main" id="{00000000-0008-0000-0100-00003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5" name="TextBox 2104">
          <a:extLst>
            <a:ext uri="{FF2B5EF4-FFF2-40B4-BE49-F238E27FC236}">
              <a16:creationId xmlns:a16="http://schemas.microsoft.com/office/drawing/2014/main" id="{00000000-0008-0000-0100-00003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6" name="TextBox 2105">
          <a:extLst>
            <a:ext uri="{FF2B5EF4-FFF2-40B4-BE49-F238E27FC236}">
              <a16:creationId xmlns:a16="http://schemas.microsoft.com/office/drawing/2014/main" id="{00000000-0008-0000-0100-00003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7" name="TextBox 2106">
          <a:extLst>
            <a:ext uri="{FF2B5EF4-FFF2-40B4-BE49-F238E27FC236}">
              <a16:creationId xmlns:a16="http://schemas.microsoft.com/office/drawing/2014/main" id="{00000000-0008-0000-0100-00003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8" name="TextBox 2107">
          <a:extLst>
            <a:ext uri="{FF2B5EF4-FFF2-40B4-BE49-F238E27FC236}">
              <a16:creationId xmlns:a16="http://schemas.microsoft.com/office/drawing/2014/main" id="{00000000-0008-0000-0100-00003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09" name="TextBox 2108">
          <a:extLst>
            <a:ext uri="{FF2B5EF4-FFF2-40B4-BE49-F238E27FC236}">
              <a16:creationId xmlns:a16="http://schemas.microsoft.com/office/drawing/2014/main" id="{00000000-0008-0000-0100-00003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0" name="TextBox 2109">
          <a:extLst>
            <a:ext uri="{FF2B5EF4-FFF2-40B4-BE49-F238E27FC236}">
              <a16:creationId xmlns:a16="http://schemas.microsoft.com/office/drawing/2014/main" id="{00000000-0008-0000-0100-00003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1" name="TextBox 2110">
          <a:extLst>
            <a:ext uri="{FF2B5EF4-FFF2-40B4-BE49-F238E27FC236}">
              <a16:creationId xmlns:a16="http://schemas.microsoft.com/office/drawing/2014/main" id="{00000000-0008-0000-0100-00003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2" name="TextBox 2111">
          <a:extLst>
            <a:ext uri="{FF2B5EF4-FFF2-40B4-BE49-F238E27FC236}">
              <a16:creationId xmlns:a16="http://schemas.microsoft.com/office/drawing/2014/main" id="{00000000-0008-0000-0100-00004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3" name="TextBox 2112">
          <a:extLst>
            <a:ext uri="{FF2B5EF4-FFF2-40B4-BE49-F238E27FC236}">
              <a16:creationId xmlns:a16="http://schemas.microsoft.com/office/drawing/2014/main" id="{00000000-0008-0000-0100-00004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4" name="TextBox 2113">
          <a:extLst>
            <a:ext uri="{FF2B5EF4-FFF2-40B4-BE49-F238E27FC236}">
              <a16:creationId xmlns:a16="http://schemas.microsoft.com/office/drawing/2014/main" id="{00000000-0008-0000-0100-00004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5" name="TextBox 2114">
          <a:extLst>
            <a:ext uri="{FF2B5EF4-FFF2-40B4-BE49-F238E27FC236}">
              <a16:creationId xmlns:a16="http://schemas.microsoft.com/office/drawing/2014/main" id="{00000000-0008-0000-0100-00004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6" name="TextBox 2115">
          <a:extLst>
            <a:ext uri="{FF2B5EF4-FFF2-40B4-BE49-F238E27FC236}">
              <a16:creationId xmlns:a16="http://schemas.microsoft.com/office/drawing/2014/main" id="{00000000-0008-0000-0100-00004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7" name="TextBox 2116">
          <a:extLst>
            <a:ext uri="{FF2B5EF4-FFF2-40B4-BE49-F238E27FC236}">
              <a16:creationId xmlns:a16="http://schemas.microsoft.com/office/drawing/2014/main" id="{00000000-0008-0000-0100-00004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8" name="TextBox 2117">
          <a:extLst>
            <a:ext uri="{FF2B5EF4-FFF2-40B4-BE49-F238E27FC236}">
              <a16:creationId xmlns:a16="http://schemas.microsoft.com/office/drawing/2014/main" id="{00000000-0008-0000-0100-00004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19" name="TextBox 2118">
          <a:extLst>
            <a:ext uri="{FF2B5EF4-FFF2-40B4-BE49-F238E27FC236}">
              <a16:creationId xmlns:a16="http://schemas.microsoft.com/office/drawing/2014/main" id="{00000000-0008-0000-0100-00004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0" name="TextBox 2119">
          <a:extLst>
            <a:ext uri="{FF2B5EF4-FFF2-40B4-BE49-F238E27FC236}">
              <a16:creationId xmlns:a16="http://schemas.microsoft.com/office/drawing/2014/main" id="{00000000-0008-0000-0100-00004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1" name="TextBox 2120">
          <a:extLst>
            <a:ext uri="{FF2B5EF4-FFF2-40B4-BE49-F238E27FC236}">
              <a16:creationId xmlns:a16="http://schemas.microsoft.com/office/drawing/2014/main" id="{00000000-0008-0000-0100-00004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2" name="TextBox 2121">
          <a:extLst>
            <a:ext uri="{FF2B5EF4-FFF2-40B4-BE49-F238E27FC236}">
              <a16:creationId xmlns:a16="http://schemas.microsoft.com/office/drawing/2014/main" id="{00000000-0008-0000-0100-00004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3" name="TextBox 2122">
          <a:extLst>
            <a:ext uri="{FF2B5EF4-FFF2-40B4-BE49-F238E27FC236}">
              <a16:creationId xmlns:a16="http://schemas.microsoft.com/office/drawing/2014/main" id="{00000000-0008-0000-0100-00004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4" name="TextBox 2123">
          <a:extLst>
            <a:ext uri="{FF2B5EF4-FFF2-40B4-BE49-F238E27FC236}">
              <a16:creationId xmlns:a16="http://schemas.microsoft.com/office/drawing/2014/main" id="{00000000-0008-0000-0100-00004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5" name="TextBox 2124">
          <a:extLst>
            <a:ext uri="{FF2B5EF4-FFF2-40B4-BE49-F238E27FC236}">
              <a16:creationId xmlns:a16="http://schemas.microsoft.com/office/drawing/2014/main" id="{00000000-0008-0000-0100-00004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6" name="TextBox 2125">
          <a:extLst>
            <a:ext uri="{FF2B5EF4-FFF2-40B4-BE49-F238E27FC236}">
              <a16:creationId xmlns:a16="http://schemas.microsoft.com/office/drawing/2014/main" id="{00000000-0008-0000-0100-00004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7" name="TextBox 2126">
          <a:extLst>
            <a:ext uri="{FF2B5EF4-FFF2-40B4-BE49-F238E27FC236}">
              <a16:creationId xmlns:a16="http://schemas.microsoft.com/office/drawing/2014/main" id="{00000000-0008-0000-0100-00004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8" name="TextBox 2127">
          <a:extLst>
            <a:ext uri="{FF2B5EF4-FFF2-40B4-BE49-F238E27FC236}">
              <a16:creationId xmlns:a16="http://schemas.microsoft.com/office/drawing/2014/main" id="{00000000-0008-0000-0100-00005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29" name="TextBox 2128">
          <a:extLst>
            <a:ext uri="{FF2B5EF4-FFF2-40B4-BE49-F238E27FC236}">
              <a16:creationId xmlns:a16="http://schemas.microsoft.com/office/drawing/2014/main" id="{00000000-0008-0000-0100-00005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0" name="TextBox 2129">
          <a:extLst>
            <a:ext uri="{FF2B5EF4-FFF2-40B4-BE49-F238E27FC236}">
              <a16:creationId xmlns:a16="http://schemas.microsoft.com/office/drawing/2014/main" id="{00000000-0008-0000-0100-00005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1" name="TextBox 2130">
          <a:extLst>
            <a:ext uri="{FF2B5EF4-FFF2-40B4-BE49-F238E27FC236}">
              <a16:creationId xmlns:a16="http://schemas.microsoft.com/office/drawing/2014/main" id="{00000000-0008-0000-0100-00005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2" name="TextBox 2131">
          <a:extLst>
            <a:ext uri="{FF2B5EF4-FFF2-40B4-BE49-F238E27FC236}">
              <a16:creationId xmlns:a16="http://schemas.microsoft.com/office/drawing/2014/main" id="{00000000-0008-0000-0100-00005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3" name="TextBox 2132">
          <a:extLst>
            <a:ext uri="{FF2B5EF4-FFF2-40B4-BE49-F238E27FC236}">
              <a16:creationId xmlns:a16="http://schemas.microsoft.com/office/drawing/2014/main" id="{00000000-0008-0000-0100-00005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4" name="TextBox 2133">
          <a:extLst>
            <a:ext uri="{FF2B5EF4-FFF2-40B4-BE49-F238E27FC236}">
              <a16:creationId xmlns:a16="http://schemas.microsoft.com/office/drawing/2014/main" id="{00000000-0008-0000-0100-00005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5" name="TextBox 2134">
          <a:extLst>
            <a:ext uri="{FF2B5EF4-FFF2-40B4-BE49-F238E27FC236}">
              <a16:creationId xmlns:a16="http://schemas.microsoft.com/office/drawing/2014/main" id="{00000000-0008-0000-0100-00005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6" name="TextBox 2135">
          <a:extLst>
            <a:ext uri="{FF2B5EF4-FFF2-40B4-BE49-F238E27FC236}">
              <a16:creationId xmlns:a16="http://schemas.microsoft.com/office/drawing/2014/main" id="{00000000-0008-0000-0100-00005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7" name="TextBox 2136">
          <a:extLst>
            <a:ext uri="{FF2B5EF4-FFF2-40B4-BE49-F238E27FC236}">
              <a16:creationId xmlns:a16="http://schemas.microsoft.com/office/drawing/2014/main" id="{00000000-0008-0000-0100-00005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8" name="TextBox 2137">
          <a:extLst>
            <a:ext uri="{FF2B5EF4-FFF2-40B4-BE49-F238E27FC236}">
              <a16:creationId xmlns:a16="http://schemas.microsoft.com/office/drawing/2014/main" id="{00000000-0008-0000-0100-00005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39" name="TextBox 2138">
          <a:extLst>
            <a:ext uri="{FF2B5EF4-FFF2-40B4-BE49-F238E27FC236}">
              <a16:creationId xmlns:a16="http://schemas.microsoft.com/office/drawing/2014/main" id="{00000000-0008-0000-0100-00005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0" name="TextBox 2139">
          <a:extLst>
            <a:ext uri="{FF2B5EF4-FFF2-40B4-BE49-F238E27FC236}">
              <a16:creationId xmlns:a16="http://schemas.microsoft.com/office/drawing/2014/main" id="{00000000-0008-0000-0100-00005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1" name="TextBox 2140">
          <a:extLst>
            <a:ext uri="{FF2B5EF4-FFF2-40B4-BE49-F238E27FC236}">
              <a16:creationId xmlns:a16="http://schemas.microsoft.com/office/drawing/2014/main" id="{00000000-0008-0000-0100-00005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2" name="TextBox 2141">
          <a:extLst>
            <a:ext uri="{FF2B5EF4-FFF2-40B4-BE49-F238E27FC236}">
              <a16:creationId xmlns:a16="http://schemas.microsoft.com/office/drawing/2014/main" id="{00000000-0008-0000-0100-00005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3" name="TextBox 2142">
          <a:extLst>
            <a:ext uri="{FF2B5EF4-FFF2-40B4-BE49-F238E27FC236}">
              <a16:creationId xmlns:a16="http://schemas.microsoft.com/office/drawing/2014/main" id="{00000000-0008-0000-0100-00005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4" name="TextBox 2143">
          <a:extLst>
            <a:ext uri="{FF2B5EF4-FFF2-40B4-BE49-F238E27FC236}">
              <a16:creationId xmlns:a16="http://schemas.microsoft.com/office/drawing/2014/main" id="{00000000-0008-0000-0100-00006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5" name="TextBox 2144">
          <a:extLst>
            <a:ext uri="{FF2B5EF4-FFF2-40B4-BE49-F238E27FC236}">
              <a16:creationId xmlns:a16="http://schemas.microsoft.com/office/drawing/2014/main" id="{00000000-0008-0000-0100-00006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6" name="TextBox 2145">
          <a:extLst>
            <a:ext uri="{FF2B5EF4-FFF2-40B4-BE49-F238E27FC236}">
              <a16:creationId xmlns:a16="http://schemas.microsoft.com/office/drawing/2014/main" id="{00000000-0008-0000-0100-00006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7" name="TextBox 2146">
          <a:extLst>
            <a:ext uri="{FF2B5EF4-FFF2-40B4-BE49-F238E27FC236}">
              <a16:creationId xmlns:a16="http://schemas.microsoft.com/office/drawing/2014/main" id="{00000000-0008-0000-0100-00006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8" name="TextBox 2147">
          <a:extLst>
            <a:ext uri="{FF2B5EF4-FFF2-40B4-BE49-F238E27FC236}">
              <a16:creationId xmlns:a16="http://schemas.microsoft.com/office/drawing/2014/main" id="{00000000-0008-0000-0100-00006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49" name="TextBox 2148">
          <a:extLst>
            <a:ext uri="{FF2B5EF4-FFF2-40B4-BE49-F238E27FC236}">
              <a16:creationId xmlns:a16="http://schemas.microsoft.com/office/drawing/2014/main" id="{00000000-0008-0000-0100-00006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0" name="TextBox 2149">
          <a:extLst>
            <a:ext uri="{FF2B5EF4-FFF2-40B4-BE49-F238E27FC236}">
              <a16:creationId xmlns:a16="http://schemas.microsoft.com/office/drawing/2014/main" id="{00000000-0008-0000-0100-00006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1" name="TextBox 2150">
          <a:extLst>
            <a:ext uri="{FF2B5EF4-FFF2-40B4-BE49-F238E27FC236}">
              <a16:creationId xmlns:a16="http://schemas.microsoft.com/office/drawing/2014/main" id="{00000000-0008-0000-0100-00006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2" name="TextBox 2151">
          <a:extLst>
            <a:ext uri="{FF2B5EF4-FFF2-40B4-BE49-F238E27FC236}">
              <a16:creationId xmlns:a16="http://schemas.microsoft.com/office/drawing/2014/main" id="{00000000-0008-0000-0100-00006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3" name="TextBox 2152">
          <a:extLst>
            <a:ext uri="{FF2B5EF4-FFF2-40B4-BE49-F238E27FC236}">
              <a16:creationId xmlns:a16="http://schemas.microsoft.com/office/drawing/2014/main" id="{00000000-0008-0000-0100-00006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4" name="TextBox 2153">
          <a:extLst>
            <a:ext uri="{FF2B5EF4-FFF2-40B4-BE49-F238E27FC236}">
              <a16:creationId xmlns:a16="http://schemas.microsoft.com/office/drawing/2014/main" id="{00000000-0008-0000-0100-00006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5" name="TextBox 2154">
          <a:extLst>
            <a:ext uri="{FF2B5EF4-FFF2-40B4-BE49-F238E27FC236}">
              <a16:creationId xmlns:a16="http://schemas.microsoft.com/office/drawing/2014/main" id="{00000000-0008-0000-0100-00006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6" name="TextBox 2155">
          <a:extLst>
            <a:ext uri="{FF2B5EF4-FFF2-40B4-BE49-F238E27FC236}">
              <a16:creationId xmlns:a16="http://schemas.microsoft.com/office/drawing/2014/main" id="{00000000-0008-0000-0100-00006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7" name="TextBox 2156">
          <a:extLst>
            <a:ext uri="{FF2B5EF4-FFF2-40B4-BE49-F238E27FC236}">
              <a16:creationId xmlns:a16="http://schemas.microsoft.com/office/drawing/2014/main" id="{00000000-0008-0000-0100-00006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8" name="TextBox 2157">
          <a:extLst>
            <a:ext uri="{FF2B5EF4-FFF2-40B4-BE49-F238E27FC236}">
              <a16:creationId xmlns:a16="http://schemas.microsoft.com/office/drawing/2014/main" id="{00000000-0008-0000-0100-00006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59" name="TextBox 2158">
          <a:extLst>
            <a:ext uri="{FF2B5EF4-FFF2-40B4-BE49-F238E27FC236}">
              <a16:creationId xmlns:a16="http://schemas.microsoft.com/office/drawing/2014/main" id="{00000000-0008-0000-0100-00006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0" name="TextBox 2159">
          <a:extLst>
            <a:ext uri="{FF2B5EF4-FFF2-40B4-BE49-F238E27FC236}">
              <a16:creationId xmlns:a16="http://schemas.microsoft.com/office/drawing/2014/main" id="{00000000-0008-0000-0100-00007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1" name="TextBox 2160">
          <a:extLst>
            <a:ext uri="{FF2B5EF4-FFF2-40B4-BE49-F238E27FC236}">
              <a16:creationId xmlns:a16="http://schemas.microsoft.com/office/drawing/2014/main" id="{00000000-0008-0000-0100-00007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2" name="TextBox 2161">
          <a:extLst>
            <a:ext uri="{FF2B5EF4-FFF2-40B4-BE49-F238E27FC236}">
              <a16:creationId xmlns:a16="http://schemas.microsoft.com/office/drawing/2014/main" id="{00000000-0008-0000-0100-00007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3" name="TextBox 2162">
          <a:extLst>
            <a:ext uri="{FF2B5EF4-FFF2-40B4-BE49-F238E27FC236}">
              <a16:creationId xmlns:a16="http://schemas.microsoft.com/office/drawing/2014/main" id="{00000000-0008-0000-0100-00007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4" name="TextBox 2163">
          <a:extLst>
            <a:ext uri="{FF2B5EF4-FFF2-40B4-BE49-F238E27FC236}">
              <a16:creationId xmlns:a16="http://schemas.microsoft.com/office/drawing/2014/main" id="{00000000-0008-0000-0100-00007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5" name="TextBox 2164">
          <a:extLst>
            <a:ext uri="{FF2B5EF4-FFF2-40B4-BE49-F238E27FC236}">
              <a16:creationId xmlns:a16="http://schemas.microsoft.com/office/drawing/2014/main" id="{00000000-0008-0000-0100-00007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6" name="TextBox 2165">
          <a:extLst>
            <a:ext uri="{FF2B5EF4-FFF2-40B4-BE49-F238E27FC236}">
              <a16:creationId xmlns:a16="http://schemas.microsoft.com/office/drawing/2014/main" id="{00000000-0008-0000-0100-00007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7" name="TextBox 2166">
          <a:extLst>
            <a:ext uri="{FF2B5EF4-FFF2-40B4-BE49-F238E27FC236}">
              <a16:creationId xmlns:a16="http://schemas.microsoft.com/office/drawing/2014/main" id="{00000000-0008-0000-0100-00007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8" name="TextBox 2167">
          <a:extLst>
            <a:ext uri="{FF2B5EF4-FFF2-40B4-BE49-F238E27FC236}">
              <a16:creationId xmlns:a16="http://schemas.microsoft.com/office/drawing/2014/main" id="{00000000-0008-0000-0100-00007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69" name="TextBox 2168">
          <a:extLst>
            <a:ext uri="{FF2B5EF4-FFF2-40B4-BE49-F238E27FC236}">
              <a16:creationId xmlns:a16="http://schemas.microsoft.com/office/drawing/2014/main" id="{00000000-0008-0000-0100-00007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0" name="TextBox 2169">
          <a:extLst>
            <a:ext uri="{FF2B5EF4-FFF2-40B4-BE49-F238E27FC236}">
              <a16:creationId xmlns:a16="http://schemas.microsoft.com/office/drawing/2014/main" id="{00000000-0008-0000-0100-00007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1" name="TextBox 2170">
          <a:extLst>
            <a:ext uri="{FF2B5EF4-FFF2-40B4-BE49-F238E27FC236}">
              <a16:creationId xmlns:a16="http://schemas.microsoft.com/office/drawing/2014/main" id="{00000000-0008-0000-0100-00007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2" name="TextBox 2171">
          <a:extLst>
            <a:ext uri="{FF2B5EF4-FFF2-40B4-BE49-F238E27FC236}">
              <a16:creationId xmlns:a16="http://schemas.microsoft.com/office/drawing/2014/main" id="{00000000-0008-0000-0100-00007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3" name="TextBox 2172">
          <a:extLst>
            <a:ext uri="{FF2B5EF4-FFF2-40B4-BE49-F238E27FC236}">
              <a16:creationId xmlns:a16="http://schemas.microsoft.com/office/drawing/2014/main" id="{00000000-0008-0000-0100-00007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4" name="TextBox 2173">
          <a:extLst>
            <a:ext uri="{FF2B5EF4-FFF2-40B4-BE49-F238E27FC236}">
              <a16:creationId xmlns:a16="http://schemas.microsoft.com/office/drawing/2014/main" id="{00000000-0008-0000-0100-00007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5" name="TextBox 2174">
          <a:extLst>
            <a:ext uri="{FF2B5EF4-FFF2-40B4-BE49-F238E27FC236}">
              <a16:creationId xmlns:a16="http://schemas.microsoft.com/office/drawing/2014/main" id="{00000000-0008-0000-0100-00007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6" name="TextBox 2175">
          <a:extLst>
            <a:ext uri="{FF2B5EF4-FFF2-40B4-BE49-F238E27FC236}">
              <a16:creationId xmlns:a16="http://schemas.microsoft.com/office/drawing/2014/main" id="{00000000-0008-0000-0100-00008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7" name="TextBox 2176">
          <a:extLst>
            <a:ext uri="{FF2B5EF4-FFF2-40B4-BE49-F238E27FC236}">
              <a16:creationId xmlns:a16="http://schemas.microsoft.com/office/drawing/2014/main" id="{00000000-0008-0000-0100-00008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8" name="TextBox 2177">
          <a:extLst>
            <a:ext uri="{FF2B5EF4-FFF2-40B4-BE49-F238E27FC236}">
              <a16:creationId xmlns:a16="http://schemas.microsoft.com/office/drawing/2014/main" id="{00000000-0008-0000-0100-00008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79" name="TextBox 2178">
          <a:extLst>
            <a:ext uri="{FF2B5EF4-FFF2-40B4-BE49-F238E27FC236}">
              <a16:creationId xmlns:a16="http://schemas.microsoft.com/office/drawing/2014/main" id="{00000000-0008-0000-0100-00008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0" name="TextBox 2179">
          <a:extLst>
            <a:ext uri="{FF2B5EF4-FFF2-40B4-BE49-F238E27FC236}">
              <a16:creationId xmlns:a16="http://schemas.microsoft.com/office/drawing/2014/main" id="{00000000-0008-0000-0100-00008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1" name="TextBox 2180">
          <a:extLst>
            <a:ext uri="{FF2B5EF4-FFF2-40B4-BE49-F238E27FC236}">
              <a16:creationId xmlns:a16="http://schemas.microsoft.com/office/drawing/2014/main" id="{00000000-0008-0000-0100-00008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2" name="TextBox 2181">
          <a:extLst>
            <a:ext uri="{FF2B5EF4-FFF2-40B4-BE49-F238E27FC236}">
              <a16:creationId xmlns:a16="http://schemas.microsoft.com/office/drawing/2014/main" id="{00000000-0008-0000-0100-00008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3" name="TextBox 2182">
          <a:extLst>
            <a:ext uri="{FF2B5EF4-FFF2-40B4-BE49-F238E27FC236}">
              <a16:creationId xmlns:a16="http://schemas.microsoft.com/office/drawing/2014/main" id="{00000000-0008-0000-0100-00008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4" name="TextBox 2183">
          <a:extLst>
            <a:ext uri="{FF2B5EF4-FFF2-40B4-BE49-F238E27FC236}">
              <a16:creationId xmlns:a16="http://schemas.microsoft.com/office/drawing/2014/main" id="{00000000-0008-0000-0100-00008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5" name="TextBox 2184">
          <a:extLst>
            <a:ext uri="{FF2B5EF4-FFF2-40B4-BE49-F238E27FC236}">
              <a16:creationId xmlns:a16="http://schemas.microsoft.com/office/drawing/2014/main" id="{00000000-0008-0000-0100-00008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6" name="TextBox 2185">
          <a:extLst>
            <a:ext uri="{FF2B5EF4-FFF2-40B4-BE49-F238E27FC236}">
              <a16:creationId xmlns:a16="http://schemas.microsoft.com/office/drawing/2014/main" id="{00000000-0008-0000-0100-00008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7" name="TextBox 2186">
          <a:extLst>
            <a:ext uri="{FF2B5EF4-FFF2-40B4-BE49-F238E27FC236}">
              <a16:creationId xmlns:a16="http://schemas.microsoft.com/office/drawing/2014/main" id="{00000000-0008-0000-0100-00008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8" name="TextBox 2187">
          <a:extLst>
            <a:ext uri="{FF2B5EF4-FFF2-40B4-BE49-F238E27FC236}">
              <a16:creationId xmlns:a16="http://schemas.microsoft.com/office/drawing/2014/main" id="{00000000-0008-0000-0100-00008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89" name="TextBox 2188">
          <a:extLst>
            <a:ext uri="{FF2B5EF4-FFF2-40B4-BE49-F238E27FC236}">
              <a16:creationId xmlns:a16="http://schemas.microsoft.com/office/drawing/2014/main" id="{00000000-0008-0000-0100-00008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0" name="TextBox 2189">
          <a:extLst>
            <a:ext uri="{FF2B5EF4-FFF2-40B4-BE49-F238E27FC236}">
              <a16:creationId xmlns:a16="http://schemas.microsoft.com/office/drawing/2014/main" id="{00000000-0008-0000-0100-00008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1" name="TextBox 2190">
          <a:extLst>
            <a:ext uri="{FF2B5EF4-FFF2-40B4-BE49-F238E27FC236}">
              <a16:creationId xmlns:a16="http://schemas.microsoft.com/office/drawing/2014/main" id="{00000000-0008-0000-0100-00008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2" name="TextBox 2191">
          <a:extLst>
            <a:ext uri="{FF2B5EF4-FFF2-40B4-BE49-F238E27FC236}">
              <a16:creationId xmlns:a16="http://schemas.microsoft.com/office/drawing/2014/main" id="{00000000-0008-0000-0100-00009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3" name="TextBox 2192">
          <a:extLst>
            <a:ext uri="{FF2B5EF4-FFF2-40B4-BE49-F238E27FC236}">
              <a16:creationId xmlns:a16="http://schemas.microsoft.com/office/drawing/2014/main" id="{00000000-0008-0000-0100-00009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4" name="TextBox 2193">
          <a:extLst>
            <a:ext uri="{FF2B5EF4-FFF2-40B4-BE49-F238E27FC236}">
              <a16:creationId xmlns:a16="http://schemas.microsoft.com/office/drawing/2014/main" id="{00000000-0008-0000-0100-00009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5" name="TextBox 2194">
          <a:extLst>
            <a:ext uri="{FF2B5EF4-FFF2-40B4-BE49-F238E27FC236}">
              <a16:creationId xmlns:a16="http://schemas.microsoft.com/office/drawing/2014/main" id="{00000000-0008-0000-0100-00009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6" name="TextBox 2195">
          <a:extLst>
            <a:ext uri="{FF2B5EF4-FFF2-40B4-BE49-F238E27FC236}">
              <a16:creationId xmlns:a16="http://schemas.microsoft.com/office/drawing/2014/main" id="{00000000-0008-0000-0100-00009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7" name="TextBox 2196">
          <a:extLst>
            <a:ext uri="{FF2B5EF4-FFF2-40B4-BE49-F238E27FC236}">
              <a16:creationId xmlns:a16="http://schemas.microsoft.com/office/drawing/2014/main" id="{00000000-0008-0000-0100-00009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8" name="TextBox 2197">
          <a:extLst>
            <a:ext uri="{FF2B5EF4-FFF2-40B4-BE49-F238E27FC236}">
              <a16:creationId xmlns:a16="http://schemas.microsoft.com/office/drawing/2014/main" id="{00000000-0008-0000-0100-00009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199" name="TextBox 2198">
          <a:extLst>
            <a:ext uri="{FF2B5EF4-FFF2-40B4-BE49-F238E27FC236}">
              <a16:creationId xmlns:a16="http://schemas.microsoft.com/office/drawing/2014/main" id="{00000000-0008-0000-0100-00009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0" name="TextBox 2199">
          <a:extLst>
            <a:ext uri="{FF2B5EF4-FFF2-40B4-BE49-F238E27FC236}">
              <a16:creationId xmlns:a16="http://schemas.microsoft.com/office/drawing/2014/main" id="{00000000-0008-0000-0100-00009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1" name="TextBox 2200">
          <a:extLst>
            <a:ext uri="{FF2B5EF4-FFF2-40B4-BE49-F238E27FC236}">
              <a16:creationId xmlns:a16="http://schemas.microsoft.com/office/drawing/2014/main" id="{00000000-0008-0000-0100-00009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2" name="TextBox 2201">
          <a:extLst>
            <a:ext uri="{FF2B5EF4-FFF2-40B4-BE49-F238E27FC236}">
              <a16:creationId xmlns:a16="http://schemas.microsoft.com/office/drawing/2014/main" id="{00000000-0008-0000-0100-00009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3" name="TextBox 2202">
          <a:extLst>
            <a:ext uri="{FF2B5EF4-FFF2-40B4-BE49-F238E27FC236}">
              <a16:creationId xmlns:a16="http://schemas.microsoft.com/office/drawing/2014/main" id="{00000000-0008-0000-0100-00009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4" name="TextBox 2203">
          <a:extLst>
            <a:ext uri="{FF2B5EF4-FFF2-40B4-BE49-F238E27FC236}">
              <a16:creationId xmlns:a16="http://schemas.microsoft.com/office/drawing/2014/main" id="{00000000-0008-0000-0100-00009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5" name="TextBox 2204">
          <a:extLst>
            <a:ext uri="{FF2B5EF4-FFF2-40B4-BE49-F238E27FC236}">
              <a16:creationId xmlns:a16="http://schemas.microsoft.com/office/drawing/2014/main" id="{00000000-0008-0000-0100-00009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6" name="TextBox 2205">
          <a:extLst>
            <a:ext uri="{FF2B5EF4-FFF2-40B4-BE49-F238E27FC236}">
              <a16:creationId xmlns:a16="http://schemas.microsoft.com/office/drawing/2014/main" id="{00000000-0008-0000-0100-00009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7" name="TextBox 2206">
          <a:extLst>
            <a:ext uri="{FF2B5EF4-FFF2-40B4-BE49-F238E27FC236}">
              <a16:creationId xmlns:a16="http://schemas.microsoft.com/office/drawing/2014/main" id="{00000000-0008-0000-0100-00009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8" name="TextBox 2207">
          <a:extLst>
            <a:ext uri="{FF2B5EF4-FFF2-40B4-BE49-F238E27FC236}">
              <a16:creationId xmlns:a16="http://schemas.microsoft.com/office/drawing/2014/main" id="{00000000-0008-0000-0100-0000A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09" name="TextBox 2208">
          <a:extLst>
            <a:ext uri="{FF2B5EF4-FFF2-40B4-BE49-F238E27FC236}">
              <a16:creationId xmlns:a16="http://schemas.microsoft.com/office/drawing/2014/main" id="{00000000-0008-0000-0100-0000A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0" name="TextBox 2209">
          <a:extLst>
            <a:ext uri="{FF2B5EF4-FFF2-40B4-BE49-F238E27FC236}">
              <a16:creationId xmlns:a16="http://schemas.microsoft.com/office/drawing/2014/main" id="{00000000-0008-0000-0100-0000A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1" name="TextBox 2210">
          <a:extLst>
            <a:ext uri="{FF2B5EF4-FFF2-40B4-BE49-F238E27FC236}">
              <a16:creationId xmlns:a16="http://schemas.microsoft.com/office/drawing/2014/main" id="{00000000-0008-0000-0100-0000A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2" name="TextBox 2211">
          <a:extLst>
            <a:ext uri="{FF2B5EF4-FFF2-40B4-BE49-F238E27FC236}">
              <a16:creationId xmlns:a16="http://schemas.microsoft.com/office/drawing/2014/main" id="{00000000-0008-0000-0100-0000A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3" name="TextBox 2212">
          <a:extLst>
            <a:ext uri="{FF2B5EF4-FFF2-40B4-BE49-F238E27FC236}">
              <a16:creationId xmlns:a16="http://schemas.microsoft.com/office/drawing/2014/main" id="{00000000-0008-0000-0100-0000A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4" name="TextBox 2213">
          <a:extLst>
            <a:ext uri="{FF2B5EF4-FFF2-40B4-BE49-F238E27FC236}">
              <a16:creationId xmlns:a16="http://schemas.microsoft.com/office/drawing/2014/main" id="{00000000-0008-0000-0100-0000A6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5" name="TextBox 2214">
          <a:extLst>
            <a:ext uri="{FF2B5EF4-FFF2-40B4-BE49-F238E27FC236}">
              <a16:creationId xmlns:a16="http://schemas.microsoft.com/office/drawing/2014/main" id="{00000000-0008-0000-0100-0000A7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6" name="TextBox 2215">
          <a:extLst>
            <a:ext uri="{FF2B5EF4-FFF2-40B4-BE49-F238E27FC236}">
              <a16:creationId xmlns:a16="http://schemas.microsoft.com/office/drawing/2014/main" id="{00000000-0008-0000-0100-0000A8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7" name="TextBox 2216">
          <a:extLst>
            <a:ext uri="{FF2B5EF4-FFF2-40B4-BE49-F238E27FC236}">
              <a16:creationId xmlns:a16="http://schemas.microsoft.com/office/drawing/2014/main" id="{00000000-0008-0000-0100-0000A9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8" name="TextBox 2217">
          <a:extLst>
            <a:ext uri="{FF2B5EF4-FFF2-40B4-BE49-F238E27FC236}">
              <a16:creationId xmlns:a16="http://schemas.microsoft.com/office/drawing/2014/main" id="{00000000-0008-0000-0100-0000AA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19" name="TextBox 2218">
          <a:extLst>
            <a:ext uri="{FF2B5EF4-FFF2-40B4-BE49-F238E27FC236}">
              <a16:creationId xmlns:a16="http://schemas.microsoft.com/office/drawing/2014/main" id="{00000000-0008-0000-0100-0000AB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0" name="TextBox 2219">
          <a:extLst>
            <a:ext uri="{FF2B5EF4-FFF2-40B4-BE49-F238E27FC236}">
              <a16:creationId xmlns:a16="http://schemas.microsoft.com/office/drawing/2014/main" id="{00000000-0008-0000-0100-0000AC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1" name="TextBox 2220">
          <a:extLst>
            <a:ext uri="{FF2B5EF4-FFF2-40B4-BE49-F238E27FC236}">
              <a16:creationId xmlns:a16="http://schemas.microsoft.com/office/drawing/2014/main" id="{00000000-0008-0000-0100-0000AD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2" name="TextBox 2221">
          <a:extLst>
            <a:ext uri="{FF2B5EF4-FFF2-40B4-BE49-F238E27FC236}">
              <a16:creationId xmlns:a16="http://schemas.microsoft.com/office/drawing/2014/main" id="{00000000-0008-0000-0100-0000AE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3" name="TextBox 2222">
          <a:extLst>
            <a:ext uri="{FF2B5EF4-FFF2-40B4-BE49-F238E27FC236}">
              <a16:creationId xmlns:a16="http://schemas.microsoft.com/office/drawing/2014/main" id="{00000000-0008-0000-0100-0000AF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4" name="TextBox 2223">
          <a:extLst>
            <a:ext uri="{FF2B5EF4-FFF2-40B4-BE49-F238E27FC236}">
              <a16:creationId xmlns:a16="http://schemas.microsoft.com/office/drawing/2014/main" id="{00000000-0008-0000-0100-0000B0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5" name="TextBox 2224">
          <a:extLst>
            <a:ext uri="{FF2B5EF4-FFF2-40B4-BE49-F238E27FC236}">
              <a16:creationId xmlns:a16="http://schemas.microsoft.com/office/drawing/2014/main" id="{00000000-0008-0000-0100-0000B1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6" name="TextBox 2225">
          <a:extLst>
            <a:ext uri="{FF2B5EF4-FFF2-40B4-BE49-F238E27FC236}">
              <a16:creationId xmlns:a16="http://schemas.microsoft.com/office/drawing/2014/main" id="{00000000-0008-0000-0100-0000B2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7" name="TextBox 2226">
          <a:extLst>
            <a:ext uri="{FF2B5EF4-FFF2-40B4-BE49-F238E27FC236}">
              <a16:creationId xmlns:a16="http://schemas.microsoft.com/office/drawing/2014/main" id="{00000000-0008-0000-0100-0000B3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8" name="TextBox 2227">
          <a:extLst>
            <a:ext uri="{FF2B5EF4-FFF2-40B4-BE49-F238E27FC236}">
              <a16:creationId xmlns:a16="http://schemas.microsoft.com/office/drawing/2014/main" id="{00000000-0008-0000-0100-0000B4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0</xdr:row>
      <xdr:rowOff>221456</xdr:rowOff>
    </xdr:from>
    <xdr:ext cx="0" cy="172227"/>
    <xdr:sp macro="" textlink="">
      <xdr:nvSpPr>
        <xdr:cNvPr id="2229" name="TextBox 2228">
          <a:extLst>
            <a:ext uri="{FF2B5EF4-FFF2-40B4-BE49-F238E27FC236}">
              <a16:creationId xmlns:a16="http://schemas.microsoft.com/office/drawing/2014/main" id="{00000000-0008-0000-0100-0000B5080000}"/>
            </a:ext>
          </a:extLst>
        </xdr:cNvPr>
        <xdr:cNvSpPr txBox="1"/>
      </xdr:nvSpPr>
      <xdr:spPr>
        <a:xfrm>
          <a:off x="6334125" y="2209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0" name="TextBox 2229">
          <a:extLst>
            <a:ext uri="{FF2B5EF4-FFF2-40B4-BE49-F238E27FC236}">
              <a16:creationId xmlns:a16="http://schemas.microsoft.com/office/drawing/2014/main" id="{00000000-0008-0000-0100-0000B6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1" name="TextBox 2230">
          <a:extLst>
            <a:ext uri="{FF2B5EF4-FFF2-40B4-BE49-F238E27FC236}">
              <a16:creationId xmlns:a16="http://schemas.microsoft.com/office/drawing/2014/main" id="{00000000-0008-0000-0100-0000B7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2" name="TextBox 2231">
          <a:extLst>
            <a:ext uri="{FF2B5EF4-FFF2-40B4-BE49-F238E27FC236}">
              <a16:creationId xmlns:a16="http://schemas.microsoft.com/office/drawing/2014/main" id="{00000000-0008-0000-0100-0000B8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3" name="TextBox 2232">
          <a:extLst>
            <a:ext uri="{FF2B5EF4-FFF2-40B4-BE49-F238E27FC236}">
              <a16:creationId xmlns:a16="http://schemas.microsoft.com/office/drawing/2014/main" id="{00000000-0008-0000-0100-0000B9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4" name="TextBox 2233">
          <a:extLst>
            <a:ext uri="{FF2B5EF4-FFF2-40B4-BE49-F238E27FC236}">
              <a16:creationId xmlns:a16="http://schemas.microsoft.com/office/drawing/2014/main" id="{00000000-0008-0000-0100-0000BA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5" name="TextBox 2234">
          <a:extLst>
            <a:ext uri="{FF2B5EF4-FFF2-40B4-BE49-F238E27FC236}">
              <a16:creationId xmlns:a16="http://schemas.microsoft.com/office/drawing/2014/main" id="{00000000-0008-0000-0100-0000BB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6" name="TextBox 2235">
          <a:extLst>
            <a:ext uri="{FF2B5EF4-FFF2-40B4-BE49-F238E27FC236}">
              <a16:creationId xmlns:a16="http://schemas.microsoft.com/office/drawing/2014/main" id="{00000000-0008-0000-0100-0000BC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43</xdr:row>
      <xdr:rowOff>0</xdr:rowOff>
    </xdr:from>
    <xdr:ext cx="0" cy="172227"/>
    <xdr:sp macro="" textlink="">
      <xdr:nvSpPr>
        <xdr:cNvPr id="2237" name="TextBox 2236">
          <a:extLst>
            <a:ext uri="{FF2B5EF4-FFF2-40B4-BE49-F238E27FC236}">
              <a16:creationId xmlns:a16="http://schemas.microsoft.com/office/drawing/2014/main" id="{00000000-0008-0000-0100-0000BD080000}"/>
            </a:ext>
          </a:extLst>
        </xdr:cNvPr>
        <xdr:cNvSpPr txBox="1"/>
      </xdr:nvSpPr>
      <xdr:spPr>
        <a:xfrm>
          <a:off x="6334125" y="63868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49</xdr:row>
      <xdr:rowOff>0</xdr:rowOff>
    </xdr:from>
    <xdr:ext cx="0" cy="172227"/>
    <xdr:sp macro="" textlink="">
      <xdr:nvSpPr>
        <xdr:cNvPr id="2238" name="TextBox 2237">
          <a:extLst>
            <a:ext uri="{FF2B5EF4-FFF2-40B4-BE49-F238E27FC236}">
              <a16:creationId xmlns:a16="http://schemas.microsoft.com/office/drawing/2014/main" id="{00000000-0008-0000-0100-0000BE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49</xdr:row>
      <xdr:rowOff>0</xdr:rowOff>
    </xdr:from>
    <xdr:ext cx="0" cy="172227"/>
    <xdr:sp macro="" textlink="">
      <xdr:nvSpPr>
        <xdr:cNvPr id="2239" name="TextBox 2238">
          <a:extLst>
            <a:ext uri="{FF2B5EF4-FFF2-40B4-BE49-F238E27FC236}">
              <a16:creationId xmlns:a16="http://schemas.microsoft.com/office/drawing/2014/main" id="{00000000-0008-0000-0100-0000BF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49</xdr:row>
      <xdr:rowOff>0</xdr:rowOff>
    </xdr:from>
    <xdr:ext cx="0" cy="172227"/>
    <xdr:sp macro="" textlink="">
      <xdr:nvSpPr>
        <xdr:cNvPr id="2240" name="TextBox 2239">
          <a:extLst>
            <a:ext uri="{FF2B5EF4-FFF2-40B4-BE49-F238E27FC236}">
              <a16:creationId xmlns:a16="http://schemas.microsoft.com/office/drawing/2014/main" id="{00000000-0008-0000-0100-0000C0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49</xdr:row>
      <xdr:rowOff>0</xdr:rowOff>
    </xdr:from>
    <xdr:ext cx="0" cy="172227"/>
    <xdr:sp macro="" textlink="">
      <xdr:nvSpPr>
        <xdr:cNvPr id="2241" name="TextBox 2240">
          <a:extLst>
            <a:ext uri="{FF2B5EF4-FFF2-40B4-BE49-F238E27FC236}">
              <a16:creationId xmlns:a16="http://schemas.microsoft.com/office/drawing/2014/main" id="{00000000-0008-0000-0100-0000C1080000}"/>
            </a:ext>
          </a:extLst>
        </xdr:cNvPr>
        <xdr:cNvSpPr txBox="1"/>
      </xdr:nvSpPr>
      <xdr:spPr>
        <a:xfrm>
          <a:off x="6334125" y="85585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91</xdr:row>
      <xdr:rowOff>0</xdr:rowOff>
    </xdr:from>
    <xdr:ext cx="0" cy="172227"/>
    <xdr:sp macro="" textlink="">
      <xdr:nvSpPr>
        <xdr:cNvPr id="2242" name="TextBox 2241">
          <a:extLst>
            <a:ext uri="{FF2B5EF4-FFF2-40B4-BE49-F238E27FC236}">
              <a16:creationId xmlns:a16="http://schemas.microsoft.com/office/drawing/2014/main" id="{00000000-0008-0000-0100-0000C2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91</xdr:row>
      <xdr:rowOff>0</xdr:rowOff>
    </xdr:from>
    <xdr:ext cx="0" cy="172227"/>
    <xdr:sp macro="" textlink="">
      <xdr:nvSpPr>
        <xdr:cNvPr id="2243" name="TextBox 2242">
          <a:extLst>
            <a:ext uri="{FF2B5EF4-FFF2-40B4-BE49-F238E27FC236}">
              <a16:creationId xmlns:a16="http://schemas.microsoft.com/office/drawing/2014/main" id="{00000000-0008-0000-0100-0000C3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91</xdr:row>
      <xdr:rowOff>0</xdr:rowOff>
    </xdr:from>
    <xdr:ext cx="0" cy="172227"/>
    <xdr:sp macro="" textlink="">
      <xdr:nvSpPr>
        <xdr:cNvPr id="2244" name="TextBox 2243">
          <a:extLst>
            <a:ext uri="{FF2B5EF4-FFF2-40B4-BE49-F238E27FC236}">
              <a16:creationId xmlns:a16="http://schemas.microsoft.com/office/drawing/2014/main" id="{00000000-0008-0000-0100-0000C4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91</xdr:row>
      <xdr:rowOff>0</xdr:rowOff>
    </xdr:from>
    <xdr:ext cx="0" cy="172227"/>
    <xdr:sp macro="" textlink="">
      <xdr:nvSpPr>
        <xdr:cNvPr id="2245" name="TextBox 2244">
          <a:extLst>
            <a:ext uri="{FF2B5EF4-FFF2-40B4-BE49-F238E27FC236}">
              <a16:creationId xmlns:a16="http://schemas.microsoft.com/office/drawing/2014/main" id="{00000000-0008-0000-0100-0000C5080000}"/>
            </a:ext>
          </a:extLst>
        </xdr:cNvPr>
        <xdr:cNvSpPr txBox="1"/>
      </xdr:nvSpPr>
      <xdr:spPr>
        <a:xfrm>
          <a:off x="6334125" y="214934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89</xdr:row>
      <xdr:rowOff>0</xdr:rowOff>
    </xdr:from>
    <xdr:ext cx="0" cy="172227"/>
    <xdr:sp macro="" textlink="">
      <xdr:nvSpPr>
        <xdr:cNvPr id="2246" name="TextBox 2245">
          <a:extLst>
            <a:ext uri="{FF2B5EF4-FFF2-40B4-BE49-F238E27FC236}">
              <a16:creationId xmlns:a16="http://schemas.microsoft.com/office/drawing/2014/main" id="{00000000-0008-0000-0100-0000C6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89</xdr:row>
      <xdr:rowOff>0</xdr:rowOff>
    </xdr:from>
    <xdr:ext cx="0" cy="172227"/>
    <xdr:sp macro="" textlink="">
      <xdr:nvSpPr>
        <xdr:cNvPr id="2247" name="TextBox 2246">
          <a:extLst>
            <a:ext uri="{FF2B5EF4-FFF2-40B4-BE49-F238E27FC236}">
              <a16:creationId xmlns:a16="http://schemas.microsoft.com/office/drawing/2014/main" id="{00000000-0008-0000-0100-0000C7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89</xdr:row>
      <xdr:rowOff>0</xdr:rowOff>
    </xdr:from>
    <xdr:ext cx="0" cy="172227"/>
    <xdr:sp macro="" textlink="">
      <xdr:nvSpPr>
        <xdr:cNvPr id="2248" name="TextBox 2247">
          <a:extLst>
            <a:ext uri="{FF2B5EF4-FFF2-40B4-BE49-F238E27FC236}">
              <a16:creationId xmlns:a16="http://schemas.microsoft.com/office/drawing/2014/main" id="{00000000-0008-0000-0100-0000C8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89</xdr:row>
      <xdr:rowOff>0</xdr:rowOff>
    </xdr:from>
    <xdr:ext cx="0" cy="172227"/>
    <xdr:sp macro="" textlink="">
      <xdr:nvSpPr>
        <xdr:cNvPr id="2249" name="TextBox 2248">
          <a:extLst>
            <a:ext uri="{FF2B5EF4-FFF2-40B4-BE49-F238E27FC236}">
              <a16:creationId xmlns:a16="http://schemas.microsoft.com/office/drawing/2014/main" id="{00000000-0008-0000-0100-0000C9080000}"/>
            </a:ext>
          </a:extLst>
        </xdr:cNvPr>
        <xdr:cNvSpPr txBox="1"/>
      </xdr:nvSpPr>
      <xdr:spPr>
        <a:xfrm>
          <a:off x="6334125" y="21093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0" name="TextBox 2249">
          <a:extLst>
            <a:ext uri="{FF2B5EF4-FFF2-40B4-BE49-F238E27FC236}">
              <a16:creationId xmlns:a16="http://schemas.microsoft.com/office/drawing/2014/main" id="{00000000-0008-0000-0100-0000CA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1" name="TextBox 2250">
          <a:extLst>
            <a:ext uri="{FF2B5EF4-FFF2-40B4-BE49-F238E27FC236}">
              <a16:creationId xmlns:a16="http://schemas.microsoft.com/office/drawing/2014/main" id="{00000000-0008-0000-0100-0000CB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2" name="TextBox 2251">
          <a:extLst>
            <a:ext uri="{FF2B5EF4-FFF2-40B4-BE49-F238E27FC236}">
              <a16:creationId xmlns:a16="http://schemas.microsoft.com/office/drawing/2014/main" id="{00000000-0008-0000-0100-0000CC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3" name="TextBox 2252">
          <a:extLst>
            <a:ext uri="{FF2B5EF4-FFF2-40B4-BE49-F238E27FC236}">
              <a16:creationId xmlns:a16="http://schemas.microsoft.com/office/drawing/2014/main" id="{00000000-0008-0000-0100-0000CD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4" name="TextBox 2253">
          <a:extLst>
            <a:ext uri="{FF2B5EF4-FFF2-40B4-BE49-F238E27FC236}">
              <a16:creationId xmlns:a16="http://schemas.microsoft.com/office/drawing/2014/main" id="{00000000-0008-0000-0100-0000CE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5" name="TextBox 2254">
          <a:extLst>
            <a:ext uri="{FF2B5EF4-FFF2-40B4-BE49-F238E27FC236}">
              <a16:creationId xmlns:a16="http://schemas.microsoft.com/office/drawing/2014/main" id="{00000000-0008-0000-0100-0000CF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6" name="TextBox 2255">
          <a:extLst>
            <a:ext uri="{FF2B5EF4-FFF2-40B4-BE49-F238E27FC236}">
              <a16:creationId xmlns:a16="http://schemas.microsoft.com/office/drawing/2014/main" id="{00000000-0008-0000-0100-0000D0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7" name="TextBox 2256">
          <a:extLst>
            <a:ext uri="{FF2B5EF4-FFF2-40B4-BE49-F238E27FC236}">
              <a16:creationId xmlns:a16="http://schemas.microsoft.com/office/drawing/2014/main" id="{00000000-0008-0000-0100-0000D1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8" name="TextBox 2257">
          <a:extLst>
            <a:ext uri="{FF2B5EF4-FFF2-40B4-BE49-F238E27FC236}">
              <a16:creationId xmlns:a16="http://schemas.microsoft.com/office/drawing/2014/main" id="{00000000-0008-0000-0100-0000D2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59" name="TextBox 2258">
          <a:extLst>
            <a:ext uri="{FF2B5EF4-FFF2-40B4-BE49-F238E27FC236}">
              <a16:creationId xmlns:a16="http://schemas.microsoft.com/office/drawing/2014/main" id="{00000000-0008-0000-0100-0000D3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0" name="TextBox 2259">
          <a:extLst>
            <a:ext uri="{FF2B5EF4-FFF2-40B4-BE49-F238E27FC236}">
              <a16:creationId xmlns:a16="http://schemas.microsoft.com/office/drawing/2014/main" id="{00000000-0008-0000-0100-0000D4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1" name="TextBox 2260">
          <a:extLst>
            <a:ext uri="{FF2B5EF4-FFF2-40B4-BE49-F238E27FC236}">
              <a16:creationId xmlns:a16="http://schemas.microsoft.com/office/drawing/2014/main" id="{00000000-0008-0000-0100-0000D5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2" name="TextBox 2261">
          <a:extLst>
            <a:ext uri="{FF2B5EF4-FFF2-40B4-BE49-F238E27FC236}">
              <a16:creationId xmlns:a16="http://schemas.microsoft.com/office/drawing/2014/main" id="{00000000-0008-0000-0100-0000D6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3" name="TextBox 2262">
          <a:extLst>
            <a:ext uri="{FF2B5EF4-FFF2-40B4-BE49-F238E27FC236}">
              <a16:creationId xmlns:a16="http://schemas.microsoft.com/office/drawing/2014/main" id="{00000000-0008-0000-0100-0000D7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4" name="TextBox 2263">
          <a:extLst>
            <a:ext uri="{FF2B5EF4-FFF2-40B4-BE49-F238E27FC236}">
              <a16:creationId xmlns:a16="http://schemas.microsoft.com/office/drawing/2014/main" id="{00000000-0008-0000-0100-0000D8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5" name="TextBox 2264">
          <a:extLst>
            <a:ext uri="{FF2B5EF4-FFF2-40B4-BE49-F238E27FC236}">
              <a16:creationId xmlns:a16="http://schemas.microsoft.com/office/drawing/2014/main" id="{00000000-0008-0000-0100-0000D9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6" name="TextBox 2265">
          <a:extLst>
            <a:ext uri="{FF2B5EF4-FFF2-40B4-BE49-F238E27FC236}">
              <a16:creationId xmlns:a16="http://schemas.microsoft.com/office/drawing/2014/main" id="{00000000-0008-0000-0100-0000DA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7" name="TextBox 2266">
          <a:extLst>
            <a:ext uri="{FF2B5EF4-FFF2-40B4-BE49-F238E27FC236}">
              <a16:creationId xmlns:a16="http://schemas.microsoft.com/office/drawing/2014/main" id="{00000000-0008-0000-0100-0000DB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8" name="TextBox 2267">
          <a:extLst>
            <a:ext uri="{FF2B5EF4-FFF2-40B4-BE49-F238E27FC236}">
              <a16:creationId xmlns:a16="http://schemas.microsoft.com/office/drawing/2014/main" id="{00000000-0008-0000-0100-0000DC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69" name="TextBox 2268">
          <a:extLst>
            <a:ext uri="{FF2B5EF4-FFF2-40B4-BE49-F238E27FC236}">
              <a16:creationId xmlns:a16="http://schemas.microsoft.com/office/drawing/2014/main" id="{00000000-0008-0000-0100-0000DD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0" name="TextBox 2269">
          <a:extLst>
            <a:ext uri="{FF2B5EF4-FFF2-40B4-BE49-F238E27FC236}">
              <a16:creationId xmlns:a16="http://schemas.microsoft.com/office/drawing/2014/main" id="{00000000-0008-0000-0100-0000DE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1" name="TextBox 2270">
          <a:extLst>
            <a:ext uri="{FF2B5EF4-FFF2-40B4-BE49-F238E27FC236}">
              <a16:creationId xmlns:a16="http://schemas.microsoft.com/office/drawing/2014/main" id="{00000000-0008-0000-0100-0000DF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2" name="TextBox 2271">
          <a:extLst>
            <a:ext uri="{FF2B5EF4-FFF2-40B4-BE49-F238E27FC236}">
              <a16:creationId xmlns:a16="http://schemas.microsoft.com/office/drawing/2014/main" id="{00000000-0008-0000-0100-0000E0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3" name="TextBox 2272">
          <a:extLst>
            <a:ext uri="{FF2B5EF4-FFF2-40B4-BE49-F238E27FC236}">
              <a16:creationId xmlns:a16="http://schemas.microsoft.com/office/drawing/2014/main" id="{00000000-0008-0000-0100-0000E1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4" name="TextBox 2273">
          <a:extLst>
            <a:ext uri="{FF2B5EF4-FFF2-40B4-BE49-F238E27FC236}">
              <a16:creationId xmlns:a16="http://schemas.microsoft.com/office/drawing/2014/main" id="{00000000-0008-0000-0100-0000E2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5" name="TextBox 2274">
          <a:extLst>
            <a:ext uri="{FF2B5EF4-FFF2-40B4-BE49-F238E27FC236}">
              <a16:creationId xmlns:a16="http://schemas.microsoft.com/office/drawing/2014/main" id="{00000000-0008-0000-0100-0000E3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6" name="TextBox 2275">
          <a:extLst>
            <a:ext uri="{FF2B5EF4-FFF2-40B4-BE49-F238E27FC236}">
              <a16:creationId xmlns:a16="http://schemas.microsoft.com/office/drawing/2014/main" id="{00000000-0008-0000-0100-0000E4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7" name="TextBox 2276">
          <a:extLst>
            <a:ext uri="{FF2B5EF4-FFF2-40B4-BE49-F238E27FC236}">
              <a16:creationId xmlns:a16="http://schemas.microsoft.com/office/drawing/2014/main" id="{00000000-0008-0000-0100-0000E5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8" name="TextBox 2277">
          <a:extLst>
            <a:ext uri="{FF2B5EF4-FFF2-40B4-BE49-F238E27FC236}">
              <a16:creationId xmlns:a16="http://schemas.microsoft.com/office/drawing/2014/main" id="{00000000-0008-0000-0100-0000E6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79" name="TextBox 2278">
          <a:extLst>
            <a:ext uri="{FF2B5EF4-FFF2-40B4-BE49-F238E27FC236}">
              <a16:creationId xmlns:a16="http://schemas.microsoft.com/office/drawing/2014/main" id="{00000000-0008-0000-0100-0000E7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0" name="TextBox 2279">
          <a:extLst>
            <a:ext uri="{FF2B5EF4-FFF2-40B4-BE49-F238E27FC236}">
              <a16:creationId xmlns:a16="http://schemas.microsoft.com/office/drawing/2014/main" id="{00000000-0008-0000-0100-0000E8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1" name="TextBox 2280">
          <a:extLst>
            <a:ext uri="{FF2B5EF4-FFF2-40B4-BE49-F238E27FC236}">
              <a16:creationId xmlns:a16="http://schemas.microsoft.com/office/drawing/2014/main" id="{00000000-0008-0000-0100-0000E9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2" name="TextBox 2281">
          <a:extLst>
            <a:ext uri="{FF2B5EF4-FFF2-40B4-BE49-F238E27FC236}">
              <a16:creationId xmlns:a16="http://schemas.microsoft.com/office/drawing/2014/main" id="{00000000-0008-0000-0100-0000EA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3" name="TextBox 2282">
          <a:extLst>
            <a:ext uri="{FF2B5EF4-FFF2-40B4-BE49-F238E27FC236}">
              <a16:creationId xmlns:a16="http://schemas.microsoft.com/office/drawing/2014/main" id="{00000000-0008-0000-0100-0000EB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4" name="TextBox 2283">
          <a:extLst>
            <a:ext uri="{FF2B5EF4-FFF2-40B4-BE49-F238E27FC236}">
              <a16:creationId xmlns:a16="http://schemas.microsoft.com/office/drawing/2014/main" id="{00000000-0008-0000-0100-0000EC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5" name="TextBox 2284">
          <a:extLst>
            <a:ext uri="{FF2B5EF4-FFF2-40B4-BE49-F238E27FC236}">
              <a16:creationId xmlns:a16="http://schemas.microsoft.com/office/drawing/2014/main" id="{00000000-0008-0000-0100-0000ED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6" name="TextBox 2285">
          <a:extLst>
            <a:ext uri="{FF2B5EF4-FFF2-40B4-BE49-F238E27FC236}">
              <a16:creationId xmlns:a16="http://schemas.microsoft.com/office/drawing/2014/main" id="{00000000-0008-0000-0100-0000EE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7" name="TextBox 2286">
          <a:extLst>
            <a:ext uri="{FF2B5EF4-FFF2-40B4-BE49-F238E27FC236}">
              <a16:creationId xmlns:a16="http://schemas.microsoft.com/office/drawing/2014/main" id="{00000000-0008-0000-0100-0000EF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8" name="TextBox 2287">
          <a:extLst>
            <a:ext uri="{FF2B5EF4-FFF2-40B4-BE49-F238E27FC236}">
              <a16:creationId xmlns:a16="http://schemas.microsoft.com/office/drawing/2014/main" id="{00000000-0008-0000-0100-0000F0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89" name="TextBox 2288">
          <a:extLst>
            <a:ext uri="{FF2B5EF4-FFF2-40B4-BE49-F238E27FC236}">
              <a16:creationId xmlns:a16="http://schemas.microsoft.com/office/drawing/2014/main" id="{00000000-0008-0000-0100-0000F1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0" name="TextBox 2289">
          <a:extLst>
            <a:ext uri="{FF2B5EF4-FFF2-40B4-BE49-F238E27FC236}">
              <a16:creationId xmlns:a16="http://schemas.microsoft.com/office/drawing/2014/main" id="{00000000-0008-0000-0100-0000F2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1" name="TextBox 2290">
          <a:extLst>
            <a:ext uri="{FF2B5EF4-FFF2-40B4-BE49-F238E27FC236}">
              <a16:creationId xmlns:a16="http://schemas.microsoft.com/office/drawing/2014/main" id="{00000000-0008-0000-0100-0000F3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2" name="TextBox 2291">
          <a:extLst>
            <a:ext uri="{FF2B5EF4-FFF2-40B4-BE49-F238E27FC236}">
              <a16:creationId xmlns:a16="http://schemas.microsoft.com/office/drawing/2014/main" id="{00000000-0008-0000-0100-0000F4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3" name="TextBox 2292">
          <a:extLst>
            <a:ext uri="{FF2B5EF4-FFF2-40B4-BE49-F238E27FC236}">
              <a16:creationId xmlns:a16="http://schemas.microsoft.com/office/drawing/2014/main" id="{00000000-0008-0000-0100-0000F5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4" name="TextBox 2293">
          <a:extLst>
            <a:ext uri="{FF2B5EF4-FFF2-40B4-BE49-F238E27FC236}">
              <a16:creationId xmlns:a16="http://schemas.microsoft.com/office/drawing/2014/main" id="{00000000-0008-0000-0100-0000F6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5" name="TextBox 2294">
          <a:extLst>
            <a:ext uri="{FF2B5EF4-FFF2-40B4-BE49-F238E27FC236}">
              <a16:creationId xmlns:a16="http://schemas.microsoft.com/office/drawing/2014/main" id="{00000000-0008-0000-0100-0000F7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526</xdr:row>
      <xdr:rowOff>0</xdr:rowOff>
    </xdr:from>
    <xdr:ext cx="0" cy="172227"/>
    <xdr:sp macro="" textlink="">
      <xdr:nvSpPr>
        <xdr:cNvPr id="2296" name="TextBox 2295">
          <a:extLst>
            <a:ext uri="{FF2B5EF4-FFF2-40B4-BE49-F238E27FC236}">
              <a16:creationId xmlns:a16="http://schemas.microsoft.com/office/drawing/2014/main" id="{00000000-0008-0000-0100-0000F8080000}"/>
            </a:ext>
          </a:extLst>
        </xdr:cNvPr>
        <xdr:cNvSpPr txBox="1"/>
      </xdr:nvSpPr>
      <xdr:spPr>
        <a:xfrm>
          <a:off x="6334125" y="686517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08" refreshedDate="46055.316911574075" createdVersion="6" refreshedVersion="6" minRefreshableVersion="3" recordCount="831" xr:uid="{024B1431-6102-4933-97A7-39523DE143BC}">
  <cacheSource type="worksheet">
    <worksheetSource ref="A1:M832" sheet="Total"/>
  </cacheSource>
  <cacheFields count="13">
    <cacheField name="STT_x000a_序號" numFmtId="0">
      <sharedItems containsSemiMixedTypes="0" containsString="0" containsNumber="1" containsInteger="1" minValue="1" maxValue="831"/>
    </cacheField>
    <cacheField name="Xưởng_x000a_廠別" numFmtId="0">
      <sharedItems/>
    </cacheField>
    <cacheField name="Bộ phận_x000a_部門" numFmtId="0">
      <sharedItems/>
    </cacheField>
    <cacheField name="PC-NAME" numFmtId="0">
      <sharedItems count="815">
        <s v="JAMES"/>
        <s v="LIAO-KAIFA"/>
        <s v="CHANG"/>
        <s v="DAP4-CHANG"/>
        <s v="ANDY"/>
        <s v="ROBERT-PC"/>
        <s v="MING"/>
        <s v="MR.ArthurWang"/>
        <s v="ARTHUR_WANG"/>
        <s v="GLEN"/>
        <s v="Mr-JACKIELIN"/>
        <s v="Poyuchen"/>
        <s v="LAPTOP-JAPLIN"/>
        <s v="Jeremychen"/>
        <s v="Mr-Peng"/>
        <s v="ANDY-LEE"/>
        <s v="KEVIN-TSAI"/>
        <s v="MR-JIMTSENG"/>
        <s v="Hsin Lin"/>
        <s v="MR-CHENGLIANGKU"/>
        <s v="MR-WuChungChi"/>
        <s v="MR-TONYLIN"/>
        <s v="PECKZHANG"/>
        <s v="ASUS-NB (laptop Mr.TungLin KSNB)"/>
        <s v="FS-Charlin"/>
        <s v="Marty Lin"/>
        <s v="CHANG HAN QUAN"/>
        <s v="MR-POWERTY"/>
        <s v="CHENSON"/>
        <s v="CHENSON2"/>
        <s v="DL124"/>
        <s v="DUC-BOSS"/>
        <s v="BOTQLSX"/>
        <s v="QLSX-MEETING"/>
        <s v="QLSX-VN00072"/>
        <s v="QLSX-VN00116"/>
        <s v="QLSX-VN00637"/>
        <s v="QLSX-VN02547"/>
        <s v="QLSX-VN08886"/>
        <s v="QLSX-VN25783"/>
        <s v="VPX101"/>
        <s v="VPX102"/>
        <s v="VPX103"/>
        <s v="VPX104"/>
        <s v="VPX105"/>
        <s v="VPX106"/>
        <s v="VPX107"/>
        <s v="VPX108"/>
        <s v="VPX109"/>
        <s v="VPX110"/>
        <s v="VPX111"/>
        <s v="VPX113"/>
        <s v="VPX114"/>
        <s v="VPX115"/>
        <s v="VPX116"/>
        <s v="VPX117"/>
        <s v="VPX118"/>
        <s v="VPX119"/>
        <s v="VPX120"/>
        <s v="VPX121"/>
        <s v="VPX122"/>
        <s v="VPX123"/>
        <s v="VPX124"/>
        <s v="VPX125"/>
        <s v="VPX126"/>
        <s v="VPX127"/>
        <s v="VPX128"/>
        <s v="VPX129"/>
        <s v="VPX130"/>
        <s v="VPX131"/>
        <s v="VPX132"/>
        <s v="VPX133"/>
        <s v="VPX134"/>
        <s v="VPX140"/>
        <s v="VPX141"/>
        <s v="QC101"/>
        <s v="QC102"/>
        <s v="QC103"/>
        <s v="QC104"/>
        <s v="QC106"/>
        <s v="QC107"/>
        <s v="QC108"/>
        <s v="QC109"/>
        <s v="QC111"/>
        <s v="QC112"/>
        <s v="QC114"/>
        <s v="QC115"/>
        <s v="QC117"/>
        <s v="QC121"/>
        <s v="QC-VN00039"/>
        <s v="QC-VN00602"/>
        <s v="QC-VN00683"/>
        <s v="QC-VN02972"/>
        <s v="QC-VN03359"/>
        <s v="QC-VN09442"/>
        <s v="QC-VN10186"/>
        <s v="QC-VN12095"/>
        <s v="QC-VN24110"/>
        <s v="CMM"/>
        <s v="CV2000"/>
        <s v="DOLUONG-SOI1"/>
        <s v="DOLUONG-SOI2"/>
        <s v="DOLUONG-SOI3"/>
        <s v="FARO-NEW"/>
        <s v="FARO-X6"/>
        <s v="FARO-X601"/>
        <s v="GOMPC"/>
        <s v="KEONEN"/>
        <s v="QC122"/>
        <s v="THULUC"/>
        <s v="HAN1-VN00798"/>
        <s v="HAN1_KIEN"/>
        <s v="HAN101"/>
        <s v="HAN102"/>
        <s v="HAN103"/>
        <s v="HAN104"/>
        <s v="HAN105"/>
        <s v="HAN106"/>
        <s v="HAN107"/>
        <s v="HAN108"/>
        <s v="HAN109"/>
        <s v="HAN110"/>
        <s v="HAN111"/>
        <s v="HAN112"/>
        <s v="HAN113"/>
        <s v="HAN114"/>
        <s v="NL101"/>
        <s v="NL102"/>
        <s v="NL103"/>
        <s v="NL104"/>
        <s v="NL106"/>
        <s v="NL108"/>
        <s v="NL301"/>
        <s v="NL401"/>
        <s v="DAP101"/>
        <s v="DAP102"/>
        <s v="DAP103"/>
        <s v="DAP104"/>
        <s v="DAP105"/>
        <s v="DAP106"/>
        <s v="DAP107"/>
        <s v="DAP108"/>
        <s v="DAP109"/>
        <s v="DAP110"/>
        <s v="DAP1_TUONG"/>
        <s v="SON101"/>
        <s v="SON102"/>
        <s v="SON103"/>
        <s v="SON104"/>
        <s v="MEETING-SON105"/>
        <s v="SON106"/>
        <s v="LK101"/>
        <s v="LK102"/>
        <s v="LK103"/>
        <s v="LK104"/>
        <s v="LK105"/>
        <s v="SON301"/>
        <s v="SON302"/>
        <s v="SON303"/>
        <s v="SON304"/>
        <s v="SON305"/>
        <s v="SON306"/>
        <s v="SON307"/>
        <s v="SONED-MESHELI"/>
        <s v="LK301"/>
        <s v="LK302"/>
        <s v="LK303"/>
        <s v="LK304"/>
        <s v="LK305"/>
        <s v="CNC-3D"/>
        <s v="CNC-LASER- PC"/>
        <s v="DAP301"/>
        <s v="DAP302"/>
        <s v="DAP303"/>
        <s v="DAP304"/>
        <s v="DAP305"/>
        <s v="DAP306"/>
        <s v="DAP307"/>
        <s v="DAP308"/>
        <s v="DAP309"/>
        <s v="DAP310"/>
        <s v="DAP311"/>
        <s v="DAP312"/>
        <s v="DAP313"/>
        <s v="DAP314"/>
        <s v="THANG677"/>
        <s v="VUTHANH"/>
        <s v="LAPRAP01"/>
        <s v="LAPRAP02"/>
        <s v="LAPRAP03"/>
        <s v="LAPRAP04"/>
        <s v="HAN301"/>
        <s v="HAN302"/>
        <s v="HAN303"/>
        <s v="HAN304"/>
        <s v="HAN305"/>
        <s v="HAN306"/>
        <s v="HAN307"/>
        <s v="HAN309"/>
        <s v="HAN310"/>
        <s v="HAN311"/>
        <s v="HAN312"/>
        <s v="HAN3-CNC"/>
        <s v="HAN3-VN00884"/>
        <s v="TRUNG1644"/>
        <s v="XIMA01"/>
        <s v="XIMA02"/>
        <s v="XIMA03"/>
        <s v="XIMA04"/>
        <s v="XIMA05"/>
        <s v="XIMA06"/>
        <s v="XIMA07"/>
        <s v="XIMA-VN08605"/>
        <s v="KD_ANNE"/>
        <s v="KD01"/>
        <s v="KD02"/>
        <s v="KD03"/>
        <s v="KD-16363"/>
        <s v="KD-DIEP"/>
        <s v="KD-DUNG10839"/>
        <s v="KD-DUYANH"/>
        <s v="KD-DUYEN"/>
        <s v="KD-EmmaDung"/>
        <s v="KD-HANG"/>
        <s v="KD-HANH1777"/>
        <s v="KD-HAU8787"/>
        <s v="KD-HOAI"/>
        <s v="KD-HOANG13855"/>
        <s v="KD-HOANGYEN"/>
        <s v="KD-HUONG"/>
        <s v="KD-HUYEN"/>
        <s v="KD-HUYEN24329"/>
        <s v="KD-IVYHUE"/>
        <s v="KD-KHUYEN"/>
        <s v="KD-LINH19818"/>
        <s v="KD-LUCYNGUYET"/>
        <s v="KD-MAICARLA"/>
        <s v="KD-NGAN"/>
        <s v="KD-NGUYEN20230"/>
        <s v="KD-NHAT"/>
        <s v="KD-NHUNGHANNY"/>
        <s v="KD-OANH"/>
        <s v="KD-PHUONG"/>
        <s v="KD-PHUONG7918"/>
        <s v="KD-RICHARD"/>
        <s v="KD-ROSENGA"/>
        <s v="KD-SELINATHAO"/>
        <s v="KD-TESSHAU"/>
        <s v="KD-THANHADA"/>
        <s v="KD-THUYBETTY"/>
        <s v="KD-THUYCELINA"/>
        <s v="KD-TRACYTRANG"/>
        <s v="KD-TRUONG"/>
        <s v="KD-TRUONG9441"/>
        <s v="KD-VAN"/>
        <s v="KD-VN07119"/>
        <s v="KD-VN22391"/>
        <s v="KD-VN24570"/>
        <s v="KD-VN26344"/>
        <s v="MEETING-M1"/>
        <s v="MEETING-M2"/>
        <s v="SALES-HIEP"/>
        <s v="GDO01"/>
        <s v="GDO02"/>
        <s v="GDO03"/>
        <s v="GDO04"/>
        <s v="GDO-LINH"/>
        <s v="GDO-VN25814"/>
        <s v="Peter-Ngo"/>
        <s v="PETER-NGO-LT"/>
        <s v="KTSX01"/>
        <s v="KTSX02"/>
        <s v="KTSX03"/>
        <s v="KTSX04"/>
        <s v="KTSX05"/>
        <s v="KTSX07"/>
        <s v="KTSX09"/>
        <s v="BINH-TM"/>
        <s v="TM01"/>
        <s v="TM02"/>
        <s v="TM03"/>
        <s v="TM04"/>
        <s v="TM05"/>
        <s v="TM06"/>
        <s v="TM07"/>
        <s v="TM08"/>
        <s v="TM09"/>
        <s v="TM10"/>
        <s v="TM11"/>
        <s v="TM12"/>
        <s v="TM13"/>
        <s v="TM14"/>
        <s v="TM15"/>
        <s v="TM16"/>
        <s v="TM17"/>
        <s v="TM18"/>
        <s v="TM19"/>
        <s v="TM20"/>
        <s v="TM21"/>
        <s v="TM22"/>
        <s v="TM23"/>
        <s v="TM24"/>
        <s v="TM25"/>
        <s v="TM26"/>
        <s v="TM27"/>
        <s v="TM-DONG"/>
        <s v="TM-HAIYEN"/>
        <s v="TM-HUNG"/>
        <s v="TM-LINH"/>
        <s v="TM-NGHIA"/>
        <s v="TM-THANH"/>
        <s v="TM-TOAN"/>
        <s v="TM-VN17578"/>
        <s v="TM-VN17952"/>
        <s v="TM-XUANTHE"/>
        <s v="BOTNHANSU"/>
        <s v="BOTTONGVU"/>
        <s v="DAOTAO-X6"/>
        <s v="MEETING-M6"/>
        <s v="MEETING-M7"/>
        <s v="NS01"/>
        <s v="NS02"/>
        <s v="NS03"/>
        <s v="NS04"/>
        <s v="NS05"/>
        <s v="NS06"/>
        <s v="NS07"/>
        <s v="NS08"/>
        <s v="NS09"/>
        <s v="NS10"/>
        <s v="NS12"/>
        <s v="NS13"/>
        <s v="NS14"/>
        <s v="NS15"/>
        <s v="NS16"/>
        <s v="NS601"/>
        <s v="NS-DAOTAO"/>
        <s v="TONGDAI3"/>
        <s v="TONGDAI5"/>
        <s v="TONGDAI6"/>
        <s v="TV601"/>
        <s v="YTE01"/>
        <s v="YTE02"/>
        <s v="YTE03"/>
        <s v="YTE601"/>
        <s v="ATMT02"/>
        <s v="ATMT03"/>
        <s v="ATMT04"/>
        <s v="ATMT05"/>
        <s v="ATMT07"/>
        <s v="ATMT602"/>
        <s v="ATMT-VN01443"/>
        <s v="BOTXNK"/>
        <s v="XNK01"/>
        <s v="XNK02"/>
        <s v="XNK03"/>
        <s v="XNK04"/>
        <s v="XNK05"/>
        <s v="XNK06"/>
        <s v="XNK07"/>
        <s v="XNK08"/>
        <s v="XNK09"/>
        <s v="XNK-PHI"/>
        <s v="KSNB01"/>
        <s v="KSNB02"/>
        <s v="KSNB-CUONG"/>
        <s v="PHUNGTUANHUNG"/>
        <s v="KF01"/>
        <s v="KF02"/>
        <s v="KF03"/>
        <s v="KF04"/>
        <s v="KF05"/>
        <s v="KF06"/>
        <s v="KF07"/>
        <s v="KF08"/>
        <s v="KF09"/>
        <s v="KF10"/>
        <s v="KF100"/>
        <s v="KF11"/>
        <s v="KF13"/>
        <s v="KF14"/>
        <s v="KF15"/>
        <s v="KF16"/>
        <s v="KF17"/>
        <s v="KF18"/>
        <s v="KF19"/>
        <s v="KF20"/>
        <s v="KF21"/>
        <s v="KF22"/>
        <s v="KF23"/>
        <s v="KF24"/>
        <s v="KF25"/>
        <s v="KF26"/>
        <s v="KF27"/>
        <s v="KF28"/>
        <s v="KF29"/>
        <s v="KF31"/>
        <s v="KF33"/>
        <s v="KF34"/>
        <s v="KF35"/>
        <s v="KF36"/>
        <s v="KF37"/>
        <s v="KF38"/>
        <s v="KF39"/>
        <s v="KF40"/>
        <s v="KF41"/>
        <s v="KF42"/>
        <s v="KF43"/>
        <s v="KF44"/>
        <s v="KF45"/>
        <s v="KF46"/>
        <s v="KF47"/>
        <s v="KF48"/>
        <s v="KF49"/>
        <s v="KF50"/>
        <s v="KF51"/>
        <s v="KF53"/>
        <s v="KF54"/>
        <s v="KF55"/>
        <s v="KF56"/>
        <s v="KF57"/>
        <s v="KF58"/>
        <s v="KF60"/>
        <s v="KF61"/>
        <s v="KF62"/>
        <s v="KF63"/>
        <s v="KF64"/>
        <s v="KF65"/>
        <s v="KF66"/>
        <s v="KF69"/>
        <s v="KF70"/>
        <s v="KF71"/>
        <s v="KF72"/>
        <s v="KF73"/>
        <s v="KF74"/>
        <s v="KF75"/>
        <s v="KF76"/>
        <s v="KF77"/>
        <s v="KF78"/>
        <s v="KF79"/>
        <s v="KF80"/>
        <s v="KF81"/>
        <s v="KF82"/>
        <s v="KF84"/>
        <s v="KF85"/>
        <s v="KF86"/>
        <s v="KF87"/>
        <s v="KF88"/>
        <s v="KF89"/>
        <s v="KF91"/>
        <s v="KF92"/>
        <s v="KF93"/>
        <s v="KF95"/>
        <s v="KF96"/>
        <s v="KF97"/>
        <s v="KF98"/>
        <s v="KF99"/>
        <s v="KF-MEETING"/>
        <s v="KF-MEETING2"/>
        <s v="KF-PAMSTAMP"/>
        <s v="KF-VN00799"/>
        <s v="KF-VN01955"/>
        <s v="KF-VN02543"/>
        <s v="KF-VN02642"/>
        <s v="KF-VN03798"/>
        <s v="KF-VN03889"/>
        <s v="KF-VN06382"/>
        <s v="KF-VN10783"/>
        <s v="KF-VN10785"/>
        <s v="KF-VN10861"/>
        <s v="KF-VN10955"/>
        <s v="KF-VN17885"/>
        <s v="KF-VN18082"/>
        <s v="KF-VN20024"/>
        <s v="KF-VN21265"/>
        <s v="KF-VN24410"/>
        <s v="KF-VN26040"/>
        <s v="CNC"/>
        <s v="CNC11"/>
        <s v="CNC12"/>
        <s v="CNC13"/>
        <s v="CNC14"/>
        <s v="CNC4"/>
        <s v="KM01"/>
        <s v="KM02"/>
        <s v="KM03"/>
        <s v="KM04"/>
        <s v="KM05"/>
        <s v="KM06"/>
        <s v="KM07"/>
        <s v="KM08"/>
        <s v="KM09"/>
        <s v="KM10 "/>
        <s v="KM11"/>
        <s v="KM-Laser"/>
        <s v="KM-MEETING"/>
        <s v="THANH_KM"/>
        <s v="WIRECUT01"/>
        <s v="WIRECUT02"/>
        <s v="WIRECUT03"/>
        <s v="QA01"/>
        <s v="QA02"/>
        <s v="QA03"/>
        <s v="QA04"/>
        <s v="QA05"/>
        <s v="QA06"/>
        <s v="QA08"/>
        <s v="QA09"/>
        <s v="QA10"/>
        <s v="QA11"/>
        <s v="QA12"/>
        <s v="QA15"/>
        <s v="QA17"/>
        <s v="QA18"/>
        <s v="QA19"/>
        <s v="QA20"/>
        <s v="QA22"/>
        <s v="QA37"/>
        <s v="QA-HA913"/>
        <s v="QA-HAI3408"/>
        <s v="QA-PC"/>
        <s v="QA-THANH"/>
        <s v="QA-VN00990"/>
        <s v="QA-VN00993"/>
        <s v="QA-VN13073"/>
        <s v="QA-VN19777"/>
        <s v="DAP401"/>
        <s v="DAP402"/>
        <s v="DAP403"/>
        <s v="DAP404"/>
        <s v="DAP405"/>
        <s v="DAP406"/>
        <s v="DAP408"/>
        <s v="DAP409"/>
        <s v="DAP410"/>
        <s v="DAP411"/>
        <s v="DAP412"/>
        <s v="DAP413"/>
        <s v="DAP414"/>
        <s v="DAP415"/>
        <s v="DAP416"/>
        <s v="DAP4-VN00576"/>
        <s v="QLK-HAI"/>
        <s v="QLK-VN01936"/>
        <s v="TP301"/>
        <s v="TP302"/>
        <s v="TP303"/>
        <s v="TP304"/>
        <s v="TP305"/>
        <s v="TP306"/>
        <s v="TP307"/>
        <s v="TP308"/>
        <s v="TP309"/>
        <s v="TP310"/>
        <s v="TP311"/>
        <s v="TP312"/>
        <s v="TP313"/>
        <s v="TP314"/>
        <s v="CVU01"/>
        <s v="CVU02"/>
        <s v="QLTB01"/>
        <s v="QLTB03"/>
        <s v="QLTB05"/>
        <s v="QLTB06"/>
        <s v="QLTB601"/>
        <s v="QUOCTOAN"/>
        <s v="BOT_AR"/>
        <s v="BOTTAIVU"/>
        <s v="DAOTAO-KT"/>
        <s v="KHONGDUONG"/>
        <s v="KT01"/>
        <s v="KT02"/>
        <s v="KT03"/>
        <s v="KT04"/>
        <s v="KT05"/>
        <s v="KT06"/>
        <s v="KT07"/>
        <s v="KT08"/>
        <s v="KT09"/>
        <s v="KT10"/>
        <s v="KT11"/>
        <s v="KT13"/>
        <s v="KT14"/>
        <s v="KT15"/>
        <s v="KT16"/>
        <s v="KT-CANH"/>
        <s v="DUC01"/>
        <s v="DUC02"/>
        <s v="DUC03"/>
        <s v="DUC04"/>
        <s v="DUC05"/>
        <s v="DUC06"/>
        <s v="DUC07"/>
        <s v="DUC08"/>
        <s v="DUC09"/>
        <s v="DUC10"/>
        <s v="DUC11"/>
        <s v="DUC12"/>
        <s v="DUC13"/>
        <s v="DUC14"/>
        <s v="DUC15"/>
        <s v="DUC16"/>
        <s v="DUC17"/>
        <s v="GC01"/>
        <s v="GC02"/>
        <s v="GC03"/>
        <s v="GC04"/>
        <s v="GC05"/>
        <s v="GC06"/>
        <s v="GC07"/>
        <s v="GC08"/>
        <s v="GC09"/>
        <s v="GC10"/>
        <s v="GC11"/>
        <s v="GC12"/>
        <s v="GC13"/>
        <s v="GC14"/>
        <s v="GC15"/>
        <s v="GC18"/>
        <s v="GC19"/>
        <s v="GC20"/>
        <s v="GC21"/>
        <s v="GC22"/>
        <s v="GC23"/>
        <s v="GC24"/>
        <s v="GC25"/>
        <s v="GC26"/>
        <s v="GC27"/>
        <s v="GC28"/>
        <s v="GC29"/>
        <s v="GC30"/>
        <s v="GC31"/>
        <s v="GC-MEETING"/>
        <s v="GC-VN01434"/>
        <s v="GC-VN10140"/>
        <s v="KTKP01"/>
        <s v="KTKP02"/>
        <s v="KTKP03"/>
        <s v="KTKP04"/>
        <s v="KTKP05"/>
        <s v="KTKP06"/>
        <s v="KTKP07"/>
        <s v="KTKP08"/>
        <s v="KTKP09"/>
        <s v="KTKP10"/>
        <s v="KTKP11"/>
        <s v="KTKP12"/>
        <s v="KTKP13"/>
        <s v="KTKP14"/>
        <s v="KTKP15"/>
        <s v="KTKP16"/>
        <s v="KTKP17"/>
        <s v="KTKP18"/>
        <s v="KTKP19"/>
        <s v="KTKP20"/>
        <s v="KTKP21"/>
        <s v="KTKP-VN09655"/>
        <s v="KTKP-VN11314"/>
        <s v="KTKP-VN17950"/>
        <s v="KTKP-VN23101"/>
        <s v="KTKP-VN26368"/>
        <s v="QC-DONG0931"/>
        <s v="QCX202"/>
        <s v="QCX203"/>
        <s v="QCX205"/>
        <s v="CMM-2"/>
        <s v="DOLUONG201"/>
        <s v="DOTRU"/>
        <s v="LAY-OUT"/>
        <s v="MITUTOY"/>
        <s v="QUANGPHO"/>
        <s v="TP201"/>
        <s v="TP202"/>
        <s v="TP203"/>
        <s v="TP204"/>
        <s v="TP205"/>
        <s v="SON201"/>
        <s v="SON202"/>
        <s v="SON203"/>
        <s v="SON204"/>
        <s v="SON205"/>
        <s v="QLSX2-TOAN"/>
        <s v="VPX201"/>
        <s v="VPX202"/>
        <s v="VPX203"/>
        <s v="VPX204"/>
        <s v="VPX205"/>
        <s v="VPX206"/>
        <s v="VPX209"/>
        <s v="CANONG01"/>
        <s v="CANONG02"/>
        <s v="DOAN_2196"/>
        <s v="QLK501"/>
        <s v="QLK502"/>
        <s v="QLK503"/>
        <s v="QLK504"/>
        <s v="QLK505"/>
        <s v="QLK506"/>
        <s v="QLK507"/>
        <s v="QLK508"/>
        <s v="IQCX5"/>
        <s v="QC501"/>
        <s v="QC503"/>
        <s v="QC-VN24125"/>
        <s v="TOAN-4021"/>
        <s v="FARO X5"/>
        <s v="SOI X5"/>
        <s v="HAN401"/>
        <s v="HAN402"/>
        <s v="HAN403"/>
        <s v="HAN404"/>
        <s v="HAN405"/>
        <s v="HAN406"/>
        <s v="HAN407"/>
        <s v="HAN408"/>
        <s v="HAN410"/>
        <s v="HAN411"/>
        <s v="DAP501"/>
        <s v="DAP503"/>
        <s v="DAP504"/>
        <s v="DAP506"/>
        <s v="DAP507"/>
        <s v="DAP508"/>
        <s v="DAP509"/>
        <s v="DAP510"/>
        <s v="DAP511"/>
        <s v="DAP512"/>
        <s v="DAP513"/>
        <s v="DAP514"/>
        <s v="DAP5-MEETING"/>
        <s v="DAP5-VN00256"/>
        <s v="DAP5-VN00279"/>
        <s v="DUNG00462"/>
        <s v="HAN501"/>
        <s v="HAN502"/>
        <s v="HAN503"/>
        <s v="HAN504"/>
        <s v="HAIVP"/>
        <s v="MIS01"/>
        <s v="MIS02"/>
        <s v="MIS03"/>
        <s v="MIS04"/>
        <s v="MIS05"/>
        <s v="MIS06"/>
        <s v="MIS07"/>
        <s v="MIS08"/>
        <s v="MIS09"/>
        <s v="MIS12"/>
        <s v="MIS13"/>
        <s v="MIS14"/>
        <s v="MIS15"/>
        <s v="MIS601"/>
        <s v="MIS602"/>
        <s v="MIS-X6"/>
        <s v="ROOT"/>
        <s v="ATTT01"/>
        <s v="ATTT02"/>
        <s v="ATTT03"/>
        <s v="QLK601"/>
        <s v="QLK602"/>
        <s v="QLK603"/>
        <s v="QLK604"/>
        <s v="QLK605"/>
        <s v="QC601"/>
        <s v="QC602"/>
        <s v="QC603"/>
        <s v="QC604"/>
        <s v="QC-CUONG00235"/>
        <s v="BIENDANG"/>
        <s v="CMM6"/>
        <s v="DOTRU6"/>
        <s v="FAROX1"/>
        <s v="LEICA"/>
        <s v="SPECTRO"/>
        <s v="CAT-LASER"/>
        <s v="DAP602"/>
        <s v="DAP603"/>
        <s v="DAP604"/>
        <s v="DAP605"/>
        <s v="DAP606"/>
        <s v="DAP607"/>
        <s v="DAP608"/>
        <s v="DAP609"/>
        <s v="DAP610"/>
        <s v="HAN601"/>
        <s v="HAN602"/>
        <s v="HAN603"/>
        <s v="HAN604"/>
        <s v="HAN605"/>
        <s v="HAN606"/>
        <s v="HAN607"/>
        <s v="HAN608"/>
        <s v="HAN609"/>
        <s v="HAN610"/>
        <s v="LAPRAP601"/>
        <s v="LAPRAP602"/>
        <s v="LAPRAP603"/>
        <s v="LAPRAP604"/>
        <s v="LAPRAP605"/>
        <s v="LAPRAP606"/>
        <s v="LAPRAP607"/>
        <s v="DUY082"/>
        <s v="MEETING-X6"/>
        <s v="QUYNH-PC"/>
        <s v="SON601"/>
        <s v="SON602"/>
        <s v="SON603"/>
        <s v="SON604"/>
        <s v="HOA-QLSX"/>
        <s v="QLSX601"/>
        <s v="QLSX602"/>
        <s v="QLSX603"/>
        <s v="QLSX604"/>
        <s v="QLSX605"/>
        <s v="PhotoCopy"/>
      </sharedItems>
    </cacheField>
    <cacheField name="IP" numFmtId="0">
      <sharedItems/>
    </cacheField>
    <cacheField name="Window" numFmtId="0">
      <sharedItems/>
    </cacheField>
    <cacheField name="USER" numFmtId="0">
      <sharedItems/>
    </cacheField>
    <cacheField name="Khóa SMB1" numFmtId="166">
      <sharedItems count="2">
        <s v="P"/>
        <s v="X"/>
      </sharedItems>
    </cacheField>
    <cacheField name="Mở SMB2" numFmtId="166">
      <sharedItems count="2">
        <s v="P"/>
        <s v="X"/>
      </sharedItems>
    </cacheField>
    <cacheField name="Tiến độ_x000a_進度" numFmtId="166">
      <sharedItems/>
    </cacheField>
    <cacheField name="Ngày thực hiện_x000a_執行日期" numFmtId="166">
      <sharedItems containsSemiMixedTypes="0" containsNonDate="0" containsDate="1" containsString="0" minDate="2026-01-10T00:00:00" maxDate="2026-01-17T00:00:00"/>
    </cacheField>
    <cacheField name="Người thực hiện_x000a_執行者" numFmtId="0">
      <sharedItems/>
    </cacheField>
    <cacheField name="Ghi chú_x000a_備註"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
  <r>
    <n v="1"/>
    <s v="Manager"/>
    <s v="Tài Vụ _x000a_財務"/>
    <x v="0"/>
    <s v="DHCP"/>
    <s v="11 Pro"/>
    <s v="DL01"/>
    <x v="0"/>
    <x v="0"/>
    <s v="Đã hoàn thành_x000a_已完成"/>
    <d v="2026-01-10T00:00:00"/>
    <s v="#15060"/>
    <m/>
  </r>
  <r>
    <n v="2"/>
    <s v="Manager"/>
    <s v="KAIFA"/>
    <x v="1"/>
    <s v="DHCP"/>
    <s v="11 Pro"/>
    <s v="DL06"/>
    <x v="0"/>
    <x v="0"/>
    <s v="Đã hoàn thành_x000a_已完成"/>
    <d v="2026-01-10T00:00:00"/>
    <s v="#17655"/>
    <m/>
  </r>
  <r>
    <n v="3"/>
    <s v="Manager"/>
    <s v="DAP4_x000a_四廠沖壓"/>
    <x v="2"/>
    <s v="DHCP"/>
    <s v="11 Pro"/>
    <s v="DL13"/>
    <x v="0"/>
    <x v="0"/>
    <s v="Đã hoàn thành_x000a_已完成"/>
    <d v="2026-01-10T00:00:00"/>
    <s v="#17655"/>
    <m/>
  </r>
  <r>
    <n v="4"/>
    <s v="Manager"/>
    <s v="DAP4_x000a_四廠沖壓"/>
    <x v="3"/>
    <s v="DHCP"/>
    <s v="11 Pro"/>
    <s v="DL13"/>
    <x v="0"/>
    <x v="0"/>
    <s v="Đã hoàn thành_x000a_已完成"/>
    <d v="2026-01-10T00:00:00"/>
    <s v="#17655"/>
    <m/>
  </r>
  <r>
    <n v="5"/>
    <s v="Manager"/>
    <s v="DAP4_x000a_四廠沖壓"/>
    <x v="2"/>
    <s v="DHCP"/>
    <s v="11 Pro"/>
    <s v="DL13"/>
    <x v="0"/>
    <x v="0"/>
    <s v="Đã hoàn thành_x000a_已完成"/>
    <d v="2026-01-10T00:00:00"/>
    <s v="#17655"/>
    <m/>
  </r>
  <r>
    <n v="6"/>
    <s v="Manager"/>
    <s v="VPTGD 總經理室 "/>
    <x v="4"/>
    <s v="DHCP"/>
    <s v="11 Pro"/>
    <s v="DL19"/>
    <x v="0"/>
    <x v="0"/>
    <s v="Đã hoàn thành_x000a_已完成"/>
    <d v="2026-01-10T00:00:00"/>
    <s v="#17655"/>
    <m/>
  </r>
  <r>
    <n v="7"/>
    <s v="Manager"/>
    <s v="THUMUA_x000a_採購"/>
    <x v="5"/>
    <s v="DHCP"/>
    <s v="11 Pro"/>
    <s v="DL57"/>
    <x v="0"/>
    <x v="0"/>
    <s v="Đã hoàn thành_x000a_已完成"/>
    <d v="2026-01-10T00:00:00"/>
    <s v="#17655"/>
    <m/>
  </r>
  <r>
    <n v="8"/>
    <s v="Manager"/>
    <s v="VPTGD 總經理室 "/>
    <x v="6"/>
    <s v="DHCP"/>
    <s v="11 Pro"/>
    <s v="DL70"/>
    <x v="0"/>
    <x v="0"/>
    <s v="Đã hoàn thành_x000a_已完成"/>
    <d v="2026-01-10T00:00:00"/>
    <s v="#17655"/>
    <m/>
  </r>
  <r>
    <n v="9"/>
    <s v="Manager"/>
    <s v="VPTGD 總經理室 "/>
    <x v="7"/>
    <s v="DHCP"/>
    <s v="11 Pro"/>
    <s v="DL76"/>
    <x v="0"/>
    <x v="0"/>
    <s v="Đã hoàn thành_x000a_已完成"/>
    <d v="2026-01-10T00:00:00"/>
    <s v="#17655"/>
    <m/>
  </r>
  <r>
    <n v="10"/>
    <s v="Manager"/>
    <s v="VPTGD 總經理室 "/>
    <x v="8"/>
    <s v="DHCP"/>
    <s v="11 Pro"/>
    <s v="DL76"/>
    <x v="0"/>
    <x v="0"/>
    <s v="Đã hoàn thành_x000a_已完成"/>
    <d v="2026-01-10T00:00:00"/>
    <s v="#18499"/>
    <m/>
  </r>
  <r>
    <n v="11"/>
    <s v="Manager"/>
    <s v="KINHDOANH_x000a_業務"/>
    <x v="9"/>
    <s v="DHCP"/>
    <s v="11 Pro"/>
    <s v="DL77"/>
    <x v="0"/>
    <x v="0"/>
    <s v="Đã hoàn thành_x000a_已完成"/>
    <d v="2026-01-10T00:00:00"/>
    <s v="#20021"/>
    <m/>
  </r>
  <r>
    <n v="12"/>
    <s v="Manager"/>
    <s v="KTSX_x000a_生技"/>
    <x v="10"/>
    <s v="DHCP"/>
    <s v="11 Pro"/>
    <s v="DL133"/>
    <x v="0"/>
    <x v="0"/>
    <s v="Đã hoàn thành_x000a_已完成"/>
    <d v="2026-01-10T00:00:00"/>
    <s v="#20021"/>
    <m/>
  </r>
  <r>
    <n v="13"/>
    <s v="Manager"/>
    <s v="GIACONG_x000a_加工"/>
    <x v="11"/>
    <s v="DHCP"/>
    <s v="11 Pro"/>
    <s v="DL89"/>
    <x v="0"/>
    <x v="0"/>
    <s v="Đã hoàn thành_x000a_已完成"/>
    <d v="2026-01-10T00:00:00"/>
    <s v="#20021"/>
    <m/>
  </r>
  <r>
    <n v="14"/>
    <s v="Manager"/>
    <s v="IT"/>
    <x v="12"/>
    <s v="DHCP"/>
    <s v="11 Pro"/>
    <s v="DL90"/>
    <x v="0"/>
    <x v="0"/>
    <s v="Đã hoàn thành_x000a_已完成"/>
    <d v="2026-01-10T00:00:00"/>
    <s v="#20021"/>
    <m/>
  </r>
  <r>
    <n v="15"/>
    <s v="Manager"/>
    <s v="DUC_x000a_壓鑄"/>
    <x v="13"/>
    <s v="DHCP"/>
    <s v="11 Pro"/>
    <s v="DL92"/>
    <x v="0"/>
    <x v="0"/>
    <s v="Đã hoàn thành_x000a_已完成"/>
    <d v="2026-01-10T00:00:00"/>
    <s v="#15060"/>
    <m/>
  </r>
  <r>
    <n v="16"/>
    <s v="Manager"/>
    <s v="THUMUA_x000a_採購"/>
    <x v="14"/>
    <s v="DHCP"/>
    <s v="11 Pro"/>
    <s v="TQ53"/>
    <x v="0"/>
    <x v="0"/>
    <s v="Đã hoàn thành_x000a_已完成"/>
    <d v="2026-01-10T00:00:00"/>
    <s v="#15060"/>
    <m/>
  </r>
  <r>
    <n v="17"/>
    <s v="Manager"/>
    <s v="QC 品管"/>
    <x v="15"/>
    <s v="DHCP"/>
    <s v="11 Pro"/>
    <s v="DL110"/>
    <x v="0"/>
    <x v="0"/>
    <s v="Đã hoàn thành_x000a_已完成"/>
    <d v="2026-01-10T00:00:00"/>
    <s v="#15060"/>
    <m/>
  </r>
  <r>
    <n v="18"/>
    <s v="Manager"/>
    <s v="Tài Vụ 財務"/>
    <x v="16"/>
    <s v="DHCP"/>
    <s v="11 Pro"/>
    <s v="DL71"/>
    <x v="0"/>
    <x v="0"/>
    <s v="Đã hoàn thành_x000a_已完成"/>
    <d v="2026-01-10T00:00:00"/>
    <s v="#15060"/>
    <m/>
  </r>
  <r>
    <n v="19"/>
    <s v="Manager"/>
    <s v="Ban sản xuất 6_x000a_生六部"/>
    <x v="17"/>
    <s v="DHCP"/>
    <s v="11 Pro"/>
    <s v="DL114"/>
    <x v="0"/>
    <x v="0"/>
    <s v="Đã hoàn thành_x000a_已完成"/>
    <d v="2026-01-10T00:00:00"/>
    <s v="#18499"/>
    <m/>
  </r>
  <r>
    <n v="20"/>
    <s v="Manager"/>
    <s v="XIMA_x000a_電鍍"/>
    <x v="18"/>
    <s v="DHCP"/>
    <s v="11 Pro"/>
    <s v="DL130"/>
    <x v="0"/>
    <x v="0"/>
    <s v="Đã hoàn thành_x000a_已完成"/>
    <d v="2026-01-10T00:00:00"/>
    <s v="#20021"/>
    <m/>
  </r>
  <r>
    <n v="21"/>
    <s v="Manager"/>
    <s v="Ban sản xuất 5_x000a_生五部"/>
    <x v="19"/>
    <s v="DHCP"/>
    <s v="11 Pro"/>
    <s v="DL119"/>
    <x v="0"/>
    <x v="0"/>
    <s v="Đã hoàn thành_x000a_已完成"/>
    <d v="2026-01-10T00:00:00"/>
    <s v="#20021"/>
    <m/>
  </r>
  <r>
    <n v="22"/>
    <s v="Manager"/>
    <s v="KAIFA"/>
    <x v="20"/>
    <s v="DHCP"/>
    <s v="11 Pro"/>
    <s v="DL125"/>
    <x v="0"/>
    <x v="0"/>
    <s v="Đã hoàn thành_x000a_已完成"/>
    <d v="2026-01-10T00:00:00"/>
    <s v="#17655"/>
    <m/>
  </r>
  <r>
    <n v="23"/>
    <s v="Manager"/>
    <s v="QLSX 生管"/>
    <x v="21"/>
    <s v="DHCP"/>
    <s v="11 Pro"/>
    <s v="DL122"/>
    <x v="0"/>
    <x v="0"/>
    <s v="Đã hoàn thành_x000a_已完成"/>
    <d v="2026-01-10T00:00:00"/>
    <s v="#17655"/>
    <m/>
  </r>
  <r>
    <n v="24"/>
    <s v="Manager"/>
    <s v="QA"/>
    <x v="22"/>
    <s v="DHCP"/>
    <s v="11 Pro"/>
    <s v="DL127"/>
    <x v="0"/>
    <x v="0"/>
    <s v="Đã hoàn thành_x000a_已完成"/>
    <d v="2026-01-10T00:00:00"/>
    <s v="#17655"/>
    <m/>
  </r>
  <r>
    <n v="25"/>
    <s v="Manager"/>
    <s v="KSNB_x000a_稽核室"/>
    <x v="23"/>
    <s v="DHCP"/>
    <s v="11 Pro"/>
    <s v="DL124"/>
    <x v="0"/>
    <x v="0"/>
    <s v="Đã hoàn thành_x000a_已完成"/>
    <d v="2026-01-10T00:00:00"/>
    <s v="#15060"/>
    <m/>
  </r>
  <r>
    <n v="26"/>
    <s v="Manager"/>
    <s v="VPTGD 總經理室 "/>
    <x v="24"/>
    <s v="DHCP"/>
    <s v="11 Pro"/>
    <s v="DL131"/>
    <x v="0"/>
    <x v="0"/>
    <s v="Đã hoàn thành_x000a_已完成"/>
    <d v="2026-01-10T00:00:00"/>
    <s v="#15060"/>
    <m/>
  </r>
  <r>
    <n v="27"/>
    <s v="Manager"/>
    <s v="VPTGD 總經理室 "/>
    <x v="25"/>
    <s v="DHCP"/>
    <s v="11 Pro"/>
    <s v="DL134"/>
    <x v="0"/>
    <x v="0"/>
    <s v="Đã hoàn thành_x000a_已完成"/>
    <d v="2026-01-10T00:00:00"/>
    <s v="#20021"/>
    <m/>
  </r>
  <r>
    <n v="28"/>
    <s v="Manager"/>
    <s v="KTSX_x000a_生技"/>
    <x v="26"/>
    <s v="DHCP"/>
    <s v="11 Pro"/>
    <s v="DL136"/>
    <x v="0"/>
    <x v="0"/>
    <s v="Đã hoàn thành_x000a_已完成"/>
    <d v="2026-01-10T00:00:00"/>
    <s v="#20021"/>
    <m/>
  </r>
  <r>
    <n v="29"/>
    <s v="Manager"/>
    <s v="NHANSU_x000a_人事"/>
    <x v="27"/>
    <s v="DHCP"/>
    <s v="11 Pro"/>
    <s v="DL05"/>
    <x v="0"/>
    <x v="0"/>
    <s v="Đã hoàn thành_x000a_已完成"/>
    <d v="2026-01-10T00:00:00"/>
    <s v="#20021"/>
    <m/>
  </r>
  <r>
    <n v="30"/>
    <s v="Manager"/>
    <s v="Sơn 3 三廠塗裝"/>
    <x v="28"/>
    <s v="DHCP"/>
    <s v="11 Pro"/>
    <s v="DL02"/>
    <x v="0"/>
    <x v="0"/>
    <s v="Đã hoàn thành_x000a_已完成"/>
    <d v="2026-01-10T00:00:00"/>
    <s v="#20021"/>
    <m/>
  </r>
  <r>
    <n v="31"/>
    <s v="Manager"/>
    <s v="Sơn 3 三廠塗裝"/>
    <x v="29"/>
    <s v="DHCP"/>
    <s v="11 Pro"/>
    <s v="DL02"/>
    <x v="0"/>
    <x v="0"/>
    <s v="Đã hoàn thành_x000a_已完成"/>
    <d v="2026-01-10T00:00:00"/>
    <s v="#20021"/>
    <m/>
  </r>
  <r>
    <n v="32"/>
    <s v="Manager"/>
    <s v="KSNB_x000a_稽核室"/>
    <x v="30"/>
    <s v="DHCP"/>
    <s v="11 Pro"/>
    <s v="DL124"/>
    <x v="0"/>
    <x v="0"/>
    <s v="Đã hoàn thành_x000a_已完成"/>
    <d v="2026-01-10T00:00:00"/>
    <s v="#20021"/>
    <m/>
  </r>
  <r>
    <n v="33"/>
    <s v="Manager"/>
    <s v="GIACONG_x000a_加工"/>
    <x v="31"/>
    <s v="DHCP"/>
    <s v="11 Pro"/>
    <s v="DL92"/>
    <x v="0"/>
    <x v="0"/>
    <s v="Đã hoàn thành_x000a_已完成"/>
    <d v="2026-01-10T00:00:00"/>
    <s v="#20021"/>
    <m/>
  </r>
  <r>
    <n v="34"/>
    <s v="X1"/>
    <s v="QLSX X1_x000a_一廠生管"/>
    <x v="32"/>
    <s v="192.168.31.60"/>
    <s v="11 Pro"/>
    <s v="#08886"/>
    <x v="0"/>
    <x v="0"/>
    <s v="Đã hoàn thành_x000a_已完成"/>
    <d v="2026-01-10T00:00:00"/>
    <s v="#17655"/>
    <m/>
  </r>
  <r>
    <n v="35"/>
    <s v="X1"/>
    <s v="QLSX X1_x000a_一廠生管"/>
    <x v="33"/>
    <s v="192.168.31.98"/>
    <s v="11 Pro"/>
    <s v="QLSX-MEET"/>
    <x v="0"/>
    <x v="0"/>
    <s v="Đã hoàn thành_x000a_已完成"/>
    <d v="2026-01-10T00:00:00"/>
    <s v="#17655"/>
    <m/>
  </r>
  <r>
    <n v="36"/>
    <s v="X1"/>
    <s v="QLSX X1_x000a_一廠生管"/>
    <x v="34"/>
    <s v="DHCP"/>
    <s v="11 Pro"/>
    <s v="#00072"/>
    <x v="0"/>
    <x v="0"/>
    <s v="Đã hoàn thành_x000a_已完成"/>
    <d v="2026-01-10T00:00:00"/>
    <s v="#17655"/>
    <m/>
  </r>
  <r>
    <n v="37"/>
    <s v="X1"/>
    <s v="QLSX X1_x000a_一廠生管"/>
    <x v="35"/>
    <s v="DHCP"/>
    <s v="11 Pro"/>
    <s v="#00116"/>
    <x v="0"/>
    <x v="0"/>
    <s v="Đã hoàn thành_x000a_已完成"/>
    <d v="2026-01-10T00:00:00"/>
    <s v="#17655"/>
    <m/>
  </r>
  <r>
    <n v="38"/>
    <s v="X1"/>
    <s v="QLSX X1_x000a_一廠生管"/>
    <x v="36"/>
    <s v="DHCP"/>
    <s v="11 Pro"/>
    <s v="#00637"/>
    <x v="0"/>
    <x v="0"/>
    <s v="Đã hoàn thành_x000a_已完成"/>
    <d v="2026-01-10T00:00:00"/>
    <s v="#17655"/>
    <m/>
  </r>
  <r>
    <n v="39"/>
    <s v="X1"/>
    <s v="QLSX X1_x000a_一廠生管"/>
    <x v="37"/>
    <s v="DHCP"/>
    <s v="11 Pro"/>
    <s v="#02547"/>
    <x v="0"/>
    <x v="0"/>
    <s v="Đã hoàn thành_x000a_已完成"/>
    <d v="2026-01-10T00:00:00"/>
    <s v="#17655"/>
    <m/>
  </r>
  <r>
    <n v="40"/>
    <s v="X1"/>
    <s v="QLSX X1_x000a_一廠生管"/>
    <x v="38"/>
    <s v="DHCP"/>
    <s v="11 Pro"/>
    <s v="#08886"/>
    <x v="0"/>
    <x v="0"/>
    <s v="Đã hoàn thành_x000a_已完成"/>
    <d v="2026-01-10T00:00:00"/>
    <s v="#17655"/>
    <m/>
  </r>
  <r>
    <n v="41"/>
    <s v="X1"/>
    <s v="QLSX X1_x000a_一廠生管"/>
    <x v="39"/>
    <s v="DHCP"/>
    <s v="11 Pro"/>
    <s v="#25783"/>
    <x v="0"/>
    <x v="0"/>
    <s v="Đã hoàn thành_x000a_已完成"/>
    <d v="2026-01-10T00:00:00"/>
    <s v="#17655"/>
    <m/>
  </r>
  <r>
    <n v="42"/>
    <s v="X1"/>
    <s v="QLSX X1_x000a_一廠生管"/>
    <x v="40"/>
    <s v="192.168.31.1"/>
    <s v="11 Pro"/>
    <s v="#10437"/>
    <x v="0"/>
    <x v="0"/>
    <s v="Đã hoàn thành_x000a_已完成"/>
    <d v="2026-01-10T00:00:00"/>
    <s v="#17655"/>
    <m/>
  </r>
  <r>
    <n v="43"/>
    <s v="X1"/>
    <s v="QLSX X1_x000a_一廠生管"/>
    <x v="41"/>
    <s v="192.168.31.2"/>
    <s v="11 Pro"/>
    <s v="#00328"/>
    <x v="0"/>
    <x v="0"/>
    <s v="Đã hoàn thành_x000a_已完成"/>
    <d v="2026-01-10T00:00:00"/>
    <s v="#17655"/>
    <m/>
  </r>
  <r>
    <n v="44"/>
    <s v="X1"/>
    <s v="QLSX X1_x000a_一廠生管"/>
    <x v="42"/>
    <s v="192.168.31.3"/>
    <s v="11 Pro"/>
    <s v="#00854"/>
    <x v="0"/>
    <x v="0"/>
    <s v="Đã hoàn thành_x000a_已完成"/>
    <d v="2026-01-10T00:00:00"/>
    <s v="#17655"/>
    <m/>
  </r>
  <r>
    <n v="45"/>
    <s v="X1"/>
    <s v="QLSX X1_x000a_一廠生管"/>
    <x v="43"/>
    <s v="192.168.31.4"/>
    <s v="11 Pro"/>
    <s v="#04202"/>
    <x v="0"/>
    <x v="0"/>
    <s v="Đã hoàn thành_x000a_已完成"/>
    <d v="2026-01-10T00:00:00"/>
    <s v="#17655"/>
    <m/>
  </r>
  <r>
    <n v="46"/>
    <s v="X1"/>
    <s v="QLSX X1_x000a_一廠生管"/>
    <x v="44"/>
    <s v="192.168.31.5"/>
    <s v="11 Pro"/>
    <s v="#07789"/>
    <x v="0"/>
    <x v="0"/>
    <s v="Đã hoàn thành_x000a_已完成"/>
    <d v="2026-01-10T00:00:00"/>
    <s v="#17655"/>
    <m/>
  </r>
  <r>
    <n v="47"/>
    <s v="X1"/>
    <s v="QLSX X1_x000a_一廠生管"/>
    <x v="45"/>
    <s v="192.168.31.6"/>
    <s v="11 Pro"/>
    <s v="#13582"/>
    <x v="0"/>
    <x v="0"/>
    <s v="Đã hoàn thành_x000a_已完成"/>
    <d v="2026-01-10T00:00:00"/>
    <s v="#17655"/>
    <m/>
  </r>
  <r>
    <n v="48"/>
    <s v="X1"/>
    <s v="QLSX X1_x000a_一廠生管"/>
    <x v="46"/>
    <s v="192.168.31.7"/>
    <s v="11 Pro"/>
    <s v="#08550"/>
    <x v="0"/>
    <x v="0"/>
    <s v="Đã hoàn thành_x000a_已完成"/>
    <d v="2026-01-10T00:00:00"/>
    <s v="#17655"/>
    <m/>
  </r>
  <r>
    <n v="49"/>
    <s v="X1"/>
    <s v="QLSX X1_x000a_一廠生管"/>
    <x v="47"/>
    <s v="192.168.31.8"/>
    <s v="11 Pro"/>
    <s v="#07290"/>
    <x v="0"/>
    <x v="0"/>
    <s v="Đã hoàn thành_x000a_已完成"/>
    <d v="2026-01-10T00:00:00"/>
    <s v="#17655"/>
    <m/>
  </r>
  <r>
    <n v="50"/>
    <s v="X1"/>
    <s v="QLSX X1_x000a_一廠生管"/>
    <x v="48"/>
    <s v="192.168.31.9"/>
    <s v="11 Pro"/>
    <s v="#08759"/>
    <x v="0"/>
    <x v="0"/>
    <s v="Đã hoàn thành_x000a_已完成"/>
    <d v="2026-01-10T00:00:00"/>
    <s v="#17655"/>
    <m/>
  </r>
  <r>
    <n v="51"/>
    <s v="X1"/>
    <s v="QLSX X1_x000a_一廠生管"/>
    <x v="49"/>
    <s v="192.168.31.10"/>
    <s v="11 Pro"/>
    <s v="#02245"/>
    <x v="0"/>
    <x v="0"/>
    <s v="Đã hoàn thành_x000a_已完成"/>
    <d v="2026-01-10T00:00:00"/>
    <s v="#17655"/>
    <m/>
  </r>
  <r>
    <n v="52"/>
    <s v="X1"/>
    <s v="QLSX X1_x000a_一廠生管"/>
    <x v="50"/>
    <s v="192.168.31.11"/>
    <s v="11 Pro"/>
    <s v="#15884"/>
    <x v="0"/>
    <x v="0"/>
    <s v="Đã hoàn thành_x000a_已完成"/>
    <d v="2026-01-10T00:00:00"/>
    <s v="#17655"/>
    <m/>
  </r>
  <r>
    <n v="53"/>
    <s v="X1"/>
    <s v="QLSX X1_x000a_一廠生管"/>
    <x v="51"/>
    <s v="192.168.31.13"/>
    <s v="11 Pro"/>
    <s v="#00665"/>
    <x v="0"/>
    <x v="0"/>
    <s v="Đã hoàn thành_x000a_已完成"/>
    <d v="2026-01-10T00:00:00"/>
    <s v="#17655"/>
    <m/>
  </r>
  <r>
    <n v="54"/>
    <s v="X1"/>
    <s v="QLSX X1_x000a_一廠生管"/>
    <x v="52"/>
    <s v="192.168.31.14"/>
    <s v="11 Pro"/>
    <s v="#06748"/>
    <x v="0"/>
    <x v="0"/>
    <s v="Đã hoàn thành_x000a_已完成"/>
    <d v="2026-01-10T00:00:00"/>
    <s v="#17655"/>
    <m/>
  </r>
  <r>
    <n v="55"/>
    <s v="X1"/>
    <s v="QLSX X1_x000a_一廠生管"/>
    <x v="53"/>
    <s v="192.168.31.15"/>
    <s v="11 Pro"/>
    <s v="#15725"/>
    <x v="0"/>
    <x v="0"/>
    <s v="Đã hoàn thành_x000a_已完成"/>
    <d v="2026-01-10T00:00:00"/>
    <s v="#17655"/>
    <m/>
  </r>
  <r>
    <n v="56"/>
    <s v="X1"/>
    <s v="QLSX X1_x000a_一廠生管"/>
    <x v="54"/>
    <s v="192.168.31.16"/>
    <s v="11 Pro"/>
    <s v="#00186"/>
    <x v="0"/>
    <x v="0"/>
    <s v="Đã hoàn thành_x000a_已完成"/>
    <d v="2026-01-10T00:00:00"/>
    <s v="#17655"/>
    <m/>
  </r>
  <r>
    <n v="57"/>
    <s v="X1"/>
    <s v="QLSX X1_x000a_一廠生管"/>
    <x v="55"/>
    <s v="192.168.31.17"/>
    <s v="11 Pro"/>
    <s v="#04427+#01534"/>
    <x v="0"/>
    <x v="0"/>
    <s v="Đã hoàn thành_x000a_已完成"/>
    <d v="2026-01-10T00:00:00"/>
    <s v="#17655"/>
    <m/>
  </r>
  <r>
    <n v="58"/>
    <s v="X1"/>
    <s v="QLSX X1_x000a_一廠生管"/>
    <x v="56"/>
    <s v="192.168.31.18"/>
    <s v="11 Pro"/>
    <s v="#15726"/>
    <x v="0"/>
    <x v="0"/>
    <s v="Đã hoàn thành_x000a_已完成"/>
    <d v="2026-01-10T00:00:00"/>
    <s v="#17655"/>
    <m/>
  </r>
  <r>
    <n v="59"/>
    <s v="X1"/>
    <s v="QLSX X1_x000a_一廠生管"/>
    <x v="57"/>
    <s v="192.168.31.19"/>
    <s v="11 Pro"/>
    <s v="#09145"/>
    <x v="0"/>
    <x v="0"/>
    <s v="Đã hoàn thành_x000a_已完成"/>
    <d v="2026-01-10T00:00:00"/>
    <s v="#17655"/>
    <m/>
  </r>
  <r>
    <n v="60"/>
    <s v="X1"/>
    <s v="QLSX X1_x000a_一廠生管"/>
    <x v="58"/>
    <s v="192.168.31.20"/>
    <s v="11 Pro"/>
    <s v="#24335"/>
    <x v="0"/>
    <x v="0"/>
    <s v="Đã hoàn thành_x000a_已完成"/>
    <d v="2026-01-10T00:00:00"/>
    <s v="#17655"/>
    <m/>
  </r>
  <r>
    <n v="61"/>
    <s v="X1"/>
    <s v="QLSX X1_x000a_一廠生管"/>
    <x v="59"/>
    <s v="192.168.31.21"/>
    <s v="11 Pro"/>
    <s v="#03747"/>
    <x v="0"/>
    <x v="0"/>
    <s v="Đã hoàn thành_x000a_已完成"/>
    <d v="2026-01-10T00:00:00"/>
    <s v="#17655"/>
    <m/>
  </r>
  <r>
    <n v="62"/>
    <s v="X1"/>
    <s v="QLSX X1_x000a_一廠生管"/>
    <x v="60"/>
    <s v="192.168.31.22"/>
    <s v="11 Pro"/>
    <s v="#04428"/>
    <x v="0"/>
    <x v="0"/>
    <s v="Đã hoàn thành_x000a_已完成"/>
    <d v="2026-01-10T00:00:00"/>
    <s v="#17655"/>
    <m/>
  </r>
  <r>
    <n v="63"/>
    <s v="X1"/>
    <s v="QLSX X1_x000a_一廠生管"/>
    <x v="61"/>
    <s v="192.168.31.23"/>
    <s v="11 Pro"/>
    <s v="#20328"/>
    <x v="0"/>
    <x v="0"/>
    <s v="Đã hoàn thành_x000a_已完成"/>
    <d v="2026-01-10T00:00:00"/>
    <s v="#17655"/>
    <m/>
  </r>
  <r>
    <n v="64"/>
    <s v="X1"/>
    <s v="QLSX X1_x000a_一廠生管"/>
    <x v="62"/>
    <s v="192.168.31.24"/>
    <s v="11 Pro"/>
    <s v="#03613"/>
    <x v="0"/>
    <x v="0"/>
    <s v="Đã hoàn thành_x000a_已完成"/>
    <d v="2026-01-10T00:00:00"/>
    <s v="#17655"/>
    <m/>
  </r>
  <r>
    <n v="65"/>
    <s v="X1"/>
    <s v="QLSX X1_x000a_一廠生管"/>
    <x v="63"/>
    <s v="192.168.31.25"/>
    <s v="11 Pro"/>
    <s v="#06908"/>
    <x v="0"/>
    <x v="0"/>
    <s v="Đã hoàn thành_x000a_已完成"/>
    <d v="2026-01-10T00:00:00"/>
    <s v="#17655"/>
    <m/>
  </r>
  <r>
    <n v="66"/>
    <s v="X1"/>
    <s v="QLSX X1_x000a_一廠生管"/>
    <x v="64"/>
    <s v="192.168.31.26"/>
    <s v="11 Pro"/>
    <s v="#19767"/>
    <x v="0"/>
    <x v="0"/>
    <s v="Đã hoàn thành_x000a_已完成"/>
    <d v="2026-01-10T00:00:00"/>
    <s v="#17655"/>
    <m/>
  </r>
  <r>
    <n v="67"/>
    <s v="X1"/>
    <s v="QLSX X1_x000a_一廠生管"/>
    <x v="65"/>
    <s v="192.168.31.27"/>
    <s v="11 Pro"/>
    <s v="#12694"/>
    <x v="0"/>
    <x v="0"/>
    <s v="Đã hoàn thành_x000a_已完成"/>
    <d v="2026-01-10T00:00:00"/>
    <s v="#17655"/>
    <m/>
  </r>
  <r>
    <n v="68"/>
    <s v="X1"/>
    <s v="QLSX X1_x000a_一廠生管"/>
    <x v="66"/>
    <s v="192.168.31.28"/>
    <s v="11 Pro"/>
    <s v="#01232"/>
    <x v="0"/>
    <x v="0"/>
    <s v="Đã hoàn thành_x000a_已完成"/>
    <d v="2026-01-10T00:00:00"/>
    <s v="#17655"/>
    <m/>
  </r>
  <r>
    <n v="69"/>
    <s v="X1"/>
    <s v="QLSX X1_x000a_一廠生管"/>
    <x v="67"/>
    <s v="192.168.31.29"/>
    <s v="11 Pro"/>
    <s v="#23862"/>
    <x v="0"/>
    <x v="0"/>
    <s v="Đã hoàn thành_x000a_已完成"/>
    <d v="2026-01-10T00:00:00"/>
    <s v="#17655"/>
    <m/>
  </r>
  <r>
    <n v="70"/>
    <s v="X1"/>
    <s v="QLSX X1_x000a_一廠生管"/>
    <x v="68"/>
    <s v="192.168.31.30"/>
    <s v="11 Pro"/>
    <s v="#10029"/>
    <x v="0"/>
    <x v="0"/>
    <s v="Đã hoàn thành_x000a_已完成"/>
    <d v="2026-01-10T00:00:00"/>
    <s v="#17655"/>
    <m/>
  </r>
  <r>
    <n v="71"/>
    <s v="X1"/>
    <s v="QLSX X1_x000a_一廠生管"/>
    <x v="69"/>
    <s v="192.168.31.71"/>
    <s v="11 Pro"/>
    <s v="#00767"/>
    <x v="0"/>
    <x v="0"/>
    <s v="Đã hoàn thành_x000a_已完成"/>
    <d v="2026-01-10T00:00:00"/>
    <s v="#17655"/>
    <m/>
  </r>
  <r>
    <n v="72"/>
    <s v="X1"/>
    <s v="QLSX X1_x000a_一廠生管"/>
    <x v="70"/>
    <s v="192.168.31.72"/>
    <s v="11 Pro"/>
    <s v="#11937"/>
    <x v="0"/>
    <x v="0"/>
    <s v="Đã hoàn thành_x000a_已完成"/>
    <d v="2026-01-10T00:00:00"/>
    <s v="#17655"/>
    <m/>
  </r>
  <r>
    <n v="73"/>
    <s v="X1"/>
    <s v="QLSX X1_x000a_一廠生管"/>
    <x v="71"/>
    <s v="192.168.31.74"/>
    <s v="11 Pro"/>
    <s v="#24016"/>
    <x v="0"/>
    <x v="0"/>
    <s v="Đã hoàn thành_x000a_已完成"/>
    <d v="2026-01-10T00:00:00"/>
    <s v="#17655"/>
    <m/>
  </r>
  <r>
    <n v="74"/>
    <s v="X1"/>
    <s v="QLSX X1_x000a_一廠生管"/>
    <x v="72"/>
    <s v="192.168.31.75"/>
    <s v="11 Pro"/>
    <s v="#24009"/>
    <x v="0"/>
    <x v="0"/>
    <s v="Đã hoàn thành_x000a_已完成"/>
    <d v="2026-01-10T00:00:00"/>
    <s v="#17655"/>
    <m/>
  </r>
  <r>
    <n v="75"/>
    <s v="X1"/>
    <s v="QLSX X1_x000a_一廠生管"/>
    <x v="73"/>
    <s v="192.168.31.40"/>
    <s v="11 Pro"/>
    <s v="#19909"/>
    <x v="0"/>
    <x v="0"/>
    <s v="Đã hoàn thành_x000a_已完成"/>
    <d v="2026-01-10T00:00:00"/>
    <s v="#17655"/>
    <m/>
  </r>
  <r>
    <n v="76"/>
    <s v="X1"/>
    <s v="QLSX X1_x000a_一廠生管"/>
    <x v="74"/>
    <s v="192.168.31.35"/>
    <s v="11 Pro"/>
    <s v="#26309"/>
    <x v="0"/>
    <x v="0"/>
    <s v="Đã hoàn thành_x000a_已完成"/>
    <d v="2026-01-10T00:00:00"/>
    <s v="#17655"/>
    <m/>
  </r>
  <r>
    <n v="77"/>
    <s v="X1"/>
    <s v="QC1"/>
    <x v="75"/>
    <s v="192.168.31.31"/>
    <s v="11 Pro"/>
    <s v="#00990"/>
    <x v="0"/>
    <x v="0"/>
    <s v="Đã hoàn thành_x000a_已完成"/>
    <d v="2026-01-10T00:00:00"/>
    <s v="#20021"/>
    <m/>
  </r>
  <r>
    <n v="78"/>
    <s v="X1"/>
    <s v="QC1"/>
    <x v="76"/>
    <s v="192.168.31.32"/>
    <s v="11 Pro"/>
    <s v="#01960"/>
    <x v="0"/>
    <x v="0"/>
    <s v="Đã hoàn thành_x000a_已完成"/>
    <d v="2026-01-10T00:00:00"/>
    <s v="#20021"/>
    <m/>
  </r>
  <r>
    <n v="79"/>
    <s v="X1"/>
    <s v="QC1"/>
    <x v="77"/>
    <s v="192.168.31.33"/>
    <s v="11 Pro"/>
    <s v="#19779"/>
    <x v="0"/>
    <x v="0"/>
    <s v="Đã hoàn thành_x000a_已完成"/>
    <d v="2026-01-10T00:00:00"/>
    <s v="#20021"/>
    <m/>
  </r>
  <r>
    <n v="80"/>
    <s v="X1"/>
    <s v="QC1"/>
    <x v="78"/>
    <s v="192.168.31.34"/>
    <s v="11 Pro"/>
    <s v="#00952"/>
    <x v="0"/>
    <x v="0"/>
    <s v="Đã hoàn thành_x000a_已完成"/>
    <d v="2026-01-10T00:00:00"/>
    <s v="#20021"/>
    <m/>
  </r>
  <r>
    <n v="81"/>
    <s v="X1"/>
    <s v="QC1"/>
    <x v="79"/>
    <s v="192.168.31.36"/>
    <s v="11 Pro"/>
    <s v="#00883"/>
    <x v="0"/>
    <x v="0"/>
    <s v="Đã hoàn thành_x000a_已完成"/>
    <d v="2026-01-10T00:00:00"/>
    <s v="#20021"/>
    <m/>
  </r>
  <r>
    <n v="82"/>
    <s v="X1"/>
    <s v="QC1"/>
    <x v="80"/>
    <s v="192.168.31.37"/>
    <s v="11 Pro"/>
    <s v="#01214"/>
    <x v="0"/>
    <x v="0"/>
    <s v="Đã hoàn thành_x000a_已完成"/>
    <d v="2026-01-10T00:00:00"/>
    <s v="#20021"/>
    <m/>
  </r>
  <r>
    <n v="83"/>
    <s v="X1"/>
    <s v="QC1"/>
    <x v="81"/>
    <s v="192.168.31.38"/>
    <s v="11 Pro"/>
    <s v="#01285"/>
    <x v="0"/>
    <x v="0"/>
    <s v="Đã hoàn thành_x000a_已完成"/>
    <d v="2026-01-10T00:00:00"/>
    <s v="#17655"/>
    <m/>
  </r>
  <r>
    <n v="84"/>
    <s v="X1"/>
    <s v="QC1"/>
    <x v="82"/>
    <s v="192.168.31.39"/>
    <s v="11 Pro"/>
    <s v="#11798"/>
    <x v="0"/>
    <x v="0"/>
    <s v="Đã hoàn thành_x000a_已完成"/>
    <d v="2026-01-10T00:00:00"/>
    <s v="#20021"/>
    <m/>
  </r>
  <r>
    <n v="85"/>
    <s v="X1"/>
    <s v="QC1"/>
    <x v="83"/>
    <s v="192.168.31.41"/>
    <s v="11 Pro"/>
    <s v="#13743"/>
    <x v="0"/>
    <x v="0"/>
    <s v="Đã hoàn thành_x000a_已完成"/>
    <d v="2026-01-10T00:00:00"/>
    <s v="#20021"/>
    <m/>
  </r>
  <r>
    <n v="86"/>
    <s v="X1"/>
    <s v="QC1"/>
    <x v="84"/>
    <s v="192.168.31.42"/>
    <s v="11 Pro"/>
    <s v="#15940"/>
    <x v="0"/>
    <x v="0"/>
    <s v="Đã hoàn thành_x000a_已完成"/>
    <d v="2026-01-10T00:00:00"/>
    <s v="#20021"/>
    <m/>
  </r>
  <r>
    <n v="87"/>
    <s v="X1"/>
    <s v="QC1"/>
    <x v="85"/>
    <s v="192.168.31.44"/>
    <s v="11 Pro"/>
    <s v="#20906"/>
    <x v="0"/>
    <x v="0"/>
    <s v="Đã hoàn thành_x000a_已完成"/>
    <d v="2026-01-10T00:00:00"/>
    <s v="#20021"/>
    <m/>
  </r>
  <r>
    <n v="88"/>
    <s v="X1"/>
    <s v="QC1"/>
    <x v="86"/>
    <s v="192.168.31.45"/>
    <s v="11 Pro"/>
    <s v="#19164"/>
    <x v="0"/>
    <x v="0"/>
    <s v="Đã hoàn thành_x000a_已完成"/>
    <d v="2026-01-10T00:00:00"/>
    <s v="#20021"/>
    <m/>
  </r>
  <r>
    <n v="89"/>
    <s v="X1"/>
    <s v="QC1"/>
    <x v="87"/>
    <s v="192.168.31.47"/>
    <s v="11 Pro"/>
    <s v="#03037"/>
    <x v="0"/>
    <x v="0"/>
    <s v="Đã hoàn thành_x000a_已完成"/>
    <d v="2026-01-10T00:00:00"/>
    <s v="#20021"/>
    <m/>
  </r>
  <r>
    <n v="90"/>
    <s v="X1"/>
    <s v="QC1"/>
    <x v="88"/>
    <s v="192.168.34.25"/>
    <s v="11 Pro"/>
    <s v="#09755"/>
    <x v="0"/>
    <x v="0"/>
    <s v="Đã hoàn thành_x000a_已完成"/>
    <d v="2026-01-10T00:00:00"/>
    <s v="#20021"/>
    <m/>
  </r>
  <r>
    <n v="91"/>
    <s v="X1"/>
    <s v="QC1"/>
    <x v="89"/>
    <s v="DHCP"/>
    <s v="11 Pro"/>
    <s v="#00039"/>
    <x v="0"/>
    <x v="0"/>
    <s v="Đã hoàn thành_x000a_已完成"/>
    <d v="2026-01-10T00:00:00"/>
    <s v="#17655"/>
    <m/>
  </r>
  <r>
    <n v="92"/>
    <s v="X1"/>
    <s v="QC1"/>
    <x v="90"/>
    <s v="DHCP"/>
    <s v="11 Pro"/>
    <s v="#00602"/>
    <x v="0"/>
    <x v="0"/>
    <s v="Đã hoàn thành_x000a_已完成"/>
    <d v="2026-01-10T00:00:00"/>
    <s v="#17655"/>
    <m/>
  </r>
  <r>
    <n v="93"/>
    <s v="X1"/>
    <s v="QC1"/>
    <x v="91"/>
    <s v="DHCP"/>
    <s v="11 Pro"/>
    <s v="#00683"/>
    <x v="0"/>
    <x v="0"/>
    <s v="Đã hoàn thành_x000a_已完成"/>
    <d v="2026-01-10T00:00:00"/>
    <s v="#17655"/>
    <m/>
  </r>
  <r>
    <n v="94"/>
    <s v="X1"/>
    <s v="QC1"/>
    <x v="92"/>
    <s v="DHCP"/>
    <s v="11 Pro"/>
    <s v="#02972"/>
    <x v="0"/>
    <x v="0"/>
    <s v="Đã hoàn thành_x000a_已完成"/>
    <d v="2026-01-10T00:00:00"/>
    <s v="#20021"/>
    <m/>
  </r>
  <r>
    <n v="95"/>
    <s v="X1"/>
    <s v="QC1"/>
    <x v="93"/>
    <s v="DHCP"/>
    <s v="11 Pro"/>
    <s v="#03359"/>
    <x v="0"/>
    <x v="0"/>
    <s v="Đã hoàn thành_x000a_已完成"/>
    <d v="2026-01-10T00:00:00"/>
    <s v="#20021"/>
    <m/>
  </r>
  <r>
    <n v="96"/>
    <s v="X1"/>
    <s v="QC1"/>
    <x v="94"/>
    <s v="DHCP"/>
    <s v="11 Pro"/>
    <s v="#09442"/>
    <x v="0"/>
    <x v="0"/>
    <s v="Đã hoàn thành_x000a_已完成"/>
    <d v="2026-01-10T00:00:00"/>
    <s v="#20021"/>
    <m/>
  </r>
  <r>
    <n v="97"/>
    <s v="X1"/>
    <s v="QC1"/>
    <x v="95"/>
    <s v="DHCP"/>
    <s v="11 Pro"/>
    <s v="#10186"/>
    <x v="0"/>
    <x v="0"/>
    <s v="Đã hoàn thành_x000a_已完成"/>
    <d v="2026-01-10T00:00:00"/>
    <s v="#20021"/>
    <m/>
  </r>
  <r>
    <n v="98"/>
    <s v="X1"/>
    <s v="QC1"/>
    <x v="96"/>
    <s v="DHCP"/>
    <s v="11 Pro"/>
    <s v="#12095"/>
    <x v="0"/>
    <x v="0"/>
    <s v="Đã hoàn thành_x000a_已完成"/>
    <d v="2026-01-10T00:00:00"/>
    <s v="#20021"/>
    <m/>
  </r>
  <r>
    <n v="99"/>
    <s v="X1"/>
    <s v="QC1"/>
    <x v="97"/>
    <s v="DHCP"/>
    <s v="11 Pro"/>
    <s v="#24110"/>
    <x v="0"/>
    <x v="0"/>
    <s v="Đã hoàn thành_x000a_已完成"/>
    <d v="2026-01-10T00:00:00"/>
    <s v="#20021"/>
    <m/>
  </r>
  <r>
    <n v="100"/>
    <s v="X1"/>
    <s v="DOLUONG_x000a_測量"/>
    <x v="98"/>
    <s v="192.168.31.103"/>
    <s v="7 Pro"/>
    <s v="#24007"/>
    <x v="0"/>
    <x v="0"/>
    <s v="Đã hoàn thành_x000a_已完成"/>
    <d v="2026-01-10T00:00:00"/>
    <s v="#20021"/>
    <m/>
  </r>
  <r>
    <n v="101"/>
    <s v="X1"/>
    <s v="DOLUONG_x000a_測量"/>
    <x v="99"/>
    <s v="10.10.10.13"/>
    <s v="XP"/>
    <s v="#00883"/>
    <x v="0"/>
    <x v="1"/>
    <s v="Đã hoàn thành_x000a_已完成"/>
    <d v="2026-01-10T00:00:00"/>
    <s v="#20021"/>
    <m/>
  </r>
  <r>
    <n v="102"/>
    <s v="X1"/>
    <s v="DOLUONG_x000a_測量"/>
    <x v="100"/>
    <s v="10.10.1.1/192.168.31.102"/>
    <s v="10 Pro"/>
    <s v="#04843"/>
    <x v="0"/>
    <x v="0"/>
    <s v="Đã hoàn thành_x000a_已完成"/>
    <d v="2026-01-10T00:00:00"/>
    <s v="#20021"/>
    <m/>
  </r>
  <r>
    <n v="103"/>
    <s v="X1"/>
    <s v="DOLUONG_x000a_測量"/>
    <x v="101"/>
    <s v="10.10.1.4"/>
    <s v="7 Pro"/>
    <s v="#00883"/>
    <x v="0"/>
    <x v="0"/>
    <s v="Đã hoàn thành_x000a_已完成"/>
    <d v="2026-01-10T00:00:00"/>
    <s v="#20021"/>
    <m/>
  </r>
  <r>
    <n v="104"/>
    <s v="X1"/>
    <s v="DOLUONG_x000a_測量"/>
    <x v="102"/>
    <s v="none"/>
    <s v="XP"/>
    <s v="#00883"/>
    <x v="0"/>
    <x v="1"/>
    <s v="Đã hoàn thành_x000a_已完成"/>
    <d v="2026-01-10T00:00:00"/>
    <s v="#20021"/>
    <m/>
  </r>
  <r>
    <n v="105"/>
    <s v="X1"/>
    <s v="DOLUONG_x000a_測量"/>
    <x v="103"/>
    <s v="192.168.33.130"/>
    <s v="10 Pro"/>
    <s v="#00883"/>
    <x v="0"/>
    <x v="0"/>
    <s v="Đã hoàn thành_x000a_已完成"/>
    <d v="2026-01-10T00:00:00"/>
    <s v="#20021"/>
    <m/>
  </r>
  <r>
    <n v="106"/>
    <s v="X1"/>
    <s v="DOLUONG_x000a_測量"/>
    <x v="104"/>
    <s v="10.10.1.3"/>
    <s v="10 Pro"/>
    <s v="#00883"/>
    <x v="0"/>
    <x v="0"/>
    <s v="Đã hoàn thành_x000a_已完成"/>
    <d v="2026-01-10T00:00:00"/>
    <s v="#20021"/>
    <m/>
  </r>
  <r>
    <n v="107"/>
    <s v="X1"/>
    <s v="DOLUONG_x000a_測量"/>
    <x v="105"/>
    <s v="10.10.1.22"/>
    <s v="11 Pro"/>
    <s v="#20369"/>
    <x v="0"/>
    <x v="0"/>
    <s v="Đã hoàn thành_x000a_已完成"/>
    <d v="2026-01-10T00:00:00"/>
    <s v="#20021"/>
    <m/>
  </r>
  <r>
    <n v="108"/>
    <s v="X1"/>
    <s v="DOLUONG_x000a_測量"/>
    <x v="106"/>
    <s v="10.10.1.8"/>
    <s v="10 Pro"/>
    <s v="#00883"/>
    <x v="0"/>
    <x v="0"/>
    <s v="Đã hoàn thành_x000a_已完成"/>
    <d v="2026-01-10T00:00:00"/>
    <s v="#20021"/>
    <m/>
  </r>
  <r>
    <n v="109"/>
    <s v="X1"/>
    <s v="DOLUONG_x000a_測量"/>
    <x v="107"/>
    <s v="10.10.1.7"/>
    <s v="XP"/>
    <s v="#00883"/>
    <x v="0"/>
    <x v="1"/>
    <s v="Đã hoàn thành_x000a_已完成"/>
    <d v="2026-01-10T00:00:00"/>
    <s v="#20021"/>
    <m/>
  </r>
  <r>
    <n v="110"/>
    <s v="X1"/>
    <s v="DOLUONG_x000a_測量"/>
    <x v="108"/>
    <s v="10.10.1.2"/>
    <s v="11 Pro"/>
    <s v="#00883"/>
    <x v="0"/>
    <x v="0"/>
    <s v="Đã hoàn thành_x000a_已完成"/>
    <d v="2026-01-10T00:00:00"/>
    <s v="#20021"/>
    <m/>
  </r>
  <r>
    <n v="111"/>
    <s v="X1"/>
    <s v="DOLUONG_x000a_測量"/>
    <x v="109"/>
    <s v="10.10.1.5"/>
    <s v="XP"/>
    <s v="#00883"/>
    <x v="0"/>
    <x v="1"/>
    <s v="Đã hoàn thành_x000a_已完成"/>
    <d v="2026-01-10T00:00:00"/>
    <s v="#20021"/>
    <m/>
  </r>
  <r>
    <n v="112"/>
    <s v="X1"/>
    <s v="HAN1_x000a_一廠焊接"/>
    <x v="110"/>
    <s v="DHCP"/>
    <s v="11 Pro"/>
    <s v="#00798"/>
    <x v="0"/>
    <x v="0"/>
    <s v="Đã hoàn thành_x000a_已完成"/>
    <d v="2026-01-10T00:00:00"/>
    <s v="#15060"/>
    <m/>
  </r>
  <r>
    <n v="113"/>
    <s v="X1"/>
    <s v="HAN1_x000a_一廠焊接"/>
    <x v="111"/>
    <s v="DHCP"/>
    <s v="11 Pro"/>
    <s v="#00832"/>
    <x v="0"/>
    <x v="0"/>
    <s v="Đã hoàn thành_x000a_已完成"/>
    <d v="2026-01-10T00:00:00"/>
    <s v="#17655"/>
    <m/>
  </r>
  <r>
    <n v="114"/>
    <s v="X1"/>
    <s v="HAN1_x000a_一廠焊接"/>
    <x v="112"/>
    <s v="192.168.31.61"/>
    <s v="11 Pro"/>
    <s v="#10324"/>
    <x v="0"/>
    <x v="0"/>
    <s v="Đã hoàn thành_x000a_已完成"/>
    <d v="2026-01-10T00:00:00"/>
    <s v="#15060"/>
    <m/>
  </r>
  <r>
    <n v="115"/>
    <s v="X1"/>
    <s v="HAN1_x000a_一廠焊接"/>
    <x v="113"/>
    <s v="192.168.31.62"/>
    <s v="11 Pro"/>
    <s v="#02716"/>
    <x v="0"/>
    <x v="0"/>
    <s v="Đã hoàn thành_x000a_已完成"/>
    <d v="2026-01-10T00:00:00"/>
    <s v="#15060"/>
    <m/>
  </r>
  <r>
    <n v="116"/>
    <s v="X1"/>
    <s v="HAN1_x000a_一廠焊接"/>
    <x v="114"/>
    <s v="192.168.31.63"/>
    <s v="11 Pro"/>
    <s v="#01566"/>
    <x v="0"/>
    <x v="0"/>
    <s v="Đã hoàn thành_x000a_已完成"/>
    <d v="2026-01-10T00:00:00"/>
    <s v="#15060"/>
    <m/>
  </r>
  <r>
    <n v="117"/>
    <s v="X1"/>
    <s v="HAN1_x000a_一廠焊接"/>
    <x v="115"/>
    <s v="192.168.31.73"/>
    <s v="11 Pro"/>
    <s v="#02322"/>
    <x v="0"/>
    <x v="0"/>
    <s v="Đã hoàn thành_x000a_已完成"/>
    <d v="2026-01-10T00:00:00"/>
    <s v="#15060"/>
    <m/>
  </r>
  <r>
    <n v="118"/>
    <s v="X1"/>
    <s v="HAN1_x000a_一廠焊接"/>
    <x v="116"/>
    <s v="192.168.31.65"/>
    <s v="11 Pro"/>
    <s v="#07269"/>
    <x v="0"/>
    <x v="0"/>
    <s v="Đã hoàn thành_x000a_已完成"/>
    <d v="2026-01-10T00:00:00"/>
    <s v="#15060"/>
    <m/>
  </r>
  <r>
    <n v="119"/>
    <s v="X1"/>
    <s v="HAN1_x000a_一廠焊接"/>
    <x v="117"/>
    <s v="192.168.31.66"/>
    <s v="11 Pro"/>
    <s v="#00470"/>
    <x v="0"/>
    <x v="0"/>
    <s v="Đã hoàn thành_x000a_已完成"/>
    <d v="2026-01-10T00:00:00"/>
    <s v="#15060"/>
    <m/>
  </r>
  <r>
    <n v="120"/>
    <s v="X1"/>
    <s v="HAN1_x000a_一廠焊接"/>
    <x v="118"/>
    <s v="192.168.31.67"/>
    <s v="11 Pro"/>
    <s v="#03481"/>
    <x v="0"/>
    <x v="0"/>
    <s v="Đã hoàn thành_x000a_已完成"/>
    <d v="2026-01-10T00:00:00"/>
    <s v="#15060"/>
    <m/>
  </r>
  <r>
    <n v="121"/>
    <s v="X1"/>
    <s v="HAN1_x000a_一廠焊接"/>
    <x v="119"/>
    <s v="192.168.31.12"/>
    <s v="11 Pro"/>
    <s v="#00038"/>
    <x v="0"/>
    <x v="0"/>
    <s v="Đã hoàn thành_x000a_已完成"/>
    <d v="2026-01-10T00:00:00"/>
    <s v="#17655"/>
    <m/>
  </r>
  <r>
    <n v="122"/>
    <s v="X1"/>
    <s v="HAN1_x000a_一廠焊接"/>
    <x v="120"/>
    <s v="192.168.31.69"/>
    <s v="10 Pro"/>
    <s v="#07228"/>
    <x v="0"/>
    <x v="0"/>
    <s v="Đã hoàn thành_x000a_已完成"/>
    <d v="2026-01-10T00:00:00"/>
    <s v="#15060"/>
    <m/>
  </r>
  <r>
    <n v="123"/>
    <s v="X1"/>
    <s v="HAN1_x000a_一廠焊接"/>
    <x v="121"/>
    <s v="192.168.31.70/192.168.2.100"/>
    <s v="11 Pro"/>
    <s v="#00798"/>
    <x v="0"/>
    <x v="0"/>
    <s v="Đã hoàn thành_x000a_已完成"/>
    <d v="2026-01-10T00:00:00"/>
    <s v="#15060"/>
    <m/>
  </r>
  <r>
    <n v="124"/>
    <s v="X1"/>
    <s v="HAN1_x000a_一廠焊接"/>
    <x v="122"/>
    <s v="192.168.31.64"/>
    <s v="11 Pro"/>
    <s v="#01177"/>
    <x v="0"/>
    <x v="0"/>
    <s v="Đã hoàn thành_x000a_已完成"/>
    <d v="2026-01-10T00:00:00"/>
    <s v="#15060"/>
    <m/>
  </r>
  <r>
    <n v="125"/>
    <s v="X1"/>
    <s v="HAN1_x000a_一廠焊接"/>
    <x v="123"/>
    <s v="192.168.31.68"/>
    <s v="11 Pro"/>
    <s v="#00886"/>
    <x v="0"/>
    <x v="0"/>
    <s v="Đã hoàn thành_x000a_已完成"/>
    <d v="2026-01-10T00:00:00"/>
    <s v="#15060"/>
    <m/>
  </r>
  <r>
    <n v="126"/>
    <s v="X1"/>
    <s v="HAN1_x000a_一廠焊接"/>
    <x v="124"/>
    <s v="192.168.32.35"/>
    <s v="11 Pro"/>
    <s v="#04419"/>
    <x v="0"/>
    <x v="0"/>
    <s v="Đã hoàn thành_x000a_已完成"/>
    <d v="2026-01-10T00:00:00"/>
    <s v="#15060"/>
    <m/>
  </r>
  <r>
    <n v="127"/>
    <s v="X1"/>
    <s v="HAN1_x000a_一廠焊接"/>
    <x v="125"/>
    <s v="192.168.31.59"/>
    <s v="11 Pro"/>
    <s v="#25988"/>
    <x v="0"/>
    <x v="0"/>
    <s v="Đã hoàn thành_x000a_已完成"/>
    <d v="2026-01-10T00:00:00"/>
    <s v="#15060"/>
    <m/>
  </r>
  <r>
    <n v="128"/>
    <s v="X1"/>
    <s v="KHO NL1_x000a_一廠原料倉庫"/>
    <x v="126"/>
    <s v="192.168.31.51"/>
    <s v="11 Pro"/>
    <s v="#07039"/>
    <x v="0"/>
    <x v="0"/>
    <s v="Đã hoàn thành_x000a_已完成"/>
    <d v="2026-01-10T00:00:00"/>
    <s v="#20021"/>
    <m/>
  </r>
  <r>
    <n v="129"/>
    <s v="X1"/>
    <s v="KHO NL1_x000a_一廠原料倉庫"/>
    <x v="127"/>
    <s v="192.168.31.52"/>
    <s v="11 Pro"/>
    <s v="#21343"/>
    <x v="0"/>
    <x v="0"/>
    <s v="Đã hoàn thành_x000a_已完成"/>
    <d v="2026-01-10T00:00:00"/>
    <s v="#20021"/>
    <m/>
  </r>
  <r>
    <n v="130"/>
    <s v="X1"/>
    <s v="KHO NL1_x000a_一廠原料倉庫"/>
    <x v="128"/>
    <s v="192.168.31.53"/>
    <s v="11 Pro"/>
    <s v="#00400"/>
    <x v="0"/>
    <x v="0"/>
    <s v="Đã hoàn thành_x000a_已完成"/>
    <d v="2026-01-10T00:00:00"/>
    <s v="#20021"/>
    <m/>
  </r>
  <r>
    <n v="131"/>
    <s v="X1"/>
    <s v="KHO NL1_x000a_一廠原料倉庫"/>
    <x v="129"/>
    <s v="192.168.31.54"/>
    <s v="11 Pro"/>
    <s v="#02419"/>
    <x v="0"/>
    <x v="0"/>
    <s v="Đã hoàn thành_x000a_已完成"/>
    <d v="2026-01-10T00:00:00"/>
    <s v="#20021"/>
    <m/>
  </r>
  <r>
    <n v="132"/>
    <s v="X1"/>
    <s v="KHO NL1_x000a_一廠原料倉庫"/>
    <x v="130"/>
    <s v="192.168.31.56"/>
    <s v="11 Pro"/>
    <s v="#00400"/>
    <x v="0"/>
    <x v="0"/>
    <s v="Đã hoàn thành_x000a_已完成"/>
    <d v="2026-01-10T00:00:00"/>
    <s v="#20021"/>
    <m/>
  </r>
  <r>
    <n v="133"/>
    <s v="X1"/>
    <s v="KHO NL1_x000a_一廠原料倉庫"/>
    <x v="131"/>
    <s v="192.168.31.58"/>
    <s v="11 Pro"/>
    <s v="#02183"/>
    <x v="0"/>
    <x v="0"/>
    <s v="Đã hoàn thành_x000a_已完成"/>
    <d v="2026-01-10T00:00:00"/>
    <s v="#20021"/>
    <m/>
  </r>
  <r>
    <n v="134"/>
    <s v="X1"/>
    <s v="KHO NL1_x000a_一廠原料倉庫"/>
    <x v="132"/>
    <s v="192.168.32.11"/>
    <s v="11 Pro"/>
    <s v="#06654"/>
    <x v="0"/>
    <x v="0"/>
    <s v="Đã hoàn thành_x000a_已完成"/>
    <d v="2026-01-10T00:00:00"/>
    <s v="#20021"/>
    <m/>
  </r>
  <r>
    <n v="135"/>
    <s v="X1"/>
    <s v="KHO NL1_x000a_一廠原料倉庫"/>
    <x v="133"/>
    <s v="192.168.33.138"/>
    <s v="11 Pro"/>
    <s v="#09040"/>
    <x v="0"/>
    <x v="0"/>
    <s v="Đã hoàn thành_x000a_已完成"/>
    <d v="2026-01-10T00:00:00"/>
    <s v="#20021"/>
    <m/>
  </r>
  <r>
    <n v="136"/>
    <s v="X1"/>
    <s v="DAP1_x000a_一廠沖壓"/>
    <x v="134"/>
    <s v="192.168.32.66"/>
    <s v="11 Pro"/>
    <s v="#07790"/>
    <x v="0"/>
    <x v="0"/>
    <s v="Đã hoàn thành_x000a_已完成"/>
    <d v="2026-01-10T00:00:00"/>
    <s v="#20021"/>
    <m/>
  </r>
  <r>
    <n v="137"/>
    <s v="X1"/>
    <s v="DAP1_x000a_一廠沖壓"/>
    <x v="135"/>
    <s v="192.168.32.16"/>
    <s v="11 Pro"/>
    <s v="#16479"/>
    <x v="0"/>
    <x v="0"/>
    <s v="Đã hoàn thành_x000a_已完成"/>
    <d v="2026-01-10T00:00:00"/>
    <s v="#20021"/>
    <m/>
  </r>
  <r>
    <n v="138"/>
    <s v="X1"/>
    <s v="DAP1_x000a_一廠沖壓"/>
    <x v="136"/>
    <s v="192.168.32.68"/>
    <s v="11 Pro"/>
    <s v="#10988"/>
    <x v="0"/>
    <x v="0"/>
    <s v="Đã hoàn thành_x000a_已完成"/>
    <d v="2026-01-10T00:00:00"/>
    <s v="#20021"/>
    <m/>
  </r>
  <r>
    <n v="139"/>
    <s v="X1"/>
    <s v="DAP1_x000a_一廠沖壓"/>
    <x v="137"/>
    <s v="192.168.31.80"/>
    <s v="11 Pro"/>
    <s v="#03439"/>
    <x v="0"/>
    <x v="0"/>
    <s v="Đã hoàn thành_x000a_已完成"/>
    <d v="2026-01-10T00:00:00"/>
    <s v="#20021"/>
    <m/>
  </r>
  <r>
    <n v="140"/>
    <s v="X1"/>
    <s v="DAP1_x000a_一廠沖壓"/>
    <x v="138"/>
    <s v="192.168.32.17"/>
    <s v="11 Pro"/>
    <s v="#03094"/>
    <x v="0"/>
    <x v="0"/>
    <s v="Đã hoàn thành_x000a_已完成"/>
    <d v="2026-01-10T00:00:00"/>
    <s v="#20021"/>
    <m/>
  </r>
  <r>
    <n v="141"/>
    <s v="X1"/>
    <s v="DAP1_x000a_一廠沖壓"/>
    <x v="139"/>
    <s v="192.168.32.18"/>
    <s v="11 Pro"/>
    <s v="#17617"/>
    <x v="0"/>
    <x v="0"/>
    <s v="Đã hoàn thành_x000a_已完成"/>
    <d v="2026-01-10T00:00:00"/>
    <s v="#20021"/>
    <m/>
  </r>
  <r>
    <n v="142"/>
    <s v="X1"/>
    <s v="DAP1_x000a_一廠沖壓"/>
    <x v="140"/>
    <s v="192.168.32.19"/>
    <s v="11 Pro"/>
    <s v="#00998"/>
    <x v="0"/>
    <x v="0"/>
    <s v="Đã hoàn thành_x000a_已完成"/>
    <d v="2026-01-10T00:00:00"/>
    <s v="#20021"/>
    <m/>
  </r>
  <r>
    <n v="143"/>
    <s v="X1"/>
    <s v="DAP1_x000a_一廠沖壓"/>
    <x v="141"/>
    <s v="192.168.32.20"/>
    <s v="11 Pro"/>
    <s v="#00487"/>
    <x v="0"/>
    <x v="0"/>
    <s v="Đã hoàn thành_x000a_已完成"/>
    <d v="2026-01-10T00:00:00"/>
    <s v="#20021"/>
    <m/>
  </r>
  <r>
    <n v="144"/>
    <s v="X1"/>
    <s v="DAP1_x000a_一廠沖壓"/>
    <x v="142"/>
    <s v="192.168.32.12"/>
    <s v="11 Pro"/>
    <s v="#00765"/>
    <x v="0"/>
    <x v="0"/>
    <s v="Đã hoàn thành_x000a_已完成"/>
    <d v="2026-01-10T00:00:00"/>
    <s v="#20021"/>
    <m/>
  </r>
  <r>
    <n v="145"/>
    <s v="X1"/>
    <s v="DAP1_x000a_一廠沖壓"/>
    <x v="143"/>
    <s v="192.168.32.15"/>
    <s v="11 Pro"/>
    <s v="#00860"/>
    <x v="0"/>
    <x v="0"/>
    <s v="Đã hoàn thành_x000a_已完成"/>
    <d v="2026-01-10T00:00:00"/>
    <s v="#20021"/>
    <m/>
  </r>
  <r>
    <n v="146"/>
    <s v="X1"/>
    <s v="DAP1_x000a_一廠沖壓"/>
    <x v="144"/>
    <s v="DHCP"/>
    <s v="11 Pro"/>
    <s v="#00254"/>
    <x v="0"/>
    <x v="0"/>
    <s v="Đã hoàn thành_x000a_已完成"/>
    <d v="2026-01-10T00:00:00"/>
    <s v="#17655"/>
    <m/>
  </r>
  <r>
    <n v="147"/>
    <s v="X1"/>
    <s v="SON1_x000a_一廠塗裝"/>
    <x v="145"/>
    <s v="192.168.32.50"/>
    <s v="11 Pro"/>
    <s v="#11637"/>
    <x v="0"/>
    <x v="0"/>
    <s v="Đã hoàn thành_x000a_已完成"/>
    <d v="2026-01-10T00:00:00"/>
    <s v="#20021"/>
    <m/>
  </r>
  <r>
    <n v="148"/>
    <s v="X1"/>
    <s v="SON1_x000a_一廠塗裝"/>
    <x v="146"/>
    <s v="192.168.32.51"/>
    <s v="11 Pro"/>
    <s v="#11553"/>
    <x v="0"/>
    <x v="0"/>
    <s v="Đã hoàn thành_x000a_已完成"/>
    <d v="2026-01-10T00:00:00"/>
    <s v="#20021"/>
    <m/>
  </r>
  <r>
    <n v="149"/>
    <s v="X1"/>
    <s v="SON1_x000a_一廠塗裝"/>
    <x v="147"/>
    <s v="192.168.32.52"/>
    <s v="11 Pro"/>
    <s v="#11064"/>
    <x v="0"/>
    <x v="0"/>
    <s v="Đã hoàn thành_x000a_已完成"/>
    <d v="2026-01-10T00:00:00"/>
    <s v="#20021"/>
    <m/>
  </r>
  <r>
    <n v="150"/>
    <s v="X1"/>
    <s v="SON1_x000a_一廠塗裝"/>
    <x v="148"/>
    <s v="192.168.32.53"/>
    <s v="11 Pro"/>
    <s v="#09567"/>
    <x v="0"/>
    <x v="0"/>
    <s v="Đã hoàn thành_x000a_已完成"/>
    <d v="2026-01-10T00:00:00"/>
    <s v="#20021"/>
    <m/>
  </r>
  <r>
    <n v="151"/>
    <s v="X1"/>
    <s v="SON1_x000a_一廠塗裝"/>
    <x v="149"/>
    <s v="192.168.32.54"/>
    <s v="11 Pro"/>
    <s v="SON105-MEETING"/>
    <x v="0"/>
    <x v="0"/>
    <s v="Đã hoàn thành_x000a_已完成"/>
    <d v="2026-01-10T00:00:00"/>
    <s v="#20021"/>
    <m/>
  </r>
  <r>
    <n v="152"/>
    <s v="X1"/>
    <s v="SON1_x000a_一廠塗裝"/>
    <x v="150"/>
    <s v="192.168.32.55"/>
    <s v="11 Pro"/>
    <s v="#20055"/>
    <x v="0"/>
    <x v="0"/>
    <s v="Đã hoàn thành_x000a_已完成"/>
    <d v="2026-01-10T00:00:00"/>
    <s v="#20021"/>
    <m/>
  </r>
  <r>
    <n v="153"/>
    <s v="X1"/>
    <s v="KHO LK1_x000a_一廠零件倉庫"/>
    <x v="151"/>
    <s v="192.168.32.69"/>
    <s v="11 Pro"/>
    <s v="#00125"/>
    <x v="0"/>
    <x v="0"/>
    <s v="Đã hoàn thành_x000a_已完成"/>
    <d v="2026-01-10T00:00:00"/>
    <s v="#20021"/>
    <m/>
  </r>
  <r>
    <n v="154"/>
    <s v="X1"/>
    <s v="KHO LK1_x000a_一廠零件倉庫"/>
    <x v="152"/>
    <s v="192.168.32.45"/>
    <s v="11 Pro"/>
    <s v="#00807"/>
    <x v="0"/>
    <x v="0"/>
    <s v="Đã hoàn thành_x000a_已完成"/>
    <d v="2026-01-10T00:00:00"/>
    <s v="#17655"/>
    <m/>
  </r>
  <r>
    <n v="155"/>
    <s v="X1"/>
    <s v="KHO LK1_x000a_一廠零件倉庫"/>
    <x v="153"/>
    <s v="192.168.32.46"/>
    <s v="11 Pro"/>
    <s v="#00125"/>
    <x v="0"/>
    <x v="0"/>
    <s v="Đã hoàn thành_x000a_已完成"/>
    <d v="2026-01-10T00:00:00"/>
    <s v="#17655"/>
    <m/>
  </r>
  <r>
    <n v="156"/>
    <s v="X1"/>
    <s v="KHO LK1_x000a_一廠零件倉庫"/>
    <x v="154"/>
    <s v="192.168.32.62"/>
    <s v="11 Pro"/>
    <s v="#00125"/>
    <x v="0"/>
    <x v="0"/>
    <s v="Đã hoàn thành_x000a_已完成"/>
    <d v="2026-01-10T00:00:00"/>
    <s v="#20021"/>
    <m/>
  </r>
  <r>
    <n v="157"/>
    <s v="X1"/>
    <s v="KHO LK1_x000a_一廠零件倉庫"/>
    <x v="155"/>
    <s v="192.168.32.63"/>
    <s v="11 Pro"/>
    <s v="# 03042"/>
    <x v="0"/>
    <x v="0"/>
    <s v="Đã hoàn thành_x000a_已完成"/>
    <d v="2026-01-10T00:00:00"/>
    <s v="#20021"/>
    <m/>
  </r>
  <r>
    <n v="158"/>
    <s v="X3"/>
    <s v="SON3_x000a_三廠塗裝"/>
    <x v="156"/>
    <s v="192.168.32.40"/>
    <s v="11 Pro"/>
    <s v="#00987"/>
    <x v="0"/>
    <x v="0"/>
    <s v="Đã hoàn thành_x000a_已完成"/>
    <d v="2026-01-10T00:00:00"/>
    <s v="#20021"/>
    <m/>
  </r>
  <r>
    <n v="159"/>
    <s v="X3"/>
    <s v="SON3_x000a_三廠塗裝"/>
    <x v="157"/>
    <s v="192.168.32.41"/>
    <s v="11 Pro"/>
    <s v="#05539"/>
    <x v="0"/>
    <x v="0"/>
    <s v="Đã hoàn thành_x000a_已完成"/>
    <d v="2026-01-10T00:00:00"/>
    <s v="#20021"/>
    <m/>
  </r>
  <r>
    <n v="160"/>
    <s v="X3"/>
    <s v="SON3_x000a_三廠塗裝"/>
    <x v="158"/>
    <s v="192.168.32.43"/>
    <s v="11 Pro"/>
    <s v="#09592"/>
    <x v="0"/>
    <x v="0"/>
    <s v="Đã hoàn thành_x000a_已完成"/>
    <d v="2026-01-10T00:00:00"/>
    <s v="#20021"/>
    <m/>
  </r>
  <r>
    <n v="161"/>
    <s v="X3"/>
    <s v="SON3_x000a_三廠塗裝"/>
    <x v="159"/>
    <s v="192.168.32.44"/>
    <s v="11 Pro"/>
    <s v="#10613"/>
    <x v="0"/>
    <x v="0"/>
    <s v="Đã hoàn thành_x000a_已完成"/>
    <d v="2026-01-10T00:00:00"/>
    <s v="#20021"/>
    <m/>
  </r>
  <r>
    <n v="162"/>
    <s v="X3"/>
    <s v="SON3_x000a_三廠塗裝"/>
    <x v="160"/>
    <s v="192.168.32.42"/>
    <s v="11 Pro"/>
    <s v="#01187"/>
    <x v="0"/>
    <x v="0"/>
    <s v="Đã hoàn thành_x000a_已完成"/>
    <d v="2026-01-10T00:00:00"/>
    <s v="#20021"/>
    <m/>
  </r>
  <r>
    <n v="163"/>
    <s v="X3"/>
    <s v="SON3_x000a_三廠塗裝"/>
    <x v="161"/>
    <s v="192.168.32.47"/>
    <s v="11 Pro"/>
    <s v="#00811"/>
    <x v="0"/>
    <x v="0"/>
    <s v="Đã hoàn thành_x000a_已完成"/>
    <d v="2026-01-10T00:00:00"/>
    <s v="#20021"/>
    <m/>
  </r>
  <r>
    <n v="164"/>
    <s v="X3"/>
    <s v="SON3_x000a_三廠塗裝"/>
    <x v="162"/>
    <s v="192.168.32.49"/>
    <s v="11 Pro"/>
    <s v="#00895"/>
    <x v="0"/>
    <x v="0"/>
    <s v="Đã hoàn thành_x000a_已完成"/>
    <d v="2026-01-10T00:00:00"/>
    <s v="#20021"/>
    <m/>
  </r>
  <r>
    <n v="165"/>
    <s v="X3"/>
    <s v="SON3_x000a_三廠塗裝"/>
    <x v="163"/>
    <s v="DHCP"/>
    <s v="10 Pro"/>
    <s v="#04254"/>
    <x v="0"/>
    <x v="0"/>
    <s v="Đã hoàn thành_x000a_已完成"/>
    <d v="2026-01-10T00:00:00"/>
    <s v="#20021"/>
    <m/>
  </r>
  <r>
    <n v="166"/>
    <s v="X3"/>
    <s v="KHO LK3_x000a_三廠零件倉庫"/>
    <x v="164"/>
    <s v="192.168.32.80"/>
    <s v="11 Pro"/>
    <s v="#00844"/>
    <x v="0"/>
    <x v="0"/>
    <s v="Đã hoàn thành_x000a_已完成"/>
    <d v="2026-01-10T00:00:00"/>
    <s v="#20021"/>
    <m/>
  </r>
  <r>
    <n v="167"/>
    <s v="X3"/>
    <s v="KHO LK3_x000a_三廠零件倉庫"/>
    <x v="165"/>
    <s v="192.168.32.65"/>
    <s v="11 Pro"/>
    <s v="#05077"/>
    <x v="0"/>
    <x v="0"/>
    <s v="Đã hoàn thành_x000a_已完成"/>
    <d v="2026-01-10T00:00:00"/>
    <s v="#20021"/>
    <m/>
  </r>
  <r>
    <n v="168"/>
    <s v="X3"/>
    <s v="KHO LK3_x000a_三廠零件倉庫"/>
    <x v="166"/>
    <s v="192.168.32.37"/>
    <s v="11 Pro"/>
    <s v="#01787"/>
    <x v="0"/>
    <x v="0"/>
    <s v="Đã hoàn thành_x000a_已完成"/>
    <d v="2026-01-10T00:00:00"/>
    <s v="#20021"/>
    <m/>
  </r>
  <r>
    <n v="169"/>
    <s v="X3"/>
    <s v="KHO LK3_x000a_三廠零件倉庫"/>
    <x v="167"/>
    <s v="192.168.32.85"/>
    <s v="11 Pro"/>
    <s v="#02295"/>
    <x v="0"/>
    <x v="0"/>
    <s v="Đã hoàn thành_x000a_已完成"/>
    <d v="2026-01-10T00:00:00"/>
    <s v="#20021"/>
    <m/>
  </r>
  <r>
    <n v="170"/>
    <s v="X3"/>
    <s v="KHO LK3_x000a_三廠零件倉庫"/>
    <x v="168"/>
    <s v="192.168.32.61"/>
    <s v="11 Pro"/>
    <s v="#24123"/>
    <x v="0"/>
    <x v="0"/>
    <s v="Đã hoàn thành_x000a_已完成"/>
    <d v="2026-01-10T00:00:00"/>
    <s v="#20021"/>
    <m/>
  </r>
  <r>
    <n v="171"/>
    <s v="X3"/>
    <s v="DAP3_x000a_三廠沖壓"/>
    <x v="169"/>
    <s v="192.168.32.200"/>
    <s v="7 Pro"/>
    <s v="#07286"/>
    <x v="1"/>
    <x v="0"/>
    <s v="Đã hoàn thành_x000a_已完成"/>
    <d v="2026-01-10T00:00:00"/>
    <s v="#20021"/>
    <s v="- Máy CNC kết nốt máy tính lấy dữ liệu bằng giao thức SMB1"/>
  </r>
  <r>
    <n v="172"/>
    <s v="X3"/>
    <s v="DAP3_x000a_三廠沖壓"/>
    <x v="170"/>
    <s v="DHCP"/>
    <s v="10 Pro"/>
    <s v="#00868"/>
    <x v="0"/>
    <x v="0"/>
    <s v="Đã hoàn thành_x000a_已完成"/>
    <d v="2026-01-10T00:00:00"/>
    <s v="#20021"/>
    <m/>
  </r>
  <r>
    <n v="173"/>
    <s v="X3"/>
    <s v="DAP3_x000a_三廠沖壓"/>
    <x v="171"/>
    <s v="192.168.32.21"/>
    <s v="11 Pro"/>
    <s v="#03229"/>
    <x v="0"/>
    <x v="0"/>
    <s v="Đã hoàn thành_x000a_已完成"/>
    <d v="2026-01-10T00:00:00"/>
    <s v="#20021"/>
    <m/>
  </r>
  <r>
    <n v="174"/>
    <s v="X3"/>
    <s v="DAP3_x000a_三廠沖壓"/>
    <x v="172"/>
    <s v="192.168.32.64"/>
    <s v="11 Pro"/>
    <s v="#02260"/>
    <x v="0"/>
    <x v="0"/>
    <s v="Đã hoàn thành_x000a_已完成"/>
    <d v="2026-01-10T00:00:00"/>
    <s v="#20021"/>
    <m/>
  </r>
  <r>
    <n v="175"/>
    <s v="X3"/>
    <s v="DAP3_x000a_三廠沖壓"/>
    <x v="173"/>
    <s v="192.168.32.23"/>
    <s v="11 Pro"/>
    <s v="#10368"/>
    <x v="0"/>
    <x v="0"/>
    <s v="Đã hoàn thành_x000a_已完成"/>
    <d v="2026-01-10T00:00:00"/>
    <s v="#20021"/>
    <m/>
  </r>
  <r>
    <n v="176"/>
    <s v="X3"/>
    <s v="DAP3_x000a_三廠沖壓"/>
    <x v="174"/>
    <s v="192.168.32.24"/>
    <s v="11 Pro"/>
    <s v="#01283"/>
    <x v="0"/>
    <x v="0"/>
    <s v="Đã hoàn thành_x000a_已完成"/>
    <d v="2026-01-10T00:00:00"/>
    <s v="#20021"/>
    <m/>
  </r>
  <r>
    <n v="177"/>
    <s v="X3"/>
    <s v="DAP3_x000a_三廠沖壓"/>
    <x v="175"/>
    <s v="192.168.32.25"/>
    <s v="11 Pro"/>
    <s v="#00172"/>
    <x v="0"/>
    <x v="0"/>
    <s v="Đã hoàn thành_x000a_已完成"/>
    <d v="2026-01-10T00:00:00"/>
    <s v="#20021"/>
    <m/>
  </r>
  <r>
    <n v="178"/>
    <s v="X3"/>
    <s v="DAP3_x000a_三廠沖壓"/>
    <x v="176"/>
    <s v="192.168.32.26"/>
    <s v="11 Pro"/>
    <s v="#10367"/>
    <x v="0"/>
    <x v="0"/>
    <s v="Đã hoàn thành_x000a_已完成"/>
    <d v="2026-01-10T00:00:00"/>
    <s v="#20021"/>
    <m/>
  </r>
  <r>
    <n v="179"/>
    <s v="X3"/>
    <s v="DAP3_x000a_三廠沖壓"/>
    <x v="177"/>
    <s v="192.168.32.27"/>
    <s v="11 Pro"/>
    <s v="#26001"/>
    <x v="0"/>
    <x v="0"/>
    <s v="Đã hoàn thành_x000a_已完成"/>
    <d v="2026-01-10T00:00:00"/>
    <s v="#20021"/>
    <m/>
  </r>
  <r>
    <n v="180"/>
    <s v="X3"/>
    <s v="DAP3_x000a_三廠沖壓"/>
    <x v="178"/>
    <s v="192.168.32.67/10.10.10.2"/>
    <s v="11 Pro"/>
    <s v="#23205"/>
    <x v="0"/>
    <x v="0"/>
    <s v="Đã hoàn thành_x000a_已完成"/>
    <d v="2026-01-10T00:00:00"/>
    <s v="#20021"/>
    <m/>
  </r>
  <r>
    <n v="181"/>
    <s v="X3"/>
    <s v="DAP3_x000a_三廠沖壓"/>
    <x v="179"/>
    <s v="192.168.32.70"/>
    <s v="11 Pro"/>
    <s v="#19230"/>
    <x v="0"/>
    <x v="0"/>
    <s v="Đã hoàn thành_x000a_已完成"/>
    <d v="2026-01-10T00:00:00"/>
    <s v="#20021"/>
    <m/>
  </r>
  <r>
    <n v="182"/>
    <s v="X3"/>
    <s v="DAP3_x000a_三廠沖壓"/>
    <x v="180"/>
    <s v="192.168.32.71"/>
    <s v="11 Pro"/>
    <s v="#08917"/>
    <x v="0"/>
    <x v="0"/>
    <s v="Đã hoàn thành_x000a_已完成"/>
    <d v="2026-01-10T00:00:00"/>
    <s v="#20021"/>
    <m/>
  </r>
  <r>
    <n v="183"/>
    <s v="X3"/>
    <s v="DAP3_x000a_三廠沖壓"/>
    <x v="181"/>
    <s v="192.168.32.72"/>
    <s v="11 Pro"/>
    <s v="#02857"/>
    <x v="0"/>
    <x v="0"/>
    <s v="Đã hoàn thành_x000a_已完成"/>
    <d v="2026-01-10T00:00:00"/>
    <s v="#20021"/>
    <m/>
  </r>
  <r>
    <n v="184"/>
    <s v="X3"/>
    <s v="DAP3_x000a_三廠沖壓"/>
    <x v="182"/>
    <s v="192.168.32.73"/>
    <s v="11 Pro"/>
    <s v="#17741"/>
    <x v="0"/>
    <x v="0"/>
    <s v="Đã hoàn thành_x000a_已完成"/>
    <d v="2026-01-10T00:00:00"/>
    <s v="#20021"/>
    <m/>
  </r>
  <r>
    <n v="185"/>
    <s v="X3"/>
    <s v="DAP3_x000a_三廠沖壓"/>
    <x v="183"/>
    <s v="192.168.32.76"/>
    <s v="11 Pro"/>
    <s v="#02319"/>
    <x v="0"/>
    <x v="0"/>
    <s v="Đã hoàn thành_x000a_已完成"/>
    <d v="2026-01-10T00:00:00"/>
    <s v="#20021"/>
    <m/>
  </r>
  <r>
    <n v="186"/>
    <s v="X3"/>
    <s v="DAP3_x000a_三廠沖壓"/>
    <x v="184"/>
    <s v="192.168.32.14"/>
    <s v="11 Pro"/>
    <s v="#09866"/>
    <x v="0"/>
    <x v="0"/>
    <s v="Đã hoàn thành_x000a_已完成"/>
    <d v="2026-01-10T00:00:00"/>
    <s v="#20021"/>
    <m/>
  </r>
  <r>
    <n v="187"/>
    <s v="X3"/>
    <s v="DAP3_x000a_三廠沖壓"/>
    <x v="185"/>
    <s v="DHCP"/>
    <s v="11 Pro"/>
    <s v="#00677"/>
    <x v="0"/>
    <x v="0"/>
    <s v="Đã hoàn thành_x000a_已完成"/>
    <d v="2026-01-10T00:00:00"/>
    <s v="#20021"/>
    <m/>
  </r>
  <r>
    <n v="188"/>
    <s v="X3"/>
    <s v="DAP3_x000a_三廠沖壓"/>
    <x v="186"/>
    <s v="DHCP"/>
    <s v="11 Pro"/>
    <s v="#00172"/>
    <x v="0"/>
    <x v="0"/>
    <s v="Đã hoàn thành_x000a_已完成"/>
    <d v="2026-01-10T00:00:00"/>
    <s v="#20021"/>
    <m/>
  </r>
  <r>
    <n v="189"/>
    <s v="X3"/>
    <s v="LAPRAP_x000a_組裝"/>
    <x v="187"/>
    <s v="192.168.32.31"/>
    <s v="11 Pro"/>
    <s v="#13581"/>
    <x v="0"/>
    <x v="0"/>
    <s v="Đã hoàn thành_x000a_已完成"/>
    <d v="2026-01-10T00:00:00"/>
    <s v="#20021"/>
    <m/>
  </r>
  <r>
    <n v="190"/>
    <s v="X3"/>
    <s v="LAPRAP_x000a_組裝"/>
    <x v="188"/>
    <s v="192.168.32.32"/>
    <s v="11 Pro"/>
    <s v="#03299"/>
    <x v="0"/>
    <x v="0"/>
    <s v="Đã hoàn thành_x000a_已完成"/>
    <d v="2026-01-10T00:00:00"/>
    <s v="#20021"/>
    <m/>
  </r>
  <r>
    <n v="191"/>
    <s v="X3"/>
    <s v="LAPRAP_x000a_組裝"/>
    <x v="189"/>
    <s v="192.168.32.33"/>
    <s v="11 Pro"/>
    <s v="#01266"/>
    <x v="0"/>
    <x v="0"/>
    <s v="Đã hoàn thành_x000a_已完成"/>
    <d v="2026-01-10T00:00:00"/>
    <s v="#20021"/>
    <m/>
  </r>
  <r>
    <n v="192"/>
    <s v="X3"/>
    <s v="LAPRAP_x000a_組裝"/>
    <x v="190"/>
    <s v="192.168.32.34"/>
    <s v="11 Pro"/>
    <s v="#14212"/>
    <x v="0"/>
    <x v="0"/>
    <s v="Đã hoàn thành_x000a_已完成"/>
    <d v="2026-01-10T00:00:00"/>
    <s v="#20021"/>
    <m/>
  </r>
  <r>
    <n v="193"/>
    <s v="X3"/>
    <s v="HAN3_x000a_三廠焊接"/>
    <x v="191"/>
    <s v="192.168.32.1"/>
    <s v="11 Pro"/>
    <s v="#16118"/>
    <x v="0"/>
    <x v="0"/>
    <s v="Đã hoàn thành_x000a_已完成"/>
    <d v="2026-01-10T00:00:00"/>
    <s v="#20021"/>
    <m/>
  </r>
  <r>
    <n v="194"/>
    <s v="X3"/>
    <s v="HAN3_x000a_三廠焊接"/>
    <x v="192"/>
    <s v="192.168.32.2"/>
    <s v="11 Pro"/>
    <s v="#02260"/>
    <x v="0"/>
    <x v="0"/>
    <s v="Đã hoàn thành_x000a_已完成"/>
    <d v="2026-01-10T00:00:00"/>
    <s v="#20021"/>
    <m/>
  </r>
  <r>
    <n v="195"/>
    <s v="X3"/>
    <s v="HAN3_x000a_三廠焊接"/>
    <x v="193"/>
    <s v="192.168.32.3"/>
    <s v="11 Pro"/>
    <s v="#19163+07844"/>
    <x v="0"/>
    <x v="0"/>
    <s v="Đã hoàn thành_x000a_已完成"/>
    <d v="2026-01-10T00:00:00"/>
    <s v="#20021"/>
    <m/>
  </r>
  <r>
    <n v="196"/>
    <s v="X3"/>
    <s v="HAN3_x000a_三廠焊接"/>
    <x v="194"/>
    <s v="192.168.32.4"/>
    <s v="11 Pro"/>
    <s v="#04210"/>
    <x v="0"/>
    <x v="0"/>
    <s v="Đã hoàn thành_x000a_已完成"/>
    <d v="2026-01-10T00:00:00"/>
    <s v="#20021"/>
    <m/>
  </r>
  <r>
    <n v="197"/>
    <s v="X3"/>
    <s v="HAN3_x000a_三廠焊接"/>
    <x v="195"/>
    <s v="192.168.32.5"/>
    <s v="11 Pro"/>
    <s v="#15895"/>
    <x v="0"/>
    <x v="0"/>
    <s v="Đã hoàn thành_x000a_已完成"/>
    <d v="2026-01-10T00:00:00"/>
    <s v="#20021"/>
    <m/>
  </r>
  <r>
    <n v="198"/>
    <s v="X3"/>
    <s v="HAN3_x000a_三廠焊接"/>
    <x v="196"/>
    <s v="192.168.32.6"/>
    <s v="11 Pro"/>
    <s v="#03554"/>
    <x v="0"/>
    <x v="0"/>
    <s v="Đã hoàn thành_x000a_已完成"/>
    <d v="2026-01-10T00:00:00"/>
    <s v="#20021"/>
    <m/>
  </r>
  <r>
    <n v="199"/>
    <s v="X3"/>
    <s v="HAN3_x000a_三廠焊接"/>
    <x v="197"/>
    <s v="192.168.32.7"/>
    <s v="11 Pro"/>
    <s v="#00288"/>
    <x v="0"/>
    <x v="0"/>
    <s v="Đã hoàn thành_x000a_已完成"/>
    <d v="2026-01-10T00:00:00"/>
    <s v="#20021"/>
    <m/>
  </r>
  <r>
    <n v="200"/>
    <s v="X3"/>
    <s v="HAN3_x000a_三廠焊接"/>
    <x v="198"/>
    <s v="192.168.32.9"/>
    <s v="11 Pro"/>
    <s v="#00624"/>
    <x v="0"/>
    <x v="0"/>
    <s v="Đã hoàn thành_x000a_已完成"/>
    <d v="2026-01-10T00:00:00"/>
    <s v="#20021"/>
    <m/>
  </r>
  <r>
    <n v="201"/>
    <s v="X3"/>
    <s v="HAN3_x000a_三廠焊接"/>
    <x v="199"/>
    <s v="192.168.32.22"/>
    <s v="11 Pro"/>
    <s v="#09096"/>
    <x v="0"/>
    <x v="0"/>
    <s v="Đã hoàn thành_x000a_已完成"/>
    <d v="2026-01-10T00:00:00"/>
    <s v="#20021"/>
    <m/>
  </r>
  <r>
    <n v="202"/>
    <s v="X3"/>
    <s v="HAN3_x000a_三廠焊接"/>
    <x v="200"/>
    <s v="192.168.32.8\172.16.30.1"/>
    <s v="XP"/>
    <s v="#03554"/>
    <x v="0"/>
    <x v="1"/>
    <s v="Đã hoàn thành_x000a_已完成"/>
    <d v="2026-01-10T00:00:00"/>
    <s v="#20021"/>
    <m/>
  </r>
  <r>
    <n v="203"/>
    <s v="X3"/>
    <s v="HAN3_x000a_三廠焊接"/>
    <x v="201"/>
    <s v="192.168.32.28"/>
    <s v="11 Pro"/>
    <s v="#00293"/>
    <x v="0"/>
    <x v="0"/>
    <s v="Đã hoàn thành_x000a_已完成"/>
    <d v="2026-01-10T00:00:00"/>
    <s v="#20021"/>
    <m/>
  </r>
  <r>
    <n v="204"/>
    <s v="X3"/>
    <s v="HAN3_x000a_三廠焊接"/>
    <x v="202"/>
    <s v="192.168.32.10"/>
    <s v="10 Pro"/>
    <s v="#14201"/>
    <x v="0"/>
    <x v="0"/>
    <s v="Đã hoàn thành_x000a_已完成"/>
    <d v="2026-01-10T00:00:00"/>
    <s v="#20021"/>
    <m/>
  </r>
  <r>
    <n v="205"/>
    <s v="X3"/>
    <s v="HAN3_x000a_三廠焊接"/>
    <x v="203"/>
    <s v="DHCP"/>
    <s v="11 Pro"/>
    <s v="#00884"/>
    <x v="0"/>
    <x v="0"/>
    <s v="Đã hoàn thành_x000a_已完成"/>
    <d v="2026-01-10T00:00:00"/>
    <s v="#20021"/>
    <m/>
  </r>
  <r>
    <n v="206"/>
    <s v="X3"/>
    <s v="XIMA_x000a_電鍍"/>
    <x v="204"/>
    <s v="DHCP"/>
    <s v="11 Pro"/>
    <s v="#01644"/>
    <x v="0"/>
    <x v="0"/>
    <s v="Đã hoàn thành_x000a_已完成"/>
    <d v="2026-01-10T00:00:00"/>
    <s v="#20021"/>
    <m/>
  </r>
  <r>
    <n v="207"/>
    <s v="X3"/>
    <s v="XIMA_x000a_電鍍"/>
    <x v="205"/>
    <s v="192.168.32.91"/>
    <s v="11 Pro"/>
    <s v="#24789"/>
    <x v="0"/>
    <x v="0"/>
    <s v="Đã hoàn thành_x000a_已完成"/>
    <d v="2026-01-10T00:00:00"/>
    <s v="#20021"/>
    <m/>
  </r>
  <r>
    <n v="208"/>
    <s v="X3"/>
    <s v="XIMA_x000a_電鍍"/>
    <x v="206"/>
    <s v="192.168.32.92"/>
    <s v="11 Pro"/>
    <s v="#25010"/>
    <x v="0"/>
    <x v="0"/>
    <s v="Đã hoàn thành_x000a_已完成"/>
    <d v="2026-01-10T00:00:00"/>
    <s v="#20021"/>
    <m/>
  </r>
  <r>
    <n v="209"/>
    <s v="X3"/>
    <s v="HAN3_x000a_三廠焊接"/>
    <x v="207"/>
    <s v="192.168.32.93"/>
    <s v="11 Pro"/>
    <s v="#24919"/>
    <x v="0"/>
    <x v="0"/>
    <s v="Đã hoàn thành_x000a_已完成"/>
    <d v="2026-01-10T00:00:00"/>
    <s v="#20021"/>
    <m/>
  </r>
  <r>
    <n v="210"/>
    <s v="X3"/>
    <s v="HAN3_x000a_三廠焊接"/>
    <x v="208"/>
    <s v="192.168.32.94"/>
    <s v="11 Pro"/>
    <s v="#10495"/>
    <x v="0"/>
    <x v="0"/>
    <s v="Đã hoàn thành_x000a_已完成"/>
    <d v="2026-01-10T00:00:00"/>
    <s v="#20021"/>
    <m/>
  </r>
  <r>
    <n v="211"/>
    <s v="X3"/>
    <s v="HAN3_x000a_三廠焊接"/>
    <x v="209"/>
    <s v="192.168.32.95"/>
    <s v="11 Pro"/>
    <s v="#01034"/>
    <x v="0"/>
    <x v="0"/>
    <s v="Đã hoàn thành_x000a_已完成"/>
    <d v="2026-01-10T00:00:00"/>
    <s v="#20021"/>
    <m/>
  </r>
  <r>
    <n v="212"/>
    <s v="X3"/>
    <s v="XIMA_x000a_電鍍"/>
    <x v="210"/>
    <s v="192.168.32.96"/>
    <s v="11 Home"/>
    <s v="#01644(XRAY)"/>
    <x v="0"/>
    <x v="0"/>
    <s v="Đã hoàn thành_x000a_已完成"/>
    <d v="2026-01-10T00:00:00"/>
    <s v="#20021"/>
    <m/>
  </r>
  <r>
    <n v="213"/>
    <s v="X3"/>
    <s v="XIMA_x000a_電鍍"/>
    <x v="211"/>
    <s v="192.168.32.97"/>
    <s v="11 Pro"/>
    <s v="#09568"/>
    <x v="0"/>
    <x v="0"/>
    <s v="Đã hoàn thành_x000a_已完成"/>
    <d v="2026-01-10T00:00:00"/>
    <s v="#20021"/>
    <m/>
  </r>
  <r>
    <n v="214"/>
    <s v="X3"/>
    <s v="XIMA_x000a_電鍍"/>
    <x v="212"/>
    <s v="DHCP"/>
    <s v="11 Pro"/>
    <s v="#08605"/>
    <x v="0"/>
    <x v="0"/>
    <s v="Đã hoàn thành_x000a_已完成"/>
    <d v="2026-01-10T00:00:00"/>
    <s v="#20021"/>
    <m/>
  </r>
  <r>
    <n v="215"/>
    <s v="X3"/>
    <s v="KINHDOANH_x000a_業務"/>
    <x v="213"/>
    <s v="DHCP"/>
    <s v="11 Pro"/>
    <s v="#16629"/>
    <x v="0"/>
    <x v="0"/>
    <s v="Đã hoàn thành_x000a_已完成"/>
    <d v="2026-01-10T00:00:00"/>
    <s v="#17655"/>
    <m/>
  </r>
  <r>
    <n v="216"/>
    <s v="X3"/>
    <s v="KINHDOANH_x000a_業務"/>
    <x v="214"/>
    <s v="192.168.30.1"/>
    <s v="11 Pro"/>
    <s v="#08954"/>
    <x v="0"/>
    <x v="0"/>
    <s v="Đã hoàn thành_x000a_已完成"/>
    <d v="2026-01-10T00:00:00"/>
    <s v="#17655"/>
    <m/>
  </r>
  <r>
    <n v="217"/>
    <s v="X3"/>
    <s v="KINHDOANH_x000a_業務"/>
    <x v="215"/>
    <s v="192.168.30.4"/>
    <s v="11 Pro"/>
    <s v="#00766"/>
    <x v="0"/>
    <x v="0"/>
    <s v="Đã hoàn thành_x000a_已完成"/>
    <d v="2026-01-10T00:00:00"/>
    <s v="#17655"/>
    <m/>
  </r>
  <r>
    <n v="218"/>
    <s v="X3"/>
    <s v="KINHDOANH_x000a_業務"/>
    <x v="216"/>
    <s v="192.168.30.6"/>
    <s v="11 Pro"/>
    <s v="#08954"/>
    <x v="0"/>
    <x v="0"/>
    <s v="Đã hoàn thành_x000a_已完成"/>
    <d v="2026-01-10T00:00:00"/>
    <s v="#17655"/>
    <m/>
  </r>
  <r>
    <n v="219"/>
    <s v="X3"/>
    <s v="KINHDOANH_x000a_業務"/>
    <x v="217"/>
    <s v="DHCP"/>
    <s v="11 Pro"/>
    <s v="#16363"/>
    <x v="0"/>
    <x v="0"/>
    <s v="Đã hoàn thành_x000a_已完成"/>
    <d v="2026-01-10T00:00:00"/>
    <s v="#20021"/>
    <m/>
  </r>
  <r>
    <n v="220"/>
    <s v="X3"/>
    <s v="KINHDOANH_x000a_業務"/>
    <x v="218"/>
    <s v="DHCP"/>
    <s v="11 Pro"/>
    <s v="#01014"/>
    <x v="0"/>
    <x v="0"/>
    <s v="Đã hoàn thành_x000a_已完成"/>
    <d v="2026-01-10T00:00:00"/>
    <s v="#17655"/>
    <m/>
  </r>
  <r>
    <n v="221"/>
    <s v="X3"/>
    <s v="KINHDOANH_x000a_業務"/>
    <x v="219"/>
    <s v="DHCP"/>
    <s v="11 Pro"/>
    <s v="#10839"/>
    <x v="0"/>
    <x v="0"/>
    <s v="Đã hoàn thành_x000a_已完成"/>
    <d v="2026-01-10T00:00:00"/>
    <s v="#17655"/>
    <m/>
  </r>
  <r>
    <n v="222"/>
    <s v="X3"/>
    <s v="KINHDOANH_x000a_業務"/>
    <x v="220"/>
    <s v="DHCP"/>
    <s v="11 Pro"/>
    <s v="#11287"/>
    <x v="0"/>
    <x v="0"/>
    <s v="Đã hoàn thành_x000a_已完成"/>
    <d v="2026-01-10T00:00:00"/>
    <s v="#17655"/>
    <m/>
  </r>
  <r>
    <n v="223"/>
    <s v="X3"/>
    <s v="KINHDOANH_x000a_業務"/>
    <x v="221"/>
    <s v="DHCP"/>
    <s v="11 Pro"/>
    <s v="#23987"/>
    <x v="0"/>
    <x v="0"/>
    <s v="Đã hoàn thành_x000a_已完成"/>
    <d v="2026-01-10T00:00:00"/>
    <s v="#17655"/>
    <m/>
  </r>
  <r>
    <n v="224"/>
    <s v="X3"/>
    <s v="KINHDOANH_x000a_業務"/>
    <x v="222"/>
    <s v="DHCP"/>
    <s v="11 Pro"/>
    <s v="#11581"/>
    <x v="0"/>
    <x v="0"/>
    <s v="Đã hoàn thành_x000a_已完成"/>
    <d v="2026-01-10T00:00:00"/>
    <s v="#17655"/>
    <m/>
  </r>
  <r>
    <n v="225"/>
    <s v="X3"/>
    <s v="KINHDOANH_x000a_業務"/>
    <x v="223"/>
    <s v="DHCP"/>
    <s v="11 Pro"/>
    <s v="#11288"/>
    <x v="0"/>
    <x v="0"/>
    <s v="Đã hoàn thành_x000a_已完成"/>
    <d v="2026-01-10T00:00:00"/>
    <s v="#17655"/>
    <m/>
  </r>
  <r>
    <n v="226"/>
    <s v="X3"/>
    <s v="KINHDOANH_x000a_業務"/>
    <x v="224"/>
    <s v="DHCP"/>
    <s v="11 Pro"/>
    <s v="#1777"/>
    <x v="0"/>
    <x v="0"/>
    <s v="Đã hoàn thành_x000a_已完成"/>
    <d v="2026-01-10T00:00:00"/>
    <s v="#17655"/>
    <m/>
  </r>
  <r>
    <n v="227"/>
    <s v="X3"/>
    <s v="KINHDOANH_x000a_業務"/>
    <x v="225"/>
    <s v="DHCP"/>
    <s v="11 Pro"/>
    <s v="#08787"/>
    <x v="0"/>
    <x v="0"/>
    <s v="Đã hoàn thành_x000a_已完成"/>
    <d v="2026-01-10T00:00:00"/>
    <s v="#17655"/>
    <m/>
  </r>
  <r>
    <n v="228"/>
    <s v="X3"/>
    <s v="KINHDOANH_x000a_業務"/>
    <x v="226"/>
    <s v="DHCP"/>
    <s v="11 Pro"/>
    <s v="#24870"/>
    <x v="0"/>
    <x v="0"/>
    <s v="Đã hoàn thành_x000a_已完成"/>
    <d v="2026-01-10T00:00:00"/>
    <s v="#17655"/>
    <m/>
  </r>
  <r>
    <n v="229"/>
    <s v="X3"/>
    <s v="KINHDOANH_x000a_業務"/>
    <x v="227"/>
    <s v="DHCP"/>
    <s v="11 Pro"/>
    <s v="#13855"/>
    <x v="0"/>
    <x v="0"/>
    <s v="Đã hoàn thành_x000a_已完成"/>
    <d v="2026-01-10T00:00:00"/>
    <s v="#17655"/>
    <m/>
  </r>
  <r>
    <n v="230"/>
    <s v="X3"/>
    <s v="KINHDOANH_x000a_業務"/>
    <x v="228"/>
    <s v="DHCP"/>
    <s v="11 Pro"/>
    <s v="#24409"/>
    <x v="0"/>
    <x v="0"/>
    <s v="Đã hoàn thành_x000a_已完成"/>
    <d v="2026-01-10T00:00:00"/>
    <s v="#17655"/>
    <m/>
  </r>
  <r>
    <n v="231"/>
    <s v="X3"/>
    <s v="KINHDOANH_x000a_業務"/>
    <x v="229"/>
    <s v="DHCP"/>
    <s v="11 Pro"/>
    <s v="#03423"/>
    <x v="0"/>
    <x v="0"/>
    <s v="Đã hoàn thành_x000a_已完成"/>
    <d v="2026-01-10T00:00:00"/>
    <s v="#17655"/>
    <m/>
  </r>
  <r>
    <n v="232"/>
    <s v="X3"/>
    <s v="KINHDOANH_x000a_業務"/>
    <x v="230"/>
    <s v="DHCP"/>
    <s v="11 Pro"/>
    <s v="#01204"/>
    <x v="0"/>
    <x v="0"/>
    <s v="Đã hoàn thành_x000a_已完成"/>
    <d v="2026-01-10T00:00:00"/>
    <s v="#17655"/>
    <m/>
  </r>
  <r>
    <n v="233"/>
    <s v="X3"/>
    <s v="KINHDOANH_x000a_業務"/>
    <x v="231"/>
    <s v="DHCP"/>
    <s v="11 Pro"/>
    <s v="#24329"/>
    <x v="0"/>
    <x v="0"/>
    <s v="Đã hoàn thành_x000a_已完成"/>
    <d v="2026-01-10T00:00:00"/>
    <s v="#17655"/>
    <m/>
  </r>
  <r>
    <n v="234"/>
    <s v="X3"/>
    <s v="KINHDOANH_x000a_業務"/>
    <x v="232"/>
    <s v="DHCP"/>
    <s v="11 Pro"/>
    <s v="#03550"/>
    <x v="0"/>
    <x v="0"/>
    <s v="Đã hoàn thành_x000a_已完成"/>
    <d v="2026-01-10T00:00:00"/>
    <s v="#17655"/>
    <m/>
  </r>
  <r>
    <n v="235"/>
    <s v="X3"/>
    <s v="KINHDOANH_x000a_業務"/>
    <x v="233"/>
    <s v="DHCP"/>
    <s v="11 Pro"/>
    <s v="#14394"/>
    <x v="0"/>
    <x v="0"/>
    <s v="Đã hoàn thành_x000a_已完成"/>
    <d v="2026-01-10T00:00:00"/>
    <s v="#17655"/>
    <m/>
  </r>
  <r>
    <n v="236"/>
    <s v="X3"/>
    <s v="KINHDOANH_x000a_業務"/>
    <x v="234"/>
    <s v="DHCP"/>
    <s v="11 Pro"/>
    <s v="#19818"/>
    <x v="0"/>
    <x v="0"/>
    <s v="Đã hoàn thành_x000a_已完成"/>
    <d v="2026-01-10T00:00:00"/>
    <s v="#17655"/>
    <m/>
  </r>
  <r>
    <n v="237"/>
    <s v="X3"/>
    <s v="KINHDOANH_x000a_業務"/>
    <x v="235"/>
    <s v="DHCP"/>
    <s v="11 Pro"/>
    <s v="#10704"/>
    <x v="0"/>
    <x v="0"/>
    <s v="Đã hoàn thành_x000a_已完成"/>
    <d v="2026-01-10T00:00:00"/>
    <s v="#17655"/>
    <m/>
  </r>
  <r>
    <n v="238"/>
    <s v="X3"/>
    <s v="KINHDOANH_x000a_業務"/>
    <x v="236"/>
    <s v="DHCP"/>
    <s v="11 Pro"/>
    <s v="#24338"/>
    <x v="0"/>
    <x v="0"/>
    <s v="Đã hoàn thành_x000a_已完成"/>
    <d v="2026-01-10T00:00:00"/>
    <s v="#17655"/>
    <m/>
  </r>
  <r>
    <n v="239"/>
    <s v="X3"/>
    <s v="KINHDOANH_x000a_業務"/>
    <x v="237"/>
    <s v="DHCP"/>
    <s v="11 Pro"/>
    <s v="#11458"/>
    <x v="0"/>
    <x v="0"/>
    <s v="Đã hoàn thành_x000a_已完成"/>
    <d v="2026-01-10T00:00:00"/>
    <s v="#17655"/>
    <m/>
  </r>
  <r>
    <n v="240"/>
    <s v="X3"/>
    <s v="KINHDOANH_x000a_業務"/>
    <x v="238"/>
    <s v="DHCP"/>
    <s v="11 Pro"/>
    <s v="#03423"/>
    <x v="0"/>
    <x v="0"/>
    <s v="Đã hoàn thành_x000a_已完成"/>
    <d v="2026-01-10T00:00:00"/>
    <s v="#17655"/>
    <m/>
  </r>
  <r>
    <n v="241"/>
    <s v="X3"/>
    <s v="KINHDOANH_x000a_業務"/>
    <x v="239"/>
    <s v="DHCP"/>
    <s v="11 Pro"/>
    <s v="#14377"/>
    <x v="0"/>
    <x v="0"/>
    <s v="Đã hoàn thành_x000a_已完成"/>
    <d v="2026-01-10T00:00:00"/>
    <s v="#17655"/>
    <m/>
  </r>
  <r>
    <n v="242"/>
    <s v="X3"/>
    <s v="KINHDOANH_x000a_業務"/>
    <x v="240"/>
    <s v="DHCP"/>
    <s v="11 Pro"/>
    <s v="#24323"/>
    <x v="0"/>
    <x v="0"/>
    <s v="Đã hoàn thành_x000a_已完成"/>
    <d v="2026-01-10T00:00:00"/>
    <s v="#17655"/>
    <m/>
  </r>
  <r>
    <n v="243"/>
    <s v="X3"/>
    <s v="KINHDOANH_x000a_業務"/>
    <x v="241"/>
    <s v="DHCP"/>
    <s v="11 Pro"/>
    <s v="#11799"/>
    <x v="0"/>
    <x v="0"/>
    <s v="Đã hoàn thành_x000a_已完成"/>
    <d v="2026-01-10T00:00:00"/>
    <s v="#17655"/>
    <m/>
  </r>
  <r>
    <n v="244"/>
    <s v="X3"/>
    <s v="KINHDOANH_x000a_業務"/>
    <x v="242"/>
    <s v="DHCP"/>
    <s v="11 Pro"/>
    <s v="#14517"/>
    <x v="0"/>
    <x v="0"/>
    <s v="Đã hoàn thành_x000a_已完成"/>
    <d v="2026-01-10T00:00:00"/>
    <s v="#17655"/>
    <m/>
  </r>
  <r>
    <n v="245"/>
    <s v="X3"/>
    <s v="KINHDOANH_x000a_業務"/>
    <x v="243"/>
    <s v="DHCP"/>
    <s v="11 Pro"/>
    <s v="#07918"/>
    <x v="0"/>
    <x v="0"/>
    <s v="Đã hoàn thành_x000a_已完成"/>
    <d v="2026-01-10T00:00:00"/>
    <s v="#17655"/>
    <m/>
  </r>
  <r>
    <n v="246"/>
    <s v="X3"/>
    <s v="KINHDOANH_x000a_業務"/>
    <x v="244"/>
    <s v="DHCP"/>
    <s v="11 Pro"/>
    <s v="#04844"/>
    <x v="0"/>
    <x v="0"/>
    <s v="Đã hoàn thành_x000a_已完成"/>
    <d v="2026-01-10T00:00:00"/>
    <s v="#17655"/>
    <m/>
  </r>
  <r>
    <n v="247"/>
    <s v="X3"/>
    <s v="KINHDOANH_x000a_業務"/>
    <x v="245"/>
    <s v="DHCP"/>
    <s v="11 Pro"/>
    <s v="#10369"/>
    <x v="0"/>
    <x v="0"/>
    <s v="Đã hoàn thành_x000a_已完成"/>
    <d v="2026-01-10T00:00:00"/>
    <s v="#17655"/>
    <m/>
  </r>
  <r>
    <n v="248"/>
    <s v="X3"/>
    <s v="KINHDOANH_x000a_業務"/>
    <x v="246"/>
    <s v="DHCP"/>
    <s v="11 Pro"/>
    <s v="#25842"/>
    <x v="0"/>
    <x v="0"/>
    <s v="Đã hoàn thành_x000a_已完成"/>
    <d v="2026-01-10T00:00:00"/>
    <s v="#17655"/>
    <m/>
  </r>
  <r>
    <n v="249"/>
    <s v="X3"/>
    <s v="KINHDOANH_x000a_業務"/>
    <x v="247"/>
    <s v="DHCP"/>
    <s v="11 Pro"/>
    <s v="#14150"/>
    <x v="0"/>
    <x v="0"/>
    <s v="Đã hoàn thành_x000a_已完成"/>
    <d v="2026-01-10T00:00:00"/>
    <s v="#17655"/>
    <m/>
  </r>
  <r>
    <n v="250"/>
    <s v="X3"/>
    <s v="KINHDOANH_x000a_業務"/>
    <x v="248"/>
    <s v="DHCP"/>
    <s v="11 Pro"/>
    <s v="#19423"/>
    <x v="0"/>
    <x v="0"/>
    <s v="Đã hoàn thành_x000a_已完成"/>
    <d v="2026-01-10T00:00:00"/>
    <s v="#17655"/>
    <m/>
  </r>
  <r>
    <n v="251"/>
    <s v="X3"/>
    <s v="KINHDOANH_x000a_業務"/>
    <x v="249"/>
    <s v="DHCP"/>
    <s v="11 Pro"/>
    <s v="#10951"/>
    <x v="0"/>
    <x v="0"/>
    <s v="Đã hoàn thành_x000a_已完成"/>
    <d v="2026-01-10T00:00:00"/>
    <s v="#17655"/>
    <m/>
  </r>
  <r>
    <n v="252"/>
    <s v="X3"/>
    <s v="KINHDOANH_x000a_業務"/>
    <x v="250"/>
    <s v="DHCP"/>
    <s v="11 Pro"/>
    <s v="#15628"/>
    <x v="0"/>
    <x v="0"/>
    <s v="Đã hoàn thành_x000a_已完成"/>
    <d v="2026-01-10T00:00:00"/>
    <s v="#17655"/>
    <m/>
  </r>
  <r>
    <n v="253"/>
    <s v="X3"/>
    <s v="KINHDOANH_x000a_業務"/>
    <x v="251"/>
    <s v="DHCP"/>
    <s v="11 Pro"/>
    <s v="#14516"/>
    <x v="0"/>
    <x v="0"/>
    <s v="Đã hoàn thành_x000a_已完成"/>
    <d v="2026-01-10T00:00:00"/>
    <s v="#17655"/>
    <m/>
  </r>
  <r>
    <n v="254"/>
    <s v="X3"/>
    <s v="KINHDOANH_x000a_業務"/>
    <x v="252"/>
    <s v="DHCP"/>
    <s v="11 Pro"/>
    <s v="#11593"/>
    <x v="0"/>
    <x v="0"/>
    <s v="Đã hoàn thành_x000a_已完成"/>
    <d v="2026-01-10T00:00:00"/>
    <s v="#17655"/>
    <m/>
  </r>
  <r>
    <n v="255"/>
    <s v="X3"/>
    <s v="KINHDOANH_x000a_業務"/>
    <x v="253"/>
    <s v="DHCP"/>
    <s v="11 Pro"/>
    <s v="#09441"/>
    <x v="0"/>
    <x v="0"/>
    <s v="Đã hoàn thành_x000a_已完成"/>
    <d v="2026-01-10T00:00:00"/>
    <s v="#17655"/>
    <m/>
  </r>
  <r>
    <n v="256"/>
    <s v="X3"/>
    <s v="KINHDOANH_x000a_業務"/>
    <x v="254"/>
    <s v="DHCP"/>
    <s v="11 Pro"/>
    <s v="#18500"/>
    <x v="0"/>
    <x v="0"/>
    <s v="Đã hoàn thành_x000a_已完成"/>
    <d v="2026-01-10T00:00:00"/>
    <s v="#17655"/>
    <m/>
  </r>
  <r>
    <n v="257"/>
    <s v="X3"/>
    <s v="KINHDOANH_x000a_業務"/>
    <x v="255"/>
    <s v="192.168.30.26"/>
    <s v="11 Pro"/>
    <s v="#07119"/>
    <x v="0"/>
    <x v="0"/>
    <s v="Đã hoàn thành_x000a_已完成"/>
    <d v="2026-01-10T00:00:00"/>
    <s v="#17655"/>
    <m/>
  </r>
  <r>
    <n v="258"/>
    <s v="X3"/>
    <s v="KINHDOANH_x000a_業務"/>
    <x v="256"/>
    <s v="DHCP"/>
    <s v="11 Pro"/>
    <s v="#22391"/>
    <x v="0"/>
    <x v="0"/>
    <s v="Đã hoàn thành_x000a_已完成"/>
    <d v="2026-01-10T00:00:00"/>
    <s v="#17655"/>
    <m/>
  </r>
  <r>
    <n v="259"/>
    <s v="X3"/>
    <s v="KINHDOANH_x000a_業務"/>
    <x v="257"/>
    <s v="DHCP"/>
    <s v="11 Pro"/>
    <s v="#24570"/>
    <x v="0"/>
    <x v="0"/>
    <s v="Đã hoàn thành_x000a_已完成"/>
    <d v="2026-01-10T00:00:00"/>
    <s v="#17655"/>
    <m/>
  </r>
  <r>
    <n v="260"/>
    <s v="X3"/>
    <s v="KINHDOANH_x000a_業務"/>
    <x v="258"/>
    <s v="DHCP"/>
    <s v="11 Pro"/>
    <s v="#26344"/>
    <x v="0"/>
    <x v="0"/>
    <s v="Đã hoàn thành_x000a_已完成"/>
    <d v="2026-01-10T00:00:00"/>
    <s v="#17655"/>
    <m/>
  </r>
  <r>
    <n v="261"/>
    <s v="X3"/>
    <s v="KINHDOANH_x000a_業務"/>
    <x v="259"/>
    <s v="192.168.90.251"/>
    <s v="11 Pro"/>
    <s v="M1-MEETING"/>
    <x v="0"/>
    <x v="0"/>
    <s v="Đã hoàn thành_x000a_已完成"/>
    <d v="2026-01-10T00:00:00"/>
    <s v="#17655"/>
    <m/>
  </r>
  <r>
    <n v="262"/>
    <s v="X3"/>
    <s v="KINHDOANH_x000a_業務"/>
    <x v="260"/>
    <s v="192.168.90.252"/>
    <s v="11 Pro"/>
    <s v="M2-MEETING"/>
    <x v="0"/>
    <x v="0"/>
    <s v="Đã hoàn thành_x000a_已完成"/>
    <d v="2026-01-10T00:00:00"/>
    <s v="#17655"/>
    <m/>
  </r>
  <r>
    <n v="263"/>
    <s v="X3"/>
    <s v="KINHDOANH_x000a_業務"/>
    <x v="261"/>
    <s v="DHCP"/>
    <s v="11 Pro"/>
    <s v="#04844"/>
    <x v="0"/>
    <x v="0"/>
    <s v="Đã hoàn thành_x000a_已完成"/>
    <d v="2026-01-10T00:00:00"/>
    <s v="#17655"/>
    <m/>
  </r>
  <r>
    <n v="264"/>
    <s v="X3"/>
    <s v="GDO_x000a_總經理室"/>
    <x v="262"/>
    <s v="192.168.90.29"/>
    <s v="11 Pro"/>
    <s v="#26157"/>
    <x v="0"/>
    <x v="0"/>
    <s v="Đã hoàn thành_x000a_已完成"/>
    <d v="2026-01-10T00:00:00"/>
    <s v="#17655"/>
    <m/>
  </r>
  <r>
    <n v="265"/>
    <s v="X3"/>
    <s v="GDO_x000a_總經理室"/>
    <x v="263"/>
    <s v="192.168.30.13"/>
    <s v="11 Pro"/>
    <s v="#17577"/>
    <x v="0"/>
    <x v="0"/>
    <s v="Đã hoàn thành_x000a_已完成"/>
    <d v="2026-01-10T00:00:00"/>
    <s v="#17655"/>
    <m/>
  </r>
  <r>
    <n v="266"/>
    <s v="X3"/>
    <s v="GDO_x000a_總經理室"/>
    <x v="264"/>
    <s v="192.168.30.30"/>
    <s v="11 Pro"/>
    <s v="#09245"/>
    <x v="0"/>
    <x v="0"/>
    <s v="Đã hoàn thành_x000a_已完成"/>
    <d v="2026-01-10T00:00:00"/>
    <s v="#17655"/>
    <m/>
  </r>
  <r>
    <n v="267"/>
    <s v="X3"/>
    <s v="GDO_x000a_總經理室"/>
    <x v="265"/>
    <s v="192.168.30.31"/>
    <s v="11 Pro"/>
    <s v="#26345"/>
    <x v="0"/>
    <x v="0"/>
    <s v="Đã hoàn thành_x000a_已完成"/>
    <d v="2026-01-10T00:00:00"/>
    <s v="#17655"/>
    <m/>
  </r>
  <r>
    <n v="268"/>
    <s v="X3"/>
    <s v="GDO_x000a_總經理室"/>
    <x v="266"/>
    <s v="DHCP"/>
    <s v="11 Pro"/>
    <s v="#25149"/>
    <x v="0"/>
    <x v="0"/>
    <s v="Đã hoàn thành_x000a_已完成"/>
    <d v="2026-01-10T00:00:00"/>
    <s v="#17655"/>
    <m/>
  </r>
  <r>
    <n v="269"/>
    <s v="X3"/>
    <s v="GDO_x000a_總經理室"/>
    <x v="267"/>
    <s v="DHCP"/>
    <s v="11 Pro"/>
    <s v="#25814"/>
    <x v="0"/>
    <x v="0"/>
    <s v="Đã hoàn thành_x000a_已完成"/>
    <d v="2026-01-10T00:00:00"/>
    <s v="#17655"/>
    <m/>
  </r>
  <r>
    <n v="270"/>
    <s v="X3"/>
    <s v="GDO_x000a_總經理室"/>
    <x v="268"/>
    <s v="192.168.30.33"/>
    <s v="11 Pro"/>
    <s v="#00661"/>
    <x v="0"/>
    <x v="0"/>
    <s v="Đã hoàn thành_x000a_已完成"/>
    <d v="2026-01-10T00:00:00"/>
    <s v="#17655"/>
    <m/>
  </r>
  <r>
    <n v="271"/>
    <s v="X3"/>
    <s v="GDO_x000a_總經理室"/>
    <x v="269"/>
    <s v="DHCP"/>
    <s v="11 Pro"/>
    <s v="#00661"/>
    <x v="0"/>
    <x v="0"/>
    <s v="Đã hoàn thành_x000a_已完成"/>
    <d v="2026-01-10T00:00:00"/>
    <s v="#17655"/>
    <m/>
  </r>
  <r>
    <n v="272"/>
    <s v="X3"/>
    <s v="KTSX_x000a_生技"/>
    <x v="270"/>
    <s v="192.168.30.72"/>
    <s v="11 Pro"/>
    <s v="#24900"/>
    <x v="0"/>
    <x v="0"/>
    <s v="Đã hoàn thành_x000a_已完成"/>
    <d v="2026-01-10T00:00:00"/>
    <s v="#17655"/>
    <m/>
  </r>
  <r>
    <n v="273"/>
    <s v="X3"/>
    <s v="KTSX_x000a_生技"/>
    <x v="271"/>
    <s v="172.16.31.89"/>
    <s v="11 Pro"/>
    <s v="#24900"/>
    <x v="0"/>
    <x v="0"/>
    <s v="Đã hoàn thành_x000a_已完成"/>
    <d v="2026-01-10T00:00:00"/>
    <s v="#17655"/>
    <m/>
  </r>
  <r>
    <n v="274"/>
    <s v="X3"/>
    <s v="KTSX_x000a_生技"/>
    <x v="272"/>
    <s v="192.168.30.73"/>
    <s v="11 Pro"/>
    <s v="#23793"/>
    <x v="0"/>
    <x v="0"/>
    <s v="Đã hoàn thành_x000a_已完成"/>
    <d v="2026-01-10T00:00:00"/>
    <s v="#17655"/>
    <m/>
  </r>
  <r>
    <n v="275"/>
    <s v="X3"/>
    <s v="KTSX_x000a_生技"/>
    <x v="273"/>
    <s v="192.168.30.74"/>
    <s v="11 Pro"/>
    <s v="#16143"/>
    <x v="0"/>
    <x v="0"/>
    <s v="Đã hoàn thành_x000a_已完成"/>
    <d v="2026-01-10T00:00:00"/>
    <s v="#17655"/>
    <m/>
  </r>
  <r>
    <n v="276"/>
    <s v="X3"/>
    <s v="KTSX_x000a_生技"/>
    <x v="274"/>
    <s v="192.168.30.75"/>
    <s v="11 Pro"/>
    <s v="#23792"/>
    <x v="0"/>
    <x v="0"/>
    <s v="Đã hoàn thành_x000a_已完成"/>
    <d v="2026-01-10T00:00:00"/>
    <s v="#17655"/>
    <m/>
  </r>
  <r>
    <n v="277"/>
    <s v="X3"/>
    <s v="KTSX_x000a_生技"/>
    <x v="275"/>
    <s v="192.168.30.16"/>
    <s v="11 Pro"/>
    <s v="#00127"/>
    <x v="0"/>
    <x v="0"/>
    <s v="Đã hoàn thành_x000a_已完成"/>
    <d v="2026-01-10T00:00:00"/>
    <s v="#17655"/>
    <m/>
  </r>
  <r>
    <n v="278"/>
    <s v="X3"/>
    <s v="KTSX_x000a_生技"/>
    <x v="276"/>
    <s v="192.168.30.79"/>
    <s v="11 Pro"/>
    <s v="#19617"/>
    <x v="0"/>
    <x v="0"/>
    <s v="Đã hoàn thành_x000a_已完成"/>
    <d v="2026-01-10T00:00:00"/>
    <s v="#17655"/>
    <m/>
  </r>
  <r>
    <n v="279"/>
    <s v="X3"/>
    <s v="THUMUA_x000a_採購"/>
    <x v="277"/>
    <s v="DHCP"/>
    <s v="11 Pro"/>
    <s v="#01737"/>
    <x v="0"/>
    <x v="0"/>
    <s v="Đã hoàn thành_x000a_已完成"/>
    <d v="2026-01-10T00:00:00"/>
    <s v="#15060"/>
    <m/>
  </r>
  <r>
    <n v="280"/>
    <s v="X3"/>
    <s v="THUMUA_x000a_採購"/>
    <x v="278"/>
    <s v="192.168.34.51"/>
    <s v="11 Pro"/>
    <s v="#24337"/>
    <x v="0"/>
    <x v="0"/>
    <s v="Đã hoàn thành_x000a_已完成"/>
    <d v="2026-01-10T00:00:00"/>
    <s v="#15060"/>
    <m/>
  </r>
  <r>
    <n v="281"/>
    <s v="X3"/>
    <s v="THUMUA_x000a_採購"/>
    <x v="279"/>
    <s v="192.168.34.52"/>
    <s v="11 Pro"/>
    <s v="#10949"/>
    <x v="0"/>
    <x v="0"/>
    <s v="Đã hoàn thành_x000a_已完成"/>
    <d v="2026-01-10T00:00:00"/>
    <s v="#15060"/>
    <m/>
  </r>
  <r>
    <n v="282"/>
    <s v="X3"/>
    <s v="THUMUA_x000a_採購"/>
    <x v="280"/>
    <s v="192.168.34.53"/>
    <s v="11 Pro"/>
    <s v="#17064"/>
    <x v="0"/>
    <x v="0"/>
    <s v="Đã hoàn thành_x000a_已完成"/>
    <d v="2026-01-10T00:00:00"/>
    <s v="#15060"/>
    <m/>
  </r>
  <r>
    <n v="283"/>
    <s v="X3"/>
    <s v="THUMUA_x000a_採購"/>
    <x v="281"/>
    <s v="192.168.34.54"/>
    <s v="11 Pro"/>
    <s v="#26156"/>
    <x v="0"/>
    <x v="0"/>
    <s v="Đã hoàn thành_x000a_已完成"/>
    <d v="2026-01-10T00:00:00"/>
    <s v="#15060"/>
    <m/>
  </r>
  <r>
    <n v="284"/>
    <s v="X3"/>
    <s v="THUMUA_x000a_採購"/>
    <x v="282"/>
    <s v="192.168.34.55"/>
    <s v="11 Pro"/>
    <s v="#16743"/>
    <x v="0"/>
    <x v="0"/>
    <s v="Đã hoàn thành_x000a_已完成"/>
    <d v="2026-01-10T00:00:00"/>
    <s v="#15060"/>
    <m/>
  </r>
  <r>
    <n v="285"/>
    <s v="X3"/>
    <s v="THUMUA_x000a_採購"/>
    <x v="283"/>
    <s v="192.168.34.56"/>
    <s v="11 Pro"/>
    <s v="#18155"/>
    <x v="0"/>
    <x v="0"/>
    <s v="Đã hoàn thành_x000a_已完成"/>
    <d v="2026-01-10T00:00:00"/>
    <s v="#15060"/>
    <m/>
  </r>
  <r>
    <n v="286"/>
    <s v="X3"/>
    <s v="THUMUA_x000a_採購"/>
    <x v="284"/>
    <s v="192.168.34.57"/>
    <s v="11 Pro"/>
    <s v="#19343"/>
    <x v="0"/>
    <x v="0"/>
    <s v="Đã hoàn thành_x000a_已完成"/>
    <d v="2026-01-10T00:00:00"/>
    <s v="#15060"/>
    <m/>
  </r>
  <r>
    <n v="287"/>
    <s v="X3"/>
    <s v="THUMUA_x000a_採購"/>
    <x v="285"/>
    <s v="192.168.34.58"/>
    <s v="11 Pro"/>
    <s v="#01574"/>
    <x v="0"/>
    <x v="0"/>
    <s v="Đã hoàn thành_x000a_已完成"/>
    <d v="2026-01-10T00:00:00"/>
    <s v="#15060"/>
    <m/>
  </r>
  <r>
    <n v="288"/>
    <s v="X3"/>
    <s v="THUMUA_x000a_採購"/>
    <x v="286"/>
    <s v="192.168.34.59"/>
    <s v="11 Pro"/>
    <s v="#22259"/>
    <x v="0"/>
    <x v="0"/>
    <s v="Đã hoàn thành_x000a_已完成"/>
    <d v="2026-01-10T00:00:00"/>
    <s v="#15060"/>
    <m/>
  </r>
  <r>
    <n v="289"/>
    <s v="X3"/>
    <s v="THUMUA_x000a_採購"/>
    <x v="287"/>
    <s v="192.168.34.60"/>
    <s v="11 Pro"/>
    <s v="#24569"/>
    <x v="0"/>
    <x v="0"/>
    <s v="Đã hoàn thành_x000a_已完成"/>
    <d v="2026-01-10T00:00:00"/>
    <s v="#15060"/>
    <m/>
  </r>
  <r>
    <n v="290"/>
    <s v="X3"/>
    <s v="THUMUA_x000a_採購"/>
    <x v="288"/>
    <s v="192.168.34.61"/>
    <s v="11 Pro"/>
    <s v="#24568"/>
    <x v="0"/>
    <x v="0"/>
    <s v="Đã hoàn thành_x000a_已完成"/>
    <d v="2026-01-10T00:00:00"/>
    <s v="#15060"/>
    <m/>
  </r>
  <r>
    <n v="291"/>
    <s v="X3"/>
    <s v="THUMUA_x000a_採購"/>
    <x v="289"/>
    <s v="192.168.34.62"/>
    <s v="11 Pro"/>
    <s v="#08898"/>
    <x v="0"/>
    <x v="0"/>
    <s v="Đã hoàn thành_x000a_已完成"/>
    <d v="2026-01-10T00:00:00"/>
    <s v="#15060"/>
    <m/>
  </r>
  <r>
    <n v="292"/>
    <s v="X3"/>
    <s v="THUMUA_x000a_採購"/>
    <x v="290"/>
    <s v="192.168.34.63"/>
    <s v="11 Pro"/>
    <s v="#08755"/>
    <x v="0"/>
    <x v="0"/>
    <s v="Đã hoàn thành_x000a_已完成"/>
    <d v="2026-01-10T00:00:00"/>
    <s v="#15060"/>
    <m/>
  </r>
  <r>
    <n v="293"/>
    <s v="X3"/>
    <s v="THUMUA_x000a_採購"/>
    <x v="291"/>
    <s v="192.168.34.64"/>
    <s v="11 Pro"/>
    <s v="#19766"/>
    <x v="0"/>
    <x v="0"/>
    <s v="Đã hoàn thành_x000a_已完成"/>
    <d v="2026-01-10T00:00:00"/>
    <s v="#15060"/>
    <m/>
  </r>
  <r>
    <n v="294"/>
    <s v="X3"/>
    <s v="THUMUA_x000a_採購"/>
    <x v="292"/>
    <s v="192.168.34.65"/>
    <s v="11 Pro"/>
    <s v="#13167"/>
    <x v="0"/>
    <x v="0"/>
    <s v="Đã hoàn thành_x000a_已完成"/>
    <d v="2026-01-10T00:00:00"/>
    <s v="#15060"/>
    <m/>
  </r>
  <r>
    <n v="295"/>
    <s v="X3"/>
    <s v="THUMUA_x000a_採購"/>
    <x v="293"/>
    <s v="192.168.34.66"/>
    <s v="11 Pro"/>
    <s v="#08894"/>
    <x v="0"/>
    <x v="0"/>
    <s v="Đã hoàn thành_x000a_已完成"/>
    <d v="2026-01-10T00:00:00"/>
    <s v="#15060"/>
    <m/>
  </r>
  <r>
    <n v="296"/>
    <s v="X3"/>
    <s v="THUMUA_x000a_採購"/>
    <x v="294"/>
    <s v="192.168.34.67"/>
    <s v="11 Pro"/>
    <s v="#16669"/>
    <x v="0"/>
    <x v="0"/>
    <s v="Đã hoàn thành_x000a_已完成"/>
    <d v="2026-01-10T00:00:00"/>
    <s v="#15060"/>
    <m/>
  </r>
  <r>
    <n v="297"/>
    <s v="X3"/>
    <s v="THUMUA_x000a_採購"/>
    <x v="295"/>
    <s v="192.168.34.68"/>
    <s v="11 Pro"/>
    <s v="#14595"/>
    <x v="0"/>
    <x v="0"/>
    <s v="Đã hoàn thành_x000a_已完成"/>
    <d v="2026-01-10T00:00:00"/>
    <s v="#15060"/>
    <m/>
  </r>
  <r>
    <n v="298"/>
    <s v="X3"/>
    <s v="THUMUA_x000a_採購"/>
    <x v="296"/>
    <s v="192.168.34.69"/>
    <s v="11 Pro"/>
    <s v="#22756"/>
    <x v="0"/>
    <x v="0"/>
    <s v="Đã hoàn thành_x000a_已完成"/>
    <d v="2026-01-10T00:00:00"/>
    <s v="#15060"/>
    <m/>
  </r>
  <r>
    <n v="299"/>
    <s v="X3"/>
    <s v="THUMUA_x000a_採購"/>
    <x v="297"/>
    <s v="192.168.34.77"/>
    <s v="11 Pro"/>
    <s v="#24642"/>
    <x v="0"/>
    <x v="0"/>
    <s v="Đã hoàn thành_x000a_已完成"/>
    <d v="2026-01-10T00:00:00"/>
    <s v="#15060"/>
    <m/>
  </r>
  <r>
    <n v="300"/>
    <s v="X3"/>
    <s v="THUMUA_x000a_採購"/>
    <x v="298"/>
    <s v="192.168.34.71"/>
    <s v="11 Pro"/>
    <s v="#17578"/>
    <x v="0"/>
    <x v="0"/>
    <s v="Đã hoàn thành_x000a_已完成"/>
    <d v="2026-01-10T00:00:00"/>
    <s v="#15060"/>
    <m/>
  </r>
  <r>
    <n v="301"/>
    <s v="X3"/>
    <s v="THUMUA_x000a_採購"/>
    <x v="299"/>
    <s v="192.168.34.72"/>
    <s v="11 Pro"/>
    <s v="#25757"/>
    <x v="0"/>
    <x v="0"/>
    <s v="Đã hoàn thành_x000a_已完成"/>
    <d v="2026-01-10T00:00:00"/>
    <s v="#15060"/>
    <m/>
  </r>
  <r>
    <n v="302"/>
    <s v="X3"/>
    <s v="THUMUA_x000a_採購"/>
    <x v="300"/>
    <s v="192.168.34.73"/>
    <s v="11 Pro"/>
    <s v="#14376"/>
    <x v="0"/>
    <x v="0"/>
    <s v="Đã hoàn thành_x000a_已完成"/>
    <d v="2026-01-10T00:00:00"/>
    <s v="#15060"/>
    <m/>
  </r>
  <r>
    <n v="303"/>
    <s v="X3"/>
    <s v="THUMUA_x000a_採購"/>
    <x v="301"/>
    <s v="192.168.34.74"/>
    <s v="11 Pro"/>
    <s v="#17646 "/>
    <x v="0"/>
    <x v="0"/>
    <s v="Đã hoàn thành_x000a_已完成"/>
    <d v="2026-01-10T00:00:00"/>
    <s v="#15060"/>
    <m/>
  </r>
  <r>
    <n v="304"/>
    <s v="X3"/>
    <s v="THUMUA_x000a_採購"/>
    <x v="302"/>
    <s v="192.168.34.75"/>
    <s v="11 Pro"/>
    <s v="#13750"/>
    <x v="0"/>
    <x v="0"/>
    <s v="Đã hoàn thành_x000a_已完成"/>
    <d v="2026-01-10T00:00:00"/>
    <s v="#15060"/>
    <m/>
  </r>
  <r>
    <n v="305"/>
    <s v="X3"/>
    <s v="THUMUA_x000a_採購"/>
    <x v="303"/>
    <s v="192.168.34.76"/>
    <s v="11 Pro"/>
    <s v="#21835"/>
    <x v="0"/>
    <x v="0"/>
    <s v="Đã hoàn thành_x000a_已完成"/>
    <d v="2026-01-10T00:00:00"/>
    <s v="#15060"/>
    <m/>
  </r>
  <r>
    <n v="306"/>
    <s v="X3"/>
    <s v="THUMUA_x000a_採購"/>
    <x v="304"/>
    <s v="192.168.34.80"/>
    <s v="11 Pro"/>
    <s v="#10788"/>
    <x v="0"/>
    <x v="0"/>
    <s v="Đã hoàn thành_x000a_已完成"/>
    <d v="2026-01-10T00:00:00"/>
    <s v="#15060"/>
    <m/>
  </r>
  <r>
    <n v="307"/>
    <s v="X3"/>
    <s v="THUMUA_x000a_採購"/>
    <x v="305"/>
    <s v="DHCP"/>
    <s v="11 Pro"/>
    <s v="#01914"/>
    <x v="0"/>
    <x v="0"/>
    <s v="Đã hoàn thành_x000a_已完成"/>
    <d v="2026-01-10T00:00:00"/>
    <s v="#15060"/>
    <m/>
  </r>
  <r>
    <n v="308"/>
    <s v="X3"/>
    <s v="THUMUA_x000a_採購"/>
    <x v="306"/>
    <s v="DHCP"/>
    <s v="11 Pro"/>
    <s v="#00658"/>
    <x v="0"/>
    <x v="0"/>
    <s v="Đã hoàn thành_x000a_已完成"/>
    <d v="2026-01-10T00:00:00"/>
    <s v="#15060"/>
    <m/>
  </r>
  <r>
    <n v="309"/>
    <s v="X3"/>
    <s v="THUMUA_x000a_採購"/>
    <x v="307"/>
    <s v="DHCP"/>
    <s v="11 Pro"/>
    <s v="#01656"/>
    <x v="0"/>
    <x v="0"/>
    <s v="Đã hoàn thành_x000a_已完成"/>
    <d v="2026-01-10T00:00:00"/>
    <s v="#15060"/>
    <m/>
  </r>
  <r>
    <n v="310"/>
    <s v="X3"/>
    <s v="THUMUA_x000a_採購"/>
    <x v="308"/>
    <s v="DHCP"/>
    <s v="11 Pro"/>
    <s v="#24509"/>
    <x v="0"/>
    <x v="0"/>
    <s v="Đã hoàn thành_x000a_已完成"/>
    <d v="2026-01-10T00:00:00"/>
    <s v="#15060"/>
    <m/>
  </r>
  <r>
    <n v="311"/>
    <s v="X3"/>
    <s v="THUMUA_x000a_採購"/>
    <x v="309"/>
    <s v="DHCP"/>
    <s v="11 Pro"/>
    <s v="#08756"/>
    <x v="0"/>
    <x v="0"/>
    <s v="Đã hoàn thành_x000a_已完成"/>
    <d v="2026-01-10T00:00:00"/>
    <s v="#15060"/>
    <m/>
  </r>
  <r>
    <n v="312"/>
    <s v="X3"/>
    <s v="THUMUA_x000a_採購"/>
    <x v="310"/>
    <s v="DHCP"/>
    <s v="11 Pro"/>
    <s v="#09244"/>
    <x v="0"/>
    <x v="0"/>
    <s v="Đã hoàn thành_x000a_已完成"/>
    <d v="2026-01-10T00:00:00"/>
    <s v="#15060"/>
    <m/>
  </r>
  <r>
    <n v="313"/>
    <s v="X3"/>
    <s v="THUMUA_x000a_採購"/>
    <x v="311"/>
    <s v="DHCP"/>
    <s v="11 Pro"/>
    <s v="#09590"/>
    <x v="0"/>
    <x v="0"/>
    <s v="Đã hoàn thành_x000a_已完成"/>
    <d v="2026-01-10T00:00:00"/>
    <s v="#15060"/>
    <m/>
  </r>
  <r>
    <n v="314"/>
    <s v="X3"/>
    <s v="THUMUA_x000a_採購"/>
    <x v="312"/>
    <s v="DHCP"/>
    <s v="11 Pro"/>
    <s v="#17578"/>
    <x v="0"/>
    <x v="0"/>
    <s v="Đã hoàn thành_x000a_已完成"/>
    <d v="2026-01-10T00:00:00"/>
    <s v="#15060"/>
    <m/>
  </r>
  <r>
    <n v="315"/>
    <s v="X3"/>
    <s v="THUMUA_x000a_採購"/>
    <x v="313"/>
    <s v="DHCP"/>
    <s v="11 Pro"/>
    <s v="#17952"/>
    <x v="0"/>
    <x v="0"/>
    <s v="Đã hoàn thành_x000a_已完成"/>
    <d v="2026-01-10T00:00:00"/>
    <s v="#15060"/>
    <m/>
  </r>
  <r>
    <n v="316"/>
    <s v="X3"/>
    <s v="THUMUA_x000a_採購"/>
    <x v="314"/>
    <s v="DHCP"/>
    <s v="11 Pro"/>
    <s v="#08889"/>
    <x v="0"/>
    <x v="0"/>
    <s v="Đã hoàn thành_x000a_已完成"/>
    <d v="2026-01-10T00:00:00"/>
    <s v="#15060"/>
    <m/>
  </r>
  <r>
    <n v="317"/>
    <s v="X3"/>
    <s v="NHANSU_x000a_人事"/>
    <x v="315"/>
    <s v="192.168.34.142"/>
    <s v="11 Pro"/>
    <s v="#03499"/>
    <x v="0"/>
    <x v="0"/>
    <s v="Đã hoàn thành_x000a_已完成"/>
    <d v="2026-01-10T00:00:00"/>
    <s v="#15060"/>
    <m/>
  </r>
  <r>
    <n v="318"/>
    <s v="X3"/>
    <s v="NHANSU_x000a_人事"/>
    <x v="316"/>
    <s v="192.168.34.79"/>
    <s v="11 Pro"/>
    <s v="#09870"/>
    <x v="0"/>
    <x v="0"/>
    <s v="Đã hoàn thành_x000a_已完成"/>
    <d v="2026-01-10T00:00:00"/>
    <s v="#15060"/>
    <m/>
  </r>
  <r>
    <n v="319"/>
    <s v="X3"/>
    <s v="NHANSU_x000a_人事"/>
    <x v="317"/>
    <s v="172.16.31.201"/>
    <s v="11 Pro"/>
    <s v="NSX6.MEET"/>
    <x v="0"/>
    <x v="0"/>
    <s v="Đã hoàn thành_x000a_已完成"/>
    <d v="2026-01-10T00:00:00"/>
    <s v="#15060"/>
    <m/>
  </r>
  <r>
    <n v="320"/>
    <s v="X3"/>
    <s v="NHANSU_x000a_人事"/>
    <x v="318"/>
    <s v="DHCP"/>
    <s v="11 Pro"/>
    <s v="M6-MEETING"/>
    <x v="0"/>
    <x v="0"/>
    <s v="Đã hoàn thành_x000a_已完成"/>
    <d v="2026-01-10T00:00:00"/>
    <s v="#15060"/>
    <m/>
  </r>
  <r>
    <n v="321"/>
    <s v="X3"/>
    <s v="NHANSU_x000a_人事"/>
    <x v="319"/>
    <s v="192.168.90.250"/>
    <s v="11 Pro"/>
    <s v="M7"/>
    <x v="0"/>
    <x v="0"/>
    <s v="Đã hoàn thành_x000a_已完成"/>
    <d v="2026-01-10T00:00:00"/>
    <s v="#15060"/>
    <m/>
  </r>
  <r>
    <n v="322"/>
    <s v="X3"/>
    <s v="NHANSU_x000a_人事"/>
    <x v="320"/>
    <s v="192.168.34.31"/>
    <s v="11 Pro"/>
    <s v="#02824"/>
    <x v="0"/>
    <x v="0"/>
    <s v="Đã hoàn thành_x000a_已完成"/>
    <d v="2026-01-10T00:00:00"/>
    <s v="#15060"/>
    <m/>
  </r>
  <r>
    <n v="323"/>
    <s v="X3"/>
    <s v="NHANSU_x000a_人事"/>
    <x v="321"/>
    <s v="192.168.34.32"/>
    <s v="11 Pro"/>
    <s v="#18258"/>
    <x v="0"/>
    <x v="0"/>
    <s v="Đã hoàn thành_x000a_已完成"/>
    <d v="2026-01-10T00:00:00"/>
    <s v="#15060"/>
    <m/>
  </r>
  <r>
    <n v="324"/>
    <s v="X3"/>
    <s v="NHANSU_x000a_人事"/>
    <x v="322"/>
    <s v="192.168.34.33"/>
    <s v="11 Pro"/>
    <s v="#00740"/>
    <x v="0"/>
    <x v="0"/>
    <s v="Đã hoàn thành_x000a_已完成"/>
    <d v="2026-01-10T00:00:00"/>
    <s v="#15060"/>
    <m/>
  </r>
  <r>
    <n v="325"/>
    <s v="X3"/>
    <s v="NHANSU_x000a_人事"/>
    <x v="323"/>
    <s v="192.168.34.34"/>
    <s v="11 Pro"/>
    <s v="#00336"/>
    <x v="0"/>
    <x v="0"/>
    <s v="Đã hoàn thành_x000a_已完成"/>
    <d v="2026-01-10T00:00:00"/>
    <s v="#15060"/>
    <m/>
  </r>
  <r>
    <n v="326"/>
    <s v="X3"/>
    <s v="NHANSU_x000a_人事"/>
    <x v="324"/>
    <s v="192.168.34.35"/>
    <s v="11 Pro"/>
    <s v="#03489"/>
    <x v="0"/>
    <x v="0"/>
    <s v="Đã hoàn thành_x000a_已完成"/>
    <d v="2026-01-10T00:00:00"/>
    <s v="#15060"/>
    <m/>
  </r>
  <r>
    <n v="327"/>
    <s v="X3"/>
    <s v="NHANSU_x000a_人事"/>
    <x v="325"/>
    <s v="192.168.34.36"/>
    <s v="11 Pro"/>
    <s v="#01188"/>
    <x v="0"/>
    <x v="0"/>
    <s v="Đã hoàn thành_x000a_已完成"/>
    <d v="2026-01-10T00:00:00"/>
    <s v="#15060"/>
    <m/>
  </r>
  <r>
    <n v="328"/>
    <s v="X3"/>
    <s v="NHANSU_x000a_人事"/>
    <x v="326"/>
    <s v="192.168.34.37"/>
    <s v="11 Pro"/>
    <s v="#00369"/>
    <x v="0"/>
    <x v="0"/>
    <s v="Đã hoàn thành_x000a_已完成"/>
    <d v="2026-01-10T00:00:00"/>
    <s v="#15060"/>
    <m/>
  </r>
  <r>
    <n v="329"/>
    <s v="X3"/>
    <s v="NHANSU_x000a_人事"/>
    <x v="327"/>
    <s v="192.168.34.38"/>
    <s v="11 Pro"/>
    <s v="#01162"/>
    <x v="0"/>
    <x v="0"/>
    <s v="Đã hoàn thành_x000a_已完成"/>
    <d v="2026-01-10T00:00:00"/>
    <s v="#15060"/>
    <m/>
  </r>
  <r>
    <n v="330"/>
    <s v="X3"/>
    <s v="NHANSU_x000a_人事"/>
    <x v="328"/>
    <s v="192.168.34.39"/>
    <s v="11 Pro"/>
    <s v="#03499"/>
    <x v="0"/>
    <x v="0"/>
    <s v="Đã hoàn thành_x000a_已完成"/>
    <d v="2026-01-10T00:00:00"/>
    <s v="#15060"/>
    <m/>
  </r>
  <r>
    <n v="331"/>
    <s v="X3"/>
    <s v="NHANSU_x000a_人事"/>
    <x v="329"/>
    <s v="192.168.90.28"/>
    <s v="11 Pro"/>
    <s v="#17645"/>
    <x v="0"/>
    <x v="0"/>
    <s v="Đã hoàn thành_x000a_已完成"/>
    <d v="2026-01-10T00:00:00"/>
    <s v="#15060"/>
    <m/>
  </r>
  <r>
    <n v="332"/>
    <s v="X3"/>
    <s v="NHANSU_x000a_人事"/>
    <x v="330"/>
    <s v="192.168.34.45"/>
    <s v="11 Pro"/>
    <s v="#09870"/>
    <x v="0"/>
    <x v="0"/>
    <s v="Đã hoàn thành_x000a_已完成"/>
    <d v="2026-01-10T00:00:00"/>
    <s v="#15060"/>
    <m/>
  </r>
  <r>
    <n v="333"/>
    <s v="X3"/>
    <s v="NHANSU_x000a_人事"/>
    <x v="331"/>
    <s v="192.168.34.48"/>
    <s v="11 Pro"/>
    <s v="#20019"/>
    <x v="0"/>
    <x v="0"/>
    <s v="Đã hoàn thành_x000a_已完成"/>
    <d v="2026-01-10T00:00:00"/>
    <s v="#15060"/>
    <m/>
  </r>
  <r>
    <n v="334"/>
    <s v="X3"/>
    <s v="NHANSU_x000a_人事"/>
    <x v="332"/>
    <s v="192.168.34.49"/>
    <s v="11 Pro"/>
    <s v="#20907"/>
    <x v="0"/>
    <x v="0"/>
    <s v="Đã hoàn thành_x000a_已完成"/>
    <d v="2026-01-10T00:00:00"/>
    <s v="#15060"/>
    <m/>
  </r>
  <r>
    <n v="335"/>
    <s v="X3"/>
    <s v="NHANSU_x000a_人事"/>
    <x v="333"/>
    <s v="192.168.34.41"/>
    <s v="11 Pro"/>
    <s v="#25319"/>
    <x v="0"/>
    <x v="0"/>
    <s v="Đã hoàn thành_x000a_已完成"/>
    <d v="2026-01-10T00:00:00"/>
    <s v="#15060"/>
    <m/>
  </r>
  <r>
    <n v="336"/>
    <s v="X3"/>
    <s v="NHANSU_x000a_人事"/>
    <x v="334"/>
    <s v="192.168.34.30"/>
    <s v="11 Pro"/>
    <s v="#26363"/>
    <x v="0"/>
    <x v="0"/>
    <s v="Đã hoàn thành_x000a_已完成"/>
    <d v="2026-01-10T00:00:00"/>
    <s v="#15060"/>
    <m/>
  </r>
  <r>
    <n v="337"/>
    <s v="X6"/>
    <s v="NHANSU_x000a_人事"/>
    <x v="335"/>
    <s v="172.16.31.42"/>
    <s v="11 Pro"/>
    <s v="#20907"/>
    <x v="0"/>
    <x v="0"/>
    <s v="Đã hoàn thành_x000a_已完成"/>
    <d v="2026-01-10T00:00:00"/>
    <s v="#18499"/>
    <m/>
  </r>
  <r>
    <n v="338"/>
    <s v="X3"/>
    <s v="NHANSU_x000a_人事"/>
    <x v="336"/>
    <s v="192.168.34.88"/>
    <s v="11 Pro"/>
    <s v="#17645"/>
    <x v="0"/>
    <x v="0"/>
    <s v="Đã hoàn thành_x000a_已完成"/>
    <d v="2026-01-10T00:00:00"/>
    <s v="#15060"/>
    <m/>
  </r>
  <r>
    <n v="339"/>
    <s v="X3"/>
    <s v="NHANSU_x000a_人事"/>
    <x v="337"/>
    <s v="192.168.32.83"/>
    <s v="11 Pro"/>
    <s v="#10294"/>
    <x v="0"/>
    <x v="0"/>
    <s v="Đã hoàn thành_x000a_已完成"/>
    <d v="2026-01-10T00:00:00"/>
    <s v="#15060"/>
    <m/>
  </r>
  <r>
    <n v="340"/>
    <s v="X5"/>
    <s v="NHANSU_x000a_人事"/>
    <x v="338"/>
    <s v="192.168.22.55"/>
    <s v="11 Pro"/>
    <s v="#10294"/>
    <x v="0"/>
    <x v="0"/>
    <s v="Đã hoàn thành_x000a_已完成"/>
    <d v="2026-01-10T00:00:00"/>
    <s v="#15060"/>
    <m/>
  </r>
  <r>
    <n v="341"/>
    <s v="X6"/>
    <s v="NHANSU_x000a_人事"/>
    <x v="339"/>
    <s v="172.16.31.43"/>
    <s v="10 Pro"/>
    <s v="#20194"/>
    <x v="0"/>
    <x v="0"/>
    <s v="Đã hoàn thành_x000a_已完成"/>
    <d v="2026-01-10T00:00:00"/>
    <s v="#18499"/>
    <m/>
  </r>
  <r>
    <n v="342"/>
    <s v="X6"/>
    <s v="NHANSU_x000a_人事"/>
    <x v="340"/>
    <s v="172.16.31.41"/>
    <s v="11 Pro"/>
    <s v="#17574"/>
    <x v="0"/>
    <x v="0"/>
    <s v="Đã hoàn thành_x000a_已完成"/>
    <d v="2026-01-10T00:00:00"/>
    <s v="#18499"/>
    <m/>
  </r>
  <r>
    <n v="343"/>
    <s v="X3"/>
    <s v="YTE_x000a_醫療"/>
    <x v="341"/>
    <s v="192.168.32.81"/>
    <s v="11 Pro"/>
    <s v="#00376"/>
    <x v="0"/>
    <x v="0"/>
    <s v="Đã hoàn thành_x000a_已完成"/>
    <d v="2026-01-10T00:00:00"/>
    <s v="#20021"/>
    <m/>
  </r>
  <r>
    <n v="344"/>
    <s v="X3"/>
    <s v="YTE_x000a_醫療"/>
    <x v="342"/>
    <s v="192.168.32.82"/>
    <s v="11 Pro"/>
    <s v="#05074"/>
    <x v="0"/>
    <x v="0"/>
    <s v="Đã hoàn thành_x000a_已完成"/>
    <d v="2026-01-10T00:00:00"/>
    <s v="#20021"/>
    <m/>
  </r>
  <r>
    <n v="345"/>
    <s v="X3"/>
    <s v="YTE_x000a_醫療"/>
    <x v="343"/>
    <s v="192.168.22.56"/>
    <s v="11 Pro"/>
    <s v="#01967"/>
    <x v="0"/>
    <x v="0"/>
    <s v="Đã hoàn thành_x000a_已完成"/>
    <d v="2026-01-10T00:00:00"/>
    <s v="#20021"/>
    <m/>
  </r>
  <r>
    <n v="346"/>
    <s v="X6"/>
    <s v="YTE_x000a_醫療"/>
    <x v="344"/>
    <s v="172.16.31.44"/>
    <s v="11 Pro"/>
    <s v="#01742"/>
    <x v="0"/>
    <x v="0"/>
    <s v="Đã hoàn thành_x000a_已完成"/>
    <d v="2026-01-10T00:00:00"/>
    <s v="#18499"/>
    <m/>
  </r>
  <r>
    <n v="347"/>
    <s v="X3"/>
    <s v="ATMT_x000a_安環市"/>
    <x v="345"/>
    <s v="192.168.34.42"/>
    <s v="11 Pro"/>
    <s v="#03502"/>
    <x v="0"/>
    <x v="0"/>
    <s v="Đã hoàn thành_x000a_已完成"/>
    <d v="2026-01-10T00:00:00"/>
    <s v="#15060"/>
    <m/>
  </r>
  <r>
    <n v="348"/>
    <s v="X3"/>
    <s v="ATMT_x000a_安環市"/>
    <x v="346"/>
    <s v="192.168.34.43"/>
    <s v="11 Pro"/>
    <s v="#15950"/>
    <x v="0"/>
    <x v="0"/>
    <s v="Đã hoàn thành_x000a_已完成"/>
    <d v="2026-01-10T00:00:00"/>
    <s v="#15060"/>
    <m/>
  </r>
  <r>
    <n v="349"/>
    <s v="X3"/>
    <s v="ATMT_x000a_安環市"/>
    <x v="347"/>
    <s v="192.168.34.44"/>
    <s v="11 Pro"/>
    <s v="#03618"/>
    <x v="0"/>
    <x v="0"/>
    <s v="Đã hoàn thành_x000a_已完成"/>
    <d v="2026-01-10T00:00:00"/>
    <s v="#15060"/>
    <m/>
  </r>
  <r>
    <n v="350"/>
    <s v="X3"/>
    <s v="ATMT_x000a_安環市"/>
    <x v="348"/>
    <s v="192.168.34.46"/>
    <s v="11 Pro"/>
    <s v="#25148"/>
    <x v="0"/>
    <x v="0"/>
    <s v="Đã hoàn thành_x000a_已完成"/>
    <d v="2026-01-10T00:00:00"/>
    <s v="#15060"/>
    <m/>
  </r>
  <r>
    <n v="351"/>
    <s v="X3"/>
    <s v="ATMT_x000a_安環市"/>
    <x v="349"/>
    <s v="192.168.34.47"/>
    <s v="11 Pro"/>
    <s v="#25678"/>
    <x v="0"/>
    <x v="0"/>
    <s v="Đã hoàn thành_x000a_已完成"/>
    <d v="2026-01-10T00:00:00"/>
    <s v="#15060"/>
    <m/>
  </r>
  <r>
    <n v="352"/>
    <s v="X6"/>
    <s v="ATMT_x000a_安環市"/>
    <x v="350"/>
    <s v="172.16.31.2"/>
    <s v="11 Pro"/>
    <s v="#25127"/>
    <x v="0"/>
    <x v="0"/>
    <s v="Đã hoàn thành_x000a_已完成"/>
    <d v="2026-01-10T00:00:00"/>
    <s v="#18499"/>
    <m/>
  </r>
  <r>
    <n v="353"/>
    <s v="X3"/>
    <s v="ATMT_x000a_安環市"/>
    <x v="351"/>
    <s v="DHCP"/>
    <s v="11 Pro"/>
    <s v="#01443"/>
    <x v="0"/>
    <x v="0"/>
    <s v="Đã hoàn thành_x000a_已完成"/>
    <d v="2026-01-10T00:00:00"/>
    <s v="#15060"/>
    <m/>
  </r>
  <r>
    <n v="354"/>
    <s v="X3"/>
    <s v="XNK_x000a_進出口"/>
    <x v="352"/>
    <s v="192.168.30.44"/>
    <s v="11 Pro"/>
    <s v="#09527"/>
    <x v="0"/>
    <x v="0"/>
    <s v="Đã hoàn thành_x000a_已完成"/>
    <d v="2026-01-10T00:00:00"/>
    <s v="#20021"/>
    <m/>
  </r>
  <r>
    <n v="355"/>
    <s v="X3"/>
    <s v="XNK_x000a_進出口"/>
    <x v="353"/>
    <s v="192.168.30.40"/>
    <s v="11 Pro"/>
    <s v="#00610"/>
    <x v="0"/>
    <x v="0"/>
    <s v="Đã hoàn thành_x000a_已完成"/>
    <d v="2026-01-10T00:00:00"/>
    <s v="#20021"/>
    <m/>
  </r>
  <r>
    <n v="356"/>
    <s v="X3"/>
    <s v="XNK_x000a_進出口"/>
    <x v="354"/>
    <s v="192.168.30.41"/>
    <s v="11 Pro"/>
    <s v="#04036"/>
    <x v="0"/>
    <x v="0"/>
    <s v="Đã hoàn thành_x000a_已完成"/>
    <d v="2026-01-10T00:00:00"/>
    <s v="#20021"/>
    <m/>
  </r>
  <r>
    <n v="357"/>
    <s v="X3"/>
    <s v="XNK_x000a_進出口"/>
    <x v="355"/>
    <s v="192.168.30.42"/>
    <s v="11 Pro"/>
    <s v="#25354"/>
    <x v="0"/>
    <x v="0"/>
    <s v="Đã hoàn thành_x000a_已完成"/>
    <d v="2026-01-10T00:00:00"/>
    <s v="#20021"/>
    <m/>
  </r>
  <r>
    <n v="358"/>
    <s v="X3"/>
    <s v="XNK_x000a_進出口"/>
    <x v="356"/>
    <s v="192.168.30.43"/>
    <s v="11 Pro"/>
    <s v="#08941"/>
    <x v="0"/>
    <x v="0"/>
    <s v="Đã hoàn thành_x000a_已完成"/>
    <d v="2026-01-10T00:00:00"/>
    <s v="#20021"/>
    <m/>
  </r>
  <r>
    <n v="359"/>
    <s v="X3"/>
    <s v="XNK_x000a_進出口"/>
    <x v="357"/>
    <s v="192.168.30.45"/>
    <s v="11 Pro"/>
    <s v="#10480"/>
    <x v="0"/>
    <x v="0"/>
    <s v="Đã hoàn thành_x000a_已完成"/>
    <d v="2026-01-10T00:00:00"/>
    <s v="#20021"/>
    <m/>
  </r>
  <r>
    <n v="360"/>
    <s v="X3"/>
    <s v="XNK_x000a_進出口"/>
    <x v="358"/>
    <s v="192.168.30.48"/>
    <s v="11 Pro"/>
    <s v="#22147"/>
    <x v="0"/>
    <x v="0"/>
    <s v="Đã hoàn thành_x000a_已完成"/>
    <d v="2026-01-10T00:00:00"/>
    <s v="#20021"/>
    <m/>
  </r>
  <r>
    <n v="361"/>
    <s v="X3"/>
    <s v="XNK_x000a_進出口"/>
    <x v="359"/>
    <s v="192.168.30.46"/>
    <s v="11 Pro"/>
    <s v="#13986"/>
    <x v="0"/>
    <x v="0"/>
    <s v="Đã hoàn thành_x000a_已完成"/>
    <d v="2026-01-10T00:00:00"/>
    <s v="#20021"/>
    <m/>
  </r>
  <r>
    <n v="362"/>
    <s v="X3"/>
    <s v="XNK_x000a_進出口"/>
    <x v="360"/>
    <s v="192.168.30.47"/>
    <s v="11 Pro"/>
    <s v="#09878"/>
    <x v="0"/>
    <x v="0"/>
    <s v="Đã hoàn thành_x000a_已完成"/>
    <d v="2026-01-10T00:00:00"/>
    <s v="#20021"/>
    <m/>
  </r>
  <r>
    <n v="363"/>
    <s v="X3"/>
    <s v="XNK_x000a_進出口"/>
    <x v="361"/>
    <s v="192.168.30.49"/>
    <s v="11 Pro"/>
    <s v="#09527"/>
    <x v="0"/>
    <x v="0"/>
    <s v="Đã hoàn thành_x000a_已完成"/>
    <d v="2026-01-10T00:00:00"/>
    <s v="#20021"/>
    <m/>
  </r>
  <r>
    <n v="364"/>
    <s v="X3"/>
    <s v="XNK_x000a_進出口"/>
    <x v="362"/>
    <s v="DHCP"/>
    <s v="11 Pro"/>
    <s v="#26027"/>
    <x v="0"/>
    <x v="0"/>
    <s v="Đã hoàn thành_x000a_已完成"/>
    <d v="2026-01-10T00:00:00"/>
    <s v="#20021"/>
    <m/>
  </r>
  <r>
    <n v="365"/>
    <s v="X3"/>
    <s v="KSNB_x000a_稽核室"/>
    <x v="363"/>
    <s v="192.168.30.27"/>
    <s v="11 Pro"/>
    <s v="#24294"/>
    <x v="0"/>
    <x v="0"/>
    <s v="Đã hoàn thành_x000a_已完成"/>
    <d v="2026-01-10T00:00:00"/>
    <s v="#20021"/>
    <m/>
  </r>
  <r>
    <n v="366"/>
    <s v="X3"/>
    <s v="KSNB_x000a_稽核室"/>
    <x v="364"/>
    <s v="192.168.30.28"/>
    <s v="11 Pro"/>
    <s v="#26277"/>
    <x v="0"/>
    <x v="0"/>
    <s v="Đã hoàn thành_x000a_已完成"/>
    <d v="2026-01-10T00:00:00"/>
    <s v="#20021"/>
    <m/>
  </r>
  <r>
    <n v="367"/>
    <s v="X3"/>
    <s v="KSNB_x000a_稽核室"/>
    <x v="365"/>
    <s v="DHCP"/>
    <s v="11 Pro"/>
    <s v="#24901"/>
    <x v="0"/>
    <x v="0"/>
    <s v="Đã hoàn thành_x000a_已完成"/>
    <d v="2026-01-10T00:00:00"/>
    <s v="#20021"/>
    <m/>
  </r>
  <r>
    <n v="368"/>
    <s v="X3"/>
    <s v="KSNB_x000a_稽核室"/>
    <x v="366"/>
    <s v="DHCP"/>
    <s v="11 Pro"/>
    <s v="#00720"/>
    <x v="0"/>
    <x v="0"/>
    <s v="Đã hoàn thành_x000a_已完成"/>
    <d v="2026-01-10T00:00:00"/>
    <s v="#20021"/>
    <m/>
  </r>
  <r>
    <n v="369"/>
    <s v="X4"/>
    <s v="KAIFA"/>
    <x v="367"/>
    <s v="192.168.33.1"/>
    <s v="11 Pro"/>
    <s v="#26038"/>
    <x v="0"/>
    <x v="0"/>
    <s v="Đã hoàn thành_x000a_已完成"/>
    <d v="2026-01-10T00:00:00"/>
    <s v="#17655"/>
    <m/>
  </r>
  <r>
    <n v="370"/>
    <s v="X4"/>
    <s v="KAIFA"/>
    <x v="368"/>
    <s v="192.168.33.2"/>
    <s v="11 Pro"/>
    <s v="#15626"/>
    <x v="0"/>
    <x v="0"/>
    <s v="Đã hoàn thành_x000a_已完成"/>
    <d v="2026-01-10T00:00:00"/>
    <s v="#17655"/>
    <m/>
  </r>
  <r>
    <n v="371"/>
    <s v="X4"/>
    <s v="KAIFA"/>
    <x v="369"/>
    <s v="192.168.33.3"/>
    <s v="11 Pro"/>
    <s v="#12760"/>
    <x v="0"/>
    <x v="0"/>
    <s v="Đã hoàn thành_x000a_已完成"/>
    <d v="2026-01-10T00:00:00"/>
    <s v="#17655"/>
    <m/>
  </r>
  <r>
    <n v="372"/>
    <s v="X4"/>
    <s v="KAIFA"/>
    <x v="370"/>
    <s v="192.168.33.4"/>
    <s v="11 Pro"/>
    <s v="#11725"/>
    <x v="0"/>
    <x v="0"/>
    <s v="Đã hoàn thành_x000a_已完成"/>
    <d v="2026-01-10T00:00:00"/>
    <s v="#17655"/>
    <m/>
  </r>
  <r>
    <n v="373"/>
    <s v="X4"/>
    <s v="KAIFA"/>
    <x v="371"/>
    <s v="192.168.33.5"/>
    <s v="11 Pro"/>
    <s v="#11132"/>
    <x v="0"/>
    <x v="0"/>
    <s v="Đã hoàn thành_x000a_已完成"/>
    <d v="2026-01-10T00:00:00"/>
    <s v="#17655"/>
    <m/>
  </r>
  <r>
    <n v="374"/>
    <s v="X4"/>
    <s v="KAIFA"/>
    <x v="372"/>
    <s v="192.168.33.6"/>
    <s v="11 Pro"/>
    <s v="#13852"/>
    <x v="0"/>
    <x v="0"/>
    <s v="Đã hoàn thành_x000a_已完成"/>
    <d v="2026-01-10T00:00:00"/>
    <s v="#17655"/>
    <m/>
  </r>
  <r>
    <n v="375"/>
    <s v="X4"/>
    <s v="KAIFA"/>
    <x v="373"/>
    <s v="192.168.33.7"/>
    <s v="11 Pro"/>
    <s v="#11723"/>
    <x v="0"/>
    <x v="0"/>
    <s v="Đã hoàn thành_x000a_已完成"/>
    <d v="2026-01-10T00:00:00"/>
    <s v="#17655"/>
    <m/>
  </r>
  <r>
    <n v="376"/>
    <s v="X4"/>
    <s v="KAIFA"/>
    <x v="374"/>
    <s v="192.168.33.8"/>
    <s v="11 Pro"/>
    <s v="#00285"/>
    <x v="0"/>
    <x v="0"/>
    <s v="Đã hoàn thành_x000a_已完成"/>
    <d v="2026-01-10T00:00:00"/>
    <s v="#17655"/>
    <m/>
  </r>
  <r>
    <n v="377"/>
    <s v="X4"/>
    <s v="KAIFA"/>
    <x v="375"/>
    <s v="192.168.33.9"/>
    <s v="11 Pro"/>
    <s v="#03798"/>
    <x v="0"/>
    <x v="0"/>
    <s v="Đã hoàn thành_x000a_已完成"/>
    <d v="2026-01-10T00:00:00"/>
    <s v="#17655"/>
    <m/>
  </r>
  <r>
    <n v="378"/>
    <s v="X4"/>
    <s v="KAIFA"/>
    <x v="376"/>
    <s v="192.168.33.10"/>
    <s v="11 Pro"/>
    <s v="#25956"/>
    <x v="0"/>
    <x v="0"/>
    <s v="Đã hoàn thành_x000a_已完成"/>
    <d v="2026-01-10T00:00:00"/>
    <s v="#17655"/>
    <m/>
  </r>
  <r>
    <n v="379"/>
    <s v="X4"/>
    <s v="KAIFA"/>
    <x v="377"/>
    <s v="192.168.33.26"/>
    <s v="11 Pro"/>
    <s v="#11632"/>
    <x v="0"/>
    <x v="0"/>
    <s v="Đã hoàn thành_x000a_已完成"/>
    <d v="2026-01-10T00:00:00"/>
    <s v="#17655"/>
    <m/>
  </r>
  <r>
    <n v="380"/>
    <s v="X4"/>
    <s v="KAIFA"/>
    <x v="378"/>
    <s v="192.168.33.11"/>
    <s v="11 Pro"/>
    <s v="#18143"/>
    <x v="0"/>
    <x v="0"/>
    <s v="Đã hoàn thành_x000a_已完成"/>
    <d v="2026-01-10T00:00:00"/>
    <s v="#17655"/>
    <m/>
  </r>
  <r>
    <n v="381"/>
    <s v="X4"/>
    <s v="KAIFA"/>
    <x v="379"/>
    <s v="192.168.33.13"/>
    <s v="11 Pro"/>
    <s v="#17912"/>
    <x v="0"/>
    <x v="0"/>
    <s v="Đã hoàn thành_x000a_已完成"/>
    <d v="2026-01-10T00:00:00"/>
    <s v="#17655"/>
    <m/>
  </r>
  <r>
    <n v="382"/>
    <s v="X4"/>
    <s v="KAIFA"/>
    <x v="380"/>
    <s v="192.168.33.14"/>
    <s v="11 Pro"/>
    <s v=" #10953"/>
    <x v="0"/>
    <x v="0"/>
    <s v="Đã hoàn thành_x000a_已完成"/>
    <d v="2026-01-10T00:00:00"/>
    <s v="#17655"/>
    <m/>
  </r>
  <r>
    <n v="383"/>
    <s v="X4"/>
    <s v="KAIFA"/>
    <x v="381"/>
    <s v="192.168.33.15"/>
    <s v="11 Pro"/>
    <s v="#04751"/>
    <x v="0"/>
    <x v="0"/>
    <s v="Đã hoàn thành_x000a_已完成"/>
    <d v="2026-01-10T00:00:00"/>
    <s v="#17655"/>
    <m/>
  </r>
  <r>
    <n v="384"/>
    <s v="X4"/>
    <s v="KAIFA"/>
    <x v="382"/>
    <s v="192.168.33.16"/>
    <s v="11 Pro"/>
    <s v="#09587"/>
    <x v="0"/>
    <x v="0"/>
    <s v="Đã hoàn thành_x000a_已完成"/>
    <d v="2026-01-10T00:00:00"/>
    <s v="#17655"/>
    <m/>
  </r>
  <r>
    <n v="385"/>
    <s v="X4"/>
    <s v="KAIFA"/>
    <x v="383"/>
    <s v="192.168.33.17"/>
    <s v="11 Pro"/>
    <s v="#12582"/>
    <x v="0"/>
    <x v="0"/>
    <s v="Đã hoàn thành_x000a_已完成"/>
    <d v="2026-01-10T00:00:00"/>
    <s v="#17655"/>
    <m/>
  </r>
  <r>
    <n v="386"/>
    <s v="X4"/>
    <s v="KAIFA"/>
    <x v="384"/>
    <s v="192.168.33.18"/>
    <s v="11 Pro"/>
    <s v="#07179"/>
    <x v="0"/>
    <x v="0"/>
    <s v="Đã hoàn thành_x000a_已完成"/>
    <d v="2026-01-10T00:00:00"/>
    <s v="#17655"/>
    <m/>
  </r>
  <r>
    <n v="387"/>
    <s v="X4"/>
    <s v="KAIFA"/>
    <x v="385"/>
    <s v="192.168.33.19"/>
    <s v="11 Pro"/>
    <s v="#05224"/>
    <x v="0"/>
    <x v="0"/>
    <s v="Đã hoàn thành_x000a_已完成"/>
    <d v="2026-01-10T00:00:00"/>
    <s v="#17655"/>
    <m/>
  </r>
  <r>
    <n v="388"/>
    <s v="X4"/>
    <s v="KAIFA"/>
    <x v="386"/>
    <s v="192.168.33.20"/>
    <s v="11 Pro"/>
    <s v="#17794"/>
    <x v="0"/>
    <x v="0"/>
    <s v="Đã hoàn thành_x000a_已完成"/>
    <d v="2026-01-10T00:00:00"/>
    <s v="#17655"/>
    <m/>
  </r>
  <r>
    <n v="389"/>
    <s v="X4"/>
    <s v="KAIFA"/>
    <x v="387"/>
    <s v="192.168.33.21"/>
    <s v="11 Pro"/>
    <s v="#10864"/>
    <x v="0"/>
    <x v="0"/>
    <s v="Đã hoàn thành_x000a_已完成"/>
    <d v="2026-01-10T00:00:00"/>
    <s v="#17655"/>
    <m/>
  </r>
  <r>
    <n v="390"/>
    <s v="X4"/>
    <s v="KAIFA"/>
    <x v="388"/>
    <s v="192.168.33.22"/>
    <s v="11 Pro"/>
    <s v="#08232"/>
    <x v="0"/>
    <x v="0"/>
    <s v="Đã hoàn thành_x000a_已完成"/>
    <d v="2026-01-10T00:00:00"/>
    <s v="#17655"/>
    <m/>
  </r>
  <r>
    <n v="391"/>
    <s v="X4"/>
    <s v="KAIFA"/>
    <x v="389"/>
    <s v="192.168.33.23"/>
    <s v="11 Pro"/>
    <s v="#17589"/>
    <x v="0"/>
    <x v="0"/>
    <s v="Đã hoàn thành_x000a_已完成"/>
    <d v="2026-01-10T00:00:00"/>
    <s v="#17655"/>
    <m/>
  </r>
  <r>
    <n v="392"/>
    <s v="X4"/>
    <s v="KAIFA"/>
    <x v="390"/>
    <s v="192.168.33.24"/>
    <s v="11 Pro"/>
    <s v="#15625"/>
    <x v="0"/>
    <x v="0"/>
    <s v="Đã hoàn thành_x000a_已完成"/>
    <d v="2026-01-10T00:00:00"/>
    <s v="#17655"/>
    <m/>
  </r>
  <r>
    <n v="393"/>
    <s v="X4"/>
    <s v="KAIFA"/>
    <x v="391"/>
    <s v="192.168.33.25"/>
    <s v="11 Pro"/>
    <s v="#13165"/>
    <x v="0"/>
    <x v="0"/>
    <s v="Đã hoàn thành_x000a_已完成"/>
    <d v="2026-01-10T00:00:00"/>
    <s v="#17655"/>
    <m/>
  </r>
  <r>
    <n v="394"/>
    <s v="X4"/>
    <s v="KAIFA"/>
    <x v="392"/>
    <s v="192.168.33.88"/>
    <s v="11 Pro"/>
    <s v="#09586"/>
    <x v="0"/>
    <x v="0"/>
    <s v="Đã hoàn thành_x000a_已完成"/>
    <d v="2026-01-10T00:00:00"/>
    <s v="#17655"/>
    <m/>
  </r>
  <r>
    <n v="395"/>
    <s v="X4"/>
    <s v="KAIFA"/>
    <x v="393"/>
    <s v="192.168.33.27"/>
    <s v="11 Pro"/>
    <s v="#17573"/>
    <x v="0"/>
    <x v="0"/>
    <s v="Đã hoàn thành_x000a_已完成"/>
    <d v="2026-01-10T00:00:00"/>
    <s v="#17655"/>
    <m/>
  </r>
  <r>
    <n v="396"/>
    <s v="X4"/>
    <s v="KAIFA"/>
    <x v="394"/>
    <s v="192.168.33.28"/>
    <s v="11 Pro"/>
    <s v="#16002"/>
    <x v="0"/>
    <x v="0"/>
    <s v="Đã hoàn thành_x000a_已完成"/>
    <d v="2026-01-10T00:00:00"/>
    <s v="#17655"/>
    <m/>
  </r>
  <r>
    <n v="397"/>
    <s v="X4"/>
    <s v="KAIFA"/>
    <x v="395"/>
    <s v="192.168.33.29"/>
    <s v="11 Pro"/>
    <s v="#26307"/>
    <x v="0"/>
    <x v="0"/>
    <s v="Đã hoàn thành_x000a_已完成"/>
    <d v="2026-01-10T00:00:00"/>
    <s v="#17655"/>
    <m/>
  </r>
  <r>
    <n v="398"/>
    <s v="X4"/>
    <s v="KAIFA"/>
    <x v="396"/>
    <s v="192.168.33.31"/>
    <s v="11 Pro"/>
    <s v="#17356"/>
    <x v="0"/>
    <x v="0"/>
    <s v="Đã hoàn thành_x000a_已完成"/>
    <d v="2026-01-10T00:00:00"/>
    <s v="#17655"/>
    <m/>
  </r>
  <r>
    <n v="399"/>
    <s v="X4"/>
    <s v="KAIFA"/>
    <x v="397"/>
    <s v="192.168.33.33"/>
    <s v="11 Pro"/>
    <s v="#17886"/>
    <x v="0"/>
    <x v="0"/>
    <s v="Đã hoàn thành_x000a_已完成"/>
    <d v="2026-01-10T00:00:00"/>
    <s v="#17655"/>
    <m/>
  </r>
  <r>
    <n v="400"/>
    <s v="X4"/>
    <s v="KAIFA"/>
    <x v="398"/>
    <s v="192.168.33.34"/>
    <s v="11 Pro"/>
    <s v="#12580"/>
    <x v="0"/>
    <x v="0"/>
    <s v="Đã hoàn thành_x000a_已完成"/>
    <d v="2026-01-10T00:00:00"/>
    <s v="#17655"/>
    <m/>
  </r>
  <r>
    <n v="401"/>
    <s v="X4"/>
    <s v="KAIFA"/>
    <x v="399"/>
    <s v="192.168.33.35"/>
    <s v="11 Pro"/>
    <s v="#10879"/>
    <x v="0"/>
    <x v="0"/>
    <s v="Đã hoàn thành_x000a_已完成"/>
    <d v="2026-01-10T00:00:00"/>
    <s v="#17655"/>
    <m/>
  </r>
  <r>
    <n v="402"/>
    <s v="X4"/>
    <s v="KAIFA"/>
    <x v="400"/>
    <s v="192.168.33.36"/>
    <s v="11 Pro"/>
    <s v="#16290"/>
    <x v="0"/>
    <x v="0"/>
    <s v="Đã hoàn thành_x000a_已完成"/>
    <d v="2026-01-10T00:00:00"/>
    <s v="#17655"/>
    <m/>
  </r>
  <r>
    <n v="403"/>
    <s v="X4"/>
    <s v="KAIFA"/>
    <x v="401"/>
    <s v="192.168.33.37"/>
    <s v="11 Pro"/>
    <s v="#15629"/>
    <x v="0"/>
    <x v="0"/>
    <s v="Đã hoàn thành_x000a_已完成"/>
    <d v="2026-01-10T00:00:00"/>
    <s v="#17655"/>
    <m/>
  </r>
  <r>
    <n v="404"/>
    <s v="X4"/>
    <s v="KAIFA"/>
    <x v="402"/>
    <s v="192.168.33.38"/>
    <s v="11 Pro"/>
    <s v="#17474"/>
    <x v="0"/>
    <x v="0"/>
    <s v="Đã hoàn thành_x000a_已完成"/>
    <d v="2026-01-10T00:00:00"/>
    <s v="#17655"/>
    <m/>
  </r>
  <r>
    <n v="405"/>
    <s v="X4"/>
    <s v="KAIFA"/>
    <x v="403"/>
    <s v="192.168.33.39"/>
    <s v="11 Pro"/>
    <s v="#13668"/>
    <x v="0"/>
    <x v="0"/>
    <s v="Đã hoàn thành_x000a_已完成"/>
    <d v="2026-01-10T00:00:00"/>
    <s v="#17655"/>
    <m/>
  </r>
  <r>
    <n v="406"/>
    <s v="X4"/>
    <s v="KAIFA"/>
    <x v="404"/>
    <s v="192.168.33.40"/>
    <s v="11 Pro"/>
    <s v="#21398"/>
    <x v="0"/>
    <x v="0"/>
    <s v="Đã hoàn thành_x000a_已完成"/>
    <d v="2026-01-10T00:00:00"/>
    <s v="#17655"/>
    <m/>
  </r>
  <r>
    <n v="407"/>
    <s v="X4"/>
    <s v="KAIFA"/>
    <x v="405"/>
    <s v="192.168.33.41"/>
    <s v="11 Pro"/>
    <s v="#26306"/>
    <x v="0"/>
    <x v="0"/>
    <s v="Đã hoàn thành_x000a_已完成"/>
    <d v="2026-01-10T00:00:00"/>
    <s v="#17655"/>
    <m/>
  </r>
  <r>
    <n v="408"/>
    <s v="X4"/>
    <s v="KAIFA"/>
    <x v="406"/>
    <s v="192.168.33.42"/>
    <s v="11 Pro"/>
    <s v="#04750"/>
    <x v="0"/>
    <x v="0"/>
    <s v="Đã hoàn thành_x000a_已完成"/>
    <d v="2026-01-10T00:00:00"/>
    <s v="#17655"/>
    <m/>
  </r>
  <r>
    <n v="409"/>
    <s v="X4"/>
    <s v="KAIFA"/>
    <x v="407"/>
    <s v="192.168.33.43"/>
    <s v="11 Pro"/>
    <s v="#12761"/>
    <x v="0"/>
    <x v="0"/>
    <s v="Đã hoàn thành_x000a_已完成"/>
    <d v="2026-01-10T00:00:00"/>
    <s v="#17655"/>
    <m/>
  </r>
  <r>
    <n v="410"/>
    <s v="X4"/>
    <s v="KAIFA"/>
    <x v="408"/>
    <s v="192.168.33.44"/>
    <s v="11 Pro"/>
    <s v="#12584"/>
    <x v="0"/>
    <x v="0"/>
    <s v="Đã hoàn thành_x000a_已完成"/>
    <d v="2026-01-10T00:00:00"/>
    <s v="#17655"/>
    <m/>
  </r>
  <r>
    <n v="411"/>
    <s v="X4"/>
    <s v="KAIFA"/>
    <x v="409"/>
    <s v="192.168.33.45"/>
    <s v="11 Pro"/>
    <s v="#17795"/>
    <x v="0"/>
    <x v="0"/>
    <s v="Đã hoàn thành_x000a_已完成"/>
    <d v="2026-01-10T00:00:00"/>
    <s v="#17655"/>
    <m/>
  </r>
  <r>
    <n v="412"/>
    <s v="X4"/>
    <s v="KAIFA"/>
    <x v="410"/>
    <s v="192.168.33.46"/>
    <s v="11 Pro"/>
    <s v="#12403"/>
    <x v="0"/>
    <x v="0"/>
    <s v="Đã hoàn thành_x000a_已完成"/>
    <d v="2026-01-10T00:00:00"/>
    <s v="#17655"/>
    <m/>
  </r>
  <r>
    <n v="413"/>
    <s v="X4"/>
    <s v="KAIFA"/>
    <x v="411"/>
    <s v="192.168.33.47"/>
    <s v="11 Pro"/>
    <s v="#16003"/>
    <x v="0"/>
    <x v="0"/>
    <s v="Đã hoàn thành_x000a_已完成"/>
    <d v="2026-01-10T00:00:00"/>
    <s v="#17655"/>
    <m/>
  </r>
  <r>
    <n v="414"/>
    <s v="X4"/>
    <s v="KAIFA"/>
    <x v="412"/>
    <s v="192.168.33.48"/>
    <s v="11 Pro"/>
    <s v="#17730"/>
    <x v="0"/>
    <x v="0"/>
    <s v="Đã hoàn thành_x000a_已完成"/>
    <d v="2026-01-10T00:00:00"/>
    <s v="#17655"/>
    <m/>
  </r>
  <r>
    <n v="415"/>
    <s v="X4"/>
    <s v="KAIFA"/>
    <x v="413"/>
    <s v="192.168.33.49"/>
    <s v="11 Pro"/>
    <s v="#13090"/>
    <x v="0"/>
    <x v="0"/>
    <s v="Đã hoàn thành_x000a_已完成"/>
    <d v="2026-01-10T00:00:00"/>
    <s v="#17655"/>
    <m/>
  </r>
  <r>
    <n v="416"/>
    <s v="X4"/>
    <s v="KAIFA"/>
    <x v="414"/>
    <s v="192.168.33.50"/>
    <s v="11 Pro"/>
    <s v="#25150"/>
    <x v="0"/>
    <x v="0"/>
    <s v="Đã hoàn thành_x000a_已完成"/>
    <d v="2026-01-10T00:00:00"/>
    <s v="#17655"/>
    <m/>
  </r>
  <r>
    <n v="417"/>
    <s v="X4"/>
    <s v="KAIFA"/>
    <x v="415"/>
    <s v="192.168.33.51"/>
    <s v="11 Pro"/>
    <s v="#13672"/>
    <x v="0"/>
    <x v="0"/>
    <s v="Đã hoàn thành_x000a_已完成"/>
    <d v="2026-01-10T00:00:00"/>
    <s v="#17655"/>
    <m/>
  </r>
  <r>
    <n v="418"/>
    <s v="X4"/>
    <s v="KAIFA"/>
    <x v="416"/>
    <s v="192.168.33.53"/>
    <s v="11 Pro"/>
    <s v="#10954"/>
    <x v="0"/>
    <x v="0"/>
    <s v="Đã hoàn thành_x000a_已完成"/>
    <d v="2026-01-10T00:00:00"/>
    <s v="#17655"/>
    <m/>
  </r>
  <r>
    <n v="419"/>
    <s v="X4"/>
    <s v="KAIFA"/>
    <x v="417"/>
    <s v="192.168.33.54"/>
    <s v="11 Pro"/>
    <s v="#03487"/>
    <x v="0"/>
    <x v="0"/>
    <s v="Đã hoàn thành_x000a_已完成"/>
    <d v="2026-01-10T00:00:00"/>
    <s v="#17655"/>
    <m/>
  </r>
  <r>
    <n v="420"/>
    <s v="X4"/>
    <s v="KAIFA"/>
    <x v="418"/>
    <s v="192.168.33.55"/>
    <s v="11 Pro"/>
    <s v="#10945"/>
    <x v="0"/>
    <x v="0"/>
    <s v="Đã hoàn thành_x000a_已完成"/>
    <d v="2026-01-10T00:00:00"/>
    <s v="#17655"/>
    <m/>
  </r>
  <r>
    <n v="421"/>
    <s v="X4"/>
    <s v="KAIFA"/>
    <x v="419"/>
    <s v="192.168.33.56"/>
    <s v="11 Pro"/>
    <s v="#09589"/>
    <x v="0"/>
    <x v="0"/>
    <s v="Đã hoàn thành_x000a_已完成"/>
    <d v="2026-01-10T00:00:00"/>
    <s v="#17655"/>
    <m/>
  </r>
  <r>
    <n v="422"/>
    <s v="X4"/>
    <s v="KAIFA"/>
    <x v="420"/>
    <s v="192.168.33.57"/>
    <s v="11 Pro"/>
    <s v="#19129"/>
    <x v="0"/>
    <x v="0"/>
    <s v="Đã hoàn thành_x000a_已完成"/>
    <d v="2026-01-10T00:00:00"/>
    <s v="#17655"/>
    <m/>
  </r>
  <r>
    <n v="423"/>
    <s v="X4"/>
    <s v="KAIFA"/>
    <x v="421"/>
    <s v="192.168.33.58"/>
    <s v="11 Pro"/>
    <s v="#08128"/>
    <x v="0"/>
    <x v="0"/>
    <s v="Đã hoàn thành_x000a_已完成"/>
    <d v="2026-01-10T00:00:00"/>
    <s v="#17655"/>
    <m/>
  </r>
  <r>
    <n v="424"/>
    <s v="X4"/>
    <s v="KAIFA"/>
    <x v="422"/>
    <s v="192.168.33.60"/>
    <s v="11 Pro"/>
    <s v="#25725"/>
    <x v="0"/>
    <x v="0"/>
    <s v="Đã hoàn thành_x000a_已完成"/>
    <d v="2026-01-10T00:00:00"/>
    <s v="#17655"/>
    <m/>
  </r>
  <r>
    <n v="425"/>
    <s v="X4"/>
    <s v="KAIFA"/>
    <x v="423"/>
    <s v="192.168.33.94"/>
    <s v="11 Pro"/>
    <s v="#00490"/>
    <x v="0"/>
    <x v="0"/>
    <s v="Đã hoàn thành_x000a_已完成"/>
    <d v="2026-01-10T00:00:00"/>
    <s v="#17655"/>
    <m/>
  </r>
  <r>
    <n v="426"/>
    <s v="X4"/>
    <s v="KAIFA"/>
    <x v="424"/>
    <s v="192.168.33.84"/>
    <s v="11 Pro"/>
    <s v="#08128"/>
    <x v="0"/>
    <x v="0"/>
    <s v="Đã hoàn thành_x000a_已完成"/>
    <d v="2026-01-10T00:00:00"/>
    <s v="#17655"/>
    <m/>
  </r>
  <r>
    <n v="427"/>
    <s v="X4"/>
    <s v="KAIFA"/>
    <x v="425"/>
    <s v="192.168.33.63"/>
    <s v="11 Pro"/>
    <s v="#15627"/>
    <x v="0"/>
    <x v="0"/>
    <s v="Đã hoàn thành_x000a_已完成"/>
    <d v="2026-01-10T00:00:00"/>
    <s v="#17655"/>
    <m/>
  </r>
  <r>
    <n v="428"/>
    <s v="X4"/>
    <s v="KAIFA"/>
    <x v="426"/>
    <s v="192.168.33.64"/>
    <s v="11 Pro"/>
    <s v="#12038"/>
    <x v="0"/>
    <x v="0"/>
    <s v="Đã hoàn thành_x000a_已完成"/>
    <d v="2026-01-10T00:00:00"/>
    <s v="#17655"/>
    <m/>
  </r>
  <r>
    <n v="429"/>
    <s v="X4"/>
    <s v="KAIFA"/>
    <x v="427"/>
    <s v="192.168.33.65"/>
    <s v="11 Pro"/>
    <s v="#12808"/>
    <x v="0"/>
    <x v="0"/>
    <s v="Đã hoàn thành_x000a_已完成"/>
    <d v="2026-01-10T00:00:00"/>
    <s v="#17655"/>
    <m/>
  </r>
  <r>
    <n v="430"/>
    <s v="X4"/>
    <s v="KAIFA"/>
    <x v="428"/>
    <s v="192.168.33.66"/>
    <s v="11 Pro"/>
    <s v="#10784"/>
    <x v="0"/>
    <x v="0"/>
    <s v="Đã hoàn thành_x000a_已完成"/>
    <d v="2026-01-10T00:00:00"/>
    <s v="#17655"/>
    <m/>
  </r>
  <r>
    <n v="431"/>
    <s v="X4"/>
    <s v="KAIFA"/>
    <x v="429"/>
    <s v="192.168.33.69"/>
    <s v="11 Pro"/>
    <s v="#10863"/>
    <x v="0"/>
    <x v="0"/>
    <s v="Đã hoàn thành_x000a_已完成"/>
    <d v="2026-01-10T00:00:00"/>
    <s v="#17655"/>
    <m/>
  </r>
  <r>
    <n v="432"/>
    <s v="X4"/>
    <s v="KAIFA"/>
    <x v="430"/>
    <s v="192.168.33.70"/>
    <s v="11 Pro"/>
    <s v="#25639"/>
    <x v="0"/>
    <x v="0"/>
    <s v="Đã hoàn thành_x000a_已完成"/>
    <d v="2026-01-10T00:00:00"/>
    <s v="#17655"/>
    <m/>
  </r>
  <r>
    <n v="433"/>
    <s v="X4"/>
    <s v="KAIFA"/>
    <x v="431"/>
    <s v="192.168.33.71"/>
    <s v="11 Pro"/>
    <s v="#16289"/>
    <x v="0"/>
    <x v="0"/>
    <s v="Đã hoàn thành_x000a_已完成"/>
    <d v="2026-01-10T00:00:00"/>
    <s v="#17655"/>
    <m/>
  </r>
  <r>
    <n v="434"/>
    <s v="X4"/>
    <s v="KAIFA"/>
    <x v="432"/>
    <s v="192.168.33.72"/>
    <s v="11 Pro"/>
    <s v="#17911"/>
    <x v="0"/>
    <x v="0"/>
    <s v="Đã hoàn thành_x000a_已完成"/>
    <d v="2026-01-10T00:00:00"/>
    <s v="#17655"/>
    <m/>
  </r>
  <r>
    <n v="435"/>
    <s v="X4"/>
    <s v="KAIFA"/>
    <x v="433"/>
    <s v="192.168.33.73"/>
    <s v="11 Pro"/>
    <s v="#10610"/>
    <x v="0"/>
    <x v="0"/>
    <s v="Đã hoàn thành_x000a_已完成"/>
    <d v="2026-01-10T00:00:00"/>
    <s v="#17655"/>
    <m/>
  </r>
  <r>
    <n v="436"/>
    <s v="X4"/>
    <s v="KAIFA"/>
    <x v="434"/>
    <s v="192.168.33.74"/>
    <s v="11 Pro"/>
    <s v="#12806"/>
    <x v="0"/>
    <x v="0"/>
    <s v="Đã hoàn thành_x000a_已完成"/>
    <d v="2026-01-10T00:00:00"/>
    <s v="#17655"/>
    <m/>
  </r>
  <r>
    <n v="437"/>
    <s v="X4"/>
    <s v="KAIFA"/>
    <x v="435"/>
    <s v="192.168.33.75"/>
    <s v="11 Pro"/>
    <s v="#11131"/>
    <x v="0"/>
    <x v="0"/>
    <s v="Đã hoàn thành_x000a_已完成"/>
    <d v="2026-01-10T00:00:00"/>
    <s v="#17655"/>
    <m/>
  </r>
  <r>
    <n v="438"/>
    <s v="X4"/>
    <s v="KAIFA"/>
    <x v="436"/>
    <s v="192.168.33.76"/>
    <s v="11 Pro"/>
    <s v="#17731"/>
    <x v="0"/>
    <x v="0"/>
    <s v="Đã hoàn thành_x000a_已完成"/>
    <d v="2026-01-10T00:00:00"/>
    <s v="#17655"/>
    <m/>
  </r>
  <r>
    <n v="439"/>
    <s v="X4"/>
    <s v="KAIFA"/>
    <x v="437"/>
    <s v="192.168.33.77"/>
    <s v="11 Pro"/>
    <s v="#10878"/>
    <x v="0"/>
    <x v="0"/>
    <s v="Đã hoàn thành_x000a_已完成"/>
    <d v="2026-01-10T00:00:00"/>
    <s v="#17655"/>
    <m/>
  </r>
  <r>
    <n v="440"/>
    <s v="X4"/>
    <s v="KAIFA"/>
    <x v="438"/>
    <s v="192.168.33.78"/>
    <s v="11 Pro"/>
    <s v="#12405"/>
    <x v="0"/>
    <x v="0"/>
    <s v="Đã hoàn thành_x000a_已完成"/>
    <d v="2026-01-10T00:00:00"/>
    <s v="#17655"/>
    <m/>
  </r>
  <r>
    <n v="441"/>
    <s v="X4"/>
    <s v="KAIFA"/>
    <x v="439"/>
    <s v="192.168.33.79"/>
    <s v="11 Pro"/>
    <s v="#11724"/>
    <x v="0"/>
    <x v="0"/>
    <s v="Đã hoàn thành_x000a_已完成"/>
    <d v="2026-01-10T00:00:00"/>
    <s v="#17655"/>
    <m/>
  </r>
  <r>
    <n v="442"/>
    <s v="X4"/>
    <s v="KAIFA"/>
    <x v="440"/>
    <s v="192.168.33.80"/>
    <s v="11 Pro"/>
    <s v="#01057"/>
    <x v="0"/>
    <x v="0"/>
    <s v="Đã hoàn thành_x000a_已完成"/>
    <d v="2026-01-10T00:00:00"/>
    <s v="#17655"/>
    <m/>
  </r>
  <r>
    <n v="443"/>
    <s v="X4"/>
    <s v="KAIFA"/>
    <x v="441"/>
    <s v="192.168.33.81"/>
    <s v="11 Pro"/>
    <s v="#08552"/>
    <x v="0"/>
    <x v="0"/>
    <s v="Đã hoàn thành_x000a_已完成"/>
    <d v="2026-01-10T00:00:00"/>
    <s v="#17655"/>
    <m/>
  </r>
  <r>
    <n v="444"/>
    <s v="X4"/>
    <s v="KAIFA"/>
    <x v="442"/>
    <s v="192.168.33.82"/>
    <s v="11 Pro"/>
    <s v="#12583"/>
    <x v="0"/>
    <x v="0"/>
    <s v="Đã hoàn thành_x000a_已完成"/>
    <d v="2026-01-10T00:00:00"/>
    <s v="#17655"/>
    <m/>
  </r>
  <r>
    <n v="445"/>
    <s v="X4"/>
    <s v="KAIFA"/>
    <x v="443"/>
    <s v="192.168.33.62"/>
    <s v="11 Pro"/>
    <s v="#17582"/>
    <x v="0"/>
    <x v="0"/>
    <s v="Đã hoàn thành_x000a_已完成"/>
    <d v="2026-01-10T00:00:00"/>
    <s v="#17655"/>
    <m/>
  </r>
  <r>
    <n v="446"/>
    <s v="X4"/>
    <s v="KAIFA"/>
    <x v="444"/>
    <s v="192.168.33.85"/>
    <s v="11 Pro"/>
    <s v="#18062"/>
    <x v="0"/>
    <x v="0"/>
    <s v="Đã hoàn thành_x000a_已完成"/>
    <d v="2026-01-10T00:00:00"/>
    <s v="#17655"/>
    <m/>
  </r>
  <r>
    <n v="447"/>
    <s v="X4"/>
    <s v="KAIFA"/>
    <x v="445"/>
    <s v="192.168.33.86"/>
    <s v="11 Pro"/>
    <s v="#17581"/>
    <x v="0"/>
    <x v="0"/>
    <s v="Đã hoàn thành_x000a_已完成"/>
    <d v="2026-01-10T00:00:00"/>
    <s v="#17655"/>
    <m/>
  </r>
  <r>
    <n v="448"/>
    <s v="X4"/>
    <s v="KAIFA"/>
    <x v="446"/>
    <s v="192.168.33.87"/>
    <s v="11 Pro"/>
    <s v="#13321"/>
    <x v="0"/>
    <x v="0"/>
    <s v="Đã hoàn thành_x000a_已完成"/>
    <d v="2026-01-10T00:00:00"/>
    <s v="#17655"/>
    <m/>
  </r>
  <r>
    <n v="449"/>
    <s v="X4"/>
    <s v="KAIFA"/>
    <x v="447"/>
    <s v="192.168.33.98"/>
    <s v="11 Pro"/>
    <s v="#16851"/>
    <x v="0"/>
    <x v="0"/>
    <s v="Đã hoàn thành_x000a_已完成"/>
    <d v="2026-01-10T00:00:00"/>
    <s v="#17655"/>
    <m/>
  </r>
  <r>
    <n v="450"/>
    <s v="X4"/>
    <s v="KAIFA"/>
    <x v="448"/>
    <s v="192.168.33.89"/>
    <s v="11 Pro"/>
    <s v="#17913"/>
    <x v="0"/>
    <x v="0"/>
    <s v="Đã hoàn thành_x000a_已完成"/>
    <d v="2026-01-10T00:00:00"/>
    <s v="#17655"/>
    <m/>
  </r>
  <r>
    <n v="451"/>
    <s v="X4"/>
    <s v="KAIFA"/>
    <x v="449"/>
    <s v="192.168.33.91"/>
    <s v="11 Pro"/>
    <s v="#25724"/>
    <x v="0"/>
    <x v="0"/>
    <s v="Đã hoàn thành_x000a_已完成"/>
    <d v="2026-01-10T00:00:00"/>
    <s v="#17655"/>
    <m/>
  </r>
  <r>
    <n v="452"/>
    <s v="X4"/>
    <s v="KAIFA"/>
    <x v="450"/>
    <s v="192.168.33.92"/>
    <s v="11 Pro"/>
    <s v="#10611"/>
    <x v="0"/>
    <x v="0"/>
    <s v="Đã hoàn thành_x000a_已完成"/>
    <d v="2026-01-10T00:00:00"/>
    <s v="#17655"/>
    <m/>
  </r>
  <r>
    <n v="453"/>
    <s v="X4"/>
    <s v="KAIFA"/>
    <x v="451"/>
    <s v="192.168.33.93"/>
    <s v="11 Pro"/>
    <s v="#17724"/>
    <x v="0"/>
    <x v="0"/>
    <s v="Đã hoàn thành_x000a_已完成"/>
    <d v="2026-01-10T00:00:00"/>
    <s v="#17655"/>
    <m/>
  </r>
  <r>
    <n v="454"/>
    <s v="X4"/>
    <s v="KAIFA"/>
    <x v="452"/>
    <s v="192.168.33.95"/>
    <s v="11 Pro"/>
    <s v="#19545"/>
    <x v="0"/>
    <x v="0"/>
    <s v="Đã hoàn thành_x000a_已完成"/>
    <d v="2026-01-10T00:00:00"/>
    <s v="#17655"/>
    <m/>
  </r>
  <r>
    <n v="455"/>
    <s v="X4"/>
    <s v="KAIFA"/>
    <x v="453"/>
    <s v="192.168.33.96"/>
    <s v="11 Pro"/>
    <s v="#13669"/>
    <x v="0"/>
    <x v="0"/>
    <s v="Đã hoàn thành_x000a_已完成"/>
    <d v="2026-01-10T00:00:00"/>
    <s v="#17655"/>
    <m/>
  </r>
  <r>
    <n v="456"/>
    <s v="X4"/>
    <s v="KAIFA"/>
    <x v="454"/>
    <s v="192.168.33.97"/>
    <s v="11 Pro"/>
    <s v="#25658"/>
    <x v="0"/>
    <x v="0"/>
    <s v="Đã hoàn thành_x000a_已完成"/>
    <d v="2026-01-10T00:00:00"/>
    <s v="#17655"/>
    <m/>
  </r>
  <r>
    <n v="457"/>
    <s v="X4"/>
    <s v="KAIFA"/>
    <x v="455"/>
    <s v="192.168.33.61"/>
    <s v="11 Pro"/>
    <s v="#20149"/>
    <x v="0"/>
    <x v="0"/>
    <s v="Đã hoàn thành_x000a_已完成"/>
    <d v="2026-01-10T00:00:00"/>
    <s v="#17655"/>
    <m/>
  </r>
  <r>
    <n v="458"/>
    <s v="X4"/>
    <s v="KAIFA"/>
    <x v="456"/>
    <s v="192.168.33.99"/>
    <s v="11 Pro"/>
    <s v="#11658"/>
    <x v="0"/>
    <x v="0"/>
    <s v="Đã hoàn thành_x000a_已完成"/>
    <d v="2026-01-10T00:00:00"/>
    <s v="#17655"/>
    <m/>
  </r>
  <r>
    <n v="459"/>
    <s v="X4"/>
    <s v="KAIFA"/>
    <x v="457"/>
    <s v="192.168.33.253"/>
    <s v="11 Pro"/>
    <s v="KF.MEETING"/>
    <x v="0"/>
    <x v="0"/>
    <s v="Đã hoàn thành_x000a_已完成"/>
    <d v="2026-01-10T00:00:00"/>
    <s v="#17655"/>
    <m/>
  </r>
  <r>
    <n v="460"/>
    <s v="X4"/>
    <s v="KAIFA"/>
    <x v="458"/>
    <s v="192.168.33.68"/>
    <s v="11 Pro"/>
    <s v="KF-MEET2"/>
    <x v="0"/>
    <x v="0"/>
    <s v="Đã hoàn thành_x000a_已完成"/>
    <d v="2026-01-10T00:00:00"/>
    <s v="#17655"/>
    <m/>
  </r>
  <r>
    <n v="461"/>
    <s v="X4"/>
    <s v="KAIFA"/>
    <x v="459"/>
    <s v="192.168.33.206"/>
    <s v="11 Pro"/>
    <s v="#17886"/>
    <x v="0"/>
    <x v="0"/>
    <s v="Đã hoàn thành_x000a_已完成"/>
    <d v="2026-01-10T00:00:00"/>
    <s v="#17655"/>
    <m/>
  </r>
  <r>
    <n v="462"/>
    <s v="X4"/>
    <s v="KAIFA"/>
    <x v="460"/>
    <s v="DHCP"/>
    <s v="11 Pro"/>
    <s v="#00799"/>
    <x v="0"/>
    <x v="0"/>
    <s v="Đã hoàn thành_x000a_已完成"/>
    <d v="2026-01-10T00:00:00"/>
    <s v="#17655"/>
    <m/>
  </r>
  <r>
    <n v="463"/>
    <s v="X4"/>
    <s v="KAIFA"/>
    <x v="461"/>
    <s v="DHCP"/>
    <s v="11 Pro"/>
    <s v="#01955"/>
    <x v="0"/>
    <x v="0"/>
    <s v="Đã hoàn thành_x000a_已完成"/>
    <d v="2026-01-10T00:00:00"/>
    <s v="#17655"/>
    <m/>
  </r>
  <r>
    <n v="464"/>
    <s v="X4"/>
    <s v="KAIFA"/>
    <x v="462"/>
    <s v="DHCP"/>
    <s v="11 Pro"/>
    <s v="#02543"/>
    <x v="0"/>
    <x v="0"/>
    <s v="Đã hoàn thành_x000a_已完成"/>
    <d v="2026-01-10T00:00:00"/>
    <s v="#17655"/>
    <m/>
  </r>
  <r>
    <n v="465"/>
    <s v="X4"/>
    <s v="KAIFA"/>
    <x v="463"/>
    <s v="DHCP"/>
    <s v="11 Pro"/>
    <s v="#02642"/>
    <x v="0"/>
    <x v="0"/>
    <s v="Đã hoàn thành_x000a_已完成"/>
    <d v="2026-01-10T00:00:00"/>
    <s v="#17655"/>
    <m/>
  </r>
  <r>
    <n v="466"/>
    <s v="X4"/>
    <s v="KAIFA"/>
    <x v="464"/>
    <s v="DHCP"/>
    <s v="11 Pro"/>
    <s v="#03798"/>
    <x v="0"/>
    <x v="0"/>
    <s v="Đã hoàn thành_x000a_已完成"/>
    <d v="2026-01-10T00:00:00"/>
    <s v="#17655"/>
    <m/>
  </r>
  <r>
    <n v="467"/>
    <s v="X4"/>
    <s v="KAIFA"/>
    <x v="465"/>
    <s v="DHCP"/>
    <s v="11 Pro"/>
    <s v="#03889"/>
    <x v="0"/>
    <x v="0"/>
    <s v="Đã hoàn thành_x000a_已完成"/>
    <d v="2026-01-10T00:00:00"/>
    <s v="#17655"/>
    <m/>
  </r>
  <r>
    <n v="468"/>
    <s v="X4"/>
    <s v="KAIFA"/>
    <x v="466"/>
    <s v="DHCP"/>
    <s v="11 Pro"/>
    <s v="#06382"/>
    <x v="0"/>
    <x v="0"/>
    <s v="Đã hoàn thành_x000a_已完成"/>
    <d v="2026-01-10T00:00:00"/>
    <s v="#17655"/>
    <m/>
  </r>
  <r>
    <n v="469"/>
    <s v="X4"/>
    <s v="KAIFA"/>
    <x v="467"/>
    <s v="DHCP"/>
    <s v="11 Pro"/>
    <s v="#10783"/>
    <x v="0"/>
    <x v="0"/>
    <s v="Đã hoàn thành_x000a_已完成"/>
    <d v="2026-01-10T00:00:00"/>
    <s v="#17655"/>
    <m/>
  </r>
  <r>
    <n v="470"/>
    <s v="X4"/>
    <s v="KAIFA"/>
    <x v="468"/>
    <s v="DHCP"/>
    <s v="11 Pro"/>
    <s v="#10785"/>
    <x v="0"/>
    <x v="0"/>
    <s v="Đã hoàn thành_x000a_已完成"/>
    <d v="2026-01-10T00:00:00"/>
    <s v="#17655"/>
    <m/>
  </r>
  <r>
    <n v="471"/>
    <s v="X4"/>
    <s v="KAIFA"/>
    <x v="469"/>
    <s v="DHCP"/>
    <s v="11 Pro"/>
    <s v="#10861"/>
    <x v="0"/>
    <x v="0"/>
    <s v="Đã hoàn thành_x000a_已完成"/>
    <d v="2026-01-10T00:00:00"/>
    <s v="#17655"/>
    <m/>
  </r>
  <r>
    <n v="472"/>
    <s v="X4"/>
    <s v="KAIFA"/>
    <x v="470"/>
    <s v="DHCP"/>
    <s v="11 Pro"/>
    <s v="#10955"/>
    <x v="0"/>
    <x v="0"/>
    <s v="Đã hoàn thành_x000a_已完成"/>
    <d v="2026-01-10T00:00:00"/>
    <s v="#17655"/>
    <m/>
  </r>
  <r>
    <n v="473"/>
    <s v="X4"/>
    <s v="KAIFA"/>
    <x v="471"/>
    <s v="DHCP"/>
    <s v="11 Pro"/>
    <s v="#17885"/>
    <x v="0"/>
    <x v="0"/>
    <s v="Đã hoàn thành_x000a_已完成"/>
    <d v="2026-01-10T00:00:00"/>
    <s v="#17655"/>
    <m/>
  </r>
  <r>
    <n v="474"/>
    <s v="X4"/>
    <s v="KAIFA"/>
    <x v="472"/>
    <s v="DHCP"/>
    <s v="11 Pro"/>
    <s v="#18082"/>
    <x v="0"/>
    <x v="0"/>
    <s v="Đã hoàn thành_x000a_已完成"/>
    <d v="2026-01-10T00:00:00"/>
    <s v="#17655"/>
    <m/>
  </r>
  <r>
    <n v="475"/>
    <s v="X4"/>
    <s v="KAIFA"/>
    <x v="473"/>
    <s v="DHCP"/>
    <s v="11 Pro"/>
    <s v="#20024"/>
    <x v="0"/>
    <x v="0"/>
    <s v="Đã hoàn thành_x000a_已完成"/>
    <d v="2026-01-10T00:00:00"/>
    <s v="#17655"/>
    <m/>
  </r>
  <r>
    <n v="476"/>
    <s v="X4"/>
    <s v="KAIFA"/>
    <x v="474"/>
    <s v="DHCP"/>
    <s v="11 Pro"/>
    <s v="#21265"/>
    <x v="0"/>
    <x v="0"/>
    <s v="Đã hoàn thành_x000a_已完成"/>
    <d v="2026-01-10T00:00:00"/>
    <s v="#17655"/>
    <m/>
  </r>
  <r>
    <n v="477"/>
    <s v="X4"/>
    <s v="KAIFA"/>
    <x v="475"/>
    <s v="DHCP"/>
    <s v="11 Pro"/>
    <s v="#24410"/>
    <x v="0"/>
    <x v="0"/>
    <s v="Đã hoàn thành_x000a_已完成"/>
    <d v="2026-01-10T00:00:00"/>
    <s v="#17655"/>
    <m/>
  </r>
  <r>
    <n v="478"/>
    <s v="X4"/>
    <s v="KAIFA"/>
    <x v="476"/>
    <s v="DHCP"/>
    <s v="11 Pro"/>
    <s v="#26040"/>
    <x v="0"/>
    <x v="0"/>
    <s v="Đã hoàn thành_x000a_已完成"/>
    <d v="2026-01-10T00:00:00"/>
    <s v="#17655"/>
    <m/>
  </r>
  <r>
    <n v="479"/>
    <s v="X4"/>
    <s v="KM_x000a_模具"/>
    <x v="477"/>
    <s v=" 192.192.200.2"/>
    <s v="XP"/>
    <s v="#15374"/>
    <x v="1"/>
    <x v="1"/>
    <s v="Đã hoàn thành_x000a_已完成"/>
    <d v="2026-01-10T00:00:00"/>
    <s v="#15060"/>
    <s v="- Máy CNC kết nốt máy tính lấy dữ liệu bằng giao thức SMB1"/>
  </r>
  <r>
    <n v="480"/>
    <s v="X4"/>
    <s v="KM_x000a_模具"/>
    <x v="478"/>
    <s v="192.168.33.160/192.192.200.131"/>
    <s v="11 Pro"/>
    <s v="#11706"/>
    <x v="0"/>
    <x v="0"/>
    <s v="Đã hoàn thành_x000a_已完成"/>
    <d v="2026-01-10T00:00:00"/>
    <s v="#15060"/>
    <m/>
  </r>
  <r>
    <n v="481"/>
    <s v="X4"/>
    <s v="KM_x000a_模具"/>
    <x v="479"/>
    <s v="192.192.200.132"/>
    <s v="10 Pro"/>
    <s v="#08904"/>
    <x v="0"/>
    <x v="0"/>
    <s v="Đã hoàn thành_x000a_已完成"/>
    <d v="2026-01-10T00:00:00"/>
    <s v="#15060"/>
    <m/>
  </r>
  <r>
    <n v="482"/>
    <s v="X4"/>
    <s v="KM_x000a_模具"/>
    <x v="480"/>
    <s v="192.168.33.162"/>
    <s v="11 Pro"/>
    <s v="#01705"/>
    <x v="0"/>
    <x v="0"/>
    <s v="Đã hoàn thành_x000a_已完成"/>
    <d v="2026-01-10T00:00:00"/>
    <s v="#15060"/>
    <m/>
  </r>
  <r>
    <n v="483"/>
    <s v="X4"/>
    <s v="KM_x000a_模具"/>
    <x v="481"/>
    <s v="192.168.33.163/192.168.200.3"/>
    <s v="10 Pro"/>
    <s v="#10567"/>
    <x v="0"/>
    <x v="0"/>
    <s v="Đã hoàn thành_x000a_已完成"/>
    <d v="2026-01-10T00:00:00"/>
    <s v="#15060"/>
    <m/>
  </r>
  <r>
    <n v="484"/>
    <s v="X4"/>
    <s v="KM_x000a_模具"/>
    <x v="482"/>
    <s v="192.192.200.4"/>
    <s v="10 Pro"/>
    <s v="#03412"/>
    <x v="0"/>
    <x v="0"/>
    <s v="Đã hoàn thành_x000a_已完成"/>
    <d v="2026-01-10T00:00:00"/>
    <s v="#15060"/>
    <m/>
  </r>
  <r>
    <n v="485"/>
    <s v="X4"/>
    <s v="KM_x000a_模具"/>
    <x v="483"/>
    <s v="192.168.33.121"/>
    <s v="11 Pro"/>
    <s v="#07702"/>
    <x v="0"/>
    <x v="0"/>
    <s v="Đã hoàn thành_x000a_已完成"/>
    <d v="2026-01-10T00:00:00"/>
    <s v="#15060"/>
    <m/>
  </r>
  <r>
    <n v="486"/>
    <s v="X4"/>
    <s v="KM_x000a_模具"/>
    <x v="484"/>
    <s v="192.168.33.122"/>
    <s v="11 Pro"/>
    <s v="#07153"/>
    <x v="0"/>
    <x v="0"/>
    <s v="Đã hoàn thành_x000a_已完成"/>
    <d v="2026-01-10T00:00:00"/>
    <s v="#15060"/>
    <m/>
  </r>
  <r>
    <n v="487"/>
    <s v="X4"/>
    <s v="KM_x000a_模具"/>
    <x v="485"/>
    <s v="192.168.33.123"/>
    <s v="11 Pro"/>
    <s v="#01465"/>
    <x v="0"/>
    <x v="0"/>
    <s v="Đã hoàn thành_x000a_已完成"/>
    <d v="2026-01-10T00:00:00"/>
    <s v="#15060"/>
    <m/>
  </r>
  <r>
    <n v="488"/>
    <s v="X4"/>
    <s v="KM_x000a_模具"/>
    <x v="486"/>
    <s v="192.168.33.124/192.192.200.1"/>
    <s v="11 Pro"/>
    <s v="#10406"/>
    <x v="0"/>
    <x v="0"/>
    <s v="Đã hoàn thành_x000a_已完成"/>
    <d v="2026-01-10T00:00:00"/>
    <s v="#15060"/>
    <m/>
  </r>
  <r>
    <n v="489"/>
    <s v="X4"/>
    <s v="KM_x000a_模具"/>
    <x v="487"/>
    <s v="192.168.33.125"/>
    <s v="11 Pro"/>
    <s v="#16198"/>
    <x v="0"/>
    <x v="0"/>
    <s v="Đã hoàn thành_x000a_已完成"/>
    <d v="2026-01-10T00:00:00"/>
    <s v="#15060"/>
    <m/>
  </r>
  <r>
    <n v="490"/>
    <s v="X4"/>
    <s v="KM_x000a_模具"/>
    <x v="488"/>
    <s v="192.168.33.126"/>
    <s v="11 Pro"/>
    <s v="#03048"/>
    <x v="0"/>
    <x v="0"/>
    <s v="Đã hoàn thành_x000a_已完成"/>
    <d v="2026-01-10T00:00:00"/>
    <s v="#15060"/>
    <m/>
  </r>
  <r>
    <n v="491"/>
    <s v="X4"/>
    <s v="KM_x000a_模具"/>
    <x v="489"/>
    <s v="192.168.33.127"/>
    <s v="11 Pro"/>
    <s v="#18894"/>
    <x v="0"/>
    <x v="0"/>
    <s v="Đã hoàn thành_x000a_已完成"/>
    <d v="2026-01-10T00:00:00"/>
    <s v="#15060"/>
    <m/>
  </r>
  <r>
    <n v="492"/>
    <s v="X4"/>
    <s v="KM_x000a_模具"/>
    <x v="490"/>
    <s v="172.16.31.101"/>
    <s v="11 Pro"/>
    <s v="#06436"/>
    <x v="0"/>
    <x v="0"/>
    <s v="Đã hoàn thành_x000a_已完成"/>
    <d v="2026-01-10T00:00:00"/>
    <s v="#15060"/>
    <m/>
  </r>
  <r>
    <n v="493"/>
    <s v="X4"/>
    <s v="KM_x000a_模具"/>
    <x v="491"/>
    <s v="192.168.33.131"/>
    <s v="11 Pro"/>
    <s v="#01706"/>
    <x v="0"/>
    <x v="0"/>
    <s v="Đã hoàn thành_x000a_已完成"/>
    <d v="2026-01-10T00:00:00"/>
    <s v="#15060"/>
    <m/>
  </r>
  <r>
    <n v="494"/>
    <s v="X4"/>
    <s v="KM_x000a_模具"/>
    <x v="492"/>
    <s v="192.168.33.182"/>
    <s v="11 Pro"/>
    <s v="#09787"/>
    <x v="0"/>
    <x v="0"/>
    <s v="Đã hoàn thành_x000a_已完成"/>
    <d v="2026-01-10T00:00:00"/>
    <s v="#15060"/>
    <m/>
  </r>
  <r>
    <n v="495"/>
    <s v="X4"/>
    <s v="KM_x000a_模具"/>
    <x v="493"/>
    <s v="192.168.33.138"/>
    <s v="11 Pro"/>
    <s v="#00264"/>
    <x v="0"/>
    <x v="0"/>
    <s v="Đã hoàn thành_x000a_已完成"/>
    <d v="2026-01-10T00:00:00"/>
    <s v="#15060"/>
    <m/>
  </r>
  <r>
    <n v="496"/>
    <s v="X4"/>
    <s v="KM_x000a_模具"/>
    <x v="494"/>
    <s v="192.168.33.129/ 192.192.100.20"/>
    <s v="7 Pro"/>
    <s v="#10605"/>
    <x v="1"/>
    <x v="0"/>
    <s v="Đã hoàn thành_x000a_已完成"/>
    <d v="2026-01-10T00:00:00"/>
    <s v="#15060"/>
    <s v="- Máy CNC kết nốt máy tính lấy dữ liệu bằng giao thức SMB1"/>
  </r>
  <r>
    <n v="497"/>
    <s v="X4"/>
    <s v="KM_x000a_模具"/>
    <x v="495"/>
    <s v="192.168.33.128"/>
    <s v="11 Pro"/>
    <s v="KM.MEET"/>
    <x v="0"/>
    <x v="0"/>
    <s v="Đã hoàn thành_x000a_已完成"/>
    <d v="2026-01-10T00:00:00"/>
    <s v="#15060"/>
    <m/>
  </r>
  <r>
    <n v="498"/>
    <s v="X4"/>
    <s v="KM_x000a_模具"/>
    <x v="496"/>
    <s v="DHCP"/>
    <s v="11 Pro"/>
    <s v="#00606"/>
    <x v="0"/>
    <x v="0"/>
    <s v="Đã hoàn thành_x000a_已完成"/>
    <d v="2026-01-10T00:00:00"/>
    <s v="#15060"/>
    <m/>
  </r>
  <r>
    <n v="499"/>
    <s v="X4"/>
    <s v="KM_x000a_模具"/>
    <x v="497"/>
    <s v="192.168.0.55"/>
    <s v="XP"/>
    <s v="#04506"/>
    <x v="1"/>
    <x v="1"/>
    <s v="Đã hoàn thành_x000a_已完成"/>
    <d v="2026-01-10T00:00:00"/>
    <s v="#15060"/>
    <s v="- Máy CNC kết nốt máy tính lấy dữ liệu bằng giao thức SMB1"/>
  </r>
  <r>
    <n v="500"/>
    <s v="X4"/>
    <s v="KM_x000a_模具"/>
    <x v="498"/>
    <s v="192.168.33.132/192.168.0.100"/>
    <s v="7 Pro"/>
    <s v="#01066"/>
    <x v="0"/>
    <x v="0"/>
    <s v="Đã hoàn thành_x000a_已完成"/>
    <d v="2026-01-10T00:00:00"/>
    <s v="#15060"/>
    <m/>
  </r>
  <r>
    <n v="501"/>
    <s v="X4"/>
    <s v="KM_x000a_模具"/>
    <x v="499"/>
    <s v="192.168.33.134/ 192.168.0.99"/>
    <s v="10 Pro"/>
    <s v="#00640"/>
    <x v="0"/>
    <x v="0"/>
    <s v="Đã hoàn thành_x000a_已完成"/>
    <d v="2026-01-10T00:00:00"/>
    <s v="#15060"/>
    <m/>
  </r>
  <r>
    <n v="502"/>
    <s v="X4"/>
    <s v="QA"/>
    <x v="500"/>
    <s v="192.168.32.90"/>
    <s v="11 Pro"/>
    <s v="#00259"/>
    <x v="0"/>
    <x v="0"/>
    <s v="Đã hoàn thành_x000a_已完成"/>
    <d v="2026-01-10T00:00:00"/>
    <s v="#17655"/>
    <m/>
  </r>
  <r>
    <n v="503"/>
    <s v="X4"/>
    <s v="QA"/>
    <x v="501"/>
    <s v="192.168.33.102"/>
    <s v="11 Pro"/>
    <s v="#00913"/>
    <x v="0"/>
    <x v="0"/>
    <s v="Đã hoàn thành_x000a_已完成"/>
    <d v="2026-01-10T00:00:00"/>
    <s v="#17655"/>
    <m/>
  </r>
  <r>
    <n v="504"/>
    <s v="X4"/>
    <s v="QA"/>
    <x v="502"/>
    <s v="192.168.33.103"/>
    <s v="11 Pro"/>
    <s v="#11714"/>
    <x v="0"/>
    <x v="0"/>
    <s v="Đã hoàn thành_x000a_已完成"/>
    <d v="2026-01-10T00:00:00"/>
    <s v="#17655"/>
    <m/>
  </r>
  <r>
    <n v="505"/>
    <s v="X4"/>
    <s v="QA"/>
    <x v="503"/>
    <s v="192.168.33.104"/>
    <s v="11 Pro"/>
    <s v="#19425"/>
    <x v="0"/>
    <x v="0"/>
    <s v="Đã hoàn thành_x000a_已完成"/>
    <d v="2026-01-10T00:00:00"/>
    <s v="#17655"/>
    <m/>
  </r>
  <r>
    <n v="506"/>
    <s v="X4"/>
    <s v="QA"/>
    <x v="504"/>
    <s v="192.168.33.105"/>
    <s v="11 Pro"/>
    <s v="#24125"/>
    <x v="0"/>
    <x v="0"/>
    <s v="Đã hoàn thành_x000a_已完成"/>
    <d v="2026-01-10T00:00:00"/>
    <s v="#17655"/>
    <m/>
  </r>
  <r>
    <n v="507"/>
    <s v="X4"/>
    <s v="QA"/>
    <x v="505"/>
    <s v="192.168.33.106"/>
    <s v="11 Pro"/>
    <s v="#03408"/>
    <x v="0"/>
    <x v="0"/>
    <s v="Đã hoàn thành_x000a_已完成"/>
    <d v="2026-01-10T00:00:00"/>
    <s v="#17655"/>
    <m/>
  </r>
  <r>
    <n v="508"/>
    <s v="X4"/>
    <s v="QA"/>
    <x v="506"/>
    <s v="192.168.33.108"/>
    <s v="11 Pro"/>
    <s v="#00079"/>
    <x v="0"/>
    <x v="0"/>
    <s v="Đã hoàn thành_x000a_已完成"/>
    <d v="2026-01-10T00:00:00"/>
    <s v="#17655"/>
    <m/>
  </r>
  <r>
    <n v="509"/>
    <s v="X4"/>
    <s v="QA"/>
    <x v="507"/>
    <s v="192.168.33.109"/>
    <s v="11 Pro"/>
    <s v="#04104"/>
    <x v="0"/>
    <x v="0"/>
    <s v="Đã hoàn thành_x000a_已完成"/>
    <d v="2026-01-10T00:00:00"/>
    <s v="#17655"/>
    <m/>
  </r>
  <r>
    <n v="510"/>
    <s v="X4"/>
    <s v="QA"/>
    <x v="508"/>
    <s v="192.168.33.110"/>
    <s v="11 Pro"/>
    <s v="#24525"/>
    <x v="0"/>
    <x v="0"/>
    <s v="Đã hoàn thành_x000a_已完成"/>
    <d v="2026-01-10T00:00:00"/>
    <s v="#17655"/>
    <m/>
  </r>
  <r>
    <n v="511"/>
    <s v="X4"/>
    <s v="QA"/>
    <x v="509"/>
    <s v="DHCP"/>
    <s v="10 Pro"/>
    <s v="#03408"/>
    <x v="0"/>
    <x v="0"/>
    <s v="Đã hoàn thành_x000a_已完成"/>
    <d v="2026-01-10T00:00:00"/>
    <s v="#17655"/>
    <m/>
  </r>
  <r>
    <n v="512"/>
    <s v="X4"/>
    <s v="QA"/>
    <x v="510"/>
    <s v="192.168.33.112"/>
    <s v="11 Pro"/>
    <s v="#10693"/>
    <x v="0"/>
    <x v="0"/>
    <s v="Đã hoàn thành_x000a_已完成"/>
    <d v="2026-01-10T00:00:00"/>
    <s v="#17655"/>
    <m/>
  </r>
  <r>
    <n v="513"/>
    <s v="X4"/>
    <s v="QA"/>
    <x v="511"/>
    <s v="192.168.33.115"/>
    <s v="11 Pro"/>
    <s v="#24081"/>
    <x v="0"/>
    <x v="0"/>
    <s v="Đã hoàn thành_x000a_已完成"/>
    <d v="2026-01-10T00:00:00"/>
    <s v="#17655"/>
    <m/>
  </r>
  <r>
    <n v="514"/>
    <s v="X4"/>
    <s v="QA"/>
    <x v="512"/>
    <s v="192.168.33.117"/>
    <s v="11 Pro"/>
    <s v="#00913"/>
    <x v="0"/>
    <x v="0"/>
    <s v="Đã hoàn thành_x000a_已完成"/>
    <d v="2026-01-10T00:00:00"/>
    <s v="#17655"/>
    <m/>
  </r>
  <r>
    <n v="515"/>
    <s v="X4"/>
    <s v="QA"/>
    <x v="513"/>
    <s v="192.168.33.118"/>
    <s v="11 Pro"/>
    <s v="#11402"/>
    <x v="0"/>
    <x v="0"/>
    <s v="Đã hoàn thành_x000a_已完成"/>
    <d v="2026-01-10T00:00:00"/>
    <s v="#17655"/>
    <m/>
  </r>
  <r>
    <n v="516"/>
    <s v="X4"/>
    <s v="QA"/>
    <x v="514"/>
    <s v="192.168.33.119"/>
    <s v="11 Pro"/>
    <s v="#06237"/>
    <x v="0"/>
    <x v="0"/>
    <s v="Đã hoàn thành_x000a_已完成"/>
    <d v="2026-01-10T00:00:00"/>
    <s v="#17655"/>
    <m/>
  </r>
  <r>
    <n v="517"/>
    <s v="X4"/>
    <s v="QA"/>
    <x v="515"/>
    <s v="192.168.33.120"/>
    <s v="11 Pro"/>
    <s v="#03480"/>
    <x v="0"/>
    <x v="0"/>
    <s v="Đã hoàn thành_x000a_已完成"/>
    <d v="2026-01-10T00:00:00"/>
    <s v="#17655"/>
    <m/>
  </r>
  <r>
    <n v="518"/>
    <s v="X4"/>
    <s v="QA"/>
    <x v="516"/>
    <s v="192.168.33.135"/>
    <s v="11 Pro"/>
    <s v="#17025"/>
    <x v="0"/>
    <x v="0"/>
    <s v="Đã hoàn thành_x000a_已完成"/>
    <d v="2026-01-10T00:00:00"/>
    <s v="#17655"/>
    <m/>
  </r>
  <r>
    <n v="519"/>
    <s v="X4"/>
    <s v="QA"/>
    <x v="517"/>
    <s v="192.168.33.137"/>
    <s v="11 Pro"/>
    <s v="#24084"/>
    <x v="0"/>
    <x v="0"/>
    <s v="Đã hoàn thành_x000a_已完成"/>
    <d v="2026-01-10T00:00:00"/>
    <s v="#17655"/>
    <m/>
  </r>
  <r>
    <n v="520"/>
    <s v="X4"/>
    <s v="QA"/>
    <x v="518"/>
    <s v="DHCP"/>
    <s v="11 Pro"/>
    <s v="#00913"/>
    <x v="0"/>
    <x v="0"/>
    <s v="Đã hoàn thành_x000a_已完成"/>
    <d v="2026-01-10T00:00:00"/>
    <s v="#17655"/>
    <m/>
  </r>
  <r>
    <n v="521"/>
    <s v="X4"/>
    <s v="QA"/>
    <x v="519"/>
    <s v="DHCP"/>
    <s v="11 Pro"/>
    <s v="#03408"/>
    <x v="0"/>
    <x v="0"/>
    <s v="Đã hoàn thành_x000a_已完成"/>
    <d v="2026-01-10T00:00:00"/>
    <s v="#17655"/>
    <m/>
  </r>
  <r>
    <n v="522"/>
    <s v="X4"/>
    <s v="QA"/>
    <x v="520"/>
    <s v="DHCP"/>
    <s v="11 Pro"/>
    <s v="#03408"/>
    <x v="0"/>
    <x v="0"/>
    <s v="Đã hoàn thành_x000a_已完成"/>
    <d v="2026-01-10T00:00:00"/>
    <s v="#17655"/>
    <m/>
  </r>
  <r>
    <n v="523"/>
    <s v="X4"/>
    <s v="QA"/>
    <x v="521"/>
    <s v="DHCP"/>
    <s v="11 Pro"/>
    <s v="#13847"/>
    <x v="0"/>
    <x v="0"/>
    <s v="Đã hoàn thành_x000a_已完成"/>
    <d v="2026-01-10T00:00:00"/>
    <s v="#17655"/>
    <m/>
  </r>
  <r>
    <n v="524"/>
    <s v="X4"/>
    <s v="QA"/>
    <x v="522"/>
    <s v="DHCP"/>
    <s v="11 Pro"/>
    <s v="#00990"/>
    <x v="0"/>
    <x v="0"/>
    <s v="Đã hoàn thành_x000a_已完成"/>
    <d v="2026-01-10T00:00:00"/>
    <s v="#17655"/>
    <m/>
  </r>
  <r>
    <n v="525"/>
    <s v="X4"/>
    <s v="QA"/>
    <x v="523"/>
    <s v="DHCP"/>
    <s v="11 Pro"/>
    <s v="#00993"/>
    <x v="0"/>
    <x v="0"/>
    <s v="Đã hoàn thành_x000a_已完成"/>
    <d v="2026-01-10T00:00:00"/>
    <s v="#17655"/>
    <m/>
  </r>
  <r>
    <n v="526"/>
    <s v="X4"/>
    <s v="QA"/>
    <x v="524"/>
    <s v="DHCP"/>
    <s v="11 Pro"/>
    <s v="#13073"/>
    <x v="0"/>
    <x v="0"/>
    <s v="Đã hoàn thành_x000a_已完成"/>
    <d v="2026-01-10T00:00:00"/>
    <s v="#17655"/>
    <m/>
  </r>
  <r>
    <n v="527"/>
    <s v="X4"/>
    <s v="QA"/>
    <x v="525"/>
    <s v="DHCP"/>
    <s v="11 Pro"/>
    <s v="#19777"/>
    <x v="0"/>
    <x v="0"/>
    <s v="Đã hoàn thành_x000a_已完成"/>
    <d v="2026-01-10T00:00:00"/>
    <s v="#17655"/>
    <m/>
  </r>
  <r>
    <n v="528"/>
    <s v="X4"/>
    <s v="DAP4_x000a_四廠沖壓"/>
    <x v="526"/>
    <s v="192.168.34.11"/>
    <s v="11 Pro"/>
    <s v="#15704"/>
    <x v="0"/>
    <x v="0"/>
    <s v="Đã hoàn thành_x000a_已完成"/>
    <d v="2026-01-10T00:00:00"/>
    <s v="#20021"/>
    <m/>
  </r>
  <r>
    <n v="529"/>
    <s v="X4"/>
    <s v="DAP4_x000a_四廠沖壓"/>
    <x v="527"/>
    <s v="192.168.34.12"/>
    <s v="11 Pro"/>
    <s v="#25918"/>
    <x v="0"/>
    <x v="0"/>
    <s v="Đã hoàn thành_x000a_已完成"/>
    <d v="2026-01-10T00:00:00"/>
    <s v="#20021"/>
    <m/>
  </r>
  <r>
    <n v="530"/>
    <s v="X4"/>
    <s v="DAP4_x000a_四廠沖壓"/>
    <x v="528"/>
    <s v="192.168.34.13"/>
    <s v="11 Pro"/>
    <s v="#11901"/>
    <x v="0"/>
    <x v="0"/>
    <s v="Đã hoàn thành_x000a_已完成"/>
    <d v="2026-01-10T00:00:00"/>
    <s v="#20021"/>
    <m/>
  </r>
  <r>
    <n v="531"/>
    <s v="X4"/>
    <s v="DAP4_x000a_四廠沖壓"/>
    <x v="529"/>
    <s v="192.168.34.21"/>
    <s v="11 Pro"/>
    <s v="#01413"/>
    <x v="0"/>
    <x v="0"/>
    <s v="Đã hoàn thành_x000a_已完成"/>
    <d v="2026-01-10T00:00:00"/>
    <s v="#20021"/>
    <m/>
  </r>
  <r>
    <n v="532"/>
    <s v="X4"/>
    <s v="DAP4_x000a_四廠沖壓"/>
    <x v="530"/>
    <s v="192.168.34.15"/>
    <s v="11 Pro"/>
    <s v="#10636"/>
    <x v="0"/>
    <x v="0"/>
    <s v="Đã hoàn thành_x000a_已完成"/>
    <d v="2026-01-10T00:00:00"/>
    <s v="#20021"/>
    <m/>
  </r>
  <r>
    <n v="533"/>
    <s v="X4"/>
    <s v="DAP4_x000a_四廠沖壓"/>
    <x v="531"/>
    <s v="192.168.34.16"/>
    <s v="11 Pro"/>
    <s v="#05225"/>
    <x v="0"/>
    <x v="0"/>
    <s v="Đã hoàn thành_x000a_已完成"/>
    <d v="2026-01-10T00:00:00"/>
    <s v="#20021"/>
    <m/>
  </r>
  <r>
    <n v="534"/>
    <s v="X4"/>
    <s v="DAP4_x000a_四廠沖壓"/>
    <x v="532"/>
    <s v="192.168.34.18"/>
    <s v="11 Pro"/>
    <s v="#10595"/>
    <x v="0"/>
    <x v="0"/>
    <s v="Đã hoàn thành_x000a_已完成"/>
    <d v="2026-01-10T00:00:00"/>
    <s v="#20021"/>
    <m/>
  </r>
  <r>
    <n v="535"/>
    <s v="X4"/>
    <s v="DAP4_x000a_四廠沖壓"/>
    <x v="533"/>
    <s v="192.168.34.19"/>
    <s v="11 Pro"/>
    <s v="#16434"/>
    <x v="0"/>
    <x v="0"/>
    <s v="Đã hoàn thành_x000a_已完成"/>
    <d v="2026-01-10T00:00:00"/>
    <s v="#20021"/>
    <m/>
  </r>
  <r>
    <n v="536"/>
    <s v="X4"/>
    <s v="DAP4_x000a_四廠沖壓"/>
    <x v="534"/>
    <s v="192.168.34.14"/>
    <s v="11 Pro"/>
    <s v="#08352"/>
    <x v="0"/>
    <x v="0"/>
    <s v="Đã hoàn thành_x000a_已完成"/>
    <d v="2026-01-10T00:00:00"/>
    <s v="#20021"/>
    <m/>
  </r>
  <r>
    <n v="537"/>
    <s v="X4"/>
    <s v="DAP4_x000a_四廠沖壓"/>
    <x v="535"/>
    <s v="192.168.34.22"/>
    <s v="11 Pro"/>
    <s v="#20390"/>
    <x v="0"/>
    <x v="0"/>
    <s v="Đã hoàn thành_x000a_已完成"/>
    <d v="2026-01-10T00:00:00"/>
    <s v="#20021"/>
    <m/>
  </r>
  <r>
    <n v="538"/>
    <s v="X4"/>
    <s v="DAP4_x000a_四廠沖壓"/>
    <x v="536"/>
    <s v="192.168.34.50"/>
    <s v="11 Pro"/>
    <s v="#04276"/>
    <x v="0"/>
    <x v="0"/>
    <s v="Đã hoàn thành_x000a_已完成"/>
    <d v="2026-01-10T00:00:00"/>
    <s v="#20021"/>
    <m/>
  </r>
  <r>
    <n v="539"/>
    <s v="X4"/>
    <s v="DAP4_x000a_四廠沖壓"/>
    <x v="537"/>
    <s v="192.168.34.17"/>
    <s v="11 Pro"/>
    <s v="#04365"/>
    <x v="0"/>
    <x v="0"/>
    <s v="Đã hoàn thành_x000a_已完成"/>
    <d v="2026-01-10T00:00:00"/>
    <s v="#20021"/>
    <m/>
  </r>
  <r>
    <n v="540"/>
    <s v="X4"/>
    <s v="DAP4_x000a_四廠沖壓"/>
    <x v="538"/>
    <s v="192.168.34.27"/>
    <s v="11 Pro"/>
    <s v="#10199"/>
    <x v="0"/>
    <x v="0"/>
    <s v="Đã hoàn thành_x000a_已完成"/>
    <d v="2026-01-10T00:00:00"/>
    <s v="#20021"/>
    <m/>
  </r>
  <r>
    <n v="541"/>
    <s v="X4"/>
    <s v="DAP4_x000a_四廠沖壓"/>
    <x v="539"/>
    <s v="192.168.34.28"/>
    <s v="11 Pro"/>
    <s v="#02696"/>
    <x v="0"/>
    <x v="0"/>
    <s v="Đã hoàn thành_x000a_已完成"/>
    <d v="2026-01-10T00:00:00"/>
    <s v="#20021"/>
    <m/>
  </r>
  <r>
    <n v="542"/>
    <s v="X4"/>
    <s v="DAP4_x000a_四廠沖壓"/>
    <x v="540"/>
    <s v="192.168.34.29"/>
    <s v="11 Pro"/>
    <s v="#26071"/>
    <x v="0"/>
    <x v="0"/>
    <s v="Đã hoàn thành_x000a_已完成"/>
    <d v="2026-01-10T00:00:00"/>
    <s v="#20021"/>
    <m/>
  </r>
  <r>
    <n v="543"/>
    <s v="X4"/>
    <s v="DAP4_x000a_四廠沖壓"/>
    <x v="541"/>
    <s v="DHCP"/>
    <s v="11 Pro"/>
    <s v="#00576"/>
    <x v="0"/>
    <x v="0"/>
    <s v="Đã hoàn thành_x000a_已完成"/>
    <d v="2026-01-10T00:00:00"/>
    <s v="#20021"/>
    <m/>
  </r>
  <r>
    <n v="544"/>
    <s v="X3"/>
    <s v="KHO TP3_x000a_三廠成品倉庫"/>
    <x v="542"/>
    <s v="DHCP"/>
    <s v="11 Pro"/>
    <s v="#02529"/>
    <x v="0"/>
    <x v="0"/>
    <s v="Đã hoàn thành_x000a_已完成"/>
    <d v="2026-01-10T00:00:00"/>
    <s v="#20021"/>
    <m/>
  </r>
  <r>
    <n v="545"/>
    <s v="X3"/>
    <s v="KHO TP3_x000a_三廠成品倉庫"/>
    <x v="543"/>
    <s v="DHCP"/>
    <s v="11 Pro"/>
    <s v="#01936"/>
    <x v="0"/>
    <x v="0"/>
    <s v="Đã hoàn thành_x000a_已完成"/>
    <d v="2026-01-10T00:00:00"/>
    <s v="#20021"/>
    <m/>
  </r>
  <r>
    <n v="546"/>
    <s v="X3"/>
    <s v="KHO TP3_x000a_三廠成品倉庫"/>
    <x v="544"/>
    <s v="192.168.34.1"/>
    <s v="11 Pro"/>
    <s v="#00405"/>
    <x v="0"/>
    <x v="0"/>
    <s v="Đã hoàn thành_x000a_已完成"/>
    <d v="2026-01-10T00:00:00"/>
    <s v="#20021"/>
    <m/>
  </r>
  <r>
    <n v="547"/>
    <s v="X3"/>
    <s v="KHO TP3_x000a_三廠成品倉庫"/>
    <x v="545"/>
    <s v="192.168.34.2"/>
    <s v="11 Pro"/>
    <s v="#00758"/>
    <x v="0"/>
    <x v="0"/>
    <s v="Đã hoàn thành_x000a_已完成"/>
    <d v="2026-01-10T00:00:00"/>
    <s v="#20021"/>
    <m/>
  </r>
  <r>
    <n v="548"/>
    <s v="X3"/>
    <s v="KHO TP3_x000a_三廠成品倉庫"/>
    <x v="546"/>
    <s v="192.168.34.3"/>
    <s v="11 Pro"/>
    <s v="#00405"/>
    <x v="0"/>
    <x v="0"/>
    <s v="Đã hoàn thành_x000a_已完成"/>
    <d v="2026-01-10T00:00:00"/>
    <s v="#20021"/>
    <m/>
  </r>
  <r>
    <n v="549"/>
    <s v="X3"/>
    <s v="KHO TP3_x000a_三廠成品倉庫"/>
    <x v="547"/>
    <s v="192.168.34.4"/>
    <s v="11 Pro"/>
    <s v="#19908"/>
    <x v="0"/>
    <x v="0"/>
    <s v="Đã hoàn thành_x000a_已完成"/>
    <d v="2026-01-10T00:00:00"/>
    <s v="#20021"/>
    <m/>
  </r>
  <r>
    <n v="550"/>
    <s v="X3"/>
    <s v="KHO TP3_x000a_三廠成品倉庫"/>
    <x v="548"/>
    <s v="192.168.34.5"/>
    <s v="11 Pro"/>
    <s v="#00231"/>
    <x v="0"/>
    <x v="0"/>
    <s v="Đã hoàn thành_x000a_已完成"/>
    <d v="2026-01-10T00:00:00"/>
    <s v="#20021"/>
    <m/>
  </r>
  <r>
    <n v="551"/>
    <s v="X3"/>
    <s v="KHO TP3_x000a_三廠成品倉庫"/>
    <x v="549"/>
    <s v="192.168.34.6"/>
    <s v="11 Pro"/>
    <s v="#02630"/>
    <x v="0"/>
    <x v="0"/>
    <s v="Đã hoàn thành_x000a_已完成"/>
    <d v="2026-01-10T00:00:00"/>
    <s v="#20021"/>
    <m/>
  </r>
  <r>
    <n v="552"/>
    <s v="X3"/>
    <s v="KHO TP3_x000a_三廠成品倉庫"/>
    <x v="550"/>
    <s v="192.168.34.7"/>
    <s v="11 Pro"/>
    <s v="#03073"/>
    <x v="0"/>
    <x v="0"/>
    <s v="Đã hoàn thành_x000a_已完成"/>
    <d v="2026-01-10T00:00:00"/>
    <s v="#20021"/>
    <m/>
  </r>
  <r>
    <n v="553"/>
    <s v="X3"/>
    <s v="KHO TP3_x000a_三廠成品倉庫"/>
    <x v="551"/>
    <s v="192.168.34.8"/>
    <s v="11 Pro"/>
    <s v="#24199"/>
    <x v="0"/>
    <x v="0"/>
    <s v="Đã hoàn thành_x000a_已完成"/>
    <d v="2026-01-10T00:00:00"/>
    <s v="#20021"/>
    <m/>
  </r>
  <r>
    <n v="554"/>
    <s v="X3"/>
    <s v="KHO TP3_x000a_三廠成品倉庫"/>
    <x v="552"/>
    <s v="192.168.34.9"/>
    <s v="11 Pro"/>
    <s v="#08949"/>
    <x v="0"/>
    <x v="0"/>
    <s v="Đã hoàn thành_x000a_已完成"/>
    <d v="2026-01-10T00:00:00"/>
    <s v="#20021"/>
    <m/>
  </r>
  <r>
    <n v="555"/>
    <s v="X3"/>
    <s v="KHO TP3_x000a_三廠成品倉庫"/>
    <x v="553"/>
    <s v="192.168.34.10"/>
    <s v="11 Pro"/>
    <s v="#00405"/>
    <x v="0"/>
    <x v="0"/>
    <s v="Đã hoàn thành_x000a_已完成"/>
    <d v="2026-01-10T00:00:00"/>
    <s v="#20021"/>
    <m/>
  </r>
  <r>
    <n v="556"/>
    <s v="X3"/>
    <s v="KHO TP3_x000a_三廠成品倉庫"/>
    <x v="554"/>
    <s v="192.168.34.23"/>
    <s v="11 Pro"/>
    <s v="#08553"/>
    <x v="0"/>
    <x v="0"/>
    <s v="Đã hoàn thành_x000a_已完成"/>
    <d v="2026-01-10T00:00:00"/>
    <s v="#20021"/>
    <m/>
  </r>
  <r>
    <n v="557"/>
    <s v="X3"/>
    <s v="KHO TP3_x000a_三廠成品倉庫"/>
    <x v="555"/>
    <s v="192.168.34.24"/>
    <s v="11 Pro"/>
    <s v="#01787"/>
    <x v="0"/>
    <x v="0"/>
    <s v="Đã hoàn thành_x000a_已完成"/>
    <d v="2026-01-10T00:00:00"/>
    <s v="#20021"/>
    <m/>
  </r>
  <r>
    <n v="558"/>
    <s v="X3"/>
    <s v="KHO TP3_x000a_三廠成品倉庫"/>
    <x v="556"/>
    <s v="192.168.34.70"/>
    <s v="11 Pro"/>
    <s v="#24199"/>
    <x v="0"/>
    <x v="0"/>
    <s v="Đã hoàn thành_x000a_已完成"/>
    <d v="2026-01-10T00:00:00"/>
    <s v="#20021"/>
    <m/>
  </r>
  <r>
    <n v="559"/>
    <s v="X3"/>
    <s v="KHO TP3_x000a_三廠成品倉庫"/>
    <x v="557"/>
    <s v="192.168.34.26"/>
    <s v="11 Pro"/>
    <s v="#03073"/>
    <x v="0"/>
    <x v="0"/>
    <s v="Đã hoàn thành_x000a_已完成"/>
    <d v="2026-01-10T00:00:00"/>
    <s v="#20021"/>
    <m/>
  </r>
  <r>
    <n v="560"/>
    <s v="X4"/>
    <s v="CVU_x000a_公務"/>
    <x v="558"/>
    <s v="192.168.34.20"/>
    <s v="11 Pro"/>
    <s v="#07948"/>
    <x v="0"/>
    <x v="0"/>
    <s v="Đã hoàn thành_x000a_已完成"/>
    <d v="2026-01-10T00:00:00"/>
    <s v="#20021"/>
    <m/>
  </r>
  <r>
    <n v="561"/>
    <s v="X4"/>
    <s v="CVU_x000a_公務"/>
    <x v="559"/>
    <s v="192.168.34.192"/>
    <s v="11 Pro"/>
    <s v="#00213"/>
    <x v="0"/>
    <x v="0"/>
    <s v="Đã hoàn thành_x000a_已完成"/>
    <d v="2026-01-10T00:00:00"/>
    <s v="#20021"/>
    <m/>
  </r>
  <r>
    <n v="562"/>
    <s v="X3"/>
    <s v="QLTB_x000a_設管"/>
    <x v="560"/>
    <s v="192.168.34.90"/>
    <s v="11 Pro"/>
    <s v="#07281"/>
    <x v="0"/>
    <x v="0"/>
    <s v="Đã hoàn thành_x000a_已完成"/>
    <d v="2026-01-10T00:00:00"/>
    <s v="#15060"/>
    <m/>
  </r>
  <r>
    <n v="563"/>
    <s v="X3"/>
    <s v="QLTB_x000a_設管"/>
    <x v="561"/>
    <s v="192.168.34.221"/>
    <s v="11 Pro"/>
    <s v="#07281"/>
    <x v="0"/>
    <x v="0"/>
    <s v="Đã hoàn thành_x000a_已完成"/>
    <d v="2026-01-10T00:00:00"/>
    <s v="#15060"/>
    <m/>
  </r>
  <r>
    <n v="564"/>
    <s v="X3"/>
    <s v="QLTB_x000a_設管"/>
    <x v="562"/>
    <s v="192.168.22.220"/>
    <s v="10 Pro"/>
    <s v="#07281"/>
    <x v="0"/>
    <x v="0"/>
    <s v="Đã hoàn thành_x000a_已完成"/>
    <d v="2026-01-10T00:00:00"/>
    <s v="#15060"/>
    <m/>
  </r>
  <r>
    <n v="565"/>
    <s v="X3"/>
    <s v="QLTB_x000a_設管"/>
    <x v="563"/>
    <s v="DHCP"/>
    <s v="10 Pro"/>
    <s v="#07281"/>
    <x v="0"/>
    <x v="0"/>
    <s v="Đã hoàn thành_x000a_已完成"/>
    <d v="2026-01-10T00:00:00"/>
    <s v="#15060"/>
    <m/>
  </r>
  <r>
    <n v="566"/>
    <s v="X6"/>
    <s v="QLTB_x000a_設管"/>
    <x v="564"/>
    <s v="172.16.31.81"/>
    <s v="11 Pro"/>
    <s v="#04015"/>
    <x v="0"/>
    <x v="0"/>
    <s v="Đã hoàn thành_x000a_已完成"/>
    <d v="2026-01-10T00:00:00"/>
    <s v="#18499"/>
    <m/>
  </r>
  <r>
    <n v="567"/>
    <s v="X3"/>
    <s v="QLTB_x000a_設管"/>
    <x v="565"/>
    <s v="DHCP"/>
    <s v="11 Pro"/>
    <s v="#00334"/>
    <x v="0"/>
    <x v="0"/>
    <s v="Đã hoàn thành_x000a_已完成"/>
    <d v="2026-01-10T00:00:00"/>
    <s v="#15060"/>
    <m/>
  </r>
  <r>
    <n v="568"/>
    <s v="X2"/>
    <s v="KETOAN_x000a_會計"/>
    <x v="566"/>
    <s v="192.168.23.20"/>
    <s v="11 Pro"/>
    <s v="#01555"/>
    <x v="0"/>
    <x v="0"/>
    <s v="Đã hoàn thành_x000a_已完成"/>
    <d v="2026-01-10T00:00:00"/>
    <s v="#17655"/>
    <m/>
  </r>
  <r>
    <n v="569"/>
    <s v="X2"/>
    <s v="KETOAN_x000a_會計"/>
    <x v="567"/>
    <s v="192.168.23.19"/>
    <s v="11 Pro"/>
    <s v="#01555"/>
    <x v="0"/>
    <x v="0"/>
    <s v="Đã hoàn thành_x000a_已完成"/>
    <d v="2026-01-10T00:00:00"/>
    <s v="#17655"/>
    <m/>
  </r>
  <r>
    <n v="570"/>
    <s v="X2"/>
    <s v="KETOAN_x000a_會計"/>
    <x v="568"/>
    <s v="DHCP"/>
    <s v="11 Pro"/>
    <s v="#01555"/>
    <x v="0"/>
    <x v="0"/>
    <s v="Đã hoàn thành_x000a_已完成"/>
    <d v="2026-01-10T00:00:00"/>
    <s v="#17655"/>
    <m/>
  </r>
  <r>
    <n v="571"/>
    <s v="X2"/>
    <s v="KETOAN_x000a_會計"/>
    <x v="569"/>
    <s v="DHCP"/>
    <s v="11 Pro"/>
    <s v="#01525"/>
    <x v="0"/>
    <x v="0"/>
    <s v="Đã hoàn thành_x000a_已完成"/>
    <d v="2026-01-10T00:00:00"/>
    <s v="#17655"/>
    <m/>
  </r>
  <r>
    <n v="572"/>
    <s v="X2"/>
    <s v="KETOAN_x000a_會計"/>
    <x v="570"/>
    <s v="192.168.23.1"/>
    <s v="11 Pro"/>
    <s v="#03615"/>
    <x v="0"/>
    <x v="0"/>
    <s v="Đã hoàn thành_x000a_已完成"/>
    <d v="2026-01-10T00:00:00"/>
    <s v="#17655"/>
    <m/>
  </r>
  <r>
    <n v="573"/>
    <s v="X2"/>
    <s v="KETOAN_x000a_會計"/>
    <x v="571"/>
    <s v="192.168.23.2"/>
    <s v="11 Pro"/>
    <s v="#00464"/>
    <x v="0"/>
    <x v="0"/>
    <s v="Đã hoàn thành_x000a_已完成"/>
    <d v="2026-01-10T00:00:00"/>
    <s v="#17655"/>
    <m/>
  </r>
  <r>
    <n v="574"/>
    <s v="X2"/>
    <s v="KETOAN_x000a_會計"/>
    <x v="572"/>
    <s v="192.168.23.3"/>
    <s v="11 Pro"/>
    <s v="#09879"/>
    <x v="0"/>
    <x v="0"/>
    <s v="Đã hoàn thành_x000a_已完成"/>
    <d v="2026-01-10T00:00:00"/>
    <s v="#17655"/>
    <m/>
  </r>
  <r>
    <n v="575"/>
    <s v="X2"/>
    <s v="KETOAN_x000a_會計"/>
    <x v="573"/>
    <s v="192.168.23.4"/>
    <s v="11 Pro"/>
    <s v="#01386"/>
    <x v="0"/>
    <x v="0"/>
    <s v="Đã hoàn thành_x000a_已完成"/>
    <d v="2026-01-10T00:00:00"/>
    <s v="#17655"/>
    <m/>
  </r>
  <r>
    <n v="576"/>
    <s v="X2"/>
    <s v="KETOAN_x000a_會計"/>
    <x v="574"/>
    <s v="192.168.23.5"/>
    <s v="11 Pro"/>
    <s v="#14021"/>
    <x v="0"/>
    <x v="0"/>
    <s v="Đã hoàn thành_x000a_已完成"/>
    <d v="2026-01-10T00:00:00"/>
    <s v="#17655"/>
    <m/>
  </r>
  <r>
    <n v="577"/>
    <s v="X2"/>
    <s v="KETOAN_x000a_會計"/>
    <x v="575"/>
    <s v="192.168.23.6"/>
    <s v="11 Pro"/>
    <s v="#07843"/>
    <x v="0"/>
    <x v="0"/>
    <s v="Đã hoàn thành_x000a_已完成"/>
    <d v="2026-01-10T00:00:00"/>
    <s v="#17655"/>
    <m/>
  </r>
  <r>
    <n v="578"/>
    <s v="X2"/>
    <s v="KETOAN_x000a_會計"/>
    <x v="576"/>
    <s v="192.168.23.7"/>
    <s v="11 Pro"/>
    <s v="#01527"/>
    <x v="0"/>
    <x v="0"/>
    <s v="Đã hoàn thành_x000a_已完成"/>
    <d v="2026-01-10T00:00:00"/>
    <s v="#17655"/>
    <m/>
  </r>
  <r>
    <n v="579"/>
    <s v="X2"/>
    <s v="KETOAN_x000a_會計"/>
    <x v="577"/>
    <s v="192.168.23.8"/>
    <s v="11 Pro"/>
    <s v="#01015"/>
    <x v="0"/>
    <x v="0"/>
    <s v="Đã hoàn thành_x000a_已完成"/>
    <d v="2026-01-10T00:00:00"/>
    <s v="#17655"/>
    <m/>
  </r>
  <r>
    <n v="580"/>
    <s v="X2"/>
    <s v="KETOAN_x000a_會計"/>
    <x v="578"/>
    <s v="192.168.23.9"/>
    <s v="11 Pro"/>
    <s v="#04197"/>
    <x v="0"/>
    <x v="0"/>
    <s v="Đã hoàn thành_x000a_已完成"/>
    <d v="2026-01-10T00:00:00"/>
    <s v="#17655"/>
    <m/>
  </r>
  <r>
    <n v="581"/>
    <s v="X2"/>
    <s v="KETOAN_x000a_會計"/>
    <x v="579"/>
    <s v="192.168.23.10"/>
    <s v="11 Pro"/>
    <s v="MEETING-KT"/>
    <x v="0"/>
    <x v="0"/>
    <s v="Đã hoàn thành_x000a_已完成"/>
    <d v="2026-01-10T00:00:00"/>
    <s v="#17655"/>
    <m/>
  </r>
  <r>
    <n v="582"/>
    <s v="X2"/>
    <s v="KETOAN_x000a_會計"/>
    <x v="580"/>
    <s v="192.168.23.11"/>
    <s v="11 Pro"/>
    <s v="#00662"/>
    <x v="0"/>
    <x v="0"/>
    <s v="Đã hoàn thành_x000a_已完成"/>
    <d v="2026-01-10T00:00:00"/>
    <s v="#17655"/>
    <m/>
  </r>
  <r>
    <n v="583"/>
    <s v="X2"/>
    <s v="KETOAN_x000a_會計"/>
    <x v="581"/>
    <s v="192.168.23.13"/>
    <s v="11 Pro"/>
    <s v="#01294"/>
    <x v="0"/>
    <x v="0"/>
    <s v="Đã hoàn thành_x000a_已完成"/>
    <d v="2026-01-10T00:00:00"/>
    <s v="#17655"/>
    <m/>
  </r>
  <r>
    <n v="584"/>
    <s v="X2"/>
    <s v="KETOAN_x000a_會計"/>
    <x v="582"/>
    <s v="192.168.23.14"/>
    <s v="11 Pro"/>
    <s v="#23102"/>
    <x v="0"/>
    <x v="0"/>
    <s v="Đã hoàn thành_x000a_已完成"/>
    <d v="2026-01-10T00:00:00"/>
    <s v="#17655"/>
    <m/>
  </r>
  <r>
    <n v="585"/>
    <s v="X2"/>
    <s v="KETOAN_x000a_會計"/>
    <x v="583"/>
    <s v="192.168.23.15"/>
    <s v="11 Pro"/>
    <s v="#02646"/>
    <x v="0"/>
    <x v="0"/>
    <s v="Đã hoàn thành_x000a_已完成"/>
    <d v="2026-01-10T00:00:00"/>
    <s v="#17655"/>
    <m/>
  </r>
  <r>
    <n v="586"/>
    <s v="X2"/>
    <s v="KETOAN_x000a_會計"/>
    <x v="584"/>
    <s v="192.168.23.16"/>
    <s v="11 Pro"/>
    <s v="#25677"/>
    <x v="0"/>
    <x v="0"/>
    <s v="Đã hoàn thành_x000a_已完成"/>
    <d v="2026-01-10T00:00:00"/>
    <s v="#17655"/>
    <m/>
  </r>
  <r>
    <n v="587"/>
    <s v="X2"/>
    <s v="KETOAN_x000a_會計"/>
    <x v="585"/>
    <s v="DHCP"/>
    <s v="11 Pro"/>
    <s v="#01555"/>
    <x v="0"/>
    <x v="0"/>
    <s v="Đã hoàn thành_x000a_已完成"/>
    <d v="2026-01-10T00:00:00"/>
    <s v="#17655"/>
    <m/>
  </r>
  <r>
    <n v="588"/>
    <s v="X2"/>
    <s v="DUC_x000a_壓鑄"/>
    <x v="586"/>
    <s v="192.168.23.21"/>
    <s v="11 Pro"/>
    <s v="#01436"/>
    <x v="0"/>
    <x v="0"/>
    <s v="Đã hoàn thành_x000a_已完成"/>
    <d v="2026-01-10T00:00:00"/>
    <s v="#20021"/>
    <m/>
  </r>
  <r>
    <n v="589"/>
    <s v="X2"/>
    <s v="DUC_x000a_壓鑄"/>
    <x v="587"/>
    <s v="192.168.23.62"/>
    <s v="11 Pro"/>
    <s v="#05479"/>
    <x v="0"/>
    <x v="0"/>
    <s v="Đã hoàn thành_x000a_已完成"/>
    <d v="2026-01-10T00:00:00"/>
    <s v="#20021"/>
    <m/>
  </r>
  <r>
    <n v="590"/>
    <s v="X2"/>
    <s v="DUC_x000a_壓鑄"/>
    <x v="588"/>
    <s v="192.168.23.23"/>
    <s v="11 Pro"/>
    <s v="#02611"/>
    <x v="0"/>
    <x v="0"/>
    <s v="Đã hoàn thành_x000a_已完成"/>
    <d v="2026-01-10T00:00:00"/>
    <s v="#15060"/>
    <m/>
  </r>
  <r>
    <n v="591"/>
    <s v="X2"/>
    <s v="DUC_x000a_壓鑄"/>
    <x v="589"/>
    <s v="192.168.23.24"/>
    <s v="11 Pro"/>
    <s v="#09194"/>
    <x v="0"/>
    <x v="0"/>
    <s v="Đã hoàn thành_x000a_已完成"/>
    <d v="2026-01-10T00:00:00"/>
    <s v="#20021"/>
    <m/>
  </r>
  <r>
    <n v="592"/>
    <s v="X2"/>
    <s v="DUC_x000a_壓鑄"/>
    <x v="590"/>
    <s v="192.168.23.25"/>
    <s v="11 Pro"/>
    <s v="#00917"/>
    <x v="0"/>
    <x v="0"/>
    <s v="Đã hoàn thành_x000a_已完成"/>
    <d v="2026-01-10T00:00:00"/>
    <s v="#20021"/>
    <m/>
  </r>
  <r>
    <n v="593"/>
    <s v="X2"/>
    <s v="DUC_x000a_壓鑄"/>
    <x v="591"/>
    <s v="192.168.23.26"/>
    <s v="11 Pro"/>
    <s v="#01198"/>
    <x v="0"/>
    <x v="0"/>
    <s v="Đã hoàn thành_x000a_已完成"/>
    <d v="2026-01-10T00:00:00"/>
    <s v="#20021"/>
    <m/>
  </r>
  <r>
    <n v="594"/>
    <s v="X2"/>
    <s v="DUC_x000a_壓鑄"/>
    <x v="592"/>
    <s v="192.168.23.27"/>
    <s v="11 Pro"/>
    <s v="#04914"/>
    <x v="0"/>
    <x v="0"/>
    <s v="Đã hoàn thành_x000a_已完成"/>
    <d v="2026-01-10T00:00:00"/>
    <s v="#20021"/>
    <m/>
  </r>
  <r>
    <n v="595"/>
    <s v="X2"/>
    <s v="DUC_x000a_壓鑄"/>
    <x v="593"/>
    <s v="192.168.23.69"/>
    <s v="11 Pro"/>
    <s v="#16878"/>
    <x v="0"/>
    <x v="0"/>
    <s v="Đã hoàn thành_x000a_已完成"/>
    <d v="2026-01-10T00:00:00"/>
    <s v="#20021"/>
    <m/>
  </r>
  <r>
    <n v="596"/>
    <s v="X2"/>
    <s v="DUC_x000a_壓鑄"/>
    <x v="594"/>
    <s v="192.168.23.63"/>
    <s v="11 Pro"/>
    <s v="#01021"/>
    <x v="0"/>
    <x v="0"/>
    <s v="Đã hoàn thành_x000a_已完成"/>
    <d v="2026-01-10T00:00:00"/>
    <s v="#20021"/>
    <m/>
  </r>
  <r>
    <n v="597"/>
    <s v="X2"/>
    <s v="DUC_x000a_壓鑄"/>
    <x v="595"/>
    <s v="192.168.23.30"/>
    <s v="11 Pro"/>
    <s v="#02065"/>
    <x v="0"/>
    <x v="0"/>
    <s v="Đã hoàn thành_x000a_已完成"/>
    <d v="2026-01-10T00:00:00"/>
    <s v="#20021"/>
    <m/>
  </r>
  <r>
    <n v="598"/>
    <s v="X2"/>
    <s v="DUC_x000a_壓鑄"/>
    <x v="596"/>
    <s v="192.168.23.64"/>
    <s v="11 Pro"/>
    <s v="#19005"/>
    <x v="0"/>
    <x v="0"/>
    <s v="Đã hoàn thành_x000a_已完成"/>
    <d v="2026-01-10T00:00:00"/>
    <s v="#20021"/>
    <m/>
  </r>
  <r>
    <n v="599"/>
    <s v="X2"/>
    <s v="DUC_x000a_壓鑄"/>
    <x v="597"/>
    <s v="192.168.23.65"/>
    <s v="11 Pro"/>
    <s v="#09155"/>
    <x v="0"/>
    <x v="0"/>
    <s v="Đã hoàn thành_x000a_已完成"/>
    <d v="2026-01-10T00:00:00"/>
    <s v="#20021"/>
    <m/>
  </r>
  <r>
    <n v="600"/>
    <s v="X2"/>
    <s v="DUC_x000a_壓鑄"/>
    <x v="598"/>
    <s v="192.168.23.68"/>
    <s v="11 Pro"/>
    <s v="#00167"/>
    <x v="0"/>
    <x v="0"/>
    <s v="Đã hoàn thành_x000a_已完成"/>
    <d v="2026-01-10T00:00:00"/>
    <s v="#20021"/>
    <m/>
  </r>
  <r>
    <n v="601"/>
    <s v="X2"/>
    <s v="DUC_x000a_壓鑄"/>
    <x v="599"/>
    <s v="192.168.23.34"/>
    <s v="11 Pro"/>
    <s v="#00776"/>
    <x v="0"/>
    <x v="0"/>
    <s v="Đã hoàn thành_x000a_已完成"/>
    <d v="2026-01-10T00:00:00"/>
    <s v="#20021"/>
    <m/>
  </r>
  <r>
    <n v="602"/>
    <s v="X2"/>
    <s v="DUC_x000a_壓鑄"/>
    <x v="600"/>
    <s v="DHCP"/>
    <s v="11 Pro"/>
    <s v="#00776"/>
    <x v="0"/>
    <x v="0"/>
    <s v="Đã hoàn thành_x000a_已完成"/>
    <d v="2026-01-10T00:00:00"/>
    <s v="#20021"/>
    <m/>
  </r>
  <r>
    <n v="603"/>
    <s v="X2"/>
    <s v="DUC_x000a_壓鑄"/>
    <x v="601"/>
    <s v="192.168.23.36"/>
    <s v="11 Pro"/>
    <s v="#6000"/>
    <x v="0"/>
    <x v="0"/>
    <s v="Đã hoàn thành_x000a_已完成"/>
    <d v="2026-01-10T00:00:00"/>
    <s v="#20021"/>
    <m/>
  </r>
  <r>
    <n v="604"/>
    <s v="X2"/>
    <s v="DUC_x000a_壓鑄"/>
    <x v="602"/>
    <s v="192.168.23.57"/>
    <s v="11 Pro"/>
    <s v="#10140"/>
    <x v="0"/>
    <x v="0"/>
    <s v="Đã hoàn thành_x000a_已完成"/>
    <d v="2026-01-10T00:00:00"/>
    <s v="#20021"/>
    <m/>
  </r>
  <r>
    <n v="605"/>
    <s v="X2"/>
    <s v="GIACONG_x000a_加工"/>
    <x v="603"/>
    <s v="192.168.23.41"/>
    <s v="11 Pro"/>
    <s v="#01906"/>
    <x v="0"/>
    <x v="0"/>
    <s v="Đã hoàn thành_x000a_已完成"/>
    <d v="2026-01-10T00:00:00"/>
    <s v="#20021"/>
    <m/>
  </r>
  <r>
    <n v="606"/>
    <s v="X2"/>
    <s v="GIACONG_x000a_加工"/>
    <x v="604"/>
    <s v="192.168.23.39"/>
    <s v="11 Pro"/>
    <s v="#01376"/>
    <x v="0"/>
    <x v="0"/>
    <s v="Đã hoàn thành_x000a_已完成"/>
    <d v="2026-01-10T00:00:00"/>
    <s v="#20021"/>
    <m/>
  </r>
  <r>
    <n v="607"/>
    <s v="X2"/>
    <s v="GIACONG_x000a_加工"/>
    <x v="605"/>
    <s v="192.168.23.43"/>
    <s v="11 Pro"/>
    <s v="#01911"/>
    <x v="0"/>
    <x v="0"/>
    <s v="Đã hoàn thành_x000a_已完成"/>
    <d v="2026-01-10T00:00:00"/>
    <s v="#20021"/>
    <m/>
  </r>
  <r>
    <n v="608"/>
    <s v="X2"/>
    <s v="GIACONG_x000a_加工"/>
    <x v="606"/>
    <s v="192.168.23.44"/>
    <s v="11 Pro"/>
    <s v="# 01134"/>
    <x v="0"/>
    <x v="0"/>
    <s v="Đã hoàn thành_x000a_已完成"/>
    <d v="2026-01-10T00:00:00"/>
    <s v="#20021"/>
    <m/>
  </r>
  <r>
    <n v="609"/>
    <s v="X2"/>
    <s v="GIACONG_x000a_加工"/>
    <x v="607"/>
    <s v="192.168.23.45"/>
    <s v="11 Pro"/>
    <s v="#18616"/>
    <x v="0"/>
    <x v="0"/>
    <s v="Đã hoàn thành_x000a_已完成"/>
    <d v="2026-01-10T00:00:00"/>
    <s v="#20021"/>
    <m/>
  </r>
  <r>
    <n v="610"/>
    <s v="X2"/>
    <s v="GIACONG_x000a_加工"/>
    <x v="608"/>
    <s v="192.168.23.46"/>
    <s v="11 Pro"/>
    <s v="#01167"/>
    <x v="0"/>
    <x v="0"/>
    <s v="Đã hoàn thành_x000a_已完成"/>
    <d v="2026-01-10T00:00:00"/>
    <s v="#20021"/>
    <m/>
  </r>
  <r>
    <n v="611"/>
    <s v="X2"/>
    <s v="GIACONG_x000a_加工"/>
    <x v="609"/>
    <s v="192.168.23.47"/>
    <s v="11 Pro"/>
    <s v="#11988"/>
    <x v="0"/>
    <x v="0"/>
    <s v="Đã hoàn thành_x000a_已完成"/>
    <d v="2026-01-10T00:00:00"/>
    <s v="#20021"/>
    <m/>
  </r>
  <r>
    <n v="612"/>
    <s v="X2"/>
    <s v="GIACONG_x000a_加工"/>
    <x v="610"/>
    <s v="192.168.23.48"/>
    <s v="11 Pro"/>
    <s v="#11314"/>
    <x v="0"/>
    <x v="0"/>
    <s v="Đã hoàn thành_x000a_已完成"/>
    <d v="2026-01-10T00:00:00"/>
    <s v="#20021"/>
    <m/>
  </r>
  <r>
    <n v="613"/>
    <s v="X2"/>
    <s v="GIACONG_x000a_加工"/>
    <x v="611"/>
    <s v="192.168.23.49"/>
    <s v="11 Pro"/>
    <s v="#24332"/>
    <x v="0"/>
    <x v="0"/>
    <s v="Đã hoàn thành_x000a_已完成"/>
    <d v="2026-01-10T00:00:00"/>
    <s v="#20021"/>
    <m/>
  </r>
  <r>
    <n v="614"/>
    <s v="X2"/>
    <s v="GIACONG_x000a_加工"/>
    <x v="612"/>
    <s v="192.168.23.50"/>
    <s v="11 Pro"/>
    <s v="#19427"/>
    <x v="0"/>
    <x v="0"/>
    <s v="Đã hoàn thành_x000a_已完成"/>
    <d v="2026-01-10T00:00:00"/>
    <s v="#20021"/>
    <m/>
  </r>
  <r>
    <n v="615"/>
    <s v="X2"/>
    <s v="GIACONG_x000a_加工"/>
    <x v="613"/>
    <s v="192.168.23.51"/>
    <s v="11 Pro"/>
    <s v="#14019"/>
    <x v="0"/>
    <x v="0"/>
    <s v="Đã hoàn thành_x000a_已完成"/>
    <d v="2026-01-10T00:00:00"/>
    <s v="#20021"/>
    <m/>
  </r>
  <r>
    <n v="616"/>
    <s v="X2"/>
    <s v="GIACONG_x000a_加工"/>
    <x v="614"/>
    <s v="192.168.23.52"/>
    <s v="11 Pro"/>
    <s v="#00234"/>
    <x v="0"/>
    <x v="0"/>
    <s v="Đã hoàn thành_x000a_已完成"/>
    <d v="2026-01-10T00:00:00"/>
    <s v="#20021"/>
    <m/>
  </r>
  <r>
    <n v="617"/>
    <s v="X2"/>
    <s v="GIACONG_x000a_加工"/>
    <x v="615"/>
    <s v="192.168.23.53"/>
    <s v="8 Pro"/>
    <s v="#10140"/>
    <x v="0"/>
    <x v="0"/>
    <s v="Đã hoàn thành_x000a_已完成"/>
    <d v="2026-01-10T00:00:00"/>
    <s v="#20021"/>
    <m/>
  </r>
  <r>
    <n v="618"/>
    <s v="X2"/>
    <s v="GIACONG_x000a_加工"/>
    <x v="616"/>
    <s v="192.168.23.54"/>
    <s v="11 Pro"/>
    <s v="#01876"/>
    <x v="0"/>
    <x v="0"/>
    <s v="Đã hoàn thành_x000a_已完成"/>
    <d v="2026-01-10T00:00:00"/>
    <s v="#20021"/>
    <m/>
  </r>
  <r>
    <n v="619"/>
    <s v="X2"/>
    <s v="GIACONG_x000a_加工"/>
    <x v="617"/>
    <s v="192.168.23.56"/>
    <s v="11 Pro"/>
    <s v="#01309"/>
    <x v="0"/>
    <x v="0"/>
    <s v="Đã hoàn thành_x000a_已完成"/>
    <d v="2026-01-10T00:00:00"/>
    <s v="#20021"/>
    <m/>
  </r>
  <r>
    <n v="620"/>
    <s v="X2"/>
    <s v="GIACONG_x000a_加工"/>
    <x v="618"/>
    <s v="192.168.23.58"/>
    <s v="11 Pro"/>
    <s v="#16577"/>
    <x v="0"/>
    <x v="0"/>
    <s v="Đã hoàn thành_x000a_已完成"/>
    <d v="2026-01-10T00:00:00"/>
    <s v="#20021"/>
    <m/>
  </r>
  <r>
    <n v="621"/>
    <s v="X2"/>
    <s v="GIACONG_x000a_加工"/>
    <x v="619"/>
    <s v="192.168.23.59"/>
    <s v="11 Pro"/>
    <s v="#16917"/>
    <x v="0"/>
    <x v="0"/>
    <s v="Đã hoàn thành_x000a_已完成"/>
    <d v="2026-01-10T00:00:00"/>
    <s v="#20021"/>
    <m/>
  </r>
  <r>
    <n v="622"/>
    <s v="X2"/>
    <s v="GIACONG_x000a_加工"/>
    <x v="620"/>
    <s v="192.168.23.60"/>
    <s v="11 Pro"/>
    <s v="#02131"/>
    <x v="0"/>
    <x v="0"/>
    <s v="Đã hoàn thành_x000a_已完成"/>
    <d v="2026-01-10T00:00:00"/>
    <s v="#20021"/>
    <m/>
  </r>
  <r>
    <n v="623"/>
    <s v="X2"/>
    <s v="GIACONG_x000a_加工"/>
    <x v="621"/>
    <s v="192.168.23.29"/>
    <s v="11 Pro"/>
    <s v="#14019"/>
    <x v="0"/>
    <x v="0"/>
    <s v="Đã hoàn thành_x000a_已完成"/>
    <d v="2026-01-10T00:00:00"/>
    <s v="#20021"/>
    <m/>
  </r>
  <r>
    <n v="624"/>
    <s v="X2"/>
    <s v="GIACONG_x000a_加工"/>
    <x v="622"/>
    <s v="192.168.23.22"/>
    <s v="11 Pro"/>
    <s v="#16439"/>
    <x v="0"/>
    <x v="0"/>
    <s v="Đã hoàn thành_x000a_已完成"/>
    <d v="2026-01-10T00:00:00"/>
    <s v="#20021"/>
    <m/>
  </r>
  <r>
    <n v="625"/>
    <s v="X2"/>
    <s v="GIACONG_x000a_加工"/>
    <x v="623"/>
    <s v="192.168.23.28"/>
    <s v="11 Pro"/>
    <s v="#21794"/>
    <x v="0"/>
    <x v="0"/>
    <s v="Đã hoàn thành_x000a_已完成"/>
    <d v="2026-01-10T00:00:00"/>
    <s v="#20021"/>
    <m/>
  </r>
  <r>
    <n v="626"/>
    <s v="X2"/>
    <s v="GIACONG_x000a_加工"/>
    <x v="624"/>
    <s v="192.168.23.35"/>
    <s v="11 Pro"/>
    <s v="#00930"/>
    <x v="0"/>
    <x v="0"/>
    <s v="Đã hoàn thành_x000a_已完成"/>
    <d v="2026-01-10T00:00:00"/>
    <s v="#20021"/>
    <m/>
  </r>
  <r>
    <n v="627"/>
    <s v="X2"/>
    <s v="GIACONG_x000a_加工"/>
    <x v="625"/>
    <s v="192.168.23.32"/>
    <s v="11 Pro"/>
    <s v="#24203"/>
    <x v="0"/>
    <x v="0"/>
    <s v="Đã hoàn thành_x000a_已完成"/>
    <d v="2026-01-10T00:00:00"/>
    <s v="#20021"/>
    <m/>
  </r>
  <r>
    <n v="628"/>
    <s v="X2"/>
    <s v="GIACONG_x000a_加工"/>
    <x v="626"/>
    <s v="192.168.23.31"/>
    <s v="11 Pro"/>
    <s v="#01434"/>
    <x v="0"/>
    <x v="0"/>
    <s v="Đã hoàn thành_x000a_已完成"/>
    <d v="2026-01-10T00:00:00"/>
    <s v="#20021"/>
    <m/>
  </r>
  <r>
    <n v="629"/>
    <s v="X2"/>
    <s v="GIACONG_x000a_加工"/>
    <x v="627"/>
    <s v="192.168.23.37"/>
    <s v="11 Pro"/>
    <s v="#18327"/>
    <x v="0"/>
    <x v="0"/>
    <s v="Đã hoàn thành_x000a_已完成"/>
    <d v="2026-01-10T00:00:00"/>
    <s v="#20021"/>
    <m/>
  </r>
  <r>
    <n v="630"/>
    <s v="X2"/>
    <s v="GIACONG_x000a_加工"/>
    <x v="628"/>
    <s v="192.168.23.38"/>
    <s v="11 Pro"/>
    <s v="#02985"/>
    <x v="0"/>
    <x v="0"/>
    <s v="Đã hoàn thành_x000a_已完成"/>
    <d v="2026-01-10T00:00:00"/>
    <s v="#20021"/>
    <m/>
  </r>
  <r>
    <n v="631"/>
    <s v="X2"/>
    <s v="GIACONG_x000a_加工"/>
    <x v="629"/>
    <s v="192.168.23.40"/>
    <s v="11 Pro"/>
    <s v="#01309"/>
    <x v="0"/>
    <x v="0"/>
    <s v="Đã hoàn thành_x000a_已完成"/>
    <d v="2026-01-10T00:00:00"/>
    <s v="#20021"/>
    <m/>
  </r>
  <r>
    <n v="632"/>
    <s v="X2"/>
    <s v="GIACONG_x000a_加工"/>
    <x v="630"/>
    <s v="192.168.23.42"/>
    <s v="11 Pro"/>
    <s v="#10140"/>
    <x v="0"/>
    <x v="0"/>
    <s v="Đã hoàn thành_x000a_已完成"/>
    <d v="2026-01-10T00:00:00"/>
    <s v="#20021"/>
    <m/>
  </r>
  <r>
    <n v="633"/>
    <s v="X2"/>
    <s v="GIACONG_x000a_加工"/>
    <x v="631"/>
    <s v="192.168.23.18"/>
    <s v="11 Pro"/>
    <s v=""/>
    <x v="0"/>
    <x v="0"/>
    <s v="Đã hoàn thành_x000a_已完成"/>
    <d v="2026-01-10T00:00:00"/>
    <s v="#20021"/>
    <m/>
  </r>
  <r>
    <n v="634"/>
    <s v="X2"/>
    <s v="GIACONG_x000a_加工"/>
    <x v="632"/>
    <s v="192.168.23.203"/>
    <s v="11 Pro"/>
    <s v="GC-MEETING"/>
    <x v="0"/>
    <x v="0"/>
    <s v="Đã hoàn thành_x000a_已完成"/>
    <d v="2026-01-10T00:00:00"/>
    <s v="#20021"/>
    <m/>
  </r>
  <r>
    <n v="635"/>
    <s v="X2"/>
    <s v="GIACONG_x000a_加工"/>
    <x v="633"/>
    <s v="DHCP"/>
    <s v="11 Pro"/>
    <s v="#10140"/>
    <x v="0"/>
    <x v="0"/>
    <s v="Đã hoàn thành_x000a_已完成"/>
    <d v="2026-01-10T00:00:00"/>
    <s v="#20021"/>
    <m/>
  </r>
  <r>
    <n v="636"/>
    <s v="X2"/>
    <s v="GIACONG_x000a_加工"/>
    <x v="634"/>
    <s v="DHCP"/>
    <s v="11 Pro"/>
    <s v="#10140"/>
    <x v="0"/>
    <x v="0"/>
    <s v="Đã hoàn thành_x000a_已完成"/>
    <d v="2026-01-10T00:00:00"/>
    <s v="#20021"/>
    <m/>
  </r>
  <r>
    <n v="637"/>
    <s v="X2"/>
    <s v="KTKP _x000a_開發工程課"/>
    <x v="635"/>
    <s v="192.168.23.75"/>
    <s v="11 Pro"/>
    <s v="#17213"/>
    <x v="0"/>
    <x v="0"/>
    <s v="Đã hoàn thành_x000a_已完成"/>
    <d v="2026-01-10T00:00:00"/>
    <s v="#20021"/>
    <m/>
  </r>
  <r>
    <n v="638"/>
    <s v="X2"/>
    <s v="KTKP _x000a_開發工程課"/>
    <x v="636"/>
    <s v="192.168.23.76"/>
    <s v="11 Pro"/>
    <s v="#22881"/>
    <x v="0"/>
    <x v="0"/>
    <s v="Đã hoàn thành_x000a_已完成"/>
    <d v="2026-01-10T00:00:00"/>
    <s v="#20021"/>
    <m/>
  </r>
  <r>
    <n v="639"/>
    <s v="X2"/>
    <s v="KTKP _x000a_開發工程課"/>
    <x v="637"/>
    <s v="192.168.23.77"/>
    <s v="11 Pro"/>
    <s v="#24124"/>
    <x v="0"/>
    <x v="0"/>
    <s v="Đã hoàn thành_x000a_已完成"/>
    <d v="2026-01-10T00:00:00"/>
    <s v="#20021"/>
    <m/>
  </r>
  <r>
    <n v="640"/>
    <s v="X2"/>
    <s v="KTKP _x000a_開發工程課"/>
    <x v="638"/>
    <s v="192.168.23.78"/>
    <s v="11 Pro"/>
    <s v="#23101"/>
    <x v="0"/>
    <x v="0"/>
    <s v="Đã hoàn thành_x000a_已完成"/>
    <d v="2026-01-10T00:00:00"/>
    <s v="#20021"/>
    <m/>
  </r>
  <r>
    <n v="641"/>
    <s v="X2"/>
    <s v="KTKP _x000a_開發工程課"/>
    <x v="639"/>
    <s v="192.168.23.79"/>
    <s v="11 Pro"/>
    <s v="#20363"/>
    <x v="0"/>
    <x v="0"/>
    <s v="Đã hoàn thành_x000a_已完成"/>
    <d v="2026-01-10T00:00:00"/>
    <s v="#20021"/>
    <m/>
  </r>
  <r>
    <n v="642"/>
    <s v="X2"/>
    <s v="KTKP _x000a_開發工程課"/>
    <x v="640"/>
    <s v="192.168.23.80"/>
    <s v="11 Pro"/>
    <s v="#22881"/>
    <x v="0"/>
    <x v="0"/>
    <s v="Đã hoàn thành_x000a_已完成"/>
    <d v="2026-01-10T00:00:00"/>
    <s v="#20021"/>
    <m/>
  </r>
  <r>
    <n v="643"/>
    <s v="X2"/>
    <s v="KTKP _x000a_開發工程課"/>
    <x v="641"/>
    <s v="192.168.23.83"/>
    <s v="11 Pro"/>
    <s v="#24325"/>
    <x v="0"/>
    <x v="0"/>
    <s v="Đã hoàn thành_x000a_已完成"/>
    <d v="2026-01-10T00:00:00"/>
    <s v="#20021"/>
    <m/>
  </r>
  <r>
    <n v="644"/>
    <s v="X2"/>
    <s v="KTKP _x000a_開發工程課"/>
    <x v="642"/>
    <s v="192.168.23.67"/>
    <s v="11 Pro"/>
    <s v="#23748"/>
    <x v="0"/>
    <x v="0"/>
    <s v="Đã hoàn thành_x000a_已完成"/>
    <d v="2026-01-10T00:00:00"/>
    <s v="#20021"/>
    <m/>
  </r>
  <r>
    <n v="645"/>
    <s v="X2"/>
    <s v="KTKP _x000a_開發工程課"/>
    <x v="643"/>
    <s v="192.168.23.70"/>
    <s v="11 Pro"/>
    <s v="#24327"/>
    <x v="0"/>
    <x v="0"/>
    <s v="Đã hoàn thành_x000a_已完成"/>
    <d v="2026-01-10T00:00:00"/>
    <s v="#20021"/>
    <m/>
  </r>
  <r>
    <n v="646"/>
    <s v="X2"/>
    <s v="KTKP _x000a_開發工程課"/>
    <x v="644"/>
    <s v="192.168.23.97"/>
    <s v="11 Pro"/>
    <s v="#15378"/>
    <x v="0"/>
    <x v="0"/>
    <s v="Đã hoàn thành_x000a_已完成"/>
    <d v="2026-01-10T00:00:00"/>
    <s v="#20021"/>
    <m/>
  </r>
  <r>
    <n v="647"/>
    <s v="X2"/>
    <s v="KTKP _x000a_開發工程課"/>
    <x v="645"/>
    <s v="192.168.23.33"/>
    <s v="11 Pro"/>
    <s v="#24914"/>
    <x v="0"/>
    <x v="0"/>
    <s v="Đã hoàn thành_x000a_已完成"/>
    <d v="2026-01-10T00:00:00"/>
    <s v="#20021"/>
    <m/>
  </r>
  <r>
    <n v="648"/>
    <s v="X2"/>
    <s v="KTKP _x000a_開發工程課"/>
    <x v="646"/>
    <s v="192.168.23.55"/>
    <s v="11 Pro"/>
    <s v="#20363"/>
    <x v="0"/>
    <x v="0"/>
    <s v="Đã hoàn thành_x000a_已完成"/>
    <d v="2026-01-10T00:00:00"/>
    <s v="#20021"/>
    <m/>
  </r>
  <r>
    <n v="649"/>
    <s v="X2"/>
    <s v="KTKP _x000a_開發工程課"/>
    <x v="647"/>
    <s v="192.168.23.66"/>
    <s v="11 Pro"/>
    <s v="#24326"/>
    <x v="0"/>
    <x v="0"/>
    <s v="Đã hoàn thành_x000a_已完成"/>
    <d v="2026-01-10T00:00:00"/>
    <s v="#20021"/>
    <m/>
  </r>
  <r>
    <n v="650"/>
    <s v="X2"/>
    <s v="KTKP _x000a_開發工程課"/>
    <x v="648"/>
    <s v="192.168.23.71"/>
    <s v="11 Pro"/>
    <s v="#25843"/>
    <x v="0"/>
    <x v="0"/>
    <s v="Đã hoàn thành_x000a_已完成"/>
    <d v="2026-01-10T00:00:00"/>
    <s v="#20021"/>
    <m/>
  </r>
  <r>
    <n v="651"/>
    <s v="X2"/>
    <s v="KTKP _x000a_開發工程課"/>
    <x v="649"/>
    <s v="192.168.23.74"/>
    <s v="11 Pro"/>
    <s v="#25860"/>
    <x v="0"/>
    <x v="0"/>
    <s v="Đã hoàn thành_x000a_已完成"/>
    <d v="2026-01-10T00:00:00"/>
    <s v="#20021"/>
    <m/>
  </r>
  <r>
    <n v="652"/>
    <s v="X2"/>
    <s v="KTKP _x000a_開發工程課"/>
    <x v="650"/>
    <s v="192.168.23.103"/>
    <s v="11 Pro"/>
    <s v="#01795"/>
    <x v="0"/>
    <x v="0"/>
    <s v="Đã hoàn thành_x000a_已完成"/>
    <d v="2026-01-10T00:00:00"/>
    <s v="#20021"/>
    <m/>
  </r>
  <r>
    <n v="653"/>
    <s v="X2"/>
    <s v="KTKP _x000a_開發工程課"/>
    <x v="651"/>
    <s v="DHCP"/>
    <s v="11 Pro"/>
    <s v="#10140"/>
    <x v="0"/>
    <x v="0"/>
    <s v="Đã hoàn thành_x000a_已完成"/>
    <d v="2026-01-10T00:00:00"/>
    <s v="#20021"/>
    <m/>
  </r>
  <r>
    <n v="654"/>
    <s v="X2"/>
    <s v="KTKP _x000a_開發工程課"/>
    <x v="652"/>
    <s v="DHCP"/>
    <s v="11 Pro"/>
    <s v="#10140"/>
    <x v="0"/>
    <x v="0"/>
    <s v="Đã hoàn thành_x000a_已完成"/>
    <d v="2026-01-10T00:00:00"/>
    <s v="#20021"/>
    <m/>
  </r>
  <r>
    <n v="655"/>
    <s v="X2"/>
    <s v="KTKP _x000a_開發工程課"/>
    <x v="653"/>
    <s v="192.168.23.100"/>
    <s v="11 Pro"/>
    <s v="#25844"/>
    <x v="0"/>
    <x v="0"/>
    <s v="Đã hoàn thành_x000a_已完成"/>
    <d v="2026-01-10T00:00:00"/>
    <s v="#20021"/>
    <m/>
  </r>
  <r>
    <n v="656"/>
    <s v="X2"/>
    <s v="KTKP _x000a_開發工程課"/>
    <x v="654"/>
    <s v="192.168.23.101"/>
    <s v="11 Pro"/>
    <s v="#09784"/>
    <x v="0"/>
    <x v="0"/>
    <s v="Đã hoàn thành_x000a_已完成"/>
    <d v="2026-01-10T00:00:00"/>
    <s v="#20021"/>
    <m/>
  </r>
  <r>
    <n v="657"/>
    <s v="X2"/>
    <s v="KTKP _x000a_開發工程課"/>
    <x v="655"/>
    <s v="192.168.23.102"/>
    <s v="11 Pro"/>
    <s v="#25830"/>
    <x v="0"/>
    <x v="0"/>
    <s v="Đã hoàn thành_x000a_已完成"/>
    <d v="2026-01-10T00:00:00"/>
    <s v="#20021"/>
    <m/>
  </r>
  <r>
    <n v="658"/>
    <s v="X2"/>
    <s v="KTKP _x000a_開發工程課"/>
    <x v="656"/>
    <s v="DHCP"/>
    <s v="11 Pro"/>
    <s v="#09655"/>
    <x v="0"/>
    <x v="0"/>
    <s v="Đã hoàn thành_x000a_已完成"/>
    <d v="2026-01-10T00:00:00"/>
    <s v="#20021"/>
    <m/>
  </r>
  <r>
    <n v="659"/>
    <s v="X2"/>
    <s v="KTKP _x000a_開發工程課"/>
    <x v="657"/>
    <s v="DHCP"/>
    <s v="11 Pro"/>
    <s v="#11314"/>
    <x v="0"/>
    <x v="0"/>
    <s v="Đã hoàn thành_x000a_已完成"/>
    <d v="2026-01-10T00:00:00"/>
    <s v="#20021"/>
    <m/>
  </r>
  <r>
    <n v="660"/>
    <s v="X2"/>
    <s v="KTKP _x000a_開發工程課"/>
    <x v="658"/>
    <s v="DHCP"/>
    <s v="11 Pro"/>
    <s v="#17950"/>
    <x v="0"/>
    <x v="0"/>
    <s v="Đã hoàn thành_x000a_已完成"/>
    <d v="2026-01-10T00:00:00"/>
    <s v="#20021"/>
    <m/>
  </r>
  <r>
    <n v="661"/>
    <s v="X2"/>
    <s v="KTKP _x000a_開發工程課"/>
    <x v="659"/>
    <s v="DHCP"/>
    <s v="11 Pro"/>
    <s v="#23101"/>
    <x v="0"/>
    <x v="0"/>
    <s v="Đã hoàn thành_x000a_已完成"/>
    <d v="2026-01-10T00:00:00"/>
    <s v="#20021"/>
    <m/>
  </r>
  <r>
    <n v="662"/>
    <s v="X2"/>
    <s v="KTKP _x000a_開發工程課"/>
    <x v="660"/>
    <s v="DHCP"/>
    <s v="11 Pro"/>
    <s v="#26368"/>
    <x v="0"/>
    <x v="0"/>
    <s v="Đã hoàn thành_x000a_已完成"/>
    <d v="2026-01-10T00:00:00"/>
    <s v="#20021"/>
    <m/>
  </r>
  <r>
    <n v="663"/>
    <s v="X2"/>
    <s v="QC2"/>
    <x v="661"/>
    <s v="DHCP"/>
    <s v="11 Pro"/>
    <s v="#00931"/>
    <x v="0"/>
    <x v="0"/>
    <s v="Đã hoàn thành_x000a_已完成"/>
    <d v="2026-01-10T00:00:00"/>
    <s v="#15060"/>
    <m/>
  </r>
  <r>
    <n v="664"/>
    <s v="X2"/>
    <s v="QC2"/>
    <x v="662"/>
    <s v="192.168.23.72"/>
    <s v="11 Pro"/>
    <s v="#06831"/>
    <x v="0"/>
    <x v="0"/>
    <s v="Đã hoàn thành_x000a_已完成"/>
    <d v="2026-01-10T00:00:00"/>
    <s v="#15060"/>
    <m/>
  </r>
  <r>
    <n v="665"/>
    <s v="X2"/>
    <s v="QC2"/>
    <x v="663"/>
    <s v="192.168.23.73"/>
    <s v="11 Pro"/>
    <s v="#02261"/>
    <x v="0"/>
    <x v="0"/>
    <s v="Đã hoàn thành_x000a_已完成"/>
    <d v="2026-01-10T00:00:00"/>
    <s v="#15060"/>
    <m/>
  </r>
  <r>
    <n v="666"/>
    <s v="X2"/>
    <s v="QC2"/>
    <x v="664"/>
    <s v="192.168.23.85"/>
    <s v="11 Pro"/>
    <s v="#11366"/>
    <x v="0"/>
    <x v="0"/>
    <s v="Đã hoàn thành_x000a_已完成"/>
    <d v="2026-01-10T00:00:00"/>
    <s v="#15060"/>
    <m/>
  </r>
  <r>
    <n v="667"/>
    <s v="X2"/>
    <s v="DOLUONG2_x000a_二廠測量"/>
    <x v="665"/>
    <s v="10.10.1.16"/>
    <s v="11 Pro"/>
    <s v="#08555"/>
    <x v="0"/>
    <x v="0"/>
    <s v="Đã hoàn thành_x000a_已完成"/>
    <d v="2026-01-10T00:00:00"/>
    <s v="#15060"/>
    <m/>
  </r>
  <r>
    <n v="668"/>
    <s v="X2"/>
    <s v="DOLUONG2_x000a_二廠測量"/>
    <x v="666"/>
    <s v="10.10.1.14"/>
    <s v="10 Pro"/>
    <s v="#08555"/>
    <x v="0"/>
    <x v="0"/>
    <s v="Đã hoàn thành_x000a_已完成"/>
    <d v="2026-01-10T00:00:00"/>
    <s v="#15060"/>
    <m/>
  </r>
  <r>
    <n v="669"/>
    <s v="X2"/>
    <s v="DOLUONG2_x000a_二廠測量"/>
    <x v="667"/>
    <s v="10.10.1.11"/>
    <s v="XP"/>
    <s v="#08555"/>
    <x v="0"/>
    <x v="1"/>
    <s v="Đã hoàn thành_x000a_已完成"/>
    <d v="2026-01-10T00:00:00"/>
    <s v="#15060"/>
    <m/>
  </r>
  <r>
    <n v="670"/>
    <s v="X2"/>
    <s v="DOLUONG2_x000a_二廠測量"/>
    <x v="668"/>
    <s v="10.10.1.15"/>
    <s v="XP"/>
    <s v="#08555"/>
    <x v="0"/>
    <x v="1"/>
    <s v="Đã hoàn thành_x000a_已完成"/>
    <d v="2026-01-10T00:00:00"/>
    <s v="#15060"/>
    <m/>
  </r>
  <r>
    <n v="671"/>
    <s v="X2"/>
    <s v="DOLUONG2_x000a_二廠測量"/>
    <x v="669"/>
    <s v="10.10.1.12/192.168.23.135"/>
    <s v="10 Pro OEM"/>
    <s v="#08555"/>
    <x v="0"/>
    <x v="0"/>
    <s v="Đã hoàn thành_x000a_已完成"/>
    <d v="2026-01-10T00:00:00"/>
    <s v="#15060"/>
    <m/>
  </r>
  <r>
    <n v="672"/>
    <s v="X2"/>
    <s v="DOLUONG2_x000a_二廠測量"/>
    <x v="670"/>
    <s v="none"/>
    <s v="10 Pro"/>
    <s v="#08555"/>
    <x v="0"/>
    <x v="0"/>
    <s v="Đã hoàn thành_x000a_已完成"/>
    <d v="2026-01-10T00:00:00"/>
    <s v="#15060"/>
    <m/>
  </r>
  <r>
    <n v="673"/>
    <s v="X2"/>
    <s v="KHO TP2_x000a_二廠成品倉庫"/>
    <x v="671"/>
    <s v="192.168.23.86"/>
    <s v="11 Pro"/>
    <s v="#02420"/>
    <x v="0"/>
    <x v="0"/>
    <s v="Đã hoàn thành_x000a_已完成"/>
    <d v="2026-01-10T00:00:00"/>
    <s v="#20021"/>
    <m/>
  </r>
  <r>
    <n v="674"/>
    <s v="X2"/>
    <s v="KHO TP2_x000a_二廠成品倉庫"/>
    <x v="672"/>
    <s v="192.168.23.87"/>
    <s v="11 Pro"/>
    <s v="#01932"/>
    <x v="0"/>
    <x v="0"/>
    <s v="Đã hoàn thành_x000a_已完成"/>
    <d v="2026-01-10T00:00:00"/>
    <s v="#15060"/>
    <m/>
  </r>
  <r>
    <n v="675"/>
    <s v="X2"/>
    <s v="KHO TP2_x000a_二廠成品倉庫"/>
    <x v="673"/>
    <s v="192.168.23.88"/>
    <s v="11 Pro"/>
    <s v="#15573"/>
    <x v="0"/>
    <x v="0"/>
    <s v="Đã hoàn thành_x000a_已完成"/>
    <d v="2026-01-10T00:00:00"/>
    <s v="#20021"/>
    <m/>
  </r>
  <r>
    <n v="676"/>
    <s v="X2"/>
    <s v="KHO TP2_x000a_二廠成品倉庫"/>
    <x v="674"/>
    <s v="192.168.23.89"/>
    <s v="11 Pro"/>
    <s v="#01932"/>
    <x v="0"/>
    <x v="0"/>
    <s v="Đã hoàn thành_x000a_已完成"/>
    <d v="2026-01-10T00:00:00"/>
    <s v="#15060"/>
    <m/>
  </r>
  <r>
    <n v="677"/>
    <s v="X2"/>
    <s v="KHO TP2_x000a_二廠成品倉庫"/>
    <x v="675"/>
    <s v="192.168.23.90"/>
    <s v="11 Pro"/>
    <s v="#01932"/>
    <x v="0"/>
    <x v="0"/>
    <s v="Đã hoàn thành_x000a_已完成"/>
    <d v="2026-01-10T00:00:00"/>
    <s v="#20021"/>
    <m/>
  </r>
  <r>
    <n v="678"/>
    <s v="X2"/>
    <s v="SON2_x000a_二廠塗裝"/>
    <x v="676"/>
    <s v="192.168.23.81"/>
    <s v="11 Pro"/>
    <s v="#14121"/>
    <x v="0"/>
    <x v="0"/>
    <s v="Đã hoàn thành_x000a_已完成"/>
    <d v="2026-01-10T00:00:00"/>
    <s v="#15060"/>
    <m/>
  </r>
  <r>
    <n v="679"/>
    <s v="X2"/>
    <s v="SON2_x000a_二廠塗裝"/>
    <x v="677"/>
    <s v="192.168.23.82"/>
    <s v="10 Pro"/>
    <s v="#00806"/>
    <x v="0"/>
    <x v="0"/>
    <s v="Đã hoàn thành_x000a_已完成"/>
    <d v="2026-01-10T00:00:00"/>
    <s v="#15060"/>
    <m/>
  </r>
  <r>
    <n v="680"/>
    <s v="X2"/>
    <s v="SON2_x000a_二廠塗裝"/>
    <x v="678"/>
    <s v="192.168.23.42"/>
    <s v="11 Pro"/>
    <s v="#09253"/>
    <x v="0"/>
    <x v="0"/>
    <s v="Đã hoàn thành_x000a_已完成"/>
    <d v="2026-01-10T00:00:00"/>
    <s v="#15060"/>
    <m/>
  </r>
  <r>
    <n v="681"/>
    <s v="X2"/>
    <s v="SON2_x000a_二廠塗裝"/>
    <x v="679"/>
    <s v="192.168.23.84"/>
    <s v="11 Pro"/>
    <s v="#20718"/>
    <x v="0"/>
    <x v="0"/>
    <s v="Đã hoàn thành_x000a_已完成"/>
    <d v="2026-01-10T00:00:00"/>
    <s v="#15060"/>
    <m/>
  </r>
  <r>
    <n v="682"/>
    <s v="X2"/>
    <s v="SON2_x000a_二廠塗裝"/>
    <x v="680"/>
    <s v="192.168.23.61"/>
    <s v="11 Pro"/>
    <s v="#01614"/>
    <x v="0"/>
    <x v="0"/>
    <s v="Đã hoàn thành_x000a_已完成"/>
    <d v="2026-01-10T00:00:00"/>
    <s v="#15060"/>
    <m/>
  </r>
  <r>
    <n v="683"/>
    <s v="X2"/>
    <s v="QLSX2_x000a_二廠生管"/>
    <x v="681"/>
    <s v="DHCP"/>
    <s v="11 Pro"/>
    <s v="#01273"/>
    <x v="0"/>
    <x v="0"/>
    <s v="Đã hoàn thành_x000a_已完成"/>
    <d v="2026-01-10T00:00:00"/>
    <s v="#17655"/>
    <m/>
  </r>
  <r>
    <n v="684"/>
    <s v="X2"/>
    <s v="QLSX2_x000a_二廠生管"/>
    <x v="682"/>
    <s v="192.168.23.91"/>
    <s v="11 Pro"/>
    <s v="#01233"/>
    <x v="0"/>
    <x v="0"/>
    <s v="Đã hoàn thành_x000a_已完成"/>
    <d v="2026-01-10T00:00:00"/>
    <s v="#17655"/>
    <m/>
  </r>
  <r>
    <n v="685"/>
    <s v="X2"/>
    <s v="QLSX2_x000a_二廠生管"/>
    <x v="683"/>
    <s v="192.168.23.92"/>
    <s v="11 Pro"/>
    <s v="#02421"/>
    <x v="0"/>
    <x v="0"/>
    <s v="Đã hoàn thành_x000a_已完成"/>
    <d v="2026-01-10T00:00:00"/>
    <s v="#17655"/>
    <m/>
  </r>
  <r>
    <n v="686"/>
    <s v="X2"/>
    <s v="QLSX2_x000a_二廠生管"/>
    <x v="684"/>
    <s v="192.168.23.93"/>
    <s v="11 Pro"/>
    <s v="#04267"/>
    <x v="0"/>
    <x v="0"/>
    <s v="Đã hoàn thành_x000a_已完成"/>
    <d v="2026-01-10T00:00:00"/>
    <s v="#15060"/>
    <m/>
  </r>
  <r>
    <n v="687"/>
    <s v="X2"/>
    <s v="QLSX2_x000a_二廠生管"/>
    <x v="685"/>
    <s v="192.168.23.94"/>
    <s v="11 Pro"/>
    <s v="#21090"/>
    <x v="0"/>
    <x v="0"/>
    <s v="Đã hoàn thành_x000a_已完成"/>
    <d v="2026-01-10T00:00:00"/>
    <s v="#17655"/>
    <m/>
  </r>
  <r>
    <n v="688"/>
    <s v="X2"/>
    <s v="QLSX2_x000a_二廠生管"/>
    <x v="686"/>
    <s v="192.168.23.95"/>
    <s v="11 Pro"/>
    <s v="#04268"/>
    <x v="0"/>
    <x v="0"/>
    <s v="Đã hoàn thành_x000a_已完成"/>
    <d v="2026-01-10T00:00:00"/>
    <s v="#17655"/>
    <m/>
  </r>
  <r>
    <n v="689"/>
    <s v="X2"/>
    <s v="QLSX2_x000a_二廠生管"/>
    <x v="687"/>
    <s v="192.168.23.96"/>
    <s v="11 Pro"/>
    <s v="#06492"/>
    <x v="0"/>
    <x v="0"/>
    <s v="Đã hoàn thành_x000a_已完成"/>
    <d v="2026-01-10T00:00:00"/>
    <s v="#17655"/>
    <m/>
  </r>
  <r>
    <n v="690"/>
    <s v="X2"/>
    <s v="QLSX2_x000a_二廠生管"/>
    <x v="688"/>
    <s v="192.168.23.99"/>
    <s v="11 Pro"/>
    <s v="#22094"/>
    <x v="0"/>
    <x v="0"/>
    <s v="Đã hoàn thành_x000a_已完成"/>
    <d v="2026-01-10T00:00:00"/>
    <s v="#17655"/>
    <m/>
  </r>
  <r>
    <n v="691"/>
    <s v="X5"/>
    <s v="CAN ONG_x000a_製管"/>
    <x v="689"/>
    <s v="192.168.22.47"/>
    <s v="11 Pro"/>
    <s v="#15013"/>
    <x v="0"/>
    <x v="0"/>
    <s v="Đã hoàn thành_x000a_已完成"/>
    <d v="2026-01-10T00:00:00"/>
    <s v="#20021"/>
    <m/>
  </r>
  <r>
    <n v="692"/>
    <s v="X5"/>
    <s v="CAN ONG_x000a_製管"/>
    <x v="690"/>
    <s v="192.168.22.48"/>
    <s v="11 Pro"/>
    <s v="#03562"/>
    <x v="0"/>
    <x v="0"/>
    <s v="Đã hoàn thành_x000a_已完成"/>
    <d v="2026-01-10T00:00:00"/>
    <s v="#20021"/>
    <m/>
  </r>
  <r>
    <n v="693"/>
    <s v="X5"/>
    <s v="QLK5_x000a_五廠倉庫"/>
    <x v="691"/>
    <s v="DHCP"/>
    <s v="11 Pro"/>
    <s v="#02196"/>
    <x v="0"/>
    <x v="0"/>
    <s v="Đã hoàn thành_x000a_已完成"/>
    <d v="2026-01-10T00:00:00"/>
    <s v="#20021"/>
    <m/>
  </r>
  <r>
    <n v="694"/>
    <s v="X5"/>
    <s v="QLK5_x000a_五廠倉庫"/>
    <x v="692"/>
    <s v="192.168.22.1"/>
    <s v="11 Pro"/>
    <s v="#03671"/>
    <x v="0"/>
    <x v="0"/>
    <s v="Đã hoàn thành_x000a_已完成"/>
    <d v="2026-01-10T00:00:00"/>
    <s v="#20021"/>
    <m/>
  </r>
  <r>
    <n v="695"/>
    <s v="X5"/>
    <s v="QLK5_x000a_五廠倉庫"/>
    <x v="693"/>
    <s v="192.168.22.2"/>
    <s v="11 Pro"/>
    <s v="#05574"/>
    <x v="0"/>
    <x v="0"/>
    <s v="Đã hoàn thành_x000a_已完成"/>
    <d v="2026-01-10T00:00:00"/>
    <s v="#20021"/>
    <m/>
  </r>
  <r>
    <n v="696"/>
    <s v="X5"/>
    <s v="QLK5_x000a_五廠倉庫"/>
    <x v="694"/>
    <s v="192.168.22.5"/>
    <s v="11 Pro"/>
    <s v="#09077"/>
    <x v="0"/>
    <x v="0"/>
    <s v="Đã hoàn thành_x000a_已完成"/>
    <d v="2026-01-10T00:00:00"/>
    <s v="#20021"/>
    <m/>
  </r>
  <r>
    <n v="697"/>
    <s v="X5"/>
    <s v="QLK5_x000a_五廠倉庫"/>
    <x v="695"/>
    <s v="192.168.22.4"/>
    <s v="11 Pro"/>
    <s v="#07966"/>
    <x v="0"/>
    <x v="0"/>
    <s v="Đã hoàn thành_x000a_已完成"/>
    <d v="2026-01-10T00:00:00"/>
    <s v="#20021"/>
    <m/>
  </r>
  <r>
    <n v="698"/>
    <s v="X5"/>
    <s v="QLK5_x000a_五廠倉庫"/>
    <x v="696"/>
    <s v="192.168.22.3"/>
    <s v="11 Pro"/>
    <s v="#00379"/>
    <x v="0"/>
    <x v="0"/>
    <s v="Đã hoàn thành_x000a_已完成"/>
    <d v="2026-01-10T00:00:00"/>
    <s v="#20021"/>
    <m/>
  </r>
  <r>
    <n v="699"/>
    <s v="X5"/>
    <s v="QLK5_x000a_五廠倉庫"/>
    <x v="697"/>
    <s v="192.168.22.6"/>
    <s v="11 Pro"/>
    <s v="#00900"/>
    <x v="0"/>
    <x v="0"/>
    <s v="Đã hoàn thành_x000a_已完成"/>
    <d v="2026-01-10T00:00:00"/>
    <s v="#20021"/>
    <m/>
  </r>
  <r>
    <n v="700"/>
    <s v="X5"/>
    <s v="QLK5_x000a_五廠倉庫"/>
    <x v="698"/>
    <s v="192.168.22.7"/>
    <s v="11 Pro"/>
    <s v="#04029"/>
    <x v="0"/>
    <x v="0"/>
    <s v="Đã hoàn thành_x000a_已完成"/>
    <d v="2026-01-10T00:00:00"/>
    <s v="#20021"/>
    <m/>
  </r>
  <r>
    <n v="701"/>
    <s v="X5"/>
    <s v="QLK5_x000a_五廠倉庫"/>
    <x v="699"/>
    <s v="192.168.22.45"/>
    <s v="11 Pro"/>
    <s v="#01932"/>
    <x v="0"/>
    <x v="0"/>
    <s v="Đã hoàn thành_x000a_已完成"/>
    <d v="2026-01-10T00:00:00"/>
    <s v="#20021"/>
    <m/>
  </r>
  <r>
    <n v="702"/>
    <s v="X5"/>
    <s v="QC5"/>
    <x v="700"/>
    <s v="192.168.22.9"/>
    <s v="11 Pro"/>
    <s v="#00683"/>
    <x v="0"/>
    <x v="0"/>
    <s v="Đã hoàn thành_x000a_已完成"/>
    <d v="2026-01-10T00:00:00"/>
    <s v="#20021"/>
    <m/>
  </r>
  <r>
    <n v="703"/>
    <s v="X5"/>
    <s v="QC5"/>
    <x v="701"/>
    <s v="192.168.22.21"/>
    <s v="11 Pro"/>
    <s v="#09759"/>
    <x v="0"/>
    <x v="0"/>
    <s v="Đã hoàn thành_x000a_已完成"/>
    <d v="2026-01-10T00:00:00"/>
    <s v="#17655"/>
    <m/>
  </r>
  <r>
    <n v="704"/>
    <s v="X5"/>
    <s v="QC5"/>
    <x v="702"/>
    <s v="192.168.22.23"/>
    <s v="11 Pro"/>
    <s v="#07279"/>
    <x v="0"/>
    <x v="0"/>
    <s v="Đã hoàn thành_x000a_已完成"/>
    <d v="2026-01-10T00:00:00"/>
    <s v="#20021"/>
    <m/>
  </r>
  <r>
    <n v="705"/>
    <s v="X5"/>
    <s v="QC5"/>
    <x v="703"/>
    <s v="DHCP"/>
    <s v="11 Home"/>
    <s v="#24125"/>
    <x v="0"/>
    <x v="0"/>
    <s v="Đã hoàn thành_x000a_已完成"/>
    <d v="2026-01-10T00:00:00"/>
    <s v="#20021"/>
    <m/>
  </r>
  <r>
    <n v="706"/>
    <s v="X5"/>
    <s v="QC5"/>
    <x v="704"/>
    <s v="DHCP"/>
    <s v="11 Pro"/>
    <s v="#04021"/>
    <x v="0"/>
    <x v="0"/>
    <s v="Đã hoàn thành_x000a_已完成"/>
    <d v="2026-01-10T00:00:00"/>
    <s v="#20021"/>
    <m/>
  </r>
  <r>
    <n v="707"/>
    <s v="X5"/>
    <s v="DOLUONG5_x000a_五廠測量"/>
    <x v="107"/>
    <s v="192.168.22.25"/>
    <s v="XP"/>
    <s v="#19426"/>
    <x v="0"/>
    <x v="1"/>
    <s v="Đã hoàn thành_x000a_已完成"/>
    <d v="2026-01-10T00:00:00"/>
    <s v="#20021"/>
    <m/>
  </r>
  <r>
    <n v="708"/>
    <s v="X5"/>
    <s v="DOLUONG5_x000a_五廠測量"/>
    <x v="705"/>
    <s v="192.168.22.26"/>
    <s v="11 Pro"/>
    <s v="#19426"/>
    <x v="0"/>
    <x v="0"/>
    <s v="Đã hoàn thành_x000a_已完成"/>
    <d v="2026-01-10T00:00:00"/>
    <s v="#20021"/>
    <m/>
  </r>
  <r>
    <n v="709"/>
    <s v="X5"/>
    <s v="DOLUONG5_x000a_五廠測量"/>
    <x v="706"/>
    <s v="192.168.22.28"/>
    <s v="11 Pro"/>
    <s v="#19426"/>
    <x v="0"/>
    <x v="0"/>
    <s v="Đã hoàn thành_x000a_已完成"/>
    <d v="2026-01-10T00:00:00"/>
    <s v="#20021"/>
    <m/>
  </r>
  <r>
    <n v="710"/>
    <s v="X5"/>
    <s v="HAN5A_x000a_五廠 A 焊接"/>
    <x v="707"/>
    <s v="192.168.22.31"/>
    <s v="11 Pro"/>
    <s v="#03790"/>
    <x v="0"/>
    <x v="0"/>
    <s v="Đã hoàn thành_x000a_已完成"/>
    <d v="2026-01-10T00:00:00"/>
    <s v="#17655"/>
    <m/>
  </r>
  <r>
    <n v="711"/>
    <s v="X5"/>
    <s v="HAN5A_x000a_五廠 A 焊接"/>
    <x v="708"/>
    <s v="192.168.22.32"/>
    <s v="11 Pro"/>
    <s v="#16762"/>
    <x v="0"/>
    <x v="0"/>
    <s v="Đã hoàn thành_x000a_已完成"/>
    <d v="2026-01-10T00:00:00"/>
    <s v="#17655"/>
    <m/>
  </r>
  <r>
    <n v="712"/>
    <s v="X5"/>
    <s v="HAN5A_x000a_五廠 A 焊接"/>
    <x v="709"/>
    <s v="192.168.22.33"/>
    <s v="11 Pro"/>
    <s v="#01235"/>
    <x v="0"/>
    <x v="0"/>
    <s v="Đã hoàn thành_x000a_已完成"/>
    <d v="2026-01-10T00:00:00"/>
    <s v="#17655"/>
    <m/>
  </r>
  <r>
    <n v="713"/>
    <s v="X5"/>
    <s v="HAN5A_x000a_五廠 A 焊接"/>
    <x v="710"/>
    <s v="192.168.22.34"/>
    <s v="11 Pro"/>
    <s v="#06404"/>
    <x v="0"/>
    <x v="0"/>
    <s v="Đã hoàn thành_x000a_已完成"/>
    <d v="2026-01-10T00:00:00"/>
    <s v="#17655"/>
    <m/>
  </r>
  <r>
    <n v="714"/>
    <s v="X5"/>
    <s v="HAN5A_x000a_五廠 A 焊接"/>
    <x v="711"/>
    <s v="192.168.22.35"/>
    <s v="11 Pro"/>
    <s v="#03168"/>
    <x v="0"/>
    <x v="0"/>
    <s v="Đã hoàn thành_x000a_已完成"/>
    <d v="2026-01-10T00:00:00"/>
    <s v="#17655"/>
    <m/>
  </r>
  <r>
    <n v="715"/>
    <s v="X5"/>
    <s v="HAN5A_x000a_五廠 A 焊接"/>
    <x v="712"/>
    <s v="192.168.22.36"/>
    <s v="11 Pro"/>
    <s v="#10070"/>
    <x v="0"/>
    <x v="0"/>
    <s v="Đã hoàn thành_x000a_已完成"/>
    <d v="2026-01-10T00:00:00"/>
    <s v="#17655"/>
    <m/>
  </r>
  <r>
    <n v="716"/>
    <s v="X5"/>
    <s v="HAN5A_x000a_五廠 A 焊接"/>
    <x v="713"/>
    <s v="192.168.22.37"/>
    <s v="11 Pro"/>
    <s v="#00269"/>
    <x v="0"/>
    <x v="0"/>
    <s v="Đã hoàn thành_x000a_已完成"/>
    <d v="2026-01-10T00:00:00"/>
    <s v="#17655"/>
    <m/>
  </r>
  <r>
    <n v="717"/>
    <s v="X5"/>
    <s v="HAN5A_x000a_五廠 A 焊接"/>
    <x v="714"/>
    <s v="192.168.22.15"/>
    <s v="11 Pro"/>
    <s v="#06404"/>
    <x v="0"/>
    <x v="0"/>
    <s v="Đã hoàn thành_x000a_已完成"/>
    <d v="2026-01-10T00:00:00"/>
    <s v="#17655"/>
    <m/>
  </r>
  <r>
    <n v="718"/>
    <s v="X5"/>
    <s v="HAN5A_x000a_五廠 A 焊接"/>
    <x v="715"/>
    <s v="192.168.22.8"/>
    <s v="11 Pro"/>
    <s v="#01235"/>
    <x v="0"/>
    <x v="0"/>
    <s v="Đã hoàn thành_x000a_已完成"/>
    <d v="2026-01-10T00:00:00"/>
    <s v="#17655"/>
    <m/>
  </r>
  <r>
    <n v="719"/>
    <s v="X5"/>
    <s v="HAN5A_x000a_五廠 A 焊接"/>
    <x v="716"/>
    <s v="192.168.22.12"/>
    <s v="11 Pro"/>
    <s v="#07045"/>
    <x v="0"/>
    <x v="0"/>
    <s v="Đã hoàn thành_x000a_已完成"/>
    <d v="2026-01-10T00:00:00"/>
    <s v="#17655"/>
    <m/>
  </r>
  <r>
    <n v="720"/>
    <s v="X5"/>
    <s v="DAP5_x000a_五廠沖壓"/>
    <x v="717"/>
    <s v="192.168.22.11"/>
    <s v="11 Pro"/>
    <s v="#14798"/>
    <x v="0"/>
    <x v="0"/>
    <s v="Đã hoàn thành_x000a_已完成"/>
    <d v="2026-01-10T00:00:00"/>
    <s v="#17655"/>
    <m/>
  </r>
  <r>
    <n v="721"/>
    <s v="X5"/>
    <s v="DAP5_x000a_五廠沖壓"/>
    <x v="718"/>
    <s v="192.168.22.13"/>
    <s v="11 Pro"/>
    <s v="#26041"/>
    <x v="0"/>
    <x v="0"/>
    <s v="Đã hoàn thành_x000a_已完成"/>
    <d v="2026-01-10T00:00:00"/>
    <s v="#20021"/>
    <m/>
  </r>
  <r>
    <n v="722"/>
    <s v="X5"/>
    <s v="DAP5_x000a_五廠沖壓"/>
    <x v="719"/>
    <s v="192.168.22.14"/>
    <s v="11 Pro"/>
    <s v="#11364"/>
    <x v="0"/>
    <x v="0"/>
    <s v="Đã hoàn thành_x000a_已完成"/>
    <d v="2026-01-10T00:00:00"/>
    <s v="#20021"/>
    <m/>
  </r>
  <r>
    <n v="723"/>
    <s v="X5"/>
    <s v="DAP5_x000a_五廠沖壓"/>
    <x v="720"/>
    <s v="192.168.22.16"/>
    <s v="11 Pro"/>
    <s v="#07195"/>
    <x v="0"/>
    <x v="0"/>
    <s v="Đã hoàn thành_x000a_已完成"/>
    <d v="2026-01-10T00:00:00"/>
    <s v="#20021"/>
    <m/>
  </r>
  <r>
    <n v="724"/>
    <s v="X5"/>
    <s v="DAP5_x000a_五廠沖壓"/>
    <x v="721"/>
    <s v="192.168.22.17"/>
    <s v="11 Pro"/>
    <s v="#02696"/>
    <x v="0"/>
    <x v="0"/>
    <s v="Đã hoàn thành_x000a_已完成"/>
    <d v="2026-01-10T00:00:00"/>
    <s v="#20021"/>
    <m/>
  </r>
  <r>
    <n v="725"/>
    <s v="X5"/>
    <s v="DAP5_x000a_五廠沖壓"/>
    <x v="722"/>
    <s v="192.168.22.18"/>
    <s v="11 Pro"/>
    <s v="#02413"/>
    <x v="0"/>
    <x v="0"/>
    <s v="Đã hoàn thành_x000a_已完成"/>
    <d v="2026-01-10T00:00:00"/>
    <s v="#20021"/>
    <m/>
  </r>
  <r>
    <n v="726"/>
    <s v="X5"/>
    <s v="DAP5_x000a_五廠沖壓"/>
    <x v="723"/>
    <s v="192.168.22.19"/>
    <s v="11 Pro"/>
    <s v="#15388"/>
    <x v="0"/>
    <x v="0"/>
    <s v="Đã hoàn thành_x000a_已完成"/>
    <d v="2026-01-10T00:00:00"/>
    <s v="#20021"/>
    <m/>
  </r>
  <r>
    <n v="727"/>
    <s v="X5"/>
    <s v="DAP5_x000a_五廠沖壓"/>
    <x v="724"/>
    <s v="192.168.22.20"/>
    <s v="11 Pro"/>
    <s v="#01874"/>
    <x v="0"/>
    <x v="0"/>
    <s v="Đã hoàn thành_x000a_已完成"/>
    <d v="2026-01-10T00:00:00"/>
    <s v="#20021"/>
    <m/>
  </r>
  <r>
    <n v="728"/>
    <s v="X5"/>
    <s v="DAP5_x000a_五廠沖壓"/>
    <x v="725"/>
    <s v="192.168.22.51"/>
    <s v="11 Pro"/>
    <s v="#10828"/>
    <x v="0"/>
    <x v="0"/>
    <s v="Đã hoàn thành_x000a_已完成"/>
    <d v="2026-01-10T00:00:00"/>
    <s v="#20021"/>
    <m/>
  </r>
  <r>
    <n v="729"/>
    <s v="X5"/>
    <s v="DAP5_x000a_五廠沖壓"/>
    <x v="726"/>
    <s v="192.168.22.24"/>
    <s v="11 Pro"/>
    <s v="#08561"/>
    <x v="0"/>
    <x v="0"/>
    <s v="Đã hoàn thành_x000a_已完成"/>
    <d v="2026-01-10T00:00:00"/>
    <s v="#15060"/>
    <m/>
  </r>
  <r>
    <n v="730"/>
    <s v="X5"/>
    <s v="DAP5_x000a_五廠沖壓"/>
    <x v="727"/>
    <s v="192.168.22.27"/>
    <s v="11 Pro"/>
    <s v="#14920"/>
    <x v="0"/>
    <x v="0"/>
    <s v="Đã hoàn thành_x000a_已完成"/>
    <d v="2026-01-10T00:00:00"/>
    <s v="#20021"/>
    <m/>
  </r>
  <r>
    <n v="731"/>
    <s v="X5"/>
    <s v="DAP5_x000a_五廠沖壓"/>
    <x v="728"/>
    <s v="192.168.22.10"/>
    <s v="11 Pro"/>
    <s v="#10034"/>
    <x v="0"/>
    <x v="0"/>
    <s v="Đã hoàn thành_x000a_已完成"/>
    <d v="2026-01-10T00:00:00"/>
    <s v="#15060"/>
    <m/>
  </r>
  <r>
    <n v="732"/>
    <s v="X5"/>
    <s v="DAP5_x000a_五廠沖壓"/>
    <x v="729"/>
    <s v="192.168.22.50"/>
    <s v="11 Pro"/>
    <s v="DAP5-MEETING"/>
    <x v="0"/>
    <x v="0"/>
    <s v="Đã hoàn thành_x000a_已完成"/>
    <d v="2026-01-10T00:00:00"/>
    <s v="#15060"/>
    <m/>
  </r>
  <r>
    <n v="733"/>
    <s v="X5"/>
    <s v="DAP5_x000a_五廠沖壓"/>
    <x v="730"/>
    <s v="DHCP"/>
    <s v="10 Pro"/>
    <s v="#00256"/>
    <x v="0"/>
    <x v="0"/>
    <s v="Đã hoàn thành_x000a_已完成"/>
    <d v="2026-01-10T00:00:00"/>
    <s v="#15060"/>
    <m/>
  </r>
  <r>
    <n v="734"/>
    <s v="X5"/>
    <s v="DAP5_x000a_五廠沖壓"/>
    <x v="731"/>
    <s v="DHCP"/>
    <s v="11 Pro"/>
    <s v="#00279"/>
    <x v="0"/>
    <x v="0"/>
    <s v="Đã hoàn thành_x000a_已完成"/>
    <d v="2026-01-10T00:00:00"/>
    <s v="#15060"/>
    <m/>
  </r>
  <r>
    <n v="735"/>
    <s v="X5"/>
    <s v="HAN5_x000a_五廠焊接"/>
    <x v="732"/>
    <s v="DHCP"/>
    <s v="11 Pro"/>
    <s v="#00462"/>
    <x v="0"/>
    <x v="0"/>
    <s v="Đã hoàn thành_x000a_已完成"/>
    <d v="2026-01-10T00:00:00"/>
    <s v="#15060"/>
    <m/>
  </r>
  <r>
    <n v="736"/>
    <s v="X5"/>
    <s v="HAN5_x000a_五廠焊接"/>
    <x v="733"/>
    <s v="192.168.22.41"/>
    <s v="11 Pro"/>
    <s v="#25606"/>
    <x v="0"/>
    <x v="0"/>
    <s v="Đã hoàn thành_x000a_已完成"/>
    <d v="2026-01-10T00:00:00"/>
    <s v="#15060"/>
    <m/>
  </r>
  <r>
    <n v="737"/>
    <s v="X5"/>
    <s v="HAN5_x000a_五廠焊接"/>
    <x v="734"/>
    <s v="192.168.22.42"/>
    <s v="11 Pro"/>
    <s v="#13456"/>
    <x v="0"/>
    <x v="0"/>
    <s v="Đã hoàn thành_x000a_已完成"/>
    <d v="2026-01-10T00:00:00"/>
    <s v="#15060"/>
    <m/>
  </r>
  <r>
    <n v="738"/>
    <s v="X5"/>
    <s v="HAN5_x000a_五廠焊接"/>
    <x v="735"/>
    <s v="192.168.22.43"/>
    <s v="11 Pro"/>
    <s v="#11580"/>
    <x v="0"/>
    <x v="0"/>
    <s v="Đã hoàn thành_x000a_已完成"/>
    <d v="2026-01-10T00:00:00"/>
    <s v="#15060"/>
    <m/>
  </r>
  <r>
    <n v="739"/>
    <s v="X5"/>
    <s v="HAN5_x000a_五廠焊接"/>
    <x v="736"/>
    <s v="192.168.22.44"/>
    <s v="11 Pro"/>
    <s v="#16268"/>
    <x v="0"/>
    <x v="0"/>
    <s v="Đã hoàn thành_x000a_已完成"/>
    <d v="2026-01-10T00:00:00"/>
    <s v="#15060"/>
    <m/>
  </r>
  <r>
    <n v="740"/>
    <s v="X3"/>
    <s v="MIS"/>
    <x v="737"/>
    <s v="DHCP"/>
    <s v="11 Pro"/>
    <s v="#01959"/>
    <x v="0"/>
    <x v="0"/>
    <s v="Đã hoàn thành_x000a_已完成"/>
    <d v="2026-01-10T00:00:00"/>
    <s v="#15060"/>
    <m/>
  </r>
  <r>
    <n v="741"/>
    <s v="X3"/>
    <s v="MIS"/>
    <x v="738"/>
    <s v="192.168.40.31"/>
    <s v="11 Pro"/>
    <s v="#24322"/>
    <x v="0"/>
    <x v="0"/>
    <s v="Đã hoàn thành_x000a_已完成"/>
    <d v="2026-01-10T00:00:00"/>
    <s v="#15060"/>
    <m/>
  </r>
  <r>
    <n v="742"/>
    <s v="X3"/>
    <s v="MIS"/>
    <x v="739"/>
    <s v="192.168.40.22"/>
    <s v="11 Pro"/>
    <s v="#22028"/>
    <x v="0"/>
    <x v="0"/>
    <s v="Đã hoàn thành_x000a_已完成"/>
    <d v="2026-01-10T00:00:00"/>
    <s v="#15060"/>
    <m/>
  </r>
  <r>
    <n v="743"/>
    <s v="X3"/>
    <s v="MIS"/>
    <x v="740"/>
    <s v="192.168.40.23"/>
    <s v="11 Pro"/>
    <s v="#16138"/>
    <x v="0"/>
    <x v="0"/>
    <s v="Đã hoàn thành_x000a_已完成"/>
    <d v="2026-01-10T00:00:00"/>
    <s v="#15060"/>
    <m/>
  </r>
  <r>
    <n v="744"/>
    <s v="X3"/>
    <s v="MIS"/>
    <x v="741"/>
    <s v="192.168.40.24"/>
    <s v="11 Pro"/>
    <s v="#26350"/>
    <x v="0"/>
    <x v="0"/>
    <s v="Đã hoàn thành_x000a_已完成"/>
    <d v="2026-01-10T00:00:00"/>
    <s v="#15060"/>
    <m/>
  </r>
  <r>
    <n v="745"/>
    <s v="X3"/>
    <s v="MIS"/>
    <x v="742"/>
    <s v="192.168.40.25"/>
    <s v="11 Pro"/>
    <s v="#20021"/>
    <x v="0"/>
    <x v="0"/>
    <s v="Đã hoàn thành_x000a_已完成"/>
    <d v="2026-01-10T00:00:00"/>
    <s v="#15060"/>
    <m/>
  </r>
  <r>
    <n v="746"/>
    <s v="X3"/>
    <s v="MIS"/>
    <x v="743"/>
    <s v="192.168.40.26"/>
    <s v="11 Pro"/>
    <s v="#17655"/>
    <x v="0"/>
    <x v="0"/>
    <s v="Đã hoàn thành_x000a_已完成"/>
    <d v="2026-01-10T00:00:00"/>
    <s v="#15060"/>
    <m/>
  </r>
  <r>
    <n v="747"/>
    <s v="X3"/>
    <s v="MIS"/>
    <x v="744"/>
    <s v="192.168.40.27"/>
    <s v="11 Pro"/>
    <s v="#26223"/>
    <x v="0"/>
    <x v="0"/>
    <s v="Đã hoàn thành_x000a_已完成"/>
    <d v="2026-01-10T00:00:00"/>
    <s v="#15060"/>
    <m/>
  </r>
  <r>
    <n v="748"/>
    <s v="X3"/>
    <s v="MIS"/>
    <x v="745"/>
    <s v="192.168.40.28"/>
    <s v="11 Pro"/>
    <s v="#15060"/>
    <x v="0"/>
    <x v="0"/>
    <s v="Đã hoàn thành_x000a_已完成"/>
    <d v="2026-01-10T00:00:00"/>
    <s v="#15060"/>
    <m/>
  </r>
  <r>
    <n v="749"/>
    <s v="X3"/>
    <s v="MIS"/>
    <x v="746"/>
    <s v="192.168.40.29"/>
    <s v="11 Pro"/>
    <s v="#24085"/>
    <x v="0"/>
    <x v="0"/>
    <s v="Đã hoàn thành_x000a_已完成"/>
    <d v="2026-01-10T00:00:00"/>
    <s v="#15060"/>
    <m/>
  </r>
  <r>
    <n v="750"/>
    <s v="X3"/>
    <s v="MIS"/>
    <x v="747"/>
    <s v="192.168.40.32"/>
    <s v="11 Pro"/>
    <s v="#24320"/>
    <x v="0"/>
    <x v="0"/>
    <s v="Đã hoàn thành_x000a_已完成"/>
    <d v="2026-01-10T00:00:00"/>
    <s v="#15060"/>
    <m/>
  </r>
  <r>
    <n v="751"/>
    <s v="X3"/>
    <s v="MIS"/>
    <x v="748"/>
    <s v="192.168.40.33"/>
    <s v="11 Pro"/>
    <s v="#25758"/>
    <x v="0"/>
    <x v="0"/>
    <s v="Đã hoàn thành_x000a_已完成"/>
    <d v="2026-01-10T00:00:00"/>
    <s v="#15060"/>
    <m/>
  </r>
  <r>
    <n v="752"/>
    <s v="X3"/>
    <s v="MIS"/>
    <x v="749"/>
    <s v="192.168.40.34"/>
    <s v="11 Pro"/>
    <s v="#25575"/>
    <x v="0"/>
    <x v="0"/>
    <s v="Đã hoàn thành_x000a_已完成"/>
    <d v="2026-01-10T00:00:00"/>
    <s v="#15060"/>
    <m/>
  </r>
  <r>
    <n v="753"/>
    <s v="X3"/>
    <s v="MIS"/>
    <x v="750"/>
    <s v="192.168.40.35"/>
    <s v="11 Pro"/>
    <s v="#26315"/>
    <x v="0"/>
    <x v="0"/>
    <s v="Đã hoàn thành_x000a_已完成"/>
    <d v="2026-01-10T00:00:00"/>
    <s v="#15060"/>
    <m/>
  </r>
  <r>
    <n v="754"/>
    <s v="X6"/>
    <s v="MIS"/>
    <x v="751"/>
    <s v="172.16.30.1"/>
    <s v="11 Pro"/>
    <s v="#18499"/>
    <x v="0"/>
    <x v="0"/>
    <s v="Đã hoàn thành_x000a_已完成"/>
    <d v="2026-01-10T00:00:00"/>
    <s v="#18499"/>
    <m/>
  </r>
  <r>
    <n v="755"/>
    <s v="X6"/>
    <s v="MIS"/>
    <x v="752"/>
    <s v="172.16.30.2"/>
    <s v="11 Pro"/>
    <s v="#18119"/>
    <x v="0"/>
    <x v="0"/>
    <s v="Đã hoàn thành_x000a_已完成"/>
    <d v="2026-01-10T00:00:00"/>
    <s v="#18499"/>
    <m/>
  </r>
  <r>
    <n v="756"/>
    <s v="X6"/>
    <s v="MIS"/>
    <x v="753"/>
    <s v="DHCP"/>
    <s v="11 Pro"/>
    <s v="#18119"/>
    <x v="0"/>
    <x v="0"/>
    <s v="Đã hoàn thành_x000a_已完成"/>
    <d v="2026-01-10T00:00:00"/>
    <s v="#18499"/>
    <m/>
  </r>
  <r>
    <n v="757"/>
    <s v="X3"/>
    <s v="MIS"/>
    <x v="754"/>
    <s v="192.168.40.246"/>
    <s v="11 Pro"/>
    <s v="#01959"/>
    <x v="0"/>
    <x v="0"/>
    <s v="Đã hoàn thành_x000a_已完成"/>
    <d v="2026-01-10T00:00:00"/>
    <s v="#15060"/>
    <m/>
  </r>
  <r>
    <n v="758"/>
    <s v="X3"/>
    <s v="ATTT_x000a_資安室"/>
    <x v="755"/>
    <s v="192.168.40.21"/>
    <s v="11 Pro"/>
    <s v="#24210"/>
    <x v="0"/>
    <x v="0"/>
    <s v="Đã hoàn thành_x000a_已完成"/>
    <d v="2026-01-10T00:00:00"/>
    <s v="#15060"/>
    <m/>
  </r>
  <r>
    <n v="759"/>
    <s v="X3"/>
    <s v="ATTT_x000a_資安室"/>
    <x v="756"/>
    <s v="192.168.40.35"/>
    <s v="11 Pro"/>
    <s v="#24918"/>
    <x v="0"/>
    <x v="0"/>
    <s v="Đã hoàn thành_x000a_已完成"/>
    <d v="2026-01-10T00:00:00"/>
    <s v="#20021"/>
    <m/>
  </r>
  <r>
    <n v="760"/>
    <s v="X3"/>
    <s v="ATTT_x000a_資安室"/>
    <x v="757"/>
    <s v="192.168.40.30"/>
    <s v="11 Pro"/>
    <s v="#24112"/>
    <x v="0"/>
    <x v="0"/>
    <s v="Đã hoàn thành_x000a_已完成"/>
    <d v="2026-01-10T00:00:00"/>
    <s v="#20021"/>
    <m/>
  </r>
  <r>
    <n v="761"/>
    <s v="X6"/>
    <s v="QLK6_x000a_六廠倉管"/>
    <x v="758"/>
    <s v="172.16.31.6"/>
    <s v="11 Pro"/>
    <s v="#01653"/>
    <x v="0"/>
    <x v="0"/>
    <s v="Đã hoàn thành_x000a_已完成"/>
    <d v="2026-01-10T00:00:00"/>
    <s v="#18499"/>
    <m/>
  </r>
  <r>
    <n v="762"/>
    <s v="X6"/>
    <s v="QLK6_x000a_六廠倉管"/>
    <x v="759"/>
    <s v="172.16.31.7"/>
    <s v="11 Pro"/>
    <s v="#03027"/>
    <x v="0"/>
    <x v="0"/>
    <s v="Đã hoàn thành_x000a_已完成"/>
    <d v="2026-01-10T00:00:00"/>
    <s v="#18499"/>
    <m/>
  </r>
  <r>
    <n v="763"/>
    <s v="X6"/>
    <s v="QLK6_x000a_六廠倉管"/>
    <x v="760"/>
    <s v="172.16.31.8"/>
    <s v="11 Pro"/>
    <s v="#02692"/>
    <x v="0"/>
    <x v="0"/>
    <s v="Đã hoàn thành_x000a_已完成"/>
    <d v="2026-01-10T00:00:00"/>
    <s v="#18499"/>
    <m/>
  </r>
  <r>
    <n v="764"/>
    <s v="X6"/>
    <s v="QLK6_x000a_六廠倉管"/>
    <x v="761"/>
    <s v="172.16.31.9"/>
    <s v="11 Pro"/>
    <s v="#02954"/>
    <x v="0"/>
    <x v="0"/>
    <s v="Đã hoàn thành_x000a_已完成"/>
    <d v="2026-01-10T00:00:00"/>
    <s v="#18499"/>
    <m/>
  </r>
  <r>
    <n v="765"/>
    <s v="X6"/>
    <s v="QLK6_x000a_六廠倉管"/>
    <x v="762"/>
    <s v="172.16.31.10"/>
    <s v="11 Pro"/>
    <s v="#17175"/>
    <x v="0"/>
    <x v="0"/>
    <s v="Đã hoàn thành_x000a_已完成"/>
    <d v="2026-01-10T00:00:00"/>
    <s v="#18499"/>
    <m/>
  </r>
  <r>
    <n v="766"/>
    <s v="X6"/>
    <s v="QC6"/>
    <x v="763"/>
    <s v="172.16.31.16"/>
    <s v="11 Pro"/>
    <s v="#02684"/>
    <x v="0"/>
    <x v="0"/>
    <s v="Đã hoàn thành_x000a_已完成"/>
    <d v="2026-01-10T00:00:00"/>
    <s v="#18499"/>
    <m/>
  </r>
  <r>
    <n v="767"/>
    <s v="X6"/>
    <s v="QC6"/>
    <x v="764"/>
    <s v="172.16.31.17"/>
    <s v="11 Pro"/>
    <s v="#09482"/>
    <x v="0"/>
    <x v="0"/>
    <s v="Đã hoàn thành_x000a_已完成"/>
    <d v="2026-01-10T00:00:00"/>
    <s v="#18499"/>
    <m/>
  </r>
  <r>
    <n v="768"/>
    <s v="X6"/>
    <s v="QC6"/>
    <x v="765"/>
    <s v="172.16.31.18"/>
    <s v="11 Pro"/>
    <s v="#11457"/>
    <x v="0"/>
    <x v="0"/>
    <s v="Đã hoàn thành_x000a_已完成"/>
    <d v="2026-01-10T00:00:00"/>
    <s v="#18499"/>
    <m/>
  </r>
  <r>
    <n v="769"/>
    <s v="X6"/>
    <s v="QC6"/>
    <x v="766"/>
    <s v="172.16.31.19"/>
    <s v="11 Pro"/>
    <s v="#25894"/>
    <x v="0"/>
    <x v="0"/>
    <s v="Đã hoàn thành_x000a_已完成"/>
    <d v="2026-01-10T00:00:00"/>
    <s v="#18499"/>
    <m/>
  </r>
  <r>
    <n v="770"/>
    <s v="X6"/>
    <s v="QC6"/>
    <x v="767"/>
    <s v="DHCP"/>
    <s v="11 Pro"/>
    <s v="#00235"/>
    <x v="0"/>
    <x v="0"/>
    <s v="Đã hoàn thành_x000a_已完成"/>
    <d v="2026-01-10T00:00:00"/>
    <s v="#18499"/>
    <m/>
  </r>
  <r>
    <n v="771"/>
    <s v="X6"/>
    <s v="DOLUONG6_x000a_六廠測量"/>
    <x v="768"/>
    <s v="10.10.1.19"/>
    <s v="11 Pro"/>
    <s v="#00235"/>
    <x v="0"/>
    <x v="0"/>
    <s v="Đã hoàn thành_x000a_已完成"/>
    <d v="2026-01-10T00:00:00"/>
    <s v="#18499"/>
    <m/>
  </r>
  <r>
    <n v="772"/>
    <s v="X6"/>
    <s v="DOLUONG6_x000a_六廠測量"/>
    <x v="769"/>
    <s v="10.10.1.21"/>
    <s v="10 Pro"/>
    <s v="#00235"/>
    <x v="0"/>
    <x v="0"/>
    <s v="Đã hoàn thành_x000a_已完成"/>
    <d v="2026-01-10T00:00:00"/>
    <s v="#18499"/>
    <m/>
  </r>
  <r>
    <n v="773"/>
    <s v="X6"/>
    <s v="DOLUONG6_x000a_六廠測量"/>
    <x v="770"/>
    <s v="10.10.1.18"/>
    <s v="11 Pro"/>
    <s v="#00235"/>
    <x v="0"/>
    <x v="0"/>
    <s v="Đã hoàn thành_x000a_已完成"/>
    <d v="2026-01-10T00:00:00"/>
    <s v="#18499"/>
    <m/>
  </r>
  <r>
    <n v="774"/>
    <s v="X6"/>
    <s v="DOLUONG6_x000a_六廠測量"/>
    <x v="771"/>
    <s v="10.10.1.9"/>
    <s v="10 Pro"/>
    <s v="#00235"/>
    <x v="0"/>
    <x v="0"/>
    <s v="Đã hoàn thành_x000a_已完成"/>
    <d v="2026-01-10T00:00:00"/>
    <s v="#18499"/>
    <m/>
  </r>
  <r>
    <n v="775"/>
    <s v="X6"/>
    <s v="DOLUONG6_x000a_六廠測量"/>
    <x v="772"/>
    <s v="10.10.1.20/172.16.31.21"/>
    <s v="7 Pro"/>
    <s v="#24206"/>
    <x v="0"/>
    <x v="0"/>
    <s v="Đã hoàn thành_x000a_已完成"/>
    <d v="2026-01-16T00:00:00"/>
    <s v="#18499"/>
    <m/>
  </r>
  <r>
    <n v="776"/>
    <s v="X6"/>
    <s v="DOLUONG6_x000a_六廠測量"/>
    <x v="773"/>
    <s v="10.10.1.17"/>
    <s v="XP"/>
    <s v="#00235"/>
    <x v="0"/>
    <x v="1"/>
    <s v="Đã hoàn thành_x000a_已完成"/>
    <d v="2026-01-10T00:00:00"/>
    <s v="#18499"/>
    <m/>
  </r>
  <r>
    <n v="777"/>
    <s v="X6"/>
    <s v="DAP6_x000a_六廠沖壓"/>
    <x v="774"/>
    <s v="172.16.31.35"/>
    <s v="10 Pro"/>
    <s v="#19951 + #20612"/>
    <x v="0"/>
    <x v="0"/>
    <s v="Đã hoàn thành_x000a_已完成"/>
    <d v="2026-01-10T00:00:00"/>
    <s v="#18499"/>
    <m/>
  </r>
  <r>
    <n v="778"/>
    <s v="X6"/>
    <s v="DAP6_x000a_六廠沖壓"/>
    <x v="775"/>
    <s v="172.16.31.27"/>
    <s v="11 Pro"/>
    <s v="#24002"/>
    <x v="0"/>
    <x v="0"/>
    <s v="Đã hoàn thành_x000a_已完成"/>
    <d v="2026-01-10T00:00:00"/>
    <s v="#18499"/>
    <m/>
  </r>
  <r>
    <n v="779"/>
    <s v="X6"/>
    <s v="DAP6_x000a_六廠沖壓"/>
    <x v="776"/>
    <s v="172.16.31.28"/>
    <s v="11 Pro"/>
    <s v="#20599"/>
    <x v="0"/>
    <x v="0"/>
    <s v="Đã hoàn thành_x000a_已完成"/>
    <d v="2026-01-10T00:00:00"/>
    <s v="#18499"/>
    <m/>
  </r>
  <r>
    <n v="780"/>
    <s v="X6"/>
    <s v="DAP6_x000a_六廠沖壓"/>
    <x v="777"/>
    <s v="172.16.31.29"/>
    <s v="11 Pro"/>
    <s v="#26166"/>
    <x v="0"/>
    <x v="0"/>
    <s v="Đã hoàn thành_x000a_已完成"/>
    <d v="2026-01-10T00:00:00"/>
    <s v="#18499"/>
    <m/>
  </r>
  <r>
    <n v="781"/>
    <s v="X6"/>
    <s v="DAP6_x000a_六廠沖壓"/>
    <x v="778"/>
    <s v="172.16.31.30"/>
    <s v="11 Pro"/>
    <s v="#21313"/>
    <x v="0"/>
    <x v="0"/>
    <s v="Đã hoàn thành_x000a_已完成"/>
    <d v="2026-01-10T00:00:00"/>
    <s v="#18499"/>
    <m/>
  </r>
  <r>
    <n v="782"/>
    <s v="X6"/>
    <s v="DAP6_x000a_六廠沖壓"/>
    <x v="779"/>
    <s v="172.16.31.31"/>
    <s v="11 Pro"/>
    <s v="#21137"/>
    <x v="0"/>
    <x v="0"/>
    <s v="Đã hoàn thành_x000a_已完成"/>
    <d v="2026-01-10T00:00:00"/>
    <s v="#18499"/>
    <m/>
  </r>
  <r>
    <n v="783"/>
    <s v="X6"/>
    <s v="DAP6_x000a_六廠沖壓"/>
    <x v="780"/>
    <s v="172.16.31.32"/>
    <s v="11 Pro"/>
    <s v="#21314"/>
    <x v="0"/>
    <x v="0"/>
    <s v="Đã hoàn thành_x000a_已完成"/>
    <d v="2026-01-10T00:00:00"/>
    <s v="#18499"/>
    <m/>
  </r>
  <r>
    <n v="784"/>
    <s v="X6"/>
    <s v="DAP6_x000a_六廠沖壓"/>
    <x v="781"/>
    <s v="172.16.31.33"/>
    <s v="11 Pro"/>
    <s v="#01909"/>
    <x v="0"/>
    <x v="0"/>
    <s v="Đã hoàn thành_x000a_已完成"/>
    <d v="2026-01-10T00:00:00"/>
    <s v="#18499"/>
    <m/>
  </r>
  <r>
    <n v="785"/>
    <s v="X6"/>
    <s v="DAP6_x000a_六廠沖壓"/>
    <x v="782"/>
    <s v="172.16.31.34"/>
    <s v="11 Pro"/>
    <s v="#03282"/>
    <x v="0"/>
    <x v="0"/>
    <s v="Đã hoàn thành_x000a_已完成"/>
    <d v="2026-01-10T00:00:00"/>
    <s v="#18499"/>
    <m/>
  </r>
  <r>
    <n v="786"/>
    <s v="X6"/>
    <s v="DAP6_x000a_六廠沖壓"/>
    <x v="783"/>
    <s v="172.16.31.36"/>
    <s v="11 Pro"/>
    <s v="#01909"/>
    <x v="0"/>
    <x v="0"/>
    <s v="Đã hoàn thành_x000a_已完成"/>
    <d v="2026-01-10T00:00:00"/>
    <s v="#18499"/>
    <m/>
  </r>
  <r>
    <n v="787"/>
    <s v="X6"/>
    <s v="HAN6_x000a_六廠焊接"/>
    <x v="784"/>
    <s v="172.16.31.91"/>
    <s v="11 Pro"/>
    <s v="#12804"/>
    <x v="0"/>
    <x v="0"/>
    <s v="Đã hoàn thành_x000a_已完成"/>
    <d v="2026-01-10T00:00:00"/>
    <s v="#18499"/>
    <m/>
  </r>
  <r>
    <n v="788"/>
    <s v="X6"/>
    <s v="HAN6_x000a_六廠焊接"/>
    <x v="785"/>
    <s v="172.16.31.92"/>
    <s v="11 Pro"/>
    <s v="#10109"/>
    <x v="0"/>
    <x v="0"/>
    <s v="Đã hoàn thành_x000a_已完成"/>
    <d v="2026-01-10T00:00:00"/>
    <s v="#18499"/>
    <m/>
  </r>
  <r>
    <n v="789"/>
    <s v="X6"/>
    <s v="HAN6_x000a_六廠焊接"/>
    <x v="786"/>
    <s v="172.16.31.93"/>
    <s v="11 Pro"/>
    <s v="#19546"/>
    <x v="0"/>
    <x v="0"/>
    <s v="Đã hoàn thành_x000a_已完成"/>
    <d v="2026-01-10T00:00:00"/>
    <s v="#18499"/>
    <m/>
  </r>
  <r>
    <n v="790"/>
    <s v="X6"/>
    <s v="HAN6_x000a_六廠焊接"/>
    <x v="787"/>
    <s v="172.16.31.94"/>
    <s v="11 Pro"/>
    <s v="#22077"/>
    <x v="0"/>
    <x v="0"/>
    <s v="Đã hoàn thành_x000a_已完成"/>
    <d v="2026-01-10T00:00:00"/>
    <s v="#18499"/>
    <m/>
  </r>
  <r>
    <n v="791"/>
    <s v="X6"/>
    <s v="HAN6_x000a_六廠焊接"/>
    <x v="788"/>
    <s v="172.16.31.95"/>
    <s v="11 Pro"/>
    <s v="#00413"/>
    <x v="0"/>
    <x v="0"/>
    <s v="Đã hoàn thành_x000a_已完成"/>
    <d v="2026-01-10T00:00:00"/>
    <s v="#18499"/>
    <m/>
  </r>
  <r>
    <n v="792"/>
    <s v="X6"/>
    <s v="HAN6_x000a_六廠焊接"/>
    <x v="789"/>
    <s v="172.16.31.96"/>
    <s v="11 Pro"/>
    <s v="#03699"/>
    <x v="0"/>
    <x v="0"/>
    <s v="Đã hoàn thành_x000a_已完成"/>
    <d v="2026-01-10T00:00:00"/>
    <s v="#18499"/>
    <m/>
  </r>
  <r>
    <n v="793"/>
    <s v="X6"/>
    <s v="HAN6_x000a_六廠焊接"/>
    <x v="790"/>
    <s v="172.16.31.97"/>
    <s v="11 Pro"/>
    <s v="#25156"/>
    <x v="0"/>
    <x v="0"/>
    <s v="Đã hoàn thành_x000a_已完成"/>
    <d v="2026-01-10T00:00:00"/>
    <s v="#18499"/>
    <m/>
  </r>
  <r>
    <n v="794"/>
    <s v="X6"/>
    <s v="HAN6_x000a_六廠焊接"/>
    <x v="791"/>
    <s v="172.16.31.98"/>
    <s v="11 Pro"/>
    <s v="#00046"/>
    <x v="0"/>
    <x v="0"/>
    <s v="Đã hoàn thành_x000a_已完成"/>
    <d v="2026-01-10T00:00:00"/>
    <s v="#18499"/>
    <m/>
  </r>
  <r>
    <n v="795"/>
    <s v="X6"/>
    <s v="HAN6_x000a_六廠焊接"/>
    <x v="792"/>
    <s v="172.16.31.99"/>
    <s v="11 Pro"/>
    <s v="#00941"/>
    <x v="0"/>
    <x v="0"/>
    <s v="Đã hoàn thành_x000a_已完成"/>
    <d v="2026-01-10T00:00:00"/>
    <s v="#18499"/>
    <m/>
  </r>
  <r>
    <n v="796"/>
    <s v="X6"/>
    <s v="HAN6_x000a_六廠焊接"/>
    <x v="793"/>
    <s v="172.16.31.100"/>
    <s v="11 Pro"/>
    <s v="#25906"/>
    <x v="0"/>
    <x v="0"/>
    <s v="Đã hoàn thành_x000a_已完成"/>
    <d v="2026-01-10T00:00:00"/>
    <s v="#18499"/>
    <m/>
  </r>
  <r>
    <n v="797"/>
    <s v="X6"/>
    <s v="LAPRAP6_x000a_六廠組裝"/>
    <x v="794"/>
    <s v="172.16.31.51"/>
    <s v="11 Pro"/>
    <s v="#22410"/>
    <x v="0"/>
    <x v="0"/>
    <s v="Đã hoàn thành_x000a_已完成"/>
    <d v="2026-01-10T00:00:00"/>
    <s v="#18499"/>
    <m/>
  </r>
  <r>
    <n v="798"/>
    <s v="X6"/>
    <s v="LAPRAP6_x000a_六廠組裝"/>
    <x v="795"/>
    <s v="172.16.31.52"/>
    <s v="11 Pro"/>
    <s v="#01268"/>
    <x v="0"/>
    <x v="0"/>
    <s v="Đã hoàn thành_x000a_已完成"/>
    <d v="2026-01-10T00:00:00"/>
    <s v="#18499"/>
    <m/>
  </r>
  <r>
    <n v="799"/>
    <s v="X6"/>
    <s v="LAPRAP6_x000a_六廠組裝"/>
    <x v="796"/>
    <s v="172.16.31.53"/>
    <s v="11 Pro"/>
    <s v="#22409"/>
    <x v="0"/>
    <x v="0"/>
    <s v="Đã hoàn thành_x000a_已完成"/>
    <d v="2026-01-10T00:00:00"/>
    <s v="#18499"/>
    <m/>
  </r>
  <r>
    <n v="800"/>
    <s v="X6"/>
    <s v="LAPRAP6_x000a_六廠組裝"/>
    <x v="797"/>
    <s v="172.16.31.54"/>
    <s v="11 Pro"/>
    <s v="#01543"/>
    <x v="0"/>
    <x v="0"/>
    <s v="Đã hoàn thành_x000a_已完成"/>
    <d v="2026-01-10T00:00:00"/>
    <s v="#18499"/>
    <m/>
  </r>
  <r>
    <n v="801"/>
    <s v="X6"/>
    <s v="LAPRAP6_x000a_六廠組裝"/>
    <x v="798"/>
    <s v="172.16.31.55"/>
    <s v="11 Pro"/>
    <s v="#06887"/>
    <x v="0"/>
    <x v="0"/>
    <s v="Đã hoàn thành_x000a_已完成"/>
    <d v="2026-01-10T00:00:00"/>
    <s v="#18499"/>
    <m/>
  </r>
  <r>
    <n v="802"/>
    <s v="X6"/>
    <s v="LAPRAP6_x000a_六廠組裝"/>
    <x v="799"/>
    <s v="172.16.31.56"/>
    <s v="11 Pro"/>
    <s v="#24765"/>
    <x v="0"/>
    <x v="0"/>
    <s v="Đã hoàn thành_x000a_已完成"/>
    <d v="2026-01-10T00:00:00"/>
    <s v="#18499"/>
    <m/>
  </r>
  <r>
    <n v="803"/>
    <s v="X6"/>
    <s v="LAPRAP6_x000a_六廠組裝"/>
    <x v="800"/>
    <s v="172.16.31.57"/>
    <s v="11 Pro"/>
    <s v="#26470"/>
    <x v="0"/>
    <x v="0"/>
    <s v="Đã hoàn thành_x000a_已完成"/>
    <d v="2026-01-10T00:00:00"/>
    <s v="#18499"/>
    <m/>
  </r>
  <r>
    <n v="804"/>
    <s v="X6"/>
    <s v="SON6_x000a_六廠塗裝"/>
    <x v="801"/>
    <s v="DHCP"/>
    <s v="11 Pro"/>
    <s v="#00082"/>
    <x v="0"/>
    <x v="0"/>
    <s v="Đã hoàn thành_x000a_已完成"/>
    <d v="2026-01-10T00:00:00"/>
    <s v="#18499"/>
    <m/>
  </r>
  <r>
    <n v="805"/>
    <s v="X6"/>
    <s v="SON6_x000a_六廠塗裝"/>
    <x v="802"/>
    <s v="172.16.31.200"/>
    <s v="11 Pro"/>
    <s v="X6-MEETING"/>
    <x v="0"/>
    <x v="0"/>
    <s v="Đã hoàn thành_x000a_已完成"/>
    <d v="2026-01-10T00:00:00"/>
    <s v="#18499"/>
    <m/>
  </r>
  <r>
    <n v="806"/>
    <s v="X6"/>
    <s v="SON6_x000a_六廠塗裝"/>
    <x v="803"/>
    <s v="DHCP"/>
    <s v="11 Pro"/>
    <s v="#00834"/>
    <x v="0"/>
    <x v="0"/>
    <s v="Đã hoàn thành_x000a_已完成"/>
    <d v="2026-01-10T00:00:00"/>
    <s v="#18499"/>
    <m/>
  </r>
  <r>
    <n v="807"/>
    <s v="X6"/>
    <s v="SON6_x000a_六廠塗裝"/>
    <x v="804"/>
    <s v="172.16.31.61"/>
    <s v="11 Pro"/>
    <s v="#12479"/>
    <x v="0"/>
    <x v="0"/>
    <s v="Đã hoàn thành_x000a_已完成"/>
    <d v="2026-01-10T00:00:00"/>
    <s v="#18499"/>
    <m/>
  </r>
  <r>
    <n v="808"/>
    <s v="X6"/>
    <s v="SON6_x000a_六廠塗裝"/>
    <x v="805"/>
    <s v="172.16.31.62"/>
    <s v="11 Pro"/>
    <s v="#10452"/>
    <x v="0"/>
    <x v="0"/>
    <s v="Đã hoàn thành_x000a_已完成"/>
    <d v="2026-01-10T00:00:00"/>
    <s v="#18499"/>
    <m/>
  </r>
  <r>
    <n v="809"/>
    <s v="X6"/>
    <s v="SON6_x000a_六廠塗裝"/>
    <x v="806"/>
    <s v="172.16.31.63"/>
    <s v="11 Pro"/>
    <s v="#22757"/>
    <x v="0"/>
    <x v="0"/>
    <s v="Đã hoàn thành_x000a_已完成"/>
    <d v="2026-01-10T00:00:00"/>
    <s v="#18499"/>
    <m/>
  </r>
  <r>
    <n v="810"/>
    <s v="X6"/>
    <s v="SON6_x000a_六廠塗裝"/>
    <x v="807"/>
    <s v="172.16.31.64"/>
    <s v="11 Pro"/>
    <s v="#20977"/>
    <x v="0"/>
    <x v="0"/>
    <s v="Đã hoàn thành_x000a_已完成"/>
    <d v="2026-01-10T00:00:00"/>
    <s v="#18499"/>
    <m/>
  </r>
  <r>
    <n v="811"/>
    <s v="X6"/>
    <s v="QLSX6_x000a_六廠生管"/>
    <x v="808"/>
    <s v="DHCP"/>
    <s v="11 Pro"/>
    <s v="#00533"/>
    <x v="0"/>
    <x v="0"/>
    <s v="Đã hoàn thành_x000a_已完成"/>
    <d v="2026-01-10T00:00:00"/>
    <s v="#18499"/>
    <m/>
  </r>
  <r>
    <n v="812"/>
    <s v="X6"/>
    <s v="QLSX6_x000a_六廠生管"/>
    <x v="809"/>
    <s v="172.16.31.71"/>
    <s v="11 Pro"/>
    <s v="#26158"/>
    <x v="0"/>
    <x v="0"/>
    <s v="Đã hoàn thành_x000a_已完成"/>
    <d v="2026-01-10T00:00:00"/>
    <s v="#18499"/>
    <m/>
  </r>
  <r>
    <n v="813"/>
    <s v="X6"/>
    <s v="QLSX6_x000a_六廠生管"/>
    <x v="810"/>
    <s v="172.16.31.72"/>
    <s v="11 Pro"/>
    <s v="#22095"/>
    <x v="0"/>
    <x v="0"/>
    <s v="Đã hoàn thành_x000a_已完成"/>
    <d v="2026-01-10T00:00:00"/>
    <s v="#18499"/>
    <m/>
  </r>
  <r>
    <n v="814"/>
    <s v="X6"/>
    <s v="QLSX6_x000a_六廠生管"/>
    <x v="811"/>
    <s v="172.16.31.73"/>
    <s v="11 Pro"/>
    <s v="#19406"/>
    <x v="0"/>
    <x v="0"/>
    <s v="Đã hoàn thành_x000a_已完成"/>
    <d v="2026-01-10T00:00:00"/>
    <s v="#18499"/>
    <m/>
  </r>
  <r>
    <n v="815"/>
    <s v="X6"/>
    <s v="QLSX6_x000a_六廠生管"/>
    <x v="812"/>
    <s v="172.16.31.74"/>
    <s v="11 Pro"/>
    <s v="#00533"/>
    <x v="0"/>
    <x v="0"/>
    <s v="Đã hoàn thành_x000a_已完成"/>
    <d v="2026-01-10T00:00:00"/>
    <s v="#18499"/>
    <m/>
  </r>
  <r>
    <n v="816"/>
    <s v="X6"/>
    <s v="QLSX6_x000a_六廠生管"/>
    <x v="813"/>
    <s v="172.16.31.75"/>
    <s v="11 Pro"/>
    <s v="#24871"/>
    <x v="0"/>
    <x v="0"/>
    <s v="Đã hoàn thành_x000a_已完成"/>
    <d v="2026-01-10T00:00:00"/>
    <s v="#18499"/>
    <m/>
  </r>
  <r>
    <n v="817"/>
    <s v="X3"/>
    <s v="VP Xưởng 3"/>
    <x v="814"/>
    <s v="-"/>
    <s v="-"/>
    <s v="-"/>
    <x v="0"/>
    <x v="0"/>
    <s v="Đã hoàn thành_x000a_已完成"/>
    <d v="2026-01-10T00:00:00"/>
    <s v="#15060"/>
    <m/>
  </r>
  <r>
    <n v="818"/>
    <s v="X3"/>
    <s v="Kinh Doanh"/>
    <x v="814"/>
    <s v="-"/>
    <s v="-"/>
    <s v="-"/>
    <x v="0"/>
    <x v="0"/>
    <s v="Đã hoàn thành_x000a_已完成"/>
    <d v="2026-01-10T00:00:00"/>
    <s v="#15060"/>
    <m/>
  </r>
  <r>
    <n v="819"/>
    <s v="X3"/>
    <s v="Thu Mua"/>
    <x v="814"/>
    <s v="-"/>
    <s v="-"/>
    <s v="-"/>
    <x v="0"/>
    <x v="0"/>
    <s v="Đã hoàn thành_x000a_已完成"/>
    <d v="2026-01-10T00:00:00"/>
    <s v="#15060"/>
    <m/>
  </r>
  <r>
    <n v="820"/>
    <s v="X4"/>
    <s v="Kaifa Màu"/>
    <x v="814"/>
    <s v="-"/>
    <s v="-"/>
    <s v="-"/>
    <x v="0"/>
    <x v="0"/>
    <s v="Đã hoàn thành_x000a_已完成"/>
    <d v="2026-01-10T00:00:00"/>
    <s v="#15060"/>
    <m/>
  </r>
  <r>
    <n v="821"/>
    <s v="X4"/>
    <s v="kaifa Đen trắng"/>
    <x v="814"/>
    <s v="-"/>
    <s v="-"/>
    <s v="-"/>
    <x v="0"/>
    <x v="0"/>
    <s v="Đã hoàn thành_x000a_已完成"/>
    <d v="2026-01-10T00:00:00"/>
    <s v="#15060"/>
    <m/>
  </r>
  <r>
    <n v="822"/>
    <s v="X4"/>
    <s v="QA"/>
    <x v="814"/>
    <s v="-"/>
    <s v="-"/>
    <s v="-"/>
    <x v="0"/>
    <x v="0"/>
    <s v="Đã hoàn thành_x000a_已完成"/>
    <d v="2026-01-10T00:00:00"/>
    <s v="#15060"/>
    <m/>
  </r>
  <r>
    <n v="823"/>
    <s v="X1"/>
    <s v="QC"/>
    <x v="814"/>
    <s v="-"/>
    <s v="-"/>
    <s v="-"/>
    <x v="0"/>
    <x v="0"/>
    <s v="Đã hoàn thành_x000a_已完成"/>
    <d v="2026-01-10T00:00:00"/>
    <s v="#15060"/>
    <m/>
  </r>
  <r>
    <n v="824"/>
    <s v="X1"/>
    <s v="QLSX"/>
    <x v="814"/>
    <s v="-"/>
    <s v="-"/>
    <s v="-"/>
    <x v="0"/>
    <x v="0"/>
    <s v="Đã hoàn thành_x000a_已完成"/>
    <d v="2026-01-10T00:00:00"/>
    <s v="#15060"/>
    <m/>
  </r>
  <r>
    <n v="825"/>
    <s v="X2"/>
    <s v="Kế Toán"/>
    <x v="814"/>
    <s v="-"/>
    <s v="-"/>
    <s v="-"/>
    <x v="0"/>
    <x v="0"/>
    <s v="Đã hoàn thành_x000a_已完成"/>
    <d v="2026-01-10T00:00:00"/>
    <s v="#15060"/>
    <m/>
  </r>
  <r>
    <n v="826"/>
    <s v="X2"/>
    <s v="Gia Công màu"/>
    <x v="814"/>
    <s v="-"/>
    <s v="-"/>
    <s v="-"/>
    <x v="0"/>
    <x v="0"/>
    <s v="Đã hoàn thành_x000a_已完成"/>
    <d v="2026-01-10T00:00:00"/>
    <s v="#15060"/>
    <m/>
  </r>
  <r>
    <n v="827"/>
    <s v="X2"/>
    <s v="Gia Công Đen Trắng"/>
    <x v="814"/>
    <s v="-"/>
    <s v="-"/>
    <s v="-"/>
    <x v="0"/>
    <x v="0"/>
    <s v="Đã hoàn thành_x000a_已完成"/>
    <d v="2026-01-10T00:00:00"/>
    <s v="#15060"/>
    <m/>
  </r>
  <r>
    <n v="828"/>
    <s v="X5"/>
    <s v="Xưởng 5 Màu"/>
    <x v="814"/>
    <s v="-"/>
    <s v="-"/>
    <s v="-"/>
    <x v="0"/>
    <x v="0"/>
    <s v="Đã hoàn thành_x000a_已完成"/>
    <d v="2026-01-10T00:00:00"/>
    <s v="#15060"/>
    <m/>
  </r>
  <r>
    <n v="829"/>
    <s v="X5"/>
    <s v="Xưởng 5 Đen trắng"/>
    <x v="814"/>
    <s v="-"/>
    <s v="-"/>
    <s v="-"/>
    <x v="0"/>
    <x v="0"/>
    <s v="Đã hoàn thành_x000a_已完成"/>
    <d v="2026-01-10T00:00:00"/>
    <s v="#15060"/>
    <m/>
  </r>
  <r>
    <n v="830"/>
    <s v="X4"/>
    <s v="QLK TP03"/>
    <x v="814"/>
    <s v="-"/>
    <s v="-"/>
    <s v="-"/>
    <x v="0"/>
    <x v="0"/>
    <s v="Đã hoàn thành_x000a_已完成"/>
    <d v="2026-01-10T00:00:00"/>
    <s v="#15060"/>
    <m/>
  </r>
  <r>
    <n v="831"/>
    <s v="X3"/>
    <s v="FileServer"/>
    <x v="814"/>
    <s v="-"/>
    <s v="-"/>
    <s v="-"/>
    <x v="0"/>
    <x v="0"/>
    <s v="Đã hoàn thành_x000a_已完成"/>
    <d v="2026-01-10T00:00:00"/>
    <s v="#1506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AB8AD-F197-4485-8437-0CDCFD44E00D}"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2:B15" firstHeaderRow="1" firstDataRow="1" firstDataCol="1"/>
  <pivotFields count="13">
    <pivotField showAll="0"/>
    <pivotField showAll="0"/>
    <pivotField showAll="0"/>
    <pivotField showAll="0">
      <items count="816">
        <item x="4"/>
        <item x="15"/>
        <item x="8"/>
        <item x="23"/>
        <item x="345"/>
        <item x="346"/>
        <item x="347"/>
        <item x="348"/>
        <item x="349"/>
        <item x="350"/>
        <item x="351"/>
        <item x="755"/>
        <item x="756"/>
        <item x="757"/>
        <item x="768"/>
        <item x="277"/>
        <item x="566"/>
        <item x="315"/>
        <item x="32"/>
        <item x="567"/>
        <item x="316"/>
        <item x="352"/>
        <item x="689"/>
        <item x="690"/>
        <item x="774"/>
        <item x="98"/>
        <item x="665"/>
        <item x="769"/>
        <item x="477"/>
        <item x="478"/>
        <item x="479"/>
        <item x="480"/>
        <item x="481"/>
        <item x="169"/>
        <item x="482"/>
        <item x="170"/>
        <item x="99"/>
        <item x="558"/>
        <item x="559"/>
        <item x="2"/>
        <item x="26"/>
        <item x="28"/>
        <item x="29"/>
        <item x="568"/>
        <item x="317"/>
        <item x="144"/>
        <item x="134"/>
        <item x="135"/>
        <item x="136"/>
        <item x="137"/>
        <item x="138"/>
        <item x="139"/>
        <item x="140"/>
        <item x="141"/>
        <item x="142"/>
        <item x="143"/>
        <item x="171"/>
        <item x="172"/>
        <item x="173"/>
        <item x="174"/>
        <item x="175"/>
        <item x="176"/>
        <item x="177"/>
        <item x="178"/>
        <item x="179"/>
        <item x="180"/>
        <item x="181"/>
        <item x="182"/>
        <item x="183"/>
        <item x="184"/>
        <item x="526"/>
        <item x="527"/>
        <item x="528"/>
        <item x="529"/>
        <item x="530"/>
        <item x="531"/>
        <item x="532"/>
        <item x="533"/>
        <item x="534"/>
        <item x="535"/>
        <item x="536"/>
        <item x="537"/>
        <item x="538"/>
        <item x="539"/>
        <item x="540"/>
        <item x="3"/>
        <item x="541"/>
        <item x="717"/>
        <item x="718"/>
        <item x="719"/>
        <item x="720"/>
        <item x="721"/>
        <item x="722"/>
        <item x="723"/>
        <item x="724"/>
        <item x="725"/>
        <item x="726"/>
        <item x="727"/>
        <item x="728"/>
        <item x="729"/>
        <item x="730"/>
        <item x="731"/>
        <item x="775"/>
        <item x="776"/>
        <item x="777"/>
        <item x="778"/>
        <item x="779"/>
        <item x="780"/>
        <item x="781"/>
        <item x="782"/>
        <item x="783"/>
        <item x="30"/>
        <item x="691"/>
        <item x="666"/>
        <item x="100"/>
        <item x="101"/>
        <item x="102"/>
        <item x="667"/>
        <item x="770"/>
        <item x="586"/>
        <item x="587"/>
        <item x="588"/>
        <item x="589"/>
        <item x="590"/>
        <item x="591"/>
        <item x="592"/>
        <item x="593"/>
        <item x="594"/>
        <item x="595"/>
        <item x="596"/>
        <item x="597"/>
        <item x="598"/>
        <item x="599"/>
        <item x="600"/>
        <item x="601"/>
        <item x="602"/>
        <item x="31"/>
        <item x="732"/>
        <item x="801"/>
        <item x="705"/>
        <item x="103"/>
        <item x="771"/>
        <item x="104"/>
        <item x="105"/>
        <item x="24"/>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262"/>
        <item x="263"/>
        <item x="264"/>
        <item x="265"/>
        <item x="266"/>
        <item x="267"/>
        <item x="9"/>
        <item x="106"/>
        <item x="737"/>
        <item x="111"/>
        <item x="112"/>
        <item x="113"/>
        <item x="114"/>
        <item x="115"/>
        <item x="116"/>
        <item x="117"/>
        <item x="118"/>
        <item x="119"/>
        <item x="120"/>
        <item x="121"/>
        <item x="122"/>
        <item x="123"/>
        <item x="124"/>
        <item x="125"/>
        <item x="110"/>
        <item x="191"/>
        <item x="192"/>
        <item x="193"/>
        <item x="194"/>
        <item x="195"/>
        <item x="196"/>
        <item x="197"/>
        <item x="198"/>
        <item x="199"/>
        <item x="200"/>
        <item x="201"/>
        <item x="202"/>
        <item x="203"/>
        <item x="707"/>
        <item x="708"/>
        <item x="709"/>
        <item x="710"/>
        <item x="711"/>
        <item x="712"/>
        <item x="713"/>
        <item x="714"/>
        <item x="715"/>
        <item x="716"/>
        <item x="733"/>
        <item x="734"/>
        <item x="735"/>
        <item x="736"/>
        <item x="784"/>
        <item x="785"/>
        <item x="786"/>
        <item x="787"/>
        <item x="788"/>
        <item x="789"/>
        <item x="790"/>
        <item x="791"/>
        <item x="792"/>
        <item x="793"/>
        <item x="808"/>
        <item x="18"/>
        <item x="700"/>
        <item x="0"/>
        <item x="13"/>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107"/>
        <item x="1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83"/>
        <item x="484"/>
        <item x="485"/>
        <item x="486"/>
        <item x="487"/>
        <item x="488"/>
        <item x="489"/>
        <item x="490"/>
        <item x="491"/>
        <item x="492"/>
        <item x="493"/>
        <item x="494"/>
        <item x="495"/>
        <item x="363"/>
        <item x="364"/>
        <item x="365"/>
        <item x="570"/>
        <item x="571"/>
        <item x="572"/>
        <item x="573"/>
        <item x="574"/>
        <item x="575"/>
        <item x="576"/>
        <item x="577"/>
        <item x="578"/>
        <item x="579"/>
        <item x="580"/>
        <item x="581"/>
        <item x="582"/>
        <item x="583"/>
        <item x="584"/>
        <item x="585"/>
        <item x="635"/>
        <item x="636"/>
        <item x="637"/>
        <item x="638"/>
        <item x="639"/>
        <item x="640"/>
        <item x="641"/>
        <item x="642"/>
        <item x="643"/>
        <item x="644"/>
        <item x="645"/>
        <item x="646"/>
        <item x="647"/>
        <item x="648"/>
        <item x="649"/>
        <item x="650"/>
        <item x="651"/>
        <item x="652"/>
        <item x="653"/>
        <item x="654"/>
        <item x="655"/>
        <item x="656"/>
        <item x="657"/>
        <item x="658"/>
        <item x="659"/>
        <item x="660"/>
        <item x="270"/>
        <item x="271"/>
        <item x="272"/>
        <item x="273"/>
        <item x="274"/>
        <item x="275"/>
        <item x="276"/>
        <item x="569"/>
        <item x="187"/>
        <item x="188"/>
        <item x="189"/>
        <item x="190"/>
        <item x="794"/>
        <item x="795"/>
        <item x="796"/>
        <item x="797"/>
        <item x="798"/>
        <item x="799"/>
        <item x="800"/>
        <item x="12"/>
        <item x="668"/>
        <item x="772"/>
        <item x="1"/>
        <item x="151"/>
        <item x="152"/>
        <item x="153"/>
        <item x="154"/>
        <item x="155"/>
        <item x="164"/>
        <item x="165"/>
        <item x="166"/>
        <item x="167"/>
        <item x="168"/>
        <item x="25"/>
        <item x="259"/>
        <item x="260"/>
        <item x="318"/>
        <item x="319"/>
        <item x="149"/>
        <item x="802"/>
        <item x="6"/>
        <item x="738"/>
        <item x="739"/>
        <item x="740"/>
        <item x="741"/>
        <item x="742"/>
        <item x="743"/>
        <item x="744"/>
        <item x="745"/>
        <item x="746"/>
        <item x="747"/>
        <item x="748"/>
        <item x="749"/>
        <item x="750"/>
        <item x="751"/>
        <item x="752"/>
        <item x="753"/>
        <item x="669"/>
        <item x="7"/>
        <item x="19"/>
        <item x="10"/>
        <item x="17"/>
        <item x="14"/>
        <item x="27"/>
        <item x="21"/>
        <item x="20"/>
        <item x="126"/>
        <item x="127"/>
        <item x="128"/>
        <item x="129"/>
        <item x="130"/>
        <item x="131"/>
        <item x="132"/>
        <item x="133"/>
        <item x="320"/>
        <item x="321"/>
        <item x="322"/>
        <item x="323"/>
        <item x="324"/>
        <item x="325"/>
        <item x="326"/>
        <item x="327"/>
        <item x="328"/>
        <item x="329"/>
        <item x="330"/>
        <item x="331"/>
        <item x="332"/>
        <item x="333"/>
        <item x="334"/>
        <item x="335"/>
        <item x="336"/>
        <item x="22"/>
        <item x="268"/>
        <item x="269"/>
        <item x="11"/>
        <item x="814"/>
        <item x="366"/>
        <item x="500"/>
        <item x="501"/>
        <item x="502"/>
        <item x="503"/>
        <item x="504"/>
        <item x="505"/>
        <item x="506"/>
        <item x="507"/>
        <item x="508"/>
        <item x="509"/>
        <item x="510"/>
        <item x="511"/>
        <item x="512"/>
        <item x="513"/>
        <item x="514"/>
        <item x="515"/>
        <item x="516"/>
        <item x="517"/>
        <item x="518"/>
        <item x="519"/>
        <item x="520"/>
        <item x="521"/>
        <item x="522"/>
        <item x="523"/>
        <item x="524"/>
        <item x="525"/>
        <item x="75"/>
        <item x="76"/>
        <item x="77"/>
        <item x="78"/>
        <item x="79"/>
        <item x="80"/>
        <item x="81"/>
        <item x="82"/>
        <item x="83"/>
        <item x="84"/>
        <item x="85"/>
        <item x="86"/>
        <item x="87"/>
        <item x="88"/>
        <item x="108"/>
        <item x="701"/>
        <item x="702"/>
        <item x="763"/>
        <item x="764"/>
        <item x="765"/>
        <item x="766"/>
        <item x="767"/>
        <item x="661"/>
        <item x="89"/>
        <item x="90"/>
        <item x="91"/>
        <item x="92"/>
        <item x="93"/>
        <item x="94"/>
        <item x="95"/>
        <item x="96"/>
        <item x="97"/>
        <item x="703"/>
        <item x="662"/>
        <item x="663"/>
        <item x="664"/>
        <item x="692"/>
        <item x="693"/>
        <item x="694"/>
        <item x="695"/>
        <item x="696"/>
        <item x="697"/>
        <item x="698"/>
        <item x="699"/>
        <item x="758"/>
        <item x="759"/>
        <item x="760"/>
        <item x="761"/>
        <item x="762"/>
        <item x="542"/>
        <item x="543"/>
        <item x="681"/>
        <item x="809"/>
        <item x="810"/>
        <item x="811"/>
        <item x="812"/>
        <item x="813"/>
        <item x="33"/>
        <item x="34"/>
        <item x="35"/>
        <item x="36"/>
        <item x="37"/>
        <item x="38"/>
        <item x="39"/>
        <item x="560"/>
        <item x="561"/>
        <item x="562"/>
        <item x="563"/>
        <item x="564"/>
        <item x="670"/>
        <item x="565"/>
        <item x="803"/>
        <item x="5"/>
        <item x="754"/>
        <item x="261"/>
        <item x="706"/>
        <item x="145"/>
        <item x="146"/>
        <item x="147"/>
        <item x="148"/>
        <item x="150"/>
        <item x="676"/>
        <item x="677"/>
        <item x="678"/>
        <item x="679"/>
        <item x="680"/>
        <item x="156"/>
        <item x="157"/>
        <item x="158"/>
        <item x="159"/>
        <item x="160"/>
        <item x="161"/>
        <item x="162"/>
        <item x="804"/>
        <item x="805"/>
        <item x="806"/>
        <item x="807"/>
        <item x="163"/>
        <item x="773"/>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1"/>
        <item x="310"/>
        <item x="312"/>
        <item x="313"/>
        <item x="314"/>
        <item x="704"/>
        <item x="337"/>
        <item x="338"/>
        <item x="339"/>
        <item x="671"/>
        <item x="672"/>
        <item x="673"/>
        <item x="674"/>
        <item x="675"/>
        <item x="544"/>
        <item x="545"/>
        <item x="546"/>
        <item x="547"/>
        <item x="548"/>
        <item x="549"/>
        <item x="550"/>
        <item x="551"/>
        <item x="552"/>
        <item x="553"/>
        <item x="554"/>
        <item x="555"/>
        <item x="556"/>
        <item x="557"/>
        <item x="340"/>
        <item x="185"/>
        <item x="496"/>
        <item x="109"/>
        <item x="204"/>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682"/>
        <item x="683"/>
        <item x="684"/>
        <item x="685"/>
        <item x="686"/>
        <item x="687"/>
        <item x="688"/>
        <item x="186"/>
        <item x="497"/>
        <item x="498"/>
        <item x="499"/>
        <item x="205"/>
        <item x="206"/>
        <item x="207"/>
        <item x="208"/>
        <item x="209"/>
        <item x="210"/>
        <item x="211"/>
        <item x="212"/>
        <item x="353"/>
        <item x="354"/>
        <item x="355"/>
        <item x="356"/>
        <item x="357"/>
        <item x="358"/>
        <item x="359"/>
        <item x="360"/>
        <item x="361"/>
        <item x="362"/>
        <item x="341"/>
        <item x="342"/>
        <item x="343"/>
        <item x="344"/>
        <item t="default"/>
      </items>
    </pivotField>
    <pivotField showAll="0"/>
    <pivotField showAll="0"/>
    <pivotField showAll="0"/>
    <pivotField showAll="0">
      <items count="3">
        <item x="0"/>
        <item x="1"/>
        <item t="default"/>
      </items>
    </pivotField>
    <pivotField axis="axisRow" dataField="1" showAll="0">
      <items count="3">
        <item x="0"/>
        <item x="1"/>
        <item t="default"/>
      </items>
    </pivotField>
    <pivotField showAll="0"/>
    <pivotField numFmtId="166" showAll="0"/>
    <pivotField showAll="0"/>
    <pivotField showAll="0"/>
  </pivotFields>
  <rowFields count="1">
    <field x="8"/>
  </rowFields>
  <rowItems count="3">
    <i>
      <x/>
    </i>
    <i>
      <x v="1"/>
    </i>
    <i t="grand">
      <x/>
    </i>
  </rowItems>
  <colItems count="1">
    <i/>
  </colItems>
  <dataFields count="1">
    <dataField name="Count of Mở SMB2" fld="8" subtotal="count" baseField="0" baseItem="0"/>
  </dataFields>
  <chartFormats count="2">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EC406-936A-46D3-BFA3-C42116F1231E}"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3">
    <pivotField showAll="0"/>
    <pivotField showAll="0"/>
    <pivotField showAll="0"/>
    <pivotField showAll="0">
      <items count="816">
        <item x="4"/>
        <item x="15"/>
        <item x="8"/>
        <item x="23"/>
        <item x="345"/>
        <item x="346"/>
        <item x="347"/>
        <item x="348"/>
        <item x="349"/>
        <item x="350"/>
        <item x="351"/>
        <item x="755"/>
        <item x="756"/>
        <item x="757"/>
        <item x="768"/>
        <item x="277"/>
        <item x="566"/>
        <item x="315"/>
        <item x="32"/>
        <item x="567"/>
        <item x="316"/>
        <item x="352"/>
        <item x="689"/>
        <item x="690"/>
        <item x="774"/>
        <item x="98"/>
        <item x="665"/>
        <item x="769"/>
        <item x="477"/>
        <item x="478"/>
        <item x="479"/>
        <item x="480"/>
        <item x="481"/>
        <item x="169"/>
        <item x="482"/>
        <item x="170"/>
        <item x="99"/>
        <item x="558"/>
        <item x="559"/>
        <item x="2"/>
        <item x="26"/>
        <item x="28"/>
        <item x="29"/>
        <item x="568"/>
        <item x="317"/>
        <item x="144"/>
        <item x="134"/>
        <item x="135"/>
        <item x="136"/>
        <item x="137"/>
        <item x="138"/>
        <item x="139"/>
        <item x="140"/>
        <item x="141"/>
        <item x="142"/>
        <item x="143"/>
        <item x="171"/>
        <item x="172"/>
        <item x="173"/>
        <item x="174"/>
        <item x="175"/>
        <item x="176"/>
        <item x="177"/>
        <item x="178"/>
        <item x="179"/>
        <item x="180"/>
        <item x="181"/>
        <item x="182"/>
        <item x="183"/>
        <item x="184"/>
        <item x="526"/>
        <item x="527"/>
        <item x="528"/>
        <item x="529"/>
        <item x="530"/>
        <item x="531"/>
        <item x="532"/>
        <item x="533"/>
        <item x="534"/>
        <item x="535"/>
        <item x="536"/>
        <item x="537"/>
        <item x="538"/>
        <item x="539"/>
        <item x="540"/>
        <item x="3"/>
        <item x="541"/>
        <item x="717"/>
        <item x="718"/>
        <item x="719"/>
        <item x="720"/>
        <item x="721"/>
        <item x="722"/>
        <item x="723"/>
        <item x="724"/>
        <item x="725"/>
        <item x="726"/>
        <item x="727"/>
        <item x="728"/>
        <item x="729"/>
        <item x="730"/>
        <item x="731"/>
        <item x="775"/>
        <item x="776"/>
        <item x="777"/>
        <item x="778"/>
        <item x="779"/>
        <item x="780"/>
        <item x="781"/>
        <item x="782"/>
        <item x="783"/>
        <item x="30"/>
        <item x="691"/>
        <item x="666"/>
        <item x="100"/>
        <item x="101"/>
        <item x="102"/>
        <item x="667"/>
        <item x="770"/>
        <item x="586"/>
        <item x="587"/>
        <item x="588"/>
        <item x="589"/>
        <item x="590"/>
        <item x="591"/>
        <item x="592"/>
        <item x="593"/>
        <item x="594"/>
        <item x="595"/>
        <item x="596"/>
        <item x="597"/>
        <item x="598"/>
        <item x="599"/>
        <item x="600"/>
        <item x="601"/>
        <item x="602"/>
        <item x="31"/>
        <item x="732"/>
        <item x="801"/>
        <item x="705"/>
        <item x="103"/>
        <item x="771"/>
        <item x="104"/>
        <item x="105"/>
        <item x="24"/>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262"/>
        <item x="263"/>
        <item x="264"/>
        <item x="265"/>
        <item x="266"/>
        <item x="267"/>
        <item x="9"/>
        <item x="106"/>
        <item x="737"/>
        <item x="111"/>
        <item x="112"/>
        <item x="113"/>
        <item x="114"/>
        <item x="115"/>
        <item x="116"/>
        <item x="117"/>
        <item x="118"/>
        <item x="119"/>
        <item x="120"/>
        <item x="121"/>
        <item x="122"/>
        <item x="123"/>
        <item x="124"/>
        <item x="125"/>
        <item x="110"/>
        <item x="191"/>
        <item x="192"/>
        <item x="193"/>
        <item x="194"/>
        <item x="195"/>
        <item x="196"/>
        <item x="197"/>
        <item x="198"/>
        <item x="199"/>
        <item x="200"/>
        <item x="201"/>
        <item x="202"/>
        <item x="203"/>
        <item x="707"/>
        <item x="708"/>
        <item x="709"/>
        <item x="710"/>
        <item x="711"/>
        <item x="712"/>
        <item x="713"/>
        <item x="714"/>
        <item x="715"/>
        <item x="716"/>
        <item x="733"/>
        <item x="734"/>
        <item x="735"/>
        <item x="736"/>
        <item x="784"/>
        <item x="785"/>
        <item x="786"/>
        <item x="787"/>
        <item x="788"/>
        <item x="789"/>
        <item x="790"/>
        <item x="791"/>
        <item x="792"/>
        <item x="793"/>
        <item x="808"/>
        <item x="18"/>
        <item x="700"/>
        <item x="0"/>
        <item x="13"/>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107"/>
        <item x="1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83"/>
        <item x="484"/>
        <item x="485"/>
        <item x="486"/>
        <item x="487"/>
        <item x="488"/>
        <item x="489"/>
        <item x="490"/>
        <item x="491"/>
        <item x="492"/>
        <item x="493"/>
        <item x="494"/>
        <item x="495"/>
        <item x="363"/>
        <item x="364"/>
        <item x="365"/>
        <item x="570"/>
        <item x="571"/>
        <item x="572"/>
        <item x="573"/>
        <item x="574"/>
        <item x="575"/>
        <item x="576"/>
        <item x="577"/>
        <item x="578"/>
        <item x="579"/>
        <item x="580"/>
        <item x="581"/>
        <item x="582"/>
        <item x="583"/>
        <item x="584"/>
        <item x="585"/>
        <item x="635"/>
        <item x="636"/>
        <item x="637"/>
        <item x="638"/>
        <item x="639"/>
        <item x="640"/>
        <item x="641"/>
        <item x="642"/>
        <item x="643"/>
        <item x="644"/>
        <item x="645"/>
        <item x="646"/>
        <item x="647"/>
        <item x="648"/>
        <item x="649"/>
        <item x="650"/>
        <item x="651"/>
        <item x="652"/>
        <item x="653"/>
        <item x="654"/>
        <item x="655"/>
        <item x="656"/>
        <item x="657"/>
        <item x="658"/>
        <item x="659"/>
        <item x="660"/>
        <item x="270"/>
        <item x="271"/>
        <item x="272"/>
        <item x="273"/>
        <item x="274"/>
        <item x="275"/>
        <item x="276"/>
        <item x="569"/>
        <item x="187"/>
        <item x="188"/>
        <item x="189"/>
        <item x="190"/>
        <item x="794"/>
        <item x="795"/>
        <item x="796"/>
        <item x="797"/>
        <item x="798"/>
        <item x="799"/>
        <item x="800"/>
        <item x="12"/>
        <item x="668"/>
        <item x="772"/>
        <item x="1"/>
        <item x="151"/>
        <item x="152"/>
        <item x="153"/>
        <item x="154"/>
        <item x="155"/>
        <item x="164"/>
        <item x="165"/>
        <item x="166"/>
        <item x="167"/>
        <item x="168"/>
        <item x="25"/>
        <item x="259"/>
        <item x="260"/>
        <item x="318"/>
        <item x="319"/>
        <item x="149"/>
        <item x="802"/>
        <item x="6"/>
        <item x="738"/>
        <item x="739"/>
        <item x="740"/>
        <item x="741"/>
        <item x="742"/>
        <item x="743"/>
        <item x="744"/>
        <item x="745"/>
        <item x="746"/>
        <item x="747"/>
        <item x="748"/>
        <item x="749"/>
        <item x="750"/>
        <item x="751"/>
        <item x="752"/>
        <item x="753"/>
        <item x="669"/>
        <item x="7"/>
        <item x="19"/>
        <item x="10"/>
        <item x="17"/>
        <item x="14"/>
        <item x="27"/>
        <item x="21"/>
        <item x="20"/>
        <item x="126"/>
        <item x="127"/>
        <item x="128"/>
        <item x="129"/>
        <item x="130"/>
        <item x="131"/>
        <item x="132"/>
        <item x="133"/>
        <item x="320"/>
        <item x="321"/>
        <item x="322"/>
        <item x="323"/>
        <item x="324"/>
        <item x="325"/>
        <item x="326"/>
        <item x="327"/>
        <item x="328"/>
        <item x="329"/>
        <item x="330"/>
        <item x="331"/>
        <item x="332"/>
        <item x="333"/>
        <item x="334"/>
        <item x="335"/>
        <item x="336"/>
        <item x="22"/>
        <item x="268"/>
        <item x="269"/>
        <item x="11"/>
        <item x="814"/>
        <item x="366"/>
        <item x="500"/>
        <item x="501"/>
        <item x="502"/>
        <item x="503"/>
        <item x="504"/>
        <item x="505"/>
        <item x="506"/>
        <item x="507"/>
        <item x="508"/>
        <item x="509"/>
        <item x="510"/>
        <item x="511"/>
        <item x="512"/>
        <item x="513"/>
        <item x="514"/>
        <item x="515"/>
        <item x="516"/>
        <item x="517"/>
        <item x="518"/>
        <item x="519"/>
        <item x="520"/>
        <item x="521"/>
        <item x="522"/>
        <item x="523"/>
        <item x="524"/>
        <item x="525"/>
        <item x="75"/>
        <item x="76"/>
        <item x="77"/>
        <item x="78"/>
        <item x="79"/>
        <item x="80"/>
        <item x="81"/>
        <item x="82"/>
        <item x="83"/>
        <item x="84"/>
        <item x="85"/>
        <item x="86"/>
        <item x="87"/>
        <item x="88"/>
        <item x="108"/>
        <item x="701"/>
        <item x="702"/>
        <item x="763"/>
        <item x="764"/>
        <item x="765"/>
        <item x="766"/>
        <item x="767"/>
        <item x="661"/>
        <item x="89"/>
        <item x="90"/>
        <item x="91"/>
        <item x="92"/>
        <item x="93"/>
        <item x="94"/>
        <item x="95"/>
        <item x="96"/>
        <item x="97"/>
        <item x="703"/>
        <item x="662"/>
        <item x="663"/>
        <item x="664"/>
        <item x="692"/>
        <item x="693"/>
        <item x="694"/>
        <item x="695"/>
        <item x="696"/>
        <item x="697"/>
        <item x="698"/>
        <item x="699"/>
        <item x="758"/>
        <item x="759"/>
        <item x="760"/>
        <item x="761"/>
        <item x="762"/>
        <item x="542"/>
        <item x="543"/>
        <item x="681"/>
        <item x="809"/>
        <item x="810"/>
        <item x="811"/>
        <item x="812"/>
        <item x="813"/>
        <item x="33"/>
        <item x="34"/>
        <item x="35"/>
        <item x="36"/>
        <item x="37"/>
        <item x="38"/>
        <item x="39"/>
        <item x="560"/>
        <item x="561"/>
        <item x="562"/>
        <item x="563"/>
        <item x="564"/>
        <item x="670"/>
        <item x="565"/>
        <item x="803"/>
        <item x="5"/>
        <item x="754"/>
        <item x="261"/>
        <item x="706"/>
        <item x="145"/>
        <item x="146"/>
        <item x="147"/>
        <item x="148"/>
        <item x="150"/>
        <item x="676"/>
        <item x="677"/>
        <item x="678"/>
        <item x="679"/>
        <item x="680"/>
        <item x="156"/>
        <item x="157"/>
        <item x="158"/>
        <item x="159"/>
        <item x="160"/>
        <item x="161"/>
        <item x="162"/>
        <item x="804"/>
        <item x="805"/>
        <item x="806"/>
        <item x="807"/>
        <item x="163"/>
        <item x="773"/>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1"/>
        <item x="310"/>
        <item x="312"/>
        <item x="313"/>
        <item x="314"/>
        <item x="704"/>
        <item x="337"/>
        <item x="338"/>
        <item x="339"/>
        <item x="671"/>
        <item x="672"/>
        <item x="673"/>
        <item x="674"/>
        <item x="675"/>
        <item x="544"/>
        <item x="545"/>
        <item x="546"/>
        <item x="547"/>
        <item x="548"/>
        <item x="549"/>
        <item x="550"/>
        <item x="551"/>
        <item x="552"/>
        <item x="553"/>
        <item x="554"/>
        <item x="555"/>
        <item x="556"/>
        <item x="557"/>
        <item x="340"/>
        <item x="185"/>
        <item x="496"/>
        <item x="109"/>
        <item x="204"/>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682"/>
        <item x="683"/>
        <item x="684"/>
        <item x="685"/>
        <item x="686"/>
        <item x="687"/>
        <item x="688"/>
        <item x="186"/>
        <item x="497"/>
        <item x="498"/>
        <item x="499"/>
        <item x="205"/>
        <item x="206"/>
        <item x="207"/>
        <item x="208"/>
        <item x="209"/>
        <item x="210"/>
        <item x="211"/>
        <item x="212"/>
        <item x="353"/>
        <item x="354"/>
        <item x="355"/>
        <item x="356"/>
        <item x="357"/>
        <item x="358"/>
        <item x="359"/>
        <item x="360"/>
        <item x="361"/>
        <item x="362"/>
        <item x="341"/>
        <item x="342"/>
        <item x="343"/>
        <item x="344"/>
        <item t="default"/>
      </items>
    </pivotField>
    <pivotField showAll="0"/>
    <pivotField showAll="0"/>
    <pivotField showAll="0"/>
    <pivotField axis="axisRow" dataField="1" showAll="0">
      <items count="3">
        <item x="0"/>
        <item x="1"/>
        <item t="default"/>
      </items>
    </pivotField>
    <pivotField showAll="0"/>
    <pivotField showAll="0"/>
    <pivotField numFmtId="166" showAll="0"/>
    <pivotField showAll="0"/>
    <pivotField showAll="0"/>
  </pivotFields>
  <rowFields count="1">
    <field x="7"/>
  </rowFields>
  <rowItems count="3">
    <i>
      <x/>
    </i>
    <i>
      <x v="1"/>
    </i>
    <i t="grand">
      <x/>
    </i>
  </rowItems>
  <colItems count="1">
    <i/>
  </colItems>
  <dataFields count="1">
    <dataField name="Count of Khóa SMB1" fld="7" subtotal="count" baseField="0" baseItem="0"/>
  </dataFields>
  <chartFormats count="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C19"/>
  <sheetViews>
    <sheetView showGridLines="0" showRuler="0" zoomScale="55" zoomScaleNormal="55" zoomScalePageLayoutView="70" workbookViewId="0">
      <pane ySplit="6" topLeftCell="A7" activePane="bottomLeft" state="frozen"/>
      <selection pane="bottomLeft" activeCell="O7" sqref="O7"/>
    </sheetView>
  </sheetViews>
  <sheetFormatPr defaultColWidth="9" defaultRowHeight="30" customHeight="1"/>
  <cols>
    <col min="1" max="1" width="5.42578125" style="12" customWidth="1"/>
    <col min="2" max="2" width="72.7109375" style="13" customWidth="1"/>
    <col min="3" max="3" width="16.28515625" customWidth="1"/>
    <col min="4" max="4" width="14.85546875" customWidth="1"/>
    <col min="5" max="5" width="16.5703125" style="14" customWidth="1"/>
    <col min="6" max="7" width="16.5703125" customWidth="1"/>
    <col min="8" max="8" width="12.7109375" customWidth="1"/>
    <col min="9" max="9" width="4.42578125" hidden="1" customWidth="1"/>
    <col min="10" max="12" width="5.85546875" hidden="1" customWidth="1"/>
    <col min="13" max="55" width="5.85546875" customWidth="1"/>
  </cols>
  <sheetData>
    <row r="1" spans="1:55" ht="46.15" customHeight="1">
      <c r="A1" s="51" t="s">
        <v>0</v>
      </c>
      <c r="B1" s="112" t="s">
        <v>2314</v>
      </c>
      <c r="C1" s="112"/>
      <c r="D1" s="112"/>
      <c r="E1" s="112"/>
      <c r="F1" s="112"/>
      <c r="G1" s="112"/>
      <c r="H1" s="57"/>
      <c r="I1" s="58"/>
      <c r="J1" s="59"/>
      <c r="K1" s="2"/>
      <c r="L1" s="2"/>
      <c r="M1" s="2"/>
      <c r="N1" s="2"/>
      <c r="O1" s="2"/>
      <c r="P1" s="2"/>
      <c r="Q1" s="2"/>
      <c r="R1" s="2"/>
      <c r="S1" s="2"/>
      <c r="T1" s="2"/>
      <c r="U1" s="2"/>
      <c r="V1" s="2"/>
      <c r="W1" s="2"/>
      <c r="X1" s="2"/>
      <c r="Y1" s="2"/>
      <c r="Z1" s="2"/>
    </row>
    <row r="2" spans="1:55" ht="24.6" customHeight="1">
      <c r="A2" s="60" t="s">
        <v>1</v>
      </c>
      <c r="B2" s="112"/>
      <c r="C2" s="112"/>
      <c r="D2" s="112"/>
      <c r="E2" s="112"/>
      <c r="F2" s="112"/>
      <c r="G2" s="112"/>
      <c r="H2" s="57"/>
      <c r="I2" s="2"/>
      <c r="J2" s="61"/>
      <c r="K2" s="2"/>
      <c r="L2" s="2"/>
      <c r="M2" s="2"/>
      <c r="N2" s="2"/>
      <c r="O2" s="2"/>
      <c r="P2" s="2"/>
      <c r="Q2" s="2"/>
      <c r="R2" s="2"/>
      <c r="S2" s="2"/>
      <c r="T2" s="2"/>
      <c r="U2" s="2"/>
      <c r="V2" s="2"/>
      <c r="W2" s="2"/>
      <c r="X2" s="2"/>
      <c r="Y2" s="2"/>
      <c r="Z2" s="2"/>
    </row>
    <row r="3" spans="1:55" ht="15" customHeight="1">
      <c r="A3" s="60" t="s">
        <v>2</v>
      </c>
      <c r="B3" s="62"/>
      <c r="C3" s="63" t="s">
        <v>3</v>
      </c>
      <c r="D3" s="64"/>
      <c r="E3" s="65">
        <v>46024</v>
      </c>
      <c r="F3" s="2"/>
      <c r="G3" s="66"/>
      <c r="H3" s="67"/>
      <c r="I3" s="2"/>
      <c r="J3" s="2"/>
      <c r="K3" s="2"/>
      <c r="L3" s="2"/>
      <c r="M3" s="2"/>
      <c r="N3" s="2"/>
      <c r="O3" s="2"/>
      <c r="P3" s="2"/>
      <c r="Q3" s="2"/>
      <c r="R3" s="2"/>
      <c r="S3" s="2"/>
      <c r="T3" s="2"/>
      <c r="U3" s="2"/>
      <c r="V3" s="2"/>
      <c r="W3" s="2"/>
      <c r="X3" s="2"/>
      <c r="Y3" s="2"/>
      <c r="Z3" s="2"/>
    </row>
    <row r="4" spans="1:55" ht="17.45" customHeight="1">
      <c r="A4" s="51" t="s">
        <v>4</v>
      </c>
      <c r="B4" s="68"/>
      <c r="C4" s="63" t="s">
        <v>5</v>
      </c>
      <c r="D4" s="64"/>
      <c r="E4" s="69">
        <v>1</v>
      </c>
      <c r="F4" s="2"/>
      <c r="G4" s="2"/>
      <c r="H4" s="2"/>
      <c r="I4" s="2"/>
      <c r="J4" s="109">
        <f>J5</f>
        <v>46020</v>
      </c>
      <c r="K4" s="110"/>
      <c r="L4" s="110"/>
      <c r="M4" s="110"/>
      <c r="N4" s="110"/>
      <c r="O4" s="110"/>
      <c r="P4" s="110"/>
      <c r="Q4" s="110"/>
      <c r="R4" s="110"/>
      <c r="S4" s="110"/>
      <c r="T4" s="110"/>
      <c r="U4" s="110"/>
      <c r="V4" s="110"/>
      <c r="W4" s="110"/>
      <c r="X4" s="110"/>
      <c r="Y4" s="110"/>
      <c r="Z4" s="110"/>
    </row>
    <row r="5" spans="1:55" ht="15" customHeight="1">
      <c r="A5" s="51" t="s">
        <v>6</v>
      </c>
      <c r="B5" s="70"/>
      <c r="C5" s="70"/>
      <c r="D5" s="70"/>
      <c r="E5" s="70"/>
      <c r="F5" s="70"/>
      <c r="G5" s="70"/>
      <c r="H5" s="2"/>
      <c r="I5" s="2"/>
      <c r="J5" s="71">
        <f>Project_Start-WEEKDAY(Project_Start,1)+2+7*(Display_Week-1)</f>
        <v>46020</v>
      </c>
      <c r="K5" s="71">
        <f>J5+1</f>
        <v>46021</v>
      </c>
      <c r="L5" s="71">
        <f t="shared" ref="L5:Z5" si="0">K5+1</f>
        <v>46022</v>
      </c>
      <c r="M5" s="71">
        <f>L5+1</f>
        <v>46023</v>
      </c>
      <c r="N5" s="71">
        <f t="shared" si="0"/>
        <v>46024</v>
      </c>
      <c r="O5" s="71">
        <f t="shared" si="0"/>
        <v>46025</v>
      </c>
      <c r="P5" s="72">
        <f t="shared" si="0"/>
        <v>46026</v>
      </c>
      <c r="Q5" s="71">
        <f t="shared" si="0"/>
        <v>46027</v>
      </c>
      <c r="R5" s="71">
        <f t="shared" si="0"/>
        <v>46028</v>
      </c>
      <c r="S5" s="71">
        <f t="shared" ref="S5" si="1">R5+1</f>
        <v>46029</v>
      </c>
      <c r="T5" s="71">
        <f t="shared" ref="T5" si="2">S5+1</f>
        <v>46030</v>
      </c>
      <c r="U5" s="71">
        <f t="shared" si="0"/>
        <v>46031</v>
      </c>
      <c r="V5" s="71">
        <f t="shared" si="0"/>
        <v>46032</v>
      </c>
      <c r="W5" s="72">
        <f t="shared" si="0"/>
        <v>46033</v>
      </c>
      <c r="X5" s="71">
        <f t="shared" si="0"/>
        <v>46034</v>
      </c>
      <c r="Y5" s="71">
        <f t="shared" si="0"/>
        <v>46035</v>
      </c>
      <c r="Z5" s="72">
        <f t="shared" si="0"/>
        <v>46036</v>
      </c>
      <c r="AA5" s="71">
        <f t="shared" ref="AA5" si="3">Z5+1</f>
        <v>46037</v>
      </c>
      <c r="AB5" s="71">
        <f t="shared" ref="AB5" si="4">AA5+1</f>
        <v>46038</v>
      </c>
      <c r="AC5" s="71">
        <f t="shared" ref="AC5" si="5">AB5+1</f>
        <v>46039</v>
      </c>
      <c r="AD5" s="71">
        <f t="shared" ref="AD5" si="6">AC5+1</f>
        <v>46040</v>
      </c>
      <c r="AE5" s="71">
        <f t="shared" ref="AE5" si="7">AD5+1</f>
        <v>46041</v>
      </c>
      <c r="AF5" s="71">
        <f t="shared" ref="AF5" si="8">AE5+1</f>
        <v>46042</v>
      </c>
      <c r="AG5" s="71">
        <f t="shared" ref="AG5" si="9">AF5+1</f>
        <v>46043</v>
      </c>
      <c r="AH5" s="71">
        <f t="shared" ref="AH5" si="10">AG5+1</f>
        <v>46044</v>
      </c>
      <c r="AI5" s="71">
        <f t="shared" ref="AI5" si="11">AH5+1</f>
        <v>46045</v>
      </c>
      <c r="AJ5" s="71">
        <f t="shared" ref="AJ5" si="12">AI5+1</f>
        <v>46046</v>
      </c>
      <c r="AK5" s="71">
        <f t="shared" ref="AK5" si="13">AJ5+1</f>
        <v>46047</v>
      </c>
      <c r="AL5" s="71">
        <f t="shared" ref="AL5" si="14">AK5+1</f>
        <v>46048</v>
      </c>
      <c r="AM5" s="71">
        <f t="shared" ref="AM5" si="15">AL5+1</f>
        <v>46049</v>
      </c>
      <c r="AN5" s="71">
        <f t="shared" ref="AN5" si="16">AM5+1</f>
        <v>46050</v>
      </c>
      <c r="AO5" s="71">
        <f t="shared" ref="AO5" si="17">AN5+1</f>
        <v>46051</v>
      </c>
      <c r="AP5" s="71">
        <f t="shared" ref="AP5" si="18">AO5+1</f>
        <v>46052</v>
      </c>
      <c r="AQ5" s="71">
        <f t="shared" ref="AQ5" si="19">AP5+1</f>
        <v>46053</v>
      </c>
      <c r="AR5" s="71">
        <f t="shared" ref="AR5" si="20">AQ5+1</f>
        <v>46054</v>
      </c>
      <c r="AS5" s="71">
        <f t="shared" ref="AS5" si="21">AR5+1</f>
        <v>46055</v>
      </c>
      <c r="AT5" s="71">
        <f t="shared" ref="AT5" si="22">AS5+1</f>
        <v>46056</v>
      </c>
      <c r="AU5" s="71">
        <f t="shared" ref="AU5" si="23">AT5+1</f>
        <v>46057</v>
      </c>
      <c r="AV5" s="71">
        <f t="shared" ref="AV5" si="24">AU5+1</f>
        <v>46058</v>
      </c>
      <c r="AW5" s="71">
        <f t="shared" ref="AW5" si="25">AV5+1</f>
        <v>46059</v>
      </c>
      <c r="AX5" s="71">
        <f t="shared" ref="AX5" si="26">AW5+1</f>
        <v>46060</v>
      </c>
      <c r="AY5" s="72">
        <f t="shared" ref="AY5" si="27">AX5+1</f>
        <v>46061</v>
      </c>
      <c r="AZ5" s="71">
        <f t="shared" ref="AZ5" si="28">AY5+1</f>
        <v>46062</v>
      </c>
      <c r="BA5" s="71">
        <f t="shared" ref="BA5" si="29">AZ5+1</f>
        <v>46063</v>
      </c>
      <c r="BB5" s="71">
        <f t="shared" ref="BB5" si="30">BA5+1</f>
        <v>46064</v>
      </c>
      <c r="BC5" s="71">
        <f t="shared" ref="BC5" si="31">BB5+1</f>
        <v>46065</v>
      </c>
    </row>
    <row r="6" spans="1:55" ht="60" customHeight="1" thickBot="1">
      <c r="A6" s="73" t="s">
        <v>2260</v>
      </c>
      <c r="B6" s="74" t="s">
        <v>2261</v>
      </c>
      <c r="C6" s="74" t="s">
        <v>2262</v>
      </c>
      <c r="D6" s="74" t="s">
        <v>2264</v>
      </c>
      <c r="E6" s="74" t="s">
        <v>2265</v>
      </c>
      <c r="F6" s="74" t="s">
        <v>2266</v>
      </c>
      <c r="G6" s="75" t="s">
        <v>2267</v>
      </c>
      <c r="H6" s="74" t="s">
        <v>2268</v>
      </c>
      <c r="I6" s="76" t="s">
        <v>7</v>
      </c>
      <c r="J6" s="77" t="str">
        <f>LEFT(TEXT(J5,"ddd"),3)</f>
        <v>T2</v>
      </c>
      <c r="K6" s="78" t="str">
        <f t="shared" ref="K6:Y6" si="32">LEFT(TEXT(K5,"ddd"),3)</f>
        <v>T3</v>
      </c>
      <c r="L6" s="78" t="str">
        <f t="shared" si="32"/>
        <v>T4</v>
      </c>
      <c r="M6" s="78" t="str">
        <f t="shared" si="32"/>
        <v>T5</v>
      </c>
      <c r="N6" s="78" t="str">
        <f t="shared" si="32"/>
        <v>T6</v>
      </c>
      <c r="O6" s="78" t="str">
        <f t="shared" si="32"/>
        <v>T7</v>
      </c>
      <c r="P6" s="79" t="str">
        <f t="shared" ref="P6" si="33">LEFT(TEXT(P5,"ddd"),3)</f>
        <v>CN</v>
      </c>
      <c r="Q6" s="78" t="str">
        <f t="shared" si="32"/>
        <v>T2</v>
      </c>
      <c r="R6" s="78" t="str">
        <f t="shared" si="32"/>
        <v>T3</v>
      </c>
      <c r="S6" s="78" t="str">
        <f t="shared" ref="S6:T6" si="34">LEFT(TEXT(S5,"ddd"),3)</f>
        <v>T4</v>
      </c>
      <c r="T6" s="78" t="str">
        <f t="shared" si="34"/>
        <v>T5</v>
      </c>
      <c r="U6" s="80" t="str">
        <f t="shared" si="32"/>
        <v>T6</v>
      </c>
      <c r="V6" s="80" t="str">
        <f t="shared" si="32"/>
        <v>T7</v>
      </c>
      <c r="W6" s="79" t="str">
        <f t="shared" si="32"/>
        <v>CN</v>
      </c>
      <c r="X6" s="80" t="str">
        <f t="shared" si="32"/>
        <v>T2</v>
      </c>
      <c r="Y6" s="80" t="str">
        <f t="shared" si="32"/>
        <v>T3</v>
      </c>
      <c r="Z6" s="79" t="str">
        <f t="shared" ref="Z6:AB6" si="35">LEFT(TEXT(Z5,"ddd"),3)</f>
        <v>T4</v>
      </c>
      <c r="AA6" s="80" t="str">
        <f t="shared" si="35"/>
        <v>T5</v>
      </c>
      <c r="AB6" s="80" t="str">
        <f t="shared" si="35"/>
        <v>T6</v>
      </c>
      <c r="AC6" s="79" t="str">
        <f t="shared" ref="AC6:AI6" si="36">LEFT(TEXT(AC5,"ddd"),3)</f>
        <v>T7</v>
      </c>
      <c r="AD6" s="79" t="str">
        <f t="shared" si="36"/>
        <v>CN</v>
      </c>
      <c r="AE6" s="80" t="str">
        <f t="shared" si="36"/>
        <v>T2</v>
      </c>
      <c r="AF6" s="80" t="str">
        <f t="shared" si="36"/>
        <v>T3</v>
      </c>
      <c r="AG6" s="80" t="str">
        <f t="shared" si="36"/>
        <v>T4</v>
      </c>
      <c r="AH6" s="80" t="str">
        <f t="shared" si="36"/>
        <v>T5</v>
      </c>
      <c r="AI6" s="80" t="str">
        <f t="shared" si="36"/>
        <v>T6</v>
      </c>
      <c r="AJ6" s="80" t="str">
        <f t="shared" ref="AJ6:BC6" si="37">LEFT(TEXT(AJ5,"ddd"),3)</f>
        <v>T7</v>
      </c>
      <c r="AK6" s="79" t="str">
        <f t="shared" si="37"/>
        <v>CN</v>
      </c>
      <c r="AL6" s="80" t="str">
        <f t="shared" si="37"/>
        <v>T2</v>
      </c>
      <c r="AM6" s="80" t="str">
        <f t="shared" si="37"/>
        <v>T3</v>
      </c>
      <c r="AN6" s="80" t="str">
        <f t="shared" si="37"/>
        <v>T4</v>
      </c>
      <c r="AO6" s="80" t="str">
        <f t="shared" si="37"/>
        <v>T5</v>
      </c>
      <c r="AP6" s="80" t="str">
        <f t="shared" si="37"/>
        <v>T6</v>
      </c>
      <c r="AQ6" s="79" t="str">
        <f t="shared" si="37"/>
        <v>T7</v>
      </c>
      <c r="AR6" s="79" t="str">
        <f t="shared" si="37"/>
        <v>CN</v>
      </c>
      <c r="AS6" s="80" t="str">
        <f t="shared" si="37"/>
        <v>T2</v>
      </c>
      <c r="AT6" s="80" t="str">
        <f t="shared" si="37"/>
        <v>T3</v>
      </c>
      <c r="AU6" s="80" t="str">
        <f t="shared" si="37"/>
        <v>T4</v>
      </c>
      <c r="AV6" s="80" t="str">
        <f t="shared" si="37"/>
        <v>T5</v>
      </c>
      <c r="AW6" s="80" t="str">
        <f t="shared" si="37"/>
        <v>T6</v>
      </c>
      <c r="AX6" s="80" t="str">
        <f t="shared" si="37"/>
        <v>T7</v>
      </c>
      <c r="AY6" s="79" t="str">
        <f t="shared" si="37"/>
        <v>CN</v>
      </c>
      <c r="AZ6" s="80" t="str">
        <f t="shared" si="37"/>
        <v>T2</v>
      </c>
      <c r="BA6" s="80" t="str">
        <f t="shared" si="37"/>
        <v>T3</v>
      </c>
      <c r="BB6" s="80" t="str">
        <f t="shared" si="37"/>
        <v>T4</v>
      </c>
      <c r="BC6" s="80" t="str">
        <f t="shared" si="37"/>
        <v>T5</v>
      </c>
    </row>
    <row r="7" spans="1:55" s="11" customFormat="1" ht="43.15" customHeight="1" thickBot="1">
      <c r="A7" s="81">
        <v>1</v>
      </c>
      <c r="B7" s="82" t="s">
        <v>2269</v>
      </c>
      <c r="C7" s="83" t="s">
        <v>1587</v>
      </c>
      <c r="D7" s="84">
        <v>1</v>
      </c>
      <c r="E7" s="85">
        <v>46024</v>
      </c>
      <c r="F7" s="85">
        <v>46025</v>
      </c>
      <c r="G7" s="86"/>
      <c r="H7" s="87"/>
      <c r="I7" s="88" t="str">
        <f t="shared" ref="I7:I16" si="38">IF(OR(ISBLANK(task_start),ISBLANK(task_end)),"",task_end-task_start+1)</f>
        <v/>
      </c>
      <c r="J7" s="89"/>
      <c r="K7" s="89"/>
      <c r="L7" s="89"/>
      <c r="M7" s="89"/>
      <c r="N7" s="89"/>
      <c r="O7" s="89"/>
      <c r="P7" s="90"/>
      <c r="Q7" s="89"/>
      <c r="R7" s="89"/>
      <c r="S7" s="89"/>
      <c r="T7" s="89"/>
      <c r="U7" s="89"/>
      <c r="V7" s="89"/>
      <c r="W7" s="90"/>
      <c r="X7" s="89"/>
      <c r="Y7" s="89"/>
      <c r="Z7" s="90"/>
      <c r="AA7" s="89"/>
      <c r="AB7" s="89"/>
      <c r="AC7" s="90"/>
      <c r="AD7" s="90"/>
      <c r="AE7" s="89"/>
      <c r="AF7" s="89"/>
      <c r="AG7" s="89"/>
      <c r="AH7" s="89"/>
      <c r="AI7" s="89"/>
      <c r="AJ7" s="89"/>
      <c r="AK7" s="90"/>
      <c r="AL7" s="89"/>
      <c r="AM7" s="89"/>
      <c r="AN7" s="89"/>
      <c r="AO7" s="89"/>
      <c r="AP7" s="89"/>
      <c r="AQ7" s="90"/>
      <c r="AR7" s="90"/>
      <c r="AS7" s="89"/>
      <c r="AT7" s="89"/>
      <c r="AU7" s="89"/>
      <c r="AV7" s="89"/>
      <c r="AW7" s="89"/>
      <c r="AX7" s="89"/>
      <c r="AY7" s="90"/>
      <c r="AZ7" s="89"/>
      <c r="BA7" s="89"/>
      <c r="BB7" s="89"/>
      <c r="BC7" s="89"/>
    </row>
    <row r="8" spans="1:55" s="11" customFormat="1" ht="43.15" customHeight="1" thickBot="1">
      <c r="A8" s="81">
        <v>2</v>
      </c>
      <c r="B8" s="82" t="s">
        <v>2307</v>
      </c>
      <c r="C8" s="83" t="s">
        <v>9</v>
      </c>
      <c r="D8" s="102">
        <f>COUNTIFS(Total!J:J, "Đã hoàn thành
已完成", Total!B:B, "X6")/H8</f>
        <v>1</v>
      </c>
      <c r="E8" s="85">
        <v>46027</v>
      </c>
      <c r="F8" s="85">
        <v>46032</v>
      </c>
      <c r="G8" s="86"/>
      <c r="H8" s="87">
        <f>COUNTIF(Total!B:B, "X6")</f>
        <v>65</v>
      </c>
      <c r="I8" s="88" t="str">
        <f t="shared" si="38"/>
        <v/>
      </c>
      <c r="J8" s="89"/>
      <c r="K8" s="89"/>
      <c r="L8" s="89"/>
      <c r="M8" s="89"/>
      <c r="N8" s="89"/>
      <c r="O8" s="89"/>
      <c r="P8" s="90"/>
      <c r="Q8" s="89"/>
      <c r="R8" s="89"/>
      <c r="S8" s="89"/>
      <c r="T8" s="89"/>
      <c r="U8" s="89"/>
      <c r="V8" s="89"/>
      <c r="W8" s="90"/>
      <c r="X8" s="89"/>
      <c r="Y8" s="89"/>
      <c r="Z8" s="90"/>
      <c r="AA8" s="89"/>
      <c r="AB8" s="89"/>
      <c r="AC8" s="90"/>
      <c r="AD8" s="90"/>
      <c r="AE8" s="89"/>
      <c r="AF8" s="89"/>
      <c r="AG8" s="89"/>
      <c r="AH8" s="89"/>
      <c r="AI8" s="89"/>
      <c r="AJ8" s="89"/>
      <c r="AK8" s="90"/>
      <c r="AL8" s="89"/>
      <c r="AM8" s="89"/>
      <c r="AN8" s="89"/>
      <c r="AO8" s="89"/>
      <c r="AP8" s="89"/>
      <c r="AQ8" s="90"/>
      <c r="AR8" s="90"/>
      <c r="AS8" s="89"/>
      <c r="AT8" s="89"/>
      <c r="AU8" s="89"/>
      <c r="AV8" s="89"/>
      <c r="AW8" s="89"/>
      <c r="AX8" s="89"/>
      <c r="AY8" s="90"/>
      <c r="AZ8" s="89"/>
      <c r="BA8" s="89"/>
      <c r="BB8" s="89"/>
      <c r="BC8" s="89"/>
    </row>
    <row r="9" spans="1:55" s="11" customFormat="1" ht="43.15" customHeight="1" thickBot="1">
      <c r="A9" s="81">
        <v>3</v>
      </c>
      <c r="B9" s="82" t="s">
        <v>2308</v>
      </c>
      <c r="C9" s="83" t="s">
        <v>9</v>
      </c>
      <c r="D9" s="102">
        <f>COUNTIFS(Total!J:J, "Đã hoàn thành
已完成", Total!B:B, "X1")/H9</f>
        <v>1</v>
      </c>
      <c r="E9" s="85">
        <v>46027</v>
      </c>
      <c r="F9" s="85">
        <v>46032</v>
      </c>
      <c r="G9" s="86"/>
      <c r="H9" s="87">
        <f>COUNTIF(Total!B:B, "X1")</f>
        <v>126</v>
      </c>
      <c r="I9" s="88" t="str">
        <f t="shared" si="38"/>
        <v/>
      </c>
      <c r="J9" s="89"/>
      <c r="K9" s="89"/>
      <c r="L9" s="89"/>
      <c r="M9" s="89"/>
      <c r="N9" s="89"/>
      <c r="O9" s="89"/>
      <c r="P9" s="90"/>
      <c r="Q9" s="89"/>
      <c r="R9" s="89"/>
      <c r="S9" s="89"/>
      <c r="T9" s="89"/>
      <c r="U9" s="89"/>
      <c r="V9" s="89"/>
      <c r="W9" s="90"/>
      <c r="X9" s="89"/>
      <c r="Y9" s="89"/>
      <c r="Z9" s="90"/>
      <c r="AA9" s="89"/>
      <c r="AB9" s="89"/>
      <c r="AC9" s="90"/>
      <c r="AD9" s="90"/>
      <c r="AE9" s="89"/>
      <c r="AF9" s="89"/>
      <c r="AG9" s="89"/>
      <c r="AH9" s="89"/>
      <c r="AI9" s="89"/>
      <c r="AJ9" s="89"/>
      <c r="AK9" s="90"/>
      <c r="AL9" s="89"/>
      <c r="AM9" s="89"/>
      <c r="AN9" s="89"/>
      <c r="AO9" s="89"/>
      <c r="AP9" s="89"/>
      <c r="AQ9" s="90"/>
      <c r="AR9" s="90"/>
      <c r="AS9" s="89"/>
      <c r="AT9" s="89"/>
      <c r="AU9" s="89"/>
      <c r="AV9" s="89"/>
      <c r="AW9" s="89"/>
      <c r="AX9" s="89"/>
      <c r="AY9" s="90"/>
      <c r="AZ9" s="89"/>
      <c r="BA9" s="89"/>
      <c r="BB9" s="89"/>
      <c r="BC9" s="89"/>
    </row>
    <row r="10" spans="1:55" s="11" customFormat="1" ht="43.15" customHeight="1" thickBot="1">
      <c r="A10" s="81">
        <v>4</v>
      </c>
      <c r="B10" s="82" t="s">
        <v>2309</v>
      </c>
      <c r="C10" s="83" t="s">
        <v>9</v>
      </c>
      <c r="D10" s="102">
        <f>COUNTIFS(Total!J:J,"Đã hoàn thành
已完成",Total!B:B,"X3")/H10</f>
        <v>1</v>
      </c>
      <c r="E10" s="85">
        <v>46034</v>
      </c>
      <c r="F10" s="85">
        <v>46038</v>
      </c>
      <c r="G10" s="86"/>
      <c r="H10" s="87">
        <f>COUNTIF(Total!B:B, "X3")</f>
        <v>248</v>
      </c>
      <c r="I10" s="88"/>
      <c r="J10" s="89"/>
      <c r="K10" s="89"/>
      <c r="L10" s="89"/>
      <c r="M10" s="89"/>
      <c r="N10" s="89"/>
      <c r="O10" s="89"/>
      <c r="P10" s="90"/>
      <c r="Q10" s="89"/>
      <c r="R10" s="89"/>
      <c r="S10" s="89"/>
      <c r="T10" s="89"/>
      <c r="U10" s="89"/>
      <c r="V10" s="89"/>
      <c r="W10" s="90"/>
      <c r="X10" s="89"/>
      <c r="Y10" s="89"/>
      <c r="Z10" s="90"/>
      <c r="AA10" s="89"/>
      <c r="AB10" s="89"/>
      <c r="AC10" s="90"/>
      <c r="AD10" s="90"/>
      <c r="AE10" s="89"/>
      <c r="AF10" s="89"/>
      <c r="AG10" s="89"/>
      <c r="AH10" s="89"/>
      <c r="AI10" s="89"/>
      <c r="AJ10" s="89"/>
      <c r="AK10" s="90"/>
      <c r="AL10" s="89"/>
      <c r="AM10" s="89"/>
      <c r="AN10" s="89"/>
      <c r="AO10" s="89"/>
      <c r="AP10" s="89"/>
      <c r="AQ10" s="90"/>
      <c r="AR10" s="90"/>
      <c r="AS10" s="89"/>
      <c r="AT10" s="89"/>
      <c r="AU10" s="89"/>
      <c r="AV10" s="89"/>
      <c r="AW10" s="89"/>
      <c r="AX10" s="89"/>
      <c r="AY10" s="90"/>
      <c r="AZ10" s="89"/>
      <c r="BA10" s="89"/>
      <c r="BB10" s="89"/>
      <c r="BC10" s="89"/>
    </row>
    <row r="11" spans="1:55" s="11" customFormat="1" ht="43.15" customHeight="1" thickBot="1">
      <c r="A11" s="81">
        <v>5</v>
      </c>
      <c r="B11" s="82" t="s">
        <v>2310</v>
      </c>
      <c r="C11" s="83" t="s">
        <v>9</v>
      </c>
      <c r="D11" s="102">
        <f>COUNTIFS(Total!J:J,"Đã hoàn thành
已完成",Total!B:B,"X4")/H11</f>
        <v>1</v>
      </c>
      <c r="E11" s="85">
        <v>46041</v>
      </c>
      <c r="F11" s="85">
        <v>46046</v>
      </c>
      <c r="G11" s="86"/>
      <c r="H11" s="87">
        <f>COUNTIF(Total!B:B,"X4")</f>
        <v>181</v>
      </c>
      <c r="I11" s="88"/>
      <c r="J11" s="89"/>
      <c r="K11" s="89"/>
      <c r="L11" s="89"/>
      <c r="M11" s="89"/>
      <c r="N11" s="89"/>
      <c r="O11" s="89"/>
      <c r="P11" s="90"/>
      <c r="Q11" s="89"/>
      <c r="R11" s="89"/>
      <c r="S11" s="89"/>
      <c r="T11" s="89"/>
      <c r="U11" s="89"/>
      <c r="V11" s="89"/>
      <c r="W11" s="90"/>
      <c r="X11" s="89"/>
      <c r="Y11" s="89"/>
      <c r="Z11" s="90"/>
      <c r="AA11" s="89"/>
      <c r="AB11" s="89"/>
      <c r="AC11" s="90"/>
      <c r="AD11" s="90"/>
      <c r="AE11" s="89"/>
      <c r="AF11" s="89"/>
      <c r="AG11" s="89"/>
      <c r="AH11" s="89"/>
      <c r="AI11" s="89"/>
      <c r="AJ11" s="89"/>
      <c r="AK11" s="90"/>
      <c r="AL11" s="89"/>
      <c r="AM11" s="89"/>
      <c r="AN11" s="89"/>
      <c r="AO11" s="89"/>
      <c r="AP11" s="89"/>
      <c r="AQ11" s="90"/>
      <c r="AR11" s="90"/>
      <c r="AS11" s="89"/>
      <c r="AT11" s="89"/>
      <c r="AU11" s="89"/>
      <c r="AV11" s="89"/>
      <c r="AW11" s="89"/>
      <c r="AX11" s="89"/>
      <c r="AY11" s="90"/>
      <c r="AZ11" s="89"/>
      <c r="BA11" s="89"/>
      <c r="BB11" s="89"/>
      <c r="BC11" s="89"/>
    </row>
    <row r="12" spans="1:55" s="11" customFormat="1" ht="43.15" customHeight="1" thickBot="1">
      <c r="A12" s="81">
        <v>6</v>
      </c>
      <c r="B12" s="82" t="s">
        <v>2311</v>
      </c>
      <c r="C12" s="83" t="s">
        <v>9</v>
      </c>
      <c r="D12" s="102">
        <f>COUNTIFS(Total!J:J,"Đã hoàn thành
已完成",Total!B:B,"X5")/H12</f>
        <v>1</v>
      </c>
      <c r="E12" s="85">
        <v>46048</v>
      </c>
      <c r="F12" s="85">
        <v>46052</v>
      </c>
      <c r="G12" s="86"/>
      <c r="H12" s="87">
        <f>COUNTIF(Total!B:B,"X5")</f>
        <v>52</v>
      </c>
      <c r="I12" s="88" t="str">
        <f t="shared" si="38"/>
        <v/>
      </c>
      <c r="J12" s="89"/>
      <c r="K12" s="89"/>
      <c r="L12" s="89"/>
      <c r="M12" s="89"/>
      <c r="N12" s="89"/>
      <c r="O12" s="89"/>
      <c r="P12" s="90"/>
      <c r="Q12" s="89"/>
      <c r="R12" s="89"/>
      <c r="S12" s="89"/>
      <c r="T12" s="89"/>
      <c r="U12" s="89"/>
      <c r="V12" s="89"/>
      <c r="W12" s="90"/>
      <c r="X12" s="89"/>
      <c r="Y12" s="89"/>
      <c r="Z12" s="90"/>
      <c r="AA12" s="89"/>
      <c r="AB12" s="89"/>
      <c r="AC12" s="90"/>
      <c r="AD12" s="90"/>
      <c r="AE12" s="89"/>
      <c r="AF12" s="89"/>
      <c r="AG12" s="89"/>
      <c r="AH12" s="89"/>
      <c r="AI12" s="89"/>
      <c r="AJ12" s="89"/>
      <c r="AK12" s="90"/>
      <c r="AL12" s="89"/>
      <c r="AM12" s="89"/>
      <c r="AN12" s="89"/>
      <c r="AO12" s="89"/>
      <c r="AP12" s="89"/>
      <c r="AQ12" s="90"/>
      <c r="AR12" s="90"/>
      <c r="AS12" s="89"/>
      <c r="AT12" s="89"/>
      <c r="AU12" s="89"/>
      <c r="AV12" s="89"/>
      <c r="AW12" s="89"/>
      <c r="AX12" s="89"/>
      <c r="AY12" s="90"/>
      <c r="AZ12" s="89"/>
      <c r="BA12" s="89"/>
      <c r="BB12" s="89"/>
      <c r="BC12" s="89"/>
    </row>
    <row r="13" spans="1:55" s="11" customFormat="1" ht="43.15" customHeight="1" thickBot="1">
      <c r="A13" s="81">
        <v>5</v>
      </c>
      <c r="B13" s="82" t="s">
        <v>2312</v>
      </c>
      <c r="C13" s="83" t="s">
        <v>9</v>
      </c>
      <c r="D13" s="102">
        <f>COUNTIFS(Total!J:J,"Đã hoàn thành
已完成",Total!B:B,"X2")/H13</f>
        <v>1</v>
      </c>
      <c r="E13" s="85">
        <v>46055</v>
      </c>
      <c r="F13" s="85">
        <v>46060</v>
      </c>
      <c r="G13" s="86"/>
      <c r="H13" s="87">
        <f>COUNTIF(Total!B:B,"X2")</f>
        <v>126</v>
      </c>
      <c r="I13" s="88"/>
      <c r="J13" s="89"/>
      <c r="K13" s="89"/>
      <c r="L13" s="89"/>
      <c r="M13" s="89"/>
      <c r="N13" s="89"/>
      <c r="O13" s="89"/>
      <c r="P13" s="90"/>
      <c r="Q13" s="89"/>
      <c r="R13" s="89"/>
      <c r="S13" s="89"/>
      <c r="T13" s="89"/>
      <c r="U13" s="89"/>
      <c r="V13" s="89"/>
      <c r="W13" s="90"/>
      <c r="X13" s="89"/>
      <c r="Y13" s="89"/>
      <c r="Z13" s="90"/>
      <c r="AA13" s="89"/>
      <c r="AB13" s="89"/>
      <c r="AC13" s="90"/>
      <c r="AD13" s="90"/>
      <c r="AE13" s="89"/>
      <c r="AF13" s="89"/>
      <c r="AG13" s="89"/>
      <c r="AH13" s="89"/>
      <c r="AI13" s="89"/>
      <c r="AJ13" s="89"/>
      <c r="AK13" s="90"/>
      <c r="AL13" s="89"/>
      <c r="AM13" s="89"/>
      <c r="AN13" s="89"/>
      <c r="AO13" s="89"/>
      <c r="AP13" s="89"/>
      <c r="AQ13" s="90"/>
      <c r="AR13" s="90"/>
      <c r="AS13" s="89"/>
      <c r="AT13" s="89"/>
      <c r="AU13" s="89"/>
      <c r="AV13" s="89"/>
      <c r="AW13" s="89"/>
      <c r="AX13" s="89"/>
      <c r="AY13" s="90"/>
      <c r="AZ13" s="89"/>
      <c r="BA13" s="89"/>
      <c r="BB13" s="89"/>
      <c r="BC13" s="89"/>
    </row>
    <row r="14" spans="1:55" s="11" customFormat="1" ht="43.15" customHeight="1" thickBot="1">
      <c r="A14" s="81">
        <v>6</v>
      </c>
      <c r="B14" s="82" t="s">
        <v>2313</v>
      </c>
      <c r="C14" s="83" t="s">
        <v>9</v>
      </c>
      <c r="D14" s="102">
        <f>COUNTIFS(Total!J:J,"Đã hoàn thành
已完成",Total!B:B,"Manager")/H14</f>
        <v>1</v>
      </c>
      <c r="E14" s="85">
        <v>46060</v>
      </c>
      <c r="F14" s="85">
        <v>46060</v>
      </c>
      <c r="G14" s="86"/>
      <c r="H14" s="87">
        <f>COUNTIF(Total!B:B, "Manager")</f>
        <v>33</v>
      </c>
      <c r="I14" s="88" t="str">
        <f t="shared" si="38"/>
        <v/>
      </c>
      <c r="J14" s="89"/>
      <c r="K14" s="89"/>
      <c r="L14" s="89"/>
      <c r="M14" s="89"/>
      <c r="N14" s="89"/>
      <c r="O14" s="89"/>
      <c r="P14" s="90"/>
      <c r="Q14" s="89"/>
      <c r="R14" s="89"/>
      <c r="S14" s="89"/>
      <c r="T14" s="89"/>
      <c r="U14" s="89"/>
      <c r="V14" s="89"/>
      <c r="W14" s="90"/>
      <c r="X14" s="89"/>
      <c r="Y14" s="89"/>
      <c r="Z14" s="90"/>
      <c r="AA14" s="89"/>
      <c r="AB14" s="89"/>
      <c r="AC14" s="90"/>
      <c r="AD14" s="90"/>
      <c r="AE14" s="89"/>
      <c r="AF14" s="89"/>
      <c r="AG14" s="89"/>
      <c r="AH14" s="89"/>
      <c r="AI14" s="89"/>
      <c r="AJ14" s="89"/>
      <c r="AK14" s="90"/>
      <c r="AL14" s="89"/>
      <c r="AM14" s="89"/>
      <c r="AN14" s="89"/>
      <c r="AO14" s="89"/>
      <c r="AP14" s="89"/>
      <c r="AQ14" s="90"/>
      <c r="AR14" s="90"/>
      <c r="AS14" s="89"/>
      <c r="AT14" s="89"/>
      <c r="AU14" s="89"/>
      <c r="AV14" s="89"/>
      <c r="AW14" s="89"/>
      <c r="AX14" s="89"/>
      <c r="AY14" s="90"/>
      <c r="AZ14" s="89"/>
      <c r="BA14" s="89"/>
      <c r="BB14" s="89"/>
      <c r="BC14" s="89"/>
    </row>
    <row r="15" spans="1:55" s="11" customFormat="1" ht="43.15" customHeight="1" thickBot="1">
      <c r="A15" s="81">
        <v>8</v>
      </c>
      <c r="B15" s="82" t="s">
        <v>2263</v>
      </c>
      <c r="C15" s="83" t="s">
        <v>9</v>
      </c>
      <c r="D15" s="84"/>
      <c r="E15" s="85">
        <v>46062</v>
      </c>
      <c r="F15" s="85">
        <v>46065</v>
      </c>
      <c r="G15" s="91"/>
      <c r="H15" s="87"/>
      <c r="I15" s="88" t="str">
        <f t="shared" si="38"/>
        <v/>
      </c>
      <c r="J15" s="89"/>
      <c r="K15" s="89"/>
      <c r="L15" s="89"/>
      <c r="M15" s="89"/>
      <c r="N15" s="89"/>
      <c r="O15" s="89"/>
      <c r="P15" s="90"/>
      <c r="Q15" s="89"/>
      <c r="R15" s="89"/>
      <c r="S15" s="89"/>
      <c r="T15" s="89"/>
      <c r="U15" s="89"/>
      <c r="V15" s="89"/>
      <c r="W15" s="90"/>
      <c r="X15" s="89"/>
      <c r="Y15" s="89"/>
      <c r="Z15" s="90"/>
      <c r="AA15" s="89"/>
      <c r="AB15" s="89"/>
      <c r="AC15" s="90"/>
      <c r="AD15" s="90"/>
      <c r="AE15" s="89"/>
      <c r="AF15" s="89"/>
      <c r="AG15" s="89"/>
      <c r="AH15" s="89"/>
      <c r="AI15" s="89"/>
      <c r="AJ15" s="89"/>
      <c r="AK15" s="90"/>
      <c r="AL15" s="89"/>
      <c r="AM15" s="89"/>
      <c r="AN15" s="89"/>
      <c r="AO15" s="89"/>
      <c r="AP15" s="89"/>
      <c r="AQ15" s="90"/>
      <c r="AR15" s="90"/>
      <c r="AS15" s="89"/>
      <c r="AT15" s="89"/>
      <c r="AU15" s="89"/>
      <c r="AV15" s="89"/>
      <c r="AW15" s="89"/>
      <c r="AX15" s="89"/>
      <c r="AY15" s="90"/>
      <c r="AZ15" s="89"/>
      <c r="BA15" s="89"/>
      <c r="BB15" s="89"/>
      <c r="BC15" s="89"/>
    </row>
    <row r="16" spans="1:55" s="11" customFormat="1" ht="30" customHeight="1" thickBot="1">
      <c r="A16" s="51" t="s">
        <v>10</v>
      </c>
      <c r="B16" s="92" t="s">
        <v>11</v>
      </c>
      <c r="C16" s="93"/>
      <c r="D16" s="94"/>
      <c r="E16" s="95"/>
      <c r="F16" s="96"/>
      <c r="G16" s="97"/>
      <c r="H16" s="96"/>
      <c r="I16" s="98" t="str">
        <f t="shared" si="38"/>
        <v/>
      </c>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row>
    <row r="17" spans="1:55" s="11" customFormat="1" ht="9.75" customHeight="1">
      <c r="A17" s="15"/>
      <c r="B17" s="16"/>
      <c r="C17" s="17"/>
      <c r="D17" s="18"/>
      <c r="E17" s="19"/>
      <c r="F17" s="20"/>
      <c r="G17" s="21"/>
      <c r="H17" s="20"/>
      <c r="I17" s="20"/>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row>
    <row r="18" spans="1:55" ht="30" customHeight="1">
      <c r="C18" s="22"/>
      <c r="G18" s="23"/>
      <c r="H18" s="23"/>
      <c r="M18" s="30"/>
      <c r="N18" s="30"/>
      <c r="O18" s="30"/>
      <c r="P18" s="26"/>
      <c r="Q18" s="111" t="s">
        <v>12</v>
      </c>
      <c r="R18" s="111"/>
      <c r="S18" s="111"/>
      <c r="U18" s="27"/>
      <c r="V18" s="111" t="s">
        <v>13</v>
      </c>
      <c r="W18" s="111"/>
      <c r="X18" s="111"/>
      <c r="Y18" s="111"/>
      <c r="Z18" s="111"/>
    </row>
    <row r="19" spans="1:55" ht="30" customHeight="1">
      <c r="C19" s="24"/>
    </row>
  </sheetData>
  <mergeCells count="4">
    <mergeCell ref="J4:Z4"/>
    <mergeCell ref="V18:Z18"/>
    <mergeCell ref="B1:G2"/>
    <mergeCell ref="Q18:S18"/>
  </mergeCells>
  <phoneticPr fontId="30" type="noConversion"/>
  <conditionalFormatting sqref="J7:Y12 AA7:AB12 J15:AB15 AE7:AF12 AL7:AM12 AS7:AT12 AH7:AI12 AO7:AP12 AV7:AW12 AE15:AF15 AL15:AM15 AS15:AT15 AZ7:AZ12 AZ15 AH15:AI15 AO15:AP15 AV15:AW15 BB7:BB15">
    <cfRule type="expression" dxfId="82" priority="113" stopIfTrue="1">
      <formula>AND(task_schedule&gt;=J$5,task_start&lt;K$5)</formula>
    </cfRule>
    <cfRule type="expression" dxfId="81" priority="118">
      <formula>AND(TODAY()&gt;=J$5,TODAY()&lt;K$5)</formula>
    </cfRule>
  </conditionalFormatting>
  <conditionalFormatting sqref="J6:AB6 AE6:AF6 AL6:AM6 AS6:AT6 J5:AF5 AH5:AI6 AK5:AM5 AO5:AT5 AO6:AP6 AV5:AW6 AZ5:AZ6 BB5:BB6">
    <cfRule type="expression" dxfId="80" priority="75">
      <formula>AND(TODAY()&gt;=J$5,TODAY()&lt;K$5)</formula>
    </cfRule>
  </conditionalFormatting>
  <conditionalFormatting sqref="J7:AB12 J15:AB15 AE7:AF12 AL7:AM12 AS7:AT12 AE15:AF15 AL15:AM15 AS15:AT15 AZ7:AZ12 AZ15 AH15:AI15 AH7:AI12 AO15:AP15 AO7:AP12 AV15:AW15 AV7:AW12 BB15:BC15 BB7:BC12">
    <cfRule type="expression" dxfId="79" priority="112">
      <formula>AND(task_start&lt;=J$5,ROUNDDOWN((task_end-task_start+1)*task_progress,0)+task_start-1&gt;=J$5)</formula>
    </cfRule>
  </conditionalFormatting>
  <conditionalFormatting sqref="Z7:Z12">
    <cfRule type="expression" dxfId="78" priority="76" stopIfTrue="1">
      <formula>AND(task_schedule&gt;=Z$5,task_start&lt;AA$5)</formula>
    </cfRule>
    <cfRule type="expression" dxfId="77" priority="77">
      <formula>AND(TODAY()&gt;=Z$5,TODAY()&lt;AA$5)</formula>
    </cfRule>
  </conditionalFormatting>
  <conditionalFormatting sqref="J13:Y14 AA13:AB14 AE13:AF14 AL13:AM14 AS13:AT14 AH13:AI14 AO13:AP14 AV13:AW14 AZ13:AZ14">
    <cfRule type="expression" dxfId="76" priority="72" stopIfTrue="1">
      <formula>AND(task_schedule&gt;=J$5,task_start&lt;K$5)</formula>
    </cfRule>
    <cfRule type="expression" dxfId="75" priority="73">
      <formula>AND(TODAY()&gt;=J$5,TODAY()&lt;K$5)</formula>
    </cfRule>
  </conditionalFormatting>
  <conditionalFormatting sqref="J13:AB14 AE13:AF14 AL13:AM14 AS13:AT14 AZ13:AZ14 AH13:AI14 AO13:AP14 AV13:AW14 BB13:BC14">
    <cfRule type="expression" dxfId="74" priority="71">
      <formula>AND(task_start&lt;=J$5,ROUNDDOWN((task_end-task_start+1)*task_progress,0)+task_start-1&gt;=J$5)</formula>
    </cfRule>
  </conditionalFormatting>
  <conditionalFormatting sqref="Z13:Z14">
    <cfRule type="expression" dxfId="73" priority="69" stopIfTrue="1">
      <formula>AND(task_schedule&gt;=Z$5,task_start&lt;AA$5)</formula>
    </cfRule>
    <cfRule type="expression" dxfId="72" priority="70">
      <formula>AND(TODAY()&gt;=Z$5,TODAY()&lt;AA$5)</formula>
    </cfRule>
  </conditionalFormatting>
  <conditionalFormatting sqref="D7:D12 D15">
    <cfRule type="dataBar" priority="158">
      <dataBar>
        <cfvo type="min"/>
        <cfvo type="max"/>
        <color theme="6" tint="0.39994506668294322"/>
      </dataBar>
      <extLst>
        <ext xmlns:x14="http://schemas.microsoft.com/office/spreadsheetml/2009/9/main" uri="{B025F937-C7B1-47D3-B67F-A62EFF666E3E}">
          <x14:id>{884FF8F0-72D9-41BE-98CA-72F6A038BA7E}</x14:id>
        </ext>
      </extLst>
    </cfRule>
  </conditionalFormatting>
  <conditionalFormatting sqref="AC7:AC12 AC15 AQ7:AQ12 AQ15">
    <cfRule type="expression" dxfId="71" priority="67" stopIfTrue="1">
      <formula>AND(task_schedule&gt;=AC$5,task_start&lt;AD$5)</formula>
    </cfRule>
    <cfRule type="expression" dxfId="70" priority="68">
      <formula>AND(TODAY()&gt;=AC$5,TODAY()&lt;AD$5)</formula>
    </cfRule>
  </conditionalFormatting>
  <conditionalFormatting sqref="AC6 AQ6">
    <cfRule type="expression" dxfId="69" priority="65">
      <formula>AND(TODAY()&gt;=AC$5,TODAY()&lt;AD$5)</formula>
    </cfRule>
  </conditionalFormatting>
  <conditionalFormatting sqref="AC7:AC12 AC15 AQ7:AQ12 AQ15">
    <cfRule type="expression" dxfId="68" priority="66">
      <formula>AND(task_start&lt;=AC$5,ROUNDDOWN((task_end-task_start+1)*task_progress,0)+task_start-1&gt;=AC$5)</formula>
    </cfRule>
  </conditionalFormatting>
  <conditionalFormatting sqref="AC13:AC14 AQ13:AQ14">
    <cfRule type="expression" dxfId="67" priority="63" stopIfTrue="1">
      <formula>AND(task_schedule&gt;=AC$5,task_start&lt;AD$5)</formula>
    </cfRule>
    <cfRule type="expression" dxfId="66" priority="64">
      <formula>AND(TODAY()&gt;=AC$5,TODAY()&lt;AD$5)</formula>
    </cfRule>
  </conditionalFormatting>
  <conditionalFormatting sqref="AC13:AC14 AQ13:AQ14">
    <cfRule type="expression" dxfId="65" priority="62">
      <formula>AND(task_start&lt;=AC$5,ROUNDDOWN((task_end-task_start+1)*task_progress,0)+task_start-1&gt;=AC$5)</formula>
    </cfRule>
  </conditionalFormatting>
  <conditionalFormatting sqref="AD7:AD12 AD15 AK7:AK12 AR7:AR12 AK15 AR15">
    <cfRule type="expression" dxfId="64" priority="60" stopIfTrue="1">
      <formula>AND(task_schedule&gt;=AD$5,task_start&lt;AE$5)</formula>
    </cfRule>
    <cfRule type="expression" dxfId="63" priority="61">
      <formula>AND(TODAY()&gt;=AD$5,TODAY()&lt;AE$5)</formula>
    </cfRule>
  </conditionalFormatting>
  <conditionalFormatting sqref="AD6 AK6 AR6">
    <cfRule type="expression" dxfId="62" priority="58">
      <formula>AND(TODAY()&gt;=AD$5,TODAY()&lt;AE$5)</formula>
    </cfRule>
  </conditionalFormatting>
  <conditionalFormatting sqref="AD7:AD12 AD15 AK7:AK12 AR7:AR12 AK15 AR15">
    <cfRule type="expression" dxfId="61" priority="59">
      <formula>AND(task_start&lt;=AD$5,ROUNDDOWN((task_end-task_start+1)*task_progress,0)+task_start-1&gt;=AD$5)</formula>
    </cfRule>
  </conditionalFormatting>
  <conditionalFormatting sqref="AD13:AD14 AK13:AK14 AR13:AR14">
    <cfRule type="expression" dxfId="60" priority="56" stopIfTrue="1">
      <formula>AND(task_schedule&gt;=AD$5,task_start&lt;AE$5)</formula>
    </cfRule>
    <cfRule type="expression" dxfId="59" priority="57">
      <formula>AND(TODAY()&gt;=AD$5,TODAY()&lt;AE$5)</formula>
    </cfRule>
  </conditionalFormatting>
  <conditionalFormatting sqref="AD13:AD14 AK13:AK14 AR13:AR14">
    <cfRule type="expression" dxfId="58" priority="55">
      <formula>AND(task_start&lt;=AD$5,ROUNDDOWN((task_end-task_start+1)*task_progress,0)+task_start-1&gt;=AD$5)</formula>
    </cfRule>
  </conditionalFormatting>
  <conditionalFormatting sqref="BC7:BC15">
    <cfRule type="expression" dxfId="57" priority="161" stopIfTrue="1">
      <formula>AND(task_schedule&gt;=BC$5,task_start&lt;#REF!)</formula>
    </cfRule>
    <cfRule type="expression" dxfId="56" priority="162">
      <formula>AND(TODAY()&gt;=BC$5,TODAY()&lt;#REF!)</formula>
    </cfRule>
  </conditionalFormatting>
  <conditionalFormatting sqref="BC5:BC6">
    <cfRule type="expression" dxfId="55" priority="168">
      <formula>AND(TODAY()&gt;=BC$5,TODAY()&lt;#REF!)</formula>
    </cfRule>
  </conditionalFormatting>
  <conditionalFormatting sqref="AG7:AG12 AG15">
    <cfRule type="expression" dxfId="54" priority="53" stopIfTrue="1">
      <formula>AND(task_schedule&gt;=AG$5,task_start&lt;AH$5)</formula>
    </cfRule>
    <cfRule type="expression" dxfId="53" priority="54">
      <formula>AND(TODAY()&gt;=AG$5,TODAY()&lt;AH$5)</formula>
    </cfRule>
  </conditionalFormatting>
  <conditionalFormatting sqref="AG5:AG6">
    <cfRule type="expression" dxfId="52" priority="51">
      <formula>AND(TODAY()&gt;=AG$5,TODAY()&lt;AH$5)</formula>
    </cfRule>
  </conditionalFormatting>
  <conditionalFormatting sqref="AG7:AG12 AG15">
    <cfRule type="expression" dxfId="51" priority="52">
      <formula>AND(task_start&lt;=AG$5,ROUNDDOWN((task_end-task_start+1)*task_progress,0)+task_start-1&gt;=AG$5)</formula>
    </cfRule>
  </conditionalFormatting>
  <conditionalFormatting sqref="AG13:AG14">
    <cfRule type="expression" dxfId="50" priority="49" stopIfTrue="1">
      <formula>AND(task_schedule&gt;=AG$5,task_start&lt;AH$5)</formula>
    </cfRule>
    <cfRule type="expression" dxfId="49" priority="50">
      <formula>AND(TODAY()&gt;=AG$5,TODAY()&lt;AH$5)</formula>
    </cfRule>
  </conditionalFormatting>
  <conditionalFormatting sqref="AG13:AG14">
    <cfRule type="expression" dxfId="48" priority="48">
      <formula>AND(task_start&lt;=AG$5,ROUNDDOWN((task_end-task_start+1)*task_progress,0)+task_start-1&gt;=AG$5)</formula>
    </cfRule>
  </conditionalFormatting>
  <conditionalFormatting sqref="AJ7:AJ12 AJ15">
    <cfRule type="expression" dxfId="47" priority="46" stopIfTrue="1">
      <formula>AND(task_schedule&gt;=AJ$5,task_start&lt;AK$5)</formula>
    </cfRule>
    <cfRule type="expression" dxfId="46" priority="47">
      <formula>AND(TODAY()&gt;=AJ$5,TODAY()&lt;AK$5)</formula>
    </cfRule>
  </conditionalFormatting>
  <conditionalFormatting sqref="AJ5:AJ6">
    <cfRule type="expression" dxfId="45" priority="44">
      <formula>AND(TODAY()&gt;=AJ$5,TODAY()&lt;AK$5)</formula>
    </cfRule>
  </conditionalFormatting>
  <conditionalFormatting sqref="AJ7:AJ12 AJ15">
    <cfRule type="expression" dxfId="44" priority="45">
      <formula>AND(task_start&lt;=AJ$5,ROUNDDOWN((task_end-task_start+1)*task_progress,0)+task_start-1&gt;=AJ$5)</formula>
    </cfRule>
  </conditionalFormatting>
  <conditionalFormatting sqref="AJ13:AJ14">
    <cfRule type="expression" dxfId="43" priority="42" stopIfTrue="1">
      <formula>AND(task_schedule&gt;=AJ$5,task_start&lt;AK$5)</formula>
    </cfRule>
    <cfRule type="expression" dxfId="42" priority="43">
      <formula>AND(TODAY()&gt;=AJ$5,TODAY()&lt;AK$5)</formula>
    </cfRule>
  </conditionalFormatting>
  <conditionalFormatting sqref="AJ13:AJ14">
    <cfRule type="expression" dxfId="41" priority="41">
      <formula>AND(task_start&lt;=AJ$5,ROUNDDOWN((task_end-task_start+1)*task_progress,0)+task_start-1&gt;=AJ$5)</formula>
    </cfRule>
  </conditionalFormatting>
  <conditionalFormatting sqref="AN7:AN12 AN15">
    <cfRule type="expression" dxfId="40" priority="39" stopIfTrue="1">
      <formula>AND(task_schedule&gt;=AN$5,task_start&lt;AO$5)</formula>
    </cfRule>
    <cfRule type="expression" dxfId="39" priority="40">
      <formula>AND(TODAY()&gt;=AN$5,TODAY()&lt;AO$5)</formula>
    </cfRule>
  </conditionalFormatting>
  <conditionalFormatting sqref="AN5:AN6">
    <cfRule type="expression" dxfId="38" priority="37">
      <formula>AND(TODAY()&gt;=AN$5,TODAY()&lt;AO$5)</formula>
    </cfRule>
  </conditionalFormatting>
  <conditionalFormatting sqref="AN7:AN12 AN15">
    <cfRule type="expression" dxfId="37" priority="38">
      <formula>AND(task_start&lt;=AN$5,ROUNDDOWN((task_end-task_start+1)*task_progress,0)+task_start-1&gt;=AN$5)</formula>
    </cfRule>
  </conditionalFormatting>
  <conditionalFormatting sqref="AN13:AN14">
    <cfRule type="expression" dxfId="36" priority="35" stopIfTrue="1">
      <formula>AND(task_schedule&gt;=AN$5,task_start&lt;AO$5)</formula>
    </cfRule>
    <cfRule type="expression" dxfId="35" priority="36">
      <formula>AND(TODAY()&gt;=AN$5,TODAY()&lt;AO$5)</formula>
    </cfRule>
  </conditionalFormatting>
  <conditionalFormatting sqref="AN13:AN14">
    <cfRule type="expression" dxfId="34" priority="34">
      <formula>AND(task_start&lt;=AN$5,ROUNDDOWN((task_end-task_start+1)*task_progress,0)+task_start-1&gt;=AN$5)</formula>
    </cfRule>
  </conditionalFormatting>
  <conditionalFormatting sqref="AU7:AU12 AU15">
    <cfRule type="expression" dxfId="33" priority="32" stopIfTrue="1">
      <formula>AND(task_schedule&gt;=AU$5,task_start&lt;AV$5)</formula>
    </cfRule>
    <cfRule type="expression" dxfId="32" priority="33">
      <formula>AND(TODAY()&gt;=AU$5,TODAY()&lt;AV$5)</formula>
    </cfRule>
  </conditionalFormatting>
  <conditionalFormatting sqref="AU5:AU6">
    <cfRule type="expression" dxfId="31" priority="30">
      <formula>AND(TODAY()&gt;=AU$5,TODAY()&lt;AV$5)</formula>
    </cfRule>
  </conditionalFormatting>
  <conditionalFormatting sqref="AU7:AU12 AU15">
    <cfRule type="expression" dxfId="30" priority="31">
      <formula>AND(task_start&lt;=AU$5,ROUNDDOWN((task_end-task_start+1)*task_progress,0)+task_start-1&gt;=AU$5)</formula>
    </cfRule>
  </conditionalFormatting>
  <conditionalFormatting sqref="AU13:AU14">
    <cfRule type="expression" dxfId="29" priority="28" stopIfTrue="1">
      <formula>AND(task_schedule&gt;=AU$5,task_start&lt;AV$5)</formula>
    </cfRule>
    <cfRule type="expression" dxfId="28" priority="29">
      <formula>AND(TODAY()&gt;=AU$5,TODAY()&lt;AV$5)</formula>
    </cfRule>
  </conditionalFormatting>
  <conditionalFormatting sqref="AU13:AU14">
    <cfRule type="expression" dxfId="27" priority="27">
      <formula>AND(task_start&lt;=AU$5,ROUNDDOWN((task_end-task_start+1)*task_progress,0)+task_start-1&gt;=AU$5)</formula>
    </cfRule>
  </conditionalFormatting>
  <conditionalFormatting sqref="AX7:AX12 AX15">
    <cfRule type="expression" dxfId="26" priority="25" stopIfTrue="1">
      <formula>AND(task_schedule&gt;=AX$5,task_start&lt;AY$5)</formula>
    </cfRule>
    <cfRule type="expression" dxfId="25" priority="26">
      <formula>AND(TODAY()&gt;=AX$5,TODAY()&lt;AY$5)</formula>
    </cfRule>
  </conditionalFormatting>
  <conditionalFormatting sqref="AX5:AX6">
    <cfRule type="expression" dxfId="24" priority="23">
      <formula>AND(TODAY()&gt;=AX$5,TODAY()&lt;AY$5)</formula>
    </cfRule>
  </conditionalFormatting>
  <conditionalFormatting sqref="AX7:AX12 AX15">
    <cfRule type="expression" dxfId="23" priority="24">
      <formula>AND(task_start&lt;=AX$5,ROUNDDOWN((task_end-task_start+1)*task_progress,0)+task_start-1&gt;=AX$5)</formula>
    </cfRule>
  </conditionalFormatting>
  <conditionalFormatting sqref="AX13:AX14">
    <cfRule type="expression" dxfId="22" priority="21" stopIfTrue="1">
      <formula>AND(task_schedule&gt;=AX$5,task_start&lt;AY$5)</formula>
    </cfRule>
    <cfRule type="expression" dxfId="21" priority="22">
      <formula>AND(TODAY()&gt;=AX$5,TODAY()&lt;AY$5)</formula>
    </cfRule>
  </conditionalFormatting>
  <conditionalFormatting sqref="AX13:AX14">
    <cfRule type="expression" dxfId="20" priority="20">
      <formula>AND(task_start&lt;=AX$5,ROUNDDOWN((task_end-task_start+1)*task_progress,0)+task_start-1&gt;=AX$5)</formula>
    </cfRule>
  </conditionalFormatting>
  <conditionalFormatting sqref="AY15">
    <cfRule type="expression" dxfId="19" priority="18" stopIfTrue="1">
      <formula>AND(task_schedule&gt;=AY$5,task_start&lt;AZ$5)</formula>
    </cfRule>
    <cfRule type="expression" dxfId="18" priority="19">
      <formula>AND(TODAY()&gt;=AY$5,TODAY()&lt;AZ$5)</formula>
    </cfRule>
  </conditionalFormatting>
  <conditionalFormatting sqref="AY5:AY6">
    <cfRule type="expression" dxfId="17" priority="14">
      <formula>AND(TODAY()&gt;=AY$5,TODAY()&lt;AZ$5)</formula>
    </cfRule>
  </conditionalFormatting>
  <conditionalFormatting sqref="AY7:AY12 AY15">
    <cfRule type="expression" dxfId="16" priority="17">
      <formula>AND(task_start&lt;=AY$5,ROUNDDOWN((task_end-task_start+1)*task_progress,0)+task_start-1&gt;=AY$5)</formula>
    </cfRule>
  </conditionalFormatting>
  <conditionalFormatting sqref="AY7:AY12">
    <cfRule type="expression" dxfId="15" priority="15" stopIfTrue="1">
      <formula>AND(task_schedule&gt;=AY$5,task_start&lt;AZ$5)</formula>
    </cfRule>
    <cfRule type="expression" dxfId="14" priority="16">
      <formula>AND(TODAY()&gt;=AY$5,TODAY()&lt;AZ$5)</formula>
    </cfRule>
  </conditionalFormatting>
  <conditionalFormatting sqref="AY13:AY14">
    <cfRule type="expression" dxfId="13" priority="13">
      <formula>AND(task_start&lt;=AY$5,ROUNDDOWN((task_end-task_start+1)*task_progress,0)+task_start-1&gt;=AY$5)</formula>
    </cfRule>
  </conditionalFormatting>
  <conditionalFormatting sqref="AY13:AY14">
    <cfRule type="expression" dxfId="12" priority="11" stopIfTrue="1">
      <formula>AND(task_schedule&gt;=AY$5,task_start&lt;AZ$5)</formula>
    </cfRule>
    <cfRule type="expression" dxfId="11" priority="12">
      <formula>AND(TODAY()&gt;=AY$5,TODAY()&lt;AZ$5)</formula>
    </cfRule>
  </conditionalFormatting>
  <conditionalFormatting sqref="BA7:BA12 BA15">
    <cfRule type="expression" dxfId="10" priority="9" stopIfTrue="1">
      <formula>AND(task_schedule&gt;=BA$5,task_start&lt;BB$5)</formula>
    </cfRule>
    <cfRule type="expression" dxfId="9" priority="10">
      <formula>AND(TODAY()&gt;=BA$5,TODAY()&lt;BB$5)</formula>
    </cfRule>
  </conditionalFormatting>
  <conditionalFormatting sqref="BA5:BA6">
    <cfRule type="expression" dxfId="8" priority="7">
      <formula>AND(TODAY()&gt;=BA$5,TODAY()&lt;BB$5)</formula>
    </cfRule>
  </conditionalFormatting>
  <conditionalFormatting sqref="BA7:BA12 BA15">
    <cfRule type="expression" dxfId="7" priority="8">
      <formula>AND(task_start&lt;=BA$5,ROUNDDOWN((task_end-task_start+1)*task_progress,0)+task_start-1&gt;=BA$5)</formula>
    </cfRule>
  </conditionalFormatting>
  <conditionalFormatting sqref="BA13:BA14">
    <cfRule type="expression" dxfId="6" priority="5" stopIfTrue="1">
      <formula>AND(task_schedule&gt;=BA$5,task_start&lt;BB$5)</formula>
    </cfRule>
    <cfRule type="expression" dxfId="5" priority="6">
      <formula>AND(TODAY()&gt;=BA$5,TODAY()&lt;BB$5)</formula>
    </cfRule>
  </conditionalFormatting>
  <conditionalFormatting sqref="BA13:BA14">
    <cfRule type="expression" dxfId="4" priority="4">
      <formula>AND(task_start&lt;=BA$5,ROUNDDOWN((task_end-task_start+1)*task_progress,0)+task_start-1&gt;=BA$5)</formula>
    </cfRule>
  </conditionalFormatting>
  <conditionalFormatting sqref="D14">
    <cfRule type="dataBar" priority="2">
      <dataBar>
        <cfvo type="min"/>
        <cfvo type="max"/>
        <color theme="6" tint="0.39994506668294322"/>
      </dataBar>
      <extLst>
        <ext xmlns:x14="http://schemas.microsoft.com/office/spreadsheetml/2009/9/main" uri="{B025F937-C7B1-47D3-B67F-A62EFF666E3E}">
          <x14:id>{B7217BBA-3605-4696-8BC1-BD3F01847629}</x14:id>
        </ext>
      </extLst>
    </cfRule>
  </conditionalFormatting>
  <conditionalFormatting sqref="D13">
    <cfRule type="dataBar" priority="1">
      <dataBar>
        <cfvo type="min"/>
        <cfvo type="max"/>
        <color theme="6" tint="0.39994506668294322"/>
      </dataBar>
      <extLst>
        <ext xmlns:x14="http://schemas.microsoft.com/office/spreadsheetml/2009/9/main" uri="{B025F937-C7B1-47D3-B67F-A62EFF666E3E}">
          <x14:id>{C1C97FAA-BD6D-43A3-9B7A-F9E97253F382}</x14:id>
        </ext>
      </extLst>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31" fitToHeight="0" orientation="landscape" r:id="rId1"/>
  <headerFooter differentFirst="1" scaleWithDoc="0">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884FF8F0-72D9-41BE-98CA-72F6A038BA7E}">
            <x14:dataBar minLength="0" maxLength="100" gradient="0">
              <x14:cfvo type="autoMin"/>
              <x14:cfvo type="autoMax"/>
              <x14:negativeFillColor rgb="FFFF0000"/>
              <x14:axisColor rgb="FF000000"/>
            </x14:dataBar>
          </x14:cfRule>
          <xm:sqref>D7:D12 D15</xm:sqref>
        </x14:conditionalFormatting>
        <x14:conditionalFormatting xmlns:xm="http://schemas.microsoft.com/office/excel/2006/main">
          <x14:cfRule type="dataBar" id="{B7217BBA-3605-4696-8BC1-BD3F01847629}">
            <x14:dataBar minLength="0" maxLength="100" gradient="0">
              <x14:cfvo type="autoMin"/>
              <x14:cfvo type="autoMax"/>
              <x14:negativeFillColor rgb="FFFF0000"/>
              <x14:axisColor rgb="FF000000"/>
            </x14:dataBar>
          </x14:cfRule>
          <xm:sqref>D14</xm:sqref>
        </x14:conditionalFormatting>
        <x14:conditionalFormatting xmlns:xm="http://schemas.microsoft.com/office/excel/2006/main">
          <x14:cfRule type="dataBar" id="{C1C97FAA-BD6D-43A3-9B7A-F9E97253F382}">
            <x14:dataBar minLength="0" maxLength="100" gradient="0">
              <x14:cfvo type="autoMin"/>
              <x14:cfvo type="autoMax"/>
              <x14:negativeFillColor rgb="FFFF0000"/>
              <x14:axisColor rgb="FF000000"/>
            </x14:dataBar>
          </x14:cfRule>
          <xm:sqref>D13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5C45-269A-43E9-BCCE-ACF696E2D57E}">
  <dimension ref="A3:C15"/>
  <sheetViews>
    <sheetView workbookViewId="0">
      <selection activeCell="M22" sqref="M22"/>
    </sheetView>
  </sheetViews>
  <sheetFormatPr defaultRowHeight="15"/>
  <cols>
    <col min="1" max="1" width="13.140625" bestFit="1" customWidth="1"/>
    <col min="2" max="2" width="18" bestFit="1" customWidth="1"/>
  </cols>
  <sheetData>
    <row r="3" spans="1:3">
      <c r="A3" s="106" t="s">
        <v>2326</v>
      </c>
      <c r="B3" t="s">
        <v>2328</v>
      </c>
    </row>
    <row r="4" spans="1:3">
      <c r="A4" s="107" t="s">
        <v>2200</v>
      </c>
      <c r="B4" s="108">
        <v>827</v>
      </c>
    </row>
    <row r="5" spans="1:3">
      <c r="A5" s="107" t="s">
        <v>2321</v>
      </c>
      <c r="B5" s="108">
        <v>4</v>
      </c>
    </row>
    <row r="6" spans="1:3">
      <c r="A6" s="107" t="s">
        <v>2327</v>
      </c>
      <c r="B6" s="108">
        <v>831</v>
      </c>
    </row>
    <row r="12" spans="1:3">
      <c r="A12" s="106" t="s">
        <v>2326</v>
      </c>
      <c r="B12" t="s">
        <v>2329</v>
      </c>
      <c r="C12" s="106"/>
    </row>
    <row r="13" spans="1:3">
      <c r="A13" s="107" t="s">
        <v>2200</v>
      </c>
      <c r="B13" s="108">
        <v>820</v>
      </c>
    </row>
    <row r="14" spans="1:3">
      <c r="A14" s="107" t="s">
        <v>2321</v>
      </c>
      <c r="B14" s="108">
        <v>11</v>
      </c>
    </row>
    <row r="15" spans="1:3">
      <c r="A15" s="107" t="s">
        <v>2327</v>
      </c>
      <c r="B15" s="108">
        <v>831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32"/>
  <sheetViews>
    <sheetView showGridLines="0" tabSelected="1" zoomScale="70" zoomScaleNormal="70" workbookViewId="0">
      <pane xSplit="4" ySplit="1" topLeftCell="E47" activePane="bottomRight" state="frozen"/>
      <selection pane="topRight"/>
      <selection pane="bottomLeft"/>
      <selection pane="bottomRight" activeCell="G58" sqref="G58"/>
    </sheetView>
  </sheetViews>
  <sheetFormatPr defaultColWidth="9" defaultRowHeight="15"/>
  <cols>
    <col min="1" max="1" width="5.7109375" style="1" customWidth="1"/>
    <col min="2" max="2" width="14.42578125" style="1" customWidth="1"/>
    <col min="3" max="3" width="18.28515625" style="2" customWidth="1"/>
    <col min="4" max="4" width="21.28515625" style="2" customWidth="1"/>
    <col min="5" max="5" width="30.85546875" style="2" customWidth="1"/>
    <col min="6" max="6" width="24.5703125" style="2" customWidth="1"/>
    <col min="7" max="7" width="18.42578125" style="2" bestFit="1" customWidth="1"/>
    <col min="8" max="8" width="19" style="3" customWidth="1"/>
    <col min="9" max="9" width="11.140625" style="28" customWidth="1"/>
    <col min="10" max="11" width="15.7109375" style="28" customWidth="1"/>
    <col min="12" max="12" width="17.42578125" style="1" customWidth="1"/>
    <col min="13" max="13" width="32.140625" style="1" customWidth="1"/>
    <col min="14" max="16384" width="9" style="2"/>
  </cols>
  <sheetData>
    <row r="1" spans="1:13" ht="58.15" customHeight="1">
      <c r="A1" s="4" t="s">
        <v>2242</v>
      </c>
      <c r="B1" s="4" t="s">
        <v>2257</v>
      </c>
      <c r="C1" s="52" t="s">
        <v>2243</v>
      </c>
      <c r="D1" s="53" t="s">
        <v>14</v>
      </c>
      <c r="E1" s="53" t="s">
        <v>15</v>
      </c>
      <c r="F1" s="53" t="s">
        <v>2322</v>
      </c>
      <c r="G1" s="53" t="s">
        <v>16</v>
      </c>
      <c r="H1" s="54" t="s">
        <v>2323</v>
      </c>
      <c r="I1" s="55" t="s">
        <v>2324</v>
      </c>
      <c r="J1" s="55" t="s">
        <v>2258</v>
      </c>
      <c r="K1" s="55" t="s">
        <v>2244</v>
      </c>
      <c r="L1" s="4" t="s">
        <v>2259</v>
      </c>
      <c r="M1" s="4" t="s">
        <v>2245</v>
      </c>
    </row>
    <row r="2" spans="1:13" ht="31.5">
      <c r="A2" s="5">
        <v>1</v>
      </c>
      <c r="B2" s="6" t="s">
        <v>17</v>
      </c>
      <c r="C2" s="40" t="s">
        <v>2275</v>
      </c>
      <c r="D2" s="37" t="s">
        <v>2201</v>
      </c>
      <c r="E2" s="8" t="s">
        <v>18</v>
      </c>
      <c r="F2" s="8" t="s">
        <v>2302</v>
      </c>
      <c r="G2" s="45" t="s">
        <v>23</v>
      </c>
      <c r="H2" s="50" t="s">
        <v>2200</v>
      </c>
      <c r="I2" s="50" t="s">
        <v>2200</v>
      </c>
      <c r="J2" s="104" t="s">
        <v>2303</v>
      </c>
      <c r="K2" s="10">
        <v>46032</v>
      </c>
      <c r="L2" s="9" t="s">
        <v>20</v>
      </c>
      <c r="M2" s="56"/>
    </row>
    <row r="3" spans="1:13" ht="31.5">
      <c r="A3" s="5">
        <v>2</v>
      </c>
      <c r="B3" s="6" t="s">
        <v>17</v>
      </c>
      <c r="C3" s="40" t="s">
        <v>731</v>
      </c>
      <c r="D3" s="49" t="s">
        <v>2239</v>
      </c>
      <c r="E3" s="8" t="s">
        <v>18</v>
      </c>
      <c r="F3" s="8" t="s">
        <v>2302</v>
      </c>
      <c r="G3" s="45" t="s">
        <v>2233</v>
      </c>
      <c r="H3" s="50" t="s">
        <v>2200</v>
      </c>
      <c r="I3" s="50" t="s">
        <v>2200</v>
      </c>
      <c r="J3" s="104" t="s">
        <v>2303</v>
      </c>
      <c r="K3" s="10">
        <v>46032</v>
      </c>
      <c r="L3" s="9" t="s">
        <v>22</v>
      </c>
      <c r="M3" s="56"/>
    </row>
    <row r="4" spans="1:13" ht="31.5">
      <c r="A4" s="5">
        <v>3</v>
      </c>
      <c r="B4" s="6" t="s">
        <v>17</v>
      </c>
      <c r="C4" s="31" t="s">
        <v>2179</v>
      </c>
      <c r="D4" s="37" t="s">
        <v>1132</v>
      </c>
      <c r="E4" s="8" t="s">
        <v>18</v>
      </c>
      <c r="F4" s="8" t="s">
        <v>2302</v>
      </c>
      <c r="G4" s="45" t="s">
        <v>35</v>
      </c>
      <c r="H4" s="50" t="s">
        <v>2200</v>
      </c>
      <c r="I4" s="50" t="s">
        <v>2200</v>
      </c>
      <c r="J4" s="104" t="s">
        <v>2303</v>
      </c>
      <c r="K4" s="10">
        <v>46032</v>
      </c>
      <c r="L4" s="9" t="s">
        <v>22</v>
      </c>
      <c r="M4" s="56"/>
    </row>
    <row r="5" spans="1:13" ht="31.5">
      <c r="A5" s="5">
        <v>4</v>
      </c>
      <c r="B5" s="6" t="s">
        <v>17</v>
      </c>
      <c r="C5" s="31" t="s">
        <v>2179</v>
      </c>
      <c r="D5" s="37" t="s">
        <v>2240</v>
      </c>
      <c r="E5" s="8" t="s">
        <v>18</v>
      </c>
      <c r="F5" s="8" t="s">
        <v>2302</v>
      </c>
      <c r="G5" s="45" t="s">
        <v>35</v>
      </c>
      <c r="H5" s="50" t="s">
        <v>2200</v>
      </c>
      <c r="I5" s="50" t="s">
        <v>2200</v>
      </c>
      <c r="J5" s="104" t="s">
        <v>2303</v>
      </c>
      <c r="K5" s="10">
        <v>46032</v>
      </c>
      <c r="L5" s="9" t="s">
        <v>22</v>
      </c>
      <c r="M5" s="56"/>
    </row>
    <row r="6" spans="1:13" ht="31.5">
      <c r="A6" s="5">
        <v>5</v>
      </c>
      <c r="B6" s="6" t="s">
        <v>17</v>
      </c>
      <c r="C6" s="31" t="s">
        <v>2179</v>
      </c>
      <c r="D6" s="37" t="s">
        <v>1132</v>
      </c>
      <c r="E6" s="8" t="s">
        <v>18</v>
      </c>
      <c r="F6" s="8" t="s">
        <v>2302</v>
      </c>
      <c r="G6" s="45" t="s">
        <v>35</v>
      </c>
      <c r="H6" s="50" t="s">
        <v>2200</v>
      </c>
      <c r="I6" s="50" t="s">
        <v>2200</v>
      </c>
      <c r="J6" s="104" t="s">
        <v>2303</v>
      </c>
      <c r="K6" s="10">
        <v>46032</v>
      </c>
      <c r="L6" s="9" t="s">
        <v>22</v>
      </c>
      <c r="M6" s="56"/>
    </row>
    <row r="7" spans="1:13" ht="31.5">
      <c r="A7" s="5">
        <v>6</v>
      </c>
      <c r="B7" s="6" t="s">
        <v>17</v>
      </c>
      <c r="C7" s="41" t="s">
        <v>2276</v>
      </c>
      <c r="D7" s="37" t="s">
        <v>2202</v>
      </c>
      <c r="E7" s="8" t="s">
        <v>18</v>
      </c>
      <c r="F7" s="8" t="s">
        <v>2302</v>
      </c>
      <c r="G7" s="45" t="s">
        <v>2234</v>
      </c>
      <c r="H7" s="50" t="s">
        <v>2200</v>
      </c>
      <c r="I7" s="50" t="s">
        <v>2200</v>
      </c>
      <c r="J7" s="104" t="s">
        <v>2303</v>
      </c>
      <c r="K7" s="10">
        <v>46032</v>
      </c>
      <c r="L7" s="9" t="s">
        <v>22</v>
      </c>
      <c r="M7" s="56"/>
    </row>
    <row r="8" spans="1:13" ht="31.5">
      <c r="A8" s="5">
        <v>7</v>
      </c>
      <c r="B8" s="6" t="s">
        <v>17</v>
      </c>
      <c r="C8" s="31" t="s">
        <v>2172</v>
      </c>
      <c r="D8" s="37" t="s">
        <v>2203</v>
      </c>
      <c r="E8" s="8" t="s">
        <v>18</v>
      </c>
      <c r="F8" s="8" t="s">
        <v>2302</v>
      </c>
      <c r="G8" s="45" t="s">
        <v>19</v>
      </c>
      <c r="H8" s="50" t="s">
        <v>2200</v>
      </c>
      <c r="I8" s="50" t="s">
        <v>2200</v>
      </c>
      <c r="J8" s="104" t="s">
        <v>2303</v>
      </c>
      <c r="K8" s="10">
        <v>46032</v>
      </c>
      <c r="L8" s="9" t="s">
        <v>22</v>
      </c>
      <c r="M8" s="9"/>
    </row>
    <row r="9" spans="1:13" ht="31.5">
      <c r="A9" s="5">
        <v>8</v>
      </c>
      <c r="B9" s="6" t="s">
        <v>17</v>
      </c>
      <c r="C9" s="41" t="s">
        <v>2276</v>
      </c>
      <c r="D9" s="37" t="s">
        <v>2204</v>
      </c>
      <c r="E9" s="8" t="s">
        <v>18</v>
      </c>
      <c r="F9" s="8" t="s">
        <v>2302</v>
      </c>
      <c r="G9" s="45" t="s">
        <v>2224</v>
      </c>
      <c r="H9" s="50" t="s">
        <v>2200</v>
      </c>
      <c r="I9" s="50" t="s">
        <v>2200</v>
      </c>
      <c r="J9" s="104" t="s">
        <v>2303</v>
      </c>
      <c r="K9" s="10">
        <v>46032</v>
      </c>
      <c r="L9" s="9" t="s">
        <v>22</v>
      </c>
      <c r="M9" s="56"/>
    </row>
    <row r="10" spans="1:13" ht="31.5">
      <c r="A10" s="5">
        <v>9</v>
      </c>
      <c r="B10" s="6" t="s">
        <v>17</v>
      </c>
      <c r="C10" s="41" t="s">
        <v>2276</v>
      </c>
      <c r="D10" s="37" t="s">
        <v>2205</v>
      </c>
      <c r="E10" s="8" t="s">
        <v>18</v>
      </c>
      <c r="F10" s="8" t="s">
        <v>2302</v>
      </c>
      <c r="G10" s="45" t="s">
        <v>27</v>
      </c>
      <c r="H10" s="50" t="s">
        <v>2200</v>
      </c>
      <c r="I10" s="50" t="s">
        <v>2200</v>
      </c>
      <c r="J10" s="104" t="s">
        <v>2303</v>
      </c>
      <c r="K10" s="10">
        <v>46032</v>
      </c>
      <c r="L10" s="9" t="s">
        <v>22</v>
      </c>
      <c r="M10" s="56"/>
    </row>
    <row r="11" spans="1:13" ht="31.5">
      <c r="A11" s="5">
        <v>10</v>
      </c>
      <c r="B11" s="6" t="s">
        <v>17</v>
      </c>
      <c r="C11" s="41" t="s">
        <v>2276</v>
      </c>
      <c r="D11" s="37" t="s">
        <v>2241</v>
      </c>
      <c r="E11" s="8" t="s">
        <v>18</v>
      </c>
      <c r="F11" s="8" t="s">
        <v>2302</v>
      </c>
      <c r="G11" s="45" t="s">
        <v>27</v>
      </c>
      <c r="H11" s="50" t="s">
        <v>2200</v>
      </c>
      <c r="I11" s="50" t="s">
        <v>2200</v>
      </c>
      <c r="J11" s="104" t="s">
        <v>2303</v>
      </c>
      <c r="K11" s="10">
        <v>46032</v>
      </c>
      <c r="L11" s="9" t="s">
        <v>660</v>
      </c>
      <c r="M11" s="56"/>
    </row>
    <row r="12" spans="1:13" ht="31.5">
      <c r="A12" s="5">
        <v>11</v>
      </c>
      <c r="B12" s="6" t="s">
        <v>17</v>
      </c>
      <c r="C12" s="31" t="s">
        <v>2169</v>
      </c>
      <c r="D12" s="37" t="s">
        <v>2206</v>
      </c>
      <c r="E12" s="8" t="s">
        <v>18</v>
      </c>
      <c r="F12" s="8" t="s">
        <v>2302</v>
      </c>
      <c r="G12" s="45" t="s">
        <v>30</v>
      </c>
      <c r="H12" s="50" t="s">
        <v>2200</v>
      </c>
      <c r="I12" s="50" t="s">
        <v>2200</v>
      </c>
      <c r="J12" s="104" t="s">
        <v>2303</v>
      </c>
      <c r="K12" s="10">
        <v>46032</v>
      </c>
      <c r="L12" s="9" t="s">
        <v>25</v>
      </c>
      <c r="M12" s="56"/>
    </row>
    <row r="13" spans="1:13" ht="31.5">
      <c r="A13" s="5">
        <v>12</v>
      </c>
      <c r="B13" s="6" t="s">
        <v>17</v>
      </c>
      <c r="C13" s="31" t="s">
        <v>2286</v>
      </c>
      <c r="D13" s="37" t="s">
        <v>2287</v>
      </c>
      <c r="E13" s="8" t="s">
        <v>18</v>
      </c>
      <c r="F13" s="8" t="s">
        <v>2302</v>
      </c>
      <c r="G13" s="45" t="s">
        <v>2288</v>
      </c>
      <c r="H13" s="50" t="s">
        <v>2200</v>
      </c>
      <c r="I13" s="50" t="s">
        <v>2200</v>
      </c>
      <c r="J13" s="104" t="s">
        <v>2303</v>
      </c>
      <c r="K13" s="10">
        <v>46032</v>
      </c>
      <c r="L13" s="9" t="s">
        <v>25</v>
      </c>
      <c r="M13" s="56"/>
    </row>
    <row r="14" spans="1:13" ht="31.5">
      <c r="A14" s="5">
        <v>13</v>
      </c>
      <c r="B14" s="6" t="s">
        <v>17</v>
      </c>
      <c r="C14" s="31" t="s">
        <v>2185</v>
      </c>
      <c r="D14" s="37" t="s">
        <v>2207</v>
      </c>
      <c r="E14" s="8" t="s">
        <v>18</v>
      </c>
      <c r="F14" s="8" t="s">
        <v>2302</v>
      </c>
      <c r="G14" s="45" t="s">
        <v>24</v>
      </c>
      <c r="H14" s="50" t="s">
        <v>2200</v>
      </c>
      <c r="I14" s="50" t="s">
        <v>2200</v>
      </c>
      <c r="J14" s="104" t="s">
        <v>2303</v>
      </c>
      <c r="K14" s="10">
        <v>46032</v>
      </c>
      <c r="L14" s="9" t="s">
        <v>25</v>
      </c>
      <c r="M14" s="56"/>
    </row>
    <row r="15" spans="1:13" ht="31.5">
      <c r="A15" s="5">
        <v>14</v>
      </c>
      <c r="B15" s="6" t="s">
        <v>17</v>
      </c>
      <c r="C15" s="37" t="s">
        <v>2223</v>
      </c>
      <c r="D15" s="37" t="s">
        <v>2208</v>
      </c>
      <c r="E15" s="8" t="s">
        <v>18</v>
      </c>
      <c r="F15" s="8" t="s">
        <v>2302</v>
      </c>
      <c r="G15" s="100" t="s">
        <v>2225</v>
      </c>
      <c r="H15" s="50" t="s">
        <v>2200</v>
      </c>
      <c r="I15" s="50" t="s">
        <v>2200</v>
      </c>
      <c r="J15" s="104" t="s">
        <v>2303</v>
      </c>
      <c r="K15" s="10">
        <v>46032</v>
      </c>
      <c r="L15" s="9" t="s">
        <v>25</v>
      </c>
      <c r="M15" s="9"/>
    </row>
    <row r="16" spans="1:13" ht="31.5">
      <c r="A16" s="5">
        <v>15</v>
      </c>
      <c r="B16" s="6" t="s">
        <v>17</v>
      </c>
      <c r="C16" s="31" t="s">
        <v>2184</v>
      </c>
      <c r="D16" s="37" t="s">
        <v>2209</v>
      </c>
      <c r="E16" s="8" t="s">
        <v>18</v>
      </c>
      <c r="F16" s="8" t="s">
        <v>2302</v>
      </c>
      <c r="G16" s="45" t="s">
        <v>26</v>
      </c>
      <c r="H16" s="50" t="s">
        <v>2200</v>
      </c>
      <c r="I16" s="50" t="s">
        <v>2200</v>
      </c>
      <c r="J16" s="104" t="s">
        <v>2303</v>
      </c>
      <c r="K16" s="10">
        <v>46032</v>
      </c>
      <c r="L16" s="9" t="s">
        <v>20</v>
      </c>
      <c r="M16" s="56"/>
    </row>
    <row r="17" spans="1:13" ht="31.5">
      <c r="A17" s="5">
        <v>16</v>
      </c>
      <c r="B17" s="6" t="s">
        <v>17</v>
      </c>
      <c r="C17" s="31" t="s">
        <v>2172</v>
      </c>
      <c r="D17" s="37" t="s">
        <v>2210</v>
      </c>
      <c r="E17" s="8" t="s">
        <v>18</v>
      </c>
      <c r="F17" s="8" t="s">
        <v>2302</v>
      </c>
      <c r="G17" s="45" t="s">
        <v>2226</v>
      </c>
      <c r="H17" s="50" t="s">
        <v>2200</v>
      </c>
      <c r="I17" s="50" t="s">
        <v>2200</v>
      </c>
      <c r="J17" s="104" t="s">
        <v>2303</v>
      </c>
      <c r="K17" s="10">
        <v>46032</v>
      </c>
      <c r="L17" s="9" t="s">
        <v>20</v>
      </c>
      <c r="M17" s="56"/>
    </row>
    <row r="18" spans="1:13" ht="31.5">
      <c r="A18" s="5">
        <v>17</v>
      </c>
      <c r="B18" s="6" t="s">
        <v>17</v>
      </c>
      <c r="C18" s="40" t="s">
        <v>2277</v>
      </c>
      <c r="D18" s="37" t="s">
        <v>2211</v>
      </c>
      <c r="E18" s="8" t="s">
        <v>18</v>
      </c>
      <c r="F18" s="8" t="s">
        <v>2302</v>
      </c>
      <c r="G18" s="45" t="s">
        <v>2227</v>
      </c>
      <c r="H18" s="50" t="s">
        <v>2200</v>
      </c>
      <c r="I18" s="50" t="s">
        <v>2200</v>
      </c>
      <c r="J18" s="104" t="s">
        <v>2303</v>
      </c>
      <c r="K18" s="10">
        <v>46032</v>
      </c>
      <c r="L18" s="9" t="s">
        <v>20</v>
      </c>
      <c r="M18" s="56"/>
    </row>
    <row r="19" spans="1:13" ht="31.5">
      <c r="A19" s="5">
        <v>18</v>
      </c>
      <c r="B19" s="6" t="s">
        <v>17</v>
      </c>
      <c r="C19" s="40" t="s">
        <v>2278</v>
      </c>
      <c r="D19" s="37" t="s">
        <v>2212</v>
      </c>
      <c r="E19" s="8" t="s">
        <v>18</v>
      </c>
      <c r="F19" s="8" t="s">
        <v>2302</v>
      </c>
      <c r="G19" s="45" t="s">
        <v>21</v>
      </c>
      <c r="H19" s="50" t="s">
        <v>2200</v>
      </c>
      <c r="I19" s="50" t="s">
        <v>2200</v>
      </c>
      <c r="J19" s="104" t="s">
        <v>2303</v>
      </c>
      <c r="K19" s="10">
        <v>46032</v>
      </c>
      <c r="L19" s="9" t="s">
        <v>20</v>
      </c>
      <c r="M19" s="56"/>
    </row>
    <row r="20" spans="1:13" ht="31.5">
      <c r="A20" s="5">
        <v>19</v>
      </c>
      <c r="B20" s="6" t="s">
        <v>17</v>
      </c>
      <c r="C20" s="38" t="s">
        <v>2279</v>
      </c>
      <c r="D20" s="37" t="s">
        <v>2213</v>
      </c>
      <c r="E20" s="8" t="s">
        <v>18</v>
      </c>
      <c r="F20" s="8" t="s">
        <v>2302</v>
      </c>
      <c r="G20" s="45" t="s">
        <v>2228</v>
      </c>
      <c r="H20" s="50" t="s">
        <v>2200</v>
      </c>
      <c r="I20" s="50" t="s">
        <v>2200</v>
      </c>
      <c r="J20" s="104" t="s">
        <v>2303</v>
      </c>
      <c r="K20" s="10">
        <v>46032</v>
      </c>
      <c r="L20" s="9" t="s">
        <v>660</v>
      </c>
      <c r="M20" s="56"/>
    </row>
    <row r="21" spans="1:13" ht="31.5">
      <c r="A21" s="5">
        <v>20</v>
      </c>
      <c r="B21" s="6" t="s">
        <v>17</v>
      </c>
      <c r="C21" s="31" t="s">
        <v>2168</v>
      </c>
      <c r="D21" s="37" t="s">
        <v>2214</v>
      </c>
      <c r="E21" s="8" t="s">
        <v>18</v>
      </c>
      <c r="F21" s="8" t="s">
        <v>2302</v>
      </c>
      <c r="G21" s="46" t="s">
        <v>29</v>
      </c>
      <c r="H21" s="50" t="s">
        <v>2200</v>
      </c>
      <c r="I21" s="50" t="s">
        <v>2200</v>
      </c>
      <c r="J21" s="104" t="s">
        <v>2303</v>
      </c>
      <c r="K21" s="10">
        <v>46032</v>
      </c>
      <c r="L21" s="9" t="s">
        <v>25</v>
      </c>
      <c r="M21" s="56"/>
    </row>
    <row r="22" spans="1:13" ht="31.5">
      <c r="A22" s="5">
        <v>21</v>
      </c>
      <c r="B22" s="6" t="s">
        <v>17</v>
      </c>
      <c r="C22" s="38" t="s">
        <v>2280</v>
      </c>
      <c r="D22" s="37" t="s">
        <v>2215</v>
      </c>
      <c r="E22" s="8" t="s">
        <v>18</v>
      </c>
      <c r="F22" s="8" t="s">
        <v>2302</v>
      </c>
      <c r="G22" s="47" t="s">
        <v>2229</v>
      </c>
      <c r="H22" s="50" t="s">
        <v>2200</v>
      </c>
      <c r="I22" s="50" t="s">
        <v>2200</v>
      </c>
      <c r="J22" s="104" t="s">
        <v>2303</v>
      </c>
      <c r="K22" s="10">
        <v>46032</v>
      </c>
      <c r="L22" s="9" t="s">
        <v>25</v>
      </c>
      <c r="M22" s="56"/>
    </row>
    <row r="23" spans="1:13" ht="31.5">
      <c r="A23" s="5">
        <v>22</v>
      </c>
      <c r="B23" s="6" t="s">
        <v>17</v>
      </c>
      <c r="C23" s="37" t="s">
        <v>731</v>
      </c>
      <c r="D23" s="37" t="s">
        <v>2216</v>
      </c>
      <c r="E23" s="8" t="s">
        <v>18</v>
      </c>
      <c r="F23" s="8" t="s">
        <v>2302</v>
      </c>
      <c r="G23" s="48" t="s">
        <v>2230</v>
      </c>
      <c r="H23" s="50" t="s">
        <v>2200</v>
      </c>
      <c r="I23" s="50" t="s">
        <v>2200</v>
      </c>
      <c r="J23" s="104" t="s">
        <v>2303</v>
      </c>
      <c r="K23" s="10">
        <v>46032</v>
      </c>
      <c r="L23" s="9" t="s">
        <v>22</v>
      </c>
      <c r="M23" s="56"/>
    </row>
    <row r="24" spans="1:13" ht="31.5">
      <c r="A24" s="5">
        <v>23</v>
      </c>
      <c r="B24" s="6" t="s">
        <v>17</v>
      </c>
      <c r="C24" s="42" t="s">
        <v>2281</v>
      </c>
      <c r="D24" s="37" t="s">
        <v>2217</v>
      </c>
      <c r="E24" s="8" t="s">
        <v>18</v>
      </c>
      <c r="F24" s="8" t="s">
        <v>2302</v>
      </c>
      <c r="G24" s="48" t="s">
        <v>2231</v>
      </c>
      <c r="H24" s="50" t="s">
        <v>2200</v>
      </c>
      <c r="I24" s="50" t="s">
        <v>2200</v>
      </c>
      <c r="J24" s="104" t="s">
        <v>2303</v>
      </c>
      <c r="K24" s="10">
        <v>46032</v>
      </c>
      <c r="L24" s="9" t="s">
        <v>22</v>
      </c>
      <c r="M24" s="56"/>
    </row>
    <row r="25" spans="1:13" ht="31.5">
      <c r="A25" s="5">
        <v>24</v>
      </c>
      <c r="B25" s="6" t="s">
        <v>17</v>
      </c>
      <c r="C25" s="37" t="s">
        <v>33</v>
      </c>
      <c r="D25" s="37" t="s">
        <v>2218</v>
      </c>
      <c r="E25" s="8" t="s">
        <v>18</v>
      </c>
      <c r="F25" s="8" t="s">
        <v>2302</v>
      </c>
      <c r="G25" s="46" t="s">
        <v>34</v>
      </c>
      <c r="H25" s="50" t="s">
        <v>2200</v>
      </c>
      <c r="I25" s="50" t="s">
        <v>2200</v>
      </c>
      <c r="J25" s="104" t="s">
        <v>2303</v>
      </c>
      <c r="K25" s="10">
        <v>46032</v>
      </c>
      <c r="L25" s="9" t="s">
        <v>22</v>
      </c>
      <c r="M25" s="56"/>
    </row>
    <row r="26" spans="1:13" ht="31.5">
      <c r="A26" s="5">
        <v>25</v>
      </c>
      <c r="B26" s="6" t="s">
        <v>17</v>
      </c>
      <c r="C26" s="31" t="s">
        <v>2177</v>
      </c>
      <c r="D26" s="38" t="s">
        <v>2219</v>
      </c>
      <c r="E26" s="8" t="s">
        <v>18</v>
      </c>
      <c r="F26" s="8" t="s">
        <v>2302</v>
      </c>
      <c r="G26" s="46" t="s">
        <v>729</v>
      </c>
      <c r="H26" s="50" t="s">
        <v>2200</v>
      </c>
      <c r="I26" s="50" t="s">
        <v>2200</v>
      </c>
      <c r="J26" s="104" t="s">
        <v>2303</v>
      </c>
      <c r="K26" s="10">
        <v>46032</v>
      </c>
      <c r="L26" s="9" t="s">
        <v>20</v>
      </c>
      <c r="M26" s="9"/>
    </row>
    <row r="27" spans="1:13" ht="31.5">
      <c r="A27" s="5">
        <v>26</v>
      </c>
      <c r="B27" s="6" t="s">
        <v>17</v>
      </c>
      <c r="C27" s="43" t="s">
        <v>2282</v>
      </c>
      <c r="D27" s="39" t="s">
        <v>2220</v>
      </c>
      <c r="E27" s="8" t="s">
        <v>18</v>
      </c>
      <c r="F27" s="103" t="s">
        <v>2302</v>
      </c>
      <c r="G27" s="101" t="s">
        <v>28</v>
      </c>
      <c r="H27" s="50" t="s">
        <v>2200</v>
      </c>
      <c r="I27" s="50" t="s">
        <v>2200</v>
      </c>
      <c r="J27" s="104" t="s">
        <v>2303</v>
      </c>
      <c r="K27" s="10">
        <v>46032</v>
      </c>
      <c r="L27" s="9" t="s">
        <v>20</v>
      </c>
      <c r="M27" s="9"/>
    </row>
    <row r="28" spans="1:13" ht="31.5">
      <c r="A28" s="5">
        <v>27</v>
      </c>
      <c r="B28" s="6" t="s">
        <v>17</v>
      </c>
      <c r="C28" s="41" t="s">
        <v>2276</v>
      </c>
      <c r="D28" s="37" t="s">
        <v>2221</v>
      </c>
      <c r="E28" s="8" t="s">
        <v>18</v>
      </c>
      <c r="F28" s="8" t="s">
        <v>2302</v>
      </c>
      <c r="G28" s="46" t="s">
        <v>2235</v>
      </c>
      <c r="H28" s="50" t="s">
        <v>2200</v>
      </c>
      <c r="I28" s="50" t="s">
        <v>2200</v>
      </c>
      <c r="J28" s="104" t="s">
        <v>2303</v>
      </c>
      <c r="K28" s="10">
        <v>46032</v>
      </c>
      <c r="L28" s="9" t="s">
        <v>25</v>
      </c>
      <c r="M28" s="56"/>
    </row>
    <row r="29" spans="1:13" ht="31.5">
      <c r="A29" s="5">
        <v>28</v>
      </c>
      <c r="B29" s="6" t="s">
        <v>17</v>
      </c>
      <c r="C29" s="31" t="s">
        <v>2171</v>
      </c>
      <c r="D29" s="37" t="s">
        <v>2222</v>
      </c>
      <c r="E29" s="8" t="s">
        <v>18</v>
      </c>
      <c r="F29" s="8" t="s">
        <v>2302</v>
      </c>
      <c r="G29" s="46" t="s">
        <v>2236</v>
      </c>
      <c r="H29" s="50" t="s">
        <v>2200</v>
      </c>
      <c r="I29" s="50" t="s">
        <v>2200</v>
      </c>
      <c r="J29" s="104" t="s">
        <v>2303</v>
      </c>
      <c r="K29" s="10">
        <v>46032</v>
      </c>
      <c r="L29" s="9" t="s">
        <v>25</v>
      </c>
      <c r="M29" s="56"/>
    </row>
    <row r="30" spans="1:13" ht="31.5">
      <c r="A30" s="5">
        <v>29</v>
      </c>
      <c r="B30" s="6" t="s">
        <v>17</v>
      </c>
      <c r="C30" s="31" t="s">
        <v>2237</v>
      </c>
      <c r="D30" s="49" t="s">
        <v>2238</v>
      </c>
      <c r="E30" s="8" t="s">
        <v>18</v>
      </c>
      <c r="F30" s="8" t="s">
        <v>2302</v>
      </c>
      <c r="G30" s="46" t="s">
        <v>31</v>
      </c>
      <c r="H30" s="50" t="s">
        <v>2200</v>
      </c>
      <c r="I30" s="50" t="s">
        <v>2200</v>
      </c>
      <c r="J30" s="104" t="s">
        <v>2303</v>
      </c>
      <c r="K30" s="10">
        <v>46032</v>
      </c>
      <c r="L30" s="9" t="s">
        <v>25</v>
      </c>
      <c r="M30" s="56"/>
    </row>
    <row r="31" spans="1:13" ht="31.5">
      <c r="A31" s="5">
        <v>30</v>
      </c>
      <c r="B31" s="6" t="s">
        <v>17</v>
      </c>
      <c r="C31" s="7" t="s">
        <v>2283</v>
      </c>
      <c r="D31" s="29" t="s">
        <v>2156</v>
      </c>
      <c r="E31" s="29" t="s">
        <v>18</v>
      </c>
      <c r="F31" s="8" t="s">
        <v>2302</v>
      </c>
      <c r="G31" s="37" t="s">
        <v>32</v>
      </c>
      <c r="H31" s="50" t="s">
        <v>2200</v>
      </c>
      <c r="I31" s="50" t="s">
        <v>2200</v>
      </c>
      <c r="J31" s="104" t="s">
        <v>2303</v>
      </c>
      <c r="K31" s="10">
        <v>46032</v>
      </c>
      <c r="L31" s="9" t="s">
        <v>25</v>
      </c>
      <c r="M31" s="56"/>
    </row>
    <row r="32" spans="1:13" ht="31.5">
      <c r="A32" s="5">
        <v>31</v>
      </c>
      <c r="B32" s="6" t="s">
        <v>17</v>
      </c>
      <c r="C32" s="7" t="s">
        <v>2284</v>
      </c>
      <c r="D32" s="29" t="s">
        <v>1419</v>
      </c>
      <c r="E32" s="29" t="s">
        <v>18</v>
      </c>
      <c r="F32" s="8" t="s">
        <v>2302</v>
      </c>
      <c r="G32" s="29" t="s">
        <v>32</v>
      </c>
      <c r="H32" s="50" t="s">
        <v>2200</v>
      </c>
      <c r="I32" s="50" t="s">
        <v>2200</v>
      </c>
      <c r="J32" s="104" t="s">
        <v>2303</v>
      </c>
      <c r="K32" s="10">
        <v>46032</v>
      </c>
      <c r="L32" s="9" t="s">
        <v>25</v>
      </c>
      <c r="M32" s="56"/>
    </row>
    <row r="33" spans="1:13" ht="31.5">
      <c r="A33" s="5">
        <v>32</v>
      </c>
      <c r="B33" s="6" t="s">
        <v>17</v>
      </c>
      <c r="C33" s="31" t="s">
        <v>2177</v>
      </c>
      <c r="D33" s="29" t="s">
        <v>729</v>
      </c>
      <c r="E33" s="29" t="s">
        <v>18</v>
      </c>
      <c r="F33" s="8" t="s">
        <v>2302</v>
      </c>
      <c r="G33" s="29" t="s">
        <v>729</v>
      </c>
      <c r="H33" s="50" t="s">
        <v>2200</v>
      </c>
      <c r="I33" s="50" t="s">
        <v>2200</v>
      </c>
      <c r="J33" s="104" t="s">
        <v>2303</v>
      </c>
      <c r="K33" s="10">
        <v>46032</v>
      </c>
      <c r="L33" s="9" t="s">
        <v>25</v>
      </c>
      <c r="M33" s="56"/>
    </row>
    <row r="34" spans="1:13" ht="31.5">
      <c r="A34" s="5">
        <v>33</v>
      </c>
      <c r="B34" s="6" t="s">
        <v>17</v>
      </c>
      <c r="C34" s="31" t="s">
        <v>2185</v>
      </c>
      <c r="D34" s="29" t="s">
        <v>1396</v>
      </c>
      <c r="E34" s="29" t="s">
        <v>18</v>
      </c>
      <c r="F34" s="8" t="s">
        <v>2302</v>
      </c>
      <c r="G34" s="29" t="s">
        <v>26</v>
      </c>
      <c r="H34" s="50" t="s">
        <v>2200</v>
      </c>
      <c r="I34" s="50" t="s">
        <v>2200</v>
      </c>
      <c r="J34" s="104" t="s">
        <v>2303</v>
      </c>
      <c r="K34" s="10">
        <v>46032</v>
      </c>
      <c r="L34" s="9" t="s">
        <v>25</v>
      </c>
      <c r="M34" s="56"/>
    </row>
    <row r="35" spans="1:13" ht="31.5">
      <c r="A35" s="5">
        <v>34</v>
      </c>
      <c r="B35" s="29" t="s">
        <v>36</v>
      </c>
      <c r="C35" s="31" t="s">
        <v>2157</v>
      </c>
      <c r="D35" s="29" t="s">
        <v>138</v>
      </c>
      <c r="E35" s="29" t="s">
        <v>139</v>
      </c>
      <c r="F35" s="8" t="s">
        <v>2302</v>
      </c>
      <c r="G35" s="29" t="s">
        <v>140</v>
      </c>
      <c r="H35" s="50" t="s">
        <v>2200</v>
      </c>
      <c r="I35" s="50" t="s">
        <v>2200</v>
      </c>
      <c r="J35" s="104" t="s">
        <v>2303</v>
      </c>
      <c r="K35" s="10">
        <v>46032</v>
      </c>
      <c r="L35" s="9" t="s">
        <v>22</v>
      </c>
      <c r="M35" s="56"/>
    </row>
    <row r="36" spans="1:13" ht="31.5">
      <c r="A36" s="5">
        <v>35</v>
      </c>
      <c r="B36" s="29" t="s">
        <v>36</v>
      </c>
      <c r="C36" s="31" t="s">
        <v>2157</v>
      </c>
      <c r="D36" s="29" t="s">
        <v>1801</v>
      </c>
      <c r="E36" s="29" t="s">
        <v>144</v>
      </c>
      <c r="F36" s="8" t="s">
        <v>2302</v>
      </c>
      <c r="G36" s="29" t="s">
        <v>143</v>
      </c>
      <c r="H36" s="50" t="s">
        <v>2200</v>
      </c>
      <c r="I36" s="50" t="s">
        <v>2200</v>
      </c>
      <c r="J36" s="104" t="s">
        <v>2303</v>
      </c>
      <c r="K36" s="10">
        <v>46032</v>
      </c>
      <c r="L36" s="9" t="s">
        <v>22</v>
      </c>
      <c r="M36" s="56"/>
    </row>
    <row r="37" spans="1:13" ht="31.5">
      <c r="A37" s="5">
        <v>36</v>
      </c>
      <c r="B37" s="29" t="s">
        <v>36</v>
      </c>
      <c r="C37" s="31" t="s">
        <v>2157</v>
      </c>
      <c r="D37" s="29" t="s">
        <v>141</v>
      </c>
      <c r="E37" s="29" t="s">
        <v>18</v>
      </c>
      <c r="F37" s="8" t="s">
        <v>2302</v>
      </c>
      <c r="G37" s="29" t="s">
        <v>142</v>
      </c>
      <c r="H37" s="50" t="s">
        <v>2200</v>
      </c>
      <c r="I37" s="50" t="s">
        <v>2200</v>
      </c>
      <c r="J37" s="104" t="s">
        <v>2303</v>
      </c>
      <c r="K37" s="10">
        <v>46032</v>
      </c>
      <c r="L37" s="9" t="s">
        <v>22</v>
      </c>
      <c r="M37" s="56"/>
    </row>
    <row r="38" spans="1:13" ht="31.5">
      <c r="A38" s="5">
        <v>37</v>
      </c>
      <c r="B38" s="29" t="s">
        <v>36</v>
      </c>
      <c r="C38" s="31" t="s">
        <v>2157</v>
      </c>
      <c r="D38" s="29" t="s">
        <v>1802</v>
      </c>
      <c r="E38" s="29" t="s">
        <v>18</v>
      </c>
      <c r="F38" s="8" t="s">
        <v>2302</v>
      </c>
      <c r="G38" s="29" t="s">
        <v>1827</v>
      </c>
      <c r="H38" s="50" t="s">
        <v>2200</v>
      </c>
      <c r="I38" s="50" t="s">
        <v>2200</v>
      </c>
      <c r="J38" s="104" t="s">
        <v>2303</v>
      </c>
      <c r="K38" s="10">
        <v>46032</v>
      </c>
      <c r="L38" s="9" t="s">
        <v>22</v>
      </c>
      <c r="M38" s="56"/>
    </row>
    <row r="39" spans="1:13" ht="31.5">
      <c r="A39" s="5">
        <v>38</v>
      </c>
      <c r="B39" s="29" t="s">
        <v>36</v>
      </c>
      <c r="C39" s="31" t="s">
        <v>2157</v>
      </c>
      <c r="D39" s="29" t="s">
        <v>1803</v>
      </c>
      <c r="E39" s="29" t="s">
        <v>18</v>
      </c>
      <c r="F39" s="8" t="s">
        <v>2302</v>
      </c>
      <c r="G39" s="29" t="s">
        <v>1828</v>
      </c>
      <c r="H39" s="50" t="s">
        <v>2200</v>
      </c>
      <c r="I39" s="50" t="s">
        <v>2200</v>
      </c>
      <c r="J39" s="104" t="s">
        <v>2303</v>
      </c>
      <c r="K39" s="10">
        <v>46032</v>
      </c>
      <c r="L39" s="9" t="s">
        <v>22</v>
      </c>
      <c r="M39" s="56"/>
    </row>
    <row r="40" spans="1:13" ht="31.5">
      <c r="A40" s="5">
        <v>39</v>
      </c>
      <c r="B40" s="29" t="s">
        <v>36</v>
      </c>
      <c r="C40" s="31" t="s">
        <v>2157</v>
      </c>
      <c r="D40" s="29" t="s">
        <v>1804</v>
      </c>
      <c r="E40" s="29" t="s">
        <v>18</v>
      </c>
      <c r="F40" s="8" t="s">
        <v>2302</v>
      </c>
      <c r="G40" s="29" t="s">
        <v>1829</v>
      </c>
      <c r="H40" s="50" t="s">
        <v>2200</v>
      </c>
      <c r="I40" s="50" t="s">
        <v>2200</v>
      </c>
      <c r="J40" s="104" t="s">
        <v>2303</v>
      </c>
      <c r="K40" s="10">
        <v>46032</v>
      </c>
      <c r="L40" s="29" t="s">
        <v>22</v>
      </c>
      <c r="M40" s="56"/>
    </row>
    <row r="41" spans="1:13" ht="31.5">
      <c r="A41" s="5">
        <v>40</v>
      </c>
      <c r="B41" s="29" t="s">
        <v>36</v>
      </c>
      <c r="C41" s="31" t="s">
        <v>2157</v>
      </c>
      <c r="D41" s="29" t="s">
        <v>1805</v>
      </c>
      <c r="E41" s="29" t="s">
        <v>18</v>
      </c>
      <c r="F41" s="8" t="s">
        <v>2302</v>
      </c>
      <c r="G41" s="29" t="s">
        <v>140</v>
      </c>
      <c r="H41" s="50" t="s">
        <v>2200</v>
      </c>
      <c r="I41" s="50" t="s">
        <v>2200</v>
      </c>
      <c r="J41" s="104" t="s">
        <v>2303</v>
      </c>
      <c r="K41" s="10">
        <v>46032</v>
      </c>
      <c r="L41" s="29" t="s">
        <v>22</v>
      </c>
      <c r="M41" s="56"/>
    </row>
    <row r="42" spans="1:13" ht="31.5">
      <c r="A42" s="5">
        <v>41</v>
      </c>
      <c r="B42" s="29" t="s">
        <v>36</v>
      </c>
      <c r="C42" s="31" t="s">
        <v>2157</v>
      </c>
      <c r="D42" s="29" t="s">
        <v>1806</v>
      </c>
      <c r="E42" s="29" t="s">
        <v>18</v>
      </c>
      <c r="F42" s="8" t="s">
        <v>2302</v>
      </c>
      <c r="G42" s="29" t="s">
        <v>1830</v>
      </c>
      <c r="H42" s="50" t="s">
        <v>2200</v>
      </c>
      <c r="I42" s="50" t="s">
        <v>2200</v>
      </c>
      <c r="J42" s="104" t="s">
        <v>2303</v>
      </c>
      <c r="K42" s="10">
        <v>46032</v>
      </c>
      <c r="L42" s="29" t="s">
        <v>22</v>
      </c>
      <c r="M42" s="56"/>
    </row>
    <row r="43" spans="1:13" ht="31.5">
      <c r="A43" s="5">
        <v>42</v>
      </c>
      <c r="B43" s="29" t="s">
        <v>36</v>
      </c>
      <c r="C43" s="31" t="s">
        <v>2157</v>
      </c>
      <c r="D43" s="29" t="s">
        <v>37</v>
      </c>
      <c r="E43" s="29" t="s">
        <v>38</v>
      </c>
      <c r="F43" s="8" t="s">
        <v>2302</v>
      </c>
      <c r="G43" s="29" t="s">
        <v>39</v>
      </c>
      <c r="H43" s="50" t="s">
        <v>2200</v>
      </c>
      <c r="I43" s="50" t="s">
        <v>2200</v>
      </c>
      <c r="J43" s="104" t="s">
        <v>2303</v>
      </c>
      <c r="K43" s="10">
        <v>46032</v>
      </c>
      <c r="L43" s="29" t="s">
        <v>22</v>
      </c>
      <c r="M43" s="56"/>
    </row>
    <row r="44" spans="1:13" ht="31.5">
      <c r="A44" s="5">
        <v>43</v>
      </c>
      <c r="B44" s="29" t="s">
        <v>36</v>
      </c>
      <c r="C44" s="31" t="s">
        <v>2157</v>
      </c>
      <c r="D44" s="29" t="s">
        <v>40</v>
      </c>
      <c r="E44" s="29" t="s">
        <v>41</v>
      </c>
      <c r="F44" s="8" t="s">
        <v>2302</v>
      </c>
      <c r="G44" s="29" t="s">
        <v>42</v>
      </c>
      <c r="H44" s="50" t="s">
        <v>2200</v>
      </c>
      <c r="I44" s="50" t="s">
        <v>2200</v>
      </c>
      <c r="J44" s="104" t="s">
        <v>2303</v>
      </c>
      <c r="K44" s="10">
        <v>46032</v>
      </c>
      <c r="L44" s="29" t="s">
        <v>22</v>
      </c>
      <c r="M44" s="56"/>
    </row>
    <row r="45" spans="1:13" ht="31.5">
      <c r="A45" s="5">
        <v>44</v>
      </c>
      <c r="B45" s="29" t="s">
        <v>36</v>
      </c>
      <c r="C45" s="31" t="s">
        <v>2157</v>
      </c>
      <c r="D45" s="29" t="s">
        <v>43</v>
      </c>
      <c r="E45" s="29" t="s">
        <v>44</v>
      </c>
      <c r="F45" s="8" t="s">
        <v>2302</v>
      </c>
      <c r="G45" s="29" t="s">
        <v>45</v>
      </c>
      <c r="H45" s="50" t="s">
        <v>2200</v>
      </c>
      <c r="I45" s="50" t="s">
        <v>2200</v>
      </c>
      <c r="J45" s="104" t="s">
        <v>2303</v>
      </c>
      <c r="K45" s="10">
        <v>46032</v>
      </c>
      <c r="L45" s="29" t="s">
        <v>22</v>
      </c>
      <c r="M45" s="56"/>
    </row>
    <row r="46" spans="1:13" ht="31.5">
      <c r="A46" s="5">
        <v>45</v>
      </c>
      <c r="B46" s="29" t="s">
        <v>36</v>
      </c>
      <c r="C46" s="31" t="s">
        <v>2157</v>
      </c>
      <c r="D46" s="29" t="s">
        <v>46</v>
      </c>
      <c r="E46" s="29" t="s">
        <v>47</v>
      </c>
      <c r="F46" s="8" t="s">
        <v>2302</v>
      </c>
      <c r="G46" s="29" t="s">
        <v>48</v>
      </c>
      <c r="H46" s="50" t="s">
        <v>2200</v>
      </c>
      <c r="I46" s="50" t="s">
        <v>2200</v>
      </c>
      <c r="J46" s="104" t="s">
        <v>2303</v>
      </c>
      <c r="K46" s="10">
        <v>46032</v>
      </c>
      <c r="L46" s="29" t="s">
        <v>22</v>
      </c>
      <c r="M46" s="56"/>
    </row>
    <row r="47" spans="1:13" ht="31.5">
      <c r="A47" s="5">
        <v>46</v>
      </c>
      <c r="B47" s="29" t="s">
        <v>36</v>
      </c>
      <c r="C47" s="31" t="s">
        <v>2157</v>
      </c>
      <c r="D47" s="29" t="s">
        <v>49</v>
      </c>
      <c r="E47" s="29" t="s">
        <v>50</v>
      </c>
      <c r="F47" s="8" t="s">
        <v>2302</v>
      </c>
      <c r="G47" s="29" t="s">
        <v>51</v>
      </c>
      <c r="H47" s="50" t="s">
        <v>2200</v>
      </c>
      <c r="I47" s="50" t="s">
        <v>2200</v>
      </c>
      <c r="J47" s="104" t="s">
        <v>2303</v>
      </c>
      <c r="K47" s="10">
        <v>46032</v>
      </c>
      <c r="L47" s="29" t="s">
        <v>22</v>
      </c>
      <c r="M47" s="56"/>
    </row>
    <row r="48" spans="1:13" ht="31.5">
      <c r="A48" s="5">
        <v>47</v>
      </c>
      <c r="B48" s="29" t="s">
        <v>36</v>
      </c>
      <c r="C48" s="31" t="s">
        <v>2157</v>
      </c>
      <c r="D48" s="29" t="s">
        <v>52</v>
      </c>
      <c r="E48" s="29" t="s">
        <v>53</v>
      </c>
      <c r="F48" s="8" t="s">
        <v>2302</v>
      </c>
      <c r="G48" s="29" t="s">
        <v>54</v>
      </c>
      <c r="H48" s="50" t="s">
        <v>2200</v>
      </c>
      <c r="I48" s="50" t="s">
        <v>2200</v>
      </c>
      <c r="J48" s="104" t="s">
        <v>2303</v>
      </c>
      <c r="K48" s="10">
        <v>46032</v>
      </c>
      <c r="L48" s="29" t="s">
        <v>22</v>
      </c>
      <c r="M48" s="56"/>
    </row>
    <row r="49" spans="1:13" ht="31.5">
      <c r="A49" s="5">
        <v>48</v>
      </c>
      <c r="B49" s="29" t="s">
        <v>36</v>
      </c>
      <c r="C49" s="31" t="s">
        <v>2157</v>
      </c>
      <c r="D49" s="29" t="s">
        <v>55</v>
      </c>
      <c r="E49" s="29" t="s">
        <v>56</v>
      </c>
      <c r="F49" s="8" t="s">
        <v>2302</v>
      </c>
      <c r="G49" s="29" t="s">
        <v>57</v>
      </c>
      <c r="H49" s="50" t="s">
        <v>2200</v>
      </c>
      <c r="I49" s="50" t="s">
        <v>2200</v>
      </c>
      <c r="J49" s="104" t="s">
        <v>2303</v>
      </c>
      <c r="K49" s="10">
        <v>46032</v>
      </c>
      <c r="L49" s="29" t="s">
        <v>22</v>
      </c>
      <c r="M49" s="56"/>
    </row>
    <row r="50" spans="1:13" ht="31.5">
      <c r="A50" s="5">
        <v>49</v>
      </c>
      <c r="B50" s="29" t="s">
        <v>36</v>
      </c>
      <c r="C50" s="31" t="s">
        <v>2157</v>
      </c>
      <c r="D50" s="29" t="s">
        <v>58</v>
      </c>
      <c r="E50" s="29" t="s">
        <v>59</v>
      </c>
      <c r="F50" s="8" t="s">
        <v>2302</v>
      </c>
      <c r="G50" s="29" t="s">
        <v>60</v>
      </c>
      <c r="H50" s="50" t="s">
        <v>2200</v>
      </c>
      <c r="I50" s="50" t="s">
        <v>2200</v>
      </c>
      <c r="J50" s="104" t="s">
        <v>2303</v>
      </c>
      <c r="K50" s="10">
        <v>46032</v>
      </c>
      <c r="L50" s="29" t="s">
        <v>22</v>
      </c>
      <c r="M50" s="56"/>
    </row>
    <row r="51" spans="1:13" ht="31.5">
      <c r="A51" s="5">
        <v>50</v>
      </c>
      <c r="B51" s="29" t="s">
        <v>36</v>
      </c>
      <c r="C51" s="31" t="s">
        <v>2157</v>
      </c>
      <c r="D51" s="29" t="s">
        <v>61</v>
      </c>
      <c r="E51" s="29" t="s">
        <v>62</v>
      </c>
      <c r="F51" s="8" t="s">
        <v>2302</v>
      </c>
      <c r="G51" s="29" t="s">
        <v>63</v>
      </c>
      <c r="H51" s="50" t="s">
        <v>2200</v>
      </c>
      <c r="I51" s="50" t="s">
        <v>2200</v>
      </c>
      <c r="J51" s="104" t="s">
        <v>2303</v>
      </c>
      <c r="K51" s="10">
        <v>46032</v>
      </c>
      <c r="L51" s="29" t="s">
        <v>22</v>
      </c>
      <c r="M51" s="56"/>
    </row>
    <row r="52" spans="1:13" ht="31.5">
      <c r="A52" s="5">
        <v>51</v>
      </c>
      <c r="B52" s="29" t="s">
        <v>36</v>
      </c>
      <c r="C52" s="31" t="s">
        <v>2157</v>
      </c>
      <c r="D52" s="29" t="s">
        <v>64</v>
      </c>
      <c r="E52" s="29" t="s">
        <v>65</v>
      </c>
      <c r="F52" s="8" t="s">
        <v>2302</v>
      </c>
      <c r="G52" s="29" t="s">
        <v>66</v>
      </c>
      <c r="H52" s="50" t="s">
        <v>2200</v>
      </c>
      <c r="I52" s="50" t="s">
        <v>2200</v>
      </c>
      <c r="J52" s="104" t="s">
        <v>2303</v>
      </c>
      <c r="K52" s="10">
        <v>46032</v>
      </c>
      <c r="L52" s="29" t="s">
        <v>22</v>
      </c>
      <c r="M52" s="56"/>
    </row>
    <row r="53" spans="1:13" ht="31.5">
      <c r="A53" s="5">
        <v>52</v>
      </c>
      <c r="B53" s="29" t="s">
        <v>36</v>
      </c>
      <c r="C53" s="31" t="s">
        <v>2157</v>
      </c>
      <c r="D53" s="29" t="s">
        <v>67</v>
      </c>
      <c r="E53" s="29" t="s">
        <v>68</v>
      </c>
      <c r="F53" s="8" t="s">
        <v>2302</v>
      </c>
      <c r="G53" s="29" t="s">
        <v>69</v>
      </c>
      <c r="H53" s="50" t="s">
        <v>2200</v>
      </c>
      <c r="I53" s="50" t="s">
        <v>2200</v>
      </c>
      <c r="J53" s="104" t="s">
        <v>2303</v>
      </c>
      <c r="K53" s="10">
        <v>46032</v>
      </c>
      <c r="L53" s="29" t="s">
        <v>22</v>
      </c>
      <c r="M53" s="56"/>
    </row>
    <row r="54" spans="1:13" ht="31.5">
      <c r="A54" s="5">
        <v>53</v>
      </c>
      <c r="B54" s="29" t="s">
        <v>36</v>
      </c>
      <c r="C54" s="31" t="s">
        <v>2157</v>
      </c>
      <c r="D54" s="29" t="s">
        <v>70</v>
      </c>
      <c r="E54" s="29" t="s">
        <v>71</v>
      </c>
      <c r="F54" s="8" t="s">
        <v>2302</v>
      </c>
      <c r="G54" s="29" t="s">
        <v>72</v>
      </c>
      <c r="H54" s="50" t="s">
        <v>2200</v>
      </c>
      <c r="I54" s="50" t="s">
        <v>2200</v>
      </c>
      <c r="J54" s="104" t="s">
        <v>2303</v>
      </c>
      <c r="K54" s="10">
        <v>46032</v>
      </c>
      <c r="L54" s="29" t="s">
        <v>22</v>
      </c>
      <c r="M54" s="56"/>
    </row>
    <row r="55" spans="1:13" ht="31.5">
      <c r="A55" s="5">
        <v>54</v>
      </c>
      <c r="B55" s="29" t="s">
        <v>36</v>
      </c>
      <c r="C55" s="31" t="s">
        <v>2157</v>
      </c>
      <c r="D55" s="29" t="s">
        <v>73</v>
      </c>
      <c r="E55" s="29" t="s">
        <v>74</v>
      </c>
      <c r="F55" s="8" t="s">
        <v>2302</v>
      </c>
      <c r="G55" s="29" t="s">
        <v>75</v>
      </c>
      <c r="H55" s="50" t="s">
        <v>2200</v>
      </c>
      <c r="I55" s="50" t="s">
        <v>2200</v>
      </c>
      <c r="J55" s="104" t="s">
        <v>2303</v>
      </c>
      <c r="K55" s="10">
        <v>46032</v>
      </c>
      <c r="L55" s="29" t="s">
        <v>22</v>
      </c>
      <c r="M55" s="56"/>
    </row>
    <row r="56" spans="1:13" ht="31.5">
      <c r="A56" s="5">
        <v>55</v>
      </c>
      <c r="B56" s="29" t="s">
        <v>36</v>
      </c>
      <c r="C56" s="31" t="s">
        <v>2157</v>
      </c>
      <c r="D56" s="29" t="s">
        <v>76</v>
      </c>
      <c r="E56" s="29" t="s">
        <v>77</v>
      </c>
      <c r="F56" s="8" t="s">
        <v>2302</v>
      </c>
      <c r="G56" s="29" t="s">
        <v>78</v>
      </c>
      <c r="H56" s="50" t="s">
        <v>2200</v>
      </c>
      <c r="I56" s="50" t="s">
        <v>2200</v>
      </c>
      <c r="J56" s="104" t="s">
        <v>2303</v>
      </c>
      <c r="K56" s="10">
        <v>46032</v>
      </c>
      <c r="L56" s="29" t="s">
        <v>22</v>
      </c>
      <c r="M56" s="5"/>
    </row>
    <row r="57" spans="1:13" ht="31.5">
      <c r="A57" s="5">
        <v>56</v>
      </c>
      <c r="B57" s="29" t="s">
        <v>36</v>
      </c>
      <c r="C57" s="31" t="s">
        <v>2157</v>
      </c>
      <c r="D57" s="29" t="s">
        <v>79</v>
      </c>
      <c r="E57" s="29" t="s">
        <v>80</v>
      </c>
      <c r="F57" s="8" t="s">
        <v>2302</v>
      </c>
      <c r="G57" s="29" t="s">
        <v>81</v>
      </c>
      <c r="H57" s="50" t="s">
        <v>2200</v>
      </c>
      <c r="I57" s="50" t="s">
        <v>2200</v>
      </c>
      <c r="J57" s="104" t="s">
        <v>2303</v>
      </c>
      <c r="K57" s="10">
        <v>46032</v>
      </c>
      <c r="L57" s="29" t="s">
        <v>22</v>
      </c>
      <c r="M57" s="56"/>
    </row>
    <row r="58" spans="1:13" ht="31.5">
      <c r="A58" s="5">
        <v>57</v>
      </c>
      <c r="B58" s="29" t="s">
        <v>36</v>
      </c>
      <c r="C58" s="31" t="s">
        <v>2157</v>
      </c>
      <c r="D58" s="29" t="s">
        <v>82</v>
      </c>
      <c r="E58" s="29" t="s">
        <v>83</v>
      </c>
      <c r="F58" s="8" t="s">
        <v>2302</v>
      </c>
      <c r="G58" s="29" t="s">
        <v>84</v>
      </c>
      <c r="H58" s="50" t="s">
        <v>2200</v>
      </c>
      <c r="I58" s="50" t="s">
        <v>2200</v>
      </c>
      <c r="J58" s="104" t="s">
        <v>2303</v>
      </c>
      <c r="K58" s="10">
        <v>46032</v>
      </c>
      <c r="L58" s="29" t="s">
        <v>22</v>
      </c>
      <c r="M58" s="56"/>
    </row>
    <row r="59" spans="1:13" ht="31.5">
      <c r="A59" s="5">
        <v>58</v>
      </c>
      <c r="B59" s="29" t="s">
        <v>36</v>
      </c>
      <c r="C59" s="31" t="s">
        <v>2157</v>
      </c>
      <c r="D59" s="29" t="s">
        <v>85</v>
      </c>
      <c r="E59" s="29" t="s">
        <v>86</v>
      </c>
      <c r="F59" s="8" t="s">
        <v>2302</v>
      </c>
      <c r="G59" s="29" t="s">
        <v>87</v>
      </c>
      <c r="H59" s="50" t="s">
        <v>2200</v>
      </c>
      <c r="I59" s="50" t="s">
        <v>2200</v>
      </c>
      <c r="J59" s="104" t="s">
        <v>2303</v>
      </c>
      <c r="K59" s="10">
        <v>46032</v>
      </c>
      <c r="L59" s="29" t="s">
        <v>22</v>
      </c>
      <c r="M59" s="56"/>
    </row>
    <row r="60" spans="1:13" ht="31.5">
      <c r="A60" s="5">
        <v>59</v>
      </c>
      <c r="B60" s="29" t="s">
        <v>36</v>
      </c>
      <c r="C60" s="31" t="s">
        <v>2157</v>
      </c>
      <c r="D60" s="29" t="s">
        <v>88</v>
      </c>
      <c r="E60" s="29" t="s">
        <v>89</v>
      </c>
      <c r="F60" s="8" t="s">
        <v>2302</v>
      </c>
      <c r="G60" s="29" t="s">
        <v>90</v>
      </c>
      <c r="H60" s="50" t="s">
        <v>2200</v>
      </c>
      <c r="I60" s="50" t="s">
        <v>2200</v>
      </c>
      <c r="J60" s="104" t="s">
        <v>2303</v>
      </c>
      <c r="K60" s="10">
        <v>46032</v>
      </c>
      <c r="L60" s="29" t="s">
        <v>22</v>
      </c>
      <c r="M60" s="56"/>
    </row>
    <row r="61" spans="1:13" ht="31.5">
      <c r="A61" s="5">
        <v>60</v>
      </c>
      <c r="B61" s="29" t="s">
        <v>36</v>
      </c>
      <c r="C61" s="31" t="s">
        <v>2157</v>
      </c>
      <c r="D61" s="29" t="s">
        <v>91</v>
      </c>
      <c r="E61" s="29" t="s">
        <v>92</v>
      </c>
      <c r="F61" s="8" t="s">
        <v>2302</v>
      </c>
      <c r="G61" s="29" t="s">
        <v>93</v>
      </c>
      <c r="H61" s="50" t="s">
        <v>2200</v>
      </c>
      <c r="I61" s="50" t="s">
        <v>2200</v>
      </c>
      <c r="J61" s="104" t="s">
        <v>2303</v>
      </c>
      <c r="K61" s="10">
        <v>46032</v>
      </c>
      <c r="L61" s="29" t="s">
        <v>22</v>
      </c>
      <c r="M61" s="56"/>
    </row>
    <row r="62" spans="1:13" ht="31.5">
      <c r="A62" s="5">
        <v>61</v>
      </c>
      <c r="B62" s="29" t="s">
        <v>36</v>
      </c>
      <c r="C62" s="31" t="s">
        <v>2157</v>
      </c>
      <c r="D62" s="29" t="s">
        <v>94</v>
      </c>
      <c r="E62" s="29" t="s">
        <v>95</v>
      </c>
      <c r="F62" s="8" t="s">
        <v>2302</v>
      </c>
      <c r="G62" s="29" t="s">
        <v>96</v>
      </c>
      <c r="H62" s="50" t="s">
        <v>2200</v>
      </c>
      <c r="I62" s="50" t="s">
        <v>2200</v>
      </c>
      <c r="J62" s="104" t="s">
        <v>2303</v>
      </c>
      <c r="K62" s="10">
        <v>46032</v>
      </c>
      <c r="L62" s="29" t="s">
        <v>22</v>
      </c>
      <c r="M62" s="56"/>
    </row>
    <row r="63" spans="1:13" ht="31.5">
      <c r="A63" s="5">
        <v>62</v>
      </c>
      <c r="B63" s="29" t="s">
        <v>36</v>
      </c>
      <c r="C63" s="31" t="s">
        <v>2157</v>
      </c>
      <c r="D63" s="29" t="s">
        <v>97</v>
      </c>
      <c r="E63" s="29" t="s">
        <v>98</v>
      </c>
      <c r="F63" s="8" t="s">
        <v>2302</v>
      </c>
      <c r="G63" s="29" t="s">
        <v>99</v>
      </c>
      <c r="H63" s="50" t="s">
        <v>2200</v>
      </c>
      <c r="I63" s="50" t="s">
        <v>2200</v>
      </c>
      <c r="J63" s="104" t="s">
        <v>2303</v>
      </c>
      <c r="K63" s="10">
        <v>46032</v>
      </c>
      <c r="L63" s="29" t="s">
        <v>22</v>
      </c>
      <c r="M63" s="56"/>
    </row>
    <row r="64" spans="1:13" ht="31.5">
      <c r="A64" s="5">
        <v>63</v>
      </c>
      <c r="B64" s="29" t="s">
        <v>36</v>
      </c>
      <c r="C64" s="31" t="s">
        <v>2157</v>
      </c>
      <c r="D64" s="29" t="s">
        <v>100</v>
      </c>
      <c r="E64" s="29" t="s">
        <v>101</v>
      </c>
      <c r="F64" s="8" t="s">
        <v>2302</v>
      </c>
      <c r="G64" s="29" t="s">
        <v>102</v>
      </c>
      <c r="H64" s="50" t="s">
        <v>2200</v>
      </c>
      <c r="I64" s="50" t="s">
        <v>2200</v>
      </c>
      <c r="J64" s="104" t="s">
        <v>2303</v>
      </c>
      <c r="K64" s="10">
        <v>46032</v>
      </c>
      <c r="L64" s="29" t="s">
        <v>22</v>
      </c>
      <c r="M64" s="56"/>
    </row>
    <row r="65" spans="1:13" ht="31.5">
      <c r="A65" s="5">
        <v>64</v>
      </c>
      <c r="B65" s="29" t="s">
        <v>36</v>
      </c>
      <c r="C65" s="31" t="s">
        <v>2157</v>
      </c>
      <c r="D65" s="29" t="s">
        <v>103</v>
      </c>
      <c r="E65" s="29" t="s">
        <v>104</v>
      </c>
      <c r="F65" s="8" t="s">
        <v>2302</v>
      </c>
      <c r="G65" s="29" t="s">
        <v>105</v>
      </c>
      <c r="H65" s="50" t="s">
        <v>2200</v>
      </c>
      <c r="I65" s="50" t="s">
        <v>2200</v>
      </c>
      <c r="J65" s="104" t="s">
        <v>2303</v>
      </c>
      <c r="K65" s="10">
        <v>46032</v>
      </c>
      <c r="L65" s="29" t="s">
        <v>22</v>
      </c>
      <c r="M65" s="56"/>
    </row>
    <row r="66" spans="1:13" ht="31.5">
      <c r="A66" s="5">
        <v>65</v>
      </c>
      <c r="B66" s="29" t="s">
        <v>36</v>
      </c>
      <c r="C66" s="31" t="s">
        <v>2157</v>
      </c>
      <c r="D66" s="29" t="s">
        <v>106</v>
      </c>
      <c r="E66" s="29" t="s">
        <v>107</v>
      </c>
      <c r="F66" s="8" t="s">
        <v>2302</v>
      </c>
      <c r="G66" s="29" t="s">
        <v>108</v>
      </c>
      <c r="H66" s="50" t="s">
        <v>2200</v>
      </c>
      <c r="I66" s="50" t="s">
        <v>2200</v>
      </c>
      <c r="J66" s="104" t="s">
        <v>2303</v>
      </c>
      <c r="K66" s="10">
        <v>46032</v>
      </c>
      <c r="L66" s="29" t="s">
        <v>22</v>
      </c>
      <c r="M66" s="56"/>
    </row>
    <row r="67" spans="1:13" ht="31.5">
      <c r="A67" s="5">
        <v>66</v>
      </c>
      <c r="B67" s="29" t="s">
        <v>36</v>
      </c>
      <c r="C67" s="31" t="s">
        <v>2157</v>
      </c>
      <c r="D67" s="29" t="s">
        <v>109</v>
      </c>
      <c r="E67" s="29" t="s">
        <v>110</v>
      </c>
      <c r="F67" s="8" t="s">
        <v>2302</v>
      </c>
      <c r="G67" s="29" t="s">
        <v>111</v>
      </c>
      <c r="H67" s="50" t="s">
        <v>2200</v>
      </c>
      <c r="I67" s="50" t="s">
        <v>2200</v>
      </c>
      <c r="J67" s="104" t="s">
        <v>2303</v>
      </c>
      <c r="K67" s="10">
        <v>46032</v>
      </c>
      <c r="L67" s="29" t="s">
        <v>22</v>
      </c>
      <c r="M67" s="56"/>
    </row>
    <row r="68" spans="1:13" ht="31.5">
      <c r="A68" s="5">
        <v>67</v>
      </c>
      <c r="B68" s="29" t="s">
        <v>36</v>
      </c>
      <c r="C68" s="31" t="s">
        <v>2157</v>
      </c>
      <c r="D68" s="29" t="s">
        <v>112</v>
      </c>
      <c r="E68" s="29" t="s">
        <v>113</v>
      </c>
      <c r="F68" s="8" t="s">
        <v>2302</v>
      </c>
      <c r="G68" s="29" t="s">
        <v>114</v>
      </c>
      <c r="H68" s="50" t="s">
        <v>2200</v>
      </c>
      <c r="I68" s="50" t="s">
        <v>2200</v>
      </c>
      <c r="J68" s="104" t="s">
        <v>2303</v>
      </c>
      <c r="K68" s="10">
        <v>46032</v>
      </c>
      <c r="L68" s="29" t="s">
        <v>22</v>
      </c>
      <c r="M68" s="56"/>
    </row>
    <row r="69" spans="1:13" ht="31.5">
      <c r="A69" s="5">
        <v>68</v>
      </c>
      <c r="B69" s="29" t="s">
        <v>36</v>
      </c>
      <c r="C69" s="31" t="s">
        <v>2157</v>
      </c>
      <c r="D69" s="29" t="s">
        <v>115</v>
      </c>
      <c r="E69" s="29" t="s">
        <v>116</v>
      </c>
      <c r="F69" s="8" t="s">
        <v>2302</v>
      </c>
      <c r="G69" s="29" t="s">
        <v>117</v>
      </c>
      <c r="H69" s="50" t="s">
        <v>2200</v>
      </c>
      <c r="I69" s="50" t="s">
        <v>2200</v>
      </c>
      <c r="J69" s="104" t="s">
        <v>2303</v>
      </c>
      <c r="K69" s="10">
        <v>46032</v>
      </c>
      <c r="L69" s="29" t="s">
        <v>22</v>
      </c>
      <c r="M69" s="56"/>
    </row>
    <row r="70" spans="1:13" ht="31.5">
      <c r="A70" s="5">
        <v>69</v>
      </c>
      <c r="B70" s="29" t="s">
        <v>36</v>
      </c>
      <c r="C70" s="31" t="s">
        <v>2157</v>
      </c>
      <c r="D70" s="29" t="s">
        <v>118</v>
      </c>
      <c r="E70" s="29" t="s">
        <v>119</v>
      </c>
      <c r="F70" s="8" t="s">
        <v>2302</v>
      </c>
      <c r="G70" s="29" t="s">
        <v>120</v>
      </c>
      <c r="H70" s="50" t="s">
        <v>2200</v>
      </c>
      <c r="I70" s="50" t="s">
        <v>2200</v>
      </c>
      <c r="J70" s="104" t="s">
        <v>2303</v>
      </c>
      <c r="K70" s="10">
        <v>46032</v>
      </c>
      <c r="L70" s="29" t="s">
        <v>22</v>
      </c>
      <c r="M70" s="56"/>
    </row>
    <row r="71" spans="1:13" ht="31.5">
      <c r="A71" s="5">
        <v>70</v>
      </c>
      <c r="B71" s="29" t="s">
        <v>36</v>
      </c>
      <c r="C71" s="31" t="s">
        <v>2157</v>
      </c>
      <c r="D71" s="29" t="s">
        <v>121</v>
      </c>
      <c r="E71" s="29" t="s">
        <v>122</v>
      </c>
      <c r="F71" s="8" t="s">
        <v>2302</v>
      </c>
      <c r="G71" s="29" t="s">
        <v>1831</v>
      </c>
      <c r="H71" s="50" t="s">
        <v>2200</v>
      </c>
      <c r="I71" s="50" t="s">
        <v>2200</v>
      </c>
      <c r="J71" s="104" t="s">
        <v>2303</v>
      </c>
      <c r="K71" s="10">
        <v>46032</v>
      </c>
      <c r="L71" s="29" t="s">
        <v>22</v>
      </c>
      <c r="M71" s="56"/>
    </row>
    <row r="72" spans="1:13" ht="31.5">
      <c r="A72" s="5">
        <v>71</v>
      </c>
      <c r="B72" s="29" t="s">
        <v>36</v>
      </c>
      <c r="C72" s="31" t="s">
        <v>2157</v>
      </c>
      <c r="D72" s="29" t="s">
        <v>123</v>
      </c>
      <c r="E72" s="29" t="s">
        <v>124</v>
      </c>
      <c r="F72" s="8" t="s">
        <v>2302</v>
      </c>
      <c r="G72" s="29" t="s">
        <v>125</v>
      </c>
      <c r="H72" s="50" t="s">
        <v>2200</v>
      </c>
      <c r="I72" s="50" t="s">
        <v>2200</v>
      </c>
      <c r="J72" s="104" t="s">
        <v>2303</v>
      </c>
      <c r="K72" s="10">
        <v>46032</v>
      </c>
      <c r="L72" s="29" t="s">
        <v>22</v>
      </c>
      <c r="M72" s="56"/>
    </row>
    <row r="73" spans="1:13" ht="31.5">
      <c r="A73" s="5">
        <v>72</v>
      </c>
      <c r="B73" s="29" t="s">
        <v>36</v>
      </c>
      <c r="C73" s="31" t="s">
        <v>2157</v>
      </c>
      <c r="D73" s="29" t="s">
        <v>126</v>
      </c>
      <c r="E73" s="29" t="s">
        <v>127</v>
      </c>
      <c r="F73" s="8" t="s">
        <v>2302</v>
      </c>
      <c r="G73" s="29" t="s">
        <v>128</v>
      </c>
      <c r="H73" s="50" t="s">
        <v>2200</v>
      </c>
      <c r="I73" s="50" t="s">
        <v>2200</v>
      </c>
      <c r="J73" s="104" t="s">
        <v>2303</v>
      </c>
      <c r="K73" s="10">
        <v>46032</v>
      </c>
      <c r="L73" s="29" t="s">
        <v>22</v>
      </c>
      <c r="M73" s="56"/>
    </row>
    <row r="74" spans="1:13" ht="31.5">
      <c r="A74" s="5">
        <v>73</v>
      </c>
      <c r="B74" s="29" t="s">
        <v>36</v>
      </c>
      <c r="C74" s="31" t="s">
        <v>2157</v>
      </c>
      <c r="D74" s="29" t="s">
        <v>129</v>
      </c>
      <c r="E74" s="29" t="s">
        <v>130</v>
      </c>
      <c r="F74" s="8" t="s">
        <v>2302</v>
      </c>
      <c r="G74" s="29" t="s">
        <v>131</v>
      </c>
      <c r="H74" s="50" t="s">
        <v>2200</v>
      </c>
      <c r="I74" s="50" t="s">
        <v>2200</v>
      </c>
      <c r="J74" s="104" t="s">
        <v>2303</v>
      </c>
      <c r="K74" s="10">
        <v>46032</v>
      </c>
      <c r="L74" s="29" t="s">
        <v>22</v>
      </c>
      <c r="M74" s="56"/>
    </row>
    <row r="75" spans="1:13" ht="31.5">
      <c r="A75" s="5">
        <v>74</v>
      </c>
      <c r="B75" s="29" t="s">
        <v>36</v>
      </c>
      <c r="C75" s="31" t="s">
        <v>2157</v>
      </c>
      <c r="D75" s="29" t="s">
        <v>132</v>
      </c>
      <c r="E75" s="29" t="s">
        <v>133</v>
      </c>
      <c r="F75" s="8" t="s">
        <v>2302</v>
      </c>
      <c r="G75" s="29" t="s">
        <v>134</v>
      </c>
      <c r="H75" s="50" t="s">
        <v>2200</v>
      </c>
      <c r="I75" s="50" t="s">
        <v>2200</v>
      </c>
      <c r="J75" s="104" t="s">
        <v>2303</v>
      </c>
      <c r="K75" s="10">
        <v>46032</v>
      </c>
      <c r="L75" s="29" t="s">
        <v>22</v>
      </c>
      <c r="M75" s="56"/>
    </row>
    <row r="76" spans="1:13" ht="31.5">
      <c r="A76" s="5">
        <v>75</v>
      </c>
      <c r="B76" s="29" t="s">
        <v>36</v>
      </c>
      <c r="C76" s="31" t="s">
        <v>2157</v>
      </c>
      <c r="D76" s="29" t="s">
        <v>135</v>
      </c>
      <c r="E76" s="29" t="s">
        <v>136</v>
      </c>
      <c r="F76" s="8" t="s">
        <v>2302</v>
      </c>
      <c r="G76" s="29" t="s">
        <v>137</v>
      </c>
      <c r="H76" s="50" t="s">
        <v>2200</v>
      </c>
      <c r="I76" s="50" t="s">
        <v>2200</v>
      </c>
      <c r="J76" s="104" t="s">
        <v>2303</v>
      </c>
      <c r="K76" s="10">
        <v>46032</v>
      </c>
      <c r="L76" s="29" t="s">
        <v>22</v>
      </c>
      <c r="M76" s="56"/>
    </row>
    <row r="77" spans="1:13" ht="31.5">
      <c r="A77" s="5">
        <v>76</v>
      </c>
      <c r="B77" s="29" t="s">
        <v>36</v>
      </c>
      <c r="C77" s="31" t="s">
        <v>2157</v>
      </c>
      <c r="D77" s="29" t="s">
        <v>1832</v>
      </c>
      <c r="E77" s="29" t="s">
        <v>158</v>
      </c>
      <c r="F77" s="8" t="s">
        <v>2302</v>
      </c>
      <c r="G77" s="29" t="s">
        <v>1833</v>
      </c>
      <c r="H77" s="50" t="s">
        <v>2200</v>
      </c>
      <c r="I77" s="50" t="s">
        <v>2200</v>
      </c>
      <c r="J77" s="104" t="s">
        <v>2303</v>
      </c>
      <c r="K77" s="10">
        <v>46032</v>
      </c>
      <c r="L77" s="29" t="s">
        <v>22</v>
      </c>
      <c r="M77" s="5"/>
    </row>
    <row r="78" spans="1:13" ht="31.5">
      <c r="A78" s="5">
        <v>77</v>
      </c>
      <c r="B78" s="29" t="s">
        <v>36</v>
      </c>
      <c r="C78" s="29" t="s">
        <v>145</v>
      </c>
      <c r="D78" s="29" t="s">
        <v>146</v>
      </c>
      <c r="E78" s="29" t="s">
        <v>147</v>
      </c>
      <c r="F78" s="8" t="s">
        <v>2302</v>
      </c>
      <c r="G78" s="29" t="s">
        <v>148</v>
      </c>
      <c r="H78" s="50" t="s">
        <v>2200</v>
      </c>
      <c r="I78" s="50" t="s">
        <v>2200</v>
      </c>
      <c r="J78" s="104" t="s">
        <v>2303</v>
      </c>
      <c r="K78" s="10">
        <v>46032</v>
      </c>
      <c r="L78" s="29" t="s">
        <v>25</v>
      </c>
      <c r="M78" s="56"/>
    </row>
    <row r="79" spans="1:13" ht="31.5">
      <c r="A79" s="5">
        <v>78</v>
      </c>
      <c r="B79" s="29" t="s">
        <v>36</v>
      </c>
      <c r="C79" s="29" t="s">
        <v>145</v>
      </c>
      <c r="D79" s="29" t="s">
        <v>149</v>
      </c>
      <c r="E79" s="29" t="s">
        <v>150</v>
      </c>
      <c r="F79" s="8" t="s">
        <v>2302</v>
      </c>
      <c r="G79" s="29" t="s">
        <v>151</v>
      </c>
      <c r="H79" s="50" t="s">
        <v>2200</v>
      </c>
      <c r="I79" s="50" t="s">
        <v>2200</v>
      </c>
      <c r="J79" s="104" t="s">
        <v>2303</v>
      </c>
      <c r="K79" s="10">
        <v>46032</v>
      </c>
      <c r="L79" s="29" t="s">
        <v>25</v>
      </c>
      <c r="M79" s="56"/>
    </row>
    <row r="80" spans="1:13" ht="31.5">
      <c r="A80" s="5">
        <v>79</v>
      </c>
      <c r="B80" s="29" t="s">
        <v>36</v>
      </c>
      <c r="C80" s="29" t="s">
        <v>145</v>
      </c>
      <c r="D80" s="29" t="s">
        <v>152</v>
      </c>
      <c r="E80" s="29" t="s">
        <v>153</v>
      </c>
      <c r="F80" s="8" t="s">
        <v>2302</v>
      </c>
      <c r="G80" s="29" t="s">
        <v>154</v>
      </c>
      <c r="H80" s="50" t="s">
        <v>2200</v>
      </c>
      <c r="I80" s="50" t="s">
        <v>2200</v>
      </c>
      <c r="J80" s="104" t="s">
        <v>2303</v>
      </c>
      <c r="K80" s="10">
        <v>46032</v>
      </c>
      <c r="L80" s="29" t="s">
        <v>25</v>
      </c>
      <c r="M80" s="56"/>
    </row>
    <row r="81" spans="1:13" ht="31.5">
      <c r="A81" s="5">
        <v>80</v>
      </c>
      <c r="B81" s="29" t="s">
        <v>36</v>
      </c>
      <c r="C81" s="29" t="s">
        <v>145</v>
      </c>
      <c r="D81" s="29" t="s">
        <v>155</v>
      </c>
      <c r="E81" s="29" t="s">
        <v>156</v>
      </c>
      <c r="F81" s="8" t="s">
        <v>2302</v>
      </c>
      <c r="G81" s="29" t="s">
        <v>157</v>
      </c>
      <c r="H81" s="50" t="s">
        <v>2200</v>
      </c>
      <c r="I81" s="50" t="s">
        <v>2200</v>
      </c>
      <c r="J81" s="104" t="s">
        <v>2303</v>
      </c>
      <c r="K81" s="10">
        <v>46032</v>
      </c>
      <c r="L81" s="29" t="s">
        <v>25</v>
      </c>
      <c r="M81" s="56"/>
    </row>
    <row r="82" spans="1:13" ht="31.5">
      <c r="A82" s="5">
        <v>81</v>
      </c>
      <c r="B82" s="29" t="s">
        <v>36</v>
      </c>
      <c r="C82" s="29" t="s">
        <v>145</v>
      </c>
      <c r="D82" s="29" t="s">
        <v>160</v>
      </c>
      <c r="E82" s="29" t="s">
        <v>161</v>
      </c>
      <c r="F82" s="8" t="s">
        <v>2302</v>
      </c>
      <c r="G82" s="29" t="s">
        <v>162</v>
      </c>
      <c r="H82" s="50" t="s">
        <v>2200</v>
      </c>
      <c r="I82" s="50" t="s">
        <v>2200</v>
      </c>
      <c r="J82" s="104" t="s">
        <v>2303</v>
      </c>
      <c r="K82" s="10">
        <v>46032</v>
      </c>
      <c r="L82" s="29" t="s">
        <v>25</v>
      </c>
      <c r="M82" s="5"/>
    </row>
    <row r="83" spans="1:13" ht="31.5">
      <c r="A83" s="5">
        <v>82</v>
      </c>
      <c r="B83" s="29" t="s">
        <v>36</v>
      </c>
      <c r="C83" s="29" t="s">
        <v>145</v>
      </c>
      <c r="D83" s="29" t="s">
        <v>163</v>
      </c>
      <c r="E83" s="29" t="s">
        <v>164</v>
      </c>
      <c r="F83" s="8" t="s">
        <v>2302</v>
      </c>
      <c r="G83" s="29" t="s">
        <v>165</v>
      </c>
      <c r="H83" s="50" t="s">
        <v>2200</v>
      </c>
      <c r="I83" s="50" t="s">
        <v>2200</v>
      </c>
      <c r="J83" s="104" t="s">
        <v>2303</v>
      </c>
      <c r="K83" s="10">
        <v>46032</v>
      </c>
      <c r="L83" s="29" t="s">
        <v>25</v>
      </c>
      <c r="M83" s="56"/>
    </row>
    <row r="84" spans="1:13" ht="31.5">
      <c r="A84" s="5">
        <v>83</v>
      </c>
      <c r="B84" s="29" t="s">
        <v>36</v>
      </c>
      <c r="C84" s="29" t="s">
        <v>145</v>
      </c>
      <c r="D84" s="29" t="s">
        <v>166</v>
      </c>
      <c r="E84" s="29" t="s">
        <v>167</v>
      </c>
      <c r="F84" s="8" t="s">
        <v>2302</v>
      </c>
      <c r="G84" s="29" t="s">
        <v>168</v>
      </c>
      <c r="H84" s="50" t="s">
        <v>2200</v>
      </c>
      <c r="I84" s="50" t="s">
        <v>2200</v>
      </c>
      <c r="J84" s="104" t="s">
        <v>2303</v>
      </c>
      <c r="K84" s="10">
        <v>46032</v>
      </c>
      <c r="L84" s="29" t="s">
        <v>22</v>
      </c>
      <c r="M84" s="56"/>
    </row>
    <row r="85" spans="1:13" ht="31.5">
      <c r="A85" s="5">
        <v>84</v>
      </c>
      <c r="B85" s="29" t="s">
        <v>36</v>
      </c>
      <c r="C85" s="29" t="s">
        <v>145</v>
      </c>
      <c r="D85" s="29" t="s">
        <v>169</v>
      </c>
      <c r="E85" s="29" t="s">
        <v>170</v>
      </c>
      <c r="F85" s="8" t="s">
        <v>2302</v>
      </c>
      <c r="G85" s="29" t="s">
        <v>171</v>
      </c>
      <c r="H85" s="50" t="s">
        <v>2200</v>
      </c>
      <c r="I85" s="50" t="s">
        <v>2200</v>
      </c>
      <c r="J85" s="104" t="s">
        <v>2303</v>
      </c>
      <c r="K85" s="10">
        <v>46032</v>
      </c>
      <c r="L85" s="29" t="s">
        <v>25</v>
      </c>
      <c r="M85" s="56"/>
    </row>
    <row r="86" spans="1:13" ht="31.5">
      <c r="A86" s="5">
        <v>85</v>
      </c>
      <c r="B86" s="29" t="s">
        <v>36</v>
      </c>
      <c r="C86" s="29" t="s">
        <v>145</v>
      </c>
      <c r="D86" s="29" t="s">
        <v>172</v>
      </c>
      <c r="E86" s="29" t="s">
        <v>173</v>
      </c>
      <c r="F86" s="8" t="s">
        <v>2302</v>
      </c>
      <c r="G86" s="29" t="s">
        <v>174</v>
      </c>
      <c r="H86" s="50" t="s">
        <v>2200</v>
      </c>
      <c r="I86" s="50" t="s">
        <v>2200</v>
      </c>
      <c r="J86" s="104" t="s">
        <v>2303</v>
      </c>
      <c r="K86" s="10">
        <v>46032</v>
      </c>
      <c r="L86" s="29" t="s">
        <v>25</v>
      </c>
      <c r="M86" s="56"/>
    </row>
    <row r="87" spans="1:13" ht="31.5">
      <c r="A87" s="5">
        <v>86</v>
      </c>
      <c r="B87" s="29" t="s">
        <v>36</v>
      </c>
      <c r="C87" s="32" t="s">
        <v>145</v>
      </c>
      <c r="D87" s="29" t="s">
        <v>175</v>
      </c>
      <c r="E87" s="29" t="s">
        <v>176</v>
      </c>
      <c r="F87" s="8" t="s">
        <v>2302</v>
      </c>
      <c r="G87" s="29" t="s">
        <v>177</v>
      </c>
      <c r="H87" s="50" t="s">
        <v>2200</v>
      </c>
      <c r="I87" s="50" t="s">
        <v>2200</v>
      </c>
      <c r="J87" s="104" t="s">
        <v>2303</v>
      </c>
      <c r="K87" s="10">
        <v>46032</v>
      </c>
      <c r="L87" s="29" t="s">
        <v>25</v>
      </c>
      <c r="M87" s="56"/>
    </row>
    <row r="88" spans="1:13" ht="31.5">
      <c r="A88" s="5">
        <v>87</v>
      </c>
      <c r="B88" s="29" t="s">
        <v>36</v>
      </c>
      <c r="C88" s="29" t="s">
        <v>145</v>
      </c>
      <c r="D88" s="29" t="s">
        <v>178</v>
      </c>
      <c r="E88" s="29" t="s">
        <v>179</v>
      </c>
      <c r="F88" s="8" t="s">
        <v>2302</v>
      </c>
      <c r="G88" s="29" t="s">
        <v>180</v>
      </c>
      <c r="H88" s="50" t="s">
        <v>2200</v>
      </c>
      <c r="I88" s="50" t="s">
        <v>2200</v>
      </c>
      <c r="J88" s="104" t="s">
        <v>2303</v>
      </c>
      <c r="K88" s="10">
        <v>46032</v>
      </c>
      <c r="L88" s="29" t="s">
        <v>25</v>
      </c>
      <c r="M88" s="56"/>
    </row>
    <row r="89" spans="1:13" ht="31.5">
      <c r="A89" s="5">
        <v>88</v>
      </c>
      <c r="B89" s="29" t="s">
        <v>36</v>
      </c>
      <c r="C89" s="29" t="s">
        <v>145</v>
      </c>
      <c r="D89" s="29" t="s">
        <v>181</v>
      </c>
      <c r="E89" s="29" t="s">
        <v>182</v>
      </c>
      <c r="F89" s="8" t="s">
        <v>2302</v>
      </c>
      <c r="G89" s="29" t="s">
        <v>183</v>
      </c>
      <c r="H89" s="50" t="s">
        <v>2200</v>
      </c>
      <c r="I89" s="50" t="s">
        <v>2200</v>
      </c>
      <c r="J89" s="104" t="s">
        <v>2303</v>
      </c>
      <c r="K89" s="10">
        <v>46032</v>
      </c>
      <c r="L89" s="29" t="s">
        <v>25</v>
      </c>
      <c r="M89" s="56"/>
    </row>
    <row r="90" spans="1:13" ht="31.5">
      <c r="A90" s="5">
        <v>89</v>
      </c>
      <c r="B90" s="29" t="s">
        <v>36</v>
      </c>
      <c r="C90" s="29" t="s">
        <v>145</v>
      </c>
      <c r="D90" s="29" t="s">
        <v>184</v>
      </c>
      <c r="E90" s="29" t="s">
        <v>185</v>
      </c>
      <c r="F90" s="8" t="s">
        <v>2302</v>
      </c>
      <c r="G90" s="29" t="s">
        <v>186</v>
      </c>
      <c r="H90" s="50" t="s">
        <v>2200</v>
      </c>
      <c r="I90" s="50" t="s">
        <v>2200</v>
      </c>
      <c r="J90" s="104" t="s">
        <v>2303</v>
      </c>
      <c r="K90" s="10">
        <v>46032</v>
      </c>
      <c r="L90" s="29" t="s">
        <v>25</v>
      </c>
      <c r="M90" s="56"/>
    </row>
    <row r="91" spans="1:13" ht="31.5">
      <c r="A91" s="5">
        <v>90</v>
      </c>
      <c r="B91" s="29" t="s">
        <v>36</v>
      </c>
      <c r="C91" s="29" t="s">
        <v>145</v>
      </c>
      <c r="D91" s="29" t="s">
        <v>187</v>
      </c>
      <c r="E91" s="29" t="s">
        <v>188</v>
      </c>
      <c r="F91" s="8" t="s">
        <v>2302</v>
      </c>
      <c r="G91" s="29" t="s">
        <v>189</v>
      </c>
      <c r="H91" s="50" t="s">
        <v>2200</v>
      </c>
      <c r="I91" s="50" t="s">
        <v>2200</v>
      </c>
      <c r="J91" s="104" t="s">
        <v>2303</v>
      </c>
      <c r="K91" s="10">
        <v>46032</v>
      </c>
      <c r="L91" s="29" t="s">
        <v>25</v>
      </c>
      <c r="M91" s="56"/>
    </row>
    <row r="92" spans="1:13" ht="31.5">
      <c r="A92" s="5">
        <v>91</v>
      </c>
      <c r="B92" s="29" t="s">
        <v>36</v>
      </c>
      <c r="C92" s="29" t="s">
        <v>145</v>
      </c>
      <c r="D92" s="29" t="s">
        <v>1792</v>
      </c>
      <c r="E92" s="29" t="s">
        <v>18</v>
      </c>
      <c r="F92" s="8" t="s">
        <v>2302</v>
      </c>
      <c r="G92" s="29" t="s">
        <v>1834</v>
      </c>
      <c r="H92" s="50" t="s">
        <v>2200</v>
      </c>
      <c r="I92" s="50" t="s">
        <v>2200</v>
      </c>
      <c r="J92" s="104" t="s">
        <v>2303</v>
      </c>
      <c r="K92" s="10">
        <v>46032</v>
      </c>
      <c r="L92" s="29" t="s">
        <v>22</v>
      </c>
      <c r="M92" s="56"/>
    </row>
    <row r="93" spans="1:13" ht="31.5">
      <c r="A93" s="5">
        <v>92</v>
      </c>
      <c r="B93" s="29" t="s">
        <v>36</v>
      </c>
      <c r="C93" s="29" t="s">
        <v>145</v>
      </c>
      <c r="D93" s="29" t="s">
        <v>1793</v>
      </c>
      <c r="E93" s="29" t="s">
        <v>18</v>
      </c>
      <c r="F93" s="8" t="s">
        <v>2302</v>
      </c>
      <c r="G93" s="29" t="s">
        <v>1835</v>
      </c>
      <c r="H93" s="50" t="s">
        <v>2200</v>
      </c>
      <c r="I93" s="50" t="s">
        <v>2200</v>
      </c>
      <c r="J93" s="104" t="s">
        <v>2303</v>
      </c>
      <c r="K93" s="10">
        <v>46032</v>
      </c>
      <c r="L93" s="29" t="s">
        <v>22</v>
      </c>
      <c r="M93" s="56"/>
    </row>
    <row r="94" spans="1:13" ht="31.5">
      <c r="A94" s="5">
        <v>93</v>
      </c>
      <c r="B94" s="29" t="s">
        <v>36</v>
      </c>
      <c r="C94" s="29" t="s">
        <v>145</v>
      </c>
      <c r="D94" s="29" t="s">
        <v>190</v>
      </c>
      <c r="E94" s="29" t="s">
        <v>18</v>
      </c>
      <c r="F94" s="8" t="s">
        <v>2302</v>
      </c>
      <c r="G94" s="29" t="s">
        <v>159</v>
      </c>
      <c r="H94" s="50" t="s">
        <v>2200</v>
      </c>
      <c r="I94" s="50" t="s">
        <v>2200</v>
      </c>
      <c r="J94" s="104" t="s">
        <v>2303</v>
      </c>
      <c r="K94" s="10">
        <v>46032</v>
      </c>
      <c r="L94" s="29" t="s">
        <v>22</v>
      </c>
      <c r="M94" s="56"/>
    </row>
    <row r="95" spans="1:13" ht="48" customHeight="1">
      <c r="A95" s="5">
        <v>94</v>
      </c>
      <c r="B95" s="29" t="s">
        <v>36</v>
      </c>
      <c r="C95" s="29" t="s">
        <v>145</v>
      </c>
      <c r="D95" s="29" t="s">
        <v>1794</v>
      </c>
      <c r="E95" s="29" t="s">
        <v>18</v>
      </c>
      <c r="F95" s="8" t="s">
        <v>2302</v>
      </c>
      <c r="G95" s="29" t="s">
        <v>1836</v>
      </c>
      <c r="H95" s="50" t="s">
        <v>2200</v>
      </c>
      <c r="I95" s="50" t="s">
        <v>2200</v>
      </c>
      <c r="J95" s="104" t="s">
        <v>2303</v>
      </c>
      <c r="K95" s="10">
        <v>46032</v>
      </c>
      <c r="L95" s="29" t="s">
        <v>25</v>
      </c>
      <c r="M95" s="56"/>
    </row>
    <row r="96" spans="1:13" ht="48" customHeight="1">
      <c r="A96" s="5">
        <v>95</v>
      </c>
      <c r="B96" s="29" t="s">
        <v>36</v>
      </c>
      <c r="C96" s="29" t="s">
        <v>145</v>
      </c>
      <c r="D96" s="29" t="s">
        <v>1837</v>
      </c>
      <c r="E96" s="29" t="s">
        <v>18</v>
      </c>
      <c r="F96" s="8" t="s">
        <v>2302</v>
      </c>
      <c r="G96" s="29" t="s">
        <v>1838</v>
      </c>
      <c r="H96" s="50" t="s">
        <v>2200</v>
      </c>
      <c r="I96" s="50" t="s">
        <v>2200</v>
      </c>
      <c r="J96" s="104" t="s">
        <v>2303</v>
      </c>
      <c r="K96" s="10">
        <v>46032</v>
      </c>
      <c r="L96" s="29" t="s">
        <v>25</v>
      </c>
      <c r="M96" s="56"/>
    </row>
    <row r="97" spans="1:13" ht="48" customHeight="1">
      <c r="A97" s="5">
        <v>96</v>
      </c>
      <c r="B97" s="29" t="s">
        <v>36</v>
      </c>
      <c r="C97" s="29" t="s">
        <v>145</v>
      </c>
      <c r="D97" s="29" t="s">
        <v>1795</v>
      </c>
      <c r="E97" s="29" t="s">
        <v>18</v>
      </c>
      <c r="F97" s="8" t="s">
        <v>2302</v>
      </c>
      <c r="G97" s="29" t="s">
        <v>1839</v>
      </c>
      <c r="H97" s="50" t="s">
        <v>2200</v>
      </c>
      <c r="I97" s="50" t="s">
        <v>2200</v>
      </c>
      <c r="J97" s="104" t="s">
        <v>2303</v>
      </c>
      <c r="K97" s="10">
        <v>46032</v>
      </c>
      <c r="L97" s="29" t="s">
        <v>25</v>
      </c>
      <c r="M97" s="56"/>
    </row>
    <row r="98" spans="1:13" ht="48" customHeight="1">
      <c r="A98" s="5">
        <v>97</v>
      </c>
      <c r="B98" s="29" t="s">
        <v>36</v>
      </c>
      <c r="C98" s="29" t="s">
        <v>145</v>
      </c>
      <c r="D98" s="29" t="s">
        <v>1796</v>
      </c>
      <c r="E98" s="29" t="s">
        <v>18</v>
      </c>
      <c r="F98" s="8" t="s">
        <v>2302</v>
      </c>
      <c r="G98" s="29" t="s">
        <v>1840</v>
      </c>
      <c r="H98" s="50" t="s">
        <v>2200</v>
      </c>
      <c r="I98" s="50" t="s">
        <v>2200</v>
      </c>
      <c r="J98" s="104" t="s">
        <v>2303</v>
      </c>
      <c r="K98" s="10">
        <v>46032</v>
      </c>
      <c r="L98" s="29" t="s">
        <v>25</v>
      </c>
      <c r="M98" s="56"/>
    </row>
    <row r="99" spans="1:13" ht="48" customHeight="1">
      <c r="A99" s="5">
        <v>98</v>
      </c>
      <c r="B99" s="29" t="s">
        <v>36</v>
      </c>
      <c r="C99" s="29" t="s">
        <v>145</v>
      </c>
      <c r="D99" s="29" t="s">
        <v>1841</v>
      </c>
      <c r="E99" s="29" t="s">
        <v>18</v>
      </c>
      <c r="F99" s="8" t="s">
        <v>2302</v>
      </c>
      <c r="G99" s="29" t="s">
        <v>1842</v>
      </c>
      <c r="H99" s="50" t="s">
        <v>2200</v>
      </c>
      <c r="I99" s="50" t="s">
        <v>2200</v>
      </c>
      <c r="J99" s="104" t="s">
        <v>2303</v>
      </c>
      <c r="K99" s="10">
        <v>46032</v>
      </c>
      <c r="L99" s="29" t="s">
        <v>25</v>
      </c>
      <c r="M99" s="56"/>
    </row>
    <row r="100" spans="1:13" ht="48" customHeight="1">
      <c r="A100" s="5">
        <v>99</v>
      </c>
      <c r="B100" s="29" t="s">
        <v>36</v>
      </c>
      <c r="C100" s="29" t="s">
        <v>145</v>
      </c>
      <c r="D100" s="29" t="s">
        <v>191</v>
      </c>
      <c r="E100" s="29" t="s">
        <v>18</v>
      </c>
      <c r="F100" s="8" t="s">
        <v>2302</v>
      </c>
      <c r="G100" s="29" t="s">
        <v>192</v>
      </c>
      <c r="H100" s="50" t="s">
        <v>2200</v>
      </c>
      <c r="I100" s="50" t="s">
        <v>2200</v>
      </c>
      <c r="J100" s="104" t="s">
        <v>2303</v>
      </c>
      <c r="K100" s="10">
        <v>46032</v>
      </c>
      <c r="L100" s="29" t="s">
        <v>25</v>
      </c>
      <c r="M100" s="56"/>
    </row>
    <row r="101" spans="1:13" ht="48" customHeight="1">
      <c r="A101" s="5">
        <v>100</v>
      </c>
      <c r="B101" s="29" t="s">
        <v>36</v>
      </c>
      <c r="C101" s="31" t="s">
        <v>2270</v>
      </c>
      <c r="D101" s="29" t="s">
        <v>1843</v>
      </c>
      <c r="E101" s="29" t="s">
        <v>1844</v>
      </c>
      <c r="F101" s="8" t="s">
        <v>2315</v>
      </c>
      <c r="G101" s="29" t="s">
        <v>1845</v>
      </c>
      <c r="H101" s="50" t="s">
        <v>2200</v>
      </c>
      <c r="I101" s="50" t="s">
        <v>2200</v>
      </c>
      <c r="J101" s="104" t="s">
        <v>2303</v>
      </c>
      <c r="K101" s="10">
        <v>46032</v>
      </c>
      <c r="L101" s="29" t="s">
        <v>25</v>
      </c>
      <c r="M101" s="56"/>
    </row>
    <row r="102" spans="1:13" ht="48" customHeight="1">
      <c r="A102" s="5">
        <v>101</v>
      </c>
      <c r="B102" s="29" t="s">
        <v>36</v>
      </c>
      <c r="C102" s="31" t="s">
        <v>2270</v>
      </c>
      <c r="D102" s="29" t="s">
        <v>1846</v>
      </c>
      <c r="E102" s="29" t="s">
        <v>1847</v>
      </c>
      <c r="F102" s="8" t="s">
        <v>2316</v>
      </c>
      <c r="G102" s="29" t="s">
        <v>162</v>
      </c>
      <c r="H102" s="50" t="s">
        <v>2200</v>
      </c>
      <c r="I102" s="50" t="s">
        <v>2321</v>
      </c>
      <c r="J102" s="104" t="s">
        <v>2303</v>
      </c>
      <c r="K102" s="10">
        <v>46032</v>
      </c>
      <c r="L102" s="29" t="s">
        <v>25</v>
      </c>
      <c r="M102" s="56"/>
    </row>
    <row r="103" spans="1:13" ht="48" customHeight="1">
      <c r="A103" s="5">
        <v>102</v>
      </c>
      <c r="B103" s="29" t="s">
        <v>36</v>
      </c>
      <c r="C103" s="31" t="s">
        <v>2270</v>
      </c>
      <c r="D103" s="29" t="s">
        <v>1848</v>
      </c>
      <c r="E103" s="29" t="s">
        <v>1849</v>
      </c>
      <c r="F103" s="8" t="s">
        <v>2317</v>
      </c>
      <c r="G103" s="29" t="s">
        <v>1850</v>
      </c>
      <c r="H103" s="50" t="s">
        <v>2200</v>
      </c>
      <c r="I103" s="50" t="s">
        <v>2200</v>
      </c>
      <c r="J103" s="104" t="s">
        <v>2303</v>
      </c>
      <c r="K103" s="10">
        <v>46032</v>
      </c>
      <c r="L103" s="29" t="s">
        <v>25</v>
      </c>
      <c r="M103" s="56"/>
    </row>
    <row r="104" spans="1:13" ht="48" customHeight="1">
      <c r="A104" s="5">
        <v>103</v>
      </c>
      <c r="B104" s="29" t="s">
        <v>36</v>
      </c>
      <c r="C104" s="31" t="s">
        <v>2270</v>
      </c>
      <c r="D104" s="29" t="s">
        <v>1851</v>
      </c>
      <c r="E104" s="29" t="s">
        <v>1852</v>
      </c>
      <c r="F104" s="8" t="s">
        <v>2315</v>
      </c>
      <c r="G104" s="29" t="s">
        <v>162</v>
      </c>
      <c r="H104" s="50" t="s">
        <v>2200</v>
      </c>
      <c r="I104" s="50" t="s">
        <v>2200</v>
      </c>
      <c r="J104" s="104" t="s">
        <v>2303</v>
      </c>
      <c r="K104" s="10">
        <v>46032</v>
      </c>
      <c r="L104" s="29" t="s">
        <v>25</v>
      </c>
      <c r="M104" s="56"/>
    </row>
    <row r="105" spans="1:13" ht="48" customHeight="1">
      <c r="A105" s="5">
        <v>104</v>
      </c>
      <c r="B105" s="29" t="s">
        <v>36</v>
      </c>
      <c r="C105" s="31" t="s">
        <v>2270</v>
      </c>
      <c r="D105" s="29" t="s">
        <v>1853</v>
      </c>
      <c r="E105" s="29" t="s">
        <v>1854</v>
      </c>
      <c r="F105" s="8" t="s">
        <v>2316</v>
      </c>
      <c r="G105" s="29" t="s">
        <v>162</v>
      </c>
      <c r="H105" s="50" t="s">
        <v>2200</v>
      </c>
      <c r="I105" s="50" t="s">
        <v>2321</v>
      </c>
      <c r="J105" s="104" t="s">
        <v>2303</v>
      </c>
      <c r="K105" s="10">
        <v>46032</v>
      </c>
      <c r="L105" s="29" t="s">
        <v>25</v>
      </c>
      <c r="M105" s="56"/>
    </row>
    <row r="106" spans="1:13" ht="48" customHeight="1">
      <c r="A106" s="5">
        <v>105</v>
      </c>
      <c r="B106" s="29" t="s">
        <v>36</v>
      </c>
      <c r="C106" s="31" t="s">
        <v>2270</v>
      </c>
      <c r="D106" s="29" t="s">
        <v>1855</v>
      </c>
      <c r="E106" s="29" t="s">
        <v>1856</v>
      </c>
      <c r="F106" s="8" t="s">
        <v>2317</v>
      </c>
      <c r="G106" s="29" t="s">
        <v>162</v>
      </c>
      <c r="H106" s="50" t="s">
        <v>2200</v>
      </c>
      <c r="I106" s="50" t="s">
        <v>2200</v>
      </c>
      <c r="J106" s="104" t="s">
        <v>2303</v>
      </c>
      <c r="K106" s="10">
        <v>46032</v>
      </c>
      <c r="L106" s="29" t="s">
        <v>25</v>
      </c>
      <c r="M106" s="56"/>
    </row>
    <row r="107" spans="1:13" ht="48" customHeight="1">
      <c r="A107" s="5">
        <v>106</v>
      </c>
      <c r="B107" s="29" t="s">
        <v>36</v>
      </c>
      <c r="C107" s="31" t="s">
        <v>2270</v>
      </c>
      <c r="D107" s="29" t="s">
        <v>1857</v>
      </c>
      <c r="E107" s="29" t="s">
        <v>1858</v>
      </c>
      <c r="F107" s="8" t="s">
        <v>2317</v>
      </c>
      <c r="G107" s="29" t="s">
        <v>162</v>
      </c>
      <c r="H107" s="50" t="s">
        <v>2200</v>
      </c>
      <c r="I107" s="50" t="s">
        <v>2200</v>
      </c>
      <c r="J107" s="104" t="s">
        <v>2303</v>
      </c>
      <c r="K107" s="10">
        <v>46032</v>
      </c>
      <c r="L107" s="29" t="s">
        <v>25</v>
      </c>
      <c r="M107" s="56"/>
    </row>
    <row r="108" spans="1:13" ht="48" customHeight="1">
      <c r="A108" s="5">
        <v>107</v>
      </c>
      <c r="B108" s="29" t="s">
        <v>36</v>
      </c>
      <c r="C108" s="31" t="s">
        <v>2270</v>
      </c>
      <c r="D108" s="29" t="s">
        <v>1859</v>
      </c>
      <c r="E108" s="29" t="s">
        <v>1860</v>
      </c>
      <c r="F108" s="8" t="s">
        <v>2302</v>
      </c>
      <c r="G108" s="29" t="s">
        <v>1861</v>
      </c>
      <c r="H108" s="50" t="s">
        <v>2200</v>
      </c>
      <c r="I108" s="50" t="s">
        <v>2200</v>
      </c>
      <c r="J108" s="104" t="s">
        <v>2303</v>
      </c>
      <c r="K108" s="10">
        <v>46032</v>
      </c>
      <c r="L108" s="29" t="s">
        <v>25</v>
      </c>
      <c r="M108" s="56"/>
    </row>
    <row r="109" spans="1:13" ht="48" customHeight="1">
      <c r="A109" s="5">
        <v>108</v>
      </c>
      <c r="B109" s="29" t="s">
        <v>36</v>
      </c>
      <c r="C109" s="31" t="s">
        <v>2270</v>
      </c>
      <c r="D109" s="29" t="s">
        <v>1862</v>
      </c>
      <c r="E109" s="29" t="s">
        <v>1863</v>
      </c>
      <c r="F109" s="8" t="s">
        <v>2317</v>
      </c>
      <c r="G109" s="29" t="s">
        <v>162</v>
      </c>
      <c r="H109" s="50" t="s">
        <v>2200</v>
      </c>
      <c r="I109" s="50" t="s">
        <v>2200</v>
      </c>
      <c r="J109" s="104" t="s">
        <v>2303</v>
      </c>
      <c r="K109" s="10">
        <v>46032</v>
      </c>
      <c r="L109" s="29" t="s">
        <v>25</v>
      </c>
      <c r="M109" s="56"/>
    </row>
    <row r="110" spans="1:13" ht="48" customHeight="1">
      <c r="A110" s="5">
        <v>109</v>
      </c>
      <c r="B110" s="29" t="s">
        <v>36</v>
      </c>
      <c r="C110" s="31" t="s">
        <v>2270</v>
      </c>
      <c r="D110" s="29" t="s">
        <v>1864</v>
      </c>
      <c r="E110" s="29" t="s">
        <v>1865</v>
      </c>
      <c r="F110" s="8" t="s">
        <v>2316</v>
      </c>
      <c r="G110" s="29" t="s">
        <v>162</v>
      </c>
      <c r="H110" s="50" t="s">
        <v>2200</v>
      </c>
      <c r="I110" s="50" t="s">
        <v>2321</v>
      </c>
      <c r="J110" s="104" t="s">
        <v>2303</v>
      </c>
      <c r="K110" s="10">
        <v>46032</v>
      </c>
      <c r="L110" s="29" t="s">
        <v>25</v>
      </c>
      <c r="M110" s="56"/>
    </row>
    <row r="111" spans="1:13" ht="48" customHeight="1">
      <c r="A111" s="5">
        <v>110</v>
      </c>
      <c r="B111" s="29" t="s">
        <v>36</v>
      </c>
      <c r="C111" s="31" t="s">
        <v>2270</v>
      </c>
      <c r="D111" s="29" t="s">
        <v>1866</v>
      </c>
      <c r="E111" s="29" t="s">
        <v>1867</v>
      </c>
      <c r="F111" s="8" t="s">
        <v>2302</v>
      </c>
      <c r="G111" s="29" t="s">
        <v>162</v>
      </c>
      <c r="H111" s="50" t="s">
        <v>2200</v>
      </c>
      <c r="I111" s="50" t="s">
        <v>2200</v>
      </c>
      <c r="J111" s="104" t="s">
        <v>2303</v>
      </c>
      <c r="K111" s="10">
        <v>46032</v>
      </c>
      <c r="L111" s="29" t="s">
        <v>25</v>
      </c>
      <c r="M111" s="56"/>
    </row>
    <row r="112" spans="1:13" ht="48" customHeight="1">
      <c r="A112" s="5">
        <v>111</v>
      </c>
      <c r="B112" s="29" t="s">
        <v>36</v>
      </c>
      <c r="C112" s="31" t="s">
        <v>2270</v>
      </c>
      <c r="D112" s="29" t="s">
        <v>1868</v>
      </c>
      <c r="E112" s="29" t="s">
        <v>1869</v>
      </c>
      <c r="F112" s="8" t="s">
        <v>2316</v>
      </c>
      <c r="G112" s="29" t="s">
        <v>162</v>
      </c>
      <c r="H112" s="50" t="s">
        <v>2200</v>
      </c>
      <c r="I112" s="50" t="s">
        <v>2321</v>
      </c>
      <c r="J112" s="104" t="s">
        <v>2303</v>
      </c>
      <c r="K112" s="10">
        <v>46032</v>
      </c>
      <c r="L112" s="29" t="s">
        <v>25</v>
      </c>
      <c r="M112" s="56"/>
    </row>
    <row r="113" spans="1:13" ht="48" customHeight="1">
      <c r="A113" s="5">
        <v>112</v>
      </c>
      <c r="B113" s="29" t="s">
        <v>36</v>
      </c>
      <c r="C113" s="31" t="s">
        <v>2158</v>
      </c>
      <c r="D113" s="29" t="s">
        <v>2285</v>
      </c>
      <c r="E113" s="29" t="s">
        <v>18</v>
      </c>
      <c r="F113" s="8" t="s">
        <v>2302</v>
      </c>
      <c r="G113" s="29" t="s">
        <v>225</v>
      </c>
      <c r="H113" s="50" t="s">
        <v>2200</v>
      </c>
      <c r="I113" s="50" t="s">
        <v>2200</v>
      </c>
      <c r="J113" s="104" t="s">
        <v>2303</v>
      </c>
      <c r="K113" s="10">
        <v>46032</v>
      </c>
      <c r="L113" s="29" t="s">
        <v>20</v>
      </c>
      <c r="M113" s="56"/>
    </row>
    <row r="114" spans="1:13" ht="48" customHeight="1">
      <c r="A114" s="5">
        <v>113</v>
      </c>
      <c r="B114" s="29" t="s">
        <v>36</v>
      </c>
      <c r="C114" s="31" t="s">
        <v>2158</v>
      </c>
      <c r="D114" s="29" t="s">
        <v>226</v>
      </c>
      <c r="E114" s="29" t="s">
        <v>18</v>
      </c>
      <c r="F114" s="8" t="s">
        <v>2302</v>
      </c>
      <c r="G114" s="29" t="s">
        <v>227</v>
      </c>
      <c r="H114" s="50" t="s">
        <v>2200</v>
      </c>
      <c r="I114" s="50" t="s">
        <v>2200</v>
      </c>
      <c r="J114" s="104" t="s">
        <v>2303</v>
      </c>
      <c r="K114" s="10">
        <v>46032</v>
      </c>
      <c r="L114" s="29" t="s">
        <v>22</v>
      </c>
      <c r="M114" s="56"/>
    </row>
    <row r="115" spans="1:13" ht="48" customHeight="1">
      <c r="A115" s="5">
        <v>114</v>
      </c>
      <c r="B115" s="29" t="s">
        <v>36</v>
      </c>
      <c r="C115" s="31" t="s">
        <v>2158</v>
      </c>
      <c r="D115" s="29" t="s">
        <v>193</v>
      </c>
      <c r="E115" s="29" t="s">
        <v>194</v>
      </c>
      <c r="F115" s="8" t="s">
        <v>2302</v>
      </c>
      <c r="G115" s="29" t="s">
        <v>195</v>
      </c>
      <c r="H115" s="50" t="s">
        <v>2200</v>
      </c>
      <c r="I115" s="50" t="s">
        <v>2200</v>
      </c>
      <c r="J115" s="104" t="s">
        <v>2303</v>
      </c>
      <c r="K115" s="10">
        <v>46032</v>
      </c>
      <c r="L115" s="29" t="s">
        <v>20</v>
      </c>
      <c r="M115" s="56"/>
    </row>
    <row r="116" spans="1:13" ht="31.5">
      <c r="A116" s="5">
        <v>115</v>
      </c>
      <c r="B116" s="29" t="s">
        <v>36</v>
      </c>
      <c r="C116" s="31" t="s">
        <v>2158</v>
      </c>
      <c r="D116" s="29" t="s">
        <v>196</v>
      </c>
      <c r="E116" s="29" t="s">
        <v>197</v>
      </c>
      <c r="F116" s="8" t="s">
        <v>2302</v>
      </c>
      <c r="G116" s="29" t="s">
        <v>1870</v>
      </c>
      <c r="H116" s="50" t="s">
        <v>2200</v>
      </c>
      <c r="I116" s="50" t="s">
        <v>2200</v>
      </c>
      <c r="J116" s="104" t="s">
        <v>2303</v>
      </c>
      <c r="K116" s="10">
        <v>46032</v>
      </c>
      <c r="L116" s="29" t="s">
        <v>20</v>
      </c>
      <c r="M116" s="56"/>
    </row>
    <row r="117" spans="1:13" ht="31.5">
      <c r="A117" s="5">
        <v>116</v>
      </c>
      <c r="B117" s="29" t="s">
        <v>36</v>
      </c>
      <c r="C117" s="31" t="s">
        <v>2158</v>
      </c>
      <c r="D117" s="29" t="s">
        <v>198</v>
      </c>
      <c r="E117" s="29" t="s">
        <v>199</v>
      </c>
      <c r="F117" s="8" t="s">
        <v>2302</v>
      </c>
      <c r="G117" s="29" t="s">
        <v>200</v>
      </c>
      <c r="H117" s="50" t="s">
        <v>2200</v>
      </c>
      <c r="I117" s="50" t="s">
        <v>2200</v>
      </c>
      <c r="J117" s="104" t="s">
        <v>2303</v>
      </c>
      <c r="K117" s="10">
        <v>46032</v>
      </c>
      <c r="L117" s="29" t="s">
        <v>20</v>
      </c>
      <c r="M117" s="56"/>
    </row>
    <row r="118" spans="1:13" ht="31.5">
      <c r="A118" s="5">
        <v>117</v>
      </c>
      <c r="B118" s="29" t="s">
        <v>36</v>
      </c>
      <c r="C118" s="31" t="s">
        <v>2158</v>
      </c>
      <c r="D118" s="29" t="s">
        <v>201</v>
      </c>
      <c r="E118" s="29" t="s">
        <v>220</v>
      </c>
      <c r="F118" s="8" t="s">
        <v>2302</v>
      </c>
      <c r="G118" s="29" t="s">
        <v>203</v>
      </c>
      <c r="H118" s="50" t="s">
        <v>2200</v>
      </c>
      <c r="I118" s="50" t="s">
        <v>2200</v>
      </c>
      <c r="J118" s="104" t="s">
        <v>2303</v>
      </c>
      <c r="K118" s="10">
        <v>46032</v>
      </c>
      <c r="L118" s="29" t="s">
        <v>20</v>
      </c>
      <c r="M118" s="56"/>
    </row>
    <row r="119" spans="1:13" ht="31.5">
      <c r="A119" s="5">
        <v>118</v>
      </c>
      <c r="B119" s="29" t="s">
        <v>36</v>
      </c>
      <c r="C119" s="31" t="s">
        <v>2158</v>
      </c>
      <c r="D119" s="29" t="s">
        <v>204</v>
      </c>
      <c r="E119" s="29" t="s">
        <v>205</v>
      </c>
      <c r="F119" s="8" t="s">
        <v>2302</v>
      </c>
      <c r="G119" s="29" t="s">
        <v>206</v>
      </c>
      <c r="H119" s="50" t="s">
        <v>2200</v>
      </c>
      <c r="I119" s="50" t="s">
        <v>2200</v>
      </c>
      <c r="J119" s="104" t="s">
        <v>2303</v>
      </c>
      <c r="K119" s="10">
        <v>46032</v>
      </c>
      <c r="L119" s="29" t="s">
        <v>20</v>
      </c>
      <c r="M119" s="56"/>
    </row>
    <row r="120" spans="1:13" ht="31.5">
      <c r="A120" s="5">
        <v>119</v>
      </c>
      <c r="B120" s="29" t="s">
        <v>36</v>
      </c>
      <c r="C120" s="31" t="s">
        <v>2158</v>
      </c>
      <c r="D120" s="29" t="s">
        <v>207</v>
      </c>
      <c r="E120" s="29" t="s">
        <v>208</v>
      </c>
      <c r="F120" s="8" t="s">
        <v>2302</v>
      </c>
      <c r="G120" s="29" t="s">
        <v>209</v>
      </c>
      <c r="H120" s="50" t="s">
        <v>2200</v>
      </c>
      <c r="I120" s="50" t="s">
        <v>2200</v>
      </c>
      <c r="J120" s="104" t="s">
        <v>2303</v>
      </c>
      <c r="K120" s="10">
        <v>46032</v>
      </c>
      <c r="L120" s="29" t="s">
        <v>20</v>
      </c>
      <c r="M120" s="56"/>
    </row>
    <row r="121" spans="1:13" ht="31.5">
      <c r="A121" s="5">
        <v>120</v>
      </c>
      <c r="B121" s="29" t="s">
        <v>36</v>
      </c>
      <c r="C121" s="31" t="s">
        <v>2158</v>
      </c>
      <c r="D121" s="29" t="s">
        <v>210</v>
      </c>
      <c r="E121" s="29" t="s">
        <v>211</v>
      </c>
      <c r="F121" s="8" t="s">
        <v>2302</v>
      </c>
      <c r="G121" s="29" t="s">
        <v>212</v>
      </c>
      <c r="H121" s="50" t="s">
        <v>2200</v>
      </c>
      <c r="I121" s="50" t="s">
        <v>2200</v>
      </c>
      <c r="J121" s="104" t="s">
        <v>2303</v>
      </c>
      <c r="K121" s="10">
        <v>46032</v>
      </c>
      <c r="L121" s="29" t="s">
        <v>20</v>
      </c>
      <c r="M121" s="56"/>
    </row>
    <row r="122" spans="1:13" ht="31.5">
      <c r="A122" s="5">
        <v>121</v>
      </c>
      <c r="B122" s="29" t="s">
        <v>36</v>
      </c>
      <c r="C122" s="31" t="s">
        <v>2158</v>
      </c>
      <c r="D122" s="29" t="s">
        <v>213</v>
      </c>
      <c r="E122" s="29" t="s">
        <v>223</v>
      </c>
      <c r="F122" s="8" t="s">
        <v>2302</v>
      </c>
      <c r="G122" s="29" t="s">
        <v>215</v>
      </c>
      <c r="H122" s="50" t="s">
        <v>2200</v>
      </c>
      <c r="I122" s="50" t="s">
        <v>2200</v>
      </c>
      <c r="J122" s="104" t="s">
        <v>2303</v>
      </c>
      <c r="K122" s="10">
        <v>46032</v>
      </c>
      <c r="L122" s="29" t="s">
        <v>22</v>
      </c>
      <c r="M122" s="56"/>
    </row>
    <row r="123" spans="1:13" ht="31.5">
      <c r="A123" s="5">
        <v>122</v>
      </c>
      <c r="B123" s="29" t="s">
        <v>36</v>
      </c>
      <c r="C123" s="31" t="s">
        <v>2158</v>
      </c>
      <c r="D123" s="29" t="s">
        <v>216</v>
      </c>
      <c r="E123" s="29" t="s">
        <v>217</v>
      </c>
      <c r="F123" s="8" t="s">
        <v>2317</v>
      </c>
      <c r="G123" s="29" t="s">
        <v>218</v>
      </c>
      <c r="H123" s="50" t="s">
        <v>2200</v>
      </c>
      <c r="I123" s="50" t="s">
        <v>2200</v>
      </c>
      <c r="J123" s="104" t="s">
        <v>2303</v>
      </c>
      <c r="K123" s="10">
        <v>46032</v>
      </c>
      <c r="L123" s="29" t="s">
        <v>20</v>
      </c>
      <c r="M123" s="56"/>
    </row>
    <row r="124" spans="1:13" ht="31.5">
      <c r="A124" s="5">
        <v>123</v>
      </c>
      <c r="B124" s="29" t="s">
        <v>36</v>
      </c>
      <c r="C124" s="31" t="s">
        <v>2158</v>
      </c>
      <c r="D124" s="29" t="s">
        <v>1871</v>
      </c>
      <c r="E124" s="29" t="s">
        <v>1872</v>
      </c>
      <c r="F124" s="8" t="s">
        <v>2302</v>
      </c>
      <c r="G124" s="29" t="s">
        <v>225</v>
      </c>
      <c r="H124" s="50" t="s">
        <v>2200</v>
      </c>
      <c r="I124" s="50" t="s">
        <v>2200</v>
      </c>
      <c r="J124" s="104" t="s">
        <v>2303</v>
      </c>
      <c r="K124" s="10">
        <v>46032</v>
      </c>
      <c r="L124" s="29" t="s">
        <v>20</v>
      </c>
      <c r="M124" s="56"/>
    </row>
    <row r="125" spans="1:13" ht="31.5">
      <c r="A125" s="5">
        <v>124</v>
      </c>
      <c r="B125" s="29" t="s">
        <v>36</v>
      </c>
      <c r="C125" s="31" t="s">
        <v>2158</v>
      </c>
      <c r="D125" s="29" t="s">
        <v>219</v>
      </c>
      <c r="E125" s="29" t="s">
        <v>202</v>
      </c>
      <c r="F125" s="8" t="s">
        <v>2302</v>
      </c>
      <c r="G125" s="29" t="s">
        <v>221</v>
      </c>
      <c r="H125" s="50" t="s">
        <v>2200</v>
      </c>
      <c r="I125" s="50" t="s">
        <v>2200</v>
      </c>
      <c r="J125" s="104" t="s">
        <v>2303</v>
      </c>
      <c r="K125" s="10">
        <v>46032</v>
      </c>
      <c r="L125" s="29" t="s">
        <v>20</v>
      </c>
      <c r="M125" s="56"/>
    </row>
    <row r="126" spans="1:13" ht="31.5">
      <c r="A126" s="5">
        <v>125</v>
      </c>
      <c r="B126" s="29" t="s">
        <v>36</v>
      </c>
      <c r="C126" s="31" t="s">
        <v>2158</v>
      </c>
      <c r="D126" s="29" t="s">
        <v>222</v>
      </c>
      <c r="E126" s="29" t="s">
        <v>214</v>
      </c>
      <c r="F126" s="8" t="s">
        <v>2302</v>
      </c>
      <c r="G126" s="29" t="s">
        <v>224</v>
      </c>
      <c r="H126" s="50" t="s">
        <v>2200</v>
      </c>
      <c r="I126" s="50" t="s">
        <v>2200</v>
      </c>
      <c r="J126" s="104" t="s">
        <v>2303</v>
      </c>
      <c r="K126" s="10">
        <v>46032</v>
      </c>
      <c r="L126" s="29" t="s">
        <v>20</v>
      </c>
      <c r="M126" s="56"/>
    </row>
    <row r="127" spans="1:13" ht="31.5">
      <c r="A127" s="5">
        <v>126</v>
      </c>
      <c r="B127" s="29" t="s">
        <v>36</v>
      </c>
      <c r="C127" s="31" t="s">
        <v>2158</v>
      </c>
      <c r="D127" s="29" t="s">
        <v>1873</v>
      </c>
      <c r="E127" s="29" t="s">
        <v>1874</v>
      </c>
      <c r="F127" s="8" t="s">
        <v>2302</v>
      </c>
      <c r="G127" s="29" t="s">
        <v>1875</v>
      </c>
      <c r="H127" s="50" t="s">
        <v>2200</v>
      </c>
      <c r="I127" s="50" t="s">
        <v>2200</v>
      </c>
      <c r="J127" s="104" t="s">
        <v>2303</v>
      </c>
      <c r="K127" s="10">
        <v>46032</v>
      </c>
      <c r="L127" s="29" t="s">
        <v>20</v>
      </c>
      <c r="M127" s="56"/>
    </row>
    <row r="128" spans="1:13" ht="31.5">
      <c r="A128" s="5">
        <v>127</v>
      </c>
      <c r="B128" s="29" t="s">
        <v>36</v>
      </c>
      <c r="C128" s="31" t="s">
        <v>2158</v>
      </c>
      <c r="D128" s="29" t="s">
        <v>1734</v>
      </c>
      <c r="E128" s="29" t="s">
        <v>1876</v>
      </c>
      <c r="F128" s="8" t="s">
        <v>2302</v>
      </c>
      <c r="G128" s="29" t="s">
        <v>1877</v>
      </c>
      <c r="H128" s="50" t="s">
        <v>2200</v>
      </c>
      <c r="I128" s="50" t="s">
        <v>2200</v>
      </c>
      <c r="J128" s="104" t="s">
        <v>2303</v>
      </c>
      <c r="K128" s="10">
        <v>46032</v>
      </c>
      <c r="L128" s="29" t="s">
        <v>20</v>
      </c>
      <c r="M128" s="56"/>
    </row>
    <row r="129" spans="1:13" ht="31.5">
      <c r="A129" s="5">
        <v>128</v>
      </c>
      <c r="B129" s="29" t="s">
        <v>36</v>
      </c>
      <c r="C129" s="31" t="s">
        <v>2159</v>
      </c>
      <c r="D129" s="29" t="s">
        <v>228</v>
      </c>
      <c r="E129" s="29" t="s">
        <v>229</v>
      </c>
      <c r="F129" s="8" t="s">
        <v>2302</v>
      </c>
      <c r="G129" s="29" t="s">
        <v>230</v>
      </c>
      <c r="H129" s="50" t="s">
        <v>2200</v>
      </c>
      <c r="I129" s="50" t="s">
        <v>2200</v>
      </c>
      <c r="J129" s="104" t="s">
        <v>2303</v>
      </c>
      <c r="K129" s="10">
        <v>46032</v>
      </c>
      <c r="L129" s="29" t="s">
        <v>25</v>
      </c>
      <c r="M129" s="56"/>
    </row>
    <row r="130" spans="1:13" ht="31.5">
      <c r="A130" s="5">
        <v>129</v>
      </c>
      <c r="B130" s="29" t="s">
        <v>36</v>
      </c>
      <c r="C130" s="31" t="s">
        <v>2159</v>
      </c>
      <c r="D130" s="29" t="s">
        <v>231</v>
      </c>
      <c r="E130" s="29" t="s">
        <v>232</v>
      </c>
      <c r="F130" s="8" t="s">
        <v>2302</v>
      </c>
      <c r="G130" s="29" t="s">
        <v>233</v>
      </c>
      <c r="H130" s="50" t="s">
        <v>2200</v>
      </c>
      <c r="I130" s="50" t="s">
        <v>2200</v>
      </c>
      <c r="J130" s="104" t="s">
        <v>2303</v>
      </c>
      <c r="K130" s="10">
        <v>46032</v>
      </c>
      <c r="L130" s="29" t="s">
        <v>25</v>
      </c>
      <c r="M130" s="56"/>
    </row>
    <row r="131" spans="1:13" ht="31.5">
      <c r="A131" s="5">
        <v>130</v>
      </c>
      <c r="B131" s="29" t="s">
        <v>36</v>
      </c>
      <c r="C131" s="31" t="s">
        <v>2159</v>
      </c>
      <c r="D131" s="29" t="s">
        <v>234</v>
      </c>
      <c r="E131" s="29" t="s">
        <v>235</v>
      </c>
      <c r="F131" s="8" t="s">
        <v>2302</v>
      </c>
      <c r="G131" s="29" t="s">
        <v>236</v>
      </c>
      <c r="H131" s="50" t="s">
        <v>2200</v>
      </c>
      <c r="I131" s="50" t="s">
        <v>2200</v>
      </c>
      <c r="J131" s="104" t="s">
        <v>2303</v>
      </c>
      <c r="K131" s="10">
        <v>46032</v>
      </c>
      <c r="L131" s="29" t="s">
        <v>25</v>
      </c>
      <c r="M131" s="56"/>
    </row>
    <row r="132" spans="1:13" ht="31.5">
      <c r="A132" s="5">
        <v>131</v>
      </c>
      <c r="B132" s="29" t="s">
        <v>36</v>
      </c>
      <c r="C132" s="31" t="s">
        <v>2159</v>
      </c>
      <c r="D132" s="29" t="s">
        <v>237</v>
      </c>
      <c r="E132" s="29" t="s">
        <v>238</v>
      </c>
      <c r="F132" s="8" t="s">
        <v>2302</v>
      </c>
      <c r="G132" s="29" t="s">
        <v>239</v>
      </c>
      <c r="H132" s="50" t="s">
        <v>2200</v>
      </c>
      <c r="I132" s="50" t="s">
        <v>2200</v>
      </c>
      <c r="J132" s="104" t="s">
        <v>2303</v>
      </c>
      <c r="K132" s="10">
        <v>46032</v>
      </c>
      <c r="L132" s="29" t="s">
        <v>25</v>
      </c>
      <c r="M132" s="56"/>
    </row>
    <row r="133" spans="1:13" ht="31.5">
      <c r="A133" s="5">
        <v>132</v>
      </c>
      <c r="B133" s="29" t="s">
        <v>36</v>
      </c>
      <c r="C133" s="31" t="s">
        <v>2159</v>
      </c>
      <c r="D133" s="29" t="s">
        <v>240</v>
      </c>
      <c r="E133" s="29" t="s">
        <v>241</v>
      </c>
      <c r="F133" s="8" t="s">
        <v>2302</v>
      </c>
      <c r="G133" s="29" t="s">
        <v>236</v>
      </c>
      <c r="H133" s="50" t="s">
        <v>2200</v>
      </c>
      <c r="I133" s="50" t="s">
        <v>2200</v>
      </c>
      <c r="J133" s="104" t="s">
        <v>2303</v>
      </c>
      <c r="K133" s="10">
        <v>46032</v>
      </c>
      <c r="L133" s="29" t="s">
        <v>25</v>
      </c>
      <c r="M133" s="56"/>
    </row>
    <row r="134" spans="1:13" ht="31.5">
      <c r="A134" s="5">
        <v>133</v>
      </c>
      <c r="B134" s="29" t="s">
        <v>36</v>
      </c>
      <c r="C134" s="31" t="s">
        <v>2159</v>
      </c>
      <c r="D134" s="29" t="s">
        <v>242</v>
      </c>
      <c r="E134" s="29" t="s">
        <v>243</v>
      </c>
      <c r="F134" s="8" t="s">
        <v>2302</v>
      </c>
      <c r="G134" s="29" t="s">
        <v>244</v>
      </c>
      <c r="H134" s="50" t="s">
        <v>2200</v>
      </c>
      <c r="I134" s="50" t="s">
        <v>2200</v>
      </c>
      <c r="J134" s="104" t="s">
        <v>2303</v>
      </c>
      <c r="K134" s="10">
        <v>46032</v>
      </c>
      <c r="L134" s="29" t="s">
        <v>25</v>
      </c>
      <c r="M134" s="56"/>
    </row>
    <row r="135" spans="1:13" ht="31.5">
      <c r="A135" s="5">
        <v>134</v>
      </c>
      <c r="B135" s="29" t="s">
        <v>36</v>
      </c>
      <c r="C135" s="31" t="s">
        <v>2159</v>
      </c>
      <c r="D135" s="29" t="s">
        <v>245</v>
      </c>
      <c r="E135" s="29" t="s">
        <v>246</v>
      </c>
      <c r="F135" s="8" t="s">
        <v>2302</v>
      </c>
      <c r="G135" s="29" t="s">
        <v>247</v>
      </c>
      <c r="H135" s="50" t="s">
        <v>2200</v>
      </c>
      <c r="I135" s="50" t="s">
        <v>2200</v>
      </c>
      <c r="J135" s="104" t="s">
        <v>2303</v>
      </c>
      <c r="K135" s="10">
        <v>46032</v>
      </c>
      <c r="L135" s="29" t="s">
        <v>25</v>
      </c>
      <c r="M135" s="56"/>
    </row>
    <row r="136" spans="1:13" ht="31.5">
      <c r="A136" s="5">
        <v>135</v>
      </c>
      <c r="B136" s="29" t="s">
        <v>36</v>
      </c>
      <c r="C136" s="31" t="s">
        <v>2159</v>
      </c>
      <c r="D136" s="29" t="s">
        <v>248</v>
      </c>
      <c r="E136" s="29" t="s">
        <v>249</v>
      </c>
      <c r="F136" s="8" t="s">
        <v>2302</v>
      </c>
      <c r="G136" s="29" t="s">
        <v>250</v>
      </c>
      <c r="H136" s="50" t="s">
        <v>2200</v>
      </c>
      <c r="I136" s="50" t="s">
        <v>2200</v>
      </c>
      <c r="J136" s="104" t="s">
        <v>2303</v>
      </c>
      <c r="K136" s="10">
        <v>46032</v>
      </c>
      <c r="L136" s="29" t="s">
        <v>25</v>
      </c>
      <c r="M136" s="56"/>
    </row>
    <row r="137" spans="1:13" ht="31.5">
      <c r="A137" s="5">
        <v>136</v>
      </c>
      <c r="B137" s="29" t="s">
        <v>36</v>
      </c>
      <c r="C137" s="33" t="s">
        <v>2160</v>
      </c>
      <c r="D137" s="34" t="s">
        <v>251</v>
      </c>
      <c r="E137" s="34" t="s">
        <v>252</v>
      </c>
      <c r="F137" s="8" t="s">
        <v>2302</v>
      </c>
      <c r="G137" s="34" t="s">
        <v>253</v>
      </c>
      <c r="H137" s="50" t="s">
        <v>2200</v>
      </c>
      <c r="I137" s="50" t="s">
        <v>2200</v>
      </c>
      <c r="J137" s="104" t="s">
        <v>2303</v>
      </c>
      <c r="K137" s="10">
        <v>46032</v>
      </c>
      <c r="L137" s="29" t="s">
        <v>25</v>
      </c>
      <c r="M137" s="56"/>
    </row>
    <row r="138" spans="1:13" ht="31.5">
      <c r="A138" s="5">
        <v>137</v>
      </c>
      <c r="B138" s="29" t="s">
        <v>36</v>
      </c>
      <c r="C138" s="33" t="s">
        <v>2160</v>
      </c>
      <c r="D138" s="29" t="s">
        <v>254</v>
      </c>
      <c r="E138" s="29" t="s">
        <v>255</v>
      </c>
      <c r="F138" s="8" t="s">
        <v>2302</v>
      </c>
      <c r="G138" s="29" t="s">
        <v>256</v>
      </c>
      <c r="H138" s="50" t="s">
        <v>2200</v>
      </c>
      <c r="I138" s="50" t="s">
        <v>2200</v>
      </c>
      <c r="J138" s="104" t="s">
        <v>2303</v>
      </c>
      <c r="K138" s="10">
        <v>46032</v>
      </c>
      <c r="L138" s="29" t="s">
        <v>25</v>
      </c>
      <c r="M138" s="56"/>
    </row>
    <row r="139" spans="1:13" ht="31.5">
      <c r="A139" s="5">
        <v>138</v>
      </c>
      <c r="B139" s="29" t="s">
        <v>36</v>
      </c>
      <c r="C139" s="33" t="s">
        <v>2160</v>
      </c>
      <c r="D139" s="29" t="s">
        <v>257</v>
      </c>
      <c r="E139" s="29" t="s">
        <v>258</v>
      </c>
      <c r="F139" s="8" t="s">
        <v>2302</v>
      </c>
      <c r="G139" s="29" t="s">
        <v>259</v>
      </c>
      <c r="H139" s="50" t="s">
        <v>2200</v>
      </c>
      <c r="I139" s="50" t="s">
        <v>2200</v>
      </c>
      <c r="J139" s="104" t="s">
        <v>2303</v>
      </c>
      <c r="K139" s="10">
        <v>46032</v>
      </c>
      <c r="L139" s="29" t="s">
        <v>25</v>
      </c>
      <c r="M139" s="56"/>
    </row>
    <row r="140" spans="1:13" ht="31.5">
      <c r="A140" s="5">
        <v>139</v>
      </c>
      <c r="B140" s="29" t="s">
        <v>36</v>
      </c>
      <c r="C140" s="33" t="s">
        <v>2160</v>
      </c>
      <c r="D140" s="29" t="s">
        <v>260</v>
      </c>
      <c r="E140" s="29" t="s">
        <v>261</v>
      </c>
      <c r="F140" s="8" t="s">
        <v>2302</v>
      </c>
      <c r="G140" s="29" t="s">
        <v>262</v>
      </c>
      <c r="H140" s="50" t="s">
        <v>2200</v>
      </c>
      <c r="I140" s="50" t="s">
        <v>2200</v>
      </c>
      <c r="J140" s="104" t="s">
        <v>2303</v>
      </c>
      <c r="K140" s="10">
        <v>46032</v>
      </c>
      <c r="L140" s="29" t="s">
        <v>25</v>
      </c>
      <c r="M140" s="5"/>
    </row>
    <row r="141" spans="1:13" ht="31.5">
      <c r="A141" s="5">
        <v>140</v>
      </c>
      <c r="B141" s="29" t="s">
        <v>36</v>
      </c>
      <c r="C141" s="33" t="s">
        <v>2160</v>
      </c>
      <c r="D141" s="29" t="s">
        <v>263</v>
      </c>
      <c r="E141" s="29" t="s">
        <v>264</v>
      </c>
      <c r="F141" s="8" t="s">
        <v>2302</v>
      </c>
      <c r="G141" s="29" t="s">
        <v>265</v>
      </c>
      <c r="H141" s="50" t="s">
        <v>2200</v>
      </c>
      <c r="I141" s="50" t="s">
        <v>2200</v>
      </c>
      <c r="J141" s="104" t="s">
        <v>2303</v>
      </c>
      <c r="K141" s="10">
        <v>46032</v>
      </c>
      <c r="L141" s="29" t="s">
        <v>25</v>
      </c>
      <c r="M141" s="56"/>
    </row>
    <row r="142" spans="1:13" ht="31.5">
      <c r="A142" s="5">
        <v>141</v>
      </c>
      <c r="B142" s="29" t="s">
        <v>36</v>
      </c>
      <c r="C142" s="33" t="s">
        <v>2160</v>
      </c>
      <c r="D142" s="29" t="s">
        <v>266</v>
      </c>
      <c r="E142" s="29" t="s">
        <v>267</v>
      </c>
      <c r="F142" s="8" t="s">
        <v>2302</v>
      </c>
      <c r="G142" s="29" t="s">
        <v>268</v>
      </c>
      <c r="H142" s="50" t="s">
        <v>2200</v>
      </c>
      <c r="I142" s="50" t="s">
        <v>2200</v>
      </c>
      <c r="J142" s="104" t="s">
        <v>2303</v>
      </c>
      <c r="K142" s="10">
        <v>46032</v>
      </c>
      <c r="L142" s="29" t="s">
        <v>25</v>
      </c>
      <c r="M142" s="56"/>
    </row>
    <row r="143" spans="1:13" ht="31.5">
      <c r="A143" s="5">
        <v>142</v>
      </c>
      <c r="B143" s="29" t="s">
        <v>36</v>
      </c>
      <c r="C143" s="33" t="s">
        <v>2160</v>
      </c>
      <c r="D143" s="29" t="s">
        <v>269</v>
      </c>
      <c r="E143" s="29" t="s">
        <v>270</v>
      </c>
      <c r="F143" s="8" t="s">
        <v>2302</v>
      </c>
      <c r="G143" s="29" t="s">
        <v>271</v>
      </c>
      <c r="H143" s="50" t="s">
        <v>2200</v>
      </c>
      <c r="I143" s="50" t="s">
        <v>2200</v>
      </c>
      <c r="J143" s="104" t="s">
        <v>2303</v>
      </c>
      <c r="K143" s="10">
        <v>46032</v>
      </c>
      <c r="L143" s="29" t="s">
        <v>25</v>
      </c>
      <c r="M143" s="56"/>
    </row>
    <row r="144" spans="1:13" ht="31.5">
      <c r="A144" s="5">
        <v>143</v>
      </c>
      <c r="B144" s="29" t="s">
        <v>36</v>
      </c>
      <c r="C144" s="33" t="s">
        <v>2160</v>
      </c>
      <c r="D144" s="29" t="s">
        <v>272</v>
      </c>
      <c r="E144" s="29" t="s">
        <v>273</v>
      </c>
      <c r="F144" s="8" t="s">
        <v>2302</v>
      </c>
      <c r="G144" s="29" t="s">
        <v>274</v>
      </c>
      <c r="H144" s="50" t="s">
        <v>2200</v>
      </c>
      <c r="I144" s="50" t="s">
        <v>2200</v>
      </c>
      <c r="J144" s="104" t="s">
        <v>2303</v>
      </c>
      <c r="K144" s="10">
        <v>46032</v>
      </c>
      <c r="L144" s="29" t="s">
        <v>25</v>
      </c>
      <c r="M144" s="56"/>
    </row>
    <row r="145" spans="1:13" ht="31.5">
      <c r="A145" s="5">
        <v>144</v>
      </c>
      <c r="B145" s="29" t="s">
        <v>36</v>
      </c>
      <c r="C145" s="33" t="s">
        <v>2160</v>
      </c>
      <c r="D145" s="29" t="s">
        <v>275</v>
      </c>
      <c r="E145" s="29" t="s">
        <v>276</v>
      </c>
      <c r="F145" s="8" t="s">
        <v>2302</v>
      </c>
      <c r="G145" s="29" t="s">
        <v>277</v>
      </c>
      <c r="H145" s="50" t="s">
        <v>2200</v>
      </c>
      <c r="I145" s="50" t="s">
        <v>2200</v>
      </c>
      <c r="J145" s="104" t="s">
        <v>2303</v>
      </c>
      <c r="K145" s="10">
        <v>46032</v>
      </c>
      <c r="L145" s="29" t="s">
        <v>25</v>
      </c>
      <c r="M145" s="56"/>
    </row>
    <row r="146" spans="1:13" ht="31.5">
      <c r="A146" s="5">
        <v>145</v>
      </c>
      <c r="B146" s="29" t="s">
        <v>36</v>
      </c>
      <c r="C146" s="33" t="s">
        <v>2160</v>
      </c>
      <c r="D146" s="29" t="s">
        <v>1717</v>
      </c>
      <c r="E146" s="29" t="s">
        <v>1878</v>
      </c>
      <c r="F146" s="8" t="s">
        <v>2302</v>
      </c>
      <c r="G146" s="29" t="s">
        <v>1879</v>
      </c>
      <c r="H146" s="50" t="s">
        <v>2200</v>
      </c>
      <c r="I146" s="50" t="s">
        <v>2200</v>
      </c>
      <c r="J146" s="104" t="s">
        <v>2303</v>
      </c>
      <c r="K146" s="10">
        <v>46032</v>
      </c>
      <c r="L146" s="29" t="s">
        <v>25</v>
      </c>
      <c r="M146" s="56"/>
    </row>
    <row r="147" spans="1:13" ht="31.5">
      <c r="A147" s="5">
        <v>146</v>
      </c>
      <c r="B147" s="29" t="s">
        <v>36</v>
      </c>
      <c r="C147" s="33" t="s">
        <v>2160</v>
      </c>
      <c r="D147" s="29" t="s">
        <v>278</v>
      </c>
      <c r="E147" s="29" t="s">
        <v>18</v>
      </c>
      <c r="F147" s="8" t="s">
        <v>2302</v>
      </c>
      <c r="G147" s="29" t="s">
        <v>279</v>
      </c>
      <c r="H147" s="50" t="s">
        <v>2200</v>
      </c>
      <c r="I147" s="50" t="s">
        <v>2200</v>
      </c>
      <c r="J147" s="104" t="s">
        <v>2303</v>
      </c>
      <c r="K147" s="10">
        <v>46032</v>
      </c>
      <c r="L147" s="29" t="s">
        <v>22</v>
      </c>
      <c r="M147" s="56"/>
    </row>
    <row r="148" spans="1:13" ht="31.5">
      <c r="A148" s="5">
        <v>147</v>
      </c>
      <c r="B148" s="29" t="s">
        <v>36</v>
      </c>
      <c r="C148" s="31" t="s">
        <v>2161</v>
      </c>
      <c r="D148" s="29" t="s">
        <v>280</v>
      </c>
      <c r="E148" s="29" t="s">
        <v>281</v>
      </c>
      <c r="F148" s="8" t="s">
        <v>2302</v>
      </c>
      <c r="G148" s="29" t="s">
        <v>282</v>
      </c>
      <c r="H148" s="50" t="s">
        <v>2200</v>
      </c>
      <c r="I148" s="50" t="s">
        <v>2200</v>
      </c>
      <c r="J148" s="104" t="s">
        <v>2303</v>
      </c>
      <c r="K148" s="10">
        <v>46032</v>
      </c>
      <c r="L148" s="29" t="s">
        <v>25</v>
      </c>
      <c r="M148" s="56"/>
    </row>
    <row r="149" spans="1:13" ht="31.5">
      <c r="A149" s="5">
        <v>148</v>
      </c>
      <c r="B149" s="29" t="s">
        <v>36</v>
      </c>
      <c r="C149" s="31" t="s">
        <v>2161</v>
      </c>
      <c r="D149" s="29" t="s">
        <v>283</v>
      </c>
      <c r="E149" s="29" t="s">
        <v>284</v>
      </c>
      <c r="F149" s="8" t="s">
        <v>2302</v>
      </c>
      <c r="G149" s="29" t="s">
        <v>285</v>
      </c>
      <c r="H149" s="50" t="s">
        <v>2200</v>
      </c>
      <c r="I149" s="50" t="s">
        <v>2200</v>
      </c>
      <c r="J149" s="104" t="s">
        <v>2303</v>
      </c>
      <c r="K149" s="10">
        <v>46032</v>
      </c>
      <c r="L149" s="29" t="s">
        <v>25</v>
      </c>
      <c r="M149" s="56"/>
    </row>
    <row r="150" spans="1:13" ht="31.5">
      <c r="A150" s="5">
        <v>149</v>
      </c>
      <c r="B150" s="29" t="s">
        <v>36</v>
      </c>
      <c r="C150" s="31" t="s">
        <v>2161</v>
      </c>
      <c r="D150" s="29" t="s">
        <v>286</v>
      </c>
      <c r="E150" s="29" t="s">
        <v>287</v>
      </c>
      <c r="F150" s="8" t="s">
        <v>2302</v>
      </c>
      <c r="G150" s="29" t="s">
        <v>288</v>
      </c>
      <c r="H150" s="50" t="s">
        <v>2200</v>
      </c>
      <c r="I150" s="50" t="s">
        <v>2200</v>
      </c>
      <c r="J150" s="104" t="s">
        <v>2303</v>
      </c>
      <c r="K150" s="10">
        <v>46032</v>
      </c>
      <c r="L150" s="29" t="s">
        <v>25</v>
      </c>
      <c r="M150" s="56"/>
    </row>
    <row r="151" spans="1:13" ht="31.5">
      <c r="A151" s="5">
        <v>150</v>
      </c>
      <c r="B151" s="29" t="s">
        <v>36</v>
      </c>
      <c r="C151" s="31" t="s">
        <v>2161</v>
      </c>
      <c r="D151" s="29" t="s">
        <v>289</v>
      </c>
      <c r="E151" s="29" t="s">
        <v>290</v>
      </c>
      <c r="F151" s="8" t="s">
        <v>2302</v>
      </c>
      <c r="G151" s="29" t="s">
        <v>291</v>
      </c>
      <c r="H151" s="50" t="s">
        <v>2200</v>
      </c>
      <c r="I151" s="50" t="s">
        <v>2200</v>
      </c>
      <c r="J151" s="104" t="s">
        <v>2303</v>
      </c>
      <c r="K151" s="10">
        <v>46032</v>
      </c>
      <c r="L151" s="29" t="s">
        <v>25</v>
      </c>
      <c r="M151" s="56"/>
    </row>
    <row r="152" spans="1:13" ht="31.5">
      <c r="A152" s="5">
        <v>151</v>
      </c>
      <c r="B152" s="29" t="s">
        <v>36</v>
      </c>
      <c r="C152" s="31" t="s">
        <v>2161</v>
      </c>
      <c r="D152" s="29" t="s">
        <v>292</v>
      </c>
      <c r="E152" s="29" t="s">
        <v>293</v>
      </c>
      <c r="F152" s="8" t="s">
        <v>2302</v>
      </c>
      <c r="G152" s="29" t="s">
        <v>294</v>
      </c>
      <c r="H152" s="50" t="s">
        <v>2200</v>
      </c>
      <c r="I152" s="50" t="s">
        <v>2200</v>
      </c>
      <c r="J152" s="104" t="s">
        <v>2303</v>
      </c>
      <c r="K152" s="10">
        <v>46032</v>
      </c>
      <c r="L152" s="29" t="s">
        <v>25</v>
      </c>
      <c r="M152" s="56"/>
    </row>
    <row r="153" spans="1:13" ht="31.5">
      <c r="A153" s="5">
        <v>152</v>
      </c>
      <c r="B153" s="29" t="s">
        <v>36</v>
      </c>
      <c r="C153" s="31" t="s">
        <v>2161</v>
      </c>
      <c r="D153" s="29" t="s">
        <v>295</v>
      </c>
      <c r="E153" s="29" t="s">
        <v>296</v>
      </c>
      <c r="F153" s="8" t="s">
        <v>2302</v>
      </c>
      <c r="G153" s="29" t="s">
        <v>297</v>
      </c>
      <c r="H153" s="50" t="s">
        <v>2200</v>
      </c>
      <c r="I153" s="50" t="s">
        <v>2200</v>
      </c>
      <c r="J153" s="104" t="s">
        <v>2303</v>
      </c>
      <c r="K153" s="10">
        <v>46032</v>
      </c>
      <c r="L153" s="29" t="s">
        <v>25</v>
      </c>
      <c r="M153" s="56"/>
    </row>
    <row r="154" spans="1:13" ht="31.5">
      <c r="A154" s="5">
        <v>153</v>
      </c>
      <c r="B154" s="29" t="s">
        <v>36</v>
      </c>
      <c r="C154" s="31" t="s">
        <v>2162</v>
      </c>
      <c r="D154" s="29" t="s">
        <v>298</v>
      </c>
      <c r="E154" s="29" t="s">
        <v>299</v>
      </c>
      <c r="F154" s="8" t="s">
        <v>2302</v>
      </c>
      <c r="G154" s="29" t="s">
        <v>300</v>
      </c>
      <c r="H154" s="50" t="s">
        <v>2200</v>
      </c>
      <c r="I154" s="50" t="s">
        <v>2200</v>
      </c>
      <c r="J154" s="104" t="s">
        <v>2303</v>
      </c>
      <c r="K154" s="10">
        <v>46032</v>
      </c>
      <c r="L154" s="29" t="s">
        <v>25</v>
      </c>
      <c r="M154" s="56"/>
    </row>
    <row r="155" spans="1:13" ht="31.5">
      <c r="A155" s="5">
        <v>154</v>
      </c>
      <c r="B155" s="29" t="s">
        <v>36</v>
      </c>
      <c r="C155" s="31" t="s">
        <v>2162</v>
      </c>
      <c r="D155" s="29" t="s">
        <v>301</v>
      </c>
      <c r="E155" s="29" t="s">
        <v>302</v>
      </c>
      <c r="F155" s="8" t="s">
        <v>2302</v>
      </c>
      <c r="G155" s="29" t="s">
        <v>303</v>
      </c>
      <c r="H155" s="50" t="s">
        <v>2200</v>
      </c>
      <c r="I155" s="50" t="s">
        <v>2200</v>
      </c>
      <c r="J155" s="104" t="s">
        <v>2303</v>
      </c>
      <c r="K155" s="10">
        <v>46032</v>
      </c>
      <c r="L155" s="29" t="s">
        <v>22</v>
      </c>
      <c r="M155" s="56"/>
    </row>
    <row r="156" spans="1:13" ht="31.5">
      <c r="A156" s="5">
        <v>155</v>
      </c>
      <c r="B156" s="29" t="s">
        <v>36</v>
      </c>
      <c r="C156" s="31" t="s">
        <v>2162</v>
      </c>
      <c r="D156" s="29" t="s">
        <v>304</v>
      </c>
      <c r="E156" s="29" t="s">
        <v>305</v>
      </c>
      <c r="F156" s="8" t="s">
        <v>2302</v>
      </c>
      <c r="G156" s="29" t="s">
        <v>300</v>
      </c>
      <c r="H156" s="50" t="s">
        <v>2200</v>
      </c>
      <c r="I156" s="50" t="s">
        <v>2200</v>
      </c>
      <c r="J156" s="104" t="s">
        <v>2303</v>
      </c>
      <c r="K156" s="10">
        <v>46032</v>
      </c>
      <c r="L156" s="29" t="s">
        <v>22</v>
      </c>
      <c r="M156" s="56"/>
    </row>
    <row r="157" spans="1:13" ht="31.5">
      <c r="A157" s="5">
        <v>156</v>
      </c>
      <c r="B157" s="29" t="s">
        <v>36</v>
      </c>
      <c r="C157" s="31" t="s">
        <v>2162</v>
      </c>
      <c r="D157" s="29" t="s">
        <v>306</v>
      </c>
      <c r="E157" s="29" t="s">
        <v>307</v>
      </c>
      <c r="F157" s="8" t="s">
        <v>2302</v>
      </c>
      <c r="G157" s="29" t="s">
        <v>300</v>
      </c>
      <c r="H157" s="50" t="s">
        <v>2200</v>
      </c>
      <c r="I157" s="50" t="s">
        <v>2200</v>
      </c>
      <c r="J157" s="104" t="s">
        <v>2303</v>
      </c>
      <c r="K157" s="10">
        <v>46032</v>
      </c>
      <c r="L157" s="29" t="s">
        <v>25</v>
      </c>
      <c r="M157" s="56"/>
    </row>
    <row r="158" spans="1:13" ht="31.5">
      <c r="A158" s="5">
        <v>157</v>
      </c>
      <c r="B158" s="29" t="s">
        <v>36</v>
      </c>
      <c r="C158" s="31" t="s">
        <v>2162</v>
      </c>
      <c r="D158" s="29" t="s">
        <v>308</v>
      </c>
      <c r="E158" s="29" t="s">
        <v>309</v>
      </c>
      <c r="F158" s="8" t="s">
        <v>2302</v>
      </c>
      <c r="G158" s="29" t="s">
        <v>310</v>
      </c>
      <c r="H158" s="50" t="s">
        <v>2200</v>
      </c>
      <c r="I158" s="50" t="s">
        <v>2200</v>
      </c>
      <c r="J158" s="104" t="s">
        <v>2303</v>
      </c>
      <c r="K158" s="10">
        <v>46032</v>
      </c>
      <c r="L158" s="29" t="s">
        <v>25</v>
      </c>
      <c r="M158" s="56"/>
    </row>
    <row r="159" spans="1:13" ht="31.5">
      <c r="A159" s="5">
        <v>158</v>
      </c>
      <c r="B159" s="29" t="s">
        <v>311</v>
      </c>
      <c r="C159" s="31" t="s">
        <v>2163</v>
      </c>
      <c r="D159" s="29" t="s">
        <v>312</v>
      </c>
      <c r="E159" s="29" t="s">
        <v>313</v>
      </c>
      <c r="F159" s="8" t="s">
        <v>2302</v>
      </c>
      <c r="G159" s="29" t="s">
        <v>314</v>
      </c>
      <c r="H159" s="50" t="s">
        <v>2200</v>
      </c>
      <c r="I159" s="50" t="s">
        <v>2200</v>
      </c>
      <c r="J159" s="104" t="s">
        <v>2303</v>
      </c>
      <c r="K159" s="10">
        <v>46032</v>
      </c>
      <c r="L159" s="29" t="s">
        <v>25</v>
      </c>
      <c r="M159" s="56"/>
    </row>
    <row r="160" spans="1:13" ht="31.5">
      <c r="A160" s="5">
        <v>159</v>
      </c>
      <c r="B160" s="29" t="s">
        <v>311</v>
      </c>
      <c r="C160" s="31" t="s">
        <v>2163</v>
      </c>
      <c r="D160" s="29" t="s">
        <v>315</v>
      </c>
      <c r="E160" s="29" t="s">
        <v>316</v>
      </c>
      <c r="F160" s="8" t="s">
        <v>2302</v>
      </c>
      <c r="G160" s="29" t="s">
        <v>317</v>
      </c>
      <c r="H160" s="50" t="s">
        <v>2200</v>
      </c>
      <c r="I160" s="50" t="s">
        <v>2200</v>
      </c>
      <c r="J160" s="104" t="s">
        <v>2303</v>
      </c>
      <c r="K160" s="10">
        <v>46032</v>
      </c>
      <c r="L160" s="29" t="s">
        <v>25</v>
      </c>
      <c r="M160" s="5"/>
    </row>
    <row r="161" spans="1:13" ht="31.5">
      <c r="A161" s="5">
        <v>160</v>
      </c>
      <c r="B161" s="29" t="s">
        <v>311</v>
      </c>
      <c r="C161" s="31" t="s">
        <v>2163</v>
      </c>
      <c r="D161" s="29" t="s">
        <v>318</v>
      </c>
      <c r="E161" s="29" t="s">
        <v>319</v>
      </c>
      <c r="F161" s="8" t="s">
        <v>2302</v>
      </c>
      <c r="G161" s="29" t="s">
        <v>320</v>
      </c>
      <c r="H161" s="50" t="s">
        <v>2200</v>
      </c>
      <c r="I161" s="50" t="s">
        <v>2200</v>
      </c>
      <c r="J161" s="104" t="s">
        <v>2303</v>
      </c>
      <c r="K161" s="10">
        <v>46032</v>
      </c>
      <c r="L161" s="29" t="s">
        <v>25</v>
      </c>
      <c r="M161" s="56"/>
    </row>
    <row r="162" spans="1:13" ht="31.5">
      <c r="A162" s="5">
        <v>161</v>
      </c>
      <c r="B162" s="29" t="s">
        <v>311</v>
      </c>
      <c r="C162" s="31" t="s">
        <v>2163</v>
      </c>
      <c r="D162" s="29" t="s">
        <v>321</v>
      </c>
      <c r="E162" s="29" t="s">
        <v>322</v>
      </c>
      <c r="F162" s="8" t="s">
        <v>2302</v>
      </c>
      <c r="G162" s="29" t="s">
        <v>323</v>
      </c>
      <c r="H162" s="50" t="s">
        <v>2200</v>
      </c>
      <c r="I162" s="50" t="s">
        <v>2200</v>
      </c>
      <c r="J162" s="104" t="s">
        <v>2303</v>
      </c>
      <c r="K162" s="10">
        <v>46032</v>
      </c>
      <c r="L162" s="29" t="s">
        <v>25</v>
      </c>
      <c r="M162" s="56"/>
    </row>
    <row r="163" spans="1:13" ht="31.5">
      <c r="A163" s="5">
        <v>162</v>
      </c>
      <c r="B163" s="29" t="s">
        <v>311</v>
      </c>
      <c r="C163" s="31" t="s">
        <v>2163</v>
      </c>
      <c r="D163" s="29" t="s">
        <v>324</v>
      </c>
      <c r="E163" s="29" t="s">
        <v>325</v>
      </c>
      <c r="F163" s="8" t="s">
        <v>2302</v>
      </c>
      <c r="G163" s="29" t="s">
        <v>326</v>
      </c>
      <c r="H163" s="50" t="s">
        <v>2200</v>
      </c>
      <c r="I163" s="50" t="s">
        <v>2200</v>
      </c>
      <c r="J163" s="104" t="s">
        <v>2303</v>
      </c>
      <c r="K163" s="10">
        <v>46032</v>
      </c>
      <c r="L163" s="29" t="s">
        <v>25</v>
      </c>
      <c r="M163" s="56"/>
    </row>
    <row r="164" spans="1:13" ht="31.5">
      <c r="A164" s="5">
        <v>163</v>
      </c>
      <c r="B164" s="29" t="s">
        <v>311</v>
      </c>
      <c r="C164" s="31" t="s">
        <v>2163</v>
      </c>
      <c r="D164" s="29" t="s">
        <v>327</v>
      </c>
      <c r="E164" s="29" t="s">
        <v>328</v>
      </c>
      <c r="F164" s="8" t="s">
        <v>2302</v>
      </c>
      <c r="G164" s="29" t="s">
        <v>329</v>
      </c>
      <c r="H164" s="50" t="s">
        <v>2200</v>
      </c>
      <c r="I164" s="50" t="s">
        <v>2200</v>
      </c>
      <c r="J164" s="104" t="s">
        <v>2303</v>
      </c>
      <c r="K164" s="10">
        <v>46032</v>
      </c>
      <c r="L164" s="29" t="s">
        <v>25</v>
      </c>
      <c r="M164" s="56"/>
    </row>
    <row r="165" spans="1:13" ht="31.5">
      <c r="A165" s="5">
        <v>164</v>
      </c>
      <c r="B165" s="29" t="s">
        <v>311</v>
      </c>
      <c r="C165" s="31" t="s">
        <v>2163</v>
      </c>
      <c r="D165" s="29" t="s">
        <v>330</v>
      </c>
      <c r="E165" s="29" t="s">
        <v>331</v>
      </c>
      <c r="F165" s="8" t="s">
        <v>2302</v>
      </c>
      <c r="G165" s="29" t="s">
        <v>332</v>
      </c>
      <c r="H165" s="50" t="s">
        <v>2200</v>
      </c>
      <c r="I165" s="50" t="s">
        <v>2200</v>
      </c>
      <c r="J165" s="104" t="s">
        <v>2303</v>
      </c>
      <c r="K165" s="10">
        <v>46032</v>
      </c>
      <c r="L165" s="29" t="s">
        <v>25</v>
      </c>
      <c r="M165" s="56"/>
    </row>
    <row r="166" spans="1:13" ht="31.5">
      <c r="A166" s="5">
        <v>165</v>
      </c>
      <c r="B166" s="29" t="s">
        <v>311</v>
      </c>
      <c r="C166" s="31" t="s">
        <v>2163</v>
      </c>
      <c r="D166" s="29" t="s">
        <v>333</v>
      </c>
      <c r="E166" s="29" t="s">
        <v>18</v>
      </c>
      <c r="F166" s="8" t="s">
        <v>2317</v>
      </c>
      <c r="G166" s="29" t="s">
        <v>334</v>
      </c>
      <c r="H166" s="50" t="s">
        <v>2200</v>
      </c>
      <c r="I166" s="50" t="s">
        <v>2200</v>
      </c>
      <c r="J166" s="104" t="s">
        <v>2303</v>
      </c>
      <c r="K166" s="10">
        <v>46032</v>
      </c>
      <c r="L166" s="29" t="s">
        <v>25</v>
      </c>
      <c r="M166" s="56"/>
    </row>
    <row r="167" spans="1:13" ht="31.5">
      <c r="A167" s="5">
        <v>166</v>
      </c>
      <c r="B167" s="29" t="s">
        <v>311</v>
      </c>
      <c r="C167" s="31" t="s">
        <v>2164</v>
      </c>
      <c r="D167" s="29" t="s">
        <v>335</v>
      </c>
      <c r="E167" s="29" t="s">
        <v>336</v>
      </c>
      <c r="F167" s="8" t="s">
        <v>2302</v>
      </c>
      <c r="G167" s="29" t="s">
        <v>337</v>
      </c>
      <c r="H167" s="50" t="s">
        <v>2200</v>
      </c>
      <c r="I167" s="50" t="s">
        <v>2200</v>
      </c>
      <c r="J167" s="104" t="s">
        <v>2303</v>
      </c>
      <c r="K167" s="10">
        <v>46032</v>
      </c>
      <c r="L167" s="29" t="s">
        <v>25</v>
      </c>
      <c r="M167" s="56"/>
    </row>
    <row r="168" spans="1:13" ht="31.5">
      <c r="A168" s="5">
        <v>167</v>
      </c>
      <c r="B168" s="29" t="s">
        <v>311</v>
      </c>
      <c r="C168" s="31" t="s">
        <v>2164</v>
      </c>
      <c r="D168" s="29" t="s">
        <v>338</v>
      </c>
      <c r="E168" s="29" t="s">
        <v>339</v>
      </c>
      <c r="F168" s="8" t="s">
        <v>2302</v>
      </c>
      <c r="G168" s="29" t="s">
        <v>1880</v>
      </c>
      <c r="H168" s="50" t="s">
        <v>2200</v>
      </c>
      <c r="I168" s="50" t="s">
        <v>2200</v>
      </c>
      <c r="J168" s="104" t="s">
        <v>2303</v>
      </c>
      <c r="K168" s="10">
        <v>46032</v>
      </c>
      <c r="L168" s="29" t="s">
        <v>25</v>
      </c>
      <c r="M168" s="56"/>
    </row>
    <row r="169" spans="1:13" ht="31.5">
      <c r="A169" s="5">
        <v>168</v>
      </c>
      <c r="B169" s="29" t="s">
        <v>311</v>
      </c>
      <c r="C169" s="31" t="s">
        <v>2164</v>
      </c>
      <c r="D169" s="29" t="s">
        <v>341</v>
      </c>
      <c r="E169" s="29" t="s">
        <v>342</v>
      </c>
      <c r="F169" s="8" t="s">
        <v>2302</v>
      </c>
      <c r="G169" s="29" t="s">
        <v>343</v>
      </c>
      <c r="H169" s="50" t="s">
        <v>2200</v>
      </c>
      <c r="I169" s="50" t="s">
        <v>2200</v>
      </c>
      <c r="J169" s="104" t="s">
        <v>2303</v>
      </c>
      <c r="K169" s="10">
        <v>46032</v>
      </c>
      <c r="L169" s="29" t="s">
        <v>25</v>
      </c>
      <c r="M169" s="56"/>
    </row>
    <row r="170" spans="1:13" ht="31.5">
      <c r="A170" s="5">
        <v>169</v>
      </c>
      <c r="B170" s="29" t="s">
        <v>311</v>
      </c>
      <c r="C170" s="31" t="s">
        <v>2164</v>
      </c>
      <c r="D170" s="29" t="s">
        <v>344</v>
      </c>
      <c r="E170" s="29" t="s">
        <v>345</v>
      </c>
      <c r="F170" s="8" t="s">
        <v>2302</v>
      </c>
      <c r="G170" s="29" t="s">
        <v>1148</v>
      </c>
      <c r="H170" s="50" t="s">
        <v>2200</v>
      </c>
      <c r="I170" s="50" t="s">
        <v>2200</v>
      </c>
      <c r="J170" s="104" t="s">
        <v>2303</v>
      </c>
      <c r="K170" s="10">
        <v>46032</v>
      </c>
      <c r="L170" s="29" t="s">
        <v>25</v>
      </c>
      <c r="M170" s="5"/>
    </row>
    <row r="171" spans="1:13" ht="31.5">
      <c r="A171" s="5">
        <v>170</v>
      </c>
      <c r="B171" s="29" t="s">
        <v>311</v>
      </c>
      <c r="C171" s="31" t="s">
        <v>2164</v>
      </c>
      <c r="D171" s="29" t="s">
        <v>347</v>
      </c>
      <c r="E171" s="29" t="s">
        <v>348</v>
      </c>
      <c r="F171" s="8" t="s">
        <v>2302</v>
      </c>
      <c r="G171" s="29" t="s">
        <v>1881</v>
      </c>
      <c r="H171" s="50" t="s">
        <v>2200</v>
      </c>
      <c r="I171" s="50" t="s">
        <v>2200</v>
      </c>
      <c r="J171" s="104" t="s">
        <v>2303</v>
      </c>
      <c r="K171" s="10">
        <v>46032</v>
      </c>
      <c r="L171" s="29" t="s">
        <v>25</v>
      </c>
      <c r="M171" s="56"/>
    </row>
    <row r="172" spans="1:13" ht="31.5">
      <c r="A172" s="5">
        <v>171</v>
      </c>
      <c r="B172" s="29" t="s">
        <v>311</v>
      </c>
      <c r="C172" s="31" t="s">
        <v>2165</v>
      </c>
      <c r="D172" s="29" t="s">
        <v>1882</v>
      </c>
      <c r="E172" s="29" t="s">
        <v>1883</v>
      </c>
      <c r="F172" s="8" t="s">
        <v>2315</v>
      </c>
      <c r="G172" s="29" t="s">
        <v>1884</v>
      </c>
      <c r="H172" s="50" t="s">
        <v>2321</v>
      </c>
      <c r="I172" s="50" t="s">
        <v>2200</v>
      </c>
      <c r="J172" s="104" t="s">
        <v>2303</v>
      </c>
      <c r="K172" s="10">
        <v>46032</v>
      </c>
      <c r="L172" s="29" t="s">
        <v>25</v>
      </c>
      <c r="M172" s="105" t="s">
        <v>2325</v>
      </c>
    </row>
    <row r="173" spans="1:13" ht="31.5">
      <c r="A173" s="5">
        <v>172</v>
      </c>
      <c r="B173" s="29" t="s">
        <v>311</v>
      </c>
      <c r="C173" s="31" t="s">
        <v>2165</v>
      </c>
      <c r="D173" s="29" t="s">
        <v>386</v>
      </c>
      <c r="E173" s="29" t="s">
        <v>18</v>
      </c>
      <c r="F173" s="8" t="s">
        <v>2317</v>
      </c>
      <c r="G173" s="29" t="s">
        <v>387</v>
      </c>
      <c r="H173" s="50" t="s">
        <v>2200</v>
      </c>
      <c r="I173" s="50" t="s">
        <v>2200</v>
      </c>
      <c r="J173" s="104" t="s">
        <v>2303</v>
      </c>
      <c r="K173" s="10">
        <v>46032</v>
      </c>
      <c r="L173" s="29" t="s">
        <v>25</v>
      </c>
      <c r="M173" s="56"/>
    </row>
    <row r="174" spans="1:13" ht="31.5">
      <c r="A174" s="5">
        <v>173</v>
      </c>
      <c r="B174" s="29" t="s">
        <v>311</v>
      </c>
      <c r="C174" s="31" t="s">
        <v>2165</v>
      </c>
      <c r="D174" s="29" t="s">
        <v>349</v>
      </c>
      <c r="E174" s="29" t="s">
        <v>350</v>
      </c>
      <c r="F174" s="8" t="s">
        <v>2302</v>
      </c>
      <c r="G174" s="29" t="s">
        <v>351</v>
      </c>
      <c r="H174" s="50" t="s">
        <v>2200</v>
      </c>
      <c r="I174" s="50" t="s">
        <v>2200</v>
      </c>
      <c r="J174" s="104" t="s">
        <v>2303</v>
      </c>
      <c r="K174" s="10">
        <v>46032</v>
      </c>
      <c r="L174" s="29" t="s">
        <v>25</v>
      </c>
      <c r="M174" s="5"/>
    </row>
    <row r="175" spans="1:13" ht="31.5">
      <c r="A175" s="5">
        <v>174</v>
      </c>
      <c r="B175" s="29" t="s">
        <v>311</v>
      </c>
      <c r="C175" s="31" t="s">
        <v>2165</v>
      </c>
      <c r="D175" s="29" t="s">
        <v>352</v>
      </c>
      <c r="E175" s="29" t="s">
        <v>353</v>
      </c>
      <c r="F175" s="8" t="s">
        <v>2302</v>
      </c>
      <c r="G175" s="29" t="s">
        <v>406</v>
      </c>
      <c r="H175" s="50" t="s">
        <v>2200</v>
      </c>
      <c r="I175" s="50" t="s">
        <v>2200</v>
      </c>
      <c r="J175" s="104" t="s">
        <v>2303</v>
      </c>
      <c r="K175" s="10">
        <v>46032</v>
      </c>
      <c r="L175" s="29" t="s">
        <v>25</v>
      </c>
      <c r="M175" s="56"/>
    </row>
    <row r="176" spans="1:13" ht="31.5">
      <c r="A176" s="5">
        <v>175</v>
      </c>
      <c r="B176" s="29" t="s">
        <v>311</v>
      </c>
      <c r="C176" s="31" t="s">
        <v>2165</v>
      </c>
      <c r="D176" s="29" t="s">
        <v>354</v>
      </c>
      <c r="E176" s="29" t="s">
        <v>355</v>
      </c>
      <c r="F176" s="8" t="s">
        <v>2302</v>
      </c>
      <c r="G176" s="29" t="s">
        <v>356</v>
      </c>
      <c r="H176" s="50" t="s">
        <v>2200</v>
      </c>
      <c r="I176" s="50" t="s">
        <v>2200</v>
      </c>
      <c r="J176" s="104" t="s">
        <v>2303</v>
      </c>
      <c r="K176" s="10">
        <v>46032</v>
      </c>
      <c r="L176" s="29" t="s">
        <v>25</v>
      </c>
      <c r="M176" s="56"/>
    </row>
    <row r="177" spans="1:13" ht="31.5">
      <c r="A177" s="5">
        <v>176</v>
      </c>
      <c r="B177" s="29" t="s">
        <v>311</v>
      </c>
      <c r="C177" s="31" t="s">
        <v>2165</v>
      </c>
      <c r="D177" s="29" t="s">
        <v>357</v>
      </c>
      <c r="E177" s="29" t="s">
        <v>358</v>
      </c>
      <c r="F177" s="8" t="s">
        <v>2302</v>
      </c>
      <c r="G177" s="29" t="s">
        <v>359</v>
      </c>
      <c r="H177" s="50" t="s">
        <v>2200</v>
      </c>
      <c r="I177" s="50" t="s">
        <v>2200</v>
      </c>
      <c r="J177" s="104" t="s">
        <v>2303</v>
      </c>
      <c r="K177" s="10">
        <v>46032</v>
      </c>
      <c r="L177" s="29" t="s">
        <v>25</v>
      </c>
      <c r="M177" s="56"/>
    </row>
    <row r="178" spans="1:13" ht="31.5">
      <c r="A178" s="5">
        <v>177</v>
      </c>
      <c r="B178" s="29" t="s">
        <v>311</v>
      </c>
      <c r="C178" s="31" t="s">
        <v>2165</v>
      </c>
      <c r="D178" s="29" t="s">
        <v>360</v>
      </c>
      <c r="E178" s="29" t="s">
        <v>361</v>
      </c>
      <c r="F178" s="8" t="s">
        <v>2302</v>
      </c>
      <c r="G178" s="29" t="s">
        <v>389</v>
      </c>
      <c r="H178" s="50" t="s">
        <v>2200</v>
      </c>
      <c r="I178" s="50" t="s">
        <v>2200</v>
      </c>
      <c r="J178" s="104" t="s">
        <v>2303</v>
      </c>
      <c r="K178" s="10">
        <v>46032</v>
      </c>
      <c r="L178" s="29" t="s">
        <v>25</v>
      </c>
      <c r="M178" s="56"/>
    </row>
    <row r="179" spans="1:13" ht="31.5">
      <c r="A179" s="5">
        <v>178</v>
      </c>
      <c r="B179" s="29" t="s">
        <v>311</v>
      </c>
      <c r="C179" s="31" t="s">
        <v>2165</v>
      </c>
      <c r="D179" s="29" t="s">
        <v>363</v>
      </c>
      <c r="E179" s="29" t="s">
        <v>364</v>
      </c>
      <c r="F179" s="8" t="s">
        <v>2302</v>
      </c>
      <c r="G179" s="29" t="s">
        <v>365</v>
      </c>
      <c r="H179" s="50" t="s">
        <v>2200</v>
      </c>
      <c r="I179" s="50" t="s">
        <v>2200</v>
      </c>
      <c r="J179" s="104" t="s">
        <v>2303</v>
      </c>
      <c r="K179" s="10">
        <v>46032</v>
      </c>
      <c r="L179" s="29" t="s">
        <v>25</v>
      </c>
      <c r="M179" s="56"/>
    </row>
    <row r="180" spans="1:13" ht="31.5">
      <c r="A180" s="5">
        <v>179</v>
      </c>
      <c r="B180" s="29" t="s">
        <v>311</v>
      </c>
      <c r="C180" s="31" t="s">
        <v>2165</v>
      </c>
      <c r="D180" s="29" t="s">
        <v>366</v>
      </c>
      <c r="E180" s="29" t="s">
        <v>367</v>
      </c>
      <c r="F180" s="8" t="s">
        <v>2302</v>
      </c>
      <c r="G180" s="29" t="s">
        <v>1885</v>
      </c>
      <c r="H180" s="50" t="s">
        <v>2200</v>
      </c>
      <c r="I180" s="50" t="s">
        <v>2200</v>
      </c>
      <c r="J180" s="104" t="s">
        <v>2303</v>
      </c>
      <c r="K180" s="10">
        <v>46032</v>
      </c>
      <c r="L180" s="29" t="s">
        <v>25</v>
      </c>
      <c r="M180" s="56"/>
    </row>
    <row r="181" spans="1:13" ht="31.5">
      <c r="A181" s="5">
        <v>180</v>
      </c>
      <c r="B181" s="29" t="s">
        <v>311</v>
      </c>
      <c r="C181" s="31" t="s">
        <v>2165</v>
      </c>
      <c r="D181" s="29" t="s">
        <v>369</v>
      </c>
      <c r="E181" s="29" t="s">
        <v>370</v>
      </c>
      <c r="F181" s="8" t="s">
        <v>2302</v>
      </c>
      <c r="G181" s="29" t="s">
        <v>371</v>
      </c>
      <c r="H181" s="50" t="s">
        <v>2200</v>
      </c>
      <c r="I181" s="50" t="s">
        <v>2200</v>
      </c>
      <c r="J181" s="104" t="s">
        <v>2303</v>
      </c>
      <c r="K181" s="10">
        <v>46032</v>
      </c>
      <c r="L181" s="29" t="s">
        <v>25</v>
      </c>
      <c r="M181" s="56"/>
    </row>
    <row r="182" spans="1:13" ht="31.5">
      <c r="A182" s="5">
        <v>181</v>
      </c>
      <c r="B182" s="29" t="s">
        <v>311</v>
      </c>
      <c r="C182" s="31" t="s">
        <v>2165</v>
      </c>
      <c r="D182" s="29" t="s">
        <v>372</v>
      </c>
      <c r="E182" s="29" t="s">
        <v>373</v>
      </c>
      <c r="F182" s="8" t="s">
        <v>2302</v>
      </c>
      <c r="G182" s="29" t="s">
        <v>374</v>
      </c>
      <c r="H182" s="50" t="s">
        <v>2200</v>
      </c>
      <c r="I182" s="50" t="s">
        <v>2200</v>
      </c>
      <c r="J182" s="104" t="s">
        <v>2303</v>
      </c>
      <c r="K182" s="10">
        <v>46032</v>
      </c>
      <c r="L182" s="29" t="s">
        <v>25</v>
      </c>
      <c r="M182" s="56"/>
    </row>
    <row r="183" spans="1:13" ht="31.5">
      <c r="A183" s="5">
        <v>182</v>
      </c>
      <c r="B183" s="29" t="s">
        <v>311</v>
      </c>
      <c r="C183" s="31" t="s">
        <v>2165</v>
      </c>
      <c r="D183" s="29" t="s">
        <v>375</v>
      </c>
      <c r="E183" s="29" t="s">
        <v>376</v>
      </c>
      <c r="F183" s="8" t="s">
        <v>2302</v>
      </c>
      <c r="G183" s="29" t="s">
        <v>377</v>
      </c>
      <c r="H183" s="50" t="s">
        <v>2200</v>
      </c>
      <c r="I183" s="50" t="s">
        <v>2200</v>
      </c>
      <c r="J183" s="104" t="s">
        <v>2303</v>
      </c>
      <c r="K183" s="10">
        <v>46032</v>
      </c>
      <c r="L183" s="29" t="s">
        <v>25</v>
      </c>
      <c r="M183" s="56"/>
    </row>
    <row r="184" spans="1:13" ht="31.5">
      <c r="A184" s="5">
        <v>183</v>
      </c>
      <c r="B184" s="29" t="s">
        <v>311</v>
      </c>
      <c r="C184" s="31" t="s">
        <v>2165</v>
      </c>
      <c r="D184" s="29" t="s">
        <v>378</v>
      </c>
      <c r="E184" s="29" t="s">
        <v>379</v>
      </c>
      <c r="F184" s="8" t="s">
        <v>2302</v>
      </c>
      <c r="G184" s="29" t="s">
        <v>380</v>
      </c>
      <c r="H184" s="50" t="s">
        <v>2200</v>
      </c>
      <c r="I184" s="50" t="s">
        <v>2200</v>
      </c>
      <c r="J184" s="104" t="s">
        <v>2303</v>
      </c>
      <c r="K184" s="10">
        <v>46032</v>
      </c>
      <c r="L184" s="29" t="s">
        <v>25</v>
      </c>
      <c r="M184" s="56"/>
    </row>
    <row r="185" spans="1:13" ht="31.5">
      <c r="A185" s="5">
        <v>184</v>
      </c>
      <c r="B185" s="29" t="s">
        <v>311</v>
      </c>
      <c r="C185" s="31" t="s">
        <v>2165</v>
      </c>
      <c r="D185" s="29" t="s">
        <v>381</v>
      </c>
      <c r="E185" s="29" t="s">
        <v>382</v>
      </c>
      <c r="F185" s="8" t="s">
        <v>2302</v>
      </c>
      <c r="G185" s="29" t="s">
        <v>368</v>
      </c>
      <c r="H185" s="50" t="s">
        <v>2200</v>
      </c>
      <c r="I185" s="50" t="s">
        <v>2200</v>
      </c>
      <c r="J185" s="104" t="s">
        <v>2303</v>
      </c>
      <c r="K185" s="10">
        <v>46032</v>
      </c>
      <c r="L185" s="29" t="s">
        <v>25</v>
      </c>
      <c r="M185" s="56"/>
    </row>
    <row r="186" spans="1:13" ht="31.5">
      <c r="A186" s="5">
        <v>185</v>
      </c>
      <c r="B186" s="29" t="s">
        <v>311</v>
      </c>
      <c r="C186" s="31" t="s">
        <v>2165</v>
      </c>
      <c r="D186" s="29" t="s">
        <v>383</v>
      </c>
      <c r="E186" s="29" t="s">
        <v>384</v>
      </c>
      <c r="F186" s="8" t="s">
        <v>2302</v>
      </c>
      <c r="G186" s="29" t="s">
        <v>385</v>
      </c>
      <c r="H186" s="50" t="s">
        <v>2200</v>
      </c>
      <c r="I186" s="50" t="s">
        <v>2200</v>
      </c>
      <c r="J186" s="104" t="s">
        <v>2303</v>
      </c>
      <c r="K186" s="10">
        <v>46032</v>
      </c>
      <c r="L186" s="29" t="s">
        <v>25</v>
      </c>
      <c r="M186" s="56"/>
    </row>
    <row r="187" spans="1:13" ht="31.5">
      <c r="A187" s="5">
        <v>186</v>
      </c>
      <c r="B187" s="29" t="s">
        <v>311</v>
      </c>
      <c r="C187" s="31" t="s">
        <v>2165</v>
      </c>
      <c r="D187" s="29" t="s">
        <v>1718</v>
      </c>
      <c r="E187" s="29" t="s">
        <v>1886</v>
      </c>
      <c r="F187" s="8" t="s">
        <v>2302</v>
      </c>
      <c r="G187" s="29" t="s">
        <v>362</v>
      </c>
      <c r="H187" s="50" t="s">
        <v>2200</v>
      </c>
      <c r="I187" s="50" t="s">
        <v>2200</v>
      </c>
      <c r="J187" s="104" t="s">
        <v>2303</v>
      </c>
      <c r="K187" s="10">
        <v>46032</v>
      </c>
      <c r="L187" s="29" t="s">
        <v>25</v>
      </c>
      <c r="M187" s="56"/>
    </row>
    <row r="188" spans="1:13" ht="31.5">
      <c r="A188" s="5">
        <v>187</v>
      </c>
      <c r="B188" s="29" t="s">
        <v>311</v>
      </c>
      <c r="C188" s="31" t="s">
        <v>2165</v>
      </c>
      <c r="D188" s="29" t="s">
        <v>1808</v>
      </c>
      <c r="E188" s="29" t="s">
        <v>18</v>
      </c>
      <c r="F188" s="8" t="s">
        <v>2302</v>
      </c>
      <c r="G188" s="29" t="s">
        <v>1887</v>
      </c>
      <c r="H188" s="50" t="s">
        <v>2200</v>
      </c>
      <c r="I188" s="50" t="s">
        <v>2200</v>
      </c>
      <c r="J188" s="104" t="s">
        <v>2303</v>
      </c>
      <c r="K188" s="10">
        <v>46032</v>
      </c>
      <c r="L188" s="29" t="s">
        <v>25</v>
      </c>
      <c r="M188" s="56"/>
    </row>
    <row r="189" spans="1:13" ht="31.5">
      <c r="A189" s="5">
        <v>188</v>
      </c>
      <c r="B189" s="29" t="s">
        <v>311</v>
      </c>
      <c r="C189" s="31" t="s">
        <v>2165</v>
      </c>
      <c r="D189" s="29" t="s">
        <v>388</v>
      </c>
      <c r="E189" s="29" t="s">
        <v>18</v>
      </c>
      <c r="F189" s="8" t="s">
        <v>2302</v>
      </c>
      <c r="G189" s="29" t="s">
        <v>389</v>
      </c>
      <c r="H189" s="50" t="s">
        <v>2200</v>
      </c>
      <c r="I189" s="50" t="s">
        <v>2200</v>
      </c>
      <c r="J189" s="104" t="s">
        <v>2303</v>
      </c>
      <c r="K189" s="10">
        <v>46032</v>
      </c>
      <c r="L189" s="29" t="s">
        <v>25</v>
      </c>
      <c r="M189" s="56"/>
    </row>
    <row r="190" spans="1:13" ht="31.5">
      <c r="A190" s="5">
        <v>189</v>
      </c>
      <c r="B190" s="29" t="s">
        <v>311</v>
      </c>
      <c r="C190" s="31" t="s">
        <v>2166</v>
      </c>
      <c r="D190" s="29" t="s">
        <v>390</v>
      </c>
      <c r="E190" s="29" t="s">
        <v>391</v>
      </c>
      <c r="F190" s="8" t="s">
        <v>2302</v>
      </c>
      <c r="G190" s="29" t="s">
        <v>392</v>
      </c>
      <c r="H190" s="50" t="s">
        <v>2200</v>
      </c>
      <c r="I190" s="50" t="s">
        <v>2200</v>
      </c>
      <c r="J190" s="104" t="s">
        <v>2303</v>
      </c>
      <c r="K190" s="10">
        <v>46032</v>
      </c>
      <c r="L190" s="29" t="s">
        <v>25</v>
      </c>
      <c r="M190" s="56"/>
    </row>
    <row r="191" spans="1:13" ht="31.5">
      <c r="A191" s="5">
        <v>190</v>
      </c>
      <c r="B191" s="29" t="s">
        <v>311</v>
      </c>
      <c r="C191" s="31" t="s">
        <v>2166</v>
      </c>
      <c r="D191" s="29" t="s">
        <v>393</v>
      </c>
      <c r="E191" s="29" t="s">
        <v>394</v>
      </c>
      <c r="F191" s="8" t="s">
        <v>2302</v>
      </c>
      <c r="G191" s="29" t="s">
        <v>395</v>
      </c>
      <c r="H191" s="50" t="s">
        <v>2200</v>
      </c>
      <c r="I191" s="50" t="s">
        <v>2200</v>
      </c>
      <c r="J191" s="104" t="s">
        <v>2303</v>
      </c>
      <c r="K191" s="10">
        <v>46032</v>
      </c>
      <c r="L191" s="29" t="s">
        <v>25</v>
      </c>
      <c r="M191" s="56"/>
    </row>
    <row r="192" spans="1:13" ht="31.5">
      <c r="A192" s="5">
        <v>191</v>
      </c>
      <c r="B192" s="29" t="s">
        <v>311</v>
      </c>
      <c r="C192" s="31" t="s">
        <v>2166</v>
      </c>
      <c r="D192" s="29" t="s">
        <v>396</v>
      </c>
      <c r="E192" s="29" t="s">
        <v>397</v>
      </c>
      <c r="F192" s="8" t="s">
        <v>2302</v>
      </c>
      <c r="G192" s="29" t="s">
        <v>398</v>
      </c>
      <c r="H192" s="50" t="s">
        <v>2200</v>
      </c>
      <c r="I192" s="50" t="s">
        <v>2200</v>
      </c>
      <c r="J192" s="104" t="s">
        <v>2303</v>
      </c>
      <c r="K192" s="10">
        <v>46032</v>
      </c>
      <c r="L192" s="29" t="s">
        <v>25</v>
      </c>
      <c r="M192" s="5"/>
    </row>
    <row r="193" spans="1:13" ht="31.5">
      <c r="A193" s="5">
        <v>192</v>
      </c>
      <c r="B193" s="29" t="s">
        <v>311</v>
      </c>
      <c r="C193" s="31" t="s">
        <v>2166</v>
      </c>
      <c r="D193" s="29" t="s">
        <v>399</v>
      </c>
      <c r="E193" s="29" t="s">
        <v>400</v>
      </c>
      <c r="F193" s="8" t="s">
        <v>2302</v>
      </c>
      <c r="G193" s="29" t="s">
        <v>401</v>
      </c>
      <c r="H193" s="50" t="s">
        <v>2200</v>
      </c>
      <c r="I193" s="50" t="s">
        <v>2200</v>
      </c>
      <c r="J193" s="104" t="s">
        <v>2303</v>
      </c>
      <c r="K193" s="10">
        <v>46032</v>
      </c>
      <c r="L193" s="29" t="s">
        <v>25</v>
      </c>
      <c r="M193" s="56"/>
    </row>
    <row r="194" spans="1:13" ht="31.5">
      <c r="A194" s="5">
        <v>193</v>
      </c>
      <c r="B194" s="29" t="s">
        <v>311</v>
      </c>
      <c r="C194" s="31" t="s">
        <v>2167</v>
      </c>
      <c r="D194" s="29" t="s">
        <v>402</v>
      </c>
      <c r="E194" s="29" t="s">
        <v>403</v>
      </c>
      <c r="F194" s="8" t="s">
        <v>2302</v>
      </c>
      <c r="G194" s="29" t="s">
        <v>1888</v>
      </c>
      <c r="H194" s="50" t="s">
        <v>2200</v>
      </c>
      <c r="I194" s="50" t="s">
        <v>2200</v>
      </c>
      <c r="J194" s="104" t="s">
        <v>2303</v>
      </c>
      <c r="K194" s="10">
        <v>46032</v>
      </c>
      <c r="L194" s="29" t="s">
        <v>25</v>
      </c>
      <c r="M194" s="56"/>
    </row>
    <row r="195" spans="1:13" ht="31.5">
      <c r="A195" s="5">
        <v>194</v>
      </c>
      <c r="B195" s="29" t="s">
        <v>311</v>
      </c>
      <c r="C195" s="31" t="s">
        <v>2167</v>
      </c>
      <c r="D195" s="29" t="s">
        <v>404</v>
      </c>
      <c r="E195" s="29" t="s">
        <v>405</v>
      </c>
      <c r="F195" s="8" t="s">
        <v>2302</v>
      </c>
      <c r="G195" s="29" t="s">
        <v>406</v>
      </c>
      <c r="H195" s="50" t="s">
        <v>2200</v>
      </c>
      <c r="I195" s="50" t="s">
        <v>2200</v>
      </c>
      <c r="J195" s="104" t="s">
        <v>2303</v>
      </c>
      <c r="K195" s="10">
        <v>46032</v>
      </c>
      <c r="L195" s="29" t="s">
        <v>25</v>
      </c>
      <c r="M195" s="56"/>
    </row>
    <row r="196" spans="1:13" ht="31.5">
      <c r="A196" s="5">
        <v>195</v>
      </c>
      <c r="B196" s="29" t="s">
        <v>311</v>
      </c>
      <c r="C196" s="31" t="s">
        <v>2167</v>
      </c>
      <c r="D196" s="29" t="s">
        <v>407</v>
      </c>
      <c r="E196" s="29" t="s">
        <v>408</v>
      </c>
      <c r="F196" s="8" t="s">
        <v>2302</v>
      </c>
      <c r="G196" s="29" t="s">
        <v>409</v>
      </c>
      <c r="H196" s="50" t="s">
        <v>2200</v>
      </c>
      <c r="I196" s="50" t="s">
        <v>2200</v>
      </c>
      <c r="J196" s="104" t="s">
        <v>2303</v>
      </c>
      <c r="K196" s="10">
        <v>46032</v>
      </c>
      <c r="L196" s="29" t="s">
        <v>25</v>
      </c>
      <c r="M196" s="56"/>
    </row>
    <row r="197" spans="1:13" ht="31.5">
      <c r="A197" s="5">
        <v>196</v>
      </c>
      <c r="B197" s="29" t="s">
        <v>311</v>
      </c>
      <c r="C197" s="31" t="s">
        <v>2167</v>
      </c>
      <c r="D197" s="29" t="s">
        <v>410</v>
      </c>
      <c r="E197" s="29" t="s">
        <v>411</v>
      </c>
      <c r="F197" s="8" t="s">
        <v>2302</v>
      </c>
      <c r="G197" s="29" t="s">
        <v>1889</v>
      </c>
      <c r="H197" s="50" t="s">
        <v>2200</v>
      </c>
      <c r="I197" s="50" t="s">
        <v>2200</v>
      </c>
      <c r="J197" s="104" t="s">
        <v>2303</v>
      </c>
      <c r="K197" s="10">
        <v>46032</v>
      </c>
      <c r="L197" s="29" t="s">
        <v>25</v>
      </c>
      <c r="M197" s="56"/>
    </row>
    <row r="198" spans="1:13" ht="31.5">
      <c r="A198" s="5">
        <v>197</v>
      </c>
      <c r="B198" s="29" t="s">
        <v>311</v>
      </c>
      <c r="C198" s="31" t="s">
        <v>2167</v>
      </c>
      <c r="D198" s="29" t="s">
        <v>412</v>
      </c>
      <c r="E198" s="29" t="s">
        <v>413</v>
      </c>
      <c r="F198" s="8" t="s">
        <v>2302</v>
      </c>
      <c r="G198" s="29" t="s">
        <v>414</v>
      </c>
      <c r="H198" s="50" t="s">
        <v>2200</v>
      </c>
      <c r="I198" s="50" t="s">
        <v>2200</v>
      </c>
      <c r="J198" s="104" t="s">
        <v>2303</v>
      </c>
      <c r="K198" s="10">
        <v>46032</v>
      </c>
      <c r="L198" s="29" t="s">
        <v>25</v>
      </c>
      <c r="M198" s="56"/>
    </row>
    <row r="199" spans="1:13" ht="31.5">
      <c r="A199" s="5">
        <v>198</v>
      </c>
      <c r="B199" s="29" t="s">
        <v>311</v>
      </c>
      <c r="C199" s="31" t="s">
        <v>2167</v>
      </c>
      <c r="D199" s="29" t="s">
        <v>415</v>
      </c>
      <c r="E199" s="29" t="s">
        <v>416</v>
      </c>
      <c r="F199" s="8" t="s">
        <v>2302</v>
      </c>
      <c r="G199" s="29" t="s">
        <v>417</v>
      </c>
      <c r="H199" s="50" t="s">
        <v>2200</v>
      </c>
      <c r="I199" s="50" t="s">
        <v>2200</v>
      </c>
      <c r="J199" s="104" t="s">
        <v>2303</v>
      </c>
      <c r="K199" s="10">
        <v>46032</v>
      </c>
      <c r="L199" s="29" t="s">
        <v>25</v>
      </c>
      <c r="M199" s="56"/>
    </row>
    <row r="200" spans="1:13" ht="31.5">
      <c r="A200" s="5">
        <v>199</v>
      </c>
      <c r="B200" s="29" t="s">
        <v>311</v>
      </c>
      <c r="C200" s="31" t="s">
        <v>2167</v>
      </c>
      <c r="D200" s="29" t="s">
        <v>418</v>
      </c>
      <c r="E200" s="29" t="s">
        <v>419</v>
      </c>
      <c r="F200" s="8" t="s">
        <v>2302</v>
      </c>
      <c r="G200" s="29" t="s">
        <v>420</v>
      </c>
      <c r="H200" s="50" t="s">
        <v>2200</v>
      </c>
      <c r="I200" s="50" t="s">
        <v>2200</v>
      </c>
      <c r="J200" s="104" t="s">
        <v>2303</v>
      </c>
      <c r="K200" s="10">
        <v>46032</v>
      </c>
      <c r="L200" s="29" t="s">
        <v>25</v>
      </c>
      <c r="M200" s="56"/>
    </row>
    <row r="201" spans="1:13" ht="31.5">
      <c r="A201" s="5">
        <v>200</v>
      </c>
      <c r="B201" s="29" t="s">
        <v>311</v>
      </c>
      <c r="C201" s="31" t="s">
        <v>2167</v>
      </c>
      <c r="D201" s="29" t="s">
        <v>421</v>
      </c>
      <c r="E201" s="29" t="s">
        <v>422</v>
      </c>
      <c r="F201" s="8" t="s">
        <v>2302</v>
      </c>
      <c r="G201" s="29" t="s">
        <v>423</v>
      </c>
      <c r="H201" s="50" t="s">
        <v>2200</v>
      </c>
      <c r="I201" s="50" t="s">
        <v>2200</v>
      </c>
      <c r="J201" s="104" t="s">
        <v>2303</v>
      </c>
      <c r="K201" s="10">
        <v>46032</v>
      </c>
      <c r="L201" s="29" t="s">
        <v>25</v>
      </c>
      <c r="M201" s="56"/>
    </row>
    <row r="202" spans="1:13" ht="31.5">
      <c r="A202" s="5">
        <v>201</v>
      </c>
      <c r="B202" s="29" t="s">
        <v>311</v>
      </c>
      <c r="C202" s="31" t="s">
        <v>2167</v>
      </c>
      <c r="D202" s="29" t="s">
        <v>424</v>
      </c>
      <c r="E202" s="29" t="s">
        <v>425</v>
      </c>
      <c r="F202" s="8" t="s">
        <v>2302</v>
      </c>
      <c r="G202" s="29" t="s">
        <v>426</v>
      </c>
      <c r="H202" s="50" t="s">
        <v>2200</v>
      </c>
      <c r="I202" s="50" t="s">
        <v>2200</v>
      </c>
      <c r="J202" s="104" t="s">
        <v>2303</v>
      </c>
      <c r="K202" s="10">
        <v>46032</v>
      </c>
      <c r="L202" s="29" t="s">
        <v>25</v>
      </c>
      <c r="M202" s="56"/>
    </row>
    <row r="203" spans="1:13" ht="31.5">
      <c r="A203" s="5">
        <v>202</v>
      </c>
      <c r="B203" s="29" t="s">
        <v>311</v>
      </c>
      <c r="C203" s="31" t="s">
        <v>2167</v>
      </c>
      <c r="D203" s="29" t="s">
        <v>1890</v>
      </c>
      <c r="E203" s="29" t="s">
        <v>1891</v>
      </c>
      <c r="F203" s="8" t="s">
        <v>2316</v>
      </c>
      <c r="G203" s="29" t="s">
        <v>417</v>
      </c>
      <c r="H203" s="50" t="s">
        <v>2200</v>
      </c>
      <c r="I203" s="50" t="s">
        <v>2321</v>
      </c>
      <c r="J203" s="104" t="s">
        <v>2303</v>
      </c>
      <c r="K203" s="10">
        <v>46032</v>
      </c>
      <c r="L203" s="29" t="s">
        <v>25</v>
      </c>
      <c r="M203" s="56"/>
    </row>
    <row r="204" spans="1:13" ht="31.5">
      <c r="A204" s="5">
        <v>203</v>
      </c>
      <c r="B204" s="29" t="s">
        <v>311</v>
      </c>
      <c r="C204" s="31" t="s">
        <v>2167</v>
      </c>
      <c r="D204" s="29" t="s">
        <v>1735</v>
      </c>
      <c r="E204" s="29" t="s">
        <v>1892</v>
      </c>
      <c r="F204" s="8" t="s">
        <v>2302</v>
      </c>
      <c r="G204" s="29" t="s">
        <v>1893</v>
      </c>
      <c r="H204" s="50" t="s">
        <v>2200</v>
      </c>
      <c r="I204" s="50" t="s">
        <v>2200</v>
      </c>
      <c r="J204" s="104" t="s">
        <v>2303</v>
      </c>
      <c r="K204" s="10">
        <v>46032</v>
      </c>
      <c r="L204" s="29" t="s">
        <v>25</v>
      </c>
      <c r="M204" s="56"/>
    </row>
    <row r="205" spans="1:13" ht="31.5">
      <c r="A205" s="5">
        <v>204</v>
      </c>
      <c r="B205" s="29" t="s">
        <v>311</v>
      </c>
      <c r="C205" s="31" t="s">
        <v>2167</v>
      </c>
      <c r="D205" s="29" t="s">
        <v>428</v>
      </c>
      <c r="E205" s="29" t="s">
        <v>429</v>
      </c>
      <c r="F205" s="8" t="s">
        <v>2317</v>
      </c>
      <c r="G205" s="29" t="s">
        <v>430</v>
      </c>
      <c r="H205" s="50" t="s">
        <v>2200</v>
      </c>
      <c r="I205" s="50" t="s">
        <v>2200</v>
      </c>
      <c r="J205" s="104" t="s">
        <v>2303</v>
      </c>
      <c r="K205" s="10">
        <v>46032</v>
      </c>
      <c r="L205" s="29" t="s">
        <v>25</v>
      </c>
      <c r="M205" s="56"/>
    </row>
    <row r="206" spans="1:13" ht="31.5">
      <c r="A206" s="5">
        <v>205</v>
      </c>
      <c r="B206" s="29" t="s">
        <v>311</v>
      </c>
      <c r="C206" s="31" t="s">
        <v>2167</v>
      </c>
      <c r="D206" s="29" t="s">
        <v>1894</v>
      </c>
      <c r="E206" s="29" t="s">
        <v>18</v>
      </c>
      <c r="F206" s="8" t="s">
        <v>2302</v>
      </c>
      <c r="G206" s="29" t="s">
        <v>427</v>
      </c>
      <c r="H206" s="50" t="s">
        <v>2200</v>
      </c>
      <c r="I206" s="50" t="s">
        <v>2200</v>
      </c>
      <c r="J206" s="104" t="s">
        <v>2303</v>
      </c>
      <c r="K206" s="10">
        <v>46032</v>
      </c>
      <c r="L206" s="29" t="s">
        <v>25</v>
      </c>
      <c r="M206" s="5"/>
    </row>
    <row r="207" spans="1:13" ht="31.5">
      <c r="A207" s="5">
        <v>206</v>
      </c>
      <c r="B207" s="29" t="s">
        <v>311</v>
      </c>
      <c r="C207" s="31" t="s">
        <v>2168</v>
      </c>
      <c r="D207" s="29" t="s">
        <v>1820</v>
      </c>
      <c r="E207" s="29" t="s">
        <v>18</v>
      </c>
      <c r="F207" s="8" t="s">
        <v>2302</v>
      </c>
      <c r="G207" s="29" t="s">
        <v>1895</v>
      </c>
      <c r="H207" s="50" t="s">
        <v>2200</v>
      </c>
      <c r="I207" s="50" t="s">
        <v>2200</v>
      </c>
      <c r="J207" s="104" t="s">
        <v>2303</v>
      </c>
      <c r="K207" s="10">
        <v>46032</v>
      </c>
      <c r="L207" s="29" t="s">
        <v>25</v>
      </c>
      <c r="M207" s="56"/>
    </row>
    <row r="208" spans="1:13" ht="31.5">
      <c r="A208" s="5">
        <v>207</v>
      </c>
      <c r="B208" s="29" t="s">
        <v>311</v>
      </c>
      <c r="C208" s="31" t="s">
        <v>2168</v>
      </c>
      <c r="D208" s="29" t="s">
        <v>1823</v>
      </c>
      <c r="E208" s="29" t="s">
        <v>1896</v>
      </c>
      <c r="F208" s="8" t="s">
        <v>2302</v>
      </c>
      <c r="G208" s="29" t="s">
        <v>1897</v>
      </c>
      <c r="H208" s="50" t="s">
        <v>2200</v>
      </c>
      <c r="I208" s="50" t="s">
        <v>2200</v>
      </c>
      <c r="J208" s="104" t="s">
        <v>2303</v>
      </c>
      <c r="K208" s="10">
        <v>46032</v>
      </c>
      <c r="L208" s="29" t="s">
        <v>25</v>
      </c>
      <c r="M208" s="56"/>
    </row>
    <row r="209" spans="1:13" ht="31.5">
      <c r="A209" s="5">
        <v>208</v>
      </c>
      <c r="B209" s="29" t="s">
        <v>311</v>
      </c>
      <c r="C209" s="31" t="s">
        <v>2168</v>
      </c>
      <c r="D209" s="29" t="s">
        <v>1824</v>
      </c>
      <c r="E209" s="29" t="s">
        <v>1898</v>
      </c>
      <c r="F209" s="8" t="s">
        <v>2302</v>
      </c>
      <c r="G209" s="29" t="s">
        <v>1899</v>
      </c>
      <c r="H209" s="50" t="s">
        <v>2200</v>
      </c>
      <c r="I209" s="50" t="s">
        <v>2200</v>
      </c>
      <c r="J209" s="104" t="s">
        <v>2303</v>
      </c>
      <c r="K209" s="10">
        <v>46032</v>
      </c>
      <c r="L209" s="29" t="s">
        <v>25</v>
      </c>
      <c r="M209" s="56"/>
    </row>
    <row r="210" spans="1:13" ht="31.5">
      <c r="A210" s="5">
        <v>209</v>
      </c>
      <c r="B210" s="29" t="s">
        <v>311</v>
      </c>
      <c r="C210" s="31" t="s">
        <v>2167</v>
      </c>
      <c r="D210" s="29" t="s">
        <v>1825</v>
      </c>
      <c r="E210" s="29" t="s">
        <v>1900</v>
      </c>
      <c r="F210" s="8" t="s">
        <v>2302</v>
      </c>
      <c r="G210" s="29" t="s">
        <v>1901</v>
      </c>
      <c r="H210" s="50" t="s">
        <v>2200</v>
      </c>
      <c r="I210" s="50" t="s">
        <v>2200</v>
      </c>
      <c r="J210" s="104" t="s">
        <v>2303</v>
      </c>
      <c r="K210" s="10">
        <v>46032</v>
      </c>
      <c r="L210" s="29" t="s">
        <v>25</v>
      </c>
      <c r="M210" s="56"/>
    </row>
    <row r="211" spans="1:13" ht="31.5">
      <c r="A211" s="5">
        <v>210</v>
      </c>
      <c r="B211" s="29" t="s">
        <v>311</v>
      </c>
      <c r="C211" s="31" t="s">
        <v>2167</v>
      </c>
      <c r="D211" s="29" t="s">
        <v>432</v>
      </c>
      <c r="E211" s="29" t="s">
        <v>433</v>
      </c>
      <c r="F211" s="8" t="s">
        <v>2302</v>
      </c>
      <c r="G211" s="29" t="s">
        <v>434</v>
      </c>
      <c r="H211" s="50" t="s">
        <v>2200</v>
      </c>
      <c r="I211" s="50" t="s">
        <v>2200</v>
      </c>
      <c r="J211" s="104" t="s">
        <v>2303</v>
      </c>
      <c r="K211" s="10">
        <v>46032</v>
      </c>
      <c r="L211" s="29" t="s">
        <v>25</v>
      </c>
      <c r="M211" s="56"/>
    </row>
    <row r="212" spans="1:13" ht="31.5">
      <c r="A212" s="5">
        <v>211</v>
      </c>
      <c r="B212" s="29" t="s">
        <v>311</v>
      </c>
      <c r="C212" s="31" t="s">
        <v>2167</v>
      </c>
      <c r="D212" s="29" t="s">
        <v>435</v>
      </c>
      <c r="E212" s="29" t="s">
        <v>436</v>
      </c>
      <c r="F212" s="8" t="s">
        <v>2302</v>
      </c>
      <c r="G212" s="29" t="s">
        <v>437</v>
      </c>
      <c r="H212" s="50" t="s">
        <v>2200</v>
      </c>
      <c r="I212" s="50" t="s">
        <v>2200</v>
      </c>
      <c r="J212" s="104" t="s">
        <v>2303</v>
      </c>
      <c r="K212" s="10">
        <v>46032</v>
      </c>
      <c r="L212" s="29" t="s">
        <v>25</v>
      </c>
      <c r="M212" s="56"/>
    </row>
    <row r="213" spans="1:13" ht="31.5">
      <c r="A213" s="5">
        <v>212</v>
      </c>
      <c r="B213" s="29" t="s">
        <v>311</v>
      </c>
      <c r="C213" s="31" t="s">
        <v>2168</v>
      </c>
      <c r="D213" s="29" t="s">
        <v>1902</v>
      </c>
      <c r="E213" s="29" t="s">
        <v>1903</v>
      </c>
      <c r="F213" s="8" t="s">
        <v>2318</v>
      </c>
      <c r="G213" s="29" t="s">
        <v>1904</v>
      </c>
      <c r="H213" s="50" t="s">
        <v>2200</v>
      </c>
      <c r="I213" s="50" t="s">
        <v>2200</v>
      </c>
      <c r="J213" s="104" t="s">
        <v>2303</v>
      </c>
      <c r="K213" s="10">
        <v>46032</v>
      </c>
      <c r="L213" s="29" t="s">
        <v>25</v>
      </c>
      <c r="M213" s="56"/>
    </row>
    <row r="214" spans="1:13" ht="31.5">
      <c r="A214" s="5">
        <v>213</v>
      </c>
      <c r="B214" s="29" t="s">
        <v>311</v>
      </c>
      <c r="C214" s="31" t="s">
        <v>2168</v>
      </c>
      <c r="D214" s="29" t="s">
        <v>438</v>
      </c>
      <c r="E214" s="29" t="s">
        <v>439</v>
      </c>
      <c r="F214" s="8" t="s">
        <v>2302</v>
      </c>
      <c r="G214" s="29" t="s">
        <v>440</v>
      </c>
      <c r="H214" s="50" t="s">
        <v>2200</v>
      </c>
      <c r="I214" s="50" t="s">
        <v>2200</v>
      </c>
      <c r="J214" s="104" t="s">
        <v>2303</v>
      </c>
      <c r="K214" s="10">
        <v>46032</v>
      </c>
      <c r="L214" s="29" t="s">
        <v>25</v>
      </c>
      <c r="M214" s="56"/>
    </row>
    <row r="215" spans="1:13" ht="31.5">
      <c r="A215" s="5">
        <v>214</v>
      </c>
      <c r="B215" s="29" t="s">
        <v>311</v>
      </c>
      <c r="C215" s="31" t="s">
        <v>2168</v>
      </c>
      <c r="D215" s="29" t="s">
        <v>1822</v>
      </c>
      <c r="E215" s="29" t="s">
        <v>18</v>
      </c>
      <c r="F215" s="8" t="s">
        <v>2302</v>
      </c>
      <c r="G215" s="29" t="s">
        <v>1905</v>
      </c>
      <c r="H215" s="50" t="s">
        <v>2200</v>
      </c>
      <c r="I215" s="50" t="s">
        <v>2200</v>
      </c>
      <c r="J215" s="104" t="s">
        <v>2303</v>
      </c>
      <c r="K215" s="10">
        <v>46032</v>
      </c>
      <c r="L215" s="29" t="s">
        <v>25</v>
      </c>
      <c r="M215" s="56"/>
    </row>
    <row r="216" spans="1:13" ht="31.5">
      <c r="A216" s="5">
        <v>215</v>
      </c>
      <c r="B216" s="29" t="s">
        <v>311</v>
      </c>
      <c r="C216" s="31" t="s">
        <v>2169</v>
      </c>
      <c r="D216" s="29" t="s">
        <v>1759</v>
      </c>
      <c r="E216" s="29" t="s">
        <v>18</v>
      </c>
      <c r="F216" s="8" t="s">
        <v>2302</v>
      </c>
      <c r="G216" s="29" t="s">
        <v>456</v>
      </c>
      <c r="H216" s="50" t="s">
        <v>2200</v>
      </c>
      <c r="I216" s="50" t="s">
        <v>2200</v>
      </c>
      <c r="J216" s="104" t="s">
        <v>2303</v>
      </c>
      <c r="K216" s="10">
        <v>46032</v>
      </c>
      <c r="L216" s="29" t="s">
        <v>22</v>
      </c>
      <c r="M216" s="56"/>
    </row>
    <row r="217" spans="1:13" ht="31.5">
      <c r="A217" s="5">
        <v>216</v>
      </c>
      <c r="B217" s="29" t="s">
        <v>311</v>
      </c>
      <c r="C217" s="31" t="s">
        <v>2169</v>
      </c>
      <c r="D217" s="29" t="s">
        <v>441</v>
      </c>
      <c r="E217" s="29" t="s">
        <v>442</v>
      </c>
      <c r="F217" s="8" t="s">
        <v>2302</v>
      </c>
      <c r="G217" s="29" t="s">
        <v>443</v>
      </c>
      <c r="H217" s="50" t="s">
        <v>2200</v>
      </c>
      <c r="I217" s="50" t="s">
        <v>2200</v>
      </c>
      <c r="J217" s="104" t="s">
        <v>2303</v>
      </c>
      <c r="K217" s="10">
        <v>46032</v>
      </c>
      <c r="L217" s="29" t="s">
        <v>22</v>
      </c>
      <c r="M217" s="56"/>
    </row>
    <row r="218" spans="1:13" ht="31.5">
      <c r="A218" s="5">
        <v>217</v>
      </c>
      <c r="B218" s="29" t="s">
        <v>311</v>
      </c>
      <c r="C218" s="31" t="s">
        <v>2169</v>
      </c>
      <c r="D218" s="29" t="s">
        <v>444</v>
      </c>
      <c r="E218" s="29" t="s">
        <v>445</v>
      </c>
      <c r="F218" s="8" t="s">
        <v>2302</v>
      </c>
      <c r="G218" s="29" t="s">
        <v>446</v>
      </c>
      <c r="H218" s="50" t="s">
        <v>2200</v>
      </c>
      <c r="I218" s="50" t="s">
        <v>2200</v>
      </c>
      <c r="J218" s="104" t="s">
        <v>2303</v>
      </c>
      <c r="K218" s="10">
        <v>46032</v>
      </c>
      <c r="L218" s="29" t="s">
        <v>22</v>
      </c>
      <c r="M218" s="56"/>
    </row>
    <row r="219" spans="1:13" ht="31.5">
      <c r="A219" s="5">
        <v>218</v>
      </c>
      <c r="B219" s="29" t="s">
        <v>311</v>
      </c>
      <c r="C219" s="31" t="s">
        <v>2169</v>
      </c>
      <c r="D219" s="29" t="s">
        <v>447</v>
      </c>
      <c r="E219" s="29" t="s">
        <v>448</v>
      </c>
      <c r="F219" s="8" t="s">
        <v>2302</v>
      </c>
      <c r="G219" s="29" t="s">
        <v>443</v>
      </c>
      <c r="H219" s="50" t="s">
        <v>2200</v>
      </c>
      <c r="I219" s="50" t="s">
        <v>2200</v>
      </c>
      <c r="J219" s="104" t="s">
        <v>2303</v>
      </c>
      <c r="K219" s="10">
        <v>46032</v>
      </c>
      <c r="L219" s="29" t="s">
        <v>22</v>
      </c>
      <c r="M219" s="56"/>
    </row>
    <row r="220" spans="1:13" ht="31.5">
      <c r="A220" s="5">
        <v>219</v>
      </c>
      <c r="B220" s="29" t="s">
        <v>311</v>
      </c>
      <c r="C220" s="31" t="s">
        <v>2169</v>
      </c>
      <c r="D220" s="29" t="s">
        <v>1906</v>
      </c>
      <c r="E220" s="29" t="s">
        <v>18</v>
      </c>
      <c r="F220" s="8" t="s">
        <v>2302</v>
      </c>
      <c r="G220" s="29" t="s">
        <v>1907</v>
      </c>
      <c r="H220" s="50" t="s">
        <v>2200</v>
      </c>
      <c r="I220" s="50" t="s">
        <v>2200</v>
      </c>
      <c r="J220" s="104" t="s">
        <v>2303</v>
      </c>
      <c r="K220" s="10">
        <v>46032</v>
      </c>
      <c r="L220" s="29" t="s">
        <v>25</v>
      </c>
      <c r="M220" s="5"/>
    </row>
    <row r="221" spans="1:13" ht="31.5">
      <c r="A221" s="5">
        <v>220</v>
      </c>
      <c r="B221" s="29" t="s">
        <v>311</v>
      </c>
      <c r="C221" s="31" t="s">
        <v>2169</v>
      </c>
      <c r="D221" s="29" t="s">
        <v>1741</v>
      </c>
      <c r="E221" s="29" t="s">
        <v>18</v>
      </c>
      <c r="F221" s="8" t="s">
        <v>2302</v>
      </c>
      <c r="G221" s="29" t="s">
        <v>1908</v>
      </c>
      <c r="H221" s="50" t="s">
        <v>2200</v>
      </c>
      <c r="I221" s="50" t="s">
        <v>2200</v>
      </c>
      <c r="J221" s="104" t="s">
        <v>2303</v>
      </c>
      <c r="K221" s="10">
        <v>46032</v>
      </c>
      <c r="L221" s="29" t="s">
        <v>22</v>
      </c>
      <c r="M221" s="56"/>
    </row>
    <row r="222" spans="1:13" ht="31.5">
      <c r="A222" s="5">
        <v>221</v>
      </c>
      <c r="B222" s="29" t="s">
        <v>311</v>
      </c>
      <c r="C222" s="31" t="s">
        <v>2169</v>
      </c>
      <c r="D222" s="29" t="s">
        <v>1742</v>
      </c>
      <c r="E222" s="29" t="s">
        <v>18</v>
      </c>
      <c r="F222" s="8" t="s">
        <v>2302</v>
      </c>
      <c r="G222" s="29" t="s">
        <v>1909</v>
      </c>
      <c r="H222" s="50" t="s">
        <v>2200</v>
      </c>
      <c r="I222" s="50" t="s">
        <v>2200</v>
      </c>
      <c r="J222" s="104" t="s">
        <v>2303</v>
      </c>
      <c r="K222" s="10">
        <v>46032</v>
      </c>
      <c r="L222" s="29" t="s">
        <v>22</v>
      </c>
      <c r="M222" s="56"/>
    </row>
    <row r="223" spans="1:13" ht="31.5">
      <c r="A223" s="5">
        <v>222</v>
      </c>
      <c r="B223" s="29" t="s">
        <v>311</v>
      </c>
      <c r="C223" s="31" t="s">
        <v>2169</v>
      </c>
      <c r="D223" s="29" t="s">
        <v>459</v>
      </c>
      <c r="E223" s="29" t="s">
        <v>18</v>
      </c>
      <c r="F223" s="8" t="s">
        <v>2302</v>
      </c>
      <c r="G223" s="29" t="s">
        <v>460</v>
      </c>
      <c r="H223" s="50" t="s">
        <v>2200</v>
      </c>
      <c r="I223" s="50" t="s">
        <v>2200</v>
      </c>
      <c r="J223" s="104" t="s">
        <v>2303</v>
      </c>
      <c r="K223" s="10">
        <v>46032</v>
      </c>
      <c r="L223" s="29" t="s">
        <v>22</v>
      </c>
      <c r="M223" s="56"/>
    </row>
    <row r="224" spans="1:13" ht="31.5">
      <c r="A224" s="5">
        <v>223</v>
      </c>
      <c r="B224" s="29" t="s">
        <v>311</v>
      </c>
      <c r="C224" s="31" t="s">
        <v>2169</v>
      </c>
      <c r="D224" s="29" t="s">
        <v>475</v>
      </c>
      <c r="E224" s="29" t="s">
        <v>18</v>
      </c>
      <c r="F224" s="8" t="s">
        <v>2302</v>
      </c>
      <c r="G224" s="29" t="s">
        <v>476</v>
      </c>
      <c r="H224" s="50" t="s">
        <v>2200</v>
      </c>
      <c r="I224" s="50" t="s">
        <v>2200</v>
      </c>
      <c r="J224" s="104" t="s">
        <v>2303</v>
      </c>
      <c r="K224" s="10">
        <v>46032</v>
      </c>
      <c r="L224" s="29" t="s">
        <v>22</v>
      </c>
      <c r="M224" s="56"/>
    </row>
    <row r="225" spans="1:13" ht="31.5">
      <c r="A225" s="5">
        <v>224</v>
      </c>
      <c r="B225" s="29" t="s">
        <v>311</v>
      </c>
      <c r="C225" s="31" t="s">
        <v>2169</v>
      </c>
      <c r="D225" s="29" t="s">
        <v>1910</v>
      </c>
      <c r="E225" s="29" t="s">
        <v>18</v>
      </c>
      <c r="F225" s="8" t="s">
        <v>2302</v>
      </c>
      <c r="G225" s="29" t="s">
        <v>1911</v>
      </c>
      <c r="H225" s="50" t="s">
        <v>2200</v>
      </c>
      <c r="I225" s="50" t="s">
        <v>2200</v>
      </c>
      <c r="J225" s="104" t="s">
        <v>2303</v>
      </c>
      <c r="K225" s="10">
        <v>46032</v>
      </c>
      <c r="L225" s="29" t="s">
        <v>22</v>
      </c>
      <c r="M225" s="56"/>
    </row>
    <row r="226" spans="1:13" ht="31.5">
      <c r="A226" s="5">
        <v>225</v>
      </c>
      <c r="B226" s="29" t="s">
        <v>311</v>
      </c>
      <c r="C226" s="31" t="s">
        <v>2169</v>
      </c>
      <c r="D226" s="29" t="s">
        <v>1743</v>
      </c>
      <c r="E226" s="29" t="s">
        <v>18</v>
      </c>
      <c r="F226" s="8" t="s">
        <v>2302</v>
      </c>
      <c r="G226" s="29" t="s">
        <v>1912</v>
      </c>
      <c r="H226" s="50" t="s">
        <v>2200</v>
      </c>
      <c r="I226" s="50" t="s">
        <v>2200</v>
      </c>
      <c r="J226" s="104" t="s">
        <v>2303</v>
      </c>
      <c r="K226" s="10">
        <v>46032</v>
      </c>
      <c r="L226" s="29" t="s">
        <v>22</v>
      </c>
      <c r="M226" s="56"/>
    </row>
    <row r="227" spans="1:13" ht="31.5">
      <c r="A227" s="5">
        <v>226</v>
      </c>
      <c r="B227" s="29" t="s">
        <v>311</v>
      </c>
      <c r="C227" s="31" t="s">
        <v>2169</v>
      </c>
      <c r="D227" s="29" t="s">
        <v>482</v>
      </c>
      <c r="E227" s="29" t="s">
        <v>18</v>
      </c>
      <c r="F227" s="8" t="s">
        <v>2302</v>
      </c>
      <c r="G227" s="29" t="s">
        <v>1913</v>
      </c>
      <c r="H227" s="50" t="s">
        <v>2200</v>
      </c>
      <c r="I227" s="50" t="s">
        <v>2200</v>
      </c>
      <c r="J227" s="104" t="s">
        <v>2303</v>
      </c>
      <c r="K227" s="10">
        <v>46032</v>
      </c>
      <c r="L227" s="29" t="s">
        <v>22</v>
      </c>
      <c r="M227" s="56"/>
    </row>
    <row r="228" spans="1:13" ht="31.5">
      <c r="A228" s="5">
        <v>227</v>
      </c>
      <c r="B228" s="29" t="s">
        <v>311</v>
      </c>
      <c r="C228" s="31" t="s">
        <v>2169</v>
      </c>
      <c r="D228" s="29" t="s">
        <v>1744</v>
      </c>
      <c r="E228" s="29" t="s">
        <v>18</v>
      </c>
      <c r="F228" s="8" t="s">
        <v>2302</v>
      </c>
      <c r="G228" s="29" t="s">
        <v>1914</v>
      </c>
      <c r="H228" s="50" t="s">
        <v>2200</v>
      </c>
      <c r="I228" s="50" t="s">
        <v>2200</v>
      </c>
      <c r="J228" s="104" t="s">
        <v>2303</v>
      </c>
      <c r="K228" s="10">
        <v>46032</v>
      </c>
      <c r="L228" s="29" t="s">
        <v>22</v>
      </c>
      <c r="M228" s="56"/>
    </row>
    <row r="229" spans="1:13" ht="31.5">
      <c r="A229" s="5">
        <v>228</v>
      </c>
      <c r="B229" s="29" t="s">
        <v>311</v>
      </c>
      <c r="C229" s="31" t="s">
        <v>2169</v>
      </c>
      <c r="D229" s="29" t="s">
        <v>452</v>
      </c>
      <c r="E229" s="29" t="s">
        <v>18</v>
      </c>
      <c r="F229" s="8" t="s">
        <v>2302</v>
      </c>
      <c r="G229" s="29" t="s">
        <v>453</v>
      </c>
      <c r="H229" s="50" t="s">
        <v>2200</v>
      </c>
      <c r="I229" s="50" t="s">
        <v>2200</v>
      </c>
      <c r="J229" s="104" t="s">
        <v>2303</v>
      </c>
      <c r="K229" s="10">
        <v>46032</v>
      </c>
      <c r="L229" s="29" t="s">
        <v>22</v>
      </c>
      <c r="M229" s="56"/>
    </row>
    <row r="230" spans="1:13" ht="31.5">
      <c r="A230" s="5">
        <v>229</v>
      </c>
      <c r="B230" s="29" t="s">
        <v>311</v>
      </c>
      <c r="C230" s="31" t="s">
        <v>2169</v>
      </c>
      <c r="D230" s="29" t="s">
        <v>1745</v>
      </c>
      <c r="E230" s="29" t="s">
        <v>18</v>
      </c>
      <c r="F230" s="8" t="s">
        <v>2302</v>
      </c>
      <c r="G230" s="29" t="s">
        <v>479</v>
      </c>
      <c r="H230" s="50" t="s">
        <v>2200</v>
      </c>
      <c r="I230" s="50" t="s">
        <v>2200</v>
      </c>
      <c r="J230" s="104" t="s">
        <v>2303</v>
      </c>
      <c r="K230" s="10">
        <v>46032</v>
      </c>
      <c r="L230" s="29" t="s">
        <v>22</v>
      </c>
      <c r="M230" s="56"/>
    </row>
    <row r="231" spans="1:13" ht="31.5">
      <c r="A231" s="5">
        <v>230</v>
      </c>
      <c r="B231" s="29" t="s">
        <v>311</v>
      </c>
      <c r="C231" s="31" t="s">
        <v>2169</v>
      </c>
      <c r="D231" s="29" t="s">
        <v>463</v>
      </c>
      <c r="E231" s="29" t="s">
        <v>18</v>
      </c>
      <c r="F231" s="8" t="s">
        <v>2302</v>
      </c>
      <c r="G231" s="29" t="s">
        <v>464</v>
      </c>
      <c r="H231" s="50" t="s">
        <v>2200</v>
      </c>
      <c r="I231" s="50" t="s">
        <v>2200</v>
      </c>
      <c r="J231" s="104" t="s">
        <v>2303</v>
      </c>
      <c r="K231" s="10">
        <v>46032</v>
      </c>
      <c r="L231" s="29" t="s">
        <v>22</v>
      </c>
      <c r="M231" s="56"/>
    </row>
    <row r="232" spans="1:13" ht="31.5">
      <c r="A232" s="5">
        <v>231</v>
      </c>
      <c r="B232" s="29" t="s">
        <v>311</v>
      </c>
      <c r="C232" s="31" t="s">
        <v>2169</v>
      </c>
      <c r="D232" s="29" t="s">
        <v>1746</v>
      </c>
      <c r="E232" s="29" t="s">
        <v>18</v>
      </c>
      <c r="F232" s="8" t="s">
        <v>2302</v>
      </c>
      <c r="G232" s="29" t="s">
        <v>1915</v>
      </c>
      <c r="H232" s="50" t="s">
        <v>2200</v>
      </c>
      <c r="I232" s="50" t="s">
        <v>2200</v>
      </c>
      <c r="J232" s="104" t="s">
        <v>2303</v>
      </c>
      <c r="K232" s="10">
        <v>46032</v>
      </c>
      <c r="L232" s="29" t="s">
        <v>22</v>
      </c>
      <c r="M232" s="56"/>
    </row>
    <row r="233" spans="1:13" ht="31.5">
      <c r="A233" s="5">
        <v>232</v>
      </c>
      <c r="B233" s="29" t="s">
        <v>311</v>
      </c>
      <c r="C233" s="31" t="s">
        <v>2169</v>
      </c>
      <c r="D233" s="29" t="s">
        <v>483</v>
      </c>
      <c r="E233" s="29" t="s">
        <v>18</v>
      </c>
      <c r="F233" s="8" t="s">
        <v>2302</v>
      </c>
      <c r="G233" s="29" t="s">
        <v>484</v>
      </c>
      <c r="H233" s="50" t="s">
        <v>2200</v>
      </c>
      <c r="I233" s="50" t="s">
        <v>2200</v>
      </c>
      <c r="J233" s="104" t="s">
        <v>2303</v>
      </c>
      <c r="K233" s="10">
        <v>46032</v>
      </c>
      <c r="L233" s="29" t="s">
        <v>22</v>
      </c>
      <c r="M233" s="56"/>
    </row>
    <row r="234" spans="1:13" ht="31.5">
      <c r="A234" s="5">
        <v>233</v>
      </c>
      <c r="B234" s="29" t="s">
        <v>311</v>
      </c>
      <c r="C234" s="31" t="s">
        <v>2169</v>
      </c>
      <c r="D234" s="29" t="s">
        <v>1747</v>
      </c>
      <c r="E234" s="29" t="s">
        <v>18</v>
      </c>
      <c r="F234" s="8" t="s">
        <v>2302</v>
      </c>
      <c r="G234" s="29" t="s">
        <v>1916</v>
      </c>
      <c r="H234" s="50" t="s">
        <v>2200</v>
      </c>
      <c r="I234" s="50" t="s">
        <v>2200</v>
      </c>
      <c r="J234" s="104" t="s">
        <v>2303</v>
      </c>
      <c r="K234" s="10">
        <v>46032</v>
      </c>
      <c r="L234" s="29" t="s">
        <v>22</v>
      </c>
      <c r="M234" s="56"/>
    </row>
    <row r="235" spans="1:13" ht="31.5">
      <c r="A235" s="5">
        <v>234</v>
      </c>
      <c r="B235" s="29" t="s">
        <v>311</v>
      </c>
      <c r="C235" s="31" t="s">
        <v>2169</v>
      </c>
      <c r="D235" s="29" t="s">
        <v>471</v>
      </c>
      <c r="E235" s="29" t="s">
        <v>18</v>
      </c>
      <c r="F235" s="8" t="s">
        <v>2302</v>
      </c>
      <c r="G235" s="29" t="s">
        <v>472</v>
      </c>
      <c r="H235" s="50" t="s">
        <v>2200</v>
      </c>
      <c r="I235" s="50" t="s">
        <v>2200</v>
      </c>
      <c r="J235" s="104" t="s">
        <v>2303</v>
      </c>
      <c r="K235" s="10">
        <v>46032</v>
      </c>
      <c r="L235" s="29" t="s">
        <v>22</v>
      </c>
      <c r="M235" s="56"/>
    </row>
    <row r="236" spans="1:13" ht="31.5">
      <c r="A236" s="5">
        <v>235</v>
      </c>
      <c r="B236" s="29" t="s">
        <v>311</v>
      </c>
      <c r="C236" s="31" t="s">
        <v>2169</v>
      </c>
      <c r="D236" s="29" t="s">
        <v>485</v>
      </c>
      <c r="E236" s="29" t="s">
        <v>18</v>
      </c>
      <c r="F236" s="8" t="s">
        <v>2302</v>
      </c>
      <c r="G236" s="29" t="s">
        <v>486</v>
      </c>
      <c r="H236" s="50" t="s">
        <v>2200</v>
      </c>
      <c r="I236" s="50" t="s">
        <v>2200</v>
      </c>
      <c r="J236" s="104" t="s">
        <v>2303</v>
      </c>
      <c r="K236" s="10">
        <v>46032</v>
      </c>
      <c r="L236" s="29" t="s">
        <v>22</v>
      </c>
      <c r="M236" s="56"/>
    </row>
    <row r="237" spans="1:13" ht="31.5">
      <c r="A237" s="5">
        <v>236</v>
      </c>
      <c r="B237" s="29" t="s">
        <v>311</v>
      </c>
      <c r="C237" s="31" t="s">
        <v>2169</v>
      </c>
      <c r="D237" s="29" t="s">
        <v>491</v>
      </c>
      <c r="E237" s="29" t="s">
        <v>18</v>
      </c>
      <c r="F237" s="8" t="s">
        <v>2302</v>
      </c>
      <c r="G237" s="29" t="s">
        <v>492</v>
      </c>
      <c r="H237" s="50" t="s">
        <v>2200</v>
      </c>
      <c r="I237" s="50" t="s">
        <v>2200</v>
      </c>
      <c r="J237" s="104" t="s">
        <v>2303</v>
      </c>
      <c r="K237" s="10">
        <v>46032</v>
      </c>
      <c r="L237" s="29" t="s">
        <v>22</v>
      </c>
      <c r="M237" s="56"/>
    </row>
    <row r="238" spans="1:13" ht="31.5">
      <c r="A238" s="5">
        <v>237</v>
      </c>
      <c r="B238" s="29" t="s">
        <v>311</v>
      </c>
      <c r="C238" s="31" t="s">
        <v>2169</v>
      </c>
      <c r="D238" s="29" t="s">
        <v>1748</v>
      </c>
      <c r="E238" s="29" t="s">
        <v>18</v>
      </c>
      <c r="F238" s="8" t="s">
        <v>2302</v>
      </c>
      <c r="G238" s="29" t="s">
        <v>1917</v>
      </c>
      <c r="H238" s="50" t="s">
        <v>2200</v>
      </c>
      <c r="I238" s="50" t="s">
        <v>2200</v>
      </c>
      <c r="J238" s="104" t="s">
        <v>2303</v>
      </c>
      <c r="K238" s="10">
        <v>46032</v>
      </c>
      <c r="L238" s="29" t="s">
        <v>22</v>
      </c>
      <c r="M238" s="56"/>
    </row>
    <row r="239" spans="1:13" ht="31.5">
      <c r="A239" s="5">
        <v>238</v>
      </c>
      <c r="B239" s="29" t="s">
        <v>311</v>
      </c>
      <c r="C239" s="31" t="s">
        <v>2169</v>
      </c>
      <c r="D239" s="29" t="s">
        <v>1749</v>
      </c>
      <c r="E239" s="29" t="s">
        <v>18</v>
      </c>
      <c r="F239" s="8" t="s">
        <v>2302</v>
      </c>
      <c r="G239" s="29" t="s">
        <v>1918</v>
      </c>
      <c r="H239" s="50" t="s">
        <v>2200</v>
      </c>
      <c r="I239" s="50" t="s">
        <v>2200</v>
      </c>
      <c r="J239" s="104" t="s">
        <v>2303</v>
      </c>
      <c r="K239" s="10">
        <v>46032</v>
      </c>
      <c r="L239" s="29" t="s">
        <v>22</v>
      </c>
      <c r="M239" s="56"/>
    </row>
    <row r="240" spans="1:13" ht="31.5">
      <c r="A240" s="5">
        <v>239</v>
      </c>
      <c r="B240" s="29" t="s">
        <v>311</v>
      </c>
      <c r="C240" s="31" t="s">
        <v>2169</v>
      </c>
      <c r="D240" s="29" t="s">
        <v>480</v>
      </c>
      <c r="E240" s="29" t="s">
        <v>18</v>
      </c>
      <c r="F240" s="8" t="s">
        <v>2302</v>
      </c>
      <c r="G240" s="29" t="s">
        <v>481</v>
      </c>
      <c r="H240" s="50" t="s">
        <v>2200</v>
      </c>
      <c r="I240" s="50" t="s">
        <v>2200</v>
      </c>
      <c r="J240" s="104" t="s">
        <v>2303</v>
      </c>
      <c r="K240" s="10">
        <v>46032</v>
      </c>
      <c r="L240" s="29" t="s">
        <v>22</v>
      </c>
      <c r="M240" s="56"/>
    </row>
    <row r="241" spans="1:13" ht="31.5">
      <c r="A241" s="5">
        <v>240</v>
      </c>
      <c r="B241" s="29" t="s">
        <v>311</v>
      </c>
      <c r="C241" s="31" t="s">
        <v>2169</v>
      </c>
      <c r="D241" s="29" t="s">
        <v>493</v>
      </c>
      <c r="E241" s="29" t="s">
        <v>18</v>
      </c>
      <c r="F241" s="8" t="s">
        <v>2302</v>
      </c>
      <c r="G241" s="29" t="s">
        <v>1915</v>
      </c>
      <c r="H241" s="50" t="s">
        <v>2200</v>
      </c>
      <c r="I241" s="50" t="s">
        <v>2200</v>
      </c>
      <c r="J241" s="104" t="s">
        <v>2303</v>
      </c>
      <c r="K241" s="10">
        <v>46032</v>
      </c>
      <c r="L241" s="29" t="s">
        <v>22</v>
      </c>
      <c r="M241" s="5"/>
    </row>
    <row r="242" spans="1:13" ht="31.5">
      <c r="A242" s="5">
        <v>241</v>
      </c>
      <c r="B242" s="29" t="s">
        <v>311</v>
      </c>
      <c r="C242" s="31" t="s">
        <v>2169</v>
      </c>
      <c r="D242" s="29" t="s">
        <v>465</v>
      </c>
      <c r="E242" s="29" t="s">
        <v>18</v>
      </c>
      <c r="F242" s="8" t="s">
        <v>2302</v>
      </c>
      <c r="G242" s="29" t="s">
        <v>466</v>
      </c>
      <c r="H242" s="50" t="s">
        <v>2200</v>
      </c>
      <c r="I242" s="50" t="s">
        <v>2200</v>
      </c>
      <c r="J242" s="104" t="s">
        <v>2303</v>
      </c>
      <c r="K242" s="10">
        <v>46032</v>
      </c>
      <c r="L242" s="29" t="s">
        <v>22</v>
      </c>
      <c r="M242" s="56"/>
    </row>
    <row r="243" spans="1:13" ht="31.5">
      <c r="A243" s="5">
        <v>242</v>
      </c>
      <c r="B243" s="29" t="s">
        <v>311</v>
      </c>
      <c r="C243" s="31" t="s">
        <v>2169</v>
      </c>
      <c r="D243" s="29" t="s">
        <v>1750</v>
      </c>
      <c r="E243" s="29" t="s">
        <v>18</v>
      </c>
      <c r="F243" s="8" t="s">
        <v>2302</v>
      </c>
      <c r="G243" s="29" t="s">
        <v>1919</v>
      </c>
      <c r="H243" s="50" t="s">
        <v>2200</v>
      </c>
      <c r="I243" s="50" t="s">
        <v>2200</v>
      </c>
      <c r="J243" s="104" t="s">
        <v>2303</v>
      </c>
      <c r="K243" s="10">
        <v>46032</v>
      </c>
      <c r="L243" s="29" t="s">
        <v>22</v>
      </c>
      <c r="M243" s="56"/>
    </row>
    <row r="244" spans="1:13" ht="31.5">
      <c r="A244" s="5">
        <v>243</v>
      </c>
      <c r="B244" s="29" t="s">
        <v>311</v>
      </c>
      <c r="C244" s="31" t="s">
        <v>2169</v>
      </c>
      <c r="D244" s="29" t="s">
        <v>1920</v>
      </c>
      <c r="E244" s="29" t="s">
        <v>18</v>
      </c>
      <c r="F244" s="8" t="s">
        <v>2302</v>
      </c>
      <c r="G244" s="29" t="s">
        <v>1921</v>
      </c>
      <c r="H244" s="50" t="s">
        <v>2200</v>
      </c>
      <c r="I244" s="50" t="s">
        <v>2200</v>
      </c>
      <c r="J244" s="104" t="s">
        <v>2303</v>
      </c>
      <c r="K244" s="10">
        <v>46032</v>
      </c>
      <c r="L244" s="29" t="s">
        <v>22</v>
      </c>
      <c r="M244" s="5"/>
    </row>
    <row r="245" spans="1:13" ht="31.5">
      <c r="A245" s="5">
        <v>244</v>
      </c>
      <c r="B245" s="29" t="s">
        <v>311</v>
      </c>
      <c r="C245" s="31" t="s">
        <v>2169</v>
      </c>
      <c r="D245" s="29" t="s">
        <v>454</v>
      </c>
      <c r="E245" s="29" t="s">
        <v>18</v>
      </c>
      <c r="F245" s="8" t="s">
        <v>2302</v>
      </c>
      <c r="G245" s="29" t="s">
        <v>455</v>
      </c>
      <c r="H245" s="50" t="s">
        <v>2200</v>
      </c>
      <c r="I245" s="50" t="s">
        <v>2200</v>
      </c>
      <c r="J245" s="104" t="s">
        <v>2303</v>
      </c>
      <c r="K245" s="10">
        <v>46032</v>
      </c>
      <c r="L245" s="29" t="s">
        <v>22</v>
      </c>
      <c r="M245" s="56"/>
    </row>
    <row r="246" spans="1:13" ht="31.5">
      <c r="A246" s="5">
        <v>245</v>
      </c>
      <c r="B246" s="29" t="s">
        <v>311</v>
      </c>
      <c r="C246" s="31" t="s">
        <v>2169</v>
      </c>
      <c r="D246" s="29" t="s">
        <v>489</v>
      </c>
      <c r="E246" s="29" t="s">
        <v>18</v>
      </c>
      <c r="F246" s="8" t="s">
        <v>2302</v>
      </c>
      <c r="G246" s="29" t="s">
        <v>490</v>
      </c>
      <c r="H246" s="50" t="s">
        <v>2200</v>
      </c>
      <c r="I246" s="50" t="s">
        <v>2200</v>
      </c>
      <c r="J246" s="104" t="s">
        <v>2303</v>
      </c>
      <c r="K246" s="10">
        <v>46032</v>
      </c>
      <c r="L246" s="29" t="s">
        <v>22</v>
      </c>
      <c r="M246" s="56"/>
    </row>
    <row r="247" spans="1:13" ht="31.5">
      <c r="A247" s="5">
        <v>246</v>
      </c>
      <c r="B247" s="29" t="s">
        <v>311</v>
      </c>
      <c r="C247" s="31" t="s">
        <v>2169</v>
      </c>
      <c r="D247" s="29" t="s">
        <v>1751</v>
      </c>
      <c r="E247" s="29" t="s">
        <v>18</v>
      </c>
      <c r="F247" s="8" t="s">
        <v>2302</v>
      </c>
      <c r="G247" s="29" t="s">
        <v>458</v>
      </c>
      <c r="H247" s="50" t="s">
        <v>2200</v>
      </c>
      <c r="I247" s="50" t="s">
        <v>2200</v>
      </c>
      <c r="J247" s="104" t="s">
        <v>2303</v>
      </c>
      <c r="K247" s="10">
        <v>46032</v>
      </c>
      <c r="L247" s="29" t="s">
        <v>22</v>
      </c>
      <c r="M247" s="56"/>
    </row>
    <row r="248" spans="1:13" ht="31.5">
      <c r="A248" s="5">
        <v>247</v>
      </c>
      <c r="B248" s="29" t="s">
        <v>311</v>
      </c>
      <c r="C248" s="31" t="s">
        <v>2169</v>
      </c>
      <c r="D248" s="29" t="s">
        <v>487</v>
      </c>
      <c r="E248" s="29" t="s">
        <v>18</v>
      </c>
      <c r="F248" s="8" t="s">
        <v>2302</v>
      </c>
      <c r="G248" s="29" t="s">
        <v>488</v>
      </c>
      <c r="H248" s="50" t="s">
        <v>2200</v>
      </c>
      <c r="I248" s="50" t="s">
        <v>2200</v>
      </c>
      <c r="J248" s="104" t="s">
        <v>2303</v>
      </c>
      <c r="K248" s="10">
        <v>46032</v>
      </c>
      <c r="L248" s="29" t="s">
        <v>22</v>
      </c>
      <c r="M248" s="5"/>
    </row>
    <row r="249" spans="1:13" ht="31.5">
      <c r="A249" s="5">
        <v>248</v>
      </c>
      <c r="B249" s="29" t="s">
        <v>311</v>
      </c>
      <c r="C249" s="31" t="s">
        <v>2169</v>
      </c>
      <c r="D249" s="29" t="s">
        <v>1752</v>
      </c>
      <c r="E249" s="29" t="s">
        <v>18</v>
      </c>
      <c r="F249" s="8" t="s">
        <v>2302</v>
      </c>
      <c r="G249" s="29" t="s">
        <v>1922</v>
      </c>
      <c r="H249" s="50" t="s">
        <v>2200</v>
      </c>
      <c r="I249" s="50" t="s">
        <v>2200</v>
      </c>
      <c r="J249" s="104" t="s">
        <v>2303</v>
      </c>
      <c r="K249" s="10">
        <v>46032</v>
      </c>
      <c r="L249" s="29" t="s">
        <v>22</v>
      </c>
      <c r="M249" s="56"/>
    </row>
    <row r="250" spans="1:13" ht="31.5">
      <c r="A250" s="5">
        <v>249</v>
      </c>
      <c r="B250" s="29" t="s">
        <v>311</v>
      </c>
      <c r="C250" s="31" t="s">
        <v>2169</v>
      </c>
      <c r="D250" s="29" t="s">
        <v>467</v>
      </c>
      <c r="E250" s="29" t="s">
        <v>18</v>
      </c>
      <c r="F250" s="8" t="s">
        <v>2302</v>
      </c>
      <c r="G250" s="29" t="s">
        <v>468</v>
      </c>
      <c r="H250" s="50" t="s">
        <v>2200</v>
      </c>
      <c r="I250" s="50" t="s">
        <v>2200</v>
      </c>
      <c r="J250" s="104" t="s">
        <v>2303</v>
      </c>
      <c r="K250" s="10">
        <v>46032</v>
      </c>
      <c r="L250" s="29" t="s">
        <v>22</v>
      </c>
      <c r="M250" s="56"/>
    </row>
    <row r="251" spans="1:13" ht="31.5">
      <c r="A251" s="5">
        <v>250</v>
      </c>
      <c r="B251" s="29" t="s">
        <v>311</v>
      </c>
      <c r="C251" s="31" t="s">
        <v>2169</v>
      </c>
      <c r="D251" s="29" t="s">
        <v>1753</v>
      </c>
      <c r="E251" s="29" t="s">
        <v>18</v>
      </c>
      <c r="F251" s="8" t="s">
        <v>2302</v>
      </c>
      <c r="G251" s="29" t="s">
        <v>1923</v>
      </c>
      <c r="H251" s="50" t="s">
        <v>2200</v>
      </c>
      <c r="I251" s="50" t="s">
        <v>2200</v>
      </c>
      <c r="J251" s="104" t="s">
        <v>2303</v>
      </c>
      <c r="K251" s="10">
        <v>46032</v>
      </c>
      <c r="L251" s="29" t="s">
        <v>22</v>
      </c>
      <c r="M251" s="56"/>
    </row>
    <row r="252" spans="1:13" ht="31.5">
      <c r="A252" s="5">
        <v>251</v>
      </c>
      <c r="B252" s="29" t="s">
        <v>311</v>
      </c>
      <c r="C252" s="31" t="s">
        <v>2169</v>
      </c>
      <c r="D252" s="29" t="s">
        <v>1754</v>
      </c>
      <c r="E252" s="29" t="s">
        <v>18</v>
      </c>
      <c r="F252" s="8" t="s">
        <v>2302</v>
      </c>
      <c r="G252" s="29" t="s">
        <v>1924</v>
      </c>
      <c r="H252" s="50" t="s">
        <v>2200</v>
      </c>
      <c r="I252" s="50" t="s">
        <v>2200</v>
      </c>
      <c r="J252" s="104" t="s">
        <v>2303</v>
      </c>
      <c r="K252" s="10">
        <v>46032</v>
      </c>
      <c r="L252" s="29" t="s">
        <v>22</v>
      </c>
      <c r="M252" s="56"/>
    </row>
    <row r="253" spans="1:13" ht="31.5">
      <c r="A253" s="5">
        <v>252</v>
      </c>
      <c r="B253" s="29" t="s">
        <v>311</v>
      </c>
      <c r="C253" s="31" t="s">
        <v>2169</v>
      </c>
      <c r="D253" s="29" t="s">
        <v>469</v>
      </c>
      <c r="E253" s="29" t="s">
        <v>18</v>
      </c>
      <c r="F253" s="8" t="s">
        <v>2302</v>
      </c>
      <c r="G253" s="29" t="s">
        <v>470</v>
      </c>
      <c r="H253" s="50" t="s">
        <v>2200</v>
      </c>
      <c r="I253" s="50" t="s">
        <v>2200</v>
      </c>
      <c r="J253" s="104" t="s">
        <v>2303</v>
      </c>
      <c r="K253" s="10">
        <v>46032</v>
      </c>
      <c r="L253" s="29" t="s">
        <v>22</v>
      </c>
      <c r="M253" s="56"/>
    </row>
    <row r="254" spans="1:13" ht="31.5">
      <c r="A254" s="5">
        <v>253</v>
      </c>
      <c r="B254" s="29" t="s">
        <v>311</v>
      </c>
      <c r="C254" s="31" t="s">
        <v>2169</v>
      </c>
      <c r="D254" s="29" t="s">
        <v>461</v>
      </c>
      <c r="E254" s="29" t="s">
        <v>18</v>
      </c>
      <c r="F254" s="8" t="s">
        <v>2302</v>
      </c>
      <c r="G254" s="29" t="s">
        <v>462</v>
      </c>
      <c r="H254" s="50" t="s">
        <v>2200</v>
      </c>
      <c r="I254" s="50" t="s">
        <v>2200</v>
      </c>
      <c r="J254" s="104" t="s">
        <v>2303</v>
      </c>
      <c r="K254" s="10">
        <v>46032</v>
      </c>
      <c r="L254" s="29" t="s">
        <v>22</v>
      </c>
      <c r="M254" s="56"/>
    </row>
    <row r="255" spans="1:13" ht="31.5">
      <c r="A255" s="5">
        <v>254</v>
      </c>
      <c r="B255" s="29" t="s">
        <v>311</v>
      </c>
      <c r="C255" s="31" t="s">
        <v>2169</v>
      </c>
      <c r="D255" s="29" t="s">
        <v>1755</v>
      </c>
      <c r="E255" s="29" t="s">
        <v>18</v>
      </c>
      <c r="F255" s="8" t="s">
        <v>2302</v>
      </c>
      <c r="G255" s="29" t="s">
        <v>1925</v>
      </c>
      <c r="H255" s="50" t="s">
        <v>2200</v>
      </c>
      <c r="I255" s="50" t="s">
        <v>2200</v>
      </c>
      <c r="J255" s="104" t="s">
        <v>2303</v>
      </c>
      <c r="K255" s="10">
        <v>46032</v>
      </c>
      <c r="L255" s="29" t="s">
        <v>22</v>
      </c>
      <c r="M255" s="56"/>
    </row>
    <row r="256" spans="1:13" ht="31.5">
      <c r="A256" s="5">
        <v>255</v>
      </c>
      <c r="B256" s="29" t="s">
        <v>311</v>
      </c>
      <c r="C256" s="31" t="s">
        <v>2169</v>
      </c>
      <c r="D256" s="29" t="s">
        <v>477</v>
      </c>
      <c r="E256" s="29" t="s">
        <v>18</v>
      </c>
      <c r="F256" s="8" t="s">
        <v>2302</v>
      </c>
      <c r="G256" s="29" t="s">
        <v>478</v>
      </c>
      <c r="H256" s="50" t="s">
        <v>2200</v>
      </c>
      <c r="I256" s="50" t="s">
        <v>2200</v>
      </c>
      <c r="J256" s="104" t="s">
        <v>2303</v>
      </c>
      <c r="K256" s="10">
        <v>46032</v>
      </c>
      <c r="L256" s="29" t="s">
        <v>22</v>
      </c>
      <c r="M256" s="56"/>
    </row>
    <row r="257" spans="1:13" ht="31.5">
      <c r="A257" s="5">
        <v>256</v>
      </c>
      <c r="B257" s="29" t="s">
        <v>311</v>
      </c>
      <c r="C257" s="31" t="s">
        <v>2169</v>
      </c>
      <c r="D257" s="29" t="s">
        <v>1756</v>
      </c>
      <c r="E257" s="29" t="s">
        <v>18</v>
      </c>
      <c r="F257" s="8" t="s">
        <v>2302</v>
      </c>
      <c r="G257" s="29" t="s">
        <v>494</v>
      </c>
      <c r="H257" s="50" t="s">
        <v>2200</v>
      </c>
      <c r="I257" s="50" t="s">
        <v>2200</v>
      </c>
      <c r="J257" s="104" t="s">
        <v>2303</v>
      </c>
      <c r="K257" s="10">
        <v>46032</v>
      </c>
      <c r="L257" s="29" t="s">
        <v>22</v>
      </c>
      <c r="M257" s="56"/>
    </row>
    <row r="258" spans="1:13" ht="31.5">
      <c r="A258" s="5">
        <v>257</v>
      </c>
      <c r="B258" s="29" t="s">
        <v>311</v>
      </c>
      <c r="C258" s="31" t="s">
        <v>2169</v>
      </c>
      <c r="D258" s="29" t="s">
        <v>449</v>
      </c>
      <c r="E258" s="29" t="s">
        <v>450</v>
      </c>
      <c r="F258" s="8" t="s">
        <v>2302</v>
      </c>
      <c r="G258" s="29" t="s">
        <v>451</v>
      </c>
      <c r="H258" s="50" t="s">
        <v>2200</v>
      </c>
      <c r="I258" s="50" t="s">
        <v>2200</v>
      </c>
      <c r="J258" s="104" t="s">
        <v>2303</v>
      </c>
      <c r="K258" s="10">
        <v>46032</v>
      </c>
      <c r="L258" s="29" t="s">
        <v>22</v>
      </c>
      <c r="M258" s="56"/>
    </row>
    <row r="259" spans="1:13" ht="31.5">
      <c r="A259" s="5">
        <v>258</v>
      </c>
      <c r="B259" s="29" t="s">
        <v>311</v>
      </c>
      <c r="C259" s="31" t="s">
        <v>2169</v>
      </c>
      <c r="D259" s="29" t="s">
        <v>1757</v>
      </c>
      <c r="E259" s="29" t="s">
        <v>18</v>
      </c>
      <c r="F259" s="8" t="s">
        <v>2302</v>
      </c>
      <c r="G259" s="29" t="s">
        <v>1926</v>
      </c>
      <c r="H259" s="50" t="s">
        <v>2200</v>
      </c>
      <c r="I259" s="50" t="s">
        <v>2200</v>
      </c>
      <c r="J259" s="104" t="s">
        <v>2303</v>
      </c>
      <c r="K259" s="10">
        <v>46032</v>
      </c>
      <c r="L259" s="29" t="s">
        <v>22</v>
      </c>
      <c r="M259" s="56"/>
    </row>
    <row r="260" spans="1:13" ht="31.5">
      <c r="A260" s="5">
        <v>259</v>
      </c>
      <c r="B260" s="29" t="s">
        <v>311</v>
      </c>
      <c r="C260" s="31" t="s">
        <v>2169</v>
      </c>
      <c r="D260" s="29" t="s">
        <v>473</v>
      </c>
      <c r="E260" s="29" t="s">
        <v>18</v>
      </c>
      <c r="F260" s="8" t="s">
        <v>2302</v>
      </c>
      <c r="G260" s="29" t="s">
        <v>474</v>
      </c>
      <c r="H260" s="50" t="s">
        <v>2200</v>
      </c>
      <c r="I260" s="50" t="s">
        <v>2200</v>
      </c>
      <c r="J260" s="104" t="s">
        <v>2303</v>
      </c>
      <c r="K260" s="10">
        <v>46032</v>
      </c>
      <c r="L260" s="29" t="s">
        <v>22</v>
      </c>
      <c r="M260" s="56"/>
    </row>
    <row r="261" spans="1:13" ht="31.5">
      <c r="A261" s="5">
        <v>260</v>
      </c>
      <c r="B261" s="29" t="s">
        <v>311</v>
      </c>
      <c r="C261" s="31" t="s">
        <v>2169</v>
      </c>
      <c r="D261" s="29" t="s">
        <v>1758</v>
      </c>
      <c r="E261" s="29" t="s">
        <v>18</v>
      </c>
      <c r="F261" s="8" t="s">
        <v>2302</v>
      </c>
      <c r="G261" s="29" t="s">
        <v>1927</v>
      </c>
      <c r="H261" s="50" t="s">
        <v>2200</v>
      </c>
      <c r="I261" s="50" t="s">
        <v>2200</v>
      </c>
      <c r="J261" s="104" t="s">
        <v>2303</v>
      </c>
      <c r="K261" s="10">
        <v>46032</v>
      </c>
      <c r="L261" s="29" t="s">
        <v>22</v>
      </c>
      <c r="M261" s="56"/>
    </row>
    <row r="262" spans="1:13" ht="31.5">
      <c r="A262" s="5">
        <v>261</v>
      </c>
      <c r="B262" s="29" t="s">
        <v>311</v>
      </c>
      <c r="C262" s="31" t="s">
        <v>2169</v>
      </c>
      <c r="D262" s="29" t="s">
        <v>1779</v>
      </c>
      <c r="E262" s="29" t="s">
        <v>495</v>
      </c>
      <c r="F262" s="8" t="s">
        <v>2302</v>
      </c>
      <c r="G262" s="29" t="s">
        <v>496</v>
      </c>
      <c r="H262" s="50" t="s">
        <v>2200</v>
      </c>
      <c r="I262" s="50" t="s">
        <v>2200</v>
      </c>
      <c r="J262" s="104" t="s">
        <v>2303</v>
      </c>
      <c r="K262" s="10">
        <v>46032</v>
      </c>
      <c r="L262" s="29" t="s">
        <v>22</v>
      </c>
      <c r="M262" s="56"/>
    </row>
    <row r="263" spans="1:13" ht="31.5">
      <c r="A263" s="5">
        <v>262</v>
      </c>
      <c r="B263" s="29" t="s">
        <v>311</v>
      </c>
      <c r="C263" s="31" t="s">
        <v>2169</v>
      </c>
      <c r="D263" s="29" t="s">
        <v>1780</v>
      </c>
      <c r="E263" s="29" t="s">
        <v>497</v>
      </c>
      <c r="F263" s="8" t="s">
        <v>2302</v>
      </c>
      <c r="G263" s="29" t="s">
        <v>498</v>
      </c>
      <c r="H263" s="50" t="s">
        <v>2200</v>
      </c>
      <c r="I263" s="50" t="s">
        <v>2200</v>
      </c>
      <c r="J263" s="104" t="s">
        <v>2303</v>
      </c>
      <c r="K263" s="10">
        <v>46032</v>
      </c>
      <c r="L263" s="29" t="s">
        <v>22</v>
      </c>
      <c r="M263" s="56"/>
    </row>
    <row r="264" spans="1:13" ht="31.5">
      <c r="A264" s="5">
        <v>263</v>
      </c>
      <c r="B264" s="29" t="s">
        <v>311</v>
      </c>
      <c r="C264" s="31" t="s">
        <v>2169</v>
      </c>
      <c r="D264" s="29" t="s">
        <v>457</v>
      </c>
      <c r="E264" s="29" t="s">
        <v>18</v>
      </c>
      <c r="F264" s="8" t="s">
        <v>2302</v>
      </c>
      <c r="G264" s="29" t="s">
        <v>458</v>
      </c>
      <c r="H264" s="50" t="s">
        <v>2200</v>
      </c>
      <c r="I264" s="50" t="s">
        <v>2200</v>
      </c>
      <c r="J264" s="104" t="s">
        <v>2303</v>
      </c>
      <c r="K264" s="10">
        <v>46032</v>
      </c>
      <c r="L264" s="29" t="s">
        <v>22</v>
      </c>
      <c r="M264" s="5"/>
    </row>
    <row r="265" spans="1:13" ht="31.5">
      <c r="A265" s="5">
        <v>264</v>
      </c>
      <c r="B265" s="29" t="s">
        <v>311</v>
      </c>
      <c r="C265" s="31" t="s">
        <v>2170</v>
      </c>
      <c r="D265" s="29" t="s">
        <v>1732</v>
      </c>
      <c r="E265" s="29" t="s">
        <v>1928</v>
      </c>
      <c r="F265" s="8" t="s">
        <v>2302</v>
      </c>
      <c r="G265" s="29" t="s">
        <v>1929</v>
      </c>
      <c r="H265" s="50" t="s">
        <v>2200</v>
      </c>
      <c r="I265" s="50" t="s">
        <v>2200</v>
      </c>
      <c r="J265" s="104" t="s">
        <v>2303</v>
      </c>
      <c r="K265" s="10">
        <v>46032</v>
      </c>
      <c r="L265" s="29" t="s">
        <v>22</v>
      </c>
      <c r="M265" s="56"/>
    </row>
    <row r="266" spans="1:13" ht="31.5">
      <c r="A266" s="5">
        <v>265</v>
      </c>
      <c r="B266" s="29" t="s">
        <v>311</v>
      </c>
      <c r="C266" s="31" t="s">
        <v>2170</v>
      </c>
      <c r="D266" s="29" t="s">
        <v>501</v>
      </c>
      <c r="E266" s="29" t="s">
        <v>502</v>
      </c>
      <c r="F266" s="8" t="s">
        <v>2302</v>
      </c>
      <c r="G266" s="29" t="s">
        <v>503</v>
      </c>
      <c r="H266" s="50" t="s">
        <v>2200</v>
      </c>
      <c r="I266" s="50" t="s">
        <v>2200</v>
      </c>
      <c r="J266" s="104" t="s">
        <v>2303</v>
      </c>
      <c r="K266" s="10">
        <v>46032</v>
      </c>
      <c r="L266" s="29" t="s">
        <v>22</v>
      </c>
      <c r="M266" s="56"/>
    </row>
    <row r="267" spans="1:13" ht="31.5">
      <c r="A267" s="5">
        <v>266</v>
      </c>
      <c r="B267" s="29" t="s">
        <v>311</v>
      </c>
      <c r="C267" s="31" t="s">
        <v>2170</v>
      </c>
      <c r="D267" s="29" t="s">
        <v>504</v>
      </c>
      <c r="E267" s="29" t="s">
        <v>505</v>
      </c>
      <c r="F267" s="8" t="s">
        <v>2302</v>
      </c>
      <c r="G267" s="29" t="s">
        <v>506</v>
      </c>
      <c r="H267" s="50" t="s">
        <v>2200</v>
      </c>
      <c r="I267" s="50" t="s">
        <v>2200</v>
      </c>
      <c r="J267" s="104" t="s">
        <v>2303</v>
      </c>
      <c r="K267" s="10">
        <v>46032</v>
      </c>
      <c r="L267" s="29" t="s">
        <v>22</v>
      </c>
      <c r="M267" s="56"/>
    </row>
    <row r="268" spans="1:13" ht="31.5">
      <c r="A268" s="5">
        <v>267</v>
      </c>
      <c r="B268" s="29" t="s">
        <v>311</v>
      </c>
      <c r="C268" s="31" t="s">
        <v>2170</v>
      </c>
      <c r="D268" s="29" t="s">
        <v>1733</v>
      </c>
      <c r="E268" s="29" t="s">
        <v>1930</v>
      </c>
      <c r="F268" s="8" t="s">
        <v>2302</v>
      </c>
      <c r="G268" s="29" t="s">
        <v>1931</v>
      </c>
      <c r="H268" s="50" t="s">
        <v>2200</v>
      </c>
      <c r="I268" s="50" t="s">
        <v>2200</v>
      </c>
      <c r="J268" s="104" t="s">
        <v>2303</v>
      </c>
      <c r="K268" s="10">
        <v>46032</v>
      </c>
      <c r="L268" s="29" t="s">
        <v>22</v>
      </c>
      <c r="M268" s="56"/>
    </row>
    <row r="269" spans="1:13" ht="31.5">
      <c r="A269" s="5">
        <v>268</v>
      </c>
      <c r="B269" s="29" t="s">
        <v>311</v>
      </c>
      <c r="C269" s="31" t="s">
        <v>2170</v>
      </c>
      <c r="D269" s="29" t="s">
        <v>499</v>
      </c>
      <c r="E269" s="29" t="s">
        <v>18</v>
      </c>
      <c r="F269" s="8" t="s">
        <v>2302</v>
      </c>
      <c r="G269" s="29" t="s">
        <v>500</v>
      </c>
      <c r="H269" s="50" t="s">
        <v>2200</v>
      </c>
      <c r="I269" s="50" t="s">
        <v>2200</v>
      </c>
      <c r="J269" s="104" t="s">
        <v>2303</v>
      </c>
      <c r="K269" s="10">
        <v>46032</v>
      </c>
      <c r="L269" s="29" t="s">
        <v>22</v>
      </c>
      <c r="M269" s="56"/>
    </row>
    <row r="270" spans="1:13" ht="31.5">
      <c r="A270" s="5">
        <v>269</v>
      </c>
      <c r="B270" s="29" t="s">
        <v>311</v>
      </c>
      <c r="C270" s="31" t="s">
        <v>2170</v>
      </c>
      <c r="D270" s="29" t="s">
        <v>1731</v>
      </c>
      <c r="E270" s="29" t="s">
        <v>18</v>
      </c>
      <c r="F270" s="8" t="s">
        <v>2302</v>
      </c>
      <c r="G270" s="29" t="s">
        <v>1932</v>
      </c>
      <c r="H270" s="50" t="s">
        <v>2200</v>
      </c>
      <c r="I270" s="50" t="s">
        <v>2200</v>
      </c>
      <c r="J270" s="104" t="s">
        <v>2303</v>
      </c>
      <c r="K270" s="10">
        <v>46032</v>
      </c>
      <c r="L270" s="29" t="s">
        <v>22</v>
      </c>
      <c r="M270" s="56"/>
    </row>
    <row r="271" spans="1:13" ht="31.5">
      <c r="A271" s="5">
        <v>270</v>
      </c>
      <c r="B271" s="29" t="s">
        <v>311</v>
      </c>
      <c r="C271" s="31" t="s">
        <v>2170</v>
      </c>
      <c r="D271" s="29" t="s">
        <v>507</v>
      </c>
      <c r="E271" s="29" t="s">
        <v>508</v>
      </c>
      <c r="F271" s="8" t="s">
        <v>2302</v>
      </c>
      <c r="G271" s="29" t="s">
        <v>509</v>
      </c>
      <c r="H271" s="50" t="s">
        <v>2200</v>
      </c>
      <c r="I271" s="50" t="s">
        <v>2200</v>
      </c>
      <c r="J271" s="104" t="s">
        <v>2303</v>
      </c>
      <c r="K271" s="10">
        <v>46032</v>
      </c>
      <c r="L271" s="29" t="s">
        <v>22</v>
      </c>
      <c r="M271" s="56"/>
    </row>
    <row r="272" spans="1:13" ht="31.5">
      <c r="A272" s="5">
        <v>271</v>
      </c>
      <c r="B272" s="29" t="s">
        <v>311</v>
      </c>
      <c r="C272" s="31" t="s">
        <v>2170</v>
      </c>
      <c r="D272" s="29" t="s">
        <v>1787</v>
      </c>
      <c r="E272" s="29" t="s">
        <v>18</v>
      </c>
      <c r="F272" s="8" t="s">
        <v>2302</v>
      </c>
      <c r="G272" s="29" t="s">
        <v>509</v>
      </c>
      <c r="H272" s="50" t="s">
        <v>2200</v>
      </c>
      <c r="I272" s="50" t="s">
        <v>2200</v>
      </c>
      <c r="J272" s="104" t="s">
        <v>2303</v>
      </c>
      <c r="K272" s="10">
        <v>46032</v>
      </c>
      <c r="L272" s="29" t="s">
        <v>22</v>
      </c>
      <c r="M272" s="56"/>
    </row>
    <row r="273" spans="1:13" ht="31.5">
      <c r="A273" s="5">
        <v>272</v>
      </c>
      <c r="B273" s="29" t="s">
        <v>311</v>
      </c>
      <c r="C273" s="31" t="s">
        <v>2171</v>
      </c>
      <c r="D273" s="29" t="s">
        <v>510</v>
      </c>
      <c r="E273" s="29" t="s">
        <v>511</v>
      </c>
      <c r="F273" s="8" t="s">
        <v>2302</v>
      </c>
      <c r="G273" s="29" t="s">
        <v>513</v>
      </c>
      <c r="H273" s="50" t="s">
        <v>2200</v>
      </c>
      <c r="I273" s="50" t="s">
        <v>2200</v>
      </c>
      <c r="J273" s="104" t="s">
        <v>2303</v>
      </c>
      <c r="K273" s="10">
        <v>46032</v>
      </c>
      <c r="L273" s="29" t="s">
        <v>22</v>
      </c>
      <c r="M273" s="5"/>
    </row>
    <row r="274" spans="1:13" ht="31.5">
      <c r="A274" s="5">
        <v>273</v>
      </c>
      <c r="B274" s="29" t="s">
        <v>311</v>
      </c>
      <c r="C274" s="31" t="s">
        <v>2171</v>
      </c>
      <c r="D274" s="29" t="s">
        <v>512</v>
      </c>
      <c r="E274" s="29" t="s">
        <v>523</v>
      </c>
      <c r="F274" s="8" t="s">
        <v>2302</v>
      </c>
      <c r="G274" s="29" t="s">
        <v>513</v>
      </c>
      <c r="H274" s="50" t="s">
        <v>2200</v>
      </c>
      <c r="I274" s="50" t="s">
        <v>2200</v>
      </c>
      <c r="J274" s="104" t="s">
        <v>2303</v>
      </c>
      <c r="K274" s="10">
        <v>46032</v>
      </c>
      <c r="L274" s="29" t="s">
        <v>22</v>
      </c>
      <c r="M274" s="56"/>
    </row>
    <row r="275" spans="1:13" ht="31.5">
      <c r="A275" s="5">
        <v>274</v>
      </c>
      <c r="B275" s="29" t="s">
        <v>311</v>
      </c>
      <c r="C275" s="31" t="s">
        <v>2171</v>
      </c>
      <c r="D275" s="29" t="s">
        <v>514</v>
      </c>
      <c r="E275" s="29" t="s">
        <v>515</v>
      </c>
      <c r="F275" s="8" t="s">
        <v>2302</v>
      </c>
      <c r="G275" s="29" t="s">
        <v>516</v>
      </c>
      <c r="H275" s="50" t="s">
        <v>2200</v>
      </c>
      <c r="I275" s="50" t="s">
        <v>2200</v>
      </c>
      <c r="J275" s="104" t="s">
        <v>2303</v>
      </c>
      <c r="K275" s="10">
        <v>46032</v>
      </c>
      <c r="L275" s="29" t="s">
        <v>22</v>
      </c>
      <c r="M275" s="5"/>
    </row>
    <row r="276" spans="1:13" ht="31.5">
      <c r="A276" s="5">
        <v>275</v>
      </c>
      <c r="B276" s="29" t="s">
        <v>311</v>
      </c>
      <c r="C276" s="31" t="s">
        <v>2171</v>
      </c>
      <c r="D276" s="29" t="s">
        <v>517</v>
      </c>
      <c r="E276" s="29" t="s">
        <v>518</v>
      </c>
      <c r="F276" s="8" t="s">
        <v>2302</v>
      </c>
      <c r="G276" s="29" t="s">
        <v>519</v>
      </c>
      <c r="H276" s="50" t="s">
        <v>2200</v>
      </c>
      <c r="I276" s="50" t="s">
        <v>2200</v>
      </c>
      <c r="J276" s="104" t="s">
        <v>2303</v>
      </c>
      <c r="K276" s="10">
        <v>46032</v>
      </c>
      <c r="L276" s="29" t="s">
        <v>22</v>
      </c>
      <c r="M276" s="5"/>
    </row>
    <row r="277" spans="1:13" ht="31.5">
      <c r="A277" s="5">
        <v>276</v>
      </c>
      <c r="B277" s="29" t="s">
        <v>311</v>
      </c>
      <c r="C277" s="31" t="s">
        <v>2171</v>
      </c>
      <c r="D277" s="29" t="s">
        <v>520</v>
      </c>
      <c r="E277" s="29" t="s">
        <v>521</v>
      </c>
      <c r="F277" s="8" t="s">
        <v>2302</v>
      </c>
      <c r="G277" s="29" t="s">
        <v>522</v>
      </c>
      <c r="H277" s="50" t="s">
        <v>2200</v>
      </c>
      <c r="I277" s="50" t="s">
        <v>2200</v>
      </c>
      <c r="J277" s="104" t="s">
        <v>2303</v>
      </c>
      <c r="K277" s="10">
        <v>46032</v>
      </c>
      <c r="L277" s="29" t="s">
        <v>22</v>
      </c>
      <c r="M277" s="56"/>
    </row>
    <row r="278" spans="1:13" ht="31.5">
      <c r="A278" s="5">
        <v>277</v>
      </c>
      <c r="B278" s="29" t="s">
        <v>311</v>
      </c>
      <c r="C278" s="31" t="s">
        <v>2171</v>
      </c>
      <c r="D278" s="29" t="s">
        <v>524</v>
      </c>
      <c r="E278" s="29" t="s">
        <v>525</v>
      </c>
      <c r="F278" s="8" t="s">
        <v>2302</v>
      </c>
      <c r="G278" s="29" t="s">
        <v>526</v>
      </c>
      <c r="H278" s="50" t="s">
        <v>2200</v>
      </c>
      <c r="I278" s="50" t="s">
        <v>2200</v>
      </c>
      <c r="J278" s="104" t="s">
        <v>2303</v>
      </c>
      <c r="K278" s="10">
        <v>46032</v>
      </c>
      <c r="L278" s="29" t="s">
        <v>22</v>
      </c>
      <c r="M278" s="56"/>
    </row>
    <row r="279" spans="1:13" ht="31.5">
      <c r="A279" s="5">
        <v>278</v>
      </c>
      <c r="B279" s="29" t="s">
        <v>311</v>
      </c>
      <c r="C279" s="31" t="s">
        <v>2171</v>
      </c>
      <c r="D279" s="29" t="s">
        <v>527</v>
      </c>
      <c r="E279" s="29" t="s">
        <v>528</v>
      </c>
      <c r="F279" s="8" t="s">
        <v>2302</v>
      </c>
      <c r="G279" s="29" t="s">
        <v>431</v>
      </c>
      <c r="H279" s="50" t="s">
        <v>2200</v>
      </c>
      <c r="I279" s="50" t="s">
        <v>2200</v>
      </c>
      <c r="J279" s="104" t="s">
        <v>2303</v>
      </c>
      <c r="K279" s="10">
        <v>46032</v>
      </c>
      <c r="L279" s="29" t="s">
        <v>22</v>
      </c>
      <c r="M279" s="56"/>
    </row>
    <row r="280" spans="1:13" ht="31.5">
      <c r="A280" s="5">
        <v>279</v>
      </c>
      <c r="B280" s="29" t="s">
        <v>311</v>
      </c>
      <c r="C280" s="31" t="s">
        <v>2172</v>
      </c>
      <c r="D280" s="29" t="s">
        <v>1715</v>
      </c>
      <c r="E280" s="29" t="s">
        <v>18</v>
      </c>
      <c r="F280" s="8" t="s">
        <v>2302</v>
      </c>
      <c r="G280" s="29" t="s">
        <v>607</v>
      </c>
      <c r="H280" s="50" t="s">
        <v>2200</v>
      </c>
      <c r="I280" s="50" t="s">
        <v>2200</v>
      </c>
      <c r="J280" s="104" t="s">
        <v>2303</v>
      </c>
      <c r="K280" s="10">
        <v>46032</v>
      </c>
      <c r="L280" s="29" t="s">
        <v>20</v>
      </c>
      <c r="M280" s="56"/>
    </row>
    <row r="281" spans="1:13" ht="31.5">
      <c r="A281" s="5">
        <v>280</v>
      </c>
      <c r="B281" s="29" t="s">
        <v>311</v>
      </c>
      <c r="C281" s="31" t="s">
        <v>2172</v>
      </c>
      <c r="D281" s="29" t="s">
        <v>529</v>
      </c>
      <c r="E281" s="29" t="s">
        <v>530</v>
      </c>
      <c r="F281" s="8" t="s">
        <v>2302</v>
      </c>
      <c r="G281" s="29" t="s">
        <v>531</v>
      </c>
      <c r="H281" s="50" t="s">
        <v>2200</v>
      </c>
      <c r="I281" s="50" t="s">
        <v>2200</v>
      </c>
      <c r="J281" s="104" t="s">
        <v>2303</v>
      </c>
      <c r="K281" s="10">
        <v>46032</v>
      </c>
      <c r="L281" s="29" t="s">
        <v>20</v>
      </c>
      <c r="M281" s="56"/>
    </row>
    <row r="282" spans="1:13" ht="31.5">
      <c r="A282" s="5">
        <v>281</v>
      </c>
      <c r="B282" s="29" t="s">
        <v>311</v>
      </c>
      <c r="C282" s="31" t="s">
        <v>2172</v>
      </c>
      <c r="D282" s="29" t="s">
        <v>532</v>
      </c>
      <c r="E282" s="29" t="s">
        <v>533</v>
      </c>
      <c r="F282" s="8" t="s">
        <v>2302</v>
      </c>
      <c r="G282" s="29" t="s">
        <v>534</v>
      </c>
      <c r="H282" s="50" t="s">
        <v>2200</v>
      </c>
      <c r="I282" s="50" t="s">
        <v>2200</v>
      </c>
      <c r="J282" s="104" t="s">
        <v>2303</v>
      </c>
      <c r="K282" s="10">
        <v>46032</v>
      </c>
      <c r="L282" s="29" t="s">
        <v>20</v>
      </c>
      <c r="M282" s="56"/>
    </row>
    <row r="283" spans="1:13" ht="31.5">
      <c r="A283" s="5">
        <v>282</v>
      </c>
      <c r="B283" s="29" t="s">
        <v>311</v>
      </c>
      <c r="C283" s="31" t="s">
        <v>2172</v>
      </c>
      <c r="D283" s="29" t="s">
        <v>535</v>
      </c>
      <c r="E283" s="29" t="s">
        <v>536</v>
      </c>
      <c r="F283" s="8" t="s">
        <v>2302</v>
      </c>
      <c r="G283" s="29" t="s">
        <v>1933</v>
      </c>
      <c r="H283" s="50" t="s">
        <v>2200</v>
      </c>
      <c r="I283" s="50" t="s">
        <v>2200</v>
      </c>
      <c r="J283" s="104" t="s">
        <v>2303</v>
      </c>
      <c r="K283" s="10">
        <v>46032</v>
      </c>
      <c r="L283" s="29" t="s">
        <v>20</v>
      </c>
      <c r="M283" s="56"/>
    </row>
    <row r="284" spans="1:13" ht="31.5">
      <c r="A284" s="5">
        <v>283</v>
      </c>
      <c r="B284" s="29" t="s">
        <v>311</v>
      </c>
      <c r="C284" s="31" t="s">
        <v>2172</v>
      </c>
      <c r="D284" s="29" t="s">
        <v>537</v>
      </c>
      <c r="E284" s="29" t="s">
        <v>538</v>
      </c>
      <c r="F284" s="8" t="s">
        <v>2302</v>
      </c>
      <c r="G284" s="29" t="s">
        <v>1934</v>
      </c>
      <c r="H284" s="50" t="s">
        <v>2200</v>
      </c>
      <c r="I284" s="50" t="s">
        <v>2200</v>
      </c>
      <c r="J284" s="104" t="s">
        <v>2303</v>
      </c>
      <c r="K284" s="10">
        <v>46032</v>
      </c>
      <c r="L284" s="29" t="s">
        <v>20</v>
      </c>
      <c r="M284" s="56"/>
    </row>
    <row r="285" spans="1:13" ht="31.5">
      <c r="A285" s="5">
        <v>284</v>
      </c>
      <c r="B285" s="29" t="s">
        <v>311</v>
      </c>
      <c r="C285" s="31" t="s">
        <v>2172</v>
      </c>
      <c r="D285" s="29" t="s">
        <v>540</v>
      </c>
      <c r="E285" s="29" t="s">
        <v>541</v>
      </c>
      <c r="F285" s="8" t="s">
        <v>2302</v>
      </c>
      <c r="G285" s="29" t="s">
        <v>542</v>
      </c>
      <c r="H285" s="50" t="s">
        <v>2200</v>
      </c>
      <c r="I285" s="50" t="s">
        <v>2200</v>
      </c>
      <c r="J285" s="104" t="s">
        <v>2303</v>
      </c>
      <c r="K285" s="10">
        <v>46032</v>
      </c>
      <c r="L285" s="29" t="s">
        <v>20</v>
      </c>
      <c r="M285" s="56"/>
    </row>
    <row r="286" spans="1:13" ht="31.5">
      <c r="A286" s="5">
        <v>285</v>
      </c>
      <c r="B286" s="29" t="s">
        <v>311</v>
      </c>
      <c r="C286" s="31" t="s">
        <v>2172</v>
      </c>
      <c r="D286" s="29" t="s">
        <v>543</v>
      </c>
      <c r="E286" s="29" t="s">
        <v>544</v>
      </c>
      <c r="F286" s="8" t="s">
        <v>2302</v>
      </c>
      <c r="G286" s="29" t="s">
        <v>545</v>
      </c>
      <c r="H286" s="50" t="s">
        <v>2200</v>
      </c>
      <c r="I286" s="50" t="s">
        <v>2200</v>
      </c>
      <c r="J286" s="104" t="s">
        <v>2303</v>
      </c>
      <c r="K286" s="10">
        <v>46032</v>
      </c>
      <c r="L286" s="29" t="s">
        <v>20</v>
      </c>
      <c r="M286" s="56"/>
    </row>
    <row r="287" spans="1:13" ht="31.5">
      <c r="A287" s="5">
        <v>286</v>
      </c>
      <c r="B287" s="29" t="s">
        <v>311</v>
      </c>
      <c r="C287" s="31" t="s">
        <v>2172</v>
      </c>
      <c r="D287" s="29" t="s">
        <v>546</v>
      </c>
      <c r="E287" s="29" t="s">
        <v>547</v>
      </c>
      <c r="F287" s="8" t="s">
        <v>2302</v>
      </c>
      <c r="G287" s="29" t="s">
        <v>548</v>
      </c>
      <c r="H287" s="50" t="s">
        <v>2200</v>
      </c>
      <c r="I287" s="50" t="s">
        <v>2200</v>
      </c>
      <c r="J287" s="104" t="s">
        <v>2303</v>
      </c>
      <c r="K287" s="10">
        <v>46032</v>
      </c>
      <c r="L287" s="29" t="s">
        <v>20</v>
      </c>
      <c r="M287" s="56"/>
    </row>
    <row r="288" spans="1:13" ht="31.5">
      <c r="A288" s="5">
        <v>287</v>
      </c>
      <c r="B288" s="29" t="s">
        <v>311</v>
      </c>
      <c r="C288" s="31" t="s">
        <v>2172</v>
      </c>
      <c r="D288" s="29" t="s">
        <v>549</v>
      </c>
      <c r="E288" s="29" t="s">
        <v>550</v>
      </c>
      <c r="F288" s="8" t="s">
        <v>2302</v>
      </c>
      <c r="G288" s="29" t="s">
        <v>551</v>
      </c>
      <c r="H288" s="50" t="s">
        <v>2200</v>
      </c>
      <c r="I288" s="50" t="s">
        <v>2200</v>
      </c>
      <c r="J288" s="104" t="s">
        <v>2303</v>
      </c>
      <c r="K288" s="10">
        <v>46032</v>
      </c>
      <c r="L288" s="29" t="s">
        <v>20</v>
      </c>
      <c r="M288" s="56"/>
    </row>
    <row r="289" spans="1:13" ht="31.5">
      <c r="A289" s="5">
        <v>288</v>
      </c>
      <c r="B289" s="29" t="s">
        <v>311</v>
      </c>
      <c r="C289" s="31" t="s">
        <v>2172</v>
      </c>
      <c r="D289" s="29" t="s">
        <v>552</v>
      </c>
      <c r="E289" s="29" t="s">
        <v>553</v>
      </c>
      <c r="F289" s="8" t="s">
        <v>2302</v>
      </c>
      <c r="G289" s="29" t="s">
        <v>554</v>
      </c>
      <c r="H289" s="50" t="s">
        <v>2200</v>
      </c>
      <c r="I289" s="50" t="s">
        <v>2200</v>
      </c>
      <c r="J289" s="104" t="s">
        <v>2303</v>
      </c>
      <c r="K289" s="10">
        <v>46032</v>
      </c>
      <c r="L289" s="29" t="s">
        <v>20</v>
      </c>
      <c r="M289" s="56"/>
    </row>
    <row r="290" spans="1:13" ht="31.5">
      <c r="A290" s="5">
        <v>289</v>
      </c>
      <c r="B290" s="29" t="s">
        <v>311</v>
      </c>
      <c r="C290" s="31" t="s">
        <v>2172</v>
      </c>
      <c r="D290" s="29" t="s">
        <v>555</v>
      </c>
      <c r="E290" s="29" t="s">
        <v>556</v>
      </c>
      <c r="F290" s="8" t="s">
        <v>2302</v>
      </c>
      <c r="G290" s="29" t="s">
        <v>557</v>
      </c>
      <c r="H290" s="50" t="s">
        <v>2200</v>
      </c>
      <c r="I290" s="50" t="s">
        <v>2200</v>
      </c>
      <c r="J290" s="104" t="s">
        <v>2303</v>
      </c>
      <c r="K290" s="10">
        <v>46032</v>
      </c>
      <c r="L290" s="29" t="s">
        <v>20</v>
      </c>
      <c r="M290" s="56"/>
    </row>
    <row r="291" spans="1:13" ht="31.5">
      <c r="A291" s="5">
        <v>290</v>
      </c>
      <c r="B291" s="29" t="s">
        <v>311</v>
      </c>
      <c r="C291" s="31" t="s">
        <v>2172</v>
      </c>
      <c r="D291" s="29" t="s">
        <v>558</v>
      </c>
      <c r="E291" s="29" t="s">
        <v>559</v>
      </c>
      <c r="F291" s="8" t="s">
        <v>2302</v>
      </c>
      <c r="G291" s="29" t="s">
        <v>560</v>
      </c>
      <c r="H291" s="50" t="s">
        <v>2200</v>
      </c>
      <c r="I291" s="50" t="s">
        <v>2200</v>
      </c>
      <c r="J291" s="104" t="s">
        <v>2303</v>
      </c>
      <c r="K291" s="10">
        <v>46032</v>
      </c>
      <c r="L291" s="29" t="s">
        <v>20</v>
      </c>
      <c r="M291" s="56"/>
    </row>
    <row r="292" spans="1:13" ht="31.5">
      <c r="A292" s="5">
        <v>291</v>
      </c>
      <c r="B292" s="29" t="s">
        <v>311</v>
      </c>
      <c r="C292" s="31" t="s">
        <v>2172</v>
      </c>
      <c r="D292" s="29" t="s">
        <v>561</v>
      </c>
      <c r="E292" s="29" t="s">
        <v>562</v>
      </c>
      <c r="F292" s="8" t="s">
        <v>2302</v>
      </c>
      <c r="G292" s="29" t="s">
        <v>563</v>
      </c>
      <c r="H292" s="50" t="s">
        <v>2200</v>
      </c>
      <c r="I292" s="50" t="s">
        <v>2200</v>
      </c>
      <c r="J292" s="104" t="s">
        <v>2303</v>
      </c>
      <c r="K292" s="10">
        <v>46032</v>
      </c>
      <c r="L292" s="29" t="s">
        <v>20</v>
      </c>
      <c r="M292" s="56"/>
    </row>
    <row r="293" spans="1:13" ht="31.5">
      <c r="A293" s="5">
        <v>292</v>
      </c>
      <c r="B293" s="29" t="s">
        <v>311</v>
      </c>
      <c r="C293" s="31" t="s">
        <v>2172</v>
      </c>
      <c r="D293" s="29" t="s">
        <v>564</v>
      </c>
      <c r="E293" s="29" t="s">
        <v>565</v>
      </c>
      <c r="F293" s="8" t="s">
        <v>2302</v>
      </c>
      <c r="G293" s="29" t="s">
        <v>566</v>
      </c>
      <c r="H293" s="50" t="s">
        <v>2200</v>
      </c>
      <c r="I293" s="50" t="s">
        <v>2200</v>
      </c>
      <c r="J293" s="104" t="s">
        <v>2303</v>
      </c>
      <c r="K293" s="10">
        <v>46032</v>
      </c>
      <c r="L293" s="29" t="s">
        <v>20</v>
      </c>
      <c r="M293" s="56"/>
    </row>
    <row r="294" spans="1:13" ht="31.5">
      <c r="A294" s="5">
        <v>293</v>
      </c>
      <c r="B294" s="29" t="s">
        <v>311</v>
      </c>
      <c r="C294" s="31" t="s">
        <v>2172</v>
      </c>
      <c r="D294" s="29" t="s">
        <v>567</v>
      </c>
      <c r="E294" s="29" t="s">
        <v>568</v>
      </c>
      <c r="F294" s="8" t="s">
        <v>2302</v>
      </c>
      <c r="G294" s="29" t="s">
        <v>569</v>
      </c>
      <c r="H294" s="50" t="s">
        <v>2200</v>
      </c>
      <c r="I294" s="50" t="s">
        <v>2200</v>
      </c>
      <c r="J294" s="104" t="s">
        <v>2303</v>
      </c>
      <c r="K294" s="10">
        <v>46032</v>
      </c>
      <c r="L294" s="29" t="s">
        <v>20</v>
      </c>
      <c r="M294" s="56"/>
    </row>
    <row r="295" spans="1:13" ht="31.5">
      <c r="A295" s="5">
        <v>294</v>
      </c>
      <c r="B295" s="29" t="s">
        <v>311</v>
      </c>
      <c r="C295" s="31" t="s">
        <v>2172</v>
      </c>
      <c r="D295" s="29" t="s">
        <v>570</v>
      </c>
      <c r="E295" s="29" t="s">
        <v>571</v>
      </c>
      <c r="F295" s="8" t="s">
        <v>2302</v>
      </c>
      <c r="G295" s="29" t="s">
        <v>572</v>
      </c>
      <c r="H295" s="50" t="s">
        <v>2200</v>
      </c>
      <c r="I295" s="50" t="s">
        <v>2200</v>
      </c>
      <c r="J295" s="104" t="s">
        <v>2303</v>
      </c>
      <c r="K295" s="10">
        <v>46032</v>
      </c>
      <c r="L295" s="29" t="s">
        <v>20</v>
      </c>
      <c r="M295" s="56"/>
    </row>
    <row r="296" spans="1:13" ht="31.5">
      <c r="A296" s="5">
        <v>295</v>
      </c>
      <c r="B296" s="29" t="s">
        <v>311</v>
      </c>
      <c r="C296" s="31" t="s">
        <v>2172</v>
      </c>
      <c r="D296" s="29" t="s">
        <v>573</v>
      </c>
      <c r="E296" s="29" t="s">
        <v>574</v>
      </c>
      <c r="F296" s="8" t="s">
        <v>2302</v>
      </c>
      <c r="G296" s="29" t="s">
        <v>575</v>
      </c>
      <c r="H296" s="50" t="s">
        <v>2200</v>
      </c>
      <c r="I296" s="50" t="s">
        <v>2200</v>
      </c>
      <c r="J296" s="104" t="s">
        <v>2303</v>
      </c>
      <c r="K296" s="10">
        <v>46032</v>
      </c>
      <c r="L296" s="29" t="s">
        <v>20</v>
      </c>
      <c r="M296" s="56"/>
    </row>
    <row r="297" spans="1:13" ht="31.5">
      <c r="A297" s="5">
        <v>296</v>
      </c>
      <c r="B297" s="29" t="s">
        <v>311</v>
      </c>
      <c r="C297" s="31" t="s">
        <v>2172</v>
      </c>
      <c r="D297" s="29" t="s">
        <v>576</v>
      </c>
      <c r="E297" s="29" t="s">
        <v>577</v>
      </c>
      <c r="F297" s="8" t="s">
        <v>2302</v>
      </c>
      <c r="G297" s="29" t="s">
        <v>578</v>
      </c>
      <c r="H297" s="50" t="s">
        <v>2200</v>
      </c>
      <c r="I297" s="50" t="s">
        <v>2200</v>
      </c>
      <c r="J297" s="104" t="s">
        <v>2303</v>
      </c>
      <c r="K297" s="10">
        <v>46032</v>
      </c>
      <c r="L297" s="29" t="s">
        <v>20</v>
      </c>
      <c r="M297" s="56"/>
    </row>
    <row r="298" spans="1:13" ht="31.5">
      <c r="A298" s="5">
        <v>297</v>
      </c>
      <c r="B298" s="29" t="s">
        <v>311</v>
      </c>
      <c r="C298" s="31" t="s">
        <v>2172</v>
      </c>
      <c r="D298" s="29" t="s">
        <v>579</v>
      </c>
      <c r="E298" s="29" t="s">
        <v>580</v>
      </c>
      <c r="F298" s="8" t="s">
        <v>2302</v>
      </c>
      <c r="G298" s="29" t="s">
        <v>581</v>
      </c>
      <c r="H298" s="50" t="s">
        <v>2200</v>
      </c>
      <c r="I298" s="50" t="s">
        <v>2200</v>
      </c>
      <c r="J298" s="104" t="s">
        <v>2303</v>
      </c>
      <c r="K298" s="10">
        <v>46032</v>
      </c>
      <c r="L298" s="29" t="s">
        <v>20</v>
      </c>
      <c r="M298" s="56"/>
    </row>
    <row r="299" spans="1:13" ht="31.5">
      <c r="A299" s="5">
        <v>298</v>
      </c>
      <c r="B299" s="29" t="s">
        <v>311</v>
      </c>
      <c r="C299" s="31" t="s">
        <v>2172</v>
      </c>
      <c r="D299" s="29" t="s">
        <v>582</v>
      </c>
      <c r="E299" s="29" t="s">
        <v>583</v>
      </c>
      <c r="F299" s="8" t="s">
        <v>2302</v>
      </c>
      <c r="G299" s="29" t="s">
        <v>584</v>
      </c>
      <c r="H299" s="50" t="s">
        <v>2200</v>
      </c>
      <c r="I299" s="50" t="s">
        <v>2200</v>
      </c>
      <c r="J299" s="104" t="s">
        <v>2303</v>
      </c>
      <c r="K299" s="10">
        <v>46032</v>
      </c>
      <c r="L299" s="29" t="s">
        <v>20</v>
      </c>
      <c r="M299" s="56"/>
    </row>
    <row r="300" spans="1:13" ht="31.5">
      <c r="A300" s="5">
        <v>299</v>
      </c>
      <c r="B300" s="29" t="s">
        <v>311</v>
      </c>
      <c r="C300" s="31" t="s">
        <v>2172</v>
      </c>
      <c r="D300" s="29" t="s">
        <v>1815</v>
      </c>
      <c r="E300" s="29" t="s">
        <v>1935</v>
      </c>
      <c r="F300" s="8" t="s">
        <v>2302</v>
      </c>
      <c r="G300" s="29" t="s">
        <v>1936</v>
      </c>
      <c r="H300" s="50" t="s">
        <v>2200</v>
      </c>
      <c r="I300" s="50" t="s">
        <v>2200</v>
      </c>
      <c r="J300" s="104" t="s">
        <v>2303</v>
      </c>
      <c r="K300" s="10">
        <v>46032</v>
      </c>
      <c r="L300" s="29" t="s">
        <v>20</v>
      </c>
      <c r="M300" s="56"/>
    </row>
    <row r="301" spans="1:13" ht="31.5">
      <c r="A301" s="5">
        <v>300</v>
      </c>
      <c r="B301" s="29" t="s">
        <v>311</v>
      </c>
      <c r="C301" s="31" t="s">
        <v>2172</v>
      </c>
      <c r="D301" s="29" t="s">
        <v>585</v>
      </c>
      <c r="E301" s="29" t="s">
        <v>586</v>
      </c>
      <c r="F301" s="8" t="s">
        <v>2302</v>
      </c>
      <c r="G301" s="29" t="s">
        <v>587</v>
      </c>
      <c r="H301" s="50" t="s">
        <v>2200</v>
      </c>
      <c r="I301" s="50" t="s">
        <v>2200</v>
      </c>
      <c r="J301" s="104" t="s">
        <v>2303</v>
      </c>
      <c r="K301" s="10">
        <v>46032</v>
      </c>
      <c r="L301" s="29" t="s">
        <v>20</v>
      </c>
      <c r="M301" s="56"/>
    </row>
    <row r="302" spans="1:13" ht="31.5">
      <c r="A302" s="5">
        <v>301</v>
      </c>
      <c r="B302" s="29" t="s">
        <v>311</v>
      </c>
      <c r="C302" s="31" t="s">
        <v>2172</v>
      </c>
      <c r="D302" s="29" t="s">
        <v>588</v>
      </c>
      <c r="E302" s="29" t="s">
        <v>589</v>
      </c>
      <c r="F302" s="8" t="s">
        <v>2302</v>
      </c>
      <c r="G302" s="29" t="s">
        <v>1937</v>
      </c>
      <c r="H302" s="50" t="s">
        <v>2200</v>
      </c>
      <c r="I302" s="50" t="s">
        <v>2200</v>
      </c>
      <c r="J302" s="104" t="s">
        <v>2303</v>
      </c>
      <c r="K302" s="10">
        <v>46032</v>
      </c>
      <c r="L302" s="29" t="s">
        <v>20</v>
      </c>
      <c r="M302" s="56"/>
    </row>
    <row r="303" spans="1:13" ht="31.5">
      <c r="A303" s="5">
        <v>302</v>
      </c>
      <c r="B303" s="29" t="s">
        <v>311</v>
      </c>
      <c r="C303" s="31" t="s">
        <v>2172</v>
      </c>
      <c r="D303" s="29" t="s">
        <v>590</v>
      </c>
      <c r="E303" s="29" t="s">
        <v>591</v>
      </c>
      <c r="F303" s="8" t="s">
        <v>2302</v>
      </c>
      <c r="G303" s="29" t="s">
        <v>592</v>
      </c>
      <c r="H303" s="50" t="s">
        <v>2200</v>
      </c>
      <c r="I303" s="50" t="s">
        <v>2200</v>
      </c>
      <c r="J303" s="104" t="s">
        <v>2303</v>
      </c>
      <c r="K303" s="10">
        <v>46032</v>
      </c>
      <c r="L303" s="29" t="s">
        <v>20</v>
      </c>
      <c r="M303" s="56"/>
    </row>
    <row r="304" spans="1:13" ht="31.5">
      <c r="A304" s="5">
        <v>303</v>
      </c>
      <c r="B304" s="29" t="s">
        <v>311</v>
      </c>
      <c r="C304" s="31" t="s">
        <v>2172</v>
      </c>
      <c r="D304" s="29" t="s">
        <v>593</v>
      </c>
      <c r="E304" s="29" t="s">
        <v>594</v>
      </c>
      <c r="F304" s="8" t="s">
        <v>2302</v>
      </c>
      <c r="G304" s="29" t="s">
        <v>595</v>
      </c>
      <c r="H304" s="50" t="s">
        <v>2200</v>
      </c>
      <c r="I304" s="50" t="s">
        <v>2200</v>
      </c>
      <c r="J304" s="104" t="s">
        <v>2303</v>
      </c>
      <c r="K304" s="10">
        <v>46032</v>
      </c>
      <c r="L304" s="29" t="s">
        <v>20</v>
      </c>
      <c r="M304" s="56"/>
    </row>
    <row r="305" spans="1:13" ht="31.5">
      <c r="A305" s="5">
        <v>304</v>
      </c>
      <c r="B305" s="29" t="s">
        <v>311</v>
      </c>
      <c r="C305" s="31" t="s">
        <v>2172</v>
      </c>
      <c r="D305" s="29" t="s">
        <v>596</v>
      </c>
      <c r="E305" s="29" t="s">
        <v>597</v>
      </c>
      <c r="F305" s="8" t="s">
        <v>2302</v>
      </c>
      <c r="G305" s="29" t="s">
        <v>598</v>
      </c>
      <c r="H305" s="50" t="s">
        <v>2200</v>
      </c>
      <c r="I305" s="50" t="s">
        <v>2200</v>
      </c>
      <c r="J305" s="104" t="s">
        <v>2303</v>
      </c>
      <c r="K305" s="10">
        <v>46032</v>
      </c>
      <c r="L305" s="29" t="s">
        <v>20</v>
      </c>
      <c r="M305" s="56"/>
    </row>
    <row r="306" spans="1:13" ht="31.5">
      <c r="A306" s="5">
        <v>305</v>
      </c>
      <c r="B306" s="29" t="s">
        <v>311</v>
      </c>
      <c r="C306" s="31" t="s">
        <v>2172</v>
      </c>
      <c r="D306" s="29" t="s">
        <v>599</v>
      </c>
      <c r="E306" s="29" t="s">
        <v>600</v>
      </c>
      <c r="F306" s="8" t="s">
        <v>2302</v>
      </c>
      <c r="G306" s="29" t="s">
        <v>601</v>
      </c>
      <c r="H306" s="50" t="s">
        <v>2200</v>
      </c>
      <c r="I306" s="50" t="s">
        <v>2200</v>
      </c>
      <c r="J306" s="104" t="s">
        <v>2303</v>
      </c>
      <c r="K306" s="10">
        <v>46032</v>
      </c>
      <c r="L306" s="29" t="s">
        <v>20</v>
      </c>
      <c r="M306" s="56"/>
    </row>
    <row r="307" spans="1:13" ht="31.5">
      <c r="A307" s="5">
        <v>306</v>
      </c>
      <c r="B307" s="29" t="s">
        <v>311</v>
      </c>
      <c r="C307" s="31" t="s">
        <v>2172</v>
      </c>
      <c r="D307" s="29" t="s">
        <v>1816</v>
      </c>
      <c r="E307" s="29" t="s">
        <v>1938</v>
      </c>
      <c r="F307" s="8" t="s">
        <v>2302</v>
      </c>
      <c r="G307" s="29" t="s">
        <v>1939</v>
      </c>
      <c r="H307" s="50" t="s">
        <v>2200</v>
      </c>
      <c r="I307" s="50" t="s">
        <v>2200</v>
      </c>
      <c r="J307" s="104" t="s">
        <v>2303</v>
      </c>
      <c r="K307" s="10">
        <v>46032</v>
      </c>
      <c r="L307" s="29" t="s">
        <v>20</v>
      </c>
      <c r="M307" s="56"/>
    </row>
    <row r="308" spans="1:13" ht="31.5">
      <c r="A308" s="5">
        <v>307</v>
      </c>
      <c r="B308" s="29" t="s">
        <v>311</v>
      </c>
      <c r="C308" s="31" t="s">
        <v>2172</v>
      </c>
      <c r="D308" s="29" t="s">
        <v>1809</v>
      </c>
      <c r="E308" s="29" t="s">
        <v>18</v>
      </c>
      <c r="F308" s="8" t="s">
        <v>2302</v>
      </c>
      <c r="G308" s="29" t="s">
        <v>1940</v>
      </c>
      <c r="H308" s="50" t="s">
        <v>2200</v>
      </c>
      <c r="I308" s="50" t="s">
        <v>2200</v>
      </c>
      <c r="J308" s="104" t="s">
        <v>2303</v>
      </c>
      <c r="K308" s="10">
        <v>46032</v>
      </c>
      <c r="L308" s="29" t="s">
        <v>20</v>
      </c>
      <c r="M308" s="56"/>
    </row>
    <row r="309" spans="1:13" ht="31.5">
      <c r="A309" s="5">
        <v>308</v>
      </c>
      <c r="B309" s="29" t="s">
        <v>311</v>
      </c>
      <c r="C309" s="31" t="s">
        <v>2172</v>
      </c>
      <c r="D309" s="29" t="s">
        <v>1810</v>
      </c>
      <c r="E309" s="29" t="s">
        <v>18</v>
      </c>
      <c r="F309" s="8" t="s">
        <v>2302</v>
      </c>
      <c r="G309" s="29" t="s">
        <v>1941</v>
      </c>
      <c r="H309" s="50" t="s">
        <v>2200</v>
      </c>
      <c r="I309" s="50" t="s">
        <v>2200</v>
      </c>
      <c r="J309" s="104" t="s">
        <v>2303</v>
      </c>
      <c r="K309" s="10">
        <v>46032</v>
      </c>
      <c r="L309" s="29" t="s">
        <v>20</v>
      </c>
      <c r="M309" s="56"/>
    </row>
    <row r="310" spans="1:13" ht="31.5">
      <c r="A310" s="5">
        <v>309</v>
      </c>
      <c r="B310" s="29" t="s">
        <v>311</v>
      </c>
      <c r="C310" s="31" t="s">
        <v>2172</v>
      </c>
      <c r="D310" s="29" t="s">
        <v>1811</v>
      </c>
      <c r="E310" s="29" t="s">
        <v>18</v>
      </c>
      <c r="F310" s="8" t="s">
        <v>2302</v>
      </c>
      <c r="G310" s="29" t="s">
        <v>1942</v>
      </c>
      <c r="H310" s="50" t="s">
        <v>2200</v>
      </c>
      <c r="I310" s="50" t="s">
        <v>2200</v>
      </c>
      <c r="J310" s="104" t="s">
        <v>2303</v>
      </c>
      <c r="K310" s="10">
        <v>46032</v>
      </c>
      <c r="L310" s="29" t="s">
        <v>20</v>
      </c>
      <c r="M310" s="56"/>
    </row>
    <row r="311" spans="1:13" ht="31.5">
      <c r="A311" s="5">
        <v>310</v>
      </c>
      <c r="B311" s="29" t="s">
        <v>311</v>
      </c>
      <c r="C311" s="31" t="s">
        <v>2172</v>
      </c>
      <c r="D311" s="29" t="s">
        <v>1943</v>
      </c>
      <c r="E311" s="29" t="s">
        <v>18</v>
      </c>
      <c r="F311" s="8" t="s">
        <v>2302</v>
      </c>
      <c r="G311" s="29" t="s">
        <v>1944</v>
      </c>
      <c r="H311" s="50" t="s">
        <v>2200</v>
      </c>
      <c r="I311" s="50" t="s">
        <v>2200</v>
      </c>
      <c r="J311" s="104" t="s">
        <v>2303</v>
      </c>
      <c r="K311" s="10">
        <v>46032</v>
      </c>
      <c r="L311" s="29" t="s">
        <v>20</v>
      </c>
      <c r="M311" s="56"/>
    </row>
    <row r="312" spans="1:13" ht="31.5">
      <c r="A312" s="5">
        <v>311</v>
      </c>
      <c r="B312" s="29" t="s">
        <v>311</v>
      </c>
      <c r="C312" s="31" t="s">
        <v>2172</v>
      </c>
      <c r="D312" s="29" t="s">
        <v>602</v>
      </c>
      <c r="E312" s="29" t="s">
        <v>18</v>
      </c>
      <c r="F312" s="8" t="s">
        <v>2302</v>
      </c>
      <c r="G312" s="29" t="s">
        <v>603</v>
      </c>
      <c r="H312" s="50" t="s">
        <v>2200</v>
      </c>
      <c r="I312" s="50" t="s">
        <v>2200</v>
      </c>
      <c r="J312" s="104" t="s">
        <v>2303</v>
      </c>
      <c r="K312" s="10">
        <v>46032</v>
      </c>
      <c r="L312" s="29" t="s">
        <v>20</v>
      </c>
      <c r="M312" s="56"/>
    </row>
    <row r="313" spans="1:13" ht="31.5">
      <c r="A313" s="5">
        <v>312</v>
      </c>
      <c r="B313" s="29" t="s">
        <v>311</v>
      </c>
      <c r="C313" s="31" t="s">
        <v>2172</v>
      </c>
      <c r="D313" s="29" t="s">
        <v>1812</v>
      </c>
      <c r="E313" s="29" t="s">
        <v>18</v>
      </c>
      <c r="F313" s="8" t="s">
        <v>2302</v>
      </c>
      <c r="G313" s="29" t="s">
        <v>606</v>
      </c>
      <c r="H313" s="50" t="s">
        <v>2200</v>
      </c>
      <c r="I313" s="50" t="s">
        <v>2200</v>
      </c>
      <c r="J313" s="104" t="s">
        <v>2303</v>
      </c>
      <c r="K313" s="10">
        <v>46032</v>
      </c>
      <c r="L313" s="29" t="s">
        <v>20</v>
      </c>
      <c r="M313" s="56"/>
    </row>
    <row r="314" spans="1:13" ht="31.5">
      <c r="A314" s="5">
        <v>313</v>
      </c>
      <c r="B314" s="29" t="s">
        <v>311</v>
      </c>
      <c r="C314" s="31" t="s">
        <v>2172</v>
      </c>
      <c r="D314" s="29" t="s">
        <v>604</v>
      </c>
      <c r="E314" s="29" t="s">
        <v>18</v>
      </c>
      <c r="F314" s="8" t="s">
        <v>2302</v>
      </c>
      <c r="G314" s="29" t="s">
        <v>605</v>
      </c>
      <c r="H314" s="50" t="s">
        <v>2200</v>
      </c>
      <c r="I314" s="50" t="s">
        <v>2200</v>
      </c>
      <c r="J314" s="104" t="s">
        <v>2303</v>
      </c>
      <c r="K314" s="10">
        <v>46032</v>
      </c>
      <c r="L314" s="29" t="s">
        <v>20</v>
      </c>
      <c r="M314" s="56"/>
    </row>
    <row r="315" spans="1:13" ht="31.5">
      <c r="A315" s="5">
        <v>314</v>
      </c>
      <c r="B315" s="29" t="s">
        <v>311</v>
      </c>
      <c r="C315" s="31" t="s">
        <v>2172</v>
      </c>
      <c r="D315" s="29" t="s">
        <v>1945</v>
      </c>
      <c r="E315" s="29" t="s">
        <v>18</v>
      </c>
      <c r="F315" s="8" t="s">
        <v>2302</v>
      </c>
      <c r="G315" s="29" t="s">
        <v>587</v>
      </c>
      <c r="H315" s="50" t="s">
        <v>2200</v>
      </c>
      <c r="I315" s="50" t="s">
        <v>2200</v>
      </c>
      <c r="J315" s="104" t="s">
        <v>2303</v>
      </c>
      <c r="K315" s="10">
        <v>46032</v>
      </c>
      <c r="L315" s="29" t="s">
        <v>20</v>
      </c>
      <c r="M315" s="5"/>
    </row>
    <row r="316" spans="1:13" ht="31.5">
      <c r="A316" s="5">
        <v>315</v>
      </c>
      <c r="B316" s="29" t="s">
        <v>311</v>
      </c>
      <c r="C316" s="31" t="s">
        <v>2172</v>
      </c>
      <c r="D316" s="29" t="s">
        <v>1813</v>
      </c>
      <c r="E316" s="29" t="s">
        <v>18</v>
      </c>
      <c r="F316" s="8" t="s">
        <v>2302</v>
      </c>
      <c r="G316" s="29" t="s">
        <v>539</v>
      </c>
      <c r="H316" s="50" t="s">
        <v>2200</v>
      </c>
      <c r="I316" s="50" t="s">
        <v>2200</v>
      </c>
      <c r="J316" s="104" t="s">
        <v>2303</v>
      </c>
      <c r="K316" s="10">
        <v>46032</v>
      </c>
      <c r="L316" s="29" t="s">
        <v>20</v>
      </c>
      <c r="M316" s="56"/>
    </row>
    <row r="317" spans="1:13" ht="31.5">
      <c r="A317" s="5">
        <v>316</v>
      </c>
      <c r="B317" s="29" t="s">
        <v>311</v>
      </c>
      <c r="C317" s="31" t="s">
        <v>2172</v>
      </c>
      <c r="D317" s="29" t="s">
        <v>1814</v>
      </c>
      <c r="E317" s="29" t="s">
        <v>18</v>
      </c>
      <c r="F317" s="8" t="s">
        <v>2302</v>
      </c>
      <c r="G317" s="29" t="s">
        <v>1946</v>
      </c>
      <c r="H317" s="50" t="s">
        <v>2200</v>
      </c>
      <c r="I317" s="50" t="s">
        <v>2200</v>
      </c>
      <c r="J317" s="104" t="s">
        <v>2303</v>
      </c>
      <c r="K317" s="10">
        <v>46032</v>
      </c>
      <c r="L317" s="29" t="s">
        <v>20</v>
      </c>
      <c r="M317" s="56"/>
    </row>
    <row r="318" spans="1:13" ht="31.5">
      <c r="A318" s="5">
        <v>317</v>
      </c>
      <c r="B318" s="29" t="s">
        <v>311</v>
      </c>
      <c r="C318" s="31" t="s">
        <v>2173</v>
      </c>
      <c r="D318" s="29" t="s">
        <v>646</v>
      </c>
      <c r="E318" s="29" t="s">
        <v>1947</v>
      </c>
      <c r="F318" s="8" t="s">
        <v>2302</v>
      </c>
      <c r="G318" s="29" t="s">
        <v>634</v>
      </c>
      <c r="H318" s="50" t="s">
        <v>2200</v>
      </c>
      <c r="I318" s="50" t="s">
        <v>2200</v>
      </c>
      <c r="J318" s="104" t="s">
        <v>2303</v>
      </c>
      <c r="K318" s="10">
        <v>46032</v>
      </c>
      <c r="L318" s="29" t="s">
        <v>20</v>
      </c>
      <c r="M318" s="56"/>
    </row>
    <row r="319" spans="1:13" ht="31.5">
      <c r="A319" s="5">
        <v>318</v>
      </c>
      <c r="B319" s="29" t="s">
        <v>311</v>
      </c>
      <c r="C319" s="31" t="s">
        <v>2173</v>
      </c>
      <c r="D319" s="29" t="s">
        <v>647</v>
      </c>
      <c r="E319" s="29" t="s">
        <v>648</v>
      </c>
      <c r="F319" s="8" t="s">
        <v>2302</v>
      </c>
      <c r="G319" s="29" t="s">
        <v>639</v>
      </c>
      <c r="H319" s="50" t="s">
        <v>2200</v>
      </c>
      <c r="I319" s="50" t="s">
        <v>2200</v>
      </c>
      <c r="J319" s="104" t="s">
        <v>2303</v>
      </c>
      <c r="K319" s="10">
        <v>46032</v>
      </c>
      <c r="L319" s="29" t="s">
        <v>20</v>
      </c>
      <c r="M319" s="56"/>
    </row>
    <row r="320" spans="1:13" ht="31.5">
      <c r="A320" s="5">
        <v>319</v>
      </c>
      <c r="B320" s="29" t="s">
        <v>311</v>
      </c>
      <c r="C320" s="31" t="s">
        <v>2173</v>
      </c>
      <c r="D320" s="29" t="s">
        <v>1948</v>
      </c>
      <c r="E320" s="29" t="s">
        <v>1949</v>
      </c>
      <c r="F320" s="8" t="s">
        <v>2302</v>
      </c>
      <c r="G320" s="29" t="s">
        <v>1950</v>
      </c>
      <c r="H320" s="50" t="s">
        <v>2200</v>
      </c>
      <c r="I320" s="50" t="s">
        <v>2200</v>
      </c>
      <c r="J320" s="104" t="s">
        <v>2303</v>
      </c>
      <c r="K320" s="10">
        <v>46032</v>
      </c>
      <c r="L320" s="29" t="s">
        <v>20</v>
      </c>
      <c r="M320" s="5"/>
    </row>
    <row r="321" spans="1:13" ht="31.5">
      <c r="A321" s="5">
        <v>320</v>
      </c>
      <c r="B321" s="29" t="s">
        <v>311</v>
      </c>
      <c r="C321" s="31" t="s">
        <v>2173</v>
      </c>
      <c r="D321" s="29" t="s">
        <v>649</v>
      </c>
      <c r="E321" s="29" t="s">
        <v>18</v>
      </c>
      <c r="F321" s="8" t="s">
        <v>2302</v>
      </c>
      <c r="G321" s="29" t="s">
        <v>650</v>
      </c>
      <c r="H321" s="50" t="s">
        <v>2200</v>
      </c>
      <c r="I321" s="50" t="s">
        <v>2200</v>
      </c>
      <c r="J321" s="104" t="s">
        <v>2303</v>
      </c>
      <c r="K321" s="10">
        <v>46032</v>
      </c>
      <c r="L321" s="29" t="s">
        <v>20</v>
      </c>
      <c r="M321" s="56"/>
    </row>
    <row r="322" spans="1:13" ht="31.5">
      <c r="A322" s="5">
        <v>321</v>
      </c>
      <c r="B322" s="29" t="s">
        <v>311</v>
      </c>
      <c r="C322" s="31" t="s">
        <v>2173</v>
      </c>
      <c r="D322" s="29" t="s">
        <v>1951</v>
      </c>
      <c r="E322" s="29" t="s">
        <v>1952</v>
      </c>
      <c r="F322" s="8" t="s">
        <v>2302</v>
      </c>
      <c r="G322" s="29" t="s">
        <v>1953</v>
      </c>
      <c r="H322" s="50" t="s">
        <v>2200</v>
      </c>
      <c r="I322" s="50" t="s">
        <v>2200</v>
      </c>
      <c r="J322" s="104" t="s">
        <v>2303</v>
      </c>
      <c r="K322" s="10">
        <v>46032</v>
      </c>
      <c r="L322" s="29" t="s">
        <v>20</v>
      </c>
      <c r="M322" s="44"/>
    </row>
    <row r="323" spans="1:13" ht="31.5">
      <c r="A323" s="5">
        <v>322</v>
      </c>
      <c r="B323" s="29" t="s">
        <v>311</v>
      </c>
      <c r="C323" s="31" t="s">
        <v>2173</v>
      </c>
      <c r="D323" s="29" t="s">
        <v>608</v>
      </c>
      <c r="E323" s="29" t="s">
        <v>609</v>
      </c>
      <c r="F323" s="8" t="s">
        <v>2302</v>
      </c>
      <c r="G323" s="29" t="s">
        <v>610</v>
      </c>
      <c r="H323" s="50" t="s">
        <v>2200</v>
      </c>
      <c r="I323" s="50" t="s">
        <v>2200</v>
      </c>
      <c r="J323" s="104" t="s">
        <v>2303</v>
      </c>
      <c r="K323" s="10">
        <v>46032</v>
      </c>
      <c r="L323" s="29" t="s">
        <v>20</v>
      </c>
      <c r="M323" s="56"/>
    </row>
    <row r="324" spans="1:13" ht="31.5">
      <c r="A324" s="5">
        <v>323</v>
      </c>
      <c r="B324" s="29" t="s">
        <v>311</v>
      </c>
      <c r="C324" s="31" t="s">
        <v>2173</v>
      </c>
      <c r="D324" s="29" t="s">
        <v>611</v>
      </c>
      <c r="E324" s="29" t="s">
        <v>612</v>
      </c>
      <c r="F324" s="8" t="s">
        <v>2302</v>
      </c>
      <c r="G324" s="29" t="s">
        <v>613</v>
      </c>
      <c r="H324" s="50" t="s">
        <v>2200</v>
      </c>
      <c r="I324" s="50" t="s">
        <v>2200</v>
      </c>
      <c r="J324" s="104" t="s">
        <v>2303</v>
      </c>
      <c r="K324" s="10">
        <v>46032</v>
      </c>
      <c r="L324" s="29" t="s">
        <v>20</v>
      </c>
      <c r="M324" s="56"/>
    </row>
    <row r="325" spans="1:13" ht="31.5">
      <c r="A325" s="5">
        <v>324</v>
      </c>
      <c r="B325" s="29" t="s">
        <v>311</v>
      </c>
      <c r="C325" s="31" t="s">
        <v>2173</v>
      </c>
      <c r="D325" s="29" t="s">
        <v>614</v>
      </c>
      <c r="E325" s="29" t="s">
        <v>615</v>
      </c>
      <c r="F325" s="8" t="s">
        <v>2302</v>
      </c>
      <c r="G325" s="29" t="s">
        <v>616</v>
      </c>
      <c r="H325" s="50" t="s">
        <v>2200</v>
      </c>
      <c r="I325" s="50" t="s">
        <v>2200</v>
      </c>
      <c r="J325" s="104" t="s">
        <v>2303</v>
      </c>
      <c r="K325" s="10">
        <v>46032</v>
      </c>
      <c r="L325" s="29" t="s">
        <v>20</v>
      </c>
      <c r="M325" s="56"/>
    </row>
    <row r="326" spans="1:13" ht="31.5">
      <c r="A326" s="5">
        <v>325</v>
      </c>
      <c r="B326" s="29" t="s">
        <v>311</v>
      </c>
      <c r="C326" s="31" t="s">
        <v>2173</v>
      </c>
      <c r="D326" s="29" t="s">
        <v>617</v>
      </c>
      <c r="E326" s="29" t="s">
        <v>618</v>
      </c>
      <c r="F326" s="8" t="s">
        <v>2302</v>
      </c>
      <c r="G326" s="29" t="s">
        <v>619</v>
      </c>
      <c r="H326" s="50" t="s">
        <v>2200</v>
      </c>
      <c r="I326" s="50" t="s">
        <v>2200</v>
      </c>
      <c r="J326" s="104" t="s">
        <v>2303</v>
      </c>
      <c r="K326" s="10">
        <v>46032</v>
      </c>
      <c r="L326" s="29" t="s">
        <v>20</v>
      </c>
      <c r="M326" s="56"/>
    </row>
    <row r="327" spans="1:13" ht="31.5">
      <c r="A327" s="5">
        <v>326</v>
      </c>
      <c r="B327" s="29" t="s">
        <v>311</v>
      </c>
      <c r="C327" s="31" t="s">
        <v>2173</v>
      </c>
      <c r="D327" s="29" t="s">
        <v>620</v>
      </c>
      <c r="E327" s="29" t="s">
        <v>621</v>
      </c>
      <c r="F327" s="8" t="s">
        <v>2302</v>
      </c>
      <c r="G327" s="29" t="s">
        <v>622</v>
      </c>
      <c r="H327" s="50" t="s">
        <v>2200</v>
      </c>
      <c r="I327" s="50" t="s">
        <v>2200</v>
      </c>
      <c r="J327" s="104" t="s">
        <v>2303</v>
      </c>
      <c r="K327" s="10">
        <v>46032</v>
      </c>
      <c r="L327" s="29" t="s">
        <v>20</v>
      </c>
      <c r="M327" s="56"/>
    </row>
    <row r="328" spans="1:13" ht="31.5">
      <c r="A328" s="5">
        <v>327</v>
      </c>
      <c r="B328" s="29" t="s">
        <v>311</v>
      </c>
      <c r="C328" s="31" t="s">
        <v>2173</v>
      </c>
      <c r="D328" s="29" t="s">
        <v>623</v>
      </c>
      <c r="E328" s="29" t="s">
        <v>624</v>
      </c>
      <c r="F328" s="8" t="s">
        <v>2302</v>
      </c>
      <c r="G328" s="29" t="s">
        <v>625</v>
      </c>
      <c r="H328" s="50" t="s">
        <v>2200</v>
      </c>
      <c r="I328" s="50" t="s">
        <v>2200</v>
      </c>
      <c r="J328" s="104" t="s">
        <v>2303</v>
      </c>
      <c r="K328" s="10">
        <v>46032</v>
      </c>
      <c r="L328" s="29" t="s">
        <v>20</v>
      </c>
      <c r="M328" s="56"/>
    </row>
    <row r="329" spans="1:13" ht="31.5">
      <c r="A329" s="5">
        <v>328</v>
      </c>
      <c r="B329" s="29" t="s">
        <v>311</v>
      </c>
      <c r="C329" s="31" t="s">
        <v>2173</v>
      </c>
      <c r="D329" s="29" t="s">
        <v>626</v>
      </c>
      <c r="E329" s="29" t="s">
        <v>627</v>
      </c>
      <c r="F329" s="8" t="s">
        <v>2302</v>
      </c>
      <c r="G329" s="29" t="s">
        <v>628</v>
      </c>
      <c r="H329" s="50" t="s">
        <v>2200</v>
      </c>
      <c r="I329" s="50" t="s">
        <v>2200</v>
      </c>
      <c r="J329" s="104" t="s">
        <v>2303</v>
      </c>
      <c r="K329" s="10">
        <v>46032</v>
      </c>
      <c r="L329" s="29" t="s">
        <v>20</v>
      </c>
      <c r="M329" s="56"/>
    </row>
    <row r="330" spans="1:13" ht="31.5">
      <c r="A330" s="5">
        <v>329</v>
      </c>
      <c r="B330" s="29" t="s">
        <v>311</v>
      </c>
      <c r="C330" s="31" t="s">
        <v>2173</v>
      </c>
      <c r="D330" s="29" t="s">
        <v>629</v>
      </c>
      <c r="E330" s="29" t="s">
        <v>630</v>
      </c>
      <c r="F330" s="8" t="s">
        <v>2302</v>
      </c>
      <c r="G330" s="29" t="s">
        <v>631</v>
      </c>
      <c r="H330" s="50" t="s">
        <v>2200</v>
      </c>
      <c r="I330" s="50" t="s">
        <v>2200</v>
      </c>
      <c r="J330" s="104" t="s">
        <v>2303</v>
      </c>
      <c r="K330" s="10">
        <v>46032</v>
      </c>
      <c r="L330" s="29" t="s">
        <v>20</v>
      </c>
      <c r="M330" s="56"/>
    </row>
    <row r="331" spans="1:13" ht="31.5">
      <c r="A331" s="5">
        <v>330</v>
      </c>
      <c r="B331" s="29" t="s">
        <v>311</v>
      </c>
      <c r="C331" s="31" t="s">
        <v>2173</v>
      </c>
      <c r="D331" s="29" t="s">
        <v>632</v>
      </c>
      <c r="E331" s="29" t="s">
        <v>633</v>
      </c>
      <c r="F331" s="8" t="s">
        <v>2302</v>
      </c>
      <c r="G331" s="29" t="s">
        <v>634</v>
      </c>
      <c r="H331" s="50" t="s">
        <v>2200</v>
      </c>
      <c r="I331" s="50" t="s">
        <v>2200</v>
      </c>
      <c r="J331" s="104" t="s">
        <v>2303</v>
      </c>
      <c r="K331" s="10">
        <v>46032</v>
      </c>
      <c r="L331" s="29" t="s">
        <v>20</v>
      </c>
      <c r="M331" s="56"/>
    </row>
    <row r="332" spans="1:13" ht="31.5">
      <c r="A332" s="5">
        <v>331</v>
      </c>
      <c r="B332" s="29" t="s">
        <v>311</v>
      </c>
      <c r="C332" s="31" t="s">
        <v>2173</v>
      </c>
      <c r="D332" s="29" t="s">
        <v>635</v>
      </c>
      <c r="E332" s="29" t="s">
        <v>1954</v>
      </c>
      <c r="F332" s="8" t="s">
        <v>2302</v>
      </c>
      <c r="G332" s="29" t="s">
        <v>636</v>
      </c>
      <c r="H332" s="50" t="s">
        <v>2200</v>
      </c>
      <c r="I332" s="50" t="s">
        <v>2200</v>
      </c>
      <c r="J332" s="104" t="s">
        <v>2303</v>
      </c>
      <c r="K332" s="10">
        <v>46032</v>
      </c>
      <c r="L332" s="29" t="s">
        <v>20</v>
      </c>
      <c r="M332" s="5"/>
    </row>
    <row r="333" spans="1:13" ht="31.5">
      <c r="A333" s="5">
        <v>332</v>
      </c>
      <c r="B333" s="29" t="s">
        <v>311</v>
      </c>
      <c r="C333" s="31" t="s">
        <v>2173</v>
      </c>
      <c r="D333" s="29" t="s">
        <v>637</v>
      </c>
      <c r="E333" s="29" t="s">
        <v>638</v>
      </c>
      <c r="F333" s="8" t="s">
        <v>2302</v>
      </c>
      <c r="G333" s="29" t="s">
        <v>639</v>
      </c>
      <c r="H333" s="50" t="s">
        <v>2200</v>
      </c>
      <c r="I333" s="50" t="s">
        <v>2200</v>
      </c>
      <c r="J333" s="104" t="s">
        <v>2303</v>
      </c>
      <c r="K333" s="10">
        <v>46032</v>
      </c>
      <c r="L333" s="29" t="s">
        <v>20</v>
      </c>
      <c r="M333" s="56"/>
    </row>
    <row r="334" spans="1:13" ht="31.5">
      <c r="A334" s="5">
        <v>333</v>
      </c>
      <c r="B334" s="29" t="s">
        <v>311</v>
      </c>
      <c r="C334" s="31" t="s">
        <v>2173</v>
      </c>
      <c r="D334" s="29" t="s">
        <v>640</v>
      </c>
      <c r="E334" s="29" t="s">
        <v>641</v>
      </c>
      <c r="F334" s="8" t="s">
        <v>2302</v>
      </c>
      <c r="G334" s="29" t="s">
        <v>642</v>
      </c>
      <c r="H334" s="50" t="s">
        <v>2200</v>
      </c>
      <c r="I334" s="50" t="s">
        <v>2200</v>
      </c>
      <c r="J334" s="104" t="s">
        <v>2303</v>
      </c>
      <c r="K334" s="10">
        <v>46032</v>
      </c>
      <c r="L334" s="29" t="s">
        <v>20</v>
      </c>
      <c r="M334" s="56"/>
    </row>
    <row r="335" spans="1:13" ht="31.5">
      <c r="A335" s="5">
        <v>334</v>
      </c>
      <c r="B335" s="29" t="s">
        <v>311</v>
      </c>
      <c r="C335" s="31" t="s">
        <v>2173</v>
      </c>
      <c r="D335" s="29" t="s">
        <v>643</v>
      </c>
      <c r="E335" s="29" t="s">
        <v>644</v>
      </c>
      <c r="F335" s="8" t="s">
        <v>2302</v>
      </c>
      <c r="G335" s="29" t="s">
        <v>645</v>
      </c>
      <c r="H335" s="50" t="s">
        <v>2200</v>
      </c>
      <c r="I335" s="50" t="s">
        <v>2200</v>
      </c>
      <c r="J335" s="104" t="s">
        <v>2303</v>
      </c>
      <c r="K335" s="10">
        <v>46032</v>
      </c>
      <c r="L335" s="29" t="s">
        <v>20</v>
      </c>
      <c r="M335" s="56"/>
    </row>
    <row r="336" spans="1:13" ht="31.5">
      <c r="A336" s="5">
        <v>335</v>
      </c>
      <c r="B336" s="29" t="s">
        <v>311</v>
      </c>
      <c r="C336" s="31" t="s">
        <v>2173</v>
      </c>
      <c r="D336" s="29" t="s">
        <v>1785</v>
      </c>
      <c r="E336" s="29" t="s">
        <v>676</v>
      </c>
      <c r="F336" s="8" t="s">
        <v>2302</v>
      </c>
      <c r="G336" s="29" t="s">
        <v>1955</v>
      </c>
      <c r="H336" s="50" t="s">
        <v>2200</v>
      </c>
      <c r="I336" s="50" t="s">
        <v>2200</v>
      </c>
      <c r="J336" s="104" t="s">
        <v>2303</v>
      </c>
      <c r="K336" s="10">
        <v>46032</v>
      </c>
      <c r="L336" s="29" t="s">
        <v>20</v>
      </c>
      <c r="M336" s="56"/>
    </row>
    <row r="337" spans="1:13" ht="31.5">
      <c r="A337" s="5">
        <v>336</v>
      </c>
      <c r="B337" s="29" t="s">
        <v>311</v>
      </c>
      <c r="C337" s="31" t="s">
        <v>2173</v>
      </c>
      <c r="D337" s="29" t="s">
        <v>1786</v>
      </c>
      <c r="E337" s="29" t="s">
        <v>1956</v>
      </c>
      <c r="F337" s="8" t="s">
        <v>2302</v>
      </c>
      <c r="G337" s="29" t="s">
        <v>1957</v>
      </c>
      <c r="H337" s="50" t="s">
        <v>2200</v>
      </c>
      <c r="I337" s="50" t="s">
        <v>2200</v>
      </c>
      <c r="J337" s="104" t="s">
        <v>2303</v>
      </c>
      <c r="K337" s="10">
        <v>46032</v>
      </c>
      <c r="L337" s="29" t="s">
        <v>20</v>
      </c>
      <c r="M337" s="56"/>
    </row>
    <row r="338" spans="1:13" ht="31.5">
      <c r="A338" s="5">
        <v>337</v>
      </c>
      <c r="B338" s="29" t="s">
        <v>657</v>
      </c>
      <c r="C338" s="31" t="s">
        <v>2173</v>
      </c>
      <c r="D338" s="29" t="s">
        <v>661</v>
      </c>
      <c r="E338" s="29" t="s">
        <v>662</v>
      </c>
      <c r="F338" s="8" t="s">
        <v>2302</v>
      </c>
      <c r="G338" s="29" t="s">
        <v>645</v>
      </c>
      <c r="H338" s="50" t="s">
        <v>2200</v>
      </c>
      <c r="I338" s="50" t="s">
        <v>2200</v>
      </c>
      <c r="J338" s="104" t="s">
        <v>2303</v>
      </c>
      <c r="K338" s="10">
        <v>46032</v>
      </c>
      <c r="L338" s="29" t="s">
        <v>660</v>
      </c>
      <c r="M338" s="56"/>
    </row>
    <row r="339" spans="1:13" ht="31.5">
      <c r="A339" s="5">
        <v>338</v>
      </c>
      <c r="B339" s="29" t="s">
        <v>311</v>
      </c>
      <c r="C339" s="31" t="s">
        <v>2173</v>
      </c>
      <c r="D339" s="29" t="s">
        <v>651</v>
      </c>
      <c r="E339" s="29" t="s">
        <v>652</v>
      </c>
      <c r="F339" s="8" t="s">
        <v>2302</v>
      </c>
      <c r="G339" s="29" t="s">
        <v>636</v>
      </c>
      <c r="H339" s="50" t="s">
        <v>2200</v>
      </c>
      <c r="I339" s="50" t="s">
        <v>2200</v>
      </c>
      <c r="J339" s="104" t="s">
        <v>2303</v>
      </c>
      <c r="K339" s="10">
        <v>46032</v>
      </c>
      <c r="L339" s="29" t="s">
        <v>20</v>
      </c>
      <c r="M339" s="56"/>
    </row>
    <row r="340" spans="1:13" ht="31.5">
      <c r="A340" s="5">
        <v>339</v>
      </c>
      <c r="B340" s="29" t="s">
        <v>311</v>
      </c>
      <c r="C340" s="31" t="s">
        <v>2173</v>
      </c>
      <c r="D340" s="29" t="s">
        <v>1818</v>
      </c>
      <c r="E340" s="29" t="s">
        <v>1958</v>
      </c>
      <c r="F340" s="8" t="s">
        <v>2302</v>
      </c>
      <c r="G340" s="29" t="s">
        <v>656</v>
      </c>
      <c r="H340" s="50" t="s">
        <v>2200</v>
      </c>
      <c r="I340" s="50" t="s">
        <v>2200</v>
      </c>
      <c r="J340" s="104" t="s">
        <v>2303</v>
      </c>
      <c r="K340" s="10">
        <v>46032</v>
      </c>
      <c r="L340" s="29" t="s">
        <v>20</v>
      </c>
      <c r="M340" s="56"/>
    </row>
    <row r="341" spans="1:13" ht="31.5">
      <c r="A341" s="5">
        <v>340</v>
      </c>
      <c r="B341" s="29" t="s">
        <v>653</v>
      </c>
      <c r="C341" s="31" t="s">
        <v>2173</v>
      </c>
      <c r="D341" s="29" t="s">
        <v>654</v>
      </c>
      <c r="E341" s="29" t="s">
        <v>655</v>
      </c>
      <c r="F341" s="8" t="s">
        <v>2302</v>
      </c>
      <c r="G341" s="29" t="s">
        <v>656</v>
      </c>
      <c r="H341" s="50" t="s">
        <v>2200</v>
      </c>
      <c r="I341" s="50" t="s">
        <v>2200</v>
      </c>
      <c r="J341" s="104" t="s">
        <v>2303</v>
      </c>
      <c r="K341" s="10">
        <v>46032</v>
      </c>
      <c r="L341" s="29" t="s">
        <v>20</v>
      </c>
      <c r="M341" s="56"/>
    </row>
    <row r="342" spans="1:13" ht="31.5">
      <c r="A342" s="5">
        <v>341</v>
      </c>
      <c r="B342" s="29" t="s">
        <v>657</v>
      </c>
      <c r="C342" s="31" t="s">
        <v>2246</v>
      </c>
      <c r="D342" s="29" t="s">
        <v>1819</v>
      </c>
      <c r="E342" s="29" t="s">
        <v>1959</v>
      </c>
      <c r="F342" s="8" t="s">
        <v>2317</v>
      </c>
      <c r="G342" s="29" t="s">
        <v>1960</v>
      </c>
      <c r="H342" s="50" t="s">
        <v>2200</v>
      </c>
      <c r="I342" s="50" t="s">
        <v>2200</v>
      </c>
      <c r="J342" s="104" t="s">
        <v>2303</v>
      </c>
      <c r="K342" s="10">
        <v>46032</v>
      </c>
      <c r="L342" s="29" t="s">
        <v>660</v>
      </c>
      <c r="M342" s="56"/>
    </row>
    <row r="343" spans="1:13" ht="31.5">
      <c r="A343" s="5">
        <v>342</v>
      </c>
      <c r="B343" s="29" t="s">
        <v>657</v>
      </c>
      <c r="C343" s="31" t="s">
        <v>2246</v>
      </c>
      <c r="D343" s="29" t="s">
        <v>658</v>
      </c>
      <c r="E343" s="29" t="s">
        <v>659</v>
      </c>
      <c r="F343" s="8" t="s">
        <v>2302</v>
      </c>
      <c r="G343" s="29" t="s">
        <v>1961</v>
      </c>
      <c r="H343" s="50" t="s">
        <v>2200</v>
      </c>
      <c r="I343" s="50" t="s">
        <v>2200</v>
      </c>
      <c r="J343" s="104" t="s">
        <v>2303</v>
      </c>
      <c r="K343" s="10">
        <v>46032</v>
      </c>
      <c r="L343" s="29" t="s">
        <v>660</v>
      </c>
      <c r="M343" s="56"/>
    </row>
    <row r="344" spans="1:13" ht="31.5">
      <c r="A344" s="5">
        <v>343</v>
      </c>
      <c r="B344" s="29" t="s">
        <v>311</v>
      </c>
      <c r="C344" s="31" t="s">
        <v>2174</v>
      </c>
      <c r="D344" s="29" t="s">
        <v>663</v>
      </c>
      <c r="E344" s="29" t="s">
        <v>664</v>
      </c>
      <c r="F344" s="8" t="s">
        <v>2302</v>
      </c>
      <c r="G344" s="29" t="s">
        <v>665</v>
      </c>
      <c r="H344" s="50" t="s">
        <v>2200</v>
      </c>
      <c r="I344" s="50" t="s">
        <v>2200</v>
      </c>
      <c r="J344" s="104" t="s">
        <v>2303</v>
      </c>
      <c r="K344" s="10">
        <v>46032</v>
      </c>
      <c r="L344" s="29" t="s">
        <v>25</v>
      </c>
      <c r="M344" s="56"/>
    </row>
    <row r="345" spans="1:13" ht="31.5">
      <c r="A345" s="5">
        <v>344</v>
      </c>
      <c r="B345" s="29" t="s">
        <v>311</v>
      </c>
      <c r="C345" s="31" t="s">
        <v>2174</v>
      </c>
      <c r="D345" s="29" t="s">
        <v>666</v>
      </c>
      <c r="E345" s="29" t="s">
        <v>667</v>
      </c>
      <c r="F345" s="8" t="s">
        <v>2302</v>
      </c>
      <c r="G345" s="29" t="s">
        <v>668</v>
      </c>
      <c r="H345" s="50" t="s">
        <v>2200</v>
      </c>
      <c r="I345" s="50" t="s">
        <v>2200</v>
      </c>
      <c r="J345" s="104" t="s">
        <v>2303</v>
      </c>
      <c r="K345" s="10">
        <v>46032</v>
      </c>
      <c r="L345" s="29" t="s">
        <v>25</v>
      </c>
      <c r="M345" s="56"/>
    </row>
    <row r="346" spans="1:13" ht="31.5">
      <c r="A346" s="5">
        <v>345</v>
      </c>
      <c r="B346" s="29" t="s">
        <v>311</v>
      </c>
      <c r="C346" s="31" t="s">
        <v>2174</v>
      </c>
      <c r="D346" s="29" t="s">
        <v>669</v>
      </c>
      <c r="E346" s="29" t="s">
        <v>670</v>
      </c>
      <c r="F346" s="8" t="s">
        <v>2302</v>
      </c>
      <c r="G346" s="29" t="s">
        <v>671</v>
      </c>
      <c r="H346" s="50" t="s">
        <v>2200</v>
      </c>
      <c r="I346" s="50" t="s">
        <v>2200</v>
      </c>
      <c r="J346" s="104" t="s">
        <v>2303</v>
      </c>
      <c r="K346" s="10">
        <v>46032</v>
      </c>
      <c r="L346" s="29" t="s">
        <v>25</v>
      </c>
      <c r="M346" s="56"/>
    </row>
    <row r="347" spans="1:13" ht="31.5">
      <c r="A347" s="5">
        <v>346</v>
      </c>
      <c r="B347" s="29" t="s">
        <v>657</v>
      </c>
      <c r="C347" s="31" t="s">
        <v>2247</v>
      </c>
      <c r="D347" s="35" t="s">
        <v>672</v>
      </c>
      <c r="E347" s="29" t="s">
        <v>673</v>
      </c>
      <c r="F347" s="8" t="s">
        <v>2302</v>
      </c>
      <c r="G347" s="29" t="s">
        <v>674</v>
      </c>
      <c r="H347" s="50" t="s">
        <v>2200</v>
      </c>
      <c r="I347" s="50" t="s">
        <v>2200</v>
      </c>
      <c r="J347" s="104" t="s">
        <v>2303</v>
      </c>
      <c r="K347" s="10">
        <v>46032</v>
      </c>
      <c r="L347" s="29" t="s">
        <v>660</v>
      </c>
      <c r="M347" s="56"/>
    </row>
    <row r="348" spans="1:13" ht="31.5">
      <c r="A348" s="5">
        <v>347</v>
      </c>
      <c r="B348" s="29" t="s">
        <v>311</v>
      </c>
      <c r="C348" s="31" t="s">
        <v>2175</v>
      </c>
      <c r="D348" s="29" t="s">
        <v>678</v>
      </c>
      <c r="E348" s="29" t="s">
        <v>679</v>
      </c>
      <c r="F348" s="8" t="s">
        <v>2302</v>
      </c>
      <c r="G348" s="29" t="s">
        <v>680</v>
      </c>
      <c r="H348" s="50" t="s">
        <v>2200</v>
      </c>
      <c r="I348" s="50" t="s">
        <v>2200</v>
      </c>
      <c r="J348" s="104" t="s">
        <v>2303</v>
      </c>
      <c r="K348" s="10">
        <v>46032</v>
      </c>
      <c r="L348" s="29" t="s">
        <v>20</v>
      </c>
      <c r="M348" s="56"/>
    </row>
    <row r="349" spans="1:13" ht="31.5">
      <c r="A349" s="5">
        <v>348</v>
      </c>
      <c r="B349" s="29" t="s">
        <v>311</v>
      </c>
      <c r="C349" s="31" t="s">
        <v>2175</v>
      </c>
      <c r="D349" s="29" t="s">
        <v>681</v>
      </c>
      <c r="E349" s="29" t="s">
        <v>682</v>
      </c>
      <c r="F349" s="8" t="s">
        <v>2302</v>
      </c>
      <c r="G349" s="29" t="s">
        <v>683</v>
      </c>
      <c r="H349" s="50" t="s">
        <v>2200</v>
      </c>
      <c r="I349" s="50" t="s">
        <v>2200</v>
      </c>
      <c r="J349" s="104" t="s">
        <v>2303</v>
      </c>
      <c r="K349" s="10">
        <v>46032</v>
      </c>
      <c r="L349" s="29" t="s">
        <v>20</v>
      </c>
      <c r="M349" s="56"/>
    </row>
    <row r="350" spans="1:13" ht="31.5">
      <c r="A350" s="5">
        <v>349</v>
      </c>
      <c r="B350" s="29" t="s">
        <v>311</v>
      </c>
      <c r="C350" s="31" t="s">
        <v>2175</v>
      </c>
      <c r="D350" s="29" t="s">
        <v>684</v>
      </c>
      <c r="E350" s="29" t="s">
        <v>685</v>
      </c>
      <c r="F350" s="8" t="s">
        <v>2302</v>
      </c>
      <c r="G350" s="29" t="s">
        <v>686</v>
      </c>
      <c r="H350" s="50" t="s">
        <v>2200</v>
      </c>
      <c r="I350" s="50" t="s">
        <v>2200</v>
      </c>
      <c r="J350" s="104" t="s">
        <v>2303</v>
      </c>
      <c r="K350" s="10">
        <v>46032</v>
      </c>
      <c r="L350" s="29" t="s">
        <v>20</v>
      </c>
      <c r="M350" s="56"/>
    </row>
    <row r="351" spans="1:13" ht="31.5">
      <c r="A351" s="5">
        <v>350</v>
      </c>
      <c r="B351" s="29" t="s">
        <v>311</v>
      </c>
      <c r="C351" s="31" t="s">
        <v>2175</v>
      </c>
      <c r="D351" s="29" t="s">
        <v>687</v>
      </c>
      <c r="E351" s="29" t="s">
        <v>688</v>
      </c>
      <c r="F351" s="8" t="s">
        <v>2302</v>
      </c>
      <c r="G351" s="29" t="s">
        <v>1962</v>
      </c>
      <c r="H351" s="50" t="s">
        <v>2200</v>
      </c>
      <c r="I351" s="50" t="s">
        <v>2200</v>
      </c>
      <c r="J351" s="104" t="s">
        <v>2303</v>
      </c>
      <c r="K351" s="10">
        <v>46032</v>
      </c>
      <c r="L351" s="29" t="s">
        <v>20</v>
      </c>
      <c r="M351" s="56"/>
    </row>
    <row r="352" spans="1:13" ht="31.5">
      <c r="A352" s="5">
        <v>351</v>
      </c>
      <c r="B352" s="29" t="s">
        <v>311</v>
      </c>
      <c r="C352" s="31" t="s">
        <v>2175</v>
      </c>
      <c r="D352" s="29" t="s">
        <v>689</v>
      </c>
      <c r="E352" s="29" t="s">
        <v>690</v>
      </c>
      <c r="F352" s="8" t="s">
        <v>2302</v>
      </c>
      <c r="G352" s="29" t="s">
        <v>1963</v>
      </c>
      <c r="H352" s="50" t="s">
        <v>2200</v>
      </c>
      <c r="I352" s="50" t="s">
        <v>2200</v>
      </c>
      <c r="J352" s="104" t="s">
        <v>2303</v>
      </c>
      <c r="K352" s="10">
        <v>46032</v>
      </c>
      <c r="L352" s="29" t="s">
        <v>20</v>
      </c>
      <c r="M352" s="56"/>
    </row>
    <row r="353" spans="1:13" ht="31.5">
      <c r="A353" s="5">
        <v>352</v>
      </c>
      <c r="B353" s="29" t="s">
        <v>657</v>
      </c>
      <c r="C353" s="31" t="s">
        <v>2248</v>
      </c>
      <c r="D353" s="29" t="s">
        <v>691</v>
      </c>
      <c r="E353" s="29" t="s">
        <v>692</v>
      </c>
      <c r="F353" s="8" t="s">
        <v>2302</v>
      </c>
      <c r="G353" s="29" t="s">
        <v>1964</v>
      </c>
      <c r="H353" s="50" t="s">
        <v>2200</v>
      </c>
      <c r="I353" s="50" t="s">
        <v>2200</v>
      </c>
      <c r="J353" s="104" t="s">
        <v>2303</v>
      </c>
      <c r="K353" s="10">
        <v>46032</v>
      </c>
      <c r="L353" s="29" t="s">
        <v>660</v>
      </c>
      <c r="M353" s="56"/>
    </row>
    <row r="354" spans="1:13" ht="31.5">
      <c r="A354" s="5">
        <v>353</v>
      </c>
      <c r="B354" s="29" t="s">
        <v>311</v>
      </c>
      <c r="C354" s="31" t="s">
        <v>2175</v>
      </c>
      <c r="D354" s="29" t="s">
        <v>1713</v>
      </c>
      <c r="E354" s="29" t="s">
        <v>18</v>
      </c>
      <c r="F354" s="8" t="s">
        <v>2302</v>
      </c>
      <c r="G354" s="29" t="s">
        <v>677</v>
      </c>
      <c r="H354" s="50" t="s">
        <v>2200</v>
      </c>
      <c r="I354" s="50" t="s">
        <v>2200</v>
      </c>
      <c r="J354" s="104" t="s">
        <v>2303</v>
      </c>
      <c r="K354" s="10">
        <v>46032</v>
      </c>
      <c r="L354" s="29" t="s">
        <v>20</v>
      </c>
      <c r="M354" s="56"/>
    </row>
    <row r="355" spans="1:13" ht="31.5">
      <c r="A355" s="5">
        <v>354</v>
      </c>
      <c r="B355" s="29" t="s">
        <v>311</v>
      </c>
      <c r="C355" s="31" t="s">
        <v>2176</v>
      </c>
      <c r="D355" s="29" t="s">
        <v>717</v>
      </c>
      <c r="E355" s="29" t="s">
        <v>718</v>
      </c>
      <c r="F355" s="8" t="s">
        <v>2302</v>
      </c>
      <c r="G355" s="29" t="s">
        <v>701</v>
      </c>
      <c r="H355" s="50" t="s">
        <v>2200</v>
      </c>
      <c r="I355" s="50" t="s">
        <v>2200</v>
      </c>
      <c r="J355" s="104" t="s">
        <v>2303</v>
      </c>
      <c r="K355" s="10">
        <v>46032</v>
      </c>
      <c r="L355" s="29" t="s">
        <v>25</v>
      </c>
      <c r="M355" s="56"/>
    </row>
    <row r="356" spans="1:13" ht="31.5">
      <c r="A356" s="5">
        <v>355</v>
      </c>
      <c r="B356" s="29" t="s">
        <v>311</v>
      </c>
      <c r="C356" s="31" t="s">
        <v>2176</v>
      </c>
      <c r="D356" s="29" t="s">
        <v>693</v>
      </c>
      <c r="E356" s="29" t="s">
        <v>694</v>
      </c>
      <c r="F356" s="8" t="s">
        <v>2302</v>
      </c>
      <c r="G356" s="29" t="s">
        <v>695</v>
      </c>
      <c r="H356" s="50" t="s">
        <v>2200</v>
      </c>
      <c r="I356" s="50" t="s">
        <v>2200</v>
      </c>
      <c r="J356" s="104" t="s">
        <v>2303</v>
      </c>
      <c r="K356" s="10">
        <v>46032</v>
      </c>
      <c r="L356" s="29" t="s">
        <v>25</v>
      </c>
      <c r="M356" s="56"/>
    </row>
    <row r="357" spans="1:13" ht="31.5">
      <c r="A357" s="5">
        <v>356</v>
      </c>
      <c r="B357" s="29" t="s">
        <v>311</v>
      </c>
      <c r="C357" s="31" t="s">
        <v>2176</v>
      </c>
      <c r="D357" s="29" t="s">
        <v>696</v>
      </c>
      <c r="E357" s="29" t="s">
        <v>697</v>
      </c>
      <c r="F357" s="8" t="s">
        <v>2302</v>
      </c>
      <c r="G357" s="29" t="s">
        <v>698</v>
      </c>
      <c r="H357" s="50" t="s">
        <v>2200</v>
      </c>
      <c r="I357" s="50" t="s">
        <v>2200</v>
      </c>
      <c r="J357" s="104" t="s">
        <v>2303</v>
      </c>
      <c r="K357" s="10">
        <v>46032</v>
      </c>
      <c r="L357" s="29" t="s">
        <v>25</v>
      </c>
      <c r="M357" s="56"/>
    </row>
    <row r="358" spans="1:13" ht="31.5">
      <c r="A358" s="5">
        <v>357</v>
      </c>
      <c r="B358" s="29" t="s">
        <v>311</v>
      </c>
      <c r="C358" s="31" t="s">
        <v>2176</v>
      </c>
      <c r="D358" s="29" t="s">
        <v>699</v>
      </c>
      <c r="E358" s="29" t="s">
        <v>700</v>
      </c>
      <c r="F358" s="8" t="s">
        <v>2302</v>
      </c>
      <c r="G358" s="29" t="s">
        <v>1965</v>
      </c>
      <c r="H358" s="50" t="s">
        <v>2200</v>
      </c>
      <c r="I358" s="50" t="s">
        <v>2200</v>
      </c>
      <c r="J358" s="104" t="s">
        <v>2303</v>
      </c>
      <c r="K358" s="10">
        <v>46032</v>
      </c>
      <c r="L358" s="29" t="s">
        <v>25</v>
      </c>
      <c r="M358" s="56"/>
    </row>
    <row r="359" spans="1:13" ht="31.5">
      <c r="A359" s="5">
        <v>358</v>
      </c>
      <c r="B359" s="29" t="s">
        <v>311</v>
      </c>
      <c r="C359" s="31" t="s">
        <v>2176</v>
      </c>
      <c r="D359" s="29" t="s">
        <v>702</v>
      </c>
      <c r="E359" s="29" t="s">
        <v>703</v>
      </c>
      <c r="F359" s="8" t="s">
        <v>2302</v>
      </c>
      <c r="G359" s="29" t="s">
        <v>704</v>
      </c>
      <c r="H359" s="50" t="s">
        <v>2200</v>
      </c>
      <c r="I359" s="50" t="s">
        <v>2200</v>
      </c>
      <c r="J359" s="104" t="s">
        <v>2303</v>
      </c>
      <c r="K359" s="10">
        <v>46032</v>
      </c>
      <c r="L359" s="29" t="s">
        <v>25</v>
      </c>
      <c r="M359" s="56"/>
    </row>
    <row r="360" spans="1:13" ht="31.5">
      <c r="A360" s="5">
        <v>359</v>
      </c>
      <c r="B360" s="29" t="s">
        <v>311</v>
      </c>
      <c r="C360" s="31" t="s">
        <v>2176</v>
      </c>
      <c r="D360" s="29" t="s">
        <v>705</v>
      </c>
      <c r="E360" s="29" t="s">
        <v>706</v>
      </c>
      <c r="F360" s="8" t="s">
        <v>2302</v>
      </c>
      <c r="G360" s="29" t="s">
        <v>707</v>
      </c>
      <c r="H360" s="50" t="s">
        <v>2200</v>
      </c>
      <c r="I360" s="50" t="s">
        <v>2200</v>
      </c>
      <c r="J360" s="104" t="s">
        <v>2303</v>
      </c>
      <c r="K360" s="10">
        <v>46032</v>
      </c>
      <c r="L360" s="29" t="s">
        <v>25</v>
      </c>
      <c r="M360" s="56"/>
    </row>
    <row r="361" spans="1:13" ht="31.5">
      <c r="A361" s="5">
        <v>360</v>
      </c>
      <c r="B361" s="29" t="s">
        <v>311</v>
      </c>
      <c r="C361" s="31" t="s">
        <v>2176</v>
      </c>
      <c r="D361" s="29" t="s">
        <v>708</v>
      </c>
      <c r="E361" s="29" t="s">
        <v>709</v>
      </c>
      <c r="F361" s="8" t="s">
        <v>2302</v>
      </c>
      <c r="G361" s="29" t="s">
        <v>710</v>
      </c>
      <c r="H361" s="50" t="s">
        <v>2200</v>
      </c>
      <c r="I361" s="50" t="s">
        <v>2200</v>
      </c>
      <c r="J361" s="104" t="s">
        <v>2303</v>
      </c>
      <c r="K361" s="10">
        <v>46032</v>
      </c>
      <c r="L361" s="29" t="s">
        <v>25</v>
      </c>
      <c r="M361" s="56"/>
    </row>
    <row r="362" spans="1:13" ht="31.5">
      <c r="A362" s="5">
        <v>361</v>
      </c>
      <c r="B362" s="29" t="s">
        <v>311</v>
      </c>
      <c r="C362" s="31" t="s">
        <v>2176</v>
      </c>
      <c r="D362" s="29" t="s">
        <v>711</v>
      </c>
      <c r="E362" s="29" t="s">
        <v>712</v>
      </c>
      <c r="F362" s="8" t="s">
        <v>2302</v>
      </c>
      <c r="G362" s="29" t="s">
        <v>713</v>
      </c>
      <c r="H362" s="50" t="s">
        <v>2200</v>
      </c>
      <c r="I362" s="50" t="s">
        <v>2200</v>
      </c>
      <c r="J362" s="104" t="s">
        <v>2303</v>
      </c>
      <c r="K362" s="10">
        <v>46032</v>
      </c>
      <c r="L362" s="29" t="s">
        <v>25</v>
      </c>
      <c r="M362" s="56"/>
    </row>
    <row r="363" spans="1:13" ht="31.5">
      <c r="A363" s="5">
        <v>362</v>
      </c>
      <c r="B363" s="29" t="s">
        <v>311</v>
      </c>
      <c r="C363" s="31" t="s">
        <v>2176</v>
      </c>
      <c r="D363" s="29" t="s">
        <v>714</v>
      </c>
      <c r="E363" s="29" t="s">
        <v>715</v>
      </c>
      <c r="F363" s="8" t="s">
        <v>2302</v>
      </c>
      <c r="G363" s="29" t="s">
        <v>716</v>
      </c>
      <c r="H363" s="50" t="s">
        <v>2200</v>
      </c>
      <c r="I363" s="50" t="s">
        <v>2200</v>
      </c>
      <c r="J363" s="104" t="s">
        <v>2303</v>
      </c>
      <c r="K363" s="10">
        <v>46032</v>
      </c>
      <c r="L363" s="29" t="s">
        <v>25</v>
      </c>
      <c r="M363" s="56"/>
    </row>
    <row r="364" spans="1:13" ht="31.5">
      <c r="A364" s="5">
        <v>363</v>
      </c>
      <c r="B364" s="29" t="s">
        <v>311</v>
      </c>
      <c r="C364" s="31" t="s">
        <v>2176</v>
      </c>
      <c r="D364" s="29" t="s">
        <v>1826</v>
      </c>
      <c r="E364" s="29" t="s">
        <v>1966</v>
      </c>
      <c r="F364" s="8" t="s">
        <v>2302</v>
      </c>
      <c r="G364" s="29" t="s">
        <v>701</v>
      </c>
      <c r="H364" s="50" t="s">
        <v>2200</v>
      </c>
      <c r="I364" s="50" t="s">
        <v>2200</v>
      </c>
      <c r="J364" s="104" t="s">
        <v>2303</v>
      </c>
      <c r="K364" s="10">
        <v>46032</v>
      </c>
      <c r="L364" s="29" t="s">
        <v>25</v>
      </c>
      <c r="M364" s="56"/>
    </row>
    <row r="365" spans="1:13" ht="31.5">
      <c r="A365" s="5">
        <v>364</v>
      </c>
      <c r="B365" s="29" t="s">
        <v>311</v>
      </c>
      <c r="C365" s="31" t="s">
        <v>2176</v>
      </c>
      <c r="D365" s="29" t="s">
        <v>719</v>
      </c>
      <c r="E365" s="29" t="s">
        <v>18</v>
      </c>
      <c r="F365" s="8" t="s">
        <v>2302</v>
      </c>
      <c r="G365" s="29" t="s">
        <v>1967</v>
      </c>
      <c r="H365" s="50" t="s">
        <v>2200</v>
      </c>
      <c r="I365" s="50" t="s">
        <v>2200</v>
      </c>
      <c r="J365" s="104" t="s">
        <v>2303</v>
      </c>
      <c r="K365" s="10">
        <v>46032</v>
      </c>
      <c r="L365" s="29" t="s">
        <v>25</v>
      </c>
      <c r="M365" s="56"/>
    </row>
    <row r="366" spans="1:13" ht="31.5">
      <c r="A366" s="5">
        <v>365</v>
      </c>
      <c r="B366" s="29" t="s">
        <v>311</v>
      </c>
      <c r="C366" s="31" t="s">
        <v>2177</v>
      </c>
      <c r="D366" s="29" t="s">
        <v>720</v>
      </c>
      <c r="E366" s="29" t="s">
        <v>721</v>
      </c>
      <c r="F366" s="8" t="s">
        <v>2302</v>
      </c>
      <c r="G366" s="29" t="s">
        <v>722</v>
      </c>
      <c r="H366" s="50" t="s">
        <v>2200</v>
      </c>
      <c r="I366" s="50" t="s">
        <v>2200</v>
      </c>
      <c r="J366" s="104" t="s">
        <v>2303</v>
      </c>
      <c r="K366" s="10">
        <v>46032</v>
      </c>
      <c r="L366" s="29" t="s">
        <v>25</v>
      </c>
      <c r="M366" s="56"/>
    </row>
    <row r="367" spans="1:13" ht="31.5">
      <c r="A367" s="5">
        <v>366</v>
      </c>
      <c r="B367" s="29" t="s">
        <v>311</v>
      </c>
      <c r="C367" s="31" t="s">
        <v>2177</v>
      </c>
      <c r="D367" s="29" t="s">
        <v>723</v>
      </c>
      <c r="E367" s="29" t="s">
        <v>724</v>
      </c>
      <c r="F367" s="8" t="s">
        <v>2302</v>
      </c>
      <c r="G367" s="29" t="s">
        <v>1968</v>
      </c>
      <c r="H367" s="50" t="s">
        <v>2200</v>
      </c>
      <c r="I367" s="50" t="s">
        <v>2200</v>
      </c>
      <c r="J367" s="104" t="s">
        <v>2303</v>
      </c>
      <c r="K367" s="10">
        <v>46032</v>
      </c>
      <c r="L367" s="29" t="s">
        <v>25</v>
      </c>
      <c r="M367" s="5"/>
    </row>
    <row r="368" spans="1:13" ht="31.5">
      <c r="A368" s="5">
        <v>367</v>
      </c>
      <c r="B368" s="29" t="s">
        <v>311</v>
      </c>
      <c r="C368" s="31" t="s">
        <v>2177</v>
      </c>
      <c r="D368" s="29" t="s">
        <v>727</v>
      </c>
      <c r="E368" s="29" t="s">
        <v>18</v>
      </c>
      <c r="F368" s="8" t="s">
        <v>2302</v>
      </c>
      <c r="G368" s="29" t="s">
        <v>728</v>
      </c>
      <c r="H368" s="50" t="s">
        <v>2200</v>
      </c>
      <c r="I368" s="50" t="s">
        <v>2200</v>
      </c>
      <c r="J368" s="104" t="s">
        <v>2303</v>
      </c>
      <c r="K368" s="10">
        <v>46032</v>
      </c>
      <c r="L368" s="29" t="s">
        <v>25</v>
      </c>
      <c r="M368" s="56"/>
    </row>
    <row r="369" spans="1:13" ht="31.5">
      <c r="A369" s="5">
        <v>368</v>
      </c>
      <c r="B369" s="29" t="s">
        <v>311</v>
      </c>
      <c r="C369" s="31" t="s">
        <v>2177</v>
      </c>
      <c r="D369" s="29" t="s">
        <v>725</v>
      </c>
      <c r="E369" s="29" t="s">
        <v>18</v>
      </c>
      <c r="F369" s="8" t="s">
        <v>2302</v>
      </c>
      <c r="G369" s="29" t="s">
        <v>726</v>
      </c>
      <c r="H369" s="50" t="s">
        <v>2200</v>
      </c>
      <c r="I369" s="50" t="s">
        <v>2200</v>
      </c>
      <c r="J369" s="104" t="s">
        <v>2303</v>
      </c>
      <c r="K369" s="10">
        <v>46032</v>
      </c>
      <c r="L369" s="29" t="s">
        <v>25</v>
      </c>
      <c r="M369" s="56"/>
    </row>
    <row r="370" spans="1:13" ht="31.5">
      <c r="A370" s="5">
        <v>369</v>
      </c>
      <c r="B370" s="29" t="s">
        <v>730</v>
      </c>
      <c r="C370" s="29" t="s">
        <v>731</v>
      </c>
      <c r="D370" s="29" t="s">
        <v>1763</v>
      </c>
      <c r="E370" s="29" t="s">
        <v>1969</v>
      </c>
      <c r="F370" s="8" t="s">
        <v>2302</v>
      </c>
      <c r="G370" s="29" t="s">
        <v>1970</v>
      </c>
      <c r="H370" s="50" t="s">
        <v>2200</v>
      </c>
      <c r="I370" s="50" t="s">
        <v>2200</v>
      </c>
      <c r="J370" s="104" t="s">
        <v>2303</v>
      </c>
      <c r="K370" s="10">
        <v>46032</v>
      </c>
      <c r="L370" s="29" t="s">
        <v>22</v>
      </c>
      <c r="M370" s="56"/>
    </row>
    <row r="371" spans="1:13" ht="31.5">
      <c r="A371" s="5">
        <v>370</v>
      </c>
      <c r="B371" s="29" t="s">
        <v>730</v>
      </c>
      <c r="C371" s="29" t="s">
        <v>731</v>
      </c>
      <c r="D371" s="29" t="s">
        <v>732</v>
      </c>
      <c r="E371" s="29" t="s">
        <v>733</v>
      </c>
      <c r="F371" s="8" t="s">
        <v>2302</v>
      </c>
      <c r="G371" s="29" t="s">
        <v>734</v>
      </c>
      <c r="H371" s="50" t="s">
        <v>2200</v>
      </c>
      <c r="I371" s="50" t="s">
        <v>2200</v>
      </c>
      <c r="J371" s="104" t="s">
        <v>2303</v>
      </c>
      <c r="K371" s="10">
        <v>46032</v>
      </c>
      <c r="L371" s="29" t="s">
        <v>22</v>
      </c>
      <c r="M371" s="56"/>
    </row>
    <row r="372" spans="1:13" ht="31.5">
      <c r="A372" s="5">
        <v>371</v>
      </c>
      <c r="B372" s="29" t="s">
        <v>730</v>
      </c>
      <c r="C372" s="29" t="s">
        <v>731</v>
      </c>
      <c r="D372" s="29" t="s">
        <v>735</v>
      </c>
      <c r="E372" s="29" t="s">
        <v>736</v>
      </c>
      <c r="F372" s="8" t="s">
        <v>2302</v>
      </c>
      <c r="G372" s="29" t="s">
        <v>737</v>
      </c>
      <c r="H372" s="50" t="s">
        <v>2200</v>
      </c>
      <c r="I372" s="50" t="s">
        <v>2200</v>
      </c>
      <c r="J372" s="104" t="s">
        <v>2303</v>
      </c>
      <c r="K372" s="10">
        <v>46032</v>
      </c>
      <c r="L372" s="29" t="s">
        <v>22</v>
      </c>
      <c r="M372" s="5"/>
    </row>
    <row r="373" spans="1:13" ht="31.5">
      <c r="A373" s="5">
        <v>372</v>
      </c>
      <c r="B373" s="29" t="s">
        <v>730</v>
      </c>
      <c r="C373" s="29" t="s">
        <v>731</v>
      </c>
      <c r="D373" s="29" t="s">
        <v>738</v>
      </c>
      <c r="E373" s="29" t="s">
        <v>739</v>
      </c>
      <c r="F373" s="8" t="s">
        <v>2302</v>
      </c>
      <c r="G373" s="29" t="s">
        <v>740</v>
      </c>
      <c r="H373" s="50" t="s">
        <v>2200</v>
      </c>
      <c r="I373" s="50" t="s">
        <v>2200</v>
      </c>
      <c r="J373" s="104" t="s">
        <v>2303</v>
      </c>
      <c r="K373" s="10">
        <v>46032</v>
      </c>
      <c r="L373" s="29" t="s">
        <v>22</v>
      </c>
      <c r="M373" s="5"/>
    </row>
    <row r="374" spans="1:13" ht="31.5">
      <c r="A374" s="5">
        <v>373</v>
      </c>
      <c r="B374" s="29" t="s">
        <v>730</v>
      </c>
      <c r="C374" s="29" t="s">
        <v>731</v>
      </c>
      <c r="D374" s="29" t="s">
        <v>741</v>
      </c>
      <c r="E374" s="29" t="s">
        <v>1971</v>
      </c>
      <c r="F374" s="8" t="s">
        <v>2302</v>
      </c>
      <c r="G374" s="29" t="s">
        <v>742</v>
      </c>
      <c r="H374" s="50" t="s">
        <v>2200</v>
      </c>
      <c r="I374" s="50" t="s">
        <v>2200</v>
      </c>
      <c r="J374" s="104" t="s">
        <v>2303</v>
      </c>
      <c r="K374" s="10">
        <v>46032</v>
      </c>
      <c r="L374" s="29" t="s">
        <v>22</v>
      </c>
      <c r="M374" s="56"/>
    </row>
    <row r="375" spans="1:13" ht="31.5">
      <c r="A375" s="5">
        <v>374</v>
      </c>
      <c r="B375" s="29" t="s">
        <v>730</v>
      </c>
      <c r="C375" s="29" t="s">
        <v>731</v>
      </c>
      <c r="D375" s="29" t="s">
        <v>743</v>
      </c>
      <c r="E375" s="29" t="s">
        <v>744</v>
      </c>
      <c r="F375" s="8" t="s">
        <v>2302</v>
      </c>
      <c r="G375" s="29" t="s">
        <v>745</v>
      </c>
      <c r="H375" s="50" t="s">
        <v>2200</v>
      </c>
      <c r="I375" s="50" t="s">
        <v>2200</v>
      </c>
      <c r="J375" s="104" t="s">
        <v>2303</v>
      </c>
      <c r="K375" s="10">
        <v>46032</v>
      </c>
      <c r="L375" s="29" t="s">
        <v>22</v>
      </c>
      <c r="M375" s="56"/>
    </row>
    <row r="376" spans="1:13" ht="31.5">
      <c r="A376" s="5">
        <v>375</v>
      </c>
      <c r="B376" s="29" t="s">
        <v>730</v>
      </c>
      <c r="C376" s="29" t="s">
        <v>731</v>
      </c>
      <c r="D376" s="29" t="s">
        <v>746</v>
      </c>
      <c r="E376" s="29" t="s">
        <v>747</v>
      </c>
      <c r="F376" s="8" t="s">
        <v>2302</v>
      </c>
      <c r="G376" s="29" t="s">
        <v>748</v>
      </c>
      <c r="H376" s="50" t="s">
        <v>2200</v>
      </c>
      <c r="I376" s="50" t="s">
        <v>2200</v>
      </c>
      <c r="J376" s="104" t="s">
        <v>2303</v>
      </c>
      <c r="K376" s="10">
        <v>46032</v>
      </c>
      <c r="L376" s="29" t="s">
        <v>22</v>
      </c>
      <c r="M376" s="5"/>
    </row>
    <row r="377" spans="1:13" ht="31.5">
      <c r="A377" s="5">
        <v>376</v>
      </c>
      <c r="B377" s="29" t="s">
        <v>730</v>
      </c>
      <c r="C377" s="29" t="s">
        <v>731</v>
      </c>
      <c r="D377" s="29" t="s">
        <v>749</v>
      </c>
      <c r="E377" s="29" t="s">
        <v>750</v>
      </c>
      <c r="F377" s="8" t="s">
        <v>2302</v>
      </c>
      <c r="G377" s="29" t="s">
        <v>751</v>
      </c>
      <c r="H377" s="50" t="s">
        <v>2200</v>
      </c>
      <c r="I377" s="50" t="s">
        <v>2200</v>
      </c>
      <c r="J377" s="104" t="s">
        <v>2303</v>
      </c>
      <c r="K377" s="10">
        <v>46032</v>
      </c>
      <c r="L377" s="29" t="s">
        <v>22</v>
      </c>
      <c r="M377" s="56"/>
    </row>
    <row r="378" spans="1:13" ht="31.5">
      <c r="A378" s="5">
        <v>377</v>
      </c>
      <c r="B378" s="29" t="s">
        <v>730</v>
      </c>
      <c r="C378" s="29" t="s">
        <v>731</v>
      </c>
      <c r="D378" s="29" t="s">
        <v>752</v>
      </c>
      <c r="E378" s="29" t="s">
        <v>753</v>
      </c>
      <c r="F378" s="8" t="s">
        <v>2302</v>
      </c>
      <c r="G378" s="29" t="s">
        <v>754</v>
      </c>
      <c r="H378" s="50" t="s">
        <v>2200</v>
      </c>
      <c r="I378" s="50" t="s">
        <v>2200</v>
      </c>
      <c r="J378" s="104" t="s">
        <v>2303</v>
      </c>
      <c r="K378" s="10">
        <v>46032</v>
      </c>
      <c r="L378" s="29" t="s">
        <v>22</v>
      </c>
      <c r="M378" s="56"/>
    </row>
    <row r="379" spans="1:13" ht="31.5">
      <c r="A379" s="5">
        <v>378</v>
      </c>
      <c r="B379" s="29" t="s">
        <v>730</v>
      </c>
      <c r="C379" s="29" t="s">
        <v>731</v>
      </c>
      <c r="D379" s="29" t="s">
        <v>755</v>
      </c>
      <c r="E379" s="29" t="s">
        <v>756</v>
      </c>
      <c r="F379" s="8" t="s">
        <v>2302</v>
      </c>
      <c r="G379" s="29" t="s">
        <v>1972</v>
      </c>
      <c r="H379" s="50" t="s">
        <v>2200</v>
      </c>
      <c r="I379" s="50" t="s">
        <v>2200</v>
      </c>
      <c r="J379" s="104" t="s">
        <v>2303</v>
      </c>
      <c r="K379" s="10">
        <v>46032</v>
      </c>
      <c r="L379" s="29" t="s">
        <v>22</v>
      </c>
      <c r="M379" s="56"/>
    </row>
    <row r="380" spans="1:13" ht="31.5">
      <c r="A380" s="5">
        <v>379</v>
      </c>
      <c r="B380" s="29" t="s">
        <v>730</v>
      </c>
      <c r="C380" s="29" t="s">
        <v>731</v>
      </c>
      <c r="D380" s="29" t="s">
        <v>985</v>
      </c>
      <c r="E380" s="29" t="s">
        <v>986</v>
      </c>
      <c r="F380" s="8" t="s">
        <v>2302</v>
      </c>
      <c r="G380" s="29" t="s">
        <v>987</v>
      </c>
      <c r="H380" s="50" t="s">
        <v>2200</v>
      </c>
      <c r="I380" s="50" t="s">
        <v>2200</v>
      </c>
      <c r="J380" s="104" t="s">
        <v>2303</v>
      </c>
      <c r="K380" s="10">
        <v>46032</v>
      </c>
      <c r="L380" s="29" t="s">
        <v>22</v>
      </c>
      <c r="M380" s="56"/>
    </row>
    <row r="381" spans="1:13" ht="31.5">
      <c r="A381" s="5">
        <v>380</v>
      </c>
      <c r="B381" s="29" t="s">
        <v>730</v>
      </c>
      <c r="C381" s="29" t="s">
        <v>731</v>
      </c>
      <c r="D381" s="29" t="s">
        <v>758</v>
      </c>
      <c r="E381" s="29" t="s">
        <v>759</v>
      </c>
      <c r="F381" s="8" t="s">
        <v>2302</v>
      </c>
      <c r="G381" s="29" t="s">
        <v>760</v>
      </c>
      <c r="H381" s="50" t="s">
        <v>2200</v>
      </c>
      <c r="I381" s="50" t="s">
        <v>2200</v>
      </c>
      <c r="J381" s="104" t="s">
        <v>2303</v>
      </c>
      <c r="K381" s="10">
        <v>46032</v>
      </c>
      <c r="L381" s="29" t="s">
        <v>22</v>
      </c>
      <c r="M381" s="56"/>
    </row>
    <row r="382" spans="1:13" ht="31.5">
      <c r="A382" s="5">
        <v>381</v>
      </c>
      <c r="B382" s="29" t="s">
        <v>730</v>
      </c>
      <c r="C382" s="29" t="s">
        <v>731</v>
      </c>
      <c r="D382" s="29" t="s">
        <v>762</v>
      </c>
      <c r="E382" s="29" t="s">
        <v>763</v>
      </c>
      <c r="F382" s="8" t="s">
        <v>2302</v>
      </c>
      <c r="G382" s="29" t="s">
        <v>764</v>
      </c>
      <c r="H382" s="50" t="s">
        <v>2200</v>
      </c>
      <c r="I382" s="50" t="s">
        <v>2200</v>
      </c>
      <c r="J382" s="104" t="s">
        <v>2303</v>
      </c>
      <c r="K382" s="10">
        <v>46032</v>
      </c>
      <c r="L382" s="29" t="s">
        <v>22</v>
      </c>
      <c r="M382" s="56"/>
    </row>
    <row r="383" spans="1:13" ht="31.5">
      <c r="A383" s="5">
        <v>382</v>
      </c>
      <c r="B383" s="29" t="s">
        <v>730</v>
      </c>
      <c r="C383" s="29" t="s">
        <v>731</v>
      </c>
      <c r="D383" s="29" t="s">
        <v>765</v>
      </c>
      <c r="E383" s="29" t="s">
        <v>766</v>
      </c>
      <c r="F383" s="8" t="s">
        <v>2302</v>
      </c>
      <c r="G383" s="29" t="s">
        <v>767</v>
      </c>
      <c r="H383" s="50" t="s">
        <v>2200</v>
      </c>
      <c r="I383" s="50" t="s">
        <v>2200</v>
      </c>
      <c r="J383" s="104" t="s">
        <v>2303</v>
      </c>
      <c r="K383" s="10">
        <v>46032</v>
      </c>
      <c r="L383" s="29" t="s">
        <v>22</v>
      </c>
      <c r="M383" s="5"/>
    </row>
    <row r="384" spans="1:13" ht="31.5">
      <c r="A384" s="5">
        <v>383</v>
      </c>
      <c r="B384" s="29" t="s">
        <v>730</v>
      </c>
      <c r="C384" s="29" t="s">
        <v>731</v>
      </c>
      <c r="D384" s="29" t="s">
        <v>768</v>
      </c>
      <c r="E384" s="29" t="s">
        <v>769</v>
      </c>
      <c r="F384" s="8" t="s">
        <v>2302</v>
      </c>
      <c r="G384" s="29" t="s">
        <v>770</v>
      </c>
      <c r="H384" s="50" t="s">
        <v>2200</v>
      </c>
      <c r="I384" s="50" t="s">
        <v>2200</v>
      </c>
      <c r="J384" s="104" t="s">
        <v>2303</v>
      </c>
      <c r="K384" s="10">
        <v>46032</v>
      </c>
      <c r="L384" s="29" t="s">
        <v>22</v>
      </c>
      <c r="M384" s="5"/>
    </row>
    <row r="385" spans="1:13" ht="31.5">
      <c r="A385" s="5">
        <v>384</v>
      </c>
      <c r="B385" s="29" t="s">
        <v>730</v>
      </c>
      <c r="C385" s="29" t="s">
        <v>731</v>
      </c>
      <c r="D385" s="29" t="s">
        <v>771</v>
      </c>
      <c r="E385" s="29" t="s">
        <v>772</v>
      </c>
      <c r="F385" s="8" t="s">
        <v>2302</v>
      </c>
      <c r="G385" s="29" t="s">
        <v>773</v>
      </c>
      <c r="H385" s="50" t="s">
        <v>2200</v>
      </c>
      <c r="I385" s="50" t="s">
        <v>2200</v>
      </c>
      <c r="J385" s="104" t="s">
        <v>2303</v>
      </c>
      <c r="K385" s="10">
        <v>46032</v>
      </c>
      <c r="L385" s="29" t="s">
        <v>22</v>
      </c>
      <c r="M385" s="56"/>
    </row>
    <row r="386" spans="1:13" ht="31.5">
      <c r="A386" s="5">
        <v>385</v>
      </c>
      <c r="B386" s="29" t="s">
        <v>730</v>
      </c>
      <c r="C386" s="29" t="s">
        <v>731</v>
      </c>
      <c r="D386" s="29" t="s">
        <v>774</v>
      </c>
      <c r="E386" s="29" t="s">
        <v>775</v>
      </c>
      <c r="F386" s="8" t="s">
        <v>2302</v>
      </c>
      <c r="G386" s="29" t="s">
        <v>776</v>
      </c>
      <c r="H386" s="50" t="s">
        <v>2200</v>
      </c>
      <c r="I386" s="50" t="s">
        <v>2200</v>
      </c>
      <c r="J386" s="104" t="s">
        <v>2303</v>
      </c>
      <c r="K386" s="10">
        <v>46032</v>
      </c>
      <c r="L386" s="29" t="s">
        <v>22</v>
      </c>
      <c r="M386" s="56"/>
    </row>
    <row r="387" spans="1:13" ht="31.5">
      <c r="A387" s="5">
        <v>386</v>
      </c>
      <c r="B387" s="29" t="s">
        <v>730</v>
      </c>
      <c r="C387" s="29" t="s">
        <v>731</v>
      </c>
      <c r="D387" s="29" t="s">
        <v>777</v>
      </c>
      <c r="E387" s="29" t="s">
        <v>778</v>
      </c>
      <c r="F387" s="8" t="s">
        <v>2302</v>
      </c>
      <c r="G387" s="29" t="s">
        <v>779</v>
      </c>
      <c r="H387" s="50" t="s">
        <v>2200</v>
      </c>
      <c r="I387" s="50" t="s">
        <v>2200</v>
      </c>
      <c r="J387" s="104" t="s">
        <v>2303</v>
      </c>
      <c r="K387" s="10">
        <v>46032</v>
      </c>
      <c r="L387" s="29" t="s">
        <v>22</v>
      </c>
      <c r="M387" s="56"/>
    </row>
    <row r="388" spans="1:13" ht="31.5">
      <c r="A388" s="5">
        <v>387</v>
      </c>
      <c r="B388" s="29" t="s">
        <v>730</v>
      </c>
      <c r="C388" s="29" t="s">
        <v>731</v>
      </c>
      <c r="D388" s="29" t="s">
        <v>780</v>
      </c>
      <c r="E388" s="29" t="s">
        <v>781</v>
      </c>
      <c r="F388" s="8" t="s">
        <v>2302</v>
      </c>
      <c r="G388" s="29" t="s">
        <v>782</v>
      </c>
      <c r="H388" s="50" t="s">
        <v>2200</v>
      </c>
      <c r="I388" s="50" t="s">
        <v>2200</v>
      </c>
      <c r="J388" s="104" t="s">
        <v>2303</v>
      </c>
      <c r="K388" s="10">
        <v>46032</v>
      </c>
      <c r="L388" s="29" t="s">
        <v>22</v>
      </c>
      <c r="M388" s="5"/>
    </row>
    <row r="389" spans="1:13" ht="31.5">
      <c r="A389" s="5">
        <v>388</v>
      </c>
      <c r="B389" s="29" t="s">
        <v>730</v>
      </c>
      <c r="C389" s="29" t="s">
        <v>731</v>
      </c>
      <c r="D389" s="29" t="s">
        <v>783</v>
      </c>
      <c r="E389" s="29" t="s">
        <v>784</v>
      </c>
      <c r="F389" s="8" t="s">
        <v>2302</v>
      </c>
      <c r="G389" s="29" t="s">
        <v>785</v>
      </c>
      <c r="H389" s="50" t="s">
        <v>2200</v>
      </c>
      <c r="I389" s="50" t="s">
        <v>2200</v>
      </c>
      <c r="J389" s="104" t="s">
        <v>2303</v>
      </c>
      <c r="K389" s="10">
        <v>46032</v>
      </c>
      <c r="L389" s="29" t="s">
        <v>22</v>
      </c>
      <c r="M389" s="56"/>
    </row>
    <row r="390" spans="1:13" ht="31.5">
      <c r="A390" s="5">
        <v>389</v>
      </c>
      <c r="B390" s="29" t="s">
        <v>730</v>
      </c>
      <c r="C390" s="29" t="s">
        <v>731</v>
      </c>
      <c r="D390" s="29" t="s">
        <v>786</v>
      </c>
      <c r="E390" s="29" t="s">
        <v>787</v>
      </c>
      <c r="F390" s="8" t="s">
        <v>2302</v>
      </c>
      <c r="G390" s="29" t="s">
        <v>788</v>
      </c>
      <c r="H390" s="50" t="s">
        <v>2200</v>
      </c>
      <c r="I390" s="50" t="s">
        <v>2200</v>
      </c>
      <c r="J390" s="104" t="s">
        <v>2303</v>
      </c>
      <c r="K390" s="10">
        <v>46032</v>
      </c>
      <c r="L390" s="29" t="s">
        <v>22</v>
      </c>
      <c r="M390" s="56"/>
    </row>
    <row r="391" spans="1:13" ht="31.5">
      <c r="A391" s="5">
        <v>390</v>
      </c>
      <c r="B391" s="29" t="s">
        <v>730</v>
      </c>
      <c r="C391" s="29" t="s">
        <v>731</v>
      </c>
      <c r="D391" s="29" t="s">
        <v>789</v>
      </c>
      <c r="E391" s="29" t="s">
        <v>790</v>
      </c>
      <c r="F391" s="8" t="s">
        <v>2302</v>
      </c>
      <c r="G391" s="29" t="s">
        <v>791</v>
      </c>
      <c r="H391" s="50" t="s">
        <v>2200</v>
      </c>
      <c r="I391" s="50" t="s">
        <v>2200</v>
      </c>
      <c r="J391" s="104" t="s">
        <v>2303</v>
      </c>
      <c r="K391" s="10">
        <v>46032</v>
      </c>
      <c r="L391" s="29" t="s">
        <v>22</v>
      </c>
      <c r="M391" s="56"/>
    </row>
    <row r="392" spans="1:13" ht="31.5">
      <c r="A392" s="5">
        <v>391</v>
      </c>
      <c r="B392" s="29" t="s">
        <v>730</v>
      </c>
      <c r="C392" s="29" t="s">
        <v>731</v>
      </c>
      <c r="D392" s="29" t="s">
        <v>792</v>
      </c>
      <c r="E392" s="29" t="s">
        <v>793</v>
      </c>
      <c r="F392" s="8" t="s">
        <v>2302</v>
      </c>
      <c r="G392" s="29" t="s">
        <v>794</v>
      </c>
      <c r="H392" s="50" t="s">
        <v>2200</v>
      </c>
      <c r="I392" s="50" t="s">
        <v>2200</v>
      </c>
      <c r="J392" s="104" t="s">
        <v>2303</v>
      </c>
      <c r="K392" s="10">
        <v>46032</v>
      </c>
      <c r="L392" s="29" t="s">
        <v>22</v>
      </c>
      <c r="M392" s="56"/>
    </row>
    <row r="393" spans="1:13" ht="31.5">
      <c r="A393" s="5">
        <v>392</v>
      </c>
      <c r="B393" s="29" t="s">
        <v>730</v>
      </c>
      <c r="C393" s="29" t="s">
        <v>731</v>
      </c>
      <c r="D393" s="29" t="s">
        <v>795</v>
      </c>
      <c r="E393" s="29" t="s">
        <v>796</v>
      </c>
      <c r="F393" s="8" t="s">
        <v>2302</v>
      </c>
      <c r="G393" s="29" t="s">
        <v>797</v>
      </c>
      <c r="H393" s="50" t="s">
        <v>2200</v>
      </c>
      <c r="I393" s="50" t="s">
        <v>2200</v>
      </c>
      <c r="J393" s="104" t="s">
        <v>2303</v>
      </c>
      <c r="K393" s="10">
        <v>46032</v>
      </c>
      <c r="L393" s="29" t="s">
        <v>22</v>
      </c>
      <c r="M393" s="56"/>
    </row>
    <row r="394" spans="1:13" ht="31.5">
      <c r="A394" s="5">
        <v>393</v>
      </c>
      <c r="B394" s="29" t="s">
        <v>730</v>
      </c>
      <c r="C394" s="29" t="s">
        <v>731</v>
      </c>
      <c r="D394" s="29" t="s">
        <v>798</v>
      </c>
      <c r="E394" s="29" t="s">
        <v>799</v>
      </c>
      <c r="F394" s="8" t="s">
        <v>2302</v>
      </c>
      <c r="G394" s="29" t="s">
        <v>800</v>
      </c>
      <c r="H394" s="50" t="s">
        <v>2200</v>
      </c>
      <c r="I394" s="50" t="s">
        <v>2200</v>
      </c>
      <c r="J394" s="104" t="s">
        <v>2303</v>
      </c>
      <c r="K394" s="10">
        <v>46032</v>
      </c>
      <c r="L394" s="29" t="s">
        <v>22</v>
      </c>
      <c r="M394" s="56"/>
    </row>
    <row r="395" spans="1:13" ht="31.5">
      <c r="A395" s="5">
        <v>394</v>
      </c>
      <c r="B395" s="29" t="s">
        <v>730</v>
      </c>
      <c r="C395" s="29" t="s">
        <v>731</v>
      </c>
      <c r="D395" s="29" t="s">
        <v>801</v>
      </c>
      <c r="E395" s="29" t="s">
        <v>802</v>
      </c>
      <c r="F395" s="8" t="s">
        <v>2302</v>
      </c>
      <c r="G395" s="29" t="s">
        <v>803</v>
      </c>
      <c r="H395" s="50" t="s">
        <v>2200</v>
      </c>
      <c r="I395" s="50" t="s">
        <v>2200</v>
      </c>
      <c r="J395" s="104" t="s">
        <v>2303</v>
      </c>
      <c r="K395" s="10">
        <v>46032</v>
      </c>
      <c r="L395" s="29" t="s">
        <v>22</v>
      </c>
      <c r="M395" s="56"/>
    </row>
    <row r="396" spans="1:13" ht="31.5">
      <c r="A396" s="5">
        <v>395</v>
      </c>
      <c r="B396" s="29" t="s">
        <v>730</v>
      </c>
      <c r="C396" s="29" t="s">
        <v>731</v>
      </c>
      <c r="D396" s="29" t="s">
        <v>804</v>
      </c>
      <c r="E396" s="29" t="s">
        <v>805</v>
      </c>
      <c r="F396" s="8" t="s">
        <v>2302</v>
      </c>
      <c r="G396" s="29" t="s">
        <v>806</v>
      </c>
      <c r="H396" s="50" t="s">
        <v>2200</v>
      </c>
      <c r="I396" s="50" t="s">
        <v>2200</v>
      </c>
      <c r="J396" s="104" t="s">
        <v>2303</v>
      </c>
      <c r="K396" s="10">
        <v>46032</v>
      </c>
      <c r="L396" s="29" t="s">
        <v>22</v>
      </c>
      <c r="M396" s="56"/>
    </row>
    <row r="397" spans="1:13" ht="31.5">
      <c r="A397" s="5">
        <v>396</v>
      </c>
      <c r="B397" s="29" t="s">
        <v>730</v>
      </c>
      <c r="C397" s="29" t="s">
        <v>731</v>
      </c>
      <c r="D397" s="29" t="s">
        <v>807</v>
      </c>
      <c r="E397" s="29" t="s">
        <v>808</v>
      </c>
      <c r="F397" s="8" t="s">
        <v>2302</v>
      </c>
      <c r="G397" s="29" t="s">
        <v>809</v>
      </c>
      <c r="H397" s="50" t="s">
        <v>2200</v>
      </c>
      <c r="I397" s="50" t="s">
        <v>2200</v>
      </c>
      <c r="J397" s="104" t="s">
        <v>2303</v>
      </c>
      <c r="K397" s="10">
        <v>46032</v>
      </c>
      <c r="L397" s="29" t="s">
        <v>22</v>
      </c>
      <c r="M397" s="56"/>
    </row>
    <row r="398" spans="1:13" ht="31.5">
      <c r="A398" s="5">
        <v>397</v>
      </c>
      <c r="B398" s="29" t="s">
        <v>730</v>
      </c>
      <c r="C398" s="29" t="s">
        <v>731</v>
      </c>
      <c r="D398" s="29" t="s">
        <v>1764</v>
      </c>
      <c r="E398" s="29" t="s">
        <v>1973</v>
      </c>
      <c r="F398" s="8" t="s">
        <v>2302</v>
      </c>
      <c r="G398" s="29" t="s">
        <v>1974</v>
      </c>
      <c r="H398" s="50" t="s">
        <v>2200</v>
      </c>
      <c r="I398" s="50" t="s">
        <v>2200</v>
      </c>
      <c r="J398" s="104" t="s">
        <v>2303</v>
      </c>
      <c r="K398" s="10">
        <v>46032</v>
      </c>
      <c r="L398" s="29" t="s">
        <v>22</v>
      </c>
      <c r="M398" s="56"/>
    </row>
    <row r="399" spans="1:13" ht="31.5">
      <c r="A399" s="5">
        <v>398</v>
      </c>
      <c r="B399" s="29" t="s">
        <v>730</v>
      </c>
      <c r="C399" s="29" t="s">
        <v>731</v>
      </c>
      <c r="D399" s="29" t="s">
        <v>810</v>
      </c>
      <c r="E399" s="29" t="s">
        <v>811</v>
      </c>
      <c r="F399" s="8" t="s">
        <v>2302</v>
      </c>
      <c r="G399" s="29" t="s">
        <v>812</v>
      </c>
      <c r="H399" s="50" t="s">
        <v>2200</v>
      </c>
      <c r="I399" s="50" t="s">
        <v>2200</v>
      </c>
      <c r="J399" s="104" t="s">
        <v>2303</v>
      </c>
      <c r="K399" s="10">
        <v>46032</v>
      </c>
      <c r="L399" s="29" t="s">
        <v>22</v>
      </c>
      <c r="M399" s="56"/>
    </row>
    <row r="400" spans="1:13" ht="31.5">
      <c r="A400" s="5">
        <v>399</v>
      </c>
      <c r="B400" s="29" t="s">
        <v>730</v>
      </c>
      <c r="C400" s="29" t="s">
        <v>731</v>
      </c>
      <c r="D400" s="29" t="s">
        <v>814</v>
      </c>
      <c r="E400" s="29" t="s">
        <v>815</v>
      </c>
      <c r="F400" s="8" t="s">
        <v>2302</v>
      </c>
      <c r="G400" s="29" t="s">
        <v>816</v>
      </c>
      <c r="H400" s="50" t="s">
        <v>2200</v>
      </c>
      <c r="I400" s="50" t="s">
        <v>2200</v>
      </c>
      <c r="J400" s="104" t="s">
        <v>2303</v>
      </c>
      <c r="K400" s="10">
        <v>46032</v>
      </c>
      <c r="L400" s="29" t="s">
        <v>22</v>
      </c>
      <c r="M400" s="56"/>
    </row>
    <row r="401" spans="1:13" ht="31.5">
      <c r="A401" s="5">
        <v>400</v>
      </c>
      <c r="B401" s="29" t="s">
        <v>730</v>
      </c>
      <c r="C401" s="29" t="s">
        <v>731</v>
      </c>
      <c r="D401" s="29" t="s">
        <v>817</v>
      </c>
      <c r="E401" s="29" t="s">
        <v>818</v>
      </c>
      <c r="F401" s="8" t="s">
        <v>2302</v>
      </c>
      <c r="G401" s="29" t="s">
        <v>819</v>
      </c>
      <c r="H401" s="50" t="s">
        <v>2200</v>
      </c>
      <c r="I401" s="50" t="s">
        <v>2200</v>
      </c>
      <c r="J401" s="104" t="s">
        <v>2303</v>
      </c>
      <c r="K401" s="10">
        <v>46032</v>
      </c>
      <c r="L401" s="29" t="s">
        <v>22</v>
      </c>
      <c r="M401" s="56"/>
    </row>
    <row r="402" spans="1:13" ht="31.5">
      <c r="A402" s="5">
        <v>401</v>
      </c>
      <c r="B402" s="29" t="s">
        <v>730</v>
      </c>
      <c r="C402" s="29" t="s">
        <v>731</v>
      </c>
      <c r="D402" s="29" t="s">
        <v>820</v>
      </c>
      <c r="E402" s="29" t="s">
        <v>821</v>
      </c>
      <c r="F402" s="8" t="s">
        <v>2302</v>
      </c>
      <c r="G402" s="29" t="s">
        <v>822</v>
      </c>
      <c r="H402" s="50" t="s">
        <v>2200</v>
      </c>
      <c r="I402" s="50" t="s">
        <v>2200</v>
      </c>
      <c r="J402" s="104" t="s">
        <v>2303</v>
      </c>
      <c r="K402" s="10">
        <v>46032</v>
      </c>
      <c r="L402" s="29" t="s">
        <v>22</v>
      </c>
      <c r="M402" s="5"/>
    </row>
    <row r="403" spans="1:13" ht="31.5">
      <c r="A403" s="5">
        <v>402</v>
      </c>
      <c r="B403" s="29" t="s">
        <v>730</v>
      </c>
      <c r="C403" s="29" t="s">
        <v>731</v>
      </c>
      <c r="D403" s="29" t="s">
        <v>823</v>
      </c>
      <c r="E403" s="29" t="s">
        <v>824</v>
      </c>
      <c r="F403" s="8" t="s">
        <v>2302</v>
      </c>
      <c r="G403" s="29" t="s">
        <v>825</v>
      </c>
      <c r="H403" s="50" t="s">
        <v>2200</v>
      </c>
      <c r="I403" s="50" t="s">
        <v>2200</v>
      </c>
      <c r="J403" s="104" t="s">
        <v>2303</v>
      </c>
      <c r="K403" s="10">
        <v>46032</v>
      </c>
      <c r="L403" s="29" t="s">
        <v>22</v>
      </c>
      <c r="M403" s="56"/>
    </row>
    <row r="404" spans="1:13" ht="31.5">
      <c r="A404" s="5">
        <v>403</v>
      </c>
      <c r="B404" s="29" t="s">
        <v>730</v>
      </c>
      <c r="C404" s="29" t="s">
        <v>731</v>
      </c>
      <c r="D404" s="29" t="s">
        <v>826</v>
      </c>
      <c r="E404" s="29" t="s">
        <v>827</v>
      </c>
      <c r="F404" s="8" t="s">
        <v>2302</v>
      </c>
      <c r="G404" s="29" t="s">
        <v>828</v>
      </c>
      <c r="H404" s="50" t="s">
        <v>2200</v>
      </c>
      <c r="I404" s="50" t="s">
        <v>2200</v>
      </c>
      <c r="J404" s="104" t="s">
        <v>2303</v>
      </c>
      <c r="K404" s="10">
        <v>46032</v>
      </c>
      <c r="L404" s="29" t="s">
        <v>22</v>
      </c>
      <c r="M404" s="56"/>
    </row>
    <row r="405" spans="1:13" ht="31.5">
      <c r="A405" s="5">
        <v>404</v>
      </c>
      <c r="B405" s="29" t="s">
        <v>730</v>
      </c>
      <c r="C405" s="29" t="s">
        <v>731</v>
      </c>
      <c r="D405" s="29" t="s">
        <v>829</v>
      </c>
      <c r="E405" s="29" t="s">
        <v>830</v>
      </c>
      <c r="F405" s="8" t="s">
        <v>2302</v>
      </c>
      <c r="G405" s="29" t="s">
        <v>831</v>
      </c>
      <c r="H405" s="50" t="s">
        <v>2200</v>
      </c>
      <c r="I405" s="50" t="s">
        <v>2200</v>
      </c>
      <c r="J405" s="104" t="s">
        <v>2303</v>
      </c>
      <c r="K405" s="10">
        <v>46032</v>
      </c>
      <c r="L405" s="29" t="s">
        <v>22</v>
      </c>
      <c r="M405" s="56"/>
    </row>
    <row r="406" spans="1:13" ht="31.5">
      <c r="A406" s="5">
        <v>405</v>
      </c>
      <c r="B406" s="29" t="s">
        <v>730</v>
      </c>
      <c r="C406" s="29" t="s">
        <v>731</v>
      </c>
      <c r="D406" s="29" t="s">
        <v>832</v>
      </c>
      <c r="E406" s="29" t="s">
        <v>833</v>
      </c>
      <c r="F406" s="8" t="s">
        <v>2302</v>
      </c>
      <c r="G406" s="29" t="s">
        <v>834</v>
      </c>
      <c r="H406" s="50" t="s">
        <v>2200</v>
      </c>
      <c r="I406" s="50" t="s">
        <v>2200</v>
      </c>
      <c r="J406" s="104" t="s">
        <v>2303</v>
      </c>
      <c r="K406" s="10">
        <v>46032</v>
      </c>
      <c r="L406" s="29" t="s">
        <v>22</v>
      </c>
      <c r="M406" s="56"/>
    </row>
    <row r="407" spans="1:13" ht="31.5">
      <c r="A407" s="5">
        <v>406</v>
      </c>
      <c r="B407" s="29" t="s">
        <v>730</v>
      </c>
      <c r="C407" s="29" t="s">
        <v>731</v>
      </c>
      <c r="D407" s="29" t="s">
        <v>835</v>
      </c>
      <c r="E407" s="29" t="s">
        <v>836</v>
      </c>
      <c r="F407" s="8" t="s">
        <v>2302</v>
      </c>
      <c r="G407" s="29" t="s">
        <v>837</v>
      </c>
      <c r="H407" s="50" t="s">
        <v>2200</v>
      </c>
      <c r="I407" s="50" t="s">
        <v>2200</v>
      </c>
      <c r="J407" s="104" t="s">
        <v>2303</v>
      </c>
      <c r="K407" s="10">
        <v>46032</v>
      </c>
      <c r="L407" s="29" t="s">
        <v>22</v>
      </c>
      <c r="M407" s="56"/>
    </row>
    <row r="408" spans="1:13" ht="31.5">
      <c r="A408" s="5">
        <v>407</v>
      </c>
      <c r="B408" s="29" t="s">
        <v>730</v>
      </c>
      <c r="C408" s="29" t="s">
        <v>731</v>
      </c>
      <c r="D408" s="29" t="s">
        <v>838</v>
      </c>
      <c r="E408" s="29" t="s">
        <v>839</v>
      </c>
      <c r="F408" s="8" t="s">
        <v>2302</v>
      </c>
      <c r="G408" s="29" t="s">
        <v>1975</v>
      </c>
      <c r="H408" s="50" t="s">
        <v>2200</v>
      </c>
      <c r="I408" s="50" t="s">
        <v>2200</v>
      </c>
      <c r="J408" s="104" t="s">
        <v>2303</v>
      </c>
      <c r="K408" s="10">
        <v>46032</v>
      </c>
      <c r="L408" s="29" t="s">
        <v>22</v>
      </c>
      <c r="M408" s="56"/>
    </row>
    <row r="409" spans="1:13" ht="31.5">
      <c r="A409" s="5">
        <v>408</v>
      </c>
      <c r="B409" s="29" t="s">
        <v>730</v>
      </c>
      <c r="C409" s="29" t="s">
        <v>731</v>
      </c>
      <c r="D409" s="29" t="s">
        <v>840</v>
      </c>
      <c r="E409" s="29" t="s">
        <v>841</v>
      </c>
      <c r="F409" s="8" t="s">
        <v>2302</v>
      </c>
      <c r="G409" s="29" t="s">
        <v>842</v>
      </c>
      <c r="H409" s="50" t="s">
        <v>2200</v>
      </c>
      <c r="I409" s="50" t="s">
        <v>2200</v>
      </c>
      <c r="J409" s="104" t="s">
        <v>2303</v>
      </c>
      <c r="K409" s="10">
        <v>46032</v>
      </c>
      <c r="L409" s="29" t="s">
        <v>22</v>
      </c>
      <c r="M409" s="56"/>
    </row>
    <row r="410" spans="1:13" ht="31.5">
      <c r="A410" s="5">
        <v>409</v>
      </c>
      <c r="B410" s="29" t="s">
        <v>730</v>
      </c>
      <c r="C410" s="29" t="s">
        <v>731</v>
      </c>
      <c r="D410" s="29" t="s">
        <v>843</v>
      </c>
      <c r="E410" s="29" t="s">
        <v>844</v>
      </c>
      <c r="F410" s="8" t="s">
        <v>2302</v>
      </c>
      <c r="G410" s="29" t="s">
        <v>845</v>
      </c>
      <c r="H410" s="50" t="s">
        <v>2200</v>
      </c>
      <c r="I410" s="50" t="s">
        <v>2200</v>
      </c>
      <c r="J410" s="104" t="s">
        <v>2303</v>
      </c>
      <c r="K410" s="10">
        <v>46032</v>
      </c>
      <c r="L410" s="29" t="s">
        <v>22</v>
      </c>
      <c r="M410" s="56"/>
    </row>
    <row r="411" spans="1:13" ht="31.5">
      <c r="A411" s="5">
        <v>410</v>
      </c>
      <c r="B411" s="29" t="s">
        <v>730</v>
      </c>
      <c r="C411" s="29" t="s">
        <v>731</v>
      </c>
      <c r="D411" s="29" t="s">
        <v>846</v>
      </c>
      <c r="E411" s="29" t="s">
        <v>847</v>
      </c>
      <c r="F411" s="8" t="s">
        <v>2302</v>
      </c>
      <c r="G411" s="29" t="s">
        <v>813</v>
      </c>
      <c r="H411" s="50" t="s">
        <v>2200</v>
      </c>
      <c r="I411" s="50" t="s">
        <v>2200</v>
      </c>
      <c r="J411" s="104" t="s">
        <v>2303</v>
      </c>
      <c r="K411" s="10">
        <v>46032</v>
      </c>
      <c r="L411" s="29" t="s">
        <v>22</v>
      </c>
      <c r="M411" s="56"/>
    </row>
    <row r="412" spans="1:13" ht="31.5">
      <c r="A412" s="5">
        <v>411</v>
      </c>
      <c r="B412" s="29" t="s">
        <v>730</v>
      </c>
      <c r="C412" s="29" t="s">
        <v>731</v>
      </c>
      <c r="D412" s="29" t="s">
        <v>848</v>
      </c>
      <c r="E412" s="29" t="s">
        <v>849</v>
      </c>
      <c r="F412" s="8" t="s">
        <v>2302</v>
      </c>
      <c r="G412" s="29" t="s">
        <v>850</v>
      </c>
      <c r="H412" s="50" t="s">
        <v>2200</v>
      </c>
      <c r="I412" s="50" t="s">
        <v>2200</v>
      </c>
      <c r="J412" s="104" t="s">
        <v>2303</v>
      </c>
      <c r="K412" s="10">
        <v>46032</v>
      </c>
      <c r="L412" s="29" t="s">
        <v>22</v>
      </c>
      <c r="M412" s="56"/>
    </row>
    <row r="413" spans="1:13" ht="31.5">
      <c r="A413" s="5">
        <v>412</v>
      </c>
      <c r="B413" s="29" t="s">
        <v>730</v>
      </c>
      <c r="C413" s="29" t="s">
        <v>731</v>
      </c>
      <c r="D413" s="29" t="s">
        <v>851</v>
      </c>
      <c r="E413" s="29" t="s">
        <v>852</v>
      </c>
      <c r="F413" s="8" t="s">
        <v>2302</v>
      </c>
      <c r="G413" s="29" t="s">
        <v>853</v>
      </c>
      <c r="H413" s="50" t="s">
        <v>2200</v>
      </c>
      <c r="I413" s="50" t="s">
        <v>2200</v>
      </c>
      <c r="J413" s="104" t="s">
        <v>2303</v>
      </c>
      <c r="K413" s="10">
        <v>46032</v>
      </c>
      <c r="L413" s="29" t="s">
        <v>22</v>
      </c>
      <c r="M413" s="56"/>
    </row>
    <row r="414" spans="1:13" ht="31.5">
      <c r="A414" s="5">
        <v>413</v>
      </c>
      <c r="B414" s="29" t="s">
        <v>730</v>
      </c>
      <c r="C414" s="29" t="s">
        <v>731</v>
      </c>
      <c r="D414" s="29" t="s">
        <v>854</v>
      </c>
      <c r="E414" s="29" t="s">
        <v>855</v>
      </c>
      <c r="F414" s="8" t="s">
        <v>2302</v>
      </c>
      <c r="G414" s="29" t="s">
        <v>856</v>
      </c>
      <c r="H414" s="50" t="s">
        <v>2200</v>
      </c>
      <c r="I414" s="50" t="s">
        <v>2200</v>
      </c>
      <c r="J414" s="104" t="s">
        <v>2303</v>
      </c>
      <c r="K414" s="10">
        <v>46032</v>
      </c>
      <c r="L414" s="29" t="s">
        <v>22</v>
      </c>
      <c r="M414" s="56"/>
    </row>
    <row r="415" spans="1:13" ht="31.5">
      <c r="A415" s="5">
        <v>414</v>
      </c>
      <c r="B415" s="29" t="s">
        <v>730</v>
      </c>
      <c r="C415" s="29" t="s">
        <v>731</v>
      </c>
      <c r="D415" s="29" t="s">
        <v>857</v>
      </c>
      <c r="E415" s="29" t="s">
        <v>858</v>
      </c>
      <c r="F415" s="8" t="s">
        <v>2302</v>
      </c>
      <c r="G415" s="29" t="s">
        <v>1976</v>
      </c>
      <c r="H415" s="50" t="s">
        <v>2200</v>
      </c>
      <c r="I415" s="50" t="s">
        <v>2200</v>
      </c>
      <c r="J415" s="104" t="s">
        <v>2303</v>
      </c>
      <c r="K415" s="10">
        <v>46032</v>
      </c>
      <c r="L415" s="29" t="s">
        <v>22</v>
      </c>
      <c r="M415" s="5"/>
    </row>
    <row r="416" spans="1:13" ht="31.5">
      <c r="A416" s="5">
        <v>415</v>
      </c>
      <c r="B416" s="29" t="s">
        <v>730</v>
      </c>
      <c r="C416" s="29" t="s">
        <v>731</v>
      </c>
      <c r="D416" s="29" t="s">
        <v>860</v>
      </c>
      <c r="E416" s="29" t="s">
        <v>861</v>
      </c>
      <c r="F416" s="8" t="s">
        <v>2302</v>
      </c>
      <c r="G416" s="29" t="s">
        <v>862</v>
      </c>
      <c r="H416" s="50" t="s">
        <v>2200</v>
      </c>
      <c r="I416" s="50" t="s">
        <v>2200</v>
      </c>
      <c r="J416" s="104" t="s">
        <v>2303</v>
      </c>
      <c r="K416" s="10">
        <v>46032</v>
      </c>
      <c r="L416" s="29" t="s">
        <v>22</v>
      </c>
      <c r="M416" s="56"/>
    </row>
    <row r="417" spans="1:13" ht="31.5">
      <c r="A417" s="5">
        <v>416</v>
      </c>
      <c r="B417" s="29" t="s">
        <v>730</v>
      </c>
      <c r="C417" s="29" t="s">
        <v>731</v>
      </c>
      <c r="D417" s="29" t="s">
        <v>863</v>
      </c>
      <c r="E417" s="29" t="s">
        <v>864</v>
      </c>
      <c r="F417" s="8" t="s">
        <v>2302</v>
      </c>
      <c r="G417" s="29" t="s">
        <v>865</v>
      </c>
      <c r="H417" s="50" t="s">
        <v>2200</v>
      </c>
      <c r="I417" s="50" t="s">
        <v>2200</v>
      </c>
      <c r="J417" s="104" t="s">
        <v>2303</v>
      </c>
      <c r="K417" s="10">
        <v>46032</v>
      </c>
      <c r="L417" s="29" t="s">
        <v>22</v>
      </c>
      <c r="M417" s="56"/>
    </row>
    <row r="418" spans="1:13" ht="31.5">
      <c r="A418" s="5">
        <v>417</v>
      </c>
      <c r="B418" s="29" t="s">
        <v>730</v>
      </c>
      <c r="C418" s="29" t="s">
        <v>731</v>
      </c>
      <c r="D418" s="29" t="s">
        <v>866</v>
      </c>
      <c r="E418" s="29" t="s">
        <v>867</v>
      </c>
      <c r="F418" s="8" t="s">
        <v>2302</v>
      </c>
      <c r="G418" s="29" t="s">
        <v>868</v>
      </c>
      <c r="H418" s="50" t="s">
        <v>2200</v>
      </c>
      <c r="I418" s="50" t="s">
        <v>2200</v>
      </c>
      <c r="J418" s="104" t="s">
        <v>2303</v>
      </c>
      <c r="K418" s="10">
        <v>46032</v>
      </c>
      <c r="L418" s="29" t="s">
        <v>22</v>
      </c>
      <c r="M418" s="56"/>
    </row>
    <row r="419" spans="1:13" ht="31.5">
      <c r="A419" s="5">
        <v>418</v>
      </c>
      <c r="B419" s="29" t="s">
        <v>730</v>
      </c>
      <c r="C419" s="29" t="s">
        <v>731</v>
      </c>
      <c r="D419" s="29" t="s">
        <v>869</v>
      </c>
      <c r="E419" s="29" t="s">
        <v>870</v>
      </c>
      <c r="F419" s="8" t="s">
        <v>2302</v>
      </c>
      <c r="G419" s="29" t="s">
        <v>871</v>
      </c>
      <c r="H419" s="50" t="s">
        <v>2200</v>
      </c>
      <c r="I419" s="50" t="s">
        <v>2200</v>
      </c>
      <c r="J419" s="104" t="s">
        <v>2303</v>
      </c>
      <c r="K419" s="10">
        <v>46032</v>
      </c>
      <c r="L419" s="29" t="s">
        <v>22</v>
      </c>
      <c r="M419" s="56"/>
    </row>
    <row r="420" spans="1:13" ht="31.5">
      <c r="A420" s="5">
        <v>419</v>
      </c>
      <c r="B420" s="29" t="s">
        <v>730</v>
      </c>
      <c r="C420" s="29" t="s">
        <v>731</v>
      </c>
      <c r="D420" s="29" t="s">
        <v>872</v>
      </c>
      <c r="E420" s="29" t="s">
        <v>873</v>
      </c>
      <c r="F420" s="8" t="s">
        <v>2302</v>
      </c>
      <c r="G420" s="29" t="s">
        <v>761</v>
      </c>
      <c r="H420" s="50" t="s">
        <v>2200</v>
      </c>
      <c r="I420" s="50" t="s">
        <v>2200</v>
      </c>
      <c r="J420" s="104" t="s">
        <v>2303</v>
      </c>
      <c r="K420" s="10">
        <v>46032</v>
      </c>
      <c r="L420" s="29" t="s">
        <v>22</v>
      </c>
      <c r="M420" s="56"/>
    </row>
    <row r="421" spans="1:13" ht="31.5">
      <c r="A421" s="5">
        <v>420</v>
      </c>
      <c r="B421" s="29" t="s">
        <v>730</v>
      </c>
      <c r="C421" s="29" t="s">
        <v>731</v>
      </c>
      <c r="D421" s="29" t="s">
        <v>875</v>
      </c>
      <c r="E421" s="29" t="s">
        <v>876</v>
      </c>
      <c r="F421" s="8" t="s">
        <v>2302</v>
      </c>
      <c r="G421" s="29" t="s">
        <v>877</v>
      </c>
      <c r="H421" s="50" t="s">
        <v>2200</v>
      </c>
      <c r="I421" s="50" t="s">
        <v>2200</v>
      </c>
      <c r="J421" s="104" t="s">
        <v>2303</v>
      </c>
      <c r="K421" s="10">
        <v>46032</v>
      </c>
      <c r="L421" s="29" t="s">
        <v>22</v>
      </c>
      <c r="M421" s="56"/>
    </row>
    <row r="422" spans="1:13" ht="31.5">
      <c r="A422" s="5">
        <v>421</v>
      </c>
      <c r="B422" s="29" t="s">
        <v>730</v>
      </c>
      <c r="C422" s="34" t="s">
        <v>731</v>
      </c>
      <c r="D422" s="29" t="s">
        <v>878</v>
      </c>
      <c r="E422" s="29" t="s">
        <v>879</v>
      </c>
      <c r="F422" s="8" t="s">
        <v>2302</v>
      </c>
      <c r="G422" s="29" t="s">
        <v>880</v>
      </c>
      <c r="H422" s="50" t="s">
        <v>2200</v>
      </c>
      <c r="I422" s="50" t="s">
        <v>2200</v>
      </c>
      <c r="J422" s="104" t="s">
        <v>2303</v>
      </c>
      <c r="K422" s="10">
        <v>46032</v>
      </c>
      <c r="L422" s="29" t="s">
        <v>22</v>
      </c>
      <c r="M422" s="56"/>
    </row>
    <row r="423" spans="1:13" ht="31.5">
      <c r="A423" s="5">
        <v>422</v>
      </c>
      <c r="B423" s="29" t="s">
        <v>730</v>
      </c>
      <c r="C423" s="29" t="s">
        <v>731</v>
      </c>
      <c r="D423" s="29" t="s">
        <v>881</v>
      </c>
      <c r="E423" s="29" t="s">
        <v>882</v>
      </c>
      <c r="F423" s="8" t="s">
        <v>2302</v>
      </c>
      <c r="G423" s="29" t="s">
        <v>883</v>
      </c>
      <c r="H423" s="50" t="s">
        <v>2200</v>
      </c>
      <c r="I423" s="50" t="s">
        <v>2200</v>
      </c>
      <c r="J423" s="104" t="s">
        <v>2303</v>
      </c>
      <c r="K423" s="10">
        <v>46032</v>
      </c>
      <c r="L423" s="29" t="s">
        <v>22</v>
      </c>
      <c r="M423" s="5"/>
    </row>
    <row r="424" spans="1:13" ht="31.5">
      <c r="A424" s="5">
        <v>423</v>
      </c>
      <c r="B424" s="29" t="s">
        <v>730</v>
      </c>
      <c r="C424" s="29" t="s">
        <v>731</v>
      </c>
      <c r="D424" s="29" t="s">
        <v>884</v>
      </c>
      <c r="E424" s="29" t="s">
        <v>885</v>
      </c>
      <c r="F424" s="8" t="s">
        <v>2302</v>
      </c>
      <c r="G424" s="29" t="s">
        <v>886</v>
      </c>
      <c r="H424" s="50" t="s">
        <v>2200</v>
      </c>
      <c r="I424" s="50" t="s">
        <v>2200</v>
      </c>
      <c r="J424" s="104" t="s">
        <v>2303</v>
      </c>
      <c r="K424" s="10">
        <v>46032</v>
      </c>
      <c r="L424" s="29" t="s">
        <v>22</v>
      </c>
      <c r="M424" s="56"/>
    </row>
    <row r="425" spans="1:13" ht="31.5">
      <c r="A425" s="5">
        <v>424</v>
      </c>
      <c r="B425" s="29" t="s">
        <v>730</v>
      </c>
      <c r="C425" s="29" t="s">
        <v>731</v>
      </c>
      <c r="D425" s="29" t="s">
        <v>887</v>
      </c>
      <c r="E425" s="29" t="s">
        <v>888</v>
      </c>
      <c r="F425" s="8" t="s">
        <v>2302</v>
      </c>
      <c r="G425" s="29" t="s">
        <v>889</v>
      </c>
      <c r="H425" s="50" t="s">
        <v>2200</v>
      </c>
      <c r="I425" s="50" t="s">
        <v>2200</v>
      </c>
      <c r="J425" s="104" t="s">
        <v>2303</v>
      </c>
      <c r="K425" s="10">
        <v>46032</v>
      </c>
      <c r="L425" s="29" t="s">
        <v>22</v>
      </c>
      <c r="M425" s="5"/>
    </row>
    <row r="426" spans="1:13" ht="31.5">
      <c r="A426" s="5">
        <v>425</v>
      </c>
      <c r="B426" s="29" t="s">
        <v>730</v>
      </c>
      <c r="C426" s="29" t="s">
        <v>731</v>
      </c>
      <c r="D426" s="29" t="s">
        <v>890</v>
      </c>
      <c r="E426" s="29" t="s">
        <v>891</v>
      </c>
      <c r="F426" s="8" t="s">
        <v>2302</v>
      </c>
      <c r="G426" s="29" t="s">
        <v>874</v>
      </c>
      <c r="H426" s="50" t="s">
        <v>2200</v>
      </c>
      <c r="I426" s="50" t="s">
        <v>2200</v>
      </c>
      <c r="J426" s="104" t="s">
        <v>2303</v>
      </c>
      <c r="K426" s="10">
        <v>46032</v>
      </c>
      <c r="L426" s="29" t="s">
        <v>22</v>
      </c>
      <c r="M426" s="5"/>
    </row>
    <row r="427" spans="1:13" ht="31.5">
      <c r="A427" s="5">
        <v>426</v>
      </c>
      <c r="B427" s="29" t="s">
        <v>730</v>
      </c>
      <c r="C427" s="29" t="s">
        <v>731</v>
      </c>
      <c r="D427" s="29" t="s">
        <v>949</v>
      </c>
      <c r="E427" s="29" t="s">
        <v>950</v>
      </c>
      <c r="F427" s="8" t="s">
        <v>2302</v>
      </c>
      <c r="G427" s="29" t="s">
        <v>886</v>
      </c>
      <c r="H427" s="50" t="s">
        <v>2200</v>
      </c>
      <c r="I427" s="50" t="s">
        <v>2200</v>
      </c>
      <c r="J427" s="104" t="s">
        <v>2303</v>
      </c>
      <c r="K427" s="10">
        <v>46032</v>
      </c>
      <c r="L427" s="29" t="s">
        <v>22</v>
      </c>
      <c r="M427" s="56"/>
    </row>
    <row r="428" spans="1:13" ht="31.5">
      <c r="A428" s="5">
        <v>427</v>
      </c>
      <c r="B428" s="29" t="s">
        <v>730</v>
      </c>
      <c r="C428" s="34" t="s">
        <v>731</v>
      </c>
      <c r="D428" s="29" t="s">
        <v>894</v>
      </c>
      <c r="E428" s="29" t="s">
        <v>895</v>
      </c>
      <c r="F428" s="8" t="s">
        <v>2302</v>
      </c>
      <c r="G428" s="29" t="s">
        <v>896</v>
      </c>
      <c r="H428" s="50" t="s">
        <v>2200</v>
      </c>
      <c r="I428" s="50" t="s">
        <v>2200</v>
      </c>
      <c r="J428" s="104" t="s">
        <v>2303</v>
      </c>
      <c r="K428" s="10">
        <v>46032</v>
      </c>
      <c r="L428" s="29" t="s">
        <v>22</v>
      </c>
      <c r="M428" s="56"/>
    </row>
    <row r="429" spans="1:13" ht="31.5">
      <c r="A429" s="5">
        <v>428</v>
      </c>
      <c r="B429" s="29" t="s">
        <v>730</v>
      </c>
      <c r="C429" s="29" t="s">
        <v>731</v>
      </c>
      <c r="D429" s="29" t="s">
        <v>897</v>
      </c>
      <c r="E429" s="29" t="s">
        <v>898</v>
      </c>
      <c r="F429" s="8" t="s">
        <v>2302</v>
      </c>
      <c r="G429" s="29" t="s">
        <v>899</v>
      </c>
      <c r="H429" s="50" t="s">
        <v>2200</v>
      </c>
      <c r="I429" s="50" t="s">
        <v>2200</v>
      </c>
      <c r="J429" s="104" t="s">
        <v>2303</v>
      </c>
      <c r="K429" s="10">
        <v>46032</v>
      </c>
      <c r="L429" s="29" t="s">
        <v>22</v>
      </c>
      <c r="M429" s="56"/>
    </row>
    <row r="430" spans="1:13" ht="31.5">
      <c r="A430" s="5">
        <v>429</v>
      </c>
      <c r="B430" s="29" t="s">
        <v>730</v>
      </c>
      <c r="C430" s="29" t="s">
        <v>731</v>
      </c>
      <c r="D430" s="29" t="s">
        <v>900</v>
      </c>
      <c r="E430" s="29" t="s">
        <v>901</v>
      </c>
      <c r="F430" s="8" t="s">
        <v>2302</v>
      </c>
      <c r="G430" s="29" t="s">
        <v>902</v>
      </c>
      <c r="H430" s="50" t="s">
        <v>2200</v>
      </c>
      <c r="I430" s="50" t="s">
        <v>2200</v>
      </c>
      <c r="J430" s="104" t="s">
        <v>2303</v>
      </c>
      <c r="K430" s="10">
        <v>46032</v>
      </c>
      <c r="L430" s="29" t="s">
        <v>22</v>
      </c>
      <c r="M430" s="56"/>
    </row>
    <row r="431" spans="1:13" ht="31.5">
      <c r="A431" s="5">
        <v>430</v>
      </c>
      <c r="B431" s="29" t="s">
        <v>730</v>
      </c>
      <c r="C431" s="29" t="s">
        <v>731</v>
      </c>
      <c r="D431" s="29" t="s">
        <v>903</v>
      </c>
      <c r="E431" s="29" t="s">
        <v>904</v>
      </c>
      <c r="F431" s="8" t="s">
        <v>2302</v>
      </c>
      <c r="G431" s="29" t="s">
        <v>905</v>
      </c>
      <c r="H431" s="50" t="s">
        <v>2200</v>
      </c>
      <c r="I431" s="50" t="s">
        <v>2200</v>
      </c>
      <c r="J431" s="104" t="s">
        <v>2303</v>
      </c>
      <c r="K431" s="10">
        <v>46032</v>
      </c>
      <c r="L431" s="29" t="s">
        <v>22</v>
      </c>
      <c r="M431" s="56"/>
    </row>
    <row r="432" spans="1:13" ht="31.5">
      <c r="A432" s="5">
        <v>431</v>
      </c>
      <c r="B432" s="29" t="s">
        <v>730</v>
      </c>
      <c r="C432" s="29" t="s">
        <v>731</v>
      </c>
      <c r="D432" s="29" t="s">
        <v>910</v>
      </c>
      <c r="E432" s="29" t="s">
        <v>911</v>
      </c>
      <c r="F432" s="8" t="s">
        <v>2302</v>
      </c>
      <c r="G432" s="29" t="s">
        <v>912</v>
      </c>
      <c r="H432" s="50" t="s">
        <v>2200</v>
      </c>
      <c r="I432" s="50" t="s">
        <v>2200</v>
      </c>
      <c r="J432" s="104" t="s">
        <v>2303</v>
      </c>
      <c r="K432" s="10">
        <v>46032</v>
      </c>
      <c r="L432" s="29" t="s">
        <v>22</v>
      </c>
      <c r="M432" s="56"/>
    </row>
    <row r="433" spans="1:13" ht="31.5">
      <c r="A433" s="5">
        <v>432</v>
      </c>
      <c r="B433" s="29" t="s">
        <v>730</v>
      </c>
      <c r="C433" s="29" t="s">
        <v>731</v>
      </c>
      <c r="D433" s="29" t="s">
        <v>991</v>
      </c>
      <c r="E433" s="29" t="s">
        <v>992</v>
      </c>
      <c r="F433" s="8" t="s">
        <v>2302</v>
      </c>
      <c r="G433" s="29" t="s">
        <v>1977</v>
      </c>
      <c r="H433" s="50" t="s">
        <v>2200</v>
      </c>
      <c r="I433" s="50" t="s">
        <v>2200</v>
      </c>
      <c r="J433" s="104" t="s">
        <v>2303</v>
      </c>
      <c r="K433" s="10">
        <v>46032</v>
      </c>
      <c r="L433" s="29" t="s">
        <v>22</v>
      </c>
      <c r="M433" s="5"/>
    </row>
    <row r="434" spans="1:13" ht="31.5">
      <c r="A434" s="5">
        <v>433</v>
      </c>
      <c r="B434" s="29" t="s">
        <v>730</v>
      </c>
      <c r="C434" s="29" t="s">
        <v>731</v>
      </c>
      <c r="D434" s="29" t="s">
        <v>913</v>
      </c>
      <c r="E434" s="29" t="s">
        <v>914</v>
      </c>
      <c r="F434" s="8" t="s">
        <v>2302</v>
      </c>
      <c r="G434" s="29" t="s">
        <v>915</v>
      </c>
      <c r="H434" s="50" t="s">
        <v>2200</v>
      </c>
      <c r="I434" s="50" t="s">
        <v>2200</v>
      </c>
      <c r="J434" s="104" t="s">
        <v>2303</v>
      </c>
      <c r="K434" s="10">
        <v>46032</v>
      </c>
      <c r="L434" s="29" t="s">
        <v>22</v>
      </c>
      <c r="M434" s="56"/>
    </row>
    <row r="435" spans="1:13" ht="31.5">
      <c r="A435" s="5">
        <v>434</v>
      </c>
      <c r="B435" s="29" t="s">
        <v>730</v>
      </c>
      <c r="C435" s="29" t="s">
        <v>731</v>
      </c>
      <c r="D435" s="29" t="s">
        <v>916</v>
      </c>
      <c r="E435" s="29" t="s">
        <v>917</v>
      </c>
      <c r="F435" s="8" t="s">
        <v>2302</v>
      </c>
      <c r="G435" s="29" t="s">
        <v>918</v>
      </c>
      <c r="H435" s="50" t="s">
        <v>2200</v>
      </c>
      <c r="I435" s="50" t="s">
        <v>2200</v>
      </c>
      <c r="J435" s="104" t="s">
        <v>2303</v>
      </c>
      <c r="K435" s="10">
        <v>46032</v>
      </c>
      <c r="L435" s="29" t="s">
        <v>22</v>
      </c>
      <c r="M435" s="56"/>
    </row>
    <row r="436" spans="1:13" ht="31.5">
      <c r="A436" s="5">
        <v>435</v>
      </c>
      <c r="B436" s="29" t="s">
        <v>730</v>
      </c>
      <c r="C436" s="29" t="s">
        <v>731</v>
      </c>
      <c r="D436" s="29" t="s">
        <v>919</v>
      </c>
      <c r="E436" s="29" t="s">
        <v>920</v>
      </c>
      <c r="F436" s="8" t="s">
        <v>2302</v>
      </c>
      <c r="G436" s="29" t="s">
        <v>921</v>
      </c>
      <c r="H436" s="50" t="s">
        <v>2200</v>
      </c>
      <c r="I436" s="50" t="s">
        <v>2200</v>
      </c>
      <c r="J436" s="104" t="s">
        <v>2303</v>
      </c>
      <c r="K436" s="10">
        <v>46032</v>
      </c>
      <c r="L436" s="29" t="s">
        <v>22</v>
      </c>
      <c r="M436" s="5"/>
    </row>
    <row r="437" spans="1:13" ht="31.5">
      <c r="A437" s="5">
        <v>436</v>
      </c>
      <c r="B437" s="29" t="s">
        <v>730</v>
      </c>
      <c r="C437" s="29" t="s">
        <v>731</v>
      </c>
      <c r="D437" s="29" t="s">
        <v>922</v>
      </c>
      <c r="E437" s="29" t="s">
        <v>923</v>
      </c>
      <c r="F437" s="8" t="s">
        <v>2302</v>
      </c>
      <c r="G437" s="29" t="s">
        <v>924</v>
      </c>
      <c r="H437" s="50" t="s">
        <v>2200</v>
      </c>
      <c r="I437" s="50" t="s">
        <v>2200</v>
      </c>
      <c r="J437" s="104" t="s">
        <v>2303</v>
      </c>
      <c r="K437" s="10">
        <v>46032</v>
      </c>
      <c r="L437" s="29" t="s">
        <v>22</v>
      </c>
      <c r="M437" s="5"/>
    </row>
    <row r="438" spans="1:13" ht="31.5">
      <c r="A438" s="5">
        <v>437</v>
      </c>
      <c r="B438" s="29" t="s">
        <v>730</v>
      </c>
      <c r="C438" s="29" t="s">
        <v>731</v>
      </c>
      <c r="D438" s="29" t="s">
        <v>925</v>
      </c>
      <c r="E438" s="29" t="s">
        <v>926</v>
      </c>
      <c r="F438" s="8" t="s">
        <v>2302</v>
      </c>
      <c r="G438" s="29" t="s">
        <v>927</v>
      </c>
      <c r="H438" s="50" t="s">
        <v>2200</v>
      </c>
      <c r="I438" s="50" t="s">
        <v>2200</v>
      </c>
      <c r="J438" s="104" t="s">
        <v>2303</v>
      </c>
      <c r="K438" s="10">
        <v>46032</v>
      </c>
      <c r="L438" s="29" t="s">
        <v>22</v>
      </c>
      <c r="M438" s="5"/>
    </row>
    <row r="439" spans="1:13" ht="31.5">
      <c r="A439" s="5">
        <v>438</v>
      </c>
      <c r="B439" s="29" t="s">
        <v>730</v>
      </c>
      <c r="C439" s="29" t="s">
        <v>731</v>
      </c>
      <c r="D439" s="29" t="s">
        <v>928</v>
      </c>
      <c r="E439" s="29" t="s">
        <v>929</v>
      </c>
      <c r="F439" s="8" t="s">
        <v>2302</v>
      </c>
      <c r="G439" s="29" t="s">
        <v>930</v>
      </c>
      <c r="H439" s="50" t="s">
        <v>2200</v>
      </c>
      <c r="I439" s="50" t="s">
        <v>2200</v>
      </c>
      <c r="J439" s="104" t="s">
        <v>2303</v>
      </c>
      <c r="K439" s="10">
        <v>46032</v>
      </c>
      <c r="L439" s="29" t="s">
        <v>22</v>
      </c>
      <c r="M439" s="56"/>
    </row>
    <row r="440" spans="1:13" ht="31.5">
      <c r="A440" s="5">
        <v>439</v>
      </c>
      <c r="B440" s="29" t="s">
        <v>730</v>
      </c>
      <c r="C440" s="29" t="s">
        <v>731</v>
      </c>
      <c r="D440" s="29" t="s">
        <v>931</v>
      </c>
      <c r="E440" s="29" t="s">
        <v>932</v>
      </c>
      <c r="F440" s="8" t="s">
        <v>2302</v>
      </c>
      <c r="G440" s="29" t="s">
        <v>933</v>
      </c>
      <c r="H440" s="50" t="s">
        <v>2200</v>
      </c>
      <c r="I440" s="50" t="s">
        <v>2200</v>
      </c>
      <c r="J440" s="104" t="s">
        <v>2303</v>
      </c>
      <c r="K440" s="10">
        <v>46032</v>
      </c>
      <c r="L440" s="29" t="s">
        <v>22</v>
      </c>
      <c r="M440" s="5"/>
    </row>
    <row r="441" spans="1:13" ht="31.5">
      <c r="A441" s="5">
        <v>440</v>
      </c>
      <c r="B441" s="29" t="s">
        <v>730</v>
      </c>
      <c r="C441" s="29" t="s">
        <v>731</v>
      </c>
      <c r="D441" s="29" t="s">
        <v>934</v>
      </c>
      <c r="E441" s="29" t="s">
        <v>935</v>
      </c>
      <c r="F441" s="8" t="s">
        <v>2302</v>
      </c>
      <c r="G441" s="29" t="s">
        <v>936</v>
      </c>
      <c r="H441" s="50" t="s">
        <v>2200</v>
      </c>
      <c r="I441" s="50" t="s">
        <v>2200</v>
      </c>
      <c r="J441" s="104" t="s">
        <v>2303</v>
      </c>
      <c r="K441" s="10">
        <v>46032</v>
      </c>
      <c r="L441" s="29" t="s">
        <v>22</v>
      </c>
      <c r="M441" s="5"/>
    </row>
    <row r="442" spans="1:13" ht="31.5">
      <c r="A442" s="5">
        <v>441</v>
      </c>
      <c r="B442" s="29" t="s">
        <v>730</v>
      </c>
      <c r="C442" s="32" t="s">
        <v>731</v>
      </c>
      <c r="D442" s="29" t="s">
        <v>937</v>
      </c>
      <c r="E442" s="29" t="s">
        <v>938</v>
      </c>
      <c r="F442" s="8" t="s">
        <v>2302</v>
      </c>
      <c r="G442" s="29" t="s">
        <v>939</v>
      </c>
      <c r="H442" s="50" t="s">
        <v>2200</v>
      </c>
      <c r="I442" s="50" t="s">
        <v>2200</v>
      </c>
      <c r="J442" s="104" t="s">
        <v>2303</v>
      </c>
      <c r="K442" s="10">
        <v>46032</v>
      </c>
      <c r="L442" s="29" t="s">
        <v>22</v>
      </c>
      <c r="M442" s="56"/>
    </row>
    <row r="443" spans="1:13" ht="31.5">
      <c r="A443" s="5">
        <v>442</v>
      </c>
      <c r="B443" s="29" t="s">
        <v>730</v>
      </c>
      <c r="C443" s="29" t="s">
        <v>731</v>
      </c>
      <c r="D443" s="29" t="s">
        <v>940</v>
      </c>
      <c r="E443" s="29" t="s">
        <v>941</v>
      </c>
      <c r="F443" s="8" t="s">
        <v>2302</v>
      </c>
      <c r="G443" s="29" t="s">
        <v>942</v>
      </c>
      <c r="H443" s="50" t="s">
        <v>2200</v>
      </c>
      <c r="I443" s="50" t="s">
        <v>2200</v>
      </c>
      <c r="J443" s="104" t="s">
        <v>2303</v>
      </c>
      <c r="K443" s="10">
        <v>46032</v>
      </c>
      <c r="L443" s="29" t="s">
        <v>22</v>
      </c>
      <c r="M443" s="56"/>
    </row>
    <row r="444" spans="1:13" ht="31.5">
      <c r="A444" s="5">
        <v>443</v>
      </c>
      <c r="B444" s="29" t="s">
        <v>730</v>
      </c>
      <c r="C444" s="29" t="s">
        <v>731</v>
      </c>
      <c r="D444" s="29" t="s">
        <v>943</v>
      </c>
      <c r="E444" s="29" t="s">
        <v>944</v>
      </c>
      <c r="F444" s="8" t="s">
        <v>2302</v>
      </c>
      <c r="G444" s="29" t="s">
        <v>945</v>
      </c>
      <c r="H444" s="50" t="s">
        <v>2200</v>
      </c>
      <c r="I444" s="50" t="s">
        <v>2200</v>
      </c>
      <c r="J444" s="104" t="s">
        <v>2303</v>
      </c>
      <c r="K444" s="10">
        <v>46032</v>
      </c>
      <c r="L444" s="29" t="s">
        <v>22</v>
      </c>
      <c r="M444" s="56"/>
    </row>
    <row r="445" spans="1:13" ht="31.5">
      <c r="A445" s="5">
        <v>444</v>
      </c>
      <c r="B445" s="29" t="s">
        <v>730</v>
      </c>
      <c r="C445" s="29" t="s">
        <v>731</v>
      </c>
      <c r="D445" s="29" t="s">
        <v>946</v>
      </c>
      <c r="E445" s="29" t="s">
        <v>947</v>
      </c>
      <c r="F445" s="8" t="s">
        <v>2302</v>
      </c>
      <c r="G445" s="29" t="s">
        <v>948</v>
      </c>
      <c r="H445" s="50" t="s">
        <v>2200</v>
      </c>
      <c r="I445" s="50" t="s">
        <v>2200</v>
      </c>
      <c r="J445" s="104" t="s">
        <v>2303</v>
      </c>
      <c r="K445" s="10">
        <v>46032</v>
      </c>
      <c r="L445" s="29" t="s">
        <v>22</v>
      </c>
      <c r="M445" s="56"/>
    </row>
    <row r="446" spans="1:13" ht="31.5">
      <c r="A446" s="5">
        <v>445</v>
      </c>
      <c r="B446" s="29" t="s">
        <v>730</v>
      </c>
      <c r="C446" s="29" t="s">
        <v>731</v>
      </c>
      <c r="D446" s="29" t="s">
        <v>1765</v>
      </c>
      <c r="E446" s="29" t="s">
        <v>892</v>
      </c>
      <c r="F446" s="8" t="s">
        <v>2302</v>
      </c>
      <c r="G446" s="29" t="s">
        <v>893</v>
      </c>
      <c r="H446" s="50" t="s">
        <v>2200</v>
      </c>
      <c r="I446" s="50" t="s">
        <v>2200</v>
      </c>
      <c r="J446" s="104" t="s">
        <v>2303</v>
      </c>
      <c r="K446" s="10">
        <v>46032</v>
      </c>
      <c r="L446" s="29" t="s">
        <v>22</v>
      </c>
      <c r="M446" s="56"/>
    </row>
    <row r="447" spans="1:13" ht="31.5">
      <c r="A447" s="5">
        <v>446</v>
      </c>
      <c r="B447" s="29" t="s">
        <v>730</v>
      </c>
      <c r="C447" s="29" t="s">
        <v>731</v>
      </c>
      <c r="D447" s="29" t="s">
        <v>951</v>
      </c>
      <c r="E447" s="29" t="s">
        <v>952</v>
      </c>
      <c r="F447" s="8" t="s">
        <v>2302</v>
      </c>
      <c r="G447" s="29" t="s">
        <v>953</v>
      </c>
      <c r="H447" s="50" t="s">
        <v>2200</v>
      </c>
      <c r="I447" s="50" t="s">
        <v>2200</v>
      </c>
      <c r="J447" s="104" t="s">
        <v>2303</v>
      </c>
      <c r="K447" s="10">
        <v>46032</v>
      </c>
      <c r="L447" s="29" t="s">
        <v>22</v>
      </c>
      <c r="M447" s="56"/>
    </row>
    <row r="448" spans="1:13" ht="31.5">
      <c r="A448" s="5">
        <v>447</v>
      </c>
      <c r="B448" s="29" t="s">
        <v>730</v>
      </c>
      <c r="C448" s="29" t="s">
        <v>731</v>
      </c>
      <c r="D448" s="29" t="s">
        <v>954</v>
      </c>
      <c r="E448" s="29" t="s">
        <v>955</v>
      </c>
      <c r="F448" s="8" t="s">
        <v>2302</v>
      </c>
      <c r="G448" s="29" t="s">
        <v>956</v>
      </c>
      <c r="H448" s="50" t="s">
        <v>2200</v>
      </c>
      <c r="I448" s="50" t="s">
        <v>2200</v>
      </c>
      <c r="J448" s="104" t="s">
        <v>2303</v>
      </c>
      <c r="K448" s="10">
        <v>46032</v>
      </c>
      <c r="L448" s="29" t="s">
        <v>22</v>
      </c>
      <c r="M448" s="56"/>
    </row>
    <row r="449" spans="1:13" ht="31.5">
      <c r="A449" s="5">
        <v>448</v>
      </c>
      <c r="B449" s="29" t="s">
        <v>730</v>
      </c>
      <c r="C449" s="29" t="s">
        <v>731</v>
      </c>
      <c r="D449" s="29" t="s">
        <v>957</v>
      </c>
      <c r="E449" s="29" t="s">
        <v>958</v>
      </c>
      <c r="F449" s="8" t="s">
        <v>2302</v>
      </c>
      <c r="G449" s="29" t="s">
        <v>959</v>
      </c>
      <c r="H449" s="50" t="s">
        <v>2200</v>
      </c>
      <c r="I449" s="50" t="s">
        <v>2200</v>
      </c>
      <c r="J449" s="104" t="s">
        <v>2303</v>
      </c>
      <c r="K449" s="10">
        <v>46032</v>
      </c>
      <c r="L449" s="29" t="s">
        <v>22</v>
      </c>
      <c r="M449" s="5"/>
    </row>
    <row r="450" spans="1:13" ht="31.5">
      <c r="A450" s="5">
        <v>449</v>
      </c>
      <c r="B450" s="29" t="s">
        <v>730</v>
      </c>
      <c r="C450" s="29" t="s">
        <v>731</v>
      </c>
      <c r="D450" s="29" t="s">
        <v>960</v>
      </c>
      <c r="E450" s="29" t="s">
        <v>961</v>
      </c>
      <c r="F450" s="8" t="s">
        <v>2302</v>
      </c>
      <c r="G450" s="29" t="s">
        <v>962</v>
      </c>
      <c r="H450" s="50" t="s">
        <v>2200</v>
      </c>
      <c r="I450" s="50" t="s">
        <v>2200</v>
      </c>
      <c r="J450" s="104" t="s">
        <v>2303</v>
      </c>
      <c r="K450" s="10">
        <v>46032</v>
      </c>
      <c r="L450" s="29" t="s">
        <v>22</v>
      </c>
      <c r="M450" s="56"/>
    </row>
    <row r="451" spans="1:13" ht="31.5">
      <c r="A451" s="5">
        <v>450</v>
      </c>
      <c r="B451" s="29" t="s">
        <v>730</v>
      </c>
      <c r="C451" s="29" t="s">
        <v>731</v>
      </c>
      <c r="D451" s="29" t="s">
        <v>963</v>
      </c>
      <c r="E451" s="29" t="s">
        <v>964</v>
      </c>
      <c r="F451" s="8" t="s">
        <v>2302</v>
      </c>
      <c r="G451" s="29" t="s">
        <v>965</v>
      </c>
      <c r="H451" s="50" t="s">
        <v>2200</v>
      </c>
      <c r="I451" s="50" t="s">
        <v>2200</v>
      </c>
      <c r="J451" s="104" t="s">
        <v>2303</v>
      </c>
      <c r="K451" s="10">
        <v>46032</v>
      </c>
      <c r="L451" s="29" t="s">
        <v>22</v>
      </c>
      <c r="M451" s="56"/>
    </row>
    <row r="452" spans="1:13" ht="31.5">
      <c r="A452" s="5">
        <v>451</v>
      </c>
      <c r="B452" s="29" t="s">
        <v>730</v>
      </c>
      <c r="C452" s="29" t="s">
        <v>731</v>
      </c>
      <c r="D452" s="29" t="s">
        <v>966</v>
      </c>
      <c r="E452" s="29" t="s">
        <v>967</v>
      </c>
      <c r="F452" s="8" t="s">
        <v>2302</v>
      </c>
      <c r="G452" s="29" t="s">
        <v>968</v>
      </c>
      <c r="H452" s="50" t="s">
        <v>2200</v>
      </c>
      <c r="I452" s="50" t="s">
        <v>2200</v>
      </c>
      <c r="J452" s="104" t="s">
        <v>2303</v>
      </c>
      <c r="K452" s="10">
        <v>46032</v>
      </c>
      <c r="L452" s="29" t="s">
        <v>22</v>
      </c>
      <c r="M452" s="56"/>
    </row>
    <row r="453" spans="1:13" ht="31.5">
      <c r="A453" s="5">
        <v>452</v>
      </c>
      <c r="B453" s="29" t="s">
        <v>730</v>
      </c>
      <c r="C453" s="29" t="s">
        <v>731</v>
      </c>
      <c r="D453" s="29" t="s">
        <v>969</v>
      </c>
      <c r="E453" s="29" t="s">
        <v>970</v>
      </c>
      <c r="F453" s="8" t="s">
        <v>2302</v>
      </c>
      <c r="G453" s="29" t="s">
        <v>971</v>
      </c>
      <c r="H453" s="50" t="s">
        <v>2200</v>
      </c>
      <c r="I453" s="50" t="s">
        <v>2200</v>
      </c>
      <c r="J453" s="104" t="s">
        <v>2303</v>
      </c>
      <c r="K453" s="10">
        <v>46032</v>
      </c>
      <c r="L453" s="29" t="s">
        <v>22</v>
      </c>
      <c r="M453" s="56"/>
    </row>
    <row r="454" spans="1:13" ht="31.5">
      <c r="A454" s="5">
        <v>453</v>
      </c>
      <c r="B454" s="29" t="s">
        <v>730</v>
      </c>
      <c r="C454" s="29" t="s">
        <v>731</v>
      </c>
      <c r="D454" s="29" t="s">
        <v>972</v>
      </c>
      <c r="E454" s="29" t="s">
        <v>973</v>
      </c>
      <c r="F454" s="8" t="s">
        <v>2302</v>
      </c>
      <c r="G454" s="29" t="s">
        <v>1978</v>
      </c>
      <c r="H454" s="50" t="s">
        <v>2200</v>
      </c>
      <c r="I454" s="50" t="s">
        <v>2200</v>
      </c>
      <c r="J454" s="104" t="s">
        <v>2303</v>
      </c>
      <c r="K454" s="10">
        <v>46032</v>
      </c>
      <c r="L454" s="29" t="s">
        <v>22</v>
      </c>
      <c r="M454" s="56"/>
    </row>
    <row r="455" spans="1:13" ht="31.5">
      <c r="A455" s="5">
        <v>454</v>
      </c>
      <c r="B455" s="29" t="s">
        <v>730</v>
      </c>
      <c r="C455" s="29" t="s">
        <v>731</v>
      </c>
      <c r="D455" s="29" t="s">
        <v>974</v>
      </c>
      <c r="E455" s="29" t="s">
        <v>975</v>
      </c>
      <c r="F455" s="8" t="s">
        <v>2302</v>
      </c>
      <c r="G455" s="29" t="s">
        <v>976</v>
      </c>
      <c r="H455" s="50" t="s">
        <v>2200</v>
      </c>
      <c r="I455" s="50" t="s">
        <v>2200</v>
      </c>
      <c r="J455" s="104" t="s">
        <v>2303</v>
      </c>
      <c r="K455" s="10">
        <v>46032</v>
      </c>
      <c r="L455" s="29" t="s">
        <v>22</v>
      </c>
      <c r="M455" s="56"/>
    </row>
    <row r="456" spans="1:13" ht="31.5">
      <c r="A456" s="5">
        <v>455</v>
      </c>
      <c r="B456" s="29" t="s">
        <v>730</v>
      </c>
      <c r="C456" s="29" t="s">
        <v>731</v>
      </c>
      <c r="D456" s="29" t="s">
        <v>977</v>
      </c>
      <c r="E456" s="29" t="s">
        <v>978</v>
      </c>
      <c r="F456" s="8" t="s">
        <v>2302</v>
      </c>
      <c r="G456" s="29" t="s">
        <v>979</v>
      </c>
      <c r="H456" s="50" t="s">
        <v>2200</v>
      </c>
      <c r="I456" s="50" t="s">
        <v>2200</v>
      </c>
      <c r="J456" s="104" t="s">
        <v>2303</v>
      </c>
      <c r="K456" s="10">
        <v>46032</v>
      </c>
      <c r="L456" s="29" t="s">
        <v>22</v>
      </c>
      <c r="M456" s="56"/>
    </row>
    <row r="457" spans="1:13" ht="31.5">
      <c r="A457" s="5">
        <v>456</v>
      </c>
      <c r="B457" s="29" t="s">
        <v>730</v>
      </c>
      <c r="C457" s="29" t="s">
        <v>731</v>
      </c>
      <c r="D457" s="29" t="s">
        <v>980</v>
      </c>
      <c r="E457" s="29" t="s">
        <v>981</v>
      </c>
      <c r="F457" s="8" t="s">
        <v>2302</v>
      </c>
      <c r="G457" s="29" t="s">
        <v>1979</v>
      </c>
      <c r="H457" s="50" t="s">
        <v>2200</v>
      </c>
      <c r="I457" s="50" t="s">
        <v>2200</v>
      </c>
      <c r="J457" s="104" t="s">
        <v>2303</v>
      </c>
      <c r="K457" s="10">
        <v>46032</v>
      </c>
      <c r="L457" s="29" t="s">
        <v>22</v>
      </c>
      <c r="M457" s="56"/>
    </row>
    <row r="458" spans="1:13" ht="31.5">
      <c r="A458" s="5">
        <v>457</v>
      </c>
      <c r="B458" s="29" t="s">
        <v>730</v>
      </c>
      <c r="C458" s="29" t="s">
        <v>731</v>
      </c>
      <c r="D458" s="29" t="s">
        <v>988</v>
      </c>
      <c r="E458" s="29" t="s">
        <v>989</v>
      </c>
      <c r="F458" s="8" t="s">
        <v>2302</v>
      </c>
      <c r="G458" s="29" t="s">
        <v>990</v>
      </c>
      <c r="H458" s="50" t="s">
        <v>2200</v>
      </c>
      <c r="I458" s="50" t="s">
        <v>2200</v>
      </c>
      <c r="J458" s="104" t="s">
        <v>2303</v>
      </c>
      <c r="K458" s="10">
        <v>46032</v>
      </c>
      <c r="L458" s="29" t="s">
        <v>22</v>
      </c>
      <c r="M458" s="56"/>
    </row>
    <row r="459" spans="1:13" ht="31.5">
      <c r="A459" s="5">
        <v>458</v>
      </c>
      <c r="B459" s="29" t="s">
        <v>730</v>
      </c>
      <c r="C459" s="29" t="s">
        <v>731</v>
      </c>
      <c r="D459" s="29" t="s">
        <v>982</v>
      </c>
      <c r="E459" s="29" t="s">
        <v>983</v>
      </c>
      <c r="F459" s="8" t="s">
        <v>2302</v>
      </c>
      <c r="G459" s="29" t="s">
        <v>984</v>
      </c>
      <c r="H459" s="50" t="s">
        <v>2200</v>
      </c>
      <c r="I459" s="50" t="s">
        <v>2200</v>
      </c>
      <c r="J459" s="104" t="s">
        <v>2303</v>
      </c>
      <c r="K459" s="10">
        <v>46032</v>
      </c>
      <c r="L459" s="29" t="s">
        <v>22</v>
      </c>
      <c r="M459" s="56"/>
    </row>
    <row r="460" spans="1:13" ht="31.5">
      <c r="A460" s="5">
        <v>459</v>
      </c>
      <c r="B460" s="29" t="s">
        <v>730</v>
      </c>
      <c r="C460" s="29" t="s">
        <v>731</v>
      </c>
      <c r="D460" s="29" t="s">
        <v>1980</v>
      </c>
      <c r="E460" s="29" t="s">
        <v>1981</v>
      </c>
      <c r="F460" s="8" t="s">
        <v>2302</v>
      </c>
      <c r="G460" s="29" t="s">
        <v>1982</v>
      </c>
      <c r="H460" s="50" t="s">
        <v>2200</v>
      </c>
      <c r="I460" s="50" t="s">
        <v>2200</v>
      </c>
      <c r="J460" s="104" t="s">
        <v>2303</v>
      </c>
      <c r="K460" s="10">
        <v>46032</v>
      </c>
      <c r="L460" s="29" t="s">
        <v>22</v>
      </c>
      <c r="M460" s="5"/>
    </row>
    <row r="461" spans="1:13" ht="31.5">
      <c r="A461" s="5">
        <v>460</v>
      </c>
      <c r="B461" s="29" t="s">
        <v>730</v>
      </c>
      <c r="C461" s="29" t="s">
        <v>731</v>
      </c>
      <c r="D461" s="29" t="s">
        <v>907</v>
      </c>
      <c r="E461" s="29" t="s">
        <v>908</v>
      </c>
      <c r="F461" s="8" t="s">
        <v>2302</v>
      </c>
      <c r="G461" s="29" t="s">
        <v>909</v>
      </c>
      <c r="H461" s="50" t="s">
        <v>2200</v>
      </c>
      <c r="I461" s="50" t="s">
        <v>2200</v>
      </c>
      <c r="J461" s="104" t="s">
        <v>2303</v>
      </c>
      <c r="K461" s="10">
        <v>46032</v>
      </c>
      <c r="L461" s="29" t="s">
        <v>22</v>
      </c>
      <c r="M461" s="5"/>
    </row>
    <row r="462" spans="1:13" ht="31.5">
      <c r="A462" s="5">
        <v>461</v>
      </c>
      <c r="B462" s="29" t="s">
        <v>730</v>
      </c>
      <c r="C462" s="29" t="s">
        <v>731</v>
      </c>
      <c r="D462" s="29" t="s">
        <v>1983</v>
      </c>
      <c r="E462" s="29" t="s">
        <v>1984</v>
      </c>
      <c r="F462" s="8" t="s">
        <v>2302</v>
      </c>
      <c r="G462" s="29" t="s">
        <v>816</v>
      </c>
      <c r="H462" s="50" t="s">
        <v>2200</v>
      </c>
      <c r="I462" s="50" t="s">
        <v>2200</v>
      </c>
      <c r="J462" s="104" t="s">
        <v>2303</v>
      </c>
      <c r="K462" s="10">
        <v>46032</v>
      </c>
      <c r="L462" s="29" t="s">
        <v>22</v>
      </c>
      <c r="M462" s="56"/>
    </row>
    <row r="463" spans="1:13" ht="31.5">
      <c r="A463" s="5">
        <v>462</v>
      </c>
      <c r="B463" s="29" t="s">
        <v>730</v>
      </c>
      <c r="C463" s="29" t="s">
        <v>731</v>
      </c>
      <c r="D463" s="29" t="s">
        <v>1760</v>
      </c>
      <c r="E463" s="29" t="s">
        <v>18</v>
      </c>
      <c r="F463" s="8" t="s">
        <v>2302</v>
      </c>
      <c r="G463" s="29" t="s">
        <v>1985</v>
      </c>
      <c r="H463" s="50" t="s">
        <v>2200</v>
      </c>
      <c r="I463" s="50" t="s">
        <v>2200</v>
      </c>
      <c r="J463" s="104" t="s">
        <v>2303</v>
      </c>
      <c r="K463" s="10">
        <v>46032</v>
      </c>
      <c r="L463" s="29" t="s">
        <v>22</v>
      </c>
      <c r="M463" s="56"/>
    </row>
    <row r="464" spans="1:13" ht="31.5">
      <c r="A464" s="5">
        <v>463</v>
      </c>
      <c r="B464" s="29" t="s">
        <v>730</v>
      </c>
      <c r="C464" s="29" t="s">
        <v>731</v>
      </c>
      <c r="D464" s="29" t="s">
        <v>998</v>
      </c>
      <c r="E464" s="29" t="s">
        <v>18</v>
      </c>
      <c r="F464" s="8" t="s">
        <v>2302</v>
      </c>
      <c r="G464" s="29" t="s">
        <v>757</v>
      </c>
      <c r="H464" s="50" t="s">
        <v>2200</v>
      </c>
      <c r="I464" s="50" t="s">
        <v>2200</v>
      </c>
      <c r="J464" s="104" t="s">
        <v>2303</v>
      </c>
      <c r="K464" s="10">
        <v>46032</v>
      </c>
      <c r="L464" s="29" t="s">
        <v>22</v>
      </c>
      <c r="M464" s="5"/>
    </row>
    <row r="465" spans="1:13" ht="31.5">
      <c r="A465" s="5">
        <v>464</v>
      </c>
      <c r="B465" s="29" t="s">
        <v>730</v>
      </c>
      <c r="C465" s="29" t="s">
        <v>731</v>
      </c>
      <c r="D465" s="29" t="s">
        <v>996</v>
      </c>
      <c r="E465" s="29" t="s">
        <v>18</v>
      </c>
      <c r="F465" s="8" t="s">
        <v>2302</v>
      </c>
      <c r="G465" s="29" t="s">
        <v>997</v>
      </c>
      <c r="H465" s="50" t="s">
        <v>2200</v>
      </c>
      <c r="I465" s="50" t="s">
        <v>2200</v>
      </c>
      <c r="J465" s="104" t="s">
        <v>2303</v>
      </c>
      <c r="K465" s="10">
        <v>46032</v>
      </c>
      <c r="L465" s="29" t="s">
        <v>22</v>
      </c>
      <c r="M465" s="56"/>
    </row>
    <row r="466" spans="1:13" ht="31.5">
      <c r="A466" s="5">
        <v>465</v>
      </c>
      <c r="B466" s="29" t="s">
        <v>730</v>
      </c>
      <c r="C466" s="29" t="s">
        <v>731</v>
      </c>
      <c r="D466" s="29" t="s">
        <v>1986</v>
      </c>
      <c r="E466" s="29" t="s">
        <v>18</v>
      </c>
      <c r="F466" s="8" t="s">
        <v>2302</v>
      </c>
      <c r="G466" s="29" t="s">
        <v>1987</v>
      </c>
      <c r="H466" s="50" t="s">
        <v>2200</v>
      </c>
      <c r="I466" s="50" t="s">
        <v>2200</v>
      </c>
      <c r="J466" s="104" t="s">
        <v>2303</v>
      </c>
      <c r="K466" s="10">
        <v>46032</v>
      </c>
      <c r="L466" s="29" t="s">
        <v>22</v>
      </c>
      <c r="M466" s="5"/>
    </row>
    <row r="467" spans="1:13" ht="31.5">
      <c r="A467" s="5">
        <v>466</v>
      </c>
      <c r="B467" s="29" t="s">
        <v>730</v>
      </c>
      <c r="C467" s="29" t="s">
        <v>731</v>
      </c>
      <c r="D467" s="29" t="s">
        <v>993</v>
      </c>
      <c r="E467" s="29" t="s">
        <v>18</v>
      </c>
      <c r="F467" s="8" t="s">
        <v>2302</v>
      </c>
      <c r="G467" s="29" t="s">
        <v>754</v>
      </c>
      <c r="H467" s="50" t="s">
        <v>2200</v>
      </c>
      <c r="I467" s="50" t="s">
        <v>2200</v>
      </c>
      <c r="J467" s="104" t="s">
        <v>2303</v>
      </c>
      <c r="K467" s="10">
        <v>46032</v>
      </c>
      <c r="L467" s="29" t="s">
        <v>22</v>
      </c>
      <c r="M467" s="56"/>
    </row>
    <row r="468" spans="1:13" ht="31.5">
      <c r="A468" s="5">
        <v>467</v>
      </c>
      <c r="B468" s="29" t="s">
        <v>730</v>
      </c>
      <c r="C468" s="29" t="s">
        <v>731</v>
      </c>
      <c r="D468" s="29" t="s">
        <v>1761</v>
      </c>
      <c r="E468" s="29" t="s">
        <v>18</v>
      </c>
      <c r="F468" s="8" t="s">
        <v>2302</v>
      </c>
      <c r="G468" s="29" t="s">
        <v>906</v>
      </c>
      <c r="H468" s="50" t="s">
        <v>2200</v>
      </c>
      <c r="I468" s="50" t="s">
        <v>2200</v>
      </c>
      <c r="J468" s="104" t="s">
        <v>2303</v>
      </c>
      <c r="K468" s="10">
        <v>46032</v>
      </c>
      <c r="L468" s="29" t="s">
        <v>22</v>
      </c>
      <c r="M468" s="56"/>
    </row>
    <row r="469" spans="1:13" ht="31.5">
      <c r="A469" s="5">
        <v>468</v>
      </c>
      <c r="B469" s="29" t="s">
        <v>730</v>
      </c>
      <c r="C469" s="29" t="s">
        <v>731</v>
      </c>
      <c r="D469" s="29" t="s">
        <v>1762</v>
      </c>
      <c r="E469" s="29" t="s">
        <v>18</v>
      </c>
      <c r="F469" s="8" t="s">
        <v>2302</v>
      </c>
      <c r="G469" s="29" t="s">
        <v>1988</v>
      </c>
      <c r="H469" s="50" t="s">
        <v>2200</v>
      </c>
      <c r="I469" s="50" t="s">
        <v>2200</v>
      </c>
      <c r="J469" s="104" t="s">
        <v>2303</v>
      </c>
      <c r="K469" s="10">
        <v>46032</v>
      </c>
      <c r="L469" s="29" t="s">
        <v>22</v>
      </c>
      <c r="M469" s="56"/>
    </row>
    <row r="470" spans="1:13" ht="31.5">
      <c r="A470" s="5">
        <v>469</v>
      </c>
      <c r="B470" s="29" t="s">
        <v>730</v>
      </c>
      <c r="C470" s="29" t="s">
        <v>731</v>
      </c>
      <c r="D470" s="29" t="s">
        <v>994</v>
      </c>
      <c r="E470" s="29" t="s">
        <v>18</v>
      </c>
      <c r="F470" s="8" t="s">
        <v>2302</v>
      </c>
      <c r="G470" s="29" t="s">
        <v>995</v>
      </c>
      <c r="H470" s="50" t="s">
        <v>2200</v>
      </c>
      <c r="I470" s="50" t="s">
        <v>2200</v>
      </c>
      <c r="J470" s="104" t="s">
        <v>2303</v>
      </c>
      <c r="K470" s="10">
        <v>46032</v>
      </c>
      <c r="L470" s="29" t="s">
        <v>22</v>
      </c>
      <c r="M470" s="5"/>
    </row>
    <row r="471" spans="1:13" ht="31.5">
      <c r="A471" s="5">
        <v>470</v>
      </c>
      <c r="B471" s="29" t="s">
        <v>730</v>
      </c>
      <c r="C471" s="29" t="s">
        <v>731</v>
      </c>
      <c r="D471" s="29" t="s">
        <v>1989</v>
      </c>
      <c r="E471" s="29" t="s">
        <v>18</v>
      </c>
      <c r="F471" s="8" t="s">
        <v>2302</v>
      </c>
      <c r="G471" s="29" t="s">
        <v>1990</v>
      </c>
      <c r="H471" s="50" t="s">
        <v>2200</v>
      </c>
      <c r="I471" s="50" t="s">
        <v>2200</v>
      </c>
      <c r="J471" s="104" t="s">
        <v>2303</v>
      </c>
      <c r="K471" s="10">
        <v>46032</v>
      </c>
      <c r="L471" s="29" t="s">
        <v>22</v>
      </c>
      <c r="M471" s="5"/>
    </row>
    <row r="472" spans="1:13" ht="31.5">
      <c r="A472" s="5">
        <v>471</v>
      </c>
      <c r="B472" s="29" t="s">
        <v>730</v>
      </c>
      <c r="C472" s="29" t="s">
        <v>731</v>
      </c>
      <c r="D472" s="29" t="s">
        <v>1006</v>
      </c>
      <c r="E472" s="29" t="s">
        <v>18</v>
      </c>
      <c r="F472" s="8" t="s">
        <v>2302</v>
      </c>
      <c r="G472" s="29" t="s">
        <v>1007</v>
      </c>
      <c r="H472" s="50" t="s">
        <v>2200</v>
      </c>
      <c r="I472" s="50" t="s">
        <v>2200</v>
      </c>
      <c r="J472" s="104" t="s">
        <v>2303</v>
      </c>
      <c r="K472" s="10">
        <v>46032</v>
      </c>
      <c r="L472" s="29" t="s">
        <v>22</v>
      </c>
      <c r="M472" s="56"/>
    </row>
    <row r="473" spans="1:13" ht="31.5">
      <c r="A473" s="5">
        <v>472</v>
      </c>
      <c r="B473" s="29" t="s">
        <v>730</v>
      </c>
      <c r="C473" s="29" t="s">
        <v>731</v>
      </c>
      <c r="D473" s="29" t="s">
        <v>999</v>
      </c>
      <c r="E473" s="29" t="s">
        <v>18</v>
      </c>
      <c r="F473" s="8" t="s">
        <v>2302</v>
      </c>
      <c r="G473" s="29" t="s">
        <v>859</v>
      </c>
      <c r="H473" s="50" t="s">
        <v>2200</v>
      </c>
      <c r="I473" s="50" t="s">
        <v>2200</v>
      </c>
      <c r="J473" s="104" t="s">
        <v>2303</v>
      </c>
      <c r="K473" s="10">
        <v>46032</v>
      </c>
      <c r="L473" s="29" t="s">
        <v>22</v>
      </c>
      <c r="M473" s="5"/>
    </row>
    <row r="474" spans="1:13" ht="31.5">
      <c r="A474" s="5">
        <v>473</v>
      </c>
      <c r="B474" s="29" t="s">
        <v>730</v>
      </c>
      <c r="C474" s="29" t="s">
        <v>731</v>
      </c>
      <c r="D474" s="29" t="s">
        <v>1008</v>
      </c>
      <c r="E474" s="29" t="s">
        <v>18</v>
      </c>
      <c r="F474" s="8" t="s">
        <v>2302</v>
      </c>
      <c r="G474" s="29" t="s">
        <v>1009</v>
      </c>
      <c r="H474" s="50" t="s">
        <v>2200</v>
      </c>
      <c r="I474" s="50" t="s">
        <v>2200</v>
      </c>
      <c r="J474" s="104" t="s">
        <v>2303</v>
      </c>
      <c r="K474" s="10">
        <v>46032</v>
      </c>
      <c r="L474" s="29" t="s">
        <v>22</v>
      </c>
      <c r="M474" s="56"/>
    </row>
    <row r="475" spans="1:13" ht="31.5">
      <c r="A475" s="5">
        <v>474</v>
      </c>
      <c r="B475" s="29" t="s">
        <v>730</v>
      </c>
      <c r="C475" s="29" t="s">
        <v>731</v>
      </c>
      <c r="D475" s="29" t="s">
        <v>1004</v>
      </c>
      <c r="E475" s="29" t="s">
        <v>18</v>
      </c>
      <c r="F475" s="8" t="s">
        <v>2302</v>
      </c>
      <c r="G475" s="29" t="s">
        <v>1005</v>
      </c>
      <c r="H475" s="50" t="s">
        <v>2200</v>
      </c>
      <c r="I475" s="50" t="s">
        <v>2200</v>
      </c>
      <c r="J475" s="104" t="s">
        <v>2303</v>
      </c>
      <c r="K475" s="10">
        <v>46032</v>
      </c>
      <c r="L475" s="29" t="s">
        <v>22</v>
      </c>
      <c r="M475" s="56"/>
    </row>
    <row r="476" spans="1:13" ht="31.5">
      <c r="A476" s="5">
        <v>475</v>
      </c>
      <c r="B476" s="29" t="s">
        <v>730</v>
      </c>
      <c r="C476" s="29" t="s">
        <v>731</v>
      </c>
      <c r="D476" s="29" t="s">
        <v>1002</v>
      </c>
      <c r="E476" s="29" t="s">
        <v>18</v>
      </c>
      <c r="F476" s="8" t="s">
        <v>2302</v>
      </c>
      <c r="G476" s="29" t="s">
        <v>1003</v>
      </c>
      <c r="H476" s="50" t="s">
        <v>2200</v>
      </c>
      <c r="I476" s="50" t="s">
        <v>2200</v>
      </c>
      <c r="J476" s="104" t="s">
        <v>2303</v>
      </c>
      <c r="K476" s="10">
        <v>46032</v>
      </c>
      <c r="L476" s="29" t="s">
        <v>22</v>
      </c>
      <c r="M476" s="5"/>
    </row>
    <row r="477" spans="1:13" ht="31.5">
      <c r="A477" s="5">
        <v>476</v>
      </c>
      <c r="B477" s="29" t="s">
        <v>730</v>
      </c>
      <c r="C477" s="29" t="s">
        <v>731</v>
      </c>
      <c r="D477" s="29" t="s">
        <v>1000</v>
      </c>
      <c r="E477" s="29" t="s">
        <v>18</v>
      </c>
      <c r="F477" s="8" t="s">
        <v>2302</v>
      </c>
      <c r="G477" s="29" t="s">
        <v>1001</v>
      </c>
      <c r="H477" s="50" t="s">
        <v>2200</v>
      </c>
      <c r="I477" s="50" t="s">
        <v>2200</v>
      </c>
      <c r="J477" s="104" t="s">
        <v>2303</v>
      </c>
      <c r="K477" s="10">
        <v>46032</v>
      </c>
      <c r="L477" s="29" t="s">
        <v>22</v>
      </c>
      <c r="M477" s="56"/>
    </row>
    <row r="478" spans="1:13" ht="31.5">
      <c r="A478" s="5">
        <v>477</v>
      </c>
      <c r="B478" s="29" t="s">
        <v>730</v>
      </c>
      <c r="C478" s="29" t="s">
        <v>731</v>
      </c>
      <c r="D478" s="29" t="s">
        <v>1991</v>
      </c>
      <c r="E478" s="29" t="s">
        <v>18</v>
      </c>
      <c r="F478" s="8" t="s">
        <v>2302</v>
      </c>
      <c r="G478" s="29" t="s">
        <v>1992</v>
      </c>
      <c r="H478" s="50" t="s">
        <v>2200</v>
      </c>
      <c r="I478" s="50" t="s">
        <v>2200</v>
      </c>
      <c r="J478" s="104" t="s">
        <v>2303</v>
      </c>
      <c r="K478" s="10">
        <v>46032</v>
      </c>
      <c r="L478" s="29" t="s">
        <v>22</v>
      </c>
      <c r="M478" s="5"/>
    </row>
    <row r="479" spans="1:13" ht="31.5">
      <c r="A479" s="5">
        <v>478</v>
      </c>
      <c r="B479" s="29" t="s">
        <v>730</v>
      </c>
      <c r="C479" s="29" t="s">
        <v>731</v>
      </c>
      <c r="D479" s="29" t="s">
        <v>1993</v>
      </c>
      <c r="E479" s="29" t="s">
        <v>18</v>
      </c>
      <c r="F479" s="8" t="s">
        <v>2302</v>
      </c>
      <c r="G479" s="29" t="s">
        <v>1994</v>
      </c>
      <c r="H479" s="50" t="s">
        <v>2200</v>
      </c>
      <c r="I479" s="50" t="s">
        <v>2200</v>
      </c>
      <c r="J479" s="104" t="s">
        <v>2303</v>
      </c>
      <c r="K479" s="10">
        <v>46032</v>
      </c>
      <c r="L479" s="29" t="s">
        <v>22</v>
      </c>
      <c r="M479" s="5"/>
    </row>
    <row r="480" spans="1:13" ht="31.5">
      <c r="A480" s="5">
        <v>479</v>
      </c>
      <c r="B480" s="29" t="s">
        <v>730</v>
      </c>
      <c r="C480" s="31" t="s">
        <v>2178</v>
      </c>
      <c r="D480" s="29" t="s">
        <v>1995</v>
      </c>
      <c r="E480" s="29" t="s">
        <v>1996</v>
      </c>
      <c r="F480" s="8" t="s">
        <v>2316</v>
      </c>
      <c r="G480" s="29" t="s">
        <v>1997</v>
      </c>
      <c r="H480" s="50" t="s">
        <v>2321</v>
      </c>
      <c r="I480" s="50" t="s">
        <v>2321</v>
      </c>
      <c r="J480" s="104" t="s">
        <v>2303</v>
      </c>
      <c r="K480" s="10">
        <v>46032</v>
      </c>
      <c r="L480" s="29" t="s">
        <v>20</v>
      </c>
      <c r="M480" s="105" t="s">
        <v>2325</v>
      </c>
    </row>
    <row r="481" spans="1:13" ht="31.5">
      <c r="A481" s="5">
        <v>480</v>
      </c>
      <c r="B481" s="29" t="s">
        <v>730</v>
      </c>
      <c r="C481" s="31" t="s">
        <v>2178</v>
      </c>
      <c r="D481" s="29" t="s">
        <v>1998</v>
      </c>
      <c r="E481" s="29" t="s">
        <v>1999</v>
      </c>
      <c r="F481" s="8" t="s">
        <v>2302</v>
      </c>
      <c r="G481" s="29" t="s">
        <v>2000</v>
      </c>
      <c r="H481" s="50" t="s">
        <v>2200</v>
      </c>
      <c r="I481" s="50" t="s">
        <v>2200</v>
      </c>
      <c r="J481" s="104" t="s">
        <v>2303</v>
      </c>
      <c r="K481" s="10">
        <v>46032</v>
      </c>
      <c r="L481" s="29" t="s">
        <v>20</v>
      </c>
      <c r="M481" s="56"/>
    </row>
    <row r="482" spans="1:13" ht="31.5">
      <c r="A482" s="5">
        <v>481</v>
      </c>
      <c r="B482" s="29" t="s">
        <v>730</v>
      </c>
      <c r="C482" s="31" t="s">
        <v>2178</v>
      </c>
      <c r="D482" s="29" t="s">
        <v>2001</v>
      </c>
      <c r="E482" s="29" t="s">
        <v>2002</v>
      </c>
      <c r="F482" s="8" t="s">
        <v>2317</v>
      </c>
      <c r="G482" s="29" t="s">
        <v>2003</v>
      </c>
      <c r="H482" s="50" t="s">
        <v>2200</v>
      </c>
      <c r="I482" s="50" t="s">
        <v>2200</v>
      </c>
      <c r="J482" s="104" t="s">
        <v>2303</v>
      </c>
      <c r="K482" s="10">
        <v>46032</v>
      </c>
      <c r="L482" s="29" t="s">
        <v>20</v>
      </c>
      <c r="M482" s="56"/>
    </row>
    <row r="483" spans="1:13" ht="31.5">
      <c r="A483" s="5">
        <v>482</v>
      </c>
      <c r="B483" s="29" t="s">
        <v>730</v>
      </c>
      <c r="C483" s="31" t="s">
        <v>2178</v>
      </c>
      <c r="D483" s="29" t="s">
        <v>1010</v>
      </c>
      <c r="E483" s="29" t="s">
        <v>1011</v>
      </c>
      <c r="F483" s="8" t="s">
        <v>2302</v>
      </c>
      <c r="G483" s="29" t="s">
        <v>1012</v>
      </c>
      <c r="H483" s="50" t="s">
        <v>2200</v>
      </c>
      <c r="I483" s="50" t="s">
        <v>2200</v>
      </c>
      <c r="J483" s="104" t="s">
        <v>2303</v>
      </c>
      <c r="K483" s="10">
        <v>46032</v>
      </c>
      <c r="L483" s="29" t="s">
        <v>20</v>
      </c>
      <c r="M483" s="56"/>
    </row>
    <row r="484" spans="1:13" ht="31.5">
      <c r="A484" s="5">
        <v>483</v>
      </c>
      <c r="B484" s="29" t="s">
        <v>730</v>
      </c>
      <c r="C484" s="31" t="s">
        <v>2178</v>
      </c>
      <c r="D484" s="29" t="s">
        <v>2004</v>
      </c>
      <c r="E484" s="29" t="s">
        <v>2005</v>
      </c>
      <c r="F484" s="8" t="s">
        <v>2317</v>
      </c>
      <c r="G484" s="29" t="s">
        <v>2006</v>
      </c>
      <c r="H484" s="50" t="s">
        <v>2200</v>
      </c>
      <c r="I484" s="50" t="s">
        <v>2200</v>
      </c>
      <c r="J484" s="104" t="s">
        <v>2303</v>
      </c>
      <c r="K484" s="10">
        <v>46032</v>
      </c>
      <c r="L484" s="29" t="s">
        <v>20</v>
      </c>
      <c r="M484" s="56"/>
    </row>
    <row r="485" spans="1:13" ht="31.5">
      <c r="A485" s="5">
        <v>484</v>
      </c>
      <c r="B485" s="29" t="s">
        <v>730</v>
      </c>
      <c r="C485" s="31" t="s">
        <v>2178</v>
      </c>
      <c r="D485" s="29" t="s">
        <v>2007</v>
      </c>
      <c r="E485" s="29" t="s">
        <v>2008</v>
      </c>
      <c r="F485" s="8" t="s">
        <v>2317</v>
      </c>
      <c r="G485" s="29" t="s">
        <v>2009</v>
      </c>
      <c r="H485" s="50" t="s">
        <v>2200</v>
      </c>
      <c r="I485" s="50" t="s">
        <v>2200</v>
      </c>
      <c r="J485" s="104" t="s">
        <v>2303</v>
      </c>
      <c r="K485" s="10">
        <v>46032</v>
      </c>
      <c r="L485" s="29" t="s">
        <v>20</v>
      </c>
      <c r="M485" s="56"/>
    </row>
    <row r="486" spans="1:13" ht="31.5">
      <c r="A486" s="5">
        <v>485</v>
      </c>
      <c r="B486" s="29" t="s">
        <v>730</v>
      </c>
      <c r="C486" s="31" t="s">
        <v>2178</v>
      </c>
      <c r="D486" s="29" t="s">
        <v>1013</v>
      </c>
      <c r="E486" s="29" t="s">
        <v>1014</v>
      </c>
      <c r="F486" s="8" t="s">
        <v>2302</v>
      </c>
      <c r="G486" s="29" t="s">
        <v>1015</v>
      </c>
      <c r="H486" s="50" t="s">
        <v>2200</v>
      </c>
      <c r="I486" s="50" t="s">
        <v>2200</v>
      </c>
      <c r="J486" s="104" t="s">
        <v>2303</v>
      </c>
      <c r="K486" s="10">
        <v>46032</v>
      </c>
      <c r="L486" s="29" t="s">
        <v>20</v>
      </c>
      <c r="M486" s="56"/>
    </row>
    <row r="487" spans="1:13" ht="31.5">
      <c r="A487" s="5">
        <v>486</v>
      </c>
      <c r="B487" s="29" t="s">
        <v>730</v>
      </c>
      <c r="C487" s="31" t="s">
        <v>2178</v>
      </c>
      <c r="D487" s="29" t="s">
        <v>1016</v>
      </c>
      <c r="E487" s="29" t="s">
        <v>1017</v>
      </c>
      <c r="F487" s="8" t="s">
        <v>2302</v>
      </c>
      <c r="G487" s="29" t="s">
        <v>1018</v>
      </c>
      <c r="H487" s="50" t="s">
        <v>2200</v>
      </c>
      <c r="I487" s="50" t="s">
        <v>2200</v>
      </c>
      <c r="J487" s="104" t="s">
        <v>2303</v>
      </c>
      <c r="K487" s="10">
        <v>46032</v>
      </c>
      <c r="L487" s="29" t="s">
        <v>20</v>
      </c>
      <c r="M487" s="56"/>
    </row>
    <row r="488" spans="1:13" ht="31.5">
      <c r="A488" s="5">
        <v>487</v>
      </c>
      <c r="B488" s="29" t="s">
        <v>730</v>
      </c>
      <c r="C488" s="31" t="s">
        <v>2178</v>
      </c>
      <c r="D488" s="29" t="s">
        <v>1019</v>
      </c>
      <c r="E488" s="29" t="s">
        <v>1020</v>
      </c>
      <c r="F488" s="8" t="s">
        <v>2302</v>
      </c>
      <c r="G488" s="29" t="s">
        <v>1021</v>
      </c>
      <c r="H488" s="50" t="s">
        <v>2200</v>
      </c>
      <c r="I488" s="50" t="s">
        <v>2200</v>
      </c>
      <c r="J488" s="104" t="s">
        <v>2303</v>
      </c>
      <c r="K488" s="10">
        <v>46032</v>
      </c>
      <c r="L488" s="29" t="s">
        <v>20</v>
      </c>
      <c r="M488" s="56"/>
    </row>
    <row r="489" spans="1:13" ht="31.5">
      <c r="A489" s="5">
        <v>488</v>
      </c>
      <c r="B489" s="29" t="s">
        <v>730</v>
      </c>
      <c r="C489" s="31" t="s">
        <v>2178</v>
      </c>
      <c r="D489" s="29" t="s">
        <v>1022</v>
      </c>
      <c r="E489" s="29" t="s">
        <v>1023</v>
      </c>
      <c r="F489" s="8" t="s">
        <v>2302</v>
      </c>
      <c r="G489" s="29" t="s">
        <v>1024</v>
      </c>
      <c r="H489" s="50" t="s">
        <v>2200</v>
      </c>
      <c r="I489" s="50" t="s">
        <v>2200</v>
      </c>
      <c r="J489" s="104" t="s">
        <v>2303</v>
      </c>
      <c r="K489" s="10">
        <v>46032</v>
      </c>
      <c r="L489" s="29" t="s">
        <v>20</v>
      </c>
      <c r="M489" s="5"/>
    </row>
    <row r="490" spans="1:13" ht="31.5">
      <c r="A490" s="5">
        <v>489</v>
      </c>
      <c r="B490" s="29" t="s">
        <v>730</v>
      </c>
      <c r="C490" s="31" t="s">
        <v>2178</v>
      </c>
      <c r="D490" s="29" t="s">
        <v>1025</v>
      </c>
      <c r="E490" s="29" t="s">
        <v>1026</v>
      </c>
      <c r="F490" s="8" t="s">
        <v>2302</v>
      </c>
      <c r="G490" s="29" t="s">
        <v>1027</v>
      </c>
      <c r="H490" s="50" t="s">
        <v>2200</v>
      </c>
      <c r="I490" s="50" t="s">
        <v>2200</v>
      </c>
      <c r="J490" s="104" t="s">
        <v>2303</v>
      </c>
      <c r="K490" s="10">
        <v>46032</v>
      </c>
      <c r="L490" s="29" t="s">
        <v>20</v>
      </c>
      <c r="M490" s="56"/>
    </row>
    <row r="491" spans="1:13" ht="31.5">
      <c r="A491" s="5">
        <v>490</v>
      </c>
      <c r="B491" s="29" t="s">
        <v>730</v>
      </c>
      <c r="C491" s="31" t="s">
        <v>2178</v>
      </c>
      <c r="D491" s="29" t="s">
        <v>1028</v>
      </c>
      <c r="E491" s="29" t="s">
        <v>1029</v>
      </c>
      <c r="F491" s="8" t="s">
        <v>2302</v>
      </c>
      <c r="G491" s="29" t="s">
        <v>1030</v>
      </c>
      <c r="H491" s="50" t="s">
        <v>2200</v>
      </c>
      <c r="I491" s="50" t="s">
        <v>2200</v>
      </c>
      <c r="J491" s="104" t="s">
        <v>2303</v>
      </c>
      <c r="K491" s="10">
        <v>46032</v>
      </c>
      <c r="L491" s="29" t="s">
        <v>20</v>
      </c>
      <c r="M491" s="56"/>
    </row>
    <row r="492" spans="1:13" ht="31.5">
      <c r="A492" s="5">
        <v>491</v>
      </c>
      <c r="B492" s="29" t="s">
        <v>730</v>
      </c>
      <c r="C492" s="31" t="s">
        <v>2178</v>
      </c>
      <c r="D492" s="29" t="s">
        <v>1031</v>
      </c>
      <c r="E492" s="29" t="s">
        <v>1032</v>
      </c>
      <c r="F492" s="8" t="s">
        <v>2302</v>
      </c>
      <c r="G492" s="29" t="s">
        <v>1033</v>
      </c>
      <c r="H492" s="50" t="s">
        <v>2200</v>
      </c>
      <c r="I492" s="50" t="s">
        <v>2200</v>
      </c>
      <c r="J492" s="104" t="s">
        <v>2303</v>
      </c>
      <c r="K492" s="10">
        <v>46032</v>
      </c>
      <c r="L492" s="29" t="s">
        <v>20</v>
      </c>
      <c r="M492" s="5"/>
    </row>
    <row r="493" spans="1:13" ht="31.5">
      <c r="A493" s="5">
        <v>492</v>
      </c>
      <c r="B493" s="29" t="s">
        <v>730</v>
      </c>
      <c r="C493" s="31" t="s">
        <v>2178</v>
      </c>
      <c r="D493" s="29" t="s">
        <v>1034</v>
      </c>
      <c r="E493" s="29" t="s">
        <v>1035</v>
      </c>
      <c r="F493" s="8" t="s">
        <v>2302</v>
      </c>
      <c r="G493" s="29" t="s">
        <v>1036</v>
      </c>
      <c r="H493" s="50" t="s">
        <v>2200</v>
      </c>
      <c r="I493" s="50" t="s">
        <v>2200</v>
      </c>
      <c r="J493" s="104" t="s">
        <v>2303</v>
      </c>
      <c r="K493" s="10">
        <v>46032</v>
      </c>
      <c r="L493" s="29" t="s">
        <v>20</v>
      </c>
      <c r="M493" s="56"/>
    </row>
    <row r="494" spans="1:13" ht="31.5">
      <c r="A494" s="5">
        <v>493</v>
      </c>
      <c r="B494" s="29" t="s">
        <v>730</v>
      </c>
      <c r="C494" s="31" t="s">
        <v>2178</v>
      </c>
      <c r="D494" s="29" t="s">
        <v>1037</v>
      </c>
      <c r="E494" s="29" t="s">
        <v>1038</v>
      </c>
      <c r="F494" s="8" t="s">
        <v>2302</v>
      </c>
      <c r="G494" s="29" t="s">
        <v>1039</v>
      </c>
      <c r="H494" s="50" t="s">
        <v>2200</v>
      </c>
      <c r="I494" s="50" t="s">
        <v>2200</v>
      </c>
      <c r="J494" s="104" t="s">
        <v>2303</v>
      </c>
      <c r="K494" s="10">
        <v>46032</v>
      </c>
      <c r="L494" s="29" t="s">
        <v>20</v>
      </c>
      <c r="M494" s="56"/>
    </row>
    <row r="495" spans="1:13" ht="31.5">
      <c r="A495" s="5">
        <v>494</v>
      </c>
      <c r="B495" s="29" t="s">
        <v>730</v>
      </c>
      <c r="C495" s="31" t="s">
        <v>2178</v>
      </c>
      <c r="D495" s="29" t="s">
        <v>1040</v>
      </c>
      <c r="E495" s="29" t="s">
        <v>1041</v>
      </c>
      <c r="F495" s="8" t="s">
        <v>2302</v>
      </c>
      <c r="G495" s="29" t="s">
        <v>1042</v>
      </c>
      <c r="H495" s="50" t="s">
        <v>2200</v>
      </c>
      <c r="I495" s="50" t="s">
        <v>2200</v>
      </c>
      <c r="J495" s="104" t="s">
        <v>2303</v>
      </c>
      <c r="K495" s="10">
        <v>46032</v>
      </c>
      <c r="L495" s="29" t="s">
        <v>20</v>
      </c>
      <c r="M495" s="5"/>
    </row>
    <row r="496" spans="1:13" ht="31.5">
      <c r="A496" s="5">
        <v>495</v>
      </c>
      <c r="B496" s="29" t="s">
        <v>730</v>
      </c>
      <c r="C496" s="31" t="s">
        <v>2178</v>
      </c>
      <c r="D496" s="29" t="s">
        <v>2010</v>
      </c>
      <c r="E496" s="29" t="s">
        <v>249</v>
      </c>
      <c r="F496" s="8" t="s">
        <v>2302</v>
      </c>
      <c r="G496" s="29" t="s">
        <v>2011</v>
      </c>
      <c r="H496" s="50" t="s">
        <v>2200</v>
      </c>
      <c r="I496" s="50" t="s">
        <v>2200</v>
      </c>
      <c r="J496" s="104" t="s">
        <v>2303</v>
      </c>
      <c r="K496" s="10">
        <v>46032</v>
      </c>
      <c r="L496" s="29" t="s">
        <v>20</v>
      </c>
      <c r="M496" s="5"/>
    </row>
    <row r="497" spans="1:13" ht="31.5">
      <c r="A497" s="5">
        <v>496</v>
      </c>
      <c r="B497" s="29" t="s">
        <v>730</v>
      </c>
      <c r="C497" s="31" t="s">
        <v>2178</v>
      </c>
      <c r="D497" s="29" t="s">
        <v>2012</v>
      </c>
      <c r="E497" s="29" t="s">
        <v>2013</v>
      </c>
      <c r="F497" s="8" t="s">
        <v>2315</v>
      </c>
      <c r="G497" s="29" t="s">
        <v>2014</v>
      </c>
      <c r="H497" s="50" t="s">
        <v>2321</v>
      </c>
      <c r="I497" s="50" t="s">
        <v>2200</v>
      </c>
      <c r="J497" s="104" t="s">
        <v>2303</v>
      </c>
      <c r="K497" s="10">
        <v>46032</v>
      </c>
      <c r="L497" s="29" t="s">
        <v>20</v>
      </c>
      <c r="M497" s="105" t="s">
        <v>2325</v>
      </c>
    </row>
    <row r="498" spans="1:13" ht="31.5">
      <c r="A498" s="5">
        <v>497</v>
      </c>
      <c r="B498" s="29" t="s">
        <v>730</v>
      </c>
      <c r="C498" s="31" t="s">
        <v>2178</v>
      </c>
      <c r="D498" s="29" t="s">
        <v>1767</v>
      </c>
      <c r="E498" s="29" t="s">
        <v>2015</v>
      </c>
      <c r="F498" s="8" t="s">
        <v>2302</v>
      </c>
      <c r="G498" s="29" t="s">
        <v>2016</v>
      </c>
      <c r="H498" s="50" t="s">
        <v>2200</v>
      </c>
      <c r="I498" s="50" t="s">
        <v>2200</v>
      </c>
      <c r="J498" s="104" t="s">
        <v>2303</v>
      </c>
      <c r="K498" s="10">
        <v>46032</v>
      </c>
      <c r="L498" s="29" t="s">
        <v>20</v>
      </c>
      <c r="M498" s="56"/>
    </row>
    <row r="499" spans="1:13" ht="31.5">
      <c r="A499" s="5">
        <v>498</v>
      </c>
      <c r="B499" s="29" t="s">
        <v>730</v>
      </c>
      <c r="C499" s="31" t="s">
        <v>2178</v>
      </c>
      <c r="D499" s="29" t="s">
        <v>1043</v>
      </c>
      <c r="E499" s="29" t="s">
        <v>18</v>
      </c>
      <c r="F499" s="8" t="s">
        <v>2302</v>
      </c>
      <c r="G499" s="29" t="s">
        <v>1044</v>
      </c>
      <c r="H499" s="50" t="s">
        <v>2200</v>
      </c>
      <c r="I499" s="50" t="s">
        <v>2200</v>
      </c>
      <c r="J499" s="104" t="s">
        <v>2303</v>
      </c>
      <c r="K499" s="10">
        <v>46032</v>
      </c>
      <c r="L499" s="29" t="s">
        <v>20</v>
      </c>
      <c r="M499" s="56"/>
    </row>
    <row r="500" spans="1:13" ht="31.5">
      <c r="A500" s="5">
        <v>499</v>
      </c>
      <c r="B500" s="29" t="s">
        <v>730</v>
      </c>
      <c r="C500" s="31" t="s">
        <v>2178</v>
      </c>
      <c r="D500" s="29" t="s">
        <v>2017</v>
      </c>
      <c r="E500" s="29" t="s">
        <v>2018</v>
      </c>
      <c r="F500" s="8" t="s">
        <v>2316</v>
      </c>
      <c r="G500" s="29" t="s">
        <v>2019</v>
      </c>
      <c r="H500" s="50" t="s">
        <v>2321</v>
      </c>
      <c r="I500" s="50" t="s">
        <v>2321</v>
      </c>
      <c r="J500" s="104" t="s">
        <v>2303</v>
      </c>
      <c r="K500" s="10">
        <v>46032</v>
      </c>
      <c r="L500" s="29" t="s">
        <v>20</v>
      </c>
      <c r="M500" s="105" t="s">
        <v>2325</v>
      </c>
    </row>
    <row r="501" spans="1:13" ht="31.5">
      <c r="A501" s="5">
        <v>500</v>
      </c>
      <c r="B501" s="29" t="s">
        <v>730</v>
      </c>
      <c r="C501" s="31" t="s">
        <v>2178</v>
      </c>
      <c r="D501" s="29" t="s">
        <v>2020</v>
      </c>
      <c r="E501" s="29" t="s">
        <v>2021</v>
      </c>
      <c r="F501" s="8" t="s">
        <v>2315</v>
      </c>
      <c r="G501" s="29" t="s">
        <v>2022</v>
      </c>
      <c r="H501" s="50" t="s">
        <v>2200</v>
      </c>
      <c r="I501" s="50" t="s">
        <v>2200</v>
      </c>
      <c r="J501" s="104" t="s">
        <v>2303</v>
      </c>
      <c r="K501" s="10">
        <v>46032</v>
      </c>
      <c r="L501" s="29" t="s">
        <v>20</v>
      </c>
      <c r="M501" s="56"/>
    </row>
    <row r="502" spans="1:13" ht="31.5">
      <c r="A502" s="5">
        <v>501</v>
      </c>
      <c r="B502" s="29" t="s">
        <v>730</v>
      </c>
      <c r="C502" s="31" t="s">
        <v>2178</v>
      </c>
      <c r="D502" s="29" t="s">
        <v>1821</v>
      </c>
      <c r="E502" s="29" t="s">
        <v>2023</v>
      </c>
      <c r="F502" s="8" t="s">
        <v>2317</v>
      </c>
      <c r="G502" s="29" t="s">
        <v>2024</v>
      </c>
      <c r="H502" s="50" t="s">
        <v>2200</v>
      </c>
      <c r="I502" s="50" t="s">
        <v>2200</v>
      </c>
      <c r="J502" s="104" t="s">
        <v>2303</v>
      </c>
      <c r="K502" s="10">
        <v>46032</v>
      </c>
      <c r="L502" s="29" t="s">
        <v>20</v>
      </c>
      <c r="M502" s="56"/>
    </row>
    <row r="503" spans="1:13" ht="31.5">
      <c r="A503" s="5">
        <v>502</v>
      </c>
      <c r="B503" s="29" t="s">
        <v>730</v>
      </c>
      <c r="C503" s="29" t="s">
        <v>33</v>
      </c>
      <c r="D503" s="29" t="s">
        <v>1045</v>
      </c>
      <c r="E503" s="29" t="s">
        <v>1046</v>
      </c>
      <c r="F503" s="8" t="s">
        <v>2302</v>
      </c>
      <c r="G503" s="29" t="s">
        <v>1047</v>
      </c>
      <c r="H503" s="50" t="s">
        <v>2200</v>
      </c>
      <c r="I503" s="50" t="s">
        <v>2200</v>
      </c>
      <c r="J503" s="104" t="s">
        <v>2303</v>
      </c>
      <c r="K503" s="10">
        <v>46032</v>
      </c>
      <c r="L503" s="29" t="s">
        <v>22</v>
      </c>
      <c r="M503" s="56"/>
    </row>
    <row r="504" spans="1:13" ht="31.5">
      <c r="A504" s="5">
        <v>503</v>
      </c>
      <c r="B504" s="29" t="s">
        <v>730</v>
      </c>
      <c r="C504" s="29" t="s">
        <v>33</v>
      </c>
      <c r="D504" s="29" t="s">
        <v>1048</v>
      </c>
      <c r="E504" s="29" t="s">
        <v>1049</v>
      </c>
      <c r="F504" s="8" t="s">
        <v>2302</v>
      </c>
      <c r="G504" s="29" t="s">
        <v>1050</v>
      </c>
      <c r="H504" s="50" t="s">
        <v>2200</v>
      </c>
      <c r="I504" s="50" t="s">
        <v>2200</v>
      </c>
      <c r="J504" s="104" t="s">
        <v>2303</v>
      </c>
      <c r="K504" s="10">
        <v>46032</v>
      </c>
      <c r="L504" s="29" t="s">
        <v>22</v>
      </c>
      <c r="M504" s="56"/>
    </row>
    <row r="505" spans="1:13" ht="31.5">
      <c r="A505" s="5">
        <v>504</v>
      </c>
      <c r="B505" s="29" t="s">
        <v>730</v>
      </c>
      <c r="C505" s="34" t="s">
        <v>33</v>
      </c>
      <c r="D505" s="29" t="s">
        <v>1051</v>
      </c>
      <c r="E505" s="29" t="s">
        <v>1052</v>
      </c>
      <c r="F505" s="8" t="s">
        <v>2302</v>
      </c>
      <c r="G505" s="29" t="s">
        <v>1053</v>
      </c>
      <c r="H505" s="50" t="s">
        <v>2200</v>
      </c>
      <c r="I505" s="50" t="s">
        <v>2200</v>
      </c>
      <c r="J505" s="104" t="s">
        <v>2303</v>
      </c>
      <c r="K505" s="10">
        <v>46032</v>
      </c>
      <c r="L505" s="29" t="s">
        <v>22</v>
      </c>
      <c r="M505" s="56"/>
    </row>
    <row r="506" spans="1:13" ht="31.5">
      <c r="A506" s="5">
        <v>505</v>
      </c>
      <c r="B506" s="29" t="s">
        <v>730</v>
      </c>
      <c r="C506" s="29" t="s">
        <v>33</v>
      </c>
      <c r="D506" s="29" t="s">
        <v>1054</v>
      </c>
      <c r="E506" s="29" t="s">
        <v>1055</v>
      </c>
      <c r="F506" s="8" t="s">
        <v>2302</v>
      </c>
      <c r="G506" s="29" t="s">
        <v>1056</v>
      </c>
      <c r="H506" s="50" t="s">
        <v>2200</v>
      </c>
      <c r="I506" s="50" t="s">
        <v>2200</v>
      </c>
      <c r="J506" s="104" t="s">
        <v>2303</v>
      </c>
      <c r="K506" s="10">
        <v>46032</v>
      </c>
      <c r="L506" s="29" t="s">
        <v>22</v>
      </c>
      <c r="M506" s="56"/>
    </row>
    <row r="507" spans="1:13" ht="31.5">
      <c r="A507" s="5">
        <v>506</v>
      </c>
      <c r="B507" s="29" t="s">
        <v>730</v>
      </c>
      <c r="C507" s="29" t="s">
        <v>33</v>
      </c>
      <c r="D507" s="29" t="s">
        <v>1057</v>
      </c>
      <c r="E507" s="29" t="s">
        <v>1058</v>
      </c>
      <c r="F507" s="8" t="s">
        <v>2302</v>
      </c>
      <c r="G507" s="29" t="s">
        <v>1059</v>
      </c>
      <c r="H507" s="50" t="s">
        <v>2200</v>
      </c>
      <c r="I507" s="50" t="s">
        <v>2200</v>
      </c>
      <c r="J507" s="104" t="s">
        <v>2303</v>
      </c>
      <c r="K507" s="10">
        <v>46032</v>
      </c>
      <c r="L507" s="29" t="s">
        <v>22</v>
      </c>
      <c r="M507" s="5"/>
    </row>
    <row r="508" spans="1:13" ht="31.5">
      <c r="A508" s="5">
        <v>507</v>
      </c>
      <c r="B508" s="29" t="s">
        <v>730</v>
      </c>
      <c r="C508" s="29" t="s">
        <v>33</v>
      </c>
      <c r="D508" s="29" t="s">
        <v>1060</v>
      </c>
      <c r="E508" s="29" t="s">
        <v>1061</v>
      </c>
      <c r="F508" s="8" t="s">
        <v>2302</v>
      </c>
      <c r="G508" s="29" t="s">
        <v>1062</v>
      </c>
      <c r="H508" s="50" t="s">
        <v>2200</v>
      </c>
      <c r="I508" s="50" t="s">
        <v>2200</v>
      </c>
      <c r="J508" s="104" t="s">
        <v>2303</v>
      </c>
      <c r="K508" s="10">
        <v>46032</v>
      </c>
      <c r="L508" s="29" t="s">
        <v>22</v>
      </c>
      <c r="M508" s="56"/>
    </row>
    <row r="509" spans="1:13" ht="31.5">
      <c r="A509" s="5">
        <v>508</v>
      </c>
      <c r="B509" s="29" t="s">
        <v>730</v>
      </c>
      <c r="C509" s="29" t="s">
        <v>33</v>
      </c>
      <c r="D509" s="29" t="s">
        <v>1063</v>
      </c>
      <c r="E509" s="29" t="s">
        <v>1064</v>
      </c>
      <c r="F509" s="8" t="s">
        <v>2302</v>
      </c>
      <c r="G509" s="29" t="s">
        <v>1065</v>
      </c>
      <c r="H509" s="50" t="s">
        <v>2200</v>
      </c>
      <c r="I509" s="50" t="s">
        <v>2200</v>
      </c>
      <c r="J509" s="104" t="s">
        <v>2303</v>
      </c>
      <c r="K509" s="10">
        <v>46032</v>
      </c>
      <c r="L509" s="29" t="s">
        <v>22</v>
      </c>
      <c r="M509" s="56"/>
    </row>
    <row r="510" spans="1:13" ht="31.5">
      <c r="A510" s="5">
        <v>509</v>
      </c>
      <c r="B510" s="29" t="s">
        <v>730</v>
      </c>
      <c r="C510" s="29" t="s">
        <v>33</v>
      </c>
      <c r="D510" s="29" t="s">
        <v>1066</v>
      </c>
      <c r="E510" s="29" t="s">
        <v>1067</v>
      </c>
      <c r="F510" s="8" t="s">
        <v>2302</v>
      </c>
      <c r="G510" s="29" t="s">
        <v>1068</v>
      </c>
      <c r="H510" s="50" t="s">
        <v>2200</v>
      </c>
      <c r="I510" s="50" t="s">
        <v>2200</v>
      </c>
      <c r="J510" s="104" t="s">
        <v>2303</v>
      </c>
      <c r="K510" s="10">
        <v>46032</v>
      </c>
      <c r="L510" s="29" t="s">
        <v>22</v>
      </c>
      <c r="M510" s="56"/>
    </row>
    <row r="511" spans="1:13" ht="31.5">
      <c r="A511" s="5">
        <v>510</v>
      </c>
      <c r="B511" s="29" t="s">
        <v>730</v>
      </c>
      <c r="C511" s="29" t="s">
        <v>33</v>
      </c>
      <c r="D511" s="29" t="s">
        <v>1069</v>
      </c>
      <c r="E511" s="29" t="s">
        <v>1070</v>
      </c>
      <c r="F511" s="8" t="s">
        <v>2302</v>
      </c>
      <c r="G511" s="29" t="s">
        <v>1071</v>
      </c>
      <c r="H511" s="50" t="s">
        <v>2200</v>
      </c>
      <c r="I511" s="50" t="s">
        <v>2200</v>
      </c>
      <c r="J511" s="104" t="s">
        <v>2303</v>
      </c>
      <c r="K511" s="10">
        <v>46032</v>
      </c>
      <c r="L511" s="29" t="s">
        <v>22</v>
      </c>
      <c r="M511" s="56"/>
    </row>
    <row r="512" spans="1:13" ht="31.5">
      <c r="A512" s="5">
        <v>511</v>
      </c>
      <c r="B512" s="29" t="s">
        <v>730</v>
      </c>
      <c r="C512" s="29" t="s">
        <v>33</v>
      </c>
      <c r="D512" s="29" t="s">
        <v>1072</v>
      </c>
      <c r="E512" s="29" t="s">
        <v>18</v>
      </c>
      <c r="F512" s="8" t="s">
        <v>2317</v>
      </c>
      <c r="G512" s="29" t="s">
        <v>1062</v>
      </c>
      <c r="H512" s="50" t="s">
        <v>2200</v>
      </c>
      <c r="I512" s="50" t="s">
        <v>2200</v>
      </c>
      <c r="J512" s="104" t="s">
        <v>2303</v>
      </c>
      <c r="K512" s="10">
        <v>46032</v>
      </c>
      <c r="L512" s="29" t="s">
        <v>22</v>
      </c>
      <c r="M512" s="56"/>
    </row>
    <row r="513" spans="1:13" ht="31.5">
      <c r="A513" s="5">
        <v>512</v>
      </c>
      <c r="B513" s="29" t="s">
        <v>730</v>
      </c>
      <c r="C513" s="29" t="s">
        <v>33</v>
      </c>
      <c r="D513" s="29" t="s">
        <v>1073</v>
      </c>
      <c r="E513" s="29" t="s">
        <v>1074</v>
      </c>
      <c r="F513" s="8" t="s">
        <v>2302</v>
      </c>
      <c r="G513" s="29" t="s">
        <v>1075</v>
      </c>
      <c r="H513" s="50" t="s">
        <v>2200</v>
      </c>
      <c r="I513" s="50" t="s">
        <v>2200</v>
      </c>
      <c r="J513" s="104" t="s">
        <v>2303</v>
      </c>
      <c r="K513" s="10">
        <v>46032</v>
      </c>
      <c r="L513" s="29" t="s">
        <v>22</v>
      </c>
      <c r="M513" s="56"/>
    </row>
    <row r="514" spans="1:13" ht="31.5">
      <c r="A514" s="5">
        <v>513</v>
      </c>
      <c r="B514" s="29" t="s">
        <v>730</v>
      </c>
      <c r="C514" s="29" t="s">
        <v>33</v>
      </c>
      <c r="D514" s="29" t="s">
        <v>1076</v>
      </c>
      <c r="E514" s="29" t="s">
        <v>1077</v>
      </c>
      <c r="F514" s="8" t="s">
        <v>2302</v>
      </c>
      <c r="G514" s="29" t="s">
        <v>1078</v>
      </c>
      <c r="H514" s="50" t="s">
        <v>2200</v>
      </c>
      <c r="I514" s="50" t="s">
        <v>2200</v>
      </c>
      <c r="J514" s="104" t="s">
        <v>2303</v>
      </c>
      <c r="K514" s="10">
        <v>46032</v>
      </c>
      <c r="L514" s="29" t="s">
        <v>22</v>
      </c>
      <c r="M514" s="56"/>
    </row>
    <row r="515" spans="1:13" ht="31.5">
      <c r="A515" s="5">
        <v>514</v>
      </c>
      <c r="B515" s="29" t="s">
        <v>730</v>
      </c>
      <c r="C515" s="29" t="s">
        <v>33</v>
      </c>
      <c r="D515" s="29" t="s">
        <v>1079</v>
      </c>
      <c r="E515" s="29" t="s">
        <v>1080</v>
      </c>
      <c r="F515" s="8" t="s">
        <v>2302</v>
      </c>
      <c r="G515" s="29" t="s">
        <v>1050</v>
      </c>
      <c r="H515" s="50" t="s">
        <v>2200</v>
      </c>
      <c r="I515" s="50" t="s">
        <v>2200</v>
      </c>
      <c r="J515" s="104" t="s">
        <v>2303</v>
      </c>
      <c r="K515" s="10">
        <v>46032</v>
      </c>
      <c r="L515" s="29" t="s">
        <v>22</v>
      </c>
      <c r="M515" s="56"/>
    </row>
    <row r="516" spans="1:13" ht="31.5">
      <c r="A516" s="5">
        <v>515</v>
      </c>
      <c r="B516" s="29" t="s">
        <v>730</v>
      </c>
      <c r="C516" s="29" t="s">
        <v>33</v>
      </c>
      <c r="D516" s="29" t="s">
        <v>1081</v>
      </c>
      <c r="E516" s="29" t="s">
        <v>1082</v>
      </c>
      <c r="F516" s="8" t="s">
        <v>2302</v>
      </c>
      <c r="G516" s="29" t="s">
        <v>1083</v>
      </c>
      <c r="H516" s="50" t="s">
        <v>2200</v>
      </c>
      <c r="I516" s="50" t="s">
        <v>2200</v>
      </c>
      <c r="J516" s="104" t="s">
        <v>2303</v>
      </c>
      <c r="K516" s="10">
        <v>46032</v>
      </c>
      <c r="L516" s="29" t="s">
        <v>22</v>
      </c>
      <c r="M516" s="56"/>
    </row>
    <row r="517" spans="1:13" ht="31.5">
      <c r="A517" s="5">
        <v>516</v>
      </c>
      <c r="B517" s="29" t="s">
        <v>730</v>
      </c>
      <c r="C517" s="29" t="s">
        <v>33</v>
      </c>
      <c r="D517" s="29" t="s">
        <v>1084</v>
      </c>
      <c r="E517" s="29" t="s">
        <v>1085</v>
      </c>
      <c r="F517" s="8" t="s">
        <v>2302</v>
      </c>
      <c r="G517" s="29" t="s">
        <v>1086</v>
      </c>
      <c r="H517" s="50" t="s">
        <v>2200</v>
      </c>
      <c r="I517" s="50" t="s">
        <v>2200</v>
      </c>
      <c r="J517" s="104" t="s">
        <v>2303</v>
      </c>
      <c r="K517" s="10">
        <v>46032</v>
      </c>
      <c r="L517" s="29" t="s">
        <v>22</v>
      </c>
      <c r="M517" s="56"/>
    </row>
    <row r="518" spans="1:13" ht="31.5">
      <c r="A518" s="5">
        <v>517</v>
      </c>
      <c r="B518" s="29" t="s">
        <v>730</v>
      </c>
      <c r="C518" s="29" t="s">
        <v>33</v>
      </c>
      <c r="D518" s="29" t="s">
        <v>1087</v>
      </c>
      <c r="E518" s="29" t="s">
        <v>1088</v>
      </c>
      <c r="F518" s="8" t="s">
        <v>2302</v>
      </c>
      <c r="G518" s="29" t="s">
        <v>1089</v>
      </c>
      <c r="H518" s="50" t="s">
        <v>2200</v>
      </c>
      <c r="I518" s="50" t="s">
        <v>2200</v>
      </c>
      <c r="J518" s="104" t="s">
        <v>2303</v>
      </c>
      <c r="K518" s="10">
        <v>46032</v>
      </c>
      <c r="L518" s="29" t="s">
        <v>22</v>
      </c>
      <c r="M518" s="56"/>
    </row>
    <row r="519" spans="1:13" ht="31.5">
      <c r="A519" s="5">
        <v>518</v>
      </c>
      <c r="B519" s="29" t="s">
        <v>730</v>
      </c>
      <c r="C519" s="29" t="s">
        <v>33</v>
      </c>
      <c r="D519" s="29" t="s">
        <v>1090</v>
      </c>
      <c r="E519" s="29" t="s">
        <v>1091</v>
      </c>
      <c r="F519" s="8" t="s">
        <v>2302</v>
      </c>
      <c r="G519" s="29" t="s">
        <v>1092</v>
      </c>
      <c r="H519" s="50" t="s">
        <v>2200</v>
      </c>
      <c r="I519" s="50" t="s">
        <v>2200</v>
      </c>
      <c r="J519" s="104" t="s">
        <v>2303</v>
      </c>
      <c r="K519" s="10">
        <v>46032</v>
      </c>
      <c r="L519" s="29" t="s">
        <v>22</v>
      </c>
      <c r="M519" s="56"/>
    </row>
    <row r="520" spans="1:13" ht="31.5">
      <c r="A520" s="5">
        <v>519</v>
      </c>
      <c r="B520" s="29" t="s">
        <v>730</v>
      </c>
      <c r="C520" s="29" t="s">
        <v>33</v>
      </c>
      <c r="D520" s="29" t="s">
        <v>1093</v>
      </c>
      <c r="E520" s="29" t="s">
        <v>1094</v>
      </c>
      <c r="F520" s="8" t="s">
        <v>2302</v>
      </c>
      <c r="G520" s="29" t="s">
        <v>1095</v>
      </c>
      <c r="H520" s="50" t="s">
        <v>2200</v>
      </c>
      <c r="I520" s="50" t="s">
        <v>2200</v>
      </c>
      <c r="J520" s="104" t="s">
        <v>2303</v>
      </c>
      <c r="K520" s="10">
        <v>46032</v>
      </c>
      <c r="L520" s="29" t="s">
        <v>22</v>
      </c>
      <c r="M520" s="56"/>
    </row>
    <row r="521" spans="1:13" ht="31.5">
      <c r="A521" s="5">
        <v>520</v>
      </c>
      <c r="B521" s="29" t="s">
        <v>730</v>
      </c>
      <c r="C521" s="29" t="s">
        <v>33</v>
      </c>
      <c r="D521" s="29" t="s">
        <v>1096</v>
      </c>
      <c r="E521" s="29" t="s">
        <v>18</v>
      </c>
      <c r="F521" s="8" t="s">
        <v>2302</v>
      </c>
      <c r="G521" s="29" t="s">
        <v>1050</v>
      </c>
      <c r="H521" s="50" t="s">
        <v>2200</v>
      </c>
      <c r="I521" s="50" t="s">
        <v>2200</v>
      </c>
      <c r="J521" s="104" t="s">
        <v>2303</v>
      </c>
      <c r="K521" s="10">
        <v>46032</v>
      </c>
      <c r="L521" s="29" t="s">
        <v>22</v>
      </c>
      <c r="M521" s="56"/>
    </row>
    <row r="522" spans="1:13" ht="31.5">
      <c r="A522" s="5">
        <v>521</v>
      </c>
      <c r="B522" s="29" t="s">
        <v>730</v>
      </c>
      <c r="C522" s="29" t="s">
        <v>33</v>
      </c>
      <c r="D522" s="29" t="s">
        <v>1097</v>
      </c>
      <c r="E522" s="29" t="s">
        <v>18</v>
      </c>
      <c r="F522" s="8" t="s">
        <v>2302</v>
      </c>
      <c r="G522" s="29" t="s">
        <v>1062</v>
      </c>
      <c r="H522" s="50" t="s">
        <v>2200</v>
      </c>
      <c r="I522" s="50" t="s">
        <v>2200</v>
      </c>
      <c r="J522" s="104" t="s">
        <v>2303</v>
      </c>
      <c r="K522" s="10">
        <v>46032</v>
      </c>
      <c r="L522" s="29" t="s">
        <v>22</v>
      </c>
      <c r="M522" s="56"/>
    </row>
    <row r="523" spans="1:13" ht="31.5">
      <c r="A523" s="5">
        <v>522</v>
      </c>
      <c r="B523" s="29" t="s">
        <v>730</v>
      </c>
      <c r="C523" s="29" t="s">
        <v>33</v>
      </c>
      <c r="D523" s="29" t="s">
        <v>1102</v>
      </c>
      <c r="E523" s="29" t="s">
        <v>18</v>
      </c>
      <c r="F523" s="8" t="s">
        <v>2302</v>
      </c>
      <c r="G523" s="29" t="s">
        <v>1062</v>
      </c>
      <c r="H523" s="50" t="s">
        <v>2200</v>
      </c>
      <c r="I523" s="50" t="s">
        <v>2200</v>
      </c>
      <c r="J523" s="104" t="s">
        <v>2303</v>
      </c>
      <c r="K523" s="10">
        <v>46032</v>
      </c>
      <c r="L523" s="29" t="s">
        <v>22</v>
      </c>
      <c r="M523" s="5"/>
    </row>
    <row r="524" spans="1:13" ht="31.5">
      <c r="A524" s="5">
        <v>523</v>
      </c>
      <c r="B524" s="29" t="s">
        <v>730</v>
      </c>
      <c r="C524" s="29" t="s">
        <v>33</v>
      </c>
      <c r="D524" s="29" t="s">
        <v>1100</v>
      </c>
      <c r="E524" s="29" t="s">
        <v>18</v>
      </c>
      <c r="F524" s="8" t="s">
        <v>2302</v>
      </c>
      <c r="G524" s="29" t="s">
        <v>1101</v>
      </c>
      <c r="H524" s="50" t="s">
        <v>2200</v>
      </c>
      <c r="I524" s="50" t="s">
        <v>2200</v>
      </c>
      <c r="J524" s="104" t="s">
        <v>2303</v>
      </c>
      <c r="K524" s="10">
        <v>46032</v>
      </c>
      <c r="L524" s="29" t="s">
        <v>22</v>
      </c>
      <c r="M524" s="56"/>
    </row>
    <row r="525" spans="1:13" ht="31.5">
      <c r="A525" s="5">
        <v>524</v>
      </c>
      <c r="B525" s="29" t="s">
        <v>730</v>
      </c>
      <c r="C525" s="29" t="s">
        <v>33</v>
      </c>
      <c r="D525" s="29" t="s">
        <v>1788</v>
      </c>
      <c r="E525" s="29" t="s">
        <v>18</v>
      </c>
      <c r="F525" s="8" t="s">
        <v>2302</v>
      </c>
      <c r="G525" s="29" t="s">
        <v>148</v>
      </c>
      <c r="H525" s="50" t="s">
        <v>2200</v>
      </c>
      <c r="I525" s="50" t="s">
        <v>2200</v>
      </c>
      <c r="J525" s="104" t="s">
        <v>2303</v>
      </c>
      <c r="K525" s="10">
        <v>46032</v>
      </c>
      <c r="L525" s="29" t="s">
        <v>22</v>
      </c>
      <c r="M525" s="56"/>
    </row>
    <row r="526" spans="1:13" ht="31.5">
      <c r="A526" s="5">
        <v>525</v>
      </c>
      <c r="B526" s="29" t="s">
        <v>730</v>
      </c>
      <c r="C526" s="29" t="s">
        <v>33</v>
      </c>
      <c r="D526" s="29" t="s">
        <v>2025</v>
      </c>
      <c r="E526" s="29" t="s">
        <v>18</v>
      </c>
      <c r="F526" s="8" t="s">
        <v>2302</v>
      </c>
      <c r="G526" s="29" t="s">
        <v>2026</v>
      </c>
      <c r="H526" s="50" t="s">
        <v>2200</v>
      </c>
      <c r="I526" s="50" t="s">
        <v>2200</v>
      </c>
      <c r="J526" s="104" t="s">
        <v>2303</v>
      </c>
      <c r="K526" s="10">
        <v>46032</v>
      </c>
      <c r="L526" s="29" t="s">
        <v>22</v>
      </c>
      <c r="M526" s="5"/>
    </row>
    <row r="527" spans="1:13" ht="31.5">
      <c r="A527" s="5">
        <v>526</v>
      </c>
      <c r="B527" s="29" t="s">
        <v>730</v>
      </c>
      <c r="C527" s="29" t="s">
        <v>33</v>
      </c>
      <c r="D527" s="29" t="s">
        <v>1789</v>
      </c>
      <c r="E527" s="29" t="s">
        <v>18</v>
      </c>
      <c r="F527" s="8" t="s">
        <v>2302</v>
      </c>
      <c r="G527" s="29" t="s">
        <v>2027</v>
      </c>
      <c r="H527" s="50" t="s">
        <v>2200</v>
      </c>
      <c r="I527" s="50" t="s">
        <v>2200</v>
      </c>
      <c r="J527" s="104" t="s">
        <v>2303</v>
      </c>
      <c r="K527" s="10">
        <v>46032</v>
      </c>
      <c r="L527" s="29" t="s">
        <v>22</v>
      </c>
      <c r="M527" s="56"/>
    </row>
    <row r="528" spans="1:13" ht="31.5">
      <c r="A528" s="5">
        <v>527</v>
      </c>
      <c r="B528" s="29" t="s">
        <v>730</v>
      </c>
      <c r="C528" s="29" t="s">
        <v>33</v>
      </c>
      <c r="D528" s="29" t="s">
        <v>1098</v>
      </c>
      <c r="E528" s="29" t="s">
        <v>18</v>
      </c>
      <c r="F528" s="8" t="s">
        <v>2302</v>
      </c>
      <c r="G528" s="29" t="s">
        <v>1099</v>
      </c>
      <c r="H528" s="50" t="s">
        <v>2200</v>
      </c>
      <c r="I528" s="50" t="s">
        <v>2200</v>
      </c>
      <c r="J528" s="104" t="s">
        <v>2303</v>
      </c>
      <c r="K528" s="10">
        <v>46032</v>
      </c>
      <c r="L528" s="29" t="s">
        <v>22</v>
      </c>
      <c r="M528" s="56"/>
    </row>
    <row r="529" spans="1:13" ht="31.5">
      <c r="A529" s="5">
        <v>528</v>
      </c>
      <c r="B529" s="29" t="s">
        <v>730</v>
      </c>
      <c r="C529" s="31" t="s">
        <v>2179</v>
      </c>
      <c r="D529" s="29" t="s">
        <v>1720</v>
      </c>
      <c r="E529" s="29" t="s">
        <v>2028</v>
      </c>
      <c r="F529" s="8" t="s">
        <v>2302</v>
      </c>
      <c r="G529" s="29" t="s">
        <v>2029</v>
      </c>
      <c r="H529" s="50" t="s">
        <v>2200</v>
      </c>
      <c r="I529" s="50" t="s">
        <v>2200</v>
      </c>
      <c r="J529" s="104" t="s">
        <v>2303</v>
      </c>
      <c r="K529" s="10">
        <v>46032</v>
      </c>
      <c r="L529" s="29" t="s">
        <v>25</v>
      </c>
      <c r="M529" s="56"/>
    </row>
    <row r="530" spans="1:13" ht="31.5">
      <c r="A530" s="5">
        <v>529</v>
      </c>
      <c r="B530" s="29" t="s">
        <v>730</v>
      </c>
      <c r="C530" s="31" t="s">
        <v>2179</v>
      </c>
      <c r="D530" s="29" t="s">
        <v>1103</v>
      </c>
      <c r="E530" s="29" t="s">
        <v>1104</v>
      </c>
      <c r="F530" s="8" t="s">
        <v>2302</v>
      </c>
      <c r="G530" s="29" t="s">
        <v>2232</v>
      </c>
      <c r="H530" s="50" t="s">
        <v>2200</v>
      </c>
      <c r="I530" s="50" t="s">
        <v>2200</v>
      </c>
      <c r="J530" s="104" t="s">
        <v>2303</v>
      </c>
      <c r="K530" s="10">
        <v>46032</v>
      </c>
      <c r="L530" s="29" t="s">
        <v>25</v>
      </c>
      <c r="M530" s="56"/>
    </row>
    <row r="531" spans="1:13" ht="31.5">
      <c r="A531" s="5">
        <v>530</v>
      </c>
      <c r="B531" s="29" t="s">
        <v>730</v>
      </c>
      <c r="C531" s="31" t="s">
        <v>2179</v>
      </c>
      <c r="D531" s="29" t="s">
        <v>1105</v>
      </c>
      <c r="E531" s="29" t="s">
        <v>1106</v>
      </c>
      <c r="F531" s="8" t="s">
        <v>2302</v>
      </c>
      <c r="G531" s="29" t="s">
        <v>1107</v>
      </c>
      <c r="H531" s="50" t="s">
        <v>2200</v>
      </c>
      <c r="I531" s="50" t="s">
        <v>2200</v>
      </c>
      <c r="J531" s="104" t="s">
        <v>2303</v>
      </c>
      <c r="K531" s="10">
        <v>46032</v>
      </c>
      <c r="L531" s="29" t="s">
        <v>25</v>
      </c>
      <c r="M531" s="56"/>
    </row>
    <row r="532" spans="1:13" ht="31.5">
      <c r="A532" s="5">
        <v>531</v>
      </c>
      <c r="B532" s="29" t="s">
        <v>730</v>
      </c>
      <c r="C532" s="31" t="s">
        <v>2179</v>
      </c>
      <c r="D532" s="29" t="s">
        <v>1108</v>
      </c>
      <c r="E532" s="29" t="s">
        <v>1109</v>
      </c>
      <c r="F532" s="8" t="s">
        <v>2302</v>
      </c>
      <c r="G532" s="29" t="s">
        <v>1110</v>
      </c>
      <c r="H532" s="50" t="s">
        <v>2200</v>
      </c>
      <c r="I532" s="50" t="s">
        <v>2200</v>
      </c>
      <c r="J532" s="104" t="s">
        <v>2303</v>
      </c>
      <c r="K532" s="10">
        <v>46032</v>
      </c>
      <c r="L532" s="29" t="s">
        <v>25</v>
      </c>
      <c r="M532" s="56"/>
    </row>
    <row r="533" spans="1:13" ht="31.5">
      <c r="A533" s="5">
        <v>532</v>
      </c>
      <c r="B533" s="29" t="s">
        <v>730</v>
      </c>
      <c r="C533" s="31" t="s">
        <v>2179</v>
      </c>
      <c r="D533" s="29" t="s">
        <v>1111</v>
      </c>
      <c r="E533" s="29" t="s">
        <v>1112</v>
      </c>
      <c r="F533" s="8" t="s">
        <v>2302</v>
      </c>
      <c r="G533" s="29" t="s">
        <v>1113</v>
      </c>
      <c r="H533" s="50" t="s">
        <v>2200</v>
      </c>
      <c r="I533" s="50" t="s">
        <v>2200</v>
      </c>
      <c r="J533" s="104" t="s">
        <v>2303</v>
      </c>
      <c r="K533" s="10">
        <v>46032</v>
      </c>
      <c r="L533" s="29" t="s">
        <v>25</v>
      </c>
      <c r="M533" s="56"/>
    </row>
    <row r="534" spans="1:13" ht="31.5">
      <c r="A534" s="5">
        <v>533</v>
      </c>
      <c r="B534" s="29" t="s">
        <v>730</v>
      </c>
      <c r="C534" s="31" t="s">
        <v>2179</v>
      </c>
      <c r="D534" s="29" t="s">
        <v>1114</v>
      </c>
      <c r="E534" s="29" t="s">
        <v>1115</v>
      </c>
      <c r="F534" s="8" t="s">
        <v>2302</v>
      </c>
      <c r="G534" s="29" t="s">
        <v>1116</v>
      </c>
      <c r="H534" s="50" t="s">
        <v>2200</v>
      </c>
      <c r="I534" s="50" t="s">
        <v>2200</v>
      </c>
      <c r="J534" s="104" t="s">
        <v>2303</v>
      </c>
      <c r="K534" s="10">
        <v>46032</v>
      </c>
      <c r="L534" s="29" t="s">
        <v>25</v>
      </c>
      <c r="M534" s="56"/>
    </row>
    <row r="535" spans="1:13" ht="31.5">
      <c r="A535" s="5">
        <v>534</v>
      </c>
      <c r="B535" s="29" t="s">
        <v>730</v>
      </c>
      <c r="C535" s="31" t="s">
        <v>2179</v>
      </c>
      <c r="D535" s="29" t="s">
        <v>1117</v>
      </c>
      <c r="E535" s="29" t="s">
        <v>1118</v>
      </c>
      <c r="F535" s="8" t="s">
        <v>2302</v>
      </c>
      <c r="G535" s="29" t="s">
        <v>1119</v>
      </c>
      <c r="H535" s="50" t="s">
        <v>2200</v>
      </c>
      <c r="I535" s="50" t="s">
        <v>2200</v>
      </c>
      <c r="J535" s="104" t="s">
        <v>2303</v>
      </c>
      <c r="K535" s="10">
        <v>46032</v>
      </c>
      <c r="L535" s="29" t="s">
        <v>25</v>
      </c>
      <c r="M535" s="56"/>
    </row>
    <row r="536" spans="1:13" ht="31.5">
      <c r="A536" s="5">
        <v>535</v>
      </c>
      <c r="B536" s="29" t="s">
        <v>730</v>
      </c>
      <c r="C536" s="31" t="s">
        <v>2179</v>
      </c>
      <c r="D536" s="29" t="s">
        <v>1120</v>
      </c>
      <c r="E536" s="29" t="s">
        <v>1121</v>
      </c>
      <c r="F536" s="8" t="s">
        <v>2302</v>
      </c>
      <c r="G536" s="29" t="s">
        <v>1122</v>
      </c>
      <c r="H536" s="50" t="s">
        <v>2200</v>
      </c>
      <c r="I536" s="50" t="s">
        <v>2200</v>
      </c>
      <c r="J536" s="104" t="s">
        <v>2303</v>
      </c>
      <c r="K536" s="10">
        <v>46032</v>
      </c>
      <c r="L536" s="29" t="s">
        <v>25</v>
      </c>
      <c r="M536" s="56"/>
    </row>
    <row r="537" spans="1:13" ht="31.5">
      <c r="A537" s="5">
        <v>536</v>
      </c>
      <c r="B537" s="29" t="s">
        <v>730</v>
      </c>
      <c r="C537" s="31" t="s">
        <v>2179</v>
      </c>
      <c r="D537" s="29" t="s">
        <v>1123</v>
      </c>
      <c r="E537" s="29" t="s">
        <v>1124</v>
      </c>
      <c r="F537" s="8" t="s">
        <v>2302</v>
      </c>
      <c r="G537" s="29" t="s">
        <v>1125</v>
      </c>
      <c r="H537" s="50" t="s">
        <v>2200</v>
      </c>
      <c r="I537" s="50" t="s">
        <v>2200</v>
      </c>
      <c r="J537" s="104" t="s">
        <v>2303</v>
      </c>
      <c r="K537" s="10">
        <v>46032</v>
      </c>
      <c r="L537" s="29" t="s">
        <v>25</v>
      </c>
      <c r="M537" s="56"/>
    </row>
    <row r="538" spans="1:13" ht="31.5">
      <c r="A538" s="5">
        <v>537</v>
      </c>
      <c r="B538" s="29" t="s">
        <v>730</v>
      </c>
      <c r="C538" s="31" t="s">
        <v>2179</v>
      </c>
      <c r="D538" s="29" t="s">
        <v>1126</v>
      </c>
      <c r="E538" s="29" t="s">
        <v>1127</v>
      </c>
      <c r="F538" s="8" t="s">
        <v>2302</v>
      </c>
      <c r="G538" s="29" t="s">
        <v>2030</v>
      </c>
      <c r="H538" s="50" t="s">
        <v>2200</v>
      </c>
      <c r="I538" s="50" t="s">
        <v>2200</v>
      </c>
      <c r="J538" s="104" t="s">
        <v>2303</v>
      </c>
      <c r="K538" s="10">
        <v>46032</v>
      </c>
      <c r="L538" s="29" t="s">
        <v>25</v>
      </c>
      <c r="M538" s="56"/>
    </row>
    <row r="539" spans="1:13" ht="31.5">
      <c r="A539" s="5">
        <v>538</v>
      </c>
      <c r="B539" s="29" t="s">
        <v>730</v>
      </c>
      <c r="C539" s="31" t="s">
        <v>2179</v>
      </c>
      <c r="D539" s="29" t="s">
        <v>1128</v>
      </c>
      <c r="E539" s="29" t="s">
        <v>1129</v>
      </c>
      <c r="F539" s="8" t="s">
        <v>2302</v>
      </c>
      <c r="G539" s="29" t="s">
        <v>1130</v>
      </c>
      <c r="H539" s="50" t="s">
        <v>2200</v>
      </c>
      <c r="I539" s="50" t="s">
        <v>2200</v>
      </c>
      <c r="J539" s="104" t="s">
        <v>2303</v>
      </c>
      <c r="K539" s="10">
        <v>46032</v>
      </c>
      <c r="L539" s="29" t="s">
        <v>25</v>
      </c>
      <c r="M539" s="56"/>
    </row>
    <row r="540" spans="1:13" ht="31.5">
      <c r="A540" s="5">
        <v>539</v>
      </c>
      <c r="B540" s="29" t="s">
        <v>730</v>
      </c>
      <c r="C540" s="31" t="s">
        <v>2179</v>
      </c>
      <c r="D540" s="29" t="s">
        <v>1721</v>
      </c>
      <c r="E540" s="29" t="s">
        <v>2031</v>
      </c>
      <c r="F540" s="8" t="s">
        <v>2302</v>
      </c>
      <c r="G540" s="29" t="s">
        <v>2032</v>
      </c>
      <c r="H540" s="50" t="s">
        <v>2200</v>
      </c>
      <c r="I540" s="50" t="s">
        <v>2200</v>
      </c>
      <c r="J540" s="104" t="s">
        <v>2303</v>
      </c>
      <c r="K540" s="10">
        <v>46032</v>
      </c>
      <c r="L540" s="29" t="s">
        <v>25</v>
      </c>
      <c r="M540" s="56"/>
    </row>
    <row r="541" spans="1:13" ht="31.5">
      <c r="A541" s="5">
        <v>540</v>
      </c>
      <c r="B541" s="29" t="s">
        <v>730</v>
      </c>
      <c r="C541" s="31" t="s">
        <v>2179</v>
      </c>
      <c r="D541" s="29" t="s">
        <v>1722</v>
      </c>
      <c r="E541" s="29" t="s">
        <v>2033</v>
      </c>
      <c r="F541" s="8" t="s">
        <v>2302</v>
      </c>
      <c r="G541" s="29" t="s">
        <v>2034</v>
      </c>
      <c r="H541" s="50" t="s">
        <v>2200</v>
      </c>
      <c r="I541" s="50" t="s">
        <v>2200</v>
      </c>
      <c r="J541" s="104" t="s">
        <v>2303</v>
      </c>
      <c r="K541" s="10">
        <v>46032</v>
      </c>
      <c r="L541" s="29" t="s">
        <v>25</v>
      </c>
      <c r="M541" s="56"/>
    </row>
    <row r="542" spans="1:13" ht="31.5">
      <c r="A542" s="5">
        <v>541</v>
      </c>
      <c r="B542" s="29" t="s">
        <v>730</v>
      </c>
      <c r="C542" s="31" t="s">
        <v>2179</v>
      </c>
      <c r="D542" s="29" t="s">
        <v>1723</v>
      </c>
      <c r="E542" s="29" t="s">
        <v>2035</v>
      </c>
      <c r="F542" s="8" t="s">
        <v>2302</v>
      </c>
      <c r="G542" s="29" t="s">
        <v>1526</v>
      </c>
      <c r="H542" s="50" t="s">
        <v>2200</v>
      </c>
      <c r="I542" s="50" t="s">
        <v>2200</v>
      </c>
      <c r="J542" s="104" t="s">
        <v>2303</v>
      </c>
      <c r="K542" s="10">
        <v>46032</v>
      </c>
      <c r="L542" s="29" t="s">
        <v>25</v>
      </c>
      <c r="M542" s="56"/>
    </row>
    <row r="543" spans="1:13" ht="31.5">
      <c r="A543" s="5">
        <v>542</v>
      </c>
      <c r="B543" s="29" t="s">
        <v>730</v>
      </c>
      <c r="C543" s="31" t="s">
        <v>2179</v>
      </c>
      <c r="D543" s="29" t="s">
        <v>1724</v>
      </c>
      <c r="E543" s="29" t="s">
        <v>2036</v>
      </c>
      <c r="F543" s="8" t="s">
        <v>2302</v>
      </c>
      <c r="G543" s="29" t="s">
        <v>2037</v>
      </c>
      <c r="H543" s="50" t="s">
        <v>2200</v>
      </c>
      <c r="I543" s="50" t="s">
        <v>2200</v>
      </c>
      <c r="J543" s="104" t="s">
        <v>2303</v>
      </c>
      <c r="K543" s="10">
        <v>46032</v>
      </c>
      <c r="L543" s="29" t="s">
        <v>25</v>
      </c>
      <c r="M543" s="56"/>
    </row>
    <row r="544" spans="1:13" ht="31.5">
      <c r="A544" s="5">
        <v>543</v>
      </c>
      <c r="B544" s="29" t="s">
        <v>730</v>
      </c>
      <c r="C544" s="31" t="s">
        <v>2179</v>
      </c>
      <c r="D544" s="29" t="s">
        <v>1719</v>
      </c>
      <c r="E544" s="29" t="s">
        <v>18</v>
      </c>
      <c r="F544" s="8" t="s">
        <v>2302</v>
      </c>
      <c r="G544" s="29" t="s">
        <v>1131</v>
      </c>
      <c r="H544" s="50" t="s">
        <v>2200</v>
      </c>
      <c r="I544" s="50" t="s">
        <v>2200</v>
      </c>
      <c r="J544" s="104" t="s">
        <v>2303</v>
      </c>
      <c r="K544" s="10">
        <v>46032</v>
      </c>
      <c r="L544" s="29" t="s">
        <v>25</v>
      </c>
      <c r="M544" s="56"/>
    </row>
    <row r="545" spans="1:13" ht="31.5">
      <c r="A545" s="5">
        <v>544</v>
      </c>
      <c r="B545" s="29" t="s">
        <v>311</v>
      </c>
      <c r="C545" s="31" t="s">
        <v>2180</v>
      </c>
      <c r="D545" s="29" t="s">
        <v>1799</v>
      </c>
      <c r="E545" s="29" t="s">
        <v>18</v>
      </c>
      <c r="F545" s="8" t="s">
        <v>2302</v>
      </c>
      <c r="G545" s="29" t="s">
        <v>2038</v>
      </c>
      <c r="H545" s="50" t="s">
        <v>2200</v>
      </c>
      <c r="I545" s="50" t="s">
        <v>2200</v>
      </c>
      <c r="J545" s="104" t="s">
        <v>2303</v>
      </c>
      <c r="K545" s="10">
        <v>46032</v>
      </c>
      <c r="L545" s="29" t="s">
        <v>25</v>
      </c>
      <c r="M545" s="56"/>
    </row>
    <row r="546" spans="1:13" ht="31.5">
      <c r="A546" s="5">
        <v>545</v>
      </c>
      <c r="B546" s="29" t="s">
        <v>311</v>
      </c>
      <c r="C546" s="31" t="s">
        <v>2180</v>
      </c>
      <c r="D546" s="29" t="s">
        <v>1800</v>
      </c>
      <c r="E546" s="29" t="s">
        <v>18</v>
      </c>
      <c r="F546" s="8" t="s">
        <v>2302</v>
      </c>
      <c r="G546" s="29" t="s">
        <v>1160</v>
      </c>
      <c r="H546" s="50" t="s">
        <v>2200</v>
      </c>
      <c r="I546" s="50" t="s">
        <v>2200</v>
      </c>
      <c r="J546" s="104" t="s">
        <v>2303</v>
      </c>
      <c r="K546" s="10">
        <v>46032</v>
      </c>
      <c r="L546" s="29" t="s">
        <v>25</v>
      </c>
      <c r="M546" s="56"/>
    </row>
    <row r="547" spans="1:13" ht="31.5">
      <c r="A547" s="5">
        <v>546</v>
      </c>
      <c r="B547" s="29" t="s">
        <v>311</v>
      </c>
      <c r="C547" s="31" t="s">
        <v>2180</v>
      </c>
      <c r="D547" s="29" t="s">
        <v>1133</v>
      </c>
      <c r="E547" s="29" t="s">
        <v>1134</v>
      </c>
      <c r="F547" s="8" t="s">
        <v>2302</v>
      </c>
      <c r="G547" s="29" t="s">
        <v>1139</v>
      </c>
      <c r="H547" s="50" t="s">
        <v>2200</v>
      </c>
      <c r="I547" s="50" t="s">
        <v>2200</v>
      </c>
      <c r="J547" s="104" t="s">
        <v>2303</v>
      </c>
      <c r="K547" s="10">
        <v>46032</v>
      </c>
      <c r="L547" s="29" t="s">
        <v>25</v>
      </c>
      <c r="M547" s="56"/>
    </row>
    <row r="548" spans="1:13" ht="31.5">
      <c r="A548" s="5">
        <v>547</v>
      </c>
      <c r="B548" s="29" t="s">
        <v>311</v>
      </c>
      <c r="C548" s="31" t="s">
        <v>2180</v>
      </c>
      <c r="D548" s="29" t="s">
        <v>1135</v>
      </c>
      <c r="E548" s="29" t="s">
        <v>1136</v>
      </c>
      <c r="F548" s="8" t="s">
        <v>2302</v>
      </c>
      <c r="G548" s="29" t="s">
        <v>340</v>
      </c>
      <c r="H548" s="50" t="s">
        <v>2200</v>
      </c>
      <c r="I548" s="50" t="s">
        <v>2200</v>
      </c>
      <c r="J548" s="104" t="s">
        <v>2303</v>
      </c>
      <c r="K548" s="10">
        <v>46032</v>
      </c>
      <c r="L548" s="29" t="s">
        <v>25</v>
      </c>
      <c r="M548" s="5"/>
    </row>
    <row r="549" spans="1:13" ht="31.5">
      <c r="A549" s="5">
        <v>548</v>
      </c>
      <c r="B549" s="29" t="s">
        <v>311</v>
      </c>
      <c r="C549" s="31" t="s">
        <v>2180</v>
      </c>
      <c r="D549" s="29" t="s">
        <v>1137</v>
      </c>
      <c r="E549" s="29" t="s">
        <v>1138</v>
      </c>
      <c r="F549" s="8" t="s">
        <v>2302</v>
      </c>
      <c r="G549" s="29" t="s">
        <v>1139</v>
      </c>
      <c r="H549" s="50" t="s">
        <v>2200</v>
      </c>
      <c r="I549" s="50" t="s">
        <v>2200</v>
      </c>
      <c r="J549" s="104" t="s">
        <v>2303</v>
      </c>
      <c r="K549" s="10">
        <v>46032</v>
      </c>
      <c r="L549" s="29" t="s">
        <v>25</v>
      </c>
      <c r="M549" s="56"/>
    </row>
    <row r="550" spans="1:13" ht="31.5">
      <c r="A550" s="5">
        <v>549</v>
      </c>
      <c r="B550" s="29" t="s">
        <v>311</v>
      </c>
      <c r="C550" s="31" t="s">
        <v>2180</v>
      </c>
      <c r="D550" s="29" t="s">
        <v>1140</v>
      </c>
      <c r="E550" s="29" t="s">
        <v>1141</v>
      </c>
      <c r="F550" s="8" t="s">
        <v>2302</v>
      </c>
      <c r="G550" s="29" t="s">
        <v>2039</v>
      </c>
      <c r="H550" s="50" t="s">
        <v>2200</v>
      </c>
      <c r="I550" s="50" t="s">
        <v>2200</v>
      </c>
      <c r="J550" s="104" t="s">
        <v>2303</v>
      </c>
      <c r="K550" s="10">
        <v>46032</v>
      </c>
      <c r="L550" s="29" t="s">
        <v>25</v>
      </c>
      <c r="M550" s="56"/>
    </row>
    <row r="551" spans="1:13" ht="31.5">
      <c r="A551" s="5">
        <v>550</v>
      </c>
      <c r="B551" s="29" t="s">
        <v>311</v>
      </c>
      <c r="C551" s="31" t="s">
        <v>2180</v>
      </c>
      <c r="D551" s="29" t="s">
        <v>1143</v>
      </c>
      <c r="E551" s="29" t="s">
        <v>1144</v>
      </c>
      <c r="F551" s="8" t="s">
        <v>2302</v>
      </c>
      <c r="G551" s="29" t="s">
        <v>1145</v>
      </c>
      <c r="H551" s="50" t="s">
        <v>2200</v>
      </c>
      <c r="I551" s="50" t="s">
        <v>2200</v>
      </c>
      <c r="J551" s="104" t="s">
        <v>2303</v>
      </c>
      <c r="K551" s="10">
        <v>46032</v>
      </c>
      <c r="L551" s="29" t="s">
        <v>25</v>
      </c>
      <c r="M551" s="56"/>
    </row>
    <row r="552" spans="1:13" ht="31.5">
      <c r="A552" s="5">
        <v>551</v>
      </c>
      <c r="B552" s="29" t="s">
        <v>311</v>
      </c>
      <c r="C552" s="31" t="s">
        <v>2180</v>
      </c>
      <c r="D552" s="29" t="s">
        <v>1146</v>
      </c>
      <c r="E552" s="29" t="s">
        <v>1147</v>
      </c>
      <c r="F552" s="8" t="s">
        <v>2302</v>
      </c>
      <c r="G552" s="29" t="s">
        <v>346</v>
      </c>
      <c r="H552" s="50" t="s">
        <v>2200</v>
      </c>
      <c r="I552" s="50" t="s">
        <v>2200</v>
      </c>
      <c r="J552" s="104" t="s">
        <v>2303</v>
      </c>
      <c r="K552" s="10">
        <v>46032</v>
      </c>
      <c r="L552" s="29" t="s">
        <v>25</v>
      </c>
      <c r="M552" s="56"/>
    </row>
    <row r="553" spans="1:13" ht="31.5">
      <c r="A553" s="5">
        <v>552</v>
      </c>
      <c r="B553" s="29" t="s">
        <v>311</v>
      </c>
      <c r="C553" s="31" t="s">
        <v>2180</v>
      </c>
      <c r="D553" s="29" t="s">
        <v>1149</v>
      </c>
      <c r="E553" s="29" t="s">
        <v>1150</v>
      </c>
      <c r="F553" s="8" t="s">
        <v>2302</v>
      </c>
      <c r="G553" s="29" t="s">
        <v>2040</v>
      </c>
      <c r="H553" s="50" t="s">
        <v>2200</v>
      </c>
      <c r="I553" s="50" t="s">
        <v>2200</v>
      </c>
      <c r="J553" s="104" t="s">
        <v>2303</v>
      </c>
      <c r="K553" s="10">
        <v>46032</v>
      </c>
      <c r="L553" s="29" t="s">
        <v>25</v>
      </c>
      <c r="M553" s="5"/>
    </row>
    <row r="554" spans="1:13" ht="31.5">
      <c r="A554" s="5">
        <v>553</v>
      </c>
      <c r="B554" s="29" t="s">
        <v>311</v>
      </c>
      <c r="C554" s="31" t="s">
        <v>2180</v>
      </c>
      <c r="D554" s="29" t="s">
        <v>1152</v>
      </c>
      <c r="E554" s="29" t="s">
        <v>1153</v>
      </c>
      <c r="F554" s="8" t="s">
        <v>2302</v>
      </c>
      <c r="G554" s="29" t="s">
        <v>1154</v>
      </c>
      <c r="H554" s="50" t="s">
        <v>2200</v>
      </c>
      <c r="I554" s="50" t="s">
        <v>2200</v>
      </c>
      <c r="J554" s="104" t="s">
        <v>2303</v>
      </c>
      <c r="K554" s="10">
        <v>46032</v>
      </c>
      <c r="L554" s="29" t="s">
        <v>25</v>
      </c>
      <c r="M554" s="56"/>
    </row>
    <row r="555" spans="1:13" ht="31.5">
      <c r="A555" s="5">
        <v>554</v>
      </c>
      <c r="B555" s="29" t="s">
        <v>311</v>
      </c>
      <c r="C555" s="31" t="s">
        <v>2180</v>
      </c>
      <c r="D555" s="29" t="s">
        <v>1155</v>
      </c>
      <c r="E555" s="29" t="s">
        <v>1156</v>
      </c>
      <c r="F555" s="8" t="s">
        <v>2302</v>
      </c>
      <c r="G555" s="29" t="s">
        <v>1142</v>
      </c>
      <c r="H555" s="50" t="s">
        <v>2200</v>
      </c>
      <c r="I555" s="50" t="s">
        <v>2200</v>
      </c>
      <c r="J555" s="104" t="s">
        <v>2303</v>
      </c>
      <c r="K555" s="10">
        <v>46032</v>
      </c>
      <c r="L555" s="29" t="s">
        <v>25</v>
      </c>
      <c r="M555" s="56"/>
    </row>
    <row r="556" spans="1:13" ht="31.5">
      <c r="A556" s="5">
        <v>555</v>
      </c>
      <c r="B556" s="29" t="s">
        <v>311</v>
      </c>
      <c r="C556" s="31" t="s">
        <v>2180</v>
      </c>
      <c r="D556" s="29" t="s">
        <v>1158</v>
      </c>
      <c r="E556" s="29" t="s">
        <v>1159</v>
      </c>
      <c r="F556" s="8" t="s">
        <v>2302</v>
      </c>
      <c r="G556" s="29" t="s">
        <v>1139</v>
      </c>
      <c r="H556" s="50" t="s">
        <v>2200</v>
      </c>
      <c r="I556" s="50" t="s">
        <v>2200</v>
      </c>
      <c r="J556" s="104" t="s">
        <v>2303</v>
      </c>
      <c r="K556" s="10">
        <v>46032</v>
      </c>
      <c r="L556" s="29" t="s">
        <v>25</v>
      </c>
      <c r="M556" s="56"/>
    </row>
    <row r="557" spans="1:13" ht="31.5">
      <c r="A557" s="5">
        <v>556</v>
      </c>
      <c r="B557" s="29" t="s">
        <v>311</v>
      </c>
      <c r="C557" s="31" t="s">
        <v>2180</v>
      </c>
      <c r="D557" s="29" t="s">
        <v>1161</v>
      </c>
      <c r="E557" s="29" t="s">
        <v>1162</v>
      </c>
      <c r="F557" s="8" t="s">
        <v>2302</v>
      </c>
      <c r="G557" s="29" t="s">
        <v>1163</v>
      </c>
      <c r="H557" s="50" t="s">
        <v>2200</v>
      </c>
      <c r="I557" s="50" t="s">
        <v>2200</v>
      </c>
      <c r="J557" s="104" t="s">
        <v>2303</v>
      </c>
      <c r="K557" s="10">
        <v>46032</v>
      </c>
      <c r="L557" s="29" t="s">
        <v>25</v>
      </c>
      <c r="M557" s="56"/>
    </row>
    <row r="558" spans="1:13" ht="31.5">
      <c r="A558" s="5">
        <v>557</v>
      </c>
      <c r="B558" s="29" t="s">
        <v>311</v>
      </c>
      <c r="C558" s="31" t="s">
        <v>2180</v>
      </c>
      <c r="D558" s="29" t="s">
        <v>1164</v>
      </c>
      <c r="E558" s="29" t="s">
        <v>1165</v>
      </c>
      <c r="F558" s="8" t="s">
        <v>2302</v>
      </c>
      <c r="G558" s="29" t="s">
        <v>343</v>
      </c>
      <c r="H558" s="50" t="s">
        <v>2200</v>
      </c>
      <c r="I558" s="50" t="s">
        <v>2200</v>
      </c>
      <c r="J558" s="104" t="s">
        <v>2303</v>
      </c>
      <c r="K558" s="10">
        <v>46032</v>
      </c>
      <c r="L558" s="29" t="s">
        <v>25</v>
      </c>
      <c r="M558" s="56"/>
    </row>
    <row r="559" spans="1:13" ht="31.5">
      <c r="A559" s="5">
        <v>558</v>
      </c>
      <c r="B559" s="29" t="s">
        <v>311</v>
      </c>
      <c r="C559" s="31" t="s">
        <v>2180</v>
      </c>
      <c r="D559" s="29" t="s">
        <v>1166</v>
      </c>
      <c r="E559" s="29" t="s">
        <v>1167</v>
      </c>
      <c r="F559" s="8" t="s">
        <v>2302</v>
      </c>
      <c r="G559" s="29" t="s">
        <v>1154</v>
      </c>
      <c r="H559" s="50" t="s">
        <v>2200</v>
      </c>
      <c r="I559" s="50" t="s">
        <v>2200</v>
      </c>
      <c r="J559" s="104" t="s">
        <v>2303</v>
      </c>
      <c r="K559" s="10">
        <v>46032</v>
      </c>
      <c r="L559" s="29" t="s">
        <v>25</v>
      </c>
      <c r="M559" s="56"/>
    </row>
    <row r="560" spans="1:13" ht="31.5">
      <c r="A560" s="5">
        <v>559</v>
      </c>
      <c r="B560" s="29" t="s">
        <v>311</v>
      </c>
      <c r="C560" s="31" t="s">
        <v>2180</v>
      </c>
      <c r="D560" s="29" t="s">
        <v>2041</v>
      </c>
      <c r="E560" s="29" t="s">
        <v>2042</v>
      </c>
      <c r="F560" s="8" t="s">
        <v>2302</v>
      </c>
      <c r="G560" s="29" t="s">
        <v>2040</v>
      </c>
      <c r="H560" s="50" t="s">
        <v>2200</v>
      </c>
      <c r="I560" s="50" t="s">
        <v>2200</v>
      </c>
      <c r="J560" s="104" t="s">
        <v>2303</v>
      </c>
      <c r="K560" s="10">
        <v>46032</v>
      </c>
      <c r="L560" s="29" t="s">
        <v>25</v>
      </c>
      <c r="M560" s="56"/>
    </row>
    <row r="561" spans="1:13" ht="31.5">
      <c r="A561" s="5">
        <v>560</v>
      </c>
      <c r="B561" s="29" t="s">
        <v>730</v>
      </c>
      <c r="C561" s="31" t="s">
        <v>2181</v>
      </c>
      <c r="D561" s="29" t="s">
        <v>1168</v>
      </c>
      <c r="E561" s="29" t="s">
        <v>1169</v>
      </c>
      <c r="F561" s="8" t="s">
        <v>2302</v>
      </c>
      <c r="G561" s="29" t="s">
        <v>1170</v>
      </c>
      <c r="H561" s="50" t="s">
        <v>2200</v>
      </c>
      <c r="I561" s="50" t="s">
        <v>2200</v>
      </c>
      <c r="J561" s="104" t="s">
        <v>2303</v>
      </c>
      <c r="K561" s="10">
        <v>46032</v>
      </c>
      <c r="L561" s="29" t="s">
        <v>25</v>
      </c>
      <c r="M561" s="56"/>
    </row>
    <row r="562" spans="1:13" ht="31.5">
      <c r="A562" s="5">
        <v>561</v>
      </c>
      <c r="B562" s="29" t="s">
        <v>730</v>
      </c>
      <c r="C562" s="31" t="s">
        <v>2181</v>
      </c>
      <c r="D562" s="29" t="s">
        <v>1171</v>
      </c>
      <c r="E562" s="29" t="s">
        <v>1172</v>
      </c>
      <c r="F562" s="8" t="s">
        <v>2302</v>
      </c>
      <c r="G562" s="29" t="s">
        <v>1173</v>
      </c>
      <c r="H562" s="50" t="s">
        <v>2200</v>
      </c>
      <c r="I562" s="50" t="s">
        <v>2200</v>
      </c>
      <c r="J562" s="104" t="s">
        <v>2303</v>
      </c>
      <c r="K562" s="10">
        <v>46032</v>
      </c>
      <c r="L562" s="29" t="s">
        <v>25</v>
      </c>
      <c r="M562" s="56"/>
    </row>
    <row r="563" spans="1:13" ht="31.5">
      <c r="A563" s="5">
        <v>562</v>
      </c>
      <c r="B563" s="29" t="s">
        <v>311</v>
      </c>
      <c r="C563" s="31" t="s">
        <v>2182</v>
      </c>
      <c r="D563" s="29" t="s">
        <v>1177</v>
      </c>
      <c r="E563" s="29" t="s">
        <v>1178</v>
      </c>
      <c r="F563" s="8" t="s">
        <v>2302</v>
      </c>
      <c r="G563" s="29" t="s">
        <v>1179</v>
      </c>
      <c r="H563" s="50" t="s">
        <v>2200</v>
      </c>
      <c r="I563" s="50" t="s">
        <v>2200</v>
      </c>
      <c r="J563" s="104" t="s">
        <v>2303</v>
      </c>
      <c r="K563" s="10">
        <v>46032</v>
      </c>
      <c r="L563" s="29" t="s">
        <v>20</v>
      </c>
      <c r="M563" s="56"/>
    </row>
    <row r="564" spans="1:13" ht="31.5">
      <c r="A564" s="5">
        <v>563</v>
      </c>
      <c r="B564" s="29" t="s">
        <v>311</v>
      </c>
      <c r="C564" s="31" t="s">
        <v>2182</v>
      </c>
      <c r="D564" s="29" t="s">
        <v>2043</v>
      </c>
      <c r="E564" s="29" t="s">
        <v>2044</v>
      </c>
      <c r="F564" s="8" t="s">
        <v>2302</v>
      </c>
      <c r="G564" s="29" t="s">
        <v>1179</v>
      </c>
      <c r="H564" s="50" t="s">
        <v>2200</v>
      </c>
      <c r="I564" s="50" t="s">
        <v>2200</v>
      </c>
      <c r="J564" s="104" t="s">
        <v>2303</v>
      </c>
      <c r="K564" s="10">
        <v>46032</v>
      </c>
      <c r="L564" s="29" t="s">
        <v>20</v>
      </c>
      <c r="M564" s="56"/>
    </row>
    <row r="565" spans="1:13" ht="31.5">
      <c r="A565" s="5">
        <v>564</v>
      </c>
      <c r="B565" s="29" t="s">
        <v>311</v>
      </c>
      <c r="C565" s="31" t="s">
        <v>2182</v>
      </c>
      <c r="D565" s="29" t="s">
        <v>1180</v>
      </c>
      <c r="E565" s="29" t="s">
        <v>1181</v>
      </c>
      <c r="F565" s="8" t="s">
        <v>2317</v>
      </c>
      <c r="G565" s="29" t="s">
        <v>1179</v>
      </c>
      <c r="H565" s="50" t="s">
        <v>2200</v>
      </c>
      <c r="I565" s="50" t="s">
        <v>2200</v>
      </c>
      <c r="J565" s="104" t="s">
        <v>2303</v>
      </c>
      <c r="K565" s="10">
        <v>46032</v>
      </c>
      <c r="L565" s="29" t="s">
        <v>20</v>
      </c>
      <c r="M565" s="56"/>
    </row>
    <row r="566" spans="1:13" ht="31.5">
      <c r="A566" s="5">
        <v>565</v>
      </c>
      <c r="B566" s="29" t="s">
        <v>311</v>
      </c>
      <c r="C566" s="31" t="s">
        <v>2182</v>
      </c>
      <c r="D566" s="29" t="s">
        <v>1182</v>
      </c>
      <c r="E566" s="29" t="s">
        <v>18</v>
      </c>
      <c r="F566" s="8" t="s">
        <v>2317</v>
      </c>
      <c r="G566" s="29" t="s">
        <v>1179</v>
      </c>
      <c r="H566" s="50" t="s">
        <v>2200</v>
      </c>
      <c r="I566" s="50" t="s">
        <v>2200</v>
      </c>
      <c r="J566" s="104" t="s">
        <v>2303</v>
      </c>
      <c r="K566" s="10">
        <v>46032</v>
      </c>
      <c r="L566" s="29" t="s">
        <v>20</v>
      </c>
      <c r="M566" s="56"/>
    </row>
    <row r="567" spans="1:13" ht="31.5">
      <c r="A567" s="5">
        <v>566</v>
      </c>
      <c r="B567" s="29" t="s">
        <v>657</v>
      </c>
      <c r="C567" s="31" t="s">
        <v>2249</v>
      </c>
      <c r="D567" s="29" t="s">
        <v>1174</v>
      </c>
      <c r="E567" s="29" t="s">
        <v>1175</v>
      </c>
      <c r="F567" s="8" t="s">
        <v>2302</v>
      </c>
      <c r="G567" s="29" t="s">
        <v>1176</v>
      </c>
      <c r="H567" s="50" t="s">
        <v>2200</v>
      </c>
      <c r="I567" s="50" t="s">
        <v>2200</v>
      </c>
      <c r="J567" s="104" t="s">
        <v>2303</v>
      </c>
      <c r="K567" s="10">
        <v>46032</v>
      </c>
      <c r="L567" s="29" t="s">
        <v>660</v>
      </c>
      <c r="M567" s="56"/>
    </row>
    <row r="568" spans="1:13" ht="31.5">
      <c r="A568" s="5">
        <v>567</v>
      </c>
      <c r="B568" s="29" t="s">
        <v>311</v>
      </c>
      <c r="C568" s="31" t="s">
        <v>2182</v>
      </c>
      <c r="D568" s="29" t="s">
        <v>2045</v>
      </c>
      <c r="E568" s="29" t="s">
        <v>18</v>
      </c>
      <c r="F568" s="8" t="s">
        <v>2302</v>
      </c>
      <c r="G568" s="29" t="s">
        <v>2046</v>
      </c>
      <c r="H568" s="50" t="s">
        <v>2200</v>
      </c>
      <c r="I568" s="50" t="s">
        <v>2200</v>
      </c>
      <c r="J568" s="104" t="s">
        <v>2303</v>
      </c>
      <c r="K568" s="10">
        <v>46032</v>
      </c>
      <c r="L568" s="29" t="s">
        <v>20</v>
      </c>
      <c r="M568" s="56"/>
    </row>
    <row r="569" spans="1:13" ht="31.5">
      <c r="A569" s="5">
        <v>568</v>
      </c>
      <c r="B569" s="29" t="s">
        <v>1183</v>
      </c>
      <c r="C569" s="35" t="s">
        <v>2183</v>
      </c>
      <c r="D569" s="29" t="s">
        <v>2047</v>
      </c>
      <c r="E569" s="29" t="s">
        <v>2048</v>
      </c>
      <c r="F569" s="8" t="s">
        <v>2302</v>
      </c>
      <c r="G569" s="29" t="s">
        <v>1186</v>
      </c>
      <c r="H569" s="50" t="s">
        <v>2200</v>
      </c>
      <c r="I569" s="50" t="s">
        <v>2200</v>
      </c>
      <c r="J569" s="104" t="s">
        <v>2303</v>
      </c>
      <c r="K569" s="10">
        <v>46032</v>
      </c>
      <c r="L569" s="29" t="s">
        <v>22</v>
      </c>
      <c r="M569" s="56"/>
    </row>
    <row r="570" spans="1:13" ht="31.5">
      <c r="A570" s="5">
        <v>569</v>
      </c>
      <c r="B570" s="29" t="s">
        <v>1183</v>
      </c>
      <c r="C570" s="35" t="s">
        <v>2183</v>
      </c>
      <c r="D570" s="29" t="s">
        <v>1184</v>
      </c>
      <c r="E570" s="29" t="s">
        <v>1185</v>
      </c>
      <c r="F570" s="8" t="s">
        <v>2302</v>
      </c>
      <c r="G570" s="29" t="s">
        <v>1186</v>
      </c>
      <c r="H570" s="50" t="s">
        <v>2200</v>
      </c>
      <c r="I570" s="50" t="s">
        <v>2200</v>
      </c>
      <c r="J570" s="104" t="s">
        <v>2303</v>
      </c>
      <c r="K570" s="10">
        <v>46032</v>
      </c>
      <c r="L570" s="29" t="s">
        <v>22</v>
      </c>
      <c r="M570" s="56"/>
    </row>
    <row r="571" spans="1:13" ht="31.5">
      <c r="A571" s="5">
        <v>570</v>
      </c>
      <c r="B571" s="29" t="s">
        <v>1183</v>
      </c>
      <c r="C571" s="35" t="s">
        <v>2183</v>
      </c>
      <c r="D571" s="29" t="s">
        <v>1716</v>
      </c>
      <c r="E571" s="29" t="s">
        <v>18</v>
      </c>
      <c r="F571" s="8" t="s">
        <v>2302</v>
      </c>
      <c r="G571" s="29" t="s">
        <v>1186</v>
      </c>
      <c r="H571" s="50" t="s">
        <v>2200</v>
      </c>
      <c r="I571" s="50" t="s">
        <v>2200</v>
      </c>
      <c r="J571" s="104" t="s">
        <v>2303</v>
      </c>
      <c r="K571" s="10">
        <v>46032</v>
      </c>
      <c r="L571" s="29" t="s">
        <v>22</v>
      </c>
      <c r="M571" s="56"/>
    </row>
    <row r="572" spans="1:13" ht="31.5">
      <c r="A572" s="5">
        <v>571</v>
      </c>
      <c r="B572" s="29" t="s">
        <v>1183</v>
      </c>
      <c r="C572" s="35" t="s">
        <v>2183</v>
      </c>
      <c r="D572" s="29" t="s">
        <v>1766</v>
      </c>
      <c r="E572" s="29" t="s">
        <v>18</v>
      </c>
      <c r="F572" s="8" t="s">
        <v>2302</v>
      </c>
      <c r="G572" s="29" t="s">
        <v>1187</v>
      </c>
      <c r="H572" s="50" t="s">
        <v>2200</v>
      </c>
      <c r="I572" s="50" t="s">
        <v>2200</v>
      </c>
      <c r="J572" s="104" t="s">
        <v>2303</v>
      </c>
      <c r="K572" s="10">
        <v>46032</v>
      </c>
      <c r="L572" s="29" t="s">
        <v>22</v>
      </c>
      <c r="M572" s="56"/>
    </row>
    <row r="573" spans="1:13" ht="31.5">
      <c r="A573" s="5">
        <v>572</v>
      </c>
      <c r="B573" s="29" t="s">
        <v>1183</v>
      </c>
      <c r="C573" s="35" t="s">
        <v>2183</v>
      </c>
      <c r="D573" s="29" t="s">
        <v>1188</v>
      </c>
      <c r="E573" s="29" t="s">
        <v>1189</v>
      </c>
      <c r="F573" s="8" t="s">
        <v>2302</v>
      </c>
      <c r="G573" s="29" t="s">
        <v>1230</v>
      </c>
      <c r="H573" s="50" t="s">
        <v>2200</v>
      </c>
      <c r="I573" s="50" t="s">
        <v>2200</v>
      </c>
      <c r="J573" s="104" t="s">
        <v>2303</v>
      </c>
      <c r="K573" s="10">
        <v>46032</v>
      </c>
      <c r="L573" s="29" t="s">
        <v>22</v>
      </c>
      <c r="M573" s="56"/>
    </row>
    <row r="574" spans="1:13" ht="31.5">
      <c r="A574" s="5">
        <v>573</v>
      </c>
      <c r="B574" s="29" t="s">
        <v>1183</v>
      </c>
      <c r="C574" s="35" t="s">
        <v>2183</v>
      </c>
      <c r="D574" s="29" t="s">
        <v>1190</v>
      </c>
      <c r="E574" s="29" t="s">
        <v>1191</v>
      </c>
      <c r="F574" s="8" t="s">
        <v>2302</v>
      </c>
      <c r="G574" s="29" t="s">
        <v>1192</v>
      </c>
      <c r="H574" s="50" t="s">
        <v>2200</v>
      </c>
      <c r="I574" s="50" t="s">
        <v>2200</v>
      </c>
      <c r="J574" s="104" t="s">
        <v>2303</v>
      </c>
      <c r="K574" s="10">
        <v>46032</v>
      </c>
      <c r="L574" s="29" t="s">
        <v>22</v>
      </c>
      <c r="M574" s="56"/>
    </row>
    <row r="575" spans="1:13" ht="31.5">
      <c r="A575" s="5">
        <v>574</v>
      </c>
      <c r="B575" s="29" t="s">
        <v>1183</v>
      </c>
      <c r="C575" s="35" t="s">
        <v>2183</v>
      </c>
      <c r="D575" s="29" t="s">
        <v>1193</v>
      </c>
      <c r="E575" s="29" t="s">
        <v>1194</v>
      </c>
      <c r="F575" s="8" t="s">
        <v>2302</v>
      </c>
      <c r="G575" s="29" t="s">
        <v>1195</v>
      </c>
      <c r="H575" s="50" t="s">
        <v>2200</v>
      </c>
      <c r="I575" s="50" t="s">
        <v>2200</v>
      </c>
      <c r="J575" s="104" t="s">
        <v>2303</v>
      </c>
      <c r="K575" s="10">
        <v>46032</v>
      </c>
      <c r="L575" s="29" t="s">
        <v>22</v>
      </c>
      <c r="M575" s="56"/>
    </row>
    <row r="576" spans="1:13" ht="31.5">
      <c r="A576" s="5">
        <v>575</v>
      </c>
      <c r="B576" s="29" t="s">
        <v>1183</v>
      </c>
      <c r="C576" s="35" t="s">
        <v>2183</v>
      </c>
      <c r="D576" s="29" t="s">
        <v>1196</v>
      </c>
      <c r="E576" s="29" t="s">
        <v>1197</v>
      </c>
      <c r="F576" s="8" t="s">
        <v>2302</v>
      </c>
      <c r="G576" s="29" t="s">
        <v>1198</v>
      </c>
      <c r="H576" s="50" t="s">
        <v>2200</v>
      </c>
      <c r="I576" s="50" t="s">
        <v>2200</v>
      </c>
      <c r="J576" s="104" t="s">
        <v>2303</v>
      </c>
      <c r="K576" s="10">
        <v>46032</v>
      </c>
      <c r="L576" s="29" t="s">
        <v>22</v>
      </c>
      <c r="M576" s="56"/>
    </row>
    <row r="577" spans="1:13" ht="31.5">
      <c r="A577" s="5">
        <v>576</v>
      </c>
      <c r="B577" s="29" t="s">
        <v>1183</v>
      </c>
      <c r="C577" s="35" t="s">
        <v>2183</v>
      </c>
      <c r="D577" s="29" t="s">
        <v>1199</v>
      </c>
      <c r="E577" s="29" t="s">
        <v>1200</v>
      </c>
      <c r="F577" s="8" t="s">
        <v>2302</v>
      </c>
      <c r="G577" s="29" t="s">
        <v>1201</v>
      </c>
      <c r="H577" s="50" t="s">
        <v>2200</v>
      </c>
      <c r="I577" s="50" t="s">
        <v>2200</v>
      </c>
      <c r="J577" s="104" t="s">
        <v>2303</v>
      </c>
      <c r="K577" s="10">
        <v>46032</v>
      </c>
      <c r="L577" s="29" t="s">
        <v>22</v>
      </c>
      <c r="M577" s="56"/>
    </row>
    <row r="578" spans="1:13" ht="31.5">
      <c r="A578" s="5">
        <v>577</v>
      </c>
      <c r="B578" s="29" t="s">
        <v>1183</v>
      </c>
      <c r="C578" s="35" t="s">
        <v>2183</v>
      </c>
      <c r="D578" s="29" t="s">
        <v>1202</v>
      </c>
      <c r="E578" s="29" t="s">
        <v>1203</v>
      </c>
      <c r="F578" s="8" t="s">
        <v>2302</v>
      </c>
      <c r="G578" s="29" t="s">
        <v>1204</v>
      </c>
      <c r="H578" s="50" t="s">
        <v>2200</v>
      </c>
      <c r="I578" s="50" t="s">
        <v>2200</v>
      </c>
      <c r="J578" s="104" t="s">
        <v>2303</v>
      </c>
      <c r="K578" s="10">
        <v>46032</v>
      </c>
      <c r="L578" s="29" t="s">
        <v>22</v>
      </c>
      <c r="M578" s="56"/>
    </row>
    <row r="579" spans="1:13" ht="31.5">
      <c r="A579" s="5">
        <v>578</v>
      </c>
      <c r="B579" s="29" t="s">
        <v>1183</v>
      </c>
      <c r="C579" s="35" t="s">
        <v>2183</v>
      </c>
      <c r="D579" s="29" t="s">
        <v>1205</v>
      </c>
      <c r="E579" s="29" t="s">
        <v>1206</v>
      </c>
      <c r="F579" s="8" t="s">
        <v>2302</v>
      </c>
      <c r="G579" s="29" t="s">
        <v>1207</v>
      </c>
      <c r="H579" s="50" t="s">
        <v>2200</v>
      </c>
      <c r="I579" s="50" t="s">
        <v>2200</v>
      </c>
      <c r="J579" s="104" t="s">
        <v>2303</v>
      </c>
      <c r="K579" s="10">
        <v>46032</v>
      </c>
      <c r="L579" s="29" t="s">
        <v>22</v>
      </c>
      <c r="M579" s="56"/>
    </row>
    <row r="580" spans="1:13" ht="31.5">
      <c r="A580" s="5">
        <v>579</v>
      </c>
      <c r="B580" s="29" t="s">
        <v>1183</v>
      </c>
      <c r="C580" s="35" t="s">
        <v>2183</v>
      </c>
      <c r="D580" s="29" t="s">
        <v>1208</v>
      </c>
      <c r="E580" s="29" t="s">
        <v>1209</v>
      </c>
      <c r="F580" s="8" t="s">
        <v>2302</v>
      </c>
      <c r="G580" s="29" t="s">
        <v>1210</v>
      </c>
      <c r="H580" s="50" t="s">
        <v>2200</v>
      </c>
      <c r="I580" s="50" t="s">
        <v>2200</v>
      </c>
      <c r="J580" s="104" t="s">
        <v>2303</v>
      </c>
      <c r="K580" s="10">
        <v>46032</v>
      </c>
      <c r="L580" s="29" t="s">
        <v>22</v>
      </c>
      <c r="M580" s="56"/>
    </row>
    <row r="581" spans="1:13" ht="31.5">
      <c r="A581" s="5">
        <v>580</v>
      </c>
      <c r="B581" s="29" t="s">
        <v>1183</v>
      </c>
      <c r="C581" s="35" t="s">
        <v>2183</v>
      </c>
      <c r="D581" s="29" t="s">
        <v>1211</v>
      </c>
      <c r="E581" s="29" t="s">
        <v>1212</v>
      </c>
      <c r="F581" s="8" t="s">
        <v>2302</v>
      </c>
      <c r="G581" s="29" t="s">
        <v>1213</v>
      </c>
      <c r="H581" s="50" t="s">
        <v>2200</v>
      </c>
      <c r="I581" s="50" t="s">
        <v>2200</v>
      </c>
      <c r="J581" s="104" t="s">
        <v>2303</v>
      </c>
      <c r="K581" s="10">
        <v>46032</v>
      </c>
      <c r="L581" s="29" t="s">
        <v>22</v>
      </c>
      <c r="M581" s="56"/>
    </row>
    <row r="582" spans="1:13" ht="31.5">
      <c r="A582" s="5">
        <v>581</v>
      </c>
      <c r="B582" s="29" t="s">
        <v>1183</v>
      </c>
      <c r="C582" s="35" t="s">
        <v>2183</v>
      </c>
      <c r="D582" s="29" t="s">
        <v>1214</v>
      </c>
      <c r="E582" s="29" t="s">
        <v>1215</v>
      </c>
      <c r="F582" s="8" t="s">
        <v>2302</v>
      </c>
      <c r="G582" s="29" t="s">
        <v>1231</v>
      </c>
      <c r="H582" s="50" t="s">
        <v>2200</v>
      </c>
      <c r="I582" s="50" t="s">
        <v>2200</v>
      </c>
      <c r="J582" s="104" t="s">
        <v>2303</v>
      </c>
      <c r="K582" s="10">
        <v>46032</v>
      </c>
      <c r="L582" s="29" t="s">
        <v>22</v>
      </c>
      <c r="M582" s="56"/>
    </row>
    <row r="583" spans="1:13" ht="31.5">
      <c r="A583" s="5">
        <v>582</v>
      </c>
      <c r="B583" s="29" t="s">
        <v>1183</v>
      </c>
      <c r="C583" s="35" t="s">
        <v>2183</v>
      </c>
      <c r="D583" s="29" t="s">
        <v>1216</v>
      </c>
      <c r="E583" s="29" t="s">
        <v>1217</v>
      </c>
      <c r="F583" s="8" t="s">
        <v>2302</v>
      </c>
      <c r="G583" s="29" t="s">
        <v>1218</v>
      </c>
      <c r="H583" s="50" t="s">
        <v>2200</v>
      </c>
      <c r="I583" s="50" t="s">
        <v>2200</v>
      </c>
      <c r="J583" s="104" t="s">
        <v>2303</v>
      </c>
      <c r="K583" s="10">
        <v>46032</v>
      </c>
      <c r="L583" s="29" t="s">
        <v>22</v>
      </c>
      <c r="M583" s="56"/>
    </row>
    <row r="584" spans="1:13" ht="31.5">
      <c r="A584" s="5">
        <v>583</v>
      </c>
      <c r="B584" s="29" t="s">
        <v>1183</v>
      </c>
      <c r="C584" s="35" t="s">
        <v>2183</v>
      </c>
      <c r="D584" s="29" t="s">
        <v>1219</v>
      </c>
      <c r="E584" s="29" t="s">
        <v>1220</v>
      </c>
      <c r="F584" s="8" t="s">
        <v>2302</v>
      </c>
      <c r="G584" s="29" t="s">
        <v>1221</v>
      </c>
      <c r="H584" s="50" t="s">
        <v>2200</v>
      </c>
      <c r="I584" s="50" t="s">
        <v>2200</v>
      </c>
      <c r="J584" s="104" t="s">
        <v>2303</v>
      </c>
      <c r="K584" s="10">
        <v>46032</v>
      </c>
      <c r="L584" s="29" t="s">
        <v>22</v>
      </c>
      <c r="M584" s="56"/>
    </row>
    <row r="585" spans="1:13" ht="31.5">
      <c r="A585" s="5">
        <v>584</v>
      </c>
      <c r="B585" s="29" t="s">
        <v>1183</v>
      </c>
      <c r="C585" s="35" t="s">
        <v>2183</v>
      </c>
      <c r="D585" s="29" t="s">
        <v>1222</v>
      </c>
      <c r="E585" s="29" t="s">
        <v>1223</v>
      </c>
      <c r="F585" s="8" t="s">
        <v>2302</v>
      </c>
      <c r="G585" s="29" t="s">
        <v>1224</v>
      </c>
      <c r="H585" s="50" t="s">
        <v>2200</v>
      </c>
      <c r="I585" s="50" t="s">
        <v>2200</v>
      </c>
      <c r="J585" s="104" t="s">
        <v>2303</v>
      </c>
      <c r="K585" s="10">
        <v>46032</v>
      </c>
      <c r="L585" s="29" t="s">
        <v>22</v>
      </c>
      <c r="M585" s="56"/>
    </row>
    <row r="586" spans="1:13" ht="31.5">
      <c r="A586" s="5">
        <v>585</v>
      </c>
      <c r="B586" s="29" t="s">
        <v>1183</v>
      </c>
      <c r="C586" s="35" t="s">
        <v>2183</v>
      </c>
      <c r="D586" s="29" t="s">
        <v>1225</v>
      </c>
      <c r="E586" s="29" t="s">
        <v>1226</v>
      </c>
      <c r="F586" s="8" t="s">
        <v>2302</v>
      </c>
      <c r="G586" s="29" t="s">
        <v>1227</v>
      </c>
      <c r="H586" s="50" t="s">
        <v>2200</v>
      </c>
      <c r="I586" s="50" t="s">
        <v>2200</v>
      </c>
      <c r="J586" s="104" t="s">
        <v>2303</v>
      </c>
      <c r="K586" s="10">
        <v>46032</v>
      </c>
      <c r="L586" s="29" t="s">
        <v>22</v>
      </c>
      <c r="M586" s="56"/>
    </row>
    <row r="587" spans="1:13" ht="31.5">
      <c r="A587" s="5">
        <v>586</v>
      </c>
      <c r="B587" s="29" t="s">
        <v>1183</v>
      </c>
      <c r="C587" s="35" t="s">
        <v>2183</v>
      </c>
      <c r="D587" s="29" t="s">
        <v>1228</v>
      </c>
      <c r="E587" s="29" t="s">
        <v>1229</v>
      </c>
      <c r="F587" s="8" t="s">
        <v>2302</v>
      </c>
      <c r="G587" s="29" t="s">
        <v>2049</v>
      </c>
      <c r="H587" s="50" t="s">
        <v>2200</v>
      </c>
      <c r="I587" s="50" t="s">
        <v>2200</v>
      </c>
      <c r="J587" s="104" t="s">
        <v>2303</v>
      </c>
      <c r="K587" s="10">
        <v>46032</v>
      </c>
      <c r="L587" s="29" t="s">
        <v>22</v>
      </c>
      <c r="M587" s="56"/>
    </row>
    <row r="588" spans="1:13" ht="31.5">
      <c r="A588" s="5">
        <v>587</v>
      </c>
      <c r="B588" s="29" t="s">
        <v>1183</v>
      </c>
      <c r="C588" s="35" t="s">
        <v>2183</v>
      </c>
      <c r="D588" s="29" t="s">
        <v>2050</v>
      </c>
      <c r="E588" s="29" t="s">
        <v>18</v>
      </c>
      <c r="F588" s="8" t="s">
        <v>2302</v>
      </c>
      <c r="G588" s="29" t="s">
        <v>1186</v>
      </c>
      <c r="H588" s="50" t="s">
        <v>2200</v>
      </c>
      <c r="I588" s="50" t="s">
        <v>2200</v>
      </c>
      <c r="J588" s="104" t="s">
        <v>2303</v>
      </c>
      <c r="K588" s="10">
        <v>46032</v>
      </c>
      <c r="L588" s="29" t="s">
        <v>22</v>
      </c>
      <c r="M588" s="56"/>
    </row>
    <row r="589" spans="1:13" ht="31.5">
      <c r="A589" s="5">
        <v>588</v>
      </c>
      <c r="B589" s="29" t="s">
        <v>1183</v>
      </c>
      <c r="C589" s="31" t="s">
        <v>2184</v>
      </c>
      <c r="D589" s="29" t="s">
        <v>1232</v>
      </c>
      <c r="E589" s="29" t="s">
        <v>1233</v>
      </c>
      <c r="F589" s="8" t="s">
        <v>2302</v>
      </c>
      <c r="G589" s="29" t="s">
        <v>1234</v>
      </c>
      <c r="H589" s="50" t="s">
        <v>2200</v>
      </c>
      <c r="I589" s="50" t="s">
        <v>2200</v>
      </c>
      <c r="J589" s="104" t="s">
        <v>2303</v>
      </c>
      <c r="K589" s="10">
        <v>46032</v>
      </c>
      <c r="L589" s="29" t="s">
        <v>25</v>
      </c>
      <c r="M589" s="56"/>
    </row>
    <row r="590" spans="1:13" ht="31.5">
      <c r="A590" s="5">
        <v>589</v>
      </c>
      <c r="B590" s="29" t="s">
        <v>1183</v>
      </c>
      <c r="C590" s="31" t="s">
        <v>2184</v>
      </c>
      <c r="D590" s="29" t="s">
        <v>1235</v>
      </c>
      <c r="E590" s="29" t="s">
        <v>1236</v>
      </c>
      <c r="F590" s="8" t="s">
        <v>2302</v>
      </c>
      <c r="G590" s="29" t="s">
        <v>2051</v>
      </c>
      <c r="H590" s="50" t="s">
        <v>2200</v>
      </c>
      <c r="I590" s="50" t="s">
        <v>2200</v>
      </c>
      <c r="J590" s="104" t="s">
        <v>2303</v>
      </c>
      <c r="K590" s="10">
        <v>46032</v>
      </c>
      <c r="L590" s="29" t="s">
        <v>25</v>
      </c>
      <c r="M590" s="56"/>
    </row>
    <row r="591" spans="1:13" ht="31.5">
      <c r="A591" s="5">
        <v>590</v>
      </c>
      <c r="B591" s="29" t="s">
        <v>1183</v>
      </c>
      <c r="C591" s="31" t="s">
        <v>2184</v>
      </c>
      <c r="D591" s="29" t="s">
        <v>1238</v>
      </c>
      <c r="E591" s="29" t="s">
        <v>1239</v>
      </c>
      <c r="F591" s="8" t="s">
        <v>2302</v>
      </c>
      <c r="G591" s="29" t="s">
        <v>1240</v>
      </c>
      <c r="H591" s="50" t="s">
        <v>2200</v>
      </c>
      <c r="I591" s="50" t="s">
        <v>2200</v>
      </c>
      <c r="J591" s="104" t="s">
        <v>2303</v>
      </c>
      <c r="K591" s="10">
        <v>46032</v>
      </c>
      <c r="L591" s="29" t="s">
        <v>20</v>
      </c>
      <c r="M591" s="56"/>
    </row>
    <row r="592" spans="1:13" ht="31.5">
      <c r="A592" s="5">
        <v>591</v>
      </c>
      <c r="B592" s="29" t="s">
        <v>1183</v>
      </c>
      <c r="C592" s="31" t="s">
        <v>2184</v>
      </c>
      <c r="D592" s="29" t="s">
        <v>1241</v>
      </c>
      <c r="E592" s="29" t="s">
        <v>1242</v>
      </c>
      <c r="F592" s="8" t="s">
        <v>2302</v>
      </c>
      <c r="G592" s="29" t="s">
        <v>1257</v>
      </c>
      <c r="H592" s="50" t="s">
        <v>2200</v>
      </c>
      <c r="I592" s="50" t="s">
        <v>2200</v>
      </c>
      <c r="J592" s="104" t="s">
        <v>2303</v>
      </c>
      <c r="K592" s="10">
        <v>46032</v>
      </c>
      <c r="L592" s="29" t="s">
        <v>25</v>
      </c>
      <c r="M592" s="56"/>
    </row>
    <row r="593" spans="1:13" ht="31.5">
      <c r="A593" s="5">
        <v>592</v>
      </c>
      <c r="B593" s="29" t="s">
        <v>1183</v>
      </c>
      <c r="C593" s="31" t="s">
        <v>2184</v>
      </c>
      <c r="D593" s="29" t="s">
        <v>1243</v>
      </c>
      <c r="E593" s="29" t="s">
        <v>1244</v>
      </c>
      <c r="F593" s="8" t="s">
        <v>2302</v>
      </c>
      <c r="G593" s="29" t="s">
        <v>1245</v>
      </c>
      <c r="H593" s="50" t="s">
        <v>2200</v>
      </c>
      <c r="I593" s="50" t="s">
        <v>2200</v>
      </c>
      <c r="J593" s="104" t="s">
        <v>2303</v>
      </c>
      <c r="K593" s="10">
        <v>46032</v>
      </c>
      <c r="L593" s="29" t="s">
        <v>25</v>
      </c>
      <c r="M593" s="56"/>
    </row>
    <row r="594" spans="1:13" ht="31.5">
      <c r="A594" s="5">
        <v>593</v>
      </c>
      <c r="B594" s="29" t="s">
        <v>1183</v>
      </c>
      <c r="C594" s="31" t="s">
        <v>2184</v>
      </c>
      <c r="D594" s="29" t="s">
        <v>1246</v>
      </c>
      <c r="E594" s="29" t="s">
        <v>1247</v>
      </c>
      <c r="F594" s="8" t="s">
        <v>2302</v>
      </c>
      <c r="G594" s="29" t="s">
        <v>1248</v>
      </c>
      <c r="H594" s="50" t="s">
        <v>2200</v>
      </c>
      <c r="I594" s="50" t="s">
        <v>2200</v>
      </c>
      <c r="J594" s="104" t="s">
        <v>2303</v>
      </c>
      <c r="K594" s="10">
        <v>46032</v>
      </c>
      <c r="L594" s="29" t="s">
        <v>25</v>
      </c>
      <c r="M594" s="56"/>
    </row>
    <row r="595" spans="1:13" ht="31.5">
      <c r="A595" s="5">
        <v>594</v>
      </c>
      <c r="B595" s="29" t="s">
        <v>1183</v>
      </c>
      <c r="C595" s="31" t="s">
        <v>2184</v>
      </c>
      <c r="D595" s="29" t="s">
        <v>1249</v>
      </c>
      <c r="E595" s="29" t="s">
        <v>1250</v>
      </c>
      <c r="F595" s="8" t="s">
        <v>2302</v>
      </c>
      <c r="G595" s="29" t="s">
        <v>1251</v>
      </c>
      <c r="H595" s="50" t="s">
        <v>2200</v>
      </c>
      <c r="I595" s="50" t="s">
        <v>2200</v>
      </c>
      <c r="J595" s="104" t="s">
        <v>2303</v>
      </c>
      <c r="K595" s="10">
        <v>46032</v>
      </c>
      <c r="L595" s="29" t="s">
        <v>25</v>
      </c>
      <c r="M595" s="56"/>
    </row>
    <row r="596" spans="1:13" ht="31.5">
      <c r="A596" s="5">
        <v>595</v>
      </c>
      <c r="B596" s="29" t="s">
        <v>1183</v>
      </c>
      <c r="C596" s="31" t="s">
        <v>2184</v>
      </c>
      <c r="D596" s="29" t="s">
        <v>1252</v>
      </c>
      <c r="E596" s="29" t="s">
        <v>1253</v>
      </c>
      <c r="F596" s="8" t="s">
        <v>2302</v>
      </c>
      <c r="G596" s="29" t="s">
        <v>1254</v>
      </c>
      <c r="H596" s="50" t="s">
        <v>2200</v>
      </c>
      <c r="I596" s="50" t="s">
        <v>2200</v>
      </c>
      <c r="J596" s="104" t="s">
        <v>2303</v>
      </c>
      <c r="K596" s="10">
        <v>46032</v>
      </c>
      <c r="L596" s="29" t="s">
        <v>25</v>
      </c>
      <c r="M596" s="56"/>
    </row>
    <row r="597" spans="1:13" ht="31.5">
      <c r="A597" s="5">
        <v>596</v>
      </c>
      <c r="B597" s="29" t="s">
        <v>1183</v>
      </c>
      <c r="C597" s="31" t="s">
        <v>2184</v>
      </c>
      <c r="D597" s="29" t="s">
        <v>1729</v>
      </c>
      <c r="E597" s="29" t="s">
        <v>2052</v>
      </c>
      <c r="F597" s="8" t="s">
        <v>2302</v>
      </c>
      <c r="G597" s="29" t="s">
        <v>2053</v>
      </c>
      <c r="H597" s="50" t="s">
        <v>2200</v>
      </c>
      <c r="I597" s="50" t="s">
        <v>2200</v>
      </c>
      <c r="J597" s="104" t="s">
        <v>2303</v>
      </c>
      <c r="K597" s="10">
        <v>46032</v>
      </c>
      <c r="L597" s="29" t="s">
        <v>25</v>
      </c>
      <c r="M597" s="56"/>
    </row>
    <row r="598" spans="1:13" ht="31.5">
      <c r="A598" s="5">
        <v>597</v>
      </c>
      <c r="B598" s="29" t="s">
        <v>1183</v>
      </c>
      <c r="C598" s="31" t="s">
        <v>2184</v>
      </c>
      <c r="D598" s="29" t="s">
        <v>1255</v>
      </c>
      <c r="E598" s="29" t="s">
        <v>1256</v>
      </c>
      <c r="F598" s="8" t="s">
        <v>2302</v>
      </c>
      <c r="G598" s="29" t="s">
        <v>2054</v>
      </c>
      <c r="H598" s="50" t="s">
        <v>2200</v>
      </c>
      <c r="I598" s="50" t="s">
        <v>2200</v>
      </c>
      <c r="J598" s="104" t="s">
        <v>2303</v>
      </c>
      <c r="K598" s="10">
        <v>46032</v>
      </c>
      <c r="L598" s="29" t="s">
        <v>25</v>
      </c>
      <c r="M598" s="56"/>
    </row>
    <row r="599" spans="1:13" ht="31.5">
      <c r="A599" s="5">
        <v>598</v>
      </c>
      <c r="B599" s="29" t="s">
        <v>1183</v>
      </c>
      <c r="C599" s="31" t="s">
        <v>2184</v>
      </c>
      <c r="D599" s="29" t="s">
        <v>1258</v>
      </c>
      <c r="E599" s="29" t="s">
        <v>1259</v>
      </c>
      <c r="F599" s="8" t="s">
        <v>2302</v>
      </c>
      <c r="G599" s="29" t="s">
        <v>1260</v>
      </c>
      <c r="H599" s="50" t="s">
        <v>2200</v>
      </c>
      <c r="I599" s="50" t="s">
        <v>2200</v>
      </c>
      <c r="J599" s="104" t="s">
        <v>2303</v>
      </c>
      <c r="K599" s="10">
        <v>46032</v>
      </c>
      <c r="L599" s="29" t="s">
        <v>25</v>
      </c>
      <c r="M599" s="56"/>
    </row>
    <row r="600" spans="1:13" ht="31.5">
      <c r="A600" s="5">
        <v>599</v>
      </c>
      <c r="B600" s="29" t="s">
        <v>1183</v>
      </c>
      <c r="C600" s="31" t="s">
        <v>2184</v>
      </c>
      <c r="D600" s="29" t="s">
        <v>1261</v>
      </c>
      <c r="E600" s="29" t="s">
        <v>1262</v>
      </c>
      <c r="F600" s="8" t="s">
        <v>2302</v>
      </c>
      <c r="G600" s="29" t="s">
        <v>1263</v>
      </c>
      <c r="H600" s="50" t="s">
        <v>2200</v>
      </c>
      <c r="I600" s="50" t="s">
        <v>2200</v>
      </c>
      <c r="J600" s="104" t="s">
        <v>2303</v>
      </c>
      <c r="K600" s="10">
        <v>46032</v>
      </c>
      <c r="L600" s="29" t="s">
        <v>25</v>
      </c>
      <c r="M600" s="56"/>
    </row>
    <row r="601" spans="1:13" ht="31.5">
      <c r="A601" s="5">
        <v>600</v>
      </c>
      <c r="B601" s="29" t="s">
        <v>1183</v>
      </c>
      <c r="C601" s="31" t="s">
        <v>2184</v>
      </c>
      <c r="D601" s="29" t="s">
        <v>1264</v>
      </c>
      <c r="E601" s="29" t="s">
        <v>1265</v>
      </c>
      <c r="F601" s="8" t="s">
        <v>2302</v>
      </c>
      <c r="G601" s="29" t="s">
        <v>1266</v>
      </c>
      <c r="H601" s="50" t="s">
        <v>2200</v>
      </c>
      <c r="I601" s="50" t="s">
        <v>2200</v>
      </c>
      <c r="J601" s="104" t="s">
        <v>2303</v>
      </c>
      <c r="K601" s="10">
        <v>46032</v>
      </c>
      <c r="L601" s="29" t="s">
        <v>25</v>
      </c>
      <c r="M601" s="56"/>
    </row>
    <row r="602" spans="1:13" ht="31.5">
      <c r="A602" s="5">
        <v>601</v>
      </c>
      <c r="B602" s="29" t="s">
        <v>1183</v>
      </c>
      <c r="C602" s="31" t="s">
        <v>2184</v>
      </c>
      <c r="D602" s="29" t="s">
        <v>1267</v>
      </c>
      <c r="E602" s="29" t="s">
        <v>1268</v>
      </c>
      <c r="F602" s="8" t="s">
        <v>2302</v>
      </c>
      <c r="G602" s="29" t="s">
        <v>1237</v>
      </c>
      <c r="H602" s="50" t="s">
        <v>2200</v>
      </c>
      <c r="I602" s="50" t="s">
        <v>2200</v>
      </c>
      <c r="J602" s="104" t="s">
        <v>2303</v>
      </c>
      <c r="K602" s="10">
        <v>46032</v>
      </c>
      <c r="L602" s="29" t="s">
        <v>25</v>
      </c>
      <c r="M602" s="56"/>
    </row>
    <row r="603" spans="1:13" ht="31.5">
      <c r="A603" s="5">
        <v>602</v>
      </c>
      <c r="B603" s="29" t="s">
        <v>1183</v>
      </c>
      <c r="C603" s="31" t="s">
        <v>2184</v>
      </c>
      <c r="D603" s="29" t="s">
        <v>2055</v>
      </c>
      <c r="E603" s="29" t="s">
        <v>18</v>
      </c>
      <c r="F603" s="8" t="s">
        <v>2302</v>
      </c>
      <c r="G603" s="29" t="s">
        <v>1237</v>
      </c>
      <c r="H603" s="50" t="s">
        <v>2200</v>
      </c>
      <c r="I603" s="50" t="s">
        <v>2200</v>
      </c>
      <c r="J603" s="104" t="s">
        <v>2303</v>
      </c>
      <c r="K603" s="10">
        <v>46032</v>
      </c>
      <c r="L603" s="29" t="s">
        <v>25</v>
      </c>
      <c r="M603" s="56"/>
    </row>
    <row r="604" spans="1:13" ht="31.5">
      <c r="A604" s="5">
        <v>603</v>
      </c>
      <c r="B604" s="29" t="s">
        <v>1183</v>
      </c>
      <c r="C604" s="31" t="s">
        <v>2184</v>
      </c>
      <c r="D604" s="29" t="s">
        <v>1269</v>
      </c>
      <c r="E604" s="29" t="s">
        <v>1270</v>
      </c>
      <c r="F604" s="8" t="s">
        <v>2302</v>
      </c>
      <c r="G604" s="29" t="s">
        <v>1271</v>
      </c>
      <c r="H604" s="50" t="s">
        <v>2200</v>
      </c>
      <c r="I604" s="50" t="s">
        <v>2200</v>
      </c>
      <c r="J604" s="104" t="s">
        <v>2303</v>
      </c>
      <c r="K604" s="10">
        <v>46032</v>
      </c>
      <c r="L604" s="29" t="s">
        <v>25</v>
      </c>
      <c r="M604" s="56"/>
    </row>
    <row r="605" spans="1:13" ht="31.5">
      <c r="A605" s="5">
        <v>604</v>
      </c>
      <c r="B605" s="29" t="s">
        <v>1183</v>
      </c>
      <c r="C605" s="31" t="s">
        <v>2184</v>
      </c>
      <c r="D605" s="29" t="s">
        <v>1272</v>
      </c>
      <c r="E605" s="29" t="s">
        <v>1273</v>
      </c>
      <c r="F605" s="8" t="s">
        <v>2302</v>
      </c>
      <c r="G605" s="29" t="s">
        <v>1311</v>
      </c>
      <c r="H605" s="50" t="s">
        <v>2200</v>
      </c>
      <c r="I605" s="50" t="s">
        <v>2200</v>
      </c>
      <c r="J605" s="104" t="s">
        <v>2303</v>
      </c>
      <c r="K605" s="10">
        <v>46032</v>
      </c>
      <c r="L605" s="29" t="s">
        <v>25</v>
      </c>
      <c r="M605" s="56"/>
    </row>
    <row r="606" spans="1:13" ht="31.5">
      <c r="A606" s="5">
        <v>605</v>
      </c>
      <c r="B606" s="29" t="s">
        <v>1183</v>
      </c>
      <c r="C606" s="31" t="s">
        <v>2185</v>
      </c>
      <c r="D606" s="29" t="s">
        <v>1274</v>
      </c>
      <c r="E606" s="29" t="s">
        <v>1275</v>
      </c>
      <c r="F606" s="8" t="s">
        <v>2302</v>
      </c>
      <c r="G606" s="29" t="s">
        <v>1276</v>
      </c>
      <c r="H606" s="50" t="s">
        <v>2200</v>
      </c>
      <c r="I606" s="50" t="s">
        <v>2200</v>
      </c>
      <c r="J606" s="104" t="s">
        <v>2303</v>
      </c>
      <c r="K606" s="10">
        <v>46032</v>
      </c>
      <c r="L606" s="29" t="s">
        <v>25</v>
      </c>
      <c r="M606" s="56"/>
    </row>
    <row r="607" spans="1:13" ht="31.5">
      <c r="A607" s="5">
        <v>606</v>
      </c>
      <c r="B607" s="29" t="s">
        <v>1183</v>
      </c>
      <c r="C607" s="31" t="s">
        <v>2185</v>
      </c>
      <c r="D607" s="29" t="s">
        <v>1277</v>
      </c>
      <c r="E607" s="29" t="s">
        <v>1278</v>
      </c>
      <c r="F607" s="8" t="s">
        <v>2302</v>
      </c>
      <c r="G607" s="29" t="s">
        <v>1279</v>
      </c>
      <c r="H607" s="50" t="s">
        <v>2200</v>
      </c>
      <c r="I607" s="50" t="s">
        <v>2200</v>
      </c>
      <c r="J607" s="104" t="s">
        <v>2303</v>
      </c>
      <c r="K607" s="10">
        <v>46032</v>
      </c>
      <c r="L607" s="29" t="s">
        <v>25</v>
      </c>
      <c r="M607" s="56"/>
    </row>
    <row r="608" spans="1:13" ht="31.5">
      <c r="A608" s="5">
        <v>607</v>
      </c>
      <c r="B608" s="29" t="s">
        <v>1183</v>
      </c>
      <c r="C608" s="31" t="s">
        <v>2185</v>
      </c>
      <c r="D608" s="29" t="s">
        <v>1280</v>
      </c>
      <c r="E608" s="29" t="s">
        <v>1281</v>
      </c>
      <c r="F608" s="8" t="s">
        <v>2302</v>
      </c>
      <c r="G608" s="29" t="s">
        <v>1282</v>
      </c>
      <c r="H608" s="50" t="s">
        <v>2200</v>
      </c>
      <c r="I608" s="50" t="s">
        <v>2200</v>
      </c>
      <c r="J608" s="104" t="s">
        <v>2303</v>
      </c>
      <c r="K608" s="10">
        <v>46032</v>
      </c>
      <c r="L608" s="29" t="s">
        <v>25</v>
      </c>
      <c r="M608" s="56"/>
    </row>
    <row r="609" spans="1:13" ht="31.5">
      <c r="A609" s="5">
        <v>608</v>
      </c>
      <c r="B609" s="29" t="s">
        <v>1183</v>
      </c>
      <c r="C609" s="31" t="s">
        <v>2185</v>
      </c>
      <c r="D609" s="29" t="s">
        <v>1283</v>
      </c>
      <c r="E609" s="29" t="s">
        <v>1284</v>
      </c>
      <c r="F609" s="8" t="s">
        <v>2302</v>
      </c>
      <c r="G609" s="29" t="s">
        <v>1285</v>
      </c>
      <c r="H609" s="50" t="s">
        <v>2200</v>
      </c>
      <c r="I609" s="50" t="s">
        <v>2200</v>
      </c>
      <c r="J609" s="104" t="s">
        <v>2303</v>
      </c>
      <c r="K609" s="10">
        <v>46032</v>
      </c>
      <c r="L609" s="29" t="s">
        <v>25</v>
      </c>
      <c r="M609" s="56"/>
    </row>
    <row r="610" spans="1:13" ht="31.5">
      <c r="A610" s="5">
        <v>609</v>
      </c>
      <c r="B610" s="29" t="s">
        <v>1183</v>
      </c>
      <c r="C610" s="31" t="s">
        <v>2185</v>
      </c>
      <c r="D610" s="29" t="s">
        <v>1286</v>
      </c>
      <c r="E610" s="29" t="s">
        <v>1287</v>
      </c>
      <c r="F610" s="8" t="s">
        <v>2302</v>
      </c>
      <c r="G610" s="29" t="s">
        <v>1288</v>
      </c>
      <c r="H610" s="50" t="s">
        <v>2200</v>
      </c>
      <c r="I610" s="50" t="s">
        <v>2200</v>
      </c>
      <c r="J610" s="104" t="s">
        <v>2303</v>
      </c>
      <c r="K610" s="10">
        <v>46032</v>
      </c>
      <c r="L610" s="29" t="s">
        <v>25</v>
      </c>
      <c r="M610" s="56"/>
    </row>
    <row r="611" spans="1:13" ht="31.5">
      <c r="A611" s="5">
        <v>610</v>
      </c>
      <c r="B611" s="29" t="s">
        <v>1183</v>
      </c>
      <c r="C611" s="31" t="s">
        <v>2185</v>
      </c>
      <c r="D611" s="29" t="s">
        <v>1289</v>
      </c>
      <c r="E611" s="29" t="s">
        <v>1290</v>
      </c>
      <c r="F611" s="8" t="s">
        <v>2302</v>
      </c>
      <c r="G611" s="29" t="s">
        <v>1291</v>
      </c>
      <c r="H611" s="50" t="s">
        <v>2200</v>
      </c>
      <c r="I611" s="50" t="s">
        <v>2200</v>
      </c>
      <c r="J611" s="104" t="s">
        <v>2303</v>
      </c>
      <c r="K611" s="10">
        <v>46032</v>
      </c>
      <c r="L611" s="29" t="s">
        <v>25</v>
      </c>
      <c r="M611" s="56"/>
    </row>
    <row r="612" spans="1:13" ht="31.5">
      <c r="A612" s="5">
        <v>611</v>
      </c>
      <c r="B612" s="29" t="s">
        <v>1183</v>
      </c>
      <c r="C612" s="31" t="s">
        <v>2185</v>
      </c>
      <c r="D612" s="29" t="s">
        <v>1292</v>
      </c>
      <c r="E612" s="29" t="s">
        <v>1293</v>
      </c>
      <c r="F612" s="8" t="s">
        <v>2302</v>
      </c>
      <c r="G612" s="29" t="s">
        <v>1294</v>
      </c>
      <c r="H612" s="50" t="s">
        <v>2200</v>
      </c>
      <c r="I612" s="50" t="s">
        <v>2200</v>
      </c>
      <c r="J612" s="104" t="s">
        <v>2303</v>
      </c>
      <c r="K612" s="10">
        <v>46032</v>
      </c>
      <c r="L612" s="29" t="s">
        <v>25</v>
      </c>
      <c r="M612" s="56"/>
    </row>
    <row r="613" spans="1:13" ht="31.5">
      <c r="A613" s="5">
        <v>612</v>
      </c>
      <c r="B613" s="29" t="s">
        <v>1183</v>
      </c>
      <c r="C613" s="31" t="s">
        <v>2185</v>
      </c>
      <c r="D613" s="29" t="s">
        <v>1295</v>
      </c>
      <c r="E613" s="29" t="s">
        <v>1296</v>
      </c>
      <c r="F613" s="8" t="s">
        <v>2302</v>
      </c>
      <c r="G613" s="29" t="s">
        <v>1395</v>
      </c>
      <c r="H613" s="50" t="s">
        <v>2200</v>
      </c>
      <c r="I613" s="50" t="s">
        <v>2200</v>
      </c>
      <c r="J613" s="104" t="s">
        <v>2303</v>
      </c>
      <c r="K613" s="10">
        <v>46032</v>
      </c>
      <c r="L613" s="29" t="s">
        <v>25</v>
      </c>
      <c r="M613" s="56"/>
    </row>
    <row r="614" spans="1:13" ht="31.5">
      <c r="A614" s="5">
        <v>613</v>
      </c>
      <c r="B614" s="29" t="s">
        <v>1183</v>
      </c>
      <c r="C614" s="31" t="s">
        <v>2185</v>
      </c>
      <c r="D614" s="29" t="s">
        <v>1297</v>
      </c>
      <c r="E614" s="29" t="s">
        <v>1298</v>
      </c>
      <c r="F614" s="8" t="s">
        <v>2302</v>
      </c>
      <c r="G614" s="29" t="s">
        <v>1328</v>
      </c>
      <c r="H614" s="50" t="s">
        <v>2200</v>
      </c>
      <c r="I614" s="50" t="s">
        <v>2200</v>
      </c>
      <c r="J614" s="104" t="s">
        <v>2303</v>
      </c>
      <c r="K614" s="10">
        <v>46032</v>
      </c>
      <c r="L614" s="29" t="s">
        <v>25</v>
      </c>
      <c r="M614" s="56"/>
    </row>
    <row r="615" spans="1:13" ht="31.5">
      <c r="A615" s="5">
        <v>614</v>
      </c>
      <c r="B615" s="29" t="s">
        <v>1183</v>
      </c>
      <c r="C615" s="31" t="s">
        <v>2185</v>
      </c>
      <c r="D615" s="29" t="s">
        <v>1300</v>
      </c>
      <c r="E615" s="29" t="s">
        <v>1301</v>
      </c>
      <c r="F615" s="8" t="s">
        <v>2302</v>
      </c>
      <c r="G615" s="29" t="s">
        <v>1302</v>
      </c>
      <c r="H615" s="50" t="s">
        <v>2200</v>
      </c>
      <c r="I615" s="50" t="s">
        <v>2200</v>
      </c>
      <c r="J615" s="104" t="s">
        <v>2303</v>
      </c>
      <c r="K615" s="10">
        <v>46032</v>
      </c>
      <c r="L615" s="29" t="s">
        <v>25</v>
      </c>
      <c r="M615" s="5"/>
    </row>
    <row r="616" spans="1:13" ht="31.5">
      <c r="A616" s="5">
        <v>615</v>
      </c>
      <c r="B616" s="29" t="s">
        <v>1183</v>
      </c>
      <c r="C616" s="31" t="s">
        <v>2185</v>
      </c>
      <c r="D616" s="29" t="s">
        <v>1303</v>
      </c>
      <c r="E616" s="29" t="s">
        <v>1304</v>
      </c>
      <c r="F616" s="8" t="s">
        <v>2302</v>
      </c>
      <c r="G616" s="29" t="s">
        <v>1305</v>
      </c>
      <c r="H616" s="50" t="s">
        <v>2200</v>
      </c>
      <c r="I616" s="50" t="s">
        <v>2200</v>
      </c>
      <c r="J616" s="104" t="s">
        <v>2303</v>
      </c>
      <c r="K616" s="10">
        <v>46032</v>
      </c>
      <c r="L616" s="29" t="s">
        <v>25</v>
      </c>
      <c r="M616" s="56"/>
    </row>
    <row r="617" spans="1:13" ht="31.5">
      <c r="A617" s="5">
        <v>616</v>
      </c>
      <c r="B617" s="29" t="s">
        <v>1183</v>
      </c>
      <c r="C617" s="31" t="s">
        <v>2185</v>
      </c>
      <c r="D617" s="29" t="s">
        <v>1306</v>
      </c>
      <c r="E617" s="29" t="s">
        <v>1307</v>
      </c>
      <c r="F617" s="8" t="s">
        <v>2302</v>
      </c>
      <c r="G617" s="29" t="s">
        <v>1308</v>
      </c>
      <c r="H617" s="50" t="s">
        <v>2200</v>
      </c>
      <c r="I617" s="50" t="s">
        <v>2200</v>
      </c>
      <c r="J617" s="104" t="s">
        <v>2303</v>
      </c>
      <c r="K617" s="10">
        <v>46032</v>
      </c>
      <c r="L617" s="29" t="s">
        <v>25</v>
      </c>
      <c r="M617" s="56"/>
    </row>
    <row r="618" spans="1:13" ht="31.5">
      <c r="A618" s="5">
        <v>617</v>
      </c>
      <c r="B618" s="29" t="s">
        <v>1183</v>
      </c>
      <c r="C618" s="31" t="s">
        <v>2185</v>
      </c>
      <c r="D618" s="29" t="s">
        <v>1309</v>
      </c>
      <c r="E618" s="29" t="s">
        <v>1310</v>
      </c>
      <c r="F618" s="8" t="s">
        <v>2319</v>
      </c>
      <c r="G618" s="29" t="s">
        <v>1311</v>
      </c>
      <c r="H618" s="50" t="s">
        <v>2200</v>
      </c>
      <c r="I618" s="50" t="s">
        <v>2200</v>
      </c>
      <c r="J618" s="104" t="s">
        <v>2303</v>
      </c>
      <c r="K618" s="10">
        <v>46032</v>
      </c>
      <c r="L618" s="29" t="s">
        <v>25</v>
      </c>
      <c r="M618" s="56"/>
    </row>
    <row r="619" spans="1:13" ht="31.5">
      <c r="A619" s="5">
        <v>618</v>
      </c>
      <c r="B619" s="29" t="s">
        <v>1183</v>
      </c>
      <c r="C619" s="31" t="s">
        <v>2185</v>
      </c>
      <c r="D619" s="29" t="s">
        <v>1312</v>
      </c>
      <c r="E619" s="29" t="s">
        <v>1313</v>
      </c>
      <c r="F619" s="8" t="s">
        <v>2302</v>
      </c>
      <c r="G619" s="29" t="s">
        <v>2056</v>
      </c>
      <c r="H619" s="50" t="s">
        <v>2200</v>
      </c>
      <c r="I619" s="50" t="s">
        <v>2200</v>
      </c>
      <c r="J619" s="104" t="s">
        <v>2303</v>
      </c>
      <c r="K619" s="10">
        <v>46032</v>
      </c>
      <c r="L619" s="29" t="s">
        <v>25</v>
      </c>
      <c r="M619" s="56"/>
    </row>
    <row r="620" spans="1:13" ht="31.5">
      <c r="A620" s="5">
        <v>619</v>
      </c>
      <c r="B620" s="29" t="s">
        <v>1183</v>
      </c>
      <c r="C620" s="31" t="s">
        <v>2185</v>
      </c>
      <c r="D620" s="29" t="s">
        <v>1314</v>
      </c>
      <c r="E620" s="29" t="s">
        <v>1315</v>
      </c>
      <c r="F620" s="8" t="s">
        <v>2302</v>
      </c>
      <c r="G620" s="29" t="s">
        <v>1316</v>
      </c>
      <c r="H620" s="50" t="s">
        <v>2200</v>
      </c>
      <c r="I620" s="50" t="s">
        <v>2200</v>
      </c>
      <c r="J620" s="104" t="s">
        <v>2303</v>
      </c>
      <c r="K620" s="10">
        <v>46032</v>
      </c>
      <c r="L620" s="29" t="s">
        <v>25</v>
      </c>
      <c r="M620" s="5"/>
    </row>
    <row r="621" spans="1:13" ht="31.5">
      <c r="A621" s="5">
        <v>620</v>
      </c>
      <c r="B621" s="29" t="s">
        <v>1183</v>
      </c>
      <c r="C621" s="31" t="s">
        <v>2185</v>
      </c>
      <c r="D621" s="29" t="s">
        <v>1317</v>
      </c>
      <c r="E621" s="29" t="s">
        <v>1318</v>
      </c>
      <c r="F621" s="8" t="s">
        <v>2302</v>
      </c>
      <c r="G621" s="29" t="s">
        <v>1319</v>
      </c>
      <c r="H621" s="50" t="s">
        <v>2200</v>
      </c>
      <c r="I621" s="50" t="s">
        <v>2200</v>
      </c>
      <c r="J621" s="104" t="s">
        <v>2303</v>
      </c>
      <c r="K621" s="10">
        <v>46032</v>
      </c>
      <c r="L621" s="29" t="s">
        <v>25</v>
      </c>
      <c r="M621" s="56"/>
    </row>
    <row r="622" spans="1:13" ht="31.5">
      <c r="A622" s="5">
        <v>621</v>
      </c>
      <c r="B622" s="29" t="s">
        <v>1183</v>
      </c>
      <c r="C622" s="31" t="s">
        <v>2185</v>
      </c>
      <c r="D622" s="29" t="s">
        <v>1320</v>
      </c>
      <c r="E622" s="29" t="s">
        <v>1321</v>
      </c>
      <c r="F622" s="8" t="s">
        <v>2302</v>
      </c>
      <c r="G622" s="29" t="s">
        <v>1322</v>
      </c>
      <c r="H622" s="50" t="s">
        <v>2200</v>
      </c>
      <c r="I622" s="50" t="s">
        <v>2200</v>
      </c>
      <c r="J622" s="104" t="s">
        <v>2303</v>
      </c>
      <c r="K622" s="10">
        <v>46032</v>
      </c>
      <c r="L622" s="29" t="s">
        <v>25</v>
      </c>
      <c r="M622" s="56"/>
    </row>
    <row r="623" spans="1:13" ht="31.5">
      <c r="A623" s="5">
        <v>622</v>
      </c>
      <c r="B623" s="29" t="s">
        <v>1183</v>
      </c>
      <c r="C623" s="31" t="s">
        <v>2185</v>
      </c>
      <c r="D623" s="29" t="s">
        <v>1323</v>
      </c>
      <c r="E623" s="29" t="s">
        <v>1324</v>
      </c>
      <c r="F623" s="8" t="s">
        <v>2302</v>
      </c>
      <c r="G623" s="29" t="s">
        <v>1325</v>
      </c>
      <c r="H623" s="50" t="s">
        <v>2200</v>
      </c>
      <c r="I623" s="50" t="s">
        <v>2200</v>
      </c>
      <c r="J623" s="104" t="s">
        <v>2303</v>
      </c>
      <c r="K623" s="10">
        <v>46032</v>
      </c>
      <c r="L623" s="29" t="s">
        <v>25</v>
      </c>
      <c r="M623" s="56"/>
    </row>
    <row r="624" spans="1:13" ht="31.5">
      <c r="A624" s="5">
        <v>623</v>
      </c>
      <c r="B624" s="29" t="s">
        <v>1183</v>
      </c>
      <c r="C624" s="31" t="s">
        <v>2185</v>
      </c>
      <c r="D624" s="29" t="s">
        <v>1326</v>
      </c>
      <c r="E624" s="29" t="s">
        <v>1327</v>
      </c>
      <c r="F624" s="8" t="s">
        <v>2302</v>
      </c>
      <c r="G624" s="29" t="s">
        <v>1305</v>
      </c>
      <c r="H624" s="50" t="s">
        <v>2200</v>
      </c>
      <c r="I624" s="50" t="s">
        <v>2200</v>
      </c>
      <c r="J624" s="104" t="s">
        <v>2303</v>
      </c>
      <c r="K624" s="10">
        <v>46032</v>
      </c>
      <c r="L624" s="29" t="s">
        <v>25</v>
      </c>
      <c r="M624" s="56"/>
    </row>
    <row r="625" spans="1:13" ht="31.5">
      <c r="A625" s="5">
        <v>624</v>
      </c>
      <c r="B625" s="29" t="s">
        <v>1183</v>
      </c>
      <c r="C625" s="31" t="s">
        <v>2185</v>
      </c>
      <c r="D625" s="29" t="s">
        <v>1329</v>
      </c>
      <c r="E625" s="29" t="s">
        <v>1330</v>
      </c>
      <c r="F625" s="8" t="s">
        <v>2302</v>
      </c>
      <c r="G625" s="29" t="s">
        <v>1331</v>
      </c>
      <c r="H625" s="50" t="s">
        <v>2200</v>
      </c>
      <c r="I625" s="50" t="s">
        <v>2200</v>
      </c>
      <c r="J625" s="104" t="s">
        <v>2303</v>
      </c>
      <c r="K625" s="10">
        <v>46032</v>
      </c>
      <c r="L625" s="29" t="s">
        <v>25</v>
      </c>
      <c r="M625" s="56"/>
    </row>
    <row r="626" spans="1:13" ht="31.5">
      <c r="A626" s="5">
        <v>625</v>
      </c>
      <c r="B626" s="29" t="s">
        <v>1183</v>
      </c>
      <c r="C626" s="31" t="s">
        <v>2185</v>
      </c>
      <c r="D626" s="29" t="s">
        <v>1332</v>
      </c>
      <c r="E626" s="29" t="s">
        <v>1333</v>
      </c>
      <c r="F626" s="8" t="s">
        <v>2302</v>
      </c>
      <c r="G626" s="29" t="s">
        <v>1385</v>
      </c>
      <c r="H626" s="50" t="s">
        <v>2200</v>
      </c>
      <c r="I626" s="50" t="s">
        <v>2200</v>
      </c>
      <c r="J626" s="104" t="s">
        <v>2303</v>
      </c>
      <c r="K626" s="10">
        <v>46032</v>
      </c>
      <c r="L626" s="29" t="s">
        <v>25</v>
      </c>
      <c r="M626" s="56"/>
    </row>
    <row r="627" spans="1:13" ht="31.5">
      <c r="A627" s="5">
        <v>626</v>
      </c>
      <c r="B627" s="29" t="s">
        <v>1183</v>
      </c>
      <c r="C627" s="31" t="s">
        <v>2185</v>
      </c>
      <c r="D627" s="29" t="s">
        <v>1335</v>
      </c>
      <c r="E627" s="29" t="s">
        <v>1336</v>
      </c>
      <c r="F627" s="8" t="s">
        <v>2302</v>
      </c>
      <c r="G627" s="29" t="s">
        <v>1337</v>
      </c>
      <c r="H627" s="50" t="s">
        <v>2200</v>
      </c>
      <c r="I627" s="50" t="s">
        <v>2200</v>
      </c>
      <c r="J627" s="104" t="s">
        <v>2303</v>
      </c>
      <c r="K627" s="10">
        <v>46032</v>
      </c>
      <c r="L627" s="29" t="s">
        <v>25</v>
      </c>
      <c r="M627" s="56"/>
    </row>
    <row r="628" spans="1:13" ht="31.5">
      <c r="A628" s="5">
        <v>627</v>
      </c>
      <c r="B628" s="29" t="s">
        <v>1183</v>
      </c>
      <c r="C628" s="31" t="s">
        <v>2185</v>
      </c>
      <c r="D628" s="29" t="s">
        <v>1338</v>
      </c>
      <c r="E628" s="29" t="s">
        <v>1339</v>
      </c>
      <c r="F628" s="8" t="s">
        <v>2302</v>
      </c>
      <c r="G628" s="29" t="s">
        <v>1340</v>
      </c>
      <c r="H628" s="50" t="s">
        <v>2200</v>
      </c>
      <c r="I628" s="50" t="s">
        <v>2200</v>
      </c>
      <c r="J628" s="104" t="s">
        <v>2303</v>
      </c>
      <c r="K628" s="10">
        <v>46032</v>
      </c>
      <c r="L628" s="29" t="s">
        <v>25</v>
      </c>
      <c r="M628" s="56"/>
    </row>
    <row r="629" spans="1:13" ht="31.5">
      <c r="A629" s="5">
        <v>628</v>
      </c>
      <c r="B629" s="29" t="s">
        <v>1183</v>
      </c>
      <c r="C629" s="31" t="s">
        <v>2185</v>
      </c>
      <c r="D629" s="29" t="s">
        <v>1341</v>
      </c>
      <c r="E629" s="29" t="s">
        <v>1342</v>
      </c>
      <c r="F629" s="8" t="s">
        <v>2302</v>
      </c>
      <c r="G629" s="29" t="s">
        <v>1343</v>
      </c>
      <c r="H629" s="50" t="s">
        <v>2200</v>
      </c>
      <c r="I629" s="50" t="s">
        <v>2200</v>
      </c>
      <c r="J629" s="104" t="s">
        <v>2303</v>
      </c>
      <c r="K629" s="10">
        <v>46032</v>
      </c>
      <c r="L629" s="29" t="s">
        <v>25</v>
      </c>
      <c r="M629" s="56"/>
    </row>
    <row r="630" spans="1:13" ht="31.5">
      <c r="A630" s="5">
        <v>629</v>
      </c>
      <c r="B630" s="29" t="s">
        <v>1183</v>
      </c>
      <c r="C630" s="31" t="s">
        <v>2185</v>
      </c>
      <c r="D630" s="29" t="s">
        <v>1344</v>
      </c>
      <c r="E630" s="29" t="s">
        <v>1345</v>
      </c>
      <c r="F630" s="8" t="s">
        <v>2302</v>
      </c>
      <c r="G630" s="29" t="s">
        <v>1346</v>
      </c>
      <c r="H630" s="50" t="s">
        <v>2200</v>
      </c>
      <c r="I630" s="50" t="s">
        <v>2200</v>
      </c>
      <c r="J630" s="104" t="s">
        <v>2303</v>
      </c>
      <c r="K630" s="10">
        <v>46032</v>
      </c>
      <c r="L630" s="29" t="s">
        <v>25</v>
      </c>
      <c r="M630" s="56"/>
    </row>
    <row r="631" spans="1:13" ht="31.5">
      <c r="A631" s="5">
        <v>630</v>
      </c>
      <c r="B631" s="29" t="s">
        <v>1183</v>
      </c>
      <c r="C631" s="31" t="s">
        <v>2185</v>
      </c>
      <c r="D631" s="29" t="s">
        <v>1347</v>
      </c>
      <c r="E631" s="29" t="s">
        <v>1348</v>
      </c>
      <c r="F631" s="8" t="s">
        <v>2302</v>
      </c>
      <c r="G631" s="29" t="s">
        <v>1349</v>
      </c>
      <c r="H631" s="50" t="s">
        <v>2200</v>
      </c>
      <c r="I631" s="50" t="s">
        <v>2200</v>
      </c>
      <c r="J631" s="104" t="s">
        <v>2303</v>
      </c>
      <c r="K631" s="10">
        <v>46032</v>
      </c>
      <c r="L631" s="29" t="s">
        <v>25</v>
      </c>
      <c r="M631" s="56"/>
    </row>
    <row r="632" spans="1:13" ht="31.5">
      <c r="A632" s="5">
        <v>631</v>
      </c>
      <c r="B632" s="29" t="s">
        <v>1183</v>
      </c>
      <c r="C632" s="31" t="s">
        <v>2185</v>
      </c>
      <c r="D632" s="29" t="s">
        <v>1350</v>
      </c>
      <c r="E632" s="29" t="s">
        <v>1351</v>
      </c>
      <c r="F632" s="8" t="s">
        <v>2302</v>
      </c>
      <c r="G632" s="29" t="s">
        <v>1316</v>
      </c>
      <c r="H632" s="50" t="s">
        <v>2200</v>
      </c>
      <c r="I632" s="50" t="s">
        <v>2200</v>
      </c>
      <c r="J632" s="104" t="s">
        <v>2303</v>
      </c>
      <c r="K632" s="10">
        <v>46032</v>
      </c>
      <c r="L632" s="29" t="s">
        <v>25</v>
      </c>
      <c r="M632" s="56"/>
    </row>
    <row r="633" spans="1:13" ht="31.5">
      <c r="A633" s="5">
        <v>632</v>
      </c>
      <c r="B633" s="29" t="s">
        <v>1183</v>
      </c>
      <c r="C633" s="31" t="s">
        <v>2185</v>
      </c>
      <c r="D633" s="29" t="s">
        <v>1352</v>
      </c>
      <c r="E633" s="29" t="s">
        <v>1353</v>
      </c>
      <c r="F633" s="8" t="s">
        <v>2302</v>
      </c>
      <c r="G633" s="29" t="s">
        <v>1311</v>
      </c>
      <c r="H633" s="50" t="s">
        <v>2200</v>
      </c>
      <c r="I633" s="50" t="s">
        <v>2200</v>
      </c>
      <c r="J633" s="104" t="s">
        <v>2303</v>
      </c>
      <c r="K633" s="10">
        <v>46032</v>
      </c>
      <c r="L633" s="29" t="s">
        <v>25</v>
      </c>
      <c r="M633" s="56"/>
    </row>
    <row r="634" spans="1:13" ht="31.5">
      <c r="A634" s="5">
        <v>633</v>
      </c>
      <c r="B634" s="29" t="s">
        <v>1183</v>
      </c>
      <c r="C634" s="31" t="s">
        <v>2185</v>
      </c>
      <c r="D634" s="29" t="s">
        <v>1730</v>
      </c>
      <c r="E634" s="29" t="s">
        <v>2057</v>
      </c>
      <c r="F634" s="8" t="s">
        <v>2302</v>
      </c>
      <c r="G634" s="29" t="s">
        <v>2058</v>
      </c>
      <c r="H634" s="50" t="s">
        <v>2200</v>
      </c>
      <c r="I634" s="50" t="s">
        <v>2200</v>
      </c>
      <c r="J634" s="104" t="s">
        <v>2303</v>
      </c>
      <c r="K634" s="10">
        <v>46032</v>
      </c>
      <c r="L634" s="29" t="s">
        <v>25</v>
      </c>
      <c r="M634" s="56"/>
    </row>
    <row r="635" spans="1:13" ht="31.5">
      <c r="A635" s="5">
        <v>634</v>
      </c>
      <c r="B635" s="29" t="s">
        <v>1183</v>
      </c>
      <c r="C635" s="31" t="s">
        <v>2185</v>
      </c>
      <c r="D635" s="29" t="s">
        <v>1389</v>
      </c>
      <c r="E635" s="29" t="s">
        <v>1390</v>
      </c>
      <c r="F635" s="8" t="s">
        <v>2302</v>
      </c>
      <c r="G635" s="29" t="s">
        <v>1389</v>
      </c>
      <c r="H635" s="50" t="s">
        <v>2200</v>
      </c>
      <c r="I635" s="50" t="s">
        <v>2200</v>
      </c>
      <c r="J635" s="104" t="s">
        <v>2303</v>
      </c>
      <c r="K635" s="10">
        <v>46032</v>
      </c>
      <c r="L635" s="29" t="s">
        <v>25</v>
      </c>
      <c r="M635" s="56"/>
    </row>
    <row r="636" spans="1:13" ht="31.5">
      <c r="A636" s="5">
        <v>635</v>
      </c>
      <c r="B636" s="29" t="s">
        <v>1183</v>
      </c>
      <c r="C636" s="31" t="s">
        <v>2185</v>
      </c>
      <c r="D636" s="29" t="s">
        <v>1399</v>
      </c>
      <c r="E636" s="29" t="s">
        <v>18</v>
      </c>
      <c r="F636" s="8" t="s">
        <v>2302</v>
      </c>
      <c r="G636" s="29" t="s">
        <v>1311</v>
      </c>
      <c r="H636" s="50" t="s">
        <v>2200</v>
      </c>
      <c r="I636" s="50" t="s">
        <v>2200</v>
      </c>
      <c r="J636" s="104" t="s">
        <v>2303</v>
      </c>
      <c r="K636" s="10">
        <v>46032</v>
      </c>
      <c r="L636" s="29" t="s">
        <v>25</v>
      </c>
      <c r="M636" s="56"/>
    </row>
    <row r="637" spans="1:13" ht="31.5">
      <c r="A637" s="5">
        <v>636</v>
      </c>
      <c r="B637" s="29" t="s">
        <v>1183</v>
      </c>
      <c r="C637" s="31" t="s">
        <v>2185</v>
      </c>
      <c r="D637" s="29" t="s">
        <v>1393</v>
      </c>
      <c r="E637" s="29" t="s">
        <v>18</v>
      </c>
      <c r="F637" s="8" t="s">
        <v>2302</v>
      </c>
      <c r="G637" s="29" t="s">
        <v>1311</v>
      </c>
      <c r="H637" s="50" t="s">
        <v>2200</v>
      </c>
      <c r="I637" s="50" t="s">
        <v>2200</v>
      </c>
      <c r="J637" s="104" t="s">
        <v>2303</v>
      </c>
      <c r="K637" s="10">
        <v>46032</v>
      </c>
      <c r="L637" s="29" t="s">
        <v>25</v>
      </c>
      <c r="M637" s="56"/>
    </row>
    <row r="638" spans="1:13" ht="31.5">
      <c r="A638" s="5">
        <v>637</v>
      </c>
      <c r="B638" s="29" t="s">
        <v>1183</v>
      </c>
      <c r="C638" s="31" t="s">
        <v>2271</v>
      </c>
      <c r="D638" s="29" t="s">
        <v>1354</v>
      </c>
      <c r="E638" s="29" t="s">
        <v>1355</v>
      </c>
      <c r="F638" s="8" t="s">
        <v>2302</v>
      </c>
      <c r="G638" s="29" t="s">
        <v>1356</v>
      </c>
      <c r="H638" s="50" t="s">
        <v>2200</v>
      </c>
      <c r="I638" s="50" t="s">
        <v>2200</v>
      </c>
      <c r="J638" s="104" t="s">
        <v>2303</v>
      </c>
      <c r="K638" s="10">
        <v>46032</v>
      </c>
      <c r="L638" s="29" t="s">
        <v>25</v>
      </c>
      <c r="M638" s="56"/>
    </row>
    <row r="639" spans="1:13" ht="31.5">
      <c r="A639" s="5">
        <v>638</v>
      </c>
      <c r="B639" s="29" t="s">
        <v>1183</v>
      </c>
      <c r="C639" s="31" t="s">
        <v>2271</v>
      </c>
      <c r="D639" s="29" t="s">
        <v>1357</v>
      </c>
      <c r="E639" s="29" t="s">
        <v>1358</v>
      </c>
      <c r="F639" s="8" t="s">
        <v>2302</v>
      </c>
      <c r="G639" s="29" t="s">
        <v>1359</v>
      </c>
      <c r="H639" s="50" t="s">
        <v>2200</v>
      </c>
      <c r="I639" s="50" t="s">
        <v>2200</v>
      </c>
      <c r="J639" s="104" t="s">
        <v>2303</v>
      </c>
      <c r="K639" s="10">
        <v>46032</v>
      </c>
      <c r="L639" s="29" t="s">
        <v>25</v>
      </c>
      <c r="M639" s="56"/>
    </row>
    <row r="640" spans="1:13" ht="31.5">
      <c r="A640" s="5">
        <v>639</v>
      </c>
      <c r="B640" s="29" t="s">
        <v>1183</v>
      </c>
      <c r="C640" s="31" t="s">
        <v>2271</v>
      </c>
      <c r="D640" s="29" t="s">
        <v>1360</v>
      </c>
      <c r="E640" s="29" t="s">
        <v>1361</v>
      </c>
      <c r="F640" s="8" t="s">
        <v>2302</v>
      </c>
      <c r="G640" s="29" t="s">
        <v>2059</v>
      </c>
      <c r="H640" s="50" t="s">
        <v>2200</v>
      </c>
      <c r="I640" s="50" t="s">
        <v>2200</v>
      </c>
      <c r="J640" s="104" t="s">
        <v>2303</v>
      </c>
      <c r="K640" s="10">
        <v>46032</v>
      </c>
      <c r="L640" s="29" t="s">
        <v>25</v>
      </c>
      <c r="M640" s="56"/>
    </row>
    <row r="641" spans="1:13" ht="31.5">
      <c r="A641" s="5">
        <v>640</v>
      </c>
      <c r="B641" s="29" t="s">
        <v>1183</v>
      </c>
      <c r="C641" s="31" t="s">
        <v>2271</v>
      </c>
      <c r="D641" s="29" t="s">
        <v>1363</v>
      </c>
      <c r="E641" s="29" t="s">
        <v>1364</v>
      </c>
      <c r="F641" s="8" t="s">
        <v>2302</v>
      </c>
      <c r="G641" s="29" t="s">
        <v>1365</v>
      </c>
      <c r="H641" s="50" t="s">
        <v>2200</v>
      </c>
      <c r="I641" s="50" t="s">
        <v>2200</v>
      </c>
      <c r="J641" s="104" t="s">
        <v>2303</v>
      </c>
      <c r="K641" s="10">
        <v>46032</v>
      </c>
      <c r="L641" s="29" t="s">
        <v>25</v>
      </c>
      <c r="M641" s="56"/>
    </row>
    <row r="642" spans="1:13" ht="31.5">
      <c r="A642" s="5">
        <v>641</v>
      </c>
      <c r="B642" s="29" t="s">
        <v>1183</v>
      </c>
      <c r="C642" s="31" t="s">
        <v>2271</v>
      </c>
      <c r="D642" s="29" t="s">
        <v>1366</v>
      </c>
      <c r="E642" s="29" t="s">
        <v>1367</v>
      </c>
      <c r="F642" s="8" t="s">
        <v>2302</v>
      </c>
      <c r="G642" s="29" t="s">
        <v>1334</v>
      </c>
      <c r="H642" s="50" t="s">
        <v>2200</v>
      </c>
      <c r="I642" s="50" t="s">
        <v>2200</v>
      </c>
      <c r="J642" s="104" t="s">
        <v>2303</v>
      </c>
      <c r="K642" s="10">
        <v>46032</v>
      </c>
      <c r="L642" s="29" t="s">
        <v>25</v>
      </c>
      <c r="M642" s="56"/>
    </row>
    <row r="643" spans="1:13" ht="31.5">
      <c r="A643" s="5">
        <v>642</v>
      </c>
      <c r="B643" s="29" t="s">
        <v>1183</v>
      </c>
      <c r="C643" s="31" t="s">
        <v>2073</v>
      </c>
      <c r="D643" s="29" t="s">
        <v>1368</v>
      </c>
      <c r="E643" s="29" t="s">
        <v>1369</v>
      </c>
      <c r="F643" s="8" t="s">
        <v>2302</v>
      </c>
      <c r="G643" s="29" t="s">
        <v>1359</v>
      </c>
      <c r="H643" s="50" t="s">
        <v>2200</v>
      </c>
      <c r="I643" s="50" t="s">
        <v>2200</v>
      </c>
      <c r="J643" s="104" t="s">
        <v>2303</v>
      </c>
      <c r="K643" s="10">
        <v>46032</v>
      </c>
      <c r="L643" s="29" t="s">
        <v>25</v>
      </c>
      <c r="M643" s="5"/>
    </row>
    <row r="644" spans="1:13" ht="31.5">
      <c r="A644" s="5">
        <v>643</v>
      </c>
      <c r="B644" s="29" t="s">
        <v>1183</v>
      </c>
      <c r="C644" s="31" t="s">
        <v>2271</v>
      </c>
      <c r="D644" s="29" t="s">
        <v>1370</v>
      </c>
      <c r="E644" s="29" t="s">
        <v>1371</v>
      </c>
      <c r="F644" s="8" t="s">
        <v>2302</v>
      </c>
      <c r="G644" s="29" t="s">
        <v>1372</v>
      </c>
      <c r="H644" s="50" t="s">
        <v>2200</v>
      </c>
      <c r="I644" s="50" t="s">
        <v>2200</v>
      </c>
      <c r="J644" s="104" t="s">
        <v>2303</v>
      </c>
      <c r="K644" s="10">
        <v>46032</v>
      </c>
      <c r="L644" s="29" t="s">
        <v>25</v>
      </c>
      <c r="M644" s="56"/>
    </row>
    <row r="645" spans="1:13" ht="31.5">
      <c r="A645" s="5">
        <v>644</v>
      </c>
      <c r="B645" s="29" t="s">
        <v>1183</v>
      </c>
      <c r="C645" s="31" t="s">
        <v>2271</v>
      </c>
      <c r="D645" s="29" t="s">
        <v>1373</v>
      </c>
      <c r="E645" s="29" t="s">
        <v>1374</v>
      </c>
      <c r="F645" s="8" t="s">
        <v>2302</v>
      </c>
      <c r="G645" s="29" t="s">
        <v>1362</v>
      </c>
      <c r="H645" s="50" t="s">
        <v>2200</v>
      </c>
      <c r="I645" s="50" t="s">
        <v>2200</v>
      </c>
      <c r="J645" s="104" t="s">
        <v>2303</v>
      </c>
      <c r="K645" s="10">
        <v>46032</v>
      </c>
      <c r="L645" s="29" t="s">
        <v>25</v>
      </c>
      <c r="M645" s="56"/>
    </row>
    <row r="646" spans="1:13" ht="31.5">
      <c r="A646" s="5">
        <v>645</v>
      </c>
      <c r="B646" s="29" t="s">
        <v>1183</v>
      </c>
      <c r="C646" s="31" t="s">
        <v>2271</v>
      </c>
      <c r="D646" s="29" t="s">
        <v>1375</v>
      </c>
      <c r="E646" s="29" t="s">
        <v>1376</v>
      </c>
      <c r="F646" s="8" t="s">
        <v>2302</v>
      </c>
      <c r="G646" s="29" t="s">
        <v>1377</v>
      </c>
      <c r="H646" s="50" t="s">
        <v>2200</v>
      </c>
      <c r="I646" s="50" t="s">
        <v>2200</v>
      </c>
      <c r="J646" s="104" t="s">
        <v>2303</v>
      </c>
      <c r="K646" s="10">
        <v>46032</v>
      </c>
      <c r="L646" s="29" t="s">
        <v>25</v>
      </c>
      <c r="M646" s="56"/>
    </row>
    <row r="647" spans="1:13" ht="31.5">
      <c r="A647" s="5">
        <v>646</v>
      </c>
      <c r="B647" s="29" t="s">
        <v>1183</v>
      </c>
      <c r="C647" s="31" t="s">
        <v>2271</v>
      </c>
      <c r="D647" s="29" t="s">
        <v>1378</v>
      </c>
      <c r="E647" s="29" t="s">
        <v>1379</v>
      </c>
      <c r="F647" s="8" t="s">
        <v>2302</v>
      </c>
      <c r="G647" s="29" t="s">
        <v>1380</v>
      </c>
      <c r="H647" s="50" t="s">
        <v>2200</v>
      </c>
      <c r="I647" s="50" t="s">
        <v>2200</v>
      </c>
      <c r="J647" s="104" t="s">
        <v>2303</v>
      </c>
      <c r="K647" s="10">
        <v>46032</v>
      </c>
      <c r="L647" s="29" t="s">
        <v>25</v>
      </c>
      <c r="M647" s="56"/>
    </row>
    <row r="648" spans="1:13" ht="31.5">
      <c r="A648" s="5">
        <v>647</v>
      </c>
      <c r="B648" s="29" t="s">
        <v>1183</v>
      </c>
      <c r="C648" s="31" t="s">
        <v>2271</v>
      </c>
      <c r="D648" s="29" t="s">
        <v>1381</v>
      </c>
      <c r="E648" s="29" t="s">
        <v>1382</v>
      </c>
      <c r="F648" s="8" t="s">
        <v>2302</v>
      </c>
      <c r="G648" s="29" t="s">
        <v>2060</v>
      </c>
      <c r="H648" s="50" t="s">
        <v>2200</v>
      </c>
      <c r="I648" s="50" t="s">
        <v>2200</v>
      </c>
      <c r="J648" s="104" t="s">
        <v>2303</v>
      </c>
      <c r="K648" s="10">
        <v>46032</v>
      </c>
      <c r="L648" s="29" t="s">
        <v>25</v>
      </c>
      <c r="M648" s="56"/>
    </row>
    <row r="649" spans="1:13" ht="31.5">
      <c r="A649" s="5">
        <v>648</v>
      </c>
      <c r="B649" s="29" t="s">
        <v>1183</v>
      </c>
      <c r="C649" s="31" t="s">
        <v>2271</v>
      </c>
      <c r="D649" s="29" t="s">
        <v>1383</v>
      </c>
      <c r="E649" s="29" t="s">
        <v>1384</v>
      </c>
      <c r="F649" s="8" t="s">
        <v>2302</v>
      </c>
      <c r="G649" s="29" t="s">
        <v>1334</v>
      </c>
      <c r="H649" s="50" t="s">
        <v>2200</v>
      </c>
      <c r="I649" s="50" t="s">
        <v>2200</v>
      </c>
      <c r="J649" s="104" t="s">
        <v>2303</v>
      </c>
      <c r="K649" s="10">
        <v>46032</v>
      </c>
      <c r="L649" s="29" t="s">
        <v>25</v>
      </c>
      <c r="M649" s="56"/>
    </row>
    <row r="650" spans="1:13" ht="31.5">
      <c r="A650" s="5">
        <v>649</v>
      </c>
      <c r="B650" s="29" t="s">
        <v>1183</v>
      </c>
      <c r="C650" s="31" t="s">
        <v>2271</v>
      </c>
      <c r="D650" s="29" t="s">
        <v>1386</v>
      </c>
      <c r="E650" s="29" t="s">
        <v>1387</v>
      </c>
      <c r="F650" s="8" t="s">
        <v>2302</v>
      </c>
      <c r="G650" s="29" t="s">
        <v>1388</v>
      </c>
      <c r="H650" s="50" t="s">
        <v>2200</v>
      </c>
      <c r="I650" s="50" t="s">
        <v>2200</v>
      </c>
      <c r="J650" s="104" t="s">
        <v>2303</v>
      </c>
      <c r="K650" s="10">
        <v>46032</v>
      </c>
      <c r="L650" s="29" t="s">
        <v>25</v>
      </c>
      <c r="M650" s="56"/>
    </row>
    <row r="651" spans="1:13" ht="31.5">
      <c r="A651" s="5">
        <v>650</v>
      </c>
      <c r="B651" s="29" t="s">
        <v>1183</v>
      </c>
      <c r="C651" s="31" t="s">
        <v>2271</v>
      </c>
      <c r="D651" s="29" t="s">
        <v>1770</v>
      </c>
      <c r="E651" s="29" t="s">
        <v>2061</v>
      </c>
      <c r="F651" s="8" t="s">
        <v>2302</v>
      </c>
      <c r="G651" s="29" t="s">
        <v>2062</v>
      </c>
      <c r="H651" s="50" t="s">
        <v>2200</v>
      </c>
      <c r="I651" s="50" t="s">
        <v>2200</v>
      </c>
      <c r="J651" s="104" t="s">
        <v>2303</v>
      </c>
      <c r="K651" s="10">
        <v>46032</v>
      </c>
      <c r="L651" s="29" t="s">
        <v>25</v>
      </c>
      <c r="M651" s="56"/>
    </row>
    <row r="652" spans="1:13" ht="31.5">
      <c r="A652" s="5">
        <v>651</v>
      </c>
      <c r="B652" s="29" t="s">
        <v>1183</v>
      </c>
      <c r="C652" s="31" t="s">
        <v>2271</v>
      </c>
      <c r="D652" s="29" t="s">
        <v>1771</v>
      </c>
      <c r="E652" s="29" t="s">
        <v>2063</v>
      </c>
      <c r="F652" s="8" t="s">
        <v>2302</v>
      </c>
      <c r="G652" s="29" t="s">
        <v>2064</v>
      </c>
      <c r="H652" s="50" t="s">
        <v>2200</v>
      </c>
      <c r="I652" s="50" t="s">
        <v>2200</v>
      </c>
      <c r="J652" s="104" t="s">
        <v>2303</v>
      </c>
      <c r="K652" s="10">
        <v>46032</v>
      </c>
      <c r="L652" s="29" t="s">
        <v>25</v>
      </c>
      <c r="M652" s="56"/>
    </row>
    <row r="653" spans="1:13" ht="31.5">
      <c r="A653" s="5">
        <v>652</v>
      </c>
      <c r="B653" s="29" t="s">
        <v>1183</v>
      </c>
      <c r="C653" s="31" t="s">
        <v>2271</v>
      </c>
      <c r="D653" s="29" t="s">
        <v>1772</v>
      </c>
      <c r="E653" s="29" t="s">
        <v>2065</v>
      </c>
      <c r="F653" s="8" t="s">
        <v>2302</v>
      </c>
      <c r="G653" s="29" t="s">
        <v>2066</v>
      </c>
      <c r="H653" s="50" t="s">
        <v>2200</v>
      </c>
      <c r="I653" s="50" t="s">
        <v>2200</v>
      </c>
      <c r="J653" s="104" t="s">
        <v>2303</v>
      </c>
      <c r="K653" s="10">
        <v>46032</v>
      </c>
      <c r="L653" s="29" t="s">
        <v>25</v>
      </c>
      <c r="M653" s="56"/>
    </row>
    <row r="654" spans="1:13" ht="31.5">
      <c r="A654" s="5">
        <v>653</v>
      </c>
      <c r="B654" s="29" t="s">
        <v>1183</v>
      </c>
      <c r="C654" s="31" t="s">
        <v>2271</v>
      </c>
      <c r="D654" s="29" t="s">
        <v>1773</v>
      </c>
      <c r="E654" s="29" t="s">
        <v>18</v>
      </c>
      <c r="F654" s="8" t="s">
        <v>2302</v>
      </c>
      <c r="G654" s="29" t="s">
        <v>1311</v>
      </c>
      <c r="H654" s="50" t="s">
        <v>2200</v>
      </c>
      <c r="I654" s="50" t="s">
        <v>2200</v>
      </c>
      <c r="J654" s="104" t="s">
        <v>2303</v>
      </c>
      <c r="K654" s="10">
        <v>46032</v>
      </c>
      <c r="L654" s="29" t="s">
        <v>25</v>
      </c>
      <c r="M654" s="56"/>
    </row>
    <row r="655" spans="1:13" ht="31.5">
      <c r="A655" s="5">
        <v>654</v>
      </c>
      <c r="B655" s="29" t="s">
        <v>1183</v>
      </c>
      <c r="C655" s="31" t="s">
        <v>2271</v>
      </c>
      <c r="D655" s="29" t="s">
        <v>1774</v>
      </c>
      <c r="E655" s="29" t="s">
        <v>18</v>
      </c>
      <c r="F655" s="8" t="s">
        <v>2302</v>
      </c>
      <c r="G655" s="29" t="s">
        <v>1311</v>
      </c>
      <c r="H655" s="50" t="s">
        <v>2200</v>
      </c>
      <c r="I655" s="50" t="s">
        <v>2200</v>
      </c>
      <c r="J655" s="104" t="s">
        <v>2303</v>
      </c>
      <c r="K655" s="10">
        <v>46032</v>
      </c>
      <c r="L655" s="29" t="s">
        <v>25</v>
      </c>
      <c r="M655" s="56"/>
    </row>
    <row r="656" spans="1:13" ht="31.5">
      <c r="A656" s="5">
        <v>655</v>
      </c>
      <c r="B656" s="29" t="s">
        <v>1183</v>
      </c>
      <c r="C656" s="31" t="s">
        <v>2271</v>
      </c>
      <c r="D656" s="29" t="s">
        <v>1775</v>
      </c>
      <c r="E656" s="29" t="s">
        <v>2067</v>
      </c>
      <c r="F656" s="8" t="s">
        <v>2302</v>
      </c>
      <c r="G656" s="29" t="s">
        <v>2068</v>
      </c>
      <c r="H656" s="50" t="s">
        <v>2200</v>
      </c>
      <c r="I656" s="50" t="s">
        <v>2200</v>
      </c>
      <c r="J656" s="104" t="s">
        <v>2303</v>
      </c>
      <c r="K656" s="10">
        <v>46032</v>
      </c>
      <c r="L656" s="29" t="s">
        <v>25</v>
      </c>
      <c r="M656" s="56"/>
    </row>
    <row r="657" spans="1:13" ht="31.5">
      <c r="A657" s="5">
        <v>656</v>
      </c>
      <c r="B657" s="29" t="s">
        <v>1183</v>
      </c>
      <c r="C657" s="31" t="s">
        <v>2271</v>
      </c>
      <c r="D657" s="29" t="s">
        <v>1776</v>
      </c>
      <c r="E657" s="29" t="s">
        <v>2069</v>
      </c>
      <c r="F657" s="8" t="s">
        <v>2302</v>
      </c>
      <c r="G657" s="29" t="s">
        <v>1299</v>
      </c>
      <c r="H657" s="50" t="s">
        <v>2200</v>
      </c>
      <c r="I657" s="50" t="s">
        <v>2200</v>
      </c>
      <c r="J657" s="104" t="s">
        <v>2303</v>
      </c>
      <c r="K657" s="10">
        <v>46032</v>
      </c>
      <c r="L657" s="29" t="s">
        <v>25</v>
      </c>
      <c r="M657" s="56"/>
    </row>
    <row r="658" spans="1:13" ht="31.5">
      <c r="A658" s="5">
        <v>657</v>
      </c>
      <c r="B658" s="29" t="s">
        <v>1183</v>
      </c>
      <c r="C658" s="31" t="s">
        <v>2271</v>
      </c>
      <c r="D658" s="29" t="s">
        <v>1777</v>
      </c>
      <c r="E658" s="29" t="s">
        <v>2070</v>
      </c>
      <c r="F658" s="8" t="s">
        <v>2302</v>
      </c>
      <c r="G658" s="29" t="s">
        <v>2071</v>
      </c>
      <c r="H658" s="50" t="s">
        <v>2200</v>
      </c>
      <c r="I658" s="50" t="s">
        <v>2200</v>
      </c>
      <c r="J658" s="104" t="s">
        <v>2303</v>
      </c>
      <c r="K658" s="10">
        <v>46032</v>
      </c>
      <c r="L658" s="29" t="s">
        <v>25</v>
      </c>
      <c r="M658" s="56"/>
    </row>
    <row r="659" spans="1:13" ht="31.5">
      <c r="A659" s="5">
        <v>658</v>
      </c>
      <c r="B659" s="29" t="s">
        <v>1183</v>
      </c>
      <c r="C659" s="31" t="s">
        <v>2271</v>
      </c>
      <c r="D659" s="29" t="s">
        <v>1397</v>
      </c>
      <c r="E659" s="29" t="s">
        <v>18</v>
      </c>
      <c r="F659" s="8" t="s">
        <v>2302</v>
      </c>
      <c r="G659" s="29" t="s">
        <v>1398</v>
      </c>
      <c r="H659" s="50" t="s">
        <v>2200</v>
      </c>
      <c r="I659" s="50" t="s">
        <v>2200</v>
      </c>
      <c r="J659" s="104" t="s">
        <v>2303</v>
      </c>
      <c r="K659" s="10">
        <v>46032</v>
      </c>
      <c r="L659" s="29" t="s">
        <v>25</v>
      </c>
      <c r="M659" s="56"/>
    </row>
    <row r="660" spans="1:13" ht="31.5">
      <c r="A660" s="5">
        <v>659</v>
      </c>
      <c r="B660" s="29" t="s">
        <v>1183</v>
      </c>
      <c r="C660" s="31" t="s">
        <v>2271</v>
      </c>
      <c r="D660" s="29" t="s">
        <v>1394</v>
      </c>
      <c r="E660" s="29" t="s">
        <v>18</v>
      </c>
      <c r="F660" s="8" t="s">
        <v>2302</v>
      </c>
      <c r="G660" s="29" t="s">
        <v>1395</v>
      </c>
      <c r="H660" s="50" t="s">
        <v>2200</v>
      </c>
      <c r="I660" s="50" t="s">
        <v>2200</v>
      </c>
      <c r="J660" s="104" t="s">
        <v>2303</v>
      </c>
      <c r="K660" s="10">
        <v>46032</v>
      </c>
      <c r="L660" s="29" t="s">
        <v>25</v>
      </c>
      <c r="M660" s="56"/>
    </row>
    <row r="661" spans="1:13" ht="31.5">
      <c r="A661" s="5">
        <v>660</v>
      </c>
      <c r="B661" s="29" t="s">
        <v>1183</v>
      </c>
      <c r="C661" s="31" t="s">
        <v>2271</v>
      </c>
      <c r="D661" s="29" t="s">
        <v>1391</v>
      </c>
      <c r="E661" s="29" t="s">
        <v>18</v>
      </c>
      <c r="F661" s="8" t="s">
        <v>2302</v>
      </c>
      <c r="G661" s="29" t="s">
        <v>1392</v>
      </c>
      <c r="H661" s="50" t="s">
        <v>2200</v>
      </c>
      <c r="I661" s="50" t="s">
        <v>2200</v>
      </c>
      <c r="J661" s="104" t="s">
        <v>2303</v>
      </c>
      <c r="K661" s="10">
        <v>46032</v>
      </c>
      <c r="L661" s="29" t="s">
        <v>25</v>
      </c>
      <c r="M661" s="56"/>
    </row>
    <row r="662" spans="1:13" ht="31.5">
      <c r="A662" s="5">
        <v>661</v>
      </c>
      <c r="B662" s="29" t="s">
        <v>1183</v>
      </c>
      <c r="C662" s="31" t="s">
        <v>2271</v>
      </c>
      <c r="D662" s="29" t="s">
        <v>1768</v>
      </c>
      <c r="E662" s="29" t="s">
        <v>18</v>
      </c>
      <c r="F662" s="8" t="s">
        <v>2302</v>
      </c>
      <c r="G662" s="29" t="s">
        <v>1365</v>
      </c>
      <c r="H662" s="50" t="s">
        <v>2200</v>
      </c>
      <c r="I662" s="50" t="s">
        <v>2200</v>
      </c>
      <c r="J662" s="104" t="s">
        <v>2303</v>
      </c>
      <c r="K662" s="10">
        <v>46032</v>
      </c>
      <c r="L662" s="29" t="s">
        <v>25</v>
      </c>
      <c r="M662" s="56"/>
    </row>
    <row r="663" spans="1:13" ht="31.5">
      <c r="A663" s="5">
        <v>662</v>
      </c>
      <c r="B663" s="29" t="s">
        <v>1183</v>
      </c>
      <c r="C663" s="31" t="s">
        <v>2271</v>
      </c>
      <c r="D663" s="29" t="s">
        <v>1769</v>
      </c>
      <c r="E663" s="29" t="s">
        <v>18</v>
      </c>
      <c r="F663" s="8" t="s">
        <v>2302</v>
      </c>
      <c r="G663" s="29" t="s">
        <v>2072</v>
      </c>
      <c r="H663" s="50" t="s">
        <v>2200</v>
      </c>
      <c r="I663" s="50" t="s">
        <v>2200</v>
      </c>
      <c r="J663" s="104" t="s">
        <v>2303</v>
      </c>
      <c r="K663" s="10">
        <v>46032</v>
      </c>
      <c r="L663" s="29" t="s">
        <v>25</v>
      </c>
      <c r="M663" s="56"/>
    </row>
    <row r="664" spans="1:13" ht="31.5">
      <c r="A664" s="5">
        <v>663</v>
      </c>
      <c r="B664" s="29" t="s">
        <v>1183</v>
      </c>
      <c r="C664" s="29" t="s">
        <v>1400</v>
      </c>
      <c r="D664" s="29" t="s">
        <v>1791</v>
      </c>
      <c r="E664" s="29" t="s">
        <v>18</v>
      </c>
      <c r="F664" s="8" t="s">
        <v>2302</v>
      </c>
      <c r="G664" s="29" t="s">
        <v>2074</v>
      </c>
      <c r="H664" s="50" t="s">
        <v>2200</v>
      </c>
      <c r="I664" s="50" t="s">
        <v>2200</v>
      </c>
      <c r="J664" s="104" t="s">
        <v>2303</v>
      </c>
      <c r="K664" s="10">
        <v>46032</v>
      </c>
      <c r="L664" s="29" t="s">
        <v>20</v>
      </c>
      <c r="M664" s="56"/>
    </row>
    <row r="665" spans="1:13" ht="31.5">
      <c r="A665" s="5">
        <v>664</v>
      </c>
      <c r="B665" s="29" t="s">
        <v>1183</v>
      </c>
      <c r="C665" s="29" t="s">
        <v>1400</v>
      </c>
      <c r="D665" s="29" t="s">
        <v>2075</v>
      </c>
      <c r="E665" s="29" t="s">
        <v>2076</v>
      </c>
      <c r="F665" s="8" t="s">
        <v>2302</v>
      </c>
      <c r="G665" s="29" t="s">
        <v>2077</v>
      </c>
      <c r="H665" s="50" t="s">
        <v>2200</v>
      </c>
      <c r="I665" s="50" t="s">
        <v>2200</v>
      </c>
      <c r="J665" s="104" t="s">
        <v>2303</v>
      </c>
      <c r="K665" s="10">
        <v>46032</v>
      </c>
      <c r="L665" s="29" t="s">
        <v>20</v>
      </c>
      <c r="M665" s="5"/>
    </row>
    <row r="666" spans="1:13" ht="31.5">
      <c r="A666" s="5">
        <v>665</v>
      </c>
      <c r="B666" s="29" t="s">
        <v>1183</v>
      </c>
      <c r="C666" s="29" t="s">
        <v>1400</v>
      </c>
      <c r="D666" s="29" t="s">
        <v>1401</v>
      </c>
      <c r="E666" s="29" t="s">
        <v>1402</v>
      </c>
      <c r="F666" s="8" t="s">
        <v>2302</v>
      </c>
      <c r="G666" s="29" t="s">
        <v>1403</v>
      </c>
      <c r="H666" s="50" t="s">
        <v>2200</v>
      </c>
      <c r="I666" s="50" t="s">
        <v>2200</v>
      </c>
      <c r="J666" s="104" t="s">
        <v>2303</v>
      </c>
      <c r="K666" s="10">
        <v>46032</v>
      </c>
      <c r="L666" s="29" t="s">
        <v>20</v>
      </c>
      <c r="M666" s="56"/>
    </row>
    <row r="667" spans="1:13" ht="31.5">
      <c r="A667" s="5">
        <v>666</v>
      </c>
      <c r="B667" s="29" t="s">
        <v>1183</v>
      </c>
      <c r="C667" s="29" t="s">
        <v>1400</v>
      </c>
      <c r="D667" s="29" t="s">
        <v>1404</v>
      </c>
      <c r="E667" s="29" t="s">
        <v>1405</v>
      </c>
      <c r="F667" s="8" t="s">
        <v>2302</v>
      </c>
      <c r="G667" s="29" t="s">
        <v>1406</v>
      </c>
      <c r="H667" s="50" t="s">
        <v>2200</v>
      </c>
      <c r="I667" s="50" t="s">
        <v>2200</v>
      </c>
      <c r="J667" s="104" t="s">
        <v>2303</v>
      </c>
      <c r="K667" s="10">
        <v>46032</v>
      </c>
      <c r="L667" s="29" t="s">
        <v>20</v>
      </c>
      <c r="M667" s="56"/>
    </row>
    <row r="668" spans="1:13" ht="31.5">
      <c r="A668" s="5">
        <v>667</v>
      </c>
      <c r="B668" s="29" t="s">
        <v>1183</v>
      </c>
      <c r="C668" s="31" t="s">
        <v>2272</v>
      </c>
      <c r="D668" s="29" t="s">
        <v>2079</v>
      </c>
      <c r="E668" s="29" t="s">
        <v>2080</v>
      </c>
      <c r="F668" s="8" t="s">
        <v>2302</v>
      </c>
      <c r="G668" s="29" t="s">
        <v>2081</v>
      </c>
      <c r="H668" s="50" t="s">
        <v>2200</v>
      </c>
      <c r="I668" s="50" t="s">
        <v>2200</v>
      </c>
      <c r="J668" s="104" t="s">
        <v>2303</v>
      </c>
      <c r="K668" s="10">
        <v>46032</v>
      </c>
      <c r="L668" s="29" t="s">
        <v>20</v>
      </c>
      <c r="M668" s="56"/>
    </row>
    <row r="669" spans="1:13" ht="31.5">
      <c r="A669" s="5">
        <v>668</v>
      </c>
      <c r="B669" s="29" t="s">
        <v>1183</v>
      </c>
      <c r="C669" s="31" t="s">
        <v>2272</v>
      </c>
      <c r="D669" s="29" t="s">
        <v>2082</v>
      </c>
      <c r="E669" s="29" t="s">
        <v>2083</v>
      </c>
      <c r="F669" s="8" t="s">
        <v>2317</v>
      </c>
      <c r="G669" s="29" t="s">
        <v>2081</v>
      </c>
      <c r="H669" s="50" t="s">
        <v>2200</v>
      </c>
      <c r="I669" s="50" t="s">
        <v>2200</v>
      </c>
      <c r="J669" s="104" t="s">
        <v>2303</v>
      </c>
      <c r="K669" s="10">
        <v>46032</v>
      </c>
      <c r="L669" s="29" t="s">
        <v>20</v>
      </c>
      <c r="M669" s="56"/>
    </row>
    <row r="670" spans="1:13" ht="31.5">
      <c r="A670" s="5">
        <v>669</v>
      </c>
      <c r="B670" s="29" t="s">
        <v>1183</v>
      </c>
      <c r="C670" s="31" t="s">
        <v>2272</v>
      </c>
      <c r="D670" s="29" t="s">
        <v>2084</v>
      </c>
      <c r="E670" s="29" t="s">
        <v>2085</v>
      </c>
      <c r="F670" s="8" t="s">
        <v>2316</v>
      </c>
      <c r="G670" s="29" t="s">
        <v>2081</v>
      </c>
      <c r="H670" s="50" t="s">
        <v>2200</v>
      </c>
      <c r="I670" s="50" t="s">
        <v>2321</v>
      </c>
      <c r="J670" s="104" t="s">
        <v>2303</v>
      </c>
      <c r="K670" s="10">
        <v>46032</v>
      </c>
      <c r="L670" s="29" t="s">
        <v>20</v>
      </c>
      <c r="M670" s="56"/>
    </row>
    <row r="671" spans="1:13" ht="31.5">
      <c r="A671" s="5">
        <v>670</v>
      </c>
      <c r="B671" s="29" t="s">
        <v>1183</v>
      </c>
      <c r="C671" s="31" t="s">
        <v>2272</v>
      </c>
      <c r="D671" s="29" t="s">
        <v>2086</v>
      </c>
      <c r="E671" s="29" t="s">
        <v>2087</v>
      </c>
      <c r="F671" s="8" t="s">
        <v>2316</v>
      </c>
      <c r="G671" s="29" t="s">
        <v>2081</v>
      </c>
      <c r="H671" s="50" t="s">
        <v>2200</v>
      </c>
      <c r="I671" s="50" t="s">
        <v>2321</v>
      </c>
      <c r="J671" s="104" t="s">
        <v>2303</v>
      </c>
      <c r="K671" s="10">
        <v>46032</v>
      </c>
      <c r="L671" s="29" t="s">
        <v>20</v>
      </c>
      <c r="M671" s="56"/>
    </row>
    <row r="672" spans="1:13" ht="31.5">
      <c r="A672" s="5">
        <v>671</v>
      </c>
      <c r="B672" s="29" t="s">
        <v>1183</v>
      </c>
      <c r="C672" s="31" t="s">
        <v>2272</v>
      </c>
      <c r="D672" s="29" t="s">
        <v>2088</v>
      </c>
      <c r="E672" s="29" t="s">
        <v>2089</v>
      </c>
      <c r="F672" s="8" t="s">
        <v>2320</v>
      </c>
      <c r="G672" s="29" t="s">
        <v>2081</v>
      </c>
      <c r="H672" s="50" t="s">
        <v>2200</v>
      </c>
      <c r="I672" s="50" t="s">
        <v>2200</v>
      </c>
      <c r="J672" s="104" t="s">
        <v>2303</v>
      </c>
      <c r="K672" s="10">
        <v>46032</v>
      </c>
      <c r="L672" s="29" t="s">
        <v>20</v>
      </c>
      <c r="M672" s="56"/>
    </row>
    <row r="673" spans="1:13" ht="31.5">
      <c r="A673" s="5">
        <v>672</v>
      </c>
      <c r="B673" s="29" t="s">
        <v>1183</v>
      </c>
      <c r="C673" s="31" t="s">
        <v>2272</v>
      </c>
      <c r="D673" s="29" t="s">
        <v>2090</v>
      </c>
      <c r="E673" s="29" t="s">
        <v>1854</v>
      </c>
      <c r="F673" s="8" t="s">
        <v>2317</v>
      </c>
      <c r="G673" s="29" t="s">
        <v>2081</v>
      </c>
      <c r="H673" s="50" t="s">
        <v>2200</v>
      </c>
      <c r="I673" s="50" t="s">
        <v>2200</v>
      </c>
      <c r="J673" s="104" t="s">
        <v>2303</v>
      </c>
      <c r="K673" s="10">
        <v>46032</v>
      </c>
      <c r="L673" s="29" t="s">
        <v>20</v>
      </c>
      <c r="M673" s="56"/>
    </row>
    <row r="674" spans="1:13" ht="31.5">
      <c r="A674" s="5">
        <v>673</v>
      </c>
      <c r="B674" s="29" t="s">
        <v>1183</v>
      </c>
      <c r="C674" s="35" t="s">
        <v>2186</v>
      </c>
      <c r="D674" s="29" t="s">
        <v>1407</v>
      </c>
      <c r="E674" s="29" t="s">
        <v>1408</v>
      </c>
      <c r="F674" s="8" t="s">
        <v>2302</v>
      </c>
      <c r="G674" s="29" t="s">
        <v>1474</v>
      </c>
      <c r="H674" s="50" t="s">
        <v>2200</v>
      </c>
      <c r="I674" s="50" t="s">
        <v>2200</v>
      </c>
      <c r="J674" s="104" t="s">
        <v>2303</v>
      </c>
      <c r="K674" s="10">
        <v>46032</v>
      </c>
      <c r="L674" s="29" t="s">
        <v>25</v>
      </c>
      <c r="M674" s="56"/>
    </row>
    <row r="675" spans="1:13" ht="31.5">
      <c r="A675" s="5">
        <v>674</v>
      </c>
      <c r="B675" s="29" t="s">
        <v>1183</v>
      </c>
      <c r="C675" s="35" t="s">
        <v>2186</v>
      </c>
      <c r="D675" s="29" t="s">
        <v>1409</v>
      </c>
      <c r="E675" s="29" t="s">
        <v>1410</v>
      </c>
      <c r="F675" s="8" t="s">
        <v>2302</v>
      </c>
      <c r="G675" s="29" t="s">
        <v>1411</v>
      </c>
      <c r="H675" s="50" t="s">
        <v>2200</v>
      </c>
      <c r="I675" s="50" t="s">
        <v>2200</v>
      </c>
      <c r="J675" s="104" t="s">
        <v>2303</v>
      </c>
      <c r="K675" s="10">
        <v>46032</v>
      </c>
      <c r="L675" s="29" t="s">
        <v>20</v>
      </c>
      <c r="M675" s="56"/>
    </row>
    <row r="676" spans="1:13" ht="31.5">
      <c r="A676" s="5">
        <v>675</v>
      </c>
      <c r="B676" s="29" t="s">
        <v>1183</v>
      </c>
      <c r="C676" s="35" t="s">
        <v>2186</v>
      </c>
      <c r="D676" s="29" t="s">
        <v>1412</v>
      </c>
      <c r="E676" s="29" t="s">
        <v>1413</v>
      </c>
      <c r="F676" s="8" t="s">
        <v>2302</v>
      </c>
      <c r="G676" s="29" t="s">
        <v>1414</v>
      </c>
      <c r="H676" s="50" t="s">
        <v>2200</v>
      </c>
      <c r="I676" s="50" t="s">
        <v>2200</v>
      </c>
      <c r="J676" s="104" t="s">
        <v>2303</v>
      </c>
      <c r="K676" s="10">
        <v>46032</v>
      </c>
      <c r="L676" s="29" t="s">
        <v>25</v>
      </c>
      <c r="M676" s="56"/>
    </row>
    <row r="677" spans="1:13" ht="31.5">
      <c r="A677" s="5">
        <v>676</v>
      </c>
      <c r="B677" s="29" t="s">
        <v>1183</v>
      </c>
      <c r="C677" s="35" t="s">
        <v>2186</v>
      </c>
      <c r="D677" s="29" t="s">
        <v>1415</v>
      </c>
      <c r="E677" s="29" t="s">
        <v>1416</v>
      </c>
      <c r="F677" s="8" t="s">
        <v>2302</v>
      </c>
      <c r="G677" s="29" t="s">
        <v>1411</v>
      </c>
      <c r="H677" s="50" t="s">
        <v>2200</v>
      </c>
      <c r="I677" s="50" t="s">
        <v>2200</v>
      </c>
      <c r="J677" s="104" t="s">
        <v>2303</v>
      </c>
      <c r="K677" s="10">
        <v>46032</v>
      </c>
      <c r="L677" s="29" t="s">
        <v>20</v>
      </c>
      <c r="M677" s="56"/>
    </row>
    <row r="678" spans="1:13" ht="31.5">
      <c r="A678" s="5">
        <v>677</v>
      </c>
      <c r="B678" s="29" t="s">
        <v>1183</v>
      </c>
      <c r="C678" s="35" t="s">
        <v>2186</v>
      </c>
      <c r="D678" s="29" t="s">
        <v>1417</v>
      </c>
      <c r="E678" s="29" t="s">
        <v>1418</v>
      </c>
      <c r="F678" s="8" t="s">
        <v>2302</v>
      </c>
      <c r="G678" s="29" t="s">
        <v>1411</v>
      </c>
      <c r="H678" s="50" t="s">
        <v>2200</v>
      </c>
      <c r="I678" s="50" t="s">
        <v>2200</v>
      </c>
      <c r="J678" s="104" t="s">
        <v>2303</v>
      </c>
      <c r="K678" s="10">
        <v>46032</v>
      </c>
      <c r="L678" s="29" t="s">
        <v>25</v>
      </c>
      <c r="M678" s="56"/>
    </row>
    <row r="679" spans="1:13" ht="31.5">
      <c r="A679" s="5">
        <v>678</v>
      </c>
      <c r="B679" s="29" t="s">
        <v>1183</v>
      </c>
      <c r="C679" s="31" t="s">
        <v>2187</v>
      </c>
      <c r="D679" s="29" t="s">
        <v>1420</v>
      </c>
      <c r="E679" s="29" t="s">
        <v>1421</v>
      </c>
      <c r="F679" s="8" t="s">
        <v>2302</v>
      </c>
      <c r="G679" s="29" t="s">
        <v>1422</v>
      </c>
      <c r="H679" s="50" t="s">
        <v>2200</v>
      </c>
      <c r="I679" s="50" t="s">
        <v>2200</v>
      </c>
      <c r="J679" s="104" t="s">
        <v>2303</v>
      </c>
      <c r="K679" s="10">
        <v>46032</v>
      </c>
      <c r="L679" s="29" t="s">
        <v>20</v>
      </c>
      <c r="M679" s="56"/>
    </row>
    <row r="680" spans="1:13" ht="31.5">
      <c r="A680" s="5">
        <v>679</v>
      </c>
      <c r="B680" s="29" t="s">
        <v>1183</v>
      </c>
      <c r="C680" s="31" t="s">
        <v>2187</v>
      </c>
      <c r="D680" s="29" t="s">
        <v>1423</v>
      </c>
      <c r="E680" s="29" t="s">
        <v>1424</v>
      </c>
      <c r="F680" s="8" t="s">
        <v>2317</v>
      </c>
      <c r="G680" s="29" t="s">
        <v>1425</v>
      </c>
      <c r="H680" s="50" t="s">
        <v>2200</v>
      </c>
      <c r="I680" s="50" t="s">
        <v>2200</v>
      </c>
      <c r="J680" s="104" t="s">
        <v>2303</v>
      </c>
      <c r="K680" s="10">
        <v>46032</v>
      </c>
      <c r="L680" s="29" t="s">
        <v>20</v>
      </c>
      <c r="M680" s="56"/>
    </row>
    <row r="681" spans="1:13" ht="31.5">
      <c r="A681" s="5">
        <v>680</v>
      </c>
      <c r="B681" s="29" t="s">
        <v>1183</v>
      </c>
      <c r="C681" s="31" t="s">
        <v>2187</v>
      </c>
      <c r="D681" s="29" t="s">
        <v>1426</v>
      </c>
      <c r="E681" s="29" t="s">
        <v>1353</v>
      </c>
      <c r="F681" s="8" t="s">
        <v>2302</v>
      </c>
      <c r="G681" s="29" t="s">
        <v>1427</v>
      </c>
      <c r="H681" s="50" t="s">
        <v>2200</v>
      </c>
      <c r="I681" s="50" t="s">
        <v>2200</v>
      </c>
      <c r="J681" s="104" t="s">
        <v>2303</v>
      </c>
      <c r="K681" s="10">
        <v>46032</v>
      </c>
      <c r="L681" s="29" t="s">
        <v>20</v>
      </c>
      <c r="M681" s="56"/>
    </row>
    <row r="682" spans="1:13" ht="31.5">
      <c r="A682" s="5">
        <v>681</v>
      </c>
      <c r="B682" s="29" t="s">
        <v>1183</v>
      </c>
      <c r="C682" s="31" t="s">
        <v>2187</v>
      </c>
      <c r="D682" s="29" t="s">
        <v>1428</v>
      </c>
      <c r="E682" s="29" t="s">
        <v>1429</v>
      </c>
      <c r="F682" s="8" t="s">
        <v>2302</v>
      </c>
      <c r="G682" s="29" t="s">
        <v>2078</v>
      </c>
      <c r="H682" s="50" t="s">
        <v>2200</v>
      </c>
      <c r="I682" s="50" t="s">
        <v>2200</v>
      </c>
      <c r="J682" s="104" t="s">
        <v>2303</v>
      </c>
      <c r="K682" s="10">
        <v>46032</v>
      </c>
      <c r="L682" s="29" t="s">
        <v>20</v>
      </c>
      <c r="M682" s="56"/>
    </row>
    <row r="683" spans="1:13" ht="31.5">
      <c r="A683" s="5">
        <v>682</v>
      </c>
      <c r="B683" s="29" t="s">
        <v>1183</v>
      </c>
      <c r="C683" s="31" t="s">
        <v>2187</v>
      </c>
      <c r="D683" s="29" t="s">
        <v>1430</v>
      </c>
      <c r="E683" s="29" t="s">
        <v>1431</v>
      </c>
      <c r="F683" s="8" t="s">
        <v>2302</v>
      </c>
      <c r="G683" s="29" t="s">
        <v>1432</v>
      </c>
      <c r="H683" s="50" t="s">
        <v>2200</v>
      </c>
      <c r="I683" s="50" t="s">
        <v>2200</v>
      </c>
      <c r="J683" s="104" t="s">
        <v>2303</v>
      </c>
      <c r="K683" s="10">
        <v>46032</v>
      </c>
      <c r="L683" s="29" t="s">
        <v>20</v>
      </c>
      <c r="M683" s="5"/>
    </row>
    <row r="684" spans="1:13" ht="31.5">
      <c r="A684" s="5">
        <v>683</v>
      </c>
      <c r="B684" s="29" t="s">
        <v>1183</v>
      </c>
      <c r="C684" s="31" t="s">
        <v>2188</v>
      </c>
      <c r="D684" s="29" t="s">
        <v>1451</v>
      </c>
      <c r="E684" s="29" t="s">
        <v>18</v>
      </c>
      <c r="F684" s="8" t="s">
        <v>2302</v>
      </c>
      <c r="G684" s="29" t="s">
        <v>1452</v>
      </c>
      <c r="H684" s="50" t="s">
        <v>2200</v>
      </c>
      <c r="I684" s="50" t="s">
        <v>2200</v>
      </c>
      <c r="J684" s="104" t="s">
        <v>2303</v>
      </c>
      <c r="K684" s="10">
        <v>46032</v>
      </c>
      <c r="L684" s="29" t="s">
        <v>22</v>
      </c>
      <c r="M684" s="56"/>
    </row>
    <row r="685" spans="1:13" ht="31.5">
      <c r="A685" s="5">
        <v>684</v>
      </c>
      <c r="B685" s="29" t="s">
        <v>1183</v>
      </c>
      <c r="C685" s="31" t="s">
        <v>2188</v>
      </c>
      <c r="D685" s="29" t="s">
        <v>1433</v>
      </c>
      <c r="E685" s="29" t="s">
        <v>1434</v>
      </c>
      <c r="F685" s="8" t="s">
        <v>2302</v>
      </c>
      <c r="G685" s="29" t="s">
        <v>1435</v>
      </c>
      <c r="H685" s="50" t="s">
        <v>2200</v>
      </c>
      <c r="I685" s="50" t="s">
        <v>2200</v>
      </c>
      <c r="J685" s="104" t="s">
        <v>2303</v>
      </c>
      <c r="K685" s="10">
        <v>46032</v>
      </c>
      <c r="L685" s="29" t="s">
        <v>22</v>
      </c>
      <c r="M685" s="56"/>
    </row>
    <row r="686" spans="1:13" ht="31.5">
      <c r="A686" s="5">
        <v>685</v>
      </c>
      <c r="B686" s="29" t="s">
        <v>1183</v>
      </c>
      <c r="C686" s="31" t="s">
        <v>2188</v>
      </c>
      <c r="D686" s="29" t="s">
        <v>1436</v>
      </c>
      <c r="E686" s="29" t="s">
        <v>1437</v>
      </c>
      <c r="F686" s="8" t="s">
        <v>2302</v>
      </c>
      <c r="G686" s="29" t="s">
        <v>1438</v>
      </c>
      <c r="H686" s="50" t="s">
        <v>2200</v>
      </c>
      <c r="I686" s="50" t="s">
        <v>2200</v>
      </c>
      <c r="J686" s="104" t="s">
        <v>2303</v>
      </c>
      <c r="K686" s="10">
        <v>46032</v>
      </c>
      <c r="L686" s="29" t="s">
        <v>22</v>
      </c>
      <c r="M686" s="56"/>
    </row>
    <row r="687" spans="1:13" ht="31.5">
      <c r="A687" s="5">
        <v>686</v>
      </c>
      <c r="B687" s="29" t="s">
        <v>1183</v>
      </c>
      <c r="C687" s="31" t="s">
        <v>2188</v>
      </c>
      <c r="D687" s="29" t="s">
        <v>1439</v>
      </c>
      <c r="E687" s="29" t="s">
        <v>1440</v>
      </c>
      <c r="F687" s="8" t="s">
        <v>2302</v>
      </c>
      <c r="G687" s="29" t="s">
        <v>1441</v>
      </c>
      <c r="H687" s="50" t="s">
        <v>2200</v>
      </c>
      <c r="I687" s="50" t="s">
        <v>2200</v>
      </c>
      <c r="J687" s="104" t="s">
        <v>2303</v>
      </c>
      <c r="K687" s="10">
        <v>46032</v>
      </c>
      <c r="L687" s="29" t="s">
        <v>20</v>
      </c>
      <c r="M687" s="5"/>
    </row>
    <row r="688" spans="1:13" ht="31.5">
      <c r="A688" s="5">
        <v>687</v>
      </c>
      <c r="B688" s="29" t="s">
        <v>1183</v>
      </c>
      <c r="C688" s="31" t="s">
        <v>2188</v>
      </c>
      <c r="D688" s="29" t="s">
        <v>1442</v>
      </c>
      <c r="E688" s="29" t="s">
        <v>1443</v>
      </c>
      <c r="F688" s="8" t="s">
        <v>2302</v>
      </c>
      <c r="G688" s="29" t="s">
        <v>1444</v>
      </c>
      <c r="H688" s="50" t="s">
        <v>2200</v>
      </c>
      <c r="I688" s="50" t="s">
        <v>2200</v>
      </c>
      <c r="J688" s="104" t="s">
        <v>2303</v>
      </c>
      <c r="K688" s="10">
        <v>46032</v>
      </c>
      <c r="L688" s="29" t="s">
        <v>22</v>
      </c>
      <c r="M688" s="56"/>
    </row>
    <row r="689" spans="1:13" ht="31.5">
      <c r="A689" s="5">
        <v>688</v>
      </c>
      <c r="B689" s="29" t="s">
        <v>1183</v>
      </c>
      <c r="C689" s="31" t="s">
        <v>2188</v>
      </c>
      <c r="D689" s="29" t="s">
        <v>1445</v>
      </c>
      <c r="E689" s="29" t="s">
        <v>1446</v>
      </c>
      <c r="F689" s="8" t="s">
        <v>2302</v>
      </c>
      <c r="G689" s="29" t="s">
        <v>1447</v>
      </c>
      <c r="H689" s="50" t="s">
        <v>2200</v>
      </c>
      <c r="I689" s="50" t="s">
        <v>2200</v>
      </c>
      <c r="J689" s="104" t="s">
        <v>2303</v>
      </c>
      <c r="K689" s="10">
        <v>46032</v>
      </c>
      <c r="L689" s="29" t="s">
        <v>22</v>
      </c>
      <c r="M689" s="56"/>
    </row>
    <row r="690" spans="1:13" ht="31.5">
      <c r="A690" s="5">
        <v>689</v>
      </c>
      <c r="B690" s="29" t="s">
        <v>1183</v>
      </c>
      <c r="C690" s="31" t="s">
        <v>2188</v>
      </c>
      <c r="D690" s="29" t="s">
        <v>1448</v>
      </c>
      <c r="E690" s="29" t="s">
        <v>1449</v>
      </c>
      <c r="F690" s="8" t="s">
        <v>2302</v>
      </c>
      <c r="G690" s="29" t="s">
        <v>1450</v>
      </c>
      <c r="H690" s="50" t="s">
        <v>2200</v>
      </c>
      <c r="I690" s="50" t="s">
        <v>2200</v>
      </c>
      <c r="J690" s="104" t="s">
        <v>2303</v>
      </c>
      <c r="K690" s="10">
        <v>46032</v>
      </c>
      <c r="L690" s="29" t="s">
        <v>22</v>
      </c>
      <c r="M690" s="56"/>
    </row>
    <row r="691" spans="1:13" ht="31.5">
      <c r="A691" s="5">
        <v>690</v>
      </c>
      <c r="B691" s="29" t="s">
        <v>1183</v>
      </c>
      <c r="C691" s="31" t="s">
        <v>2188</v>
      </c>
      <c r="D691" s="29" t="s">
        <v>1453</v>
      </c>
      <c r="E691" s="29" t="s">
        <v>1454</v>
      </c>
      <c r="F691" s="8" t="s">
        <v>2302</v>
      </c>
      <c r="G691" s="29" t="s">
        <v>1455</v>
      </c>
      <c r="H691" s="50" t="s">
        <v>2200</v>
      </c>
      <c r="I691" s="50" t="s">
        <v>2200</v>
      </c>
      <c r="J691" s="104" t="s">
        <v>2303</v>
      </c>
      <c r="K691" s="10">
        <v>46032</v>
      </c>
      <c r="L691" s="29" t="s">
        <v>22</v>
      </c>
      <c r="M691" s="56"/>
    </row>
    <row r="692" spans="1:13" ht="31.5">
      <c r="A692" s="5">
        <v>691</v>
      </c>
      <c r="B692" s="29" t="s">
        <v>653</v>
      </c>
      <c r="C692" s="31" t="s">
        <v>2189</v>
      </c>
      <c r="D692" s="29" t="s">
        <v>1456</v>
      </c>
      <c r="E692" s="29" t="s">
        <v>1457</v>
      </c>
      <c r="F692" s="8" t="s">
        <v>2302</v>
      </c>
      <c r="G692" s="29" t="s">
        <v>1458</v>
      </c>
      <c r="H692" s="50" t="s">
        <v>2200</v>
      </c>
      <c r="I692" s="50" t="s">
        <v>2200</v>
      </c>
      <c r="J692" s="104" t="s">
        <v>2303</v>
      </c>
      <c r="K692" s="10">
        <v>46032</v>
      </c>
      <c r="L692" s="29" t="s">
        <v>25</v>
      </c>
      <c r="M692" s="56"/>
    </row>
    <row r="693" spans="1:13" ht="31.5">
      <c r="A693" s="5">
        <v>692</v>
      </c>
      <c r="B693" s="29" t="s">
        <v>653</v>
      </c>
      <c r="C693" s="31" t="s">
        <v>2189</v>
      </c>
      <c r="D693" s="32" t="s">
        <v>1459</v>
      </c>
      <c r="E693" s="32" t="s">
        <v>1460</v>
      </c>
      <c r="F693" s="8" t="s">
        <v>2302</v>
      </c>
      <c r="G693" s="32" t="s">
        <v>1461</v>
      </c>
      <c r="H693" s="50" t="s">
        <v>2200</v>
      </c>
      <c r="I693" s="50" t="s">
        <v>2200</v>
      </c>
      <c r="J693" s="104" t="s">
        <v>2303</v>
      </c>
      <c r="K693" s="10">
        <v>46032</v>
      </c>
      <c r="L693" s="29" t="s">
        <v>25</v>
      </c>
      <c r="M693" s="56"/>
    </row>
    <row r="694" spans="1:13" ht="31.5">
      <c r="A694" s="5">
        <v>693</v>
      </c>
      <c r="B694" s="29" t="s">
        <v>653</v>
      </c>
      <c r="C694" s="36" t="s">
        <v>2274</v>
      </c>
      <c r="D694" s="29" t="s">
        <v>1728</v>
      </c>
      <c r="E694" s="29" t="s">
        <v>18</v>
      </c>
      <c r="F694" s="8" t="s">
        <v>2302</v>
      </c>
      <c r="G694" s="29" t="s">
        <v>1151</v>
      </c>
      <c r="H694" s="50" t="s">
        <v>2200</v>
      </c>
      <c r="I694" s="50" t="s">
        <v>2200</v>
      </c>
      <c r="J694" s="104" t="s">
        <v>2303</v>
      </c>
      <c r="K694" s="10">
        <v>46032</v>
      </c>
      <c r="L694" s="29" t="s">
        <v>25</v>
      </c>
      <c r="M694" s="56"/>
    </row>
    <row r="695" spans="1:13" ht="31.5">
      <c r="A695" s="5">
        <v>694</v>
      </c>
      <c r="B695" s="29" t="s">
        <v>653</v>
      </c>
      <c r="C695" s="36" t="s">
        <v>2274</v>
      </c>
      <c r="D695" s="29" t="s">
        <v>1462</v>
      </c>
      <c r="E695" s="29" t="s">
        <v>1463</v>
      </c>
      <c r="F695" s="8" t="s">
        <v>2302</v>
      </c>
      <c r="G695" s="29" t="s">
        <v>2091</v>
      </c>
      <c r="H695" s="50" t="s">
        <v>2200</v>
      </c>
      <c r="I695" s="50" t="s">
        <v>2200</v>
      </c>
      <c r="J695" s="104" t="s">
        <v>2303</v>
      </c>
      <c r="K695" s="10">
        <v>46032</v>
      </c>
      <c r="L695" s="29" t="s">
        <v>25</v>
      </c>
      <c r="M695" s="56"/>
    </row>
    <row r="696" spans="1:13" ht="31.5">
      <c r="A696" s="5">
        <v>695</v>
      </c>
      <c r="B696" s="29" t="s">
        <v>653</v>
      </c>
      <c r="C696" s="36" t="s">
        <v>2274</v>
      </c>
      <c r="D696" s="29" t="s">
        <v>1464</v>
      </c>
      <c r="E696" s="29" t="s">
        <v>1465</v>
      </c>
      <c r="F696" s="8" t="s">
        <v>2302</v>
      </c>
      <c r="G696" s="29" t="s">
        <v>2092</v>
      </c>
      <c r="H696" s="50" t="s">
        <v>2200</v>
      </c>
      <c r="I696" s="50" t="s">
        <v>2200</v>
      </c>
      <c r="J696" s="104" t="s">
        <v>2303</v>
      </c>
      <c r="K696" s="10">
        <v>46032</v>
      </c>
      <c r="L696" s="29" t="s">
        <v>25</v>
      </c>
      <c r="M696" s="56"/>
    </row>
    <row r="697" spans="1:13" ht="31.5">
      <c r="A697" s="5">
        <v>696</v>
      </c>
      <c r="B697" s="29" t="s">
        <v>653</v>
      </c>
      <c r="C697" s="36" t="s">
        <v>2274</v>
      </c>
      <c r="D697" s="29" t="s">
        <v>1466</v>
      </c>
      <c r="E697" s="29" t="s">
        <v>1467</v>
      </c>
      <c r="F697" s="8" t="s">
        <v>2302</v>
      </c>
      <c r="G697" s="29" t="s">
        <v>1468</v>
      </c>
      <c r="H697" s="50" t="s">
        <v>2200</v>
      </c>
      <c r="I697" s="50" t="s">
        <v>2200</v>
      </c>
      <c r="J697" s="104" t="s">
        <v>2303</v>
      </c>
      <c r="K697" s="10">
        <v>46032</v>
      </c>
      <c r="L697" s="29" t="s">
        <v>25</v>
      </c>
      <c r="M697" s="56"/>
    </row>
    <row r="698" spans="1:13" ht="31.5">
      <c r="A698" s="5">
        <v>697</v>
      </c>
      <c r="B698" s="29" t="s">
        <v>653</v>
      </c>
      <c r="C698" s="36" t="s">
        <v>2274</v>
      </c>
      <c r="D698" s="29" t="s">
        <v>1469</v>
      </c>
      <c r="E698" s="29" t="s">
        <v>1470</v>
      </c>
      <c r="F698" s="8" t="s">
        <v>2302</v>
      </c>
      <c r="G698" s="29" t="s">
        <v>1471</v>
      </c>
      <c r="H698" s="50" t="s">
        <v>2200</v>
      </c>
      <c r="I698" s="50" t="s">
        <v>2200</v>
      </c>
      <c r="J698" s="104" t="s">
        <v>2303</v>
      </c>
      <c r="K698" s="10">
        <v>46032</v>
      </c>
      <c r="L698" s="29" t="s">
        <v>25</v>
      </c>
      <c r="M698" s="56"/>
    </row>
    <row r="699" spans="1:13" ht="31.5">
      <c r="A699" s="5">
        <v>698</v>
      </c>
      <c r="B699" s="29" t="s">
        <v>653</v>
      </c>
      <c r="C699" s="36" t="s">
        <v>2274</v>
      </c>
      <c r="D699" s="29" t="s">
        <v>1472</v>
      </c>
      <c r="E699" s="29" t="s">
        <v>1473</v>
      </c>
      <c r="F699" s="8" t="s">
        <v>2302</v>
      </c>
      <c r="G699" s="29" t="s">
        <v>1157</v>
      </c>
      <c r="H699" s="50" t="s">
        <v>2200</v>
      </c>
      <c r="I699" s="50" t="s">
        <v>2200</v>
      </c>
      <c r="J699" s="104" t="s">
        <v>2303</v>
      </c>
      <c r="K699" s="10">
        <v>46032</v>
      </c>
      <c r="L699" s="29" t="s">
        <v>25</v>
      </c>
      <c r="M699" s="56"/>
    </row>
    <row r="700" spans="1:13" ht="31.5">
      <c r="A700" s="5">
        <v>699</v>
      </c>
      <c r="B700" s="29" t="s">
        <v>653</v>
      </c>
      <c r="C700" s="36" t="s">
        <v>2274</v>
      </c>
      <c r="D700" s="29" t="s">
        <v>1475</v>
      </c>
      <c r="E700" s="29" t="s">
        <v>1476</v>
      </c>
      <c r="F700" s="8" t="s">
        <v>2302</v>
      </c>
      <c r="G700" s="29" t="s">
        <v>1477</v>
      </c>
      <c r="H700" s="50" t="s">
        <v>2200</v>
      </c>
      <c r="I700" s="50" t="s">
        <v>2200</v>
      </c>
      <c r="J700" s="104" t="s">
        <v>2303</v>
      </c>
      <c r="K700" s="10">
        <v>46032</v>
      </c>
      <c r="L700" s="29" t="s">
        <v>25</v>
      </c>
      <c r="M700" s="56"/>
    </row>
    <row r="701" spans="1:13" ht="31.5">
      <c r="A701" s="5">
        <v>700</v>
      </c>
      <c r="B701" s="29" t="s">
        <v>653</v>
      </c>
      <c r="C701" s="36" t="s">
        <v>2274</v>
      </c>
      <c r="D701" s="29" t="s">
        <v>1478</v>
      </c>
      <c r="E701" s="29" t="s">
        <v>1479</v>
      </c>
      <c r="F701" s="8" t="s">
        <v>2302</v>
      </c>
      <c r="G701" s="29" t="s">
        <v>1480</v>
      </c>
      <c r="H701" s="50" t="s">
        <v>2200</v>
      </c>
      <c r="I701" s="50" t="s">
        <v>2200</v>
      </c>
      <c r="J701" s="104" t="s">
        <v>2303</v>
      </c>
      <c r="K701" s="10">
        <v>46032</v>
      </c>
      <c r="L701" s="29" t="s">
        <v>25</v>
      </c>
      <c r="M701" s="56"/>
    </row>
    <row r="702" spans="1:13" ht="31.5">
      <c r="A702" s="5">
        <v>701</v>
      </c>
      <c r="B702" s="29" t="s">
        <v>653</v>
      </c>
      <c r="C702" s="36" t="s">
        <v>2274</v>
      </c>
      <c r="D702" s="29" t="s">
        <v>1481</v>
      </c>
      <c r="E702" s="29" t="s">
        <v>1482</v>
      </c>
      <c r="F702" s="8" t="s">
        <v>2302</v>
      </c>
      <c r="G702" s="29" t="s">
        <v>1411</v>
      </c>
      <c r="H702" s="50" t="s">
        <v>2200</v>
      </c>
      <c r="I702" s="50" t="s">
        <v>2200</v>
      </c>
      <c r="J702" s="104" t="s">
        <v>2303</v>
      </c>
      <c r="K702" s="10">
        <v>46032</v>
      </c>
      <c r="L702" s="29" t="s">
        <v>25</v>
      </c>
      <c r="M702" s="56"/>
    </row>
    <row r="703" spans="1:13" ht="31.5">
      <c r="A703" s="5">
        <v>702</v>
      </c>
      <c r="B703" s="29" t="s">
        <v>653</v>
      </c>
      <c r="C703" s="29" t="s">
        <v>1483</v>
      </c>
      <c r="D703" s="29" t="s">
        <v>1740</v>
      </c>
      <c r="E703" s="29" t="s">
        <v>2093</v>
      </c>
      <c r="F703" s="8" t="s">
        <v>2302</v>
      </c>
      <c r="G703" s="29" t="s">
        <v>159</v>
      </c>
      <c r="H703" s="50" t="s">
        <v>2200</v>
      </c>
      <c r="I703" s="50" t="s">
        <v>2200</v>
      </c>
      <c r="J703" s="104" t="s">
        <v>2303</v>
      </c>
      <c r="K703" s="10">
        <v>46032</v>
      </c>
      <c r="L703" s="29" t="s">
        <v>25</v>
      </c>
      <c r="M703" s="56"/>
    </row>
    <row r="704" spans="1:13" ht="31.5">
      <c r="A704" s="5">
        <v>703</v>
      </c>
      <c r="B704" s="29" t="s">
        <v>653</v>
      </c>
      <c r="C704" s="29" t="s">
        <v>1483</v>
      </c>
      <c r="D704" s="29" t="s">
        <v>1484</v>
      </c>
      <c r="E704" s="29" t="s">
        <v>1485</v>
      </c>
      <c r="F704" s="8" t="s">
        <v>2302</v>
      </c>
      <c r="G704" s="29" t="s">
        <v>1486</v>
      </c>
      <c r="H704" s="50" t="s">
        <v>2200</v>
      </c>
      <c r="I704" s="50" t="s">
        <v>2200</v>
      </c>
      <c r="J704" s="104" t="s">
        <v>2303</v>
      </c>
      <c r="K704" s="10">
        <v>46032</v>
      </c>
      <c r="L704" s="29" t="s">
        <v>22</v>
      </c>
      <c r="M704" s="56"/>
    </row>
    <row r="705" spans="1:13" ht="31.5">
      <c r="A705" s="5">
        <v>704</v>
      </c>
      <c r="B705" s="29" t="s">
        <v>653</v>
      </c>
      <c r="C705" s="29" t="s">
        <v>1483</v>
      </c>
      <c r="D705" s="29" t="s">
        <v>1487</v>
      </c>
      <c r="E705" s="29" t="s">
        <v>1488</v>
      </c>
      <c r="F705" s="8" t="s">
        <v>2302</v>
      </c>
      <c r="G705" s="29" t="s">
        <v>1489</v>
      </c>
      <c r="H705" s="50" t="s">
        <v>2200</v>
      </c>
      <c r="I705" s="50" t="s">
        <v>2200</v>
      </c>
      <c r="J705" s="104" t="s">
        <v>2303</v>
      </c>
      <c r="K705" s="10">
        <v>46032</v>
      </c>
      <c r="L705" s="29" t="s">
        <v>25</v>
      </c>
      <c r="M705" s="56"/>
    </row>
    <row r="706" spans="1:13" ht="31.5">
      <c r="A706" s="5">
        <v>705</v>
      </c>
      <c r="B706" s="29" t="s">
        <v>653</v>
      </c>
      <c r="C706" s="29" t="s">
        <v>1483</v>
      </c>
      <c r="D706" s="29" t="s">
        <v>1797</v>
      </c>
      <c r="E706" s="29" t="s">
        <v>18</v>
      </c>
      <c r="F706" s="8" t="s">
        <v>2318</v>
      </c>
      <c r="G706" s="29" t="s">
        <v>1059</v>
      </c>
      <c r="H706" s="50" t="s">
        <v>2200</v>
      </c>
      <c r="I706" s="50" t="s">
        <v>2200</v>
      </c>
      <c r="J706" s="104" t="s">
        <v>2303</v>
      </c>
      <c r="K706" s="10">
        <v>46032</v>
      </c>
      <c r="L706" s="29" t="s">
        <v>25</v>
      </c>
      <c r="M706" s="56"/>
    </row>
    <row r="707" spans="1:13" ht="31.5">
      <c r="A707" s="5">
        <v>706</v>
      </c>
      <c r="B707" s="29" t="s">
        <v>653</v>
      </c>
      <c r="C707" s="29" t="s">
        <v>1483</v>
      </c>
      <c r="D707" s="29" t="s">
        <v>1817</v>
      </c>
      <c r="E707" s="29" t="s">
        <v>18</v>
      </c>
      <c r="F707" s="8" t="s">
        <v>2302</v>
      </c>
      <c r="G707" s="29" t="s">
        <v>2094</v>
      </c>
      <c r="H707" s="50" t="s">
        <v>2200</v>
      </c>
      <c r="I707" s="50" t="s">
        <v>2200</v>
      </c>
      <c r="J707" s="104" t="s">
        <v>2303</v>
      </c>
      <c r="K707" s="10">
        <v>46032</v>
      </c>
      <c r="L707" s="29" t="s">
        <v>25</v>
      </c>
      <c r="M707" s="56"/>
    </row>
    <row r="708" spans="1:13" ht="31.5">
      <c r="A708" s="5">
        <v>707</v>
      </c>
      <c r="B708" s="29" t="s">
        <v>653</v>
      </c>
      <c r="C708" s="31" t="s">
        <v>2273</v>
      </c>
      <c r="D708" s="29" t="s">
        <v>1864</v>
      </c>
      <c r="E708" s="29" t="s">
        <v>2095</v>
      </c>
      <c r="F708" s="8" t="s">
        <v>2316</v>
      </c>
      <c r="G708" s="29" t="s">
        <v>2096</v>
      </c>
      <c r="H708" s="50" t="s">
        <v>2200</v>
      </c>
      <c r="I708" s="50" t="s">
        <v>2321</v>
      </c>
      <c r="J708" s="104" t="s">
        <v>2303</v>
      </c>
      <c r="K708" s="10">
        <v>46032</v>
      </c>
      <c r="L708" s="29" t="s">
        <v>25</v>
      </c>
      <c r="M708" s="56"/>
    </row>
    <row r="709" spans="1:13" ht="31.5">
      <c r="A709" s="5">
        <v>708</v>
      </c>
      <c r="B709" s="29" t="s">
        <v>653</v>
      </c>
      <c r="C709" s="31" t="s">
        <v>2273</v>
      </c>
      <c r="D709" s="29" t="s">
        <v>2097</v>
      </c>
      <c r="E709" s="29" t="s">
        <v>2098</v>
      </c>
      <c r="F709" s="8" t="s">
        <v>2302</v>
      </c>
      <c r="G709" s="29" t="s">
        <v>2096</v>
      </c>
      <c r="H709" s="50" t="s">
        <v>2200</v>
      </c>
      <c r="I709" s="50" t="s">
        <v>2200</v>
      </c>
      <c r="J709" s="104" t="s">
        <v>2303</v>
      </c>
      <c r="K709" s="10">
        <v>46032</v>
      </c>
      <c r="L709" s="29" t="s">
        <v>25</v>
      </c>
      <c r="M709" s="56"/>
    </row>
    <row r="710" spans="1:13" ht="31.5">
      <c r="A710" s="5">
        <v>709</v>
      </c>
      <c r="B710" s="29" t="s">
        <v>653</v>
      </c>
      <c r="C710" s="31" t="s">
        <v>2273</v>
      </c>
      <c r="D710" s="29" t="s">
        <v>2099</v>
      </c>
      <c r="E710" s="29" t="s">
        <v>2100</v>
      </c>
      <c r="F710" s="8" t="s">
        <v>2302</v>
      </c>
      <c r="G710" s="29" t="s">
        <v>2096</v>
      </c>
      <c r="H710" s="50" t="s">
        <v>2200</v>
      </c>
      <c r="I710" s="50" t="s">
        <v>2200</v>
      </c>
      <c r="J710" s="104" t="s">
        <v>2303</v>
      </c>
      <c r="K710" s="10">
        <v>46032</v>
      </c>
      <c r="L710" s="29" t="s">
        <v>25</v>
      </c>
      <c r="M710" s="56"/>
    </row>
    <row r="711" spans="1:13" ht="31.5">
      <c r="A711" s="5">
        <v>710</v>
      </c>
      <c r="B711" s="29" t="s">
        <v>653</v>
      </c>
      <c r="C711" s="31" t="s">
        <v>2190</v>
      </c>
      <c r="D711" s="29" t="s">
        <v>1490</v>
      </c>
      <c r="E711" s="29" t="s">
        <v>1491</v>
      </c>
      <c r="F711" s="8" t="s">
        <v>2302</v>
      </c>
      <c r="G711" s="29" t="s">
        <v>1492</v>
      </c>
      <c r="H711" s="50" t="s">
        <v>2200</v>
      </c>
      <c r="I711" s="50" t="s">
        <v>2200</v>
      </c>
      <c r="J711" s="104" t="s">
        <v>2303</v>
      </c>
      <c r="K711" s="10">
        <v>46032</v>
      </c>
      <c r="L711" s="29" t="s">
        <v>22</v>
      </c>
      <c r="M711" s="56"/>
    </row>
    <row r="712" spans="1:13" ht="31.5">
      <c r="A712" s="5">
        <v>711</v>
      </c>
      <c r="B712" s="29" t="s">
        <v>653</v>
      </c>
      <c r="C712" s="31" t="s">
        <v>2190</v>
      </c>
      <c r="D712" s="29" t="s">
        <v>1493</v>
      </c>
      <c r="E712" s="29" t="s">
        <v>1494</v>
      </c>
      <c r="F712" s="8" t="s">
        <v>2302</v>
      </c>
      <c r="G712" s="29" t="s">
        <v>2101</v>
      </c>
      <c r="H712" s="50" t="s">
        <v>2200</v>
      </c>
      <c r="I712" s="50" t="s">
        <v>2200</v>
      </c>
      <c r="J712" s="104" t="s">
        <v>2303</v>
      </c>
      <c r="K712" s="10">
        <v>46032</v>
      </c>
      <c r="L712" s="29" t="s">
        <v>22</v>
      </c>
      <c r="M712" s="56"/>
    </row>
    <row r="713" spans="1:13" ht="31.5">
      <c r="A713" s="5">
        <v>712</v>
      </c>
      <c r="B713" s="29" t="s">
        <v>653</v>
      </c>
      <c r="C713" s="31" t="s">
        <v>2190</v>
      </c>
      <c r="D713" s="29" t="s">
        <v>1495</v>
      </c>
      <c r="E713" s="29" t="s">
        <v>1496</v>
      </c>
      <c r="F713" s="8" t="s">
        <v>2302</v>
      </c>
      <c r="G713" s="29" t="s">
        <v>1497</v>
      </c>
      <c r="H713" s="50" t="s">
        <v>2200</v>
      </c>
      <c r="I713" s="50" t="s">
        <v>2200</v>
      </c>
      <c r="J713" s="104" t="s">
        <v>2303</v>
      </c>
      <c r="K713" s="10">
        <v>46032</v>
      </c>
      <c r="L713" s="29" t="s">
        <v>22</v>
      </c>
      <c r="M713" s="56"/>
    </row>
    <row r="714" spans="1:13" ht="31.5">
      <c r="A714" s="5">
        <v>713</v>
      </c>
      <c r="B714" s="29" t="s">
        <v>653</v>
      </c>
      <c r="C714" s="31" t="s">
        <v>2190</v>
      </c>
      <c r="D714" s="29" t="s">
        <v>1498</v>
      </c>
      <c r="E714" s="29" t="s">
        <v>1499</v>
      </c>
      <c r="F714" s="8" t="s">
        <v>2302</v>
      </c>
      <c r="G714" s="29" t="s">
        <v>1500</v>
      </c>
      <c r="H714" s="50" t="s">
        <v>2200</v>
      </c>
      <c r="I714" s="50" t="s">
        <v>2200</v>
      </c>
      <c r="J714" s="104" t="s">
        <v>2303</v>
      </c>
      <c r="K714" s="10">
        <v>46032</v>
      </c>
      <c r="L714" s="29" t="s">
        <v>22</v>
      </c>
      <c r="M714" s="56"/>
    </row>
    <row r="715" spans="1:13" ht="31.5">
      <c r="A715" s="5">
        <v>714</v>
      </c>
      <c r="B715" s="29" t="s">
        <v>653</v>
      </c>
      <c r="C715" s="31" t="s">
        <v>2190</v>
      </c>
      <c r="D715" s="29" t="s">
        <v>1501</v>
      </c>
      <c r="E715" s="29" t="s">
        <v>1502</v>
      </c>
      <c r="F715" s="8" t="s">
        <v>2302</v>
      </c>
      <c r="G715" s="29" t="s">
        <v>1503</v>
      </c>
      <c r="H715" s="50" t="s">
        <v>2200</v>
      </c>
      <c r="I715" s="50" t="s">
        <v>2200</v>
      </c>
      <c r="J715" s="104" t="s">
        <v>2303</v>
      </c>
      <c r="K715" s="10">
        <v>46032</v>
      </c>
      <c r="L715" s="29" t="s">
        <v>22</v>
      </c>
      <c r="M715" s="56"/>
    </row>
    <row r="716" spans="1:13" ht="31.5">
      <c r="A716" s="5">
        <v>715</v>
      </c>
      <c r="B716" s="29" t="s">
        <v>653</v>
      </c>
      <c r="C716" s="31" t="s">
        <v>2190</v>
      </c>
      <c r="D716" s="29" t="s">
        <v>1504</v>
      </c>
      <c r="E716" s="29" t="s">
        <v>1505</v>
      </c>
      <c r="F716" s="8" t="s">
        <v>2302</v>
      </c>
      <c r="G716" s="29" t="s">
        <v>1506</v>
      </c>
      <c r="H716" s="50" t="s">
        <v>2200</v>
      </c>
      <c r="I716" s="50" t="s">
        <v>2200</v>
      </c>
      <c r="J716" s="104" t="s">
        <v>2303</v>
      </c>
      <c r="K716" s="10">
        <v>46032</v>
      </c>
      <c r="L716" s="29" t="s">
        <v>22</v>
      </c>
      <c r="M716" s="56"/>
    </row>
    <row r="717" spans="1:13" ht="31.5">
      <c r="A717" s="5">
        <v>716</v>
      </c>
      <c r="B717" s="29" t="s">
        <v>653</v>
      </c>
      <c r="C717" s="31" t="s">
        <v>2190</v>
      </c>
      <c r="D717" s="29" t="s">
        <v>1507</v>
      </c>
      <c r="E717" s="29" t="s">
        <v>1508</v>
      </c>
      <c r="F717" s="8" t="s">
        <v>2302</v>
      </c>
      <c r="G717" s="29" t="s">
        <v>1509</v>
      </c>
      <c r="H717" s="50" t="s">
        <v>2200</v>
      </c>
      <c r="I717" s="50" t="s">
        <v>2200</v>
      </c>
      <c r="J717" s="104" t="s">
        <v>2303</v>
      </c>
      <c r="K717" s="10">
        <v>46032</v>
      </c>
      <c r="L717" s="29" t="s">
        <v>22</v>
      </c>
      <c r="M717" s="56"/>
    </row>
    <row r="718" spans="1:13" ht="31.5">
      <c r="A718" s="5">
        <v>717</v>
      </c>
      <c r="B718" s="29" t="s">
        <v>653</v>
      </c>
      <c r="C718" s="31" t="s">
        <v>2190</v>
      </c>
      <c r="D718" s="29" t="s">
        <v>1510</v>
      </c>
      <c r="E718" s="29" t="s">
        <v>1511</v>
      </c>
      <c r="F718" s="8" t="s">
        <v>2302</v>
      </c>
      <c r="G718" s="29" t="s">
        <v>1500</v>
      </c>
      <c r="H718" s="50" t="s">
        <v>2200</v>
      </c>
      <c r="I718" s="50" t="s">
        <v>2200</v>
      </c>
      <c r="J718" s="104" t="s">
        <v>2303</v>
      </c>
      <c r="K718" s="10">
        <v>46032</v>
      </c>
      <c r="L718" s="29" t="s">
        <v>22</v>
      </c>
      <c r="M718" s="56"/>
    </row>
    <row r="719" spans="1:13" ht="31.5">
      <c r="A719" s="5">
        <v>718</v>
      </c>
      <c r="B719" s="29" t="s">
        <v>653</v>
      </c>
      <c r="C719" s="31" t="s">
        <v>2190</v>
      </c>
      <c r="D719" s="29" t="s">
        <v>1736</v>
      </c>
      <c r="E719" s="29" t="s">
        <v>2102</v>
      </c>
      <c r="F719" s="8" t="s">
        <v>2302</v>
      </c>
      <c r="G719" s="29" t="s">
        <v>1497</v>
      </c>
      <c r="H719" s="50" t="s">
        <v>2200</v>
      </c>
      <c r="I719" s="50" t="s">
        <v>2200</v>
      </c>
      <c r="J719" s="104" t="s">
        <v>2303</v>
      </c>
      <c r="K719" s="10">
        <v>46032</v>
      </c>
      <c r="L719" s="29" t="s">
        <v>22</v>
      </c>
      <c r="M719" s="56"/>
    </row>
    <row r="720" spans="1:13" ht="31.5">
      <c r="A720" s="5">
        <v>719</v>
      </c>
      <c r="B720" s="29" t="s">
        <v>653</v>
      </c>
      <c r="C720" s="31" t="s">
        <v>2190</v>
      </c>
      <c r="D720" s="29" t="s">
        <v>1737</v>
      </c>
      <c r="E720" s="29" t="s">
        <v>2103</v>
      </c>
      <c r="F720" s="8" t="s">
        <v>2302</v>
      </c>
      <c r="G720" s="29" t="s">
        <v>2104</v>
      </c>
      <c r="H720" s="50" t="s">
        <v>2200</v>
      </c>
      <c r="I720" s="50" t="s">
        <v>2200</v>
      </c>
      <c r="J720" s="104" t="s">
        <v>2303</v>
      </c>
      <c r="K720" s="10">
        <v>46032</v>
      </c>
      <c r="L720" s="29" t="s">
        <v>22</v>
      </c>
      <c r="M720" s="56"/>
    </row>
    <row r="721" spans="1:13" ht="31.5">
      <c r="A721" s="5">
        <v>720</v>
      </c>
      <c r="B721" s="29" t="s">
        <v>653</v>
      </c>
      <c r="C721" s="31" t="s">
        <v>2191</v>
      </c>
      <c r="D721" s="29" t="s">
        <v>1513</v>
      </c>
      <c r="E721" s="29" t="s">
        <v>1514</v>
      </c>
      <c r="F721" s="8" t="s">
        <v>2302</v>
      </c>
      <c r="G721" s="29" t="s">
        <v>1515</v>
      </c>
      <c r="H721" s="50" t="s">
        <v>2200</v>
      </c>
      <c r="I721" s="50" t="s">
        <v>2200</v>
      </c>
      <c r="J721" s="104" t="s">
        <v>2303</v>
      </c>
      <c r="K721" s="10">
        <v>46032</v>
      </c>
      <c r="L721" s="29" t="s">
        <v>22</v>
      </c>
      <c r="M721" s="5"/>
    </row>
    <row r="722" spans="1:13" ht="31.5">
      <c r="A722" s="5">
        <v>721</v>
      </c>
      <c r="B722" s="29" t="s">
        <v>653</v>
      </c>
      <c r="C722" s="31" t="s">
        <v>2191</v>
      </c>
      <c r="D722" s="29" t="s">
        <v>1516</v>
      </c>
      <c r="E722" s="29" t="s">
        <v>1517</v>
      </c>
      <c r="F722" s="8" t="s">
        <v>2302</v>
      </c>
      <c r="G722" s="29" t="s">
        <v>2105</v>
      </c>
      <c r="H722" s="50" t="s">
        <v>2200</v>
      </c>
      <c r="I722" s="50" t="s">
        <v>2200</v>
      </c>
      <c r="J722" s="104" t="s">
        <v>2303</v>
      </c>
      <c r="K722" s="10">
        <v>46032</v>
      </c>
      <c r="L722" s="29" t="s">
        <v>25</v>
      </c>
      <c r="M722" s="56"/>
    </row>
    <row r="723" spans="1:13" ht="31.5">
      <c r="A723" s="5">
        <v>722</v>
      </c>
      <c r="B723" s="29" t="s">
        <v>653</v>
      </c>
      <c r="C723" s="31" t="s">
        <v>2191</v>
      </c>
      <c r="D723" s="29" t="s">
        <v>1518</v>
      </c>
      <c r="E723" s="29" t="s">
        <v>1519</v>
      </c>
      <c r="F723" s="8" t="s">
        <v>2302</v>
      </c>
      <c r="G723" s="29" t="s">
        <v>1520</v>
      </c>
      <c r="H723" s="50" t="s">
        <v>2200</v>
      </c>
      <c r="I723" s="50" t="s">
        <v>2200</v>
      </c>
      <c r="J723" s="104" t="s">
        <v>2303</v>
      </c>
      <c r="K723" s="10">
        <v>46032</v>
      </c>
      <c r="L723" s="29" t="s">
        <v>25</v>
      </c>
      <c r="M723" s="56"/>
    </row>
    <row r="724" spans="1:13" ht="31.5">
      <c r="A724" s="5">
        <v>723</v>
      </c>
      <c r="B724" s="29" t="s">
        <v>653</v>
      </c>
      <c r="C724" s="31" t="s">
        <v>2191</v>
      </c>
      <c r="D724" s="29" t="s">
        <v>1521</v>
      </c>
      <c r="E724" s="29" t="s">
        <v>1522</v>
      </c>
      <c r="F724" s="8" t="s">
        <v>2302</v>
      </c>
      <c r="G724" s="29" t="s">
        <v>1523</v>
      </c>
      <c r="H724" s="50" t="s">
        <v>2200</v>
      </c>
      <c r="I724" s="50" t="s">
        <v>2200</v>
      </c>
      <c r="J724" s="104" t="s">
        <v>2303</v>
      </c>
      <c r="K724" s="10">
        <v>46032</v>
      </c>
      <c r="L724" s="29" t="s">
        <v>25</v>
      </c>
      <c r="M724" s="56"/>
    </row>
    <row r="725" spans="1:13" ht="31.5">
      <c r="A725" s="5">
        <v>724</v>
      </c>
      <c r="B725" s="29" t="s">
        <v>653</v>
      </c>
      <c r="C725" s="31" t="s">
        <v>2191</v>
      </c>
      <c r="D725" s="29" t="s">
        <v>1524</v>
      </c>
      <c r="E725" s="29" t="s">
        <v>1525</v>
      </c>
      <c r="F725" s="8" t="s">
        <v>2302</v>
      </c>
      <c r="G725" s="29" t="s">
        <v>1526</v>
      </c>
      <c r="H725" s="50" t="s">
        <v>2200</v>
      </c>
      <c r="I725" s="50" t="s">
        <v>2200</v>
      </c>
      <c r="J725" s="104" t="s">
        <v>2303</v>
      </c>
      <c r="K725" s="10">
        <v>46032</v>
      </c>
      <c r="L725" s="29" t="s">
        <v>25</v>
      </c>
      <c r="M725" s="56"/>
    </row>
    <row r="726" spans="1:13" ht="31.5">
      <c r="A726" s="5">
        <v>725</v>
      </c>
      <c r="B726" s="29" t="s">
        <v>653</v>
      </c>
      <c r="C726" s="31" t="s">
        <v>2191</v>
      </c>
      <c r="D726" s="29" t="s">
        <v>1527</v>
      </c>
      <c r="E726" s="29" t="s">
        <v>1528</v>
      </c>
      <c r="F726" s="8" t="s">
        <v>2302</v>
      </c>
      <c r="G726" s="29" t="s">
        <v>1529</v>
      </c>
      <c r="H726" s="50" t="s">
        <v>2200</v>
      </c>
      <c r="I726" s="50" t="s">
        <v>2200</v>
      </c>
      <c r="J726" s="104" t="s">
        <v>2303</v>
      </c>
      <c r="K726" s="10">
        <v>46032</v>
      </c>
      <c r="L726" s="29" t="s">
        <v>25</v>
      </c>
      <c r="M726" s="56"/>
    </row>
    <row r="727" spans="1:13" ht="31.5">
      <c r="A727" s="5">
        <v>726</v>
      </c>
      <c r="B727" s="29" t="s">
        <v>653</v>
      </c>
      <c r="C727" s="31" t="s">
        <v>2191</v>
      </c>
      <c r="D727" s="29" t="s">
        <v>1530</v>
      </c>
      <c r="E727" s="29" t="s">
        <v>1531</v>
      </c>
      <c r="F727" s="8" t="s">
        <v>2302</v>
      </c>
      <c r="G727" s="29" t="s">
        <v>1532</v>
      </c>
      <c r="H727" s="50" t="s">
        <v>2200</v>
      </c>
      <c r="I727" s="50" t="s">
        <v>2200</v>
      </c>
      <c r="J727" s="104" t="s">
        <v>2303</v>
      </c>
      <c r="K727" s="10">
        <v>46032</v>
      </c>
      <c r="L727" s="29" t="s">
        <v>25</v>
      </c>
      <c r="M727" s="56"/>
    </row>
    <row r="728" spans="1:13" ht="31.5">
      <c r="A728" s="5">
        <v>727</v>
      </c>
      <c r="B728" s="29" t="s">
        <v>653</v>
      </c>
      <c r="C728" s="31" t="s">
        <v>2191</v>
      </c>
      <c r="D728" s="29" t="s">
        <v>1533</v>
      </c>
      <c r="E728" s="29" t="s">
        <v>1534</v>
      </c>
      <c r="F728" s="8" t="s">
        <v>2302</v>
      </c>
      <c r="G728" s="29" t="s">
        <v>1535</v>
      </c>
      <c r="H728" s="50" t="s">
        <v>2200</v>
      </c>
      <c r="I728" s="50" t="s">
        <v>2200</v>
      </c>
      <c r="J728" s="104" t="s">
        <v>2303</v>
      </c>
      <c r="K728" s="10">
        <v>46032</v>
      </c>
      <c r="L728" s="29" t="s">
        <v>25</v>
      </c>
      <c r="M728" s="56"/>
    </row>
    <row r="729" spans="1:13" ht="31.5">
      <c r="A729" s="5">
        <v>728</v>
      </c>
      <c r="B729" s="29" t="s">
        <v>653</v>
      </c>
      <c r="C729" s="31" t="s">
        <v>2191</v>
      </c>
      <c r="D729" s="29" t="s">
        <v>1538</v>
      </c>
      <c r="E729" s="29" t="s">
        <v>1539</v>
      </c>
      <c r="F729" s="8" t="s">
        <v>2302</v>
      </c>
      <c r="G729" s="29" t="s">
        <v>1540</v>
      </c>
      <c r="H729" s="50" t="s">
        <v>2200</v>
      </c>
      <c r="I729" s="50" t="s">
        <v>2200</v>
      </c>
      <c r="J729" s="104" t="s">
        <v>2303</v>
      </c>
      <c r="K729" s="10">
        <v>46032</v>
      </c>
      <c r="L729" s="29" t="s">
        <v>25</v>
      </c>
      <c r="M729" s="56"/>
    </row>
    <row r="730" spans="1:13" ht="31.5">
      <c r="A730" s="5">
        <v>729</v>
      </c>
      <c r="B730" s="29" t="s">
        <v>653</v>
      </c>
      <c r="C730" s="31" t="s">
        <v>2191</v>
      </c>
      <c r="D730" s="29" t="s">
        <v>1541</v>
      </c>
      <c r="E730" s="29" t="s">
        <v>1542</v>
      </c>
      <c r="F730" s="8" t="s">
        <v>2302</v>
      </c>
      <c r="G730" s="29" t="s">
        <v>1543</v>
      </c>
      <c r="H730" s="50" t="s">
        <v>2200</v>
      </c>
      <c r="I730" s="50" t="s">
        <v>2200</v>
      </c>
      <c r="J730" s="104" t="s">
        <v>2303</v>
      </c>
      <c r="K730" s="10">
        <v>46032</v>
      </c>
      <c r="L730" s="29" t="s">
        <v>20</v>
      </c>
      <c r="M730" s="56"/>
    </row>
    <row r="731" spans="1:13" ht="31.5">
      <c r="A731" s="5">
        <v>730</v>
      </c>
      <c r="B731" s="29" t="s">
        <v>653</v>
      </c>
      <c r="C731" s="31" t="s">
        <v>2191</v>
      </c>
      <c r="D731" s="29" t="s">
        <v>1544</v>
      </c>
      <c r="E731" s="29" t="s">
        <v>1545</v>
      </c>
      <c r="F731" s="8" t="s">
        <v>2302</v>
      </c>
      <c r="G731" s="29" t="s">
        <v>2106</v>
      </c>
      <c r="H731" s="50" t="s">
        <v>2200</v>
      </c>
      <c r="I731" s="50" t="s">
        <v>2200</v>
      </c>
      <c r="J731" s="104" t="s">
        <v>2303</v>
      </c>
      <c r="K731" s="10">
        <v>46032</v>
      </c>
      <c r="L731" s="29" t="s">
        <v>25</v>
      </c>
      <c r="M731" s="5"/>
    </row>
    <row r="732" spans="1:13" ht="31.5">
      <c r="A732" s="5">
        <v>731</v>
      </c>
      <c r="B732" s="29" t="s">
        <v>653</v>
      </c>
      <c r="C732" s="31" t="s">
        <v>2191</v>
      </c>
      <c r="D732" s="29" t="s">
        <v>1725</v>
      </c>
      <c r="E732" s="29" t="s">
        <v>2107</v>
      </c>
      <c r="F732" s="8" t="s">
        <v>2302</v>
      </c>
      <c r="G732" s="29" t="s">
        <v>2108</v>
      </c>
      <c r="H732" s="50" t="s">
        <v>2200</v>
      </c>
      <c r="I732" s="50" t="s">
        <v>2200</v>
      </c>
      <c r="J732" s="104" t="s">
        <v>2303</v>
      </c>
      <c r="K732" s="10">
        <v>46032</v>
      </c>
      <c r="L732" s="29" t="s">
        <v>20</v>
      </c>
      <c r="M732" s="56"/>
    </row>
    <row r="733" spans="1:13" ht="31.5">
      <c r="A733" s="5">
        <v>732</v>
      </c>
      <c r="B733" s="29" t="s">
        <v>653</v>
      </c>
      <c r="C733" s="31" t="s">
        <v>2191</v>
      </c>
      <c r="D733" s="29" t="s">
        <v>1537</v>
      </c>
      <c r="E733" s="29" t="s">
        <v>1536</v>
      </c>
      <c r="F733" s="8" t="s">
        <v>2302</v>
      </c>
      <c r="G733" s="29" t="s">
        <v>1537</v>
      </c>
      <c r="H733" s="50" t="s">
        <v>2200</v>
      </c>
      <c r="I733" s="50" t="s">
        <v>2200</v>
      </c>
      <c r="J733" s="104" t="s">
        <v>2303</v>
      </c>
      <c r="K733" s="10">
        <v>46032</v>
      </c>
      <c r="L733" s="29" t="s">
        <v>20</v>
      </c>
      <c r="M733" s="56"/>
    </row>
    <row r="734" spans="1:13" ht="31.5">
      <c r="A734" s="5">
        <v>733</v>
      </c>
      <c r="B734" s="29" t="s">
        <v>653</v>
      </c>
      <c r="C734" s="31" t="s">
        <v>2191</v>
      </c>
      <c r="D734" s="29" t="s">
        <v>2109</v>
      </c>
      <c r="E734" s="29" t="s">
        <v>18</v>
      </c>
      <c r="F734" s="8" t="s">
        <v>2317</v>
      </c>
      <c r="G734" s="29" t="s">
        <v>1512</v>
      </c>
      <c r="H734" s="50" t="s">
        <v>2200</v>
      </c>
      <c r="I734" s="50" t="s">
        <v>2200</v>
      </c>
      <c r="J734" s="104" t="s">
        <v>2303</v>
      </c>
      <c r="K734" s="10">
        <v>46032</v>
      </c>
      <c r="L734" s="29" t="s">
        <v>20</v>
      </c>
      <c r="M734" s="5"/>
    </row>
    <row r="735" spans="1:13" ht="31.5">
      <c r="A735" s="5">
        <v>734</v>
      </c>
      <c r="B735" s="29" t="s">
        <v>653</v>
      </c>
      <c r="C735" s="31" t="s">
        <v>2191</v>
      </c>
      <c r="D735" s="29" t="s">
        <v>2110</v>
      </c>
      <c r="E735" s="29" t="s">
        <v>18</v>
      </c>
      <c r="F735" s="8" t="s">
        <v>2302</v>
      </c>
      <c r="G735" s="29" t="s">
        <v>1546</v>
      </c>
      <c r="H735" s="50" t="s">
        <v>2200</v>
      </c>
      <c r="I735" s="50" t="s">
        <v>2200</v>
      </c>
      <c r="J735" s="104" t="s">
        <v>2303</v>
      </c>
      <c r="K735" s="10">
        <v>46032</v>
      </c>
      <c r="L735" s="29" t="s">
        <v>20</v>
      </c>
      <c r="M735" s="5"/>
    </row>
    <row r="736" spans="1:13" ht="31.5">
      <c r="A736" s="5">
        <v>735</v>
      </c>
      <c r="B736" s="29" t="s">
        <v>653</v>
      </c>
      <c r="C736" s="31" t="s">
        <v>2192</v>
      </c>
      <c r="D736" s="29" t="s">
        <v>1558</v>
      </c>
      <c r="E736" s="29" t="s">
        <v>18</v>
      </c>
      <c r="F736" s="8" t="s">
        <v>2302</v>
      </c>
      <c r="G736" s="29" t="s">
        <v>1559</v>
      </c>
      <c r="H736" s="50" t="s">
        <v>2200</v>
      </c>
      <c r="I736" s="50" t="s">
        <v>2200</v>
      </c>
      <c r="J736" s="104" t="s">
        <v>2303</v>
      </c>
      <c r="K736" s="10">
        <v>46032</v>
      </c>
      <c r="L736" s="29" t="s">
        <v>20</v>
      </c>
      <c r="M736" s="56"/>
    </row>
    <row r="737" spans="1:13" ht="31.5">
      <c r="A737" s="5">
        <v>736</v>
      </c>
      <c r="B737" s="29" t="s">
        <v>653</v>
      </c>
      <c r="C737" s="31" t="s">
        <v>2192</v>
      </c>
      <c r="D737" s="29" t="s">
        <v>1547</v>
      </c>
      <c r="E737" s="29" t="s">
        <v>1548</v>
      </c>
      <c r="F737" s="8" t="s">
        <v>2302</v>
      </c>
      <c r="G737" s="29" t="s">
        <v>2111</v>
      </c>
      <c r="H737" s="50" t="s">
        <v>2200</v>
      </c>
      <c r="I737" s="50" t="s">
        <v>2200</v>
      </c>
      <c r="J737" s="104" t="s">
        <v>2303</v>
      </c>
      <c r="K737" s="10">
        <v>46032</v>
      </c>
      <c r="L737" s="29" t="s">
        <v>20</v>
      </c>
      <c r="M737" s="56"/>
    </row>
    <row r="738" spans="1:13" ht="31.5">
      <c r="A738" s="5">
        <v>737</v>
      </c>
      <c r="B738" s="29" t="s">
        <v>653</v>
      </c>
      <c r="C738" s="31" t="s">
        <v>2192</v>
      </c>
      <c r="D738" s="29" t="s">
        <v>1549</v>
      </c>
      <c r="E738" s="29" t="s">
        <v>1550</v>
      </c>
      <c r="F738" s="8" t="s">
        <v>2302</v>
      </c>
      <c r="G738" s="29" t="s">
        <v>1551</v>
      </c>
      <c r="H738" s="50" t="s">
        <v>2200</v>
      </c>
      <c r="I738" s="50" t="s">
        <v>2200</v>
      </c>
      <c r="J738" s="104" t="s">
        <v>2303</v>
      </c>
      <c r="K738" s="10">
        <v>46032</v>
      </c>
      <c r="L738" s="29" t="s">
        <v>20</v>
      </c>
      <c r="M738" s="56"/>
    </row>
    <row r="739" spans="1:13" ht="31.5">
      <c r="A739" s="5">
        <v>738</v>
      </c>
      <c r="B739" s="29" t="s">
        <v>653</v>
      </c>
      <c r="C739" s="31" t="s">
        <v>2192</v>
      </c>
      <c r="D739" s="29" t="s">
        <v>1552</v>
      </c>
      <c r="E739" s="29" t="s">
        <v>1553</v>
      </c>
      <c r="F739" s="8" t="s">
        <v>2302</v>
      </c>
      <c r="G739" s="29" t="s">
        <v>1554</v>
      </c>
      <c r="H739" s="50" t="s">
        <v>2200</v>
      </c>
      <c r="I739" s="50" t="s">
        <v>2200</v>
      </c>
      <c r="J739" s="104" t="s">
        <v>2303</v>
      </c>
      <c r="K739" s="10">
        <v>46032</v>
      </c>
      <c r="L739" s="29" t="s">
        <v>20</v>
      </c>
      <c r="M739" s="56"/>
    </row>
    <row r="740" spans="1:13" ht="31.5">
      <c r="A740" s="5">
        <v>739</v>
      </c>
      <c r="B740" s="29" t="s">
        <v>653</v>
      </c>
      <c r="C740" s="31" t="s">
        <v>2192</v>
      </c>
      <c r="D740" s="29" t="s">
        <v>1555</v>
      </c>
      <c r="E740" s="29" t="s">
        <v>1556</v>
      </c>
      <c r="F740" s="8" t="s">
        <v>2302</v>
      </c>
      <c r="G740" s="29" t="s">
        <v>1557</v>
      </c>
      <c r="H740" s="50" t="s">
        <v>2200</v>
      </c>
      <c r="I740" s="50" t="s">
        <v>2200</v>
      </c>
      <c r="J740" s="104" t="s">
        <v>2303</v>
      </c>
      <c r="K740" s="10">
        <v>46032</v>
      </c>
      <c r="L740" s="29" t="s">
        <v>20</v>
      </c>
      <c r="M740" s="56"/>
    </row>
    <row r="741" spans="1:13" ht="31.5">
      <c r="A741" s="5">
        <v>740</v>
      </c>
      <c r="B741" s="29" t="s">
        <v>311</v>
      </c>
      <c r="C741" s="29" t="s">
        <v>9</v>
      </c>
      <c r="D741" s="29" t="s">
        <v>2112</v>
      </c>
      <c r="E741" s="29" t="s">
        <v>18</v>
      </c>
      <c r="F741" s="8" t="s">
        <v>2302</v>
      </c>
      <c r="G741" s="29" t="s">
        <v>1587</v>
      </c>
      <c r="H741" s="50" t="s">
        <v>2200</v>
      </c>
      <c r="I741" s="50" t="s">
        <v>2200</v>
      </c>
      <c r="J741" s="104" t="s">
        <v>2303</v>
      </c>
      <c r="K741" s="10">
        <v>46032</v>
      </c>
      <c r="L741" s="29" t="s">
        <v>20</v>
      </c>
      <c r="M741" s="56"/>
    </row>
    <row r="742" spans="1:13" ht="31.5">
      <c r="A742" s="5">
        <v>741</v>
      </c>
      <c r="B742" s="29" t="s">
        <v>311</v>
      </c>
      <c r="C742" s="29" t="s">
        <v>9</v>
      </c>
      <c r="D742" s="29" t="s">
        <v>1560</v>
      </c>
      <c r="E742" s="29" t="s">
        <v>2113</v>
      </c>
      <c r="F742" s="8" t="s">
        <v>2302</v>
      </c>
      <c r="G742" s="29" t="s">
        <v>2114</v>
      </c>
      <c r="H742" s="50" t="s">
        <v>2200</v>
      </c>
      <c r="I742" s="50" t="s">
        <v>2200</v>
      </c>
      <c r="J742" s="104" t="s">
        <v>2303</v>
      </c>
      <c r="K742" s="10">
        <v>46032</v>
      </c>
      <c r="L742" s="29" t="s">
        <v>20</v>
      </c>
      <c r="M742" s="56"/>
    </row>
    <row r="743" spans="1:13" ht="31.5">
      <c r="A743" s="5">
        <v>742</v>
      </c>
      <c r="B743" s="29" t="s">
        <v>311</v>
      </c>
      <c r="C743" s="29" t="s">
        <v>9</v>
      </c>
      <c r="D743" s="29" t="s">
        <v>1563</v>
      </c>
      <c r="E743" s="29" t="s">
        <v>1564</v>
      </c>
      <c r="F743" s="8" t="s">
        <v>2302</v>
      </c>
      <c r="G743" s="29" t="s">
        <v>1565</v>
      </c>
      <c r="H743" s="50" t="s">
        <v>2200</v>
      </c>
      <c r="I743" s="50" t="s">
        <v>2200</v>
      </c>
      <c r="J743" s="104" t="s">
        <v>2303</v>
      </c>
      <c r="K743" s="10">
        <v>46032</v>
      </c>
      <c r="L743" s="29" t="s">
        <v>20</v>
      </c>
      <c r="M743" s="56"/>
    </row>
    <row r="744" spans="1:13" ht="31.5">
      <c r="A744" s="5">
        <v>743</v>
      </c>
      <c r="B744" s="29" t="s">
        <v>311</v>
      </c>
      <c r="C744" s="29" t="s">
        <v>9</v>
      </c>
      <c r="D744" s="29" t="s">
        <v>1566</v>
      </c>
      <c r="E744" s="29" t="s">
        <v>1567</v>
      </c>
      <c r="F744" s="8" t="s">
        <v>2302</v>
      </c>
      <c r="G744" s="29" t="s">
        <v>1568</v>
      </c>
      <c r="H744" s="50" t="s">
        <v>2200</v>
      </c>
      <c r="I744" s="50" t="s">
        <v>2200</v>
      </c>
      <c r="J744" s="104" t="s">
        <v>2303</v>
      </c>
      <c r="K744" s="10">
        <v>46032</v>
      </c>
      <c r="L744" s="29" t="s">
        <v>20</v>
      </c>
      <c r="M744" s="56"/>
    </row>
    <row r="745" spans="1:13" ht="31.5">
      <c r="A745" s="5">
        <v>744</v>
      </c>
      <c r="B745" s="29" t="s">
        <v>311</v>
      </c>
      <c r="C745" s="29" t="s">
        <v>9</v>
      </c>
      <c r="D745" s="29" t="s">
        <v>1782</v>
      </c>
      <c r="E745" s="29" t="s">
        <v>2115</v>
      </c>
      <c r="F745" s="8" t="s">
        <v>2302</v>
      </c>
      <c r="G745" s="29" t="s">
        <v>2116</v>
      </c>
      <c r="H745" s="50" t="s">
        <v>2200</v>
      </c>
      <c r="I745" s="50" t="s">
        <v>2200</v>
      </c>
      <c r="J745" s="104" t="s">
        <v>2303</v>
      </c>
      <c r="K745" s="10">
        <v>46032</v>
      </c>
      <c r="L745" s="29" t="s">
        <v>20</v>
      </c>
      <c r="M745" s="56"/>
    </row>
    <row r="746" spans="1:13" ht="31.5">
      <c r="A746" s="5">
        <v>745</v>
      </c>
      <c r="B746" s="29" t="s">
        <v>311</v>
      </c>
      <c r="C746" s="29" t="s">
        <v>9</v>
      </c>
      <c r="D746" s="29" t="s">
        <v>1569</v>
      </c>
      <c r="E746" s="29" t="s">
        <v>1570</v>
      </c>
      <c r="F746" s="8" t="s">
        <v>2302</v>
      </c>
      <c r="G746" s="29" t="s">
        <v>25</v>
      </c>
      <c r="H746" s="50" t="s">
        <v>2200</v>
      </c>
      <c r="I746" s="50" t="s">
        <v>2200</v>
      </c>
      <c r="J746" s="104" t="s">
        <v>2303</v>
      </c>
      <c r="K746" s="10">
        <v>46032</v>
      </c>
      <c r="L746" s="29" t="s">
        <v>20</v>
      </c>
      <c r="M746" s="56"/>
    </row>
    <row r="747" spans="1:13" ht="31.5">
      <c r="A747" s="5">
        <v>746</v>
      </c>
      <c r="B747" s="29" t="s">
        <v>311</v>
      </c>
      <c r="C747" s="29" t="s">
        <v>9</v>
      </c>
      <c r="D747" s="29" t="s">
        <v>1571</v>
      </c>
      <c r="E747" s="29" t="s">
        <v>1572</v>
      </c>
      <c r="F747" s="8" t="s">
        <v>2302</v>
      </c>
      <c r="G747" s="29" t="s">
        <v>22</v>
      </c>
      <c r="H747" s="50" t="s">
        <v>2200</v>
      </c>
      <c r="I747" s="50" t="s">
        <v>2200</v>
      </c>
      <c r="J747" s="104" t="s">
        <v>2303</v>
      </c>
      <c r="K747" s="10">
        <v>46032</v>
      </c>
      <c r="L747" s="29" t="s">
        <v>20</v>
      </c>
      <c r="M747" s="56"/>
    </row>
    <row r="748" spans="1:13" ht="31.5">
      <c r="A748" s="5">
        <v>747</v>
      </c>
      <c r="B748" s="29" t="s">
        <v>311</v>
      </c>
      <c r="C748" s="29" t="s">
        <v>9</v>
      </c>
      <c r="D748" s="29" t="s">
        <v>1783</v>
      </c>
      <c r="E748" s="29" t="s">
        <v>2117</v>
      </c>
      <c r="F748" s="8" t="s">
        <v>2302</v>
      </c>
      <c r="G748" s="29" t="s">
        <v>2118</v>
      </c>
      <c r="H748" s="50" t="s">
        <v>2200</v>
      </c>
      <c r="I748" s="50" t="s">
        <v>2200</v>
      </c>
      <c r="J748" s="104" t="s">
        <v>2303</v>
      </c>
      <c r="K748" s="10">
        <v>46032</v>
      </c>
      <c r="L748" s="29" t="s">
        <v>20</v>
      </c>
      <c r="M748" s="56"/>
    </row>
    <row r="749" spans="1:13" ht="31.5">
      <c r="A749" s="5">
        <v>748</v>
      </c>
      <c r="B749" s="29" t="s">
        <v>311</v>
      </c>
      <c r="C749" s="29" t="s">
        <v>9</v>
      </c>
      <c r="D749" s="29" t="s">
        <v>1573</v>
      </c>
      <c r="E749" s="29" t="s">
        <v>1574</v>
      </c>
      <c r="F749" s="8" t="s">
        <v>2302</v>
      </c>
      <c r="G749" s="29" t="s">
        <v>20</v>
      </c>
      <c r="H749" s="50" t="s">
        <v>2200</v>
      </c>
      <c r="I749" s="50" t="s">
        <v>2200</v>
      </c>
      <c r="J749" s="104" t="s">
        <v>2303</v>
      </c>
      <c r="K749" s="10">
        <v>46032</v>
      </c>
      <c r="L749" s="29" t="s">
        <v>20</v>
      </c>
      <c r="M749" s="56"/>
    </row>
    <row r="750" spans="1:13" ht="31.5">
      <c r="A750" s="5">
        <v>749</v>
      </c>
      <c r="B750" s="29" t="s">
        <v>311</v>
      </c>
      <c r="C750" s="29" t="s">
        <v>9</v>
      </c>
      <c r="D750" s="29" t="s">
        <v>1575</v>
      </c>
      <c r="E750" s="29" t="s">
        <v>1576</v>
      </c>
      <c r="F750" s="8" t="s">
        <v>2302</v>
      </c>
      <c r="G750" s="29" t="s">
        <v>1577</v>
      </c>
      <c r="H750" s="50" t="s">
        <v>2200</v>
      </c>
      <c r="I750" s="50" t="s">
        <v>2200</v>
      </c>
      <c r="J750" s="104" t="s">
        <v>2303</v>
      </c>
      <c r="K750" s="10">
        <v>46032</v>
      </c>
      <c r="L750" s="29" t="s">
        <v>20</v>
      </c>
      <c r="M750" s="56"/>
    </row>
    <row r="751" spans="1:13" ht="31.5">
      <c r="A751" s="5">
        <v>750</v>
      </c>
      <c r="B751" s="29" t="s">
        <v>311</v>
      </c>
      <c r="C751" s="29" t="s">
        <v>9</v>
      </c>
      <c r="D751" s="29" t="s">
        <v>1578</v>
      </c>
      <c r="E751" s="29" t="s">
        <v>1579</v>
      </c>
      <c r="F751" s="8" t="s">
        <v>2302</v>
      </c>
      <c r="G751" s="29" t="s">
        <v>1580</v>
      </c>
      <c r="H751" s="50" t="s">
        <v>2200</v>
      </c>
      <c r="I751" s="50" t="s">
        <v>2200</v>
      </c>
      <c r="J751" s="104" t="s">
        <v>2303</v>
      </c>
      <c r="K751" s="10">
        <v>46032</v>
      </c>
      <c r="L751" s="29" t="s">
        <v>20</v>
      </c>
      <c r="M751" s="56"/>
    </row>
    <row r="752" spans="1:13" ht="31.5">
      <c r="A752" s="5">
        <v>751</v>
      </c>
      <c r="B752" s="29" t="s">
        <v>311</v>
      </c>
      <c r="C752" s="29" t="s">
        <v>9</v>
      </c>
      <c r="D752" s="29" t="s">
        <v>1581</v>
      </c>
      <c r="E752" s="29" t="s">
        <v>1582</v>
      </c>
      <c r="F752" s="8" t="s">
        <v>2302</v>
      </c>
      <c r="G752" s="29" t="s">
        <v>2119</v>
      </c>
      <c r="H752" s="50" t="s">
        <v>2200</v>
      </c>
      <c r="I752" s="50" t="s">
        <v>2200</v>
      </c>
      <c r="J752" s="104" t="s">
        <v>2303</v>
      </c>
      <c r="K752" s="10">
        <v>46032</v>
      </c>
      <c r="L752" s="29" t="s">
        <v>20</v>
      </c>
      <c r="M752" s="56"/>
    </row>
    <row r="753" spans="1:13" ht="31.5">
      <c r="A753" s="5">
        <v>752</v>
      </c>
      <c r="B753" s="29" t="s">
        <v>311</v>
      </c>
      <c r="C753" s="29" t="s">
        <v>9</v>
      </c>
      <c r="D753" s="29" t="s">
        <v>1583</v>
      </c>
      <c r="E753" s="29" t="s">
        <v>1584</v>
      </c>
      <c r="F753" s="8" t="s">
        <v>2302</v>
      </c>
      <c r="G753" s="29" t="s">
        <v>675</v>
      </c>
      <c r="H753" s="50" t="s">
        <v>2200</v>
      </c>
      <c r="I753" s="50" t="s">
        <v>2200</v>
      </c>
      <c r="J753" s="104" t="s">
        <v>2303</v>
      </c>
      <c r="K753" s="10">
        <v>46032</v>
      </c>
      <c r="L753" s="29" t="s">
        <v>20</v>
      </c>
      <c r="M753" s="56"/>
    </row>
    <row r="754" spans="1:13" ht="31.5">
      <c r="A754" s="5">
        <v>753</v>
      </c>
      <c r="B754" s="29" t="s">
        <v>311</v>
      </c>
      <c r="C754" s="29" t="s">
        <v>9</v>
      </c>
      <c r="D754" s="29" t="s">
        <v>1784</v>
      </c>
      <c r="E754" s="29" t="s">
        <v>1593</v>
      </c>
      <c r="F754" s="8" t="s">
        <v>2302</v>
      </c>
      <c r="G754" s="29" t="s">
        <v>2120</v>
      </c>
      <c r="H754" s="50" t="s">
        <v>2200</v>
      </c>
      <c r="I754" s="50" t="s">
        <v>2200</v>
      </c>
      <c r="J754" s="104" t="s">
        <v>2303</v>
      </c>
      <c r="K754" s="10">
        <v>46032</v>
      </c>
      <c r="L754" s="29" t="s">
        <v>20</v>
      </c>
      <c r="M754" s="56"/>
    </row>
    <row r="755" spans="1:13" ht="31.5">
      <c r="A755" s="5">
        <v>754</v>
      </c>
      <c r="B755" s="29" t="s">
        <v>657</v>
      </c>
      <c r="C755" s="29" t="s">
        <v>9</v>
      </c>
      <c r="D755" s="29" t="s">
        <v>1588</v>
      </c>
      <c r="E755" s="29" t="s">
        <v>1589</v>
      </c>
      <c r="F755" s="8" t="s">
        <v>2302</v>
      </c>
      <c r="G755" s="29" t="s">
        <v>660</v>
      </c>
      <c r="H755" s="50" t="s">
        <v>2200</v>
      </c>
      <c r="I755" s="50" t="s">
        <v>2200</v>
      </c>
      <c r="J755" s="104" t="s">
        <v>2303</v>
      </c>
      <c r="K755" s="10">
        <v>46032</v>
      </c>
      <c r="L755" s="29" t="s">
        <v>660</v>
      </c>
      <c r="M755" s="56"/>
    </row>
    <row r="756" spans="1:13" ht="31.5">
      <c r="A756" s="5">
        <v>755</v>
      </c>
      <c r="B756" s="29" t="s">
        <v>657</v>
      </c>
      <c r="C756" s="29" t="s">
        <v>9</v>
      </c>
      <c r="D756" s="29" t="s">
        <v>1590</v>
      </c>
      <c r="E756" s="29" t="s">
        <v>1591</v>
      </c>
      <c r="F756" s="8" t="s">
        <v>2302</v>
      </c>
      <c r="G756" s="29" t="s">
        <v>8</v>
      </c>
      <c r="H756" s="50" t="s">
        <v>2200</v>
      </c>
      <c r="I756" s="50" t="s">
        <v>2200</v>
      </c>
      <c r="J756" s="104" t="s">
        <v>2303</v>
      </c>
      <c r="K756" s="10">
        <v>46032</v>
      </c>
      <c r="L756" s="29" t="s">
        <v>660</v>
      </c>
      <c r="M756" s="56"/>
    </row>
    <row r="757" spans="1:13" ht="31.5">
      <c r="A757" s="5">
        <v>756</v>
      </c>
      <c r="B757" s="29" t="s">
        <v>657</v>
      </c>
      <c r="C757" s="29" t="s">
        <v>9</v>
      </c>
      <c r="D757" s="29" t="s">
        <v>1781</v>
      </c>
      <c r="E757" s="29" t="s">
        <v>18</v>
      </c>
      <c r="F757" s="8" t="s">
        <v>2302</v>
      </c>
      <c r="G757" s="29" t="s">
        <v>8</v>
      </c>
      <c r="H757" s="50" t="s">
        <v>2200</v>
      </c>
      <c r="I757" s="50" t="s">
        <v>2200</v>
      </c>
      <c r="J757" s="104" t="s">
        <v>2303</v>
      </c>
      <c r="K757" s="10">
        <v>46032</v>
      </c>
      <c r="L757" s="29" t="s">
        <v>660</v>
      </c>
      <c r="M757" s="56"/>
    </row>
    <row r="758" spans="1:13" ht="31.5">
      <c r="A758" s="5">
        <v>757</v>
      </c>
      <c r="B758" s="29" t="s">
        <v>311</v>
      </c>
      <c r="C758" s="29" t="s">
        <v>9</v>
      </c>
      <c r="D758" s="29" t="s">
        <v>1585</v>
      </c>
      <c r="E758" s="29" t="s">
        <v>1586</v>
      </c>
      <c r="F758" s="8" t="s">
        <v>2302</v>
      </c>
      <c r="G758" s="29" t="s">
        <v>1587</v>
      </c>
      <c r="H758" s="50" t="s">
        <v>2200</v>
      </c>
      <c r="I758" s="50" t="s">
        <v>2200</v>
      </c>
      <c r="J758" s="104" t="s">
        <v>2303</v>
      </c>
      <c r="K758" s="10">
        <v>46032</v>
      </c>
      <c r="L758" s="29" t="s">
        <v>20</v>
      </c>
      <c r="M758" s="56"/>
    </row>
    <row r="759" spans="1:13" ht="31.5">
      <c r="A759" s="5">
        <v>758</v>
      </c>
      <c r="B759" s="29" t="s">
        <v>311</v>
      </c>
      <c r="C759" s="31" t="s">
        <v>2193</v>
      </c>
      <c r="D759" s="29" t="s">
        <v>1714</v>
      </c>
      <c r="E759" s="29" t="s">
        <v>1561</v>
      </c>
      <c r="F759" s="8" t="s">
        <v>2302</v>
      </c>
      <c r="G759" s="29" t="s">
        <v>1562</v>
      </c>
      <c r="H759" s="50" t="s">
        <v>2200</v>
      </c>
      <c r="I759" s="50" t="s">
        <v>2200</v>
      </c>
      <c r="J759" s="104" t="s">
        <v>2303</v>
      </c>
      <c r="K759" s="10">
        <v>46032</v>
      </c>
      <c r="L759" s="29" t="s">
        <v>20</v>
      </c>
      <c r="M759" s="56"/>
    </row>
    <row r="760" spans="1:13" ht="31.5">
      <c r="A760" s="5">
        <v>759</v>
      </c>
      <c r="B760" s="29" t="s">
        <v>311</v>
      </c>
      <c r="C760" s="31" t="s">
        <v>2193</v>
      </c>
      <c r="D760" s="29" t="s">
        <v>1592</v>
      </c>
      <c r="E760" s="29" t="s">
        <v>1593</v>
      </c>
      <c r="F760" s="8" t="s">
        <v>2302</v>
      </c>
      <c r="G760" s="29" t="s">
        <v>1594</v>
      </c>
      <c r="H760" s="50" t="s">
        <v>2200</v>
      </c>
      <c r="I760" s="50" t="s">
        <v>2200</v>
      </c>
      <c r="J760" s="104" t="s">
        <v>2303</v>
      </c>
      <c r="K760" s="10">
        <v>46032</v>
      </c>
      <c r="L760" s="29" t="s">
        <v>25</v>
      </c>
      <c r="M760" s="56"/>
    </row>
    <row r="761" spans="1:13" ht="31.5">
      <c r="A761" s="5">
        <v>760</v>
      </c>
      <c r="B761" s="29" t="s">
        <v>311</v>
      </c>
      <c r="C761" s="31" t="s">
        <v>2193</v>
      </c>
      <c r="D761" s="29" t="s">
        <v>1595</v>
      </c>
      <c r="E761" s="29" t="s">
        <v>1596</v>
      </c>
      <c r="F761" s="8" t="s">
        <v>2302</v>
      </c>
      <c r="G761" s="29" t="s">
        <v>1597</v>
      </c>
      <c r="H761" s="50" t="s">
        <v>2200</v>
      </c>
      <c r="I761" s="50" t="s">
        <v>2200</v>
      </c>
      <c r="J761" s="104" t="s">
        <v>2303</v>
      </c>
      <c r="K761" s="10">
        <v>46032</v>
      </c>
      <c r="L761" s="29" t="s">
        <v>25</v>
      </c>
      <c r="M761" s="56"/>
    </row>
    <row r="762" spans="1:13" ht="31.5">
      <c r="A762" s="5">
        <v>761</v>
      </c>
      <c r="B762" s="29" t="s">
        <v>657</v>
      </c>
      <c r="C762" s="31" t="s">
        <v>2194</v>
      </c>
      <c r="D762" s="35" t="s">
        <v>1601</v>
      </c>
      <c r="E762" s="35" t="s">
        <v>1602</v>
      </c>
      <c r="F762" s="8" t="s">
        <v>2302</v>
      </c>
      <c r="G762" s="29" t="s">
        <v>1603</v>
      </c>
      <c r="H762" s="50" t="s">
        <v>2200</v>
      </c>
      <c r="I762" s="50" t="s">
        <v>2200</v>
      </c>
      <c r="J762" s="104" t="s">
        <v>2303</v>
      </c>
      <c r="K762" s="10">
        <v>46032</v>
      </c>
      <c r="L762" s="29" t="s">
        <v>660</v>
      </c>
      <c r="M762" s="56"/>
    </row>
    <row r="763" spans="1:13" ht="31.5">
      <c r="A763" s="5">
        <v>762</v>
      </c>
      <c r="B763" s="29" t="s">
        <v>657</v>
      </c>
      <c r="C763" s="31" t="s">
        <v>2194</v>
      </c>
      <c r="D763" s="35" t="s">
        <v>1604</v>
      </c>
      <c r="E763" s="35" t="s">
        <v>1605</v>
      </c>
      <c r="F763" s="8" t="s">
        <v>2302</v>
      </c>
      <c r="G763" s="29" t="s">
        <v>1606</v>
      </c>
      <c r="H763" s="50" t="s">
        <v>2200</v>
      </c>
      <c r="I763" s="50" t="s">
        <v>2200</v>
      </c>
      <c r="J763" s="104" t="s">
        <v>2303</v>
      </c>
      <c r="K763" s="10">
        <v>46032</v>
      </c>
      <c r="L763" s="29" t="s">
        <v>660</v>
      </c>
      <c r="M763" s="56"/>
    </row>
    <row r="764" spans="1:13" ht="31.5">
      <c r="A764" s="5">
        <v>763</v>
      </c>
      <c r="B764" s="29" t="s">
        <v>657</v>
      </c>
      <c r="C764" s="31" t="s">
        <v>2194</v>
      </c>
      <c r="D764" s="35" t="s">
        <v>1607</v>
      </c>
      <c r="E764" s="35" t="s">
        <v>1608</v>
      </c>
      <c r="F764" s="8" t="s">
        <v>2302</v>
      </c>
      <c r="G764" s="29" t="s">
        <v>1609</v>
      </c>
      <c r="H764" s="50" t="s">
        <v>2200</v>
      </c>
      <c r="I764" s="50" t="s">
        <v>2200</v>
      </c>
      <c r="J764" s="104" t="s">
        <v>2303</v>
      </c>
      <c r="K764" s="10">
        <v>46032</v>
      </c>
      <c r="L764" s="29" t="s">
        <v>660</v>
      </c>
      <c r="M764" s="56"/>
    </row>
    <row r="765" spans="1:13" ht="31.5">
      <c r="A765" s="5">
        <v>764</v>
      </c>
      <c r="B765" s="29" t="s">
        <v>657</v>
      </c>
      <c r="C765" s="31" t="s">
        <v>2250</v>
      </c>
      <c r="D765" s="35" t="s">
        <v>1610</v>
      </c>
      <c r="E765" s="35" t="s">
        <v>1611</v>
      </c>
      <c r="F765" s="8" t="s">
        <v>2302</v>
      </c>
      <c r="G765" s="29" t="s">
        <v>1612</v>
      </c>
      <c r="H765" s="50" t="s">
        <v>2200</v>
      </c>
      <c r="I765" s="50" t="s">
        <v>2200</v>
      </c>
      <c r="J765" s="104" t="s">
        <v>2303</v>
      </c>
      <c r="K765" s="10">
        <v>46032</v>
      </c>
      <c r="L765" s="29" t="s">
        <v>660</v>
      </c>
      <c r="M765" s="56"/>
    </row>
    <row r="766" spans="1:13" ht="31.5">
      <c r="A766" s="5">
        <v>765</v>
      </c>
      <c r="B766" s="29" t="s">
        <v>657</v>
      </c>
      <c r="C766" s="31" t="s">
        <v>2250</v>
      </c>
      <c r="D766" s="35" t="s">
        <v>1613</v>
      </c>
      <c r="E766" s="35" t="s">
        <v>1614</v>
      </c>
      <c r="F766" s="8" t="s">
        <v>2302</v>
      </c>
      <c r="G766" s="29" t="s">
        <v>1615</v>
      </c>
      <c r="H766" s="50" t="s">
        <v>2200</v>
      </c>
      <c r="I766" s="50" t="s">
        <v>2200</v>
      </c>
      <c r="J766" s="104" t="s">
        <v>2303</v>
      </c>
      <c r="K766" s="10">
        <v>46032</v>
      </c>
      <c r="L766" s="29" t="s">
        <v>660</v>
      </c>
      <c r="M766" s="56"/>
    </row>
    <row r="767" spans="1:13" ht="31.5">
      <c r="A767" s="5">
        <v>766</v>
      </c>
      <c r="B767" s="29" t="s">
        <v>657</v>
      </c>
      <c r="C767" s="29" t="s">
        <v>1616</v>
      </c>
      <c r="D767" s="29" t="s">
        <v>1617</v>
      </c>
      <c r="E767" s="29" t="s">
        <v>1618</v>
      </c>
      <c r="F767" s="8" t="s">
        <v>2302</v>
      </c>
      <c r="G767" s="29" t="s">
        <v>1619</v>
      </c>
      <c r="H767" s="50" t="s">
        <v>2200</v>
      </c>
      <c r="I767" s="50" t="s">
        <v>2200</v>
      </c>
      <c r="J767" s="104" t="s">
        <v>2303</v>
      </c>
      <c r="K767" s="10">
        <v>46032</v>
      </c>
      <c r="L767" s="29" t="s">
        <v>660</v>
      </c>
      <c r="M767" s="56"/>
    </row>
    <row r="768" spans="1:13" ht="31.5">
      <c r="A768" s="5">
        <v>767</v>
      </c>
      <c r="B768" s="29" t="s">
        <v>657</v>
      </c>
      <c r="C768" s="29" t="s">
        <v>1616</v>
      </c>
      <c r="D768" s="29" t="s">
        <v>1620</v>
      </c>
      <c r="E768" s="29" t="s">
        <v>1621</v>
      </c>
      <c r="F768" s="8" t="s">
        <v>2302</v>
      </c>
      <c r="G768" s="29" t="s">
        <v>1622</v>
      </c>
      <c r="H768" s="50" t="s">
        <v>2200</v>
      </c>
      <c r="I768" s="50" t="s">
        <v>2200</v>
      </c>
      <c r="J768" s="104" t="s">
        <v>2303</v>
      </c>
      <c r="K768" s="10">
        <v>46032</v>
      </c>
      <c r="L768" s="29" t="s">
        <v>660</v>
      </c>
      <c r="M768" s="56"/>
    </row>
    <row r="769" spans="1:13" ht="31.5">
      <c r="A769" s="5">
        <v>768</v>
      </c>
      <c r="B769" s="29" t="s">
        <v>657</v>
      </c>
      <c r="C769" s="29" t="s">
        <v>1616</v>
      </c>
      <c r="D769" s="29" t="s">
        <v>1623</v>
      </c>
      <c r="E769" s="29" t="s">
        <v>1624</v>
      </c>
      <c r="F769" s="8" t="s">
        <v>2302</v>
      </c>
      <c r="G769" s="29" t="s">
        <v>2128</v>
      </c>
      <c r="H769" s="50" t="s">
        <v>2200</v>
      </c>
      <c r="I769" s="50" t="s">
        <v>2200</v>
      </c>
      <c r="J769" s="104" t="s">
        <v>2303</v>
      </c>
      <c r="K769" s="10">
        <v>46032</v>
      </c>
      <c r="L769" s="29" t="s">
        <v>660</v>
      </c>
      <c r="M769" s="56"/>
    </row>
    <row r="770" spans="1:13" ht="31.5">
      <c r="A770" s="5">
        <v>769</v>
      </c>
      <c r="B770" s="29" t="s">
        <v>657</v>
      </c>
      <c r="C770" s="29" t="s">
        <v>1616</v>
      </c>
      <c r="D770" s="29" t="s">
        <v>1798</v>
      </c>
      <c r="E770" s="29" t="s">
        <v>2129</v>
      </c>
      <c r="F770" s="8" t="s">
        <v>2302</v>
      </c>
      <c r="G770" s="29" t="s">
        <v>2130</v>
      </c>
      <c r="H770" s="50" t="s">
        <v>2200</v>
      </c>
      <c r="I770" s="50" t="s">
        <v>2200</v>
      </c>
      <c r="J770" s="104" t="s">
        <v>2303</v>
      </c>
      <c r="K770" s="10">
        <v>46032</v>
      </c>
      <c r="L770" s="29" t="s">
        <v>660</v>
      </c>
      <c r="M770" s="56"/>
    </row>
    <row r="771" spans="1:13" ht="31.5">
      <c r="A771" s="5">
        <v>770</v>
      </c>
      <c r="B771" s="29" t="s">
        <v>657</v>
      </c>
      <c r="C771" s="29" t="s">
        <v>1616</v>
      </c>
      <c r="D771" s="29" t="s">
        <v>1790</v>
      </c>
      <c r="E771" s="29" t="s">
        <v>18</v>
      </c>
      <c r="F771" s="8" t="s">
        <v>2302</v>
      </c>
      <c r="G771" s="29" t="s">
        <v>1625</v>
      </c>
      <c r="H771" s="50" t="s">
        <v>2200</v>
      </c>
      <c r="I771" s="50" t="s">
        <v>2200</v>
      </c>
      <c r="J771" s="104" t="s">
        <v>2303</v>
      </c>
      <c r="K771" s="10">
        <v>46032</v>
      </c>
      <c r="L771" s="29" t="s">
        <v>660</v>
      </c>
      <c r="M771" s="56"/>
    </row>
    <row r="772" spans="1:13" ht="31.5">
      <c r="A772" s="5">
        <v>771</v>
      </c>
      <c r="B772" s="29" t="s">
        <v>657</v>
      </c>
      <c r="C772" s="31" t="s">
        <v>2251</v>
      </c>
      <c r="D772" s="29" t="s">
        <v>2143</v>
      </c>
      <c r="E772" s="29" t="s">
        <v>2144</v>
      </c>
      <c r="F772" s="8" t="s">
        <v>2302</v>
      </c>
      <c r="G772" s="29" t="s">
        <v>1625</v>
      </c>
      <c r="H772" s="50" t="s">
        <v>2200</v>
      </c>
      <c r="I772" s="50" t="s">
        <v>2200</v>
      </c>
      <c r="J772" s="104" t="s">
        <v>2303</v>
      </c>
      <c r="K772" s="10">
        <v>46032</v>
      </c>
      <c r="L772" s="29" t="s">
        <v>660</v>
      </c>
      <c r="M772" s="56"/>
    </row>
    <row r="773" spans="1:13" ht="31.5">
      <c r="A773" s="5">
        <v>772</v>
      </c>
      <c r="B773" s="29" t="s">
        <v>657</v>
      </c>
      <c r="C773" s="31" t="s">
        <v>2251</v>
      </c>
      <c r="D773" s="29" t="s">
        <v>2145</v>
      </c>
      <c r="E773" s="29" t="s">
        <v>2146</v>
      </c>
      <c r="F773" s="8" t="s">
        <v>2317</v>
      </c>
      <c r="G773" s="29" t="s">
        <v>1625</v>
      </c>
      <c r="H773" s="50" t="s">
        <v>2200</v>
      </c>
      <c r="I773" s="50" t="s">
        <v>2200</v>
      </c>
      <c r="J773" s="104" t="s">
        <v>2303</v>
      </c>
      <c r="K773" s="10">
        <v>46032</v>
      </c>
      <c r="L773" s="29" t="s">
        <v>660</v>
      </c>
      <c r="M773" s="56"/>
    </row>
    <row r="774" spans="1:13" ht="31.5">
      <c r="A774" s="5">
        <v>773</v>
      </c>
      <c r="B774" s="29" t="s">
        <v>657</v>
      </c>
      <c r="C774" s="31" t="s">
        <v>2251</v>
      </c>
      <c r="D774" s="29" t="s">
        <v>2147</v>
      </c>
      <c r="E774" s="29" t="s">
        <v>2148</v>
      </c>
      <c r="F774" s="8" t="s">
        <v>2302</v>
      </c>
      <c r="G774" s="29" t="s">
        <v>1625</v>
      </c>
      <c r="H774" s="50" t="s">
        <v>2200</v>
      </c>
      <c r="I774" s="50" t="s">
        <v>2200</v>
      </c>
      <c r="J774" s="104" t="s">
        <v>2303</v>
      </c>
      <c r="K774" s="10">
        <v>46032</v>
      </c>
      <c r="L774" s="29" t="s">
        <v>660</v>
      </c>
      <c r="M774" s="56"/>
    </row>
    <row r="775" spans="1:13" ht="31.5">
      <c r="A775" s="5">
        <v>774</v>
      </c>
      <c r="B775" s="29" t="s">
        <v>657</v>
      </c>
      <c r="C775" s="31" t="s">
        <v>2251</v>
      </c>
      <c r="D775" s="29" t="s">
        <v>2149</v>
      </c>
      <c r="E775" s="29" t="s">
        <v>2150</v>
      </c>
      <c r="F775" s="8" t="s">
        <v>2317</v>
      </c>
      <c r="G775" s="29" t="s">
        <v>1625</v>
      </c>
      <c r="H775" s="50" t="s">
        <v>2200</v>
      </c>
      <c r="I775" s="50" t="s">
        <v>2200</v>
      </c>
      <c r="J775" s="104" t="s">
        <v>2303</v>
      </c>
      <c r="K775" s="10">
        <v>46032</v>
      </c>
      <c r="L775" s="29" t="s">
        <v>660</v>
      </c>
      <c r="M775" s="56"/>
    </row>
    <row r="776" spans="1:13" ht="31.5">
      <c r="A776" s="5">
        <v>775</v>
      </c>
      <c r="B776" s="29" t="s">
        <v>657</v>
      </c>
      <c r="C776" s="31" t="s">
        <v>2251</v>
      </c>
      <c r="D776" s="29" t="s">
        <v>2151</v>
      </c>
      <c r="E776" s="29" t="s">
        <v>2152</v>
      </c>
      <c r="F776" s="8" t="s">
        <v>2315</v>
      </c>
      <c r="G776" s="29" t="s">
        <v>2153</v>
      </c>
      <c r="H776" s="50" t="s">
        <v>2200</v>
      </c>
      <c r="I776" s="50" t="s">
        <v>2200</v>
      </c>
      <c r="J776" s="104" t="s">
        <v>2303</v>
      </c>
      <c r="K776" s="10">
        <v>46038</v>
      </c>
      <c r="L776" s="29" t="s">
        <v>660</v>
      </c>
      <c r="M776" s="56"/>
    </row>
    <row r="777" spans="1:13" ht="31.5">
      <c r="A777" s="5">
        <v>776</v>
      </c>
      <c r="B777" s="29" t="s">
        <v>657</v>
      </c>
      <c r="C777" s="31" t="s">
        <v>2251</v>
      </c>
      <c r="D777" s="29" t="s">
        <v>2154</v>
      </c>
      <c r="E777" s="29" t="s">
        <v>2155</v>
      </c>
      <c r="F777" s="8" t="s">
        <v>2316</v>
      </c>
      <c r="G777" s="29" t="s">
        <v>1625</v>
      </c>
      <c r="H777" s="50" t="s">
        <v>2200</v>
      </c>
      <c r="I777" s="50" t="s">
        <v>2321</v>
      </c>
      <c r="J777" s="104" t="s">
        <v>2303</v>
      </c>
      <c r="K777" s="10">
        <v>46032</v>
      </c>
      <c r="L777" s="29" t="s">
        <v>660</v>
      </c>
      <c r="M777" s="56"/>
    </row>
    <row r="778" spans="1:13" ht="31.5">
      <c r="A778" s="5">
        <v>777</v>
      </c>
      <c r="B778" s="29" t="s">
        <v>657</v>
      </c>
      <c r="C778" s="31" t="s">
        <v>2252</v>
      </c>
      <c r="D778" s="29" t="s">
        <v>2121</v>
      </c>
      <c r="E778" s="29" t="s">
        <v>2122</v>
      </c>
      <c r="F778" s="8" t="s">
        <v>2317</v>
      </c>
      <c r="G778" s="29" t="s">
        <v>2123</v>
      </c>
      <c r="H778" s="50" t="s">
        <v>2200</v>
      </c>
      <c r="I778" s="50" t="s">
        <v>2200</v>
      </c>
      <c r="J778" s="104" t="s">
        <v>2303</v>
      </c>
      <c r="K778" s="10">
        <v>46032</v>
      </c>
      <c r="L778" s="29" t="s">
        <v>660</v>
      </c>
      <c r="M778" s="56"/>
    </row>
    <row r="779" spans="1:13" ht="31.5">
      <c r="A779" s="5">
        <v>778</v>
      </c>
      <c r="B779" s="29" t="s">
        <v>657</v>
      </c>
      <c r="C779" s="31" t="s">
        <v>2252</v>
      </c>
      <c r="D779" s="29" t="s">
        <v>1626</v>
      </c>
      <c r="E779" s="29" t="s">
        <v>1627</v>
      </c>
      <c r="F779" s="8" t="s">
        <v>2302</v>
      </c>
      <c r="G779" s="29" t="s">
        <v>1628</v>
      </c>
      <c r="H779" s="50" t="s">
        <v>2200</v>
      </c>
      <c r="I779" s="50" t="s">
        <v>2200</v>
      </c>
      <c r="J779" s="104" t="s">
        <v>2303</v>
      </c>
      <c r="K779" s="10">
        <v>46032</v>
      </c>
      <c r="L779" s="29" t="s">
        <v>660</v>
      </c>
      <c r="M779" s="56"/>
    </row>
    <row r="780" spans="1:13" ht="31.5">
      <c r="A780" s="5">
        <v>779</v>
      </c>
      <c r="B780" s="29" t="s">
        <v>657</v>
      </c>
      <c r="C780" s="31" t="s">
        <v>2195</v>
      </c>
      <c r="D780" s="29" t="s">
        <v>1629</v>
      </c>
      <c r="E780" s="29" t="s">
        <v>1630</v>
      </c>
      <c r="F780" s="8" t="s">
        <v>2302</v>
      </c>
      <c r="G780" s="29" t="s">
        <v>1631</v>
      </c>
      <c r="H780" s="50" t="s">
        <v>2200</v>
      </c>
      <c r="I780" s="50" t="s">
        <v>2200</v>
      </c>
      <c r="J780" s="104" t="s">
        <v>2303</v>
      </c>
      <c r="K780" s="10">
        <v>46032</v>
      </c>
      <c r="L780" s="29" t="s">
        <v>660</v>
      </c>
      <c r="M780" s="56"/>
    </row>
    <row r="781" spans="1:13" ht="31.5">
      <c r="A781" s="5">
        <v>780</v>
      </c>
      <c r="B781" s="29" t="s">
        <v>657</v>
      </c>
      <c r="C781" s="31" t="s">
        <v>2252</v>
      </c>
      <c r="D781" s="29" t="s">
        <v>1632</v>
      </c>
      <c r="E781" s="29" t="s">
        <v>1633</v>
      </c>
      <c r="F781" s="8" t="s">
        <v>2302</v>
      </c>
      <c r="G781" s="29" t="s">
        <v>2124</v>
      </c>
      <c r="H781" s="50" t="s">
        <v>2200</v>
      </c>
      <c r="I781" s="50" t="s">
        <v>2200</v>
      </c>
      <c r="J781" s="104" t="s">
        <v>2303</v>
      </c>
      <c r="K781" s="10">
        <v>46032</v>
      </c>
      <c r="L781" s="29" t="s">
        <v>660</v>
      </c>
      <c r="M781" s="56"/>
    </row>
    <row r="782" spans="1:13" ht="31.5">
      <c r="A782" s="5">
        <v>781</v>
      </c>
      <c r="B782" s="29" t="s">
        <v>657</v>
      </c>
      <c r="C782" s="31" t="s">
        <v>2252</v>
      </c>
      <c r="D782" s="29" t="s">
        <v>1634</v>
      </c>
      <c r="E782" s="29" t="s">
        <v>1635</v>
      </c>
      <c r="F782" s="8" t="s">
        <v>2302</v>
      </c>
      <c r="G782" s="29" t="s">
        <v>1636</v>
      </c>
      <c r="H782" s="50" t="s">
        <v>2200</v>
      </c>
      <c r="I782" s="50" t="s">
        <v>2200</v>
      </c>
      <c r="J782" s="104" t="s">
        <v>2303</v>
      </c>
      <c r="K782" s="10">
        <v>46032</v>
      </c>
      <c r="L782" s="29" t="s">
        <v>660</v>
      </c>
      <c r="M782" s="56"/>
    </row>
    <row r="783" spans="1:13" ht="31.5">
      <c r="A783" s="5">
        <v>782</v>
      </c>
      <c r="B783" s="29" t="s">
        <v>657</v>
      </c>
      <c r="C783" s="31" t="s">
        <v>2252</v>
      </c>
      <c r="D783" s="29" t="s">
        <v>1637</v>
      </c>
      <c r="E783" s="29" t="s">
        <v>1638</v>
      </c>
      <c r="F783" s="8" t="s">
        <v>2302</v>
      </c>
      <c r="G783" s="29" t="s">
        <v>1639</v>
      </c>
      <c r="H783" s="50" t="s">
        <v>2200</v>
      </c>
      <c r="I783" s="50" t="s">
        <v>2200</v>
      </c>
      <c r="J783" s="104" t="s">
        <v>2303</v>
      </c>
      <c r="K783" s="10">
        <v>46032</v>
      </c>
      <c r="L783" s="29" t="s">
        <v>660</v>
      </c>
      <c r="M783" s="56"/>
    </row>
    <row r="784" spans="1:13" ht="31.5">
      <c r="A784" s="5">
        <v>783</v>
      </c>
      <c r="B784" s="29" t="s">
        <v>657</v>
      </c>
      <c r="C784" s="31" t="s">
        <v>2252</v>
      </c>
      <c r="D784" s="29" t="s">
        <v>1640</v>
      </c>
      <c r="E784" s="29" t="s">
        <v>1641</v>
      </c>
      <c r="F784" s="8" t="s">
        <v>2302</v>
      </c>
      <c r="G784" s="29" t="s">
        <v>1642</v>
      </c>
      <c r="H784" s="50" t="s">
        <v>2200</v>
      </c>
      <c r="I784" s="50" t="s">
        <v>2200</v>
      </c>
      <c r="J784" s="104" t="s">
        <v>2303</v>
      </c>
      <c r="K784" s="10">
        <v>46032</v>
      </c>
      <c r="L784" s="29" t="s">
        <v>660</v>
      </c>
      <c r="M784" s="56"/>
    </row>
    <row r="785" spans="1:13" ht="31.5">
      <c r="A785" s="5">
        <v>784</v>
      </c>
      <c r="B785" s="29" t="s">
        <v>657</v>
      </c>
      <c r="C785" s="31" t="s">
        <v>2195</v>
      </c>
      <c r="D785" s="29" t="s">
        <v>1726</v>
      </c>
      <c r="E785" s="29" t="s">
        <v>2125</v>
      </c>
      <c r="F785" s="8" t="s">
        <v>2302</v>
      </c>
      <c r="G785" s="29" t="s">
        <v>2126</v>
      </c>
      <c r="H785" s="50" t="s">
        <v>2200</v>
      </c>
      <c r="I785" s="50" t="s">
        <v>2200</v>
      </c>
      <c r="J785" s="104" t="s">
        <v>2303</v>
      </c>
      <c r="K785" s="10">
        <v>46032</v>
      </c>
      <c r="L785" s="29" t="s">
        <v>660</v>
      </c>
      <c r="M785" s="56"/>
    </row>
    <row r="786" spans="1:13" ht="31.5">
      <c r="A786" s="5">
        <v>785</v>
      </c>
      <c r="B786" s="29" t="s">
        <v>657</v>
      </c>
      <c r="C786" s="31" t="s">
        <v>2252</v>
      </c>
      <c r="D786" s="29" t="s">
        <v>1643</v>
      </c>
      <c r="E786" s="29" t="s">
        <v>1644</v>
      </c>
      <c r="F786" s="8" t="s">
        <v>2302</v>
      </c>
      <c r="G786" s="29" t="s">
        <v>1645</v>
      </c>
      <c r="H786" s="50" t="s">
        <v>2200</v>
      </c>
      <c r="I786" s="50" t="s">
        <v>2200</v>
      </c>
      <c r="J786" s="104" t="s">
        <v>2303</v>
      </c>
      <c r="K786" s="10">
        <v>46032</v>
      </c>
      <c r="L786" s="29" t="s">
        <v>660</v>
      </c>
      <c r="M786" s="56"/>
    </row>
    <row r="787" spans="1:13" ht="31.5">
      <c r="A787" s="5">
        <v>786</v>
      </c>
      <c r="B787" s="29" t="s">
        <v>657</v>
      </c>
      <c r="C787" s="31" t="s">
        <v>2252</v>
      </c>
      <c r="D787" s="29" t="s">
        <v>1727</v>
      </c>
      <c r="E787" s="29" t="s">
        <v>2127</v>
      </c>
      <c r="F787" s="8" t="s">
        <v>2302</v>
      </c>
      <c r="G787" s="29" t="s">
        <v>2126</v>
      </c>
      <c r="H787" s="50" t="s">
        <v>2200</v>
      </c>
      <c r="I787" s="50" t="s">
        <v>2200</v>
      </c>
      <c r="J787" s="104" t="s">
        <v>2303</v>
      </c>
      <c r="K787" s="10">
        <v>46032</v>
      </c>
      <c r="L787" s="29" t="s">
        <v>660</v>
      </c>
      <c r="M787" s="56"/>
    </row>
    <row r="788" spans="1:13" ht="31.5">
      <c r="A788" s="5">
        <v>787</v>
      </c>
      <c r="B788" s="29" t="s">
        <v>657</v>
      </c>
      <c r="C788" s="31" t="s">
        <v>2253</v>
      </c>
      <c r="D788" s="29" t="s">
        <v>1646</v>
      </c>
      <c r="E788" s="29" t="s">
        <v>1647</v>
      </c>
      <c r="F788" s="8" t="s">
        <v>2302</v>
      </c>
      <c r="G788" s="29" t="s">
        <v>1648</v>
      </c>
      <c r="H788" s="50" t="s">
        <v>2200</v>
      </c>
      <c r="I788" s="50" t="s">
        <v>2200</v>
      </c>
      <c r="J788" s="104" t="s">
        <v>2303</v>
      </c>
      <c r="K788" s="10">
        <v>46032</v>
      </c>
      <c r="L788" s="29" t="s">
        <v>660</v>
      </c>
      <c r="M788" s="56"/>
    </row>
    <row r="789" spans="1:13" ht="31.5">
      <c r="A789" s="5">
        <v>788</v>
      </c>
      <c r="B789" s="29" t="s">
        <v>657</v>
      </c>
      <c r="C789" s="31" t="s">
        <v>2253</v>
      </c>
      <c r="D789" s="29" t="s">
        <v>1649</v>
      </c>
      <c r="E789" s="29" t="s">
        <v>1650</v>
      </c>
      <c r="F789" s="8" t="s">
        <v>2302</v>
      </c>
      <c r="G789" s="29" t="s">
        <v>1651</v>
      </c>
      <c r="H789" s="50" t="s">
        <v>2200</v>
      </c>
      <c r="I789" s="50" t="s">
        <v>2200</v>
      </c>
      <c r="J789" s="104" t="s">
        <v>2303</v>
      </c>
      <c r="K789" s="10">
        <v>46032</v>
      </c>
      <c r="L789" s="29" t="s">
        <v>660</v>
      </c>
      <c r="M789" s="56"/>
    </row>
    <row r="790" spans="1:13" ht="31.5">
      <c r="A790" s="5">
        <v>789</v>
      </c>
      <c r="B790" s="29" t="s">
        <v>657</v>
      </c>
      <c r="C790" s="31" t="s">
        <v>2253</v>
      </c>
      <c r="D790" s="29" t="s">
        <v>1652</v>
      </c>
      <c r="E790" s="29" t="s">
        <v>1653</v>
      </c>
      <c r="F790" s="8" t="s">
        <v>2302</v>
      </c>
      <c r="G790" s="29" t="s">
        <v>1654</v>
      </c>
      <c r="H790" s="50" t="s">
        <v>2200</v>
      </c>
      <c r="I790" s="50" t="s">
        <v>2200</v>
      </c>
      <c r="J790" s="104" t="s">
        <v>2303</v>
      </c>
      <c r="K790" s="10">
        <v>46032</v>
      </c>
      <c r="L790" s="29" t="s">
        <v>660</v>
      </c>
      <c r="M790" s="56"/>
    </row>
    <row r="791" spans="1:13" ht="31.5">
      <c r="A791" s="5">
        <v>790</v>
      </c>
      <c r="B791" s="29" t="s">
        <v>657</v>
      </c>
      <c r="C791" s="31" t="s">
        <v>2253</v>
      </c>
      <c r="D791" s="29" t="s">
        <v>1655</v>
      </c>
      <c r="E791" s="29" t="s">
        <v>1656</v>
      </c>
      <c r="F791" s="8" t="s">
        <v>2302</v>
      </c>
      <c r="G791" s="29" t="s">
        <v>1657</v>
      </c>
      <c r="H791" s="50" t="s">
        <v>2200</v>
      </c>
      <c r="I791" s="50" t="s">
        <v>2200</v>
      </c>
      <c r="J791" s="104" t="s">
        <v>2303</v>
      </c>
      <c r="K791" s="10">
        <v>46032</v>
      </c>
      <c r="L791" s="29" t="s">
        <v>660</v>
      </c>
      <c r="M791" s="56"/>
    </row>
    <row r="792" spans="1:13" ht="31.5">
      <c r="A792" s="5">
        <v>791</v>
      </c>
      <c r="B792" s="29" t="s">
        <v>657</v>
      </c>
      <c r="C792" s="31" t="s">
        <v>2196</v>
      </c>
      <c r="D792" s="29" t="s">
        <v>1658</v>
      </c>
      <c r="E792" s="29" t="s">
        <v>1659</v>
      </c>
      <c r="F792" s="8" t="s">
        <v>2302</v>
      </c>
      <c r="G792" s="29" t="s">
        <v>2131</v>
      </c>
      <c r="H792" s="50" t="s">
        <v>2200</v>
      </c>
      <c r="I792" s="50" t="s">
        <v>2200</v>
      </c>
      <c r="J792" s="104" t="s">
        <v>2303</v>
      </c>
      <c r="K792" s="10">
        <v>46032</v>
      </c>
      <c r="L792" s="29" t="s">
        <v>660</v>
      </c>
      <c r="M792" s="56"/>
    </row>
    <row r="793" spans="1:13" ht="31.5">
      <c r="A793" s="5">
        <v>792</v>
      </c>
      <c r="B793" s="29" t="s">
        <v>657</v>
      </c>
      <c r="C793" s="31" t="s">
        <v>2253</v>
      </c>
      <c r="D793" s="29" t="s">
        <v>1660</v>
      </c>
      <c r="E793" s="29" t="s">
        <v>1661</v>
      </c>
      <c r="F793" s="8" t="s">
        <v>2302</v>
      </c>
      <c r="G793" s="29" t="s">
        <v>1662</v>
      </c>
      <c r="H793" s="50" t="s">
        <v>2200</v>
      </c>
      <c r="I793" s="50" t="s">
        <v>2200</v>
      </c>
      <c r="J793" s="104" t="s">
        <v>2303</v>
      </c>
      <c r="K793" s="10">
        <v>46032</v>
      </c>
      <c r="L793" s="29" t="s">
        <v>660</v>
      </c>
      <c r="M793" s="56"/>
    </row>
    <row r="794" spans="1:13" ht="31.5">
      <c r="A794" s="5">
        <v>793</v>
      </c>
      <c r="B794" s="29" t="s">
        <v>657</v>
      </c>
      <c r="C794" s="31" t="s">
        <v>2253</v>
      </c>
      <c r="D794" s="29" t="s">
        <v>1663</v>
      </c>
      <c r="E794" s="29" t="s">
        <v>1664</v>
      </c>
      <c r="F794" s="8" t="s">
        <v>2302</v>
      </c>
      <c r="G794" s="29" t="s">
        <v>1665</v>
      </c>
      <c r="H794" s="50" t="s">
        <v>2200</v>
      </c>
      <c r="I794" s="50" t="s">
        <v>2200</v>
      </c>
      <c r="J794" s="104" t="s">
        <v>2303</v>
      </c>
      <c r="K794" s="10">
        <v>46032</v>
      </c>
      <c r="L794" s="29" t="s">
        <v>660</v>
      </c>
      <c r="M794" s="56"/>
    </row>
    <row r="795" spans="1:13" ht="31.5">
      <c r="A795" s="5">
        <v>794</v>
      </c>
      <c r="B795" s="29" t="s">
        <v>657</v>
      </c>
      <c r="C795" s="31" t="s">
        <v>2253</v>
      </c>
      <c r="D795" s="29" t="s">
        <v>1738</v>
      </c>
      <c r="E795" s="29" t="s">
        <v>2132</v>
      </c>
      <c r="F795" s="8" t="s">
        <v>2302</v>
      </c>
      <c r="G795" s="29" t="s">
        <v>2133</v>
      </c>
      <c r="H795" s="50" t="s">
        <v>2200</v>
      </c>
      <c r="I795" s="50" t="s">
        <v>2200</v>
      </c>
      <c r="J795" s="104" t="s">
        <v>2303</v>
      </c>
      <c r="K795" s="10">
        <v>46032</v>
      </c>
      <c r="L795" s="29" t="s">
        <v>660</v>
      </c>
      <c r="M795" s="56"/>
    </row>
    <row r="796" spans="1:13" ht="31.5">
      <c r="A796" s="5">
        <v>795</v>
      </c>
      <c r="B796" s="29" t="s">
        <v>657</v>
      </c>
      <c r="C796" s="31" t="s">
        <v>2253</v>
      </c>
      <c r="D796" s="29" t="s">
        <v>1739</v>
      </c>
      <c r="E796" s="29" t="s">
        <v>2134</v>
      </c>
      <c r="F796" s="8" t="s">
        <v>2302</v>
      </c>
      <c r="G796" s="29" t="s">
        <v>2135</v>
      </c>
      <c r="H796" s="50" t="s">
        <v>2200</v>
      </c>
      <c r="I796" s="50" t="s">
        <v>2200</v>
      </c>
      <c r="J796" s="104" t="s">
        <v>2303</v>
      </c>
      <c r="K796" s="10">
        <v>46032</v>
      </c>
      <c r="L796" s="29" t="s">
        <v>660</v>
      </c>
      <c r="M796" s="56"/>
    </row>
    <row r="797" spans="1:13" ht="31.5">
      <c r="A797" s="5">
        <v>796</v>
      </c>
      <c r="B797" s="29" t="s">
        <v>657</v>
      </c>
      <c r="C797" s="31" t="s">
        <v>2196</v>
      </c>
      <c r="D797" s="29" t="s">
        <v>2136</v>
      </c>
      <c r="E797" s="29" t="s">
        <v>2137</v>
      </c>
      <c r="F797" s="8" t="s">
        <v>2302</v>
      </c>
      <c r="G797" s="29" t="s">
        <v>2138</v>
      </c>
      <c r="H797" s="50" t="s">
        <v>2200</v>
      </c>
      <c r="I797" s="50" t="s">
        <v>2200</v>
      </c>
      <c r="J797" s="104" t="s">
        <v>2303</v>
      </c>
      <c r="K797" s="10">
        <v>46032</v>
      </c>
      <c r="L797" s="29" t="s">
        <v>660</v>
      </c>
      <c r="M797" s="56"/>
    </row>
    <row r="798" spans="1:13" ht="31.5">
      <c r="A798" s="5">
        <v>797</v>
      </c>
      <c r="B798" s="29" t="s">
        <v>657</v>
      </c>
      <c r="C798" s="31" t="s">
        <v>2254</v>
      </c>
      <c r="D798" s="29" t="s">
        <v>1666</v>
      </c>
      <c r="E798" s="29" t="s">
        <v>1667</v>
      </c>
      <c r="F798" s="8" t="s">
        <v>2302</v>
      </c>
      <c r="G798" s="29" t="s">
        <v>1668</v>
      </c>
      <c r="H798" s="50" t="s">
        <v>2200</v>
      </c>
      <c r="I798" s="50" t="s">
        <v>2200</v>
      </c>
      <c r="J798" s="104" t="s">
        <v>2303</v>
      </c>
      <c r="K798" s="10">
        <v>46032</v>
      </c>
      <c r="L798" s="29" t="s">
        <v>660</v>
      </c>
      <c r="M798" s="56"/>
    </row>
    <row r="799" spans="1:13" ht="31.5">
      <c r="A799" s="5">
        <v>798</v>
      </c>
      <c r="B799" s="29" t="s">
        <v>657</v>
      </c>
      <c r="C799" s="31" t="s">
        <v>2197</v>
      </c>
      <c r="D799" s="29" t="s">
        <v>1669</v>
      </c>
      <c r="E799" s="29" t="s">
        <v>1670</v>
      </c>
      <c r="F799" s="8" t="s">
        <v>2302</v>
      </c>
      <c r="G799" s="29" t="s">
        <v>1671</v>
      </c>
      <c r="H799" s="50" t="s">
        <v>2200</v>
      </c>
      <c r="I799" s="50" t="s">
        <v>2200</v>
      </c>
      <c r="J799" s="104" t="s">
        <v>2303</v>
      </c>
      <c r="K799" s="10">
        <v>46032</v>
      </c>
      <c r="L799" s="29" t="s">
        <v>660</v>
      </c>
      <c r="M799" s="56"/>
    </row>
    <row r="800" spans="1:13" ht="31.5">
      <c r="A800" s="5">
        <v>799</v>
      </c>
      <c r="B800" s="29" t="s">
        <v>657</v>
      </c>
      <c r="C800" s="31" t="s">
        <v>2254</v>
      </c>
      <c r="D800" s="29" t="s">
        <v>1672</v>
      </c>
      <c r="E800" s="29" t="s">
        <v>1673</v>
      </c>
      <c r="F800" s="8" t="s">
        <v>2302</v>
      </c>
      <c r="G800" s="29" t="s">
        <v>1674</v>
      </c>
      <c r="H800" s="50" t="s">
        <v>2200</v>
      </c>
      <c r="I800" s="50" t="s">
        <v>2200</v>
      </c>
      <c r="J800" s="104" t="s">
        <v>2303</v>
      </c>
      <c r="K800" s="10">
        <v>46032</v>
      </c>
      <c r="L800" s="29" t="s">
        <v>660</v>
      </c>
      <c r="M800" s="56"/>
    </row>
    <row r="801" spans="1:13" ht="31.5">
      <c r="A801" s="5">
        <v>800</v>
      </c>
      <c r="B801" s="29" t="s">
        <v>657</v>
      </c>
      <c r="C801" s="31" t="s">
        <v>2197</v>
      </c>
      <c r="D801" s="29" t="s">
        <v>1675</v>
      </c>
      <c r="E801" s="29" t="s">
        <v>1676</v>
      </c>
      <c r="F801" s="8" t="s">
        <v>2302</v>
      </c>
      <c r="G801" s="29" t="s">
        <v>1677</v>
      </c>
      <c r="H801" s="50" t="s">
        <v>2200</v>
      </c>
      <c r="I801" s="50" t="s">
        <v>2200</v>
      </c>
      <c r="J801" s="104" t="s">
        <v>2303</v>
      </c>
      <c r="K801" s="10">
        <v>46032</v>
      </c>
      <c r="L801" s="29" t="s">
        <v>660</v>
      </c>
      <c r="M801" s="56"/>
    </row>
    <row r="802" spans="1:13" ht="31.5">
      <c r="A802" s="5">
        <v>801</v>
      </c>
      <c r="B802" s="29" t="s">
        <v>657</v>
      </c>
      <c r="C802" s="31" t="s">
        <v>2254</v>
      </c>
      <c r="D802" s="29" t="s">
        <v>1678</v>
      </c>
      <c r="E802" s="29" t="s">
        <v>1679</v>
      </c>
      <c r="F802" s="8" t="s">
        <v>2302</v>
      </c>
      <c r="G802" s="29" t="s">
        <v>1680</v>
      </c>
      <c r="H802" s="50" t="s">
        <v>2200</v>
      </c>
      <c r="I802" s="50" t="s">
        <v>2200</v>
      </c>
      <c r="J802" s="104" t="s">
        <v>2303</v>
      </c>
      <c r="K802" s="10">
        <v>46032</v>
      </c>
      <c r="L802" s="29" t="s">
        <v>660</v>
      </c>
      <c r="M802" s="56"/>
    </row>
    <row r="803" spans="1:13" ht="31.5">
      <c r="A803" s="5">
        <v>802</v>
      </c>
      <c r="B803" s="29" t="s">
        <v>657</v>
      </c>
      <c r="C803" s="31" t="s">
        <v>2254</v>
      </c>
      <c r="D803" s="29" t="s">
        <v>1681</v>
      </c>
      <c r="E803" s="29" t="s">
        <v>1682</v>
      </c>
      <c r="F803" s="8" t="s">
        <v>2302</v>
      </c>
      <c r="G803" s="29" t="s">
        <v>1683</v>
      </c>
      <c r="H803" s="50" t="s">
        <v>2200</v>
      </c>
      <c r="I803" s="50" t="s">
        <v>2200</v>
      </c>
      <c r="J803" s="104" t="s">
        <v>2303</v>
      </c>
      <c r="K803" s="10">
        <v>46032</v>
      </c>
      <c r="L803" s="29" t="s">
        <v>660</v>
      </c>
      <c r="M803" s="56"/>
    </row>
    <row r="804" spans="1:13" ht="31.5">
      <c r="A804" s="5">
        <v>803</v>
      </c>
      <c r="B804" s="29" t="s">
        <v>657</v>
      </c>
      <c r="C804" s="31" t="s">
        <v>2254</v>
      </c>
      <c r="D804" s="29" t="s">
        <v>1778</v>
      </c>
      <c r="E804" s="29" t="s">
        <v>2139</v>
      </c>
      <c r="F804" s="8" t="s">
        <v>2302</v>
      </c>
      <c r="G804" s="29" t="s">
        <v>2140</v>
      </c>
      <c r="H804" s="50" t="s">
        <v>2200</v>
      </c>
      <c r="I804" s="50" t="s">
        <v>2200</v>
      </c>
      <c r="J804" s="104" t="s">
        <v>2303</v>
      </c>
      <c r="K804" s="10">
        <v>46032</v>
      </c>
      <c r="L804" s="29" t="s">
        <v>660</v>
      </c>
      <c r="M804" s="56"/>
    </row>
    <row r="805" spans="1:13" ht="31.5">
      <c r="A805" s="5">
        <v>804</v>
      </c>
      <c r="B805" s="29" t="s">
        <v>657</v>
      </c>
      <c r="C805" s="31" t="s">
        <v>2198</v>
      </c>
      <c r="D805" s="29" t="s">
        <v>1696</v>
      </c>
      <c r="E805" s="29" t="s">
        <v>18</v>
      </c>
      <c r="F805" s="8" t="s">
        <v>2302</v>
      </c>
      <c r="G805" s="29" t="s">
        <v>1697</v>
      </c>
      <c r="H805" s="50" t="s">
        <v>2200</v>
      </c>
      <c r="I805" s="50" t="s">
        <v>2200</v>
      </c>
      <c r="J805" s="104" t="s">
        <v>2303</v>
      </c>
      <c r="K805" s="10">
        <v>46032</v>
      </c>
      <c r="L805" s="29" t="s">
        <v>660</v>
      </c>
      <c r="M805" s="56"/>
    </row>
    <row r="806" spans="1:13" ht="31.5">
      <c r="A806" s="5">
        <v>805</v>
      </c>
      <c r="B806" s="29" t="s">
        <v>657</v>
      </c>
      <c r="C806" s="31" t="s">
        <v>2255</v>
      </c>
      <c r="D806" s="29" t="s">
        <v>1598</v>
      </c>
      <c r="E806" s="29" t="s">
        <v>1599</v>
      </c>
      <c r="F806" s="8" t="s">
        <v>2302</v>
      </c>
      <c r="G806" s="29" t="s">
        <v>1600</v>
      </c>
      <c r="H806" s="50" t="s">
        <v>2200</v>
      </c>
      <c r="I806" s="50" t="s">
        <v>2200</v>
      </c>
      <c r="J806" s="104" t="s">
        <v>2303</v>
      </c>
      <c r="K806" s="10">
        <v>46032</v>
      </c>
      <c r="L806" s="29" t="s">
        <v>660</v>
      </c>
      <c r="M806" s="56"/>
    </row>
    <row r="807" spans="1:13" ht="31.5">
      <c r="A807" s="5">
        <v>806</v>
      </c>
      <c r="B807" s="29" t="s">
        <v>657</v>
      </c>
      <c r="C807" s="31" t="s">
        <v>2198</v>
      </c>
      <c r="D807" s="29" t="s">
        <v>1807</v>
      </c>
      <c r="E807" s="29" t="s">
        <v>18</v>
      </c>
      <c r="F807" s="8" t="s">
        <v>2302</v>
      </c>
      <c r="G807" s="29" t="s">
        <v>2141</v>
      </c>
      <c r="H807" s="50" t="s">
        <v>2200</v>
      </c>
      <c r="I807" s="50" t="s">
        <v>2200</v>
      </c>
      <c r="J807" s="104" t="s">
        <v>2303</v>
      </c>
      <c r="K807" s="10">
        <v>46032</v>
      </c>
      <c r="L807" s="29" t="s">
        <v>660</v>
      </c>
      <c r="M807" s="56"/>
    </row>
    <row r="808" spans="1:13" ht="31.5">
      <c r="A808" s="5">
        <v>807</v>
      </c>
      <c r="B808" s="29" t="s">
        <v>657</v>
      </c>
      <c r="C808" s="31" t="s">
        <v>2255</v>
      </c>
      <c r="D808" s="29" t="s">
        <v>1684</v>
      </c>
      <c r="E808" s="29" t="s">
        <v>1685</v>
      </c>
      <c r="F808" s="8" t="s">
        <v>2302</v>
      </c>
      <c r="G808" s="29" t="s">
        <v>1686</v>
      </c>
      <c r="H808" s="50" t="s">
        <v>2200</v>
      </c>
      <c r="I808" s="50" t="s">
        <v>2200</v>
      </c>
      <c r="J808" s="104" t="s">
        <v>2303</v>
      </c>
      <c r="K808" s="10">
        <v>46032</v>
      </c>
      <c r="L808" s="29" t="s">
        <v>660</v>
      </c>
      <c r="M808" s="56"/>
    </row>
    <row r="809" spans="1:13" ht="31.5">
      <c r="A809" s="5">
        <v>808</v>
      </c>
      <c r="B809" s="29" t="s">
        <v>657</v>
      </c>
      <c r="C809" s="31" t="s">
        <v>2255</v>
      </c>
      <c r="D809" s="29" t="s">
        <v>1687</v>
      </c>
      <c r="E809" s="29" t="s">
        <v>1688</v>
      </c>
      <c r="F809" s="8" t="s">
        <v>2302</v>
      </c>
      <c r="G809" s="29" t="s">
        <v>1689</v>
      </c>
      <c r="H809" s="50" t="s">
        <v>2200</v>
      </c>
      <c r="I809" s="50" t="s">
        <v>2200</v>
      </c>
      <c r="J809" s="104" t="s">
        <v>2303</v>
      </c>
      <c r="K809" s="10">
        <v>46032</v>
      </c>
      <c r="L809" s="29" t="s">
        <v>660</v>
      </c>
      <c r="M809" s="56"/>
    </row>
    <row r="810" spans="1:13" ht="31.5">
      <c r="A810" s="5">
        <v>809</v>
      </c>
      <c r="B810" s="29" t="s">
        <v>657</v>
      </c>
      <c r="C810" s="31" t="s">
        <v>2255</v>
      </c>
      <c r="D810" s="29" t="s">
        <v>1690</v>
      </c>
      <c r="E810" s="29" t="s">
        <v>1691</v>
      </c>
      <c r="F810" s="8" t="s">
        <v>2302</v>
      </c>
      <c r="G810" s="29" t="s">
        <v>1692</v>
      </c>
      <c r="H810" s="50" t="s">
        <v>2200</v>
      </c>
      <c r="I810" s="50" t="s">
        <v>2200</v>
      </c>
      <c r="J810" s="104" t="s">
        <v>2303</v>
      </c>
      <c r="K810" s="10">
        <v>46032</v>
      </c>
      <c r="L810" s="29" t="s">
        <v>660</v>
      </c>
      <c r="M810" s="56"/>
    </row>
    <row r="811" spans="1:13" ht="31.5">
      <c r="A811" s="5">
        <v>810</v>
      </c>
      <c r="B811" s="29" t="s">
        <v>657</v>
      </c>
      <c r="C811" s="31" t="s">
        <v>2255</v>
      </c>
      <c r="D811" s="29" t="s">
        <v>1693</v>
      </c>
      <c r="E811" s="29" t="s">
        <v>1694</v>
      </c>
      <c r="F811" s="8" t="s">
        <v>2302</v>
      </c>
      <c r="G811" s="29" t="s">
        <v>1695</v>
      </c>
      <c r="H811" s="50" t="s">
        <v>2200</v>
      </c>
      <c r="I811" s="50" t="s">
        <v>2200</v>
      </c>
      <c r="J811" s="104" t="s">
        <v>2303</v>
      </c>
      <c r="K811" s="10">
        <v>46032</v>
      </c>
      <c r="L811" s="29" t="s">
        <v>660</v>
      </c>
      <c r="M811" s="56"/>
    </row>
    <row r="812" spans="1:13" ht="31.5">
      <c r="A812" s="5">
        <v>811</v>
      </c>
      <c r="B812" s="29" t="s">
        <v>657</v>
      </c>
      <c r="C812" s="31" t="s">
        <v>2199</v>
      </c>
      <c r="D812" s="35" t="s">
        <v>1698</v>
      </c>
      <c r="E812" s="35" t="s">
        <v>18</v>
      </c>
      <c r="F812" s="8" t="s">
        <v>2302</v>
      </c>
      <c r="G812" s="29" t="s">
        <v>1699</v>
      </c>
      <c r="H812" s="50" t="s">
        <v>2200</v>
      </c>
      <c r="I812" s="50" t="s">
        <v>2200</v>
      </c>
      <c r="J812" s="104" t="s">
        <v>2303</v>
      </c>
      <c r="K812" s="10">
        <v>46032</v>
      </c>
      <c r="L812" s="29" t="s">
        <v>660</v>
      </c>
      <c r="M812" s="56"/>
    </row>
    <row r="813" spans="1:13" ht="31.5">
      <c r="A813" s="5">
        <v>812</v>
      </c>
      <c r="B813" s="29" t="s">
        <v>657</v>
      </c>
      <c r="C813" s="31" t="s">
        <v>2256</v>
      </c>
      <c r="D813" s="35" t="s">
        <v>1700</v>
      </c>
      <c r="E813" s="35" t="s">
        <v>1701</v>
      </c>
      <c r="F813" s="8" t="s">
        <v>2302</v>
      </c>
      <c r="G813" s="29" t="s">
        <v>2142</v>
      </c>
      <c r="H813" s="50" t="s">
        <v>2200</v>
      </c>
      <c r="I813" s="50" t="s">
        <v>2200</v>
      </c>
      <c r="J813" s="104" t="s">
        <v>2303</v>
      </c>
      <c r="K813" s="10">
        <v>46032</v>
      </c>
      <c r="L813" s="29" t="s">
        <v>660</v>
      </c>
      <c r="M813" s="56"/>
    </row>
    <row r="814" spans="1:13" ht="31.5">
      <c r="A814" s="5">
        <v>813</v>
      </c>
      <c r="B814" s="29" t="s">
        <v>657</v>
      </c>
      <c r="C814" s="31" t="s">
        <v>2199</v>
      </c>
      <c r="D814" s="35" t="s">
        <v>1702</v>
      </c>
      <c r="E814" s="35" t="s">
        <v>1703</v>
      </c>
      <c r="F814" s="8" t="s">
        <v>2302</v>
      </c>
      <c r="G814" s="29" t="s">
        <v>1704</v>
      </c>
      <c r="H814" s="50" t="s">
        <v>2200</v>
      </c>
      <c r="I814" s="50" t="s">
        <v>2200</v>
      </c>
      <c r="J814" s="104" t="s">
        <v>2303</v>
      </c>
      <c r="K814" s="10">
        <v>46032</v>
      </c>
      <c r="L814" s="29" t="s">
        <v>660</v>
      </c>
      <c r="M814" s="56"/>
    </row>
    <row r="815" spans="1:13" ht="31.5">
      <c r="A815" s="5">
        <v>814</v>
      </c>
      <c r="B815" s="29" t="s">
        <v>657</v>
      </c>
      <c r="C815" s="31" t="s">
        <v>2256</v>
      </c>
      <c r="D815" s="35" t="s">
        <v>1705</v>
      </c>
      <c r="E815" s="35" t="s">
        <v>1706</v>
      </c>
      <c r="F815" s="8" t="s">
        <v>2302</v>
      </c>
      <c r="G815" s="29" t="s">
        <v>1707</v>
      </c>
      <c r="H815" s="50" t="s">
        <v>2200</v>
      </c>
      <c r="I815" s="50" t="s">
        <v>2200</v>
      </c>
      <c r="J815" s="104" t="s">
        <v>2303</v>
      </c>
      <c r="K815" s="10">
        <v>46032</v>
      </c>
      <c r="L815" s="29" t="s">
        <v>660</v>
      </c>
      <c r="M815" s="56"/>
    </row>
    <row r="816" spans="1:13" ht="31.5">
      <c r="A816" s="5">
        <v>815</v>
      </c>
      <c r="B816" s="29" t="s">
        <v>657</v>
      </c>
      <c r="C816" s="31" t="s">
        <v>2256</v>
      </c>
      <c r="D816" s="35" t="s">
        <v>1708</v>
      </c>
      <c r="E816" s="35" t="s">
        <v>1709</v>
      </c>
      <c r="F816" s="8" t="s">
        <v>2302</v>
      </c>
      <c r="G816" s="29" t="s">
        <v>1699</v>
      </c>
      <c r="H816" s="50" t="s">
        <v>2200</v>
      </c>
      <c r="I816" s="50" t="s">
        <v>2200</v>
      </c>
      <c r="J816" s="104" t="s">
        <v>2303</v>
      </c>
      <c r="K816" s="10">
        <v>46032</v>
      </c>
      <c r="L816" s="29" t="s">
        <v>660</v>
      </c>
      <c r="M816" s="56"/>
    </row>
    <row r="817" spans="1:13" ht="31.5">
      <c r="A817" s="5">
        <v>816</v>
      </c>
      <c r="B817" s="29" t="s">
        <v>657</v>
      </c>
      <c r="C817" s="31" t="s">
        <v>2256</v>
      </c>
      <c r="D817" s="35" t="s">
        <v>1710</v>
      </c>
      <c r="E817" s="35" t="s">
        <v>1711</v>
      </c>
      <c r="F817" s="8" t="s">
        <v>2302</v>
      </c>
      <c r="G817" s="29" t="s">
        <v>1712</v>
      </c>
      <c r="H817" s="50" t="s">
        <v>2200</v>
      </c>
      <c r="I817" s="50" t="s">
        <v>2200</v>
      </c>
      <c r="J817" s="104" t="s">
        <v>2303</v>
      </c>
      <c r="K817" s="10">
        <v>46032</v>
      </c>
      <c r="L817" s="29" t="s">
        <v>660</v>
      </c>
      <c r="M817" s="56"/>
    </row>
    <row r="818" spans="1:13" ht="31.5">
      <c r="A818" s="5">
        <v>817</v>
      </c>
      <c r="B818" s="8" t="s">
        <v>311</v>
      </c>
      <c r="C818" s="8" t="s">
        <v>2304</v>
      </c>
      <c r="D818" s="8" t="s">
        <v>2305</v>
      </c>
      <c r="E818" s="35" t="s">
        <v>2306</v>
      </c>
      <c r="F818" s="35" t="s">
        <v>2306</v>
      </c>
      <c r="G818" s="35" t="s">
        <v>2306</v>
      </c>
      <c r="H818" s="50" t="s">
        <v>2200</v>
      </c>
      <c r="I818" s="50" t="s">
        <v>2200</v>
      </c>
      <c r="J818" s="104" t="s">
        <v>2303</v>
      </c>
      <c r="K818" s="10">
        <v>46032</v>
      </c>
      <c r="L818" s="29" t="s">
        <v>20</v>
      </c>
      <c r="M818" s="56"/>
    </row>
    <row r="819" spans="1:13" ht="31.5">
      <c r="A819" s="5">
        <v>818</v>
      </c>
      <c r="B819" s="8" t="s">
        <v>311</v>
      </c>
      <c r="C819" s="8" t="s">
        <v>2289</v>
      </c>
      <c r="D819" s="8" t="s">
        <v>2305</v>
      </c>
      <c r="E819" s="35" t="s">
        <v>2306</v>
      </c>
      <c r="F819" s="35" t="s">
        <v>2306</v>
      </c>
      <c r="G819" s="35" t="s">
        <v>2306</v>
      </c>
      <c r="H819" s="50" t="s">
        <v>2200</v>
      </c>
      <c r="I819" s="50" t="s">
        <v>2200</v>
      </c>
      <c r="J819" s="104" t="s">
        <v>2303</v>
      </c>
      <c r="K819" s="10">
        <v>46032</v>
      </c>
      <c r="L819" s="29" t="s">
        <v>20</v>
      </c>
      <c r="M819" s="56"/>
    </row>
    <row r="820" spans="1:13" ht="31.5">
      <c r="A820" s="5">
        <v>819</v>
      </c>
      <c r="B820" s="8" t="s">
        <v>311</v>
      </c>
      <c r="C820" s="8" t="s">
        <v>2290</v>
      </c>
      <c r="D820" s="8" t="s">
        <v>2305</v>
      </c>
      <c r="E820" s="35" t="s">
        <v>2306</v>
      </c>
      <c r="F820" s="35" t="s">
        <v>2306</v>
      </c>
      <c r="G820" s="35" t="s">
        <v>2306</v>
      </c>
      <c r="H820" s="50" t="s">
        <v>2200</v>
      </c>
      <c r="I820" s="50" t="s">
        <v>2200</v>
      </c>
      <c r="J820" s="104" t="s">
        <v>2303</v>
      </c>
      <c r="K820" s="10">
        <v>46032</v>
      </c>
      <c r="L820" s="29" t="s">
        <v>20</v>
      </c>
      <c r="M820" s="56"/>
    </row>
    <row r="821" spans="1:13" ht="31.5">
      <c r="A821" s="5">
        <v>820</v>
      </c>
      <c r="B821" s="8" t="s">
        <v>730</v>
      </c>
      <c r="C821" s="8" t="s">
        <v>2291</v>
      </c>
      <c r="D821" s="8" t="s">
        <v>2305</v>
      </c>
      <c r="E821" s="35" t="s">
        <v>2306</v>
      </c>
      <c r="F821" s="35" t="s">
        <v>2306</v>
      </c>
      <c r="G821" s="35" t="s">
        <v>2306</v>
      </c>
      <c r="H821" s="50" t="s">
        <v>2200</v>
      </c>
      <c r="I821" s="50" t="s">
        <v>2200</v>
      </c>
      <c r="J821" s="104" t="s">
        <v>2303</v>
      </c>
      <c r="K821" s="10">
        <v>46032</v>
      </c>
      <c r="L821" s="29" t="s">
        <v>20</v>
      </c>
      <c r="M821" s="56"/>
    </row>
    <row r="822" spans="1:13" ht="31.5">
      <c r="A822" s="5">
        <v>821</v>
      </c>
      <c r="B822" s="8" t="s">
        <v>730</v>
      </c>
      <c r="C822" s="8" t="s">
        <v>2292</v>
      </c>
      <c r="D822" s="8" t="s">
        <v>2305</v>
      </c>
      <c r="E822" s="35" t="s">
        <v>2306</v>
      </c>
      <c r="F822" s="35" t="s">
        <v>2306</v>
      </c>
      <c r="G822" s="35" t="s">
        <v>2306</v>
      </c>
      <c r="H822" s="50" t="s">
        <v>2200</v>
      </c>
      <c r="I822" s="50" t="s">
        <v>2200</v>
      </c>
      <c r="J822" s="104" t="s">
        <v>2303</v>
      </c>
      <c r="K822" s="10">
        <v>46032</v>
      </c>
      <c r="L822" s="29" t="s">
        <v>20</v>
      </c>
      <c r="M822" s="56"/>
    </row>
    <row r="823" spans="1:13" ht="31.5">
      <c r="A823" s="5">
        <v>822</v>
      </c>
      <c r="B823" s="8" t="s">
        <v>730</v>
      </c>
      <c r="C823" s="8" t="s">
        <v>33</v>
      </c>
      <c r="D823" s="8" t="s">
        <v>2305</v>
      </c>
      <c r="E823" s="35" t="s">
        <v>2306</v>
      </c>
      <c r="F823" s="35" t="s">
        <v>2306</v>
      </c>
      <c r="G823" s="35" t="s">
        <v>2306</v>
      </c>
      <c r="H823" s="50" t="s">
        <v>2200</v>
      </c>
      <c r="I823" s="50" t="s">
        <v>2200</v>
      </c>
      <c r="J823" s="104" t="s">
        <v>2303</v>
      </c>
      <c r="K823" s="10">
        <v>46032</v>
      </c>
      <c r="L823" s="29" t="s">
        <v>20</v>
      </c>
      <c r="M823" s="56"/>
    </row>
    <row r="824" spans="1:13" ht="31.5">
      <c r="A824" s="5">
        <v>823</v>
      </c>
      <c r="B824" s="8" t="s">
        <v>36</v>
      </c>
      <c r="C824" s="8" t="s">
        <v>2293</v>
      </c>
      <c r="D824" s="8" t="s">
        <v>2305</v>
      </c>
      <c r="E824" s="35" t="s">
        <v>2306</v>
      </c>
      <c r="F824" s="35" t="s">
        <v>2306</v>
      </c>
      <c r="G824" s="35" t="s">
        <v>2306</v>
      </c>
      <c r="H824" s="50" t="s">
        <v>2200</v>
      </c>
      <c r="I824" s="50" t="s">
        <v>2200</v>
      </c>
      <c r="J824" s="104" t="s">
        <v>2303</v>
      </c>
      <c r="K824" s="10">
        <v>46032</v>
      </c>
      <c r="L824" s="29" t="s">
        <v>20</v>
      </c>
      <c r="M824" s="56"/>
    </row>
    <row r="825" spans="1:13" ht="31.5">
      <c r="A825" s="5">
        <v>824</v>
      </c>
      <c r="B825" s="8" t="s">
        <v>36</v>
      </c>
      <c r="C825" s="8" t="s">
        <v>2294</v>
      </c>
      <c r="D825" s="8" t="s">
        <v>2305</v>
      </c>
      <c r="E825" s="35" t="s">
        <v>2306</v>
      </c>
      <c r="F825" s="35" t="s">
        <v>2306</v>
      </c>
      <c r="G825" s="35" t="s">
        <v>2306</v>
      </c>
      <c r="H825" s="50" t="s">
        <v>2200</v>
      </c>
      <c r="I825" s="50" t="s">
        <v>2200</v>
      </c>
      <c r="J825" s="104" t="s">
        <v>2303</v>
      </c>
      <c r="K825" s="10">
        <v>46032</v>
      </c>
      <c r="L825" s="29" t="s">
        <v>20</v>
      </c>
      <c r="M825" s="56"/>
    </row>
    <row r="826" spans="1:13" ht="31.5">
      <c r="A826" s="5">
        <v>825</v>
      </c>
      <c r="B826" s="8" t="s">
        <v>1183</v>
      </c>
      <c r="C826" s="8" t="s">
        <v>2295</v>
      </c>
      <c r="D826" s="8" t="s">
        <v>2305</v>
      </c>
      <c r="E826" s="35" t="s">
        <v>2306</v>
      </c>
      <c r="F826" s="35" t="s">
        <v>2306</v>
      </c>
      <c r="G826" s="35" t="s">
        <v>2306</v>
      </c>
      <c r="H826" s="50" t="s">
        <v>2200</v>
      </c>
      <c r="I826" s="50" t="s">
        <v>2200</v>
      </c>
      <c r="J826" s="104" t="s">
        <v>2303</v>
      </c>
      <c r="K826" s="10">
        <v>46032</v>
      </c>
      <c r="L826" s="29" t="s">
        <v>20</v>
      </c>
      <c r="M826" s="56"/>
    </row>
    <row r="827" spans="1:13" ht="31.5">
      <c r="A827" s="5">
        <v>826</v>
      </c>
      <c r="B827" s="8" t="s">
        <v>1183</v>
      </c>
      <c r="C827" s="8" t="s">
        <v>2296</v>
      </c>
      <c r="D827" s="8" t="s">
        <v>2305</v>
      </c>
      <c r="E827" s="35" t="s">
        <v>2306</v>
      </c>
      <c r="F827" s="35" t="s">
        <v>2306</v>
      </c>
      <c r="G827" s="35" t="s">
        <v>2306</v>
      </c>
      <c r="H827" s="50" t="s">
        <v>2200</v>
      </c>
      <c r="I827" s="50" t="s">
        <v>2200</v>
      </c>
      <c r="J827" s="104" t="s">
        <v>2303</v>
      </c>
      <c r="K827" s="10">
        <v>46032</v>
      </c>
      <c r="L827" s="29" t="s">
        <v>20</v>
      </c>
      <c r="M827" s="56"/>
    </row>
    <row r="828" spans="1:13" ht="31.5">
      <c r="A828" s="5">
        <v>827</v>
      </c>
      <c r="B828" s="8" t="s">
        <v>1183</v>
      </c>
      <c r="C828" s="8" t="s">
        <v>2297</v>
      </c>
      <c r="D828" s="8" t="s">
        <v>2305</v>
      </c>
      <c r="E828" s="35" t="s">
        <v>2306</v>
      </c>
      <c r="F828" s="35" t="s">
        <v>2306</v>
      </c>
      <c r="G828" s="35" t="s">
        <v>2306</v>
      </c>
      <c r="H828" s="50" t="s">
        <v>2200</v>
      </c>
      <c r="I828" s="50" t="s">
        <v>2200</v>
      </c>
      <c r="J828" s="104" t="s">
        <v>2303</v>
      </c>
      <c r="K828" s="10">
        <v>46032</v>
      </c>
      <c r="L828" s="29" t="s">
        <v>20</v>
      </c>
      <c r="M828" s="56"/>
    </row>
    <row r="829" spans="1:13" ht="31.5">
      <c r="A829" s="5">
        <v>828</v>
      </c>
      <c r="B829" s="8" t="s">
        <v>653</v>
      </c>
      <c r="C829" s="8" t="s">
        <v>2298</v>
      </c>
      <c r="D829" s="8" t="s">
        <v>2305</v>
      </c>
      <c r="E829" s="35" t="s">
        <v>2306</v>
      </c>
      <c r="F829" s="35" t="s">
        <v>2306</v>
      </c>
      <c r="G829" s="35" t="s">
        <v>2306</v>
      </c>
      <c r="H829" s="50" t="s">
        <v>2200</v>
      </c>
      <c r="I829" s="50" t="s">
        <v>2200</v>
      </c>
      <c r="J829" s="104" t="s">
        <v>2303</v>
      </c>
      <c r="K829" s="10">
        <v>46032</v>
      </c>
      <c r="L829" s="29" t="s">
        <v>20</v>
      </c>
      <c r="M829" s="56"/>
    </row>
    <row r="830" spans="1:13" ht="31.5">
      <c r="A830" s="5">
        <v>829</v>
      </c>
      <c r="B830" s="8" t="s">
        <v>653</v>
      </c>
      <c r="C830" s="8" t="s">
        <v>2299</v>
      </c>
      <c r="D830" s="8" t="s">
        <v>2305</v>
      </c>
      <c r="E830" s="35" t="s">
        <v>2306</v>
      </c>
      <c r="F830" s="35" t="s">
        <v>2306</v>
      </c>
      <c r="G830" s="35" t="s">
        <v>2306</v>
      </c>
      <c r="H830" s="50" t="s">
        <v>2200</v>
      </c>
      <c r="I830" s="50" t="s">
        <v>2200</v>
      </c>
      <c r="J830" s="104" t="s">
        <v>2303</v>
      </c>
      <c r="K830" s="10">
        <v>46032</v>
      </c>
      <c r="L830" s="29" t="s">
        <v>20</v>
      </c>
      <c r="M830" s="56"/>
    </row>
    <row r="831" spans="1:13" ht="31.5">
      <c r="A831" s="5">
        <v>830</v>
      </c>
      <c r="B831" s="8" t="s">
        <v>730</v>
      </c>
      <c r="C831" s="8" t="s">
        <v>2300</v>
      </c>
      <c r="D831" s="8" t="s">
        <v>2305</v>
      </c>
      <c r="E831" s="35" t="s">
        <v>2306</v>
      </c>
      <c r="F831" s="35" t="s">
        <v>2306</v>
      </c>
      <c r="G831" s="35" t="s">
        <v>2306</v>
      </c>
      <c r="H831" s="50" t="s">
        <v>2200</v>
      </c>
      <c r="I831" s="50" t="s">
        <v>2200</v>
      </c>
      <c r="J831" s="104" t="s">
        <v>2303</v>
      </c>
      <c r="K831" s="10">
        <v>46032</v>
      </c>
      <c r="L831" s="29" t="s">
        <v>20</v>
      </c>
      <c r="M831" s="56"/>
    </row>
    <row r="832" spans="1:13" ht="31.5">
      <c r="A832" s="5">
        <v>831</v>
      </c>
      <c r="B832" s="8" t="s">
        <v>311</v>
      </c>
      <c r="C832" s="8" t="s">
        <v>2301</v>
      </c>
      <c r="D832" s="8" t="s">
        <v>2305</v>
      </c>
      <c r="E832" s="35" t="s">
        <v>2306</v>
      </c>
      <c r="F832" s="35" t="s">
        <v>2306</v>
      </c>
      <c r="G832" s="35" t="s">
        <v>2306</v>
      </c>
      <c r="H832" s="50" t="s">
        <v>2200</v>
      </c>
      <c r="I832" s="50" t="s">
        <v>2200</v>
      </c>
      <c r="J832" s="104" t="s">
        <v>2303</v>
      </c>
      <c r="K832" s="10">
        <v>46032</v>
      </c>
      <c r="L832" s="29" t="s">
        <v>20</v>
      </c>
      <c r="M832" s="56"/>
    </row>
  </sheetData>
  <autoFilter ref="A1:N832" xr:uid="{00000000-0001-0000-0100-000000000000}"/>
  <phoneticPr fontId="24" type="noConversion"/>
  <conditionalFormatting sqref="C2">
    <cfRule type="duplicateValues" dxfId="3" priority="2"/>
  </conditionalFormatting>
  <conditionalFormatting sqref="C3">
    <cfRule type="duplicateValues" dxfId="2" priority="3"/>
  </conditionalFormatting>
  <conditionalFormatting sqref="C19">
    <cfRule type="duplicateValues" dxfId="1" priority="9"/>
  </conditionalFormatting>
  <conditionalFormatting sqref="C24">
    <cfRule type="duplicateValues" dxfId="0" priority="1"/>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BE9727992A24479AC7469DEEDEA94C" ma:contentTypeVersion="18" ma:contentTypeDescription="Create a new document." ma:contentTypeScope="" ma:versionID="61955638a51c6b5b28075ae19238329a">
  <xsd:schema xmlns:xsd="http://www.w3.org/2001/XMLSchema" xmlns:xs="http://www.w3.org/2001/XMLSchema" xmlns:p="http://schemas.microsoft.com/office/2006/metadata/properties" xmlns:ns2="9d157257-a3bf-4ff5-a465-4e2defe95989" xmlns:ns3="5fe9d9f8-cc4e-4bb2-9b11-9758b481ddc1" targetNamespace="http://schemas.microsoft.com/office/2006/metadata/properties" ma:root="true" ma:fieldsID="83e78d16efe5b900a8ad9ecb685341f9" ns2:_="" ns3:_="">
    <xsd:import namespace="9d157257-a3bf-4ff5-a465-4e2defe95989"/>
    <xsd:import namespace="5fe9d9f8-cc4e-4bb2-9b11-9758b481dd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157257-a3bf-4ff5-a465-4e2defe95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4cab4e9-b41f-4aee-96b1-c1b3b1261b9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e9d9f8-cc4e-4bb2-9b11-9758b481ddc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4bd9be1-660a-4bc7-baff-f2d1738c4dfe}" ma:internalName="TaxCatchAll" ma:showField="CatchAllData" ma:web="5fe9d9f8-cc4e-4bb2-9b11-9758b481dd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d157257-a3bf-4ff5-a465-4e2defe95989">
      <Terms xmlns="http://schemas.microsoft.com/office/infopath/2007/PartnerControls"/>
    </lcf76f155ced4ddcb4097134ff3c332f>
    <TaxCatchAll xmlns="5fe9d9f8-cc4e-4bb2-9b11-9758b481ddc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BFC605-B17C-4173-80B9-FDB3A94A5E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157257-a3bf-4ff5-a465-4e2defe95989"/>
    <ds:schemaRef ds:uri="5fe9d9f8-cc4e-4bb2-9b11-9758b481dd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E7BA32-7B53-4678-AC20-406FE0630A5A}">
  <ds:schemaRefs>
    <ds:schemaRef ds:uri="http://schemas.microsoft.com/office/2006/documentManagement/types"/>
    <ds:schemaRef ds:uri="http://purl.org/dc/elements/1.1/"/>
    <ds:schemaRef ds:uri="5fe9d9f8-cc4e-4bb2-9b11-9758b481ddc1"/>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 ds:uri="http://schemas.microsoft.com/office/infopath/2007/PartnerControls"/>
    <ds:schemaRef ds:uri="9d157257-a3bf-4ff5-a465-4e2defe95989"/>
  </ds:schemaRefs>
</ds:datastoreItem>
</file>

<file path=customXml/itemProps3.xml><?xml version="1.0" encoding="utf-8"?>
<ds:datastoreItem xmlns:ds="http://schemas.openxmlformats.org/officeDocument/2006/customXml" ds:itemID="{794E2092-6AAA-4A63-88C5-75E89E0A59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ProjectSchedule</vt:lpstr>
      <vt:lpstr>Sheet1</vt:lpstr>
      <vt:lpstr>Total</vt:lpstr>
      <vt:lpstr>Display_Week</vt:lpstr>
      <vt:lpstr>ProjectSchedule!Print_Titles</vt:lpstr>
      <vt:lpstr>Project_Start</vt:lpstr>
      <vt:lpstr>ProjectSchedule!task_end</vt:lpstr>
      <vt:lpstr>ProjectSchedule!task_progress</vt:lpstr>
      <vt:lpstr>ProjectSchedule!task_schedule</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Sai Vinh Hanh</cp:lastModifiedBy>
  <cp:revision/>
  <dcterms:created xsi:type="dcterms:W3CDTF">2019-03-19T17:17:00Z</dcterms:created>
  <dcterms:modified xsi:type="dcterms:W3CDTF">2026-02-02T03:13:23Z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0x01010003BE9727992A24479AC7469DEEDEA94C</vt:lpwstr>
  </property>
  <property fmtid="{D5CDD505-2E9C-101B-9397-08002B2CF9AE}" pid="3" name="MediaServiceImageTags">
    <vt:lpwstr/>
  </property>
  <property fmtid="{D5CDD505-2E9C-101B-9397-08002B2CF9AE}" pid="4" name="ICV">
    <vt:lpwstr>0FB56A15C8FD442ABE9EF4E9E26A1B15_12</vt:lpwstr>
  </property>
  <property fmtid="{D5CDD505-2E9C-101B-9397-08002B2CF9AE}" pid="5" name="KSOProductBuildVer">
    <vt:lpwstr>1033-12.2.0.20795</vt:lpwstr>
  </property>
</Properties>
</file>