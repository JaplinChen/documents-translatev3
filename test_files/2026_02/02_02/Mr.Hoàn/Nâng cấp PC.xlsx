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202\MIS_Public\4.REPORTS\6.BC_THU_HAI_HANG_TUAN\2025\2025-11\24.11\Mr.Hoàn\"/>
    </mc:Choice>
  </mc:AlternateContent>
  <xr:revisionPtr revIDLastSave="0" documentId="8_{6DA0DB03-9547-4493-889B-1017150FD78E}" xr6:coauthVersionLast="47" xr6:coauthVersionMax="47" xr10:uidLastSave="{00000000-0000-0000-0000-000000000000}"/>
  <bookViews>
    <workbookView xWindow="-120" yWindow="-120" windowWidth="24240" windowHeight="13020" xr2:uid="{983355EC-A8DE-42EE-94EA-66BEEE6BB5AD}"/>
  </bookViews>
  <sheets>
    <sheet name="TAL" sheetId="27" r:id="rId1"/>
    <sheet name="DAP1" sheetId="4" r:id="rId2"/>
    <sheet name="DAP3" sheetId="7" r:id="rId3"/>
    <sheet name="DAP5" sheetId="8" r:id="rId4"/>
    <sheet name="DAP4" sheetId="10" r:id="rId5"/>
    <sheet name="DUC" sheetId="9" r:id="rId6"/>
    <sheet name="GIACONG" sheetId="11" r:id="rId7"/>
    <sheet name="HAN3" sheetId="12" r:id="rId8"/>
    <sheet name="HAN5" sheetId="13" r:id="rId9"/>
    <sheet name="KAIFA" sheetId="14" r:id="rId10"/>
    <sheet name="KHUÂN MẪU" sheetId="15" r:id="rId11"/>
    <sheet name="TÀI VỤ" sheetId="16" r:id="rId12"/>
    <sheet name="KTSX" sheetId="17" r:id="rId13"/>
    <sheet name="QA" sheetId="18" r:id="rId14"/>
    <sheet name="QC" sheetId="19" r:id="rId15"/>
    <sheet name="LAPRAP" sheetId="20" r:id="rId16"/>
    <sheet name="QLK" sheetId="21" r:id="rId17"/>
    <sheet name="NHÂN SỰ" sheetId="22" r:id="rId18"/>
    <sheet name="THUMUA" sheetId="23" r:id="rId19"/>
    <sheet name="SON" sheetId="24" r:id="rId20"/>
    <sheet name="QLSX" sheetId="25" r:id="rId21"/>
    <sheet name="Y TE" sheetId="26" r:id="rId22"/>
    <sheet name="PC ERP" sheetId="2" r:id="rId23"/>
  </sheets>
  <definedNames>
    <definedName name="_xlnm._FilterDatabase" localSheetId="9" hidden="1">KAIFA!$A$2:$Q$44</definedName>
    <definedName name="_xlnm._FilterDatabase" localSheetId="15" hidden="1">LAPRAP!$A$2:$O$5</definedName>
    <definedName name="_xlnm._FilterDatabase" localSheetId="17" hidden="1">'NHÂN SỰ'!$A$2:$O$8</definedName>
    <definedName name="_xlnm._FilterDatabase" localSheetId="14" hidden="1">QC!$A$2:$O$17</definedName>
    <definedName name="_xlnm._FilterDatabase" localSheetId="16" hidden="1">QLK!$A$2:$O$9</definedName>
    <definedName name="_xlnm._FilterDatabase" localSheetId="20" hidden="1">QLSX!$A$2:$O$9</definedName>
    <definedName name="_xlnm._FilterDatabase" localSheetId="19" hidden="1">SON!$A$2:$O$7</definedName>
    <definedName name="_xlnm._FilterDatabase" localSheetId="18" hidden="1">THUMUA!$A$2:$O$8</definedName>
    <definedName name="_xlnm._FilterDatabase" localSheetId="21" hidden="1">'Y TE'!$A$2:$O$5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" i="26" l="1"/>
  <c r="N31" i="25"/>
  <c r="N12" i="15"/>
  <c r="N18" i="23"/>
  <c r="N10" i="24"/>
  <c r="N8" i="13"/>
  <c r="N10" i="22"/>
  <c r="N25" i="21"/>
  <c r="N6" i="20"/>
  <c r="N18" i="19"/>
  <c r="N10" i="17"/>
  <c r="N9" i="16"/>
  <c r="P45" i="14"/>
  <c r="N9" i="12"/>
  <c r="N13" i="11"/>
  <c r="N10" i="9"/>
  <c r="N5" i="10"/>
  <c r="N11" i="7"/>
  <c r="N10" i="4"/>
  <c r="N6" i="8"/>
  <c r="E7" i="2"/>
</calcChain>
</file>

<file path=xl/sharedStrings.xml><?xml version="1.0" encoding="utf-8"?>
<sst xmlns="http://schemas.openxmlformats.org/spreadsheetml/2006/main" count="3117" uniqueCount="806">
  <si>
    <t>PC-NAME</t>
  </si>
  <si>
    <t>IP</t>
  </si>
  <si>
    <t>USER</t>
  </si>
  <si>
    <t>RAM
(GB)</t>
  </si>
  <si>
    <t>SSD-HDD</t>
  </si>
  <si>
    <t>16GB</t>
  </si>
  <si>
    <t>1TB HDD</t>
  </si>
  <si>
    <t>8GB</t>
  </si>
  <si>
    <t>480GB SSD</t>
  </si>
  <si>
    <t>Core I5 9400</t>
  </si>
  <si>
    <t>Core I3 9100</t>
  </si>
  <si>
    <t>CPU</t>
  </si>
  <si>
    <t>NÂNG CẤP SSD</t>
  </si>
  <si>
    <t>NÂNG CẤP RAM</t>
  </si>
  <si>
    <t>GHI CHÚ</t>
  </si>
  <si>
    <t>No.</t>
  </si>
  <si>
    <r>
      <t xml:space="preserve">MÃ SP IT
</t>
    </r>
    <r>
      <rPr>
        <b/>
        <sz val="14"/>
        <rFont val="Microsoft JhengHei"/>
        <family val="2"/>
      </rPr>
      <t>品號</t>
    </r>
  </si>
  <si>
    <r>
      <t xml:space="preserve">HÌNH ẢNH SP
</t>
    </r>
    <r>
      <rPr>
        <b/>
        <sz val="14"/>
        <rFont val="Microsoft JhengHei"/>
        <family val="2"/>
      </rPr>
      <t>圖片</t>
    </r>
  </si>
  <si>
    <r>
      <t xml:space="preserve">TÊN SẢN PHẨM
</t>
    </r>
    <r>
      <rPr>
        <b/>
        <sz val="14"/>
        <rFont val="Microsoft JhengHei"/>
        <family val="2"/>
      </rPr>
      <t>品名</t>
    </r>
  </si>
  <si>
    <r>
      <t xml:space="preserve">GIÁ THAM KHẢO (đã bao gồm VAT)
</t>
    </r>
    <r>
      <rPr>
        <b/>
        <sz val="14"/>
        <rFont val="Microsoft JhengHei"/>
        <family val="2"/>
      </rPr>
      <t>考價（已包含</t>
    </r>
    <r>
      <rPr>
        <b/>
        <sz val="14"/>
        <rFont val="Times New Roman"/>
        <family val="1"/>
      </rPr>
      <t xml:space="preserve"> VAT</t>
    </r>
    <r>
      <rPr>
        <b/>
        <sz val="14"/>
        <rFont val="Microsoft JhengHei"/>
        <family val="2"/>
      </rPr>
      <t>）</t>
    </r>
  </si>
  <si>
    <r>
      <t xml:space="preserve">CẤU HÌNH MÁY TÍNH ERP
ERP </t>
    </r>
    <r>
      <rPr>
        <b/>
        <sz val="20"/>
        <color theme="1"/>
        <rFont val="Microsoft JhengHei"/>
        <family val="2"/>
      </rPr>
      <t>電腦配置</t>
    </r>
    <r>
      <rPr>
        <b/>
        <sz val="20"/>
        <color theme="1"/>
        <rFont val="Times New Roman"/>
        <family val="1"/>
      </rPr>
      <t xml:space="preserve">
</t>
    </r>
  </si>
  <si>
    <t>Tổng tiền</t>
  </si>
  <si>
    <t>TIỀN (VND)</t>
  </si>
  <si>
    <t>Nâng cấp</t>
  </si>
  <si>
    <r>
      <t xml:space="preserve">TỔNG TIỀN </t>
    </r>
    <r>
      <rPr>
        <b/>
        <sz val="24"/>
        <color rgb="FFFF0000"/>
        <rFont val="Microsoft JhengHei"/>
        <family val="2"/>
      </rPr>
      <t>總金額</t>
    </r>
    <r>
      <rPr>
        <b/>
        <sz val="24"/>
        <color rgb="FFFF0000"/>
        <rFont val="Times New Roman"/>
        <family val="1"/>
      </rPr>
      <t xml:space="preserve"> (VND)</t>
    </r>
  </si>
  <si>
    <t>PHẦN MỀM HIỆN ĐANG SỬ DỤNG</t>
  </si>
  <si>
    <t>THỜI GIAN MUA</t>
  </si>
  <si>
    <t>DAP103</t>
  </si>
  <si>
    <t>192.168.32.68</t>
  </si>
  <si>
    <t>DAP106</t>
  </si>
  <si>
    <t>192.168.32.18</t>
  </si>
  <si>
    <t>DAP108</t>
  </si>
  <si>
    <t>192.168.32.20</t>
  </si>
  <si>
    <t>#03473</t>
  </si>
  <si>
    <t>#17617</t>
  </si>
  <si>
    <t>#00487</t>
  </si>
  <si>
    <t>MAINBOARD</t>
  </si>
  <si>
    <t>H61M</t>
  </si>
  <si>
    <t>G1620</t>
  </si>
  <si>
    <t>2GB + 2GB</t>
  </si>
  <si>
    <t>160GB HDD</t>
  </si>
  <si>
    <t>G2020</t>
  </si>
  <si>
    <t>4GB</t>
  </si>
  <si>
    <t>500GB HDD</t>
  </si>
  <si>
    <t>250GB HDD</t>
  </si>
  <si>
    <t>ERP</t>
  </si>
  <si>
    <t>Zwcad 2018 mechanical network</t>
  </si>
  <si>
    <t>2015-2025</t>
  </si>
  <si>
    <t>NÂNG CẤP MAINBOARD</t>
  </si>
  <si>
    <t>NÂNG CẤP  CPU</t>
  </si>
  <si>
    <t xml:space="preserve">GƠI Ý THAY THẾ NÂNG CẤP DAP1 </t>
  </si>
  <si>
    <t xml:space="preserve">Mainboard ASUS PRIME H510M-K R2.0 </t>
  </si>
  <si>
    <t>CPU Intel Core i5 10400 (Intel LGA1200 - 6 Core - 12 Thread - Base 2.9Ghz - Turbo 4.3Ghz - Cache 12MB)</t>
  </si>
  <si>
    <t>IT01MB0011</t>
  </si>
  <si>
    <t>IT01CU0009</t>
  </si>
  <si>
    <t>RAM CORSAIR VENGEANCE® LPX 8GB (1x8GB) DDR4 3200Mhz</t>
  </si>
  <si>
    <t>IT01RA0007</t>
  </si>
  <si>
    <t>IT01HD0048</t>
  </si>
  <si>
    <t>Ổ cứng SSD WD Blue SA510 500GB WDS500G3B0A SATA 2.5 inch</t>
  </si>
  <si>
    <t xml:space="preserve">H510M-K </t>
  </si>
  <si>
    <t>Core i5 10400</t>
  </si>
  <si>
    <t>500GB SSD</t>
  </si>
  <si>
    <t>DAP303</t>
  </si>
  <si>
    <t>192.168.32.23</t>
  </si>
  <si>
    <t>#10368</t>
  </si>
  <si>
    <t>DAP305</t>
  </si>
  <si>
    <t>192.168.32.25</t>
  </si>
  <si>
    <t>#00172</t>
  </si>
  <si>
    <t>DAP308</t>
  </si>
  <si>
    <t>192.168.32.67/10.10.10.2</t>
  </si>
  <si>
    <t>#23205</t>
  </si>
  <si>
    <t>DAP312</t>
  </si>
  <si>
    <t>192.168.32.73</t>
  </si>
  <si>
    <t>#17741</t>
  </si>
  <si>
    <t>P8Z68</t>
  </si>
  <si>
    <t>Core I7 3770</t>
  </si>
  <si>
    <t>4GB+4GB</t>
  </si>
  <si>
    <t>320GB HDD</t>
  </si>
  <si>
    <t>ERP,RPA</t>
  </si>
  <si>
    <t>2015-2026</t>
  </si>
  <si>
    <t>DAP511</t>
  </si>
  <si>
    <t>192.168.22.51</t>
  </si>
  <si>
    <t>#10828</t>
  </si>
  <si>
    <t>DAP514</t>
  </si>
  <si>
    <t>192.168.22.10</t>
  </si>
  <si>
    <t>#10034</t>
  </si>
  <si>
    <t>DAP5-MEET</t>
  </si>
  <si>
    <t>192.168.22.50</t>
  </si>
  <si>
    <t>DAP5-MEETING</t>
  </si>
  <si>
    <t>4GB + 4GB</t>
  </si>
  <si>
    <t>G1630</t>
  </si>
  <si>
    <t>MEETING-X5</t>
  </si>
  <si>
    <t>GƠI Ý THAY THẾ NÂNG CẤP DAP3</t>
  </si>
  <si>
    <t>GƠI Ý THAY THẾ NÂNG CẤP DAP5</t>
  </si>
  <si>
    <t>DUC13</t>
  </si>
  <si>
    <t>192.168.23.68</t>
  </si>
  <si>
    <t>#00167</t>
  </si>
  <si>
    <t>DUC15</t>
  </si>
  <si>
    <t>DHCP</t>
  </si>
  <si>
    <t>#00776</t>
  </si>
  <si>
    <t>B85M</t>
  </si>
  <si>
    <t>Core I7 4790</t>
  </si>
  <si>
    <t>4GB + 2GB</t>
  </si>
  <si>
    <t>MEETING-XRAY</t>
  </si>
  <si>
    <t>GƠI Ý THAY THẾ NÂNG CẤP DUC</t>
  </si>
  <si>
    <t>DAP105</t>
  </si>
  <si>
    <t>192.168.32.17</t>
  </si>
  <si>
    <t>DAP107</t>
  </si>
  <si>
    <t>192.168.32.19</t>
  </si>
  <si>
    <t>DAP109</t>
  </si>
  <si>
    <t>192.168.32.12</t>
  </si>
  <si>
    <t>DAP110</t>
  </si>
  <si>
    <t>192.168.32.15</t>
  </si>
  <si>
    <t>#03094</t>
  </si>
  <si>
    <t>#00998</t>
  </si>
  <si>
    <t>#03439</t>
  </si>
  <si>
    <t>#00860</t>
  </si>
  <si>
    <t>B365M</t>
  </si>
  <si>
    <t>TỔNG TIỀN</t>
  </si>
  <si>
    <t>DAP301</t>
  </si>
  <si>
    <t>192.168.32.21</t>
  </si>
  <si>
    <t>#03229</t>
  </si>
  <si>
    <t>DAP304</t>
  </si>
  <si>
    <t>192.168.32.24</t>
  </si>
  <si>
    <t>#01283</t>
  </si>
  <si>
    <t>DAP307</t>
  </si>
  <si>
    <t>192.168.32.27</t>
  </si>
  <si>
    <t>#26001</t>
  </si>
  <si>
    <t>DAP310</t>
  </si>
  <si>
    <t>192.168.32.71</t>
  </si>
  <si>
    <t>#08917</t>
  </si>
  <si>
    <t>DAP402</t>
  </si>
  <si>
    <t>192.168.34.12</t>
  </si>
  <si>
    <t>#12014</t>
  </si>
  <si>
    <t>DAP411</t>
  </si>
  <si>
    <t>192.168.34.22</t>
  </si>
  <si>
    <t>#20390</t>
  </si>
  <si>
    <t>GƠI Ý THAY THẾ NÂNG CẤP DAP4</t>
  </si>
  <si>
    <t>DUC03</t>
  </si>
  <si>
    <t>192.168.23.23</t>
  </si>
  <si>
    <t>#02611</t>
  </si>
  <si>
    <t>DUC07</t>
  </si>
  <si>
    <t>192.168.23.27</t>
  </si>
  <si>
    <t>#04914</t>
  </si>
  <si>
    <t>DUC08</t>
  </si>
  <si>
    <t>192.168.23.69</t>
  </si>
  <si>
    <t>#16878</t>
  </si>
  <si>
    <t>DUC11</t>
  </si>
  <si>
    <t>192.168.23.64</t>
  </si>
  <si>
    <t>#19005</t>
  </si>
  <si>
    <t>DUC16</t>
  </si>
  <si>
    <t>192.168.23.36</t>
  </si>
  <si>
    <t>#6000</t>
  </si>
  <si>
    <t>Zwcad 2019 mechanical network</t>
  </si>
  <si>
    <t>ERP,Zwcad 2019 mechanical network</t>
  </si>
  <si>
    <t xml:space="preserve">TỔNG TIỀN </t>
  </si>
  <si>
    <t>GC01</t>
  </si>
  <si>
    <t>192.168.23.41</t>
  </si>
  <si>
    <t>#01906</t>
  </si>
  <si>
    <t>GC02</t>
  </si>
  <si>
    <t>192.168.23.39</t>
  </si>
  <si>
    <t>#01376</t>
  </si>
  <si>
    <t>GC04</t>
  </si>
  <si>
    <t>192.168.23.44</t>
  </si>
  <si>
    <t># 01134</t>
  </si>
  <si>
    <t>GC05</t>
  </si>
  <si>
    <t>192.168.23.45</t>
  </si>
  <si>
    <t>#18616</t>
  </si>
  <si>
    <t>GC07</t>
  </si>
  <si>
    <t>192.168.23.47</t>
  </si>
  <si>
    <t>#11988</t>
  </si>
  <si>
    <t>GC15</t>
  </si>
  <si>
    <t>192.168.23.56</t>
  </si>
  <si>
    <t>#01309</t>
  </si>
  <si>
    <t>GC24</t>
  </si>
  <si>
    <t>192.168.23.35</t>
  </si>
  <si>
    <t>#00930</t>
  </si>
  <si>
    <t>GC27</t>
  </si>
  <si>
    <t>192.168.23.37</t>
  </si>
  <si>
    <t>#18327</t>
  </si>
  <si>
    <t>GC28</t>
  </si>
  <si>
    <t>192.168.23.38</t>
  </si>
  <si>
    <t>#02985</t>
  </si>
  <si>
    <t>GC-MEETING</t>
  </si>
  <si>
    <t>192.168.23.203</t>
  </si>
  <si>
    <t>P8B75</t>
  </si>
  <si>
    <t>B360M</t>
  </si>
  <si>
    <t>MEETING</t>
  </si>
  <si>
    <t>2019-2025</t>
  </si>
  <si>
    <t>2017-2025</t>
  </si>
  <si>
    <t>HAN302</t>
  </si>
  <si>
    <t>192.168.32.2</t>
  </si>
  <si>
    <t>#02260</t>
  </si>
  <si>
    <t>HAN304</t>
  </si>
  <si>
    <t>192.168.32.4</t>
  </si>
  <si>
    <t>#04210</t>
  </si>
  <si>
    <t>HAN305</t>
  </si>
  <si>
    <t>192.168.32.5</t>
  </si>
  <si>
    <t>#15895</t>
  </si>
  <si>
    <t>#03554</t>
  </si>
  <si>
    <t>HAN309</t>
  </si>
  <si>
    <t>192.168.32.9</t>
  </si>
  <si>
    <t>#00624</t>
  </si>
  <si>
    <t>HAN311</t>
  </si>
  <si>
    <t>192.168.32.8\172.16.30.1</t>
  </si>
  <si>
    <t>HAN312</t>
  </si>
  <si>
    <t>192.168.32.28</t>
  </si>
  <si>
    <t>#00293</t>
  </si>
  <si>
    <t>8GB + 8GB</t>
  </si>
  <si>
    <t>GƠI Ý THAY THẾ NÂNG CẤP HAN3</t>
  </si>
  <si>
    <t>GƠI Ý THAY THẾ NÂNG CẤP GIACONG</t>
  </si>
  <si>
    <t>HAN501</t>
  </si>
  <si>
    <t>192.168.22.41</t>
  </si>
  <si>
    <t>#25606</t>
  </si>
  <si>
    <t>HAN502</t>
  </si>
  <si>
    <t>192.168.22.42</t>
  </si>
  <si>
    <t>#13456</t>
  </si>
  <si>
    <t>HAN503</t>
  </si>
  <si>
    <t>192.168.22.43</t>
  </si>
  <si>
    <t>#11580</t>
  </si>
  <si>
    <t>HAN504</t>
  </si>
  <si>
    <t>192.168.22.44</t>
  </si>
  <si>
    <t>#16268</t>
  </si>
  <si>
    <t>GƠI Ý THAY THẾ NÂNG CẤP HAN5</t>
  </si>
  <si>
    <t>KF03</t>
  </si>
  <si>
    <t>192.168.33.3</t>
  </si>
  <si>
    <t>#12760</t>
  </si>
  <si>
    <t>KF04</t>
  </si>
  <si>
    <t>192.168.33.4</t>
  </si>
  <si>
    <t>#11725</t>
  </si>
  <si>
    <t>KF05</t>
  </si>
  <si>
    <t>192.168.33.5</t>
  </si>
  <si>
    <t>#11132</t>
  </si>
  <si>
    <t>KF06</t>
  </si>
  <si>
    <t>192.168.33.6</t>
  </si>
  <si>
    <t>#13852</t>
  </si>
  <si>
    <t>KF07</t>
  </si>
  <si>
    <t>192.168.33.7</t>
  </si>
  <si>
    <t>#11723</t>
  </si>
  <si>
    <t>KF10</t>
  </si>
  <si>
    <t>192.168.33.10</t>
  </si>
  <si>
    <t>#25956</t>
  </si>
  <si>
    <t>KF11</t>
  </si>
  <si>
    <t>192.168.33.11</t>
  </si>
  <si>
    <t>#18143</t>
  </si>
  <si>
    <t>KF13</t>
  </si>
  <si>
    <t>192.168.33.13</t>
  </si>
  <si>
    <t>#17912</t>
  </si>
  <si>
    <t>KF14</t>
  </si>
  <si>
    <t>192.168.33.14</t>
  </si>
  <si>
    <t xml:space="preserve"> #10953</t>
  </si>
  <si>
    <t>KF15</t>
  </si>
  <si>
    <t>192.168.33.15</t>
  </si>
  <si>
    <t>#04751</t>
  </si>
  <si>
    <t>KF16</t>
  </si>
  <si>
    <t>192.168.33.16</t>
  </si>
  <si>
    <t>#09587</t>
  </si>
  <si>
    <t>KF18</t>
  </si>
  <si>
    <t>192.168.33.18</t>
  </si>
  <si>
    <t>#07179</t>
  </si>
  <si>
    <t>KF20</t>
  </si>
  <si>
    <t>192.168.33.20</t>
  </si>
  <si>
    <t>#17794</t>
  </si>
  <si>
    <t>KF21</t>
  </si>
  <si>
    <t>192.168.33.21</t>
  </si>
  <si>
    <t>#10864</t>
  </si>
  <si>
    <t>KF22</t>
  </si>
  <si>
    <t>192.168.33.22</t>
  </si>
  <si>
    <t>#08232</t>
  </si>
  <si>
    <t>KF23</t>
  </si>
  <si>
    <t>192.168.33.23</t>
  </si>
  <si>
    <t>#17589</t>
  </si>
  <si>
    <t>KF24</t>
  </si>
  <si>
    <t>192.168.33.24</t>
  </si>
  <si>
    <t>#15625</t>
  </si>
  <si>
    <t>KF28</t>
  </si>
  <si>
    <t>192.168.33.28</t>
  </si>
  <si>
    <t>#16002</t>
  </si>
  <si>
    <t>KF31</t>
  </si>
  <si>
    <t>192.168.33.31</t>
  </si>
  <si>
    <t>#17356</t>
  </si>
  <si>
    <t>KF35</t>
  </si>
  <si>
    <t>192.168.33.35</t>
  </si>
  <si>
    <t>#10879</t>
  </si>
  <si>
    <t>KF36</t>
  </si>
  <si>
    <t>192.168.33.36</t>
  </si>
  <si>
    <t>#16290</t>
  </si>
  <si>
    <t>KF37</t>
  </si>
  <si>
    <t>192.168.33.37</t>
  </si>
  <si>
    <t>#15629</t>
  </si>
  <si>
    <t>KF39</t>
  </si>
  <si>
    <t>192.168.33.39</t>
  </si>
  <si>
    <t>#13668</t>
  </si>
  <si>
    <t>KF40</t>
  </si>
  <si>
    <t>192.168.33.40</t>
  </si>
  <si>
    <t>#21398</t>
  </si>
  <si>
    <t>KF41</t>
  </si>
  <si>
    <t>192.168.33.41</t>
  </si>
  <si>
    <t>#26306</t>
  </si>
  <si>
    <t>KF42</t>
  </si>
  <si>
    <t>192.168.33.42</t>
  </si>
  <si>
    <t>#04750</t>
  </si>
  <si>
    <t>KF44</t>
  </si>
  <si>
    <t>192.168.33.44</t>
  </si>
  <si>
    <t>#12584</t>
  </si>
  <si>
    <t>KF45</t>
  </si>
  <si>
    <t>192.168.33.45</t>
  </si>
  <si>
    <t>#17795</t>
  </si>
  <si>
    <t>KF46</t>
  </si>
  <si>
    <t>192.168.33.46</t>
  </si>
  <si>
    <t>#12403</t>
  </si>
  <si>
    <t>KF47</t>
  </si>
  <si>
    <t>192.168.33.47</t>
  </si>
  <si>
    <t>#16003</t>
  </si>
  <si>
    <t>KF48</t>
  </si>
  <si>
    <t>192.168.33.48</t>
  </si>
  <si>
    <t>#17730</t>
  </si>
  <si>
    <t>KF51</t>
  </si>
  <si>
    <t>192.168.33.51</t>
  </si>
  <si>
    <t>#13672</t>
  </si>
  <si>
    <t>KF53</t>
  </si>
  <si>
    <t>192.168.33.53</t>
  </si>
  <si>
    <t>#10954</t>
  </si>
  <si>
    <t>KF56</t>
  </si>
  <si>
    <t>192.168.33.56</t>
  </si>
  <si>
    <t>#09589</t>
  </si>
  <si>
    <t>KF65</t>
  </si>
  <si>
    <t>192.168.33.65</t>
  </si>
  <si>
    <t>#12808</t>
  </si>
  <si>
    <t>KF66</t>
  </si>
  <si>
    <t>192.168.33.66</t>
  </si>
  <si>
    <t>#10784</t>
  </si>
  <si>
    <t>KF69</t>
  </si>
  <si>
    <t>192.168.33.69</t>
  </si>
  <si>
    <t>#10863</t>
  </si>
  <si>
    <t>KF74</t>
  </si>
  <si>
    <t>192.168.33.74</t>
  </si>
  <si>
    <t>#12806</t>
  </si>
  <si>
    <t>KF76</t>
  </si>
  <si>
    <t>192.168.33.76</t>
  </si>
  <si>
    <t>#17731</t>
  </si>
  <si>
    <t>KF79</t>
  </si>
  <si>
    <t>192.168.33.79</t>
  </si>
  <si>
    <t>#11724</t>
  </si>
  <si>
    <t>KF95</t>
  </si>
  <si>
    <t>192.168.33.95</t>
  </si>
  <si>
    <t>#19545</t>
  </si>
  <si>
    <t>KF-MEETING2</t>
  </si>
  <si>
    <t>192.168.33.68</t>
  </si>
  <si>
    <t>KF-MEET2</t>
  </si>
  <si>
    <t>4GB +4GB</t>
  </si>
  <si>
    <t>4x2GB</t>
  </si>
  <si>
    <t>Core I3 8100</t>
  </si>
  <si>
    <t>B75M</t>
  </si>
  <si>
    <t>4GB + 2x2GB</t>
  </si>
  <si>
    <t>P8Z68-V</t>
  </si>
  <si>
    <t>Core I3 4160</t>
  </si>
  <si>
    <t>Core I3 9100F</t>
  </si>
  <si>
    <t>Core I7 4770</t>
  </si>
  <si>
    <t>PHẦN MỀM ERP</t>
  </si>
  <si>
    <t>MEP2011</t>
  </si>
  <si>
    <t/>
  </si>
  <si>
    <t>Mechanical 2015</t>
  </si>
  <si>
    <t>PHẦN MỀM THIẾT KẾ AutoCAD</t>
  </si>
  <si>
    <t>PHẦN MỀM THIẾT KẾ ZWCAD</t>
  </si>
  <si>
    <t>Zwcad 2022 mechanical network</t>
  </si>
  <si>
    <t>GƠI Ý THAY THẾ NÂNG CẤP KAIFA</t>
  </si>
  <si>
    <t>KM07</t>
  </si>
  <si>
    <t>192.168.33.127</t>
  </si>
  <si>
    <t>#18894</t>
  </si>
  <si>
    <t>KM08</t>
  </si>
  <si>
    <t>172.16.31.101</t>
  </si>
  <si>
    <t>#06436</t>
  </si>
  <si>
    <t xml:space="preserve">KM10 </t>
  </si>
  <si>
    <t>192.168.33.182</t>
  </si>
  <si>
    <t>#09787</t>
  </si>
  <si>
    <t>KM11</t>
  </si>
  <si>
    <t>192.168.33.138</t>
  </si>
  <si>
    <t>#00264</t>
  </si>
  <si>
    <t>KM-Laser</t>
  </si>
  <si>
    <t>192.168.33.129/ 192.192.100.20</t>
  </si>
  <si>
    <t>#10605</t>
  </si>
  <si>
    <t>250GB HDD+500GB HDD</t>
  </si>
  <si>
    <t>Zwcad 2019 mechanical network,Cimatron E12</t>
  </si>
  <si>
    <t>GƠI Ý THAY THẾ NÂNG CẤP KHUÂN MẪU</t>
  </si>
  <si>
    <t>KT02</t>
  </si>
  <si>
    <t>192.168.23.2</t>
  </si>
  <si>
    <t>#00464</t>
  </si>
  <si>
    <t>KT04</t>
  </si>
  <si>
    <t>192.168.23.4</t>
  </si>
  <si>
    <t>#01386</t>
  </si>
  <si>
    <t>KT05</t>
  </si>
  <si>
    <t>192.168.23.5</t>
  </si>
  <si>
    <t>#14021</t>
  </si>
  <si>
    <t>KT08</t>
  </si>
  <si>
    <t>192.168.23.8</t>
  </si>
  <si>
    <t>#01015</t>
  </si>
  <si>
    <t>KT13</t>
  </si>
  <si>
    <t>192.168.23.13</t>
  </si>
  <si>
    <t>#01294</t>
  </si>
  <si>
    <t>KT14</t>
  </si>
  <si>
    <t>192.168.23.14</t>
  </si>
  <si>
    <t>#23102</t>
  </si>
  <si>
    <t>GƠI Ý THAY THẾ NÂNG CẤP KẾ TOÁN</t>
  </si>
  <si>
    <t>KTKP04</t>
  </si>
  <si>
    <t>192.168.23.78</t>
  </si>
  <si>
    <t>#23101</t>
  </si>
  <si>
    <t>KTKP05</t>
  </si>
  <si>
    <t>192.168.23.79</t>
  </si>
  <si>
    <t>#20363</t>
  </si>
  <si>
    <t>KTKP06</t>
  </si>
  <si>
    <t>192.168.23.80</t>
  </si>
  <si>
    <t>#22881</t>
  </si>
  <si>
    <t>KTSX01</t>
  </si>
  <si>
    <t>192.168.30.72</t>
  </si>
  <si>
    <t>#24900</t>
  </si>
  <si>
    <t>KTSX03</t>
  </si>
  <si>
    <t>192.168.30.73</t>
  </si>
  <si>
    <t>#23793</t>
  </si>
  <si>
    <t>KTSX04</t>
  </si>
  <si>
    <t>192.168.30.74</t>
  </si>
  <si>
    <t>#16143</t>
  </si>
  <si>
    <t>KTSX05</t>
  </si>
  <si>
    <t>192.168.30.75</t>
  </si>
  <si>
    <t>#23792</t>
  </si>
  <si>
    <t>ERP,Zwcad 2018 mechanical ,SolidWork 20021 PRO network,</t>
  </si>
  <si>
    <t>ERP,Uipath Studio (RPA)</t>
  </si>
  <si>
    <t>GƠI Ý THAY THẾ NÂNG CẤP KTSX</t>
  </si>
  <si>
    <t>QA02</t>
  </si>
  <si>
    <t>192.168.33.102</t>
  </si>
  <si>
    <t>#00913</t>
  </si>
  <si>
    <t>QA03</t>
  </si>
  <si>
    <t>192.168.33.103</t>
  </si>
  <si>
    <t>#11714</t>
  </si>
  <si>
    <t>QA04</t>
  </si>
  <si>
    <t>192.168.33.104</t>
  </si>
  <si>
    <t>#19425</t>
  </si>
  <si>
    <t>QA05</t>
  </si>
  <si>
    <t>192.168.33.105</t>
  </si>
  <si>
    <t>#24125</t>
  </si>
  <si>
    <t>QA06</t>
  </si>
  <si>
    <t>192.168.33.106</t>
  </si>
  <si>
    <t>#03408</t>
  </si>
  <si>
    <t>QA07</t>
  </si>
  <si>
    <t>192.168.33.107</t>
  </si>
  <si>
    <t>#20193</t>
  </si>
  <si>
    <t>QA08</t>
  </si>
  <si>
    <t>192.168.33.108</t>
  </si>
  <si>
    <t>#00079</t>
  </si>
  <si>
    <t>QA10</t>
  </si>
  <si>
    <t>192.168.33.110</t>
  </si>
  <si>
    <t>#24525</t>
  </si>
  <si>
    <t>QA12</t>
  </si>
  <si>
    <t>192.168.33.112</t>
  </si>
  <si>
    <t>#10693</t>
  </si>
  <si>
    <t>QA15</t>
  </si>
  <si>
    <t>192.168.33.115</t>
  </si>
  <si>
    <t>#24081</t>
  </si>
  <si>
    <t>QA17</t>
  </si>
  <si>
    <t>192.168.33.117</t>
  </si>
  <si>
    <t>QA18</t>
  </si>
  <si>
    <t>192.168.33.118</t>
  </si>
  <si>
    <t>#11402</t>
  </si>
  <si>
    <t>QA19</t>
  </si>
  <si>
    <t>192.168.33.119</t>
  </si>
  <si>
    <t>#06237</t>
  </si>
  <si>
    <t>QA20</t>
  </si>
  <si>
    <t>192.168.33.120</t>
  </si>
  <si>
    <t>#03480</t>
  </si>
  <si>
    <t>QA37</t>
  </si>
  <si>
    <t>192.168.33.137</t>
  </si>
  <si>
    <t>#24084</t>
  </si>
  <si>
    <t>2018-2025</t>
  </si>
  <si>
    <t>GƠI Ý THAY THẾ NÂNG CẤP QA</t>
  </si>
  <si>
    <t>QC101</t>
  </si>
  <si>
    <t>192.168.31.31</t>
  </si>
  <si>
    <t>#00990</t>
  </si>
  <si>
    <t>QC103</t>
  </si>
  <si>
    <t>192.168.31.33</t>
  </si>
  <si>
    <t>#19779</t>
  </si>
  <si>
    <t>QC104</t>
  </si>
  <si>
    <t>192.168.31.34</t>
  </si>
  <si>
    <t>#00952</t>
  </si>
  <si>
    <t>QC107</t>
  </si>
  <si>
    <t>192.168.31.37</t>
  </si>
  <si>
    <t>#01214</t>
  </si>
  <si>
    <t>QC108</t>
  </si>
  <si>
    <t>192.168.31.38</t>
  </si>
  <si>
    <t>#01285</t>
  </si>
  <si>
    <t>QC111</t>
  </si>
  <si>
    <t>192.168.31.41</t>
  </si>
  <si>
    <t>#13743</t>
  </si>
  <si>
    <t>QC112</t>
  </si>
  <si>
    <t>192.168.31.42</t>
  </si>
  <si>
    <t>#15940</t>
  </si>
  <si>
    <t>QC115</t>
  </si>
  <si>
    <t>192.168.31.45</t>
  </si>
  <si>
    <t>#19164</t>
  </si>
  <si>
    <t>QC117</t>
  </si>
  <si>
    <t>192.168.31.47</t>
  </si>
  <si>
    <t>#03037</t>
  </si>
  <si>
    <t>QC121</t>
  </si>
  <si>
    <t>192.168.34.25</t>
  </si>
  <si>
    <t>#09755</t>
  </si>
  <si>
    <t>QC501</t>
  </si>
  <si>
    <t>192.168.22.21</t>
  </si>
  <si>
    <t>#09759</t>
  </si>
  <si>
    <t>QC503</t>
  </si>
  <si>
    <t>192.168.22.23</t>
  </si>
  <si>
    <t>#07279</t>
  </si>
  <si>
    <t>QCX202</t>
  </si>
  <si>
    <t>192.168.23.72</t>
  </si>
  <si>
    <t>#06831</t>
  </si>
  <si>
    <t>QCX203</t>
  </si>
  <si>
    <t>192.168.23.73</t>
  </si>
  <si>
    <t>#02261</t>
  </si>
  <si>
    <t>QCX205</t>
  </si>
  <si>
    <t>192.168.23.85</t>
  </si>
  <si>
    <t>#11366</t>
  </si>
  <si>
    <t>2GB</t>
  </si>
  <si>
    <t>LAPRAP01</t>
  </si>
  <si>
    <t>192.168.32.31</t>
  </si>
  <si>
    <t>#13581</t>
  </si>
  <si>
    <t>LAPRAP03</t>
  </si>
  <si>
    <t>192.168.32.33</t>
  </si>
  <si>
    <t>#01266</t>
  </si>
  <si>
    <t>LAPRAP04</t>
  </si>
  <si>
    <t>192.168.32.34</t>
  </si>
  <si>
    <t>#14212</t>
  </si>
  <si>
    <t>GƠI Ý THAY THẾ NÂNG CẤP LAPRAP</t>
  </si>
  <si>
    <t>LK102</t>
  </si>
  <si>
    <t>192.168.32.45</t>
  </si>
  <si>
    <t>#00807</t>
  </si>
  <si>
    <t>LK104</t>
  </si>
  <si>
    <t>192.168.32.62</t>
  </si>
  <si>
    <t>#00125</t>
  </si>
  <si>
    <t>LK105</t>
  </si>
  <si>
    <t>192.168.32.63</t>
  </si>
  <si>
    <t># 03042</t>
  </si>
  <si>
    <t>LK301</t>
  </si>
  <si>
    <t>192.168.32.80</t>
  </si>
  <si>
    <t>#00844</t>
  </si>
  <si>
    <t>LK303</t>
  </si>
  <si>
    <t>192.168.32.37</t>
  </si>
  <si>
    <t>#01787</t>
  </si>
  <si>
    <t>LK304</t>
  </si>
  <si>
    <t>192.168.32.85</t>
  </si>
  <si>
    <t>#02295</t>
  </si>
  <si>
    <t>LK305</t>
  </si>
  <si>
    <t>192.168.32.61</t>
  </si>
  <si>
    <t>#24123</t>
  </si>
  <si>
    <t>G2030</t>
  </si>
  <si>
    <t>TP201</t>
  </si>
  <si>
    <t>192.168.23.86</t>
  </si>
  <si>
    <t>#02420</t>
  </si>
  <si>
    <t>TP203</t>
  </si>
  <si>
    <t>192.168.23.88</t>
  </si>
  <si>
    <t>#15573</t>
  </si>
  <si>
    <t>TP205</t>
  </si>
  <si>
    <t>192.168.23.90</t>
  </si>
  <si>
    <t>#01932</t>
  </si>
  <si>
    <t>TP301</t>
  </si>
  <si>
    <t>192.168.34.1</t>
  </si>
  <si>
    <t>#00405</t>
  </si>
  <si>
    <t>TP307</t>
  </si>
  <si>
    <t>192.168.34.7</t>
  </si>
  <si>
    <t>#03073</t>
  </si>
  <si>
    <t>TP311</t>
  </si>
  <si>
    <t>192.168.34.23</t>
  </si>
  <si>
    <t>#08553</t>
  </si>
  <si>
    <t>TP312</t>
  </si>
  <si>
    <t>192.168.34.24</t>
  </si>
  <si>
    <t>NL101</t>
  </si>
  <si>
    <t>192.168.31.51</t>
  </si>
  <si>
    <t>#07039</t>
  </si>
  <si>
    <t>NL102</t>
  </si>
  <si>
    <t>192.168.31.52</t>
  </si>
  <si>
    <t>#01662</t>
  </si>
  <si>
    <t>NL106</t>
  </si>
  <si>
    <t>192.168.31.56</t>
  </si>
  <si>
    <t>#00400</t>
  </si>
  <si>
    <t>QLK501</t>
  </si>
  <si>
    <t>192.168.22.1</t>
  </si>
  <si>
    <t>#03671</t>
  </si>
  <si>
    <t>QLK502</t>
  </si>
  <si>
    <t>192.168.22.2</t>
  </si>
  <si>
    <t>#05574</t>
  </si>
  <si>
    <t>QLK503</t>
  </si>
  <si>
    <t>192.168.22.5</t>
  </si>
  <si>
    <t>#09077</t>
  </si>
  <si>
    <t>QLK504</t>
  </si>
  <si>
    <t>192.168.22.4</t>
  </si>
  <si>
    <t>#07966</t>
  </si>
  <si>
    <t>QLK506</t>
  </si>
  <si>
    <t>192.168.22.6</t>
  </si>
  <si>
    <t>#00900</t>
  </si>
  <si>
    <t>G2130</t>
  </si>
  <si>
    <t>GƠI Ý THAY THẾ NÂNG CẤP QLK</t>
  </si>
  <si>
    <t>2020-2025</t>
  </si>
  <si>
    <t>NS01</t>
  </si>
  <si>
    <t>192.168.34.31</t>
  </si>
  <si>
    <t>#02824</t>
  </si>
  <si>
    <t>NS02</t>
  </si>
  <si>
    <t>192.168.34.32</t>
  </si>
  <si>
    <t>#18258</t>
  </si>
  <si>
    <t>NS04</t>
  </si>
  <si>
    <t>192.168.34.34</t>
  </si>
  <si>
    <t>#00336</t>
  </si>
  <si>
    <t>NS08</t>
  </si>
  <si>
    <t>192.168.34.38</t>
  </si>
  <si>
    <t>#01162</t>
  </si>
  <si>
    <t>NS12</t>
  </si>
  <si>
    <t>192.168.34.45</t>
  </si>
  <si>
    <t>#09870</t>
  </si>
  <si>
    <t>NS14</t>
  </si>
  <si>
    <t>192.168.34.49</t>
  </si>
  <si>
    <t>#20907</t>
  </si>
  <si>
    <t>NS601</t>
  </si>
  <si>
    <t>172.16.31.42</t>
  </si>
  <si>
    <t>GƠI Ý THAY THẾ NÂNG CẤP NHÂN SỰ</t>
  </si>
  <si>
    <t>TM01</t>
  </si>
  <si>
    <t>192.168.34.51</t>
  </si>
  <si>
    <t>#24337</t>
  </si>
  <si>
    <t>TM03</t>
  </si>
  <si>
    <t>192.168.34.53</t>
  </si>
  <si>
    <t>#17064</t>
  </si>
  <si>
    <t>TM04</t>
  </si>
  <si>
    <t>192.168.34.54</t>
  </si>
  <si>
    <t>#26156</t>
  </si>
  <si>
    <t>TM06</t>
  </si>
  <si>
    <t>192.168.34.56</t>
  </si>
  <si>
    <t>#18155</t>
  </si>
  <si>
    <t>TM08</t>
  </si>
  <si>
    <t>192.168.34.58</t>
  </si>
  <si>
    <t>#01574</t>
  </si>
  <si>
    <t>TM09</t>
  </si>
  <si>
    <t>192.168.34.59</t>
  </si>
  <si>
    <t>#22259</t>
  </si>
  <si>
    <t>TM10</t>
  </si>
  <si>
    <t>192.168.34.60</t>
  </si>
  <si>
    <t>#24569</t>
  </si>
  <si>
    <t>TM11</t>
  </si>
  <si>
    <t>192.168.34.61</t>
  </si>
  <si>
    <t>#24568</t>
  </si>
  <si>
    <t>TM12</t>
  </si>
  <si>
    <t>192.168.34.62</t>
  </si>
  <si>
    <t>#08898</t>
  </si>
  <si>
    <t>TM14</t>
  </si>
  <si>
    <t>192.168.34.64</t>
  </si>
  <si>
    <t>#19766</t>
  </si>
  <si>
    <t>TM17</t>
  </si>
  <si>
    <t>192.168.34.67</t>
  </si>
  <si>
    <t>#16669</t>
  </si>
  <si>
    <t>TM19</t>
  </si>
  <si>
    <t>192.168.34.69</t>
  </si>
  <si>
    <t>#22756</t>
  </si>
  <si>
    <t>TM21</t>
  </si>
  <si>
    <t>192.168.34.71</t>
  </si>
  <si>
    <t>#17578</t>
  </si>
  <si>
    <t>TM23</t>
  </si>
  <si>
    <t>192.168.34.73</t>
  </si>
  <si>
    <t>#14376</t>
  </si>
  <si>
    <t>TM25</t>
  </si>
  <si>
    <t>192.168.34.75</t>
  </si>
  <si>
    <t>#13750</t>
  </si>
  <si>
    <t>CANONG02</t>
  </si>
  <si>
    <t>192.168.22.48</t>
  </si>
  <si>
    <t>#03562</t>
  </si>
  <si>
    <t>GƠI Ý THAY THẾ NÂNG CẤP THUMUA</t>
  </si>
  <si>
    <t>SON101</t>
  </si>
  <si>
    <t>192.168.32.50</t>
  </si>
  <si>
    <t>#11637</t>
  </si>
  <si>
    <t>SON104</t>
  </si>
  <si>
    <t>192.168.32.53</t>
  </si>
  <si>
    <t>#09567</t>
  </si>
  <si>
    <t>SON202</t>
  </si>
  <si>
    <t>192.168.23.82</t>
  </si>
  <si>
    <t>#00806</t>
  </si>
  <si>
    <t>SON203</t>
  </si>
  <si>
    <t>192.168.23.42</t>
  </si>
  <si>
    <t>#09253</t>
  </si>
  <si>
    <t>SON205</t>
  </si>
  <si>
    <t>192.168.23.61</t>
  </si>
  <si>
    <t>#01614</t>
  </si>
  <si>
    <t>SON303</t>
  </si>
  <si>
    <t>192.168.32.43</t>
  </si>
  <si>
    <t>#09592</t>
  </si>
  <si>
    <t>MEETING-SON105</t>
  </si>
  <si>
    <t>192.168.32.54</t>
  </si>
  <si>
    <t>SON105-MEETING</t>
  </si>
  <si>
    <t>CNC</t>
  </si>
  <si>
    <t xml:space="preserve"> 192.192.200.2</t>
  </si>
  <si>
    <t>#15374</t>
  </si>
  <si>
    <t>Core I5 9400F</t>
  </si>
  <si>
    <t>GƠI Ý THAY THẾ NÂNG CẤP SƠN</t>
  </si>
  <si>
    <t>ERP,Zwcad 2018 mechanical network</t>
  </si>
  <si>
    <t>VPX101</t>
  </si>
  <si>
    <t>192.168.31.1</t>
  </si>
  <si>
    <t>#10437</t>
  </si>
  <si>
    <t>VPX103</t>
  </si>
  <si>
    <t>192.168.31.3</t>
  </si>
  <si>
    <t>#00854</t>
  </si>
  <si>
    <t>VPX104</t>
  </si>
  <si>
    <t>192.168.31.4</t>
  </si>
  <si>
    <t>#04202</t>
  </si>
  <si>
    <t>VPX105</t>
  </si>
  <si>
    <t>192.168.31.5</t>
  </si>
  <si>
    <t>#07789</t>
  </si>
  <si>
    <t>VPX108</t>
  </si>
  <si>
    <t>192.168.31.8</t>
  </si>
  <si>
    <t>#07290</t>
  </si>
  <si>
    <t>VPX110</t>
  </si>
  <si>
    <t>192.168.31.10</t>
  </si>
  <si>
    <t>#02245</t>
  </si>
  <si>
    <t>VPX111</t>
  </si>
  <si>
    <t>192.168.31.11</t>
  </si>
  <si>
    <t>#15884</t>
  </si>
  <si>
    <t>VPX113</t>
  </si>
  <si>
    <t>192.168.31.13</t>
  </si>
  <si>
    <t>#00665</t>
  </si>
  <si>
    <t>VPX114</t>
  </si>
  <si>
    <t>192.168.31.14</t>
  </si>
  <si>
    <t>#06748</t>
  </si>
  <si>
    <t>VPX115</t>
  </si>
  <si>
    <t>192.168.31.15</t>
  </si>
  <si>
    <t>#15725</t>
  </si>
  <si>
    <t>VPX119</t>
  </si>
  <si>
    <t>192.168.31.19</t>
  </si>
  <si>
    <t>#09145</t>
  </si>
  <si>
    <t>VPX120</t>
  </si>
  <si>
    <t>192.168.31.20</t>
  </si>
  <si>
    <t>#24335</t>
  </si>
  <si>
    <t>VPX121</t>
  </si>
  <si>
    <t>192.168.31.21</t>
  </si>
  <si>
    <t>#03747</t>
  </si>
  <si>
    <t>VPX123</t>
  </si>
  <si>
    <t>192.168.31.23</t>
  </si>
  <si>
    <t>#20328</t>
  </si>
  <si>
    <t>VPX124</t>
  </si>
  <si>
    <t>192.168.31.24</t>
  </si>
  <si>
    <t>#03613</t>
  </si>
  <si>
    <t>VPX125</t>
  </si>
  <si>
    <t>192.168.31.25</t>
  </si>
  <si>
    <t>#06908</t>
  </si>
  <si>
    <t>VPX126</t>
  </si>
  <si>
    <t>192.168.31.26</t>
  </si>
  <si>
    <t>#19767</t>
  </si>
  <si>
    <t>VPX127</t>
  </si>
  <si>
    <t>192.168.31.27</t>
  </si>
  <si>
    <t>#12694</t>
  </si>
  <si>
    <t>VPX128</t>
  </si>
  <si>
    <t>192.168.31.28</t>
  </si>
  <si>
    <t>#01232</t>
  </si>
  <si>
    <t>VPX130</t>
  </si>
  <si>
    <t>192.168.31.30</t>
  </si>
  <si>
    <t>#10029</t>
  </si>
  <si>
    <t>VPX131</t>
  </si>
  <si>
    <t>192.168.31.71</t>
  </si>
  <si>
    <t>#00767</t>
  </si>
  <si>
    <t>VPX132</t>
  </si>
  <si>
    <t>192.168.31.72</t>
  </si>
  <si>
    <t>#11937</t>
  </si>
  <si>
    <t>VPX133</t>
  </si>
  <si>
    <t>192.168.31.74</t>
  </si>
  <si>
    <t>#24016</t>
  </si>
  <si>
    <t>VPX140</t>
  </si>
  <si>
    <t>192.168.31.40</t>
  </si>
  <si>
    <t>#19909</t>
  </si>
  <si>
    <t>VPX203</t>
  </si>
  <si>
    <t>192.168.23.93</t>
  </si>
  <si>
    <t>#04267</t>
  </si>
  <si>
    <t>VPX205</t>
  </si>
  <si>
    <t>192.168.23.95</t>
  </si>
  <si>
    <t>#04268</t>
  </si>
  <si>
    <t>VPX206</t>
  </si>
  <si>
    <t>192.168.23.96</t>
  </si>
  <si>
    <t>#06492</t>
  </si>
  <si>
    <t>VPX209</t>
  </si>
  <si>
    <t>192.168.23.99</t>
  </si>
  <si>
    <t>#22094</t>
  </si>
  <si>
    <t>250GB HDD + 250GB HDD</t>
  </si>
  <si>
    <t>WIRECUT01</t>
  </si>
  <si>
    <t>192.168.0.55</t>
  </si>
  <si>
    <t>#04506</t>
  </si>
  <si>
    <t>WIRECUT02</t>
  </si>
  <si>
    <t>192.168.33.132/192.168.0.100</t>
  </si>
  <si>
    <t>#01066</t>
  </si>
  <si>
    <t>WIRECUT03</t>
  </si>
  <si>
    <t>192.168.33.134/ 192.168.0.99</t>
  </si>
  <si>
    <t>#00640</t>
  </si>
  <si>
    <t>GƠI Ý THAY THẾ NÂNG CẤP QLSX</t>
  </si>
  <si>
    <t>RPA</t>
  </si>
  <si>
    <t>YTE01</t>
  </si>
  <si>
    <t>192.168.32.81</t>
  </si>
  <si>
    <t>#00376</t>
  </si>
  <si>
    <t>YTE02</t>
  </si>
  <si>
    <t>192.168.32.82</t>
  </si>
  <si>
    <t>#05074</t>
  </si>
  <si>
    <t>YTE03</t>
  </si>
  <si>
    <t>192.168.22.56</t>
  </si>
  <si>
    <t>#01967</t>
  </si>
  <si>
    <t>GƠI Ý THAY THẾ NÂNG CẤP Y TE</t>
  </si>
  <si>
    <t>GƠI Ý THAY THẾ NÂNG CẤP</t>
  </si>
  <si>
    <t>Gơi ý nâng cấp theo cấu hình : =&gt; bấm vào linh để xem chi tiết mã và thông tin</t>
  </si>
  <si>
    <t>BỘ PHẬN</t>
  </si>
  <si>
    <t>SÔ LƯỢNG MÁY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</si>
</sst>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Times New Roman"/>
      <family val="1"/>
    </font>
    <font>
      <b/>
      <sz val="20"/>
      <color theme="1"/>
      <name val="Microsoft JhengHei"/>
      <family val="2"/>
    </font>
    <font>
      <b/>
      <sz val="14"/>
      <color theme="1"/>
      <name val="Times New Roman"/>
      <family val="1"/>
    </font>
    <font>
      <b/>
      <sz val="14"/>
      <name val="Times New Roman"/>
      <family val="1"/>
    </font>
    <font>
      <b/>
      <sz val="14"/>
      <name val="Microsoft JhengHei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rgb="FFFF0000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  <font>
      <sz val="14"/>
      <color rgb="FFFF0000"/>
      <name val="Calibri"/>
      <family val="2"/>
      <scheme val="minor"/>
    </font>
    <font>
      <b/>
      <sz val="24"/>
      <color rgb="FFFF0000"/>
      <name val="Times New Roman"/>
      <family val="1"/>
    </font>
    <font>
      <b/>
      <sz val="24"/>
      <color rgb="FFFF0000"/>
      <name val="Microsoft JhengHei"/>
      <family val="2"/>
    </font>
    <font>
      <sz val="11"/>
      <color rgb="FFFF0000"/>
      <name val="Calibri"/>
      <family val="2"/>
      <scheme val="minor"/>
    </font>
    <font>
      <sz val="15"/>
      <color theme="1"/>
      <name val="Times New Roman"/>
      <family val="1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sz val="15"/>
      <color theme="1"/>
      <name val="Times New Roman"/>
      <family val="1"/>
    </font>
    <font>
      <sz val="12"/>
      <color theme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1" xfId="0" applyFont="1" applyFill="1" applyBorder="1"/>
    <xf numFmtId="0" fontId="10" fillId="0" borderId="1" xfId="0" applyFont="1" applyBorder="1"/>
    <xf numFmtId="0" fontId="13" fillId="0" borderId="1" xfId="0" applyFont="1" applyBorder="1" applyAlignment="1">
      <alignment horizontal="center" vertical="center"/>
    </xf>
    <xf numFmtId="0" fontId="12" fillId="5" borderId="1" xfId="0" applyFont="1" applyFill="1" applyBorder="1" applyAlignment="1">
      <alignment vertical="center" wrapText="1"/>
    </xf>
    <xf numFmtId="3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/>
    <xf numFmtId="3" fontId="15" fillId="0" borderId="1" xfId="0" applyNumberFormat="1" applyFont="1" applyBorder="1" applyAlignment="1">
      <alignment horizontal="center" vertical="center"/>
    </xf>
    <xf numFmtId="3" fontId="16" fillId="5" borderId="7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4" fillId="0" borderId="1" xfId="0" applyFont="1" applyBorder="1"/>
    <xf numFmtId="0" fontId="16" fillId="3" borderId="2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3" fontId="15" fillId="0" borderId="1" xfId="0" applyNumberFormat="1" applyFont="1" applyBorder="1"/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1" fillId="0" borderId="1" xfId="0" applyFont="1" applyBorder="1"/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3" fillId="0" borderId="1" xfId="0" applyFont="1" applyFill="1" applyBorder="1" applyAlignment="1">
      <alignment horizontal="center" vertical="center"/>
    </xf>
    <xf numFmtId="3" fontId="15" fillId="0" borderId="1" xfId="0" applyNumberFormat="1" applyFont="1" applyBorder="1" applyAlignment="1">
      <alignment vertical="center"/>
    </xf>
    <xf numFmtId="3" fontId="21" fillId="0" borderId="1" xfId="0" applyNumberFormat="1" applyFont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24" fillId="0" borderId="2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3" fillId="0" borderId="1" xfId="0" applyFont="1" applyBorder="1"/>
    <xf numFmtId="3" fontId="13" fillId="0" borderId="1" xfId="0" applyNumberFormat="1" applyFont="1" applyBorder="1"/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center" vertical="center"/>
    </xf>
    <xf numFmtId="0" fontId="13" fillId="0" borderId="3" xfId="0" applyFont="1" applyFill="1" applyBorder="1" applyAlignment="1">
      <alignment vertical="center" wrapText="1"/>
    </xf>
    <xf numFmtId="3" fontId="15" fillId="0" borderId="3" xfId="0" applyNumberFormat="1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25" fillId="0" borderId="1" xfId="1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3" fontId="12" fillId="0" borderId="1" xfId="0" applyNumberFormat="1" applyFont="1" applyBorder="1"/>
    <xf numFmtId="0" fontId="21" fillId="0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3" fontId="12" fillId="0" borderId="8" xfId="0" applyNumberFormat="1" applyFont="1" applyBorder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3" fontId="12" fillId="0" borderId="1" xfId="0" applyNumberFormat="1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5" fillId="0" borderId="8" xfId="1" applyFont="1" applyBorder="1" applyAlignment="1">
      <alignment horizontal="center"/>
    </xf>
    <xf numFmtId="0" fontId="25" fillId="0" borderId="5" xfId="1" applyFont="1" applyBorder="1" applyAlignment="1">
      <alignment horizontal="center"/>
    </xf>
    <xf numFmtId="0" fontId="25" fillId="0" borderId="9" xfId="1" applyFont="1" applyBorder="1" applyAlignment="1">
      <alignment horizontal="center"/>
    </xf>
    <xf numFmtId="0" fontId="0" fillId="5" borderId="0" xfId="0" applyFill="1"/>
  </cellXfs>
  <cellStyles count="2">
    <cellStyle name="Hyperlink" xfId="1" builtinId="8"/>
    <cellStyle name="Normal" xfId="0" builtinId="0"/>
  </cellStyles>
  <dxfs count="9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443707</xdr:colOff>
      <xdr:row>4</xdr:row>
      <xdr:rowOff>696312</xdr:rowOff>
    </xdr:from>
    <xdr:to>
      <xdr:col>2</xdr:col>
      <xdr:colOff>3428934</xdr:colOff>
      <xdr:row>4</xdr:row>
      <xdr:rowOff>2095501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E8C228-09EA-4FD1-B982-A1449FA4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19616" y="10134721"/>
          <a:ext cx="3070952" cy="1399189"/>
        </a:xfrm>
        <a:prstGeom prst="rect">
          <a:avLst/>
        </a:prstGeom>
      </xdr:spPr>
    </xdr:pic>
    <xdr:clientData/>
  </xdr:twoCellAnchor>
  <xdr:twoCellAnchor editAs="oneCell">
    <xdr:from>
      <xdr:col>2</xdr:col>
      <xdr:colOff>585108</xdr:colOff>
      <xdr:row>3</xdr:row>
      <xdr:rowOff>503463</xdr:rowOff>
    </xdr:from>
    <xdr:to>
      <xdr:col>2</xdr:col>
      <xdr:colOff>2785108</xdr:colOff>
      <xdr:row>3</xdr:row>
      <xdr:rowOff>2732034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134709-07DF-4BBE-B23B-B6FC0FED7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7358" y="5238749"/>
          <a:ext cx="2200000" cy="2228571"/>
        </a:xfrm>
        <a:prstGeom prst="rect">
          <a:avLst/>
        </a:prstGeom>
      </xdr:spPr>
    </xdr:pic>
    <xdr:clientData/>
  </xdr:twoCellAnchor>
  <xdr:twoCellAnchor editAs="oneCell">
    <xdr:from>
      <xdr:col>2</xdr:col>
      <xdr:colOff>476250</xdr:colOff>
      <xdr:row>2</xdr:row>
      <xdr:rowOff>312964</xdr:rowOff>
    </xdr:from>
    <xdr:to>
      <xdr:col>2</xdr:col>
      <xdr:colOff>3072298</xdr:colOff>
      <xdr:row>2</xdr:row>
      <xdr:rowOff>3088250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445F65-1000-44BA-AC75-BC207B648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38500" y="1687285"/>
          <a:ext cx="2596048" cy="2775286"/>
        </a:xfrm>
        <a:prstGeom prst="rect">
          <a:avLst/>
        </a:prstGeom>
      </xdr:spPr>
    </xdr:pic>
    <xdr:clientData/>
  </xdr:twoCellAnchor>
  <xdr:twoCellAnchor editAs="oneCell">
    <xdr:from>
      <xdr:col>2</xdr:col>
      <xdr:colOff>340179</xdr:colOff>
      <xdr:row>5</xdr:row>
      <xdr:rowOff>557893</xdr:rowOff>
    </xdr:from>
    <xdr:to>
      <xdr:col>2</xdr:col>
      <xdr:colOff>3144569</xdr:colOff>
      <xdr:row>5</xdr:row>
      <xdr:rowOff>2501845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F296108-DBD2-4F65-B6C9-49243665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02429" y="12015107"/>
          <a:ext cx="2804390" cy="1943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C18A-F383-408A-8B2A-9029E3094459}">
  <dimension ref="A1:J10"/>
  <sheetViews>
    <sheetView tabSelected="1" workbookViewId="0">
      <selection activeCell="G12" sqref="G12"/>
    </sheetView>
  </sheetViews>
  <sheetFormatPr defaultRowHeight="15" x14ac:dyDescent="0.25"/>
  <cols>
    <col min="1" max="1" width="12.5703125" customWidth="1"/>
    <col min="2" max="2" width="20" customWidth="1"/>
    <col min="3" max="3" width="12.5703125" customWidth="1"/>
    <col min="4" max="5" width="16.140625" customWidth="1"/>
    <col min="6" max="6" width="12.5703125" customWidth="1"/>
    <col min="7" max="7" width="21.42578125" customWidth="1"/>
  </cols>
  <sheetData>
    <row r="1" spans="1:10" ht="35.1" customHeight="1" x14ac:dyDescent="0.3">
      <c r="A1" s="18" t="s">
        <v>802</v>
      </c>
      <c r="B1" s="18"/>
      <c r="C1" s="18"/>
      <c r="D1" s="18"/>
      <c r="E1" s="18"/>
      <c r="F1" s="18"/>
      <c r="G1" s="18"/>
    </row>
    <row r="2" spans="1:10" ht="35.1" customHeight="1" x14ac:dyDescent="0.25">
      <c r="A2" s="3" t="s">
        <v>804</v>
      </c>
      <c r="B2" s="23" t="s">
        <v>805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83"/>
      <c r="I2" s="83"/>
      <c r="J2" s="83"/>
    </row>
    <row r="3" spans="1:10" ht="35.1" customHeight="1" x14ac:dyDescent="0.25">
      <c r="A3" s="24"/>
      <c r="B3" s="24"/>
      <c r="C3" s="24"/>
      <c r="D3" s="24"/>
      <c r="E3" s="24"/>
      <c r="F3" s="24"/>
      <c r="G3" s="24"/>
    </row>
    <row r="4" spans="1:10" ht="35.1" customHeight="1" x14ac:dyDescent="0.25">
      <c r="A4" s="24"/>
      <c r="B4" s="24"/>
      <c r="C4" s="24"/>
      <c r="D4" s="24"/>
      <c r="E4" s="24"/>
      <c r="F4" s="24"/>
      <c r="G4" s="24"/>
    </row>
    <row r="5" spans="1:10" ht="35.1" customHeight="1" x14ac:dyDescent="0.25">
      <c r="A5" s="24"/>
      <c r="B5" s="24"/>
      <c r="C5" s="24"/>
      <c r="D5" s="24"/>
      <c r="E5" s="24"/>
      <c r="F5" s="24"/>
      <c r="G5" s="24"/>
    </row>
    <row r="6" spans="1:10" ht="35.1" customHeight="1" x14ac:dyDescent="0.25">
      <c r="A6" s="24"/>
      <c r="B6" s="24"/>
      <c r="C6" s="24"/>
      <c r="D6" s="24"/>
      <c r="E6" s="24"/>
      <c r="F6" s="24"/>
      <c r="G6" s="24"/>
    </row>
    <row r="7" spans="1:10" ht="35.1" customHeight="1" x14ac:dyDescent="0.25">
      <c r="A7" s="24"/>
      <c r="B7" s="24"/>
      <c r="C7" s="24"/>
      <c r="D7" s="24"/>
      <c r="E7" s="24"/>
      <c r="F7" s="24"/>
      <c r="G7" s="24"/>
    </row>
    <row r="8" spans="1:10" ht="35.1" customHeight="1" x14ac:dyDescent="0.25">
      <c r="A8" s="24"/>
      <c r="B8" s="24"/>
      <c r="C8" s="24"/>
      <c r="D8" s="24"/>
      <c r="E8" s="24"/>
      <c r="F8" s="24"/>
      <c r="G8" s="24"/>
    </row>
    <row r="9" spans="1:10" ht="35.1" customHeight="1" x14ac:dyDescent="0.25">
      <c r="A9" s="24"/>
      <c r="B9" s="24"/>
      <c r="C9" s="24"/>
      <c r="D9" s="24"/>
      <c r="E9" s="24"/>
      <c r="F9" s="24"/>
      <c r="G9" s="24"/>
    </row>
    <row r="10" spans="1:10" ht="32.25" customHeight="1" x14ac:dyDescent="0.25">
      <c r="C10" s="41"/>
      <c r="D10" s="41"/>
      <c r="E10" s="41"/>
      <c r="F10" s="41"/>
      <c r="G10" s="41"/>
    </row>
  </sheetData>
  <mergeCells count="2">
    <mergeCell ref="A1:G1"/>
    <mergeCell ref="C10:G10"/>
  </mergeCells>
  <conditionalFormatting sqref="A2">
    <cfRule type="duplicateValues" dxfId="96" priority="2"/>
  </conditionalFormatting>
  <conditionalFormatting sqref="B2">
    <cfRule type="duplicateValues" dxfId="95" priority="1"/>
  </conditionalFormatting>
  <conditionalFormatting sqref="A3:A5">
    <cfRule type="duplicateValues" dxfId="94" priority="3"/>
  </conditionalFormatting>
  <conditionalFormatting sqref="B3:B5">
    <cfRule type="duplicateValues" dxfId="93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0AEB5-C32A-4E54-981E-AB171A009732}">
  <dimension ref="A1:O10"/>
  <sheetViews>
    <sheetView workbookViewId="0">
      <selection activeCell="A10" sqref="A10:L10"/>
    </sheetView>
  </sheetViews>
  <sheetFormatPr defaultRowHeight="15" x14ac:dyDescent="0.25"/>
  <cols>
    <col min="1" max="1" width="12.5703125" customWidth="1"/>
    <col min="2" max="2" width="14.42578125" customWidth="1"/>
    <col min="3" max="3" width="12.5703125" customWidth="1"/>
    <col min="4" max="4" width="15.140625" customWidth="1"/>
    <col min="5" max="5" width="13.5703125" customWidth="1"/>
    <col min="6" max="6" width="11.85546875" customWidth="1"/>
    <col min="7" max="7" width="15.5703125" customWidth="1"/>
    <col min="8" max="8" width="19.5703125" customWidth="1"/>
    <col min="9" max="9" width="19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50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5.1" customHeight="1" x14ac:dyDescent="0.25">
      <c r="A3" s="38" t="s">
        <v>27</v>
      </c>
      <c r="B3" s="38" t="s">
        <v>28</v>
      </c>
      <c r="C3" s="38" t="s">
        <v>33</v>
      </c>
      <c r="D3" s="38" t="s">
        <v>37</v>
      </c>
      <c r="E3" s="38" t="s">
        <v>38</v>
      </c>
      <c r="F3" s="38" t="s">
        <v>39</v>
      </c>
      <c r="G3" s="38" t="s">
        <v>40</v>
      </c>
      <c r="H3" s="38" t="s">
        <v>45</v>
      </c>
      <c r="I3" s="38" t="s">
        <v>47</v>
      </c>
      <c r="J3" s="38" t="s">
        <v>59</v>
      </c>
      <c r="K3" s="38" t="s">
        <v>60</v>
      </c>
      <c r="L3" s="38" t="s">
        <v>61</v>
      </c>
      <c r="M3" s="38" t="s">
        <v>7</v>
      </c>
      <c r="N3" s="47">
        <v>6169000</v>
      </c>
      <c r="O3" s="38" t="s">
        <v>23</v>
      </c>
    </row>
    <row r="4" spans="1:15" ht="35.1" customHeight="1" x14ac:dyDescent="0.25">
      <c r="A4" s="38" t="s">
        <v>105</v>
      </c>
      <c r="B4" s="38" t="s">
        <v>106</v>
      </c>
      <c r="C4" s="38" t="s">
        <v>113</v>
      </c>
      <c r="D4" s="38" t="s">
        <v>117</v>
      </c>
      <c r="E4" s="38" t="s">
        <v>10</v>
      </c>
      <c r="F4" s="38" t="s">
        <v>7</v>
      </c>
      <c r="G4" s="38" t="s">
        <v>6</v>
      </c>
      <c r="H4" s="38" t="s">
        <v>45</v>
      </c>
      <c r="I4" s="38" t="s">
        <v>47</v>
      </c>
      <c r="J4" s="38"/>
      <c r="K4" s="38"/>
      <c r="L4" s="38" t="s">
        <v>61</v>
      </c>
      <c r="M4" s="38"/>
      <c r="N4" s="47">
        <v>1799000</v>
      </c>
      <c r="O4" s="38"/>
    </row>
    <row r="5" spans="1:15" ht="35.1" customHeight="1" x14ac:dyDescent="0.25">
      <c r="A5" s="38" t="s">
        <v>29</v>
      </c>
      <c r="B5" s="38" t="s">
        <v>30</v>
      </c>
      <c r="C5" s="38" t="s">
        <v>34</v>
      </c>
      <c r="D5" s="38" t="s">
        <v>37</v>
      </c>
      <c r="E5" s="38" t="s">
        <v>41</v>
      </c>
      <c r="F5" s="38" t="s">
        <v>42</v>
      </c>
      <c r="G5" s="38" t="s">
        <v>43</v>
      </c>
      <c r="H5" s="56" t="s">
        <v>46</v>
      </c>
      <c r="I5" s="38" t="s">
        <v>47</v>
      </c>
      <c r="J5" s="38" t="s">
        <v>59</v>
      </c>
      <c r="K5" s="38" t="s">
        <v>60</v>
      </c>
      <c r="L5" s="38" t="s">
        <v>61</v>
      </c>
      <c r="M5" s="38" t="s">
        <v>7</v>
      </c>
      <c r="N5" s="47">
        <v>6169000</v>
      </c>
      <c r="O5" s="38" t="s">
        <v>23</v>
      </c>
    </row>
    <row r="6" spans="1:15" ht="35.1" customHeight="1" x14ac:dyDescent="0.25">
      <c r="A6" s="38" t="s">
        <v>107</v>
      </c>
      <c r="B6" s="38" t="s">
        <v>108</v>
      </c>
      <c r="C6" s="38" t="s">
        <v>114</v>
      </c>
      <c r="D6" s="38" t="s">
        <v>117</v>
      </c>
      <c r="E6" s="38" t="s">
        <v>10</v>
      </c>
      <c r="F6" s="38" t="s">
        <v>7</v>
      </c>
      <c r="G6" s="38" t="s">
        <v>43</v>
      </c>
      <c r="H6" s="38" t="s">
        <v>45</v>
      </c>
      <c r="I6" s="38" t="s">
        <v>47</v>
      </c>
      <c r="J6" s="38"/>
      <c r="K6" s="38"/>
      <c r="L6" s="38" t="s">
        <v>61</v>
      </c>
      <c r="M6" s="38"/>
      <c r="N6" s="47">
        <v>1799000</v>
      </c>
      <c r="O6" s="38"/>
    </row>
    <row r="7" spans="1:15" ht="35.1" customHeight="1" x14ac:dyDescent="0.25">
      <c r="A7" s="38" t="s">
        <v>31</v>
      </c>
      <c r="B7" s="38" t="s">
        <v>32</v>
      </c>
      <c r="C7" s="38" t="s">
        <v>35</v>
      </c>
      <c r="D7" s="38" t="s">
        <v>37</v>
      </c>
      <c r="E7" s="38" t="s">
        <v>41</v>
      </c>
      <c r="F7" s="38" t="s">
        <v>42</v>
      </c>
      <c r="G7" s="38" t="s">
        <v>44</v>
      </c>
      <c r="H7" s="38" t="s">
        <v>45</v>
      </c>
      <c r="I7" s="38" t="s">
        <v>47</v>
      </c>
      <c r="J7" s="38" t="s">
        <v>59</v>
      </c>
      <c r="K7" s="38" t="s">
        <v>60</v>
      </c>
      <c r="L7" s="38" t="s">
        <v>61</v>
      </c>
      <c r="M7" s="38" t="s">
        <v>7</v>
      </c>
      <c r="N7" s="47">
        <v>6169000</v>
      </c>
      <c r="O7" s="38" t="s">
        <v>23</v>
      </c>
    </row>
    <row r="8" spans="1:15" ht="35.1" customHeight="1" x14ac:dyDescent="0.25">
      <c r="A8" s="38" t="s">
        <v>109</v>
      </c>
      <c r="B8" s="38" t="s">
        <v>110</v>
      </c>
      <c r="C8" s="38" t="s">
        <v>115</v>
      </c>
      <c r="D8" s="38" t="s">
        <v>117</v>
      </c>
      <c r="E8" s="38" t="s">
        <v>9</v>
      </c>
      <c r="F8" s="38" t="s">
        <v>7</v>
      </c>
      <c r="G8" s="38" t="s">
        <v>44</v>
      </c>
      <c r="H8" s="38" t="s">
        <v>45</v>
      </c>
      <c r="I8" s="38" t="s">
        <v>47</v>
      </c>
      <c r="J8" s="38"/>
      <c r="K8" s="38"/>
      <c r="L8" s="38" t="s">
        <v>61</v>
      </c>
      <c r="M8" s="38"/>
      <c r="N8" s="47">
        <v>1799000</v>
      </c>
      <c r="O8" s="38"/>
    </row>
    <row r="9" spans="1:15" ht="35.1" customHeight="1" x14ac:dyDescent="0.25">
      <c r="A9" s="38" t="s">
        <v>111</v>
      </c>
      <c r="B9" s="38" t="s">
        <v>112</v>
      </c>
      <c r="C9" s="38" t="s">
        <v>116</v>
      </c>
      <c r="D9" s="38" t="s">
        <v>117</v>
      </c>
      <c r="E9" s="38" t="s">
        <v>10</v>
      </c>
      <c r="F9" s="38" t="s">
        <v>7</v>
      </c>
      <c r="G9" s="38" t="s">
        <v>43</v>
      </c>
      <c r="H9" s="38" t="s">
        <v>45</v>
      </c>
      <c r="I9" s="38" t="s">
        <v>47</v>
      </c>
      <c r="J9" s="38"/>
      <c r="K9" s="38"/>
      <c r="L9" s="38" t="s">
        <v>61</v>
      </c>
      <c r="M9" s="38"/>
      <c r="N9" s="47">
        <v>1799000</v>
      </c>
      <c r="O9" s="38"/>
    </row>
    <row r="10" spans="1:15" ht="32.25" customHeight="1" x14ac:dyDescent="0.3">
      <c r="A10" s="67" t="s">
        <v>803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9" t="s">
        <v>118</v>
      </c>
      <c r="N10" s="70">
        <f>SUM(N3:N9)</f>
        <v>25703000</v>
      </c>
    </row>
  </sheetData>
  <mergeCells count="2">
    <mergeCell ref="A1:O1"/>
    <mergeCell ref="A10:L10"/>
  </mergeCells>
  <phoneticPr fontId="20" type="noConversion"/>
  <conditionalFormatting sqref="A2">
    <cfRule type="duplicateValues" dxfId="92" priority="2"/>
  </conditionalFormatting>
  <conditionalFormatting sqref="B2">
    <cfRule type="duplicateValues" dxfId="91" priority="1"/>
  </conditionalFormatting>
  <conditionalFormatting sqref="A3:A5">
    <cfRule type="duplicateValues" dxfId="90" priority="5"/>
  </conditionalFormatting>
  <conditionalFormatting sqref="B3:B5">
    <cfRule type="duplicateValues" dxfId="89" priority="6"/>
  </conditionalFormatting>
  <hyperlinks>
    <hyperlink ref="A10:L10" location="'PC ERP'!A1" display="Gơi ý nâng cấp theo cấu hình : =&gt; bấm vào linh để xem chi tiết mã và thông tin" xr:uid="{0036EEF7-B94E-4008-8458-B03314599604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C0BE-1F9E-4F60-801C-E91DAE7D53AE}">
  <dimension ref="A1:O11"/>
  <sheetViews>
    <sheetView workbookViewId="0">
      <selection activeCell="A11" sqref="A11:L11"/>
    </sheetView>
  </sheetViews>
  <sheetFormatPr defaultRowHeight="15" x14ac:dyDescent="0.25"/>
  <cols>
    <col min="1" max="1" width="12.5703125" customWidth="1"/>
    <col min="2" max="2" width="14.5703125" customWidth="1"/>
    <col min="3" max="3" width="12.5703125" customWidth="1"/>
    <col min="4" max="5" width="16.140625" customWidth="1"/>
    <col min="6" max="6" width="12.5703125" customWidth="1"/>
    <col min="7" max="7" width="21.42578125" customWidth="1"/>
    <col min="8" max="8" width="20.28515625" customWidth="1"/>
    <col min="9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92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38" t="s">
        <v>119</v>
      </c>
      <c r="B3" s="38" t="s">
        <v>120</v>
      </c>
      <c r="C3" s="38" t="s">
        <v>121</v>
      </c>
      <c r="D3" s="38" t="s">
        <v>117</v>
      </c>
      <c r="E3" s="38" t="s">
        <v>10</v>
      </c>
      <c r="F3" s="38" t="s">
        <v>7</v>
      </c>
      <c r="G3" s="38" t="s">
        <v>43</v>
      </c>
      <c r="H3" s="38" t="s">
        <v>45</v>
      </c>
      <c r="I3" s="38" t="s">
        <v>188</v>
      </c>
      <c r="J3" s="38"/>
      <c r="K3" s="38"/>
      <c r="L3" s="38" t="s">
        <v>61</v>
      </c>
      <c r="M3" s="38"/>
      <c r="N3" s="47">
        <v>1799000</v>
      </c>
      <c r="O3" s="38"/>
    </row>
    <row r="4" spans="1:15" ht="33" customHeight="1" x14ac:dyDescent="0.25">
      <c r="A4" s="38" t="s">
        <v>62</v>
      </c>
      <c r="B4" s="38" t="s">
        <v>63</v>
      </c>
      <c r="C4" s="38" t="s">
        <v>64</v>
      </c>
      <c r="D4" s="38" t="s">
        <v>74</v>
      </c>
      <c r="E4" s="38" t="s">
        <v>75</v>
      </c>
      <c r="F4" s="38" t="s">
        <v>76</v>
      </c>
      <c r="G4" s="38" t="s">
        <v>77</v>
      </c>
      <c r="H4" s="38" t="s">
        <v>78</v>
      </c>
      <c r="I4" s="38" t="s">
        <v>47</v>
      </c>
      <c r="J4" s="38" t="s">
        <v>59</v>
      </c>
      <c r="K4" s="38" t="s">
        <v>60</v>
      </c>
      <c r="L4" s="38" t="s">
        <v>61</v>
      </c>
      <c r="M4" s="38" t="s">
        <v>7</v>
      </c>
      <c r="N4" s="47">
        <v>6169000</v>
      </c>
      <c r="O4" s="38" t="s">
        <v>23</v>
      </c>
    </row>
    <row r="5" spans="1:15" ht="33" customHeight="1" x14ac:dyDescent="0.25">
      <c r="A5" s="38" t="s">
        <v>122</v>
      </c>
      <c r="B5" s="38" t="s">
        <v>123</v>
      </c>
      <c r="C5" s="38" t="s">
        <v>124</v>
      </c>
      <c r="D5" s="38" t="s">
        <v>117</v>
      </c>
      <c r="E5" s="38" t="s">
        <v>10</v>
      </c>
      <c r="F5" s="38" t="s">
        <v>7</v>
      </c>
      <c r="G5" s="38" t="s">
        <v>6</v>
      </c>
      <c r="H5" s="38" t="s">
        <v>45</v>
      </c>
      <c r="I5" s="38" t="s">
        <v>188</v>
      </c>
      <c r="J5" s="38"/>
      <c r="K5" s="38"/>
      <c r="L5" s="38" t="s">
        <v>61</v>
      </c>
      <c r="M5" s="38"/>
      <c r="N5" s="47">
        <v>1799000</v>
      </c>
      <c r="O5" s="38"/>
    </row>
    <row r="6" spans="1:15" ht="33" customHeight="1" x14ac:dyDescent="0.25">
      <c r="A6" s="38" t="s">
        <v>65</v>
      </c>
      <c r="B6" s="38" t="s">
        <v>66</v>
      </c>
      <c r="C6" s="38" t="s">
        <v>67</v>
      </c>
      <c r="D6" s="38" t="s">
        <v>37</v>
      </c>
      <c r="E6" s="38" t="s">
        <v>41</v>
      </c>
      <c r="F6" s="38" t="s">
        <v>42</v>
      </c>
      <c r="G6" s="38" t="s">
        <v>43</v>
      </c>
      <c r="H6" s="38" t="s">
        <v>78</v>
      </c>
      <c r="I6" s="38" t="s">
        <v>47</v>
      </c>
      <c r="J6" s="38" t="s">
        <v>59</v>
      </c>
      <c r="K6" s="38" t="s">
        <v>60</v>
      </c>
      <c r="L6" s="38" t="s">
        <v>61</v>
      </c>
      <c r="M6" s="38" t="s">
        <v>7</v>
      </c>
      <c r="N6" s="47">
        <v>6169000</v>
      </c>
      <c r="O6" s="38" t="s">
        <v>23</v>
      </c>
    </row>
    <row r="7" spans="1:15" ht="33" customHeight="1" x14ac:dyDescent="0.25">
      <c r="A7" s="38" t="s">
        <v>125</v>
      </c>
      <c r="B7" s="38" t="s">
        <v>126</v>
      </c>
      <c r="C7" s="38" t="s">
        <v>127</v>
      </c>
      <c r="D7" s="38" t="s">
        <v>117</v>
      </c>
      <c r="E7" s="38" t="s">
        <v>10</v>
      </c>
      <c r="F7" s="38" t="s">
        <v>7</v>
      </c>
      <c r="G7" s="38" t="s">
        <v>6</v>
      </c>
      <c r="H7" s="38" t="s">
        <v>78</v>
      </c>
      <c r="I7" s="38" t="s">
        <v>188</v>
      </c>
      <c r="J7" s="38"/>
      <c r="K7" s="38"/>
      <c r="L7" s="38" t="s">
        <v>61</v>
      </c>
      <c r="M7" s="68"/>
      <c r="N7" s="47">
        <v>1799000</v>
      </c>
      <c r="O7" s="38"/>
    </row>
    <row r="8" spans="1:15" ht="33" customHeight="1" x14ac:dyDescent="0.25">
      <c r="A8" s="38" t="s">
        <v>68</v>
      </c>
      <c r="B8" s="56" t="s">
        <v>69</v>
      </c>
      <c r="C8" s="38" t="s">
        <v>70</v>
      </c>
      <c r="D8" s="38" t="s">
        <v>37</v>
      </c>
      <c r="E8" s="38" t="s">
        <v>41</v>
      </c>
      <c r="F8" s="38" t="s">
        <v>7</v>
      </c>
      <c r="G8" s="38" t="s">
        <v>43</v>
      </c>
      <c r="H8" s="38" t="s">
        <v>45</v>
      </c>
      <c r="I8" s="38" t="s">
        <v>47</v>
      </c>
      <c r="J8" s="38" t="s">
        <v>59</v>
      </c>
      <c r="K8" s="38" t="s">
        <v>60</v>
      </c>
      <c r="L8" s="38" t="s">
        <v>61</v>
      </c>
      <c r="M8" s="38" t="s">
        <v>7</v>
      </c>
      <c r="N8" s="47">
        <v>6169000</v>
      </c>
      <c r="O8" s="38" t="s">
        <v>23</v>
      </c>
    </row>
    <row r="9" spans="1:15" ht="33" customHeight="1" x14ac:dyDescent="0.25">
      <c r="A9" s="38" t="s">
        <v>128</v>
      </c>
      <c r="B9" s="38" t="s">
        <v>129</v>
      </c>
      <c r="C9" s="38" t="s">
        <v>130</v>
      </c>
      <c r="D9" s="38" t="s">
        <v>117</v>
      </c>
      <c r="E9" s="38" t="s">
        <v>10</v>
      </c>
      <c r="F9" s="38" t="s">
        <v>76</v>
      </c>
      <c r="G9" s="38" t="s">
        <v>6</v>
      </c>
      <c r="H9" s="38" t="s">
        <v>45</v>
      </c>
      <c r="I9" s="38" t="s">
        <v>188</v>
      </c>
      <c r="J9" s="38"/>
      <c r="K9" s="38"/>
      <c r="L9" s="38" t="s">
        <v>61</v>
      </c>
      <c r="M9" s="38"/>
      <c r="N9" s="47">
        <v>1799000</v>
      </c>
      <c r="O9" s="38"/>
    </row>
    <row r="10" spans="1:15" ht="33" customHeight="1" x14ac:dyDescent="0.25">
      <c r="A10" s="38" t="s">
        <v>71</v>
      </c>
      <c r="B10" s="38" t="s">
        <v>72</v>
      </c>
      <c r="C10" s="38" t="s">
        <v>73</v>
      </c>
      <c r="D10" s="38" t="s">
        <v>37</v>
      </c>
      <c r="E10" s="38" t="s">
        <v>41</v>
      </c>
      <c r="F10" s="38" t="s">
        <v>42</v>
      </c>
      <c r="G10" s="38" t="s">
        <v>43</v>
      </c>
      <c r="H10" s="38" t="s">
        <v>45</v>
      </c>
      <c r="I10" s="38" t="s">
        <v>47</v>
      </c>
      <c r="J10" s="38" t="s">
        <v>59</v>
      </c>
      <c r="K10" s="38" t="s">
        <v>60</v>
      </c>
      <c r="L10" s="38" t="s">
        <v>61</v>
      </c>
      <c r="M10" s="38" t="s">
        <v>7</v>
      </c>
      <c r="N10" s="47">
        <v>6169000</v>
      </c>
      <c r="O10" s="38" t="s">
        <v>23</v>
      </c>
    </row>
    <row r="11" spans="1:15" ht="33.75" customHeight="1" x14ac:dyDescent="0.3">
      <c r="A11" s="67" t="s">
        <v>803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9" t="s">
        <v>118</v>
      </c>
      <c r="N11" s="70">
        <f>SUM(N3:N10)</f>
        <v>31872000</v>
      </c>
    </row>
  </sheetData>
  <mergeCells count="2">
    <mergeCell ref="A1:O1"/>
    <mergeCell ref="A11:L11"/>
  </mergeCells>
  <phoneticPr fontId="20" type="noConversion"/>
  <conditionalFormatting sqref="A2">
    <cfRule type="duplicateValues" dxfId="88" priority="2"/>
  </conditionalFormatting>
  <conditionalFormatting sqref="B2">
    <cfRule type="duplicateValues" dxfId="87" priority="1"/>
  </conditionalFormatting>
  <conditionalFormatting sqref="A3:A5">
    <cfRule type="duplicateValues" dxfId="86" priority="3"/>
  </conditionalFormatting>
  <conditionalFormatting sqref="B3:B5">
    <cfRule type="duplicateValues" dxfId="85" priority="4"/>
  </conditionalFormatting>
  <hyperlinks>
    <hyperlink ref="A11:L11" location="'PC ERP'!A1" display="Gơi ý nâng cấp theo cấu hình : =&gt; bấm vào linh để xem chi tiết mã và thông tin" xr:uid="{A9DBF48B-3C81-4CF6-BD64-112B2F15C7A2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9A9EE-6038-4CAF-AAF4-F3EBB6FD0D89}">
  <dimension ref="A1:O10"/>
  <sheetViews>
    <sheetView workbookViewId="0">
      <selection activeCell="A6" sqref="A6:L6"/>
    </sheetView>
  </sheetViews>
  <sheetFormatPr defaultRowHeight="15" x14ac:dyDescent="0.25"/>
  <cols>
    <col min="1" max="1" width="12.5703125" customWidth="1"/>
    <col min="2" max="2" width="13.42578125" customWidth="1"/>
    <col min="3" max="3" width="15.1406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93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5.1" customHeight="1" x14ac:dyDescent="0.25">
      <c r="A3" s="1" t="s">
        <v>80</v>
      </c>
      <c r="B3" s="1" t="s">
        <v>81</v>
      </c>
      <c r="C3" s="36" t="s">
        <v>82</v>
      </c>
      <c r="D3" s="36" t="s">
        <v>37</v>
      </c>
      <c r="E3" s="36" t="s">
        <v>41</v>
      </c>
      <c r="F3" s="36" t="s">
        <v>42</v>
      </c>
      <c r="G3" s="36" t="s">
        <v>8</v>
      </c>
      <c r="H3" s="38" t="s">
        <v>45</v>
      </c>
      <c r="I3" s="38" t="s">
        <v>47</v>
      </c>
      <c r="J3" s="38" t="s">
        <v>59</v>
      </c>
      <c r="K3" s="38" t="s">
        <v>60</v>
      </c>
      <c r="L3" s="38" t="s">
        <v>61</v>
      </c>
      <c r="M3" s="38" t="s">
        <v>7</v>
      </c>
      <c r="N3" s="47">
        <v>6169000</v>
      </c>
      <c r="O3" s="38" t="s">
        <v>23</v>
      </c>
    </row>
    <row r="4" spans="1:15" ht="35.1" customHeight="1" x14ac:dyDescent="0.25">
      <c r="A4" s="1" t="s">
        <v>83</v>
      </c>
      <c r="B4" s="1" t="s">
        <v>84</v>
      </c>
      <c r="C4" s="36" t="s">
        <v>85</v>
      </c>
      <c r="D4" s="36" t="s">
        <v>37</v>
      </c>
      <c r="E4" s="36" t="s">
        <v>41</v>
      </c>
      <c r="F4" s="36" t="s">
        <v>89</v>
      </c>
      <c r="G4" s="36" t="s">
        <v>43</v>
      </c>
      <c r="H4" s="38" t="s">
        <v>45</v>
      </c>
      <c r="I4" s="38" t="s">
        <v>47</v>
      </c>
      <c r="J4" s="38" t="s">
        <v>59</v>
      </c>
      <c r="K4" s="38" t="s">
        <v>60</v>
      </c>
      <c r="L4" s="38" t="s">
        <v>61</v>
      </c>
      <c r="M4" s="38" t="s">
        <v>7</v>
      </c>
      <c r="N4" s="47">
        <v>6169000</v>
      </c>
      <c r="O4" s="38" t="s">
        <v>23</v>
      </c>
    </row>
    <row r="5" spans="1:15" ht="35.1" customHeight="1" x14ac:dyDescent="0.25">
      <c r="A5" s="1" t="s">
        <v>86</v>
      </c>
      <c r="B5" s="1" t="s">
        <v>87</v>
      </c>
      <c r="C5" s="36" t="s">
        <v>88</v>
      </c>
      <c r="D5" s="36" t="s">
        <v>37</v>
      </c>
      <c r="E5" s="36" t="s">
        <v>90</v>
      </c>
      <c r="F5" s="36" t="s">
        <v>42</v>
      </c>
      <c r="G5" s="36" t="s">
        <v>43</v>
      </c>
      <c r="H5" s="71" t="s">
        <v>91</v>
      </c>
      <c r="I5" s="38" t="s">
        <v>47</v>
      </c>
      <c r="J5" s="38" t="s">
        <v>59</v>
      </c>
      <c r="K5" s="38" t="s">
        <v>60</v>
      </c>
      <c r="L5" s="38" t="s">
        <v>61</v>
      </c>
      <c r="M5" s="38" t="s">
        <v>5</v>
      </c>
      <c r="N5" s="47">
        <v>6789000</v>
      </c>
      <c r="O5" s="38" t="s">
        <v>23</v>
      </c>
    </row>
    <row r="6" spans="1:15" ht="36.75" customHeight="1" x14ac:dyDescent="0.25">
      <c r="A6" s="67" t="s">
        <v>803</v>
      </c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72" t="s">
        <v>21</v>
      </c>
      <c r="N6" s="73">
        <f>SUM(N2:N5)</f>
        <v>19127000</v>
      </c>
      <c r="O6" s="74"/>
    </row>
    <row r="7" spans="1:15" ht="34.5" customHeight="1" x14ac:dyDescent="0.25"/>
    <row r="10" spans="1:15" x14ac:dyDescent="0.25">
      <c r="K10" s="1"/>
    </row>
  </sheetData>
  <mergeCells count="3">
    <mergeCell ref="A1:O1"/>
    <mergeCell ref="N6:O6"/>
    <mergeCell ref="A6:L6"/>
  </mergeCells>
  <conditionalFormatting sqref="A2">
    <cfRule type="duplicateValues" dxfId="84" priority="2"/>
  </conditionalFormatting>
  <conditionalFormatting sqref="B2">
    <cfRule type="duplicateValues" dxfId="83" priority="1"/>
  </conditionalFormatting>
  <conditionalFormatting sqref="A3:A5">
    <cfRule type="duplicateValues" dxfId="82" priority="3"/>
  </conditionalFormatting>
  <conditionalFormatting sqref="B3:B5">
    <cfRule type="duplicateValues" dxfId="81" priority="4"/>
  </conditionalFormatting>
  <hyperlinks>
    <hyperlink ref="A6:L6" location="'PC ERP'!A1" display="Gơi ý nâng cấp theo cấu hình : =&gt; bấm vào linh để xem chi tiết mã và thông tin" xr:uid="{4CCA96A2-98C6-4755-9C0F-ABE357E19344}"/>
  </hyperlink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57D63-ED60-4DF1-BA65-EEB6190E183D}">
  <dimension ref="A1:O9"/>
  <sheetViews>
    <sheetView workbookViewId="0">
      <selection activeCell="A5" sqref="A5:L5"/>
    </sheetView>
  </sheetViews>
  <sheetFormatPr defaultRowHeight="15" x14ac:dyDescent="0.25"/>
  <cols>
    <col min="1" max="1" width="12.5703125" customWidth="1"/>
    <col min="2" max="2" width="16" customWidth="1"/>
    <col min="3" max="3" width="12.5703125" customWidth="1"/>
    <col min="4" max="5" width="16.140625" customWidth="1"/>
    <col min="6" max="6" width="12.5703125" customWidth="1"/>
    <col min="7" max="7" width="19.140625" customWidth="1"/>
    <col min="8" max="9" width="21.42578125" customWidth="1"/>
    <col min="10" max="10" width="16.85546875" customWidth="1"/>
    <col min="11" max="11" width="14.85546875" customWidth="1"/>
    <col min="12" max="12" width="14.5703125" customWidth="1"/>
    <col min="13" max="13" width="14.85546875" customWidth="1"/>
    <col min="14" max="14" width="16.7109375" customWidth="1"/>
    <col min="15" max="15" width="11.85546875" customWidth="1"/>
  </cols>
  <sheetData>
    <row r="1" spans="1:15" ht="35.1" customHeight="1" x14ac:dyDescent="0.3">
      <c r="A1" s="18" t="s">
        <v>137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5.1" customHeight="1" x14ac:dyDescent="0.25">
      <c r="A3" s="38" t="s">
        <v>131</v>
      </c>
      <c r="B3" s="38" t="s">
        <v>132</v>
      </c>
      <c r="C3" s="38" t="s">
        <v>133</v>
      </c>
      <c r="D3" s="38" t="s">
        <v>117</v>
      </c>
      <c r="E3" s="38" t="s">
        <v>10</v>
      </c>
      <c r="F3" s="38" t="s">
        <v>7</v>
      </c>
      <c r="G3" s="38" t="s">
        <v>6</v>
      </c>
      <c r="H3" s="2" t="s">
        <v>45</v>
      </c>
      <c r="I3" s="2" t="s">
        <v>188</v>
      </c>
      <c r="J3" s="2"/>
      <c r="K3" s="2"/>
      <c r="L3" s="2" t="s">
        <v>61</v>
      </c>
      <c r="M3" s="2"/>
      <c r="N3" s="4">
        <v>1799000</v>
      </c>
      <c r="O3" s="24" t="s">
        <v>23</v>
      </c>
    </row>
    <row r="4" spans="1:15" ht="35.1" customHeight="1" x14ac:dyDescent="0.25">
      <c r="A4" s="38" t="s">
        <v>134</v>
      </c>
      <c r="B4" s="38" t="s">
        <v>135</v>
      </c>
      <c r="C4" s="38" t="s">
        <v>136</v>
      </c>
      <c r="D4" s="38" t="s">
        <v>37</v>
      </c>
      <c r="E4" s="38" t="s">
        <v>38</v>
      </c>
      <c r="F4" s="38" t="s">
        <v>39</v>
      </c>
      <c r="G4" s="38" t="s">
        <v>43</v>
      </c>
      <c r="H4" s="2" t="s">
        <v>45</v>
      </c>
      <c r="I4" s="2" t="s">
        <v>47</v>
      </c>
      <c r="J4" s="2" t="s">
        <v>59</v>
      </c>
      <c r="K4" s="2" t="s">
        <v>60</v>
      </c>
      <c r="L4" s="2" t="s">
        <v>61</v>
      </c>
      <c r="M4" s="2" t="s">
        <v>7</v>
      </c>
      <c r="N4" s="4">
        <v>6169000</v>
      </c>
      <c r="O4" s="24" t="s">
        <v>23</v>
      </c>
    </row>
    <row r="5" spans="1:15" ht="34.5" customHeight="1" x14ac:dyDescent="0.25">
      <c r="A5" s="67" t="s">
        <v>803</v>
      </c>
      <c r="B5" s="67"/>
      <c r="C5" s="67"/>
      <c r="D5" s="67"/>
      <c r="E5" s="67"/>
      <c r="F5" s="67"/>
      <c r="G5" s="67"/>
      <c r="H5" s="67"/>
      <c r="I5" s="67"/>
      <c r="J5" s="67"/>
      <c r="K5" s="67"/>
      <c r="L5" s="67"/>
      <c r="M5" s="72" t="s">
        <v>21</v>
      </c>
      <c r="N5" s="75">
        <f>SUM(N3:N4)</f>
        <v>7968000</v>
      </c>
    </row>
    <row r="9" spans="1:15" x14ac:dyDescent="0.25">
      <c r="K9" s="1"/>
    </row>
  </sheetData>
  <mergeCells count="2">
    <mergeCell ref="A1:O1"/>
    <mergeCell ref="A5:L5"/>
  </mergeCells>
  <conditionalFormatting sqref="A2">
    <cfRule type="duplicateValues" dxfId="80" priority="2"/>
  </conditionalFormatting>
  <conditionalFormatting sqref="B2">
    <cfRule type="duplicateValues" dxfId="79" priority="1"/>
  </conditionalFormatting>
  <conditionalFormatting sqref="A3:A4">
    <cfRule type="duplicateValues" dxfId="78" priority="7"/>
  </conditionalFormatting>
  <conditionalFormatting sqref="B3:B4">
    <cfRule type="duplicateValues" dxfId="77" priority="8"/>
  </conditionalFormatting>
  <hyperlinks>
    <hyperlink ref="A5:L5" location="'PC ERP'!A1" display="Gơi ý nâng cấp theo cấu hình : =&gt; bấm vào linh để xem chi tiết mã và thông tin" xr:uid="{DEFF7838-1A53-42EF-8443-11EB57F2095C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0CA93-F929-4187-9738-33E2B13B6A9E}">
  <dimension ref="A1:O10"/>
  <sheetViews>
    <sheetView workbookViewId="0">
      <selection activeCell="A10" sqref="A10:L10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36" t="s">
        <v>138</v>
      </c>
      <c r="B3" s="36" t="s">
        <v>139</v>
      </c>
      <c r="C3" s="36" t="s">
        <v>140</v>
      </c>
      <c r="D3" s="36" t="s">
        <v>117</v>
      </c>
      <c r="E3" s="36" t="s">
        <v>10</v>
      </c>
      <c r="F3" s="36" t="s">
        <v>7</v>
      </c>
      <c r="G3" s="36" t="s">
        <v>6</v>
      </c>
      <c r="H3" s="56" t="s">
        <v>154</v>
      </c>
      <c r="I3" s="38" t="s">
        <v>188</v>
      </c>
      <c r="J3" s="38"/>
      <c r="K3" s="38"/>
      <c r="L3" s="38" t="s">
        <v>61</v>
      </c>
      <c r="M3" s="38"/>
      <c r="N3" s="47">
        <v>1799000</v>
      </c>
      <c r="O3" s="38"/>
    </row>
    <row r="4" spans="1:15" ht="33" customHeight="1" x14ac:dyDescent="0.25">
      <c r="A4" s="36" t="s">
        <v>141</v>
      </c>
      <c r="B4" s="36" t="s">
        <v>142</v>
      </c>
      <c r="C4" s="36" t="s">
        <v>143</v>
      </c>
      <c r="D4" s="36" t="s">
        <v>117</v>
      </c>
      <c r="E4" s="36" t="s">
        <v>10</v>
      </c>
      <c r="F4" s="36" t="s">
        <v>7</v>
      </c>
      <c r="G4" s="36" t="s">
        <v>40</v>
      </c>
      <c r="H4" s="38" t="s">
        <v>45</v>
      </c>
      <c r="I4" s="38" t="s">
        <v>188</v>
      </c>
      <c r="J4" s="38"/>
      <c r="K4" s="38"/>
      <c r="L4" s="38" t="s">
        <v>61</v>
      </c>
      <c r="M4" s="38"/>
      <c r="N4" s="47">
        <v>1799000</v>
      </c>
      <c r="O4" s="38"/>
    </row>
    <row r="5" spans="1:15" ht="33" customHeight="1" x14ac:dyDescent="0.25">
      <c r="A5" s="36" t="s">
        <v>144</v>
      </c>
      <c r="B5" s="36" t="s">
        <v>145</v>
      </c>
      <c r="C5" s="36" t="s">
        <v>146</v>
      </c>
      <c r="D5" s="36" t="s">
        <v>117</v>
      </c>
      <c r="E5" s="36" t="s">
        <v>10</v>
      </c>
      <c r="F5" s="36" t="s">
        <v>7</v>
      </c>
      <c r="G5" s="36" t="s">
        <v>6</v>
      </c>
      <c r="H5" s="38"/>
      <c r="I5" s="38" t="s">
        <v>188</v>
      </c>
      <c r="J5" s="38"/>
      <c r="K5" s="38"/>
      <c r="L5" s="38" t="s">
        <v>61</v>
      </c>
      <c r="M5" s="38"/>
      <c r="N5" s="47">
        <v>1799000</v>
      </c>
      <c r="O5" s="38"/>
    </row>
    <row r="6" spans="1:15" ht="33" customHeight="1" x14ac:dyDescent="0.25">
      <c r="A6" s="36" t="s">
        <v>147</v>
      </c>
      <c r="B6" s="36" t="s">
        <v>148</v>
      </c>
      <c r="C6" s="36" t="s">
        <v>149</v>
      </c>
      <c r="D6" s="36" t="s">
        <v>117</v>
      </c>
      <c r="E6" s="36" t="s">
        <v>10</v>
      </c>
      <c r="F6" s="36" t="s">
        <v>7</v>
      </c>
      <c r="G6" s="36" t="s">
        <v>6</v>
      </c>
      <c r="H6" s="38" t="s">
        <v>45</v>
      </c>
      <c r="I6" s="38" t="s">
        <v>188</v>
      </c>
      <c r="J6" s="36"/>
      <c r="K6" s="36"/>
      <c r="L6" s="38" t="s">
        <v>61</v>
      </c>
      <c r="M6" s="68"/>
      <c r="N6" s="47">
        <v>1799000</v>
      </c>
      <c r="O6" s="36"/>
    </row>
    <row r="7" spans="1:15" ht="33" customHeight="1" x14ac:dyDescent="0.25">
      <c r="A7" s="36" t="s">
        <v>94</v>
      </c>
      <c r="B7" s="36" t="s">
        <v>95</v>
      </c>
      <c r="C7" s="36" t="s">
        <v>96</v>
      </c>
      <c r="D7" s="36" t="s">
        <v>37</v>
      </c>
      <c r="E7" s="36" t="s">
        <v>41</v>
      </c>
      <c r="F7" s="36" t="s">
        <v>102</v>
      </c>
      <c r="G7" s="36" t="s">
        <v>8</v>
      </c>
      <c r="H7" s="57" t="s">
        <v>153</v>
      </c>
      <c r="I7" s="38" t="s">
        <v>47</v>
      </c>
      <c r="J7" s="38" t="s">
        <v>59</v>
      </c>
      <c r="K7" s="38" t="s">
        <v>60</v>
      </c>
      <c r="L7" s="38" t="s">
        <v>61</v>
      </c>
      <c r="M7" s="38" t="s">
        <v>7</v>
      </c>
      <c r="N7" s="47">
        <v>6169000</v>
      </c>
      <c r="O7" s="38" t="s">
        <v>23</v>
      </c>
    </row>
    <row r="8" spans="1:15" ht="33" customHeight="1" x14ac:dyDescent="0.25">
      <c r="A8" s="36" t="s">
        <v>97</v>
      </c>
      <c r="B8" s="36" t="s">
        <v>98</v>
      </c>
      <c r="C8" s="36" t="s">
        <v>99</v>
      </c>
      <c r="D8" s="36" t="s">
        <v>37</v>
      </c>
      <c r="E8" s="36" t="s">
        <v>41</v>
      </c>
      <c r="F8" s="36" t="s">
        <v>42</v>
      </c>
      <c r="G8" s="36" t="s">
        <v>43</v>
      </c>
      <c r="H8" s="38" t="s">
        <v>103</v>
      </c>
      <c r="I8" s="38" t="s">
        <v>47</v>
      </c>
      <c r="J8" s="38" t="s">
        <v>59</v>
      </c>
      <c r="K8" s="38" t="s">
        <v>60</v>
      </c>
      <c r="L8" s="38" t="s">
        <v>61</v>
      </c>
      <c r="M8" s="38" t="s">
        <v>7</v>
      </c>
      <c r="N8" s="47">
        <v>6169000</v>
      </c>
      <c r="O8" s="38" t="s">
        <v>23</v>
      </c>
    </row>
    <row r="9" spans="1:15" ht="33" customHeight="1" x14ac:dyDescent="0.25">
      <c r="A9" s="36" t="s">
        <v>150</v>
      </c>
      <c r="B9" s="36" t="s">
        <v>151</v>
      </c>
      <c r="C9" s="36" t="s">
        <v>152</v>
      </c>
      <c r="D9" s="36" t="s">
        <v>117</v>
      </c>
      <c r="E9" s="36" t="s">
        <v>10</v>
      </c>
      <c r="F9" s="36" t="s">
        <v>7</v>
      </c>
      <c r="G9" s="36" t="s">
        <v>6</v>
      </c>
      <c r="H9" s="38" t="s">
        <v>45</v>
      </c>
      <c r="I9" s="38" t="s">
        <v>188</v>
      </c>
      <c r="J9" s="36"/>
      <c r="K9" s="36"/>
      <c r="L9" s="38" t="s">
        <v>61</v>
      </c>
      <c r="M9" s="36"/>
      <c r="N9" s="47">
        <v>1799000</v>
      </c>
      <c r="O9" s="36"/>
    </row>
    <row r="10" spans="1:15" ht="34.5" customHeight="1" x14ac:dyDescent="0.25">
      <c r="A10" s="67" t="s">
        <v>803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76" t="s">
        <v>155</v>
      </c>
      <c r="N10" s="77">
        <f>SUM(N3:N9)</f>
        <v>21333000</v>
      </c>
    </row>
  </sheetData>
  <mergeCells count="2">
    <mergeCell ref="A1:O1"/>
    <mergeCell ref="A10:L10"/>
  </mergeCells>
  <phoneticPr fontId="20" type="noConversion"/>
  <conditionalFormatting sqref="A2">
    <cfRule type="duplicateValues" dxfId="76" priority="2"/>
  </conditionalFormatting>
  <conditionalFormatting sqref="B2">
    <cfRule type="duplicateValues" dxfId="75" priority="1"/>
  </conditionalFormatting>
  <conditionalFormatting sqref="A3:A4">
    <cfRule type="duplicateValues" dxfId="74" priority="9"/>
  </conditionalFormatting>
  <conditionalFormatting sqref="B3:B4">
    <cfRule type="duplicateValues" dxfId="73" priority="11"/>
  </conditionalFormatting>
  <hyperlinks>
    <hyperlink ref="A10:L10" location="'PC ERP'!A1" display="Gơi ý nâng cấp theo cấu hình : =&gt; bấm vào linh để xem chi tiết mã và thông tin" xr:uid="{31B24F9F-C01F-4B2A-87E1-705DE290BCE9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F6ECA-54B5-42AD-9908-3DE38C35D531}">
  <dimension ref="A1:O13"/>
  <sheetViews>
    <sheetView topLeftCell="A7" workbookViewId="0">
      <selection activeCell="A13" sqref="A13:L13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210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156</v>
      </c>
      <c r="B3" s="1" t="s">
        <v>157</v>
      </c>
      <c r="C3" s="1" t="s">
        <v>158</v>
      </c>
      <c r="D3" s="1" t="s">
        <v>185</v>
      </c>
      <c r="E3" s="1" t="s">
        <v>75</v>
      </c>
      <c r="F3" s="1" t="s">
        <v>42</v>
      </c>
      <c r="G3" s="1" t="s">
        <v>6</v>
      </c>
      <c r="H3" s="29" t="s">
        <v>153</v>
      </c>
      <c r="I3" s="2" t="s">
        <v>47</v>
      </c>
      <c r="J3" s="2" t="s">
        <v>59</v>
      </c>
      <c r="K3" s="2" t="s">
        <v>60</v>
      </c>
      <c r="L3" s="2" t="s">
        <v>61</v>
      </c>
      <c r="M3" s="2" t="s">
        <v>7</v>
      </c>
      <c r="N3" s="4">
        <v>6169000</v>
      </c>
      <c r="O3" s="24" t="s">
        <v>23</v>
      </c>
    </row>
    <row r="4" spans="1:15" ht="33" customHeight="1" x14ac:dyDescent="0.25">
      <c r="A4" s="1" t="s">
        <v>159</v>
      </c>
      <c r="B4" s="1" t="s">
        <v>160</v>
      </c>
      <c r="C4" s="1" t="s">
        <v>161</v>
      </c>
      <c r="D4" s="1" t="s">
        <v>117</v>
      </c>
      <c r="E4" s="1" t="s">
        <v>10</v>
      </c>
      <c r="F4" s="1" t="s">
        <v>7</v>
      </c>
      <c r="G4" s="1" t="s">
        <v>6</v>
      </c>
      <c r="H4" s="2" t="s">
        <v>45</v>
      </c>
      <c r="I4" s="2" t="s">
        <v>188</v>
      </c>
      <c r="J4" s="2"/>
      <c r="K4" s="2"/>
      <c r="L4" s="2" t="s">
        <v>61</v>
      </c>
      <c r="M4" s="2"/>
      <c r="N4" s="4">
        <v>1799000</v>
      </c>
      <c r="O4" s="24"/>
    </row>
    <row r="5" spans="1:15" ht="33" customHeight="1" x14ac:dyDescent="0.25">
      <c r="A5" s="1" t="s">
        <v>162</v>
      </c>
      <c r="B5" s="1" t="s">
        <v>163</v>
      </c>
      <c r="C5" s="1" t="s">
        <v>164</v>
      </c>
      <c r="D5" s="1" t="s">
        <v>186</v>
      </c>
      <c r="E5" s="1" t="s">
        <v>10</v>
      </c>
      <c r="F5" s="1" t="s">
        <v>7</v>
      </c>
      <c r="G5" s="1" t="s">
        <v>6</v>
      </c>
      <c r="H5" s="2" t="s">
        <v>45</v>
      </c>
      <c r="I5" s="2" t="s">
        <v>188</v>
      </c>
      <c r="J5" s="2"/>
      <c r="K5" s="2"/>
      <c r="L5" s="2" t="s">
        <v>61</v>
      </c>
      <c r="M5" s="2"/>
      <c r="N5" s="4">
        <v>1799000</v>
      </c>
      <c r="O5" s="24"/>
    </row>
    <row r="6" spans="1:15" ht="33" customHeight="1" x14ac:dyDescent="0.25">
      <c r="A6" s="1" t="s">
        <v>165</v>
      </c>
      <c r="B6" s="1" t="s">
        <v>166</v>
      </c>
      <c r="C6" s="1" t="s">
        <v>167</v>
      </c>
      <c r="D6" s="1" t="s">
        <v>100</v>
      </c>
      <c r="E6" s="1" t="s">
        <v>101</v>
      </c>
      <c r="F6" s="1" t="s">
        <v>42</v>
      </c>
      <c r="G6" s="1" t="s">
        <v>6</v>
      </c>
      <c r="H6" s="2" t="s">
        <v>45</v>
      </c>
      <c r="I6" s="2" t="s">
        <v>189</v>
      </c>
      <c r="J6" s="2" t="s">
        <v>59</v>
      </c>
      <c r="K6" s="2" t="s">
        <v>60</v>
      </c>
      <c r="L6" s="2" t="s">
        <v>61</v>
      </c>
      <c r="M6" s="2" t="s">
        <v>7</v>
      </c>
      <c r="N6" s="4">
        <v>6169000</v>
      </c>
      <c r="O6" s="24" t="s">
        <v>23</v>
      </c>
    </row>
    <row r="7" spans="1:15" ht="33" customHeight="1" x14ac:dyDescent="0.25">
      <c r="A7" s="1" t="s">
        <v>168</v>
      </c>
      <c r="B7" s="1" t="s">
        <v>169</v>
      </c>
      <c r="C7" s="1" t="s">
        <v>170</v>
      </c>
      <c r="D7" s="1" t="s">
        <v>37</v>
      </c>
      <c r="E7" s="1" t="s">
        <v>41</v>
      </c>
      <c r="F7" s="1" t="s">
        <v>42</v>
      </c>
      <c r="G7" s="1" t="s">
        <v>43</v>
      </c>
      <c r="H7" s="2" t="s">
        <v>45</v>
      </c>
      <c r="I7" s="2" t="s">
        <v>47</v>
      </c>
      <c r="J7" s="2" t="s">
        <v>59</v>
      </c>
      <c r="K7" s="2" t="s">
        <v>60</v>
      </c>
      <c r="L7" s="2" t="s">
        <v>61</v>
      </c>
      <c r="M7" s="2" t="s">
        <v>7</v>
      </c>
      <c r="N7" s="4">
        <v>6169000</v>
      </c>
      <c r="O7" s="24" t="s">
        <v>23</v>
      </c>
    </row>
    <row r="8" spans="1:15" ht="33" customHeight="1" x14ac:dyDescent="0.25">
      <c r="A8" s="1" t="s">
        <v>171</v>
      </c>
      <c r="B8" s="1" t="s">
        <v>172</v>
      </c>
      <c r="C8" s="1" t="s">
        <v>173</v>
      </c>
      <c r="D8" s="1" t="s">
        <v>37</v>
      </c>
      <c r="E8" s="1" t="s">
        <v>41</v>
      </c>
      <c r="F8" s="1" t="s">
        <v>39</v>
      </c>
      <c r="G8" s="1" t="s">
        <v>43</v>
      </c>
      <c r="H8" s="2" t="s">
        <v>45</v>
      </c>
      <c r="I8" s="2" t="s">
        <v>47</v>
      </c>
      <c r="J8" s="2" t="s">
        <v>59</v>
      </c>
      <c r="K8" s="2" t="s">
        <v>60</v>
      </c>
      <c r="L8" s="2" t="s">
        <v>61</v>
      </c>
      <c r="M8" s="2" t="s">
        <v>7</v>
      </c>
      <c r="N8" s="4">
        <v>6169000</v>
      </c>
      <c r="O8" s="24" t="s">
        <v>23</v>
      </c>
    </row>
    <row r="9" spans="1:15" ht="33" customHeight="1" x14ac:dyDescent="0.25">
      <c r="A9" s="1" t="s">
        <v>174</v>
      </c>
      <c r="B9" s="1" t="s">
        <v>175</v>
      </c>
      <c r="C9" s="1" t="s">
        <v>176</v>
      </c>
      <c r="D9" s="1" t="s">
        <v>37</v>
      </c>
      <c r="E9" s="1" t="s">
        <v>41</v>
      </c>
      <c r="F9" s="1" t="s">
        <v>39</v>
      </c>
      <c r="G9" s="1" t="s">
        <v>43</v>
      </c>
      <c r="H9" s="2"/>
      <c r="I9" s="2" t="s">
        <v>47</v>
      </c>
      <c r="J9" s="2" t="s">
        <v>59</v>
      </c>
      <c r="K9" s="2" t="s">
        <v>60</v>
      </c>
      <c r="L9" s="2" t="s">
        <v>61</v>
      </c>
      <c r="M9" s="2" t="s">
        <v>7</v>
      </c>
      <c r="N9" s="4">
        <v>6169000</v>
      </c>
      <c r="O9" s="24" t="s">
        <v>23</v>
      </c>
    </row>
    <row r="10" spans="1:15" ht="33" customHeight="1" x14ac:dyDescent="0.3">
      <c r="A10" s="1" t="s">
        <v>177</v>
      </c>
      <c r="B10" s="1" t="s">
        <v>178</v>
      </c>
      <c r="C10" s="1" t="s">
        <v>179</v>
      </c>
      <c r="D10" s="1" t="s">
        <v>117</v>
      </c>
      <c r="E10" s="1" t="s">
        <v>10</v>
      </c>
      <c r="F10" s="1" t="s">
        <v>7</v>
      </c>
      <c r="G10" s="1" t="s">
        <v>6</v>
      </c>
      <c r="H10" s="2"/>
      <c r="I10" s="2" t="s">
        <v>188</v>
      </c>
      <c r="J10" s="44"/>
      <c r="K10" s="44"/>
      <c r="L10" s="2" t="s">
        <v>61</v>
      </c>
      <c r="M10" s="15"/>
      <c r="N10" s="4">
        <v>1799000</v>
      </c>
      <c r="O10" s="1"/>
    </row>
    <row r="11" spans="1:15" ht="33" customHeight="1" x14ac:dyDescent="0.25">
      <c r="A11" s="1" t="s">
        <v>180</v>
      </c>
      <c r="B11" s="1" t="s">
        <v>181</v>
      </c>
      <c r="C11" s="1" t="s">
        <v>182</v>
      </c>
      <c r="D11" s="1" t="s">
        <v>37</v>
      </c>
      <c r="E11" s="1" t="s">
        <v>38</v>
      </c>
      <c r="F11" s="1" t="s">
        <v>42</v>
      </c>
      <c r="G11" s="1" t="s">
        <v>44</v>
      </c>
      <c r="H11" s="2" t="s">
        <v>45</v>
      </c>
      <c r="I11" s="2" t="s">
        <v>47</v>
      </c>
      <c r="J11" s="2" t="s">
        <v>59</v>
      </c>
      <c r="K11" s="2" t="s">
        <v>60</v>
      </c>
      <c r="L11" s="2" t="s">
        <v>61</v>
      </c>
      <c r="M11" s="2" t="s">
        <v>7</v>
      </c>
      <c r="N11" s="4">
        <v>6169000</v>
      </c>
      <c r="O11" s="24" t="s">
        <v>23</v>
      </c>
    </row>
    <row r="12" spans="1:15" ht="33" customHeight="1" x14ac:dyDescent="0.25">
      <c r="A12" s="1" t="s">
        <v>183</v>
      </c>
      <c r="B12" s="1" t="s">
        <v>184</v>
      </c>
      <c r="C12" s="1" t="s">
        <v>183</v>
      </c>
      <c r="D12" s="1" t="s">
        <v>117</v>
      </c>
      <c r="E12" s="1" t="s">
        <v>10</v>
      </c>
      <c r="F12" s="1" t="s">
        <v>7</v>
      </c>
      <c r="G12" s="1" t="s">
        <v>6</v>
      </c>
      <c r="H12" s="2" t="s">
        <v>187</v>
      </c>
      <c r="I12" s="2" t="s">
        <v>188</v>
      </c>
      <c r="J12" s="1"/>
      <c r="K12" s="1"/>
      <c r="L12" s="2" t="s">
        <v>61</v>
      </c>
      <c r="M12" s="1"/>
      <c r="N12" s="4">
        <v>1799000</v>
      </c>
      <c r="O12" s="1"/>
    </row>
    <row r="13" spans="1:15" ht="40.5" customHeight="1" x14ac:dyDescent="0.25">
      <c r="A13" s="67" t="s">
        <v>803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45" t="s">
        <v>118</v>
      </c>
      <c r="N13" s="16">
        <f>SUM(N3:N12)</f>
        <v>44210000</v>
      </c>
    </row>
  </sheetData>
  <mergeCells count="2">
    <mergeCell ref="A1:O1"/>
    <mergeCell ref="A13:L13"/>
  </mergeCells>
  <phoneticPr fontId="20" type="noConversion"/>
  <conditionalFormatting sqref="A2">
    <cfRule type="duplicateValues" dxfId="72" priority="2"/>
  </conditionalFormatting>
  <conditionalFormatting sqref="B2">
    <cfRule type="duplicateValues" dxfId="71" priority="1"/>
  </conditionalFormatting>
  <conditionalFormatting sqref="A3:A4">
    <cfRule type="duplicateValues" dxfId="70" priority="3"/>
  </conditionalFormatting>
  <conditionalFormatting sqref="B3:B4">
    <cfRule type="duplicateValues" dxfId="69" priority="4"/>
  </conditionalFormatting>
  <hyperlinks>
    <hyperlink ref="A13:L13" location="'PC ERP'!A1" display="Gơi ý nâng cấp theo cấu hình : =&gt; bấm vào linh để xem chi tiết mã và thông tin" xr:uid="{A09A533A-4E4D-4965-B478-10BC6E2C76B1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7ED9D-A729-422B-9C01-3F7E6B8EA4B1}">
  <dimension ref="A1:O9"/>
  <sheetViews>
    <sheetView workbookViewId="0">
      <selection activeCell="A9" sqref="A9:L9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209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190</v>
      </c>
      <c r="B3" s="1" t="s">
        <v>191</v>
      </c>
      <c r="C3" s="1" t="s">
        <v>192</v>
      </c>
      <c r="D3" s="1" t="s">
        <v>37</v>
      </c>
      <c r="E3" s="1" t="s">
        <v>90</v>
      </c>
      <c r="F3" s="1" t="s">
        <v>39</v>
      </c>
      <c r="G3" s="1" t="s">
        <v>43</v>
      </c>
      <c r="H3" s="2" t="s">
        <v>45</v>
      </c>
      <c r="I3" s="2" t="s">
        <v>47</v>
      </c>
      <c r="J3" s="2" t="s">
        <v>59</v>
      </c>
      <c r="K3" s="2" t="s">
        <v>60</v>
      </c>
      <c r="L3" s="2" t="s">
        <v>61</v>
      </c>
      <c r="M3" s="2" t="s">
        <v>7</v>
      </c>
      <c r="N3" s="4">
        <v>6169000</v>
      </c>
      <c r="O3" s="24" t="s">
        <v>23</v>
      </c>
    </row>
    <row r="4" spans="1:15" ht="33" customHeight="1" x14ac:dyDescent="0.25">
      <c r="A4" s="1" t="s">
        <v>193</v>
      </c>
      <c r="B4" s="1" t="s">
        <v>194</v>
      </c>
      <c r="C4" s="1" t="s">
        <v>195</v>
      </c>
      <c r="D4" s="1" t="s">
        <v>37</v>
      </c>
      <c r="E4" s="1" t="s">
        <v>41</v>
      </c>
      <c r="F4" s="1" t="s">
        <v>89</v>
      </c>
      <c r="G4" s="1" t="s">
        <v>6</v>
      </c>
      <c r="H4" s="2" t="s">
        <v>45</v>
      </c>
      <c r="I4" s="2" t="s">
        <v>47</v>
      </c>
      <c r="J4" s="2" t="s">
        <v>59</v>
      </c>
      <c r="K4" s="2" t="s">
        <v>60</v>
      </c>
      <c r="L4" s="2" t="s">
        <v>61</v>
      </c>
      <c r="M4" s="2" t="s">
        <v>7</v>
      </c>
      <c r="N4" s="4">
        <v>6169000</v>
      </c>
      <c r="O4" s="24" t="s">
        <v>23</v>
      </c>
    </row>
    <row r="5" spans="1:15" ht="33" customHeight="1" x14ac:dyDescent="0.25">
      <c r="A5" s="1" t="s">
        <v>196</v>
      </c>
      <c r="B5" s="1" t="s">
        <v>197</v>
      </c>
      <c r="C5" s="1" t="s">
        <v>198</v>
      </c>
      <c r="D5" s="1" t="s">
        <v>37</v>
      </c>
      <c r="E5" s="1" t="s">
        <v>41</v>
      </c>
      <c r="F5" s="1" t="s">
        <v>42</v>
      </c>
      <c r="G5" s="1" t="s">
        <v>43</v>
      </c>
      <c r="H5" s="2" t="s">
        <v>45</v>
      </c>
      <c r="I5" s="2" t="s">
        <v>47</v>
      </c>
      <c r="J5" s="2" t="s">
        <v>59</v>
      </c>
      <c r="K5" s="2" t="s">
        <v>60</v>
      </c>
      <c r="L5" s="2" t="s">
        <v>61</v>
      </c>
      <c r="M5" s="2" t="s">
        <v>7</v>
      </c>
      <c r="N5" s="4">
        <v>6169000</v>
      </c>
      <c r="O5" s="24" t="s">
        <v>23</v>
      </c>
    </row>
    <row r="6" spans="1:15" ht="33" customHeight="1" x14ac:dyDescent="0.25">
      <c r="A6" s="1" t="s">
        <v>200</v>
      </c>
      <c r="B6" s="1" t="s">
        <v>201</v>
      </c>
      <c r="C6" s="1" t="s">
        <v>202</v>
      </c>
      <c r="D6" s="1" t="s">
        <v>37</v>
      </c>
      <c r="E6" s="1" t="s">
        <v>90</v>
      </c>
      <c r="F6" s="1" t="s">
        <v>102</v>
      </c>
      <c r="G6" s="1" t="s">
        <v>44</v>
      </c>
      <c r="H6" s="2" t="s">
        <v>45</v>
      </c>
      <c r="I6" s="2" t="s">
        <v>47</v>
      </c>
      <c r="J6" s="2" t="s">
        <v>59</v>
      </c>
      <c r="K6" s="2" t="s">
        <v>60</v>
      </c>
      <c r="L6" s="2" t="s">
        <v>61</v>
      </c>
      <c r="M6" s="2" t="s">
        <v>7</v>
      </c>
      <c r="N6" s="4">
        <v>6169000</v>
      </c>
      <c r="O6" s="24" t="s">
        <v>23</v>
      </c>
    </row>
    <row r="7" spans="1:15" ht="33" customHeight="1" x14ac:dyDescent="0.25">
      <c r="A7" s="1" t="s">
        <v>203</v>
      </c>
      <c r="B7" s="1" t="s">
        <v>204</v>
      </c>
      <c r="C7" s="1" t="s">
        <v>199</v>
      </c>
      <c r="D7" s="1" t="s">
        <v>37</v>
      </c>
      <c r="E7" s="1" t="s">
        <v>90</v>
      </c>
      <c r="F7" s="1" t="s">
        <v>42</v>
      </c>
      <c r="G7" s="1" t="s">
        <v>44</v>
      </c>
      <c r="H7" s="24"/>
      <c r="I7" s="2" t="s">
        <v>47</v>
      </c>
      <c r="J7" s="2" t="s">
        <v>59</v>
      </c>
      <c r="K7" s="2" t="s">
        <v>60</v>
      </c>
      <c r="L7" s="2" t="s">
        <v>61</v>
      </c>
      <c r="M7" s="2" t="s">
        <v>7</v>
      </c>
      <c r="N7" s="4">
        <v>6169000</v>
      </c>
      <c r="O7" s="24" t="s">
        <v>23</v>
      </c>
    </row>
    <row r="8" spans="1:15" ht="33" customHeight="1" x14ac:dyDescent="0.25">
      <c r="A8" s="1" t="s">
        <v>205</v>
      </c>
      <c r="B8" s="1" t="s">
        <v>206</v>
      </c>
      <c r="C8" s="1" t="s">
        <v>207</v>
      </c>
      <c r="D8" s="1" t="s">
        <v>37</v>
      </c>
      <c r="E8" s="1" t="s">
        <v>41</v>
      </c>
      <c r="F8" s="1" t="s">
        <v>42</v>
      </c>
      <c r="G8" s="1" t="s">
        <v>43</v>
      </c>
      <c r="H8" s="2" t="s">
        <v>45</v>
      </c>
      <c r="I8" s="2" t="s">
        <v>47</v>
      </c>
      <c r="J8" s="2" t="s">
        <v>59</v>
      </c>
      <c r="K8" s="2" t="s">
        <v>60</v>
      </c>
      <c r="L8" s="2" t="s">
        <v>61</v>
      </c>
      <c r="M8" s="2" t="s">
        <v>7</v>
      </c>
      <c r="N8" s="4">
        <v>6169000</v>
      </c>
      <c r="O8" s="24" t="s">
        <v>23</v>
      </c>
    </row>
    <row r="9" spans="1:15" ht="29.25" customHeight="1" x14ac:dyDescent="0.25">
      <c r="A9" s="67" t="s">
        <v>803</v>
      </c>
      <c r="B9" s="67"/>
      <c r="C9" s="67"/>
      <c r="D9" s="67"/>
      <c r="E9" s="67"/>
      <c r="F9" s="67"/>
      <c r="G9" s="67"/>
      <c r="H9" s="67"/>
      <c r="I9" s="67"/>
      <c r="J9" s="67"/>
      <c r="K9" s="67"/>
      <c r="L9" s="67"/>
      <c r="M9" s="45" t="s">
        <v>118</v>
      </c>
      <c r="N9" s="16">
        <f>SUM(N3:N8)</f>
        <v>37014000</v>
      </c>
    </row>
  </sheetData>
  <mergeCells count="2">
    <mergeCell ref="A1:O1"/>
    <mergeCell ref="A9:L9"/>
  </mergeCells>
  <conditionalFormatting sqref="A2">
    <cfRule type="duplicateValues" dxfId="68" priority="2"/>
  </conditionalFormatting>
  <conditionalFormatting sqref="B2">
    <cfRule type="duplicateValues" dxfId="67" priority="1"/>
  </conditionalFormatting>
  <conditionalFormatting sqref="A3:A4">
    <cfRule type="duplicateValues" dxfId="66" priority="3"/>
  </conditionalFormatting>
  <conditionalFormatting sqref="B3:B4">
    <cfRule type="duplicateValues" dxfId="65" priority="4"/>
  </conditionalFormatting>
  <hyperlinks>
    <hyperlink ref="A9:L9" location="'PC ERP'!A1" display="Gơi ý nâng cấp theo cấu hình : =&gt; bấm vào linh để xem chi tiết mã và thông tin" xr:uid="{C504FB78-194D-4EA4-BF19-A4CCBDB6FCDE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E9AF9-6B7F-4F7F-AAE6-347C5B1DB3EC}">
  <dimension ref="A1:O8"/>
  <sheetViews>
    <sheetView workbookViewId="0">
      <selection activeCell="A8" sqref="A8:L8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223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211</v>
      </c>
      <c r="B3" s="1" t="s">
        <v>212</v>
      </c>
      <c r="C3" s="1" t="s">
        <v>213</v>
      </c>
      <c r="D3" s="1" t="s">
        <v>37</v>
      </c>
      <c r="E3" s="1" t="s">
        <v>41</v>
      </c>
      <c r="F3" s="1" t="s">
        <v>42</v>
      </c>
      <c r="G3" s="1" t="s">
        <v>43</v>
      </c>
      <c r="H3" s="2" t="s">
        <v>45</v>
      </c>
      <c r="I3" s="2" t="s">
        <v>47</v>
      </c>
      <c r="J3" s="2" t="s">
        <v>59</v>
      </c>
      <c r="K3" s="2" t="s">
        <v>60</v>
      </c>
      <c r="L3" s="2" t="s">
        <v>61</v>
      </c>
      <c r="M3" s="2" t="s">
        <v>7</v>
      </c>
      <c r="N3" s="4">
        <v>6169000</v>
      </c>
      <c r="O3" s="24" t="s">
        <v>23</v>
      </c>
    </row>
    <row r="4" spans="1:15" ht="33" customHeight="1" x14ac:dyDescent="0.25">
      <c r="A4" s="1" t="s">
        <v>214</v>
      </c>
      <c r="B4" s="1" t="s">
        <v>215</v>
      </c>
      <c r="C4" s="1" t="s">
        <v>216</v>
      </c>
      <c r="D4" s="1" t="s">
        <v>37</v>
      </c>
      <c r="E4" s="1" t="s">
        <v>41</v>
      </c>
      <c r="F4" s="1" t="s">
        <v>42</v>
      </c>
      <c r="G4" s="1" t="s">
        <v>6</v>
      </c>
      <c r="H4" s="2" t="s">
        <v>45</v>
      </c>
      <c r="I4" s="2" t="s">
        <v>47</v>
      </c>
      <c r="J4" s="2" t="s">
        <v>59</v>
      </c>
      <c r="K4" s="2" t="s">
        <v>60</v>
      </c>
      <c r="L4" s="2" t="s">
        <v>61</v>
      </c>
      <c r="M4" s="2" t="s">
        <v>7</v>
      </c>
      <c r="N4" s="4">
        <v>6169000</v>
      </c>
      <c r="O4" s="24" t="s">
        <v>23</v>
      </c>
    </row>
    <row r="5" spans="1:15" ht="33" customHeight="1" x14ac:dyDescent="0.25">
      <c r="A5" s="1" t="s">
        <v>217</v>
      </c>
      <c r="B5" s="1" t="s">
        <v>218</v>
      </c>
      <c r="C5" s="1" t="s">
        <v>219</v>
      </c>
      <c r="D5" s="1" t="s">
        <v>37</v>
      </c>
      <c r="E5" s="1" t="s">
        <v>41</v>
      </c>
      <c r="F5" s="1" t="s">
        <v>39</v>
      </c>
      <c r="G5" s="1" t="s">
        <v>43</v>
      </c>
      <c r="H5" s="2" t="s">
        <v>45</v>
      </c>
      <c r="I5" s="2" t="s">
        <v>47</v>
      </c>
      <c r="J5" s="2" t="s">
        <v>59</v>
      </c>
      <c r="K5" s="2" t="s">
        <v>60</v>
      </c>
      <c r="L5" s="2" t="s">
        <v>61</v>
      </c>
      <c r="M5" s="2" t="s">
        <v>7</v>
      </c>
      <c r="N5" s="4">
        <v>6169000</v>
      </c>
      <c r="O5" s="24" t="s">
        <v>23</v>
      </c>
    </row>
    <row r="6" spans="1:15" ht="33" customHeight="1" x14ac:dyDescent="0.25">
      <c r="A6" s="1" t="s">
        <v>220</v>
      </c>
      <c r="B6" s="1" t="s">
        <v>221</v>
      </c>
      <c r="C6" s="1" t="s">
        <v>222</v>
      </c>
      <c r="D6" s="1" t="s">
        <v>37</v>
      </c>
      <c r="E6" s="1" t="s">
        <v>41</v>
      </c>
      <c r="F6" s="1" t="s">
        <v>42</v>
      </c>
      <c r="G6" s="1" t="s">
        <v>43</v>
      </c>
      <c r="H6" s="2" t="s">
        <v>45</v>
      </c>
      <c r="I6" s="2" t="s">
        <v>47</v>
      </c>
      <c r="J6" s="2" t="s">
        <v>59</v>
      </c>
      <c r="K6" s="2" t="s">
        <v>60</v>
      </c>
      <c r="L6" s="2" t="s">
        <v>61</v>
      </c>
      <c r="M6" s="2" t="s">
        <v>7</v>
      </c>
      <c r="N6" s="4">
        <v>6169000</v>
      </c>
      <c r="O6" s="24" t="s">
        <v>23</v>
      </c>
    </row>
    <row r="7" spans="1:15" ht="33" customHeight="1" x14ac:dyDescent="0.25">
      <c r="A7" s="1" t="s">
        <v>665</v>
      </c>
      <c r="B7" s="1" t="s">
        <v>666</v>
      </c>
      <c r="C7" s="1" t="s">
        <v>667</v>
      </c>
      <c r="D7" s="1" t="s">
        <v>186</v>
      </c>
      <c r="E7" s="1" t="s">
        <v>352</v>
      </c>
      <c r="F7" s="1" t="s">
        <v>7</v>
      </c>
      <c r="G7" s="1" t="s">
        <v>43</v>
      </c>
      <c r="H7" s="2" t="s">
        <v>45</v>
      </c>
      <c r="I7" s="2" t="s">
        <v>79</v>
      </c>
      <c r="J7" s="2" t="s">
        <v>59</v>
      </c>
      <c r="K7" s="2" t="s">
        <v>60</v>
      </c>
      <c r="L7" s="2" t="s">
        <v>61</v>
      </c>
      <c r="M7" s="2" t="s">
        <v>7</v>
      </c>
      <c r="N7" s="4">
        <v>6169000</v>
      </c>
      <c r="O7" s="24" t="s">
        <v>23</v>
      </c>
    </row>
    <row r="8" spans="1:15" ht="29.25" customHeight="1" x14ac:dyDescent="0.25">
      <c r="A8" s="80" t="s">
        <v>803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2"/>
      <c r="M8" s="45" t="s">
        <v>118</v>
      </c>
      <c r="N8" s="16">
        <f>SUM(N3:N7)</f>
        <v>30845000</v>
      </c>
    </row>
  </sheetData>
  <mergeCells count="2">
    <mergeCell ref="A1:O1"/>
    <mergeCell ref="A8:L8"/>
  </mergeCells>
  <phoneticPr fontId="20" type="noConversion"/>
  <conditionalFormatting sqref="A2">
    <cfRule type="duplicateValues" dxfId="64" priority="2"/>
  </conditionalFormatting>
  <conditionalFormatting sqref="B2">
    <cfRule type="duplicateValues" dxfId="63" priority="1"/>
  </conditionalFormatting>
  <conditionalFormatting sqref="A3:A4">
    <cfRule type="duplicateValues" dxfId="62" priority="3"/>
  </conditionalFormatting>
  <conditionalFormatting sqref="B3:B4">
    <cfRule type="duplicateValues" dxfId="61" priority="4"/>
  </conditionalFormatting>
  <hyperlinks>
    <hyperlink ref="A8:L8" location="'PC ERP'!A1" display="Gơi ý nâng cấp theo cấu hình : =&gt; bấm vào linh để xem chi tiết mã và thông tin" xr:uid="{BFF2F758-33E5-4466-99CB-41E762F2AB67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635E-270B-4E59-A9AF-B534F1E8D078}">
  <sheetPr filterMode="1"/>
  <dimension ref="A1:Q45"/>
  <sheetViews>
    <sheetView topLeftCell="A33" workbookViewId="0">
      <selection activeCell="I49" sqref="H49:I49"/>
    </sheetView>
  </sheetViews>
  <sheetFormatPr defaultRowHeight="15" x14ac:dyDescent="0.25"/>
  <cols>
    <col min="1" max="1" width="9.5703125" customWidth="1"/>
    <col min="2" max="2" width="14.42578125" customWidth="1"/>
    <col min="3" max="3" width="12.5703125" customWidth="1"/>
    <col min="4" max="5" width="16.140625" customWidth="1"/>
    <col min="6" max="6" width="12.5703125" customWidth="1"/>
    <col min="7" max="7" width="21.42578125" customWidth="1"/>
    <col min="8" max="8" width="14.42578125" style="40" customWidth="1"/>
    <col min="9" max="9" width="20.5703125" customWidth="1"/>
    <col min="10" max="10" width="21.28515625" customWidth="1"/>
    <col min="11" max="11" width="17.85546875" customWidth="1"/>
    <col min="12" max="12" width="17.7109375" customWidth="1"/>
    <col min="13" max="13" width="16.140625" customWidth="1"/>
    <col min="14" max="14" width="16" customWidth="1"/>
    <col min="15" max="16" width="16.7109375" customWidth="1"/>
    <col min="17" max="17" width="11.85546875" customWidth="1"/>
  </cols>
  <sheetData>
    <row r="1" spans="1:17" ht="35.1" customHeight="1" x14ac:dyDescent="0.3">
      <c r="A1" s="50" t="s">
        <v>366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45.75" customHeight="1" x14ac:dyDescent="0.25">
      <c r="A2" s="2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359</v>
      </c>
      <c r="I2" s="23" t="s">
        <v>363</v>
      </c>
      <c r="J2" s="23" t="s">
        <v>364</v>
      </c>
      <c r="K2" s="23" t="s">
        <v>26</v>
      </c>
      <c r="L2" s="34" t="s">
        <v>48</v>
      </c>
      <c r="M2" s="34" t="s">
        <v>49</v>
      </c>
      <c r="N2" s="34" t="s">
        <v>12</v>
      </c>
      <c r="O2" s="34" t="s">
        <v>13</v>
      </c>
      <c r="P2" s="34" t="s">
        <v>22</v>
      </c>
      <c r="Q2" s="3" t="s">
        <v>14</v>
      </c>
    </row>
    <row r="3" spans="1:17" ht="33" customHeight="1" x14ac:dyDescent="0.25">
      <c r="A3" s="37" t="s">
        <v>224</v>
      </c>
      <c r="B3" s="37" t="s">
        <v>225</v>
      </c>
      <c r="C3" s="37" t="s">
        <v>226</v>
      </c>
      <c r="D3" s="37" t="s">
        <v>100</v>
      </c>
      <c r="E3" s="37" t="s">
        <v>101</v>
      </c>
      <c r="F3" s="37" t="s">
        <v>7</v>
      </c>
      <c r="G3" s="37" t="s">
        <v>43</v>
      </c>
      <c r="H3" s="38"/>
      <c r="I3" s="49" t="s">
        <v>361</v>
      </c>
      <c r="J3" s="49" t="s">
        <v>365</v>
      </c>
      <c r="K3" s="37" t="s">
        <v>189</v>
      </c>
      <c r="L3" s="37" t="s">
        <v>59</v>
      </c>
      <c r="M3" s="37" t="s">
        <v>60</v>
      </c>
      <c r="N3" s="37" t="s">
        <v>61</v>
      </c>
      <c r="O3" s="37" t="s">
        <v>7</v>
      </c>
      <c r="P3" s="47">
        <v>6169000</v>
      </c>
      <c r="Q3" s="37"/>
    </row>
    <row r="4" spans="1:17" ht="33" hidden="1" customHeight="1" x14ac:dyDescent="0.25">
      <c r="A4" s="37" t="s">
        <v>227</v>
      </c>
      <c r="B4" s="37" t="s">
        <v>228</v>
      </c>
      <c r="C4" s="37" t="s">
        <v>229</v>
      </c>
      <c r="D4" s="37" t="s">
        <v>74</v>
      </c>
      <c r="E4" s="37" t="s">
        <v>75</v>
      </c>
      <c r="F4" s="37" t="s">
        <v>42</v>
      </c>
      <c r="G4" s="37" t="s">
        <v>43</v>
      </c>
      <c r="H4" s="38"/>
      <c r="I4" s="49" t="s">
        <v>360</v>
      </c>
      <c r="J4" s="49" t="s">
        <v>361</v>
      </c>
      <c r="K4" s="37" t="s">
        <v>47</v>
      </c>
      <c r="L4" s="37" t="s">
        <v>59</v>
      </c>
      <c r="M4" s="37" t="s">
        <v>60</v>
      </c>
      <c r="N4" s="37" t="s">
        <v>61</v>
      </c>
      <c r="O4" s="37" t="s">
        <v>7</v>
      </c>
      <c r="P4" s="47">
        <v>6169000</v>
      </c>
      <c r="Q4" s="37"/>
    </row>
    <row r="5" spans="1:17" ht="33" hidden="1" customHeight="1" x14ac:dyDescent="0.25">
      <c r="A5" s="37" t="s">
        <v>230</v>
      </c>
      <c r="B5" s="37" t="s">
        <v>231</v>
      </c>
      <c r="C5" s="37" t="s">
        <v>232</v>
      </c>
      <c r="D5" s="37" t="s">
        <v>186</v>
      </c>
      <c r="E5" s="37" t="s">
        <v>10</v>
      </c>
      <c r="F5" s="37" t="s">
        <v>7</v>
      </c>
      <c r="G5" s="37" t="s">
        <v>6</v>
      </c>
      <c r="H5" s="38"/>
      <c r="I5" s="49" t="s">
        <v>361</v>
      </c>
      <c r="J5" s="49" t="s">
        <v>365</v>
      </c>
      <c r="K5" s="37" t="s">
        <v>188</v>
      </c>
      <c r="L5" s="37"/>
      <c r="M5" s="37"/>
      <c r="N5" s="37" t="s">
        <v>61</v>
      </c>
      <c r="O5" s="37"/>
      <c r="P5" s="47">
        <v>1799000</v>
      </c>
      <c r="Q5" s="37"/>
    </row>
    <row r="6" spans="1:17" ht="33" customHeight="1" x14ac:dyDescent="0.25">
      <c r="A6" s="37" t="s">
        <v>233</v>
      </c>
      <c r="B6" s="37" t="s">
        <v>234</v>
      </c>
      <c r="C6" s="37" t="s">
        <v>235</v>
      </c>
      <c r="D6" s="37" t="s">
        <v>100</v>
      </c>
      <c r="E6" s="37" t="s">
        <v>101</v>
      </c>
      <c r="F6" s="37" t="s">
        <v>350</v>
      </c>
      <c r="G6" s="37" t="s">
        <v>8</v>
      </c>
      <c r="H6" s="38"/>
      <c r="I6" s="49" t="s">
        <v>361</v>
      </c>
      <c r="J6" s="49" t="s">
        <v>365</v>
      </c>
      <c r="K6" s="37" t="s">
        <v>189</v>
      </c>
      <c r="L6" s="37" t="s">
        <v>59</v>
      </c>
      <c r="M6" s="37" t="s">
        <v>60</v>
      </c>
      <c r="N6" s="37"/>
      <c r="O6" s="37" t="s">
        <v>7</v>
      </c>
      <c r="P6" s="48">
        <v>4370000</v>
      </c>
      <c r="Q6" s="37"/>
    </row>
    <row r="7" spans="1:17" ht="33" hidden="1" customHeight="1" x14ac:dyDescent="0.25">
      <c r="A7" s="37" t="s">
        <v>236</v>
      </c>
      <c r="B7" s="37" t="s">
        <v>237</v>
      </c>
      <c r="C7" s="37" t="s">
        <v>238</v>
      </c>
      <c r="D7" s="37" t="s">
        <v>74</v>
      </c>
      <c r="E7" s="37" t="s">
        <v>75</v>
      </c>
      <c r="F7" s="37" t="s">
        <v>351</v>
      </c>
      <c r="G7" s="37" t="s">
        <v>44</v>
      </c>
      <c r="H7" s="38"/>
      <c r="I7" s="49" t="s">
        <v>361</v>
      </c>
      <c r="J7" s="49" t="s">
        <v>46</v>
      </c>
      <c r="K7" s="37" t="s">
        <v>47</v>
      </c>
      <c r="L7" s="37" t="s">
        <v>59</v>
      </c>
      <c r="M7" s="37" t="s">
        <v>60</v>
      </c>
      <c r="N7" s="37" t="s">
        <v>61</v>
      </c>
      <c r="O7" s="37" t="s">
        <v>7</v>
      </c>
      <c r="P7" s="47">
        <v>6169000</v>
      </c>
      <c r="Q7" s="37"/>
    </row>
    <row r="8" spans="1:17" ht="33" hidden="1" customHeight="1" x14ac:dyDescent="0.25">
      <c r="A8" s="37" t="s">
        <v>239</v>
      </c>
      <c r="B8" s="37" t="s">
        <v>240</v>
      </c>
      <c r="C8" s="37" t="s">
        <v>241</v>
      </c>
      <c r="D8" s="37" t="s">
        <v>186</v>
      </c>
      <c r="E8" s="37" t="s">
        <v>352</v>
      </c>
      <c r="F8" s="37" t="s">
        <v>7</v>
      </c>
      <c r="G8" s="37" t="s">
        <v>8</v>
      </c>
      <c r="H8" s="38" t="s">
        <v>45</v>
      </c>
      <c r="I8" s="49" t="s">
        <v>360</v>
      </c>
      <c r="J8" s="49" t="s">
        <v>361</v>
      </c>
      <c r="K8" s="37" t="s">
        <v>188</v>
      </c>
      <c r="L8" s="37" t="s">
        <v>59</v>
      </c>
      <c r="M8" s="37" t="s">
        <v>60</v>
      </c>
      <c r="N8" s="37"/>
      <c r="O8" s="37" t="s">
        <v>7</v>
      </c>
      <c r="P8" s="48">
        <v>4370000</v>
      </c>
      <c r="Q8" s="37"/>
    </row>
    <row r="9" spans="1:17" ht="33" hidden="1" customHeight="1" x14ac:dyDescent="0.25">
      <c r="A9" s="37" t="s">
        <v>242</v>
      </c>
      <c r="B9" s="37" t="s">
        <v>243</v>
      </c>
      <c r="C9" s="37" t="s">
        <v>244</v>
      </c>
      <c r="D9" s="37" t="s">
        <v>186</v>
      </c>
      <c r="E9" s="37" t="s">
        <v>352</v>
      </c>
      <c r="F9" s="37" t="s">
        <v>7</v>
      </c>
      <c r="G9" s="37" t="s">
        <v>43</v>
      </c>
      <c r="H9" s="38"/>
      <c r="I9" s="49" t="s">
        <v>361</v>
      </c>
      <c r="J9" s="49" t="s">
        <v>46</v>
      </c>
      <c r="K9" s="37" t="s">
        <v>188</v>
      </c>
      <c r="L9" s="37" t="s">
        <v>59</v>
      </c>
      <c r="M9" s="37" t="s">
        <v>60</v>
      </c>
      <c r="N9" s="37" t="s">
        <v>61</v>
      </c>
      <c r="O9" s="37" t="s">
        <v>7</v>
      </c>
      <c r="P9" s="47">
        <v>6169000</v>
      </c>
      <c r="Q9" s="37"/>
    </row>
    <row r="10" spans="1:17" ht="33" hidden="1" customHeight="1" x14ac:dyDescent="0.25">
      <c r="A10" s="37" t="s">
        <v>245</v>
      </c>
      <c r="B10" s="37" t="s">
        <v>246</v>
      </c>
      <c r="C10" s="37" t="s">
        <v>247</v>
      </c>
      <c r="D10" s="37" t="s">
        <v>117</v>
      </c>
      <c r="E10" s="37" t="s">
        <v>10</v>
      </c>
      <c r="F10" s="37" t="s">
        <v>7</v>
      </c>
      <c r="G10" s="37" t="s">
        <v>6</v>
      </c>
      <c r="H10" s="38"/>
      <c r="I10" s="49" t="s">
        <v>361</v>
      </c>
      <c r="J10" s="49" t="s">
        <v>46</v>
      </c>
      <c r="K10" s="37" t="s">
        <v>188</v>
      </c>
      <c r="L10" s="37"/>
      <c r="M10" s="37"/>
      <c r="N10" s="37" t="s">
        <v>61</v>
      </c>
      <c r="O10" s="37"/>
      <c r="P10" s="47">
        <v>1799000</v>
      </c>
      <c r="Q10" s="37"/>
    </row>
    <row r="11" spans="1:17" ht="33" hidden="1" customHeight="1" x14ac:dyDescent="0.25">
      <c r="A11" s="37" t="s">
        <v>248</v>
      </c>
      <c r="B11" s="37" t="s">
        <v>249</v>
      </c>
      <c r="C11" s="37" t="s">
        <v>250</v>
      </c>
      <c r="D11" s="37" t="s">
        <v>117</v>
      </c>
      <c r="E11" s="37" t="s">
        <v>10</v>
      </c>
      <c r="F11" s="37" t="s">
        <v>7</v>
      </c>
      <c r="G11" s="37" t="s">
        <v>43</v>
      </c>
      <c r="H11" s="38" t="s">
        <v>45</v>
      </c>
      <c r="I11" s="49" t="s">
        <v>361</v>
      </c>
      <c r="J11" s="49" t="s">
        <v>46</v>
      </c>
      <c r="K11" s="37" t="s">
        <v>188</v>
      </c>
      <c r="L11" s="37" t="s">
        <v>59</v>
      </c>
      <c r="M11" s="37" t="s">
        <v>60</v>
      </c>
      <c r="N11" s="37" t="s">
        <v>61</v>
      </c>
      <c r="O11" s="37" t="s">
        <v>7</v>
      </c>
      <c r="P11" s="47">
        <v>6169000</v>
      </c>
      <c r="Q11" s="37"/>
    </row>
    <row r="12" spans="1:17" ht="33" hidden="1" customHeight="1" x14ac:dyDescent="0.25">
      <c r="A12" s="37" t="s">
        <v>251</v>
      </c>
      <c r="B12" s="37" t="s">
        <v>252</v>
      </c>
      <c r="C12" s="37" t="s">
        <v>253</v>
      </c>
      <c r="D12" s="37" t="s">
        <v>353</v>
      </c>
      <c r="E12" s="37" t="s">
        <v>75</v>
      </c>
      <c r="F12" s="37" t="s">
        <v>89</v>
      </c>
      <c r="G12" s="37" t="s">
        <v>8</v>
      </c>
      <c r="H12" s="38" t="s">
        <v>45</v>
      </c>
      <c r="I12" s="49" t="s">
        <v>361</v>
      </c>
      <c r="J12" s="49" t="s">
        <v>46</v>
      </c>
      <c r="K12" s="37" t="s">
        <v>47</v>
      </c>
      <c r="L12" s="37" t="s">
        <v>59</v>
      </c>
      <c r="M12" s="37" t="s">
        <v>60</v>
      </c>
      <c r="N12" s="37"/>
      <c r="O12" s="37" t="s">
        <v>7</v>
      </c>
      <c r="P12" s="48">
        <v>4370000</v>
      </c>
      <c r="Q12" s="37"/>
    </row>
    <row r="13" spans="1:17" ht="33" customHeight="1" x14ac:dyDescent="0.25">
      <c r="A13" s="37" t="s">
        <v>254</v>
      </c>
      <c r="B13" s="37" t="s">
        <v>255</v>
      </c>
      <c r="C13" s="37" t="s">
        <v>256</v>
      </c>
      <c r="D13" s="37" t="s">
        <v>100</v>
      </c>
      <c r="E13" s="37" t="s">
        <v>101</v>
      </c>
      <c r="F13" s="37" t="s">
        <v>42</v>
      </c>
      <c r="G13" s="37" t="s">
        <v>44</v>
      </c>
      <c r="H13" s="38"/>
      <c r="I13" s="49" t="s">
        <v>361</v>
      </c>
      <c r="J13" s="49" t="s">
        <v>365</v>
      </c>
      <c r="K13" s="37" t="s">
        <v>189</v>
      </c>
      <c r="L13" s="37" t="s">
        <v>59</v>
      </c>
      <c r="M13" s="37" t="s">
        <v>60</v>
      </c>
      <c r="N13" s="37" t="s">
        <v>61</v>
      </c>
      <c r="O13" s="37" t="s">
        <v>7</v>
      </c>
      <c r="P13" s="47">
        <v>6169000</v>
      </c>
      <c r="Q13" s="37"/>
    </row>
    <row r="14" spans="1:17" ht="33" hidden="1" customHeight="1" x14ac:dyDescent="0.25">
      <c r="A14" s="37" t="s">
        <v>257</v>
      </c>
      <c r="B14" s="37" t="s">
        <v>258</v>
      </c>
      <c r="C14" s="37" t="s">
        <v>259</v>
      </c>
      <c r="D14" s="37" t="s">
        <v>186</v>
      </c>
      <c r="E14" s="37" t="s">
        <v>352</v>
      </c>
      <c r="F14" s="37" t="s">
        <v>7</v>
      </c>
      <c r="G14" s="37" t="s">
        <v>43</v>
      </c>
      <c r="H14" s="38"/>
      <c r="I14" s="49" t="s">
        <v>361</v>
      </c>
      <c r="J14" s="49" t="s">
        <v>46</v>
      </c>
      <c r="K14" s="37" t="s">
        <v>188</v>
      </c>
      <c r="L14" s="37" t="s">
        <v>59</v>
      </c>
      <c r="M14" s="37" t="s">
        <v>60</v>
      </c>
      <c r="N14" s="37" t="s">
        <v>61</v>
      </c>
      <c r="O14" s="37" t="s">
        <v>7</v>
      </c>
      <c r="P14" s="47">
        <v>6169000</v>
      </c>
      <c r="Q14" s="37"/>
    </row>
    <row r="15" spans="1:17" ht="33" hidden="1" customHeight="1" x14ac:dyDescent="0.25">
      <c r="A15" s="37" t="s">
        <v>260</v>
      </c>
      <c r="B15" s="37" t="s">
        <v>261</v>
      </c>
      <c r="C15" s="37" t="s">
        <v>262</v>
      </c>
      <c r="D15" s="37" t="s">
        <v>74</v>
      </c>
      <c r="E15" s="37" t="s">
        <v>75</v>
      </c>
      <c r="F15" s="37" t="s">
        <v>208</v>
      </c>
      <c r="G15" s="37" t="s">
        <v>43</v>
      </c>
      <c r="H15" s="38"/>
      <c r="I15" s="49" t="s">
        <v>362</v>
      </c>
      <c r="J15" s="49" t="s">
        <v>361</v>
      </c>
      <c r="K15" s="37" t="s">
        <v>47</v>
      </c>
      <c r="L15" s="37" t="s">
        <v>59</v>
      </c>
      <c r="M15" s="37" t="s">
        <v>60</v>
      </c>
      <c r="N15" s="37" t="s">
        <v>61</v>
      </c>
      <c r="O15" s="37" t="s">
        <v>7</v>
      </c>
      <c r="P15" s="47">
        <v>6169000</v>
      </c>
      <c r="Q15" s="37"/>
    </row>
    <row r="16" spans="1:17" ht="33" customHeight="1" x14ac:dyDescent="0.25">
      <c r="A16" s="37" t="s">
        <v>263</v>
      </c>
      <c r="B16" s="37" t="s">
        <v>264</v>
      </c>
      <c r="C16" s="37" t="s">
        <v>265</v>
      </c>
      <c r="D16" s="37" t="s">
        <v>100</v>
      </c>
      <c r="E16" s="37" t="s">
        <v>101</v>
      </c>
      <c r="F16" s="37" t="s">
        <v>354</v>
      </c>
      <c r="G16" s="37" t="s">
        <v>44</v>
      </c>
      <c r="H16" s="38"/>
      <c r="I16" s="49" t="s">
        <v>360</v>
      </c>
      <c r="J16" s="49" t="s">
        <v>361</v>
      </c>
      <c r="K16" s="37" t="s">
        <v>189</v>
      </c>
      <c r="L16" s="37" t="s">
        <v>59</v>
      </c>
      <c r="M16" s="37" t="s">
        <v>60</v>
      </c>
      <c r="N16" s="37" t="s">
        <v>61</v>
      </c>
      <c r="O16" s="37" t="s">
        <v>7</v>
      </c>
      <c r="P16" s="47">
        <v>6169000</v>
      </c>
      <c r="Q16" s="37"/>
    </row>
    <row r="17" spans="1:17" ht="33" hidden="1" customHeight="1" x14ac:dyDescent="0.25">
      <c r="A17" s="37" t="s">
        <v>266</v>
      </c>
      <c r="B17" s="37" t="s">
        <v>267</v>
      </c>
      <c r="C17" s="37" t="s">
        <v>268</v>
      </c>
      <c r="D17" s="37" t="s">
        <v>117</v>
      </c>
      <c r="E17" s="37" t="s">
        <v>10</v>
      </c>
      <c r="F17" s="37" t="s">
        <v>7</v>
      </c>
      <c r="G17" s="37" t="s">
        <v>44</v>
      </c>
      <c r="H17" s="38" t="s">
        <v>45</v>
      </c>
      <c r="I17" s="49" t="s">
        <v>361</v>
      </c>
      <c r="J17" s="49" t="s">
        <v>361</v>
      </c>
      <c r="K17" s="37" t="s">
        <v>188</v>
      </c>
      <c r="L17" s="37"/>
      <c r="M17" s="37"/>
      <c r="N17" s="37" t="s">
        <v>61</v>
      </c>
      <c r="O17" s="37"/>
      <c r="P17" s="47">
        <v>1799000</v>
      </c>
      <c r="Q17" s="37"/>
    </row>
    <row r="18" spans="1:17" ht="33" customHeight="1" x14ac:dyDescent="0.25">
      <c r="A18" s="37" t="s">
        <v>269</v>
      </c>
      <c r="B18" s="37" t="s">
        <v>270</v>
      </c>
      <c r="C18" s="37" t="s">
        <v>271</v>
      </c>
      <c r="D18" s="37" t="s">
        <v>100</v>
      </c>
      <c r="E18" s="37" t="s">
        <v>101</v>
      </c>
      <c r="F18" s="37" t="s">
        <v>89</v>
      </c>
      <c r="G18" s="37" t="s">
        <v>6</v>
      </c>
      <c r="H18" s="38"/>
      <c r="I18" s="49" t="s">
        <v>360</v>
      </c>
      <c r="J18" s="49" t="s">
        <v>361</v>
      </c>
      <c r="K18" s="37" t="s">
        <v>189</v>
      </c>
      <c r="L18" s="37"/>
      <c r="M18" s="37"/>
      <c r="N18" s="37" t="s">
        <v>61</v>
      </c>
      <c r="O18" s="37"/>
      <c r="P18" s="47">
        <v>1799000</v>
      </c>
      <c r="Q18" s="37"/>
    </row>
    <row r="19" spans="1:17" ht="33" hidden="1" customHeight="1" x14ac:dyDescent="0.25">
      <c r="A19" s="37" t="s">
        <v>272</v>
      </c>
      <c r="B19" s="37" t="s">
        <v>273</v>
      </c>
      <c r="C19" s="37" t="s">
        <v>274</v>
      </c>
      <c r="D19" s="37" t="s">
        <v>186</v>
      </c>
      <c r="E19" s="37" t="s">
        <v>352</v>
      </c>
      <c r="F19" s="37" t="s">
        <v>7</v>
      </c>
      <c r="G19" s="37" t="s">
        <v>43</v>
      </c>
      <c r="H19" s="38"/>
      <c r="I19" s="49" t="s">
        <v>361</v>
      </c>
      <c r="J19" s="49" t="s">
        <v>46</v>
      </c>
      <c r="K19" s="37" t="s">
        <v>188</v>
      </c>
      <c r="L19" s="37" t="s">
        <v>59</v>
      </c>
      <c r="M19" s="37" t="s">
        <v>60</v>
      </c>
      <c r="N19" s="37" t="s">
        <v>61</v>
      </c>
      <c r="O19" s="37" t="s">
        <v>7</v>
      </c>
      <c r="P19" s="47">
        <v>6169000</v>
      </c>
      <c r="Q19" s="37"/>
    </row>
    <row r="20" spans="1:17" ht="33" customHeight="1" x14ac:dyDescent="0.25">
      <c r="A20" s="37" t="s">
        <v>275</v>
      </c>
      <c r="B20" s="37" t="s">
        <v>276</v>
      </c>
      <c r="C20" s="37" t="s">
        <v>277</v>
      </c>
      <c r="D20" s="37" t="s">
        <v>100</v>
      </c>
      <c r="E20" s="37" t="s">
        <v>101</v>
      </c>
      <c r="F20" s="37" t="s">
        <v>42</v>
      </c>
      <c r="G20" s="37" t="s">
        <v>8</v>
      </c>
      <c r="H20" s="38"/>
      <c r="I20" s="49" t="s">
        <v>360</v>
      </c>
      <c r="J20" s="49" t="s">
        <v>361</v>
      </c>
      <c r="K20" s="37" t="s">
        <v>189</v>
      </c>
      <c r="L20" s="37" t="s">
        <v>59</v>
      </c>
      <c r="M20" s="37" t="s">
        <v>60</v>
      </c>
      <c r="N20" s="37"/>
      <c r="O20" s="37" t="s">
        <v>7</v>
      </c>
      <c r="P20" s="48">
        <v>4370000</v>
      </c>
      <c r="Q20" s="37"/>
    </row>
    <row r="21" spans="1:17" ht="33" hidden="1" customHeight="1" x14ac:dyDescent="0.25">
      <c r="A21" s="37" t="s">
        <v>278</v>
      </c>
      <c r="B21" s="37" t="s">
        <v>279</v>
      </c>
      <c r="C21" s="37" t="s">
        <v>280</v>
      </c>
      <c r="D21" s="37" t="s">
        <v>186</v>
      </c>
      <c r="E21" s="37" t="s">
        <v>352</v>
      </c>
      <c r="F21" s="37" t="s">
        <v>7</v>
      </c>
      <c r="G21" s="37" t="s">
        <v>43</v>
      </c>
      <c r="H21" s="38"/>
      <c r="I21" s="49" t="s">
        <v>361</v>
      </c>
      <c r="J21" s="49" t="s">
        <v>46</v>
      </c>
      <c r="K21" s="37" t="s">
        <v>188</v>
      </c>
      <c r="L21" s="37" t="s">
        <v>59</v>
      </c>
      <c r="M21" s="37" t="s">
        <v>60</v>
      </c>
      <c r="N21" s="37" t="s">
        <v>61</v>
      </c>
      <c r="O21" s="37" t="s">
        <v>7</v>
      </c>
      <c r="P21" s="47">
        <v>6169000</v>
      </c>
      <c r="Q21" s="37"/>
    </row>
    <row r="22" spans="1:17" ht="33" customHeight="1" x14ac:dyDescent="0.25">
      <c r="A22" s="37" t="s">
        <v>281</v>
      </c>
      <c r="B22" s="37" t="s">
        <v>282</v>
      </c>
      <c r="C22" s="37" t="s">
        <v>283</v>
      </c>
      <c r="D22" s="37" t="s">
        <v>100</v>
      </c>
      <c r="E22" s="37" t="s">
        <v>101</v>
      </c>
      <c r="F22" s="37" t="s">
        <v>42</v>
      </c>
      <c r="G22" s="37" t="s">
        <v>8</v>
      </c>
      <c r="H22" s="38"/>
      <c r="I22" s="49" t="s">
        <v>360</v>
      </c>
      <c r="J22" s="49" t="s">
        <v>361</v>
      </c>
      <c r="K22" s="37" t="s">
        <v>189</v>
      </c>
      <c r="L22" s="37" t="s">
        <v>59</v>
      </c>
      <c r="M22" s="37" t="s">
        <v>60</v>
      </c>
      <c r="N22" s="37"/>
      <c r="O22" s="37" t="s">
        <v>7</v>
      </c>
      <c r="P22" s="48">
        <v>4370000</v>
      </c>
      <c r="Q22" s="37"/>
    </row>
    <row r="23" spans="1:17" ht="33" hidden="1" customHeight="1" x14ac:dyDescent="0.25">
      <c r="A23" s="37" t="s">
        <v>284</v>
      </c>
      <c r="B23" s="37" t="s">
        <v>285</v>
      </c>
      <c r="C23" s="37" t="s">
        <v>286</v>
      </c>
      <c r="D23" s="37" t="s">
        <v>355</v>
      </c>
      <c r="E23" s="37" t="s">
        <v>75</v>
      </c>
      <c r="F23" s="37" t="s">
        <v>42</v>
      </c>
      <c r="G23" s="37" t="s">
        <v>6</v>
      </c>
      <c r="H23" s="38"/>
      <c r="I23" s="49" t="s">
        <v>361</v>
      </c>
      <c r="J23" s="49" t="s">
        <v>46</v>
      </c>
      <c r="K23" s="37" t="s">
        <v>47</v>
      </c>
      <c r="L23" s="37" t="s">
        <v>59</v>
      </c>
      <c r="M23" s="37" t="s">
        <v>60</v>
      </c>
      <c r="N23" s="37" t="s">
        <v>61</v>
      </c>
      <c r="O23" s="37" t="s">
        <v>7</v>
      </c>
      <c r="P23" s="47">
        <v>6169000</v>
      </c>
      <c r="Q23" s="37"/>
    </row>
    <row r="24" spans="1:17" ht="33" hidden="1" customHeight="1" x14ac:dyDescent="0.25">
      <c r="A24" s="37" t="s">
        <v>287</v>
      </c>
      <c r="B24" s="37" t="s">
        <v>288</v>
      </c>
      <c r="C24" s="37" t="s">
        <v>289</v>
      </c>
      <c r="D24" s="37" t="s">
        <v>355</v>
      </c>
      <c r="E24" s="37" t="s">
        <v>75</v>
      </c>
      <c r="F24" s="37" t="s">
        <v>42</v>
      </c>
      <c r="G24" s="37" t="s">
        <v>6</v>
      </c>
      <c r="H24" s="38"/>
      <c r="I24" s="49" t="s">
        <v>361</v>
      </c>
      <c r="J24" s="49" t="s">
        <v>46</v>
      </c>
      <c r="K24" s="37" t="s">
        <v>47</v>
      </c>
      <c r="L24" s="37" t="s">
        <v>59</v>
      </c>
      <c r="M24" s="37" t="s">
        <v>60</v>
      </c>
      <c r="N24" s="37" t="s">
        <v>61</v>
      </c>
      <c r="O24" s="37" t="s">
        <v>7</v>
      </c>
      <c r="P24" s="47">
        <v>6169000</v>
      </c>
      <c r="Q24" s="37"/>
    </row>
    <row r="25" spans="1:17" ht="33" customHeight="1" x14ac:dyDescent="0.25">
      <c r="A25" s="37" t="s">
        <v>290</v>
      </c>
      <c r="B25" s="37" t="s">
        <v>291</v>
      </c>
      <c r="C25" s="37" t="s">
        <v>292</v>
      </c>
      <c r="D25" s="37" t="s">
        <v>100</v>
      </c>
      <c r="E25" s="37" t="s">
        <v>101</v>
      </c>
      <c r="F25" s="37" t="s">
        <v>89</v>
      </c>
      <c r="G25" s="37" t="s">
        <v>44</v>
      </c>
      <c r="H25" s="38"/>
      <c r="I25" s="49" t="s">
        <v>361</v>
      </c>
      <c r="J25" s="49" t="s">
        <v>46</v>
      </c>
      <c r="K25" s="37" t="s">
        <v>189</v>
      </c>
      <c r="L25" s="37" t="s">
        <v>59</v>
      </c>
      <c r="M25" s="37" t="s">
        <v>60</v>
      </c>
      <c r="N25" s="37" t="s">
        <v>61</v>
      </c>
      <c r="O25" s="37" t="s">
        <v>7</v>
      </c>
      <c r="P25" s="47">
        <v>6169000</v>
      </c>
      <c r="Q25" s="37"/>
    </row>
    <row r="26" spans="1:17" ht="33" customHeight="1" x14ac:dyDescent="0.25">
      <c r="A26" s="37" t="s">
        <v>293</v>
      </c>
      <c r="B26" s="37" t="s">
        <v>294</v>
      </c>
      <c r="C26" s="37" t="s">
        <v>295</v>
      </c>
      <c r="D26" s="37" t="s">
        <v>100</v>
      </c>
      <c r="E26" s="37" t="s">
        <v>356</v>
      </c>
      <c r="F26" s="37" t="s">
        <v>42</v>
      </c>
      <c r="G26" s="37" t="s">
        <v>6</v>
      </c>
      <c r="H26" s="38" t="s">
        <v>45</v>
      </c>
      <c r="I26" s="49" t="s">
        <v>361</v>
      </c>
      <c r="J26" s="49" t="s">
        <v>153</v>
      </c>
      <c r="K26" s="37" t="s">
        <v>189</v>
      </c>
      <c r="L26" s="37" t="s">
        <v>59</v>
      </c>
      <c r="M26" s="37" t="s">
        <v>60</v>
      </c>
      <c r="N26" s="37" t="s">
        <v>61</v>
      </c>
      <c r="O26" s="37" t="s">
        <v>7</v>
      </c>
      <c r="P26" s="47">
        <v>6169000</v>
      </c>
      <c r="Q26" s="37"/>
    </row>
    <row r="27" spans="1:17" ht="33" hidden="1" customHeight="1" x14ac:dyDescent="0.25">
      <c r="A27" s="37" t="s">
        <v>296</v>
      </c>
      <c r="B27" s="37" t="s">
        <v>297</v>
      </c>
      <c r="C27" s="37" t="s">
        <v>298</v>
      </c>
      <c r="D27" s="37" t="s">
        <v>186</v>
      </c>
      <c r="E27" s="37" t="s">
        <v>352</v>
      </c>
      <c r="F27" s="37" t="s">
        <v>7</v>
      </c>
      <c r="G27" s="37" t="s">
        <v>43</v>
      </c>
      <c r="H27" s="38"/>
      <c r="I27" s="49" t="s">
        <v>361</v>
      </c>
      <c r="J27" s="49" t="s">
        <v>46</v>
      </c>
      <c r="K27" s="37" t="s">
        <v>188</v>
      </c>
      <c r="L27" s="37" t="s">
        <v>59</v>
      </c>
      <c r="M27" s="37" t="s">
        <v>60</v>
      </c>
      <c r="N27" s="37" t="s">
        <v>61</v>
      </c>
      <c r="O27" s="37" t="s">
        <v>7</v>
      </c>
      <c r="P27" s="47">
        <v>6169000</v>
      </c>
      <c r="Q27" s="37"/>
    </row>
    <row r="28" spans="1:17" ht="33" hidden="1" customHeight="1" x14ac:dyDescent="0.25">
      <c r="A28" s="37" t="s">
        <v>299</v>
      </c>
      <c r="B28" s="37" t="s">
        <v>300</v>
      </c>
      <c r="C28" s="37" t="s">
        <v>301</v>
      </c>
      <c r="D28" s="37" t="s">
        <v>186</v>
      </c>
      <c r="E28" s="37" t="s">
        <v>352</v>
      </c>
      <c r="F28" s="37" t="s">
        <v>7</v>
      </c>
      <c r="G28" s="37" t="s">
        <v>43</v>
      </c>
      <c r="H28" s="38"/>
      <c r="I28" s="49" t="s">
        <v>360</v>
      </c>
      <c r="J28" s="49" t="s">
        <v>361</v>
      </c>
      <c r="K28" s="37" t="s">
        <v>188</v>
      </c>
      <c r="L28" s="37" t="s">
        <v>59</v>
      </c>
      <c r="M28" s="37" t="s">
        <v>60</v>
      </c>
      <c r="N28" s="37" t="s">
        <v>61</v>
      </c>
      <c r="O28" s="37" t="s">
        <v>7</v>
      </c>
      <c r="P28" s="47">
        <v>6169000</v>
      </c>
      <c r="Q28" s="37"/>
    </row>
    <row r="29" spans="1:17" ht="33" hidden="1" customHeight="1" x14ac:dyDescent="0.25">
      <c r="A29" s="37" t="s">
        <v>302</v>
      </c>
      <c r="B29" s="37" t="s">
        <v>303</v>
      </c>
      <c r="C29" s="37" t="s">
        <v>304</v>
      </c>
      <c r="D29" s="37" t="s">
        <v>117</v>
      </c>
      <c r="E29" s="37" t="s">
        <v>357</v>
      </c>
      <c r="F29" s="37" t="s">
        <v>7</v>
      </c>
      <c r="G29" s="37" t="s">
        <v>6</v>
      </c>
      <c r="H29" s="38"/>
      <c r="I29" s="49" t="s">
        <v>361</v>
      </c>
      <c r="J29" s="49" t="s">
        <v>46</v>
      </c>
      <c r="K29" s="37" t="s">
        <v>188</v>
      </c>
      <c r="L29" s="37"/>
      <c r="M29" s="37"/>
      <c r="N29" s="37" t="s">
        <v>61</v>
      </c>
      <c r="O29" s="37"/>
      <c r="P29" s="47">
        <v>1799000</v>
      </c>
      <c r="Q29" s="37"/>
    </row>
    <row r="30" spans="1:17" ht="33" hidden="1" customHeight="1" x14ac:dyDescent="0.25">
      <c r="A30" s="37" t="s">
        <v>305</v>
      </c>
      <c r="B30" s="37" t="s">
        <v>306</v>
      </c>
      <c r="C30" s="37" t="s">
        <v>307</v>
      </c>
      <c r="D30" s="37" t="s">
        <v>355</v>
      </c>
      <c r="E30" s="37" t="s">
        <v>75</v>
      </c>
      <c r="F30" s="37" t="s">
        <v>42</v>
      </c>
      <c r="G30" s="37" t="s">
        <v>6</v>
      </c>
      <c r="H30" s="38"/>
      <c r="I30" s="49" t="s">
        <v>360</v>
      </c>
      <c r="J30" s="49" t="s">
        <v>361</v>
      </c>
      <c r="K30" s="37" t="s">
        <v>47</v>
      </c>
      <c r="L30" s="37" t="s">
        <v>59</v>
      </c>
      <c r="M30" s="37" t="s">
        <v>60</v>
      </c>
      <c r="N30" s="37" t="s">
        <v>61</v>
      </c>
      <c r="O30" s="37" t="s">
        <v>7</v>
      </c>
      <c r="P30" s="47">
        <v>6169000</v>
      </c>
      <c r="Q30" s="37"/>
    </row>
    <row r="31" spans="1:17" ht="33" hidden="1" customHeight="1" x14ac:dyDescent="0.25">
      <c r="A31" s="37" t="s">
        <v>308</v>
      </c>
      <c r="B31" s="37" t="s">
        <v>309</v>
      </c>
      <c r="C31" s="37" t="s">
        <v>310</v>
      </c>
      <c r="D31" s="37" t="s">
        <v>117</v>
      </c>
      <c r="E31" s="37" t="s">
        <v>10</v>
      </c>
      <c r="F31" s="37" t="s">
        <v>7</v>
      </c>
      <c r="G31" s="37" t="s">
        <v>6</v>
      </c>
      <c r="H31" s="38"/>
      <c r="I31" s="49" t="s">
        <v>361</v>
      </c>
      <c r="J31" s="49" t="s">
        <v>46</v>
      </c>
      <c r="K31" s="37" t="s">
        <v>188</v>
      </c>
      <c r="L31" s="37"/>
      <c r="M31" s="37"/>
      <c r="N31" s="37" t="s">
        <v>61</v>
      </c>
      <c r="O31" s="37"/>
      <c r="P31" s="47">
        <v>1799000</v>
      </c>
      <c r="Q31" s="37"/>
    </row>
    <row r="32" spans="1:17" ht="33" hidden="1" customHeight="1" x14ac:dyDescent="0.25">
      <c r="A32" s="37" t="s">
        <v>311</v>
      </c>
      <c r="B32" s="37" t="s">
        <v>312</v>
      </c>
      <c r="C32" s="37" t="s">
        <v>313</v>
      </c>
      <c r="D32" s="37" t="s">
        <v>186</v>
      </c>
      <c r="E32" s="37" t="s">
        <v>352</v>
      </c>
      <c r="F32" s="37" t="s">
        <v>7</v>
      </c>
      <c r="G32" s="37" t="s">
        <v>43</v>
      </c>
      <c r="H32" s="38"/>
      <c r="I32" s="49" t="s">
        <v>361</v>
      </c>
      <c r="J32" s="49" t="s">
        <v>46</v>
      </c>
      <c r="K32" s="37" t="s">
        <v>188</v>
      </c>
      <c r="L32" s="37" t="s">
        <v>59</v>
      </c>
      <c r="M32" s="37" t="s">
        <v>60</v>
      </c>
      <c r="N32" s="37" t="s">
        <v>61</v>
      </c>
      <c r="O32" s="37" t="s">
        <v>7</v>
      </c>
      <c r="P32" s="47">
        <v>6169000</v>
      </c>
      <c r="Q32" s="37"/>
    </row>
    <row r="33" spans="1:17" ht="33" customHeight="1" x14ac:dyDescent="0.25">
      <c r="A33" s="37" t="s">
        <v>314</v>
      </c>
      <c r="B33" s="37" t="s">
        <v>315</v>
      </c>
      <c r="C33" s="37" t="s">
        <v>316</v>
      </c>
      <c r="D33" s="37" t="s">
        <v>100</v>
      </c>
      <c r="E33" s="37" t="s">
        <v>358</v>
      </c>
      <c r="F33" s="37" t="s">
        <v>89</v>
      </c>
      <c r="G33" s="37" t="s">
        <v>43</v>
      </c>
      <c r="H33" s="38"/>
      <c r="I33" s="49" t="s">
        <v>361</v>
      </c>
      <c r="J33" s="49" t="s">
        <v>46</v>
      </c>
      <c r="K33" s="37" t="s">
        <v>189</v>
      </c>
      <c r="L33" s="37" t="s">
        <v>59</v>
      </c>
      <c r="M33" s="37" t="s">
        <v>60</v>
      </c>
      <c r="N33" s="37" t="s">
        <v>61</v>
      </c>
      <c r="O33" s="37" t="s">
        <v>7</v>
      </c>
      <c r="P33" s="47">
        <v>6169000</v>
      </c>
      <c r="Q33" s="37"/>
    </row>
    <row r="34" spans="1:17" ht="33" hidden="1" customHeight="1" x14ac:dyDescent="0.25">
      <c r="A34" s="37" t="s">
        <v>317</v>
      </c>
      <c r="B34" s="37" t="s">
        <v>318</v>
      </c>
      <c r="C34" s="37" t="s">
        <v>319</v>
      </c>
      <c r="D34" s="37" t="s">
        <v>355</v>
      </c>
      <c r="E34" s="37" t="s">
        <v>75</v>
      </c>
      <c r="F34" s="37" t="s">
        <v>89</v>
      </c>
      <c r="G34" s="37" t="s">
        <v>43</v>
      </c>
      <c r="H34" s="38"/>
      <c r="I34" s="49" t="s">
        <v>361</v>
      </c>
      <c r="J34" s="49" t="s">
        <v>46</v>
      </c>
      <c r="K34" s="37" t="s">
        <v>47</v>
      </c>
      <c r="L34" s="37" t="s">
        <v>59</v>
      </c>
      <c r="M34" s="37" t="s">
        <v>60</v>
      </c>
      <c r="N34" s="37" t="s">
        <v>61</v>
      </c>
      <c r="O34" s="37" t="s">
        <v>7</v>
      </c>
      <c r="P34" s="47">
        <v>6169000</v>
      </c>
      <c r="Q34" s="37"/>
    </row>
    <row r="35" spans="1:17" ht="33" hidden="1" customHeight="1" x14ac:dyDescent="0.25">
      <c r="A35" s="37" t="s">
        <v>320</v>
      </c>
      <c r="B35" s="37" t="s">
        <v>321</v>
      </c>
      <c r="C35" s="37" t="s">
        <v>322</v>
      </c>
      <c r="D35" s="37" t="s">
        <v>186</v>
      </c>
      <c r="E35" s="37" t="s">
        <v>352</v>
      </c>
      <c r="F35" s="37" t="s">
        <v>7</v>
      </c>
      <c r="G35" s="37" t="s">
        <v>43</v>
      </c>
      <c r="H35" s="38"/>
      <c r="I35" s="49" t="s">
        <v>361</v>
      </c>
      <c r="J35" s="49" t="s">
        <v>46</v>
      </c>
      <c r="K35" s="37" t="s">
        <v>188</v>
      </c>
      <c r="L35" s="37" t="s">
        <v>59</v>
      </c>
      <c r="M35" s="37" t="s">
        <v>60</v>
      </c>
      <c r="N35" s="37" t="s">
        <v>61</v>
      </c>
      <c r="O35" s="37" t="s">
        <v>7</v>
      </c>
      <c r="P35" s="47">
        <v>6169000</v>
      </c>
      <c r="Q35" s="37"/>
    </row>
    <row r="36" spans="1:17" ht="33" hidden="1" customHeight="1" x14ac:dyDescent="0.25">
      <c r="A36" s="37" t="s">
        <v>323</v>
      </c>
      <c r="B36" s="37" t="s">
        <v>324</v>
      </c>
      <c r="C36" s="37" t="s">
        <v>325</v>
      </c>
      <c r="D36" s="37" t="s">
        <v>186</v>
      </c>
      <c r="E36" s="37" t="s">
        <v>352</v>
      </c>
      <c r="F36" s="37" t="s">
        <v>7</v>
      </c>
      <c r="G36" s="37" t="s">
        <v>43</v>
      </c>
      <c r="H36" s="38" t="s">
        <v>45</v>
      </c>
      <c r="I36" s="49" t="s">
        <v>360</v>
      </c>
      <c r="J36" s="49" t="s">
        <v>361</v>
      </c>
      <c r="K36" s="37" t="s">
        <v>188</v>
      </c>
      <c r="L36" s="37" t="s">
        <v>59</v>
      </c>
      <c r="M36" s="37" t="s">
        <v>60</v>
      </c>
      <c r="N36" s="37" t="s">
        <v>61</v>
      </c>
      <c r="O36" s="37" t="s">
        <v>7</v>
      </c>
      <c r="P36" s="47">
        <v>6169000</v>
      </c>
      <c r="Q36" s="37"/>
    </row>
    <row r="37" spans="1:17" ht="33" customHeight="1" x14ac:dyDescent="0.25">
      <c r="A37" s="37" t="s">
        <v>326</v>
      </c>
      <c r="B37" s="37" t="s">
        <v>327</v>
      </c>
      <c r="C37" s="37" t="s">
        <v>328</v>
      </c>
      <c r="D37" s="37" t="s">
        <v>100</v>
      </c>
      <c r="E37" s="37" t="s">
        <v>101</v>
      </c>
      <c r="F37" s="37" t="s">
        <v>42</v>
      </c>
      <c r="G37" s="37" t="s">
        <v>44</v>
      </c>
      <c r="H37" s="38"/>
      <c r="I37" s="49" t="s">
        <v>361</v>
      </c>
      <c r="J37" s="49" t="s">
        <v>365</v>
      </c>
      <c r="K37" s="37" t="s">
        <v>189</v>
      </c>
      <c r="L37" s="37" t="s">
        <v>59</v>
      </c>
      <c r="M37" s="37" t="s">
        <v>60</v>
      </c>
      <c r="N37" s="37" t="s">
        <v>61</v>
      </c>
      <c r="O37" s="37" t="s">
        <v>7</v>
      </c>
      <c r="P37" s="47">
        <v>6169000</v>
      </c>
      <c r="Q37" s="37"/>
    </row>
    <row r="38" spans="1:17" ht="33" customHeight="1" x14ac:dyDescent="0.25">
      <c r="A38" s="37" t="s">
        <v>329</v>
      </c>
      <c r="B38" s="37" t="s">
        <v>330</v>
      </c>
      <c r="C38" s="37" t="s">
        <v>331</v>
      </c>
      <c r="D38" s="37" t="s">
        <v>100</v>
      </c>
      <c r="E38" s="37" t="s">
        <v>101</v>
      </c>
      <c r="F38" s="37" t="s">
        <v>42</v>
      </c>
      <c r="G38" s="37" t="s">
        <v>8</v>
      </c>
      <c r="H38" s="38" t="s">
        <v>45</v>
      </c>
      <c r="I38" s="49" t="s">
        <v>360</v>
      </c>
      <c r="J38" s="49" t="s">
        <v>361</v>
      </c>
      <c r="K38" s="37" t="s">
        <v>189</v>
      </c>
      <c r="L38" s="37" t="s">
        <v>59</v>
      </c>
      <c r="M38" s="37" t="s">
        <v>60</v>
      </c>
      <c r="N38" s="37" t="s">
        <v>61</v>
      </c>
      <c r="O38" s="37" t="s">
        <v>7</v>
      </c>
      <c r="P38" s="47">
        <v>6169000</v>
      </c>
      <c r="Q38" s="37"/>
    </row>
    <row r="39" spans="1:17" ht="33" customHeight="1" x14ac:dyDescent="0.25">
      <c r="A39" s="37" t="s">
        <v>332</v>
      </c>
      <c r="B39" s="37" t="s">
        <v>333</v>
      </c>
      <c r="C39" s="37" t="s">
        <v>334</v>
      </c>
      <c r="D39" s="37" t="s">
        <v>100</v>
      </c>
      <c r="E39" s="37" t="s">
        <v>101</v>
      </c>
      <c r="F39" s="37" t="s">
        <v>89</v>
      </c>
      <c r="G39" s="37" t="s">
        <v>43</v>
      </c>
      <c r="H39" s="38"/>
      <c r="I39" s="49" t="s">
        <v>360</v>
      </c>
      <c r="J39" s="49" t="s">
        <v>361</v>
      </c>
      <c r="K39" s="37" t="s">
        <v>189</v>
      </c>
      <c r="L39" s="37" t="s">
        <v>59</v>
      </c>
      <c r="M39" s="37" t="s">
        <v>60</v>
      </c>
      <c r="N39" s="37" t="s">
        <v>61</v>
      </c>
      <c r="O39" s="37" t="s">
        <v>7</v>
      </c>
      <c r="P39" s="47">
        <v>6169000</v>
      </c>
      <c r="Q39" s="37"/>
    </row>
    <row r="40" spans="1:17" ht="33" customHeight="1" x14ac:dyDescent="0.25">
      <c r="A40" s="37" t="s">
        <v>335</v>
      </c>
      <c r="B40" s="37" t="s">
        <v>336</v>
      </c>
      <c r="C40" s="37" t="s">
        <v>337</v>
      </c>
      <c r="D40" s="37" t="s">
        <v>100</v>
      </c>
      <c r="E40" s="37" t="s">
        <v>101</v>
      </c>
      <c r="F40" s="37" t="s">
        <v>89</v>
      </c>
      <c r="G40" s="37" t="s">
        <v>8</v>
      </c>
      <c r="H40" s="38"/>
      <c r="I40" s="49" t="s">
        <v>361</v>
      </c>
      <c r="J40" s="49" t="s">
        <v>46</v>
      </c>
      <c r="K40" s="37" t="s">
        <v>189</v>
      </c>
      <c r="L40" s="37" t="s">
        <v>59</v>
      </c>
      <c r="M40" s="37" t="s">
        <v>60</v>
      </c>
      <c r="N40" s="37"/>
      <c r="O40" s="37" t="s">
        <v>7</v>
      </c>
      <c r="P40" s="48">
        <v>4370000</v>
      </c>
      <c r="Q40" s="37"/>
    </row>
    <row r="41" spans="1:17" ht="33" customHeight="1" x14ac:dyDescent="0.25">
      <c r="A41" s="37" t="s">
        <v>338</v>
      </c>
      <c r="B41" s="37" t="s">
        <v>339</v>
      </c>
      <c r="C41" s="37" t="s">
        <v>340</v>
      </c>
      <c r="D41" s="37" t="s">
        <v>100</v>
      </c>
      <c r="E41" s="37" t="s">
        <v>101</v>
      </c>
      <c r="F41" s="37" t="s">
        <v>42</v>
      </c>
      <c r="G41" s="37" t="s">
        <v>43</v>
      </c>
      <c r="H41" s="38"/>
      <c r="I41" s="49" t="s">
        <v>361</v>
      </c>
      <c r="J41" s="49" t="s">
        <v>46</v>
      </c>
      <c r="K41" s="37" t="s">
        <v>189</v>
      </c>
      <c r="L41" s="37" t="s">
        <v>59</v>
      </c>
      <c r="M41" s="37" t="s">
        <v>60</v>
      </c>
      <c r="N41" s="37" t="s">
        <v>61</v>
      </c>
      <c r="O41" s="37" t="s">
        <v>7</v>
      </c>
      <c r="P41" s="47">
        <v>6169000</v>
      </c>
      <c r="Q41" s="37"/>
    </row>
    <row r="42" spans="1:17" ht="33" customHeight="1" x14ac:dyDescent="0.25">
      <c r="A42" s="37" t="s">
        <v>341</v>
      </c>
      <c r="B42" s="37" t="s">
        <v>342</v>
      </c>
      <c r="C42" s="37" t="s">
        <v>343</v>
      </c>
      <c r="D42" s="37" t="s">
        <v>100</v>
      </c>
      <c r="E42" s="37" t="s">
        <v>101</v>
      </c>
      <c r="F42" s="37" t="s">
        <v>89</v>
      </c>
      <c r="G42" s="37" t="s">
        <v>8</v>
      </c>
      <c r="H42" s="38"/>
      <c r="I42" s="49" t="s">
        <v>361</v>
      </c>
      <c r="J42" s="49" t="s">
        <v>153</v>
      </c>
      <c r="K42" s="37" t="s">
        <v>189</v>
      </c>
      <c r="L42" s="37" t="s">
        <v>59</v>
      </c>
      <c r="M42" s="37" t="s">
        <v>60</v>
      </c>
      <c r="N42" s="37"/>
      <c r="O42" s="37" t="s">
        <v>7</v>
      </c>
      <c r="P42" s="48">
        <v>4370000</v>
      </c>
      <c r="Q42" s="37"/>
    </row>
    <row r="43" spans="1:17" ht="33" hidden="1" customHeight="1" x14ac:dyDescent="0.25">
      <c r="A43" s="37" t="s">
        <v>344</v>
      </c>
      <c r="B43" s="37" t="s">
        <v>345</v>
      </c>
      <c r="C43" s="37" t="s">
        <v>346</v>
      </c>
      <c r="D43" s="37" t="s">
        <v>117</v>
      </c>
      <c r="E43" s="37" t="s">
        <v>10</v>
      </c>
      <c r="F43" s="37" t="s">
        <v>89</v>
      </c>
      <c r="G43" s="37" t="s">
        <v>43</v>
      </c>
      <c r="H43" s="38"/>
      <c r="I43" s="49" t="s">
        <v>361</v>
      </c>
      <c r="J43" s="49" t="s">
        <v>46</v>
      </c>
      <c r="K43" s="37" t="s">
        <v>188</v>
      </c>
      <c r="L43" s="37" t="s">
        <v>59</v>
      </c>
      <c r="M43" s="37" t="s">
        <v>60</v>
      </c>
      <c r="N43" s="37" t="s">
        <v>61</v>
      </c>
      <c r="O43" s="37" t="s">
        <v>7</v>
      </c>
      <c r="P43" s="47">
        <v>6169000</v>
      </c>
      <c r="Q43" s="37"/>
    </row>
    <row r="44" spans="1:17" ht="33" customHeight="1" x14ac:dyDescent="0.25">
      <c r="A44" s="37" t="s">
        <v>347</v>
      </c>
      <c r="B44" s="37" t="s">
        <v>348</v>
      </c>
      <c r="C44" s="37" t="s">
        <v>349</v>
      </c>
      <c r="D44" s="37" t="s">
        <v>100</v>
      </c>
      <c r="E44" s="37" t="s">
        <v>101</v>
      </c>
      <c r="F44" s="37" t="s">
        <v>42</v>
      </c>
      <c r="G44" s="37" t="s">
        <v>6</v>
      </c>
      <c r="H44" s="38"/>
      <c r="I44" s="49" t="s">
        <v>361</v>
      </c>
      <c r="J44" s="49" t="s">
        <v>46</v>
      </c>
      <c r="K44" s="37" t="s">
        <v>189</v>
      </c>
      <c r="L44" s="37" t="s">
        <v>59</v>
      </c>
      <c r="M44" s="37" t="s">
        <v>60</v>
      </c>
      <c r="N44" s="37" t="s">
        <v>61</v>
      </c>
      <c r="O44" s="37" t="s">
        <v>7</v>
      </c>
      <c r="P44" s="47">
        <v>6169000</v>
      </c>
      <c r="Q44" s="37"/>
    </row>
    <row r="45" spans="1:17" ht="35.25" customHeight="1" x14ac:dyDescent="0.25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2"/>
      <c r="O45" s="45" t="s">
        <v>118</v>
      </c>
      <c r="P45" s="16">
        <f>SUBTOTAL(9,P3:P44)</f>
        <v>91508000</v>
      </c>
    </row>
  </sheetData>
  <autoFilter ref="A2:Q44" xr:uid="{49E8635E-270B-4E59-A9AF-B534F1E8D078}">
    <filterColumn colId="3">
      <filters>
        <filter val="B85M"/>
      </filters>
    </filterColumn>
  </autoFilter>
  <mergeCells count="2">
    <mergeCell ref="A1:Q1"/>
    <mergeCell ref="A45:N45"/>
  </mergeCells>
  <conditionalFormatting sqref="A2">
    <cfRule type="duplicateValues" dxfId="60" priority="2"/>
  </conditionalFormatting>
  <conditionalFormatting sqref="B2">
    <cfRule type="duplicateValues" dxfId="59" priority="1"/>
  </conditionalFormatting>
  <conditionalFormatting sqref="A3">
    <cfRule type="duplicateValues" dxfId="58" priority="12"/>
  </conditionalFormatting>
  <conditionalFormatting sqref="B3">
    <cfRule type="duplicateValues" dxfId="57" priority="13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BBDC-7939-45CE-8CCA-D3852F8A63A7}">
  <dimension ref="A1:O12"/>
  <sheetViews>
    <sheetView topLeftCell="A4" workbookViewId="0">
      <selection activeCell="A12" sqref="A12:L12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7" width="21.42578125" customWidth="1"/>
    <col min="8" max="8" width="22.5703125" customWidth="1"/>
    <col min="9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384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25" t="s">
        <v>367</v>
      </c>
      <c r="B3" s="25" t="s">
        <v>368</v>
      </c>
      <c r="C3" s="25" t="s">
        <v>369</v>
      </c>
      <c r="D3" s="25" t="s">
        <v>117</v>
      </c>
      <c r="E3" s="25" t="s">
        <v>10</v>
      </c>
      <c r="F3" s="25" t="s">
        <v>7</v>
      </c>
      <c r="G3" s="25" t="s">
        <v>6</v>
      </c>
      <c r="H3" s="29"/>
      <c r="I3" s="29" t="s">
        <v>188</v>
      </c>
      <c r="J3" s="29"/>
      <c r="K3" s="29"/>
      <c r="L3" s="29" t="s">
        <v>61</v>
      </c>
      <c r="M3" s="29"/>
      <c r="N3" s="47">
        <v>1799000</v>
      </c>
      <c r="O3" s="25"/>
    </row>
    <row r="4" spans="1:15" ht="33" customHeight="1" x14ac:dyDescent="0.25">
      <c r="A4" s="25" t="s">
        <v>370</v>
      </c>
      <c r="B4" s="25" t="s">
        <v>371</v>
      </c>
      <c r="C4" s="25" t="s">
        <v>372</v>
      </c>
      <c r="D4" s="25" t="s">
        <v>100</v>
      </c>
      <c r="E4" s="25" t="s">
        <v>101</v>
      </c>
      <c r="F4" s="25" t="s">
        <v>89</v>
      </c>
      <c r="G4" s="25" t="s">
        <v>44</v>
      </c>
      <c r="H4" s="25" t="s">
        <v>46</v>
      </c>
      <c r="I4" s="38" t="s">
        <v>189</v>
      </c>
      <c r="J4" s="29" t="s">
        <v>59</v>
      </c>
      <c r="K4" s="29" t="s">
        <v>60</v>
      </c>
      <c r="L4" s="29" t="s">
        <v>61</v>
      </c>
      <c r="M4" s="29" t="s">
        <v>7</v>
      </c>
      <c r="N4" s="51">
        <v>6169000</v>
      </c>
      <c r="O4" s="25" t="s">
        <v>23</v>
      </c>
    </row>
    <row r="5" spans="1:15" ht="33" customHeight="1" x14ac:dyDescent="0.25">
      <c r="A5" s="25" t="s">
        <v>373</v>
      </c>
      <c r="B5" s="25" t="s">
        <v>374</v>
      </c>
      <c r="C5" s="25" t="s">
        <v>375</v>
      </c>
      <c r="D5" s="25" t="s">
        <v>186</v>
      </c>
      <c r="E5" s="25" t="s">
        <v>10</v>
      </c>
      <c r="F5" s="25" t="s">
        <v>7</v>
      </c>
      <c r="G5" s="25" t="s">
        <v>6</v>
      </c>
      <c r="H5" s="29" t="s">
        <v>45</v>
      </c>
      <c r="I5" s="29" t="s">
        <v>188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5" t="s">
        <v>23</v>
      </c>
    </row>
    <row r="6" spans="1:15" ht="33" customHeight="1" x14ac:dyDescent="0.25">
      <c r="A6" s="25" t="s">
        <v>376</v>
      </c>
      <c r="B6" s="25" t="s">
        <v>377</v>
      </c>
      <c r="C6" s="25" t="s">
        <v>378</v>
      </c>
      <c r="D6" s="25" t="s">
        <v>100</v>
      </c>
      <c r="E6" s="25" t="s">
        <v>101</v>
      </c>
      <c r="F6" s="25" t="s">
        <v>7</v>
      </c>
      <c r="G6" s="25" t="s">
        <v>44</v>
      </c>
      <c r="H6" s="29"/>
      <c r="I6" s="38" t="s">
        <v>189</v>
      </c>
      <c r="J6" s="29"/>
      <c r="K6" s="29"/>
      <c r="L6" s="29" t="s">
        <v>61</v>
      </c>
      <c r="M6" s="29"/>
      <c r="N6" s="47">
        <v>1799000</v>
      </c>
      <c r="O6" s="25"/>
    </row>
    <row r="7" spans="1:15" ht="36.75" customHeight="1" x14ac:dyDescent="0.25">
      <c r="A7" s="1" t="s">
        <v>690</v>
      </c>
      <c r="B7" s="1" t="s">
        <v>691</v>
      </c>
      <c r="C7" s="1" t="s">
        <v>692</v>
      </c>
      <c r="D7" s="1" t="s">
        <v>353</v>
      </c>
      <c r="E7" s="1" t="s">
        <v>41</v>
      </c>
      <c r="F7" s="1" t="s">
        <v>42</v>
      </c>
      <c r="G7" s="1" t="s">
        <v>44</v>
      </c>
      <c r="H7" s="25" t="s">
        <v>383</v>
      </c>
      <c r="I7" s="38" t="s">
        <v>189</v>
      </c>
      <c r="J7" s="29" t="s">
        <v>59</v>
      </c>
      <c r="K7" s="29" t="s">
        <v>60</v>
      </c>
      <c r="L7" s="29" t="s">
        <v>61</v>
      </c>
      <c r="M7" s="29" t="s">
        <v>7</v>
      </c>
      <c r="N7" s="51">
        <v>6169000</v>
      </c>
      <c r="O7" s="25" t="s">
        <v>23</v>
      </c>
    </row>
    <row r="8" spans="1:15" ht="45" customHeight="1" x14ac:dyDescent="0.25">
      <c r="A8" s="25" t="s">
        <v>379</v>
      </c>
      <c r="B8" s="25" t="s">
        <v>380</v>
      </c>
      <c r="C8" s="25" t="s">
        <v>381</v>
      </c>
      <c r="D8" s="25" t="s">
        <v>100</v>
      </c>
      <c r="E8" s="25" t="s">
        <v>101</v>
      </c>
      <c r="F8" s="25" t="s">
        <v>42</v>
      </c>
      <c r="G8" s="25" t="s">
        <v>382</v>
      </c>
      <c r="H8" s="25" t="s">
        <v>383</v>
      </c>
      <c r="I8" s="38" t="s">
        <v>189</v>
      </c>
      <c r="J8" s="29" t="s">
        <v>59</v>
      </c>
      <c r="K8" s="29" t="s">
        <v>60</v>
      </c>
      <c r="L8" s="29" t="s">
        <v>61</v>
      </c>
      <c r="M8" s="29" t="s">
        <v>7</v>
      </c>
      <c r="N8" s="51">
        <v>6169000</v>
      </c>
      <c r="O8" s="25" t="s">
        <v>23</v>
      </c>
    </row>
    <row r="9" spans="1:15" ht="33" customHeight="1" x14ac:dyDescent="0.25">
      <c r="A9" s="1" t="s">
        <v>781</v>
      </c>
      <c r="B9" s="1" t="s">
        <v>782</v>
      </c>
      <c r="C9" s="1" t="s">
        <v>783</v>
      </c>
      <c r="D9" s="1" t="s">
        <v>37</v>
      </c>
      <c r="E9" s="1" t="s">
        <v>38</v>
      </c>
      <c r="F9" s="1" t="s">
        <v>519</v>
      </c>
      <c r="G9" s="1" t="s">
        <v>43</v>
      </c>
      <c r="H9" s="1"/>
      <c r="I9" s="1"/>
      <c r="J9" s="1"/>
      <c r="K9" s="1"/>
      <c r="L9" s="29" t="s">
        <v>61</v>
      </c>
      <c r="M9" s="53"/>
      <c r="N9" s="46"/>
      <c r="O9" s="1"/>
    </row>
    <row r="10" spans="1:15" ht="33" customHeight="1" x14ac:dyDescent="0.25">
      <c r="A10" s="1" t="s">
        <v>784</v>
      </c>
      <c r="B10" s="1" t="s">
        <v>785</v>
      </c>
      <c r="C10" s="1" t="s">
        <v>786</v>
      </c>
      <c r="D10" s="1" t="s">
        <v>100</v>
      </c>
      <c r="E10" s="1" t="s">
        <v>101</v>
      </c>
      <c r="F10" s="1" t="s">
        <v>42</v>
      </c>
      <c r="G10" s="1" t="s">
        <v>382</v>
      </c>
      <c r="H10" s="39" t="s">
        <v>46</v>
      </c>
      <c r="I10" s="38" t="s">
        <v>189</v>
      </c>
      <c r="J10" s="29" t="s">
        <v>59</v>
      </c>
      <c r="K10" s="29" t="s">
        <v>60</v>
      </c>
      <c r="L10" s="29" t="s">
        <v>61</v>
      </c>
      <c r="M10" s="29" t="s">
        <v>7</v>
      </c>
      <c r="N10" s="51">
        <v>6169000</v>
      </c>
      <c r="O10" s="1"/>
    </row>
    <row r="11" spans="1:15" ht="33" customHeight="1" x14ac:dyDescent="0.25">
      <c r="A11" s="1" t="s">
        <v>787</v>
      </c>
      <c r="B11" s="1" t="s">
        <v>788</v>
      </c>
      <c r="C11" s="1" t="s">
        <v>789</v>
      </c>
      <c r="D11" s="1" t="s">
        <v>117</v>
      </c>
      <c r="E11" s="1" t="s">
        <v>10</v>
      </c>
      <c r="F11" s="1" t="s">
        <v>7</v>
      </c>
      <c r="G11" s="1" t="s">
        <v>6</v>
      </c>
      <c r="H11" s="39" t="s">
        <v>46</v>
      </c>
      <c r="I11" s="29" t="s">
        <v>188</v>
      </c>
      <c r="J11" s="1"/>
      <c r="K11" s="1"/>
      <c r="L11" s="29" t="s">
        <v>61</v>
      </c>
      <c r="M11" s="1"/>
      <c r="N11" s="1"/>
      <c r="O11" s="1"/>
    </row>
    <row r="12" spans="1:15" ht="35.25" customHeight="1" x14ac:dyDescent="0.25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52" t="s">
        <v>118</v>
      </c>
      <c r="N12" s="16">
        <f>SUM(N3:N11)</f>
        <v>34443000</v>
      </c>
    </row>
  </sheetData>
  <mergeCells count="2">
    <mergeCell ref="A1:O1"/>
    <mergeCell ref="A12:L12"/>
  </mergeCells>
  <conditionalFormatting sqref="A2">
    <cfRule type="duplicateValues" dxfId="56" priority="2"/>
  </conditionalFormatting>
  <conditionalFormatting sqref="B2">
    <cfRule type="duplicateValues" dxfId="55" priority="1"/>
  </conditionalFormatting>
  <conditionalFormatting sqref="A3:A4">
    <cfRule type="duplicateValues" dxfId="54" priority="3"/>
  </conditionalFormatting>
  <conditionalFormatting sqref="B3:B4">
    <cfRule type="duplicateValues" dxfId="53" priority="4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CE4D4-7C2F-4778-8089-375391BBF344}">
  <dimension ref="A1:O9"/>
  <sheetViews>
    <sheetView workbookViewId="0">
      <selection activeCell="A9" sqref="A9:L9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403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385</v>
      </c>
      <c r="B3" s="1" t="s">
        <v>386</v>
      </c>
      <c r="C3" s="1" t="s">
        <v>387</v>
      </c>
      <c r="D3" s="1" t="s">
        <v>117</v>
      </c>
      <c r="E3" s="1" t="s">
        <v>10</v>
      </c>
      <c r="F3" s="1" t="s">
        <v>7</v>
      </c>
      <c r="G3" s="1" t="s">
        <v>6</v>
      </c>
      <c r="H3" s="1" t="s">
        <v>45</v>
      </c>
      <c r="I3" s="29" t="s">
        <v>188</v>
      </c>
      <c r="J3" s="29"/>
      <c r="K3" s="29"/>
      <c r="L3" s="29" t="s">
        <v>61</v>
      </c>
      <c r="M3" s="29"/>
      <c r="N3" s="47">
        <v>1799000</v>
      </c>
      <c r="O3" s="25"/>
    </row>
    <row r="4" spans="1:15" ht="33" customHeight="1" x14ac:dyDescent="0.25">
      <c r="A4" s="1" t="s">
        <v>388</v>
      </c>
      <c r="B4" s="1" t="s">
        <v>389</v>
      </c>
      <c r="C4" s="1" t="s">
        <v>390</v>
      </c>
      <c r="D4" s="1" t="s">
        <v>117</v>
      </c>
      <c r="E4" s="1" t="s">
        <v>10</v>
      </c>
      <c r="F4" s="1" t="s">
        <v>7</v>
      </c>
      <c r="G4" s="1" t="s">
        <v>6</v>
      </c>
      <c r="H4" s="1" t="s">
        <v>45</v>
      </c>
      <c r="I4" s="29" t="s">
        <v>188</v>
      </c>
      <c r="J4" s="29"/>
      <c r="K4" s="29"/>
      <c r="L4" s="29" t="s">
        <v>61</v>
      </c>
      <c r="M4" s="29"/>
      <c r="N4" s="47">
        <v>1799000</v>
      </c>
      <c r="O4" s="25" t="s">
        <v>23</v>
      </c>
    </row>
    <row r="5" spans="1:15" ht="33" customHeight="1" x14ac:dyDescent="0.25">
      <c r="A5" s="1" t="s">
        <v>391</v>
      </c>
      <c r="B5" s="1" t="s">
        <v>392</v>
      </c>
      <c r="C5" s="1" t="s">
        <v>393</v>
      </c>
      <c r="D5" s="1" t="s">
        <v>117</v>
      </c>
      <c r="E5" s="1" t="s">
        <v>10</v>
      </c>
      <c r="F5" s="1" t="s">
        <v>7</v>
      </c>
      <c r="G5" s="1" t="s">
        <v>6</v>
      </c>
      <c r="H5" s="1" t="s">
        <v>45</v>
      </c>
      <c r="I5" s="29" t="s">
        <v>188</v>
      </c>
      <c r="J5" s="29"/>
      <c r="K5" s="29"/>
      <c r="L5" s="29" t="s">
        <v>61</v>
      </c>
      <c r="M5" s="29"/>
      <c r="N5" s="47">
        <v>1799000</v>
      </c>
      <c r="O5" s="25" t="s">
        <v>23</v>
      </c>
    </row>
    <row r="6" spans="1:15" ht="33" customHeight="1" x14ac:dyDescent="0.25">
      <c r="A6" s="1" t="s">
        <v>394</v>
      </c>
      <c r="B6" s="1" t="s">
        <v>395</v>
      </c>
      <c r="C6" s="1" t="s">
        <v>396</v>
      </c>
      <c r="D6" s="1" t="s">
        <v>117</v>
      </c>
      <c r="E6" s="1" t="s">
        <v>10</v>
      </c>
      <c r="F6" s="1" t="s">
        <v>7</v>
      </c>
      <c r="G6" s="1" t="s">
        <v>6</v>
      </c>
      <c r="H6" s="1" t="s">
        <v>45</v>
      </c>
      <c r="I6" s="29" t="s">
        <v>188</v>
      </c>
      <c r="J6" s="29"/>
      <c r="K6" s="29"/>
      <c r="L6" s="29" t="s">
        <v>61</v>
      </c>
      <c r="M6" s="29"/>
      <c r="N6" s="47">
        <v>1799000</v>
      </c>
      <c r="O6" s="25"/>
    </row>
    <row r="7" spans="1:15" ht="45" customHeight="1" x14ac:dyDescent="0.25">
      <c r="A7" s="1" t="s">
        <v>397</v>
      </c>
      <c r="B7" s="1" t="s">
        <v>398</v>
      </c>
      <c r="C7" s="1" t="s">
        <v>399</v>
      </c>
      <c r="D7" s="1" t="s">
        <v>117</v>
      </c>
      <c r="E7" s="1" t="s">
        <v>10</v>
      </c>
      <c r="F7" s="1" t="s">
        <v>7</v>
      </c>
      <c r="G7" s="1" t="s">
        <v>43</v>
      </c>
      <c r="H7" s="1" t="s">
        <v>45</v>
      </c>
      <c r="I7" s="29" t="s">
        <v>188</v>
      </c>
      <c r="J7" s="29"/>
      <c r="K7" s="29"/>
      <c r="L7" s="29" t="s">
        <v>61</v>
      </c>
      <c r="M7" s="29"/>
      <c r="N7" s="47">
        <v>1799000</v>
      </c>
      <c r="O7" s="25"/>
    </row>
    <row r="8" spans="1:15" ht="33" customHeight="1" x14ac:dyDescent="0.25">
      <c r="A8" s="1" t="s">
        <v>400</v>
      </c>
      <c r="B8" s="1" t="s">
        <v>401</v>
      </c>
      <c r="C8" s="1" t="s">
        <v>402</v>
      </c>
      <c r="D8" s="1" t="s">
        <v>186</v>
      </c>
      <c r="E8" s="1" t="s">
        <v>10</v>
      </c>
      <c r="F8" s="1" t="s">
        <v>7</v>
      </c>
      <c r="G8" s="1" t="s">
        <v>6</v>
      </c>
      <c r="H8" s="1" t="s">
        <v>45</v>
      </c>
      <c r="I8" s="29" t="s">
        <v>188</v>
      </c>
      <c r="J8" s="1"/>
      <c r="K8" s="1"/>
      <c r="L8" s="29" t="s">
        <v>61</v>
      </c>
      <c r="M8" s="53"/>
      <c r="N8" s="47">
        <v>1799000</v>
      </c>
      <c r="O8" s="25"/>
    </row>
    <row r="9" spans="1:15" ht="36" customHeight="1" x14ac:dyDescent="0.3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  <c r="M9" s="54" t="s">
        <v>118</v>
      </c>
      <c r="N9" s="55">
        <f>SUM(N3:N8)</f>
        <v>10794000</v>
      </c>
    </row>
  </sheetData>
  <mergeCells count="2">
    <mergeCell ref="A1:O1"/>
    <mergeCell ref="A9:L9"/>
  </mergeCells>
  <conditionalFormatting sqref="A2">
    <cfRule type="duplicateValues" dxfId="52" priority="3"/>
  </conditionalFormatting>
  <conditionalFormatting sqref="B2">
    <cfRule type="duplicateValues" dxfId="51" priority="2"/>
  </conditionalFormatting>
  <conditionalFormatting sqref="A3:A4">
    <cfRule type="duplicateValues" dxfId="50" priority="4"/>
  </conditionalFormatting>
  <conditionalFormatting sqref="B3:B4">
    <cfRule type="duplicateValues" dxfId="49" priority="5"/>
  </conditionalFormatting>
  <conditionalFormatting sqref="A3:A4">
    <cfRule type="duplicateValues" dxfId="48" priority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42335-11EB-41CE-BA2C-1EDF91B5FB3A}">
  <dimension ref="A1:O10"/>
  <sheetViews>
    <sheetView workbookViewId="0">
      <selection activeCell="A10" sqref="A10:L10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427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36" t="s">
        <v>404</v>
      </c>
      <c r="B3" s="36" t="s">
        <v>405</v>
      </c>
      <c r="C3" s="36" t="s">
        <v>406</v>
      </c>
      <c r="D3" s="36" t="s">
        <v>117</v>
      </c>
      <c r="E3" s="36" t="s">
        <v>10</v>
      </c>
      <c r="F3" s="36" t="s">
        <v>7</v>
      </c>
      <c r="G3" s="36" t="s">
        <v>6</v>
      </c>
      <c r="H3" s="36" t="s">
        <v>45</v>
      </c>
      <c r="I3" s="56" t="s">
        <v>188</v>
      </c>
      <c r="J3" s="56"/>
      <c r="K3" s="56"/>
      <c r="L3" s="56" t="s">
        <v>61</v>
      </c>
      <c r="M3" s="56"/>
      <c r="N3" s="47">
        <v>1799000</v>
      </c>
      <c r="O3" s="25"/>
    </row>
    <row r="4" spans="1:15" ht="33" customHeight="1" x14ac:dyDescent="0.25">
      <c r="A4" s="36" t="s">
        <v>407</v>
      </c>
      <c r="B4" s="36" t="s">
        <v>408</v>
      </c>
      <c r="C4" s="36" t="s">
        <v>409</v>
      </c>
      <c r="D4" s="36" t="s">
        <v>117</v>
      </c>
      <c r="E4" s="36" t="s">
        <v>10</v>
      </c>
      <c r="F4" s="36" t="s">
        <v>7</v>
      </c>
      <c r="G4" s="36" t="s">
        <v>6</v>
      </c>
      <c r="H4" s="36" t="s">
        <v>45</v>
      </c>
      <c r="I4" s="56" t="s">
        <v>188</v>
      </c>
      <c r="J4" s="56"/>
      <c r="K4" s="56"/>
      <c r="L4" s="56" t="s">
        <v>61</v>
      </c>
      <c r="M4" s="56"/>
      <c r="N4" s="47">
        <v>1799000</v>
      </c>
      <c r="O4" s="25"/>
    </row>
    <row r="5" spans="1:15" ht="33" customHeight="1" x14ac:dyDescent="0.25">
      <c r="A5" s="36" t="s">
        <v>410</v>
      </c>
      <c r="B5" s="36" t="s">
        <v>411</v>
      </c>
      <c r="C5" s="36" t="s">
        <v>412</v>
      </c>
      <c r="D5" s="36" t="s">
        <v>117</v>
      </c>
      <c r="E5" s="36" t="s">
        <v>10</v>
      </c>
      <c r="F5" s="36" t="s">
        <v>7</v>
      </c>
      <c r="G5" s="36" t="s">
        <v>6</v>
      </c>
      <c r="H5" s="36" t="s">
        <v>46</v>
      </c>
      <c r="I5" s="56" t="s">
        <v>188</v>
      </c>
      <c r="J5" s="56"/>
      <c r="K5" s="56"/>
      <c r="L5" s="56" t="s">
        <v>61</v>
      </c>
      <c r="M5" s="56"/>
      <c r="N5" s="47">
        <v>1799000</v>
      </c>
      <c r="O5" s="25"/>
    </row>
    <row r="6" spans="1:15" ht="55.5" customHeight="1" x14ac:dyDescent="0.25">
      <c r="A6" s="36" t="s">
        <v>413</v>
      </c>
      <c r="B6" s="36" t="s">
        <v>414</v>
      </c>
      <c r="C6" s="36" t="s">
        <v>415</v>
      </c>
      <c r="D6" s="36" t="s">
        <v>186</v>
      </c>
      <c r="E6" s="36" t="s">
        <v>352</v>
      </c>
      <c r="F6" s="36" t="s">
        <v>7</v>
      </c>
      <c r="G6" s="36" t="s">
        <v>8</v>
      </c>
      <c r="H6" s="57" t="s">
        <v>425</v>
      </c>
      <c r="I6" s="56" t="s">
        <v>188</v>
      </c>
      <c r="J6" s="29" t="s">
        <v>59</v>
      </c>
      <c r="K6" s="29" t="s">
        <v>60</v>
      </c>
      <c r="L6" s="29" t="s">
        <v>61</v>
      </c>
      <c r="M6" s="29" t="s">
        <v>7</v>
      </c>
      <c r="N6" s="51">
        <v>6169000</v>
      </c>
      <c r="O6" s="25" t="s">
        <v>23</v>
      </c>
    </row>
    <row r="7" spans="1:15" ht="49.5" customHeight="1" x14ac:dyDescent="0.25">
      <c r="A7" s="36" t="s">
        <v>416</v>
      </c>
      <c r="B7" s="36" t="s">
        <v>417</v>
      </c>
      <c r="C7" s="36" t="s">
        <v>418</v>
      </c>
      <c r="D7" s="36" t="s">
        <v>117</v>
      </c>
      <c r="E7" s="36" t="s">
        <v>10</v>
      </c>
      <c r="F7" s="36" t="s">
        <v>7</v>
      </c>
      <c r="G7" s="36" t="s">
        <v>6</v>
      </c>
      <c r="H7" s="57" t="s">
        <v>425</v>
      </c>
      <c r="I7" s="56" t="s">
        <v>188</v>
      </c>
      <c r="J7" s="29" t="s">
        <v>59</v>
      </c>
      <c r="K7" s="29" t="s">
        <v>60</v>
      </c>
      <c r="L7" s="29" t="s">
        <v>61</v>
      </c>
      <c r="M7" s="29" t="s">
        <v>7</v>
      </c>
      <c r="N7" s="51">
        <v>6169000</v>
      </c>
      <c r="O7" s="25" t="s">
        <v>23</v>
      </c>
    </row>
    <row r="8" spans="1:15" ht="33" customHeight="1" x14ac:dyDescent="0.25">
      <c r="A8" s="36" t="s">
        <v>419</v>
      </c>
      <c r="B8" s="36" t="s">
        <v>420</v>
      </c>
      <c r="C8" s="36" t="s">
        <v>421</v>
      </c>
      <c r="D8" s="36" t="s">
        <v>117</v>
      </c>
      <c r="E8" s="36" t="s">
        <v>10</v>
      </c>
      <c r="F8" s="36" t="s">
        <v>7</v>
      </c>
      <c r="G8" s="36" t="s">
        <v>6</v>
      </c>
      <c r="H8" s="1" t="s">
        <v>426</v>
      </c>
      <c r="I8" s="56" t="s">
        <v>188</v>
      </c>
      <c r="J8" s="36"/>
      <c r="K8" s="36"/>
      <c r="L8" s="56" t="s">
        <v>61</v>
      </c>
      <c r="M8" s="58"/>
      <c r="N8" s="47">
        <v>1799000</v>
      </c>
      <c r="O8" s="25"/>
    </row>
    <row r="9" spans="1:15" ht="46.5" customHeight="1" x14ac:dyDescent="0.25">
      <c r="A9" s="36" t="s">
        <v>422</v>
      </c>
      <c r="B9" s="36" t="s">
        <v>423</v>
      </c>
      <c r="C9" s="36" t="s">
        <v>424</v>
      </c>
      <c r="D9" s="36" t="s">
        <v>117</v>
      </c>
      <c r="E9" s="36" t="s">
        <v>10</v>
      </c>
      <c r="F9" s="36" t="s">
        <v>7</v>
      </c>
      <c r="G9" s="36" t="s">
        <v>6</v>
      </c>
      <c r="H9" s="57" t="s">
        <v>425</v>
      </c>
      <c r="I9" s="56" t="s">
        <v>188</v>
      </c>
      <c r="J9" s="29" t="s">
        <v>59</v>
      </c>
      <c r="K9" s="29" t="s">
        <v>60</v>
      </c>
      <c r="L9" s="29" t="s">
        <v>61</v>
      </c>
      <c r="M9" s="29" t="s">
        <v>7</v>
      </c>
      <c r="N9" s="51">
        <v>6169000</v>
      </c>
      <c r="O9" s="25" t="s">
        <v>23</v>
      </c>
    </row>
    <row r="10" spans="1:15" ht="39.75" customHeight="1" x14ac:dyDescent="0.25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2"/>
      <c r="M10" s="52" t="s">
        <v>118</v>
      </c>
      <c r="N10" s="16">
        <f>SUM(N3:N9)</f>
        <v>25703000</v>
      </c>
    </row>
  </sheetData>
  <mergeCells count="2">
    <mergeCell ref="A1:O1"/>
    <mergeCell ref="A10:L10"/>
  </mergeCells>
  <conditionalFormatting sqref="A2">
    <cfRule type="duplicateValues" dxfId="47" priority="3"/>
  </conditionalFormatting>
  <conditionalFormatting sqref="B2">
    <cfRule type="duplicateValues" dxfId="46" priority="2"/>
  </conditionalFormatting>
  <conditionalFormatting sqref="A3:A4">
    <cfRule type="duplicateValues" dxfId="45" priority="4"/>
  </conditionalFormatting>
  <conditionalFormatting sqref="B3:B4">
    <cfRule type="duplicateValues" dxfId="44" priority="5"/>
  </conditionalFormatting>
  <conditionalFormatting sqref="A3:A4">
    <cfRule type="duplicateValues" dxfId="43" priority="1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10935-858A-432F-8D49-FB320370FD58}">
  <dimension ref="A1:O18"/>
  <sheetViews>
    <sheetView topLeftCell="A7" workbookViewId="0">
      <selection activeCell="J10" sqref="J10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473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35" t="s">
        <v>428</v>
      </c>
      <c r="B3" s="35" t="s">
        <v>429</v>
      </c>
      <c r="C3" s="35" t="s">
        <v>430</v>
      </c>
      <c r="D3" s="35" t="s">
        <v>37</v>
      </c>
      <c r="E3" s="35" t="s">
        <v>90</v>
      </c>
      <c r="F3" s="35" t="s">
        <v>39</v>
      </c>
      <c r="G3" s="35" t="s">
        <v>44</v>
      </c>
      <c r="H3" s="2"/>
      <c r="I3" s="2" t="s">
        <v>47</v>
      </c>
      <c r="J3" s="29" t="s">
        <v>59</v>
      </c>
      <c r="K3" s="29" t="s">
        <v>60</v>
      </c>
      <c r="L3" s="29" t="s">
        <v>61</v>
      </c>
      <c r="M3" s="29" t="s">
        <v>7</v>
      </c>
      <c r="N3" s="51">
        <v>6169000</v>
      </c>
      <c r="O3" s="29" t="s">
        <v>23</v>
      </c>
    </row>
    <row r="4" spans="1:15" ht="33" customHeight="1" x14ac:dyDescent="0.25">
      <c r="A4" s="35" t="s">
        <v>431</v>
      </c>
      <c r="B4" s="35" t="s">
        <v>432</v>
      </c>
      <c r="C4" s="35" t="s">
        <v>433</v>
      </c>
      <c r="D4" s="35" t="s">
        <v>37</v>
      </c>
      <c r="E4" s="35" t="s">
        <v>41</v>
      </c>
      <c r="F4" s="35" t="s">
        <v>39</v>
      </c>
      <c r="G4" s="35" t="s">
        <v>6</v>
      </c>
      <c r="H4" s="2"/>
      <c r="I4" s="2" t="s">
        <v>47</v>
      </c>
      <c r="J4" s="29" t="s">
        <v>59</v>
      </c>
      <c r="K4" s="29" t="s">
        <v>60</v>
      </c>
      <c r="L4" s="29" t="s">
        <v>61</v>
      </c>
      <c r="M4" s="29" t="s">
        <v>7</v>
      </c>
      <c r="N4" s="51">
        <v>6169000</v>
      </c>
      <c r="O4" s="29" t="s">
        <v>23</v>
      </c>
    </row>
    <row r="5" spans="1:15" ht="33" customHeight="1" x14ac:dyDescent="0.25">
      <c r="A5" s="35" t="s">
        <v>434</v>
      </c>
      <c r="B5" s="35" t="s">
        <v>435</v>
      </c>
      <c r="C5" s="35" t="s">
        <v>436</v>
      </c>
      <c r="D5" s="35" t="s">
        <v>37</v>
      </c>
      <c r="E5" s="35" t="s">
        <v>90</v>
      </c>
      <c r="F5" s="35" t="s">
        <v>39</v>
      </c>
      <c r="G5" s="35" t="s">
        <v>6</v>
      </c>
      <c r="H5" s="2" t="s">
        <v>45</v>
      </c>
      <c r="I5" s="2" t="s">
        <v>47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9" t="s">
        <v>23</v>
      </c>
    </row>
    <row r="6" spans="1:15" ht="33" customHeight="1" x14ac:dyDescent="0.25">
      <c r="A6" s="35" t="s">
        <v>437</v>
      </c>
      <c r="B6" s="35" t="s">
        <v>438</v>
      </c>
      <c r="C6" s="35" t="s">
        <v>439</v>
      </c>
      <c r="D6" s="35" t="s">
        <v>37</v>
      </c>
      <c r="E6" s="35" t="s">
        <v>38</v>
      </c>
      <c r="F6" s="35" t="s">
        <v>76</v>
      </c>
      <c r="G6" s="35" t="s">
        <v>43</v>
      </c>
      <c r="H6" s="2"/>
      <c r="I6" s="2" t="s">
        <v>47</v>
      </c>
      <c r="J6" s="29" t="s">
        <v>59</v>
      </c>
      <c r="K6" s="29" t="s">
        <v>60</v>
      </c>
      <c r="L6" s="29" t="s">
        <v>61</v>
      </c>
      <c r="M6" s="29" t="s">
        <v>7</v>
      </c>
      <c r="N6" s="51">
        <v>6169000</v>
      </c>
      <c r="O6" s="29" t="s">
        <v>23</v>
      </c>
    </row>
    <row r="7" spans="1:15" ht="33" customHeight="1" x14ac:dyDescent="0.25">
      <c r="A7" s="35" t="s">
        <v>440</v>
      </c>
      <c r="B7" s="35" t="s">
        <v>441</v>
      </c>
      <c r="C7" s="35" t="s">
        <v>442</v>
      </c>
      <c r="D7" s="35" t="s">
        <v>37</v>
      </c>
      <c r="E7" s="35" t="s">
        <v>90</v>
      </c>
      <c r="F7" s="35" t="s">
        <v>39</v>
      </c>
      <c r="G7" s="35" t="s">
        <v>6</v>
      </c>
      <c r="H7" s="2"/>
      <c r="I7" s="2" t="s">
        <v>47</v>
      </c>
      <c r="J7" s="29" t="s">
        <v>59</v>
      </c>
      <c r="K7" s="29" t="s">
        <v>60</v>
      </c>
      <c r="L7" s="29" t="s">
        <v>61</v>
      </c>
      <c r="M7" s="29" t="s">
        <v>7</v>
      </c>
      <c r="N7" s="51">
        <v>6169000</v>
      </c>
      <c r="O7" s="29" t="s">
        <v>23</v>
      </c>
    </row>
    <row r="8" spans="1:15" ht="33" customHeight="1" x14ac:dyDescent="0.25">
      <c r="A8" s="35" t="s">
        <v>443</v>
      </c>
      <c r="B8" s="35" t="s">
        <v>444</v>
      </c>
      <c r="C8" s="35" t="s">
        <v>445</v>
      </c>
      <c r="D8" s="35" t="s">
        <v>37</v>
      </c>
      <c r="E8" s="35" t="s">
        <v>41</v>
      </c>
      <c r="F8" s="35" t="s">
        <v>89</v>
      </c>
      <c r="G8" s="35" t="s">
        <v>43</v>
      </c>
      <c r="H8" s="2"/>
      <c r="I8" s="2" t="s">
        <v>47</v>
      </c>
      <c r="J8" s="29" t="s">
        <v>59</v>
      </c>
      <c r="K8" s="29" t="s">
        <v>60</v>
      </c>
      <c r="L8" s="29" t="s">
        <v>61</v>
      </c>
      <c r="M8" s="29" t="s">
        <v>7</v>
      </c>
      <c r="N8" s="51">
        <v>6169000</v>
      </c>
      <c r="O8" s="29" t="s">
        <v>23</v>
      </c>
    </row>
    <row r="9" spans="1:15" ht="33" customHeight="1" x14ac:dyDescent="0.25">
      <c r="A9" s="35" t="s">
        <v>446</v>
      </c>
      <c r="B9" s="35" t="s">
        <v>447</v>
      </c>
      <c r="C9" s="35" t="s">
        <v>448</v>
      </c>
      <c r="D9" s="35" t="s">
        <v>117</v>
      </c>
      <c r="E9" s="35" t="s">
        <v>10</v>
      </c>
      <c r="F9" s="35" t="s">
        <v>7</v>
      </c>
      <c r="G9" s="35" t="s">
        <v>44</v>
      </c>
      <c r="H9" s="2"/>
      <c r="I9" s="56" t="s">
        <v>188</v>
      </c>
      <c r="J9" s="29"/>
      <c r="K9" s="29"/>
      <c r="L9" s="29" t="s">
        <v>61</v>
      </c>
      <c r="M9" s="29"/>
      <c r="N9" s="47">
        <v>1799000</v>
      </c>
      <c r="O9" s="29"/>
    </row>
    <row r="10" spans="1:15" ht="33" customHeight="1" x14ac:dyDescent="0.25">
      <c r="A10" s="35" t="s">
        <v>449</v>
      </c>
      <c r="B10" s="35" t="s">
        <v>450</v>
      </c>
      <c r="C10" s="35" t="s">
        <v>451</v>
      </c>
      <c r="D10" s="35" t="s">
        <v>117</v>
      </c>
      <c r="E10" s="35" t="s">
        <v>10</v>
      </c>
      <c r="F10" s="35" t="s">
        <v>7</v>
      </c>
      <c r="G10" s="35" t="s">
        <v>6</v>
      </c>
      <c r="H10" s="2"/>
      <c r="I10" s="56" t="s">
        <v>188</v>
      </c>
      <c r="J10" s="35"/>
      <c r="K10" s="35"/>
      <c r="L10" s="29" t="s">
        <v>61</v>
      </c>
      <c r="M10" s="35"/>
      <c r="N10" s="47">
        <v>1799000</v>
      </c>
      <c r="O10" s="35"/>
    </row>
    <row r="11" spans="1:15" ht="33" customHeight="1" x14ac:dyDescent="0.25">
      <c r="A11" s="35" t="s">
        <v>452</v>
      </c>
      <c r="B11" s="35" t="s">
        <v>453</v>
      </c>
      <c r="C11" s="35" t="s">
        <v>454</v>
      </c>
      <c r="D11" s="35" t="s">
        <v>100</v>
      </c>
      <c r="E11" s="35" t="s">
        <v>101</v>
      </c>
      <c r="F11" s="35" t="s">
        <v>39</v>
      </c>
      <c r="G11" s="35" t="s">
        <v>43</v>
      </c>
      <c r="H11" s="2" t="s">
        <v>362</v>
      </c>
      <c r="I11" s="2" t="s">
        <v>472</v>
      </c>
      <c r="J11" s="29" t="s">
        <v>59</v>
      </c>
      <c r="K11" s="29" t="s">
        <v>60</v>
      </c>
      <c r="L11" s="29" t="s">
        <v>61</v>
      </c>
      <c r="M11" s="29" t="s">
        <v>7</v>
      </c>
      <c r="N11" s="51">
        <v>6169000</v>
      </c>
      <c r="O11" s="29" t="s">
        <v>23</v>
      </c>
    </row>
    <row r="12" spans="1:15" ht="33" customHeight="1" x14ac:dyDescent="0.25">
      <c r="A12" s="35" t="s">
        <v>455</v>
      </c>
      <c r="B12" s="35" t="s">
        <v>456</v>
      </c>
      <c r="C12" s="35" t="s">
        <v>457</v>
      </c>
      <c r="D12" s="35" t="s">
        <v>186</v>
      </c>
      <c r="E12" s="35" t="s">
        <v>9</v>
      </c>
      <c r="F12" s="35" t="s">
        <v>7</v>
      </c>
      <c r="G12" s="35" t="s">
        <v>43</v>
      </c>
      <c r="H12" s="2" t="s">
        <v>361</v>
      </c>
      <c r="I12" s="56" t="s">
        <v>188</v>
      </c>
      <c r="J12" s="35"/>
      <c r="K12" s="35"/>
      <c r="L12" s="29" t="s">
        <v>61</v>
      </c>
      <c r="M12" s="35"/>
      <c r="N12" s="47">
        <v>1799000</v>
      </c>
      <c r="O12" s="35"/>
    </row>
    <row r="13" spans="1:15" ht="33" customHeight="1" x14ac:dyDescent="0.25">
      <c r="A13" s="35" t="s">
        <v>458</v>
      </c>
      <c r="B13" s="35" t="s">
        <v>459</v>
      </c>
      <c r="C13" s="35" t="s">
        <v>430</v>
      </c>
      <c r="D13" s="35" t="s">
        <v>186</v>
      </c>
      <c r="E13" s="35" t="s">
        <v>352</v>
      </c>
      <c r="F13" s="35" t="s">
        <v>42</v>
      </c>
      <c r="G13" s="35" t="s">
        <v>43</v>
      </c>
      <c r="H13" s="2" t="s">
        <v>361</v>
      </c>
      <c r="I13" s="56" t="s">
        <v>188</v>
      </c>
      <c r="J13" s="29" t="s">
        <v>59</v>
      </c>
      <c r="K13" s="29" t="s">
        <v>60</v>
      </c>
      <c r="L13" s="29" t="s">
        <v>61</v>
      </c>
      <c r="M13" s="29" t="s">
        <v>7</v>
      </c>
      <c r="N13" s="51">
        <v>6169000</v>
      </c>
      <c r="O13" s="29" t="s">
        <v>23</v>
      </c>
    </row>
    <row r="14" spans="1:15" ht="33" customHeight="1" x14ac:dyDescent="0.25">
      <c r="A14" s="35" t="s">
        <v>460</v>
      </c>
      <c r="B14" s="35" t="s">
        <v>461</v>
      </c>
      <c r="C14" s="35" t="s">
        <v>462</v>
      </c>
      <c r="D14" s="35" t="s">
        <v>37</v>
      </c>
      <c r="E14" s="35" t="s">
        <v>41</v>
      </c>
      <c r="F14" s="35" t="s">
        <v>89</v>
      </c>
      <c r="G14" s="35" t="s">
        <v>8</v>
      </c>
      <c r="H14" s="2" t="s">
        <v>361</v>
      </c>
      <c r="I14" s="2" t="s">
        <v>47</v>
      </c>
      <c r="J14" s="29" t="s">
        <v>59</v>
      </c>
      <c r="K14" s="29" t="s">
        <v>60</v>
      </c>
      <c r="L14" s="29" t="s">
        <v>61</v>
      </c>
      <c r="M14" s="29" t="s">
        <v>7</v>
      </c>
      <c r="N14" s="51">
        <v>6169000</v>
      </c>
      <c r="O14" s="29" t="s">
        <v>23</v>
      </c>
    </row>
    <row r="15" spans="1:15" ht="33" customHeight="1" x14ac:dyDescent="0.25">
      <c r="A15" s="35" t="s">
        <v>463</v>
      </c>
      <c r="B15" s="35" t="s">
        <v>464</v>
      </c>
      <c r="C15" s="35" t="s">
        <v>465</v>
      </c>
      <c r="D15" s="35" t="s">
        <v>100</v>
      </c>
      <c r="E15" s="35" t="s">
        <v>101</v>
      </c>
      <c r="F15" s="35" t="s">
        <v>42</v>
      </c>
      <c r="G15" s="35" t="s">
        <v>6</v>
      </c>
      <c r="H15" s="2" t="s">
        <v>362</v>
      </c>
      <c r="I15" s="2" t="s">
        <v>472</v>
      </c>
      <c r="J15" s="29" t="s">
        <v>59</v>
      </c>
      <c r="K15" s="29" t="s">
        <v>60</v>
      </c>
      <c r="L15" s="29" t="s">
        <v>61</v>
      </c>
      <c r="M15" s="29" t="s">
        <v>7</v>
      </c>
      <c r="N15" s="51">
        <v>6169000</v>
      </c>
      <c r="O15" s="29" t="s">
        <v>23</v>
      </c>
    </row>
    <row r="16" spans="1:15" ht="33" customHeight="1" x14ac:dyDescent="0.25">
      <c r="A16" s="35" t="s">
        <v>466</v>
      </c>
      <c r="B16" s="35" t="s">
        <v>467</v>
      </c>
      <c r="C16" s="35" t="s">
        <v>468</v>
      </c>
      <c r="D16" s="35" t="s">
        <v>37</v>
      </c>
      <c r="E16" s="35" t="s">
        <v>90</v>
      </c>
      <c r="F16" s="35" t="s">
        <v>39</v>
      </c>
      <c r="G16" s="35" t="s">
        <v>43</v>
      </c>
      <c r="H16" s="2" t="s">
        <v>362</v>
      </c>
      <c r="I16" s="2" t="s">
        <v>47</v>
      </c>
      <c r="J16" s="29" t="s">
        <v>59</v>
      </c>
      <c r="K16" s="29" t="s">
        <v>60</v>
      </c>
      <c r="L16" s="29" t="s">
        <v>61</v>
      </c>
      <c r="M16" s="29" t="s">
        <v>7</v>
      </c>
      <c r="N16" s="51">
        <v>6169000</v>
      </c>
      <c r="O16" s="29" t="s">
        <v>23</v>
      </c>
    </row>
    <row r="17" spans="1:15" ht="33" customHeight="1" x14ac:dyDescent="0.25">
      <c r="A17" s="35" t="s">
        <v>469</v>
      </c>
      <c r="B17" s="35" t="s">
        <v>470</v>
      </c>
      <c r="C17" s="35" t="s">
        <v>471</v>
      </c>
      <c r="D17" s="35" t="s">
        <v>37</v>
      </c>
      <c r="E17" s="35" t="s">
        <v>38</v>
      </c>
      <c r="F17" s="35" t="s">
        <v>39</v>
      </c>
      <c r="G17" s="35" t="s">
        <v>44</v>
      </c>
      <c r="H17" s="2"/>
      <c r="I17" s="2" t="s">
        <v>47</v>
      </c>
      <c r="J17" s="29" t="s">
        <v>59</v>
      </c>
      <c r="K17" s="29" t="s">
        <v>60</v>
      </c>
      <c r="L17" s="29" t="s">
        <v>61</v>
      </c>
      <c r="M17" s="29" t="s">
        <v>7</v>
      </c>
      <c r="N17" s="51">
        <v>6169000</v>
      </c>
      <c r="O17" s="29" t="s">
        <v>23</v>
      </c>
    </row>
    <row r="18" spans="1:15" ht="38.25" customHeight="1" x14ac:dyDescent="0.25"/>
  </sheetData>
  <mergeCells count="1">
    <mergeCell ref="A1:O1"/>
  </mergeCells>
  <conditionalFormatting sqref="A2">
    <cfRule type="duplicateValues" dxfId="42" priority="3"/>
  </conditionalFormatting>
  <conditionalFormatting sqref="B2">
    <cfRule type="duplicateValues" dxfId="41" priority="2"/>
  </conditionalFormatting>
  <conditionalFormatting sqref="A3:A4">
    <cfRule type="duplicateValues" dxfId="40" priority="4"/>
  </conditionalFormatting>
  <conditionalFormatting sqref="B3:B4">
    <cfRule type="duplicateValues" dxfId="39" priority="5"/>
  </conditionalFormatting>
  <conditionalFormatting sqref="A3:A4">
    <cfRule type="duplicateValues" dxfId="38" priority="1"/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3C727-5DD1-4A62-B115-6C869754F8E1}">
  <dimension ref="A1:O18"/>
  <sheetViews>
    <sheetView topLeftCell="A7" workbookViewId="0">
      <selection activeCell="Q20" sqref="Q20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473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474</v>
      </c>
      <c r="B3" s="1" t="s">
        <v>475</v>
      </c>
      <c r="C3" s="1" t="s">
        <v>476</v>
      </c>
      <c r="D3" s="1" t="s">
        <v>37</v>
      </c>
      <c r="E3" s="1" t="s">
        <v>41</v>
      </c>
      <c r="F3" s="1" t="s">
        <v>42</v>
      </c>
      <c r="G3" s="1" t="s">
        <v>43</v>
      </c>
      <c r="H3" s="2"/>
      <c r="I3" s="2" t="s">
        <v>47</v>
      </c>
      <c r="J3" s="29" t="s">
        <v>59</v>
      </c>
      <c r="K3" s="29" t="s">
        <v>60</v>
      </c>
      <c r="L3" s="29" t="s">
        <v>61</v>
      </c>
      <c r="M3" s="29" t="s">
        <v>7</v>
      </c>
      <c r="N3" s="51">
        <v>6169000</v>
      </c>
      <c r="O3" s="29" t="s">
        <v>23</v>
      </c>
    </row>
    <row r="4" spans="1:15" ht="33" customHeight="1" x14ac:dyDescent="0.25">
      <c r="A4" s="1" t="s">
        <v>477</v>
      </c>
      <c r="B4" s="1" t="s">
        <v>478</v>
      </c>
      <c r="C4" s="1" t="s">
        <v>479</v>
      </c>
      <c r="D4" s="1" t="s">
        <v>117</v>
      </c>
      <c r="E4" s="1" t="s">
        <v>10</v>
      </c>
      <c r="F4" s="1" t="s">
        <v>7</v>
      </c>
      <c r="G4" s="1" t="s">
        <v>6</v>
      </c>
      <c r="H4" s="2"/>
      <c r="I4" s="56" t="s">
        <v>188</v>
      </c>
      <c r="J4" s="29"/>
      <c r="K4" s="29"/>
      <c r="L4" s="29" t="s">
        <v>61</v>
      </c>
      <c r="M4" s="29"/>
      <c r="N4" s="47">
        <v>1799000</v>
      </c>
      <c r="O4" s="29" t="s">
        <v>23</v>
      </c>
    </row>
    <row r="5" spans="1:15" ht="33" customHeight="1" x14ac:dyDescent="0.25">
      <c r="A5" s="1" t="s">
        <v>480</v>
      </c>
      <c r="B5" s="1" t="s">
        <v>481</v>
      </c>
      <c r="C5" s="1" t="s">
        <v>482</v>
      </c>
      <c r="D5" s="1" t="s">
        <v>117</v>
      </c>
      <c r="E5" s="1" t="s">
        <v>10</v>
      </c>
      <c r="F5" s="1" t="s">
        <v>7</v>
      </c>
      <c r="G5" s="1" t="s">
        <v>43</v>
      </c>
      <c r="H5" s="2"/>
      <c r="I5" s="56" t="s">
        <v>188</v>
      </c>
      <c r="J5" s="29"/>
      <c r="K5" s="29"/>
      <c r="L5" s="29" t="s">
        <v>61</v>
      </c>
      <c r="M5" s="29"/>
      <c r="N5" s="47">
        <v>1799000</v>
      </c>
      <c r="O5" s="29" t="s">
        <v>23</v>
      </c>
    </row>
    <row r="6" spans="1:15" ht="33" customHeight="1" x14ac:dyDescent="0.25">
      <c r="A6" s="1" t="s">
        <v>483</v>
      </c>
      <c r="B6" s="1" t="s">
        <v>484</v>
      </c>
      <c r="C6" s="1" t="s">
        <v>485</v>
      </c>
      <c r="D6" s="1" t="s">
        <v>117</v>
      </c>
      <c r="E6" s="1" t="s">
        <v>10</v>
      </c>
      <c r="F6" s="1" t="s">
        <v>7</v>
      </c>
      <c r="G6" s="1" t="s">
        <v>6</v>
      </c>
      <c r="H6" s="2" t="s">
        <v>45</v>
      </c>
      <c r="I6" s="56" t="s">
        <v>188</v>
      </c>
      <c r="J6" s="29"/>
      <c r="K6" s="29"/>
      <c r="L6" s="29" t="s">
        <v>61</v>
      </c>
      <c r="M6" s="29"/>
      <c r="N6" s="47">
        <v>1799000</v>
      </c>
      <c r="O6" s="29" t="s">
        <v>23</v>
      </c>
    </row>
    <row r="7" spans="1:15" ht="33" customHeight="1" x14ac:dyDescent="0.25">
      <c r="A7" s="1" t="s">
        <v>486</v>
      </c>
      <c r="B7" s="1" t="s">
        <v>487</v>
      </c>
      <c r="C7" s="1" t="s">
        <v>488</v>
      </c>
      <c r="D7" s="1" t="s">
        <v>117</v>
      </c>
      <c r="E7" s="1" t="s">
        <v>10</v>
      </c>
      <c r="F7" s="1" t="s">
        <v>7</v>
      </c>
      <c r="G7" s="1" t="s">
        <v>43</v>
      </c>
      <c r="H7" s="2" t="s">
        <v>45</v>
      </c>
      <c r="I7" s="56" t="s">
        <v>188</v>
      </c>
      <c r="J7" s="29"/>
      <c r="K7" s="29"/>
      <c r="L7" s="29" t="s">
        <v>61</v>
      </c>
      <c r="M7" s="29"/>
      <c r="N7" s="47">
        <v>1799000</v>
      </c>
      <c r="O7" s="29" t="s">
        <v>23</v>
      </c>
    </row>
    <row r="8" spans="1:15" ht="33" customHeight="1" x14ac:dyDescent="0.25">
      <c r="A8" s="1" t="s">
        <v>489</v>
      </c>
      <c r="B8" s="1" t="s">
        <v>490</v>
      </c>
      <c r="C8" s="1" t="s">
        <v>491</v>
      </c>
      <c r="D8" s="1" t="s">
        <v>117</v>
      </c>
      <c r="E8" s="1" t="s">
        <v>10</v>
      </c>
      <c r="F8" s="1" t="s">
        <v>7</v>
      </c>
      <c r="G8" s="1" t="s">
        <v>6</v>
      </c>
      <c r="H8" s="2"/>
      <c r="I8" s="56" t="s">
        <v>188</v>
      </c>
      <c r="J8" s="29"/>
      <c r="K8" s="29"/>
      <c r="L8" s="29" t="s">
        <v>61</v>
      </c>
      <c r="M8" s="29"/>
      <c r="N8" s="47">
        <v>1799000</v>
      </c>
      <c r="O8" s="29" t="s">
        <v>23</v>
      </c>
    </row>
    <row r="9" spans="1:15" ht="33" customHeight="1" x14ac:dyDescent="0.25">
      <c r="A9" s="1" t="s">
        <v>492</v>
      </c>
      <c r="B9" s="1" t="s">
        <v>493</v>
      </c>
      <c r="C9" s="1" t="s">
        <v>494</v>
      </c>
      <c r="D9" s="1" t="s">
        <v>37</v>
      </c>
      <c r="E9" s="1" t="s">
        <v>90</v>
      </c>
      <c r="F9" s="1" t="s">
        <v>39</v>
      </c>
      <c r="G9" s="1" t="s">
        <v>44</v>
      </c>
      <c r="H9" s="2" t="s">
        <v>45</v>
      </c>
      <c r="I9" s="2" t="s">
        <v>47</v>
      </c>
      <c r="J9" s="29" t="s">
        <v>59</v>
      </c>
      <c r="K9" s="29" t="s">
        <v>60</v>
      </c>
      <c r="L9" s="29" t="s">
        <v>61</v>
      </c>
      <c r="M9" s="29" t="s">
        <v>7</v>
      </c>
      <c r="N9" s="51">
        <v>6169000</v>
      </c>
      <c r="O9" s="29" t="s">
        <v>23</v>
      </c>
    </row>
    <row r="10" spans="1:15" ht="33" customHeight="1" x14ac:dyDescent="0.25">
      <c r="A10" s="1" t="s">
        <v>495</v>
      </c>
      <c r="B10" s="1" t="s">
        <v>496</v>
      </c>
      <c r="C10" s="1" t="s">
        <v>497</v>
      </c>
      <c r="D10" s="1" t="s">
        <v>117</v>
      </c>
      <c r="E10" s="1" t="s">
        <v>10</v>
      </c>
      <c r="F10" s="1" t="s">
        <v>7</v>
      </c>
      <c r="G10" s="1" t="s">
        <v>44</v>
      </c>
      <c r="H10" s="2"/>
      <c r="I10" s="56" t="s">
        <v>188</v>
      </c>
      <c r="J10" s="35"/>
      <c r="K10" s="35"/>
      <c r="L10" s="29" t="s">
        <v>61</v>
      </c>
      <c r="M10" s="35"/>
      <c r="N10" s="47">
        <v>1799000</v>
      </c>
      <c r="O10" s="35"/>
    </row>
    <row r="11" spans="1:15" ht="33" customHeight="1" x14ac:dyDescent="0.25">
      <c r="A11" s="1" t="s">
        <v>498</v>
      </c>
      <c r="B11" s="1" t="s">
        <v>499</v>
      </c>
      <c r="C11" s="1" t="s">
        <v>500</v>
      </c>
      <c r="D11" s="1" t="s">
        <v>37</v>
      </c>
      <c r="E11" s="1" t="s">
        <v>41</v>
      </c>
      <c r="F11" s="1" t="s">
        <v>42</v>
      </c>
      <c r="G11" s="1" t="s">
        <v>43</v>
      </c>
      <c r="H11" s="2"/>
      <c r="I11" s="2" t="s">
        <v>47</v>
      </c>
      <c r="J11" s="29" t="s">
        <v>59</v>
      </c>
      <c r="K11" s="29" t="s">
        <v>60</v>
      </c>
      <c r="L11" s="29" t="s">
        <v>61</v>
      </c>
      <c r="M11" s="29" t="s">
        <v>7</v>
      </c>
      <c r="N11" s="51">
        <v>6169000</v>
      </c>
      <c r="O11" s="29" t="s">
        <v>23</v>
      </c>
    </row>
    <row r="12" spans="1:15" ht="33" customHeight="1" x14ac:dyDescent="0.25">
      <c r="A12" s="1" t="s">
        <v>501</v>
      </c>
      <c r="B12" s="1" t="s">
        <v>502</v>
      </c>
      <c r="C12" s="1" t="s">
        <v>503</v>
      </c>
      <c r="D12" s="1" t="s">
        <v>186</v>
      </c>
      <c r="E12" s="1" t="s">
        <v>352</v>
      </c>
      <c r="F12" s="1" t="s">
        <v>42</v>
      </c>
      <c r="G12" s="1" t="s">
        <v>43</v>
      </c>
      <c r="H12" s="2" t="s">
        <v>45</v>
      </c>
      <c r="I12" s="56" t="s">
        <v>188</v>
      </c>
      <c r="J12" s="29" t="s">
        <v>59</v>
      </c>
      <c r="K12" s="29" t="s">
        <v>60</v>
      </c>
      <c r="L12" s="29" t="s">
        <v>61</v>
      </c>
      <c r="M12" s="29" t="s">
        <v>7</v>
      </c>
      <c r="N12" s="51">
        <v>6169000</v>
      </c>
      <c r="O12" s="29" t="s">
        <v>23</v>
      </c>
    </row>
    <row r="13" spans="1:15" ht="33" customHeight="1" x14ac:dyDescent="0.25">
      <c r="A13" s="1" t="s">
        <v>504</v>
      </c>
      <c r="B13" s="1" t="s">
        <v>505</v>
      </c>
      <c r="C13" s="1" t="s">
        <v>506</v>
      </c>
      <c r="D13" s="1" t="s">
        <v>37</v>
      </c>
      <c r="E13" s="1" t="s">
        <v>41</v>
      </c>
      <c r="F13" s="1" t="s">
        <v>39</v>
      </c>
      <c r="G13" s="1" t="s">
        <v>43</v>
      </c>
      <c r="H13" s="2" t="s">
        <v>45</v>
      </c>
      <c r="I13" s="2" t="s">
        <v>47</v>
      </c>
      <c r="J13" s="29" t="s">
        <v>59</v>
      </c>
      <c r="K13" s="29" t="s">
        <v>60</v>
      </c>
      <c r="L13" s="29" t="s">
        <v>61</v>
      </c>
      <c r="M13" s="29" t="s">
        <v>7</v>
      </c>
      <c r="N13" s="51">
        <v>6169000</v>
      </c>
      <c r="O13" s="29" t="s">
        <v>23</v>
      </c>
    </row>
    <row r="14" spans="1:15" ht="33" customHeight="1" x14ac:dyDescent="0.25">
      <c r="A14" s="1" t="s">
        <v>507</v>
      </c>
      <c r="B14" s="1" t="s">
        <v>508</v>
      </c>
      <c r="C14" s="1" t="s">
        <v>509</v>
      </c>
      <c r="D14" s="1" t="s">
        <v>37</v>
      </c>
      <c r="E14" s="1" t="s">
        <v>90</v>
      </c>
      <c r="F14" s="1" t="s">
        <v>39</v>
      </c>
      <c r="G14" s="1" t="s">
        <v>43</v>
      </c>
      <c r="H14" s="2"/>
      <c r="I14" s="2" t="s">
        <v>47</v>
      </c>
      <c r="J14" s="29" t="s">
        <v>59</v>
      </c>
      <c r="K14" s="29" t="s">
        <v>60</v>
      </c>
      <c r="L14" s="29" t="s">
        <v>61</v>
      </c>
      <c r="M14" s="29" t="s">
        <v>7</v>
      </c>
      <c r="N14" s="51">
        <v>6169000</v>
      </c>
      <c r="O14" s="29" t="s">
        <v>23</v>
      </c>
    </row>
    <row r="15" spans="1:15" ht="33" customHeight="1" x14ac:dyDescent="0.25">
      <c r="A15" s="1" t="s">
        <v>510</v>
      </c>
      <c r="B15" s="1" t="s">
        <v>511</v>
      </c>
      <c r="C15" s="1" t="s">
        <v>512</v>
      </c>
      <c r="D15" s="1" t="s">
        <v>37</v>
      </c>
      <c r="E15" s="1" t="s">
        <v>90</v>
      </c>
      <c r="F15" s="1" t="s">
        <v>519</v>
      </c>
      <c r="G15" s="1" t="s">
        <v>43</v>
      </c>
      <c r="H15" s="2"/>
      <c r="I15" s="2" t="s">
        <v>47</v>
      </c>
      <c r="J15" s="29" t="s">
        <v>59</v>
      </c>
      <c r="K15" s="29" t="s">
        <v>60</v>
      </c>
      <c r="L15" s="29" t="s">
        <v>61</v>
      </c>
      <c r="M15" s="29" t="s">
        <v>7</v>
      </c>
      <c r="N15" s="51">
        <v>6169000</v>
      </c>
      <c r="O15" s="29" t="s">
        <v>23</v>
      </c>
    </row>
    <row r="16" spans="1:15" ht="33" customHeight="1" x14ac:dyDescent="0.25">
      <c r="A16" s="1" t="s">
        <v>513</v>
      </c>
      <c r="B16" s="1" t="s">
        <v>514</v>
      </c>
      <c r="C16" s="1" t="s">
        <v>515</v>
      </c>
      <c r="D16" s="1" t="s">
        <v>37</v>
      </c>
      <c r="E16" s="1" t="s">
        <v>41</v>
      </c>
      <c r="F16" s="1" t="s">
        <v>76</v>
      </c>
      <c r="G16" s="1" t="s">
        <v>6</v>
      </c>
      <c r="H16" s="2"/>
      <c r="I16" s="2" t="s">
        <v>47</v>
      </c>
      <c r="J16" s="29" t="s">
        <v>59</v>
      </c>
      <c r="K16" s="29" t="s">
        <v>60</v>
      </c>
      <c r="L16" s="29" t="s">
        <v>61</v>
      </c>
      <c r="M16" s="29" t="s">
        <v>7</v>
      </c>
      <c r="N16" s="51">
        <v>6169000</v>
      </c>
      <c r="O16" s="29" t="s">
        <v>23</v>
      </c>
    </row>
    <row r="17" spans="1:15" ht="33" customHeight="1" x14ac:dyDescent="0.25">
      <c r="A17" s="1" t="s">
        <v>516</v>
      </c>
      <c r="B17" s="1" t="s">
        <v>517</v>
      </c>
      <c r="C17" s="1" t="s">
        <v>518</v>
      </c>
      <c r="D17" s="1" t="s">
        <v>37</v>
      </c>
      <c r="E17" s="1" t="s">
        <v>90</v>
      </c>
      <c r="F17" s="1" t="s">
        <v>39</v>
      </c>
      <c r="G17" s="1" t="s">
        <v>43</v>
      </c>
      <c r="H17" s="2"/>
      <c r="I17" s="2" t="s">
        <v>47</v>
      </c>
      <c r="J17" s="29" t="s">
        <v>59</v>
      </c>
      <c r="K17" s="29" t="s">
        <v>60</v>
      </c>
      <c r="L17" s="29" t="s">
        <v>61</v>
      </c>
      <c r="M17" s="29" t="s">
        <v>7</v>
      </c>
      <c r="N17" s="51">
        <v>6169000</v>
      </c>
      <c r="O17" s="29" t="s">
        <v>23</v>
      </c>
    </row>
    <row r="18" spans="1:15" ht="42.75" customHeight="1" x14ac:dyDescent="0.25">
      <c r="M18" s="59" t="s">
        <v>118</v>
      </c>
      <c r="N18" s="60">
        <f>SUM(N3:N17)</f>
        <v>66315000</v>
      </c>
    </row>
  </sheetData>
  <autoFilter ref="A2:O17" xr:uid="{DC93C727-5DD1-4A62-B115-6C869754F8E1}"/>
  <mergeCells count="1">
    <mergeCell ref="A1:O1"/>
  </mergeCells>
  <conditionalFormatting sqref="A2">
    <cfRule type="duplicateValues" dxfId="37" priority="3"/>
  </conditionalFormatting>
  <conditionalFormatting sqref="B2">
    <cfRule type="duplicateValues" dxfId="36" priority="2"/>
  </conditionalFormatting>
  <conditionalFormatting sqref="A3:A4">
    <cfRule type="duplicateValues" dxfId="35" priority="4"/>
  </conditionalFormatting>
  <conditionalFormatting sqref="B3:B4">
    <cfRule type="duplicateValues" dxfId="34" priority="5"/>
  </conditionalFormatting>
  <conditionalFormatting sqref="A3:A4">
    <cfRule type="duplicateValues" dxfId="33" priority="1"/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E0F33-6DF7-43D5-8BFE-29D45881D7CB}">
  <dimension ref="A1:O6"/>
  <sheetViews>
    <sheetView workbookViewId="0">
      <selection activeCell="H9" sqref="H9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5" width="16.140625" customWidth="1"/>
    <col min="6" max="6" width="12.5703125" customWidth="1"/>
    <col min="7" max="9" width="21.42578125" customWidth="1"/>
    <col min="10" max="10" width="17.7109375" customWidth="1"/>
    <col min="11" max="11" width="16.140625" customWidth="1"/>
    <col min="12" max="12" width="16" customWidth="1"/>
    <col min="13" max="14" width="16.7109375" customWidth="1"/>
    <col min="15" max="15" width="11.85546875" customWidth="1"/>
  </cols>
  <sheetData>
    <row r="1" spans="1:15" ht="35.1" customHeight="1" x14ac:dyDescent="0.3">
      <c r="A1" s="18" t="s">
        <v>529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520</v>
      </c>
      <c r="B3" s="1" t="s">
        <v>521</v>
      </c>
      <c r="C3" s="1" t="s">
        <v>522</v>
      </c>
      <c r="D3" s="1" t="s">
        <v>37</v>
      </c>
      <c r="E3" s="1" t="s">
        <v>41</v>
      </c>
      <c r="F3" s="1" t="s">
        <v>39</v>
      </c>
      <c r="G3" s="1" t="s">
        <v>44</v>
      </c>
      <c r="H3" s="2" t="s">
        <v>45</v>
      </c>
      <c r="I3" s="2" t="s">
        <v>47</v>
      </c>
      <c r="J3" s="29" t="s">
        <v>59</v>
      </c>
      <c r="K3" s="29" t="s">
        <v>60</v>
      </c>
      <c r="L3" s="29" t="s">
        <v>61</v>
      </c>
      <c r="M3" s="29" t="s">
        <v>7</v>
      </c>
      <c r="N3" s="51">
        <v>6169000</v>
      </c>
      <c r="O3" s="29" t="s">
        <v>23</v>
      </c>
    </row>
    <row r="4" spans="1:15" ht="33" customHeight="1" x14ac:dyDescent="0.25">
      <c r="A4" s="1" t="s">
        <v>523</v>
      </c>
      <c r="B4" s="1" t="s">
        <v>524</v>
      </c>
      <c r="C4" s="1" t="s">
        <v>525</v>
      </c>
      <c r="D4" s="1" t="s">
        <v>117</v>
      </c>
      <c r="E4" s="1" t="s">
        <v>10</v>
      </c>
      <c r="F4" s="1" t="s">
        <v>7</v>
      </c>
      <c r="G4" s="1" t="s">
        <v>6</v>
      </c>
      <c r="H4" s="2" t="s">
        <v>45</v>
      </c>
      <c r="I4" s="56" t="s">
        <v>188</v>
      </c>
      <c r="J4" s="29"/>
      <c r="K4" s="29"/>
      <c r="L4" s="29" t="s">
        <v>61</v>
      </c>
      <c r="M4" s="29"/>
      <c r="N4" s="47">
        <v>1799000</v>
      </c>
      <c r="O4" s="29" t="s">
        <v>23</v>
      </c>
    </row>
    <row r="5" spans="1:15" ht="33" customHeight="1" x14ac:dyDescent="0.25">
      <c r="A5" s="1" t="s">
        <v>526</v>
      </c>
      <c r="B5" s="1" t="s">
        <v>527</v>
      </c>
      <c r="C5" s="1" t="s">
        <v>528</v>
      </c>
      <c r="D5" s="1" t="s">
        <v>37</v>
      </c>
      <c r="E5" s="1" t="s">
        <v>75</v>
      </c>
      <c r="F5" s="1" t="s">
        <v>89</v>
      </c>
      <c r="G5" s="1" t="s">
        <v>43</v>
      </c>
      <c r="H5" s="2" t="s">
        <v>78</v>
      </c>
      <c r="I5" s="2" t="s">
        <v>47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9" t="s">
        <v>23</v>
      </c>
    </row>
    <row r="6" spans="1:15" ht="42.75" customHeight="1" x14ac:dyDescent="0.25">
      <c r="M6" s="59" t="s">
        <v>118</v>
      </c>
      <c r="N6" s="60">
        <f>SUM(N3:N5)</f>
        <v>14137000</v>
      </c>
    </row>
  </sheetData>
  <autoFilter ref="A2:O5" xr:uid="{DC93C727-5DD1-4A62-B115-6C869754F8E1}"/>
  <mergeCells count="1">
    <mergeCell ref="A1:O1"/>
  </mergeCells>
  <conditionalFormatting sqref="A2">
    <cfRule type="duplicateValues" dxfId="32" priority="3"/>
  </conditionalFormatting>
  <conditionalFormatting sqref="B2">
    <cfRule type="duplicateValues" dxfId="31" priority="2"/>
  </conditionalFormatting>
  <conditionalFormatting sqref="A3:A4">
    <cfRule type="duplicateValues" dxfId="30" priority="4"/>
  </conditionalFormatting>
  <conditionalFormatting sqref="B3:B4">
    <cfRule type="duplicateValues" dxfId="29" priority="5"/>
  </conditionalFormatting>
  <conditionalFormatting sqref="A3:A4">
    <cfRule type="duplicateValues" dxfId="28" priority="1"/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BF2FB-4483-4E90-8B27-B0C90A2271C0}">
  <dimension ref="A1:O25"/>
  <sheetViews>
    <sheetView topLeftCell="A13" workbookViewId="0">
      <selection activeCell="J20" sqref="J20:O20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5.140625" customWidth="1"/>
    <col min="15" max="15" width="11.85546875" customWidth="1"/>
  </cols>
  <sheetData>
    <row r="1" spans="1:15" ht="35.1" customHeight="1" x14ac:dyDescent="0.3">
      <c r="A1" s="18" t="s">
        <v>597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530</v>
      </c>
      <c r="B3" s="1" t="s">
        <v>531</v>
      </c>
      <c r="C3" s="1" t="s">
        <v>532</v>
      </c>
      <c r="D3" s="1" t="s">
        <v>117</v>
      </c>
      <c r="E3" s="1" t="s">
        <v>10</v>
      </c>
      <c r="F3" s="1" t="s">
        <v>7</v>
      </c>
      <c r="G3" s="1" t="s">
        <v>43</v>
      </c>
      <c r="H3" s="2" t="s">
        <v>45</v>
      </c>
      <c r="I3" s="56" t="s">
        <v>188</v>
      </c>
      <c r="J3" s="29"/>
      <c r="K3" s="29"/>
      <c r="L3" s="29" t="s">
        <v>61</v>
      </c>
      <c r="M3" s="29"/>
      <c r="N3" s="47">
        <v>1799000</v>
      </c>
      <c r="O3" s="29"/>
    </row>
    <row r="4" spans="1:15" ht="33" customHeight="1" x14ac:dyDescent="0.25">
      <c r="A4" s="1" t="s">
        <v>533</v>
      </c>
      <c r="B4" s="1" t="s">
        <v>534</v>
      </c>
      <c r="C4" s="1" t="s">
        <v>535</v>
      </c>
      <c r="D4" s="1" t="s">
        <v>117</v>
      </c>
      <c r="E4" s="1" t="s">
        <v>10</v>
      </c>
      <c r="F4" s="1" t="s">
        <v>7</v>
      </c>
      <c r="G4" s="1" t="s">
        <v>6</v>
      </c>
      <c r="H4" s="2" t="s">
        <v>45</v>
      </c>
      <c r="I4" s="56" t="s">
        <v>598</v>
      </c>
      <c r="J4" s="29"/>
      <c r="K4" s="29"/>
      <c r="L4" s="29" t="s">
        <v>61</v>
      </c>
      <c r="M4" s="29"/>
      <c r="N4" s="47">
        <v>1799000</v>
      </c>
      <c r="O4" s="29"/>
    </row>
    <row r="5" spans="1:15" ht="33" customHeight="1" x14ac:dyDescent="0.25">
      <c r="A5" s="1" t="s">
        <v>536</v>
      </c>
      <c r="B5" s="1" t="s">
        <v>537</v>
      </c>
      <c r="C5" s="1" t="s">
        <v>538</v>
      </c>
      <c r="D5" s="1" t="s">
        <v>117</v>
      </c>
      <c r="E5" s="1" t="s">
        <v>10</v>
      </c>
      <c r="F5" s="1" t="s">
        <v>7</v>
      </c>
      <c r="G5" s="1" t="s">
        <v>6</v>
      </c>
      <c r="H5" s="2" t="s">
        <v>45</v>
      </c>
      <c r="I5" s="56" t="s">
        <v>188</v>
      </c>
      <c r="J5" s="29"/>
      <c r="K5" s="29"/>
      <c r="L5" s="29" t="s">
        <v>61</v>
      </c>
      <c r="M5" s="29"/>
      <c r="N5" s="47">
        <v>1799000</v>
      </c>
      <c r="O5" s="29"/>
    </row>
    <row r="6" spans="1:15" ht="33" customHeight="1" x14ac:dyDescent="0.25">
      <c r="A6" s="1" t="s">
        <v>539</v>
      </c>
      <c r="B6" s="1" t="s">
        <v>540</v>
      </c>
      <c r="C6" s="1" t="s">
        <v>541</v>
      </c>
      <c r="D6" s="1" t="s">
        <v>37</v>
      </c>
      <c r="E6" s="1" t="s">
        <v>551</v>
      </c>
      <c r="F6" s="1" t="s">
        <v>89</v>
      </c>
      <c r="G6" s="1" t="s">
        <v>43</v>
      </c>
      <c r="H6" s="2" t="s">
        <v>45</v>
      </c>
      <c r="I6" s="2" t="s">
        <v>47</v>
      </c>
      <c r="J6" s="29" t="s">
        <v>59</v>
      </c>
      <c r="K6" s="29" t="s">
        <v>60</v>
      </c>
      <c r="L6" s="29" t="s">
        <v>61</v>
      </c>
      <c r="M6" s="29" t="s">
        <v>7</v>
      </c>
      <c r="N6" s="51">
        <v>6169000</v>
      </c>
      <c r="O6" s="29" t="s">
        <v>23</v>
      </c>
    </row>
    <row r="7" spans="1:15" ht="33" customHeight="1" x14ac:dyDescent="0.25">
      <c r="A7" s="1" t="s">
        <v>542</v>
      </c>
      <c r="B7" s="1" t="s">
        <v>543</v>
      </c>
      <c r="C7" s="1" t="s">
        <v>544</v>
      </c>
      <c r="D7" s="1" t="s">
        <v>117</v>
      </c>
      <c r="E7" s="1" t="s">
        <v>10</v>
      </c>
      <c r="F7" s="1" t="s">
        <v>7</v>
      </c>
      <c r="G7" s="1" t="s">
        <v>6</v>
      </c>
      <c r="H7" s="2" t="s">
        <v>45</v>
      </c>
      <c r="I7" s="56" t="s">
        <v>598</v>
      </c>
      <c r="J7" s="29"/>
      <c r="K7" s="29"/>
      <c r="L7" s="29" t="s">
        <v>61</v>
      </c>
      <c r="M7" s="29"/>
      <c r="N7" s="47">
        <v>1799000</v>
      </c>
      <c r="O7" s="29"/>
    </row>
    <row r="8" spans="1:15" ht="33" customHeight="1" x14ac:dyDescent="0.25">
      <c r="A8" s="1" t="s">
        <v>545</v>
      </c>
      <c r="B8" s="1" t="s">
        <v>546</v>
      </c>
      <c r="C8" s="1" t="s">
        <v>547</v>
      </c>
      <c r="D8" s="1" t="s">
        <v>37</v>
      </c>
      <c r="E8" s="1" t="s">
        <v>41</v>
      </c>
      <c r="F8" s="1" t="s">
        <v>89</v>
      </c>
      <c r="G8" s="1" t="s">
        <v>6</v>
      </c>
      <c r="H8" s="2" t="s">
        <v>78</v>
      </c>
      <c r="I8" s="2" t="s">
        <v>47</v>
      </c>
      <c r="J8" s="29" t="s">
        <v>59</v>
      </c>
      <c r="K8" s="29" t="s">
        <v>60</v>
      </c>
      <c r="L8" s="29" t="s">
        <v>61</v>
      </c>
      <c r="M8" s="29" t="s">
        <v>7</v>
      </c>
      <c r="N8" s="51">
        <v>6169000</v>
      </c>
      <c r="O8" s="29" t="s">
        <v>23</v>
      </c>
    </row>
    <row r="9" spans="1:15" ht="33" customHeight="1" x14ac:dyDescent="0.25">
      <c r="A9" s="1" t="s">
        <v>548</v>
      </c>
      <c r="B9" s="1" t="s">
        <v>549</v>
      </c>
      <c r="C9" s="1" t="s">
        <v>550</v>
      </c>
      <c r="D9" s="1" t="s">
        <v>117</v>
      </c>
      <c r="E9" s="1" t="s">
        <v>10</v>
      </c>
      <c r="F9" s="1" t="s">
        <v>7</v>
      </c>
      <c r="G9" s="1" t="s">
        <v>6</v>
      </c>
      <c r="H9" s="2" t="s">
        <v>45</v>
      </c>
      <c r="I9" s="56" t="s">
        <v>188</v>
      </c>
      <c r="J9" s="29" t="s">
        <v>59</v>
      </c>
      <c r="K9" s="29" t="s">
        <v>60</v>
      </c>
      <c r="L9" s="29" t="s">
        <v>61</v>
      </c>
      <c r="M9" s="29" t="s">
        <v>7</v>
      </c>
      <c r="N9" s="51">
        <v>6169000</v>
      </c>
      <c r="O9" s="29" t="s">
        <v>23</v>
      </c>
    </row>
    <row r="10" spans="1:15" ht="33" customHeight="1" x14ac:dyDescent="0.25">
      <c r="A10" s="1" t="s">
        <v>552</v>
      </c>
      <c r="B10" s="1" t="s">
        <v>553</v>
      </c>
      <c r="C10" s="1" t="s">
        <v>554</v>
      </c>
      <c r="D10" s="1" t="s">
        <v>117</v>
      </c>
      <c r="E10" s="1" t="s">
        <v>10</v>
      </c>
      <c r="F10" s="1" t="s">
        <v>7</v>
      </c>
      <c r="G10" s="1" t="s">
        <v>43</v>
      </c>
      <c r="H10" s="2" t="s">
        <v>45</v>
      </c>
      <c r="I10" s="56" t="s">
        <v>188</v>
      </c>
      <c r="J10" s="1"/>
      <c r="K10" s="1"/>
      <c r="L10" s="29" t="s">
        <v>61</v>
      </c>
      <c r="M10" s="59"/>
      <c r="N10" s="47">
        <v>1799000</v>
      </c>
      <c r="O10" s="1"/>
    </row>
    <row r="11" spans="1:15" ht="33" customHeight="1" x14ac:dyDescent="0.25">
      <c r="A11" s="1" t="s">
        <v>555</v>
      </c>
      <c r="B11" s="1" t="s">
        <v>556</v>
      </c>
      <c r="C11" s="1" t="s">
        <v>557</v>
      </c>
      <c r="D11" s="1" t="s">
        <v>117</v>
      </c>
      <c r="E11" s="1" t="s">
        <v>10</v>
      </c>
      <c r="F11" s="1" t="s">
        <v>7</v>
      </c>
      <c r="G11" s="1" t="s">
        <v>6</v>
      </c>
      <c r="H11" s="2" t="s">
        <v>45</v>
      </c>
      <c r="I11" s="56" t="s">
        <v>188</v>
      </c>
      <c r="J11" s="1"/>
      <c r="K11" s="1"/>
      <c r="L11" s="29" t="s">
        <v>61</v>
      </c>
      <c r="M11" s="1"/>
      <c r="N11" s="47">
        <v>1799000</v>
      </c>
      <c r="O11" s="1"/>
    </row>
    <row r="12" spans="1:15" ht="33" customHeight="1" x14ac:dyDescent="0.25">
      <c r="A12" s="1" t="s">
        <v>558</v>
      </c>
      <c r="B12" s="1" t="s">
        <v>559</v>
      </c>
      <c r="C12" s="1" t="s">
        <v>560</v>
      </c>
      <c r="D12" s="1" t="s">
        <v>117</v>
      </c>
      <c r="E12" s="1" t="s">
        <v>10</v>
      </c>
      <c r="F12" s="1" t="s">
        <v>7</v>
      </c>
      <c r="G12" s="1" t="s">
        <v>6</v>
      </c>
      <c r="H12" s="2" t="s">
        <v>45</v>
      </c>
      <c r="I12" s="56" t="s">
        <v>598</v>
      </c>
      <c r="J12" s="1"/>
      <c r="K12" s="1"/>
      <c r="L12" s="29" t="s">
        <v>61</v>
      </c>
      <c r="M12" s="1"/>
      <c r="N12" s="47">
        <v>1799000</v>
      </c>
      <c r="O12" s="1"/>
    </row>
    <row r="13" spans="1:15" ht="33" customHeight="1" x14ac:dyDescent="0.25">
      <c r="A13" s="1" t="s">
        <v>561</v>
      </c>
      <c r="B13" s="1" t="s">
        <v>562</v>
      </c>
      <c r="C13" s="1" t="s">
        <v>563</v>
      </c>
      <c r="D13" s="1" t="s">
        <v>117</v>
      </c>
      <c r="E13" s="1" t="s">
        <v>10</v>
      </c>
      <c r="F13" s="1" t="s">
        <v>7</v>
      </c>
      <c r="G13" s="1" t="s">
        <v>6</v>
      </c>
      <c r="H13" s="2" t="s">
        <v>45</v>
      </c>
      <c r="I13" s="56" t="s">
        <v>598</v>
      </c>
      <c r="J13" s="1"/>
      <c r="K13" s="1"/>
      <c r="L13" s="29" t="s">
        <v>61</v>
      </c>
      <c r="M13" s="1"/>
      <c r="N13" s="47">
        <v>1799000</v>
      </c>
      <c r="O13" s="1"/>
    </row>
    <row r="14" spans="1:15" ht="33" customHeight="1" x14ac:dyDescent="0.25">
      <c r="A14" s="1" t="s">
        <v>564</v>
      </c>
      <c r="B14" s="1" t="s">
        <v>565</v>
      </c>
      <c r="C14" s="1" t="s">
        <v>566</v>
      </c>
      <c r="D14" s="1" t="s">
        <v>117</v>
      </c>
      <c r="E14" s="1" t="s">
        <v>10</v>
      </c>
      <c r="F14" s="1" t="s">
        <v>7</v>
      </c>
      <c r="G14" s="1" t="s">
        <v>43</v>
      </c>
      <c r="H14" s="2" t="s">
        <v>45</v>
      </c>
      <c r="I14" s="56" t="s">
        <v>188</v>
      </c>
      <c r="J14" s="1"/>
      <c r="K14" s="1"/>
      <c r="L14" s="29" t="s">
        <v>61</v>
      </c>
      <c r="M14" s="1"/>
      <c r="N14" s="47">
        <v>1799000</v>
      </c>
      <c r="O14" s="1"/>
    </row>
    <row r="15" spans="1:15" ht="33" customHeight="1" x14ac:dyDescent="0.25">
      <c r="A15" s="1" t="s">
        <v>567</v>
      </c>
      <c r="B15" s="1" t="s">
        <v>568</v>
      </c>
      <c r="C15" s="1" t="s">
        <v>569</v>
      </c>
      <c r="D15" s="1" t="s">
        <v>100</v>
      </c>
      <c r="E15" s="1" t="s">
        <v>101</v>
      </c>
      <c r="F15" s="1" t="s">
        <v>7</v>
      </c>
      <c r="G15" s="1" t="s">
        <v>43</v>
      </c>
      <c r="H15" s="2" t="s">
        <v>45</v>
      </c>
      <c r="I15" s="56" t="s">
        <v>189</v>
      </c>
      <c r="J15" s="1"/>
      <c r="K15" s="1"/>
      <c r="L15" s="29" t="s">
        <v>61</v>
      </c>
      <c r="M15" s="1"/>
      <c r="N15" s="47">
        <v>1799000</v>
      </c>
      <c r="O15" s="1"/>
    </row>
    <row r="16" spans="1:15" ht="33" customHeight="1" x14ac:dyDescent="0.25">
      <c r="A16" s="1" t="s">
        <v>570</v>
      </c>
      <c r="B16" s="1" t="s">
        <v>571</v>
      </c>
      <c r="C16" s="1" t="s">
        <v>544</v>
      </c>
      <c r="D16" s="1" t="s">
        <v>117</v>
      </c>
      <c r="E16" s="1" t="s">
        <v>10</v>
      </c>
      <c r="F16" s="1" t="s">
        <v>7</v>
      </c>
      <c r="G16" s="1" t="s">
        <v>6</v>
      </c>
      <c r="H16" s="2" t="s">
        <v>45</v>
      </c>
      <c r="I16" s="56" t="s">
        <v>188</v>
      </c>
      <c r="J16" s="1"/>
      <c r="K16" s="1"/>
      <c r="L16" s="29" t="s">
        <v>61</v>
      </c>
      <c r="M16" s="1"/>
      <c r="N16" s="47">
        <v>1799000</v>
      </c>
      <c r="O16" s="1"/>
    </row>
    <row r="17" spans="1:15" ht="33" customHeight="1" x14ac:dyDescent="0.25">
      <c r="A17" s="1" t="s">
        <v>572</v>
      </c>
      <c r="B17" s="1" t="s">
        <v>573</v>
      </c>
      <c r="C17" s="1" t="s">
        <v>574</v>
      </c>
      <c r="D17" s="1" t="s">
        <v>117</v>
      </c>
      <c r="E17" s="1" t="s">
        <v>9</v>
      </c>
      <c r="F17" s="1" t="s">
        <v>7</v>
      </c>
      <c r="G17" s="1" t="s">
        <v>43</v>
      </c>
      <c r="H17" s="2" t="s">
        <v>45</v>
      </c>
      <c r="I17" s="56" t="s">
        <v>188</v>
      </c>
      <c r="J17" s="1"/>
      <c r="K17" s="1"/>
      <c r="L17" s="29" t="s">
        <v>61</v>
      </c>
      <c r="M17" s="1"/>
      <c r="N17" s="47">
        <v>1799000</v>
      </c>
      <c r="O17" s="1"/>
    </row>
    <row r="18" spans="1:15" ht="33" customHeight="1" x14ac:dyDescent="0.25">
      <c r="A18" s="1" t="s">
        <v>575</v>
      </c>
      <c r="B18" s="1" t="s">
        <v>576</v>
      </c>
      <c r="C18" s="1" t="s">
        <v>577</v>
      </c>
      <c r="D18" s="1" t="s">
        <v>186</v>
      </c>
      <c r="E18" s="1" t="s">
        <v>352</v>
      </c>
      <c r="F18" s="1" t="s">
        <v>89</v>
      </c>
      <c r="G18" s="1" t="s">
        <v>43</v>
      </c>
      <c r="H18" s="2" t="s">
        <v>45</v>
      </c>
      <c r="I18" s="56" t="s">
        <v>472</v>
      </c>
      <c r="J18" s="1"/>
      <c r="K18" s="1"/>
      <c r="L18" s="29" t="s">
        <v>61</v>
      </c>
      <c r="M18" s="1"/>
      <c r="N18" s="47">
        <v>1799000</v>
      </c>
      <c r="O18" s="1"/>
    </row>
    <row r="19" spans="1:15" ht="33" customHeight="1" x14ac:dyDescent="0.25">
      <c r="A19" s="1" t="s">
        <v>578</v>
      </c>
      <c r="B19" s="1" t="s">
        <v>579</v>
      </c>
      <c r="C19" s="1" t="s">
        <v>580</v>
      </c>
      <c r="D19" s="1" t="s">
        <v>117</v>
      </c>
      <c r="E19" s="1" t="s">
        <v>10</v>
      </c>
      <c r="F19" s="1" t="s">
        <v>7</v>
      </c>
      <c r="G19" s="1" t="s">
        <v>6</v>
      </c>
      <c r="H19" s="2" t="s">
        <v>45</v>
      </c>
      <c r="I19" s="56" t="s">
        <v>188</v>
      </c>
      <c r="J19" s="1"/>
      <c r="K19" s="1"/>
      <c r="L19" s="29" t="s">
        <v>61</v>
      </c>
      <c r="M19" s="1"/>
      <c r="N19" s="47">
        <v>1799000</v>
      </c>
      <c r="O19" s="1"/>
    </row>
    <row r="20" spans="1:15" ht="33" customHeight="1" x14ac:dyDescent="0.25">
      <c r="A20" s="1" t="s">
        <v>581</v>
      </c>
      <c r="B20" s="1" t="s">
        <v>582</v>
      </c>
      <c r="C20" s="1" t="s">
        <v>583</v>
      </c>
      <c r="D20" s="1" t="s">
        <v>37</v>
      </c>
      <c r="E20" s="1" t="s">
        <v>41</v>
      </c>
      <c r="F20" s="1" t="s">
        <v>42</v>
      </c>
      <c r="G20" s="1" t="s">
        <v>43</v>
      </c>
      <c r="H20" s="2" t="s">
        <v>45</v>
      </c>
      <c r="I20" s="2" t="s">
        <v>47</v>
      </c>
      <c r="J20" s="29" t="s">
        <v>59</v>
      </c>
      <c r="K20" s="29" t="s">
        <v>60</v>
      </c>
      <c r="L20" s="29" t="s">
        <v>61</v>
      </c>
      <c r="M20" s="29" t="s">
        <v>7</v>
      </c>
      <c r="N20" s="51">
        <v>6169000</v>
      </c>
      <c r="O20" s="29" t="s">
        <v>23</v>
      </c>
    </row>
    <row r="21" spans="1:15" ht="33" customHeight="1" x14ac:dyDescent="0.25">
      <c r="A21" s="1" t="s">
        <v>584</v>
      </c>
      <c r="B21" s="1" t="s">
        <v>585</v>
      </c>
      <c r="C21" s="1" t="s">
        <v>586</v>
      </c>
      <c r="D21" s="1" t="s">
        <v>37</v>
      </c>
      <c r="E21" s="1" t="s">
        <v>41</v>
      </c>
      <c r="F21" s="1" t="s">
        <v>39</v>
      </c>
      <c r="G21" s="1" t="s">
        <v>43</v>
      </c>
      <c r="H21" s="2" t="s">
        <v>45</v>
      </c>
      <c r="I21" s="2" t="s">
        <v>47</v>
      </c>
      <c r="J21" s="29" t="s">
        <v>59</v>
      </c>
      <c r="K21" s="29" t="s">
        <v>60</v>
      </c>
      <c r="L21" s="29" t="s">
        <v>61</v>
      </c>
      <c r="M21" s="29" t="s">
        <v>7</v>
      </c>
      <c r="N21" s="51">
        <v>6169000</v>
      </c>
      <c r="O21" s="29" t="s">
        <v>23</v>
      </c>
    </row>
    <row r="22" spans="1:15" ht="33" customHeight="1" x14ac:dyDescent="0.25">
      <c r="A22" s="1" t="s">
        <v>587</v>
      </c>
      <c r="B22" s="1" t="s">
        <v>588</v>
      </c>
      <c r="C22" s="1" t="s">
        <v>589</v>
      </c>
      <c r="D22" s="1" t="s">
        <v>37</v>
      </c>
      <c r="E22" s="1" t="s">
        <v>596</v>
      </c>
      <c r="F22" s="1" t="s">
        <v>42</v>
      </c>
      <c r="G22" s="1" t="s">
        <v>6</v>
      </c>
      <c r="H22" s="2" t="s">
        <v>45</v>
      </c>
      <c r="I22" s="2" t="s">
        <v>47</v>
      </c>
      <c r="J22" s="29" t="s">
        <v>59</v>
      </c>
      <c r="K22" s="29" t="s">
        <v>60</v>
      </c>
      <c r="L22" s="29" t="s">
        <v>61</v>
      </c>
      <c r="M22" s="29" t="s">
        <v>7</v>
      </c>
      <c r="N22" s="51">
        <v>6169000</v>
      </c>
      <c r="O22" s="29" t="s">
        <v>23</v>
      </c>
    </row>
    <row r="23" spans="1:15" ht="33" customHeight="1" x14ac:dyDescent="0.25">
      <c r="A23" s="1" t="s">
        <v>590</v>
      </c>
      <c r="B23" s="1" t="s">
        <v>591</v>
      </c>
      <c r="C23" s="1" t="s">
        <v>592</v>
      </c>
      <c r="D23" s="1" t="s">
        <v>117</v>
      </c>
      <c r="E23" s="1" t="s">
        <v>10</v>
      </c>
      <c r="F23" s="1" t="s">
        <v>7</v>
      </c>
      <c r="G23" s="1" t="s">
        <v>6</v>
      </c>
      <c r="H23" s="2" t="s">
        <v>45</v>
      </c>
      <c r="I23" s="56" t="s">
        <v>598</v>
      </c>
      <c r="J23" s="1"/>
      <c r="K23" s="1"/>
      <c r="L23" s="29" t="s">
        <v>61</v>
      </c>
      <c r="M23" s="1"/>
      <c r="N23" s="47">
        <v>1799000</v>
      </c>
      <c r="O23" s="1"/>
    </row>
    <row r="24" spans="1:15" ht="33" customHeight="1" x14ac:dyDescent="0.25">
      <c r="A24" s="1" t="s">
        <v>593</v>
      </c>
      <c r="B24" s="1" t="s">
        <v>594</v>
      </c>
      <c r="C24" s="1" t="s">
        <v>595</v>
      </c>
      <c r="D24" s="1" t="s">
        <v>117</v>
      </c>
      <c r="E24" s="1" t="s">
        <v>10</v>
      </c>
      <c r="F24" s="1" t="s">
        <v>7</v>
      </c>
      <c r="G24" s="1" t="s">
        <v>6</v>
      </c>
      <c r="H24" s="2" t="s">
        <v>45</v>
      </c>
      <c r="I24" s="2" t="s">
        <v>47</v>
      </c>
      <c r="J24" s="1"/>
      <c r="K24" s="1"/>
      <c r="L24" s="29" t="s">
        <v>61</v>
      </c>
      <c r="M24" s="1"/>
      <c r="N24" s="47">
        <v>1799000</v>
      </c>
      <c r="O24" s="1"/>
    </row>
    <row r="25" spans="1:15" ht="39" customHeight="1" x14ac:dyDescent="0.25">
      <c r="M25" s="53" t="s">
        <v>118</v>
      </c>
      <c r="N25" s="46">
        <f>SUM(N3:N24)</f>
        <v>65798000</v>
      </c>
    </row>
  </sheetData>
  <autoFilter ref="A2:O9" xr:uid="{DC93C727-5DD1-4A62-B115-6C869754F8E1}"/>
  <mergeCells count="1">
    <mergeCell ref="A1:O1"/>
  </mergeCells>
  <conditionalFormatting sqref="A2">
    <cfRule type="duplicateValues" dxfId="27" priority="3"/>
  </conditionalFormatting>
  <conditionalFormatting sqref="B2">
    <cfRule type="duplicateValues" dxfId="26" priority="2"/>
  </conditionalFormatting>
  <conditionalFormatting sqref="A3:A4">
    <cfRule type="duplicateValues" dxfId="25" priority="4"/>
  </conditionalFormatting>
  <conditionalFormatting sqref="B3:B4">
    <cfRule type="duplicateValues" dxfId="24" priority="5"/>
  </conditionalFormatting>
  <conditionalFormatting sqref="A3:A4">
    <cfRule type="duplicateValues" dxfId="23" priority="1"/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E29F5-ECC7-49C4-B863-74470968EB48}">
  <dimension ref="A1:O10"/>
  <sheetViews>
    <sheetView workbookViewId="0">
      <selection activeCell="G13" sqref="G13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5.140625" customWidth="1"/>
    <col min="15" max="15" width="11.85546875" customWidth="1"/>
  </cols>
  <sheetData>
    <row r="1" spans="1:15" ht="35.1" customHeight="1" x14ac:dyDescent="0.3">
      <c r="A1" s="18" t="s">
        <v>619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599</v>
      </c>
      <c r="B3" s="1" t="s">
        <v>600</v>
      </c>
      <c r="C3" s="1" t="s">
        <v>601</v>
      </c>
      <c r="D3" s="1" t="s">
        <v>117</v>
      </c>
      <c r="E3" s="1" t="s">
        <v>10</v>
      </c>
      <c r="F3" s="1" t="s">
        <v>7</v>
      </c>
      <c r="G3" s="1" t="s">
        <v>6</v>
      </c>
      <c r="H3" s="24"/>
      <c r="I3" s="56" t="s">
        <v>188</v>
      </c>
      <c r="J3" s="29"/>
      <c r="K3" s="29"/>
      <c r="L3" s="29" t="s">
        <v>61</v>
      </c>
      <c r="M3" s="29"/>
      <c r="N3" s="47">
        <v>1799000</v>
      </c>
      <c r="O3" s="29"/>
    </row>
    <row r="4" spans="1:15" ht="33" customHeight="1" x14ac:dyDescent="0.25">
      <c r="A4" s="1" t="s">
        <v>602</v>
      </c>
      <c r="B4" s="1" t="s">
        <v>603</v>
      </c>
      <c r="C4" s="1" t="s">
        <v>604</v>
      </c>
      <c r="D4" s="1" t="s">
        <v>117</v>
      </c>
      <c r="E4" s="1" t="s">
        <v>10</v>
      </c>
      <c r="F4" s="1" t="s">
        <v>7</v>
      </c>
      <c r="G4" s="1" t="s">
        <v>6</v>
      </c>
      <c r="H4" s="24"/>
      <c r="I4" s="56" t="s">
        <v>598</v>
      </c>
      <c r="J4" s="29"/>
      <c r="K4" s="29"/>
      <c r="L4" s="29" t="s">
        <v>61</v>
      </c>
      <c r="M4" s="29"/>
      <c r="N4" s="47">
        <v>1799000</v>
      </c>
      <c r="O4" s="29"/>
    </row>
    <row r="5" spans="1:15" ht="33" customHeight="1" x14ac:dyDescent="0.25">
      <c r="A5" s="1" t="s">
        <v>605</v>
      </c>
      <c r="B5" s="1" t="s">
        <v>606</v>
      </c>
      <c r="C5" s="1" t="s">
        <v>607</v>
      </c>
      <c r="D5" s="1" t="s">
        <v>117</v>
      </c>
      <c r="E5" s="1" t="s">
        <v>10</v>
      </c>
      <c r="F5" s="1" t="s">
        <v>7</v>
      </c>
      <c r="G5" s="1" t="s">
        <v>43</v>
      </c>
      <c r="H5" s="24"/>
      <c r="I5" s="56" t="s">
        <v>188</v>
      </c>
      <c r="J5" s="29"/>
      <c r="K5" s="29"/>
      <c r="L5" s="29" t="s">
        <v>61</v>
      </c>
      <c r="M5" s="29"/>
      <c r="N5" s="47">
        <v>1799000</v>
      </c>
      <c r="O5" s="29"/>
    </row>
    <row r="6" spans="1:15" ht="33" customHeight="1" x14ac:dyDescent="0.25">
      <c r="A6" s="1" t="s">
        <v>608</v>
      </c>
      <c r="B6" s="1" t="s">
        <v>609</v>
      </c>
      <c r="C6" s="1" t="s">
        <v>610</v>
      </c>
      <c r="D6" s="1" t="s">
        <v>117</v>
      </c>
      <c r="E6" s="1" t="s">
        <v>10</v>
      </c>
      <c r="F6" s="1" t="s">
        <v>7</v>
      </c>
      <c r="G6" s="1" t="s">
        <v>6</v>
      </c>
      <c r="H6" s="24" t="s">
        <v>45</v>
      </c>
      <c r="I6" s="56" t="s">
        <v>188</v>
      </c>
      <c r="J6" s="29"/>
      <c r="K6" s="29"/>
      <c r="L6" s="29" t="s">
        <v>61</v>
      </c>
      <c r="M6" s="29"/>
      <c r="N6" s="47">
        <v>1799000</v>
      </c>
      <c r="O6" s="29" t="s">
        <v>23</v>
      </c>
    </row>
    <row r="7" spans="1:15" ht="33" customHeight="1" x14ac:dyDescent="0.25">
      <c r="A7" s="1" t="s">
        <v>611</v>
      </c>
      <c r="B7" s="1" t="s">
        <v>612</v>
      </c>
      <c r="C7" s="1" t="s">
        <v>613</v>
      </c>
      <c r="D7" s="1" t="s">
        <v>117</v>
      </c>
      <c r="E7" s="1" t="s">
        <v>10</v>
      </c>
      <c r="F7" s="1" t="s">
        <v>7</v>
      </c>
      <c r="G7" s="1" t="s">
        <v>6</v>
      </c>
      <c r="H7" s="24" t="s">
        <v>78</v>
      </c>
      <c r="I7" s="56" t="s">
        <v>188</v>
      </c>
      <c r="J7" s="29"/>
      <c r="K7" s="29"/>
      <c r="L7" s="29" t="s">
        <v>61</v>
      </c>
      <c r="M7" s="29"/>
      <c r="N7" s="47">
        <v>1799000</v>
      </c>
      <c r="O7" s="29" t="s">
        <v>23</v>
      </c>
    </row>
    <row r="8" spans="1:15" ht="33" customHeight="1" x14ac:dyDescent="0.25">
      <c r="A8" s="1" t="s">
        <v>614</v>
      </c>
      <c r="B8" s="1" t="s">
        <v>615</v>
      </c>
      <c r="C8" s="1" t="s">
        <v>616</v>
      </c>
      <c r="D8" s="1" t="s">
        <v>117</v>
      </c>
      <c r="E8" s="1" t="s">
        <v>10</v>
      </c>
      <c r="F8" s="1" t="s">
        <v>7</v>
      </c>
      <c r="G8" s="1" t="s">
        <v>6</v>
      </c>
      <c r="H8" s="24"/>
      <c r="I8" s="56" t="s">
        <v>188</v>
      </c>
      <c r="J8" s="29"/>
      <c r="K8" s="29"/>
      <c r="L8" s="29" t="s">
        <v>61</v>
      </c>
      <c r="M8" s="29"/>
      <c r="N8" s="47">
        <v>1799000</v>
      </c>
      <c r="O8" s="29" t="s">
        <v>23</v>
      </c>
    </row>
    <row r="9" spans="1:15" ht="33" customHeight="1" x14ac:dyDescent="0.25">
      <c r="A9" s="1" t="s">
        <v>617</v>
      </c>
      <c r="B9" s="1" t="s">
        <v>618</v>
      </c>
      <c r="C9" s="1" t="s">
        <v>616</v>
      </c>
      <c r="D9" s="1" t="s">
        <v>117</v>
      </c>
      <c r="E9" s="1" t="s">
        <v>10</v>
      </c>
      <c r="F9" s="1" t="s">
        <v>7</v>
      </c>
      <c r="G9" s="1" t="s">
        <v>6</v>
      </c>
      <c r="H9" s="24" t="s">
        <v>45</v>
      </c>
      <c r="I9" s="56" t="s">
        <v>188</v>
      </c>
      <c r="J9" s="1"/>
      <c r="K9" s="1"/>
      <c r="L9" s="29" t="s">
        <v>61</v>
      </c>
      <c r="M9" s="59"/>
      <c r="N9" s="47">
        <v>1799000</v>
      </c>
      <c r="O9" s="1"/>
    </row>
    <row r="10" spans="1:15" ht="39" customHeight="1" x14ac:dyDescent="0.25">
      <c r="M10" s="53" t="s">
        <v>118</v>
      </c>
      <c r="N10" s="46">
        <f>SUM(N3:N9)</f>
        <v>12593000</v>
      </c>
    </row>
  </sheetData>
  <autoFilter ref="A2:O8" xr:uid="{DC93C727-5DD1-4A62-B115-6C869754F8E1}"/>
  <mergeCells count="1">
    <mergeCell ref="A1:O1"/>
  </mergeCells>
  <conditionalFormatting sqref="A2">
    <cfRule type="duplicateValues" dxfId="22" priority="3"/>
  </conditionalFormatting>
  <conditionalFormatting sqref="B2">
    <cfRule type="duplicateValues" dxfId="21" priority="2"/>
  </conditionalFormatting>
  <conditionalFormatting sqref="A3:A4">
    <cfRule type="duplicateValues" dxfId="20" priority="4"/>
  </conditionalFormatting>
  <conditionalFormatting sqref="B3:B4">
    <cfRule type="duplicateValues" dxfId="19" priority="5"/>
  </conditionalFormatting>
  <conditionalFormatting sqref="A3:A4">
    <cfRule type="duplicateValues" dxfId="18" priority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25207-8E2A-443A-851D-69FDE65DE5C1}">
  <dimension ref="A1:O18"/>
  <sheetViews>
    <sheetView topLeftCell="A10" workbookViewId="0">
      <selection activeCell="M18" sqref="M18:N18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5.140625" customWidth="1"/>
    <col min="15" max="15" width="11.85546875" customWidth="1"/>
  </cols>
  <sheetData>
    <row r="1" spans="1:15" ht="35.1" customHeight="1" x14ac:dyDescent="0.3">
      <c r="A1" s="18" t="s">
        <v>668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620</v>
      </c>
      <c r="B3" s="1" t="s">
        <v>621</v>
      </c>
      <c r="C3" s="1" t="s">
        <v>622</v>
      </c>
      <c r="D3" s="1" t="s">
        <v>117</v>
      </c>
      <c r="E3" s="1" t="s">
        <v>10</v>
      </c>
      <c r="F3" s="1" t="s">
        <v>7</v>
      </c>
      <c r="G3" s="1" t="s">
        <v>6</v>
      </c>
      <c r="H3" s="24" t="s">
        <v>45</v>
      </c>
      <c r="I3" s="56" t="s">
        <v>188</v>
      </c>
      <c r="J3" s="29"/>
      <c r="K3" s="29"/>
      <c r="L3" s="29" t="s">
        <v>61</v>
      </c>
      <c r="M3" s="29"/>
      <c r="N3" s="47">
        <v>1799000</v>
      </c>
      <c r="O3" s="29"/>
    </row>
    <row r="4" spans="1:15" ht="33" customHeight="1" x14ac:dyDescent="0.25">
      <c r="A4" s="1" t="s">
        <v>623</v>
      </c>
      <c r="B4" s="1" t="s">
        <v>624</v>
      </c>
      <c r="C4" s="1" t="s">
        <v>625</v>
      </c>
      <c r="D4" s="1" t="s">
        <v>117</v>
      </c>
      <c r="E4" s="1" t="s">
        <v>10</v>
      </c>
      <c r="F4" s="1" t="s">
        <v>7</v>
      </c>
      <c r="G4" s="1" t="s">
        <v>6</v>
      </c>
      <c r="H4" s="24" t="s">
        <v>45</v>
      </c>
      <c r="I4" s="56" t="s">
        <v>598</v>
      </c>
      <c r="J4" s="29"/>
      <c r="K4" s="29"/>
      <c r="L4" s="29" t="s">
        <v>61</v>
      </c>
      <c r="M4" s="29"/>
      <c r="N4" s="47">
        <v>1799000</v>
      </c>
      <c r="O4" s="29"/>
    </row>
    <row r="5" spans="1:15" ht="33" customHeight="1" x14ac:dyDescent="0.25">
      <c r="A5" s="1" t="s">
        <v>626</v>
      </c>
      <c r="B5" s="1" t="s">
        <v>627</v>
      </c>
      <c r="C5" s="1" t="s">
        <v>628</v>
      </c>
      <c r="D5" s="1" t="s">
        <v>117</v>
      </c>
      <c r="E5" s="1" t="s">
        <v>10</v>
      </c>
      <c r="F5" s="1" t="s">
        <v>7</v>
      </c>
      <c r="G5" s="1" t="s">
        <v>6</v>
      </c>
      <c r="H5" s="24" t="s">
        <v>45</v>
      </c>
      <c r="I5" s="56" t="s">
        <v>188</v>
      </c>
      <c r="J5" s="29"/>
      <c r="K5" s="29"/>
      <c r="L5" s="29" t="s">
        <v>61</v>
      </c>
      <c r="M5" s="29"/>
      <c r="N5" s="47">
        <v>1799000</v>
      </c>
      <c r="O5" s="29"/>
    </row>
    <row r="6" spans="1:15" ht="33" customHeight="1" x14ac:dyDescent="0.25">
      <c r="A6" s="1" t="s">
        <v>629</v>
      </c>
      <c r="B6" s="1" t="s">
        <v>630</v>
      </c>
      <c r="C6" s="1" t="s">
        <v>631</v>
      </c>
      <c r="D6" s="1" t="s">
        <v>186</v>
      </c>
      <c r="E6" s="1" t="s">
        <v>10</v>
      </c>
      <c r="F6" s="1" t="s">
        <v>7</v>
      </c>
      <c r="G6" s="1" t="s">
        <v>6</v>
      </c>
      <c r="H6" s="25" t="s">
        <v>695</v>
      </c>
      <c r="I6" s="56" t="s">
        <v>188</v>
      </c>
      <c r="J6" s="29"/>
      <c r="K6" s="29"/>
      <c r="L6" s="29" t="s">
        <v>61</v>
      </c>
      <c r="M6" s="29"/>
      <c r="N6" s="47">
        <v>1799000</v>
      </c>
      <c r="O6" s="29"/>
    </row>
    <row r="7" spans="1:15" ht="33" customHeight="1" x14ac:dyDescent="0.25">
      <c r="A7" s="1" t="s">
        <v>632</v>
      </c>
      <c r="B7" s="1" t="s">
        <v>633</v>
      </c>
      <c r="C7" s="1" t="s">
        <v>634</v>
      </c>
      <c r="D7" s="1" t="s">
        <v>186</v>
      </c>
      <c r="E7" s="1" t="s">
        <v>10</v>
      </c>
      <c r="F7" s="1" t="s">
        <v>7</v>
      </c>
      <c r="G7" s="1" t="s">
        <v>6</v>
      </c>
      <c r="H7" s="24" t="s">
        <v>78</v>
      </c>
      <c r="I7" s="56" t="s">
        <v>188</v>
      </c>
      <c r="J7" s="29"/>
      <c r="K7" s="29"/>
      <c r="L7" s="29" t="s">
        <v>61</v>
      </c>
      <c r="M7" s="29"/>
      <c r="N7" s="47">
        <v>1799000</v>
      </c>
      <c r="O7" s="29"/>
    </row>
    <row r="8" spans="1:15" ht="33" customHeight="1" x14ac:dyDescent="0.25">
      <c r="A8" s="1" t="s">
        <v>635</v>
      </c>
      <c r="B8" s="1" t="s">
        <v>636</v>
      </c>
      <c r="C8" s="1" t="s">
        <v>637</v>
      </c>
      <c r="D8" s="1" t="s">
        <v>117</v>
      </c>
      <c r="E8" s="1" t="s">
        <v>10</v>
      </c>
      <c r="F8" s="1" t="s">
        <v>7</v>
      </c>
      <c r="G8" s="1" t="s">
        <v>6</v>
      </c>
      <c r="H8" s="24" t="s">
        <v>45</v>
      </c>
      <c r="I8" s="56" t="s">
        <v>188</v>
      </c>
      <c r="J8" s="29"/>
      <c r="K8" s="29"/>
      <c r="L8" s="29" t="s">
        <v>61</v>
      </c>
      <c r="M8" s="29"/>
      <c r="N8" s="47">
        <v>1799000</v>
      </c>
      <c r="O8" s="29"/>
    </row>
    <row r="9" spans="1:15" ht="33" customHeight="1" x14ac:dyDescent="0.25">
      <c r="A9" s="1" t="s">
        <v>638</v>
      </c>
      <c r="B9" s="1" t="s">
        <v>639</v>
      </c>
      <c r="C9" s="1" t="s">
        <v>640</v>
      </c>
      <c r="D9" s="1" t="s">
        <v>186</v>
      </c>
      <c r="E9" s="1" t="s">
        <v>10</v>
      </c>
      <c r="F9" s="1" t="s">
        <v>7</v>
      </c>
      <c r="G9" s="1" t="s">
        <v>6</v>
      </c>
      <c r="H9" s="24" t="s">
        <v>45</v>
      </c>
      <c r="I9" s="56" t="s">
        <v>188</v>
      </c>
      <c r="J9" s="1"/>
      <c r="K9" s="1"/>
      <c r="L9" s="29" t="s">
        <v>61</v>
      </c>
      <c r="M9" s="59"/>
      <c r="N9" s="47">
        <v>1799000</v>
      </c>
      <c r="O9" s="1"/>
    </row>
    <row r="10" spans="1:15" ht="33" customHeight="1" x14ac:dyDescent="0.25">
      <c r="A10" s="1" t="s">
        <v>641</v>
      </c>
      <c r="B10" s="1" t="s">
        <v>642</v>
      </c>
      <c r="C10" s="1" t="s">
        <v>643</v>
      </c>
      <c r="D10" s="1" t="s">
        <v>117</v>
      </c>
      <c r="E10" s="1" t="s">
        <v>10</v>
      </c>
      <c r="F10" s="1" t="s">
        <v>7</v>
      </c>
      <c r="G10" s="1" t="s">
        <v>6</v>
      </c>
      <c r="H10" s="24" t="s">
        <v>45</v>
      </c>
      <c r="I10" s="1"/>
      <c r="J10" s="1"/>
      <c r="K10" s="1"/>
      <c r="L10" s="29" t="s">
        <v>61</v>
      </c>
      <c r="M10" s="53"/>
      <c r="N10" s="47">
        <v>1799001</v>
      </c>
      <c r="O10" s="1"/>
    </row>
    <row r="11" spans="1:15" ht="33" customHeight="1" x14ac:dyDescent="0.25">
      <c r="A11" s="1" t="s">
        <v>644</v>
      </c>
      <c r="B11" s="1" t="s">
        <v>645</v>
      </c>
      <c r="C11" s="1" t="s">
        <v>646</v>
      </c>
      <c r="D11" s="1" t="s">
        <v>186</v>
      </c>
      <c r="E11" s="1" t="s">
        <v>10</v>
      </c>
      <c r="F11" s="1" t="s">
        <v>7</v>
      </c>
      <c r="G11" s="1" t="s">
        <v>6</v>
      </c>
      <c r="H11" s="24" t="s">
        <v>45</v>
      </c>
      <c r="I11" s="1"/>
      <c r="J11" s="1"/>
      <c r="K11" s="1"/>
      <c r="L11" s="29" t="s">
        <v>61</v>
      </c>
      <c r="M11" s="1"/>
      <c r="N11" s="47">
        <v>1799002</v>
      </c>
      <c r="O11" s="1"/>
    </row>
    <row r="12" spans="1:15" ht="33" customHeight="1" x14ac:dyDescent="0.25">
      <c r="A12" s="1" t="s">
        <v>647</v>
      </c>
      <c r="B12" s="1" t="s">
        <v>648</v>
      </c>
      <c r="C12" s="1" t="s">
        <v>649</v>
      </c>
      <c r="D12" s="1" t="s">
        <v>117</v>
      </c>
      <c r="E12" s="1" t="s">
        <v>10</v>
      </c>
      <c r="F12" s="1" t="s">
        <v>7</v>
      </c>
      <c r="G12" s="1" t="s">
        <v>43</v>
      </c>
      <c r="H12" s="24" t="s">
        <v>45</v>
      </c>
      <c r="I12" s="1"/>
      <c r="J12" s="1"/>
      <c r="K12" s="1"/>
      <c r="L12" s="29" t="s">
        <v>61</v>
      </c>
      <c r="M12" s="1"/>
      <c r="N12" s="47">
        <v>1799003</v>
      </c>
      <c r="O12" s="1"/>
    </row>
    <row r="13" spans="1:15" ht="33" customHeight="1" x14ac:dyDescent="0.25">
      <c r="A13" s="1" t="s">
        <v>650</v>
      </c>
      <c r="B13" s="1" t="s">
        <v>651</v>
      </c>
      <c r="C13" s="1" t="s">
        <v>652</v>
      </c>
      <c r="D13" s="1" t="s">
        <v>186</v>
      </c>
      <c r="E13" s="1" t="s">
        <v>10</v>
      </c>
      <c r="F13" s="1" t="s">
        <v>7</v>
      </c>
      <c r="G13" s="1" t="s">
        <v>6</v>
      </c>
      <c r="H13" s="24" t="s">
        <v>45</v>
      </c>
      <c r="I13" s="1"/>
      <c r="J13" s="1"/>
      <c r="K13" s="1"/>
      <c r="L13" s="29" t="s">
        <v>61</v>
      </c>
      <c r="M13" s="1"/>
      <c r="N13" s="47">
        <v>1799004</v>
      </c>
      <c r="O13" s="1"/>
    </row>
    <row r="14" spans="1:15" ht="33" customHeight="1" x14ac:dyDescent="0.25">
      <c r="A14" s="1" t="s">
        <v>653</v>
      </c>
      <c r="B14" s="1" t="s">
        <v>654</v>
      </c>
      <c r="C14" s="1" t="s">
        <v>655</v>
      </c>
      <c r="D14" s="1" t="s">
        <v>186</v>
      </c>
      <c r="E14" s="1" t="s">
        <v>10</v>
      </c>
      <c r="F14" s="1" t="s">
        <v>7</v>
      </c>
      <c r="G14" s="1" t="s">
        <v>6</v>
      </c>
      <c r="H14" s="24" t="s">
        <v>45</v>
      </c>
      <c r="I14" s="1"/>
      <c r="J14" s="1"/>
      <c r="K14" s="1"/>
      <c r="L14" s="29" t="s">
        <v>61</v>
      </c>
      <c r="M14" s="1"/>
      <c r="N14" s="47">
        <v>1799005</v>
      </c>
      <c r="O14" s="1"/>
    </row>
    <row r="15" spans="1:15" ht="33" customHeight="1" x14ac:dyDescent="0.25">
      <c r="A15" s="1" t="s">
        <v>656</v>
      </c>
      <c r="B15" s="1" t="s">
        <v>657</v>
      </c>
      <c r="C15" s="1" t="s">
        <v>658</v>
      </c>
      <c r="D15" s="1" t="s">
        <v>117</v>
      </c>
      <c r="E15" s="1" t="s">
        <v>10</v>
      </c>
      <c r="F15" s="1" t="s">
        <v>7</v>
      </c>
      <c r="G15" s="1" t="s">
        <v>43</v>
      </c>
      <c r="H15" s="24" t="s">
        <v>45</v>
      </c>
      <c r="I15" s="1"/>
      <c r="J15" s="1"/>
      <c r="K15" s="1"/>
      <c r="L15" s="29" t="s">
        <v>61</v>
      </c>
      <c r="M15" s="1"/>
      <c r="N15" s="47">
        <v>1799006</v>
      </c>
      <c r="O15" s="1"/>
    </row>
    <row r="16" spans="1:15" ht="33" customHeight="1" x14ac:dyDescent="0.25">
      <c r="A16" s="1" t="s">
        <v>659</v>
      </c>
      <c r="B16" s="1" t="s">
        <v>660</v>
      </c>
      <c r="C16" s="1" t="s">
        <v>661</v>
      </c>
      <c r="D16" s="1" t="s">
        <v>117</v>
      </c>
      <c r="E16" s="1" t="s">
        <v>9</v>
      </c>
      <c r="F16" s="1" t="s">
        <v>7</v>
      </c>
      <c r="G16" s="1" t="s">
        <v>43</v>
      </c>
      <c r="H16" s="24" t="s">
        <v>45</v>
      </c>
      <c r="I16" s="1"/>
      <c r="J16" s="1"/>
      <c r="K16" s="1"/>
      <c r="L16" s="29" t="s">
        <v>61</v>
      </c>
      <c r="M16" s="1"/>
      <c r="N16" s="47">
        <v>1799007</v>
      </c>
      <c r="O16" s="1"/>
    </row>
    <row r="17" spans="1:15" ht="33" customHeight="1" x14ac:dyDescent="0.25">
      <c r="A17" s="1" t="s">
        <v>662</v>
      </c>
      <c r="B17" s="1" t="s">
        <v>663</v>
      </c>
      <c r="C17" s="1" t="s">
        <v>664</v>
      </c>
      <c r="D17" s="1" t="s">
        <v>117</v>
      </c>
      <c r="E17" s="1" t="s">
        <v>10</v>
      </c>
      <c r="F17" s="1" t="s">
        <v>7</v>
      </c>
      <c r="G17" s="1" t="s">
        <v>6</v>
      </c>
      <c r="H17" s="24" t="s">
        <v>45</v>
      </c>
      <c r="I17" s="1"/>
      <c r="J17" s="1"/>
      <c r="K17" s="1"/>
      <c r="L17" s="29" t="s">
        <v>61</v>
      </c>
      <c r="M17" s="1"/>
      <c r="N17" s="47">
        <v>1799008</v>
      </c>
      <c r="O17" s="1"/>
    </row>
    <row r="18" spans="1:15" ht="33" customHeight="1" x14ac:dyDescent="0.3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5"/>
      <c r="M18" s="15" t="s">
        <v>118</v>
      </c>
      <c r="N18" s="33">
        <f>SUM(N3:N17)</f>
        <v>26985036</v>
      </c>
      <c r="O18" s="1"/>
    </row>
  </sheetData>
  <autoFilter ref="A2:O8" xr:uid="{DC93C727-5DD1-4A62-B115-6C869754F8E1}"/>
  <mergeCells count="2">
    <mergeCell ref="A1:O1"/>
    <mergeCell ref="A18:L18"/>
  </mergeCells>
  <conditionalFormatting sqref="A2">
    <cfRule type="duplicateValues" dxfId="17" priority="3"/>
  </conditionalFormatting>
  <conditionalFormatting sqref="B2">
    <cfRule type="duplicateValues" dxfId="16" priority="2"/>
  </conditionalFormatting>
  <conditionalFormatting sqref="A3:A4">
    <cfRule type="duplicateValues" dxfId="15" priority="4"/>
  </conditionalFormatting>
  <conditionalFormatting sqref="B3:B4">
    <cfRule type="duplicateValues" dxfId="14" priority="5"/>
  </conditionalFormatting>
  <conditionalFormatting sqref="A3:A4">
    <cfRule type="duplicateValues" dxfId="13" priority="1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9E15F-C62D-415E-BA53-BA524B343915}">
  <dimension ref="A1:O10"/>
  <sheetViews>
    <sheetView workbookViewId="0">
      <selection sqref="A1:O1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5.140625" customWidth="1"/>
    <col min="15" max="15" width="11.85546875" customWidth="1"/>
  </cols>
  <sheetData>
    <row r="1" spans="1:15" ht="35.1" customHeight="1" x14ac:dyDescent="0.3">
      <c r="A1" s="18" t="s">
        <v>694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669</v>
      </c>
      <c r="B3" s="1" t="s">
        <v>670</v>
      </c>
      <c r="C3" s="1" t="s">
        <v>671</v>
      </c>
      <c r="D3" s="1" t="s">
        <v>37</v>
      </c>
      <c r="E3" s="1" t="s">
        <v>41</v>
      </c>
      <c r="F3" s="1" t="s">
        <v>89</v>
      </c>
      <c r="G3" s="1" t="s">
        <v>43</v>
      </c>
      <c r="H3" s="24"/>
      <c r="I3" s="56" t="s">
        <v>188</v>
      </c>
      <c r="J3" s="29" t="s">
        <v>59</v>
      </c>
      <c r="K3" s="29" t="s">
        <v>60</v>
      </c>
      <c r="L3" s="29" t="s">
        <v>61</v>
      </c>
      <c r="M3" s="29" t="s">
        <v>7</v>
      </c>
      <c r="N3" s="51">
        <v>6169000</v>
      </c>
      <c r="O3" s="29" t="s">
        <v>23</v>
      </c>
    </row>
    <row r="4" spans="1:15" ht="33" customHeight="1" x14ac:dyDescent="0.25">
      <c r="A4" s="1" t="s">
        <v>672</v>
      </c>
      <c r="B4" s="1" t="s">
        <v>673</v>
      </c>
      <c r="C4" s="1" t="s">
        <v>674</v>
      </c>
      <c r="D4" s="1" t="s">
        <v>37</v>
      </c>
      <c r="E4" s="1" t="s">
        <v>41</v>
      </c>
      <c r="F4" s="1" t="s">
        <v>39</v>
      </c>
      <c r="G4" s="1" t="s">
        <v>43</v>
      </c>
      <c r="H4" s="24" t="s">
        <v>45</v>
      </c>
      <c r="I4" s="56" t="s">
        <v>188</v>
      </c>
      <c r="J4" s="29" t="s">
        <v>59</v>
      </c>
      <c r="K4" s="29" t="s">
        <v>60</v>
      </c>
      <c r="L4" s="29" t="s">
        <v>61</v>
      </c>
      <c r="M4" s="29" t="s">
        <v>7</v>
      </c>
      <c r="N4" s="51">
        <v>6169000</v>
      </c>
      <c r="O4" s="29" t="s">
        <v>23</v>
      </c>
    </row>
    <row r="5" spans="1:15" ht="33" customHeight="1" x14ac:dyDescent="0.25">
      <c r="A5" s="1" t="s">
        <v>675</v>
      </c>
      <c r="B5" s="1" t="s">
        <v>676</v>
      </c>
      <c r="C5" s="1" t="s">
        <v>677</v>
      </c>
      <c r="D5" s="1" t="s">
        <v>37</v>
      </c>
      <c r="E5" s="1" t="s">
        <v>41</v>
      </c>
      <c r="F5" s="1" t="s">
        <v>39</v>
      </c>
      <c r="G5" s="1" t="s">
        <v>44</v>
      </c>
      <c r="H5" s="24" t="s">
        <v>45</v>
      </c>
      <c r="I5" s="56" t="s">
        <v>188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9" t="s">
        <v>23</v>
      </c>
    </row>
    <row r="6" spans="1:15" ht="33" customHeight="1" x14ac:dyDescent="0.25">
      <c r="A6" s="1" t="s">
        <v>678</v>
      </c>
      <c r="B6" s="1" t="s">
        <v>679</v>
      </c>
      <c r="C6" s="1" t="s">
        <v>680</v>
      </c>
      <c r="D6" s="1" t="s">
        <v>37</v>
      </c>
      <c r="E6" s="1" t="s">
        <v>41</v>
      </c>
      <c r="F6" s="1" t="s">
        <v>39</v>
      </c>
      <c r="G6" s="1" t="s">
        <v>43</v>
      </c>
      <c r="H6" s="24" t="s">
        <v>78</v>
      </c>
      <c r="I6" s="56" t="s">
        <v>188</v>
      </c>
      <c r="J6" s="29" t="s">
        <v>59</v>
      </c>
      <c r="K6" s="29" t="s">
        <v>60</v>
      </c>
      <c r="L6" s="29" t="s">
        <v>61</v>
      </c>
      <c r="M6" s="29" t="s">
        <v>7</v>
      </c>
      <c r="N6" s="51">
        <v>6169000</v>
      </c>
      <c r="O6" s="29" t="s">
        <v>23</v>
      </c>
    </row>
    <row r="7" spans="1:15" ht="33" customHeight="1" x14ac:dyDescent="0.25">
      <c r="A7" s="1" t="s">
        <v>681</v>
      </c>
      <c r="B7" s="1" t="s">
        <v>682</v>
      </c>
      <c r="C7" s="1" t="s">
        <v>683</v>
      </c>
      <c r="D7" s="1" t="s">
        <v>117</v>
      </c>
      <c r="E7" s="1" t="s">
        <v>10</v>
      </c>
      <c r="F7" s="1" t="s">
        <v>7</v>
      </c>
      <c r="G7" s="1" t="s">
        <v>6</v>
      </c>
      <c r="H7" s="24" t="s">
        <v>45</v>
      </c>
      <c r="I7" s="56" t="s">
        <v>188</v>
      </c>
      <c r="J7" s="29"/>
      <c r="K7" s="29"/>
      <c r="L7" s="29" t="s">
        <v>61</v>
      </c>
      <c r="M7" s="29"/>
      <c r="N7" s="47">
        <v>1799000</v>
      </c>
      <c r="O7" s="29" t="s">
        <v>23</v>
      </c>
    </row>
    <row r="8" spans="1:15" ht="33" customHeight="1" x14ac:dyDescent="0.25">
      <c r="A8" s="1" t="s">
        <v>684</v>
      </c>
      <c r="B8" s="1" t="s">
        <v>685</v>
      </c>
      <c r="C8" s="1" t="s">
        <v>686</v>
      </c>
      <c r="D8" s="1" t="s">
        <v>117</v>
      </c>
      <c r="E8" s="1" t="s">
        <v>693</v>
      </c>
      <c r="F8" s="1" t="s">
        <v>7</v>
      </c>
      <c r="G8" s="1" t="s">
        <v>43</v>
      </c>
      <c r="H8" s="24" t="s">
        <v>78</v>
      </c>
      <c r="I8" s="56" t="s">
        <v>188</v>
      </c>
      <c r="J8" s="1"/>
      <c r="K8" s="1"/>
      <c r="L8" s="29" t="s">
        <v>61</v>
      </c>
      <c r="M8" s="59"/>
      <c r="N8" s="47">
        <v>1799000</v>
      </c>
      <c r="O8" s="1"/>
    </row>
    <row r="9" spans="1:15" ht="39" customHeight="1" x14ac:dyDescent="0.25">
      <c r="A9" s="1" t="s">
        <v>687</v>
      </c>
      <c r="B9" s="1" t="s">
        <v>688</v>
      </c>
      <c r="C9" s="1" t="s">
        <v>689</v>
      </c>
      <c r="D9" s="1" t="s">
        <v>37</v>
      </c>
      <c r="E9" s="1" t="s">
        <v>41</v>
      </c>
      <c r="F9" s="1" t="s">
        <v>42</v>
      </c>
      <c r="G9" s="1" t="s">
        <v>44</v>
      </c>
      <c r="H9" s="1"/>
      <c r="I9" s="24" t="s">
        <v>47</v>
      </c>
      <c r="J9" s="29" t="s">
        <v>59</v>
      </c>
      <c r="K9" s="29" t="s">
        <v>60</v>
      </c>
      <c r="L9" s="29" t="s">
        <v>61</v>
      </c>
      <c r="M9" s="29" t="s">
        <v>7</v>
      </c>
      <c r="N9" s="51">
        <v>6169000</v>
      </c>
      <c r="O9" s="29" t="s">
        <v>23</v>
      </c>
    </row>
    <row r="10" spans="1:15" ht="38.25" customHeight="1" x14ac:dyDescent="0.25">
      <c r="M10" s="61" t="s">
        <v>118</v>
      </c>
      <c r="N10" s="62">
        <f>SUM(N4:N9)</f>
        <v>28274000</v>
      </c>
    </row>
  </sheetData>
  <autoFilter ref="A2:O7" xr:uid="{DC93C727-5DD1-4A62-B115-6C869754F8E1}"/>
  <mergeCells count="1">
    <mergeCell ref="A1:O1"/>
  </mergeCells>
  <conditionalFormatting sqref="A2">
    <cfRule type="duplicateValues" dxfId="12" priority="3"/>
  </conditionalFormatting>
  <conditionalFormatting sqref="B2">
    <cfRule type="duplicateValues" dxfId="11" priority="2"/>
  </conditionalFormatting>
  <conditionalFormatting sqref="A3">
    <cfRule type="duplicateValues" dxfId="10" priority="14"/>
  </conditionalFormatting>
  <conditionalFormatting sqref="B3">
    <cfRule type="duplicateValues" dxfId="9" priority="15"/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91C49-2CBB-46D5-843D-735247969A51}">
  <dimension ref="A1:O31"/>
  <sheetViews>
    <sheetView topLeftCell="C22" workbookViewId="0">
      <selection activeCell="N28" sqref="N28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6.5703125" customWidth="1"/>
    <col min="15" max="15" width="11.85546875" customWidth="1"/>
  </cols>
  <sheetData>
    <row r="1" spans="1:15" ht="35.1" customHeight="1" x14ac:dyDescent="0.3">
      <c r="A1" s="18" t="s">
        <v>790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696</v>
      </c>
      <c r="B3" s="1" t="s">
        <v>697</v>
      </c>
      <c r="C3" s="1" t="s">
        <v>698</v>
      </c>
      <c r="D3" s="1" t="s">
        <v>117</v>
      </c>
      <c r="E3" s="1" t="s">
        <v>10</v>
      </c>
      <c r="F3" s="1" t="s">
        <v>7</v>
      </c>
      <c r="G3" s="1" t="s">
        <v>6</v>
      </c>
      <c r="H3" s="2" t="s">
        <v>45</v>
      </c>
      <c r="I3" s="56" t="s">
        <v>188</v>
      </c>
      <c r="J3" s="29"/>
      <c r="K3" s="29"/>
      <c r="L3" s="29" t="s">
        <v>61</v>
      </c>
      <c r="M3" s="29"/>
      <c r="N3" s="47">
        <v>1799000</v>
      </c>
      <c r="O3" s="29"/>
    </row>
    <row r="4" spans="1:15" ht="33" customHeight="1" x14ac:dyDescent="0.25">
      <c r="A4" s="1" t="s">
        <v>699</v>
      </c>
      <c r="B4" s="1" t="s">
        <v>700</v>
      </c>
      <c r="C4" s="1" t="s">
        <v>701</v>
      </c>
      <c r="D4" s="1" t="s">
        <v>37</v>
      </c>
      <c r="E4" s="1" t="s">
        <v>90</v>
      </c>
      <c r="F4" s="1" t="s">
        <v>39</v>
      </c>
      <c r="G4" s="1" t="s">
        <v>6</v>
      </c>
      <c r="H4" s="2" t="s">
        <v>45</v>
      </c>
      <c r="I4" s="56" t="s">
        <v>598</v>
      </c>
      <c r="J4" s="29" t="s">
        <v>59</v>
      </c>
      <c r="K4" s="29" t="s">
        <v>60</v>
      </c>
      <c r="L4" s="29" t="s">
        <v>61</v>
      </c>
      <c r="M4" s="29" t="s">
        <v>7</v>
      </c>
      <c r="N4" s="51">
        <v>6169000</v>
      </c>
      <c r="O4" s="29" t="s">
        <v>23</v>
      </c>
    </row>
    <row r="5" spans="1:15" ht="33" customHeight="1" x14ac:dyDescent="0.25">
      <c r="A5" s="1" t="s">
        <v>702</v>
      </c>
      <c r="B5" s="1" t="s">
        <v>703</v>
      </c>
      <c r="C5" s="1" t="s">
        <v>704</v>
      </c>
      <c r="D5" s="1" t="s">
        <v>37</v>
      </c>
      <c r="E5" s="1" t="s">
        <v>41</v>
      </c>
      <c r="F5" s="1" t="s">
        <v>42</v>
      </c>
      <c r="G5" s="1" t="s">
        <v>43</v>
      </c>
      <c r="H5" s="2" t="s">
        <v>45</v>
      </c>
      <c r="I5" s="56" t="s">
        <v>188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9" t="s">
        <v>23</v>
      </c>
    </row>
    <row r="6" spans="1:15" ht="33" customHeight="1" x14ac:dyDescent="0.25">
      <c r="A6" s="1" t="s">
        <v>705</v>
      </c>
      <c r="B6" s="1" t="s">
        <v>706</v>
      </c>
      <c r="C6" s="1" t="s">
        <v>707</v>
      </c>
      <c r="D6" s="1" t="s">
        <v>117</v>
      </c>
      <c r="E6" s="1" t="s">
        <v>10</v>
      </c>
      <c r="F6" s="1" t="s">
        <v>7</v>
      </c>
      <c r="G6" s="1" t="s">
        <v>44</v>
      </c>
      <c r="H6" s="2" t="s">
        <v>45</v>
      </c>
      <c r="I6" s="56" t="s">
        <v>188</v>
      </c>
      <c r="J6" s="29"/>
      <c r="K6" s="29"/>
      <c r="L6" s="29" t="s">
        <v>61</v>
      </c>
      <c r="M6" s="29"/>
      <c r="N6" s="47">
        <v>1799000</v>
      </c>
      <c r="O6" s="29"/>
    </row>
    <row r="7" spans="1:15" ht="33" customHeight="1" x14ac:dyDescent="0.25">
      <c r="A7" s="1" t="s">
        <v>708</v>
      </c>
      <c r="B7" s="1" t="s">
        <v>709</v>
      </c>
      <c r="C7" s="1" t="s">
        <v>710</v>
      </c>
      <c r="D7" s="1" t="s">
        <v>37</v>
      </c>
      <c r="E7" s="1" t="s">
        <v>38</v>
      </c>
      <c r="F7" s="1" t="s">
        <v>42</v>
      </c>
      <c r="G7" s="1" t="s">
        <v>6</v>
      </c>
      <c r="H7" s="2" t="s">
        <v>45</v>
      </c>
      <c r="I7" s="56" t="s">
        <v>598</v>
      </c>
      <c r="J7" s="29" t="s">
        <v>59</v>
      </c>
      <c r="K7" s="29" t="s">
        <v>60</v>
      </c>
      <c r="L7" s="29" t="s">
        <v>61</v>
      </c>
      <c r="M7" s="29" t="s">
        <v>7</v>
      </c>
      <c r="N7" s="51">
        <v>6169000</v>
      </c>
      <c r="O7" s="29" t="s">
        <v>23</v>
      </c>
    </row>
    <row r="8" spans="1:15" ht="33" customHeight="1" x14ac:dyDescent="0.25">
      <c r="A8" s="1" t="s">
        <v>711</v>
      </c>
      <c r="B8" s="1" t="s">
        <v>712</v>
      </c>
      <c r="C8" s="1" t="s">
        <v>713</v>
      </c>
      <c r="D8" s="1" t="s">
        <v>37</v>
      </c>
      <c r="E8" s="1" t="s">
        <v>41</v>
      </c>
      <c r="F8" s="1" t="s">
        <v>39</v>
      </c>
      <c r="G8" s="1" t="s">
        <v>43</v>
      </c>
      <c r="H8" s="2"/>
      <c r="I8" s="2" t="s">
        <v>47</v>
      </c>
      <c r="J8" s="29" t="s">
        <v>59</v>
      </c>
      <c r="K8" s="29" t="s">
        <v>60</v>
      </c>
      <c r="L8" s="29" t="s">
        <v>61</v>
      </c>
      <c r="M8" s="29" t="s">
        <v>7</v>
      </c>
      <c r="N8" s="51">
        <v>6169000</v>
      </c>
      <c r="O8" s="29" t="s">
        <v>23</v>
      </c>
    </row>
    <row r="9" spans="1:15" ht="33" customHeight="1" x14ac:dyDescent="0.25">
      <c r="A9" s="1" t="s">
        <v>714</v>
      </c>
      <c r="B9" s="1" t="s">
        <v>715</v>
      </c>
      <c r="C9" s="1" t="s">
        <v>716</v>
      </c>
      <c r="D9" s="1" t="s">
        <v>117</v>
      </c>
      <c r="E9" s="1" t="s">
        <v>9</v>
      </c>
      <c r="F9" s="1" t="s">
        <v>7</v>
      </c>
      <c r="G9" s="1" t="s">
        <v>43</v>
      </c>
      <c r="H9" s="2" t="s">
        <v>45</v>
      </c>
      <c r="I9" s="56" t="s">
        <v>188</v>
      </c>
      <c r="J9" s="29"/>
      <c r="K9" s="29"/>
      <c r="L9" s="29" t="s">
        <v>61</v>
      </c>
      <c r="M9" s="29"/>
      <c r="N9" s="51">
        <v>6169000</v>
      </c>
      <c r="O9" s="29" t="s">
        <v>23</v>
      </c>
    </row>
    <row r="10" spans="1:15" ht="33" customHeight="1" x14ac:dyDescent="0.25">
      <c r="A10" s="1" t="s">
        <v>717</v>
      </c>
      <c r="B10" s="1" t="s">
        <v>718</v>
      </c>
      <c r="C10" s="1" t="s">
        <v>719</v>
      </c>
      <c r="D10" s="1" t="s">
        <v>37</v>
      </c>
      <c r="E10" s="1" t="s">
        <v>41</v>
      </c>
      <c r="F10" s="1" t="s">
        <v>39</v>
      </c>
      <c r="G10" s="1" t="s">
        <v>6</v>
      </c>
      <c r="H10" s="2" t="s">
        <v>45</v>
      </c>
      <c r="I10" s="2" t="s">
        <v>47</v>
      </c>
      <c r="J10" s="29" t="s">
        <v>59</v>
      </c>
      <c r="K10" s="29" t="s">
        <v>60</v>
      </c>
      <c r="L10" s="29" t="s">
        <v>61</v>
      </c>
      <c r="M10" s="29" t="s">
        <v>7</v>
      </c>
      <c r="N10" s="51">
        <v>6169000</v>
      </c>
      <c r="O10" s="29" t="s">
        <v>23</v>
      </c>
    </row>
    <row r="11" spans="1:15" ht="33" customHeight="1" x14ac:dyDescent="0.25">
      <c r="A11" s="1" t="s">
        <v>720</v>
      </c>
      <c r="B11" s="1" t="s">
        <v>721</v>
      </c>
      <c r="C11" s="1" t="s">
        <v>722</v>
      </c>
      <c r="D11" s="1" t="s">
        <v>117</v>
      </c>
      <c r="E11" s="1" t="s">
        <v>9</v>
      </c>
      <c r="F11" s="1" t="s">
        <v>7</v>
      </c>
      <c r="G11" s="1" t="s">
        <v>6</v>
      </c>
      <c r="H11" s="2" t="s">
        <v>45</v>
      </c>
      <c r="I11" s="56" t="s">
        <v>188</v>
      </c>
      <c r="J11" s="1"/>
      <c r="K11" s="1"/>
      <c r="L11" s="29" t="s">
        <v>61</v>
      </c>
      <c r="M11" s="1"/>
      <c r="N11" s="47">
        <v>1799000</v>
      </c>
      <c r="O11" s="1"/>
    </row>
    <row r="12" spans="1:15" ht="33" customHeight="1" x14ac:dyDescent="0.25">
      <c r="A12" s="1" t="s">
        <v>723</v>
      </c>
      <c r="B12" s="1" t="s">
        <v>724</v>
      </c>
      <c r="C12" s="1" t="s">
        <v>725</v>
      </c>
      <c r="D12" s="1" t="s">
        <v>117</v>
      </c>
      <c r="E12" s="1" t="s">
        <v>10</v>
      </c>
      <c r="F12" s="1" t="s">
        <v>7</v>
      </c>
      <c r="G12" s="1" t="s">
        <v>6</v>
      </c>
      <c r="H12" s="2" t="s">
        <v>45</v>
      </c>
      <c r="I12" s="56" t="s">
        <v>188</v>
      </c>
      <c r="J12" s="1"/>
      <c r="K12" s="1"/>
      <c r="L12" s="29" t="s">
        <v>61</v>
      </c>
      <c r="M12" s="1"/>
      <c r="N12" s="47">
        <v>1799000</v>
      </c>
      <c r="O12" s="1"/>
    </row>
    <row r="13" spans="1:15" ht="33" customHeight="1" x14ac:dyDescent="0.25">
      <c r="A13" s="1" t="s">
        <v>726</v>
      </c>
      <c r="B13" s="1" t="s">
        <v>727</v>
      </c>
      <c r="C13" s="1" t="s">
        <v>728</v>
      </c>
      <c r="D13" s="1" t="s">
        <v>117</v>
      </c>
      <c r="E13" s="1" t="s">
        <v>10</v>
      </c>
      <c r="F13" s="1" t="s">
        <v>7</v>
      </c>
      <c r="G13" s="1" t="s">
        <v>6</v>
      </c>
      <c r="H13" s="2" t="s">
        <v>45</v>
      </c>
      <c r="I13" s="56" t="s">
        <v>598</v>
      </c>
      <c r="J13" s="1"/>
      <c r="K13" s="1"/>
      <c r="L13" s="29" t="s">
        <v>61</v>
      </c>
      <c r="M13" s="1"/>
      <c r="N13" s="47">
        <v>1799000</v>
      </c>
      <c r="O13" s="1"/>
    </row>
    <row r="14" spans="1:15" ht="33" customHeight="1" x14ac:dyDescent="0.25">
      <c r="A14" s="1" t="s">
        <v>729</v>
      </c>
      <c r="B14" s="1" t="s">
        <v>730</v>
      </c>
      <c r="C14" s="1" t="s">
        <v>731</v>
      </c>
      <c r="D14" s="1" t="s">
        <v>117</v>
      </c>
      <c r="E14" s="1" t="s">
        <v>10</v>
      </c>
      <c r="F14" s="1" t="s">
        <v>7</v>
      </c>
      <c r="G14" s="1" t="s">
        <v>43</v>
      </c>
      <c r="H14" s="2" t="s">
        <v>45</v>
      </c>
      <c r="I14" s="56" t="s">
        <v>188</v>
      </c>
      <c r="J14" s="1"/>
      <c r="K14" s="1"/>
      <c r="L14" s="29" t="s">
        <v>61</v>
      </c>
      <c r="M14" s="1"/>
      <c r="N14" s="47">
        <v>1799000</v>
      </c>
      <c r="O14" s="1"/>
    </row>
    <row r="15" spans="1:15" ht="33" customHeight="1" x14ac:dyDescent="0.25">
      <c r="A15" s="1" t="s">
        <v>732</v>
      </c>
      <c r="B15" s="1" t="s">
        <v>733</v>
      </c>
      <c r="C15" s="1" t="s">
        <v>734</v>
      </c>
      <c r="D15" s="1" t="s">
        <v>37</v>
      </c>
      <c r="E15" s="1" t="s">
        <v>90</v>
      </c>
      <c r="F15" s="1" t="s">
        <v>39</v>
      </c>
      <c r="G15" s="1" t="s">
        <v>780</v>
      </c>
      <c r="H15" s="2" t="s">
        <v>45</v>
      </c>
      <c r="I15" s="2" t="s">
        <v>47</v>
      </c>
      <c r="J15" s="29" t="s">
        <v>59</v>
      </c>
      <c r="K15" s="29" t="s">
        <v>60</v>
      </c>
      <c r="L15" s="29" t="s">
        <v>61</v>
      </c>
      <c r="M15" s="29" t="s">
        <v>7</v>
      </c>
      <c r="N15" s="51">
        <v>6169000</v>
      </c>
      <c r="O15" s="29" t="s">
        <v>23</v>
      </c>
    </row>
    <row r="16" spans="1:15" ht="33" customHeight="1" x14ac:dyDescent="0.25">
      <c r="A16" s="1" t="s">
        <v>735</v>
      </c>
      <c r="B16" s="1" t="s">
        <v>736</v>
      </c>
      <c r="C16" s="1" t="s">
        <v>737</v>
      </c>
      <c r="D16" s="1" t="s">
        <v>117</v>
      </c>
      <c r="E16" s="1" t="s">
        <v>10</v>
      </c>
      <c r="F16" s="1" t="s">
        <v>7</v>
      </c>
      <c r="G16" s="1" t="s">
        <v>6</v>
      </c>
      <c r="H16" s="2" t="s">
        <v>45</v>
      </c>
      <c r="I16" s="56" t="s">
        <v>188</v>
      </c>
      <c r="J16" s="1"/>
      <c r="K16" s="1"/>
      <c r="L16" s="29" t="s">
        <v>61</v>
      </c>
      <c r="M16" s="1"/>
      <c r="N16" s="47">
        <v>1799000</v>
      </c>
      <c r="O16" s="1"/>
    </row>
    <row r="17" spans="1:15" ht="33" customHeight="1" x14ac:dyDescent="0.25">
      <c r="A17" s="1" t="s">
        <v>738</v>
      </c>
      <c r="B17" s="1" t="s">
        <v>739</v>
      </c>
      <c r="C17" s="1" t="s">
        <v>740</v>
      </c>
      <c r="D17" s="1" t="s">
        <v>37</v>
      </c>
      <c r="E17" s="1" t="s">
        <v>41</v>
      </c>
      <c r="F17" s="1" t="s">
        <v>89</v>
      </c>
      <c r="G17" s="1" t="s">
        <v>43</v>
      </c>
      <c r="H17" s="2" t="s">
        <v>45</v>
      </c>
      <c r="I17" s="2" t="s">
        <v>47</v>
      </c>
      <c r="J17" s="29" t="s">
        <v>59</v>
      </c>
      <c r="K17" s="29" t="s">
        <v>60</v>
      </c>
      <c r="L17" s="29" t="s">
        <v>61</v>
      </c>
      <c r="M17" s="29" t="s">
        <v>7</v>
      </c>
      <c r="N17" s="51">
        <v>6169000</v>
      </c>
      <c r="O17" s="29" t="s">
        <v>23</v>
      </c>
    </row>
    <row r="18" spans="1:15" ht="33" customHeight="1" x14ac:dyDescent="0.25">
      <c r="A18" s="1" t="s">
        <v>741</v>
      </c>
      <c r="B18" s="1" t="s">
        <v>742</v>
      </c>
      <c r="C18" s="1" t="s">
        <v>743</v>
      </c>
      <c r="D18" s="1" t="s">
        <v>117</v>
      </c>
      <c r="E18" s="1" t="s">
        <v>10</v>
      </c>
      <c r="F18" s="1" t="s">
        <v>7</v>
      </c>
      <c r="G18" s="1" t="s">
        <v>6</v>
      </c>
      <c r="H18" s="2" t="s">
        <v>45</v>
      </c>
      <c r="I18" s="56" t="s">
        <v>472</v>
      </c>
      <c r="J18" s="1"/>
      <c r="K18" s="1"/>
      <c r="L18" s="29" t="s">
        <v>61</v>
      </c>
      <c r="M18" s="1"/>
      <c r="N18" s="47">
        <v>1799000</v>
      </c>
      <c r="O18" s="1"/>
    </row>
    <row r="19" spans="1:15" ht="33" customHeight="1" x14ac:dyDescent="0.25">
      <c r="A19" s="1" t="s">
        <v>744</v>
      </c>
      <c r="B19" s="1" t="s">
        <v>745</v>
      </c>
      <c r="C19" s="1" t="s">
        <v>746</v>
      </c>
      <c r="D19" s="1" t="s">
        <v>117</v>
      </c>
      <c r="E19" s="1" t="s">
        <v>10</v>
      </c>
      <c r="F19" s="1" t="s">
        <v>7</v>
      </c>
      <c r="G19" s="1" t="s">
        <v>44</v>
      </c>
      <c r="H19" s="2" t="s">
        <v>45</v>
      </c>
      <c r="I19" s="56" t="s">
        <v>188</v>
      </c>
      <c r="J19" s="1"/>
      <c r="K19" s="1"/>
      <c r="L19" s="29" t="s">
        <v>61</v>
      </c>
      <c r="M19" s="1"/>
      <c r="N19" s="47">
        <v>1799000</v>
      </c>
      <c r="O19" s="1"/>
    </row>
    <row r="20" spans="1:15" ht="33" customHeight="1" x14ac:dyDescent="0.25">
      <c r="A20" s="1" t="s">
        <v>747</v>
      </c>
      <c r="B20" s="1" t="s">
        <v>748</v>
      </c>
      <c r="C20" s="1" t="s">
        <v>749</v>
      </c>
      <c r="D20" s="1" t="s">
        <v>117</v>
      </c>
      <c r="E20" s="1" t="s">
        <v>10</v>
      </c>
      <c r="F20" s="1" t="s">
        <v>7</v>
      </c>
      <c r="G20" s="1" t="s">
        <v>6</v>
      </c>
      <c r="H20" s="2" t="s">
        <v>791</v>
      </c>
      <c r="I20" s="2" t="s">
        <v>47</v>
      </c>
      <c r="J20" s="29" t="s">
        <v>59</v>
      </c>
      <c r="K20" s="29" t="s">
        <v>60</v>
      </c>
      <c r="L20" s="29" t="s">
        <v>61</v>
      </c>
      <c r="M20" s="29" t="s">
        <v>7</v>
      </c>
      <c r="N20" s="51">
        <v>6169000</v>
      </c>
      <c r="O20" s="29" t="s">
        <v>23</v>
      </c>
    </row>
    <row r="21" spans="1:15" ht="33" customHeight="1" x14ac:dyDescent="0.25">
      <c r="A21" s="1" t="s">
        <v>750</v>
      </c>
      <c r="B21" s="1" t="s">
        <v>751</v>
      </c>
      <c r="C21" s="1" t="s">
        <v>752</v>
      </c>
      <c r="D21" s="1" t="s">
        <v>186</v>
      </c>
      <c r="E21" s="1" t="s">
        <v>9</v>
      </c>
      <c r="F21" s="1" t="s">
        <v>7</v>
      </c>
      <c r="G21" s="1" t="s">
        <v>43</v>
      </c>
      <c r="H21" s="2" t="s">
        <v>78</v>
      </c>
      <c r="I21" s="2" t="s">
        <v>47</v>
      </c>
      <c r="J21" s="29" t="s">
        <v>59</v>
      </c>
      <c r="K21" s="29" t="s">
        <v>60</v>
      </c>
      <c r="L21" s="29" t="s">
        <v>61</v>
      </c>
      <c r="M21" s="29" t="s">
        <v>7</v>
      </c>
      <c r="N21" s="51">
        <v>6169000</v>
      </c>
      <c r="O21" s="29" t="s">
        <v>23</v>
      </c>
    </row>
    <row r="22" spans="1:15" ht="33" customHeight="1" x14ac:dyDescent="0.25">
      <c r="A22" s="1" t="s">
        <v>753</v>
      </c>
      <c r="B22" s="1" t="s">
        <v>754</v>
      </c>
      <c r="C22" s="1" t="s">
        <v>755</v>
      </c>
      <c r="D22" s="1" t="s">
        <v>117</v>
      </c>
      <c r="E22" s="1" t="s">
        <v>10</v>
      </c>
      <c r="F22" s="1" t="s">
        <v>7</v>
      </c>
      <c r="G22" s="1" t="s">
        <v>43</v>
      </c>
      <c r="H22" s="2" t="s">
        <v>45</v>
      </c>
      <c r="I22" s="2" t="s">
        <v>47</v>
      </c>
      <c r="J22" s="29" t="s">
        <v>59</v>
      </c>
      <c r="K22" s="29" t="s">
        <v>60</v>
      </c>
      <c r="L22" s="29" t="s">
        <v>61</v>
      </c>
      <c r="M22" s="29" t="s">
        <v>7</v>
      </c>
      <c r="N22" s="51">
        <v>6169000</v>
      </c>
      <c r="O22" s="29" t="s">
        <v>23</v>
      </c>
    </row>
    <row r="23" spans="1:15" ht="33" customHeight="1" x14ac:dyDescent="0.25">
      <c r="A23" s="1" t="s">
        <v>756</v>
      </c>
      <c r="B23" s="1" t="s">
        <v>757</v>
      </c>
      <c r="C23" s="1" t="s">
        <v>758</v>
      </c>
      <c r="D23" s="1" t="s">
        <v>37</v>
      </c>
      <c r="E23" s="1" t="s">
        <v>551</v>
      </c>
      <c r="F23" s="1" t="s">
        <v>89</v>
      </c>
      <c r="G23" s="1" t="s">
        <v>43</v>
      </c>
      <c r="H23" s="2" t="s">
        <v>45</v>
      </c>
      <c r="I23" s="2" t="s">
        <v>47</v>
      </c>
      <c r="J23" s="1"/>
      <c r="K23" s="1"/>
      <c r="L23" s="29" t="s">
        <v>61</v>
      </c>
      <c r="M23" s="1"/>
      <c r="N23" s="47">
        <v>1799000</v>
      </c>
      <c r="O23" s="1"/>
    </row>
    <row r="24" spans="1:15" ht="33" customHeight="1" x14ac:dyDescent="0.25">
      <c r="A24" s="1" t="s">
        <v>759</v>
      </c>
      <c r="B24" s="1" t="s">
        <v>760</v>
      </c>
      <c r="C24" s="1" t="s">
        <v>761</v>
      </c>
      <c r="D24" s="1" t="s">
        <v>117</v>
      </c>
      <c r="E24" s="1" t="s">
        <v>10</v>
      </c>
      <c r="F24" s="1" t="s">
        <v>7</v>
      </c>
      <c r="G24" s="1" t="s">
        <v>6</v>
      </c>
      <c r="H24" s="2" t="s">
        <v>78</v>
      </c>
      <c r="I24" s="2" t="s">
        <v>47</v>
      </c>
      <c r="J24" s="1"/>
      <c r="K24" s="1"/>
      <c r="L24" s="29" t="s">
        <v>61</v>
      </c>
      <c r="M24" s="1"/>
      <c r="N24" s="47">
        <v>1799000</v>
      </c>
      <c r="O24" s="1"/>
    </row>
    <row r="25" spans="1:15" ht="33" customHeight="1" x14ac:dyDescent="0.25">
      <c r="A25" s="1" t="s">
        <v>762</v>
      </c>
      <c r="B25" s="1" t="s">
        <v>763</v>
      </c>
      <c r="C25" s="1" t="s">
        <v>764</v>
      </c>
      <c r="D25" s="1" t="s">
        <v>117</v>
      </c>
      <c r="E25" s="1" t="s">
        <v>10</v>
      </c>
      <c r="F25" s="1" t="s">
        <v>7</v>
      </c>
      <c r="G25" s="1" t="s">
        <v>6</v>
      </c>
      <c r="H25" s="2" t="s">
        <v>45</v>
      </c>
      <c r="I25" s="56" t="s">
        <v>188</v>
      </c>
      <c r="J25" s="1"/>
      <c r="K25" s="1"/>
      <c r="L25" s="29" t="s">
        <v>61</v>
      </c>
      <c r="M25" s="53"/>
      <c r="N25" s="47">
        <v>1799000</v>
      </c>
      <c r="O25" s="1"/>
    </row>
    <row r="26" spans="1:15" ht="33" customHeight="1" x14ac:dyDescent="0.25">
      <c r="A26" s="1" t="s">
        <v>765</v>
      </c>
      <c r="B26" s="1" t="s">
        <v>766</v>
      </c>
      <c r="C26" s="1" t="s">
        <v>767</v>
      </c>
      <c r="D26" s="1" t="s">
        <v>117</v>
      </c>
      <c r="E26" s="1" t="s">
        <v>10</v>
      </c>
      <c r="F26" s="1" t="s">
        <v>7</v>
      </c>
      <c r="G26" s="1" t="s">
        <v>8</v>
      </c>
      <c r="H26" s="2" t="s">
        <v>78</v>
      </c>
      <c r="I26" s="56" t="s">
        <v>188</v>
      </c>
      <c r="J26" s="1"/>
      <c r="K26" s="1"/>
      <c r="L26" s="29" t="s">
        <v>61</v>
      </c>
      <c r="M26" s="1"/>
      <c r="N26" s="47">
        <v>1799000</v>
      </c>
      <c r="O26" s="1"/>
    </row>
    <row r="27" spans="1:15" ht="33" customHeight="1" x14ac:dyDescent="0.25">
      <c r="A27" s="1" t="s">
        <v>768</v>
      </c>
      <c r="B27" s="1" t="s">
        <v>769</v>
      </c>
      <c r="C27" s="1" t="s">
        <v>770</v>
      </c>
      <c r="D27" s="1" t="s">
        <v>37</v>
      </c>
      <c r="E27" s="1" t="s">
        <v>75</v>
      </c>
      <c r="F27" s="1" t="s">
        <v>42</v>
      </c>
      <c r="G27" s="1" t="s">
        <v>6</v>
      </c>
      <c r="H27" s="2" t="s">
        <v>45</v>
      </c>
      <c r="I27" s="2" t="s">
        <v>47</v>
      </c>
      <c r="J27" s="29" t="s">
        <v>59</v>
      </c>
      <c r="K27" s="29" t="s">
        <v>60</v>
      </c>
      <c r="L27" s="29" t="s">
        <v>61</v>
      </c>
      <c r="M27" s="29" t="s">
        <v>7</v>
      </c>
      <c r="N27" s="51">
        <v>6169000</v>
      </c>
      <c r="O27" s="29" t="s">
        <v>23</v>
      </c>
    </row>
    <row r="28" spans="1:15" ht="33" customHeight="1" x14ac:dyDescent="0.25">
      <c r="A28" s="1" t="s">
        <v>771</v>
      </c>
      <c r="B28" s="1" t="s">
        <v>772</v>
      </c>
      <c r="C28" s="1" t="s">
        <v>773</v>
      </c>
      <c r="D28" s="1" t="s">
        <v>117</v>
      </c>
      <c r="E28" s="1" t="s">
        <v>10</v>
      </c>
      <c r="F28" s="1" t="s">
        <v>7</v>
      </c>
      <c r="G28" s="1" t="s">
        <v>44</v>
      </c>
      <c r="H28" s="2" t="s">
        <v>45</v>
      </c>
      <c r="I28" s="56" t="s">
        <v>188</v>
      </c>
      <c r="J28" s="1"/>
      <c r="K28" s="1"/>
      <c r="L28" s="29" t="s">
        <v>61</v>
      </c>
      <c r="M28" s="1"/>
      <c r="N28" s="47">
        <v>1799000</v>
      </c>
      <c r="O28" s="1"/>
    </row>
    <row r="29" spans="1:15" ht="33" customHeight="1" x14ac:dyDescent="0.25">
      <c r="A29" s="1" t="s">
        <v>774</v>
      </c>
      <c r="B29" s="1" t="s">
        <v>775</v>
      </c>
      <c r="C29" s="1" t="s">
        <v>776</v>
      </c>
      <c r="D29" s="1" t="s">
        <v>117</v>
      </c>
      <c r="E29" s="1" t="s">
        <v>10</v>
      </c>
      <c r="F29" s="1" t="s">
        <v>7</v>
      </c>
      <c r="G29" s="1" t="s">
        <v>44</v>
      </c>
      <c r="H29" s="2" t="s">
        <v>45</v>
      </c>
      <c r="I29" s="56" t="s">
        <v>188</v>
      </c>
      <c r="J29" s="1"/>
      <c r="K29" s="1"/>
      <c r="L29" s="29" t="s">
        <v>61</v>
      </c>
      <c r="M29" s="1"/>
      <c r="N29" s="47">
        <v>1799000</v>
      </c>
      <c r="O29" s="1"/>
    </row>
    <row r="30" spans="1:15" ht="33" customHeight="1" x14ac:dyDescent="0.25">
      <c r="A30" s="1" t="s">
        <v>777</v>
      </c>
      <c r="B30" s="1" t="s">
        <v>778</v>
      </c>
      <c r="C30" s="1" t="s">
        <v>779</v>
      </c>
      <c r="D30" s="1" t="s">
        <v>117</v>
      </c>
      <c r="E30" s="1" t="s">
        <v>10</v>
      </c>
      <c r="F30" s="1" t="s">
        <v>7</v>
      </c>
      <c r="G30" s="1" t="s">
        <v>6</v>
      </c>
      <c r="H30" s="2" t="s">
        <v>45</v>
      </c>
      <c r="I30" s="56" t="s">
        <v>188</v>
      </c>
      <c r="J30" s="1"/>
      <c r="K30" s="1"/>
      <c r="L30" s="29" t="s">
        <v>61</v>
      </c>
      <c r="M30" s="1"/>
      <c r="N30" s="47">
        <v>1799000</v>
      </c>
      <c r="O30" s="1"/>
    </row>
    <row r="31" spans="1:15" ht="33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5"/>
      <c r="M31" s="66" t="s">
        <v>118</v>
      </c>
      <c r="N31" s="16">
        <f>SUM(N3:N30)</f>
        <v>102812000</v>
      </c>
      <c r="O31" s="1"/>
    </row>
  </sheetData>
  <autoFilter ref="A2:O9" xr:uid="{DC93C727-5DD1-4A62-B115-6C869754F8E1}"/>
  <mergeCells count="2">
    <mergeCell ref="A1:O1"/>
    <mergeCell ref="A31:L31"/>
  </mergeCells>
  <conditionalFormatting sqref="A2">
    <cfRule type="duplicateValues" dxfId="8" priority="3"/>
  </conditionalFormatting>
  <conditionalFormatting sqref="B2">
    <cfRule type="duplicateValues" dxfId="7" priority="2"/>
  </conditionalFormatting>
  <conditionalFormatting sqref="A3:A4">
    <cfRule type="duplicateValues" dxfId="6" priority="4"/>
  </conditionalFormatting>
  <conditionalFormatting sqref="B3:B4">
    <cfRule type="duplicateValues" dxfId="5" priority="5"/>
  </conditionalFormatting>
  <conditionalFormatting sqref="A3:A4">
    <cfRule type="duplicateValues" dxfId="4" priority="1"/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935C-21CA-44D8-8219-CBC7E815998F}">
  <dimension ref="A1:O6"/>
  <sheetViews>
    <sheetView workbookViewId="0">
      <selection activeCell="I13" sqref="I13"/>
    </sheetView>
  </sheetViews>
  <sheetFormatPr defaultRowHeight="15" x14ac:dyDescent="0.25"/>
  <cols>
    <col min="1" max="1" width="12.5703125" customWidth="1"/>
    <col min="2" max="2" width="13.42578125" customWidth="1"/>
    <col min="3" max="3" width="12.5703125" customWidth="1"/>
    <col min="4" max="4" width="15.42578125" customWidth="1"/>
    <col min="5" max="5" width="12.85546875" customWidth="1"/>
    <col min="6" max="6" width="11" customWidth="1"/>
    <col min="7" max="7" width="15" customWidth="1"/>
    <col min="8" max="8" width="21.42578125" customWidth="1"/>
    <col min="9" max="9" width="20" customWidth="1"/>
    <col min="10" max="10" width="17.140625" customWidth="1"/>
    <col min="11" max="11" width="15.140625" customWidth="1"/>
    <col min="12" max="12" width="16" customWidth="1"/>
    <col min="13" max="13" width="16.7109375" customWidth="1"/>
    <col min="14" max="14" width="15.140625" customWidth="1"/>
    <col min="15" max="15" width="11.85546875" customWidth="1"/>
  </cols>
  <sheetData>
    <row r="1" spans="1:15" ht="35.1" customHeight="1" x14ac:dyDescent="0.3">
      <c r="A1" s="18" t="s">
        <v>801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35.1" customHeight="1" x14ac:dyDescent="0.25">
      <c r="A2" s="3" t="s">
        <v>0</v>
      </c>
      <c r="B2" s="3" t="s">
        <v>1</v>
      </c>
      <c r="C2" s="3" t="s">
        <v>2</v>
      </c>
      <c r="D2" s="23" t="s">
        <v>36</v>
      </c>
      <c r="E2" s="3" t="s">
        <v>11</v>
      </c>
      <c r="F2" s="3" t="s">
        <v>3</v>
      </c>
      <c r="G2" s="3" t="s">
        <v>4</v>
      </c>
      <c r="H2" s="23" t="s">
        <v>25</v>
      </c>
      <c r="I2" s="23" t="s">
        <v>26</v>
      </c>
      <c r="J2" s="34" t="s">
        <v>48</v>
      </c>
      <c r="K2" s="34" t="s">
        <v>49</v>
      </c>
      <c r="L2" s="34" t="s">
        <v>12</v>
      </c>
      <c r="M2" s="34" t="s">
        <v>13</v>
      </c>
      <c r="N2" s="34" t="s">
        <v>22</v>
      </c>
      <c r="O2" s="3" t="s">
        <v>14</v>
      </c>
    </row>
    <row r="3" spans="1:15" ht="33" customHeight="1" x14ac:dyDescent="0.25">
      <c r="A3" s="1" t="s">
        <v>792</v>
      </c>
      <c r="B3" s="1" t="s">
        <v>793</v>
      </c>
      <c r="C3" s="1" t="s">
        <v>794</v>
      </c>
      <c r="D3" s="1" t="s">
        <v>117</v>
      </c>
      <c r="E3" s="1" t="s">
        <v>10</v>
      </c>
      <c r="F3" s="1" t="s">
        <v>89</v>
      </c>
      <c r="G3" s="1" t="s">
        <v>6</v>
      </c>
      <c r="H3" s="24" t="s">
        <v>45</v>
      </c>
      <c r="I3" s="56" t="s">
        <v>188</v>
      </c>
      <c r="J3" s="29"/>
      <c r="K3" s="29"/>
      <c r="L3" s="29" t="s">
        <v>61</v>
      </c>
      <c r="M3" s="29"/>
      <c r="N3" s="47">
        <v>1799000</v>
      </c>
      <c r="O3" s="29"/>
    </row>
    <row r="4" spans="1:15" ht="33" customHeight="1" x14ac:dyDescent="0.25">
      <c r="A4" s="1" t="s">
        <v>795</v>
      </c>
      <c r="B4" s="1" t="s">
        <v>796</v>
      </c>
      <c r="C4" s="1" t="s">
        <v>797</v>
      </c>
      <c r="D4" s="1" t="s">
        <v>117</v>
      </c>
      <c r="E4" s="1" t="s">
        <v>10</v>
      </c>
      <c r="F4" s="1" t="s">
        <v>7</v>
      </c>
      <c r="G4" s="1" t="s">
        <v>6</v>
      </c>
      <c r="H4" s="24" t="s">
        <v>45</v>
      </c>
      <c r="I4" s="56" t="s">
        <v>188</v>
      </c>
      <c r="J4" s="29"/>
      <c r="K4" s="29"/>
      <c r="L4" s="29" t="s">
        <v>61</v>
      </c>
      <c r="M4" s="29"/>
      <c r="N4" s="51">
        <v>1799000</v>
      </c>
      <c r="O4" s="29"/>
    </row>
    <row r="5" spans="1:15" ht="33" customHeight="1" x14ac:dyDescent="0.25">
      <c r="A5" s="1" t="s">
        <v>798</v>
      </c>
      <c r="B5" s="1" t="s">
        <v>799</v>
      </c>
      <c r="C5" s="1" t="s">
        <v>800</v>
      </c>
      <c r="D5" s="1" t="s">
        <v>37</v>
      </c>
      <c r="E5" s="1" t="s">
        <v>90</v>
      </c>
      <c r="F5" s="1" t="s">
        <v>42</v>
      </c>
      <c r="G5" s="1" t="s">
        <v>43</v>
      </c>
      <c r="H5" s="24" t="s">
        <v>45</v>
      </c>
      <c r="I5" s="56" t="s">
        <v>188</v>
      </c>
      <c r="J5" s="29" t="s">
        <v>59</v>
      </c>
      <c r="K5" s="29" t="s">
        <v>60</v>
      </c>
      <c r="L5" s="29" t="s">
        <v>61</v>
      </c>
      <c r="M5" s="29" t="s">
        <v>7</v>
      </c>
      <c r="N5" s="51">
        <v>6169000</v>
      </c>
      <c r="O5" s="29" t="s">
        <v>23</v>
      </c>
    </row>
    <row r="6" spans="1:15" ht="38.25" customHeight="1" x14ac:dyDescent="0.25">
      <c r="M6" s="61" t="s">
        <v>118</v>
      </c>
      <c r="N6" s="62">
        <f>SUM(N4:N5)</f>
        <v>7968000</v>
      </c>
    </row>
  </sheetData>
  <autoFilter ref="A2:O5" xr:uid="{DC93C727-5DD1-4A62-B115-6C869754F8E1}"/>
  <mergeCells count="1">
    <mergeCell ref="A1:O1"/>
  </mergeCells>
  <conditionalFormatting sqref="A2">
    <cfRule type="duplicateValues" dxfId="3" priority="2"/>
  </conditionalFormatting>
  <conditionalFormatting sqref="B2">
    <cfRule type="duplicateValues" dxfId="2" priority="1"/>
  </conditionalFormatting>
  <conditionalFormatting sqref="A3">
    <cfRule type="duplicateValues" dxfId="1" priority="3"/>
  </conditionalFormatting>
  <conditionalFormatting sqref="B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F2AB6-33A5-45B3-94CB-B3C3A31C2392}">
  <dimension ref="A1:E7"/>
  <sheetViews>
    <sheetView zoomScale="70" zoomScaleNormal="70" workbookViewId="0">
      <selection sqref="A1:E1"/>
    </sheetView>
  </sheetViews>
  <sheetFormatPr defaultRowHeight="15" x14ac:dyDescent="0.25"/>
  <cols>
    <col min="1" max="1" width="10.85546875" customWidth="1"/>
    <col min="2" max="2" width="30.5703125" customWidth="1"/>
    <col min="3" max="3" width="51.42578125" customWidth="1"/>
    <col min="4" max="4" width="88.7109375" customWidth="1"/>
    <col min="5" max="5" width="40.85546875" customWidth="1"/>
    <col min="6" max="6" width="30.5703125" customWidth="1"/>
  </cols>
  <sheetData>
    <row r="1" spans="1:5" ht="25.5" x14ac:dyDescent="0.25">
      <c r="A1" s="19" t="s">
        <v>20</v>
      </c>
      <c r="B1" s="20"/>
      <c r="C1" s="20"/>
      <c r="D1" s="20"/>
      <c r="E1" s="20"/>
    </row>
    <row r="2" spans="1:5" ht="82.5" customHeight="1" x14ac:dyDescent="0.25">
      <c r="A2" s="5" t="s">
        <v>15</v>
      </c>
      <c r="B2" s="6" t="s">
        <v>16</v>
      </c>
      <c r="C2" s="6" t="s">
        <v>17</v>
      </c>
      <c r="D2" s="6" t="s">
        <v>18</v>
      </c>
      <c r="E2" s="7" t="s">
        <v>19</v>
      </c>
    </row>
    <row r="3" spans="1:5" ht="264.75" customHeight="1" x14ac:dyDescent="0.25">
      <c r="A3" s="12">
        <v>1</v>
      </c>
      <c r="B3" s="9" t="s">
        <v>53</v>
      </c>
      <c r="C3" s="13"/>
      <c r="D3" s="30" t="s">
        <v>51</v>
      </c>
      <c r="E3" s="14">
        <v>1500000</v>
      </c>
    </row>
    <row r="4" spans="1:5" ht="264.75" customHeight="1" x14ac:dyDescent="0.25">
      <c r="A4" s="12">
        <v>2</v>
      </c>
      <c r="B4" s="9" t="s">
        <v>54</v>
      </c>
      <c r="C4" s="26"/>
      <c r="D4" s="30" t="s">
        <v>52</v>
      </c>
      <c r="E4" s="14">
        <v>3250000</v>
      </c>
    </row>
    <row r="5" spans="1:5" ht="264.75" customHeight="1" x14ac:dyDescent="0.3">
      <c r="A5" s="8">
        <v>3</v>
      </c>
      <c r="B5" s="28" t="s">
        <v>56</v>
      </c>
      <c r="C5" s="10"/>
      <c r="D5" s="31" t="s">
        <v>55</v>
      </c>
      <c r="E5" s="14">
        <v>620000</v>
      </c>
    </row>
    <row r="6" spans="1:5" ht="264.75" customHeight="1" x14ac:dyDescent="0.3">
      <c r="A6" s="8">
        <v>4</v>
      </c>
      <c r="B6" s="9" t="s">
        <v>57</v>
      </c>
      <c r="C6" s="11"/>
      <c r="D6" s="32" t="s">
        <v>58</v>
      </c>
      <c r="E6" s="14">
        <v>1799000</v>
      </c>
    </row>
    <row r="7" spans="1:5" ht="30" x14ac:dyDescent="0.3">
      <c r="A7" s="11"/>
      <c r="B7" s="21" t="s">
        <v>24</v>
      </c>
      <c r="C7" s="27"/>
      <c r="D7" s="22"/>
      <c r="E7" s="17">
        <f>SUM(E3:E6)</f>
        <v>7169000</v>
      </c>
    </row>
  </sheetData>
  <mergeCells count="2">
    <mergeCell ref="A1:E1"/>
    <mergeCell ref="B7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TAL</vt:lpstr>
      <vt:lpstr>DAP1</vt:lpstr>
      <vt:lpstr>DAP3</vt:lpstr>
      <vt:lpstr>DAP5</vt:lpstr>
      <vt:lpstr>DAP4</vt:lpstr>
      <vt:lpstr>DUC</vt:lpstr>
      <vt:lpstr>GIACONG</vt:lpstr>
      <vt:lpstr>HAN3</vt:lpstr>
      <vt:lpstr>HAN5</vt:lpstr>
      <vt:lpstr>KAIFA</vt:lpstr>
      <vt:lpstr>KHUÂN MẪU</vt:lpstr>
      <vt:lpstr>TÀI VỤ</vt:lpstr>
      <vt:lpstr>KTSX</vt:lpstr>
      <vt:lpstr>QA</vt:lpstr>
      <vt:lpstr>QC</vt:lpstr>
      <vt:lpstr>LAPRAP</vt:lpstr>
      <vt:lpstr>QLK</vt:lpstr>
      <vt:lpstr>NHÂN SỰ</vt:lpstr>
      <vt:lpstr>THUMUA</vt:lpstr>
      <vt:lpstr>SON</vt:lpstr>
      <vt:lpstr>QLSX</vt:lpstr>
      <vt:lpstr>Y TE</vt:lpstr>
      <vt:lpstr>PC ERP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Manh Hoan</dc:creator>
  <cp:lastModifiedBy>Nguyen Manh Hoan</cp:lastModifiedBy>
  <dcterms:created xsi:type="dcterms:W3CDTF">2024-06-04T00:57:40Z</dcterms:created>
  <dcterms:modified xsi:type="dcterms:W3CDTF">2025-12-01T00:56:39Z</dcterms:modified>
</cp:coreProperties>
</file>