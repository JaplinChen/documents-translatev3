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192.168.20.202\MIS_Public\4.REPORTS\6.BC_THU_HAI_HANG_TUAN\2026\2026_01\26_01\Mr.Hoàn\Thiết bị báo hủy q4\"/>
    </mc:Choice>
  </mc:AlternateContent>
  <xr:revisionPtr revIDLastSave="0" documentId="13_ncr:1_{4C3D3C0C-4454-43E2-BA0E-1700DB2AB245}" xr6:coauthVersionLast="47" xr6:coauthVersionMax="47" xr10:uidLastSave="{00000000-0000-0000-0000-000000000000}"/>
  <bookViews>
    <workbookView xWindow="-120" yWindow="-120" windowWidth="24240" windowHeight="13020" activeTab="2" xr2:uid="{227E6EFC-9FE0-4D5F-82CB-A0FE59120932}"/>
  </bookViews>
  <sheets>
    <sheet name="TOTAL" sheetId="5" r:id="rId1"/>
    <sheet name="部門的報廢零件" sheetId="2" r:id="rId2"/>
    <sheet name="10-12" sheetId="6" r:id="rId3"/>
    <sheet name="清單 Danh sách " sheetId="1" r:id="rId4"/>
  </sheets>
  <definedNames>
    <definedName name="_xlnm._FilterDatabase" localSheetId="2" hidden="1">'10-12'!$A$6:$J$158</definedName>
    <definedName name="_xlnm._FilterDatabase" localSheetId="3" hidden="1">'清單 Danh sách '!$A$1:$M$151</definedName>
    <definedName name="_xlnm.Print_Area" localSheetId="2">'10-12'!$A$1:$J$173</definedName>
    <definedName name="Slicer_Đơn_vị_sử_dụng_使用單位">#N/A</definedName>
    <definedName name="Slicer_報廢月份">#N/A</definedName>
    <definedName name="Slicer_報廢月份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50" i="1" l="1"/>
  <c r="M149" i="1"/>
  <c r="M148" i="1"/>
  <c r="M147" i="1"/>
  <c r="G147" i="1"/>
  <c r="M146" i="1"/>
  <c r="G146" i="1"/>
  <c r="M145" i="1"/>
  <c r="G145" i="1"/>
  <c r="M144" i="1"/>
  <c r="G144" i="1"/>
  <c r="M143" i="1"/>
  <c r="G143" i="1"/>
  <c r="M142" i="1"/>
  <c r="G142" i="1"/>
  <c r="M141" i="1"/>
  <c r="G141" i="1"/>
  <c r="M140" i="1"/>
  <c r="G140" i="1"/>
  <c r="M139" i="1"/>
  <c r="G139" i="1"/>
  <c r="M138" i="1"/>
  <c r="G138" i="1"/>
  <c r="M137" i="1"/>
  <c r="G137" i="1"/>
  <c r="M136" i="1"/>
  <c r="G136" i="1"/>
  <c r="M135" i="1"/>
  <c r="G135" i="1"/>
  <c r="M134" i="1"/>
  <c r="G134" i="1"/>
  <c r="M133" i="1"/>
  <c r="G133" i="1"/>
  <c r="M132" i="1"/>
  <c r="G132" i="1"/>
  <c r="M131" i="1"/>
  <c r="G131" i="1"/>
  <c r="M130" i="1"/>
  <c r="G130" i="1"/>
  <c r="M129" i="1"/>
  <c r="G129" i="1"/>
  <c r="M128" i="1"/>
  <c r="G128" i="1"/>
  <c r="M127" i="1"/>
  <c r="G127" i="1"/>
  <c r="M126" i="1"/>
  <c r="G126" i="1"/>
  <c r="M125" i="1"/>
  <c r="G125" i="1"/>
  <c r="M124" i="1"/>
  <c r="G124" i="1"/>
  <c r="M123" i="1"/>
  <c r="G123" i="1"/>
  <c r="M122" i="1"/>
  <c r="G122" i="1"/>
  <c r="M121" i="1"/>
  <c r="G121" i="1"/>
  <c r="M120" i="1"/>
  <c r="G120" i="1"/>
  <c r="M119" i="1"/>
  <c r="G119" i="1"/>
  <c r="M118" i="1"/>
  <c r="G118" i="1"/>
  <c r="M117" i="1"/>
  <c r="G117" i="1"/>
  <c r="M116" i="1"/>
  <c r="G116" i="1"/>
  <c r="M115" i="1"/>
  <c r="G115" i="1"/>
  <c r="M114" i="1"/>
  <c r="G114" i="1"/>
  <c r="M113" i="1"/>
  <c r="G113" i="1"/>
  <c r="M112" i="1"/>
  <c r="G112" i="1"/>
  <c r="M111" i="1"/>
  <c r="G111" i="1"/>
  <c r="M110" i="1"/>
  <c r="G110" i="1"/>
  <c r="M109" i="1"/>
  <c r="G109" i="1"/>
  <c r="M108" i="1"/>
  <c r="G108" i="1"/>
  <c r="M107" i="1"/>
  <c r="G107" i="1"/>
  <c r="M106" i="1"/>
  <c r="G106" i="1"/>
  <c r="M105" i="1"/>
  <c r="G105" i="1"/>
  <c r="M104" i="1"/>
  <c r="G104" i="1"/>
  <c r="M103" i="1"/>
  <c r="G103" i="1"/>
  <c r="M102" i="1"/>
  <c r="G102" i="1"/>
  <c r="M101" i="1"/>
  <c r="G101" i="1"/>
  <c r="M100" i="1"/>
  <c r="G100" i="1"/>
  <c r="M99" i="1"/>
  <c r="G99" i="1"/>
  <c r="M98" i="1"/>
  <c r="G98" i="1"/>
  <c r="M97" i="1"/>
  <c r="G97" i="1"/>
  <c r="M96" i="1"/>
  <c r="G96" i="1"/>
  <c r="M95" i="1"/>
  <c r="G95" i="1"/>
  <c r="M94" i="1"/>
  <c r="G94" i="1"/>
  <c r="M93" i="1"/>
  <c r="G93" i="1"/>
  <c r="M92" i="1"/>
  <c r="G92" i="1"/>
  <c r="M91" i="1"/>
  <c r="G91" i="1"/>
  <c r="M90" i="1"/>
  <c r="G90" i="1"/>
  <c r="M89" i="1"/>
  <c r="G89" i="1"/>
  <c r="M88" i="1"/>
  <c r="G88" i="1"/>
  <c r="M87" i="1"/>
  <c r="G87" i="1"/>
  <c r="M86" i="1"/>
  <c r="G86" i="1"/>
  <c r="M85" i="1"/>
  <c r="G85" i="1"/>
  <c r="M84" i="1"/>
  <c r="G84" i="1"/>
  <c r="M83" i="1"/>
  <c r="G83" i="1"/>
  <c r="M82" i="1"/>
  <c r="G82" i="1"/>
  <c r="M81" i="1"/>
  <c r="G81" i="1"/>
  <c r="M80" i="1"/>
  <c r="G80" i="1"/>
  <c r="M79" i="1"/>
  <c r="G79" i="1"/>
  <c r="M78" i="1"/>
  <c r="G78" i="1"/>
  <c r="M77" i="1"/>
  <c r="G77" i="1"/>
  <c r="M76" i="1"/>
  <c r="G76" i="1"/>
  <c r="M75" i="1"/>
  <c r="G75" i="1"/>
  <c r="M74" i="1"/>
  <c r="G74" i="1"/>
  <c r="M73" i="1"/>
  <c r="G73" i="1"/>
  <c r="M72" i="1"/>
  <c r="G72" i="1"/>
  <c r="M71" i="1"/>
  <c r="G71" i="1"/>
  <c r="M70" i="1"/>
  <c r="G70" i="1"/>
  <c r="M69" i="1"/>
  <c r="G69" i="1"/>
  <c r="M68" i="1"/>
  <c r="G68" i="1"/>
  <c r="M67" i="1"/>
  <c r="G67" i="1"/>
  <c r="M66" i="1"/>
  <c r="G66" i="1"/>
  <c r="M65" i="1"/>
  <c r="G65" i="1"/>
  <c r="M64" i="1"/>
  <c r="G64" i="1"/>
  <c r="M63" i="1"/>
  <c r="G63" i="1"/>
  <c r="M62" i="1"/>
  <c r="G62" i="1"/>
  <c r="M61" i="1"/>
  <c r="G61" i="1"/>
  <c r="M60" i="1"/>
  <c r="G60" i="1"/>
  <c r="M59" i="1"/>
  <c r="G59" i="1"/>
  <c r="M58" i="1"/>
  <c r="G58" i="1"/>
  <c r="M57" i="1"/>
  <c r="G57" i="1"/>
  <c r="M56" i="1"/>
  <c r="G56" i="1"/>
  <c r="M55" i="1"/>
  <c r="G55" i="1"/>
  <c r="M54" i="1"/>
  <c r="G54" i="1"/>
  <c r="M53" i="1"/>
  <c r="G53" i="1"/>
  <c r="M52" i="1"/>
  <c r="G52" i="1"/>
  <c r="M51" i="1"/>
  <c r="G51" i="1"/>
  <c r="M50" i="1"/>
  <c r="G50" i="1"/>
  <c r="M49" i="1"/>
  <c r="G49" i="1"/>
  <c r="M48" i="1"/>
  <c r="G48" i="1"/>
  <c r="M47" i="1"/>
  <c r="G47" i="1"/>
  <c r="M46" i="1"/>
  <c r="G46" i="1"/>
  <c r="M45" i="1"/>
  <c r="G45" i="1"/>
  <c r="M44" i="1"/>
  <c r="G44" i="1"/>
  <c r="M43" i="1"/>
  <c r="G43" i="1"/>
  <c r="M42" i="1"/>
  <c r="G42" i="1"/>
  <c r="M41" i="1"/>
  <c r="G41" i="1"/>
  <c r="M40" i="1"/>
  <c r="G40" i="1"/>
  <c r="M39" i="1"/>
  <c r="G39" i="1"/>
  <c r="M38" i="1"/>
  <c r="G38" i="1"/>
  <c r="M37" i="1"/>
  <c r="G37" i="1"/>
  <c r="M36" i="1"/>
  <c r="G36" i="1"/>
  <c r="M35" i="1"/>
  <c r="G35" i="1"/>
  <c r="M34" i="1"/>
  <c r="G34" i="1"/>
  <c r="M33" i="1"/>
  <c r="G33" i="1"/>
  <c r="M32" i="1"/>
  <c r="G32" i="1"/>
  <c r="M31" i="1"/>
  <c r="G31" i="1"/>
  <c r="M30" i="1"/>
  <c r="G30" i="1"/>
  <c r="M29" i="1"/>
  <c r="G29" i="1"/>
  <c r="M28" i="1"/>
  <c r="G28" i="1"/>
  <c r="M27" i="1"/>
  <c r="G27" i="1"/>
  <c r="M26" i="1"/>
  <c r="G26" i="1"/>
  <c r="M25" i="1"/>
  <c r="G25" i="1"/>
  <c r="M24" i="1"/>
  <c r="G24" i="1"/>
  <c r="M23" i="1"/>
  <c r="G23" i="1"/>
  <c r="M22" i="1"/>
  <c r="G22" i="1"/>
  <c r="M21" i="1"/>
  <c r="G21" i="1"/>
  <c r="M20" i="1"/>
  <c r="G20" i="1"/>
  <c r="M19" i="1"/>
  <c r="G19" i="1"/>
  <c r="M18" i="1"/>
  <c r="G18" i="1"/>
  <c r="M17" i="1"/>
  <c r="G17" i="1"/>
  <c r="M16" i="1"/>
  <c r="G16" i="1"/>
  <c r="M15" i="1"/>
  <c r="G15" i="1"/>
  <c r="M14" i="1"/>
  <c r="G14" i="1"/>
  <c r="M13" i="1"/>
  <c r="G13" i="1"/>
  <c r="M12" i="1"/>
  <c r="G12" i="1"/>
  <c r="M11" i="1"/>
  <c r="G11" i="1"/>
  <c r="M10" i="1"/>
  <c r="G10" i="1"/>
  <c r="M9" i="1"/>
  <c r="G9" i="1"/>
  <c r="M8" i="1"/>
  <c r="G8" i="1"/>
  <c r="M7" i="1"/>
  <c r="G7" i="1"/>
  <c r="M6" i="1"/>
  <c r="G6" i="1"/>
  <c r="M5" i="1"/>
  <c r="G5" i="1"/>
  <c r="M4" i="1"/>
  <c r="G4" i="1"/>
  <c r="M3" i="1"/>
  <c r="G3" i="1"/>
  <c r="M2" i="1"/>
  <c r="G2" i="1"/>
  <c r="M151" i="1" l="1"/>
</calcChain>
</file>

<file path=xl/sharedStrings.xml><?xml version="1.0" encoding="utf-8"?>
<sst xmlns="http://schemas.openxmlformats.org/spreadsheetml/2006/main" count="1964" uniqueCount="328">
  <si>
    <r>
      <t xml:space="preserve">STT
</t>
    </r>
    <r>
      <rPr>
        <b/>
        <sz val="11"/>
        <color rgb="FF0000FF"/>
        <rFont val="Times New Roman"/>
        <family val="1"/>
      </rPr>
      <t>序號</t>
    </r>
  </si>
  <si>
    <r>
      <t xml:space="preserve">Tên sản phẩm
</t>
    </r>
    <r>
      <rPr>
        <b/>
        <sz val="11"/>
        <color rgb="FF0000FF"/>
        <rFont val="Times New Roman"/>
        <family val="1"/>
      </rPr>
      <t>品名</t>
    </r>
  </si>
  <si>
    <r>
      <t xml:space="preserve">Số lượng
</t>
    </r>
    <r>
      <rPr>
        <b/>
        <sz val="11"/>
        <color rgb="FF0000FF"/>
        <rFont val="Times New Roman"/>
        <family val="1"/>
      </rPr>
      <t>數量</t>
    </r>
  </si>
  <si>
    <r>
      <t xml:space="preserve">Đơn vị
</t>
    </r>
    <r>
      <rPr>
        <b/>
        <sz val="11"/>
        <color rgb="FF0000FF"/>
        <rFont val="Times New Roman"/>
        <family val="1"/>
      </rPr>
      <t>單位</t>
    </r>
  </si>
  <si>
    <r>
      <t xml:space="preserve">NG Nguyên nhân hủy bỏ, tái chế (Theo phiếu báo cáo sự cố)
</t>
    </r>
    <r>
      <rPr>
        <b/>
        <sz val="11"/>
        <color rgb="FF0000FF"/>
        <rFont val="Times New Roman"/>
        <family val="1"/>
      </rPr>
      <t>原因</t>
    </r>
  </si>
  <si>
    <r>
      <t xml:space="preserve">Ngày báo hủy
</t>
    </r>
    <r>
      <rPr>
        <b/>
        <sz val="11"/>
        <color rgb="FF0000FF"/>
        <rFont val="Times New Roman"/>
        <family val="1"/>
      </rPr>
      <t>報廢日期</t>
    </r>
  </si>
  <si>
    <t>報廢月份</t>
  </si>
  <si>
    <r>
      <t xml:space="preserve">Đơn vị sử dụng
</t>
    </r>
    <r>
      <rPr>
        <b/>
        <sz val="11"/>
        <color rgb="FF0000FF"/>
        <rFont val="Times New Roman"/>
        <family val="1"/>
      </rPr>
      <t>使用單位</t>
    </r>
  </si>
  <si>
    <r>
      <t xml:space="preserve">Nhân viên
</t>
    </r>
    <r>
      <rPr>
        <b/>
        <sz val="11"/>
        <color rgb="FF0000FF"/>
        <rFont val="Times New Roman"/>
        <family val="1"/>
      </rPr>
      <t>員工</t>
    </r>
    <r>
      <rPr>
        <b/>
        <sz val="11"/>
        <color theme="1"/>
        <rFont val="Times New Roman"/>
        <family val="1"/>
      </rPr>
      <t xml:space="preserve"> </t>
    </r>
  </si>
  <si>
    <r>
      <t xml:space="preserve">Loại
</t>
    </r>
    <r>
      <rPr>
        <b/>
        <sz val="11"/>
        <color rgb="FF0000FF"/>
        <rFont val="Times New Roman"/>
        <family val="1"/>
      </rPr>
      <t>類別</t>
    </r>
  </si>
  <si>
    <r>
      <t xml:space="preserve">Chủng loại
</t>
    </r>
    <r>
      <rPr>
        <b/>
        <sz val="11"/>
        <color rgb="FF0000FF"/>
        <rFont val="Times New Roman"/>
        <family val="1"/>
      </rPr>
      <t>種類</t>
    </r>
  </si>
  <si>
    <r>
      <t xml:space="preserve">Giá trị khi báo phế
</t>
    </r>
    <r>
      <rPr>
        <b/>
        <sz val="12"/>
        <color rgb="FF0000FF"/>
        <rFont val="Times New Roman"/>
        <family val="1"/>
      </rPr>
      <t>單價</t>
    </r>
  </si>
  <si>
    <r>
      <t xml:space="preserve">Thành tiền
</t>
    </r>
    <r>
      <rPr>
        <b/>
        <sz val="12"/>
        <color rgb="FF0000FF"/>
        <rFont val="Times New Roman"/>
        <family val="1"/>
      </rPr>
      <t>總金額</t>
    </r>
  </si>
  <si>
    <r>
      <t xml:space="preserve">Nguyên nhân báo hủy
</t>
    </r>
    <r>
      <rPr>
        <b/>
        <sz val="12"/>
        <color rgb="FF0000FF"/>
        <rFont val="Times New Roman"/>
        <family val="1"/>
      </rPr>
      <t>報廢原因</t>
    </r>
  </si>
  <si>
    <r>
      <t xml:space="preserve">Bàn phím Genius-USB </t>
    </r>
    <r>
      <rPr>
        <sz val="14"/>
        <color rgb="FF0000FF"/>
        <rFont val="Times New Roman"/>
        <family val="1"/>
      </rPr>
      <t>鍵盤</t>
    </r>
  </si>
  <si>
    <t>PCS</t>
  </si>
  <si>
    <t>IT251000001</t>
  </si>
  <si>
    <t>Sơn X3
三廠塗裝</t>
  </si>
  <si>
    <t>Keyboard</t>
  </si>
  <si>
    <t>PC</t>
  </si>
  <si>
    <t xml:space="preserve">NG Trong quá trình sửa chữa
在維修過程
  </t>
  </si>
  <si>
    <r>
      <t>Chuột Fuhlen-USB </t>
    </r>
    <r>
      <rPr>
        <sz val="14"/>
        <color rgb="FF0000FF"/>
        <rFont val="Times New Roman"/>
        <family val="1"/>
      </rPr>
      <t>鼠標</t>
    </r>
  </si>
  <si>
    <t>IT01MS0004</t>
  </si>
  <si>
    <t>QLSX 生管部</t>
  </si>
  <si>
    <t>Mouse</t>
  </si>
  <si>
    <t>NG Trong quá trình sử dụng
   在生產過程</t>
  </si>
  <si>
    <t>Máy in kim EPSON LQ-310</t>
  </si>
  <si>
    <t>IT251000006</t>
  </si>
  <si>
    <t>QLK 倉管</t>
  </si>
  <si>
    <t>Dot matrix printer</t>
  </si>
  <si>
    <t>Printer</t>
  </si>
  <si>
    <t>NG    Trong quá trình sử dụng
   在生產過程</t>
  </si>
  <si>
    <t>UPS SANTAK 500VA</t>
  </si>
  <si>
    <t>IT251000007</t>
  </si>
  <si>
    <t>Khuôn mẫu 模具</t>
  </si>
  <si>
    <t>UPS</t>
  </si>
  <si>
    <t>Other</t>
  </si>
  <si>
    <t>Print Server D-Link DPR-1061</t>
  </si>
  <si>
    <t>IT251000009</t>
  </si>
  <si>
    <t>Tài vụ 財務</t>
  </si>
  <si>
    <t>Cụm sấy máy in Canon LBP251DW</t>
  </si>
  <si>
    <t>IT251000008</t>
  </si>
  <si>
    <t>Printer components</t>
  </si>
  <si>
    <r>
      <t xml:space="preserve">Bo mạch chủ Gigabyte Mainboard B360M </t>
    </r>
    <r>
      <rPr>
        <sz val="14"/>
        <color rgb="FF0000FF"/>
        <rFont val="Times New Roman"/>
        <family val="1"/>
      </rPr>
      <t>主板</t>
    </r>
  </si>
  <si>
    <t>IT251000010</t>
  </si>
  <si>
    <t>Thu Mua
採購</t>
  </si>
  <si>
    <t>Mainboard</t>
  </si>
  <si>
    <t>CPU Intel Core i3 8100 (4.20GHz, 6M, 4 Cores 4 Threads)</t>
  </si>
  <si>
    <t>Monitor</t>
  </si>
  <si>
    <t>Bộ nhớ trong RAM CORSAIR 4GB DDR4 (3200MHz)</t>
  </si>
  <si>
    <t>RAM</t>
  </si>
  <si>
    <r>
      <t xml:space="preserve">Ổ cứng máy tính Western Digital WD500GB HDD </t>
    </r>
    <r>
      <rPr>
        <sz val="14"/>
        <color rgb="FF0000FF"/>
        <rFont val="Times New Roman"/>
        <family val="1"/>
      </rPr>
      <t>硬盤</t>
    </r>
  </si>
  <si>
    <t>HDD</t>
  </si>
  <si>
    <r>
      <t xml:space="preserve">Đầu kim máy in LQ310 </t>
    </r>
    <r>
      <rPr>
        <sz val="14"/>
        <color rgb="FF0000FF"/>
        <rFont val="Times New Roman"/>
        <family val="1"/>
      </rPr>
      <t>列印頭</t>
    </r>
  </si>
  <si>
    <t>IT251000012</t>
  </si>
  <si>
    <t>Printer head</t>
  </si>
  <si>
    <t>PIN LAPTOP Asus K45V 10.8V 50Wh</t>
  </si>
  <si>
    <t>IT251000013</t>
  </si>
  <si>
    <t xml:space="preserve"> Battery</t>
  </si>
  <si>
    <t>Laptop</t>
  </si>
  <si>
    <t>Bàn phím Laptop Lenovo Thinkpad L480</t>
  </si>
  <si>
    <t>IT251000015</t>
  </si>
  <si>
    <t>Kinh doanh 業務</t>
  </si>
  <si>
    <t xml:space="preserve"> Ổ cứng SSD Western Digital Blue SA510 500GB</t>
  </si>
  <si>
    <t>IT251000016</t>
  </si>
  <si>
    <r>
      <t xml:space="preserve">Bàn phím Fuhlen-USB </t>
    </r>
    <r>
      <rPr>
        <sz val="14"/>
        <color rgb="FF0000FF"/>
        <rFont val="Times New Roman"/>
        <family val="1"/>
      </rPr>
      <t>鍵盤</t>
    </r>
  </si>
  <si>
    <t>IT251000018</t>
  </si>
  <si>
    <t>IT251000019</t>
  </si>
  <si>
    <t>Màn hình máy tính LG FLATRON (L1742S)</t>
  </si>
  <si>
    <t>IT251000020</t>
  </si>
  <si>
    <t>QC 品管</t>
  </si>
  <si>
    <t>Màn hình máy tính LG-L1724SE</t>
  </si>
  <si>
    <t>IT251000022</t>
  </si>
  <si>
    <t>Tổng Vụ
總務</t>
  </si>
  <si>
    <t>Tivi Casper 40 inch</t>
  </si>
  <si>
    <t>IT251000023</t>
  </si>
  <si>
    <t>Tivi</t>
  </si>
  <si>
    <t>IT251000024</t>
  </si>
  <si>
    <t>Màn hình máy tính Dell (E1913Sf)</t>
  </si>
  <si>
    <t>IT251000025</t>
  </si>
  <si>
    <r>
      <t xml:space="preserve">Nguồn Gamemax VP-450 </t>
    </r>
    <r>
      <rPr>
        <sz val="14"/>
        <color rgb="FF0000FF"/>
        <rFont val="Times New Roman"/>
        <family val="1"/>
      </rPr>
      <t>源</t>
    </r>
  </si>
  <si>
    <t>IT251000026</t>
  </si>
  <si>
    <t xml:space="preserve">Power </t>
  </si>
  <si>
    <t>IT251000027</t>
  </si>
  <si>
    <t>Máy in HP 2055</t>
  </si>
  <si>
    <t>IT251000029</t>
  </si>
  <si>
    <t>Màn hình LG 20MK400H-B 19.5Inch LED (20MK400H-B.ATV</t>
  </si>
  <si>
    <t>IT251000032</t>
  </si>
  <si>
    <t>Nhân sự 
人事</t>
  </si>
  <si>
    <t>Máy in Canon 2900</t>
  </si>
  <si>
    <t>IT251000035</t>
  </si>
  <si>
    <t>Đúc 壓鑄部</t>
  </si>
  <si>
    <t xml:space="preserve">Bộ lưu điện Cyber Power BU600E </t>
  </si>
  <si>
    <t>IT251000038</t>
  </si>
  <si>
    <t>XIMA
電鍍</t>
  </si>
  <si>
    <t>IT251000039</t>
  </si>
  <si>
    <t>Hàn X3 三廠焊接</t>
  </si>
  <si>
    <t>Quả đào kéo giấy 2900</t>
  </si>
  <si>
    <t>IT251000040</t>
  </si>
  <si>
    <t>Gia công 加工部</t>
  </si>
  <si>
    <t>Mainboard ASUS P8Z68-V LX</t>
  </si>
  <si>
    <t>IT251000042</t>
  </si>
  <si>
    <t>ATTT</t>
  </si>
  <si>
    <t>Bộ xử lý Intel® Core™ i7-3770</t>
  </si>
  <si>
    <t>CPU</t>
  </si>
  <si>
    <t xml:space="preserve">Bộ nhớ trong RAM Kingston 4GB (1x4GB) DDR4 3200Mhz </t>
  </si>
  <si>
    <t>IT251000044</t>
  </si>
  <si>
    <t>Dập X4 四廠沖壓</t>
  </si>
  <si>
    <r>
      <t>Chuột MISUMI-USB </t>
    </r>
    <r>
      <rPr>
        <sz val="14"/>
        <color rgb="FF0000FF"/>
        <rFont val="Times New Roman"/>
        <family val="1"/>
      </rPr>
      <t>鼠標</t>
    </r>
  </si>
  <si>
    <t>IT251000046</t>
  </si>
  <si>
    <t>Hàn X1 一廠焊接</t>
  </si>
  <si>
    <t>Bàn phím Mitsumi-USB 鍵盤</t>
  </si>
  <si>
    <t>IT251000047</t>
  </si>
  <si>
    <t>IT251000048</t>
  </si>
  <si>
    <t>KTKF 開發工程課</t>
  </si>
  <si>
    <t>Máy chấm công ZKTeco G2</t>
  </si>
  <si>
    <t>IT251000051</t>
  </si>
  <si>
    <t>chấm công</t>
  </si>
  <si>
    <t>PIN LAPTOP Lenovo thinkpad E480 11.1V 4.08Ah/45Wh</t>
  </si>
  <si>
    <t>IT251000056</t>
  </si>
  <si>
    <t>Dập X3 三廠沖壓</t>
  </si>
  <si>
    <t>IT251000058</t>
  </si>
  <si>
    <t>Kai-Fa 開發部</t>
  </si>
  <si>
    <r>
      <t xml:space="preserve">Bo mạch chủ Gigabyte B85M-DS2 </t>
    </r>
    <r>
      <rPr>
        <sz val="14"/>
        <color rgb="FF0000FF"/>
        <rFont val="Times New Roman"/>
        <family val="1"/>
      </rPr>
      <t>主板</t>
    </r>
  </si>
  <si>
    <t>IT251000059</t>
  </si>
  <si>
    <r>
      <t xml:space="preserve">Bộ vi xử lý Intel CPU Core i7-4770 3.40GHz ,84w 
</t>
    </r>
    <r>
      <rPr>
        <sz val="12.5"/>
        <color rgb="FF0000FF"/>
        <rFont val="Times New Roman"/>
        <family val="1"/>
      </rPr>
      <t xml:space="preserve">英特爾 Intel CPU Core i7-4770 3.40GHz ,84w </t>
    </r>
  </si>
  <si>
    <r>
      <t xml:space="preserve">Bộ nhớ trong ram Kingston 4Gb DDR3 Bus 1600Mhz </t>
    </r>
    <r>
      <rPr>
        <sz val="14"/>
        <color rgb="FF0000FF"/>
        <rFont val="Times New Roman"/>
        <family val="1"/>
      </rPr>
      <t>内存</t>
    </r>
  </si>
  <si>
    <r>
      <t xml:space="preserve">Ổ cứng máy tính Western Digital WD 1TB HDD </t>
    </r>
    <r>
      <rPr>
        <sz val="14"/>
        <color rgb="FF0000FF"/>
        <rFont val="Times New Roman"/>
        <family val="1"/>
      </rPr>
      <t>硬盤</t>
    </r>
  </si>
  <si>
    <t>IT251000060</t>
  </si>
  <si>
    <t>Formatter card máy in canon LBP251DW</t>
  </si>
  <si>
    <t>IT251000066</t>
  </si>
  <si>
    <t>Hàn X5 五廠焊接</t>
  </si>
  <si>
    <t>Ổ cứng HDD camera 4TB (TOSHIBA)</t>
  </si>
  <si>
    <t>IT251000068</t>
  </si>
  <si>
    <t>Dập X5 五廠沖壓</t>
  </si>
  <si>
    <t>Ổ cứng WDC WD5003AZEX-00K3CA0(500GB)</t>
  </si>
  <si>
    <t>IT251000070</t>
  </si>
  <si>
    <t>IT251000072</t>
  </si>
  <si>
    <t xml:space="preserve">PIN LAPTOP HP 240 G8 11.34V -41.04Wh </t>
  </si>
  <si>
    <t>IT251000076</t>
  </si>
  <si>
    <t>IT251000080</t>
  </si>
  <si>
    <t xml:space="preserve">Cáp kết nối HDMI </t>
  </si>
  <si>
    <t>IT251000081</t>
  </si>
  <si>
    <t>HDMI</t>
  </si>
  <si>
    <t>IT251000082</t>
  </si>
  <si>
    <r>
      <t xml:space="preserve">Bo mạch chủ Gigabyte H61M-DS2 </t>
    </r>
    <r>
      <rPr>
        <sz val="14"/>
        <color rgb="FF0000FF"/>
        <rFont val="Times New Roman"/>
        <family val="1"/>
      </rPr>
      <t>主板</t>
    </r>
  </si>
  <si>
    <t>IT251000083</t>
  </si>
  <si>
    <r>
      <t xml:space="preserve">CPU bộ xử lý Intel® Pentium® G1620 </t>
    </r>
    <r>
      <rPr>
        <sz val="14"/>
        <color rgb="FF0000FF"/>
        <rFont val="Times New Roman"/>
        <family val="1"/>
      </rPr>
      <t>處理器</t>
    </r>
  </si>
  <si>
    <r>
      <t xml:space="preserve">Ổ cứng máy tính Western Digital WD 250GB HDD </t>
    </r>
    <r>
      <rPr>
        <sz val="14"/>
        <color rgb="FF0000FF"/>
        <rFont val="Times New Roman"/>
        <family val="1"/>
      </rPr>
      <t>硬盤</t>
    </r>
  </si>
  <si>
    <t>IT251000084</t>
  </si>
  <si>
    <r>
      <t xml:space="preserve">Ổ cứng máy tính Western Digital WD 500GB HDD </t>
    </r>
    <r>
      <rPr>
        <sz val="14"/>
        <color rgb="FF0000FF"/>
        <rFont val="Times New Roman"/>
        <family val="1"/>
      </rPr>
      <t>硬盤</t>
    </r>
  </si>
  <si>
    <t>PIN LAPTOP HP Pavilion 14-CE3026 11.55V 41.9Wh</t>
  </si>
  <si>
    <t>IT251100003</t>
  </si>
  <si>
    <t>Mainboard ASUS Prime H510M-K</t>
  </si>
  <si>
    <t>IT251100005</t>
  </si>
  <si>
    <t>IT251100007</t>
  </si>
  <si>
    <t>Pin HT03XL(11.55V-41.9Wh)</t>
  </si>
  <si>
    <t>IT251100009</t>
  </si>
  <si>
    <t>Formatter card máy in LASERJET canon2900</t>
  </si>
  <si>
    <t>IT251100010</t>
  </si>
  <si>
    <t>Lắp ráp
組裝</t>
  </si>
  <si>
    <t>Ổ cứng máy tính Western Digital WD10EZEX-08WN4A0(1TB)</t>
  </si>
  <si>
    <t>IT251100012</t>
  </si>
  <si>
    <t>IT251100013</t>
  </si>
  <si>
    <t>IT251100014</t>
  </si>
  <si>
    <t>IT251100017</t>
  </si>
  <si>
    <t xml:space="preserve">Nguồn ORIENT ATX650 </t>
  </si>
  <si>
    <t>IT251100019</t>
  </si>
  <si>
    <t>IT251100021</t>
  </si>
  <si>
    <t>Cụm sấy máy in Canon 2900</t>
  </si>
  <si>
    <t>IT251100026</t>
  </si>
  <si>
    <t>Bàn phím Laptop Dell PRECISION-M6800</t>
  </si>
  <si>
    <t>IT251100027</t>
  </si>
  <si>
    <t>Màn hình DELL E2016HV</t>
  </si>
  <si>
    <t>IT251100031</t>
  </si>
  <si>
    <t>IT251100032</t>
  </si>
  <si>
    <t>IT251100033</t>
  </si>
  <si>
    <t>Nguồn máy tính FSP Power Supply AX Series 500ATX</t>
  </si>
  <si>
    <t>IT251100036</t>
  </si>
  <si>
    <t>Sơn X1 一廠塗裝</t>
  </si>
  <si>
    <t>Formatter card máy in canon LQ310</t>
  </si>
  <si>
    <t>IT251100037</t>
  </si>
  <si>
    <t>Ổ cứng máy tính HAN101 Western Digital WD10EZEX-08WN4A0(1TB)</t>
  </si>
  <si>
    <t>IT251100040</t>
  </si>
  <si>
    <t>Đầu phun mực máy in màu Canon IX6770</t>
  </si>
  <si>
    <t>IT251100041</t>
  </si>
  <si>
    <t>Máy in màu IX6770</t>
  </si>
  <si>
    <t>IT251100042</t>
  </si>
  <si>
    <t xml:space="preserve">UPS SANTAK 500VA </t>
  </si>
  <si>
    <t>IT251100045</t>
  </si>
  <si>
    <t xml:space="preserve">Đầu ghi Camera Dahua DH-XVR5216AN </t>
  </si>
  <si>
    <t>IT251100047</t>
  </si>
  <si>
    <t>Camera</t>
  </si>
  <si>
    <t>IT251100048</t>
  </si>
  <si>
    <t>Laptop Asus UX510U</t>
  </si>
  <si>
    <t>IT251100049</t>
  </si>
  <si>
    <t>Camera Logitech Rally</t>
  </si>
  <si>
    <t>IT251100050</t>
  </si>
  <si>
    <t>Loa</t>
  </si>
  <si>
    <t>PIN LAPTOP Lenovo thinkpad L480 11.1V 4.08Ah/45Wh</t>
  </si>
  <si>
    <t>IT251100054</t>
  </si>
  <si>
    <t>IT251100055</t>
  </si>
  <si>
    <t xml:space="preserve">Formatter card máy in canon LQ310 bị NG </t>
  </si>
  <si>
    <t>IT251100062</t>
  </si>
  <si>
    <t xml:space="preserve">Đầu phun mực máy in màu Canon IX6770 </t>
  </si>
  <si>
    <t>IT251100064</t>
  </si>
  <si>
    <t>IT251100065</t>
  </si>
  <si>
    <t>IT251100068</t>
  </si>
  <si>
    <t>UPS Cyber Power BU600</t>
  </si>
  <si>
    <t>IT251100069</t>
  </si>
  <si>
    <t>Nguồn máy tính GAMEMAX VP-450</t>
  </si>
  <si>
    <t>IT251100071</t>
  </si>
  <si>
    <t>Màn hình máy tính DELL E2016H</t>
  </si>
  <si>
    <t>IT251200001</t>
  </si>
  <si>
    <t>KTSX 生技部</t>
  </si>
  <si>
    <t xml:space="preserve"> Bo mạch nguồn may in canon223dw</t>
  </si>
  <si>
    <t>IT251200003</t>
  </si>
  <si>
    <t>Dập X1 一廠沖壓</t>
  </si>
  <si>
    <t>Hộp mực 81A</t>
  </si>
  <si>
    <t>IT251200006</t>
  </si>
  <si>
    <t>XNK 進出口</t>
  </si>
  <si>
    <t>IT251200007</t>
  </si>
  <si>
    <t>IT251200010</t>
  </si>
  <si>
    <t>IT251200011</t>
  </si>
  <si>
    <t>IT251200014</t>
  </si>
  <si>
    <t>IT251200016</t>
  </si>
  <si>
    <t>IT251200018</t>
  </si>
  <si>
    <t>Nguồn máy tính COOLERPLUS ATX 500 </t>
  </si>
  <si>
    <t>IT251200020</t>
  </si>
  <si>
    <t>IT251200022</t>
  </si>
  <si>
    <t>IT251200023</t>
  </si>
  <si>
    <r>
      <t xml:space="preserve">CPU bộ xử lý Intel® Pentium® G1630 </t>
    </r>
    <r>
      <rPr>
        <sz val="14"/>
        <color rgb="FF0000FF"/>
        <rFont val="Times New Roman"/>
        <family val="1"/>
      </rPr>
      <t>處理器</t>
    </r>
  </si>
  <si>
    <r>
      <t xml:space="preserve">Ổ cứng máy tính Western Digital WD 160GB HDD </t>
    </r>
    <r>
      <rPr>
        <sz val="14"/>
        <color rgb="FF0000FF"/>
        <rFont val="Times New Roman"/>
        <family val="1"/>
      </rPr>
      <t>硬盤</t>
    </r>
  </si>
  <si>
    <t>Vỏ mặt A laptop HP 240 G8</t>
  </si>
  <si>
    <t>IT251200024</t>
  </si>
  <si>
    <t>Chuột Newmen-USB</t>
  </si>
  <si>
    <t>IT251200025</t>
  </si>
  <si>
    <t>IT251200026</t>
  </si>
  <si>
    <t xml:space="preserve">RAM Kingston 4GB (1x4GB) DDR4 3200Mhz </t>
  </si>
  <si>
    <t>Cụm sấy máy in HP M401</t>
  </si>
  <si>
    <t>IT251200027</t>
  </si>
  <si>
    <t>IT251200032</t>
  </si>
  <si>
    <t>IT251200035</t>
  </si>
  <si>
    <t>IT251200036</t>
  </si>
  <si>
    <r>
      <t xml:space="preserve">CPU bộ xử lý Intel® Pentium® G2020 </t>
    </r>
    <r>
      <rPr>
        <sz val="14"/>
        <color rgb="FF0000FF"/>
        <rFont val="Times New Roman"/>
        <family val="1"/>
      </rPr>
      <t>處理器</t>
    </r>
  </si>
  <si>
    <t>IT251200038</t>
  </si>
  <si>
    <t>IT251200043</t>
  </si>
  <si>
    <t>Formatter card máy in canon LBP223DW</t>
  </si>
  <si>
    <t>IT251200047</t>
  </si>
  <si>
    <t>Máy in HP M401</t>
  </si>
  <si>
    <t>IT251200049</t>
  </si>
  <si>
    <t>IT251200050</t>
  </si>
  <si>
    <t>CPU Intel Core i3 9100 (4.20GHz, 6M, 4 Cores 4 Threads)</t>
  </si>
  <si>
    <t>IT251200051</t>
  </si>
  <si>
    <t>IT251200052</t>
  </si>
  <si>
    <t>Bộ vỏ laptop Lenovo Thinkpad E590</t>
  </si>
  <si>
    <t>IT251200054</t>
  </si>
  <si>
    <t>Vỏ</t>
  </si>
  <si>
    <t>IT251200056</t>
  </si>
  <si>
    <t>IT251200066</t>
  </si>
  <si>
    <t>IT251200067</t>
  </si>
  <si>
    <t>PIN LAPTOP Asus Gaming ROG Strix G531 11.4V 48Wh</t>
  </si>
  <si>
    <t>IT251200069</t>
  </si>
  <si>
    <t>Chuột GENIUS-USB</t>
  </si>
  <si>
    <t>IT251200071</t>
  </si>
  <si>
    <t>Y tế X3 三廠醫務室</t>
  </si>
  <si>
    <r>
      <t xml:space="preserve">Hộp Cartridge máy in 57A
</t>
    </r>
    <r>
      <rPr>
        <sz val="12.5"/>
        <color rgb="FF0000FF"/>
        <rFont val="Times New Roman"/>
        <family val="1"/>
      </rPr>
      <t>57A 打印機 Cartridge 盒</t>
    </r>
  </si>
  <si>
    <t>hộp 盒</t>
  </si>
  <si>
    <t>Tái sử dụng nhiều lần
再使用多次</t>
  </si>
  <si>
    <t>MIS 資訊室</t>
  </si>
  <si>
    <r>
      <t xml:space="preserve">Hộp Cartridge máy in 80A
</t>
    </r>
    <r>
      <rPr>
        <sz val="12.5"/>
        <color rgb="FF0000FF"/>
        <rFont val="Times New Roman"/>
        <family val="1"/>
      </rPr>
      <t>80A 打印機 Cartridge 盒</t>
    </r>
  </si>
  <si>
    <r>
      <t xml:space="preserve">Hộp Cartridge máy in 12A
</t>
    </r>
    <r>
      <rPr>
        <sz val="12.5"/>
        <color rgb="FF0000FF"/>
        <rFont val="Times New Roman"/>
        <family val="1"/>
      </rPr>
      <t>12A 打印機 Cartridge 盒</t>
    </r>
  </si>
  <si>
    <t>Đơn vị sử dụng
使用單位</t>
  </si>
  <si>
    <t>(All)</t>
  </si>
  <si>
    <t>Row Labels</t>
  </si>
  <si>
    <t>(blank)</t>
  </si>
  <si>
    <t>Grand Total</t>
  </si>
  <si>
    <t>Count of Đơn vị sử dụng
使用單位</t>
  </si>
  <si>
    <r>
      <t>Bộ phận: MIS</t>
    </r>
    <r>
      <rPr>
        <b/>
        <sz val="14"/>
        <rFont val="Times New Roman"/>
        <family val="1"/>
      </rPr>
      <t xml:space="preserve">
</t>
    </r>
    <r>
      <rPr>
        <b/>
        <sz val="14"/>
        <color rgb="FF0000FF"/>
        <rFont val="Microsoft JhengHei"/>
        <family val="2"/>
      </rPr>
      <t>部門：</t>
    </r>
    <r>
      <rPr>
        <b/>
        <sz val="14"/>
        <color rgb="FF0000FF"/>
        <rFont val="Times New Roman"/>
        <family val="1"/>
      </rPr>
      <t>MIS</t>
    </r>
  </si>
  <si>
    <r>
      <rPr>
        <b/>
        <sz val="14"/>
        <rFont val="Times New Roman"/>
        <family val="1"/>
      </rPr>
      <t xml:space="preserve">PHIẾU BÁO HỦY, TÁI CHẾ
</t>
    </r>
    <r>
      <rPr>
        <b/>
        <sz val="13"/>
        <color rgb="FF0000FF"/>
        <rFont val="Microsoft JhengHei"/>
        <family val="2"/>
      </rPr>
      <t>報廢</t>
    </r>
    <r>
      <rPr>
        <b/>
        <sz val="13"/>
        <color rgb="FF0000FF"/>
        <rFont val="Times New Roman"/>
        <family val="1"/>
      </rPr>
      <t>/</t>
    </r>
    <r>
      <rPr>
        <b/>
        <sz val="13"/>
        <color rgb="FF0000FF"/>
        <rFont val="Microsoft JhengHei"/>
        <family val="2"/>
      </rPr>
      <t>再生單</t>
    </r>
  </si>
  <si>
    <t>Q-P-20-05</t>
  </si>
  <si>
    <r>
      <rPr>
        <b/>
        <sz val="13"/>
        <rFont val="Times New Roman"/>
        <family val="1"/>
      </rPr>
      <t xml:space="preserve">NG   Trong quá trình sử dụng
</t>
    </r>
    <r>
      <rPr>
        <b/>
        <sz val="13"/>
        <color rgb="FF0000FF"/>
        <rFont val="Microsoft JhengHei"/>
        <family val="2"/>
      </rPr>
      <t xml:space="preserve">   在生產過程</t>
    </r>
  </si>
  <si>
    <t>01/07/2025</t>
  </si>
  <si>
    <t>v</t>
  </si>
  <si>
    <t>Chuột Fuhlen-USB</t>
  </si>
  <si>
    <r>
      <t xml:space="preserve">Bộ vi xử lý Intel CPU Core i7-4790 3.40GHz ,84w </t>
    </r>
    <r>
      <rPr>
        <sz val="14"/>
        <color rgb="FF0000FF"/>
        <rFont val="Times New Roman"/>
        <family val="1"/>
      </rPr>
      <t>處理器</t>
    </r>
  </si>
  <si>
    <t>Nguồn máy tính GAMEMAX VP-500</t>
  </si>
  <si>
    <t>RAM CORSAIR 4GB DDR4 (3200MHz)</t>
  </si>
  <si>
    <r>
      <t xml:space="preserve">Hộp Cartridge máy in 57A
</t>
    </r>
    <r>
      <rPr>
        <sz val="14"/>
        <color rgb="FF0000FF"/>
        <rFont val="Times New Roman"/>
        <family val="1"/>
      </rPr>
      <t>57A 打印機 Cartridge 盒</t>
    </r>
  </si>
  <si>
    <r>
      <t xml:space="preserve">Hộp Cartridge máy in 80A
</t>
    </r>
    <r>
      <rPr>
        <sz val="14"/>
        <color rgb="FF0000FF"/>
        <rFont val="Times New Roman"/>
        <family val="1"/>
      </rPr>
      <t>80A 打印機 Cartridge 盒</t>
    </r>
  </si>
  <si>
    <r>
      <t xml:space="preserve">Hộp Cartridge máy in 12A
</t>
    </r>
    <r>
      <rPr>
        <sz val="14"/>
        <color rgb="FF0000FF"/>
        <rFont val="Times New Roman"/>
        <family val="1"/>
      </rPr>
      <t>12A 打印機 Cartridge 盒</t>
    </r>
  </si>
  <si>
    <r>
      <t xml:space="preserve">Nơi lưu: Bộ phận báo hủy lưu bản gốc, bộ phận liên quan lưu bản sao
</t>
    </r>
    <r>
      <rPr>
        <sz val="14"/>
        <color rgb="FF0000FF"/>
        <rFont val="Microsoft JhengHei"/>
        <family val="2"/>
      </rPr>
      <t>存檔：報廢部門保留正版，相關部門保留副本</t>
    </r>
  </si>
  <si>
    <r>
      <t xml:space="preserve">Thời gian lưu: Năm lập + 01 năm
</t>
    </r>
    <r>
      <rPr>
        <sz val="14"/>
        <color rgb="FF0000FF"/>
        <rFont val="Microsoft JhengHei"/>
        <family val="2"/>
      </rPr>
      <t>存檔時間：開啟年</t>
    </r>
    <r>
      <rPr>
        <sz val="14"/>
        <color rgb="FF0000FF"/>
        <rFont val="Times New Roman"/>
        <family val="1"/>
      </rPr>
      <t xml:space="preserve"> +  01 </t>
    </r>
    <r>
      <rPr>
        <sz val="14"/>
        <color rgb="FF0000FF"/>
        <rFont val="Microsoft JhengHei"/>
        <family val="2"/>
      </rPr>
      <t>年</t>
    </r>
  </si>
  <si>
    <r>
      <t xml:space="preserve">Phương pháp hủy: Cắt/Đốt
</t>
    </r>
    <r>
      <rPr>
        <sz val="14"/>
        <color rgb="FF0000FF"/>
        <rFont val="Microsoft JhengHei"/>
        <family val="2"/>
      </rPr>
      <t>報廢方式：切割</t>
    </r>
    <r>
      <rPr>
        <sz val="14"/>
        <color rgb="FF0000FF"/>
        <rFont val="Times New Roman"/>
        <family val="1"/>
      </rPr>
      <t>/</t>
    </r>
    <r>
      <rPr>
        <sz val="14"/>
        <color rgb="FF0000FF"/>
        <rFont val="Microsoft JhengHei"/>
        <family val="2"/>
      </rPr>
      <t>燃燒</t>
    </r>
  </si>
  <si>
    <t>Sum of Thành tiền
總金額</t>
  </si>
  <si>
    <t>Chủng loại
種類</t>
  </si>
  <si>
    <t>Tổng Vụ</t>
  </si>
  <si>
    <t>Màn hình máy tính LG 20MK400H-B</t>
  </si>
  <si>
    <t>KTKF</t>
  </si>
  <si>
    <t>Dập X3</t>
  </si>
  <si>
    <t>RAM Kingston 4GB DDR3 1333MHz</t>
  </si>
  <si>
    <t>Hàn X5</t>
  </si>
  <si>
    <t>ổ cứng HDD camera 4TB (TOSHIBA)</t>
  </si>
  <si>
    <t xml:space="preserve">Bàn phím Fuhlen-USB </t>
  </si>
  <si>
    <t>Hàn X3</t>
  </si>
  <si>
    <t>Lắp ráp</t>
  </si>
  <si>
    <t>Cụm sấy máy in Canon LBP223DW</t>
  </si>
  <si>
    <t xml:space="preserve">Bàn phím Genius-USB </t>
  </si>
  <si>
    <t>Hàn X1</t>
  </si>
  <si>
    <t>Dập X4</t>
  </si>
  <si>
    <t>Dập X5</t>
  </si>
  <si>
    <t>Nhân Sự</t>
  </si>
  <si>
    <t>KTSX</t>
  </si>
  <si>
    <t>Dập X1</t>
  </si>
  <si>
    <t>Tài Vụ</t>
  </si>
  <si>
    <t>Đúc</t>
  </si>
  <si>
    <t>Y Tế</t>
  </si>
  <si>
    <r>
      <t xml:space="preserve">STT
</t>
    </r>
    <r>
      <rPr>
        <b/>
        <sz val="14"/>
        <color rgb="FF0000FF"/>
        <rFont val="Times New Roman"/>
        <family val="1"/>
      </rPr>
      <t>序號</t>
    </r>
  </si>
  <si>
    <r>
      <t xml:space="preserve">Tên sản phẩm
</t>
    </r>
    <r>
      <rPr>
        <b/>
        <sz val="14"/>
        <color rgb="FF0000FF"/>
        <rFont val="Times New Roman"/>
        <family val="1"/>
      </rPr>
      <t>品名</t>
    </r>
  </si>
  <si>
    <r>
      <t xml:space="preserve">Số lượng
</t>
    </r>
    <r>
      <rPr>
        <b/>
        <sz val="14"/>
        <color rgb="FF0000FF"/>
        <rFont val="Times New Roman"/>
        <family val="1"/>
      </rPr>
      <t>數量</t>
    </r>
  </si>
  <si>
    <r>
      <t xml:space="preserve">Đơn vị
</t>
    </r>
    <r>
      <rPr>
        <b/>
        <sz val="14"/>
        <color rgb="FF0000FF"/>
        <rFont val="Times New Roman"/>
        <family val="1"/>
      </rPr>
      <t>單位</t>
    </r>
  </si>
  <si>
    <r>
      <t xml:space="preserve">NG Nguyên nhân hủy bỏ, tái chế (Theo phiếu báo cáo sự cố)
</t>
    </r>
    <r>
      <rPr>
        <b/>
        <sz val="14"/>
        <color rgb="FF0000FF"/>
        <rFont val="Times New Roman"/>
        <family val="1"/>
      </rPr>
      <t>原因</t>
    </r>
  </si>
  <si>
    <r>
      <t xml:space="preserve">Ngày báo hủy
</t>
    </r>
    <r>
      <rPr>
        <b/>
        <sz val="14"/>
        <color rgb="FF0000FF"/>
        <rFont val="Times New Roman"/>
        <family val="1"/>
      </rPr>
      <t>報廢日期</t>
    </r>
  </si>
  <si>
    <r>
      <t xml:space="preserve">Đơn vị sử dụng
</t>
    </r>
    <r>
      <rPr>
        <b/>
        <sz val="14"/>
        <color rgb="FF0000FF"/>
        <rFont val="Times New Roman"/>
        <family val="1"/>
      </rPr>
      <t>使用單位</t>
    </r>
    <r>
      <rPr>
        <b/>
        <sz val="14"/>
        <rFont val="Times New Roman"/>
        <family val="1"/>
      </rPr>
      <t xml:space="preserve">
</t>
    </r>
  </si>
  <si>
    <r>
      <t xml:space="preserve">Biện pháp xử lý
</t>
    </r>
    <r>
      <rPr>
        <b/>
        <sz val="14"/>
        <color rgb="FF0000FF"/>
        <rFont val="Times New Roman"/>
        <family val="1"/>
      </rPr>
      <t>處理方案</t>
    </r>
  </si>
  <si>
    <r>
      <t xml:space="preserve">Nhân viên
</t>
    </r>
    <r>
      <rPr>
        <b/>
        <sz val="14"/>
        <color rgb="FF0000FF"/>
        <rFont val="Times New Roman"/>
        <family val="1"/>
      </rPr>
      <t xml:space="preserve">員工 </t>
    </r>
  </si>
  <si>
    <r>
      <t xml:space="preserve">Hủy
</t>
    </r>
    <r>
      <rPr>
        <b/>
        <sz val="14"/>
        <color rgb="FF0000FF"/>
        <rFont val="Times New Roman"/>
        <family val="1"/>
      </rPr>
      <t>報廢</t>
    </r>
  </si>
  <si>
    <r>
      <t xml:space="preserve">Tái chế
</t>
    </r>
    <r>
      <rPr>
        <b/>
        <sz val="14"/>
        <color rgb="FF0000FF"/>
        <rFont val="Times New Roman"/>
        <family val="1"/>
      </rPr>
      <t>再生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</si>
</sst>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809]d/m/yyyy;@"/>
  </numFmts>
  <fonts count="35">
    <font>
      <sz val="12"/>
      <color theme="1"/>
      <name val="Times New Roman"/>
      <charset val="134"/>
    </font>
    <font>
      <sz val="11"/>
      <color theme="1"/>
      <name val="Calibri"/>
      <family val="2"/>
      <scheme val="minor"/>
    </font>
    <font>
      <sz val="10"/>
      <name val="Arial"/>
      <family val="2"/>
    </font>
    <font>
      <b/>
      <sz val="11"/>
      <name val="Times New Roman"/>
      <family val="1"/>
    </font>
    <font>
      <b/>
      <sz val="11"/>
      <color rgb="FF0000FF"/>
      <name val="Times New Roman"/>
      <family val="1"/>
    </font>
    <font>
      <b/>
      <sz val="11"/>
      <color theme="1"/>
      <name val="Times New Roman"/>
      <family val="1"/>
    </font>
    <font>
      <b/>
      <sz val="12"/>
      <color theme="1"/>
      <name val="Times New Roman"/>
      <family val="1"/>
    </font>
    <font>
      <b/>
      <sz val="12"/>
      <color rgb="FF0000FF"/>
      <name val="Times New Roman"/>
      <family val="1"/>
    </font>
    <font>
      <sz val="12"/>
      <name val="Times New Roman"/>
      <family val="1"/>
    </font>
    <font>
      <sz val="14"/>
      <color rgb="FF000000"/>
      <name val="Times New Roman"/>
      <family val="1"/>
    </font>
    <font>
      <sz val="14"/>
      <color rgb="FF0000FF"/>
      <name val="Times New Roman"/>
      <family val="1"/>
    </font>
    <font>
      <sz val="14"/>
      <name val="Times New Roman"/>
      <family val="1"/>
    </font>
    <font>
      <sz val="14"/>
      <color theme="1"/>
      <name val="Times New Roman"/>
      <family val="1"/>
    </font>
    <font>
      <sz val="12"/>
      <color rgb="FF000000"/>
      <name val="Times New Roman"/>
      <family val="1"/>
    </font>
    <font>
      <sz val="12"/>
      <color theme="1"/>
      <name val="Times New Roman"/>
      <family val="1"/>
    </font>
    <font>
      <sz val="11"/>
      <color theme="1"/>
      <name val="Times New Roman"/>
      <family val="1"/>
    </font>
    <font>
      <sz val="12.5"/>
      <color rgb="FF000000"/>
      <name val="Times New Roman"/>
      <family val="1"/>
    </font>
    <font>
      <sz val="13"/>
      <color theme="1"/>
      <name val="Times New Roman"/>
      <family val="1"/>
    </font>
    <font>
      <sz val="12.5"/>
      <color rgb="FF0000FF"/>
      <name val="Times New Roman"/>
      <family val="1"/>
    </font>
    <font>
      <sz val="11"/>
      <color theme="1"/>
      <name val="Microsoft JhengHei"/>
      <family val="2"/>
    </font>
    <font>
      <sz val="12.5"/>
      <name val="Times New Roman"/>
      <family val="1"/>
    </font>
    <font>
      <sz val="12.5"/>
      <color theme="1"/>
      <name val="Times New Roman"/>
      <family val="1"/>
    </font>
    <font>
      <u/>
      <sz val="12"/>
      <color theme="10"/>
      <name val="Times New Roman"/>
      <family val="1"/>
    </font>
    <font>
      <b/>
      <sz val="18"/>
      <color rgb="FFFF0000"/>
      <name val="Times New Roman"/>
      <family val="1"/>
    </font>
    <font>
      <b/>
      <sz val="16"/>
      <name val="Times New Roman"/>
      <family val="1"/>
    </font>
    <font>
      <b/>
      <sz val="14"/>
      <name val="Times New Roman"/>
      <family val="1"/>
    </font>
    <font>
      <b/>
      <sz val="14"/>
      <color rgb="FF0000FF"/>
      <name val="Microsoft JhengHei"/>
      <family val="2"/>
    </font>
    <font>
      <b/>
      <sz val="14"/>
      <color rgb="FF0000FF"/>
      <name val="Times New Roman"/>
      <family val="1"/>
    </font>
    <font>
      <sz val="11"/>
      <name val="Times New Roman"/>
      <family val="1"/>
    </font>
    <font>
      <b/>
      <sz val="13"/>
      <color rgb="FF0000FF"/>
      <name val="Microsoft JhengHei"/>
      <family val="2"/>
    </font>
    <font>
      <b/>
      <sz val="13"/>
      <color rgb="FF0000FF"/>
      <name val="Times New Roman"/>
      <family val="1"/>
    </font>
    <font>
      <b/>
      <sz val="12"/>
      <name val="Times New Roman"/>
      <family val="1"/>
    </font>
    <font>
      <b/>
      <sz val="13"/>
      <name val="Times New Roman"/>
      <family val="1"/>
    </font>
    <font>
      <sz val="14"/>
      <color rgb="FF0000FF"/>
      <name val="Microsoft JhengHei"/>
      <family val="2"/>
    </font>
    <font>
      <b/>
      <sz val="14"/>
      <color theme="1"/>
      <name val="Times New Roman"/>
      <family val="1"/>
    </font>
  </fonts>
  <fills count="6">
    <fill>
      <patternFill patternType="none"/>
    </fill>
    <fill>
      <patternFill patternType="gray125"/>
    </fill>
    <fill>
      <patternFill patternType="solid">
        <fgColor theme="8" tint="0.59999389629810485"/>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5">
    <xf numFmtId="0" fontId="0" fillId="0" borderId="0"/>
    <xf numFmtId="0" fontId="2" fillId="0" borderId="0"/>
    <xf numFmtId="0" fontId="14" fillId="0" borderId="0"/>
    <xf numFmtId="0" fontId="1" fillId="0" borderId="0">
      <alignment vertical="center"/>
    </xf>
    <xf numFmtId="0" fontId="22" fillId="0" borderId="0" applyNumberFormat="0" applyFill="0" applyBorder="0" applyAlignment="0" applyProtection="0"/>
  </cellStyleXfs>
  <cellXfs count="128">
    <xf numFmtId="0" fontId="0" fillId="0" borderId="0" xfId="0"/>
    <xf numFmtId="0" fontId="3" fillId="2" borderId="1" xfId="1" applyFont="1" applyFill="1" applyBorder="1" applyAlignment="1">
      <alignment horizontal="center" vertical="center" wrapText="1"/>
    </xf>
    <xf numFmtId="0" fontId="5" fillId="2" borderId="1" xfId="1" applyFont="1" applyFill="1" applyBorder="1" applyAlignment="1">
      <alignment horizontal="center" vertical="center" wrapText="1"/>
    </xf>
    <xf numFmtId="0" fontId="5" fillId="2" borderId="1" xfId="0" applyFont="1" applyFill="1" applyBorder="1" applyAlignment="1">
      <alignment horizontal="center" vertical="center" wrapText="1"/>
    </xf>
    <xf numFmtId="3" fontId="6" fillId="2" borderId="1"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wrapText="1"/>
    </xf>
    <xf numFmtId="0" fontId="0" fillId="0" borderId="0" xfId="0" applyAlignment="1">
      <alignment horizontal="center"/>
    </xf>
    <xf numFmtId="0" fontId="8" fillId="0" borderId="2" xfId="1" applyFont="1" applyBorder="1" applyAlignment="1">
      <alignment horizontal="center" vertical="center" wrapText="1"/>
    </xf>
    <xf numFmtId="0" fontId="9" fillId="0" borderId="2" xfId="0" applyFont="1" applyBorder="1" applyAlignment="1">
      <alignment vertical="center" wrapText="1"/>
    </xf>
    <xf numFmtId="0" fontId="11" fillId="3" borderId="2" xfId="1" applyFont="1" applyFill="1" applyBorder="1" applyAlignment="1">
      <alignment horizontal="center" vertical="center" wrapText="1"/>
    </xf>
    <xf numFmtId="0" fontId="11" fillId="3" borderId="2" xfId="1" quotePrefix="1" applyFont="1" applyFill="1" applyBorder="1" applyAlignment="1">
      <alignment horizontal="center" vertical="center" wrapText="1"/>
    </xf>
    <xf numFmtId="0" fontId="12" fillId="0" borderId="2" xfId="0" applyFont="1" applyBorder="1" applyAlignment="1">
      <alignment horizontal="center" vertical="center" wrapText="1"/>
    </xf>
    <xf numFmtId="14" fontId="12" fillId="0" borderId="2" xfId="0" applyNumberFormat="1" applyFont="1" applyBorder="1" applyAlignment="1">
      <alignment horizontal="center" vertical="center" wrapText="1"/>
    </xf>
    <xf numFmtId="1" fontId="13" fillId="0" borderId="3" xfId="0" applyNumberFormat="1" applyFont="1" applyBorder="1" applyAlignment="1">
      <alignment horizontal="center" vertical="center"/>
    </xf>
    <xf numFmtId="49" fontId="11" fillId="0" borderId="2" xfId="1" applyNumberFormat="1" applyFont="1" applyBorder="1" applyAlignment="1">
      <alignment horizontal="center" vertical="center" wrapText="1"/>
    </xf>
    <xf numFmtId="0" fontId="14" fillId="0" borderId="2" xfId="0" applyFont="1" applyBorder="1" applyAlignment="1">
      <alignment horizontal="center" vertical="center" wrapText="1"/>
    </xf>
    <xf numFmtId="3" fontId="14" fillId="0" borderId="2" xfId="0" applyNumberFormat="1" applyFont="1" applyBorder="1" applyAlignment="1">
      <alignment horizontal="center" vertical="center" wrapText="1"/>
    </xf>
    <xf numFmtId="0" fontId="14" fillId="0" borderId="2" xfId="0" applyFont="1" applyBorder="1" applyAlignment="1">
      <alignment horizontal="center" vertical="top" wrapText="1"/>
    </xf>
    <xf numFmtId="0" fontId="15" fillId="0" borderId="0" xfId="0" applyFont="1" applyAlignment="1">
      <alignment horizontal="center" vertical="center"/>
    </xf>
    <xf numFmtId="0" fontId="9" fillId="0" borderId="2" xfId="0" applyFont="1" applyBorder="1" applyAlignment="1">
      <alignment vertical="center"/>
    </xf>
    <xf numFmtId="49" fontId="12" fillId="0" borderId="2" xfId="0" applyNumberFormat="1" applyFont="1" applyBorder="1" applyAlignment="1">
      <alignment horizontal="center" vertical="center" wrapText="1"/>
    </xf>
    <xf numFmtId="0" fontId="12" fillId="4" borderId="2" xfId="0" applyFont="1" applyFill="1" applyBorder="1" applyAlignment="1">
      <alignment vertical="center" wrapText="1"/>
    </xf>
    <xf numFmtId="1" fontId="13" fillId="0" borderId="2" xfId="0" applyNumberFormat="1" applyFont="1" applyBorder="1" applyAlignment="1">
      <alignment horizontal="center" vertical="center"/>
    </xf>
    <xf numFmtId="49" fontId="12" fillId="0" borderId="2" xfId="2" applyNumberFormat="1" applyFont="1" applyBorder="1" applyAlignment="1">
      <alignment horizontal="center" vertical="center" wrapText="1"/>
    </xf>
    <xf numFmtId="0" fontId="9" fillId="4" borderId="2" xfId="0" applyFont="1" applyFill="1" applyBorder="1" applyAlignment="1">
      <alignment horizontal="left" vertical="center" wrapText="1"/>
    </xf>
    <xf numFmtId="0" fontId="9" fillId="0" borderId="2" xfId="0" applyFont="1" applyBorder="1" applyAlignment="1">
      <alignment horizontal="left" vertical="center" wrapText="1"/>
    </xf>
    <xf numFmtId="0" fontId="11" fillId="3" borderId="2" xfId="1" applyFont="1" applyFill="1" applyBorder="1" applyAlignment="1">
      <alignment horizontal="left" vertical="center" wrapText="1"/>
    </xf>
    <xf numFmtId="0" fontId="12" fillId="3" borderId="2" xfId="1" applyFont="1" applyFill="1" applyBorder="1" applyAlignment="1">
      <alignment horizontal="left" vertical="center" wrapText="1"/>
    </xf>
    <xf numFmtId="0" fontId="12" fillId="3" borderId="2" xfId="1" applyFont="1" applyFill="1" applyBorder="1" applyAlignment="1">
      <alignment vertical="center" wrapText="1"/>
    </xf>
    <xf numFmtId="0" fontId="12" fillId="0" borderId="2" xfId="0" applyFont="1" applyBorder="1" applyAlignment="1">
      <alignment horizontal="center" vertical="center"/>
    </xf>
    <xf numFmtId="49" fontId="12" fillId="0" borderId="4" xfId="0" applyNumberFormat="1" applyFont="1" applyBorder="1" applyAlignment="1">
      <alignment horizontal="center" vertical="center" wrapText="1"/>
    </xf>
    <xf numFmtId="14" fontId="12" fillId="0" borderId="4" xfId="0" applyNumberFormat="1" applyFont="1" applyBorder="1" applyAlignment="1">
      <alignment horizontal="center" vertical="center" wrapText="1"/>
    </xf>
    <xf numFmtId="0" fontId="16" fillId="0" borderId="2" xfId="0" applyFont="1" applyBorder="1" applyAlignment="1">
      <alignment horizontal="left" vertical="center" wrapText="1"/>
    </xf>
    <xf numFmtId="49" fontId="17" fillId="0" borderId="2" xfId="3" applyNumberFormat="1" applyFont="1" applyBorder="1" applyAlignment="1">
      <alignment horizontal="center" vertical="center" wrapText="1"/>
    </xf>
    <xf numFmtId="0" fontId="16" fillId="0" borderId="2" xfId="0" applyFont="1" applyBorder="1" applyAlignment="1">
      <alignment vertical="center" wrapText="1"/>
    </xf>
    <xf numFmtId="49" fontId="17" fillId="0" borderId="4" xfId="0" applyNumberFormat="1" applyFont="1" applyBorder="1" applyAlignment="1">
      <alignment horizontal="left" vertical="center" wrapText="1"/>
    </xf>
    <xf numFmtId="0" fontId="12" fillId="0" borderId="2" xfId="0" applyFont="1" applyBorder="1"/>
    <xf numFmtId="0" fontId="15" fillId="0" borderId="0" xfId="0" applyFont="1"/>
    <xf numFmtId="0" fontId="11" fillId="4" borderId="2" xfId="0" applyFont="1" applyFill="1" applyBorder="1" applyAlignment="1">
      <alignment vertical="center" wrapText="1"/>
    </xf>
    <xf numFmtId="49" fontId="17" fillId="0" borderId="2" xfId="3" applyNumberFormat="1" applyFont="1" applyBorder="1" applyAlignment="1">
      <alignment horizontal="center" vertical="center"/>
    </xf>
    <xf numFmtId="14" fontId="19" fillId="0" borderId="4" xfId="0" applyNumberFormat="1" applyFont="1" applyBorder="1" applyAlignment="1">
      <alignment wrapText="1"/>
    </xf>
    <xf numFmtId="0" fontId="15" fillId="0" borderId="2" xfId="2" applyFont="1" applyBorder="1" applyAlignment="1">
      <alignment horizontal="center" vertical="center" wrapText="1"/>
    </xf>
    <xf numFmtId="0" fontId="14" fillId="0" borderId="2" xfId="2" applyBorder="1" applyAlignment="1">
      <alignment horizontal="center" vertical="center" wrapText="1"/>
    </xf>
    <xf numFmtId="3" fontId="14" fillId="0" borderId="2" xfId="2" applyNumberFormat="1" applyBorder="1" applyAlignment="1">
      <alignment horizontal="center" vertical="center" wrapText="1"/>
    </xf>
    <xf numFmtId="0" fontId="8" fillId="3" borderId="2" xfId="1" applyFont="1" applyFill="1" applyBorder="1" applyAlignment="1">
      <alignment horizontal="center" vertical="center" wrapText="1"/>
    </xf>
    <xf numFmtId="0" fontId="8" fillId="3" borderId="2" xfId="1" quotePrefix="1" applyFont="1" applyFill="1" applyBorder="1" applyAlignment="1">
      <alignment horizontal="center" vertical="center" wrapText="1"/>
    </xf>
    <xf numFmtId="0" fontId="20" fillId="3" borderId="2" xfId="1" applyFont="1" applyFill="1" applyBorder="1" applyAlignment="1">
      <alignment horizontal="left" vertical="center" wrapText="1"/>
    </xf>
    <xf numFmtId="0" fontId="20" fillId="3" borderId="2" xfId="1" applyFont="1" applyFill="1" applyBorder="1" applyAlignment="1">
      <alignment horizontal="center" vertical="center" wrapText="1"/>
    </xf>
    <xf numFmtId="0" fontId="20" fillId="3" borderId="2" xfId="1" quotePrefix="1" applyFont="1" applyFill="1" applyBorder="1" applyAlignment="1">
      <alignment horizontal="center" vertical="center" wrapText="1"/>
    </xf>
    <xf numFmtId="0" fontId="20" fillId="3" borderId="5" xfId="1" applyFont="1" applyFill="1" applyBorder="1" applyAlignment="1">
      <alignment vertical="center" wrapText="1"/>
    </xf>
    <xf numFmtId="0" fontId="20" fillId="3" borderId="6" xfId="1" applyFont="1" applyFill="1" applyBorder="1" applyAlignment="1">
      <alignment vertical="center" wrapText="1"/>
    </xf>
    <xf numFmtId="0" fontId="20" fillId="3" borderId="3" xfId="1" applyFont="1" applyFill="1" applyBorder="1" applyAlignment="1">
      <alignment vertical="center" wrapText="1"/>
    </xf>
    <xf numFmtId="49" fontId="20" fillId="0" borderId="2" xfId="1" applyNumberFormat="1" applyFont="1" applyBorder="1" applyAlignment="1">
      <alignment horizontal="center" vertical="center" wrapText="1"/>
    </xf>
    <xf numFmtId="0" fontId="21" fillId="0" borderId="2" xfId="0" applyFont="1" applyBorder="1" applyAlignment="1">
      <alignment horizontal="center" vertical="center"/>
    </xf>
    <xf numFmtId="0" fontId="20" fillId="0" borderId="2" xfId="4" applyFont="1" applyBorder="1" applyAlignment="1">
      <alignment horizontal="left" vertical="center" wrapText="1"/>
    </xf>
    <xf numFmtId="0" fontId="14" fillId="0" borderId="0" xfId="0" applyFont="1" applyAlignment="1">
      <alignment horizontal="left" vertical="center" wrapText="1"/>
    </xf>
    <xf numFmtId="0" fontId="0" fillId="0" borderId="0" xfId="0" applyAlignment="1">
      <alignment horizontal="center" vertical="center"/>
    </xf>
    <xf numFmtId="164" fontId="0" fillId="0" borderId="0" xfId="0" applyNumberFormat="1" applyAlignment="1">
      <alignment horizontal="center" vertical="center"/>
    </xf>
    <xf numFmtId="0" fontId="14" fillId="0" borderId="0" xfId="0" applyFont="1" applyAlignment="1">
      <alignment horizontal="center" vertical="center" wrapText="1"/>
    </xf>
    <xf numFmtId="0" fontId="0" fillId="0" borderId="0" xfId="0" applyAlignment="1">
      <alignment horizontal="center" vertical="center" wrapText="1"/>
    </xf>
    <xf numFmtId="3" fontId="23" fillId="5" borderId="0" xfId="0" applyNumberFormat="1" applyFont="1" applyFill="1" applyAlignment="1">
      <alignment horizontal="center" vertical="center" wrapText="1"/>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0" fillId="0" borderId="2" xfId="0" applyBorder="1" applyAlignment="1">
      <alignment wrapText="1"/>
    </xf>
    <xf numFmtId="0" fontId="11" fillId="0" borderId="2" xfId="1" applyFont="1" applyBorder="1" applyAlignment="1">
      <alignment horizontal="center" vertical="center" wrapText="1"/>
    </xf>
    <xf numFmtId="0" fontId="14" fillId="0" borderId="0" xfId="0" applyFont="1" applyAlignment="1">
      <alignment horizontal="left" vertical="center"/>
    </xf>
    <xf numFmtId="0" fontId="11" fillId="0" borderId="2" xfId="4" applyFont="1" applyBorder="1" applyAlignment="1">
      <alignment horizontal="left" vertical="center" wrapText="1"/>
    </xf>
    <xf numFmtId="0" fontId="0" fillId="0" borderId="0" xfId="0" applyAlignment="1">
      <alignment horizontal="left" vertical="center" wrapText="1"/>
    </xf>
    <xf numFmtId="3" fontId="0" fillId="0" borderId="2" xfId="0" pivotButton="1" applyNumberFormat="1" applyBorder="1"/>
    <xf numFmtId="3" fontId="0" fillId="0" borderId="2" xfId="0" applyNumberFormat="1" applyBorder="1"/>
    <xf numFmtId="3" fontId="0" fillId="0" borderId="2" xfId="0" applyNumberFormat="1" applyBorder="1" applyAlignment="1">
      <alignment horizontal="left"/>
    </xf>
    <xf numFmtId="10" fontId="0" fillId="0" borderId="2" xfId="0" applyNumberFormat="1" applyBorder="1"/>
    <xf numFmtId="0" fontId="0" fillId="0" borderId="0" xfId="0" applyAlignment="1">
      <alignment horizontal="center"/>
    </xf>
    <xf numFmtId="0" fontId="11" fillId="3" borderId="2" xfId="1" applyFont="1" applyFill="1" applyBorder="1" applyAlignment="1">
      <alignment horizontal="center" vertical="center" wrapText="1"/>
    </xf>
    <xf numFmtId="0" fontId="25" fillId="3" borderId="7" xfId="1" applyFont="1" applyFill="1" applyBorder="1" applyAlignment="1">
      <alignment horizontal="center" vertical="center" wrapText="1"/>
    </xf>
    <xf numFmtId="0" fontId="24" fillId="3" borderId="5" xfId="1" applyFont="1" applyFill="1" applyBorder="1" applyAlignment="1">
      <alignment horizontal="center" vertical="center" wrapText="1"/>
    </xf>
    <xf numFmtId="0" fontId="24" fillId="3" borderId="6" xfId="1" applyFont="1" applyFill="1" applyBorder="1" applyAlignment="1">
      <alignment horizontal="center" vertical="center" wrapText="1"/>
    </xf>
    <xf numFmtId="0" fontId="24" fillId="3" borderId="3" xfId="1" applyFont="1" applyFill="1" applyBorder="1" applyAlignment="1">
      <alignment horizontal="center" vertical="center" wrapText="1"/>
    </xf>
    <xf numFmtId="0" fontId="28" fillId="3" borderId="7" xfId="1" applyFont="1" applyFill="1" applyBorder="1" applyAlignment="1">
      <alignment horizontal="center" wrapText="1"/>
    </xf>
    <xf numFmtId="0" fontId="28" fillId="3" borderId="8" xfId="1" applyFont="1" applyFill="1" applyBorder="1" applyAlignment="1">
      <alignment horizontal="center" wrapText="1"/>
    </xf>
    <xf numFmtId="0" fontId="28" fillId="3" borderId="10" xfId="1" applyFont="1" applyFill="1" applyBorder="1" applyAlignment="1">
      <alignment horizontal="center" wrapText="1"/>
    </xf>
    <xf numFmtId="0" fontId="28" fillId="3" borderId="11" xfId="1" applyFont="1" applyFill="1" applyBorder="1" applyAlignment="1">
      <alignment horizontal="center" wrapText="1"/>
    </xf>
    <xf numFmtId="0" fontId="28" fillId="3" borderId="12" xfId="1" applyFont="1" applyFill="1" applyBorder="1" applyAlignment="1">
      <alignment horizontal="center" wrapText="1"/>
    </xf>
    <xf numFmtId="0" fontId="28" fillId="3" borderId="14" xfId="1" applyFont="1" applyFill="1" applyBorder="1" applyAlignment="1">
      <alignment horizontal="center" wrapText="1"/>
    </xf>
    <xf numFmtId="0" fontId="25" fillId="3" borderId="7" xfId="1" applyFont="1" applyFill="1" applyBorder="1" applyAlignment="1">
      <alignment horizontal="center" vertical="center" wrapText="1"/>
    </xf>
    <xf numFmtId="0" fontId="25" fillId="3" borderId="9" xfId="1" applyFont="1" applyFill="1" applyBorder="1" applyAlignment="1">
      <alignment horizontal="center" vertical="center" wrapText="1"/>
    </xf>
    <xf numFmtId="0" fontId="25" fillId="3" borderId="8" xfId="1" applyFont="1" applyFill="1" applyBorder="1" applyAlignment="1">
      <alignment horizontal="center" vertical="center" wrapText="1"/>
    </xf>
    <xf numFmtId="0" fontId="25" fillId="3" borderId="12" xfId="1" applyFont="1" applyFill="1" applyBorder="1" applyAlignment="1">
      <alignment horizontal="center" vertical="center" wrapText="1"/>
    </xf>
    <xf numFmtId="0" fontId="25" fillId="3" borderId="13" xfId="1" applyFont="1" applyFill="1" applyBorder="1" applyAlignment="1">
      <alignment horizontal="center" vertical="center" wrapText="1"/>
    </xf>
    <xf numFmtId="0" fontId="25" fillId="3" borderId="14" xfId="1" applyFont="1" applyFill="1" applyBorder="1" applyAlignment="1">
      <alignment horizontal="center" vertical="center" wrapText="1"/>
    </xf>
    <xf numFmtId="0" fontId="31" fillId="3" borderId="7" xfId="1" applyFont="1" applyFill="1" applyBorder="1" applyAlignment="1">
      <alignment horizontal="center" vertical="center" wrapText="1"/>
    </xf>
    <xf numFmtId="0" fontId="31" fillId="3" borderId="9" xfId="1" applyFont="1" applyFill="1" applyBorder="1" applyAlignment="1">
      <alignment horizontal="center" vertical="center" wrapText="1"/>
    </xf>
    <xf numFmtId="0" fontId="31" fillId="3" borderId="8" xfId="1" applyFont="1" applyFill="1" applyBorder="1" applyAlignment="1">
      <alignment horizontal="center" vertical="center" wrapText="1"/>
    </xf>
    <xf numFmtId="0" fontId="31" fillId="3" borderId="12" xfId="1" applyFont="1" applyFill="1" applyBorder="1" applyAlignment="1">
      <alignment horizontal="center" vertical="center" wrapText="1"/>
    </xf>
    <xf numFmtId="0" fontId="31" fillId="3" borderId="13" xfId="1" applyFont="1" applyFill="1" applyBorder="1" applyAlignment="1">
      <alignment horizontal="center" vertical="center" wrapText="1"/>
    </xf>
    <xf numFmtId="0" fontId="31" fillId="3" borderId="14" xfId="1" applyFont="1" applyFill="1" applyBorder="1" applyAlignment="1">
      <alignment horizontal="center" vertical="center" wrapText="1"/>
    </xf>
    <xf numFmtId="0" fontId="32" fillId="3" borderId="5" xfId="1" applyFont="1" applyFill="1" applyBorder="1" applyAlignment="1">
      <alignment horizontal="center" vertical="center" wrapText="1"/>
    </xf>
    <xf numFmtId="0" fontId="32" fillId="3" borderId="6" xfId="1" applyFont="1" applyFill="1" applyBorder="1" applyAlignment="1">
      <alignment horizontal="center" vertical="center" wrapText="1"/>
    </xf>
    <xf numFmtId="0" fontId="32" fillId="3" borderId="3" xfId="1" applyFont="1" applyFill="1" applyBorder="1" applyAlignment="1">
      <alignment horizontal="center" vertical="center" wrapText="1"/>
    </xf>
    <xf numFmtId="49" fontId="31" fillId="3" borderId="5" xfId="1" applyNumberFormat="1" applyFont="1" applyFill="1" applyBorder="1" applyAlignment="1">
      <alignment horizontal="center" vertical="center" wrapText="1"/>
    </xf>
    <xf numFmtId="49" fontId="31" fillId="3" borderId="6" xfId="1" applyNumberFormat="1" applyFont="1" applyFill="1" applyBorder="1" applyAlignment="1">
      <alignment horizontal="center" vertical="center" wrapText="1"/>
    </xf>
    <xf numFmtId="49" fontId="31" fillId="3" borderId="3" xfId="1" applyNumberFormat="1" applyFont="1" applyFill="1" applyBorder="1" applyAlignment="1">
      <alignment horizontal="center" vertical="center" wrapText="1"/>
    </xf>
    <xf numFmtId="0" fontId="11" fillId="3" borderId="10" xfId="1" applyFont="1" applyFill="1" applyBorder="1" applyAlignment="1">
      <alignment horizontal="left" vertical="center" wrapText="1"/>
    </xf>
    <xf numFmtId="0" fontId="11" fillId="3" borderId="0" xfId="1" applyFont="1" applyFill="1" applyAlignment="1">
      <alignment horizontal="left" vertical="center" wrapText="1"/>
    </xf>
    <xf numFmtId="0" fontId="11" fillId="3" borderId="11" xfId="1" applyFont="1" applyFill="1" applyBorder="1" applyAlignment="1">
      <alignment horizontal="left" vertical="center" wrapText="1"/>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11" fillId="3" borderId="2" xfId="1" applyFont="1" applyFill="1" applyBorder="1" applyAlignment="1">
      <alignment horizontal="center" vertical="center" wrapText="1"/>
    </xf>
    <xf numFmtId="0" fontId="11" fillId="3" borderId="7" xfId="1" applyFont="1" applyFill="1" applyBorder="1" applyAlignment="1">
      <alignment horizontal="left" vertical="center" wrapText="1"/>
    </xf>
    <xf numFmtId="0" fontId="11" fillId="3" borderId="9" xfId="1" applyFont="1" applyFill="1" applyBorder="1" applyAlignment="1">
      <alignment horizontal="left" vertical="center" wrapText="1"/>
    </xf>
    <xf numFmtId="0" fontId="11" fillId="3" borderId="8" xfId="1" applyFont="1" applyFill="1" applyBorder="1" applyAlignment="1">
      <alignment horizontal="left" vertical="center" wrapText="1"/>
    </xf>
    <xf numFmtId="49" fontId="12" fillId="0" borderId="4" xfId="0" applyNumberFormat="1" applyFont="1" applyBorder="1" applyAlignment="1">
      <alignment wrapText="1"/>
    </xf>
    <xf numFmtId="0" fontId="25" fillId="3" borderId="1" xfId="1" applyFont="1" applyFill="1" applyBorder="1" applyAlignment="1">
      <alignment horizontal="center" vertical="center" wrapText="1"/>
    </xf>
    <xf numFmtId="0" fontId="34" fillId="3" borderId="1" xfId="1" applyFont="1" applyFill="1" applyBorder="1" applyAlignment="1">
      <alignment horizontal="center" vertical="center" wrapText="1"/>
    </xf>
    <xf numFmtId="164" fontId="25" fillId="3" borderId="1" xfId="1" applyNumberFormat="1" applyFont="1" applyFill="1" applyBorder="1" applyAlignment="1">
      <alignment horizontal="center" vertical="center" wrapText="1"/>
    </xf>
    <xf numFmtId="0" fontId="25" fillId="3" borderId="5" xfId="1" applyFont="1" applyFill="1" applyBorder="1" applyAlignment="1">
      <alignment horizontal="center" vertical="center" wrapText="1"/>
    </xf>
    <xf numFmtId="0" fontId="25" fillId="3" borderId="3" xfId="1" applyFont="1" applyFill="1" applyBorder="1" applyAlignment="1">
      <alignment horizontal="center" vertical="center" wrapText="1"/>
    </xf>
    <xf numFmtId="0" fontId="34" fillId="0" borderId="1" xfId="0" applyFont="1" applyBorder="1" applyAlignment="1">
      <alignment vertical="center" wrapText="1"/>
    </xf>
    <xf numFmtId="0" fontId="25" fillId="3" borderId="15" xfId="1" applyFont="1" applyFill="1" applyBorder="1" applyAlignment="1">
      <alignment horizontal="center" vertical="center" wrapText="1"/>
    </xf>
    <xf numFmtId="0" fontId="34" fillId="3" borderId="15" xfId="1" applyFont="1" applyFill="1" applyBorder="1" applyAlignment="1">
      <alignment horizontal="center" vertical="center" wrapText="1"/>
    </xf>
    <xf numFmtId="164" fontId="25" fillId="3" borderId="15" xfId="1" applyNumberFormat="1" applyFont="1" applyFill="1" applyBorder="1" applyAlignment="1">
      <alignment horizontal="center" vertical="center" wrapText="1"/>
    </xf>
    <xf numFmtId="0" fontId="34" fillId="0" borderId="16" xfId="0" applyFont="1" applyBorder="1" applyAlignment="1">
      <alignment vertical="center" wrapText="1"/>
    </xf>
    <xf numFmtId="0" fontId="12" fillId="0" borderId="2" xfId="0" applyFont="1" applyBorder="1" applyAlignment="1">
      <alignment horizontal="left" vertical="center"/>
    </xf>
  </cellXfs>
  <cellStyles count="5">
    <cellStyle name="Hyperlink" xfId="4" builtinId="8"/>
    <cellStyle name="Normal" xfId="0" builtinId="0"/>
    <cellStyle name="Normal 2" xfId="2" xr:uid="{66849875-BCF6-4546-AF47-169372C9053E}"/>
    <cellStyle name="Normal 2 2" xfId="3" xr:uid="{08A1F2EF-7A7E-4EBE-A730-ECE63666643A}"/>
    <cellStyle name="Normal_Q-P-20-01~08" xfId="1" xr:uid="{0C9D4D91-42B6-41EF-BFEC-640D985562D7}"/>
  </cellStyles>
  <dxfs count="104">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00FF"/>
      <color rgb="FF0631BA"/>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hủy.xlsx]TOTAL!PivotTable16</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latin typeface="Times New Roman" panose="02020603050405020304" pitchFamily="18" charset="0"/>
                <a:cs typeface="Times New Roman" panose="02020603050405020304" pitchFamily="18" charset="0"/>
              </a:rPr>
              <a:t>TỔNG HỢP GIÁ TRỊ  BÁO HỦY 2025</a:t>
            </a:r>
          </a:p>
          <a:p>
            <a:pPr>
              <a:defRPr/>
            </a:pPr>
            <a:r>
              <a:rPr lang="en-US">
                <a:solidFill>
                  <a:srgbClr val="0000FF"/>
                </a:solidFill>
              </a:rPr>
              <a:t> </a:t>
            </a:r>
            <a:r>
              <a:rPr lang="ja-JP" b="1">
                <a:solidFill>
                  <a:srgbClr val="0000FF"/>
                </a:solidFill>
              </a:rPr>
              <a:t>統計 </a:t>
            </a:r>
            <a:r>
              <a:rPr lang="en-US" b="1">
                <a:solidFill>
                  <a:srgbClr val="0000FF"/>
                </a:solidFill>
              </a:rPr>
              <a:t>2025 </a:t>
            </a:r>
            <a:r>
              <a:rPr lang="ja-JP" b="1">
                <a:solidFill>
                  <a:srgbClr val="0000FF"/>
                </a:solidFill>
              </a:rPr>
              <a:t>年報廢費用</a:t>
            </a:r>
            <a:endParaRPr lang="en-US" b="1">
              <a:solidFill>
                <a:srgbClr val="0000FF"/>
              </a:solidFill>
            </a:endParaRPr>
          </a:p>
        </c:rich>
      </c:tx>
      <c:layout>
        <c:manualLayout>
          <c:xMode val="edge"/>
          <c:yMode val="edge"/>
          <c:x val="0.30230833259511708"/>
          <c:y val="2.621100933811845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TOTAL!$A$4:$A$8</c:f>
              <c:strCache>
                <c:ptCount val="4"/>
                <c:pt idx="0">
                  <c:v>PC</c:v>
                </c:pt>
                <c:pt idx="1">
                  <c:v>Printer</c:v>
                </c:pt>
                <c:pt idx="2">
                  <c:v>Laptop</c:v>
                </c:pt>
                <c:pt idx="3">
                  <c:v>Other</c:v>
                </c:pt>
              </c:strCache>
            </c:strRef>
          </c:cat>
          <c:val>
            <c:numRef>
              <c:f>TOTAL!$B$4:$B$8</c:f>
              <c:numCache>
                <c:formatCode>#,##0</c:formatCode>
                <c:ptCount val="4"/>
                <c:pt idx="0">
                  <c:v>1006000</c:v>
                </c:pt>
                <c:pt idx="1">
                  <c:v>766000</c:v>
                </c:pt>
                <c:pt idx="2">
                  <c:v>550000</c:v>
                </c:pt>
                <c:pt idx="3">
                  <c:v>347000</c:v>
                </c:pt>
              </c:numCache>
            </c:numRef>
          </c:val>
          <c:extLst>
            <c:ext xmlns:c16="http://schemas.microsoft.com/office/drawing/2014/chart" uri="{C3380CC4-5D6E-409C-BE32-E72D297353CC}">
              <c16:uniqueId val="{00000000-06B8-4136-8CC5-904CBA5BB34A}"/>
            </c:ext>
          </c:extLst>
        </c:ser>
        <c:dLbls>
          <c:dLblPos val="outEnd"/>
          <c:showLegendKey val="0"/>
          <c:showVal val="1"/>
          <c:showCatName val="0"/>
          <c:showSerName val="0"/>
          <c:showPercent val="0"/>
          <c:showBubbleSize val="0"/>
        </c:dLbls>
        <c:gapWidth val="219"/>
        <c:overlap val="-27"/>
        <c:axId val="2080998463"/>
        <c:axId val="2081737311"/>
      </c:barChart>
      <c:catAx>
        <c:axId val="208099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81737311"/>
        <c:crosses val="autoZero"/>
        <c:auto val="1"/>
        <c:lblAlgn val="ctr"/>
        <c:lblOffset val="100"/>
        <c:noMultiLvlLbl val="0"/>
      </c:catAx>
      <c:valAx>
        <c:axId val="2081737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8099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hủy.xlsx]TOTAL!PivotTable17</c:name>
    <c:fmtId val="0"/>
  </c:pivotSource>
  <c:chart>
    <c:title>
      <c:tx>
        <c:rich>
          <a:bodyPr rot="0" spcFirstLastPara="1" vertOverflow="ellipsis" vert="horz" wrap="square" anchor="ctr" anchorCtr="1"/>
          <a:lstStyle/>
          <a:p>
            <a:pPr>
              <a:defRPr lang="en-US" sz="1440" b="1" i="0" u="none" strike="noStrike" kern="1200" spc="0" baseline="0">
                <a:solidFill>
                  <a:sysClr val="windowText" lastClr="000000">
                    <a:lumMod val="65000"/>
                    <a:lumOff val="35000"/>
                  </a:sysClr>
                </a:solidFill>
                <a:effectLst/>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TỶ LỆ BÁO HỦY</a:t>
            </a:r>
          </a:p>
          <a:p>
            <a:pPr>
              <a:defRPr/>
            </a:pPr>
            <a:r>
              <a:rPr lang="zh-CN">
                <a:solidFill>
                  <a:srgbClr val="0000FF"/>
                </a:solidFill>
              </a:rPr>
              <a:t>報廢比率</a:t>
            </a:r>
            <a:endParaRPr lang="en-US">
              <a:solidFill>
                <a:srgbClr val="0000FF"/>
              </a:solidFill>
            </a:endParaRPr>
          </a:p>
        </c:rich>
      </c:tx>
      <c:layout>
        <c:manualLayout>
          <c:xMode val="edge"/>
          <c:yMode val="edge"/>
          <c:x val="0.38205171587700976"/>
          <c:y val="3.5645016047472819E-2"/>
        </c:manualLayout>
      </c:layout>
      <c:overlay val="0"/>
      <c:spPr>
        <a:noFill/>
        <a:ln>
          <a:solidFill>
            <a:schemeClr val="accent1"/>
          </a:solidFill>
        </a:ln>
        <a:effectLst/>
      </c:spPr>
      <c:txPr>
        <a:bodyPr rot="0" spcFirstLastPara="1" vertOverflow="ellipsis" vert="horz" wrap="square" anchor="ctr" anchorCtr="1"/>
        <a:lstStyle/>
        <a:p>
          <a:pPr>
            <a:defRPr lang="en-US" sz="144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606308123162599"/>
          <c:y val="0.24556638054445962"/>
          <c:w val="0.41100906840021928"/>
          <c:h val="0.70902554896210945"/>
        </c:manualLayout>
      </c:layout>
      <c:pieChart>
        <c:varyColors val="1"/>
        <c:ser>
          <c:idx val="0"/>
          <c:order val="0"/>
          <c:tx>
            <c:strRef>
              <c:f>TOTAL!$B$11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42-462E-B771-DCF7224CBB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42-462E-B771-DCF7224CBB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42-462E-B771-DCF7224CBB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42-462E-B771-DCF7224CBBB3}"/>
              </c:ext>
            </c:extLst>
          </c:dPt>
          <c:dLbls>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TOTAL!$A$12:$A$16</c:f>
              <c:strCache>
                <c:ptCount val="4"/>
                <c:pt idx="0">
                  <c:v>PC</c:v>
                </c:pt>
                <c:pt idx="1">
                  <c:v>Printer</c:v>
                </c:pt>
                <c:pt idx="2">
                  <c:v>Laptop</c:v>
                </c:pt>
                <c:pt idx="3">
                  <c:v>Other</c:v>
                </c:pt>
              </c:strCache>
            </c:strRef>
          </c:cat>
          <c:val>
            <c:numRef>
              <c:f>TOTAL!$B$12:$B$16</c:f>
              <c:numCache>
                <c:formatCode>0.00%</c:formatCode>
                <c:ptCount val="4"/>
                <c:pt idx="0">
                  <c:v>0.37692019482952416</c:v>
                </c:pt>
                <c:pt idx="1">
                  <c:v>0.28699887598351442</c:v>
                </c:pt>
                <c:pt idx="2">
                  <c:v>0.20606968902210565</c:v>
                </c:pt>
                <c:pt idx="3">
                  <c:v>0.13001124016485574</c:v>
                </c:pt>
              </c:numCache>
            </c:numRef>
          </c:val>
          <c:extLst>
            <c:ext xmlns:c16="http://schemas.microsoft.com/office/drawing/2014/chart" uri="{C3380CC4-5D6E-409C-BE32-E72D297353CC}">
              <c16:uniqueId val="{00000000-5D04-4D68-B2B2-400F6D7EC6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200" b="1" i="0" u="none" strike="noStrike" kern="1200" spc="0" baseline="0">
          <a:solidFill>
            <a:sysClr val="windowText" lastClr="000000">
              <a:lumMod val="65000"/>
              <a:lumOff val="35000"/>
            </a:sysClr>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hủy.xlsx]TOTAL!PivotTable23</c:name>
    <c:fmtId val="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effectLst/>
                <a:latin typeface="Times New Roman" panose="02020603050405020304" pitchFamily="18" charset="0"/>
                <a:cs typeface="Times New Roman" panose="02020603050405020304" pitchFamily="18" charset="0"/>
              </a:rPr>
              <a:t>GIÁ TRỊ BÁO HỦY - </a:t>
            </a:r>
            <a:r>
              <a:rPr lang="en-US" sz="1200" b="1" i="0" u="none" strike="noStrike" baseline="0">
                <a:solidFill>
                  <a:srgbClr val="FF0000"/>
                </a:solidFill>
                <a:effectLst/>
                <a:latin typeface="Times New Roman" panose="02020603050405020304" pitchFamily="18" charset="0"/>
                <a:cs typeface="Times New Roman" panose="02020603050405020304" pitchFamily="18" charset="0"/>
              </a:rPr>
              <a:t>LAPTOP</a:t>
            </a:r>
            <a:r>
              <a:rPr lang="en-US" sz="1200" b="1" i="0" u="none" strike="noStrike" baseline="0">
                <a:solidFill>
                  <a:sysClr val="windowText" lastClr="000000"/>
                </a:solidFill>
                <a:effectLst/>
                <a:latin typeface="Times New Roman" panose="02020603050405020304" pitchFamily="18" charset="0"/>
                <a:cs typeface="Times New Roman" panose="02020603050405020304" pitchFamily="18" charset="0"/>
              </a:rPr>
              <a:t> (VND)</a:t>
            </a:r>
          </a:p>
          <a:p>
            <a:pPr>
              <a:defRPr lang="en-US" sz="1400" b="0" i="0" u="none" strike="noStrike" kern="1200" spc="0" baseline="0">
                <a:solidFill>
                  <a:schemeClr val="tx1">
                    <a:lumMod val="65000"/>
                    <a:lumOff val="35000"/>
                  </a:schemeClr>
                </a:solidFill>
                <a:latin typeface="+mn-lt"/>
                <a:ea typeface="+mn-ea"/>
                <a:cs typeface="+mn-cs"/>
              </a:defRPr>
            </a:pPr>
            <a:r>
              <a:rPr lang="ja-JP" altLang="en-US" sz="1300" b="1" i="0" u="none" strike="noStrike" baseline="0">
                <a:solidFill>
                  <a:srgbClr val="0000FF"/>
                </a:solidFill>
                <a:effectLst/>
              </a:rPr>
              <a:t>報廢費用</a:t>
            </a:r>
            <a:r>
              <a:rPr lang="en-US" altLang="ja-JP" sz="1300" b="1" i="0" u="none" strike="noStrike" baseline="0">
                <a:solidFill>
                  <a:srgbClr val="0000FF"/>
                </a:solidFill>
                <a:effectLst/>
              </a:rPr>
              <a:t>-</a:t>
            </a:r>
            <a:r>
              <a:rPr lang="en-US" sz="1300" b="1" i="0" u="none" strike="noStrike" baseline="0">
                <a:solidFill>
                  <a:srgbClr val="FF0000"/>
                </a:solidFill>
                <a:effectLst/>
              </a:rPr>
              <a:t>LAPTOP</a:t>
            </a:r>
            <a:endParaRPr lang="en-US" sz="1100">
              <a:solidFill>
                <a:srgbClr val="FF0000"/>
              </a:solidFill>
              <a:effectLst/>
              <a:latin typeface="Times New Roman" panose="02020603050405020304" pitchFamily="18" charset="0"/>
              <a:cs typeface="Times New Roman" panose="02020603050405020304" pitchFamily="18" charset="0"/>
            </a:endParaRPr>
          </a:p>
        </c:rich>
      </c:tx>
      <c:layout>
        <c:manualLayout>
          <c:xMode val="edge"/>
          <c:yMode val="edge"/>
          <c:x val="0.28995295623505563"/>
          <c:y val="4.114730521698486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s>
    <c:plotArea>
      <c:layout>
        <c:manualLayout>
          <c:layoutTarget val="inner"/>
          <c:xMode val="edge"/>
          <c:yMode val="edge"/>
          <c:x val="0.11842602348559331"/>
          <c:y val="0.27937942688670764"/>
          <c:w val="0.74063042043201732"/>
          <c:h val="0.39569697623413513"/>
        </c:manualLayout>
      </c:layout>
      <c:barChart>
        <c:barDir val="col"/>
        <c:grouping val="clustered"/>
        <c:varyColors val="0"/>
        <c:ser>
          <c:idx val="0"/>
          <c:order val="0"/>
          <c:tx>
            <c:strRef>
              <c:f>TOTAL!$B$30</c:f>
              <c:strCache>
                <c:ptCount val="1"/>
                <c:pt idx="0">
                  <c:v>Total</c:v>
                </c:pt>
              </c:strCache>
            </c:strRef>
          </c:tx>
          <c:spPr>
            <a:solidFill>
              <a:schemeClr val="accent1"/>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9-D03A-4EC6-807A-5A8A3A058F99}"/>
                </c:ext>
              </c:extLst>
            </c:dLbl>
            <c:dLbl>
              <c:idx val="5"/>
              <c:delete val="1"/>
              <c:extLst>
                <c:ext xmlns:c15="http://schemas.microsoft.com/office/drawing/2012/chart" uri="{CE6537A1-D6FC-4f65-9D91-7224C49458BB}"/>
                <c:ext xmlns:c16="http://schemas.microsoft.com/office/drawing/2014/chart" uri="{C3380CC4-5D6E-409C-BE32-E72D297353CC}">
                  <c16:uniqueId val="{00000008-D03A-4EC6-807A-5A8A3A058F99}"/>
                </c:ext>
              </c:extLst>
            </c:dLbl>
            <c:dLbl>
              <c:idx val="7"/>
              <c:delete val="1"/>
              <c:extLst>
                <c:ext xmlns:c15="http://schemas.microsoft.com/office/drawing/2012/chart" uri="{CE6537A1-D6FC-4f65-9D91-7224C49458BB}"/>
                <c:ext xmlns:c16="http://schemas.microsoft.com/office/drawing/2014/chart" uri="{C3380CC4-5D6E-409C-BE32-E72D297353CC}">
                  <c16:uniqueId val="{00000007-D03A-4EC6-807A-5A8A3A058F99}"/>
                </c:ext>
              </c:extLst>
            </c:dLbl>
            <c:dLbl>
              <c:idx val="9"/>
              <c:delete val="1"/>
              <c:extLst>
                <c:ext xmlns:c15="http://schemas.microsoft.com/office/drawing/2012/chart" uri="{CE6537A1-D6FC-4f65-9D91-7224C49458BB}"/>
                <c:ext xmlns:c16="http://schemas.microsoft.com/office/drawing/2014/chart" uri="{C3380CC4-5D6E-409C-BE32-E72D297353CC}">
                  <c16:uniqueId val="{00000006-D03A-4EC6-807A-5A8A3A058F99}"/>
                </c:ext>
              </c:extLst>
            </c:dLbl>
            <c:dLbl>
              <c:idx val="11"/>
              <c:delete val="1"/>
              <c:extLst>
                <c:ext xmlns:c15="http://schemas.microsoft.com/office/drawing/2012/chart" uri="{CE6537A1-D6FC-4f65-9D91-7224C49458BB}"/>
                <c:ext xmlns:c16="http://schemas.microsoft.com/office/drawing/2014/chart" uri="{C3380CC4-5D6E-409C-BE32-E72D297353CC}">
                  <c16:uniqueId val="{00000005-D03A-4EC6-807A-5A8A3A058F99}"/>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TOTAL!$A$31:$A$45</c:f>
              <c:strCache>
                <c:ptCount val="14"/>
                <c:pt idx="0">
                  <c:v>QLSX 生管部</c:v>
                </c:pt>
                <c:pt idx="1">
                  <c:v>Kai-Fa 開發部</c:v>
                </c:pt>
                <c:pt idx="2">
                  <c:v>QC 品管</c:v>
                </c:pt>
                <c:pt idx="3">
                  <c:v>Dập X1 一廠沖壓</c:v>
                </c:pt>
                <c:pt idx="4">
                  <c:v>Gia công 加工部</c:v>
                </c:pt>
                <c:pt idx="5">
                  <c:v>Kinh doanh 業務</c:v>
                </c:pt>
                <c:pt idx="6">
                  <c:v>ATTT</c:v>
                </c:pt>
                <c:pt idx="7">
                  <c:v>Dập X4 四廠沖壓</c:v>
                </c:pt>
                <c:pt idx="8">
                  <c:v>Dập X5 五廠沖壓</c:v>
                </c:pt>
                <c:pt idx="9">
                  <c:v>Khuôn mẫu 模具</c:v>
                </c:pt>
                <c:pt idx="10">
                  <c:v>Hàn X1 一廠焊接</c:v>
                </c:pt>
                <c:pt idx="11">
                  <c:v>Dập X3 三廠沖壓</c:v>
                </c:pt>
                <c:pt idx="12">
                  <c:v>Thu Mua
採購</c:v>
                </c:pt>
                <c:pt idx="13">
                  <c:v>QLK 倉管</c:v>
                </c:pt>
              </c:strCache>
            </c:strRef>
          </c:cat>
          <c:val>
            <c:numRef>
              <c:f>TOTAL!$B$31:$B$45</c:f>
              <c:numCache>
                <c:formatCode>#,##0</c:formatCode>
                <c:ptCount val="14"/>
                <c:pt idx="0">
                  <c:v>220000</c:v>
                </c:pt>
                <c:pt idx="1">
                  <c:v>70000</c:v>
                </c:pt>
                <c:pt idx="2">
                  <c:v>40000</c:v>
                </c:pt>
                <c:pt idx="3">
                  <c:v>40000</c:v>
                </c:pt>
                <c:pt idx="4">
                  <c:v>40000</c:v>
                </c:pt>
                <c:pt idx="5">
                  <c:v>20000</c:v>
                </c:pt>
                <c:pt idx="6">
                  <c:v>20000</c:v>
                </c:pt>
                <c:pt idx="7">
                  <c:v>20000</c:v>
                </c:pt>
                <c:pt idx="8">
                  <c:v>20000</c:v>
                </c:pt>
                <c:pt idx="9">
                  <c:v>20000</c:v>
                </c:pt>
                <c:pt idx="10">
                  <c:v>20000</c:v>
                </c:pt>
                <c:pt idx="11">
                  <c:v>10000</c:v>
                </c:pt>
                <c:pt idx="12">
                  <c:v>5000</c:v>
                </c:pt>
                <c:pt idx="13">
                  <c:v>5000</c:v>
                </c:pt>
              </c:numCache>
            </c:numRef>
          </c:val>
          <c:extLst>
            <c:ext xmlns:c16="http://schemas.microsoft.com/office/drawing/2014/chart" uri="{C3380CC4-5D6E-409C-BE32-E72D297353CC}">
              <c16:uniqueId val="{00000004-D03A-4EC6-807A-5A8A3A058F99}"/>
            </c:ext>
          </c:extLst>
        </c:ser>
        <c:dLbls>
          <c:showLegendKey val="0"/>
          <c:showVal val="0"/>
          <c:showCatName val="0"/>
          <c:showSerName val="0"/>
          <c:showPercent val="0"/>
          <c:showBubbleSize val="0"/>
        </c:dLbls>
        <c:gapWidth val="219"/>
        <c:overlap val="-27"/>
        <c:axId val="1425702943"/>
        <c:axId val="1425690047"/>
      </c:barChart>
      <c:catAx>
        <c:axId val="142570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25690047"/>
        <c:crosses val="autoZero"/>
        <c:auto val="1"/>
        <c:lblAlgn val="ctr"/>
        <c:lblOffset val="100"/>
        <c:noMultiLvlLbl val="0"/>
      </c:catAx>
      <c:valAx>
        <c:axId val="142569004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25702943"/>
        <c:crosses val="autoZero"/>
        <c:crossBetween val="between"/>
      </c:valAx>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c88a962-b289-483e-89e6-03029b9de35d}"/>
      </c:ext>
    </c:extLst>
  </c:chart>
  <c:spPr>
    <a:solidFill>
      <a:schemeClr val="bg1"/>
    </a:solidFill>
    <a:ln w="9525" cap="flat" cmpd="sng" algn="ctr">
      <a:solidFill>
        <a:schemeClr val="bg1">
          <a:lumMod val="75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hủy.xlsx]TOTAL!PivotTable25</c:name>
    <c:fmtId val="0"/>
  </c:pivotSource>
  <c:chart>
    <c:title>
      <c:tx>
        <c:rich>
          <a:bodyPr rot="0" vert="horz"/>
          <a:lstStyle/>
          <a:p>
            <a:pPr>
              <a:defRPr/>
            </a:pPr>
            <a:r>
              <a:rPr lang="en-US" b="1">
                <a:latin typeface="Times New Roman" panose="02020603050405020304" pitchFamily="18" charset="0"/>
                <a:cs typeface="Times New Roman" panose="02020603050405020304" pitchFamily="18" charset="0"/>
              </a:rPr>
              <a:t>GIÁ TRỊ BÁO HỦY - </a:t>
            </a:r>
            <a:r>
              <a:rPr lang="en-US" b="1">
                <a:solidFill>
                  <a:srgbClr val="FF0000"/>
                </a:solidFill>
                <a:latin typeface="Times New Roman" panose="02020603050405020304" pitchFamily="18" charset="0"/>
                <a:cs typeface="Times New Roman" panose="02020603050405020304" pitchFamily="18" charset="0"/>
              </a:rPr>
              <a:t>PC</a:t>
            </a:r>
            <a:r>
              <a:rPr lang="en-US" b="1">
                <a:latin typeface="Times New Roman" panose="02020603050405020304" pitchFamily="18" charset="0"/>
                <a:cs typeface="Times New Roman" panose="02020603050405020304" pitchFamily="18" charset="0"/>
              </a:rPr>
              <a:t> (VND)</a:t>
            </a:r>
          </a:p>
          <a:p>
            <a:pPr>
              <a:defRPr/>
            </a:pPr>
            <a:r>
              <a:rPr lang="ja-JP" b="1">
                <a:solidFill>
                  <a:srgbClr val="0000FF"/>
                </a:solidFill>
              </a:rPr>
              <a:t>報廢費用 </a:t>
            </a:r>
            <a:r>
              <a:rPr lang="en-US" b="1">
                <a:solidFill>
                  <a:srgbClr val="0000FF"/>
                </a:solidFill>
              </a:rPr>
              <a:t>- </a:t>
            </a:r>
            <a:r>
              <a:rPr lang="en-US" b="1">
                <a:solidFill>
                  <a:srgbClr val="FF0000"/>
                </a:solidFill>
              </a:rPr>
              <a:t>PC</a:t>
            </a:r>
          </a:p>
        </c:rich>
      </c:tx>
      <c:layout>
        <c:manualLayout>
          <c:xMode val="edge"/>
          <c:yMode val="edge"/>
          <c:x val="0.30488836044955092"/>
          <c:y val="3.0365995917177018E-2"/>
        </c:manualLayout>
      </c:layout>
      <c:overlay val="0"/>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
        <c:idx val="63"/>
        <c:dLbl>
          <c:idx val="0"/>
          <c:delete val="1"/>
          <c:extLst>
            <c:ext xmlns:c15="http://schemas.microsoft.com/office/drawing/2012/chart" uri="{CE6537A1-D6FC-4f65-9D91-7224C49458BB}"/>
          </c:extLst>
        </c:dLbl>
      </c:pivotFmt>
      <c:pivotFmt>
        <c:idx val="64"/>
        <c:dLbl>
          <c:idx val="0"/>
          <c:delete val="1"/>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dLbl>
          <c:idx val="0"/>
          <c:delete val="1"/>
          <c:extLst>
            <c:ext xmlns:c15="http://schemas.microsoft.com/office/drawing/2012/chart" uri="{CE6537A1-D6FC-4f65-9D91-7224C49458BB}"/>
          </c:extLst>
        </c:dLbl>
      </c:pivotFmt>
      <c:pivotFmt>
        <c:idx val="67"/>
        <c:dLbl>
          <c:idx val="0"/>
          <c:delete val="1"/>
          <c:extLst>
            <c:ext xmlns:c15="http://schemas.microsoft.com/office/drawing/2012/chart" uri="{CE6537A1-D6FC-4f65-9D91-7224C49458BB}"/>
          </c:extLst>
        </c:dLbl>
      </c:pivotFmt>
      <c:pivotFmt>
        <c:idx val="68"/>
        <c:dLbl>
          <c:idx val="0"/>
          <c:delete val="1"/>
          <c:extLst>
            <c:ext xmlns:c15="http://schemas.microsoft.com/office/drawing/2012/chart" uri="{CE6537A1-D6FC-4f65-9D91-7224C49458BB}"/>
          </c:extLst>
        </c:dLbl>
      </c:pivotFmt>
      <c:pivotFmt>
        <c:idx val="69"/>
        <c:dLbl>
          <c:idx val="0"/>
          <c:delete val="1"/>
          <c:extLst>
            <c:ext xmlns:c15="http://schemas.microsoft.com/office/drawing/2012/chart" uri="{CE6537A1-D6FC-4f65-9D91-7224C49458BB}"/>
          </c:extLst>
        </c:dLbl>
      </c:pivotFmt>
      <c:pivotFmt>
        <c:idx val="70"/>
        <c:dLbl>
          <c:idx val="0"/>
          <c:delete val="1"/>
          <c:extLst>
            <c:ext xmlns:c15="http://schemas.microsoft.com/office/drawing/2012/chart" uri="{CE6537A1-D6FC-4f65-9D91-7224C49458BB}"/>
          </c:extLst>
        </c:dLbl>
      </c:pivotFmt>
      <c:pivotFmt>
        <c:idx val="71"/>
        <c:dLbl>
          <c:idx val="0"/>
          <c:delete val="1"/>
          <c:extLst>
            <c:ext xmlns:c15="http://schemas.microsoft.com/office/drawing/2012/chart" uri="{CE6537A1-D6FC-4f65-9D91-7224C49458BB}"/>
          </c:extLst>
        </c:dLbl>
      </c:pivotFmt>
      <c:pivotFmt>
        <c:idx val="72"/>
        <c:dLbl>
          <c:idx val="0"/>
          <c:delete val="1"/>
          <c:extLst>
            <c:ext xmlns:c15="http://schemas.microsoft.com/office/drawing/2012/chart" uri="{CE6537A1-D6FC-4f65-9D91-7224C49458BB}"/>
          </c:extLst>
        </c:dLbl>
      </c:pivotFmt>
      <c:pivotFmt>
        <c:idx val="73"/>
        <c:dLbl>
          <c:idx val="0"/>
          <c:delete val="1"/>
          <c:extLst>
            <c:ext xmlns:c15="http://schemas.microsoft.com/office/drawing/2012/chart" uri="{CE6537A1-D6FC-4f65-9D91-7224C49458BB}"/>
          </c:extLst>
        </c:dLbl>
      </c:pivotFmt>
      <c:pivotFmt>
        <c:idx val="74"/>
        <c:dLbl>
          <c:idx val="0"/>
          <c:delete val="1"/>
          <c:extLst>
            <c:ext xmlns:c15="http://schemas.microsoft.com/office/drawing/2012/chart" uri="{CE6537A1-D6FC-4f65-9D91-7224C49458BB}"/>
          </c:extLst>
        </c:dLbl>
      </c:pivotFmt>
      <c:pivotFmt>
        <c:idx val="75"/>
        <c:dLbl>
          <c:idx val="0"/>
          <c:delete val="1"/>
          <c:extLst>
            <c:ext xmlns:c15="http://schemas.microsoft.com/office/drawing/2012/chart" uri="{CE6537A1-D6FC-4f65-9D91-7224C49458BB}"/>
          </c:extLst>
        </c:dLbl>
      </c:pivotFmt>
      <c:pivotFmt>
        <c:idx val="76"/>
        <c:dLbl>
          <c:idx val="0"/>
          <c:delete val="1"/>
          <c:extLst>
            <c:ext xmlns:c15="http://schemas.microsoft.com/office/drawing/2012/chart" uri="{CE6537A1-D6FC-4f65-9D91-7224C49458BB}"/>
          </c:extLst>
        </c:dLbl>
      </c:pivotFmt>
      <c:pivotFmt>
        <c:idx val="77"/>
        <c:dLbl>
          <c:idx val="0"/>
          <c:delete val="1"/>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elete val="1"/>
          <c:extLst>
            <c:ext xmlns:c15="http://schemas.microsoft.com/office/drawing/2012/chart" uri="{CE6537A1-D6FC-4f65-9D91-7224C49458BB}"/>
          </c:extLst>
        </c:dLbl>
      </c:pivotFmt>
      <c:pivotFmt>
        <c:idx val="80"/>
        <c:dLbl>
          <c:idx val="0"/>
          <c:delete val="1"/>
          <c:extLst>
            <c:ext xmlns:c15="http://schemas.microsoft.com/office/drawing/2012/chart" uri="{CE6537A1-D6FC-4f65-9D91-7224C49458BB}"/>
          </c:extLst>
        </c:dLbl>
      </c:pivotFmt>
      <c:pivotFmt>
        <c:idx val="81"/>
        <c:dLbl>
          <c:idx val="0"/>
          <c:delete val="1"/>
          <c:extLst>
            <c:ext xmlns:c15="http://schemas.microsoft.com/office/drawing/2012/chart" uri="{CE6537A1-D6FC-4f65-9D91-7224C49458BB}"/>
          </c:extLst>
        </c:dLbl>
      </c:pivotFmt>
      <c:pivotFmt>
        <c:idx val="82"/>
        <c:dLbl>
          <c:idx val="0"/>
          <c:delete val="1"/>
          <c:extLst>
            <c:ext xmlns:c15="http://schemas.microsoft.com/office/drawing/2012/chart" uri="{CE6537A1-D6FC-4f65-9D91-7224C49458BB}"/>
          </c:extLst>
        </c:dLbl>
      </c:pivotFmt>
      <c:pivotFmt>
        <c:idx val="83"/>
        <c:dLbl>
          <c:idx val="0"/>
          <c:delete val="1"/>
          <c:extLst>
            <c:ext xmlns:c15="http://schemas.microsoft.com/office/drawing/2012/chart" uri="{CE6537A1-D6FC-4f65-9D91-7224C49458BB}"/>
          </c:extLst>
        </c:dLbl>
      </c:pivotFmt>
      <c:pivotFmt>
        <c:idx val="84"/>
        <c:dLbl>
          <c:idx val="0"/>
          <c:delete val="1"/>
          <c:extLst>
            <c:ext xmlns:c15="http://schemas.microsoft.com/office/drawing/2012/chart" uri="{CE6537A1-D6FC-4f65-9D91-7224C49458BB}"/>
          </c:extLst>
        </c:dLbl>
      </c:pivotFmt>
      <c:pivotFmt>
        <c:idx val="85"/>
        <c:dLbl>
          <c:idx val="0"/>
          <c:delete val="1"/>
          <c:extLst>
            <c:ext xmlns:c15="http://schemas.microsoft.com/office/drawing/2012/chart" uri="{CE6537A1-D6FC-4f65-9D91-7224C49458BB}"/>
          </c:extLst>
        </c:dLbl>
      </c:pivotFmt>
      <c:pivotFmt>
        <c:idx val="86"/>
        <c:dLbl>
          <c:idx val="0"/>
          <c:delete val="1"/>
          <c:extLst>
            <c:ext xmlns:c15="http://schemas.microsoft.com/office/drawing/2012/chart" uri="{CE6537A1-D6FC-4f65-9D91-7224C49458BB}"/>
          </c:extLst>
        </c:dLbl>
      </c:pivotFmt>
      <c:pivotFmt>
        <c:idx val="87"/>
        <c:dLbl>
          <c:idx val="0"/>
          <c:delete val="1"/>
          <c:extLst>
            <c:ext xmlns:c15="http://schemas.microsoft.com/office/drawing/2012/chart" uri="{CE6537A1-D6FC-4f65-9D91-7224C49458BB}"/>
          </c:extLst>
        </c:dLbl>
      </c:pivotFmt>
      <c:pivotFmt>
        <c:idx val="88"/>
        <c:dLbl>
          <c:idx val="0"/>
          <c:delete val="1"/>
          <c:extLst>
            <c:ext xmlns:c15="http://schemas.microsoft.com/office/drawing/2012/chart" uri="{CE6537A1-D6FC-4f65-9D91-7224C49458BB}"/>
          </c:extLst>
        </c:dLbl>
      </c:pivotFmt>
      <c:pivotFmt>
        <c:idx val="89"/>
        <c:dLbl>
          <c:idx val="0"/>
          <c:delete val="1"/>
          <c:extLst>
            <c:ext xmlns:c15="http://schemas.microsoft.com/office/drawing/2012/chart" uri="{CE6537A1-D6FC-4f65-9D91-7224C49458BB}"/>
          </c:extLst>
        </c:dLbl>
      </c:pivotFmt>
      <c:pivotFmt>
        <c:idx val="90"/>
        <c:dLbl>
          <c:idx val="0"/>
          <c:delete val="1"/>
          <c:extLst>
            <c:ext xmlns:c15="http://schemas.microsoft.com/office/drawing/2012/chart" uri="{CE6537A1-D6FC-4f65-9D91-7224C49458BB}"/>
          </c:extLst>
        </c:dLbl>
      </c:pivotFmt>
      <c:pivotFmt>
        <c:idx val="9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elete val="1"/>
          <c:extLst>
            <c:ext xmlns:c15="http://schemas.microsoft.com/office/drawing/2012/chart" uri="{CE6537A1-D6FC-4f65-9D91-7224C49458BB}"/>
          </c:extLst>
        </c:dLbl>
      </c:pivotFmt>
      <c:pivotFmt>
        <c:idx val="93"/>
        <c:dLbl>
          <c:idx val="0"/>
          <c:delete val="1"/>
          <c:extLst>
            <c:ext xmlns:c15="http://schemas.microsoft.com/office/drawing/2012/chart" uri="{CE6537A1-D6FC-4f65-9D91-7224C49458BB}"/>
          </c:extLst>
        </c:dLbl>
      </c:pivotFmt>
      <c:pivotFmt>
        <c:idx val="94"/>
        <c:dLbl>
          <c:idx val="0"/>
          <c:delete val="1"/>
          <c:extLst>
            <c:ext xmlns:c15="http://schemas.microsoft.com/office/drawing/2012/chart" uri="{CE6537A1-D6FC-4f65-9D91-7224C49458BB}"/>
          </c:extLst>
        </c:dLbl>
      </c:pivotFmt>
      <c:pivotFmt>
        <c:idx val="95"/>
        <c:dLbl>
          <c:idx val="0"/>
          <c:delete val="1"/>
          <c:extLst>
            <c:ext xmlns:c15="http://schemas.microsoft.com/office/drawing/2012/chart" uri="{CE6537A1-D6FC-4f65-9D91-7224C49458BB}"/>
          </c:extLst>
        </c:dLbl>
      </c:pivotFmt>
      <c:pivotFmt>
        <c:idx val="96"/>
        <c:dLbl>
          <c:idx val="0"/>
          <c:delete val="1"/>
          <c:extLst>
            <c:ext xmlns:c15="http://schemas.microsoft.com/office/drawing/2012/chart" uri="{CE6537A1-D6FC-4f65-9D91-7224C49458BB}"/>
          </c:extLst>
        </c:dLbl>
      </c:pivotFmt>
      <c:pivotFmt>
        <c:idx val="97"/>
        <c:dLbl>
          <c:idx val="0"/>
          <c:delete val="1"/>
          <c:extLst>
            <c:ext xmlns:c15="http://schemas.microsoft.com/office/drawing/2012/chart" uri="{CE6537A1-D6FC-4f65-9D91-7224C49458BB}"/>
          </c:extLst>
        </c:dLbl>
      </c:pivotFmt>
      <c:pivotFmt>
        <c:idx val="98"/>
        <c:dLbl>
          <c:idx val="0"/>
          <c:delete val="1"/>
          <c:extLst>
            <c:ext xmlns:c15="http://schemas.microsoft.com/office/drawing/2012/chart" uri="{CE6537A1-D6FC-4f65-9D91-7224C49458BB}"/>
          </c:extLst>
        </c:dLbl>
      </c:pivotFmt>
      <c:pivotFmt>
        <c:idx val="99"/>
        <c:dLbl>
          <c:idx val="0"/>
          <c:delete val="1"/>
          <c:extLst>
            <c:ext xmlns:c15="http://schemas.microsoft.com/office/drawing/2012/chart" uri="{CE6537A1-D6FC-4f65-9D91-7224C49458BB}"/>
          </c:extLst>
        </c:dLbl>
      </c:pivotFmt>
      <c:pivotFmt>
        <c:idx val="100"/>
        <c:dLbl>
          <c:idx val="0"/>
          <c:delete val="1"/>
          <c:extLst>
            <c:ext xmlns:c15="http://schemas.microsoft.com/office/drawing/2012/chart" uri="{CE6537A1-D6FC-4f65-9D91-7224C49458BB}"/>
          </c:extLst>
        </c:dLbl>
      </c:pivotFmt>
      <c:pivotFmt>
        <c:idx val="101"/>
        <c:dLbl>
          <c:idx val="0"/>
          <c:delete val="1"/>
          <c:extLst>
            <c:ext xmlns:c15="http://schemas.microsoft.com/office/drawing/2012/chart" uri="{CE6537A1-D6FC-4f65-9D91-7224C49458BB}"/>
          </c:extLst>
        </c:dLbl>
      </c:pivotFmt>
      <c:pivotFmt>
        <c:idx val="102"/>
        <c:dLbl>
          <c:idx val="0"/>
          <c:delete val="1"/>
          <c:extLst>
            <c:ext xmlns:c15="http://schemas.microsoft.com/office/drawing/2012/chart" uri="{CE6537A1-D6FC-4f65-9D91-7224C49458BB}"/>
          </c:extLst>
        </c:dLbl>
      </c:pivotFmt>
      <c:pivotFmt>
        <c:idx val="103"/>
        <c:dLbl>
          <c:idx val="0"/>
          <c:delete val="1"/>
          <c:extLst>
            <c:ext xmlns:c15="http://schemas.microsoft.com/office/drawing/2012/chart" uri="{CE6537A1-D6FC-4f65-9D91-7224C49458BB}"/>
          </c:extLst>
        </c:dLbl>
      </c:pivotFmt>
      <c:pivotFmt>
        <c:idx val="10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pivotFmt>
      <c:pivotFmt>
        <c:idx val="106"/>
      </c:pivotFmt>
      <c:pivotFmt>
        <c:idx val="107"/>
        <c:dLbl>
          <c:idx val="0"/>
          <c:delete val="1"/>
          <c:extLst>
            <c:ext xmlns:c15="http://schemas.microsoft.com/office/drawing/2012/chart" uri="{CE6537A1-D6FC-4f65-9D91-7224C49458BB}"/>
          </c:extLst>
        </c:dLbl>
      </c:pivotFmt>
      <c:pivotFmt>
        <c:idx val="108"/>
      </c:pivotFmt>
      <c:pivotFmt>
        <c:idx val="109"/>
        <c:dLbl>
          <c:idx val="0"/>
          <c:delete val="1"/>
          <c:extLst>
            <c:ext xmlns:c15="http://schemas.microsoft.com/office/drawing/2012/chart" uri="{CE6537A1-D6FC-4f65-9D91-7224C49458BB}"/>
          </c:extLst>
        </c:dLbl>
      </c:pivotFmt>
      <c:pivotFmt>
        <c:idx val="110"/>
        <c:dLbl>
          <c:idx val="0"/>
          <c:delete val="1"/>
          <c:extLst>
            <c:ext xmlns:c15="http://schemas.microsoft.com/office/drawing/2012/chart" uri="{CE6537A1-D6FC-4f65-9D91-7224C49458BB}"/>
          </c:extLst>
        </c:dLbl>
      </c:pivotFmt>
      <c:pivotFmt>
        <c:idx val="111"/>
      </c:pivotFmt>
      <c:pivotFmt>
        <c:idx val="112"/>
        <c:dLbl>
          <c:idx val="0"/>
          <c:delete val="1"/>
          <c:extLst>
            <c:ext xmlns:c15="http://schemas.microsoft.com/office/drawing/2012/chart" uri="{CE6537A1-D6FC-4f65-9D91-7224C49458BB}"/>
          </c:extLst>
        </c:dLbl>
      </c:pivotFmt>
      <c:pivotFmt>
        <c:idx val="113"/>
        <c:dLbl>
          <c:idx val="0"/>
          <c:delete val="1"/>
          <c:extLst>
            <c:ext xmlns:c15="http://schemas.microsoft.com/office/drawing/2012/chart" uri="{CE6537A1-D6FC-4f65-9D91-7224C49458BB}"/>
          </c:extLst>
        </c:dLbl>
      </c:pivotFmt>
      <c:pivotFmt>
        <c:idx val="114"/>
      </c:pivotFmt>
      <c:pivotFmt>
        <c:idx val="115"/>
        <c:dLbl>
          <c:idx val="0"/>
          <c:delete val="1"/>
          <c:extLst>
            <c:ext xmlns:c15="http://schemas.microsoft.com/office/drawing/2012/chart" uri="{CE6537A1-D6FC-4f65-9D91-7224C49458BB}"/>
          </c:extLst>
        </c:dLbl>
      </c:pivotFmt>
      <c:pivotFmt>
        <c:idx val="116"/>
      </c:pivotFmt>
      <c:pivotFmt>
        <c:idx val="117"/>
        <c:dLbl>
          <c:idx val="0"/>
          <c:delete val="1"/>
          <c:extLst>
            <c:ext xmlns:c15="http://schemas.microsoft.com/office/drawing/2012/chart" uri="{CE6537A1-D6FC-4f65-9D91-7224C49458BB}"/>
          </c:extLst>
        </c:dLbl>
      </c:pivotFmt>
      <c:pivotFmt>
        <c:idx val="118"/>
        <c:dLbl>
          <c:idx val="0"/>
          <c:delete val="1"/>
          <c:extLst>
            <c:ext xmlns:c15="http://schemas.microsoft.com/office/drawing/2012/chart" uri="{CE6537A1-D6FC-4f65-9D91-7224C49458BB}"/>
          </c:extLst>
        </c:dLbl>
      </c:pivotFmt>
      <c:pivotFmt>
        <c:idx val="119"/>
        <c:dLbl>
          <c:idx val="0"/>
          <c:delete val="1"/>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layout>
            <c:manualLayout>
              <c:x val="9.3158635218658723E-3"/>
              <c:y val="-2.7491408934707945E-2"/>
            </c:manualLayout>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3"/>
        <c:dLbl>
          <c:idx val="0"/>
          <c:layout>
            <c:manualLayout>
              <c:x val="9.3158635218658723E-3"/>
              <c:y val="-2.7491408934707945E-2"/>
            </c:manualLayout>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delete val="1"/>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5"/>
        <c:dLbl>
          <c:idx val="0"/>
          <c:layout>
            <c:manualLayout>
              <c:x val="9.3158635218658723E-3"/>
              <c:y val="-2.7491408934707945E-2"/>
            </c:manualLayout>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dLbl>
          <c:idx val="0"/>
          <c:delete val="1"/>
          <c:extLst>
            <c:ext xmlns:c15="http://schemas.microsoft.com/office/drawing/2012/chart" uri="{CE6537A1-D6FC-4f65-9D91-7224C49458BB}"/>
          </c:extLst>
        </c:dLbl>
      </c:pivotFmt>
      <c:pivotFmt>
        <c:idx val="157"/>
        <c:dLbl>
          <c:idx val="0"/>
          <c:delete val="1"/>
          <c:extLst>
            <c:ext xmlns:c15="http://schemas.microsoft.com/office/drawing/2012/chart" uri="{CE6537A1-D6FC-4f65-9D91-7224C49458BB}"/>
          </c:extLst>
        </c:dLbl>
      </c:pivotFmt>
      <c:pivotFmt>
        <c:idx val="158"/>
        <c:dLbl>
          <c:idx val="0"/>
          <c:delete val="1"/>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marker>
          <c:symbol val="none"/>
        </c:marker>
        <c:dLbl>
          <c:idx val="0"/>
          <c:spPr>
            <a:noFill/>
            <a:ln>
              <a:noFill/>
            </a:ln>
            <a:effectLs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7"/>
        <c:dLbl>
          <c:idx val="0"/>
          <c:layout>
            <c:manualLayout>
              <c:x val="9.3158635218658723E-3"/>
              <c:y val="-2.7491408934707945E-2"/>
            </c:manualLayout>
          </c:layout>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delete val="1"/>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s>
    <c:plotArea>
      <c:layout>
        <c:manualLayout>
          <c:layoutTarget val="inner"/>
          <c:xMode val="edge"/>
          <c:yMode val="edge"/>
          <c:x val="0.12841294362215444"/>
          <c:y val="0.20458914730911895"/>
          <c:w val="0.80380883114520574"/>
          <c:h val="0.44734244873172663"/>
        </c:manualLayout>
      </c:layout>
      <c:barChart>
        <c:barDir val="col"/>
        <c:grouping val="clustered"/>
        <c:varyColors val="0"/>
        <c:ser>
          <c:idx val="0"/>
          <c:order val="0"/>
          <c:tx>
            <c:strRef>
              <c:f>TOTAL!$B$51</c:f>
              <c:strCache>
                <c:ptCount val="1"/>
                <c:pt idx="0">
                  <c:v>Total</c:v>
                </c:pt>
              </c:strCache>
            </c:strRef>
          </c:tx>
          <c:invertIfNegative val="0"/>
          <c:dPt>
            <c:idx val="0"/>
            <c:invertIfNegative val="0"/>
            <c:bubble3D val="0"/>
            <c:extLst>
              <c:ext xmlns:c16="http://schemas.microsoft.com/office/drawing/2014/chart" uri="{C3380CC4-5D6E-409C-BE32-E72D297353CC}">
                <c16:uniqueId val="{00000003-5BFA-4472-9858-06C28AEC59EE}"/>
              </c:ext>
            </c:extLst>
          </c:dPt>
          <c:dPt>
            <c:idx val="1"/>
            <c:invertIfNegative val="0"/>
            <c:bubble3D val="0"/>
            <c:extLst>
              <c:ext xmlns:c16="http://schemas.microsoft.com/office/drawing/2014/chart" uri="{C3380CC4-5D6E-409C-BE32-E72D297353CC}">
                <c16:uniqueId val="{00000004-5BFA-4472-9858-06C28AEC59EE}"/>
              </c:ext>
            </c:extLst>
          </c:dPt>
          <c:dPt>
            <c:idx val="3"/>
            <c:invertIfNegative val="0"/>
            <c:bubble3D val="0"/>
            <c:extLst>
              <c:ext xmlns:c16="http://schemas.microsoft.com/office/drawing/2014/chart" uri="{C3380CC4-5D6E-409C-BE32-E72D297353CC}">
                <c16:uniqueId val="{00000005-5BFA-4472-9858-06C28AEC59EE}"/>
              </c:ext>
            </c:extLst>
          </c:dPt>
          <c:dPt>
            <c:idx val="5"/>
            <c:invertIfNegative val="0"/>
            <c:bubble3D val="0"/>
            <c:extLst>
              <c:ext xmlns:c16="http://schemas.microsoft.com/office/drawing/2014/chart" uri="{C3380CC4-5D6E-409C-BE32-E72D297353CC}">
                <c16:uniqueId val="{00000006-5BFA-4472-9858-06C28AEC59EE}"/>
              </c:ext>
            </c:extLst>
          </c:dPt>
          <c:dPt>
            <c:idx val="6"/>
            <c:invertIfNegative val="0"/>
            <c:bubble3D val="0"/>
            <c:extLst>
              <c:ext xmlns:c16="http://schemas.microsoft.com/office/drawing/2014/chart" uri="{C3380CC4-5D6E-409C-BE32-E72D297353CC}">
                <c16:uniqueId val="{00000007-5BFA-4472-9858-06C28AEC59EE}"/>
              </c:ext>
            </c:extLst>
          </c:dPt>
          <c:dPt>
            <c:idx val="8"/>
            <c:invertIfNegative val="0"/>
            <c:bubble3D val="0"/>
            <c:extLst>
              <c:ext xmlns:c16="http://schemas.microsoft.com/office/drawing/2014/chart" uri="{C3380CC4-5D6E-409C-BE32-E72D297353CC}">
                <c16:uniqueId val="{00000008-5BFA-4472-9858-06C28AEC59EE}"/>
              </c:ext>
            </c:extLst>
          </c:dPt>
          <c:dPt>
            <c:idx val="9"/>
            <c:invertIfNegative val="0"/>
            <c:bubble3D val="0"/>
            <c:extLst>
              <c:ext xmlns:c16="http://schemas.microsoft.com/office/drawing/2014/chart" uri="{C3380CC4-5D6E-409C-BE32-E72D297353CC}">
                <c16:uniqueId val="{00000009-5BFA-4472-9858-06C28AEC59EE}"/>
              </c:ext>
            </c:extLst>
          </c:dPt>
          <c:dPt>
            <c:idx val="10"/>
            <c:invertIfNegative val="0"/>
            <c:bubble3D val="0"/>
            <c:extLst>
              <c:ext xmlns:c16="http://schemas.microsoft.com/office/drawing/2014/chart" uri="{C3380CC4-5D6E-409C-BE32-E72D297353CC}">
                <c16:uniqueId val="{0000000A-5BFA-4472-9858-06C28AEC59EE}"/>
              </c:ext>
            </c:extLst>
          </c:dPt>
          <c:dPt>
            <c:idx val="11"/>
            <c:invertIfNegative val="0"/>
            <c:bubble3D val="0"/>
            <c:extLst>
              <c:ext xmlns:c16="http://schemas.microsoft.com/office/drawing/2014/chart" uri="{C3380CC4-5D6E-409C-BE32-E72D297353CC}">
                <c16:uniqueId val="{0000000B-5BFA-4472-9858-06C28AEC59EE}"/>
              </c:ext>
            </c:extLst>
          </c:dPt>
          <c:dPt>
            <c:idx val="12"/>
            <c:invertIfNegative val="0"/>
            <c:bubble3D val="0"/>
            <c:extLst>
              <c:ext xmlns:c16="http://schemas.microsoft.com/office/drawing/2014/chart" uri="{C3380CC4-5D6E-409C-BE32-E72D297353CC}">
                <c16:uniqueId val="{0000000C-5BFA-4472-9858-06C28AEC59EE}"/>
              </c:ext>
            </c:extLst>
          </c:dPt>
          <c:dPt>
            <c:idx val="13"/>
            <c:invertIfNegative val="0"/>
            <c:bubble3D val="0"/>
            <c:extLst>
              <c:ext xmlns:c16="http://schemas.microsoft.com/office/drawing/2014/chart" uri="{C3380CC4-5D6E-409C-BE32-E72D297353CC}">
                <c16:uniqueId val="{0000000D-5BFA-4472-9858-06C28AEC59EE}"/>
              </c:ext>
            </c:extLst>
          </c:dPt>
          <c:dPt>
            <c:idx val="14"/>
            <c:invertIfNegative val="0"/>
            <c:bubble3D val="0"/>
            <c:extLst>
              <c:ext xmlns:c16="http://schemas.microsoft.com/office/drawing/2014/chart" uri="{C3380CC4-5D6E-409C-BE32-E72D297353CC}">
                <c16:uniqueId val="{0000000E-5BFA-4472-9858-06C28AEC59EE}"/>
              </c:ext>
            </c:extLst>
          </c:dPt>
          <c:dPt>
            <c:idx val="15"/>
            <c:invertIfNegative val="0"/>
            <c:bubble3D val="0"/>
            <c:extLst>
              <c:ext xmlns:c16="http://schemas.microsoft.com/office/drawing/2014/chart" uri="{C3380CC4-5D6E-409C-BE32-E72D297353CC}">
                <c16:uniqueId val="{0000000F-5BFA-4472-9858-06C28AEC59EE}"/>
              </c:ext>
            </c:extLst>
          </c:dPt>
          <c:dLbls>
            <c:dLbl>
              <c:idx val="1"/>
              <c:layout>
                <c:manualLayout>
                  <c:x val="9.3158635218658723E-3"/>
                  <c:y val="-2.74914089347079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FA-4472-9858-06C28AEC59EE}"/>
                </c:ext>
              </c:extLst>
            </c:dLbl>
            <c:dLbl>
              <c:idx val="4"/>
              <c:delete val="1"/>
              <c:extLst>
                <c:ext xmlns:c15="http://schemas.microsoft.com/office/drawing/2012/chart" uri="{CE6537A1-D6FC-4f65-9D91-7224C49458BB}"/>
                <c:ext xmlns:c16="http://schemas.microsoft.com/office/drawing/2014/chart" uri="{C3380CC4-5D6E-409C-BE32-E72D297353CC}">
                  <c16:uniqueId val="{00000010-5BFA-4472-9858-06C28AEC59EE}"/>
                </c:ext>
              </c:extLst>
            </c:dLbl>
            <c:dLbl>
              <c:idx val="5"/>
              <c:delete val="1"/>
              <c:extLst>
                <c:ext xmlns:c15="http://schemas.microsoft.com/office/drawing/2012/chart" uri="{CE6537A1-D6FC-4f65-9D91-7224C49458BB}"/>
                <c:ext xmlns:c16="http://schemas.microsoft.com/office/drawing/2014/chart" uri="{C3380CC4-5D6E-409C-BE32-E72D297353CC}">
                  <c16:uniqueId val="{00000006-5BFA-4472-9858-06C28AEC59EE}"/>
                </c:ext>
              </c:extLst>
            </c:dLbl>
            <c:dLbl>
              <c:idx val="7"/>
              <c:delete val="1"/>
              <c:extLst>
                <c:ext xmlns:c15="http://schemas.microsoft.com/office/drawing/2012/chart" uri="{CE6537A1-D6FC-4f65-9D91-7224C49458BB}"/>
                <c:ext xmlns:c16="http://schemas.microsoft.com/office/drawing/2014/chart" uri="{C3380CC4-5D6E-409C-BE32-E72D297353CC}">
                  <c16:uniqueId val="{00000011-5BFA-4472-9858-06C28AEC59EE}"/>
                </c:ext>
              </c:extLst>
            </c:dLbl>
            <c:dLbl>
              <c:idx val="8"/>
              <c:delete val="1"/>
              <c:extLst>
                <c:ext xmlns:c15="http://schemas.microsoft.com/office/drawing/2012/chart" uri="{CE6537A1-D6FC-4f65-9D91-7224C49458BB}"/>
                <c:ext xmlns:c16="http://schemas.microsoft.com/office/drawing/2014/chart" uri="{C3380CC4-5D6E-409C-BE32-E72D297353CC}">
                  <c16:uniqueId val="{00000008-5BFA-4472-9858-06C28AEC59EE}"/>
                </c:ext>
              </c:extLst>
            </c:dLbl>
            <c:dLbl>
              <c:idx val="9"/>
              <c:delete val="1"/>
              <c:extLst>
                <c:ext xmlns:c15="http://schemas.microsoft.com/office/drawing/2012/chart" uri="{CE6537A1-D6FC-4f65-9D91-7224C49458BB}"/>
                <c:ext xmlns:c16="http://schemas.microsoft.com/office/drawing/2014/chart" uri="{C3380CC4-5D6E-409C-BE32-E72D297353CC}">
                  <c16:uniqueId val="{00000009-5BFA-4472-9858-06C28AEC59EE}"/>
                </c:ext>
              </c:extLst>
            </c:dLbl>
            <c:dLbl>
              <c:idx val="11"/>
              <c:delete val="1"/>
              <c:extLst>
                <c:ext xmlns:c15="http://schemas.microsoft.com/office/drawing/2012/chart" uri="{CE6537A1-D6FC-4f65-9D91-7224C49458BB}"/>
                <c:ext xmlns:c16="http://schemas.microsoft.com/office/drawing/2014/chart" uri="{C3380CC4-5D6E-409C-BE32-E72D297353CC}">
                  <c16:uniqueId val="{0000000B-5BFA-4472-9858-06C28AEC59EE}"/>
                </c:ext>
              </c:extLst>
            </c:dLbl>
            <c:dLbl>
              <c:idx val="12"/>
              <c:delete val="1"/>
              <c:extLst>
                <c:ext xmlns:c15="http://schemas.microsoft.com/office/drawing/2012/chart" uri="{CE6537A1-D6FC-4f65-9D91-7224C49458BB}"/>
                <c:ext xmlns:c16="http://schemas.microsoft.com/office/drawing/2014/chart" uri="{C3380CC4-5D6E-409C-BE32-E72D297353CC}">
                  <c16:uniqueId val="{0000000C-5BFA-4472-9858-06C28AEC59EE}"/>
                </c:ext>
              </c:extLst>
            </c:dLbl>
            <c:dLbl>
              <c:idx val="14"/>
              <c:delete val="1"/>
              <c:extLst>
                <c:ext xmlns:c15="http://schemas.microsoft.com/office/drawing/2012/chart" uri="{CE6537A1-D6FC-4f65-9D91-7224C49458BB}"/>
                <c:ext xmlns:c16="http://schemas.microsoft.com/office/drawing/2014/chart" uri="{C3380CC4-5D6E-409C-BE32-E72D297353CC}">
                  <c16:uniqueId val="{0000000E-5BFA-4472-9858-06C28AEC59EE}"/>
                </c:ext>
              </c:extLst>
            </c:dLbl>
            <c:dLbl>
              <c:idx val="16"/>
              <c:delete val="1"/>
              <c:extLst>
                <c:ext xmlns:c15="http://schemas.microsoft.com/office/drawing/2012/chart" uri="{CE6537A1-D6FC-4f65-9D91-7224C49458BB}"/>
                <c:ext xmlns:c16="http://schemas.microsoft.com/office/drawing/2014/chart" uri="{C3380CC4-5D6E-409C-BE32-E72D297353CC}">
                  <c16:uniqueId val="{00000012-5BFA-4472-9858-06C28AEC59EE}"/>
                </c:ext>
              </c:extLst>
            </c:dLbl>
            <c:dLbl>
              <c:idx val="17"/>
              <c:delete val="1"/>
              <c:extLst>
                <c:ext xmlns:c15="http://schemas.microsoft.com/office/drawing/2012/chart" uri="{CE6537A1-D6FC-4f65-9D91-7224C49458BB}"/>
                <c:ext xmlns:c16="http://schemas.microsoft.com/office/drawing/2014/chart" uri="{C3380CC4-5D6E-409C-BE32-E72D297353CC}">
                  <c16:uniqueId val="{00000013-5BFA-4472-9858-06C28AEC59EE}"/>
                </c:ext>
              </c:extLst>
            </c:dLbl>
            <c:dLbl>
              <c:idx val="18"/>
              <c:delete val="1"/>
              <c:extLst>
                <c:ext xmlns:c15="http://schemas.microsoft.com/office/drawing/2012/chart" uri="{CE6537A1-D6FC-4f65-9D91-7224C49458BB}"/>
                <c:ext xmlns:c16="http://schemas.microsoft.com/office/drawing/2014/chart" uri="{C3380CC4-5D6E-409C-BE32-E72D297353CC}">
                  <c16:uniqueId val="{00000014-5BFA-4472-9858-06C28AEC59EE}"/>
                </c:ext>
              </c:extLst>
            </c:dLbl>
            <c:dLbl>
              <c:idx val="19"/>
              <c:delete val="1"/>
              <c:extLst>
                <c:ext xmlns:c15="http://schemas.microsoft.com/office/drawing/2012/chart" uri="{CE6537A1-D6FC-4f65-9D91-7224C49458BB}"/>
                <c:ext xmlns:c16="http://schemas.microsoft.com/office/drawing/2014/chart" uri="{C3380CC4-5D6E-409C-BE32-E72D297353CC}">
                  <c16:uniqueId val="{00000015-5BFA-4472-9858-06C28AEC59EE}"/>
                </c:ext>
              </c:extLst>
            </c:dLbl>
            <c:dLbl>
              <c:idx val="20"/>
              <c:delete val="1"/>
              <c:extLst>
                <c:ext xmlns:c15="http://schemas.microsoft.com/office/drawing/2012/chart" uri="{CE6537A1-D6FC-4f65-9D91-7224C49458BB}"/>
                <c:ext xmlns:c16="http://schemas.microsoft.com/office/drawing/2014/chart" uri="{C3380CC4-5D6E-409C-BE32-E72D297353CC}">
                  <c16:uniqueId val="{00000016-5BFA-4472-9858-06C28AEC59EE}"/>
                </c:ext>
              </c:extLst>
            </c:dLbl>
            <c:dLbl>
              <c:idx val="21"/>
              <c:delete val="1"/>
              <c:extLst>
                <c:ext xmlns:c15="http://schemas.microsoft.com/office/drawing/2012/chart" uri="{CE6537A1-D6FC-4f65-9D91-7224C49458BB}"/>
                <c:ext xmlns:c16="http://schemas.microsoft.com/office/drawing/2014/chart" uri="{C3380CC4-5D6E-409C-BE32-E72D297353CC}">
                  <c16:uniqueId val="{00000017-5BFA-4472-9858-06C28AEC59EE}"/>
                </c:ext>
              </c:extLst>
            </c:dLbl>
            <c:dLbl>
              <c:idx val="22"/>
              <c:delete val="1"/>
              <c:extLst>
                <c:ext xmlns:c15="http://schemas.microsoft.com/office/drawing/2012/chart" uri="{CE6537A1-D6FC-4f65-9D91-7224C49458BB}"/>
                <c:ext xmlns:c16="http://schemas.microsoft.com/office/drawing/2014/chart" uri="{C3380CC4-5D6E-409C-BE32-E72D297353CC}">
                  <c16:uniqueId val="{00000018-5BFA-4472-9858-06C28AEC59EE}"/>
                </c:ext>
              </c:extLst>
            </c:dLbl>
            <c:spPr>
              <a:noFill/>
              <a:ln>
                <a:noFill/>
              </a:ln>
              <a:effectLst/>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TOTAL!$A$52:$A$75</c:f>
              <c:strCache>
                <c:ptCount val="23"/>
                <c:pt idx="0">
                  <c:v>QC 品管</c:v>
                </c:pt>
                <c:pt idx="1">
                  <c:v>Gia công 加工部</c:v>
                </c:pt>
                <c:pt idx="2">
                  <c:v>QLSX 生管部</c:v>
                </c:pt>
                <c:pt idx="3">
                  <c:v>Thu Mua
採購</c:v>
                </c:pt>
                <c:pt idx="4">
                  <c:v>Dập X1 一廠沖壓</c:v>
                </c:pt>
                <c:pt idx="5">
                  <c:v>Đúc 壓鑄部</c:v>
                </c:pt>
                <c:pt idx="6">
                  <c:v>ATTT</c:v>
                </c:pt>
                <c:pt idx="7">
                  <c:v>Dập X4 四廠沖壓</c:v>
                </c:pt>
                <c:pt idx="8">
                  <c:v>QLK 倉管</c:v>
                </c:pt>
                <c:pt idx="9">
                  <c:v>Khuôn mẫu 模具</c:v>
                </c:pt>
                <c:pt idx="10">
                  <c:v>Nhân sự 
人事</c:v>
                </c:pt>
                <c:pt idx="11">
                  <c:v>Hàn X1 一廠焊接</c:v>
                </c:pt>
                <c:pt idx="12">
                  <c:v>Sơn X3
三廠塗裝</c:v>
                </c:pt>
                <c:pt idx="13">
                  <c:v>Kai-Fa 開發部</c:v>
                </c:pt>
                <c:pt idx="14">
                  <c:v>Tổng Vụ
總務</c:v>
                </c:pt>
                <c:pt idx="15">
                  <c:v>Lắp ráp
組裝</c:v>
                </c:pt>
                <c:pt idx="16">
                  <c:v>Y tế X3 三廠醫務室</c:v>
                </c:pt>
                <c:pt idx="17">
                  <c:v>KTSX 生技部</c:v>
                </c:pt>
                <c:pt idx="18">
                  <c:v>Sơn X1 一廠塗裝</c:v>
                </c:pt>
                <c:pt idx="19">
                  <c:v>KTKF 開發工程課</c:v>
                </c:pt>
                <c:pt idx="20">
                  <c:v>Tài vụ 財務</c:v>
                </c:pt>
                <c:pt idx="21">
                  <c:v>Dập X3 三廠沖壓</c:v>
                </c:pt>
                <c:pt idx="22">
                  <c:v>Hàn X3 三廠焊接</c:v>
                </c:pt>
              </c:strCache>
            </c:strRef>
          </c:cat>
          <c:val>
            <c:numRef>
              <c:f>TOTAL!$B$52:$B$75</c:f>
              <c:numCache>
                <c:formatCode>#,##0</c:formatCode>
                <c:ptCount val="23"/>
                <c:pt idx="0">
                  <c:v>162000</c:v>
                </c:pt>
                <c:pt idx="1">
                  <c:v>120000</c:v>
                </c:pt>
                <c:pt idx="2">
                  <c:v>102000</c:v>
                </c:pt>
                <c:pt idx="3">
                  <c:v>80000</c:v>
                </c:pt>
                <c:pt idx="4">
                  <c:v>65000</c:v>
                </c:pt>
                <c:pt idx="5">
                  <c:v>65000</c:v>
                </c:pt>
                <c:pt idx="6">
                  <c:v>65000</c:v>
                </c:pt>
                <c:pt idx="7">
                  <c:v>57000</c:v>
                </c:pt>
                <c:pt idx="8">
                  <c:v>50000</c:v>
                </c:pt>
                <c:pt idx="9">
                  <c:v>32000</c:v>
                </c:pt>
                <c:pt idx="10">
                  <c:v>30000</c:v>
                </c:pt>
                <c:pt idx="11">
                  <c:v>22000</c:v>
                </c:pt>
                <c:pt idx="12">
                  <c:v>22000</c:v>
                </c:pt>
                <c:pt idx="13">
                  <c:v>22000</c:v>
                </c:pt>
                <c:pt idx="14">
                  <c:v>20000</c:v>
                </c:pt>
                <c:pt idx="15">
                  <c:v>20000</c:v>
                </c:pt>
                <c:pt idx="16">
                  <c:v>20000</c:v>
                </c:pt>
                <c:pt idx="17">
                  <c:v>20000</c:v>
                </c:pt>
                <c:pt idx="18">
                  <c:v>10000</c:v>
                </c:pt>
                <c:pt idx="19">
                  <c:v>10000</c:v>
                </c:pt>
                <c:pt idx="20">
                  <c:v>5000</c:v>
                </c:pt>
                <c:pt idx="21">
                  <c:v>4000</c:v>
                </c:pt>
                <c:pt idx="22">
                  <c:v>3000</c:v>
                </c:pt>
              </c:numCache>
            </c:numRef>
          </c:val>
          <c:extLst>
            <c:ext xmlns:c16="http://schemas.microsoft.com/office/drawing/2014/chart" uri="{C3380CC4-5D6E-409C-BE32-E72D297353CC}">
              <c16:uniqueId val="{0000001E-5BFA-4472-9858-06C28AEC59EE}"/>
            </c:ext>
          </c:extLst>
        </c:ser>
        <c:dLbls>
          <c:showLegendKey val="0"/>
          <c:showVal val="1"/>
          <c:showCatName val="0"/>
          <c:showSerName val="0"/>
          <c:showPercent val="0"/>
          <c:showBubbleSize val="0"/>
        </c:dLbls>
        <c:gapWidth val="219"/>
        <c:overlap val="-27"/>
        <c:axId val="1425715007"/>
        <c:axId val="1425714591"/>
      </c:barChart>
      <c:catAx>
        <c:axId val="1425715007"/>
        <c:scaling>
          <c:orientation val="minMax"/>
        </c:scaling>
        <c:delete val="0"/>
        <c:axPos val="b"/>
        <c:numFmt formatCode="General" sourceLinked="1"/>
        <c:majorTickMark val="none"/>
        <c:minorTickMark val="none"/>
        <c:tickLblPos val="nextTo"/>
        <c:txPr>
          <a:bodyPr rot="-60000000" vert="horz"/>
          <a:lstStyle/>
          <a:p>
            <a:pPr>
              <a:defRPr/>
            </a:pPr>
            <a:endParaRPr lang="en-US"/>
          </a:p>
        </c:txPr>
        <c:crossAx val="1425714591"/>
        <c:crosses val="autoZero"/>
        <c:auto val="1"/>
        <c:lblAlgn val="ctr"/>
        <c:lblOffset val="100"/>
        <c:noMultiLvlLbl val="0"/>
      </c:catAx>
      <c:valAx>
        <c:axId val="1425714591"/>
        <c:scaling>
          <c:orientation val="minMax"/>
        </c:scaling>
        <c:delete val="0"/>
        <c:axPos val="l"/>
        <c:majorGridlines/>
        <c:numFmt formatCode="#,##0" sourceLinked="1"/>
        <c:majorTickMark val="none"/>
        <c:minorTickMark val="none"/>
        <c:tickLblPos val="nextTo"/>
        <c:txPr>
          <a:bodyPr rot="-60000000" vert="horz"/>
          <a:lstStyle/>
          <a:p>
            <a:pPr>
              <a:defRPr/>
            </a:pPr>
            <a:endParaRPr lang="en-US"/>
          </a:p>
        </c:txPr>
        <c:crossAx val="1425715007"/>
        <c:crosses val="autoZero"/>
        <c:crossBetween val="between"/>
        <c:minorUnit val="7000"/>
      </c:valAx>
    </c:plotArea>
    <c:legend>
      <c:legendPos val="r"/>
      <c:layout>
        <c:manualLayout>
          <c:xMode val="edge"/>
          <c:yMode val="edge"/>
          <c:x val="0.91133718584634249"/>
          <c:y val="0.63576829692291481"/>
          <c:w val="7.4689018870858645E-2"/>
          <c:h val="9.512742418026672E-2"/>
        </c:manualLayout>
      </c:layout>
      <c:overlay val="0"/>
      <c:txPr>
        <a:bodyPr rot="0" vert="horz"/>
        <a:lstStyle/>
        <a:p>
          <a:pPr>
            <a:defRPr/>
          </a:pPr>
          <a:endParaRPr lang="en-US"/>
        </a:p>
      </c:txPr>
    </c:legend>
    <c:plotVisOnly val="1"/>
    <c:dispBlanksAs val="gap"/>
    <c:showDLblsOverMax val="0"/>
    <c:extLst>
      <c:ext uri="{0b15fc19-7d7d-44ad-8c2d-2c3a37ce22c3}">
        <chartProps xmlns="https://web.wps.cn/et/2018/main" chartId="{df4e0c82-5347-40fd-82b9-39b0157494df}"/>
      </c:ext>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hủy.xlsx]TOTAL!PivotTable26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s>
    <c:plotArea>
      <c:layout>
        <c:manualLayout>
          <c:layoutTarget val="inner"/>
          <c:xMode val="edge"/>
          <c:yMode val="edge"/>
          <c:x val="0.147086199205336"/>
          <c:y val="0.29257226127491198"/>
          <c:w val="0.71350222526532003"/>
          <c:h val="0.32642407080818397"/>
        </c:manualLayout>
      </c:layout>
      <c:barChart>
        <c:barDir val="col"/>
        <c:grouping val="clustered"/>
        <c:varyColors val="0"/>
        <c:ser>
          <c:idx val="0"/>
          <c:order val="0"/>
          <c:tx>
            <c:strRef>
              <c:f>TOTAL!$B$81</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9-CA9B-497A-9127-1373897909C7}"/>
              </c:ext>
            </c:extLst>
          </c:dPt>
          <c:dPt>
            <c:idx val="4"/>
            <c:invertIfNegative val="0"/>
            <c:bubble3D val="0"/>
            <c:extLst>
              <c:ext xmlns:c16="http://schemas.microsoft.com/office/drawing/2014/chart" uri="{C3380CC4-5D6E-409C-BE32-E72D297353CC}">
                <c16:uniqueId val="{0000000A-CA9B-497A-9127-1373897909C7}"/>
              </c:ext>
            </c:extLst>
          </c:dPt>
          <c:dPt>
            <c:idx val="6"/>
            <c:invertIfNegative val="0"/>
            <c:bubble3D val="0"/>
            <c:extLst>
              <c:ext xmlns:c16="http://schemas.microsoft.com/office/drawing/2014/chart" uri="{C3380CC4-5D6E-409C-BE32-E72D297353CC}">
                <c16:uniqueId val="{0000000B-CA9B-497A-9127-1373897909C7}"/>
              </c:ext>
            </c:extLst>
          </c:dPt>
          <c:dLbls>
            <c:dLbl>
              <c:idx val="8"/>
              <c:delete val="1"/>
              <c:extLst>
                <c:ext xmlns:c15="http://schemas.microsoft.com/office/drawing/2012/chart" uri="{CE6537A1-D6FC-4f65-9D91-7224C49458BB}"/>
                <c:ext xmlns:c16="http://schemas.microsoft.com/office/drawing/2014/chart" uri="{C3380CC4-5D6E-409C-BE32-E72D297353CC}">
                  <c16:uniqueId val="{00000010-CA9B-497A-9127-1373897909C7}"/>
                </c:ext>
              </c:extLst>
            </c:dLbl>
            <c:dLbl>
              <c:idx val="10"/>
              <c:delete val="1"/>
              <c:extLst>
                <c:ext xmlns:c15="http://schemas.microsoft.com/office/drawing/2012/chart" uri="{CE6537A1-D6FC-4f65-9D91-7224C49458BB}"/>
                <c:ext xmlns:c16="http://schemas.microsoft.com/office/drawing/2014/chart" uri="{C3380CC4-5D6E-409C-BE32-E72D297353CC}">
                  <c16:uniqueId val="{0000000F-CA9B-497A-9127-1373897909C7}"/>
                </c:ext>
              </c:extLst>
            </c:dLbl>
            <c:dLbl>
              <c:idx val="12"/>
              <c:delete val="1"/>
              <c:extLst>
                <c:ext xmlns:c15="http://schemas.microsoft.com/office/drawing/2012/chart" uri="{CE6537A1-D6FC-4f65-9D91-7224C49458BB}"/>
                <c:ext xmlns:c16="http://schemas.microsoft.com/office/drawing/2014/chart" uri="{C3380CC4-5D6E-409C-BE32-E72D297353CC}">
                  <c16:uniqueId val="{0000000E-CA9B-497A-9127-1373897909C7}"/>
                </c:ext>
              </c:extLst>
            </c:dLbl>
            <c:dLbl>
              <c:idx val="13"/>
              <c:delete val="1"/>
              <c:extLst>
                <c:ext xmlns:c15="http://schemas.microsoft.com/office/drawing/2012/chart" uri="{CE6537A1-D6FC-4f65-9D91-7224C49458BB}"/>
                <c:ext xmlns:c16="http://schemas.microsoft.com/office/drawing/2014/chart" uri="{C3380CC4-5D6E-409C-BE32-E72D297353CC}">
                  <c16:uniqueId val="{0000000D-CA9B-497A-9127-1373897909C7}"/>
                </c:ext>
              </c:extLst>
            </c:dLbl>
            <c:dLbl>
              <c:idx val="15"/>
              <c:delete val="1"/>
              <c:extLst>
                <c:ext xmlns:c15="http://schemas.microsoft.com/office/drawing/2012/chart" uri="{CE6537A1-D6FC-4f65-9D91-7224C49458BB}"/>
                <c:ext xmlns:c16="http://schemas.microsoft.com/office/drawing/2014/chart" uri="{C3380CC4-5D6E-409C-BE32-E72D297353CC}">
                  <c16:uniqueId val="{00000011-CA9B-497A-9127-1373897909C7}"/>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TOTAL!$A$82:$A$98</c:f>
              <c:strCache>
                <c:ptCount val="16"/>
                <c:pt idx="0">
                  <c:v>MIS 資訊室</c:v>
                </c:pt>
                <c:pt idx="1">
                  <c:v>QLK 倉管</c:v>
                </c:pt>
                <c:pt idx="2">
                  <c:v>Hàn X3 三廠焊接</c:v>
                </c:pt>
                <c:pt idx="3">
                  <c:v>Hàn X1 一廠焊接</c:v>
                </c:pt>
                <c:pt idx="4">
                  <c:v>Đúc 壓鑄部</c:v>
                </c:pt>
                <c:pt idx="5">
                  <c:v>QC 品管</c:v>
                </c:pt>
                <c:pt idx="6">
                  <c:v>Sơn X1 一廠塗裝</c:v>
                </c:pt>
                <c:pt idx="7">
                  <c:v>Hàn X5 五廠焊接</c:v>
                </c:pt>
                <c:pt idx="8">
                  <c:v>Khuôn mẫu 模具</c:v>
                </c:pt>
                <c:pt idx="9">
                  <c:v>Dập X4 四廠沖壓</c:v>
                </c:pt>
                <c:pt idx="10">
                  <c:v>Dập X1 一廠沖壓</c:v>
                </c:pt>
                <c:pt idx="11">
                  <c:v>Gia công 加工部</c:v>
                </c:pt>
                <c:pt idx="12">
                  <c:v>XNK 進出口</c:v>
                </c:pt>
                <c:pt idx="13">
                  <c:v>XIMA
電鍍</c:v>
                </c:pt>
                <c:pt idx="14">
                  <c:v>Lắp ráp
組裝</c:v>
                </c:pt>
                <c:pt idx="15">
                  <c:v>Dập X3 三廠沖壓</c:v>
                </c:pt>
              </c:strCache>
            </c:strRef>
          </c:cat>
          <c:val>
            <c:numRef>
              <c:f>TOTAL!$B$82:$B$98</c:f>
              <c:numCache>
                <c:formatCode>#,##0</c:formatCode>
                <c:ptCount val="16"/>
                <c:pt idx="0">
                  <c:v>300000</c:v>
                </c:pt>
                <c:pt idx="1">
                  <c:v>174000</c:v>
                </c:pt>
                <c:pt idx="2">
                  <c:v>42000</c:v>
                </c:pt>
                <c:pt idx="3">
                  <c:v>40000</c:v>
                </c:pt>
                <c:pt idx="4">
                  <c:v>36000</c:v>
                </c:pt>
                <c:pt idx="5">
                  <c:v>32000</c:v>
                </c:pt>
                <c:pt idx="6">
                  <c:v>30000</c:v>
                </c:pt>
                <c:pt idx="7">
                  <c:v>26000</c:v>
                </c:pt>
                <c:pt idx="8">
                  <c:v>16000</c:v>
                </c:pt>
                <c:pt idx="9">
                  <c:v>12000</c:v>
                </c:pt>
                <c:pt idx="10">
                  <c:v>11000</c:v>
                </c:pt>
                <c:pt idx="11">
                  <c:v>11000</c:v>
                </c:pt>
                <c:pt idx="12">
                  <c:v>10000</c:v>
                </c:pt>
                <c:pt idx="13">
                  <c:v>10000</c:v>
                </c:pt>
                <c:pt idx="14">
                  <c:v>10000</c:v>
                </c:pt>
                <c:pt idx="15">
                  <c:v>6000</c:v>
                </c:pt>
              </c:numCache>
            </c:numRef>
          </c:val>
          <c:extLst>
            <c:ext xmlns:c16="http://schemas.microsoft.com/office/drawing/2014/chart" uri="{C3380CC4-5D6E-409C-BE32-E72D297353CC}">
              <c16:uniqueId val="{0000000C-CA9B-497A-9127-1373897909C7}"/>
            </c:ext>
          </c:extLst>
        </c:ser>
        <c:dLbls>
          <c:showLegendKey val="0"/>
          <c:showVal val="1"/>
          <c:showCatName val="0"/>
          <c:showSerName val="0"/>
          <c:showPercent val="0"/>
          <c:showBubbleSize val="0"/>
        </c:dLbls>
        <c:gapWidth val="219"/>
        <c:overlap val="-27"/>
        <c:axId val="1425712095"/>
        <c:axId val="1425710431"/>
      </c:barChart>
      <c:catAx>
        <c:axId val="142571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vert="horz"/>
          <a:lstStyle/>
          <a:p>
            <a:pPr>
              <a:defRPr/>
            </a:pPr>
            <a:endParaRPr lang="en-US"/>
          </a:p>
        </c:txPr>
        <c:crossAx val="1425710431"/>
        <c:crosses val="autoZero"/>
        <c:auto val="1"/>
        <c:lblAlgn val="ctr"/>
        <c:lblOffset val="100"/>
        <c:noMultiLvlLbl val="0"/>
      </c:catAx>
      <c:valAx>
        <c:axId val="142571043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425712095"/>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ext uri="{0b15fc19-7d7d-44ad-8c2d-2c3a37ce22c3}">
        <chartProps xmlns="https://web.wps.cn/et/2018/main" chartId="{83e2fd41-6ec9-4e3b-81e8-a5f14cc259a6}"/>
      </c:ext>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hủy.xlsx]TOTAL!PivotTable27</c:name>
    <c:fmtId val="0"/>
  </c:pivotSource>
  <c:chart>
    <c:title>
      <c:tx>
        <c:rich>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effectLst/>
                <a:latin typeface="Times New Roman" panose="02020603050405020304" pitchFamily="18" charset="0"/>
                <a:ea typeface="+mn-ea"/>
                <a:cs typeface="Times New Roman" panose="02020603050405020304" pitchFamily="18" charset="0"/>
              </a:defRPr>
            </a:pPr>
            <a:r>
              <a:rPr lang="en-US" sz="1200" b="1" i="0" baseline="0">
                <a:solidFill>
                  <a:sysClr val="windowText" lastClr="000000"/>
                </a:solidFill>
                <a:effectLst/>
                <a:latin typeface="Times New Roman" panose="02020603050405020304" pitchFamily="18" charset="0"/>
                <a:cs typeface="Times New Roman" panose="02020603050405020304" pitchFamily="18" charset="0"/>
              </a:rPr>
              <a:t>GIÁ TRỊ BÁO HỦY - </a:t>
            </a:r>
            <a:r>
              <a:rPr lang="en-US" sz="1200" b="1" i="0" baseline="0">
                <a:solidFill>
                  <a:srgbClr val="FF0000"/>
                </a:solidFill>
                <a:effectLst/>
                <a:latin typeface="Times New Roman" panose="02020603050405020304" pitchFamily="18" charset="0"/>
                <a:cs typeface="Times New Roman" panose="02020603050405020304" pitchFamily="18" charset="0"/>
              </a:rPr>
              <a:t>KHÁC</a:t>
            </a:r>
            <a:r>
              <a:rPr lang="en-US" sz="1200" b="1" i="0" baseline="0">
                <a:solidFill>
                  <a:sysClr val="windowText" lastClr="000000"/>
                </a:solidFill>
                <a:effectLst/>
                <a:latin typeface="Times New Roman" panose="02020603050405020304" pitchFamily="18" charset="0"/>
                <a:cs typeface="Times New Roman" panose="02020603050405020304" pitchFamily="18" charset="0"/>
              </a:rPr>
              <a:t> (VND)</a:t>
            </a:r>
          </a:p>
          <a:p>
            <a:pPr>
              <a:defRPr lang="en-US" sz="1200" b="1" i="0" u="none" strike="noStrike" kern="1200" spc="0" baseline="0">
                <a:solidFill>
                  <a:sysClr val="windowText" lastClr="000000">
                    <a:lumMod val="65000"/>
                    <a:lumOff val="35000"/>
                  </a:sysClr>
                </a:solidFill>
                <a:effectLst/>
                <a:latin typeface="Times New Roman" panose="02020603050405020304" pitchFamily="18" charset="0"/>
                <a:ea typeface="+mn-ea"/>
                <a:cs typeface="Times New Roman" panose="02020603050405020304" pitchFamily="18" charset="0"/>
              </a:defRPr>
            </a:pPr>
            <a:r>
              <a:rPr lang="ja-JP" altLang="en-US" sz="1100" b="1" i="0" baseline="0">
                <a:solidFill>
                  <a:srgbClr val="0000FF"/>
                </a:solidFill>
                <a:effectLst/>
                <a:latin typeface="Times New Roman" panose="02020603050405020304" pitchFamily="18" charset="0"/>
                <a:cs typeface="Times New Roman" panose="02020603050405020304" pitchFamily="18" charset="0"/>
              </a:rPr>
              <a:t>報廢價值</a:t>
            </a:r>
            <a:r>
              <a:rPr lang="en-US" altLang="ja-JP" sz="1100" b="1" i="0" baseline="0">
                <a:solidFill>
                  <a:srgbClr val="0000FF"/>
                </a:solidFill>
                <a:effectLst/>
                <a:latin typeface="Times New Roman" panose="02020603050405020304" pitchFamily="18" charset="0"/>
                <a:cs typeface="Times New Roman" panose="02020603050405020304" pitchFamily="18" charset="0"/>
              </a:rPr>
              <a:t>- </a:t>
            </a:r>
            <a:r>
              <a:rPr lang="ja-JP" altLang="en-US" sz="1100" b="1" i="0" baseline="0">
                <a:solidFill>
                  <a:srgbClr val="0000FF"/>
                </a:solidFill>
                <a:effectLst/>
                <a:latin typeface="Times New Roman" panose="02020603050405020304" pitchFamily="18" charset="0"/>
                <a:cs typeface="Times New Roman" panose="02020603050405020304" pitchFamily="18" charset="0"/>
              </a:rPr>
              <a:t>其他（越盾）</a:t>
            </a:r>
            <a:endParaRPr lang="ja-JP" altLang="en-US" sz="1200" b="1" i="0" u="none" strike="noStrike" kern="1200" spc="0" baseline="0">
              <a:solidFill>
                <a:srgbClr val="0000FF"/>
              </a:solidFill>
              <a:effectLst/>
              <a:latin typeface="Times New Roman" panose="02020603050405020304" pitchFamily="18" charset="0"/>
              <a:ea typeface="+mn-ea"/>
              <a:cs typeface="Times New Roman" panose="02020603050405020304" pitchFamily="18" charset="0"/>
            </a:endParaRPr>
          </a:p>
        </c:rich>
      </c:tx>
      <c:layout>
        <c:manualLayout>
          <c:xMode val="edge"/>
          <c:yMode val="edge"/>
          <c:x val="0.33181113111065436"/>
          <c:y val="4.694203326973207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s>
    <c:plotArea>
      <c:layout>
        <c:manualLayout>
          <c:layoutTarget val="inner"/>
          <c:xMode val="edge"/>
          <c:yMode val="edge"/>
          <c:x val="0.13296812606595401"/>
          <c:y val="0.31213816141320899"/>
          <c:w val="0.72979012837403101"/>
          <c:h val="0.42507080031923899"/>
        </c:manualLayout>
      </c:layout>
      <c:barChart>
        <c:barDir val="col"/>
        <c:grouping val="clustered"/>
        <c:varyColors val="0"/>
        <c:ser>
          <c:idx val="0"/>
          <c:order val="0"/>
          <c:tx>
            <c:strRef>
              <c:f>TOTAL!$B$104</c:f>
              <c:strCache>
                <c:ptCount val="1"/>
                <c:pt idx="0">
                  <c:v>Total</c:v>
                </c:pt>
              </c:strCache>
            </c:strRef>
          </c:tx>
          <c:spPr>
            <a:solidFill>
              <a:schemeClr val="accent1"/>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4-3003-475B-956F-00B12D4057B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TOTAL!$A$105:$A$115</c:f>
              <c:strCache>
                <c:ptCount val="10"/>
                <c:pt idx="0">
                  <c:v>KTKF 開發工程課</c:v>
                </c:pt>
                <c:pt idx="1">
                  <c:v>Tổng Vụ
總務</c:v>
                </c:pt>
                <c:pt idx="2">
                  <c:v>XIMA
電鍍</c:v>
                </c:pt>
                <c:pt idx="3">
                  <c:v>Kai-Fa 開發部</c:v>
                </c:pt>
                <c:pt idx="4">
                  <c:v>Dập X5 五廠沖壓</c:v>
                </c:pt>
                <c:pt idx="5">
                  <c:v>Gia công 加工部</c:v>
                </c:pt>
                <c:pt idx="6">
                  <c:v>Khuôn mẫu 模具</c:v>
                </c:pt>
                <c:pt idx="7">
                  <c:v>QLK 倉管</c:v>
                </c:pt>
                <c:pt idx="8">
                  <c:v>Nhân sự 
人事</c:v>
                </c:pt>
                <c:pt idx="9">
                  <c:v>Tài vụ 財務</c:v>
                </c:pt>
              </c:strCache>
            </c:strRef>
          </c:cat>
          <c:val>
            <c:numRef>
              <c:f>TOTAL!$B$105:$B$115</c:f>
              <c:numCache>
                <c:formatCode>#,##0</c:formatCode>
                <c:ptCount val="10"/>
                <c:pt idx="0">
                  <c:v>75000</c:v>
                </c:pt>
                <c:pt idx="1">
                  <c:v>60000</c:v>
                </c:pt>
                <c:pt idx="2">
                  <c:v>50000</c:v>
                </c:pt>
                <c:pt idx="3">
                  <c:v>50000</c:v>
                </c:pt>
                <c:pt idx="4">
                  <c:v>30000</c:v>
                </c:pt>
                <c:pt idx="5">
                  <c:v>25000</c:v>
                </c:pt>
                <c:pt idx="6">
                  <c:v>25000</c:v>
                </c:pt>
                <c:pt idx="7">
                  <c:v>25000</c:v>
                </c:pt>
                <c:pt idx="8">
                  <c:v>5000</c:v>
                </c:pt>
                <c:pt idx="9">
                  <c:v>2000</c:v>
                </c:pt>
              </c:numCache>
            </c:numRef>
          </c:val>
          <c:extLst>
            <c:ext xmlns:c16="http://schemas.microsoft.com/office/drawing/2014/chart" uri="{C3380CC4-5D6E-409C-BE32-E72D297353CC}">
              <c16:uniqueId val="{00000003-3003-475B-956F-00B12D4057B3}"/>
            </c:ext>
          </c:extLst>
        </c:ser>
        <c:dLbls>
          <c:showLegendKey val="0"/>
          <c:showVal val="0"/>
          <c:showCatName val="0"/>
          <c:showSerName val="0"/>
          <c:showPercent val="0"/>
          <c:showBubbleSize val="0"/>
        </c:dLbls>
        <c:gapWidth val="219"/>
        <c:overlap val="-27"/>
        <c:axId val="209572416"/>
        <c:axId val="209563264"/>
      </c:barChart>
      <c:catAx>
        <c:axId val="20957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9563264"/>
        <c:crosses val="autoZero"/>
        <c:auto val="1"/>
        <c:lblAlgn val="ctr"/>
        <c:lblOffset val="100"/>
        <c:noMultiLvlLbl val="0"/>
      </c:catAx>
      <c:valAx>
        <c:axId val="20956326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9572416"/>
        <c:crosses val="autoZero"/>
        <c:crossBetween val="between"/>
      </c:valAx>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2e8e08c-69b1-4ae6-817d-eddbcc4aea90}"/>
      </c:ext>
    </c:extLst>
  </c:chart>
  <c:spPr>
    <a:solidFill>
      <a:schemeClr val="bg1"/>
    </a:solidFill>
    <a:ln w="9525" cap="flat" cmpd="sng" algn="ctr">
      <a:solidFill>
        <a:schemeClr val="bg1">
          <a:lumMod val="50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hủy.xlsx]部門的報廢零件!PivotTable4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vi-VN" sz="1600" b="1" i="0" baseline="0">
                <a:effectLst>
                  <a:outerShdw blurRad="50800" dist="38100" dir="5400000" algn="t" rotWithShape="0">
                    <a:srgbClr val="000000">
                      <a:alpha val="40000"/>
                    </a:srgbClr>
                  </a:outerShdw>
                </a:effectLst>
              </a:rPr>
              <a:t>SỐ LƯỢNG LINH KIỆN BÁO HỦY CỦA BỘ PHẬN</a:t>
            </a:r>
            <a:endParaRPr lang="en-US" sz="1600">
              <a:effectLst/>
            </a:endParaRPr>
          </a:p>
          <a:p>
            <a:pPr>
              <a:defRPr/>
            </a:pPr>
            <a:r>
              <a:rPr lang="ja-JP" sz="1600" b="1" i="0" baseline="0">
                <a:effectLst>
                  <a:outerShdw blurRad="50800" dist="38100" dir="5400000" algn="t" rotWithShape="0">
                    <a:srgbClr val="000000">
                      <a:alpha val="40000"/>
                    </a:srgbClr>
                  </a:outerShdw>
                </a:effectLst>
              </a:rPr>
              <a:t>部門報廢的零件</a:t>
            </a:r>
            <a:endParaRPr lang="en-US" sz="1600">
              <a:effectLst/>
            </a:endParaRPr>
          </a:p>
          <a:p>
            <a:pPr>
              <a:defRPr/>
            </a:pPr>
            <a:endParaRPr lang="en-US"/>
          </a:p>
        </c:rich>
      </c:tx>
      <c:layout>
        <c:manualLayout>
          <c:xMode val="edge"/>
          <c:yMode val="edge"/>
          <c:x val="0.21167209463983999"/>
          <c:y val="6.28282931672930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部門的報廢零件!$B$3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部門的報廢零件!$A$4:$A$8</c:f>
              <c:strCache>
                <c:ptCount val="4"/>
                <c:pt idx="0">
                  <c:v>10</c:v>
                </c:pt>
                <c:pt idx="1">
                  <c:v>11</c:v>
                </c:pt>
                <c:pt idx="2">
                  <c:v>12</c:v>
                </c:pt>
                <c:pt idx="3">
                  <c:v>(blank)</c:v>
                </c:pt>
              </c:strCache>
            </c:strRef>
          </c:cat>
          <c:val>
            <c:numRef>
              <c:f>部門的報廢零件!$B$4:$B$8</c:f>
              <c:numCache>
                <c:formatCode>General</c:formatCode>
                <c:ptCount val="4"/>
                <c:pt idx="0">
                  <c:v>63</c:v>
                </c:pt>
                <c:pt idx="1">
                  <c:v>34</c:v>
                </c:pt>
                <c:pt idx="2">
                  <c:v>49</c:v>
                </c:pt>
                <c:pt idx="3">
                  <c:v>3</c:v>
                </c:pt>
              </c:numCache>
            </c:numRef>
          </c:val>
          <c:extLst>
            <c:ext xmlns:c16="http://schemas.microsoft.com/office/drawing/2014/chart" uri="{C3380CC4-5D6E-409C-BE32-E72D297353CC}">
              <c16:uniqueId val="{00000000-6041-431F-B50F-C5CC37BA64EF}"/>
            </c:ext>
          </c:extLst>
        </c:ser>
        <c:dLbls>
          <c:dLblPos val="ctr"/>
          <c:showLegendKey val="0"/>
          <c:showVal val="1"/>
          <c:showCatName val="0"/>
          <c:showSerName val="0"/>
          <c:showPercent val="0"/>
          <c:showBubbleSize val="0"/>
        </c:dLbls>
        <c:gapWidth val="150"/>
        <c:overlap val="100"/>
        <c:axId val="1846863599"/>
        <c:axId val="1846860271"/>
      </c:barChart>
      <c:catAx>
        <c:axId val="184686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860271"/>
        <c:crosses val="autoZero"/>
        <c:auto val="1"/>
        <c:lblAlgn val="ctr"/>
        <c:lblOffset val="100"/>
        <c:noMultiLvlLbl val="0"/>
      </c:catAx>
      <c:valAx>
        <c:axId val="18468602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8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14</xdr:col>
      <xdr:colOff>19050</xdr:colOff>
      <xdr:row>1</xdr:row>
      <xdr:rowOff>19050</xdr:rowOff>
    </xdr:from>
    <xdr:to>
      <xdr:col>21</xdr:col>
      <xdr:colOff>4762</xdr:colOff>
      <xdr:row>15</xdr:row>
      <xdr:rowOff>19050</xdr:rowOff>
    </xdr:to>
    <xdr:graphicFrame macro="">
      <xdr:nvGraphicFramePr>
        <xdr:cNvPr id="2" name="Chart 1">
          <a:extLst>
            <a:ext uri="{FF2B5EF4-FFF2-40B4-BE49-F238E27FC236}">
              <a16:creationId xmlns:a16="http://schemas.microsoft.com/office/drawing/2014/main" id="{DF7C0E97-A519-4CBB-8454-3FFA6B3D7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19050</xdr:rowOff>
    </xdr:from>
    <xdr:to>
      <xdr:col>12</xdr:col>
      <xdr:colOff>666749</xdr:colOff>
      <xdr:row>14</xdr:row>
      <xdr:rowOff>190501</xdr:rowOff>
    </xdr:to>
    <xdr:graphicFrame macro="">
      <xdr:nvGraphicFramePr>
        <xdr:cNvPr id="3" name="Chart 2">
          <a:extLst>
            <a:ext uri="{FF2B5EF4-FFF2-40B4-BE49-F238E27FC236}">
              <a16:creationId xmlns:a16="http://schemas.microsoft.com/office/drawing/2014/main" id="{8E6CFBA2-A2E9-4B3F-A124-4C93E27EC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4761</xdr:colOff>
      <xdr:row>16</xdr:row>
      <xdr:rowOff>9525</xdr:rowOff>
    </xdr:from>
    <xdr:to>
      <xdr:col>12</xdr:col>
      <xdr:colOff>657224</xdr:colOff>
      <xdr:row>29</xdr:row>
      <xdr:rowOff>190500</xdr:rowOff>
    </xdr:to>
    <xdr:graphicFrame macro="">
      <xdr:nvGraphicFramePr>
        <xdr:cNvPr id="5" name="Chart 4">
          <a:extLst>
            <a:ext uri="{FF2B5EF4-FFF2-40B4-BE49-F238E27FC236}">
              <a16:creationId xmlns:a16="http://schemas.microsoft.com/office/drawing/2014/main" id="{E8E754CD-C822-4657-9491-E22C02C6B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33336</xdr:colOff>
      <xdr:row>16</xdr:row>
      <xdr:rowOff>19049</xdr:rowOff>
    </xdr:from>
    <xdr:to>
      <xdr:col>20</xdr:col>
      <xdr:colOff>685799</xdr:colOff>
      <xdr:row>30</xdr:row>
      <xdr:rowOff>9524</xdr:rowOff>
    </xdr:to>
    <xdr:graphicFrame macro="">
      <xdr:nvGraphicFramePr>
        <xdr:cNvPr id="4" name="Chart 3">
          <a:extLst>
            <a:ext uri="{FF2B5EF4-FFF2-40B4-BE49-F238E27FC236}">
              <a16:creationId xmlns:a16="http://schemas.microsoft.com/office/drawing/2014/main" id="{E5451629-E158-4D12-9E6D-2BC196B97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14287</xdr:colOff>
      <xdr:row>31</xdr:row>
      <xdr:rowOff>19049</xdr:rowOff>
    </xdr:from>
    <xdr:to>
      <xdr:col>12</xdr:col>
      <xdr:colOff>676275</xdr:colOff>
      <xdr:row>45</xdr:row>
      <xdr:rowOff>9524</xdr:rowOff>
    </xdr:to>
    <xdr:graphicFrame macro="">
      <xdr:nvGraphicFramePr>
        <xdr:cNvPr id="6" name="Chart 5">
          <a:extLst>
            <a:ext uri="{FF2B5EF4-FFF2-40B4-BE49-F238E27FC236}">
              <a16:creationId xmlns:a16="http://schemas.microsoft.com/office/drawing/2014/main" id="{3575D3F9-1FC5-4D49-8DE8-00408E76A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42861</xdr:colOff>
      <xdr:row>31</xdr:row>
      <xdr:rowOff>28575</xdr:rowOff>
    </xdr:from>
    <xdr:to>
      <xdr:col>21</xdr:col>
      <xdr:colOff>0</xdr:colOff>
      <xdr:row>44</xdr:row>
      <xdr:rowOff>180975</xdr:rowOff>
    </xdr:to>
    <xdr:graphicFrame macro="">
      <xdr:nvGraphicFramePr>
        <xdr:cNvPr id="7" name="Chart 6">
          <a:extLst>
            <a:ext uri="{FF2B5EF4-FFF2-40B4-BE49-F238E27FC236}">
              <a16:creationId xmlns:a16="http://schemas.microsoft.com/office/drawing/2014/main" id="{967D2E00-B533-4623-8E51-908A2F506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9525</xdr:colOff>
      <xdr:row>1</xdr:row>
      <xdr:rowOff>19050</xdr:rowOff>
    </xdr:from>
    <xdr:to>
      <xdr:col>5</xdr:col>
      <xdr:colOff>466725</xdr:colOff>
      <xdr:row>14</xdr:row>
      <xdr:rowOff>85725</xdr:rowOff>
    </xdr:to>
    <mc:AlternateContent xmlns:mc="http://schemas.openxmlformats.org/markup-compatibility/2006" xmlns:a14="http://schemas.microsoft.com/office/drawing/2010/main">
      <mc:Choice Requires="a14">
        <xdr:graphicFrame macro="">
          <xdr:nvGraphicFramePr>
            <xdr:cNvPr id="12" name="報廢月份 1">
              <a:extLst>
                <a:ext uri="{FF2B5EF4-FFF2-40B4-BE49-F238E27FC236}">
                  <a16:creationId xmlns:a16="http://schemas.microsoft.com/office/drawing/2014/main" id="{6D6D1B79-456C-41DC-BB03-02ED40391478}"/>
                </a:ext>
              </a:extLst>
            </xdr:cNvPr>
            <xdr:cNvGraphicFramePr/>
          </xdr:nvGraphicFramePr>
          <xdr:xfrm>
            <a:off x="0" y="0"/>
            <a:ext cx="0" cy="0"/>
          </xdr:xfrm>
          <a:graphic>
            <a:graphicData uri="http://schemas.microsoft.com/office/drawing/2010/slicer">
              <sle:slicer xmlns:sle="http://schemas.microsoft.com/office/drawing/2010/slicer" name="報廢月份 1"/>
            </a:graphicData>
          </a:graphic>
        </xdr:graphicFrame>
      </mc:Choice>
      <mc:Fallback xmlns="">
        <xdr:sp macro="" textlink="">
          <xdr:nvSpPr>
            <xdr:cNvPr id="0" name=""/>
            <xdr:cNvSpPr>
              <a:spLocks noTextEdit="1"/>
            </xdr:cNvSpPr>
          </xdr:nvSpPr>
          <xdr:spPr>
            <a:xfrm>
              <a:off x="695325" y="219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0.12604</cdr:x>
      <cdr:y>0.27891</cdr:y>
    </cdr:from>
    <cdr:to>
      <cdr:x>0.30647</cdr:x>
      <cdr:y>0.88776</cdr:y>
    </cdr:to>
    <cdr:sp macro="" textlink="">
      <cdr:nvSpPr>
        <cdr:cNvPr id="2" name="Rectangles 1">
          <a:extLst xmlns:a="http://schemas.openxmlformats.org/drawingml/2006/main">
            <a:ext uri="{FF2B5EF4-FFF2-40B4-BE49-F238E27FC236}">
              <a16:creationId xmlns:a16="http://schemas.microsoft.com/office/drawing/2014/main" id="{7CF26E14-3C51-4F52-B5AA-D14DFC0B9360}"/>
            </a:ext>
          </a:extLst>
        </cdr:cNvPr>
        <cdr:cNvSpPr/>
      </cdr:nvSpPr>
      <cdr:spPr>
        <a:xfrm xmlns:a="http://schemas.openxmlformats.org/drawingml/2006/main">
          <a:off x="603251" y="781050"/>
          <a:ext cx="863600" cy="1704976"/>
        </a:xfrm>
        <a:prstGeom xmlns:a="http://schemas.openxmlformats.org/drawingml/2006/main" prst="rect">
          <a:avLst/>
        </a:prstGeom>
        <a:ln xmlns:a="http://schemas.openxmlformats.org/drawingml/2006/main" w="28575">
          <a:solidFill>
            <a:srgbClr val="FF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0.28116</cdr:x>
      <cdr:y>0.02389</cdr:y>
    </cdr:from>
    <cdr:to>
      <cdr:x>0.79839</cdr:x>
      <cdr:y>0.2183</cdr:y>
    </cdr:to>
    <cdr:pic>
      <cdr:nvPicPr>
        <cdr:cNvPr id="2" name="chart">
          <a:extLst xmlns:a="http://schemas.openxmlformats.org/drawingml/2006/main">
            <a:ext uri="{FF2B5EF4-FFF2-40B4-BE49-F238E27FC236}">
              <a16:creationId xmlns:a16="http://schemas.microsoft.com/office/drawing/2014/main" id="{D87A37F2-790C-4E8A-A268-F22F4732FCB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343025" y="66675"/>
          <a:ext cx="2470725" cy="542562"/>
        </a:xfrm>
        <a:prstGeom xmlns:a="http://schemas.openxmlformats.org/drawingml/2006/main" prst="rect">
          <a:avLst/>
        </a:prstGeom>
      </cdr:spPr>
    </cdr:pic>
  </cdr:relSizeAnchor>
  <cdr:relSizeAnchor xmlns:cdr="http://schemas.openxmlformats.org/drawingml/2006/chartDrawing">
    <cdr:from>
      <cdr:x>0.28614</cdr:x>
      <cdr:y>0.04074</cdr:y>
    </cdr:from>
    <cdr:to>
      <cdr:x>0.8003</cdr:x>
      <cdr:y>0.22331</cdr:y>
    </cdr:to>
    <cdr:pic>
      <cdr:nvPicPr>
        <cdr:cNvPr id="6" name="chart">
          <a:extLst xmlns:a="http://schemas.openxmlformats.org/drawingml/2006/main">
            <a:ext uri="{FF2B5EF4-FFF2-40B4-BE49-F238E27FC236}">
              <a16:creationId xmlns:a16="http://schemas.microsoft.com/office/drawing/2014/main" id="{EFC2A6B5-7397-4724-91DF-C0F830B943F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68823" y="123264"/>
          <a:ext cx="2819048" cy="552381"/>
        </a:xfrm>
        <a:prstGeom xmlns:a="http://schemas.openxmlformats.org/drawingml/2006/main" prst="rect">
          <a:avLst/>
        </a:prstGeom>
      </cdr:spPr>
    </cdr:pic>
  </cdr:relSizeAnchor>
  <cdr:relSizeAnchor xmlns:cdr="http://schemas.openxmlformats.org/drawingml/2006/chartDrawing">
    <cdr:from>
      <cdr:x>0.13439</cdr:x>
      <cdr:y>0.22713</cdr:y>
    </cdr:from>
    <cdr:to>
      <cdr:x>0.24506</cdr:x>
      <cdr:y>0.64669</cdr:y>
    </cdr:to>
    <cdr:sp macro="" textlink="">
      <cdr:nvSpPr>
        <cdr:cNvPr id="4" name="Rectangles 2">
          <a:extLst xmlns:a="http://schemas.openxmlformats.org/drawingml/2006/main">
            <a:ext uri="{FF2B5EF4-FFF2-40B4-BE49-F238E27FC236}">
              <a16:creationId xmlns:a16="http://schemas.microsoft.com/office/drawing/2014/main" id="{0135BA40-A4E7-4354-8FD3-0B0F8AF4F009}"/>
            </a:ext>
          </a:extLst>
        </cdr:cNvPr>
        <cdr:cNvSpPr/>
      </cdr:nvSpPr>
      <cdr:spPr>
        <a:xfrm xmlns:a="http://schemas.openxmlformats.org/drawingml/2006/main">
          <a:off x="647701" y="685801"/>
          <a:ext cx="533400" cy="1266825"/>
        </a:xfrm>
        <a:prstGeom xmlns:a="http://schemas.openxmlformats.org/drawingml/2006/main" prst="rect">
          <a:avLst/>
        </a:prstGeom>
        <a:ln xmlns:a="http://schemas.openxmlformats.org/drawingml/2006/main" w="28575">
          <a:solidFill>
            <a:srgbClr val="FF0000"/>
          </a:solidFill>
        </a:ln>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0.13439</cdr:x>
      <cdr:y>0.22713</cdr:y>
    </cdr:from>
    <cdr:to>
      <cdr:x>0.24506</cdr:x>
      <cdr:y>0.64669</cdr:y>
    </cdr:to>
    <cdr:sp macro="" textlink="">
      <cdr:nvSpPr>
        <cdr:cNvPr id="7" name="Rectangles 4">
          <a:extLst xmlns:a="http://schemas.openxmlformats.org/drawingml/2006/main">
            <a:ext uri="{FF2B5EF4-FFF2-40B4-BE49-F238E27FC236}">
              <a16:creationId xmlns:a16="http://schemas.microsoft.com/office/drawing/2014/main" id="{9F831A24-A86F-4179-90D4-33D8D580A5F6}"/>
            </a:ext>
          </a:extLst>
        </cdr:cNvPr>
        <cdr:cNvSpPr/>
      </cdr:nvSpPr>
      <cdr:spPr>
        <a:xfrm xmlns:a="http://schemas.openxmlformats.org/drawingml/2006/main">
          <a:off x="647701" y="685801"/>
          <a:ext cx="533400" cy="1266825"/>
        </a:xfrm>
        <a:prstGeom xmlns:a="http://schemas.openxmlformats.org/drawingml/2006/main" prst="rect">
          <a:avLst/>
        </a:prstGeom>
        <a:ln xmlns:a="http://schemas.openxmlformats.org/drawingml/2006/main" w="28575">
          <a:solidFill>
            <a:srgbClr val="FF0000"/>
          </a:solidFill>
        </a:ln>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0.28614</cdr:x>
      <cdr:y>0.04074</cdr:y>
    </cdr:from>
    <cdr:to>
      <cdr:x>0.8003</cdr:x>
      <cdr:y>0.22331</cdr:y>
    </cdr:to>
    <cdr:pic>
      <cdr:nvPicPr>
        <cdr:cNvPr id="8" name="chart">
          <a:extLst xmlns:a="http://schemas.openxmlformats.org/drawingml/2006/main">
            <a:ext uri="{FF2B5EF4-FFF2-40B4-BE49-F238E27FC236}">
              <a16:creationId xmlns:a16="http://schemas.microsoft.com/office/drawing/2014/main" id="{EFC2A6B5-7397-4724-91DF-C0F830B943F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68823" y="123264"/>
          <a:ext cx="2819048" cy="55238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10</xdr:col>
      <xdr:colOff>671511</xdr:colOff>
      <xdr:row>1</xdr:row>
      <xdr:rowOff>9524</xdr:rowOff>
    </xdr:from>
    <xdr:to>
      <xdr:col>21</xdr:col>
      <xdr:colOff>657225</xdr:colOff>
      <xdr:row>20</xdr:row>
      <xdr:rowOff>190500</xdr:rowOff>
    </xdr:to>
    <xdr:graphicFrame macro="">
      <xdr:nvGraphicFramePr>
        <xdr:cNvPr id="2" name="Chart 1">
          <a:extLst>
            <a:ext uri="{FF2B5EF4-FFF2-40B4-BE49-F238E27FC236}">
              <a16:creationId xmlns:a16="http://schemas.microsoft.com/office/drawing/2014/main" id="{5D9BEA26-59AD-476B-A547-A8B888023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9525</xdr:colOff>
      <xdr:row>1</xdr:row>
      <xdr:rowOff>9524</xdr:rowOff>
    </xdr:from>
    <xdr:to>
      <xdr:col>8</xdr:col>
      <xdr:colOff>466725</xdr:colOff>
      <xdr:row>13</xdr:row>
      <xdr:rowOff>180974</xdr:rowOff>
    </xdr:to>
    <mc:AlternateContent xmlns:mc="http://schemas.openxmlformats.org/markup-compatibility/2006" xmlns:a14="http://schemas.microsoft.com/office/drawing/2010/main">
      <mc:Choice Requires="a14">
        <xdr:graphicFrame macro="">
          <xdr:nvGraphicFramePr>
            <xdr:cNvPr id="3" name="報廢月份">
              <a:extLst>
                <a:ext uri="{FF2B5EF4-FFF2-40B4-BE49-F238E27FC236}">
                  <a16:creationId xmlns:a16="http://schemas.microsoft.com/office/drawing/2014/main" id="{A3AB88ED-8373-444B-B84D-C582CFDC9D26}"/>
                </a:ext>
              </a:extLst>
            </xdr:cNvPr>
            <xdr:cNvGraphicFramePr/>
          </xdr:nvGraphicFramePr>
          <xdr:xfrm>
            <a:off x="0" y="0"/>
            <a:ext cx="0" cy="0"/>
          </xdr:xfrm>
          <a:graphic>
            <a:graphicData uri="http://schemas.microsoft.com/office/drawing/2010/slicer">
              <sle:slicer xmlns:sle="http://schemas.microsoft.com/office/drawing/2010/slicer" name="報廢月份"/>
            </a:graphicData>
          </a:graphic>
        </xdr:graphicFrame>
      </mc:Choice>
      <mc:Fallback xmlns="">
        <xdr:sp macro="" textlink="">
          <xdr:nvSpPr>
            <xdr:cNvPr id="0" name=""/>
            <xdr:cNvSpPr>
              <a:spLocks noTextEdit="1"/>
            </xdr:cNvSpPr>
          </xdr:nvSpPr>
          <xdr:spPr>
            <a:xfrm>
              <a:off x="2752725" y="209549"/>
              <a:ext cx="1828800" cy="2771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1</xdr:row>
      <xdr:rowOff>0</xdr:rowOff>
    </xdr:from>
    <xdr:to>
      <xdr:col>4</xdr:col>
      <xdr:colOff>666750</xdr:colOff>
      <xdr:row>14</xdr:row>
      <xdr:rowOff>19050</xdr:rowOff>
    </xdr:to>
    <mc:AlternateContent xmlns:mc="http://schemas.openxmlformats.org/markup-compatibility/2006" xmlns:a14="http://schemas.microsoft.com/office/drawing/2010/main">
      <mc:Choice Requires="a14">
        <xdr:graphicFrame macro="">
          <xdr:nvGraphicFramePr>
            <xdr:cNvPr id="4" name="Đơn vị sử dụng&#10;使用單位">
              <a:extLst>
                <a:ext uri="{FF2B5EF4-FFF2-40B4-BE49-F238E27FC236}">
                  <a16:creationId xmlns:a16="http://schemas.microsoft.com/office/drawing/2014/main" id="{BD15E34F-8979-45E3-9978-64CC03C32BD7}"/>
                </a:ext>
              </a:extLst>
            </xdr:cNvPr>
            <xdr:cNvGraphicFramePr/>
          </xdr:nvGraphicFramePr>
          <xdr:xfrm>
            <a:off x="0" y="0"/>
            <a:ext cx="0" cy="0"/>
          </xdr:xfrm>
          <a:graphic>
            <a:graphicData uri="http://schemas.microsoft.com/office/drawing/2010/slicer">
              <sle:slicer xmlns:sle="http://schemas.microsoft.com/office/drawing/2010/slicer" name="Đơn vị sử dụng&#10;使用單位"/>
            </a:graphicData>
          </a:graphic>
        </xdr:graphicFrame>
      </mc:Choice>
      <mc:Fallback xmlns="">
        <xdr:sp macro="" textlink="">
          <xdr:nvSpPr>
            <xdr:cNvPr id="0" name=""/>
            <xdr:cNvSpPr>
              <a:spLocks noTextEdit="1"/>
            </xdr:cNvSpPr>
          </xdr:nvSpPr>
          <xdr:spPr>
            <a:xfrm>
              <a:off x="209550" y="200025"/>
              <a:ext cx="1828800" cy="281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523875</xdr:colOff>
      <xdr:row>1</xdr:row>
      <xdr:rowOff>81239</xdr:rowOff>
    </xdr:from>
    <xdr:to>
      <xdr:col>1</xdr:col>
      <xdr:colOff>1753465</xdr:colOff>
      <xdr:row>3</xdr:row>
      <xdr:rowOff>192665</xdr:rowOff>
    </xdr:to>
    <xdr:pic>
      <xdr:nvPicPr>
        <xdr:cNvPr id="2" name="Picture 8" descr="Logo VPIC1">
          <a:extLst>
            <a:ext uri="{FF2B5EF4-FFF2-40B4-BE49-F238E27FC236}">
              <a16:creationId xmlns:a16="http://schemas.microsoft.com/office/drawing/2014/main" id="{B2A8BCA8-B70B-4256-85AC-DC59100585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23875" y="652739"/>
          <a:ext cx="1782040" cy="549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159</xdr:row>
      <xdr:rowOff>1309</xdr:rowOff>
    </xdr:from>
    <xdr:to>
      <xdr:col>9</xdr:col>
      <xdr:colOff>840441</xdr:colOff>
      <xdr:row>172</xdr:row>
      <xdr:rowOff>158751</xdr:rowOff>
    </xdr:to>
    <xdr:pic>
      <xdr:nvPicPr>
        <xdr:cNvPr id="3" name="Picture 2">
          <a:extLst>
            <a:ext uri="{FF2B5EF4-FFF2-40B4-BE49-F238E27FC236}">
              <a16:creationId xmlns:a16="http://schemas.microsoft.com/office/drawing/2014/main" id="{F5BC1CFB-D6D4-493A-A608-CEC40C7DCC6B}"/>
            </a:ext>
          </a:extLst>
        </xdr:cNvPr>
        <xdr:cNvPicPr>
          <a:picLocks noChangeAspect="1"/>
        </xdr:cNvPicPr>
      </xdr:nvPicPr>
      <xdr:blipFill>
        <a:blip xmlns:r="http://schemas.openxmlformats.org/officeDocument/2006/relationships" r:embed="rId2"/>
        <a:stretch>
          <a:fillRect/>
        </a:stretch>
      </xdr:blipFill>
      <xdr:spPr>
        <a:xfrm>
          <a:off x="0" y="78601609"/>
          <a:ext cx="13458825" cy="2757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N20021" refreshedDate="46048.300118055558" createdVersion="7" refreshedVersion="7" minRefreshableVersion="3" recordCount="149" xr:uid="{6F4EAB2F-04B9-4EAD-A8CF-4722D09269A3}">
  <cacheSource type="worksheet">
    <worksheetSource ref="A1:N150" sheet="清單 Danh sách "/>
  </cacheSource>
  <cacheFields count="14">
    <cacheField name="STT_x000a_序號" numFmtId="0">
      <sharedItems containsSemiMixedTypes="0" containsString="0" containsNumber="1" containsInteger="1" minValue="1" maxValue="149"/>
    </cacheField>
    <cacheField name="Tên sản phẩm_x000a_品名" numFmtId="0">
      <sharedItems/>
    </cacheField>
    <cacheField name="Số lượng_x000a_數量" numFmtId="0">
      <sharedItems containsSemiMixedTypes="0" containsString="0" containsNumber="1" containsInteger="1" minValue="1" maxValue="10"/>
    </cacheField>
    <cacheField name="Đơn vị_x000a_單位" numFmtId="0">
      <sharedItems/>
    </cacheField>
    <cacheField name="NG Nguyên nhân hủy bỏ, tái chế (Theo phiếu báo cáo sự cố)_x000a_原因" numFmtId="0">
      <sharedItems/>
    </cacheField>
    <cacheField name="Ngày báo hủy_x000a_報廢日期" numFmtId="0">
      <sharedItems containsNonDate="0" containsDate="1" containsString="0" containsBlank="1" minDate="2025-10-02T00:00:00" maxDate="2025-12-31T00:00:00"/>
    </cacheField>
    <cacheField name="報廢月份" numFmtId="0">
      <sharedItems containsString="0" containsBlank="1" containsNumber="1" containsInteger="1" minValue="10" maxValue="12" count="4">
        <n v="10"/>
        <n v="11"/>
        <n v="12"/>
        <m/>
      </sharedItems>
    </cacheField>
    <cacheField name="Đơn vị sử dụng_x000a_使用單位" numFmtId="0">
      <sharedItems count="29">
        <s v="Sơn X3_x000a_三廠塗裝"/>
        <s v="QLSX 生管部"/>
        <s v="QLK 倉管"/>
        <s v="Khuôn mẫu 模具"/>
        <s v="Tài vụ 財務"/>
        <s v="Thu Mua_x000a_採購"/>
        <s v="Kinh doanh 業務"/>
        <s v="QC 品管"/>
        <s v="Tổng Vụ_x000a_總務"/>
        <s v="Nhân sự _x000a_人事"/>
        <s v="Đúc 壓鑄部"/>
        <s v="XIMA_x000a_電鍍"/>
        <s v="Hàn X3 三廠焊接"/>
        <s v="Gia công 加工部"/>
        <s v="ATTT"/>
        <s v="Dập X4 四廠沖壓"/>
        <s v="Hàn X1 一廠焊接"/>
        <s v="KTKF 開發工程課"/>
        <s v="Dập X3 三廠沖壓"/>
        <s v="Kai-Fa 開發部"/>
        <s v="Hàn X5 五廠焊接"/>
        <s v="Dập X5 五廠沖壓"/>
        <s v="Lắp ráp_x000a_組裝"/>
        <s v="Sơn X1 一廠塗裝"/>
        <s v="KTSX 生技部"/>
        <s v="Dập X1 一廠沖壓"/>
        <s v="XNK 進出口"/>
        <s v="Y tế X3 三廠醫務室"/>
        <s v="MIS 資訊室"/>
      </sharedItems>
    </cacheField>
    <cacheField name="Nhân viên_x000a_員工 " numFmtId="0">
      <sharedItems containsSemiMixedTypes="0" containsString="0" containsNumber="1" containsInteger="1" minValue="2021" maxValue="26350"/>
    </cacheField>
    <cacheField name="Loại_x000a_類別" numFmtId="0">
      <sharedItems/>
    </cacheField>
    <cacheField name="Chủng loại_x000a_種類" numFmtId="0">
      <sharedItems count="4">
        <s v="PC"/>
        <s v="Printer"/>
        <s v="Other"/>
        <s v="Laptop"/>
      </sharedItems>
    </cacheField>
    <cacheField name="Giá trị khi báo phế_x000a_單價" numFmtId="3">
      <sharedItems containsSemiMixedTypes="0" containsString="0" containsNumber="1" containsInteger="1" minValue="2000" maxValue="200000"/>
    </cacheField>
    <cacheField name="Thành tiền_x000a_總金額" numFmtId="3">
      <sharedItems containsSemiMixedTypes="0" containsString="0" containsNumber="1" containsInteger="1" minValue="2000" maxValue="200000"/>
    </cacheField>
    <cacheField name="Nguyên nhân báo hủy_x000a_報廢原因" numFmtId="0">
      <sharedItems/>
    </cacheField>
  </cacheFields>
  <extLst>
    <ext xmlns:x14="http://schemas.microsoft.com/office/spreadsheetml/2009/9/main" uri="{725AE2AE-9491-48be-B2B4-4EB974FC3084}">
      <x14:pivotCacheDefinition pivotCacheId="138212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n v="1"/>
    <s v="Bàn phím Genius-USB 鍵盤"/>
    <n v="1"/>
    <s v="PCS"/>
    <s v="IT251000001"/>
    <d v="2025-10-02T00:00:00"/>
    <x v="0"/>
    <x v="0"/>
    <n v="20021"/>
    <s v="Keyboard"/>
    <x v="0"/>
    <n v="2000"/>
    <n v="2000"/>
    <s v="NG Trong quá trình sửa chữa_x000a_在維修過程_x000a_  "/>
  </r>
  <r>
    <n v="2"/>
    <s v="Chuột Fuhlen-USB 鼠標"/>
    <n v="1"/>
    <s v="PCS"/>
    <s v="IT01MS0004"/>
    <d v="2025-10-02T00:00:00"/>
    <x v="0"/>
    <x v="1"/>
    <n v="20021"/>
    <s v="Mouse"/>
    <x v="0"/>
    <n v="2000"/>
    <n v="2000"/>
    <s v="NG Trong quá trình sử dụng_x000a_   在生產過程"/>
  </r>
  <r>
    <n v="3"/>
    <s v="Máy in kim EPSON LQ-310"/>
    <n v="1"/>
    <s v="PCS"/>
    <s v="IT251000006"/>
    <d v="2025-10-02T00:00:00"/>
    <x v="0"/>
    <x v="2"/>
    <n v="20021"/>
    <s v="Dot matrix printer"/>
    <x v="1"/>
    <n v="30000"/>
    <n v="30000"/>
    <s v="NG    Trong quá trình sử dụng_x000a_   在生產過程"/>
  </r>
  <r>
    <n v="4"/>
    <s v="UPS SANTAK 500VA"/>
    <n v="1"/>
    <s v="PCS"/>
    <s v="IT251000007"/>
    <d v="2025-10-02T00:00:00"/>
    <x v="0"/>
    <x v="3"/>
    <n v="20021"/>
    <s v="UPS"/>
    <x v="2"/>
    <n v="25000"/>
    <n v="25000"/>
    <s v="NG    Trong quá trình sử dụng_x000a_   在生產過程"/>
  </r>
  <r>
    <n v="5"/>
    <s v="Print Server D-Link DPR-1061"/>
    <n v="1"/>
    <s v="PCS"/>
    <s v="IT251000009"/>
    <d v="2025-10-04T00:00:00"/>
    <x v="0"/>
    <x v="4"/>
    <n v="20021"/>
    <s v="Printer"/>
    <x v="2"/>
    <n v="2000"/>
    <n v="2000"/>
    <s v="NG Trong quá trình sử dụng_x000a_   在生產過程"/>
  </r>
  <r>
    <n v="6"/>
    <s v="Cụm sấy máy in Canon LBP251DW"/>
    <n v="1"/>
    <s v="PCS"/>
    <s v="IT251000008"/>
    <d v="2025-10-04T00:00:00"/>
    <x v="0"/>
    <x v="3"/>
    <n v="20021"/>
    <s v="Printer components"/>
    <x v="1"/>
    <n v="10000"/>
    <n v="10000"/>
    <s v="NG    Trong quá trình sử dụng_x000a_   在生產過程"/>
  </r>
  <r>
    <n v="7"/>
    <s v="Bo mạch chủ Gigabyte Mainboard B360M 主板"/>
    <n v="1"/>
    <s v="PCS"/>
    <s v="IT251000010"/>
    <d v="2025-10-04T00:00:00"/>
    <x v="0"/>
    <x v="5"/>
    <n v="20021"/>
    <s v="Mainboard"/>
    <x v="0"/>
    <n v="30000"/>
    <n v="30000"/>
    <s v="NG Trong quá trình sửa chữa_x000a_在維修過程_x000a_  "/>
  </r>
  <r>
    <n v="8"/>
    <s v="CPU Intel Core i3 8100 (4.20GHz, 6M, 4 Cores 4 Threads)"/>
    <n v="1"/>
    <s v="PCS"/>
    <s v="IT251000010"/>
    <d v="2025-10-04T00:00:00"/>
    <x v="0"/>
    <x v="5"/>
    <n v="20021"/>
    <s v="Monitor"/>
    <x v="0"/>
    <n v="20000"/>
    <n v="20000"/>
    <s v="NG    Trong quá trình sử dụng_x000a_   在生產過程"/>
  </r>
  <r>
    <n v="9"/>
    <s v="Bộ nhớ trong RAM CORSAIR 4GB DDR4 (3200MHz)"/>
    <n v="1"/>
    <s v="PCS"/>
    <s v="IT251000010"/>
    <d v="2025-10-04T00:00:00"/>
    <x v="0"/>
    <x v="5"/>
    <n v="20021"/>
    <s v="RAM"/>
    <x v="0"/>
    <n v="10000"/>
    <n v="10000"/>
    <s v="NG Trong quá trình sử dụng_x000a_   在生產過程"/>
  </r>
  <r>
    <n v="10"/>
    <s v="Ổ cứng máy tính Western Digital WD500GB HDD 硬盤"/>
    <n v="1"/>
    <s v="PCS"/>
    <s v="IT251000010"/>
    <d v="2025-10-04T00:00:00"/>
    <x v="0"/>
    <x v="5"/>
    <n v="20021"/>
    <s v="HDD"/>
    <x v="0"/>
    <n v="20000"/>
    <n v="20000"/>
    <s v="NG    Trong quá trình sử dụng_x000a_   在生產過程"/>
  </r>
  <r>
    <n v="11"/>
    <s v="Đầu kim máy in LQ310 列印頭"/>
    <n v="1"/>
    <s v="PCS"/>
    <s v="IT251000012"/>
    <d v="2025-10-03T00:00:00"/>
    <x v="0"/>
    <x v="2"/>
    <n v="17655"/>
    <s v="Printer head"/>
    <x v="1"/>
    <n v="6000"/>
    <n v="6000"/>
    <s v="NG    Trong quá trình sử dụng_x000a_   在生產過程"/>
  </r>
  <r>
    <n v="12"/>
    <s v="PIN LAPTOP Asus K45V 10.8V 50Wh"/>
    <n v="1"/>
    <s v="PCS"/>
    <s v="IT251000013"/>
    <d v="2025-10-03T00:00:00"/>
    <x v="0"/>
    <x v="2"/>
    <n v="20021"/>
    <s v=" Battery"/>
    <x v="3"/>
    <n v="5000"/>
    <n v="5000"/>
    <s v="NG    Trong quá trình sử dụng_x000a_   在生產過程"/>
  </r>
  <r>
    <n v="13"/>
    <s v="Bàn phím Laptop Lenovo Thinkpad L480"/>
    <n v="1"/>
    <s v="PCS"/>
    <s v="IT251000015"/>
    <d v="2025-10-03T00:00:00"/>
    <x v="0"/>
    <x v="6"/>
    <n v="17655"/>
    <s v="Keyboard"/>
    <x v="3"/>
    <n v="5000"/>
    <n v="5000"/>
    <s v="NG    Trong quá trình sử dụng_x000a_   在生產過程"/>
  </r>
  <r>
    <n v="14"/>
    <s v=" Ổ cứng SSD Western Digital Blue SA510 500GB"/>
    <n v="1"/>
    <s v="PCS"/>
    <s v="IT251000016"/>
    <d v="2025-10-09T00:00:00"/>
    <x v="0"/>
    <x v="3"/>
    <n v="20021"/>
    <s v="HDD"/>
    <x v="3"/>
    <n v="20000"/>
    <n v="20000"/>
    <s v="NG    Trong quá trình sử dụng_x000a_   在生產過程"/>
  </r>
  <r>
    <n v="15"/>
    <s v="Bàn phím Fuhlen-USB 鍵盤"/>
    <n v="1"/>
    <s v="PCS"/>
    <s v="IT251000018"/>
    <d v="2025-10-08T00:00:00"/>
    <x v="0"/>
    <x v="4"/>
    <n v="17655"/>
    <s v="Keyboard"/>
    <x v="0"/>
    <n v="3000"/>
    <n v="3000"/>
    <s v="NG    Trong quá trình sử dụng_x000a_   在生產過程"/>
  </r>
  <r>
    <n v="16"/>
    <s v="Đầu kim máy in LQ310 列印頭"/>
    <n v="1"/>
    <s v="PCS"/>
    <s v="IT251000019"/>
    <d v="2025-10-07T00:00:00"/>
    <x v="0"/>
    <x v="2"/>
    <n v="20021"/>
    <s v="Printer head"/>
    <x v="1"/>
    <n v="6000"/>
    <n v="6000"/>
    <s v="NG Trong quá trình sửa chữa_x000a_在維修過程_x000a_  "/>
  </r>
  <r>
    <n v="17"/>
    <s v="Màn hình máy tính LG FLATRON (L1742S)"/>
    <n v="1"/>
    <s v="PCS"/>
    <s v="IT251000020"/>
    <d v="2025-10-06T00:00:00"/>
    <x v="0"/>
    <x v="7"/>
    <n v="20021"/>
    <s v="Monitor"/>
    <x v="0"/>
    <n v="20000"/>
    <n v="20000"/>
    <s v="NG    Trong quá trình sử dụng_x000a_   在生產過程"/>
  </r>
  <r>
    <n v="18"/>
    <s v="Màn hình máy tính LG-L1724SE"/>
    <n v="1"/>
    <s v="PCS"/>
    <s v="IT251000022"/>
    <d v="2025-10-08T00:00:00"/>
    <x v="0"/>
    <x v="8"/>
    <n v="20021"/>
    <s v="Monitor"/>
    <x v="0"/>
    <n v="20000"/>
    <n v="20000"/>
    <s v="NG    Trong quá trình sử dụng_x000a_   在生產過程"/>
  </r>
  <r>
    <n v="19"/>
    <s v="Tivi Casper 40 inch"/>
    <n v="1"/>
    <s v="PCS"/>
    <s v="IT251000023"/>
    <d v="2025-10-21T00:00:00"/>
    <x v="0"/>
    <x v="8"/>
    <n v="20021"/>
    <s v="Tivi"/>
    <x v="2"/>
    <n v="50000"/>
    <n v="50000"/>
    <s v="NG Trong quá trình sửa chữa_x000a_在維修過程_x000a_  "/>
  </r>
  <r>
    <n v="20"/>
    <s v="Chuột Fuhlen-USB 鼠標"/>
    <n v="1"/>
    <s v="PCS"/>
    <s v="IT251000024"/>
    <d v="2025-10-08T00:00:00"/>
    <x v="0"/>
    <x v="7"/>
    <n v="17655"/>
    <s v="Mouse"/>
    <x v="0"/>
    <n v="2000"/>
    <n v="2000"/>
    <s v="NG    Trong quá trình sử dụng_x000a_   在生產過程"/>
  </r>
  <r>
    <n v="21"/>
    <s v="Màn hình máy tính Dell (E1913Sf)"/>
    <n v="1"/>
    <s v="PCS"/>
    <s v="IT251000025"/>
    <d v="2025-10-09T00:00:00"/>
    <x v="0"/>
    <x v="3"/>
    <n v="20021"/>
    <s v="Monitor"/>
    <x v="0"/>
    <n v="20000"/>
    <n v="20000"/>
    <s v="NG    Trong quá trình sử dụng_x000a_   在生產過程"/>
  </r>
  <r>
    <n v="22"/>
    <s v="Nguồn Gamemax VP-450 源"/>
    <n v="1"/>
    <s v="PCS"/>
    <s v="IT251000026"/>
    <d v="2025-10-09T00:00:00"/>
    <x v="0"/>
    <x v="3"/>
    <n v="20021"/>
    <s v="Power "/>
    <x v="0"/>
    <n v="10000"/>
    <n v="10000"/>
    <s v="NG    Trong quá trình sử dụng_x000a_   在生產過程"/>
  </r>
  <r>
    <n v="23"/>
    <s v="Đầu kim máy in LQ310 列印頭"/>
    <n v="1"/>
    <s v="PCS"/>
    <s v="IT251000027"/>
    <d v="2025-10-08T00:00:00"/>
    <x v="0"/>
    <x v="2"/>
    <n v="20021"/>
    <s v="Printer head"/>
    <x v="1"/>
    <n v="6000"/>
    <n v="6000"/>
    <s v="NG    Trong quá trình sử dụng_x000a_   在生產過程"/>
  </r>
  <r>
    <n v="24"/>
    <s v="Máy in HP 2055"/>
    <n v="1"/>
    <s v="PCS"/>
    <s v="IT251000029"/>
    <d v="2025-10-13T00:00:00"/>
    <x v="0"/>
    <x v="7"/>
    <n v="20021"/>
    <s v="Dot matrix printer"/>
    <x v="1"/>
    <n v="30000"/>
    <n v="30000"/>
    <s v="NG    Trong quá trình sử dụng_x000a_   在生產過程"/>
  </r>
  <r>
    <n v="25"/>
    <s v="Màn hình LG 20MK400H-B 19.5Inch LED (20MK400H-B.ATV"/>
    <n v="1"/>
    <s v="PCS"/>
    <s v="IT251000032"/>
    <d v="2025-10-13T00:00:00"/>
    <x v="0"/>
    <x v="9"/>
    <n v="20021"/>
    <s v="Monitor"/>
    <x v="0"/>
    <n v="20000"/>
    <n v="20000"/>
    <s v="NG    Trong quá trình sử dụng_x000a_   在生產過程"/>
  </r>
  <r>
    <n v="26"/>
    <s v="Máy in Canon 2900"/>
    <n v="1"/>
    <s v="PCS"/>
    <s v="IT251000035"/>
    <d v="2025-10-14T00:00:00"/>
    <x v="0"/>
    <x v="10"/>
    <n v="17655"/>
    <s v="Dot matrix printer"/>
    <x v="1"/>
    <n v="30000"/>
    <n v="30000"/>
    <s v="NG Trong quá trình sửa chữa_x000a_在維修過程_x000a_  "/>
  </r>
  <r>
    <n v="27"/>
    <s v="Bộ lưu điện Cyber Power BU600E "/>
    <n v="2"/>
    <s v="PCS"/>
    <s v="IT251000038"/>
    <d v="2025-10-10T00:00:00"/>
    <x v="0"/>
    <x v="11"/>
    <n v="20021"/>
    <s v="UPS"/>
    <x v="2"/>
    <n v="25000"/>
    <n v="50000"/>
    <s v="NG Trong quá trình sửa chữa_x000a_在維修過程_x000a_  "/>
  </r>
  <r>
    <n v="28"/>
    <s v="Máy in kim EPSON LQ-310"/>
    <n v="1"/>
    <s v="PCS"/>
    <s v="IT251000039"/>
    <d v="2025-10-10T00:00:00"/>
    <x v="0"/>
    <x v="12"/>
    <n v="20021"/>
    <s v="Dot matrix printer"/>
    <x v="1"/>
    <n v="30000"/>
    <n v="30000"/>
    <s v="NG    Trong quá trình sử dụng_x000a_   在生產過程"/>
  </r>
  <r>
    <n v="29"/>
    <s v="Quả đào kéo giấy 2900"/>
    <n v="1"/>
    <s v="PCS"/>
    <s v="IT251000040"/>
    <d v="2025-10-14T00:00:00"/>
    <x v="0"/>
    <x v="13"/>
    <n v="20021"/>
    <s v="Printer components"/>
    <x v="1"/>
    <n v="5000"/>
    <n v="5000"/>
    <s v="NG    Trong quá trình sử dụng_x000a_   在生產過程"/>
  </r>
  <r>
    <n v="30"/>
    <s v="Mainboard ASUS P8Z68-V LX"/>
    <n v="1"/>
    <s v="PCS"/>
    <s v="IT251000042"/>
    <d v="2025-10-14T00:00:00"/>
    <x v="0"/>
    <x v="14"/>
    <n v="20021"/>
    <s v="Monitor"/>
    <x v="0"/>
    <n v="20000"/>
    <n v="20000"/>
    <s v="NG    Trong quá trình sử dụng_x000a_   在生產過程"/>
  </r>
  <r>
    <n v="31"/>
    <s v="Bộ xử lý Intel® Core™ i7-3770"/>
    <n v="1"/>
    <s v="PCS"/>
    <s v="IT251000042"/>
    <d v="2025-10-14T00:00:00"/>
    <x v="0"/>
    <x v="14"/>
    <n v="20021"/>
    <s v="CPU"/>
    <x v="0"/>
    <n v="15000"/>
    <n v="15000"/>
    <s v="NG Trong quá trình sửa chữa_x000a_在維修過程_x000a_  "/>
  </r>
  <r>
    <n v="32"/>
    <s v="Bộ nhớ trong RAM Kingston 4GB (1x4GB) DDR4 3200Mhz "/>
    <n v="1"/>
    <s v="PCS"/>
    <s v="IT251000042"/>
    <d v="2025-10-14T00:00:00"/>
    <x v="0"/>
    <x v="14"/>
    <n v="20021"/>
    <s v="RAM"/>
    <x v="0"/>
    <n v="30000"/>
    <n v="30000"/>
    <s v="NG Trong quá trình sửa chữa_x000a_在維修過程_x000a_  "/>
  </r>
  <r>
    <n v="33"/>
    <s v="Ổ cứng máy tính Western Digital WD500GB HDD 硬盤"/>
    <n v="1"/>
    <s v="PCS"/>
    <s v="IT251000042"/>
    <d v="2025-10-14T00:00:00"/>
    <x v="0"/>
    <x v="14"/>
    <n v="20021"/>
    <s v="HDD"/>
    <x v="3"/>
    <n v="20000"/>
    <n v="20000"/>
    <s v="NG    Trong quá trình sử dụng_x000a_   在生產過程"/>
  </r>
  <r>
    <n v="34"/>
    <s v="Chuột Fuhlen-USB 鼠標"/>
    <n v="1"/>
    <s v="PCS"/>
    <s v="IT251000044"/>
    <d v="2025-10-16T00:00:00"/>
    <x v="0"/>
    <x v="15"/>
    <n v="20021"/>
    <s v="Mouse"/>
    <x v="0"/>
    <n v="2000"/>
    <n v="2000"/>
    <s v="NG    Trong quá trình sử dụng_x000a_   在生產過程"/>
  </r>
  <r>
    <n v="35"/>
    <s v="Chuột MISUMI-USB 鼠標"/>
    <n v="1"/>
    <s v="PCS"/>
    <s v="IT251000046"/>
    <d v="2025-10-28T00:00:00"/>
    <x v="0"/>
    <x v="16"/>
    <n v="26350"/>
    <s v="HDD"/>
    <x v="0"/>
    <n v="20000"/>
    <n v="20000"/>
    <s v="NG    Trong quá trình sử dụng_x000a_   在生產過程"/>
  </r>
  <r>
    <n v="36"/>
    <s v="Bàn phím Mitsumi-USB 鍵盤"/>
    <n v="1"/>
    <s v="PCS"/>
    <s v="IT251000046"/>
    <d v="2025-10-28T00:00:00"/>
    <x v="0"/>
    <x v="16"/>
    <n v="26350"/>
    <s v="Keyboard"/>
    <x v="0"/>
    <n v="2000"/>
    <n v="2000"/>
    <s v="NG Trong quá trình sửa chữa_x000a_在維修過程_x000a_  "/>
  </r>
  <r>
    <n v="37"/>
    <s v="Màn hình máy tính LG FLATRON (L1742S)"/>
    <n v="1"/>
    <s v="PCS"/>
    <s v="IT251000047"/>
    <d v="2025-10-17T00:00:00"/>
    <x v="0"/>
    <x v="1"/>
    <n v="20021"/>
    <s v="Monitor"/>
    <x v="0"/>
    <n v="20000"/>
    <n v="20000"/>
    <s v="NG    Trong quá trình sử dụng_x000a_   在生產過程"/>
  </r>
  <r>
    <n v="38"/>
    <s v="Bộ lưu điện Cyber Power BU600E "/>
    <n v="2"/>
    <s v="PCS"/>
    <s v="IT251000048"/>
    <d v="2025-10-17T00:00:00"/>
    <x v="0"/>
    <x v="17"/>
    <n v="20021"/>
    <s v="UPS"/>
    <x v="2"/>
    <n v="25000"/>
    <n v="50000"/>
    <s v="NG    Trong quá trình sử dụng_x000a_   在生產過程"/>
  </r>
  <r>
    <n v="39"/>
    <s v="UPS SANTAK 500VA"/>
    <n v="1"/>
    <s v="PCS"/>
    <s v="IT251000048"/>
    <d v="2025-10-17T00:00:00"/>
    <x v="0"/>
    <x v="17"/>
    <n v="20021"/>
    <s v="UPS"/>
    <x v="2"/>
    <n v="25000"/>
    <n v="25000"/>
    <s v="NG    Trong quá trình sử dụng_x000a_   在生產過程"/>
  </r>
  <r>
    <n v="40"/>
    <s v="Máy chấm công ZKTeco G2"/>
    <n v="1"/>
    <s v="PCS"/>
    <s v="IT251000051"/>
    <d v="2025-10-21T00:00:00"/>
    <x v="0"/>
    <x v="8"/>
    <n v="20021"/>
    <s v="chấm công"/>
    <x v="2"/>
    <n v="5000"/>
    <n v="5000"/>
    <s v="NG    Trong quá trình sử dụng_x000a_   在生產過程"/>
  </r>
  <r>
    <n v="41"/>
    <s v="PIN LAPTOP Lenovo thinkpad E480 11.1V 4.08Ah/45Wh"/>
    <n v="1"/>
    <s v="PCS"/>
    <s v="IT251000056"/>
    <d v="2025-10-23T00:00:00"/>
    <x v="0"/>
    <x v="18"/>
    <n v="20021"/>
    <s v=" Battery"/>
    <x v="3"/>
    <n v="5000"/>
    <n v="5000"/>
    <s v="NG    Trong quá trình sử dụng_x000a_   在生產過程"/>
  </r>
  <r>
    <n v="42"/>
    <s v="UPS SANTAK 500VA"/>
    <n v="1"/>
    <s v="PCS"/>
    <s v="IT251000058"/>
    <d v="2025-10-21T00:00:00"/>
    <x v="0"/>
    <x v="19"/>
    <n v="20021"/>
    <s v="UPS"/>
    <x v="2"/>
    <n v="25000"/>
    <n v="25000"/>
    <s v="NG    Trong quá trình sử dụng_x000a_   在生產過程"/>
  </r>
  <r>
    <n v="43"/>
    <s v="Bo mạch chủ Gigabyte B85M-DS2 主板"/>
    <n v="1"/>
    <s v="PCS"/>
    <s v="IT251000059"/>
    <d v="2025-10-28T00:00:00"/>
    <x v="0"/>
    <x v="1"/>
    <n v="20021"/>
    <s v="Mainboard"/>
    <x v="0"/>
    <n v="30000"/>
    <n v="30000"/>
    <s v="NG Trong quá trình sửa chữa_x000a_在維修過程_x000a_  "/>
  </r>
  <r>
    <n v="44"/>
    <s v="Bộ vi xử lý Intel CPU Core i7-4770 3.40GHz ,84w _x000a_英特爾 Intel CPU Core i7-4770 3.40GHz ,84w "/>
    <n v="1"/>
    <s v="PCS"/>
    <s v="IT251000059"/>
    <d v="2025-10-28T00:00:00"/>
    <x v="0"/>
    <x v="1"/>
    <n v="20021"/>
    <s v="CPU"/>
    <x v="0"/>
    <n v="15000"/>
    <n v="15000"/>
    <s v="NG Trong quá trình sửa chữa_x000a_在維修過程_x000a_  "/>
  </r>
  <r>
    <n v="45"/>
    <s v="Bộ nhớ trong ram Kingston 4Gb DDR3 Bus 1600Mhz 内存"/>
    <n v="1"/>
    <s v="PCS"/>
    <s v="IT251000059"/>
    <d v="2025-10-28T00:00:00"/>
    <x v="0"/>
    <x v="1"/>
    <n v="20021"/>
    <s v="RAM"/>
    <x v="0"/>
    <n v="15000"/>
    <n v="15000"/>
    <s v="NG    Trong quá trình sử dụng_x000a_   在生產過程"/>
  </r>
  <r>
    <n v="46"/>
    <s v="Ổ cứng máy tính Western Digital WD 1TB HDD 硬盤"/>
    <n v="1"/>
    <s v="PCS"/>
    <s v="IT251000059"/>
    <d v="2025-10-28T00:00:00"/>
    <x v="0"/>
    <x v="1"/>
    <n v="20021"/>
    <s v="HDD"/>
    <x v="3"/>
    <n v="20000"/>
    <n v="20000"/>
    <s v="NG    Trong quá trình sử dụng_x000a_   在生產過程"/>
  </r>
  <r>
    <n v="47"/>
    <s v="Đầu kim máy in LQ310 列印頭"/>
    <n v="1"/>
    <s v="PCS"/>
    <s v="IT251000060"/>
    <d v="2025-10-22T00:00:00"/>
    <x v="0"/>
    <x v="2"/>
    <n v="20021"/>
    <s v="Printer head"/>
    <x v="1"/>
    <n v="6000"/>
    <n v="6000"/>
    <s v="NG    Trong quá trình sử dụng_x000a_   在生產過程"/>
  </r>
  <r>
    <n v="48"/>
    <s v="Formatter card máy in canon LBP251DW"/>
    <n v="1"/>
    <s v="PCS"/>
    <s v="IT251000066"/>
    <d v="2025-10-30T00:00:00"/>
    <x v="0"/>
    <x v="20"/>
    <n v="15060"/>
    <s v="Printer components"/>
    <x v="1"/>
    <n v="10000"/>
    <n v="10000"/>
    <s v="NG    Trong quá trình sử dụng_x000a_   在生產過程"/>
  </r>
  <r>
    <n v="49"/>
    <s v="Ổ cứng HDD camera 4TB (TOSHIBA)"/>
    <n v="1"/>
    <s v="PCS"/>
    <s v="IT251000068"/>
    <d v="2025-10-30T00:00:00"/>
    <x v="0"/>
    <x v="21"/>
    <n v="20021"/>
    <s v="HDD"/>
    <x v="3"/>
    <n v="20000"/>
    <n v="20000"/>
    <s v="NG Trong quá trình sửa chữa_x000a_在維修過程_x000a_  "/>
  </r>
  <r>
    <n v="50"/>
    <s v="Ổ cứng WDC WD5003AZEX-00K3CA0(500GB)"/>
    <n v="1"/>
    <s v="PCS"/>
    <s v="IT251000070"/>
    <d v="2025-10-31T00:00:00"/>
    <x v="0"/>
    <x v="19"/>
    <n v="17655"/>
    <s v="HDD"/>
    <x v="3"/>
    <n v="20000"/>
    <n v="20000"/>
    <s v="NG    Trong quá trình sử dụng_x000a_   在生產過程"/>
  </r>
  <r>
    <n v="51"/>
    <s v="Chuột Fuhlen-USB 鼠標"/>
    <n v="1"/>
    <s v="PCS"/>
    <s v="IT251000072"/>
    <d v="2025-10-27T00:00:00"/>
    <x v="0"/>
    <x v="3"/>
    <n v="20021"/>
    <s v="Mouse"/>
    <x v="0"/>
    <n v="2000"/>
    <n v="2000"/>
    <s v="NG    Trong quá trình sử dụng_x000a_   在生產過程"/>
  </r>
  <r>
    <n v="52"/>
    <s v="PIN LAPTOP HP 240 G8 11.34V -41.04Wh "/>
    <n v="1"/>
    <s v="PCS"/>
    <s v="IT251000076"/>
    <d v="2025-10-30T00:00:00"/>
    <x v="0"/>
    <x v="6"/>
    <n v="15060"/>
    <s v=" Battery"/>
    <x v="3"/>
    <n v="5000"/>
    <n v="5000"/>
    <s v="NG    Trong quá trình sử dụng_x000a_   在生產過程"/>
  </r>
  <r>
    <n v="53"/>
    <s v="Chuột Fuhlen-USB 鼠標"/>
    <n v="1"/>
    <s v="PCS"/>
    <s v="IT251000080"/>
    <d v="2025-10-30T00:00:00"/>
    <x v="0"/>
    <x v="18"/>
    <n v="15060"/>
    <s v="Mouse"/>
    <x v="0"/>
    <n v="2000"/>
    <n v="2000"/>
    <s v="NG    Trong quá trình sử dụng_x000a_   在生產過程"/>
  </r>
  <r>
    <n v="54"/>
    <s v="Cáp kết nối HDMI "/>
    <n v="1"/>
    <s v="PCS"/>
    <s v="IT251000081"/>
    <d v="2025-10-31T00:00:00"/>
    <x v="0"/>
    <x v="21"/>
    <n v="20021"/>
    <s v="HDMI"/>
    <x v="2"/>
    <n v="5000"/>
    <n v="5000"/>
    <s v="NG    Trong quá trình sử dụng_x000a_   在生產過程"/>
  </r>
  <r>
    <n v="55"/>
    <s v="Nguồn Gamemax VP-450 源"/>
    <n v="1"/>
    <s v="PCS"/>
    <s v="IT251000082"/>
    <d v="2025-10-30T00:00:00"/>
    <x v="0"/>
    <x v="9"/>
    <n v="15060"/>
    <s v="Power "/>
    <x v="0"/>
    <n v="10000"/>
    <n v="10000"/>
    <s v="NG    Trong quá trình sử dụng_x000a_   在生產過程"/>
  </r>
  <r>
    <n v="56"/>
    <s v="Bo mạch chủ Gigabyte H61M-DS2 主板"/>
    <n v="1"/>
    <s v="PCS"/>
    <s v="IT251000083"/>
    <d v="2025-10-31T00:00:00"/>
    <x v="0"/>
    <x v="7"/>
    <n v="20021"/>
    <s v="Mainboard"/>
    <x v="0"/>
    <n v="30000"/>
    <n v="30000"/>
    <s v="NG    Trong quá trình sử dụng_x000a_   在生產過程"/>
  </r>
  <r>
    <n v="57"/>
    <s v="CPU bộ xử lý Intel® Pentium® G1620 處理器"/>
    <n v="1"/>
    <s v="PCS"/>
    <s v="IT251000083"/>
    <d v="2025-10-31T00:00:00"/>
    <x v="0"/>
    <x v="7"/>
    <n v="20021"/>
    <s v="CPU"/>
    <x v="0"/>
    <n v="15000"/>
    <n v="15000"/>
    <s v="NG    Trong quá trình sử dụng_x000a_   在生產過程"/>
  </r>
  <r>
    <n v="58"/>
    <s v="Bộ nhớ trong ram Kingston 4Gb DDR3 Bus 1600Mhz 内存"/>
    <n v="1"/>
    <s v="PCS"/>
    <s v="IT251000083"/>
    <d v="2025-10-31T00:00:00"/>
    <x v="0"/>
    <x v="7"/>
    <n v="20021"/>
    <s v="RAM"/>
    <x v="0"/>
    <n v="20000"/>
    <n v="20000"/>
    <s v="NG    Trong quá trình sử dụng_x000a_   在生產過程"/>
  </r>
  <r>
    <n v="59"/>
    <s v="Ổ cứng máy tính Western Digital WD 250GB HDD 硬盤"/>
    <n v="1"/>
    <s v="PCS"/>
    <s v="IT251000083"/>
    <d v="2025-10-31T00:00:00"/>
    <x v="0"/>
    <x v="7"/>
    <n v="20021"/>
    <s v="HDD"/>
    <x v="3"/>
    <n v="20000"/>
    <n v="20000"/>
    <s v="NG    Trong quá trình sử dụng_x000a_   在生產過程"/>
  </r>
  <r>
    <n v="60"/>
    <s v="Bo mạch chủ Gigabyte H61M-DS2 主板"/>
    <n v="1"/>
    <s v="PCS"/>
    <s v="IT251000084"/>
    <d v="2025-10-31T00:00:00"/>
    <x v="0"/>
    <x v="7"/>
    <n v="20021"/>
    <s v="Mainboard"/>
    <x v="0"/>
    <n v="30000"/>
    <n v="30000"/>
    <s v="NG    Trong quá trình sử dụng_x000a_   在生產過程"/>
  </r>
  <r>
    <n v="61"/>
    <s v="CPU bộ xử lý Intel® Pentium® G1620 處理器"/>
    <n v="1"/>
    <s v="PCS"/>
    <s v="IT251000084"/>
    <d v="2025-10-31T00:00:00"/>
    <x v="0"/>
    <x v="7"/>
    <n v="17655"/>
    <s v="CPU"/>
    <x v="0"/>
    <n v="15000"/>
    <n v="15000"/>
    <s v="NG    Trong quá trình sử dụng_x000a_   在生產過程"/>
  </r>
  <r>
    <n v="62"/>
    <s v="Bộ nhớ trong ram Kingston 4Gb DDR3 Bus 1600Mhz 内存"/>
    <n v="1"/>
    <s v="PCS"/>
    <s v="IT251000084"/>
    <d v="2025-10-31T00:00:00"/>
    <x v="0"/>
    <x v="7"/>
    <n v="17655"/>
    <s v="RAM"/>
    <x v="0"/>
    <n v="20000"/>
    <n v="20000"/>
    <s v="NG    Trong quá trình sử dụng_x000a_   在生產過程"/>
  </r>
  <r>
    <n v="63"/>
    <s v="Ổ cứng máy tính Western Digital WD 500GB HDD 硬盤"/>
    <n v="1"/>
    <s v="PCS"/>
    <s v="IT251000084"/>
    <d v="2025-10-31T00:00:00"/>
    <x v="0"/>
    <x v="7"/>
    <n v="20021"/>
    <s v="HDD"/>
    <x v="3"/>
    <n v="20000"/>
    <n v="20000"/>
    <s v="NG    Trong quá trình sử dụng_x000a_   在生產過程"/>
  </r>
  <r>
    <n v="64"/>
    <s v="PIN LAPTOP HP Pavilion 14-CE3026 11.55V 41.9Wh"/>
    <n v="1"/>
    <s v="PCS"/>
    <s v="IT251100003"/>
    <d v="2025-11-04T00:00:00"/>
    <x v="1"/>
    <x v="5"/>
    <n v="26350"/>
    <s v=" Battery"/>
    <x v="3"/>
    <n v="5000"/>
    <n v="5000"/>
    <s v="NG    Trong quá trình sử dụng_x000a_   在生產過程"/>
  </r>
  <r>
    <n v="65"/>
    <s v="Mainboard ASUS Prime H510M-K"/>
    <n v="1"/>
    <s v="PCS"/>
    <s v="IT251100005"/>
    <d v="2025-11-05T00:00:00"/>
    <x v="1"/>
    <x v="0"/>
    <n v="20021"/>
    <s v="Mainboard"/>
    <x v="0"/>
    <n v="20000"/>
    <n v="20000"/>
    <s v="NG    Trong quá trình sử dụng_x000a_   在生產過程"/>
  </r>
  <r>
    <n v="66"/>
    <s v="Bàn phím Fuhlen-USB 鍵盤"/>
    <n v="1"/>
    <s v="PCS"/>
    <s v="IT251100007"/>
    <d v="2025-11-05T00:00:00"/>
    <x v="1"/>
    <x v="12"/>
    <n v="26350"/>
    <s v="Keyboard"/>
    <x v="0"/>
    <n v="3000"/>
    <n v="3000"/>
    <s v="NG    Trong quá trình sử dụng_x000a_   在生產過程"/>
  </r>
  <r>
    <n v="67"/>
    <s v="Pin HT03XL(11.55V-41.9Wh)"/>
    <n v="1"/>
    <s v="PCS"/>
    <s v="IT251100009"/>
    <d v="2025-11-07T00:00:00"/>
    <x v="1"/>
    <x v="19"/>
    <n v="17655"/>
    <s v=" Battery"/>
    <x v="3"/>
    <n v="5000"/>
    <n v="5000"/>
    <s v="NG    Trong quá trình sử dụng_x000a_   在生產過程"/>
  </r>
  <r>
    <n v="68"/>
    <s v="Formatter card máy in LASERJET canon2900"/>
    <n v="1"/>
    <s v="PCS"/>
    <s v="IT251100010"/>
    <d v="2025-11-05T00:00:00"/>
    <x v="1"/>
    <x v="22"/>
    <n v="20021"/>
    <s v="Printer components"/>
    <x v="1"/>
    <n v="10000"/>
    <n v="10000"/>
    <s v="NG    Trong quá trình sử dụng_x000a_   在生產過程"/>
  </r>
  <r>
    <n v="69"/>
    <s v="Ổ cứng máy tính Western Digital WD10EZEX-08WN4A0(1TB)"/>
    <n v="1"/>
    <s v="PCS"/>
    <s v="IT251100012"/>
    <d v="2025-11-07T00:00:00"/>
    <x v="1"/>
    <x v="19"/>
    <n v="17655"/>
    <s v="HDD"/>
    <x v="3"/>
    <n v="20000"/>
    <n v="20000"/>
    <s v="NG    Trong quá trình sử dụng_x000a_   在生產過程"/>
  </r>
  <r>
    <n v="70"/>
    <s v="Máy in Canon 2900"/>
    <n v="1"/>
    <s v="PCS"/>
    <s v="IT251100013"/>
    <d v="2025-11-11T00:00:00"/>
    <x v="1"/>
    <x v="16"/>
    <n v="20021"/>
    <s v="Dot matrix printer"/>
    <x v="1"/>
    <n v="30000"/>
    <n v="30000"/>
    <s v="NG    Trong quá trình sử dụng_x000a_   在生產過程"/>
  </r>
  <r>
    <n v="71"/>
    <s v="Đầu kim máy in LQ310 列印頭"/>
    <n v="1"/>
    <s v="PCS"/>
    <s v="IT251100014"/>
    <d v="2025-11-11T00:00:00"/>
    <x v="1"/>
    <x v="2"/>
    <n v="20021"/>
    <s v="Printer head"/>
    <x v="1"/>
    <n v="6000"/>
    <n v="6000"/>
    <s v="NG    Trong quá trình sử dụng_x000a_   在生產過程"/>
  </r>
  <r>
    <n v="72"/>
    <s v="Đầu kim máy in LQ310 列印頭"/>
    <n v="1"/>
    <s v="PCS"/>
    <s v="IT251100017"/>
    <d v="2025-11-11T00:00:00"/>
    <x v="1"/>
    <x v="13"/>
    <n v="20021"/>
    <s v="Printer head"/>
    <x v="1"/>
    <n v="6000"/>
    <n v="6000"/>
    <s v="NG    Trong quá trình sử dụng_x000a_   在生產過程"/>
  </r>
  <r>
    <n v="73"/>
    <s v="Nguồn ORIENT ATX650 "/>
    <n v="1"/>
    <s v="PCS"/>
    <s v="IT251100019"/>
    <d v="2025-11-11T00:00:00"/>
    <x v="1"/>
    <x v="2"/>
    <n v="17655"/>
    <s v="Power "/>
    <x v="0"/>
    <n v="10000"/>
    <n v="10000"/>
    <s v="NG    Trong quá trình sử dụng_x000a_   在生產過程"/>
  </r>
  <r>
    <n v="74"/>
    <s v="Cụm sấy máy in Canon LBP251DW"/>
    <n v="1"/>
    <s v="PCS"/>
    <s v="IT251100021"/>
    <d v="2025-11-11T00:00:00"/>
    <x v="1"/>
    <x v="2"/>
    <n v="2021"/>
    <s v="Printer components"/>
    <x v="1"/>
    <n v="10000"/>
    <n v="10000"/>
    <s v="NG    Trong quá trình sử dụng_x000a_   在生產過程"/>
  </r>
  <r>
    <n v="75"/>
    <s v="Cụm sấy máy in Canon 2900"/>
    <n v="1"/>
    <s v="PCS"/>
    <s v="IT251100026"/>
    <d v="2025-11-26T00:00:00"/>
    <x v="1"/>
    <x v="16"/>
    <n v="20021"/>
    <s v="Printer components"/>
    <x v="1"/>
    <n v="10000"/>
    <n v="10000"/>
    <s v="NG    Trong quá trình sử dụng_x000a_   在生產過程"/>
  </r>
  <r>
    <n v="76"/>
    <s v="Bàn phím Laptop Dell PRECISION-M6800"/>
    <n v="1"/>
    <s v="PCS"/>
    <s v="IT251100027"/>
    <d v="2025-11-12T00:00:00"/>
    <x v="1"/>
    <x v="18"/>
    <n v="20021"/>
    <s v="Keyboard"/>
    <x v="3"/>
    <n v="5000"/>
    <n v="5000"/>
    <s v="NG    Trong quá trình sử dụng_x000a_   在生產過程"/>
  </r>
  <r>
    <n v="77"/>
    <s v="Màn hình DELL E2016HV"/>
    <n v="1"/>
    <s v="PCS"/>
    <s v="IT251100031"/>
    <d v="2025-11-14T00:00:00"/>
    <x v="1"/>
    <x v="2"/>
    <n v="17655"/>
    <s v="Monitor"/>
    <x v="0"/>
    <n v="20000"/>
    <n v="20000"/>
    <s v="NG    Trong quá trình sử dụng_x000a_   在生產過程"/>
  </r>
  <r>
    <n v="78"/>
    <s v="Bàn phím Genius-USB 鍵盤"/>
    <n v="1"/>
    <s v="PCS"/>
    <s v="IT251100032"/>
    <d v="2025-11-13T00:00:00"/>
    <x v="1"/>
    <x v="18"/>
    <n v="20021"/>
    <s v="Keyboard"/>
    <x v="0"/>
    <n v="2000"/>
    <n v="2000"/>
    <s v="NG    Trong quá trình sử dụng_x000a_   在生產過程"/>
  </r>
  <r>
    <n v="79"/>
    <s v="Máy in kim EPSON LQ-310"/>
    <n v="1"/>
    <s v="PCS"/>
    <s v="IT251100033"/>
    <d v="2025-11-26T00:00:00"/>
    <x v="1"/>
    <x v="2"/>
    <n v="20021"/>
    <s v="Dot matrix printer"/>
    <x v="1"/>
    <n v="30000"/>
    <n v="30000"/>
    <s v="NG Trong quá trình sửa chữa_x000a_在維修過程_x000a_  "/>
  </r>
  <r>
    <n v="80"/>
    <s v="Nguồn máy tính FSP Power Supply AX Series 500ATX"/>
    <n v="1"/>
    <s v="PCS"/>
    <s v="IT251100036"/>
    <d v="2025-11-17T00:00:00"/>
    <x v="1"/>
    <x v="23"/>
    <n v="20021"/>
    <s v="Power "/>
    <x v="0"/>
    <n v="10000"/>
    <n v="10000"/>
    <s v="NG    Trong quá trình sử dụng_x000a_   在生產過程"/>
  </r>
  <r>
    <n v="81"/>
    <s v="Formatter card máy in canon LQ310"/>
    <n v="1"/>
    <s v="PCS"/>
    <s v="IT251100037"/>
    <d v="2025-11-26T00:00:00"/>
    <x v="1"/>
    <x v="20"/>
    <n v="20021"/>
    <s v="Printer components"/>
    <x v="1"/>
    <n v="10000"/>
    <n v="10000"/>
    <s v="NG    Trong quá trình sử dụng_x000a_   在生產過程"/>
  </r>
  <r>
    <n v="82"/>
    <s v="Ổ cứng máy tính HAN101 Western Digital WD10EZEX-08WN4A0(1TB)"/>
    <n v="1"/>
    <s v="PCS"/>
    <s v="IT251100040"/>
    <d v="2025-11-19T00:00:00"/>
    <x v="1"/>
    <x v="16"/>
    <n v="20021"/>
    <s v="HDD"/>
    <x v="3"/>
    <n v="20000"/>
    <n v="20000"/>
    <s v="NG    Trong quá trình sử dụng_x000a_   在生產過程"/>
  </r>
  <r>
    <n v="83"/>
    <s v="Đầu phun mực máy in màu Canon IX6770"/>
    <n v="1"/>
    <s v="PCS"/>
    <s v="IT251100041"/>
    <d v="2025-11-26T00:00:00"/>
    <x v="1"/>
    <x v="15"/>
    <n v="20021"/>
    <s v="Printer head"/>
    <x v="1"/>
    <n v="2000"/>
    <n v="2000"/>
    <s v="NG    Trong quá trình sử dụng_x000a_   在生產過程"/>
  </r>
  <r>
    <n v="84"/>
    <s v="Máy in màu IX6770"/>
    <n v="1"/>
    <s v="PCS"/>
    <s v="IT251100042"/>
    <d v="2025-11-19T00:00:00"/>
    <x v="1"/>
    <x v="23"/>
    <n v="20021"/>
    <s v="Dot matrix printer"/>
    <x v="1"/>
    <n v="30000"/>
    <n v="30000"/>
    <s v="NG Trong quá trình sửa chữa_x000a_在維修過程_x000a_  "/>
  </r>
  <r>
    <n v="85"/>
    <s v="UPS SANTAK 500VA "/>
    <n v="1"/>
    <s v="PCS"/>
    <s v="IT251100045"/>
    <d v="2025-11-19T00:00:00"/>
    <x v="1"/>
    <x v="21"/>
    <n v="20021"/>
    <s v="UPS"/>
    <x v="2"/>
    <n v="25000"/>
    <n v="25000"/>
    <s v="NG    Trong quá trình sử dụng_x000a_   在生產過程"/>
  </r>
  <r>
    <n v="86"/>
    <s v="Đầu ghi Camera Dahua DH-XVR5216AN "/>
    <n v="1"/>
    <s v="PCS"/>
    <s v="IT251100047"/>
    <d v="2025-11-21T00:00:00"/>
    <x v="1"/>
    <x v="8"/>
    <n v="20021"/>
    <s v="Camera"/>
    <x v="2"/>
    <n v="5000"/>
    <n v="5000"/>
    <s v="NG    Trong quá trình sử dụng_x000a_   在生產過程"/>
  </r>
  <r>
    <n v="87"/>
    <s v="Màn hình máy tính LG FLATRON (L1742S)"/>
    <n v="1"/>
    <s v="PCS"/>
    <s v="IT251100048"/>
    <d v="2025-11-20T00:00:00"/>
    <x v="1"/>
    <x v="2"/>
    <n v="20021"/>
    <s v="Monitor"/>
    <x v="0"/>
    <n v="20000"/>
    <n v="20000"/>
    <s v="NG Trong quá trình sửa chữa_x000a_在維修過程_x000a_  "/>
  </r>
  <r>
    <n v="88"/>
    <s v="Laptop Asus UX510U"/>
    <n v="1"/>
    <s v="PCS"/>
    <s v="IT251100049"/>
    <d v="2025-11-27T00:00:00"/>
    <x v="1"/>
    <x v="1"/>
    <n v="17655"/>
    <s v="Laptop"/>
    <x v="3"/>
    <n v="200000"/>
    <n v="200000"/>
    <s v="NG    Trong quá trình sử dụng_x000a_   在生產過程"/>
  </r>
  <r>
    <n v="89"/>
    <s v="Camera Logitech Rally"/>
    <n v="1"/>
    <s v="PCS"/>
    <s v="IT251100050"/>
    <d v="2025-11-20T00:00:00"/>
    <x v="1"/>
    <x v="9"/>
    <n v="15060"/>
    <s v="Loa"/>
    <x v="2"/>
    <n v="5000"/>
    <n v="5000"/>
    <s v="NG    Trong quá trình sử dụng_x000a_   在生產過程"/>
  </r>
  <r>
    <n v="90"/>
    <s v="PIN LAPTOP Lenovo thinkpad L480 11.1V 4.08Ah/45Wh"/>
    <n v="1"/>
    <s v="PCS"/>
    <s v="IT251100054"/>
    <d v="2025-11-24T00:00:00"/>
    <x v="1"/>
    <x v="6"/>
    <n v="20021"/>
    <s v=" Battery"/>
    <x v="3"/>
    <n v="5000"/>
    <n v="5000"/>
    <s v="NG    Trong quá trình sử dụng_x000a_   在生產過程"/>
  </r>
  <r>
    <n v="91"/>
    <s v="UPS SANTAK 500VA "/>
    <n v="1"/>
    <s v="PCS"/>
    <s v="IT251100055"/>
    <d v="2025-11-24T00:00:00"/>
    <x v="1"/>
    <x v="13"/>
    <n v="20021"/>
    <s v="UPS"/>
    <x v="2"/>
    <n v="25000"/>
    <n v="25000"/>
    <s v="NG    Trong quá trình sử dụng_x000a_   在生產過程"/>
  </r>
  <r>
    <n v="92"/>
    <s v="Formatter card máy in canon LQ310 bị NG "/>
    <n v="1"/>
    <s v="PCS"/>
    <s v="IT251100062"/>
    <d v="2025-11-27T00:00:00"/>
    <x v="1"/>
    <x v="12"/>
    <n v="20021"/>
    <s v="Printer components"/>
    <x v="1"/>
    <n v="10000"/>
    <n v="10000"/>
    <s v="NG    Trong quá trình sử dụng_x000a_   在生產過程"/>
  </r>
  <r>
    <n v="93"/>
    <s v="Đầu phun mực máy in màu Canon IX6770 "/>
    <n v="1"/>
    <s v="PCS"/>
    <s v="IT251100064"/>
    <d v="2025-11-27T00:00:00"/>
    <x v="1"/>
    <x v="12"/>
    <n v="20021"/>
    <s v="Printer head"/>
    <x v="1"/>
    <n v="2000"/>
    <n v="2000"/>
    <s v="NG    Trong quá trình sử dụng_x000a_   在生產過程"/>
  </r>
  <r>
    <n v="94"/>
    <s v="Nguồn máy tính FSP Power Supply AX Series 500ATX"/>
    <n v="1"/>
    <s v="PCS"/>
    <s v="IT251100065"/>
    <d v="2025-11-28T00:00:00"/>
    <x v="1"/>
    <x v="7"/>
    <n v="23169"/>
    <s v="Power "/>
    <x v="0"/>
    <n v="10000"/>
    <n v="10000"/>
    <s v="NG    Trong quá trình sử dụng_x000a_   在生產過程"/>
  </r>
  <r>
    <n v="95"/>
    <s v="Đầu kim máy in LQ310 列印頭"/>
    <n v="1"/>
    <s v="PCS"/>
    <s v="IT251100068"/>
    <d v="2025-11-28T00:00:00"/>
    <x v="1"/>
    <x v="20"/>
    <n v="20021"/>
    <s v="Printer head"/>
    <x v="1"/>
    <n v="6000"/>
    <n v="6000"/>
    <s v="NG    Trong quá trình sử dụng_x000a_   在生產過程"/>
  </r>
  <r>
    <n v="96"/>
    <s v="UPS Cyber Power BU600"/>
    <n v="1"/>
    <s v="PCS"/>
    <s v="IT251100069"/>
    <d v="2025-11-29T00:00:00"/>
    <x v="1"/>
    <x v="2"/>
    <n v="17655"/>
    <s v="UPS"/>
    <x v="2"/>
    <n v="25000"/>
    <n v="25000"/>
    <s v="NG    Trong quá trình sử dụng_x000a_   在生產過程"/>
  </r>
  <r>
    <n v="97"/>
    <s v="Nguồn máy tính GAMEMAX VP-450"/>
    <n v="1"/>
    <s v="PCS"/>
    <s v="IT251100071"/>
    <d v="2025-11-28T00:00:00"/>
    <x v="1"/>
    <x v="1"/>
    <n v="17655"/>
    <s v="Power "/>
    <x v="0"/>
    <n v="10000"/>
    <n v="10000"/>
    <s v="NG    Trong quá trình sử dụng_x000a_   在生產過程"/>
  </r>
  <r>
    <n v="98"/>
    <s v="Màn hình máy tính DELL E2016H"/>
    <n v="1"/>
    <s v="PCS"/>
    <s v="IT251200001"/>
    <d v="2025-12-01T00:00:00"/>
    <x v="2"/>
    <x v="24"/>
    <n v="17655"/>
    <s v="Monitor"/>
    <x v="0"/>
    <n v="20000"/>
    <n v="20000"/>
    <s v="NG    Trong quá trình sử dụng_x000a_   在生產過程"/>
  </r>
  <r>
    <n v="99"/>
    <s v=" Bo mạch nguồn may in canon223dw"/>
    <n v="1"/>
    <s v="PCS"/>
    <s v="IT251200003"/>
    <d v="2025-12-01T00:00:00"/>
    <x v="2"/>
    <x v="25"/>
    <n v="20021"/>
    <s v="Printer components"/>
    <x v="1"/>
    <n v="5000"/>
    <n v="5000"/>
    <s v="NG    Trong quá trình sử dụng_x000a_   在生產過程"/>
  </r>
  <r>
    <n v="100"/>
    <s v="Hộp mực 81A"/>
    <n v="1"/>
    <s v="PCS"/>
    <s v="IT251200006"/>
    <d v="2025-12-05T00:00:00"/>
    <x v="2"/>
    <x v="26"/>
    <n v="20021"/>
    <s v="Printer components"/>
    <x v="1"/>
    <n v="10000"/>
    <n v="10000"/>
    <s v="NG    Trong quá trình sử dụng_x000a_   在生產過程"/>
  </r>
  <r>
    <n v="101"/>
    <s v="Formatter card máy in LASERJET canon2900"/>
    <n v="1"/>
    <s v="PCS"/>
    <s v="IT251200007"/>
    <d v="2025-12-03T00:00:00"/>
    <x v="2"/>
    <x v="15"/>
    <n v="20021"/>
    <s v="Printer components"/>
    <x v="1"/>
    <n v="10000"/>
    <n v="10000"/>
    <s v="NG    Trong quá trình sử dụng_x000a_   在生產過程"/>
  </r>
  <r>
    <n v="102"/>
    <s v="Đầu kim máy in LQ310 列印頭"/>
    <n v="1"/>
    <s v="PCS"/>
    <s v="IT251200010"/>
    <d v="2025-12-03T00:00:00"/>
    <x v="2"/>
    <x v="18"/>
    <n v="20021"/>
    <s v="Printer head"/>
    <x v="1"/>
    <n v="6000"/>
    <n v="6000"/>
    <s v="NG Trong quá trình sửa chữa_x000a_在維修過程_x000a_  "/>
  </r>
  <r>
    <n v="103"/>
    <s v="Đầu kim máy in LQ310 列印頭"/>
    <n v="1"/>
    <s v="PCS"/>
    <s v="IT251200011"/>
    <d v="2025-12-03T00:00:00"/>
    <x v="2"/>
    <x v="2"/>
    <n v="20021"/>
    <s v="Printer head"/>
    <x v="1"/>
    <n v="6000"/>
    <n v="6000"/>
    <s v="NG    Trong quá trình sử dụng_x000a_   在生產過程"/>
  </r>
  <r>
    <n v="104"/>
    <s v="Đầu kim máy in LQ310 列印頭"/>
    <n v="1"/>
    <s v="PCS"/>
    <s v="IT251200014"/>
    <d v="2025-12-03T00:00:00"/>
    <x v="2"/>
    <x v="2"/>
    <n v="20021"/>
    <s v="Printer head"/>
    <x v="1"/>
    <n v="6000"/>
    <n v="6000"/>
    <s v="NG    Trong quá trình sử dụng_x000a_   在生產過程"/>
  </r>
  <r>
    <n v="105"/>
    <s v="Đầu kim máy in LQ310 列印頭"/>
    <n v="1"/>
    <s v="PCS"/>
    <s v="IT251200016"/>
    <d v="2025-12-05T00:00:00"/>
    <x v="2"/>
    <x v="3"/>
    <n v="20021"/>
    <s v="Printer head"/>
    <x v="1"/>
    <n v="6000"/>
    <n v="6000"/>
    <s v="NG    Trong quá trình sử dụng_x000a_   在生產過程"/>
  </r>
  <r>
    <n v="106"/>
    <s v="Nguồn máy tính FSP Power Supply AX Series 500ATX"/>
    <n v="1"/>
    <s v="PCS"/>
    <s v="IT251200018"/>
    <d v="2025-12-05T00:00:00"/>
    <x v="2"/>
    <x v="17"/>
    <n v="20021"/>
    <s v="Power "/>
    <x v="0"/>
    <n v="10000"/>
    <n v="10000"/>
    <s v="NG    Trong quá trình sử dụng_x000a_   在生產過程"/>
  </r>
  <r>
    <n v="107"/>
    <s v="Nguồn máy tính COOLERPLUS ATX 500 "/>
    <n v="1"/>
    <s v="PCS"/>
    <s v="IT251200020"/>
    <d v="2025-12-05T00:00:00"/>
    <x v="2"/>
    <x v="19"/>
    <n v="20021"/>
    <s v="Power "/>
    <x v="0"/>
    <n v="10000"/>
    <n v="10000"/>
    <s v="NG Trong quá trình sửa chữa_x000a_在維修過程_x000a_  "/>
  </r>
  <r>
    <n v="108"/>
    <s v="Đầu kim máy in LQ310 列印頭"/>
    <n v="1"/>
    <s v="PCS"/>
    <s v="IT251200022"/>
    <d v="2025-12-08T00:00:00"/>
    <x v="2"/>
    <x v="25"/>
    <n v="20021"/>
    <s v="Printer head"/>
    <x v="1"/>
    <n v="6000"/>
    <n v="6000"/>
    <s v="NG    Trong quá trình sử dụng_x000a_   在生產過程"/>
  </r>
  <r>
    <n v="109"/>
    <s v="Bo mạch chủ Gigabyte H61M-DS2 主板"/>
    <n v="1"/>
    <s v="PCS"/>
    <s v="IT251200023"/>
    <d v="2025-12-08T00:00:00"/>
    <x v="2"/>
    <x v="25"/>
    <n v="20021"/>
    <s v="Mainboard"/>
    <x v="0"/>
    <n v="30000"/>
    <n v="30000"/>
    <s v="NG    Trong quá trình sử dụng_x000a_   在生產過程"/>
  </r>
  <r>
    <n v="110"/>
    <s v="CPU bộ xử lý Intel® Pentium® G1630 處理器"/>
    <n v="1"/>
    <s v="PCS"/>
    <s v="IT251200023"/>
    <d v="2025-12-08T00:00:00"/>
    <x v="2"/>
    <x v="25"/>
    <n v="20021"/>
    <s v="CPU"/>
    <x v="0"/>
    <n v="15000"/>
    <n v="15000"/>
    <s v="NG    Trong quá trình sử dụng_x000a_   在生產過程"/>
  </r>
  <r>
    <n v="111"/>
    <s v="Bộ nhớ trong ram Kingston 4Gb DDR3 Bus 1600Mhz 内存"/>
    <n v="1"/>
    <s v="PCS"/>
    <s v="IT251200023"/>
    <d v="2025-12-08T00:00:00"/>
    <x v="2"/>
    <x v="25"/>
    <n v="20021"/>
    <s v="RAM"/>
    <x v="0"/>
    <n v="20000"/>
    <n v="20000"/>
    <s v="NG    Trong quá trình sử dụng_x000a_   在生產過程"/>
  </r>
  <r>
    <n v="112"/>
    <s v="Ổ cứng máy tính Western Digital WD 160GB HDD 硬盤"/>
    <n v="1"/>
    <s v="PCS"/>
    <s v="IT251200023"/>
    <d v="2025-12-08T00:00:00"/>
    <x v="2"/>
    <x v="25"/>
    <n v="20021"/>
    <s v="HDD"/>
    <x v="3"/>
    <n v="20000"/>
    <n v="20000"/>
    <s v="NG Trong quá trình sử dụng_x000a_   在生產過程"/>
  </r>
  <r>
    <n v="113"/>
    <s v="Vỏ mặt A laptop HP 240 G8"/>
    <n v="1"/>
    <s v="PCS"/>
    <s v="IT251200024"/>
    <d v="2025-12-11T00:00:00"/>
    <x v="2"/>
    <x v="7"/>
    <n v="20021"/>
    <s v="Printer head"/>
    <x v="1"/>
    <n v="2000"/>
    <n v="2000"/>
    <s v="NG    Trong quá trình sử dụng_x000a_   在生產過程"/>
  </r>
  <r>
    <n v="114"/>
    <s v="Chuột Newmen-USB"/>
    <n v="2"/>
    <s v="PCS"/>
    <s v="IT251200025"/>
    <d v="2025-12-08T00:00:00"/>
    <x v="2"/>
    <x v="19"/>
    <n v="20021"/>
    <s v="Mouse"/>
    <x v="0"/>
    <n v="5000"/>
    <n v="10000"/>
    <s v="NG    Trong quá trình sử dụng_x000a_   在生產過程"/>
  </r>
  <r>
    <n v="115"/>
    <s v="Chuột Fuhlen-USB 鼠標"/>
    <n v="1"/>
    <s v="PCS"/>
    <s v="IT251200025"/>
    <d v="2025-12-08T00:00:00"/>
    <x v="2"/>
    <x v="19"/>
    <n v="20021"/>
    <s v="Mouse"/>
    <x v="0"/>
    <n v="2000"/>
    <n v="2000"/>
    <s v="NG    Trong quá trình sử dụng_x000a_   在生產過程"/>
  </r>
  <r>
    <n v="116"/>
    <s v="Bộ lưu điện Cyber Power BU600E "/>
    <n v="1"/>
    <s v="PCS"/>
    <s v="IT251200025"/>
    <d v="2025-12-08T00:00:00"/>
    <x v="2"/>
    <x v="19"/>
    <n v="20021"/>
    <s v="UPS"/>
    <x v="2"/>
    <n v="25000"/>
    <n v="25000"/>
    <s v="NG    Trong quá trình sử dụng_x000a_   在生產過程"/>
  </r>
  <r>
    <n v="117"/>
    <s v="Mainboard ASUS P8Z68-V LX"/>
    <n v="1"/>
    <s v="PCS"/>
    <s v="IT251200026"/>
    <d v="2025-12-10T00:00:00"/>
    <x v="2"/>
    <x v="13"/>
    <n v="20021"/>
    <s v="Monitor"/>
    <x v="0"/>
    <n v="20000"/>
    <n v="20000"/>
    <s v="NG    Trong quá trình sử dụng_x000a_   在生產過程"/>
  </r>
  <r>
    <n v="118"/>
    <s v="Bộ xử lý Intel® Core™ i7-3770"/>
    <n v="1"/>
    <s v="PCS"/>
    <s v="IT251200026"/>
    <d v="2025-12-10T00:00:00"/>
    <x v="2"/>
    <x v="13"/>
    <n v="20021"/>
    <s v="CPU"/>
    <x v="0"/>
    <n v="15000"/>
    <n v="15000"/>
    <s v="NG    Trong quá trình sử dụng_x000a_   在生產過程"/>
  </r>
  <r>
    <n v="119"/>
    <s v="RAM Kingston 4GB (1x4GB) DDR4 3200Mhz "/>
    <n v="1"/>
    <s v="PCS"/>
    <s v="IT251200026"/>
    <d v="2025-12-10T00:00:00"/>
    <x v="2"/>
    <x v="13"/>
    <n v="20021"/>
    <s v="RAM"/>
    <x v="0"/>
    <n v="20000"/>
    <n v="20000"/>
    <s v="NG Trong quá trình sửa chữa_x000a_在維修過程_x000a_  "/>
  </r>
  <r>
    <n v="120"/>
    <s v="Ổ cứng máy tính Western Digital WD500GB HDD 硬盤"/>
    <n v="1"/>
    <s v="PCS"/>
    <s v="IT251200026"/>
    <d v="2025-12-10T00:00:00"/>
    <x v="2"/>
    <x v="13"/>
    <n v="20021"/>
    <s v="HDD"/>
    <x v="3"/>
    <n v="20000"/>
    <n v="20000"/>
    <s v="NG    Trong quá trình sử dụng_x000a_   在生產過程"/>
  </r>
  <r>
    <n v="121"/>
    <s v="Cụm sấy máy in HP M401"/>
    <n v="1"/>
    <s v="PCS"/>
    <s v="IT251200027"/>
    <d v="2025-12-16T00:00:00"/>
    <x v="2"/>
    <x v="2"/>
    <n v="20021"/>
    <s v="Printer components"/>
    <x v="1"/>
    <n v="10000"/>
    <n v="10000"/>
    <s v="NG    Trong quá trình sử dụng_x000a_   在生產過程"/>
  </r>
  <r>
    <n v="122"/>
    <s v="Đầu kim máy in LQ310 列印頭"/>
    <n v="1"/>
    <s v="PCS"/>
    <s v="IT251200032"/>
    <d v="2025-12-10T00:00:00"/>
    <x v="2"/>
    <x v="2"/>
    <n v="20021"/>
    <s v="Printer head"/>
    <x v="1"/>
    <n v="6000"/>
    <n v="6000"/>
    <s v="NG    Trong quá trình sử dụng_x000a_   在生產過程"/>
  </r>
  <r>
    <n v="123"/>
    <s v="Bo mạch chủ Gigabyte B85M-DS2 主板"/>
    <n v="1"/>
    <s v="PCS"/>
    <s v="IT251200035"/>
    <d v="2025-12-23T00:00:00"/>
    <x v="2"/>
    <x v="13"/>
    <n v="20021"/>
    <s v="Mainboard"/>
    <x v="0"/>
    <n v="30000"/>
    <n v="30000"/>
    <s v="NG    Trong quá trình sử dụng_x000a_   在生產過程"/>
  </r>
  <r>
    <n v="124"/>
    <s v="Bộ vi xử lý Intel CPU Core i7-4770 3.40GHz ,84w _x000a_英特爾 Intel CPU Core i7-4770 3.40GHz ,84w "/>
    <n v="1"/>
    <s v="PCS"/>
    <s v="IT251200035"/>
    <d v="2025-12-23T00:00:00"/>
    <x v="2"/>
    <x v="13"/>
    <n v="20021"/>
    <s v="CPU"/>
    <x v="0"/>
    <n v="15000"/>
    <n v="15000"/>
    <s v="NG    Trong quá trình sử dụng_x000a_   在生產過程"/>
  </r>
  <r>
    <n v="125"/>
    <s v="Bộ nhớ trong ram Kingston 4Gb DDR3 Bus 1600Mhz 内存"/>
    <n v="1"/>
    <s v="PCS"/>
    <s v="IT251200035"/>
    <d v="2025-12-23T00:00:00"/>
    <x v="2"/>
    <x v="13"/>
    <n v="20021"/>
    <s v="RAM"/>
    <x v="0"/>
    <n v="20000"/>
    <n v="20000"/>
    <s v="NG    Trong quá trình sử dụng_x000a_   在生產過程"/>
  </r>
  <r>
    <n v="126"/>
    <s v="Ổ cứng máy tính Western Digital WD 500GB HDD 硬盤"/>
    <n v="1"/>
    <s v="PCS"/>
    <s v="IT251200035"/>
    <d v="2025-12-23T00:00:00"/>
    <x v="2"/>
    <x v="13"/>
    <n v="20021"/>
    <s v="HDD"/>
    <x v="3"/>
    <n v="20000"/>
    <n v="20000"/>
    <s v="NG    Trong quá trình sử dụng_x000a_   在生產過程"/>
  </r>
  <r>
    <n v="127"/>
    <s v="Bo mạch chủ Gigabyte H61M-DS2 主板"/>
    <n v="1"/>
    <s v="PCS"/>
    <s v="IT251200036"/>
    <d v="2025-12-24T00:00:00"/>
    <x v="2"/>
    <x v="10"/>
    <n v="20021"/>
    <s v="Mainboard"/>
    <x v="0"/>
    <n v="30000"/>
    <n v="30000"/>
    <s v="NG    Trong quá trình sử dụng_x000a_   在生產過程"/>
  </r>
  <r>
    <n v="128"/>
    <s v="CPU bộ xử lý Intel® Pentium® G2020 處理器"/>
    <n v="1"/>
    <s v="PCS"/>
    <s v="IT251200036"/>
    <d v="2025-12-24T00:00:00"/>
    <x v="2"/>
    <x v="10"/>
    <n v="20021"/>
    <s v="CPU"/>
    <x v="0"/>
    <n v="15000"/>
    <n v="15000"/>
    <s v="NG Trong quá trình sửa chữa_x000a_在維修過程_x000a_  "/>
  </r>
  <r>
    <n v="129"/>
    <s v="Bộ nhớ trong ram Kingston 4Gb DDR3 Bus 1600Mhz 内存"/>
    <n v="1"/>
    <s v="PCS"/>
    <s v="IT251200036"/>
    <d v="2025-12-24T00:00:00"/>
    <x v="2"/>
    <x v="10"/>
    <n v="20021"/>
    <s v="RAM"/>
    <x v="0"/>
    <n v="20000"/>
    <n v="20000"/>
    <s v="NG    Trong quá trình sử dụng_x000a_   在生產過程"/>
  </r>
  <r>
    <n v="130"/>
    <s v="Ổ cứng máy tính Western Digital WD 500GB HDD 硬盤"/>
    <n v="1"/>
    <s v="PCS"/>
    <s v="IT251200036"/>
    <d v="2025-12-24T00:00:00"/>
    <x v="2"/>
    <x v="25"/>
    <n v="20021"/>
    <s v="HDD"/>
    <x v="3"/>
    <n v="20000"/>
    <n v="20000"/>
    <s v="NG    Trong quá trình sử dụng_x000a_   在生產過程"/>
  </r>
  <r>
    <n v="131"/>
    <s v="Ổ cứng máy tính Western Digital WD 500GB HDD 硬盤"/>
    <n v="1"/>
    <s v="PCS"/>
    <s v="IT251200038"/>
    <d v="2025-12-18T00:00:00"/>
    <x v="2"/>
    <x v="19"/>
    <n v="20021"/>
    <s v="HDD"/>
    <x v="3"/>
    <n v="20000"/>
    <n v="20000"/>
    <s v="NG    Trong quá trình sử dụng_x000a_   在生產過程"/>
  </r>
  <r>
    <n v="132"/>
    <s v="Bàn phím Genius-USB 鍵盤"/>
    <n v="1"/>
    <s v="PCS"/>
    <s v="IT251200043"/>
    <d v="2025-12-19T00:00:00"/>
    <x v="2"/>
    <x v="4"/>
    <n v="17655"/>
    <s v="Keyboard"/>
    <x v="0"/>
    <n v="2000"/>
    <n v="2000"/>
    <s v="NG Trong quá trình sửa chữa_x000a_在維修過程_x000a_  "/>
  </r>
  <r>
    <n v="133"/>
    <s v="Formatter card máy in canon LBP223DW"/>
    <n v="1"/>
    <s v="PCS"/>
    <s v="IT251200047"/>
    <d v="2025-12-18T00:00:00"/>
    <x v="2"/>
    <x v="11"/>
    <n v="20021"/>
    <s v="Printer components"/>
    <x v="1"/>
    <n v="10000"/>
    <n v="10000"/>
    <s v="NG    Trong quá trình sử dụng_x000a_   在生產過程"/>
  </r>
  <r>
    <n v="134"/>
    <s v="Máy in HP M401"/>
    <n v="1"/>
    <s v="PCS"/>
    <s v="IT251200049"/>
    <d v="2025-12-24T00:00:00"/>
    <x v="2"/>
    <x v="2"/>
    <n v="20021"/>
    <s v="Dot matrix printer"/>
    <x v="1"/>
    <n v="30000"/>
    <n v="30000"/>
    <s v="NG    Trong quá trình sử dụng_x000a_   在生產過程"/>
  </r>
  <r>
    <n v="135"/>
    <s v="Bo mạch chủ Gigabyte Mainboard B360M 主板"/>
    <n v="1"/>
    <s v="PCS"/>
    <s v="IT251200050"/>
    <d v="2025-12-22T00:00:00"/>
    <x v="2"/>
    <x v="15"/>
    <n v="15060"/>
    <s v="Mainboard"/>
    <x v="0"/>
    <n v="30000"/>
    <n v="30000"/>
    <s v="NG    Trong quá trình sử dụng_x000a_   在生產過程"/>
  </r>
  <r>
    <n v="136"/>
    <s v="CPU Intel Core i3 9100 (4.20GHz, 6M, 4 Cores 4 Threads)"/>
    <n v="1"/>
    <s v="PCS"/>
    <s v="IT251200050"/>
    <d v="2025-12-22T00:00:00"/>
    <x v="2"/>
    <x v="15"/>
    <n v="15060"/>
    <s v="Mouse"/>
    <x v="0"/>
    <n v="5000"/>
    <n v="5000"/>
    <s v="NG    Trong quá trình sử dụng_x000a_   在生產過程"/>
  </r>
  <r>
    <n v="137"/>
    <s v="Bộ nhớ trong RAM CORSAIR 4GB DDR4 (3200MHz)"/>
    <n v="1"/>
    <s v="PCS"/>
    <s v="IT251200050"/>
    <d v="2025-12-22T00:00:00"/>
    <x v="2"/>
    <x v="15"/>
    <n v="15060"/>
    <s v="RAM"/>
    <x v="0"/>
    <n v="20000"/>
    <n v="20000"/>
    <s v="NG    Trong quá trình sử dụng_x000a_   在生產過程"/>
  </r>
  <r>
    <n v="138"/>
    <s v="Ổ cứng máy tính Western Digital WD500GB HDD 硬盤"/>
    <n v="1"/>
    <s v="PCS"/>
    <s v="IT251200050"/>
    <d v="2025-12-22T00:00:00"/>
    <x v="2"/>
    <x v="15"/>
    <n v="15060"/>
    <s v="HDD"/>
    <x v="3"/>
    <n v="20000"/>
    <n v="20000"/>
    <s v="NG    Trong quá trình sử dụng_x000a_   在生產過程"/>
  </r>
  <r>
    <n v="139"/>
    <s v="Màn hình máy tính LG FLATRON (L1742S)"/>
    <n v="1"/>
    <s v="PCS"/>
    <s v="IT251200051"/>
    <d v="2025-12-20T00:00:00"/>
    <x v="2"/>
    <x v="22"/>
    <n v="20021"/>
    <s v="Monitor"/>
    <x v="0"/>
    <n v="20000"/>
    <n v="20000"/>
    <s v="NG    Trong quá trình sử dụng_x000a_   在生產過程"/>
  </r>
  <r>
    <n v="140"/>
    <s v="Formatter card máy in LASERJET canon2900"/>
    <n v="1"/>
    <s v="PCS"/>
    <s v="IT251200052"/>
    <d v="2025-12-20T00:00:00"/>
    <x v="2"/>
    <x v="2"/>
    <n v="20021"/>
    <s v="Printer components"/>
    <x v="1"/>
    <n v="10000"/>
    <n v="10000"/>
    <s v="NG Trong quá trình sửa chữa_x000a_在維修過程_x000a_  "/>
  </r>
  <r>
    <n v="141"/>
    <s v="Bộ vỏ laptop Lenovo Thinkpad E590"/>
    <n v="1"/>
    <s v="PCS"/>
    <s v="IT251200054"/>
    <d v="2025-12-22T00:00:00"/>
    <x v="2"/>
    <x v="6"/>
    <n v="20021"/>
    <s v="Vỏ"/>
    <x v="3"/>
    <n v="5000"/>
    <n v="5000"/>
    <s v="NG    Trong quá trình sử dụng_x000a_   在生產過程"/>
  </r>
  <r>
    <n v="142"/>
    <s v="Đầu kim máy in LQ310 列印頭"/>
    <n v="1"/>
    <s v="PCS"/>
    <s v="IT251200056"/>
    <d v="2025-12-20T00:00:00"/>
    <x v="2"/>
    <x v="2"/>
    <n v="20021"/>
    <s v="Printer head"/>
    <x v="1"/>
    <n v="6000"/>
    <n v="6000"/>
    <s v="NG    Trong quá trình sử dụng_x000a_   在生產過程"/>
  </r>
  <r>
    <n v="143"/>
    <s v="Đầu kim máy in LQ310 列印頭"/>
    <n v="1"/>
    <s v="PCS"/>
    <s v="IT251200066"/>
    <d v="2025-12-30T00:00:00"/>
    <x v="2"/>
    <x v="10"/>
    <n v="17655"/>
    <s v="Printer head"/>
    <x v="1"/>
    <n v="6000"/>
    <n v="6000"/>
    <s v="NG    Trong quá trình sử dụng_x000a_   在生產過程"/>
  </r>
  <r>
    <n v="144"/>
    <s v="Nguồn máy tính FSP Power Supply AX Series 500ATX"/>
    <n v="1"/>
    <s v="PCS"/>
    <s v="IT251200067"/>
    <d v="2025-12-26T00:00:00"/>
    <x v="2"/>
    <x v="1"/>
    <n v="20021"/>
    <s v="Power "/>
    <x v="0"/>
    <n v="10000"/>
    <n v="10000"/>
    <s v="NG    Trong quá trình sử dụng_x000a_   在生產過程"/>
  </r>
  <r>
    <n v="145"/>
    <s v="PIN LAPTOP Asus Gaming ROG Strix G531 11.4V 48Wh"/>
    <n v="1"/>
    <s v="PCS"/>
    <s v="IT251200069"/>
    <d v="2025-12-29T00:00:00"/>
    <x v="2"/>
    <x v="19"/>
    <n v="17655"/>
    <s v=" Battery"/>
    <x v="3"/>
    <n v="5000"/>
    <n v="5000"/>
    <s v="NG    Trong quá trình sử dụng_x000a_   在生產過程"/>
  </r>
  <r>
    <n v="146"/>
    <s v="Chuột GENIUS-USB"/>
    <n v="1"/>
    <s v="PCS"/>
    <s v="IT251200071"/>
    <d v="2025-12-30T00:00:00"/>
    <x v="2"/>
    <x v="27"/>
    <n v="20021"/>
    <s v="HDD"/>
    <x v="0"/>
    <n v="20000"/>
    <n v="20000"/>
    <s v="NG    Trong quá trình sử dụng_x000a_   在生產過程"/>
  </r>
  <r>
    <n v="147"/>
    <s v="Hộp Cartridge máy in 57A_x000a_57A 打印機 Cartridge 盒"/>
    <n v="10"/>
    <s v="hộp 盒"/>
    <s v="Tái sử dụng nhiều lần_x000a_再使用多次"/>
    <m/>
    <x v="3"/>
    <x v="28"/>
    <n v="20021"/>
    <s v="Printer components"/>
    <x v="1"/>
    <n v="10000"/>
    <n v="100000"/>
    <s v="NG    Trong quá trình sử dụng_x000a_   在生產過程"/>
  </r>
  <r>
    <n v="148"/>
    <s v="Hộp Cartridge máy in 80A_x000a_80A 打印機 Cartridge 盒"/>
    <n v="10"/>
    <s v="hộp 盒"/>
    <s v="Tái sử dụng nhiều lần_x000a_再使用多次"/>
    <m/>
    <x v="3"/>
    <x v="28"/>
    <n v="20021"/>
    <s v="Printer components"/>
    <x v="1"/>
    <n v="10000"/>
    <n v="100000"/>
    <s v="NG    Trong quá trình sử dụng_x000a_   在生產過程"/>
  </r>
  <r>
    <n v="149"/>
    <s v="Hộp Cartridge máy in 12A_x000a_12A 打印機 Cartridge 盒"/>
    <n v="10"/>
    <s v="hộp 盒"/>
    <s v="Tái sử dụng nhiều lần_x000a_再使用多次"/>
    <m/>
    <x v="3"/>
    <x v="28"/>
    <n v="20021"/>
    <s v="Printer components"/>
    <x v="1"/>
    <n v="10000"/>
    <n v="100000"/>
    <s v="NG    Trong quá trình sử dụng_x000a_   在生產過程"/>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F6579-CD33-45ED-982E-5414CA9B59E2}"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14">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10"/>
  </rowFields>
  <rowItems count="5">
    <i>
      <x v="1"/>
    </i>
    <i>
      <x/>
    </i>
    <i>
      <x v="3"/>
    </i>
    <i>
      <x v="2"/>
    </i>
    <i t="grand">
      <x/>
    </i>
  </rowItems>
  <colItems count="1">
    <i/>
  </colItems>
  <dataFields count="1">
    <dataField name="Sum of Thành tiền_x000a_總金額" fld="12" baseField="0" baseItem="0" numFmtId="3"/>
  </dataFields>
  <formats count="12">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22DED-BC9D-4056-A269-201E662E346E}"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1:B75" firstHeaderRow="1" firstDataRow="1" firstDataCol="1" rowPageCount="1" colPageCount="1"/>
  <pivotFields count="14">
    <pivotField showAll="0"/>
    <pivotField showAll="0"/>
    <pivotField showAll="0"/>
    <pivotField showAll="0"/>
    <pivotField showAll="0"/>
    <pivotField showAll="0"/>
    <pivotField showAll="0"/>
    <pivotField axis="axisRow" showAll="0" sortType="descending">
      <items count="30">
        <item x="14"/>
        <item x="25"/>
        <item x="18"/>
        <item x="15"/>
        <item x="21"/>
        <item x="10"/>
        <item x="13"/>
        <item x="16"/>
        <item x="12"/>
        <item x="20"/>
        <item x="19"/>
        <item x="3"/>
        <item x="6"/>
        <item x="17"/>
        <item x="24"/>
        <item x="22"/>
        <item x="28"/>
        <item x="9"/>
        <item x="7"/>
        <item x="2"/>
        <item x="1"/>
        <item x="23"/>
        <item x="0"/>
        <item x="4"/>
        <item x="5"/>
        <item x="8"/>
        <item x="11"/>
        <item x="26"/>
        <item x="27"/>
        <item t="default"/>
      </items>
      <autoSortScope>
        <pivotArea dataOnly="0" outline="0" fieldPosition="0">
          <references count="1">
            <reference field="4294967294" count="1" selected="0">
              <x v="0"/>
            </reference>
          </references>
        </pivotArea>
      </autoSortScope>
    </pivotField>
    <pivotField showAll="0"/>
    <pivotField showAll="0"/>
    <pivotField axis="axisPage"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7"/>
  </rowFields>
  <rowItems count="24">
    <i>
      <x v="18"/>
    </i>
    <i>
      <x v="6"/>
    </i>
    <i>
      <x v="20"/>
    </i>
    <i>
      <x v="24"/>
    </i>
    <i>
      <x v="1"/>
    </i>
    <i>
      <x v="5"/>
    </i>
    <i>
      <x/>
    </i>
    <i>
      <x v="3"/>
    </i>
    <i>
      <x v="19"/>
    </i>
    <i>
      <x v="11"/>
    </i>
    <i>
      <x v="17"/>
    </i>
    <i>
      <x v="7"/>
    </i>
    <i>
      <x v="22"/>
    </i>
    <i>
      <x v="10"/>
    </i>
    <i>
      <x v="25"/>
    </i>
    <i>
      <x v="15"/>
    </i>
    <i>
      <x v="28"/>
    </i>
    <i>
      <x v="14"/>
    </i>
    <i>
      <x v="21"/>
    </i>
    <i>
      <x v="13"/>
    </i>
    <i>
      <x v="23"/>
    </i>
    <i>
      <x v="2"/>
    </i>
    <i>
      <x v="8"/>
    </i>
    <i t="grand">
      <x/>
    </i>
  </rowItems>
  <colItems count="1">
    <i/>
  </colItems>
  <pageFields count="1">
    <pageField fld="10" item="1" hier="-1"/>
  </pageFields>
  <dataFields count="1">
    <dataField name="Sum of Thành tiền_x000a_總金額" fld="12" baseField="0" baseItem="0" numFmtId="3"/>
  </dataFields>
  <formats count="12">
    <format dxfId="30">
      <pivotArea type="all" dataOnly="0" outline="0" fieldPosition="0"/>
    </format>
    <format dxfId="29">
      <pivotArea outline="0" collapsedLevelsAreSubtotals="1" fieldPosition="0"/>
    </format>
    <format dxfId="28">
      <pivotArea field="10" type="button" dataOnly="0" labelOnly="1" outline="0" axis="axisPage" fieldPosition="0"/>
    </format>
    <format dxfId="27">
      <pivotArea dataOnly="0" labelOnly="1" fieldPosition="0">
        <references count="1">
          <reference field="10"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10" type="button" dataOnly="0" labelOnly="1" outline="0" axis="axisPage" fieldPosition="0"/>
    </format>
    <format dxfId="21">
      <pivotArea dataOnly="0" labelOnly="1" fieldPosition="0">
        <references count="1">
          <reference field="10" count="0"/>
        </references>
      </pivotArea>
    </format>
    <format dxfId="20">
      <pivotArea dataOnly="0" labelOnly="1" grandRow="1" outline="0" fieldPosition="0"/>
    </format>
    <format dxfId="19">
      <pivotArea dataOnly="0" labelOnly="1" outline="0" axis="axisValues" fieldPosition="0"/>
    </format>
  </formats>
  <chartFormats count="17">
    <chartFormat chart="0" format="176" series="1">
      <pivotArea type="data" outline="0" fieldPosition="0">
        <references count="1">
          <reference field="4294967294" count="1" selected="0">
            <x v="0"/>
          </reference>
        </references>
      </pivotArea>
    </chartFormat>
    <chartFormat chart="0" format="177">
      <pivotArea type="data" outline="0" fieldPosition="0">
        <references count="2">
          <reference field="4294967294" count="1" selected="0">
            <x v="0"/>
          </reference>
          <reference field="7" count="1" selected="0">
            <x v="6"/>
          </reference>
        </references>
      </pivotArea>
    </chartFormat>
    <chartFormat chart="0" format="178">
      <pivotArea type="data" outline="0" fieldPosition="0">
        <references count="2">
          <reference field="4294967294" count="1" selected="0">
            <x v="0"/>
          </reference>
          <reference field="7" count="1" selected="0">
            <x v="1"/>
          </reference>
        </references>
      </pivotArea>
    </chartFormat>
    <chartFormat chart="0" format="179">
      <pivotArea type="data" outline="0" fieldPosition="0">
        <references count="2">
          <reference field="4294967294" count="1" selected="0">
            <x v="0"/>
          </reference>
          <reference field="7" count="1" selected="0">
            <x v="5"/>
          </reference>
        </references>
      </pivotArea>
    </chartFormat>
    <chartFormat chart="0" format="180">
      <pivotArea type="data" outline="0" fieldPosition="0">
        <references count="2">
          <reference field="4294967294" count="1" selected="0">
            <x v="0"/>
          </reference>
          <reference field="7" count="1" selected="0">
            <x v="3"/>
          </reference>
        </references>
      </pivotArea>
    </chartFormat>
    <chartFormat chart="0" format="181">
      <pivotArea type="data" outline="0" fieldPosition="0">
        <references count="2">
          <reference field="4294967294" count="1" selected="0">
            <x v="0"/>
          </reference>
          <reference field="7" count="1" selected="0">
            <x v="19"/>
          </reference>
        </references>
      </pivotArea>
    </chartFormat>
    <chartFormat chart="0" format="182">
      <pivotArea type="data" outline="0" fieldPosition="0">
        <references count="2">
          <reference field="4294967294" count="1" selected="0">
            <x v="0"/>
          </reference>
          <reference field="7" count="1" selected="0">
            <x v="11"/>
          </reference>
        </references>
      </pivotArea>
    </chartFormat>
    <chartFormat chart="0" format="183">
      <pivotArea type="data" outline="0" fieldPosition="0">
        <references count="2">
          <reference field="4294967294" count="1" selected="0">
            <x v="0"/>
          </reference>
          <reference field="7" count="1" selected="0">
            <x v="7"/>
          </reference>
        </references>
      </pivotArea>
    </chartFormat>
    <chartFormat chart="0" format="184">
      <pivotArea type="data" outline="0" fieldPosition="0">
        <references count="2">
          <reference field="4294967294" count="1" selected="0">
            <x v="0"/>
          </reference>
          <reference field="7" count="1" selected="0">
            <x v="22"/>
          </reference>
        </references>
      </pivotArea>
    </chartFormat>
    <chartFormat chart="0" format="185">
      <pivotArea type="data" outline="0" fieldPosition="0">
        <references count="2">
          <reference field="4294967294" count="1" selected="0">
            <x v="0"/>
          </reference>
          <reference field="7" count="1" selected="0">
            <x v="25"/>
          </reference>
        </references>
      </pivotArea>
    </chartFormat>
    <chartFormat chart="0" format="186">
      <pivotArea type="data" outline="0" fieldPosition="0">
        <references count="2">
          <reference field="4294967294" count="1" selected="0">
            <x v="0"/>
          </reference>
          <reference field="7" count="1" selected="0">
            <x v="28"/>
          </reference>
        </references>
      </pivotArea>
    </chartFormat>
    <chartFormat chart="0" format="187">
      <pivotArea type="data" outline="0" fieldPosition="0">
        <references count="2">
          <reference field="4294967294" count="1" selected="0">
            <x v="0"/>
          </reference>
          <reference field="7" count="1" selected="0">
            <x v="14"/>
          </reference>
        </references>
      </pivotArea>
    </chartFormat>
    <chartFormat chart="0" format="188">
      <pivotArea type="data" outline="0" fieldPosition="0">
        <references count="2">
          <reference field="4294967294" count="1" selected="0">
            <x v="0"/>
          </reference>
          <reference field="7" count="1" selected="0">
            <x v="21"/>
          </reference>
        </references>
      </pivotArea>
    </chartFormat>
    <chartFormat chart="0" format="189">
      <pivotArea type="data" outline="0" fieldPosition="0">
        <references count="2">
          <reference field="4294967294" count="1" selected="0">
            <x v="0"/>
          </reference>
          <reference field="7" count="1" selected="0">
            <x v="13"/>
          </reference>
        </references>
      </pivotArea>
    </chartFormat>
    <chartFormat chart="0" format="190">
      <pivotArea type="data" outline="0" fieldPosition="0">
        <references count="2">
          <reference field="4294967294" count="1" selected="0">
            <x v="0"/>
          </reference>
          <reference field="7" count="1" selected="0">
            <x v="23"/>
          </reference>
        </references>
      </pivotArea>
    </chartFormat>
    <chartFormat chart="0" format="191">
      <pivotArea type="data" outline="0" fieldPosition="0">
        <references count="2">
          <reference field="4294967294" count="1" selected="0">
            <x v="0"/>
          </reference>
          <reference field="7" count="1" selected="0">
            <x v="2"/>
          </reference>
        </references>
      </pivotArea>
    </chartFormat>
    <chartFormat chart="0" format="192">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C559B-F653-4A25-ABFD-943086EFBA9A}"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1:B16"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10"/>
  </rowFields>
  <rowItems count="5">
    <i>
      <x v="1"/>
    </i>
    <i>
      <x/>
    </i>
    <i>
      <x v="3"/>
    </i>
    <i>
      <x v="2"/>
    </i>
    <i t="grand">
      <x/>
    </i>
  </rowItems>
  <colItems count="1">
    <i/>
  </colItems>
  <dataFields count="1">
    <dataField name="Sum of Thành tiền_x000a_總金額" fld="12" showDataAs="percentOfCol" baseField="0" baseItem="0" numFmtId="10"/>
  </dataFields>
  <formats count="13">
    <format dxfId="43">
      <pivotArea type="all" dataOnly="0" outline="0" fieldPosition="0"/>
    </format>
    <format dxfId="42">
      <pivotArea outline="0" collapsedLevelsAreSubtotals="1" fieldPosition="0"/>
    </format>
    <format dxfId="41">
      <pivotArea field="10" type="button" dataOnly="0" labelOnly="1" outline="0" axis="axisRow" fieldPosition="0"/>
    </format>
    <format dxfId="40">
      <pivotArea dataOnly="0" labelOnly="1" fieldPosition="0">
        <references count="1">
          <reference field="10"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0" type="button" dataOnly="0" labelOnly="1" outline="0" axis="axisRow" fieldPosition="0"/>
    </format>
    <format dxfId="34">
      <pivotArea dataOnly="0" labelOnly="1" fieldPosition="0">
        <references count="1">
          <reference field="10" count="0"/>
        </references>
      </pivotArea>
    </format>
    <format dxfId="33">
      <pivotArea dataOnly="0" labelOnly="1" grandRow="1" outline="0" fieldPosition="0"/>
    </format>
    <format dxfId="32">
      <pivotArea dataOnly="0" labelOnly="1" outline="0" axis="axisValues" fieldPosition="0"/>
    </format>
    <format dxfId="31">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C8726-ADB1-4491-B92E-D52166771B4F}"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0:B45" firstHeaderRow="1" firstDataRow="1" firstDataCol="1" rowPageCount="1" colPageCount="1"/>
  <pivotFields count="14">
    <pivotField showAll="0"/>
    <pivotField showAll="0"/>
    <pivotField showAll="0"/>
    <pivotField showAll="0"/>
    <pivotField showAll="0"/>
    <pivotField showAll="0"/>
    <pivotField showAll="0"/>
    <pivotField axis="axisRow" showAll="0" sortType="descending">
      <items count="30">
        <item x="14"/>
        <item x="25"/>
        <item x="18"/>
        <item x="15"/>
        <item x="21"/>
        <item x="10"/>
        <item x="13"/>
        <item x="16"/>
        <item x="12"/>
        <item x="20"/>
        <item x="19"/>
        <item x="3"/>
        <item x="6"/>
        <item x="17"/>
        <item x="24"/>
        <item x="22"/>
        <item x="28"/>
        <item x="9"/>
        <item x="7"/>
        <item x="2"/>
        <item x="1"/>
        <item x="23"/>
        <item x="0"/>
        <item x="4"/>
        <item x="5"/>
        <item x="8"/>
        <item x="11"/>
        <item x="26"/>
        <item x="27"/>
        <item t="default"/>
      </items>
      <autoSortScope>
        <pivotArea dataOnly="0" outline="0" fieldPosition="0">
          <references count="1">
            <reference field="4294967294" count="1" selected="0">
              <x v="0"/>
            </reference>
          </references>
        </pivotArea>
      </autoSortScope>
    </pivotField>
    <pivotField showAll="0"/>
    <pivotField showAll="0"/>
    <pivotField axis="axisPage"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7"/>
  </rowFields>
  <rowItems count="15">
    <i>
      <x v="20"/>
    </i>
    <i>
      <x v="10"/>
    </i>
    <i>
      <x v="18"/>
    </i>
    <i>
      <x v="1"/>
    </i>
    <i>
      <x v="6"/>
    </i>
    <i>
      <x v="12"/>
    </i>
    <i>
      <x/>
    </i>
    <i>
      <x v="3"/>
    </i>
    <i>
      <x v="4"/>
    </i>
    <i>
      <x v="11"/>
    </i>
    <i>
      <x v="7"/>
    </i>
    <i>
      <x v="2"/>
    </i>
    <i>
      <x v="24"/>
    </i>
    <i>
      <x v="19"/>
    </i>
    <i t="grand">
      <x/>
    </i>
  </rowItems>
  <colItems count="1">
    <i/>
  </colItems>
  <pageFields count="1">
    <pageField fld="10" item="3" hier="-1"/>
  </pageFields>
  <dataFields count="1">
    <dataField name="Sum of Thành tiền_x000a_總金額" fld="12" baseField="0" baseItem="0" numFmtId="3"/>
  </dataFields>
  <formats count="12">
    <format dxfId="55">
      <pivotArea type="all" dataOnly="0" outline="0" fieldPosition="0"/>
    </format>
    <format dxfId="54">
      <pivotArea outline="0" collapsedLevelsAreSubtotals="1" fieldPosition="0"/>
    </format>
    <format dxfId="53">
      <pivotArea field="10" type="button" dataOnly="0" labelOnly="1" outline="0" axis="axisPage" fieldPosition="0"/>
    </format>
    <format dxfId="52">
      <pivotArea dataOnly="0" labelOnly="1" fieldPosition="0">
        <references count="1">
          <reference field="10"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0" type="button" dataOnly="0" labelOnly="1" outline="0" axis="axisPage" fieldPosition="0"/>
    </format>
    <format dxfId="46">
      <pivotArea dataOnly="0" labelOnly="1" fieldPosition="0">
        <references count="1">
          <reference field="10" count="0"/>
        </references>
      </pivotArea>
    </format>
    <format dxfId="45">
      <pivotArea dataOnly="0" labelOnly="1" grandRow="1" outline="0" fieldPosition="0"/>
    </format>
    <format dxfId="44">
      <pivotArea dataOnly="0" labelOnly="1" outline="0" axis="axisValues" fieldPosition="0"/>
    </format>
  </formats>
  <chartFormats count="7">
    <chartFormat chart="0" format="1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7" count="1" selected="0">
            <x v="2"/>
          </reference>
        </references>
      </pivotArea>
    </chartFormat>
    <chartFormat chart="1" format="8">
      <pivotArea type="data" outline="0" fieldPosition="0">
        <references count="2">
          <reference field="4294967294" count="1" selected="0">
            <x v="0"/>
          </reference>
          <reference field="7" count="1" selected="0">
            <x v="11"/>
          </reference>
        </references>
      </pivotArea>
    </chartFormat>
    <chartFormat chart="1" format="9">
      <pivotArea type="data" outline="0" fieldPosition="0">
        <references count="2">
          <reference field="4294967294" count="1" selected="0">
            <x v="0"/>
          </reference>
          <reference field="7" count="1" selected="0">
            <x v="3"/>
          </reference>
        </references>
      </pivotArea>
    </chartFormat>
    <chartFormat chart="1" format="10">
      <pivotArea type="data" outline="0" fieldPosition="0">
        <references count="2">
          <reference field="4294967294" count="1" selected="0">
            <x v="0"/>
          </reference>
          <reference field="7" count="1" selected="0">
            <x v="12"/>
          </reference>
        </references>
      </pivotArea>
    </chartFormat>
    <chartFormat chart="1" format="1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E8458A-E6B6-4418-A14B-34C89C72A0C7}" name="PivotTable2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1:B98" firstHeaderRow="1" firstDataRow="1" firstDataCol="1" rowPageCount="1" colPageCount="1"/>
  <pivotFields count="14">
    <pivotField showAll="0"/>
    <pivotField showAll="0"/>
    <pivotField showAll="0"/>
    <pivotField showAll="0"/>
    <pivotField showAll="0"/>
    <pivotField showAll="0"/>
    <pivotField showAll="0"/>
    <pivotField axis="axisRow" showAll="0" sortType="descending">
      <items count="30">
        <item x="14"/>
        <item x="25"/>
        <item x="18"/>
        <item x="15"/>
        <item x="21"/>
        <item x="10"/>
        <item x="13"/>
        <item x="16"/>
        <item x="12"/>
        <item x="20"/>
        <item x="19"/>
        <item x="3"/>
        <item x="6"/>
        <item x="17"/>
        <item x="24"/>
        <item x="22"/>
        <item x="28"/>
        <item x="9"/>
        <item x="7"/>
        <item x="2"/>
        <item x="1"/>
        <item x="23"/>
        <item x="0"/>
        <item x="4"/>
        <item x="5"/>
        <item x="8"/>
        <item x="11"/>
        <item x="26"/>
        <item x="27"/>
        <item t="default"/>
      </items>
      <autoSortScope>
        <pivotArea dataOnly="0" outline="0" fieldPosition="0">
          <references count="1">
            <reference field="4294967294" count="1" selected="0">
              <x v="0"/>
            </reference>
          </references>
        </pivotArea>
      </autoSortScope>
    </pivotField>
    <pivotField showAll="0"/>
    <pivotField showAll="0"/>
    <pivotField axis="axisPage"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7"/>
  </rowFields>
  <rowItems count="17">
    <i>
      <x v="16"/>
    </i>
    <i>
      <x v="19"/>
    </i>
    <i>
      <x v="8"/>
    </i>
    <i>
      <x v="7"/>
    </i>
    <i>
      <x v="5"/>
    </i>
    <i>
      <x v="18"/>
    </i>
    <i>
      <x v="21"/>
    </i>
    <i>
      <x v="9"/>
    </i>
    <i>
      <x v="11"/>
    </i>
    <i>
      <x v="3"/>
    </i>
    <i>
      <x v="1"/>
    </i>
    <i>
      <x v="6"/>
    </i>
    <i>
      <x v="27"/>
    </i>
    <i>
      <x v="26"/>
    </i>
    <i>
      <x v="15"/>
    </i>
    <i>
      <x v="2"/>
    </i>
    <i t="grand">
      <x/>
    </i>
  </rowItems>
  <colItems count="1">
    <i/>
  </colItems>
  <pageFields count="1">
    <pageField fld="10" item="0" hier="-1"/>
  </pageFields>
  <dataFields count="1">
    <dataField name="Sum of Thành tiền_x000a_總金額" fld="12" baseField="0" baseItem="0" numFmtId="3"/>
  </dataFields>
  <formats count="12">
    <format dxfId="67">
      <pivotArea type="all" dataOnly="0" outline="0" fieldPosition="0"/>
    </format>
    <format dxfId="66">
      <pivotArea outline="0" collapsedLevelsAreSubtotals="1" fieldPosition="0"/>
    </format>
    <format dxfId="65">
      <pivotArea field="10" type="button" dataOnly="0" labelOnly="1" outline="0" axis="axisPage" fieldPosition="0"/>
    </format>
    <format dxfId="64">
      <pivotArea dataOnly="0" labelOnly="1" fieldPosition="0">
        <references count="1">
          <reference field="1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10" type="button" dataOnly="0" labelOnly="1" outline="0" axis="axisPage" fieldPosition="0"/>
    </format>
    <format dxfId="58">
      <pivotArea dataOnly="0" labelOnly="1" fieldPosition="0">
        <references count="1">
          <reference field="10" count="0"/>
        </references>
      </pivotArea>
    </format>
    <format dxfId="57">
      <pivotArea dataOnly="0" labelOnly="1" grandRow="1" outline="0" fieldPosition="0"/>
    </format>
    <format dxfId="56">
      <pivotArea dataOnly="0" labelOnly="1" outline="0" axis="axisValues" fieldPosition="0"/>
    </format>
  </formats>
  <chartFormats count="9">
    <chartFormat chart="0" format="36" series="1">
      <pivotArea type="data" outline="0" fieldPosition="0">
        <references count="1">
          <reference field="4294967294" count="1" selected="0">
            <x v="0"/>
          </reference>
        </references>
      </pivotArea>
    </chartFormat>
    <chartFormat chart="0" format="37">
      <pivotArea type="data" outline="0" fieldPosition="0">
        <references count="2">
          <reference field="4294967294" count="1" selected="0">
            <x v="0"/>
          </reference>
          <reference field="7" count="1" selected="0">
            <x v="8"/>
          </reference>
        </references>
      </pivotArea>
    </chartFormat>
    <chartFormat chart="0" format="38">
      <pivotArea type="data" outline="0" fieldPosition="0">
        <references count="2">
          <reference field="4294967294" count="1" selected="0">
            <x v="0"/>
          </reference>
          <reference field="7" count="1" selected="0">
            <x v="5"/>
          </reference>
        </references>
      </pivotArea>
    </chartFormat>
    <chartFormat chart="0" format="39">
      <pivotArea type="data" outline="0" fieldPosition="0">
        <references count="2">
          <reference field="4294967294" count="1" selected="0">
            <x v="0"/>
          </reference>
          <reference field="7" count="1" selected="0">
            <x v="21"/>
          </reference>
        </references>
      </pivotArea>
    </chartFormat>
    <chartFormat chart="0" format="40">
      <pivotArea type="data" outline="0" fieldPosition="0">
        <references count="2">
          <reference field="4294967294" count="1" selected="0">
            <x v="0"/>
          </reference>
          <reference field="7" count="1" selected="0">
            <x v="26"/>
          </reference>
        </references>
      </pivotArea>
    </chartFormat>
    <chartFormat chart="0" format="41">
      <pivotArea type="data" outline="0" fieldPosition="0">
        <references count="2">
          <reference field="4294967294" count="1" selected="0">
            <x v="0"/>
          </reference>
          <reference field="7" count="1" selected="0">
            <x v="27"/>
          </reference>
        </references>
      </pivotArea>
    </chartFormat>
    <chartFormat chart="0" format="42">
      <pivotArea type="data" outline="0" fieldPosition="0">
        <references count="2">
          <reference field="4294967294" count="1" selected="0">
            <x v="0"/>
          </reference>
          <reference field="7" count="1" selected="0">
            <x v="1"/>
          </reference>
        </references>
      </pivotArea>
    </chartFormat>
    <chartFormat chart="0" format="43">
      <pivotArea type="data" outline="0" fieldPosition="0">
        <references count="2">
          <reference field="4294967294" count="1" selected="0">
            <x v="0"/>
          </reference>
          <reference field="7" count="1" selected="0">
            <x v="11"/>
          </reference>
        </references>
      </pivotArea>
    </chartFormat>
    <chartFormat chart="0" format="4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8C3932-5C86-48B1-9964-5BF7E1E4D58B}"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B24"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10"/>
  </rowFields>
  <rowItems count="5">
    <i>
      <x v="1"/>
    </i>
    <i>
      <x/>
    </i>
    <i>
      <x v="3"/>
    </i>
    <i>
      <x v="2"/>
    </i>
    <i t="grand">
      <x/>
    </i>
  </rowItems>
  <colItems count="1">
    <i/>
  </colItems>
  <dataFields count="1">
    <dataField name="Sum of Thành tiền_x000a_總金額" fld="12" baseField="0" baseItem="0" numFmtId="3"/>
  </dataFields>
  <formats count="12">
    <format dxfId="79">
      <pivotArea type="all" dataOnly="0" outline="0" fieldPosition="0"/>
    </format>
    <format dxfId="78">
      <pivotArea outline="0" collapsedLevelsAreSubtotals="1" fieldPosition="0"/>
    </format>
    <format dxfId="77">
      <pivotArea field="10" type="button" dataOnly="0" labelOnly="1" outline="0" axis="axisRow" fieldPosition="0"/>
    </format>
    <format dxfId="76">
      <pivotArea dataOnly="0" labelOnly="1" fieldPosition="0">
        <references count="1">
          <reference field="10"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0" type="button" dataOnly="0" labelOnly="1" outline="0" axis="axisRow" fieldPosition="0"/>
    </format>
    <format dxfId="70">
      <pivotArea dataOnly="0" labelOnly="1" fieldPosition="0">
        <references count="1">
          <reference field="10" count="0"/>
        </references>
      </pivotArea>
    </format>
    <format dxfId="69">
      <pivotArea dataOnly="0" labelOnly="1" grandRow="1" outline="0"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02080B-E4F7-447D-B9F1-620620EEF6DB}" name="PivotTable2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1:B151" firstHeaderRow="1" firstDataRow="1" firstDataCol="1" rowPageCount="1" colPageCount="1"/>
  <pivotFields count="14">
    <pivotField showAll="0"/>
    <pivotField showAll="0"/>
    <pivotField showAll="0"/>
    <pivotField showAll="0"/>
    <pivotField showAll="0"/>
    <pivotField showAll="0"/>
    <pivotField showAll="0">
      <items count="5">
        <item x="0"/>
        <item x="1"/>
        <item x="2"/>
        <item x="3"/>
        <item t="default"/>
      </items>
    </pivotField>
    <pivotField axis="axisRow" showAll="0" sortType="descending">
      <items count="30">
        <item x="14"/>
        <item x="25"/>
        <item x="18"/>
        <item x="15"/>
        <item x="21"/>
        <item x="10"/>
        <item x="13"/>
        <item x="16"/>
        <item x="12"/>
        <item x="20"/>
        <item x="19"/>
        <item x="3"/>
        <item x="6"/>
        <item x="17"/>
        <item x="24"/>
        <item x="22"/>
        <item x="28"/>
        <item x="9"/>
        <item x="7"/>
        <item x="2"/>
        <item x="1"/>
        <item x="23"/>
        <item x="0"/>
        <item x="4"/>
        <item x="5"/>
        <item x="8"/>
        <item x="11"/>
        <item x="26"/>
        <item x="27"/>
        <item t="default"/>
      </items>
      <autoSortScope>
        <pivotArea dataOnly="0" outline="0" fieldPosition="0">
          <references count="1">
            <reference field="4294967294" count="1" selected="0">
              <x v="0"/>
            </reference>
          </references>
        </pivotArea>
      </autoSortScope>
    </pivotField>
    <pivotField showAll="0"/>
    <pivotField showAll="0"/>
    <pivotField axis="axisPage"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7"/>
  </rowFields>
  <rowItems count="30">
    <i>
      <x v="20"/>
    </i>
    <i>
      <x v="16"/>
    </i>
    <i>
      <x v="19"/>
    </i>
    <i>
      <x v="18"/>
    </i>
    <i>
      <x v="6"/>
    </i>
    <i>
      <x v="10"/>
    </i>
    <i>
      <x v="1"/>
    </i>
    <i>
      <x v="5"/>
    </i>
    <i>
      <x v="11"/>
    </i>
    <i>
      <x v="3"/>
    </i>
    <i>
      <x v="24"/>
    </i>
    <i>
      <x v="13"/>
    </i>
    <i>
      <x/>
    </i>
    <i>
      <x v="7"/>
    </i>
    <i>
      <x v="25"/>
    </i>
    <i>
      <x v="26"/>
    </i>
    <i>
      <x v="4"/>
    </i>
    <i>
      <x v="8"/>
    </i>
    <i>
      <x v="21"/>
    </i>
    <i>
      <x v="17"/>
    </i>
    <i>
      <x v="15"/>
    </i>
    <i>
      <x v="9"/>
    </i>
    <i>
      <x v="22"/>
    </i>
    <i>
      <x v="2"/>
    </i>
    <i>
      <x v="28"/>
    </i>
    <i>
      <x v="12"/>
    </i>
    <i>
      <x v="14"/>
    </i>
    <i>
      <x v="27"/>
    </i>
    <i>
      <x v="23"/>
    </i>
    <i t="grand">
      <x/>
    </i>
  </rowItems>
  <colItems count="1">
    <i/>
  </colItems>
  <pageFields count="1">
    <pageField fld="10" hier="-1"/>
  </pageFields>
  <dataFields count="1">
    <dataField name="Sum of Thành tiền_x000a_總金額" fld="12" baseField="0" baseItem="0" numFmtId="3"/>
  </dataFields>
  <formats count="12">
    <format dxfId="91">
      <pivotArea type="all" dataOnly="0" outline="0" fieldPosition="0"/>
    </format>
    <format dxfId="90">
      <pivotArea outline="0" collapsedLevelsAreSubtotals="1" fieldPosition="0"/>
    </format>
    <format dxfId="89">
      <pivotArea field="10" type="button" dataOnly="0" labelOnly="1" outline="0" axis="axisPage" fieldPosition="0"/>
    </format>
    <format dxfId="88">
      <pivotArea dataOnly="0" labelOnly="1" fieldPosition="0">
        <references count="1">
          <reference field="10"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0" type="button" dataOnly="0" labelOnly="1" outline="0" axis="axisPage" fieldPosition="0"/>
    </format>
    <format dxfId="82">
      <pivotArea dataOnly="0" labelOnly="1" fieldPosition="0">
        <references count="1">
          <reference field="10" count="0"/>
        </references>
      </pivotArea>
    </format>
    <format dxfId="81">
      <pivotArea dataOnly="0" labelOnly="1" grandRow="1" outline="0" fieldPosition="0"/>
    </format>
    <format dxfId="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26E844-78C9-429E-A18A-0AD091492BF0}"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04:B115" firstHeaderRow="1" firstDataRow="1" firstDataCol="1" rowPageCount="1" colPageCount="1"/>
  <pivotFields count="14">
    <pivotField showAll="0"/>
    <pivotField showAll="0"/>
    <pivotField showAll="0"/>
    <pivotField showAll="0"/>
    <pivotField showAll="0"/>
    <pivotField showAll="0"/>
    <pivotField showAll="0"/>
    <pivotField axis="axisRow" showAll="0" sortType="descending">
      <items count="30">
        <item x="14"/>
        <item x="25"/>
        <item x="18"/>
        <item x="15"/>
        <item x="21"/>
        <item x="10"/>
        <item x="13"/>
        <item x="16"/>
        <item x="12"/>
        <item x="20"/>
        <item x="19"/>
        <item x="3"/>
        <item x="6"/>
        <item x="17"/>
        <item x="24"/>
        <item x="22"/>
        <item x="28"/>
        <item x="9"/>
        <item x="7"/>
        <item x="2"/>
        <item x="1"/>
        <item x="23"/>
        <item x="0"/>
        <item x="4"/>
        <item x="5"/>
        <item x="8"/>
        <item x="11"/>
        <item x="26"/>
        <item x="27"/>
        <item t="default"/>
      </items>
      <autoSortScope>
        <pivotArea dataOnly="0" outline="0" fieldPosition="0">
          <references count="1">
            <reference field="4294967294" count="1" selected="0">
              <x v="0"/>
            </reference>
          </references>
        </pivotArea>
      </autoSortScope>
    </pivotField>
    <pivotField showAll="0"/>
    <pivotField showAll="0"/>
    <pivotField axis="axisPage"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showAll="0"/>
  </pivotFields>
  <rowFields count="1">
    <field x="7"/>
  </rowFields>
  <rowItems count="11">
    <i>
      <x v="13"/>
    </i>
    <i>
      <x v="25"/>
    </i>
    <i>
      <x v="26"/>
    </i>
    <i>
      <x v="10"/>
    </i>
    <i>
      <x v="4"/>
    </i>
    <i>
      <x v="6"/>
    </i>
    <i>
      <x v="11"/>
    </i>
    <i>
      <x v="19"/>
    </i>
    <i>
      <x v="17"/>
    </i>
    <i>
      <x v="23"/>
    </i>
    <i t="grand">
      <x/>
    </i>
  </rowItems>
  <colItems count="1">
    <i/>
  </colItems>
  <pageFields count="1">
    <pageField fld="10" item="2" hier="-1"/>
  </pageFields>
  <dataFields count="1">
    <dataField name="Sum of Thành tiền_x000a_總金額" fld="12" baseField="0" baseItem="0" numFmtId="3"/>
  </dataFields>
  <formats count="12">
    <format dxfId="103">
      <pivotArea type="all" dataOnly="0" outline="0" fieldPosition="0"/>
    </format>
    <format dxfId="102">
      <pivotArea outline="0" collapsedLevelsAreSubtotals="1" fieldPosition="0"/>
    </format>
    <format dxfId="101">
      <pivotArea field="10" type="button" dataOnly="0" labelOnly="1" outline="0" axis="axisPage" fieldPosition="0"/>
    </format>
    <format dxfId="100">
      <pivotArea dataOnly="0" labelOnly="1" fieldPosition="0">
        <references count="1">
          <reference field="10"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10" type="button" dataOnly="0" labelOnly="1" outline="0" axis="axisPage" fieldPosition="0"/>
    </format>
    <format dxfId="94">
      <pivotArea dataOnly="0" labelOnly="1" fieldPosition="0">
        <references count="1">
          <reference field="10" count="0"/>
        </references>
      </pivotArea>
    </format>
    <format dxfId="93">
      <pivotArea dataOnly="0" labelOnly="1" grandRow="1" outline="0" fieldPosition="0"/>
    </format>
    <format dxfId="92">
      <pivotArea dataOnly="0" labelOnly="1" outline="0" axis="axisValues" fieldPosition="0"/>
    </format>
  </formats>
  <chartFormats count="2">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1FE388-C1EC-4B0B-8F8F-0D8879CCE2E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rowPageCount="1" colPageCount="1"/>
  <pivotFields count="14">
    <pivotField showAll="0"/>
    <pivotField showAll="0"/>
    <pivotField showAll="0"/>
    <pivotField showAll="0"/>
    <pivotField showAll="0"/>
    <pivotField showAll="0"/>
    <pivotField axis="axisRow" showAll="0">
      <items count="5">
        <item x="0"/>
        <item x="1"/>
        <item x="2"/>
        <item x="3"/>
        <item t="default"/>
      </items>
    </pivotField>
    <pivotField axis="axisPage" dataField="1" showAll="0">
      <items count="30">
        <item x="14"/>
        <item x="25"/>
        <item x="18"/>
        <item x="15"/>
        <item x="21"/>
        <item x="10"/>
        <item x="13"/>
        <item x="16"/>
        <item x="12"/>
        <item x="20"/>
        <item x="19"/>
        <item x="3"/>
        <item x="6"/>
        <item x="17"/>
        <item x="24"/>
        <item x="22"/>
        <item x="28"/>
        <item x="9"/>
        <item x="7"/>
        <item x="2"/>
        <item x="1"/>
        <item x="23"/>
        <item x="0"/>
        <item x="4"/>
        <item x="5"/>
        <item x="8"/>
        <item x="11"/>
        <item x="26"/>
        <item x="27"/>
        <item t="default"/>
      </items>
    </pivotField>
    <pivotField showAll="0"/>
    <pivotField showAll="0"/>
    <pivotField showAll="0"/>
    <pivotField numFmtId="3" showAll="0"/>
    <pivotField numFmtId="3" showAll="0"/>
    <pivotField showAll="0"/>
  </pivotFields>
  <rowFields count="1">
    <field x="6"/>
  </rowFields>
  <rowItems count="5">
    <i>
      <x/>
    </i>
    <i>
      <x v="1"/>
    </i>
    <i>
      <x v="2"/>
    </i>
    <i>
      <x v="3"/>
    </i>
    <i t="grand">
      <x/>
    </i>
  </rowItems>
  <colItems count="1">
    <i/>
  </colItems>
  <pageFields count="1">
    <pageField fld="7" hier="-1"/>
  </pageFields>
  <dataFields count="1">
    <dataField name="Count of Đơn vị sử dụng_x000a_使用單位" fld="7" subtotal="count" baseField="0" baseItem="0"/>
  </dataFields>
  <formats count="7">
    <format dxfId="6">
      <pivotArea type="all" dataOnly="0" outline="0" fieldPosition="0"/>
    </format>
    <format dxfId="5">
      <pivotArea outline="0" collapsedLevelsAreSubtotals="1" fieldPosition="0"/>
    </format>
    <format dxfId="4">
      <pivotArea field="6" type="button" dataOnly="0" labelOnly="1" outline="0" axis="axisRow" fieldPosition="0"/>
    </format>
    <format dxfId="3">
      <pivotArea dataOnly="0" labelOnly="1" fieldPosition="0">
        <references count="1">
          <reference field="6" count="0"/>
        </references>
      </pivotArea>
    </format>
    <format dxfId="2">
      <pivotArea dataOnly="0" labelOnly="1" grandRow="1" outline="0" fieldPosition="0"/>
    </format>
    <format dxfId="1">
      <pivotArea dataOnly="0" labelOnly="1" outline="0" axis="axisValues"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報廢月份" xr10:uid="{00C072E8-DE51-4F4B-9CC1-1503BF09786A}" sourceName="報廢月份">
  <pivotTables>
    <pivotTable tabId="2" name="PivotTable4"/>
  </pivotTables>
  <data>
    <tabular pivotCacheId="13821228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Đơn_vị_sử_dụng_使用單位" xr10:uid="{22067144-9C21-46D9-A198-4FDBE66C15EA}" sourceName="Đơn vị sử dụng_x000a_使用單位">
  <pivotTables>
    <pivotTable tabId="2" name="PivotTable4"/>
  </pivotTables>
  <data>
    <tabular pivotCacheId="138212288">
      <items count="29">
        <i x="14" s="1"/>
        <i x="25" s="1"/>
        <i x="18" s="1"/>
        <i x="15" s="1"/>
        <i x="21" s="1"/>
        <i x="10" s="1"/>
        <i x="13" s="1"/>
        <i x="16" s="1"/>
        <i x="12" s="1"/>
        <i x="20" s="1"/>
        <i x="19" s="1"/>
        <i x="3" s="1"/>
        <i x="6" s="1"/>
        <i x="17" s="1"/>
        <i x="24" s="1"/>
        <i x="22" s="1"/>
        <i x="28" s="1"/>
        <i x="9" s="1"/>
        <i x="7" s="1"/>
        <i x="2" s="1"/>
        <i x="1" s="1"/>
        <i x="23" s="1"/>
        <i x="0" s="1"/>
        <i x="4" s="1"/>
        <i x="5" s="1"/>
        <i x="8" s="1"/>
        <i x="11" s="1"/>
        <i x="26"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報廢月份1" xr10:uid="{3796BD7C-26BB-4A57-A033-0444A53F14FE}" sourceName="報廢月份">
  <pivotTables>
    <pivotTable tabId="5" name="PivotTable16"/>
  </pivotTables>
  <data>
    <tabular pivotCacheId="13821228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報廢月份 1" xr10:uid="{28EA0CD6-928D-4F70-BC69-496021996DF1}" cache="Slicer_報廢月份1" caption="報廢月份"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報廢月份" xr10:uid="{32C8F809-1023-4174-B89D-02EE946632D4}" cache="Slicer_報廢月份" caption="報廢月份" rowHeight="257175"/>
  <slicer name="Đơn vị sử dụng_x000a_使用單位" xr10:uid="{7BE72F9E-73FC-4D17-8A17-87C087181EB0}" cache="Slicer_Đơn_vị_sử_dụng_使用單位" caption="Đơn vị sử dụng_x000a_使用單位"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418C-F6E2-41E8-AB1A-D88FF1009ED9}">
  <dimension ref="A3:B151"/>
  <sheetViews>
    <sheetView showGridLines="0" showRowColHeaders="0" topLeftCell="C1" workbookViewId="0">
      <selection activeCell="C21" sqref="C21"/>
    </sheetView>
  </sheetViews>
  <sheetFormatPr defaultRowHeight="15.75"/>
  <cols>
    <col min="1" max="1" width="12.75" hidden="1" customWidth="1"/>
    <col min="2" max="2" width="22.75" hidden="1" customWidth="1"/>
  </cols>
  <sheetData>
    <row r="3" spans="1:2">
      <c r="A3" s="70" t="s">
        <v>274</v>
      </c>
      <c r="B3" s="71" t="s">
        <v>294</v>
      </c>
    </row>
    <row r="4" spans="1:2">
      <c r="A4" s="72" t="s">
        <v>19</v>
      </c>
      <c r="B4" s="71">
        <v>1006000</v>
      </c>
    </row>
    <row r="5" spans="1:2">
      <c r="A5" s="72" t="s">
        <v>30</v>
      </c>
      <c r="B5" s="71">
        <v>766000</v>
      </c>
    </row>
    <row r="6" spans="1:2">
      <c r="A6" s="72" t="s">
        <v>59</v>
      </c>
      <c r="B6" s="71">
        <v>550000</v>
      </c>
    </row>
    <row r="7" spans="1:2">
      <c r="A7" s="72" t="s">
        <v>36</v>
      </c>
      <c r="B7" s="71">
        <v>347000</v>
      </c>
    </row>
    <row r="8" spans="1:2">
      <c r="A8" s="72" t="s">
        <v>276</v>
      </c>
      <c r="B8" s="71">
        <v>2669000</v>
      </c>
    </row>
    <row r="11" spans="1:2">
      <c r="A11" s="70" t="s">
        <v>274</v>
      </c>
      <c r="B11" s="71" t="s">
        <v>294</v>
      </c>
    </row>
    <row r="12" spans="1:2">
      <c r="A12" s="72" t="s">
        <v>19</v>
      </c>
      <c r="B12" s="73">
        <v>0.37692019482952416</v>
      </c>
    </row>
    <row r="13" spans="1:2">
      <c r="A13" s="72" t="s">
        <v>30</v>
      </c>
      <c r="B13" s="73">
        <v>0.28699887598351442</v>
      </c>
    </row>
    <row r="14" spans="1:2">
      <c r="A14" s="72" t="s">
        <v>59</v>
      </c>
      <c r="B14" s="73">
        <v>0.20606968902210565</v>
      </c>
    </row>
    <row r="15" spans="1:2">
      <c r="A15" s="72" t="s">
        <v>36</v>
      </c>
      <c r="B15" s="73">
        <v>0.13001124016485574</v>
      </c>
    </row>
    <row r="16" spans="1:2">
      <c r="A16" s="72" t="s">
        <v>276</v>
      </c>
      <c r="B16" s="73">
        <v>1</v>
      </c>
    </row>
    <row r="19" spans="1:2">
      <c r="A19" s="70" t="s">
        <v>274</v>
      </c>
      <c r="B19" s="71" t="s">
        <v>294</v>
      </c>
    </row>
    <row r="20" spans="1:2">
      <c r="A20" s="72" t="s">
        <v>19</v>
      </c>
      <c r="B20" s="71">
        <v>1006000</v>
      </c>
    </row>
    <row r="21" spans="1:2">
      <c r="A21" s="72" t="s">
        <v>30</v>
      </c>
      <c r="B21" s="71">
        <v>766000</v>
      </c>
    </row>
    <row r="22" spans="1:2">
      <c r="A22" s="72" t="s">
        <v>59</v>
      </c>
      <c r="B22" s="71">
        <v>550000</v>
      </c>
    </row>
    <row r="23" spans="1:2">
      <c r="A23" s="72" t="s">
        <v>36</v>
      </c>
      <c r="B23" s="71">
        <v>347000</v>
      </c>
    </row>
    <row r="24" spans="1:2">
      <c r="A24" s="72" t="s">
        <v>276</v>
      </c>
      <c r="B24" s="71">
        <v>2669000</v>
      </c>
    </row>
    <row r="28" spans="1:2">
      <c r="A28" s="70" t="s">
        <v>295</v>
      </c>
      <c r="B28" s="71" t="s">
        <v>59</v>
      </c>
    </row>
    <row r="30" spans="1:2">
      <c r="A30" s="70" t="s">
        <v>274</v>
      </c>
      <c r="B30" s="71" t="s">
        <v>294</v>
      </c>
    </row>
    <row r="31" spans="1:2">
      <c r="A31" s="72" t="s">
        <v>23</v>
      </c>
      <c r="B31" s="71">
        <v>220000</v>
      </c>
    </row>
    <row r="32" spans="1:2">
      <c r="A32" s="72" t="s">
        <v>122</v>
      </c>
      <c r="B32" s="71">
        <v>70000</v>
      </c>
    </row>
    <row r="33" spans="1:2">
      <c r="A33" s="72" t="s">
        <v>70</v>
      </c>
      <c r="B33" s="71">
        <v>40000</v>
      </c>
    </row>
    <row r="34" spans="1:2">
      <c r="A34" s="72" t="s">
        <v>217</v>
      </c>
      <c r="B34" s="71">
        <v>40000</v>
      </c>
    </row>
    <row r="35" spans="1:2">
      <c r="A35" s="72" t="s">
        <v>99</v>
      </c>
      <c r="B35" s="71">
        <v>40000</v>
      </c>
    </row>
    <row r="36" spans="1:2">
      <c r="A36" s="72" t="s">
        <v>62</v>
      </c>
      <c r="B36" s="71">
        <v>20000</v>
      </c>
    </row>
    <row r="37" spans="1:2">
      <c r="A37" s="72" t="s">
        <v>102</v>
      </c>
      <c r="B37" s="71">
        <v>20000</v>
      </c>
    </row>
    <row r="38" spans="1:2">
      <c r="A38" s="72" t="s">
        <v>107</v>
      </c>
      <c r="B38" s="71">
        <v>20000</v>
      </c>
    </row>
    <row r="39" spans="1:2">
      <c r="A39" s="72" t="s">
        <v>134</v>
      </c>
      <c r="B39" s="71">
        <v>20000</v>
      </c>
    </row>
    <row r="40" spans="1:2">
      <c r="A40" s="72" t="s">
        <v>34</v>
      </c>
      <c r="B40" s="71">
        <v>20000</v>
      </c>
    </row>
    <row r="41" spans="1:2">
      <c r="A41" s="72" t="s">
        <v>110</v>
      </c>
      <c r="B41" s="71">
        <v>20000</v>
      </c>
    </row>
    <row r="42" spans="1:2">
      <c r="A42" s="72" t="s">
        <v>120</v>
      </c>
      <c r="B42" s="71">
        <v>10000</v>
      </c>
    </row>
    <row r="43" spans="1:2">
      <c r="A43" s="72" t="s">
        <v>45</v>
      </c>
      <c r="B43" s="71">
        <v>5000</v>
      </c>
    </row>
    <row r="44" spans="1:2">
      <c r="A44" s="72" t="s">
        <v>28</v>
      </c>
      <c r="B44" s="71">
        <v>5000</v>
      </c>
    </row>
    <row r="45" spans="1:2">
      <c r="A45" s="72" t="s">
        <v>276</v>
      </c>
      <c r="B45" s="71">
        <v>550000</v>
      </c>
    </row>
    <row r="49" spans="1:2">
      <c r="A49" s="70" t="s">
        <v>295</v>
      </c>
      <c r="B49" s="71" t="s">
        <v>19</v>
      </c>
    </row>
    <row r="51" spans="1:2">
      <c r="A51" s="70" t="s">
        <v>274</v>
      </c>
      <c r="B51" s="71" t="s">
        <v>294</v>
      </c>
    </row>
    <row r="52" spans="1:2">
      <c r="A52" s="72" t="s">
        <v>70</v>
      </c>
      <c r="B52" s="71">
        <v>162000</v>
      </c>
    </row>
    <row r="53" spans="1:2">
      <c r="A53" s="72" t="s">
        <v>99</v>
      </c>
      <c r="B53" s="71">
        <v>120000</v>
      </c>
    </row>
    <row r="54" spans="1:2">
      <c r="A54" s="72" t="s">
        <v>23</v>
      </c>
      <c r="B54" s="71">
        <v>102000</v>
      </c>
    </row>
    <row r="55" spans="1:2">
      <c r="A55" s="72" t="s">
        <v>45</v>
      </c>
      <c r="B55" s="71">
        <v>80000</v>
      </c>
    </row>
    <row r="56" spans="1:2">
      <c r="A56" s="72" t="s">
        <v>217</v>
      </c>
      <c r="B56" s="71">
        <v>65000</v>
      </c>
    </row>
    <row r="57" spans="1:2">
      <c r="A57" s="72" t="s">
        <v>91</v>
      </c>
      <c r="B57" s="71">
        <v>65000</v>
      </c>
    </row>
    <row r="58" spans="1:2">
      <c r="A58" s="72" t="s">
        <v>102</v>
      </c>
      <c r="B58" s="71">
        <v>65000</v>
      </c>
    </row>
    <row r="59" spans="1:2">
      <c r="A59" s="72" t="s">
        <v>107</v>
      </c>
      <c r="B59" s="71">
        <v>57000</v>
      </c>
    </row>
    <row r="60" spans="1:2">
      <c r="A60" s="72" t="s">
        <v>28</v>
      </c>
      <c r="B60" s="71">
        <v>50000</v>
      </c>
    </row>
    <row r="61" spans="1:2">
      <c r="A61" s="72" t="s">
        <v>34</v>
      </c>
      <c r="B61" s="71">
        <v>32000</v>
      </c>
    </row>
    <row r="62" spans="1:2">
      <c r="A62" s="72" t="s">
        <v>88</v>
      </c>
      <c r="B62" s="71">
        <v>30000</v>
      </c>
    </row>
    <row r="63" spans="1:2">
      <c r="A63" s="72" t="s">
        <v>110</v>
      </c>
      <c r="B63" s="71">
        <v>22000</v>
      </c>
    </row>
    <row r="64" spans="1:2">
      <c r="A64" s="72" t="s">
        <v>17</v>
      </c>
      <c r="B64" s="71">
        <v>22000</v>
      </c>
    </row>
    <row r="65" spans="1:2">
      <c r="A65" s="72" t="s">
        <v>122</v>
      </c>
      <c r="B65" s="71">
        <v>22000</v>
      </c>
    </row>
    <row r="66" spans="1:2">
      <c r="A66" s="72" t="s">
        <v>73</v>
      </c>
      <c r="B66" s="71">
        <v>20000</v>
      </c>
    </row>
    <row r="67" spans="1:2">
      <c r="A67" s="72" t="s">
        <v>160</v>
      </c>
      <c r="B67" s="71">
        <v>20000</v>
      </c>
    </row>
    <row r="68" spans="1:2">
      <c r="A68" s="72" t="s">
        <v>265</v>
      </c>
      <c r="B68" s="71">
        <v>20000</v>
      </c>
    </row>
    <row r="69" spans="1:2">
      <c r="A69" s="72" t="s">
        <v>214</v>
      </c>
      <c r="B69" s="71">
        <v>20000</v>
      </c>
    </row>
    <row r="70" spans="1:2">
      <c r="A70" s="72" t="s">
        <v>179</v>
      </c>
      <c r="B70" s="71">
        <v>10000</v>
      </c>
    </row>
    <row r="71" spans="1:2">
      <c r="A71" s="72" t="s">
        <v>114</v>
      </c>
      <c r="B71" s="71">
        <v>10000</v>
      </c>
    </row>
    <row r="72" spans="1:2">
      <c r="A72" s="72" t="s">
        <v>39</v>
      </c>
      <c r="B72" s="71">
        <v>5000</v>
      </c>
    </row>
    <row r="73" spans="1:2">
      <c r="A73" s="72" t="s">
        <v>120</v>
      </c>
      <c r="B73" s="71">
        <v>4000</v>
      </c>
    </row>
    <row r="74" spans="1:2">
      <c r="A74" s="72" t="s">
        <v>96</v>
      </c>
      <c r="B74" s="71">
        <v>3000</v>
      </c>
    </row>
    <row r="75" spans="1:2">
      <c r="A75" s="72" t="s">
        <v>276</v>
      </c>
      <c r="B75" s="71">
        <v>1006000</v>
      </c>
    </row>
    <row r="79" spans="1:2">
      <c r="A79" s="70" t="s">
        <v>295</v>
      </c>
      <c r="B79" s="71" t="s">
        <v>30</v>
      </c>
    </row>
    <row r="81" spans="1:2">
      <c r="A81" s="70" t="s">
        <v>274</v>
      </c>
      <c r="B81" s="71" t="s">
        <v>294</v>
      </c>
    </row>
    <row r="82" spans="1:2">
      <c r="A82" s="72" t="s">
        <v>269</v>
      </c>
      <c r="B82" s="71">
        <v>300000</v>
      </c>
    </row>
    <row r="83" spans="1:2">
      <c r="A83" s="72" t="s">
        <v>28</v>
      </c>
      <c r="B83" s="71">
        <v>174000</v>
      </c>
    </row>
    <row r="84" spans="1:2">
      <c r="A84" s="72" t="s">
        <v>96</v>
      </c>
      <c r="B84" s="71">
        <v>42000</v>
      </c>
    </row>
    <row r="85" spans="1:2">
      <c r="A85" s="72" t="s">
        <v>110</v>
      </c>
      <c r="B85" s="71">
        <v>40000</v>
      </c>
    </row>
    <row r="86" spans="1:2">
      <c r="A86" s="72" t="s">
        <v>91</v>
      </c>
      <c r="B86" s="71">
        <v>36000</v>
      </c>
    </row>
    <row r="87" spans="1:2">
      <c r="A87" s="72" t="s">
        <v>70</v>
      </c>
      <c r="B87" s="71">
        <v>32000</v>
      </c>
    </row>
    <row r="88" spans="1:2">
      <c r="A88" s="72" t="s">
        <v>179</v>
      </c>
      <c r="B88" s="71">
        <v>30000</v>
      </c>
    </row>
    <row r="89" spans="1:2">
      <c r="A89" s="72" t="s">
        <v>131</v>
      </c>
      <c r="B89" s="71">
        <v>26000</v>
      </c>
    </row>
    <row r="90" spans="1:2">
      <c r="A90" s="72" t="s">
        <v>34</v>
      </c>
      <c r="B90" s="71">
        <v>16000</v>
      </c>
    </row>
    <row r="91" spans="1:2">
      <c r="A91" s="72" t="s">
        <v>107</v>
      </c>
      <c r="B91" s="71">
        <v>12000</v>
      </c>
    </row>
    <row r="92" spans="1:2">
      <c r="A92" s="72" t="s">
        <v>217</v>
      </c>
      <c r="B92" s="71">
        <v>11000</v>
      </c>
    </row>
    <row r="93" spans="1:2">
      <c r="A93" s="72" t="s">
        <v>99</v>
      </c>
      <c r="B93" s="71">
        <v>11000</v>
      </c>
    </row>
    <row r="94" spans="1:2">
      <c r="A94" s="72" t="s">
        <v>220</v>
      </c>
      <c r="B94" s="71">
        <v>10000</v>
      </c>
    </row>
    <row r="95" spans="1:2">
      <c r="A95" s="72" t="s">
        <v>94</v>
      </c>
      <c r="B95" s="71">
        <v>10000</v>
      </c>
    </row>
    <row r="96" spans="1:2">
      <c r="A96" s="72" t="s">
        <v>160</v>
      </c>
      <c r="B96" s="71">
        <v>10000</v>
      </c>
    </row>
    <row r="97" spans="1:2">
      <c r="A97" s="72" t="s">
        <v>120</v>
      </c>
      <c r="B97" s="71">
        <v>6000</v>
      </c>
    </row>
    <row r="98" spans="1:2">
      <c r="A98" s="72" t="s">
        <v>276</v>
      </c>
      <c r="B98" s="71">
        <v>766000</v>
      </c>
    </row>
    <row r="102" spans="1:2">
      <c r="A102" s="70" t="s">
        <v>295</v>
      </c>
      <c r="B102" s="71" t="s">
        <v>36</v>
      </c>
    </row>
    <row r="104" spans="1:2">
      <c r="A104" s="70" t="s">
        <v>274</v>
      </c>
      <c r="B104" s="71" t="s">
        <v>294</v>
      </c>
    </row>
    <row r="105" spans="1:2">
      <c r="A105" s="72" t="s">
        <v>114</v>
      </c>
      <c r="B105" s="71">
        <v>75000</v>
      </c>
    </row>
    <row r="106" spans="1:2">
      <c r="A106" s="72" t="s">
        <v>73</v>
      </c>
      <c r="B106" s="71">
        <v>60000</v>
      </c>
    </row>
    <row r="107" spans="1:2">
      <c r="A107" s="72" t="s">
        <v>94</v>
      </c>
      <c r="B107" s="71">
        <v>50000</v>
      </c>
    </row>
    <row r="108" spans="1:2">
      <c r="A108" s="72" t="s">
        <v>122</v>
      </c>
      <c r="B108" s="71">
        <v>50000</v>
      </c>
    </row>
    <row r="109" spans="1:2">
      <c r="A109" s="72" t="s">
        <v>134</v>
      </c>
      <c r="B109" s="71">
        <v>30000</v>
      </c>
    </row>
    <row r="110" spans="1:2">
      <c r="A110" s="72" t="s">
        <v>99</v>
      </c>
      <c r="B110" s="71">
        <v>25000</v>
      </c>
    </row>
    <row r="111" spans="1:2">
      <c r="A111" s="72" t="s">
        <v>34</v>
      </c>
      <c r="B111" s="71">
        <v>25000</v>
      </c>
    </row>
    <row r="112" spans="1:2">
      <c r="A112" s="72" t="s">
        <v>28</v>
      </c>
      <c r="B112" s="71">
        <v>25000</v>
      </c>
    </row>
    <row r="113" spans="1:2">
      <c r="A113" s="72" t="s">
        <v>88</v>
      </c>
      <c r="B113" s="71">
        <v>5000</v>
      </c>
    </row>
    <row r="114" spans="1:2">
      <c r="A114" s="72" t="s">
        <v>39</v>
      </c>
      <c r="B114" s="71">
        <v>2000</v>
      </c>
    </row>
    <row r="115" spans="1:2">
      <c r="A115" s="72" t="s">
        <v>276</v>
      </c>
      <c r="B115" s="71">
        <v>347000</v>
      </c>
    </row>
    <row r="119" spans="1:2">
      <c r="A119" s="70" t="s">
        <v>295</v>
      </c>
      <c r="B119" s="71" t="s">
        <v>273</v>
      </c>
    </row>
    <row r="121" spans="1:2">
      <c r="A121" s="70" t="s">
        <v>274</v>
      </c>
      <c r="B121" s="71" t="s">
        <v>294</v>
      </c>
    </row>
    <row r="122" spans="1:2">
      <c r="A122" s="72" t="s">
        <v>23</v>
      </c>
      <c r="B122" s="71">
        <v>322000</v>
      </c>
    </row>
    <row r="123" spans="1:2">
      <c r="A123" s="72" t="s">
        <v>269</v>
      </c>
      <c r="B123" s="71">
        <v>300000</v>
      </c>
    </row>
    <row r="124" spans="1:2">
      <c r="A124" s="72" t="s">
        <v>28</v>
      </c>
      <c r="B124" s="71">
        <v>254000</v>
      </c>
    </row>
    <row r="125" spans="1:2">
      <c r="A125" s="72" t="s">
        <v>70</v>
      </c>
      <c r="B125" s="71">
        <v>234000</v>
      </c>
    </row>
    <row r="126" spans="1:2">
      <c r="A126" s="72" t="s">
        <v>99</v>
      </c>
      <c r="B126" s="71">
        <v>196000</v>
      </c>
    </row>
    <row r="127" spans="1:2">
      <c r="A127" s="72" t="s">
        <v>122</v>
      </c>
      <c r="B127" s="71">
        <v>142000</v>
      </c>
    </row>
    <row r="128" spans="1:2">
      <c r="A128" s="72" t="s">
        <v>217</v>
      </c>
      <c r="B128" s="71">
        <v>116000</v>
      </c>
    </row>
    <row r="129" spans="1:2">
      <c r="A129" s="72" t="s">
        <v>91</v>
      </c>
      <c r="B129" s="71">
        <v>101000</v>
      </c>
    </row>
    <row r="130" spans="1:2">
      <c r="A130" s="72" t="s">
        <v>34</v>
      </c>
      <c r="B130" s="71">
        <v>93000</v>
      </c>
    </row>
    <row r="131" spans="1:2">
      <c r="A131" s="72" t="s">
        <v>107</v>
      </c>
      <c r="B131" s="71">
        <v>89000</v>
      </c>
    </row>
    <row r="132" spans="1:2">
      <c r="A132" s="72" t="s">
        <v>45</v>
      </c>
      <c r="B132" s="71">
        <v>85000</v>
      </c>
    </row>
    <row r="133" spans="1:2">
      <c r="A133" s="72" t="s">
        <v>114</v>
      </c>
      <c r="B133" s="71">
        <v>85000</v>
      </c>
    </row>
    <row r="134" spans="1:2">
      <c r="A134" s="72" t="s">
        <v>102</v>
      </c>
      <c r="B134" s="71">
        <v>85000</v>
      </c>
    </row>
    <row r="135" spans="1:2">
      <c r="A135" s="72" t="s">
        <v>110</v>
      </c>
      <c r="B135" s="71">
        <v>82000</v>
      </c>
    </row>
    <row r="136" spans="1:2">
      <c r="A136" s="72" t="s">
        <v>73</v>
      </c>
      <c r="B136" s="71">
        <v>80000</v>
      </c>
    </row>
    <row r="137" spans="1:2">
      <c r="A137" s="72" t="s">
        <v>94</v>
      </c>
      <c r="B137" s="71">
        <v>60000</v>
      </c>
    </row>
    <row r="138" spans="1:2">
      <c r="A138" s="72" t="s">
        <v>134</v>
      </c>
      <c r="B138" s="71">
        <v>50000</v>
      </c>
    </row>
    <row r="139" spans="1:2">
      <c r="A139" s="72" t="s">
        <v>96</v>
      </c>
      <c r="B139" s="71">
        <v>45000</v>
      </c>
    </row>
    <row r="140" spans="1:2">
      <c r="A140" s="72" t="s">
        <v>179</v>
      </c>
      <c r="B140" s="71">
        <v>40000</v>
      </c>
    </row>
    <row r="141" spans="1:2">
      <c r="A141" s="72" t="s">
        <v>88</v>
      </c>
      <c r="B141" s="71">
        <v>35000</v>
      </c>
    </row>
    <row r="142" spans="1:2">
      <c r="A142" s="72" t="s">
        <v>160</v>
      </c>
      <c r="B142" s="71">
        <v>30000</v>
      </c>
    </row>
    <row r="143" spans="1:2">
      <c r="A143" s="72" t="s">
        <v>131</v>
      </c>
      <c r="B143" s="71">
        <v>26000</v>
      </c>
    </row>
    <row r="144" spans="1:2">
      <c r="A144" s="72" t="s">
        <v>17</v>
      </c>
      <c r="B144" s="71">
        <v>22000</v>
      </c>
    </row>
    <row r="145" spans="1:2">
      <c r="A145" s="72" t="s">
        <v>120</v>
      </c>
      <c r="B145" s="71">
        <v>20000</v>
      </c>
    </row>
    <row r="146" spans="1:2">
      <c r="A146" s="72" t="s">
        <v>265</v>
      </c>
      <c r="B146" s="71">
        <v>20000</v>
      </c>
    </row>
    <row r="147" spans="1:2">
      <c r="A147" s="72" t="s">
        <v>62</v>
      </c>
      <c r="B147" s="71">
        <v>20000</v>
      </c>
    </row>
    <row r="148" spans="1:2">
      <c r="A148" s="72" t="s">
        <v>214</v>
      </c>
      <c r="B148" s="71">
        <v>20000</v>
      </c>
    </row>
    <row r="149" spans="1:2">
      <c r="A149" s="72" t="s">
        <v>220</v>
      </c>
      <c r="B149" s="71">
        <v>10000</v>
      </c>
    </row>
    <row r="150" spans="1:2">
      <c r="A150" s="72" t="s">
        <v>39</v>
      </c>
      <c r="B150" s="71">
        <v>7000</v>
      </c>
    </row>
    <row r="151" spans="1:2">
      <c r="A151" s="72" t="s">
        <v>276</v>
      </c>
      <c r="B151" s="71">
        <v>2669000</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70AE-2E90-4948-AD2F-9FA39A4509E5}">
  <dimension ref="A1:B8"/>
  <sheetViews>
    <sheetView topLeftCell="C1" workbookViewId="0">
      <selection activeCell="G22" sqref="G22"/>
    </sheetView>
  </sheetViews>
  <sheetFormatPr defaultRowHeight="15.75"/>
  <cols>
    <col min="1" max="1" width="20.625" hidden="1" customWidth="1"/>
    <col min="2" max="2" width="21.625" hidden="1" customWidth="1"/>
  </cols>
  <sheetData>
    <row r="1" spans="1:2">
      <c r="A1" s="61" t="s">
        <v>272</v>
      </c>
      <c r="B1" s="62" t="s">
        <v>273</v>
      </c>
    </row>
    <row r="3" spans="1:2" ht="31.5">
      <c r="A3" s="61" t="s">
        <v>274</v>
      </c>
      <c r="B3" s="65" t="s">
        <v>277</v>
      </c>
    </row>
    <row r="4" spans="1:2">
      <c r="A4" s="63">
        <v>10</v>
      </c>
      <c r="B4" s="64">
        <v>63</v>
      </c>
    </row>
    <row r="5" spans="1:2">
      <c r="A5" s="63">
        <v>11</v>
      </c>
      <c r="B5" s="64">
        <v>34</v>
      </c>
    </row>
    <row r="6" spans="1:2">
      <c r="A6" s="63">
        <v>12</v>
      </c>
      <c r="B6" s="64">
        <v>49</v>
      </c>
    </row>
    <row r="7" spans="1:2">
      <c r="A7" s="63" t="s">
        <v>275</v>
      </c>
      <c r="B7" s="64">
        <v>3</v>
      </c>
    </row>
    <row r="8" spans="1:2">
      <c r="A8" s="63" t="s">
        <v>276</v>
      </c>
      <c r="B8" s="64">
        <v>149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A473-D135-42F5-A327-5C2964CA8D89}">
  <sheetPr>
    <pageSetUpPr fitToPage="1"/>
  </sheetPr>
  <dimension ref="A1:Q173"/>
  <sheetViews>
    <sheetView tabSelected="1" topLeftCell="A126" zoomScale="85" zoomScaleNormal="85" workbookViewId="0">
      <selection activeCell="B152" sqref="B152"/>
    </sheetView>
  </sheetViews>
  <sheetFormatPr defaultColWidth="9" defaultRowHeight="15.75"/>
  <cols>
    <col min="1" max="1" width="7.25" style="74" customWidth="1"/>
    <col min="2" max="2" width="72.625" style="69" customWidth="1"/>
    <col min="3" max="3" width="15.375" style="56" customWidth="1"/>
    <col min="4" max="4" width="16.375" style="56" customWidth="1"/>
    <col min="5" max="5" width="14.625" style="56" customWidth="1"/>
    <col min="6" max="6" width="12.125" style="57" customWidth="1"/>
    <col min="7" max="7" width="12.125" style="59" customWidth="1"/>
    <col min="8" max="8" width="7.375" style="56" customWidth="1"/>
    <col min="9" max="9" width="7.75" customWidth="1"/>
    <col min="10" max="10" width="11.875" style="56" customWidth="1"/>
    <col min="14" max="14" width="12.125" customWidth="1"/>
  </cols>
  <sheetData>
    <row r="1" spans="1:10" ht="45" customHeight="1">
      <c r="A1" s="77" t="s">
        <v>278</v>
      </c>
      <c r="B1" s="78"/>
      <c r="C1" s="78"/>
      <c r="D1" s="78"/>
      <c r="E1" s="78"/>
      <c r="F1" s="78"/>
      <c r="G1" s="78"/>
      <c r="H1" s="78"/>
      <c r="I1" s="78"/>
      <c r="J1" s="79"/>
    </row>
    <row r="2" spans="1:10" ht="21" customHeight="1">
      <c r="A2" s="80"/>
      <c r="B2" s="81"/>
      <c r="C2" s="86" t="s">
        <v>279</v>
      </c>
      <c r="D2" s="87"/>
      <c r="E2" s="87"/>
      <c r="F2" s="87"/>
      <c r="G2" s="88"/>
      <c r="H2" s="92" t="s">
        <v>280</v>
      </c>
      <c r="I2" s="93"/>
      <c r="J2" s="94"/>
    </row>
    <row r="3" spans="1:10" ht="13.5" customHeight="1">
      <c r="A3" s="82"/>
      <c r="B3" s="83"/>
      <c r="C3" s="89"/>
      <c r="D3" s="90"/>
      <c r="E3" s="90"/>
      <c r="F3" s="90"/>
      <c r="G3" s="91"/>
      <c r="H3" s="95"/>
      <c r="I3" s="96"/>
      <c r="J3" s="97"/>
    </row>
    <row r="4" spans="1:10" ht="32.25" customHeight="1">
      <c r="A4" s="84"/>
      <c r="B4" s="85"/>
      <c r="C4" s="98" t="s">
        <v>281</v>
      </c>
      <c r="D4" s="99"/>
      <c r="E4" s="99"/>
      <c r="F4" s="99"/>
      <c r="G4" s="100"/>
      <c r="H4" s="101" t="s">
        <v>282</v>
      </c>
      <c r="I4" s="102"/>
      <c r="J4" s="103"/>
    </row>
    <row r="5" spans="1:10" s="74" customFormat="1" ht="49.5" customHeight="1">
      <c r="A5" s="117" t="s">
        <v>317</v>
      </c>
      <c r="B5" s="118" t="s">
        <v>318</v>
      </c>
      <c r="C5" s="117" t="s">
        <v>319</v>
      </c>
      <c r="D5" s="117" t="s">
        <v>320</v>
      </c>
      <c r="E5" s="117" t="s">
        <v>321</v>
      </c>
      <c r="F5" s="119" t="s">
        <v>322</v>
      </c>
      <c r="G5" s="117" t="s">
        <v>323</v>
      </c>
      <c r="H5" s="120" t="s">
        <v>324</v>
      </c>
      <c r="I5" s="121"/>
      <c r="J5" s="122" t="s">
        <v>325</v>
      </c>
    </row>
    <row r="6" spans="1:10" s="74" customFormat="1" ht="51" customHeight="1">
      <c r="A6" s="123"/>
      <c r="B6" s="124"/>
      <c r="C6" s="123"/>
      <c r="D6" s="123"/>
      <c r="E6" s="123"/>
      <c r="F6" s="125"/>
      <c r="G6" s="123"/>
      <c r="H6" s="76" t="s">
        <v>326</v>
      </c>
      <c r="I6" s="76" t="s">
        <v>327</v>
      </c>
      <c r="J6" s="126"/>
    </row>
    <row r="7" spans="1:10" s="67" customFormat="1" ht="39.950000000000003" customHeight="1">
      <c r="A7" s="66">
        <v>1</v>
      </c>
      <c r="B7" s="8" t="s">
        <v>14</v>
      </c>
      <c r="C7" s="75">
        <v>1</v>
      </c>
      <c r="D7" s="10" t="s">
        <v>15</v>
      </c>
      <c r="E7" s="11" t="s">
        <v>16</v>
      </c>
      <c r="F7" s="12">
        <v>45932</v>
      </c>
      <c r="G7" s="14" t="s">
        <v>17</v>
      </c>
      <c r="H7" s="66" t="s">
        <v>283</v>
      </c>
      <c r="I7" s="75"/>
      <c r="J7" s="11">
        <v>20021</v>
      </c>
    </row>
    <row r="8" spans="1:10" s="67" customFormat="1" ht="39.950000000000003" customHeight="1">
      <c r="A8" s="66">
        <v>2</v>
      </c>
      <c r="B8" s="19" t="s">
        <v>21</v>
      </c>
      <c r="C8" s="75">
        <v>1</v>
      </c>
      <c r="D8" s="10" t="s">
        <v>15</v>
      </c>
      <c r="E8" s="20" t="s">
        <v>22</v>
      </c>
      <c r="F8" s="12">
        <v>45932</v>
      </c>
      <c r="G8" s="11" t="s">
        <v>23</v>
      </c>
      <c r="H8" s="66" t="s">
        <v>283</v>
      </c>
      <c r="I8" s="75"/>
      <c r="J8" s="11">
        <v>20021</v>
      </c>
    </row>
    <row r="9" spans="1:10" s="67" customFormat="1" ht="39.950000000000003" customHeight="1">
      <c r="A9" s="66">
        <v>3</v>
      </c>
      <c r="B9" s="21" t="s">
        <v>26</v>
      </c>
      <c r="C9" s="75">
        <v>1</v>
      </c>
      <c r="D9" s="10" t="s">
        <v>15</v>
      </c>
      <c r="E9" s="20" t="s">
        <v>27</v>
      </c>
      <c r="F9" s="12">
        <v>45932</v>
      </c>
      <c r="G9" s="14" t="s">
        <v>28</v>
      </c>
      <c r="H9" s="66" t="s">
        <v>283</v>
      </c>
      <c r="I9" s="75"/>
      <c r="J9" s="11">
        <v>20021</v>
      </c>
    </row>
    <row r="10" spans="1:10" s="67" customFormat="1" ht="39.950000000000003" customHeight="1">
      <c r="A10" s="66">
        <v>4</v>
      </c>
      <c r="B10" s="21" t="s">
        <v>32</v>
      </c>
      <c r="C10" s="75">
        <v>1</v>
      </c>
      <c r="D10" s="10" t="s">
        <v>15</v>
      </c>
      <c r="E10" s="20" t="s">
        <v>33</v>
      </c>
      <c r="F10" s="12">
        <v>45932</v>
      </c>
      <c r="G10" s="23" t="s">
        <v>34</v>
      </c>
      <c r="H10" s="66" t="s">
        <v>283</v>
      </c>
      <c r="I10" s="75"/>
      <c r="J10" s="11">
        <v>20021</v>
      </c>
    </row>
    <row r="11" spans="1:10" s="67" customFormat="1" ht="39.950000000000003" customHeight="1">
      <c r="A11" s="66">
        <v>5</v>
      </c>
      <c r="B11" s="21" t="s">
        <v>37</v>
      </c>
      <c r="C11" s="75">
        <v>1</v>
      </c>
      <c r="D11" s="10" t="s">
        <v>15</v>
      </c>
      <c r="E11" s="20" t="s">
        <v>38</v>
      </c>
      <c r="F11" s="12">
        <v>45934</v>
      </c>
      <c r="G11" s="23" t="s">
        <v>39</v>
      </c>
      <c r="H11" s="66" t="s">
        <v>283</v>
      </c>
      <c r="I11" s="75"/>
      <c r="J11" s="11">
        <v>20021</v>
      </c>
    </row>
    <row r="12" spans="1:10" s="67" customFormat="1" ht="39.950000000000003" customHeight="1">
      <c r="A12" s="66">
        <v>6</v>
      </c>
      <c r="B12" s="8" t="s">
        <v>40</v>
      </c>
      <c r="C12" s="75">
        <v>1</v>
      </c>
      <c r="D12" s="10" t="s">
        <v>15</v>
      </c>
      <c r="E12" s="11" t="s">
        <v>41</v>
      </c>
      <c r="F12" s="12">
        <v>45934</v>
      </c>
      <c r="G12" s="23" t="s">
        <v>34</v>
      </c>
      <c r="H12" s="66" t="s">
        <v>283</v>
      </c>
      <c r="I12" s="75"/>
      <c r="J12" s="11">
        <v>20021</v>
      </c>
    </row>
    <row r="13" spans="1:10" s="67" customFormat="1" ht="39.950000000000003" customHeight="1">
      <c r="A13" s="66">
        <v>7</v>
      </c>
      <c r="B13" s="24" t="s">
        <v>43</v>
      </c>
      <c r="C13" s="75">
        <v>1</v>
      </c>
      <c r="D13" s="10" t="s">
        <v>15</v>
      </c>
      <c r="E13" s="11" t="s">
        <v>44</v>
      </c>
      <c r="F13" s="12">
        <v>45934</v>
      </c>
      <c r="G13" s="23" t="s">
        <v>45</v>
      </c>
      <c r="H13" s="66" t="s">
        <v>283</v>
      </c>
      <c r="I13" s="75"/>
      <c r="J13" s="11">
        <v>20021</v>
      </c>
    </row>
    <row r="14" spans="1:10" s="67" customFormat="1" ht="39.950000000000003" customHeight="1">
      <c r="A14" s="66">
        <v>8</v>
      </c>
      <c r="B14" s="25" t="s">
        <v>47</v>
      </c>
      <c r="C14" s="75">
        <v>1</v>
      </c>
      <c r="D14" s="10" t="s">
        <v>15</v>
      </c>
      <c r="E14" s="11" t="s">
        <v>44</v>
      </c>
      <c r="F14" s="12">
        <v>45934</v>
      </c>
      <c r="G14" s="23" t="s">
        <v>45</v>
      </c>
      <c r="H14" s="66" t="s">
        <v>283</v>
      </c>
      <c r="I14" s="75"/>
      <c r="J14" s="11">
        <v>20021</v>
      </c>
    </row>
    <row r="15" spans="1:10" s="67" customFormat="1" ht="39.950000000000003" customHeight="1">
      <c r="A15" s="66">
        <v>9</v>
      </c>
      <c r="B15" s="26" t="s">
        <v>287</v>
      </c>
      <c r="C15" s="75">
        <v>1</v>
      </c>
      <c r="D15" s="10" t="s">
        <v>15</v>
      </c>
      <c r="E15" s="11" t="s">
        <v>44</v>
      </c>
      <c r="F15" s="12">
        <v>45934</v>
      </c>
      <c r="G15" s="23" t="s">
        <v>45</v>
      </c>
      <c r="H15" s="66" t="s">
        <v>283</v>
      </c>
      <c r="I15" s="75"/>
      <c r="J15" s="11">
        <v>20021</v>
      </c>
    </row>
    <row r="16" spans="1:10" s="67" customFormat="1" ht="39.950000000000003" customHeight="1">
      <c r="A16" s="66">
        <v>10</v>
      </c>
      <c r="B16" s="27" t="s">
        <v>51</v>
      </c>
      <c r="C16" s="75">
        <v>1</v>
      </c>
      <c r="D16" s="10" t="s">
        <v>15</v>
      </c>
      <c r="E16" s="11" t="s">
        <v>44</v>
      </c>
      <c r="F16" s="12">
        <v>45934</v>
      </c>
      <c r="G16" s="23" t="s">
        <v>45</v>
      </c>
      <c r="H16" s="66" t="s">
        <v>283</v>
      </c>
      <c r="I16" s="75"/>
      <c r="J16" s="11">
        <v>20021</v>
      </c>
    </row>
    <row r="17" spans="1:10" s="67" customFormat="1" ht="39.950000000000003" customHeight="1">
      <c r="A17" s="66">
        <v>11</v>
      </c>
      <c r="B17" s="25" t="s">
        <v>53</v>
      </c>
      <c r="C17" s="75">
        <v>1</v>
      </c>
      <c r="D17" s="10" t="s">
        <v>15</v>
      </c>
      <c r="E17" s="20" t="s">
        <v>54</v>
      </c>
      <c r="F17" s="12">
        <v>45933</v>
      </c>
      <c r="G17" s="11" t="s">
        <v>28</v>
      </c>
      <c r="H17" s="66" t="s">
        <v>283</v>
      </c>
      <c r="I17" s="75"/>
      <c r="J17" s="11">
        <v>17655</v>
      </c>
    </row>
    <row r="18" spans="1:10" s="67" customFormat="1" ht="39.950000000000003" customHeight="1">
      <c r="A18" s="66">
        <v>12</v>
      </c>
      <c r="B18" s="19" t="s">
        <v>56</v>
      </c>
      <c r="C18" s="75">
        <v>1</v>
      </c>
      <c r="D18" s="10" t="s">
        <v>15</v>
      </c>
      <c r="E18" s="11" t="s">
        <v>57</v>
      </c>
      <c r="F18" s="12">
        <v>45933</v>
      </c>
      <c r="G18" s="11" t="s">
        <v>28</v>
      </c>
      <c r="H18" s="66" t="s">
        <v>283</v>
      </c>
      <c r="I18" s="75"/>
      <c r="J18" s="11">
        <v>20021</v>
      </c>
    </row>
    <row r="19" spans="1:10" s="67" customFormat="1" ht="39.950000000000003" customHeight="1">
      <c r="A19" s="66">
        <v>13</v>
      </c>
      <c r="B19" s="25" t="s">
        <v>60</v>
      </c>
      <c r="C19" s="75">
        <v>1</v>
      </c>
      <c r="D19" s="10" t="s">
        <v>15</v>
      </c>
      <c r="E19" s="11" t="s">
        <v>61</v>
      </c>
      <c r="F19" s="12">
        <v>45933</v>
      </c>
      <c r="G19" s="11" t="s">
        <v>62</v>
      </c>
      <c r="H19" s="66" t="s">
        <v>283</v>
      </c>
      <c r="I19" s="75"/>
      <c r="J19" s="11">
        <v>17655</v>
      </c>
    </row>
    <row r="20" spans="1:10" s="67" customFormat="1" ht="39.950000000000003" customHeight="1">
      <c r="A20" s="66">
        <v>14</v>
      </c>
      <c r="B20" s="8" t="s">
        <v>63</v>
      </c>
      <c r="C20" s="75">
        <v>1</v>
      </c>
      <c r="D20" s="10" t="s">
        <v>15</v>
      </c>
      <c r="E20" s="11" t="s">
        <v>64</v>
      </c>
      <c r="F20" s="12">
        <v>45939</v>
      </c>
      <c r="G20" s="11" t="s">
        <v>34</v>
      </c>
      <c r="H20" s="66" t="s">
        <v>283</v>
      </c>
      <c r="I20" s="75"/>
      <c r="J20" s="11">
        <v>20021</v>
      </c>
    </row>
    <row r="21" spans="1:10" s="67" customFormat="1" ht="39.950000000000003" customHeight="1">
      <c r="A21" s="66">
        <v>15</v>
      </c>
      <c r="B21" s="28" t="s">
        <v>65</v>
      </c>
      <c r="C21" s="29">
        <v>1</v>
      </c>
      <c r="D21" s="10" t="s">
        <v>15</v>
      </c>
      <c r="E21" s="20" t="s">
        <v>66</v>
      </c>
      <c r="F21" s="12">
        <v>45938</v>
      </c>
      <c r="G21" s="23" t="s">
        <v>39</v>
      </c>
      <c r="H21" s="66" t="s">
        <v>283</v>
      </c>
      <c r="I21" s="75"/>
      <c r="J21" s="11">
        <v>17655</v>
      </c>
    </row>
    <row r="22" spans="1:10" s="67" customFormat="1" ht="39.950000000000003" customHeight="1">
      <c r="A22" s="66">
        <v>16</v>
      </c>
      <c r="B22" s="25" t="s">
        <v>53</v>
      </c>
      <c r="C22" s="29">
        <v>1</v>
      </c>
      <c r="D22" s="10" t="s">
        <v>15</v>
      </c>
      <c r="E22" s="20" t="s">
        <v>67</v>
      </c>
      <c r="F22" s="12">
        <v>45937</v>
      </c>
      <c r="G22" s="11" t="s">
        <v>28</v>
      </c>
      <c r="H22" s="66" t="s">
        <v>283</v>
      </c>
      <c r="I22" s="75"/>
      <c r="J22" s="11">
        <v>20021</v>
      </c>
    </row>
    <row r="23" spans="1:10" s="67" customFormat="1" ht="39.950000000000003" customHeight="1">
      <c r="A23" s="66">
        <v>17</v>
      </c>
      <c r="B23" s="8" t="s">
        <v>68</v>
      </c>
      <c r="C23" s="29">
        <v>1</v>
      </c>
      <c r="D23" s="10" t="s">
        <v>15</v>
      </c>
      <c r="E23" s="30" t="s">
        <v>69</v>
      </c>
      <c r="F23" s="31">
        <v>45936</v>
      </c>
      <c r="G23" s="11" t="s">
        <v>70</v>
      </c>
      <c r="H23" s="66" t="s">
        <v>283</v>
      </c>
      <c r="I23" s="75"/>
      <c r="J23" s="11">
        <v>20021</v>
      </c>
    </row>
    <row r="24" spans="1:10" s="67" customFormat="1" ht="39.950000000000003" customHeight="1">
      <c r="A24" s="66">
        <v>18</v>
      </c>
      <c r="B24" s="26" t="s">
        <v>71</v>
      </c>
      <c r="C24" s="75">
        <v>1</v>
      </c>
      <c r="D24" s="10" t="s">
        <v>15</v>
      </c>
      <c r="E24" s="30" t="s">
        <v>72</v>
      </c>
      <c r="F24" s="31">
        <v>45938</v>
      </c>
      <c r="G24" s="11" t="s">
        <v>296</v>
      </c>
      <c r="H24" s="66" t="s">
        <v>283</v>
      </c>
      <c r="I24" s="75"/>
      <c r="J24" s="11">
        <v>20021</v>
      </c>
    </row>
    <row r="25" spans="1:10" s="67" customFormat="1" ht="39.950000000000003" customHeight="1">
      <c r="A25" s="66">
        <v>19</v>
      </c>
      <c r="B25" s="21" t="s">
        <v>74</v>
      </c>
      <c r="C25" s="75">
        <v>1</v>
      </c>
      <c r="D25" s="10" t="s">
        <v>15</v>
      </c>
      <c r="E25" s="30" t="s">
        <v>75</v>
      </c>
      <c r="F25" s="31">
        <v>45951</v>
      </c>
      <c r="G25" s="11" t="s">
        <v>296</v>
      </c>
      <c r="H25" s="66" t="s">
        <v>283</v>
      </c>
      <c r="I25" s="75"/>
      <c r="J25" s="11">
        <v>20021</v>
      </c>
    </row>
    <row r="26" spans="1:10" s="67" customFormat="1" ht="39.950000000000003" customHeight="1">
      <c r="A26" s="66">
        <v>20</v>
      </c>
      <c r="B26" s="19" t="s">
        <v>21</v>
      </c>
      <c r="C26" s="75">
        <v>1</v>
      </c>
      <c r="D26" s="10" t="s">
        <v>15</v>
      </c>
      <c r="E26" s="30" t="s">
        <v>77</v>
      </c>
      <c r="F26" s="31">
        <v>45938</v>
      </c>
      <c r="G26" s="23" t="s">
        <v>70</v>
      </c>
      <c r="H26" s="66" t="s">
        <v>283</v>
      </c>
      <c r="I26" s="75"/>
      <c r="J26" s="11">
        <v>17655</v>
      </c>
    </row>
    <row r="27" spans="1:10" s="67" customFormat="1" ht="39.950000000000003" customHeight="1">
      <c r="A27" s="66">
        <v>21</v>
      </c>
      <c r="B27" s="25" t="s">
        <v>78</v>
      </c>
      <c r="C27" s="75">
        <v>1</v>
      </c>
      <c r="D27" s="10" t="s">
        <v>15</v>
      </c>
      <c r="E27" s="30" t="s">
        <v>79</v>
      </c>
      <c r="F27" s="31">
        <v>45939</v>
      </c>
      <c r="G27" s="23" t="s">
        <v>34</v>
      </c>
      <c r="H27" s="66" t="s">
        <v>283</v>
      </c>
      <c r="I27" s="75"/>
      <c r="J27" s="11">
        <v>20021</v>
      </c>
    </row>
    <row r="28" spans="1:10" s="67" customFormat="1" ht="39.950000000000003" customHeight="1">
      <c r="A28" s="66">
        <v>22</v>
      </c>
      <c r="B28" s="26" t="s">
        <v>80</v>
      </c>
      <c r="C28" s="75">
        <v>1</v>
      </c>
      <c r="D28" s="10" t="s">
        <v>15</v>
      </c>
      <c r="E28" s="30" t="s">
        <v>81</v>
      </c>
      <c r="F28" s="31">
        <v>45939</v>
      </c>
      <c r="G28" s="23" t="s">
        <v>34</v>
      </c>
      <c r="H28" s="66" t="s">
        <v>283</v>
      </c>
      <c r="I28" s="75"/>
      <c r="J28" s="11">
        <v>20021</v>
      </c>
    </row>
    <row r="29" spans="1:10" s="67" customFormat="1" ht="39.950000000000003" customHeight="1">
      <c r="A29" s="66">
        <v>23</v>
      </c>
      <c r="B29" s="25" t="s">
        <v>53</v>
      </c>
      <c r="C29" s="75">
        <v>1</v>
      </c>
      <c r="D29" s="10" t="s">
        <v>15</v>
      </c>
      <c r="E29" s="30" t="s">
        <v>83</v>
      </c>
      <c r="F29" s="31">
        <v>45938</v>
      </c>
      <c r="G29" s="14" t="s">
        <v>28</v>
      </c>
      <c r="H29" s="66" t="s">
        <v>283</v>
      </c>
      <c r="I29" s="75"/>
      <c r="J29" s="11">
        <v>20021</v>
      </c>
    </row>
    <row r="30" spans="1:10" s="67" customFormat="1" ht="39.950000000000003" customHeight="1">
      <c r="A30" s="66">
        <v>24</v>
      </c>
      <c r="B30" s="27" t="s">
        <v>84</v>
      </c>
      <c r="C30" s="75">
        <v>1</v>
      </c>
      <c r="D30" s="10" t="s">
        <v>15</v>
      </c>
      <c r="E30" s="30" t="s">
        <v>85</v>
      </c>
      <c r="F30" s="31">
        <v>45943</v>
      </c>
      <c r="G30" s="23" t="s">
        <v>70</v>
      </c>
      <c r="H30" s="66" t="s">
        <v>283</v>
      </c>
      <c r="I30" s="75"/>
      <c r="J30" s="11">
        <v>20021</v>
      </c>
    </row>
    <row r="31" spans="1:10" s="67" customFormat="1" ht="39.950000000000003" customHeight="1">
      <c r="A31" s="66">
        <v>25</v>
      </c>
      <c r="B31" s="8" t="s">
        <v>297</v>
      </c>
      <c r="C31" s="75">
        <v>1</v>
      </c>
      <c r="D31" s="10" t="s">
        <v>15</v>
      </c>
      <c r="E31" s="11" t="s">
        <v>87</v>
      </c>
      <c r="F31" s="31">
        <v>45943</v>
      </c>
      <c r="G31" s="11" t="s">
        <v>88</v>
      </c>
      <c r="H31" s="66" t="s">
        <v>283</v>
      </c>
      <c r="I31" s="75"/>
      <c r="J31" s="11">
        <v>20021</v>
      </c>
    </row>
    <row r="32" spans="1:10" s="67" customFormat="1" ht="39.950000000000003" customHeight="1">
      <c r="A32" s="66">
        <v>26</v>
      </c>
      <c r="B32" s="19" t="s">
        <v>89</v>
      </c>
      <c r="C32" s="75">
        <v>1</v>
      </c>
      <c r="D32" s="10" t="s">
        <v>15</v>
      </c>
      <c r="E32" s="30" t="s">
        <v>90</v>
      </c>
      <c r="F32" s="31">
        <v>45944</v>
      </c>
      <c r="G32" s="11" t="s">
        <v>91</v>
      </c>
      <c r="H32" s="66" t="s">
        <v>283</v>
      </c>
      <c r="I32" s="75"/>
      <c r="J32" s="11">
        <v>17655</v>
      </c>
    </row>
    <row r="33" spans="1:10" s="67" customFormat="1" ht="39.950000000000003" customHeight="1">
      <c r="A33" s="66">
        <v>27</v>
      </c>
      <c r="B33" s="21" t="s">
        <v>92</v>
      </c>
      <c r="C33" s="75">
        <v>2</v>
      </c>
      <c r="D33" s="10" t="s">
        <v>15</v>
      </c>
      <c r="E33" s="11" t="s">
        <v>93</v>
      </c>
      <c r="F33" s="31">
        <v>45940</v>
      </c>
      <c r="G33" s="23" t="s">
        <v>94</v>
      </c>
      <c r="H33" s="66" t="s">
        <v>283</v>
      </c>
      <c r="I33" s="75"/>
      <c r="J33" s="11">
        <v>20021</v>
      </c>
    </row>
    <row r="34" spans="1:10" s="67" customFormat="1" ht="39.950000000000003" customHeight="1">
      <c r="A34" s="66">
        <v>28</v>
      </c>
      <c r="B34" s="8" t="s">
        <v>26</v>
      </c>
      <c r="C34" s="75">
        <v>1</v>
      </c>
      <c r="D34" s="10" t="s">
        <v>15</v>
      </c>
      <c r="E34" s="11" t="s">
        <v>95</v>
      </c>
      <c r="F34" s="31">
        <v>45940</v>
      </c>
      <c r="G34" s="11" t="s">
        <v>96</v>
      </c>
      <c r="H34" s="66" t="s">
        <v>283</v>
      </c>
      <c r="I34" s="75"/>
      <c r="J34" s="11">
        <v>20021</v>
      </c>
    </row>
    <row r="35" spans="1:10" s="67" customFormat="1" ht="39.950000000000003" customHeight="1">
      <c r="A35" s="66">
        <v>29</v>
      </c>
      <c r="B35" s="8" t="s">
        <v>97</v>
      </c>
      <c r="C35" s="75">
        <v>1</v>
      </c>
      <c r="D35" s="10" t="s">
        <v>15</v>
      </c>
      <c r="E35" s="30" t="s">
        <v>98</v>
      </c>
      <c r="F35" s="31">
        <v>45944</v>
      </c>
      <c r="G35" s="23" t="s">
        <v>99</v>
      </c>
      <c r="H35" s="66" t="s">
        <v>283</v>
      </c>
      <c r="I35" s="75"/>
      <c r="J35" s="11">
        <v>20021</v>
      </c>
    </row>
    <row r="36" spans="1:10" s="67" customFormat="1" ht="39.950000000000003" customHeight="1">
      <c r="A36" s="66">
        <v>30</v>
      </c>
      <c r="B36" s="25" t="s">
        <v>100</v>
      </c>
      <c r="C36" s="75">
        <v>1</v>
      </c>
      <c r="D36" s="10" t="s">
        <v>15</v>
      </c>
      <c r="E36" s="30" t="s">
        <v>101</v>
      </c>
      <c r="F36" s="31">
        <v>45944</v>
      </c>
      <c r="G36" s="14" t="s">
        <v>102</v>
      </c>
      <c r="H36" s="66" t="s">
        <v>283</v>
      </c>
      <c r="I36" s="75"/>
      <c r="J36" s="11">
        <v>20021</v>
      </c>
    </row>
    <row r="37" spans="1:10" s="67" customFormat="1" ht="39.950000000000003" customHeight="1">
      <c r="A37" s="66">
        <v>31</v>
      </c>
      <c r="B37" s="8" t="s">
        <v>103</v>
      </c>
      <c r="C37" s="75">
        <v>1</v>
      </c>
      <c r="D37" s="10" t="s">
        <v>15</v>
      </c>
      <c r="E37" s="30" t="s">
        <v>101</v>
      </c>
      <c r="F37" s="31">
        <v>45944</v>
      </c>
      <c r="G37" s="14" t="s">
        <v>102</v>
      </c>
      <c r="H37" s="66" t="s">
        <v>283</v>
      </c>
      <c r="I37" s="75"/>
      <c r="J37" s="11">
        <v>20021</v>
      </c>
    </row>
    <row r="38" spans="1:10" s="67" customFormat="1" ht="39.950000000000003" customHeight="1">
      <c r="A38" s="66">
        <v>32</v>
      </c>
      <c r="B38" s="25" t="s">
        <v>238</v>
      </c>
      <c r="C38" s="29">
        <v>1</v>
      </c>
      <c r="D38" s="10" t="s">
        <v>15</v>
      </c>
      <c r="E38" s="30" t="s">
        <v>101</v>
      </c>
      <c r="F38" s="31">
        <v>45944</v>
      </c>
      <c r="G38" s="14" t="s">
        <v>102</v>
      </c>
      <c r="H38" s="66" t="s">
        <v>283</v>
      </c>
      <c r="I38" s="75"/>
      <c r="J38" s="11">
        <v>20021</v>
      </c>
    </row>
    <row r="39" spans="1:10" s="67" customFormat="1" ht="39.950000000000003" customHeight="1">
      <c r="A39" s="66">
        <v>33</v>
      </c>
      <c r="B39" s="27" t="s">
        <v>51</v>
      </c>
      <c r="C39" s="29">
        <v>1</v>
      </c>
      <c r="D39" s="10" t="s">
        <v>15</v>
      </c>
      <c r="E39" s="30" t="s">
        <v>101</v>
      </c>
      <c r="F39" s="31">
        <v>45944</v>
      </c>
      <c r="G39" s="14" t="s">
        <v>102</v>
      </c>
      <c r="H39" s="66" t="s">
        <v>283</v>
      </c>
      <c r="I39" s="75"/>
      <c r="J39" s="11">
        <v>20021</v>
      </c>
    </row>
    <row r="40" spans="1:10" s="67" customFormat="1" ht="39.950000000000003" customHeight="1">
      <c r="A40" s="66">
        <v>34</v>
      </c>
      <c r="B40" s="19" t="s">
        <v>21</v>
      </c>
      <c r="C40" s="29">
        <v>1</v>
      </c>
      <c r="D40" s="10" t="s">
        <v>15</v>
      </c>
      <c r="E40" s="30" t="s">
        <v>106</v>
      </c>
      <c r="F40" s="31">
        <v>45946</v>
      </c>
      <c r="G40" s="11" t="s">
        <v>107</v>
      </c>
      <c r="H40" s="66" t="s">
        <v>283</v>
      </c>
      <c r="I40" s="75"/>
      <c r="J40" s="11">
        <v>20021</v>
      </c>
    </row>
    <row r="41" spans="1:10" s="67" customFormat="1" ht="39.950000000000003" customHeight="1">
      <c r="A41" s="66">
        <v>35</v>
      </c>
      <c r="B41" s="19" t="s">
        <v>108</v>
      </c>
      <c r="C41" s="29">
        <v>1</v>
      </c>
      <c r="D41" s="10" t="s">
        <v>15</v>
      </c>
      <c r="E41" s="30" t="s">
        <v>109</v>
      </c>
      <c r="F41" s="31">
        <v>45958</v>
      </c>
      <c r="G41" s="23" t="s">
        <v>110</v>
      </c>
      <c r="H41" s="66" t="s">
        <v>283</v>
      </c>
      <c r="I41" s="75"/>
      <c r="J41" s="11">
        <v>26350</v>
      </c>
    </row>
    <row r="42" spans="1:10" s="67" customFormat="1" ht="39.950000000000003" customHeight="1">
      <c r="A42" s="66">
        <v>36</v>
      </c>
      <c r="B42" s="26" t="s">
        <v>111</v>
      </c>
      <c r="C42" s="29">
        <v>1</v>
      </c>
      <c r="D42" s="10" t="s">
        <v>15</v>
      </c>
      <c r="E42" s="30" t="s">
        <v>109</v>
      </c>
      <c r="F42" s="31">
        <v>45958</v>
      </c>
      <c r="G42" s="23" t="s">
        <v>110</v>
      </c>
      <c r="H42" s="66" t="s">
        <v>283</v>
      </c>
      <c r="I42" s="75"/>
      <c r="J42" s="11">
        <v>26350</v>
      </c>
    </row>
    <row r="43" spans="1:10" s="67" customFormat="1" ht="39.950000000000003" customHeight="1">
      <c r="A43" s="66">
        <v>37</v>
      </c>
      <c r="B43" s="8" t="s">
        <v>68</v>
      </c>
      <c r="C43" s="75">
        <v>1</v>
      </c>
      <c r="D43" s="10" t="s">
        <v>15</v>
      </c>
      <c r="E43" s="30" t="s">
        <v>112</v>
      </c>
      <c r="F43" s="31">
        <v>45947</v>
      </c>
      <c r="G43" s="11" t="s">
        <v>23</v>
      </c>
      <c r="H43" s="66" t="s">
        <v>283</v>
      </c>
      <c r="I43" s="75"/>
      <c r="J43" s="11">
        <v>20021</v>
      </c>
    </row>
    <row r="44" spans="1:10" s="67" customFormat="1" ht="39.950000000000003" customHeight="1">
      <c r="A44" s="66">
        <v>38</v>
      </c>
      <c r="B44" s="21" t="s">
        <v>92</v>
      </c>
      <c r="C44" s="75">
        <v>2</v>
      </c>
      <c r="D44" s="10" t="s">
        <v>15</v>
      </c>
      <c r="E44" s="30" t="s">
        <v>113</v>
      </c>
      <c r="F44" s="31">
        <v>45947</v>
      </c>
      <c r="G44" s="11" t="s">
        <v>298</v>
      </c>
      <c r="H44" s="66" t="s">
        <v>283</v>
      </c>
      <c r="I44" s="75"/>
      <c r="J44" s="11">
        <v>20021</v>
      </c>
    </row>
    <row r="45" spans="1:10" s="67" customFormat="1" ht="39.950000000000003" customHeight="1">
      <c r="A45" s="66">
        <v>39</v>
      </c>
      <c r="B45" s="21" t="s">
        <v>32</v>
      </c>
      <c r="C45" s="75">
        <v>1</v>
      </c>
      <c r="D45" s="10" t="s">
        <v>15</v>
      </c>
      <c r="E45" s="30" t="s">
        <v>113</v>
      </c>
      <c r="F45" s="31">
        <v>45947</v>
      </c>
      <c r="G45" s="11" t="s">
        <v>298</v>
      </c>
      <c r="H45" s="66" t="s">
        <v>283</v>
      </c>
      <c r="I45" s="75"/>
      <c r="J45" s="11">
        <v>20021</v>
      </c>
    </row>
    <row r="46" spans="1:10" s="67" customFormat="1" ht="39.950000000000003" customHeight="1">
      <c r="A46" s="66">
        <v>40</v>
      </c>
      <c r="B46" s="26" t="s">
        <v>115</v>
      </c>
      <c r="C46" s="75">
        <v>1</v>
      </c>
      <c r="D46" s="10" t="s">
        <v>15</v>
      </c>
      <c r="E46" s="30" t="s">
        <v>116</v>
      </c>
      <c r="F46" s="31">
        <v>45951</v>
      </c>
      <c r="G46" s="11" t="s">
        <v>296</v>
      </c>
      <c r="H46" s="66" t="s">
        <v>283</v>
      </c>
      <c r="I46" s="75"/>
      <c r="J46" s="11">
        <v>20021</v>
      </c>
    </row>
    <row r="47" spans="1:10" s="67" customFormat="1" ht="39.950000000000003" customHeight="1">
      <c r="A47" s="66">
        <v>41</v>
      </c>
      <c r="B47" s="25" t="s">
        <v>118</v>
      </c>
      <c r="C47" s="75">
        <v>1</v>
      </c>
      <c r="D47" s="10" t="s">
        <v>15</v>
      </c>
      <c r="E47" s="11" t="s">
        <v>119</v>
      </c>
      <c r="F47" s="31">
        <v>45953</v>
      </c>
      <c r="G47" s="14" t="s">
        <v>299</v>
      </c>
      <c r="H47" s="66" t="s">
        <v>283</v>
      </c>
      <c r="I47" s="75"/>
      <c r="J47" s="11">
        <v>20021</v>
      </c>
    </row>
    <row r="48" spans="1:10" s="67" customFormat="1" ht="39.950000000000003" customHeight="1">
      <c r="A48" s="66">
        <v>42</v>
      </c>
      <c r="B48" s="21" t="s">
        <v>32</v>
      </c>
      <c r="C48" s="75">
        <v>1</v>
      </c>
      <c r="D48" s="10" t="s">
        <v>15</v>
      </c>
      <c r="E48" s="30" t="s">
        <v>121</v>
      </c>
      <c r="F48" s="31">
        <v>45951</v>
      </c>
      <c r="G48" s="11" t="s">
        <v>122</v>
      </c>
      <c r="H48" s="66" t="s">
        <v>283</v>
      </c>
      <c r="I48" s="75"/>
      <c r="J48" s="11">
        <v>20021</v>
      </c>
    </row>
    <row r="49" spans="1:14" s="67" customFormat="1" ht="39.950000000000003" customHeight="1">
      <c r="A49" s="66">
        <v>43</v>
      </c>
      <c r="B49" s="25" t="s">
        <v>123</v>
      </c>
      <c r="C49" s="75">
        <v>1</v>
      </c>
      <c r="D49" s="10" t="s">
        <v>15</v>
      </c>
      <c r="E49" s="30" t="s">
        <v>124</v>
      </c>
      <c r="F49" s="31">
        <v>45958</v>
      </c>
      <c r="G49" s="11" t="s">
        <v>23</v>
      </c>
      <c r="H49" s="66" t="s">
        <v>283</v>
      </c>
      <c r="I49" s="75"/>
      <c r="J49" s="11">
        <v>20021</v>
      </c>
    </row>
    <row r="50" spans="1:14" s="67" customFormat="1" ht="39.950000000000003" customHeight="1">
      <c r="A50" s="66">
        <v>44</v>
      </c>
      <c r="B50" s="8" t="s">
        <v>285</v>
      </c>
      <c r="C50" s="75">
        <v>1</v>
      </c>
      <c r="D50" s="10" t="s">
        <v>15</v>
      </c>
      <c r="E50" s="30" t="s">
        <v>124</v>
      </c>
      <c r="F50" s="31">
        <v>45958</v>
      </c>
      <c r="G50" s="11" t="s">
        <v>23</v>
      </c>
      <c r="H50" s="66" t="s">
        <v>283</v>
      </c>
      <c r="I50" s="75"/>
      <c r="J50" s="11">
        <v>20021</v>
      </c>
    </row>
    <row r="51" spans="1:14" s="67" customFormat="1" ht="39.950000000000003" customHeight="1">
      <c r="A51" s="66">
        <v>45</v>
      </c>
      <c r="B51" s="25" t="s">
        <v>300</v>
      </c>
      <c r="C51" s="75">
        <v>1</v>
      </c>
      <c r="D51" s="10" t="s">
        <v>15</v>
      </c>
      <c r="E51" s="30" t="s">
        <v>124</v>
      </c>
      <c r="F51" s="31">
        <v>45958</v>
      </c>
      <c r="G51" s="11" t="s">
        <v>23</v>
      </c>
      <c r="H51" s="66" t="s">
        <v>283</v>
      </c>
      <c r="I51" s="75"/>
      <c r="J51" s="11">
        <v>20021</v>
      </c>
      <c r="N51"/>
    </row>
    <row r="52" spans="1:14" s="67" customFormat="1" ht="39.950000000000003" customHeight="1">
      <c r="A52" s="66">
        <v>46</v>
      </c>
      <c r="B52" s="27" t="s">
        <v>127</v>
      </c>
      <c r="C52" s="75">
        <v>1</v>
      </c>
      <c r="D52" s="10" t="s">
        <v>15</v>
      </c>
      <c r="E52" s="30" t="s">
        <v>124</v>
      </c>
      <c r="F52" s="31">
        <v>45958</v>
      </c>
      <c r="G52" s="11" t="s">
        <v>23</v>
      </c>
      <c r="H52" s="66" t="s">
        <v>283</v>
      </c>
      <c r="I52" s="75"/>
      <c r="J52" s="11">
        <v>20021</v>
      </c>
      <c r="N52"/>
    </row>
    <row r="53" spans="1:14" s="67" customFormat="1" ht="39.950000000000003" customHeight="1">
      <c r="A53" s="66">
        <v>47</v>
      </c>
      <c r="B53" s="25" t="s">
        <v>53</v>
      </c>
      <c r="C53" s="75">
        <v>1</v>
      </c>
      <c r="D53" s="10" t="s">
        <v>15</v>
      </c>
      <c r="E53" s="30" t="s">
        <v>128</v>
      </c>
      <c r="F53" s="31">
        <v>45952</v>
      </c>
      <c r="G53" s="11" t="s">
        <v>28</v>
      </c>
      <c r="H53" s="66" t="s">
        <v>283</v>
      </c>
      <c r="I53" s="75"/>
      <c r="J53" s="11">
        <v>20021</v>
      </c>
      <c r="N53"/>
    </row>
    <row r="54" spans="1:14" s="67" customFormat="1" ht="39.950000000000003" customHeight="1">
      <c r="A54" s="66">
        <v>48</v>
      </c>
      <c r="B54" s="116" t="s">
        <v>129</v>
      </c>
      <c r="C54" s="75">
        <v>1</v>
      </c>
      <c r="D54" s="10" t="s">
        <v>15</v>
      </c>
      <c r="E54" s="30" t="s">
        <v>130</v>
      </c>
      <c r="F54" s="31">
        <v>45960</v>
      </c>
      <c r="G54" s="11" t="s">
        <v>301</v>
      </c>
      <c r="H54" s="66" t="s">
        <v>283</v>
      </c>
      <c r="I54" s="75"/>
      <c r="J54" s="11">
        <v>15060</v>
      </c>
      <c r="N54"/>
    </row>
    <row r="55" spans="1:14" s="67" customFormat="1" ht="39.950000000000003" customHeight="1">
      <c r="A55" s="66">
        <v>49</v>
      </c>
      <c r="B55" s="116" t="s">
        <v>302</v>
      </c>
      <c r="C55" s="75">
        <v>1</v>
      </c>
      <c r="D55" s="10" t="s">
        <v>15</v>
      </c>
      <c r="E55" s="30" t="s">
        <v>133</v>
      </c>
      <c r="F55" s="31">
        <v>45960</v>
      </c>
      <c r="G55" s="23" t="s">
        <v>134</v>
      </c>
      <c r="H55" s="66" t="s">
        <v>283</v>
      </c>
      <c r="I55" s="75"/>
      <c r="J55" s="11">
        <v>20021</v>
      </c>
      <c r="N55"/>
    </row>
    <row r="56" spans="1:14" s="67" customFormat="1" ht="39.950000000000003" customHeight="1">
      <c r="A56" s="66">
        <v>50</v>
      </c>
      <c r="B56" s="8" t="s">
        <v>135</v>
      </c>
      <c r="C56" s="75">
        <v>1</v>
      </c>
      <c r="D56" s="10" t="s">
        <v>15</v>
      </c>
      <c r="E56" s="30" t="s">
        <v>136</v>
      </c>
      <c r="F56" s="31">
        <v>45961</v>
      </c>
      <c r="G56" s="11" t="s">
        <v>122</v>
      </c>
      <c r="H56" s="66" t="s">
        <v>283</v>
      </c>
      <c r="I56" s="75"/>
      <c r="J56" s="11">
        <v>17655</v>
      </c>
      <c r="N56"/>
    </row>
    <row r="57" spans="1:14" s="67" customFormat="1" ht="39.950000000000003" customHeight="1">
      <c r="A57" s="66">
        <v>51</v>
      </c>
      <c r="B57" s="19" t="s">
        <v>21</v>
      </c>
      <c r="C57" s="75">
        <v>1</v>
      </c>
      <c r="D57" s="10" t="s">
        <v>15</v>
      </c>
      <c r="E57" s="30" t="s">
        <v>137</v>
      </c>
      <c r="F57" s="31">
        <v>45957</v>
      </c>
      <c r="G57" s="30" t="s">
        <v>34</v>
      </c>
      <c r="H57" s="66" t="s">
        <v>283</v>
      </c>
      <c r="I57" s="75"/>
      <c r="J57" s="11">
        <v>20021</v>
      </c>
      <c r="N57"/>
    </row>
    <row r="58" spans="1:14" s="67" customFormat="1" ht="39.950000000000003" customHeight="1">
      <c r="A58" s="66">
        <v>52</v>
      </c>
      <c r="B58" s="27" t="s">
        <v>138</v>
      </c>
      <c r="C58" s="75">
        <v>1</v>
      </c>
      <c r="D58" s="10" t="s">
        <v>15</v>
      </c>
      <c r="E58" s="30" t="s">
        <v>139</v>
      </c>
      <c r="F58" s="31">
        <v>45960</v>
      </c>
      <c r="G58" s="30" t="s">
        <v>62</v>
      </c>
      <c r="H58" s="66" t="s">
        <v>283</v>
      </c>
      <c r="I58" s="75"/>
      <c r="J58" s="11">
        <v>15060</v>
      </c>
      <c r="N58"/>
    </row>
    <row r="59" spans="1:14" s="67" customFormat="1" ht="39.950000000000003" customHeight="1">
      <c r="A59" s="66">
        <v>53</v>
      </c>
      <c r="B59" s="19" t="s">
        <v>21</v>
      </c>
      <c r="C59" s="75">
        <v>1</v>
      </c>
      <c r="D59" s="10" t="s">
        <v>15</v>
      </c>
      <c r="E59" s="30" t="s">
        <v>140</v>
      </c>
      <c r="F59" s="31">
        <v>45960</v>
      </c>
      <c r="G59" s="23" t="s">
        <v>299</v>
      </c>
      <c r="H59" s="66" t="s">
        <v>283</v>
      </c>
      <c r="I59" s="75"/>
      <c r="J59" s="11">
        <v>15060</v>
      </c>
      <c r="N59"/>
    </row>
    <row r="60" spans="1:14" s="67" customFormat="1" ht="39.950000000000003" customHeight="1">
      <c r="A60" s="66">
        <v>54</v>
      </c>
      <c r="B60" s="127" t="s">
        <v>141</v>
      </c>
      <c r="C60" s="75">
        <v>1</v>
      </c>
      <c r="D60" s="10" t="s">
        <v>15</v>
      </c>
      <c r="E60" s="30" t="s">
        <v>142</v>
      </c>
      <c r="F60" s="31">
        <v>45961</v>
      </c>
      <c r="G60" s="23" t="s">
        <v>134</v>
      </c>
      <c r="H60" s="66" t="s">
        <v>283</v>
      </c>
      <c r="I60" s="75"/>
      <c r="J60" s="11">
        <v>20021</v>
      </c>
      <c r="N60"/>
    </row>
    <row r="61" spans="1:14" s="67" customFormat="1" ht="39.950000000000003" customHeight="1">
      <c r="A61" s="66">
        <v>55</v>
      </c>
      <c r="B61" s="26" t="s">
        <v>286</v>
      </c>
      <c r="C61" s="75">
        <v>1</v>
      </c>
      <c r="D61" s="10" t="s">
        <v>15</v>
      </c>
      <c r="E61" s="30" t="s">
        <v>144</v>
      </c>
      <c r="F61" s="31">
        <v>45960</v>
      </c>
      <c r="G61" s="11" t="s">
        <v>88</v>
      </c>
      <c r="H61" s="66" t="s">
        <v>283</v>
      </c>
      <c r="I61" s="75"/>
      <c r="J61" s="29">
        <v>15060</v>
      </c>
      <c r="N61"/>
    </row>
    <row r="62" spans="1:14" s="67" customFormat="1" ht="39.950000000000003" customHeight="1">
      <c r="A62" s="66">
        <v>56</v>
      </c>
      <c r="B62" s="25" t="s">
        <v>145</v>
      </c>
      <c r="C62" s="75">
        <v>1</v>
      </c>
      <c r="D62" s="10" t="s">
        <v>15</v>
      </c>
      <c r="E62" s="30" t="s">
        <v>146</v>
      </c>
      <c r="F62" s="31">
        <v>45961</v>
      </c>
      <c r="G62" s="23" t="s">
        <v>70</v>
      </c>
      <c r="H62" s="66" t="s">
        <v>283</v>
      </c>
      <c r="I62" s="75"/>
      <c r="J62" s="29">
        <v>20021</v>
      </c>
      <c r="N62"/>
    </row>
    <row r="63" spans="1:14" s="67" customFormat="1" ht="39.950000000000003" customHeight="1">
      <c r="A63" s="66">
        <v>57</v>
      </c>
      <c r="B63" s="25" t="s">
        <v>147</v>
      </c>
      <c r="C63" s="75">
        <v>1</v>
      </c>
      <c r="D63" s="10" t="s">
        <v>15</v>
      </c>
      <c r="E63" s="30" t="s">
        <v>146</v>
      </c>
      <c r="F63" s="31">
        <v>45961</v>
      </c>
      <c r="G63" s="23" t="s">
        <v>70</v>
      </c>
      <c r="H63" s="66" t="s">
        <v>283</v>
      </c>
      <c r="I63" s="75"/>
      <c r="J63" s="29">
        <v>20021</v>
      </c>
      <c r="N63"/>
    </row>
    <row r="64" spans="1:14" s="67" customFormat="1" ht="39.950000000000003" customHeight="1">
      <c r="A64" s="66">
        <v>58</v>
      </c>
      <c r="B64" s="25" t="s">
        <v>126</v>
      </c>
      <c r="C64" s="75">
        <v>1</v>
      </c>
      <c r="D64" s="10" t="s">
        <v>15</v>
      </c>
      <c r="E64" s="30" t="s">
        <v>146</v>
      </c>
      <c r="F64" s="31">
        <v>45961</v>
      </c>
      <c r="G64" s="23" t="s">
        <v>70</v>
      </c>
      <c r="H64" s="66" t="s">
        <v>283</v>
      </c>
      <c r="I64" s="75"/>
      <c r="J64" s="11">
        <v>20021</v>
      </c>
      <c r="N64"/>
    </row>
    <row r="65" spans="1:14" s="67" customFormat="1" ht="39.950000000000003" customHeight="1">
      <c r="A65" s="66">
        <v>59</v>
      </c>
      <c r="B65" s="27" t="s">
        <v>148</v>
      </c>
      <c r="C65" s="75">
        <v>1</v>
      </c>
      <c r="D65" s="10" t="s">
        <v>15</v>
      </c>
      <c r="E65" s="30" t="s">
        <v>146</v>
      </c>
      <c r="F65" s="31">
        <v>45961</v>
      </c>
      <c r="G65" s="23" t="s">
        <v>70</v>
      </c>
      <c r="H65" s="66" t="s">
        <v>283</v>
      </c>
      <c r="I65" s="75"/>
      <c r="J65" s="11">
        <v>20021</v>
      </c>
      <c r="N65"/>
    </row>
    <row r="66" spans="1:14" s="67" customFormat="1" ht="39.950000000000003" customHeight="1">
      <c r="A66" s="66">
        <v>60</v>
      </c>
      <c r="B66" s="25" t="s">
        <v>145</v>
      </c>
      <c r="C66" s="75">
        <v>1</v>
      </c>
      <c r="D66" s="10" t="s">
        <v>15</v>
      </c>
      <c r="E66" s="30" t="s">
        <v>149</v>
      </c>
      <c r="F66" s="31">
        <v>45961</v>
      </c>
      <c r="G66" s="23" t="s">
        <v>70</v>
      </c>
      <c r="H66" s="66" t="s">
        <v>283</v>
      </c>
      <c r="I66" s="75"/>
      <c r="J66" s="11">
        <v>20021</v>
      </c>
      <c r="N66"/>
    </row>
    <row r="67" spans="1:14" s="67" customFormat="1" ht="39.950000000000003" customHeight="1">
      <c r="A67" s="66">
        <v>61</v>
      </c>
      <c r="B67" s="25" t="s">
        <v>147</v>
      </c>
      <c r="C67" s="75">
        <v>1</v>
      </c>
      <c r="D67" s="10" t="s">
        <v>15</v>
      </c>
      <c r="E67" s="30" t="s">
        <v>149</v>
      </c>
      <c r="F67" s="31">
        <v>45961</v>
      </c>
      <c r="G67" s="23" t="s">
        <v>70</v>
      </c>
      <c r="H67" s="66" t="s">
        <v>283</v>
      </c>
      <c r="I67" s="75"/>
      <c r="J67" s="11">
        <v>17655</v>
      </c>
      <c r="N67"/>
    </row>
    <row r="68" spans="1:14" s="67" customFormat="1" ht="39.950000000000003" customHeight="1">
      <c r="A68" s="66">
        <v>62</v>
      </c>
      <c r="B68" s="25" t="s">
        <v>126</v>
      </c>
      <c r="C68" s="75">
        <v>1</v>
      </c>
      <c r="D68" s="10" t="s">
        <v>15</v>
      </c>
      <c r="E68" s="30" t="s">
        <v>149</v>
      </c>
      <c r="F68" s="31">
        <v>45961</v>
      </c>
      <c r="G68" s="23" t="s">
        <v>70</v>
      </c>
      <c r="H68" s="66" t="s">
        <v>283</v>
      </c>
      <c r="I68" s="75"/>
      <c r="J68" s="11">
        <v>17655</v>
      </c>
      <c r="N68"/>
    </row>
    <row r="69" spans="1:14" s="67" customFormat="1" ht="39.950000000000003" customHeight="1">
      <c r="A69" s="66">
        <v>63</v>
      </c>
      <c r="B69" s="27" t="s">
        <v>150</v>
      </c>
      <c r="C69" s="75">
        <v>1</v>
      </c>
      <c r="D69" s="10" t="s">
        <v>15</v>
      </c>
      <c r="E69" s="30" t="s">
        <v>149</v>
      </c>
      <c r="F69" s="31">
        <v>45961</v>
      </c>
      <c r="G69" s="23" t="s">
        <v>70</v>
      </c>
      <c r="H69" s="66" t="s">
        <v>283</v>
      </c>
      <c r="I69" s="75"/>
      <c r="J69" s="11">
        <v>20021</v>
      </c>
      <c r="N69"/>
    </row>
    <row r="70" spans="1:14" s="67" customFormat="1" ht="39.950000000000003" customHeight="1">
      <c r="A70" s="66">
        <v>64</v>
      </c>
      <c r="B70" s="21" t="s">
        <v>151</v>
      </c>
      <c r="C70" s="75">
        <v>1</v>
      </c>
      <c r="D70" s="10" t="s">
        <v>15</v>
      </c>
      <c r="E70" s="20" t="s">
        <v>152</v>
      </c>
      <c r="F70" s="12">
        <v>45965</v>
      </c>
      <c r="G70" s="11" t="s">
        <v>45</v>
      </c>
      <c r="H70" s="66" t="s">
        <v>283</v>
      </c>
      <c r="I70" s="75"/>
      <c r="J70" s="11">
        <v>26350</v>
      </c>
      <c r="N70"/>
    </row>
    <row r="71" spans="1:14" s="67" customFormat="1" ht="39.950000000000003" customHeight="1">
      <c r="A71" s="66">
        <v>65</v>
      </c>
      <c r="B71" s="19" t="s">
        <v>153</v>
      </c>
      <c r="C71" s="75">
        <v>1</v>
      </c>
      <c r="D71" s="10" t="s">
        <v>15</v>
      </c>
      <c r="E71" s="20" t="s">
        <v>154</v>
      </c>
      <c r="F71" s="12">
        <v>45966</v>
      </c>
      <c r="G71" s="11" t="s">
        <v>17</v>
      </c>
      <c r="H71" s="66" t="s">
        <v>283</v>
      </c>
      <c r="I71" s="75"/>
      <c r="J71" s="11">
        <v>20021</v>
      </c>
      <c r="N71"/>
    </row>
    <row r="72" spans="1:14" s="67" customFormat="1" ht="39.950000000000003" customHeight="1">
      <c r="A72" s="66">
        <v>66</v>
      </c>
      <c r="B72" s="8" t="s">
        <v>303</v>
      </c>
      <c r="C72" s="75">
        <v>1</v>
      </c>
      <c r="D72" s="10" t="s">
        <v>15</v>
      </c>
      <c r="E72" s="20" t="s">
        <v>155</v>
      </c>
      <c r="F72" s="12">
        <v>45966</v>
      </c>
      <c r="G72" s="14" t="s">
        <v>304</v>
      </c>
      <c r="H72" s="66"/>
      <c r="I72" s="75"/>
      <c r="J72" s="11">
        <v>26350</v>
      </c>
      <c r="N72"/>
    </row>
    <row r="73" spans="1:14" s="67" customFormat="1" ht="39.950000000000003" customHeight="1">
      <c r="A73" s="66">
        <v>67</v>
      </c>
      <c r="B73" s="25" t="s">
        <v>156</v>
      </c>
      <c r="C73" s="75">
        <v>1</v>
      </c>
      <c r="D73" s="10" t="s">
        <v>15</v>
      </c>
      <c r="E73" s="20" t="s">
        <v>157</v>
      </c>
      <c r="F73" s="12">
        <v>45968</v>
      </c>
      <c r="G73" s="14" t="s">
        <v>122</v>
      </c>
      <c r="H73" s="66" t="s">
        <v>283</v>
      </c>
      <c r="I73" s="75"/>
      <c r="J73" s="11">
        <v>17655</v>
      </c>
      <c r="N73"/>
    </row>
    <row r="74" spans="1:14" s="67" customFormat="1" ht="39.950000000000003" customHeight="1">
      <c r="A74" s="66">
        <v>68</v>
      </c>
      <c r="B74" s="25" t="s">
        <v>158</v>
      </c>
      <c r="C74" s="75">
        <v>1</v>
      </c>
      <c r="D74" s="10" t="s">
        <v>15</v>
      </c>
      <c r="E74" s="20" t="s">
        <v>159</v>
      </c>
      <c r="F74" s="12">
        <v>45966</v>
      </c>
      <c r="G74" s="11" t="s">
        <v>305</v>
      </c>
      <c r="H74" s="66" t="s">
        <v>283</v>
      </c>
      <c r="I74" s="75"/>
      <c r="J74" s="11">
        <v>20021</v>
      </c>
      <c r="N74"/>
    </row>
    <row r="75" spans="1:14" s="67" customFormat="1" ht="39.950000000000003" customHeight="1">
      <c r="A75" s="66">
        <v>69</v>
      </c>
      <c r="B75" s="25" t="s">
        <v>161</v>
      </c>
      <c r="C75" s="75">
        <v>1</v>
      </c>
      <c r="D75" s="10" t="s">
        <v>15</v>
      </c>
      <c r="E75" s="20" t="s">
        <v>162</v>
      </c>
      <c r="F75" s="12">
        <v>45968</v>
      </c>
      <c r="G75" s="11" t="s">
        <v>122</v>
      </c>
      <c r="H75" s="66" t="s">
        <v>283</v>
      </c>
      <c r="I75" s="75"/>
      <c r="J75" s="11">
        <v>17655</v>
      </c>
      <c r="N75"/>
    </row>
    <row r="76" spans="1:14" s="67" customFormat="1" ht="39.950000000000003" customHeight="1">
      <c r="A76" s="66">
        <v>70</v>
      </c>
      <c r="B76" s="28" t="s">
        <v>89</v>
      </c>
      <c r="C76" s="75">
        <v>1</v>
      </c>
      <c r="D76" s="10" t="s">
        <v>15</v>
      </c>
      <c r="E76" s="20" t="s">
        <v>163</v>
      </c>
      <c r="F76" s="12">
        <v>45972</v>
      </c>
      <c r="G76" s="23" t="s">
        <v>110</v>
      </c>
      <c r="H76" s="66" t="s">
        <v>283</v>
      </c>
      <c r="I76" s="75"/>
      <c r="J76" s="11">
        <v>20021</v>
      </c>
      <c r="N76"/>
    </row>
    <row r="77" spans="1:14" s="67" customFormat="1" ht="39.950000000000003" customHeight="1">
      <c r="A77" s="66">
        <v>71</v>
      </c>
      <c r="B77" s="25" t="s">
        <v>53</v>
      </c>
      <c r="C77" s="75">
        <v>1</v>
      </c>
      <c r="D77" s="10" t="s">
        <v>15</v>
      </c>
      <c r="E77" s="20" t="s">
        <v>164</v>
      </c>
      <c r="F77" s="12">
        <v>45972</v>
      </c>
      <c r="G77" s="11" t="s">
        <v>28</v>
      </c>
      <c r="H77" s="66" t="s">
        <v>283</v>
      </c>
      <c r="I77" s="75"/>
      <c r="J77" s="11">
        <v>20021</v>
      </c>
      <c r="N77"/>
    </row>
    <row r="78" spans="1:14" s="67" customFormat="1" ht="39.950000000000003" customHeight="1">
      <c r="A78" s="66">
        <v>72</v>
      </c>
      <c r="B78" s="25" t="s">
        <v>53</v>
      </c>
      <c r="C78" s="75">
        <v>1</v>
      </c>
      <c r="D78" s="10" t="s">
        <v>15</v>
      </c>
      <c r="E78" s="20" t="s">
        <v>165</v>
      </c>
      <c r="F78" s="12">
        <v>45972</v>
      </c>
      <c r="G78" s="11" t="s">
        <v>99</v>
      </c>
      <c r="H78" s="66" t="s">
        <v>283</v>
      </c>
      <c r="I78" s="75"/>
      <c r="J78" s="11">
        <v>20021</v>
      </c>
      <c r="N78"/>
    </row>
    <row r="79" spans="1:14" s="67" customFormat="1" ht="39.950000000000003" customHeight="1">
      <c r="A79" s="66">
        <v>73</v>
      </c>
      <c r="B79" s="19" t="s">
        <v>166</v>
      </c>
      <c r="C79" s="75">
        <v>1</v>
      </c>
      <c r="D79" s="10" t="s">
        <v>15</v>
      </c>
      <c r="E79" s="20" t="s">
        <v>167</v>
      </c>
      <c r="F79" s="12">
        <v>45972</v>
      </c>
      <c r="G79" s="11" t="s">
        <v>28</v>
      </c>
      <c r="H79" s="66" t="s">
        <v>283</v>
      </c>
      <c r="I79" s="75"/>
      <c r="J79" s="11">
        <v>17655</v>
      </c>
      <c r="N79"/>
    </row>
    <row r="80" spans="1:14" s="67" customFormat="1" ht="39.950000000000003" customHeight="1">
      <c r="A80" s="66">
        <v>74</v>
      </c>
      <c r="B80" s="25" t="s">
        <v>306</v>
      </c>
      <c r="C80" s="75">
        <v>1</v>
      </c>
      <c r="D80" s="10" t="s">
        <v>15</v>
      </c>
      <c r="E80" s="20" t="s">
        <v>168</v>
      </c>
      <c r="F80" s="12">
        <v>45972</v>
      </c>
      <c r="G80" s="11" t="s">
        <v>28</v>
      </c>
      <c r="H80" s="66" t="s">
        <v>283</v>
      </c>
      <c r="I80" s="75"/>
      <c r="J80" s="11">
        <v>2021</v>
      </c>
      <c r="N80"/>
    </row>
    <row r="81" spans="1:14" s="67" customFormat="1" ht="39.950000000000003" customHeight="1">
      <c r="A81" s="66">
        <v>75</v>
      </c>
      <c r="B81" s="27" t="s">
        <v>169</v>
      </c>
      <c r="C81" s="75">
        <v>1</v>
      </c>
      <c r="D81" s="10" t="s">
        <v>15</v>
      </c>
      <c r="E81" s="20" t="s">
        <v>170</v>
      </c>
      <c r="F81" s="12">
        <v>45987</v>
      </c>
      <c r="G81" s="23" t="s">
        <v>110</v>
      </c>
      <c r="H81" s="66" t="s">
        <v>283</v>
      </c>
      <c r="I81" s="75"/>
      <c r="J81" s="11">
        <v>20021</v>
      </c>
      <c r="N81"/>
    </row>
    <row r="82" spans="1:14" s="67" customFormat="1" ht="39.950000000000003" customHeight="1">
      <c r="A82" s="66">
        <v>76</v>
      </c>
      <c r="B82" s="26" t="s">
        <v>171</v>
      </c>
      <c r="C82" s="75">
        <v>1</v>
      </c>
      <c r="D82" s="10" t="s">
        <v>15</v>
      </c>
      <c r="E82" s="20" t="s">
        <v>172</v>
      </c>
      <c r="F82" s="12">
        <v>45973</v>
      </c>
      <c r="G82" s="23" t="s">
        <v>299</v>
      </c>
      <c r="H82" s="66" t="s">
        <v>283</v>
      </c>
      <c r="I82" s="75"/>
      <c r="J82" s="11">
        <v>20021</v>
      </c>
      <c r="N82"/>
    </row>
    <row r="83" spans="1:14" s="67" customFormat="1" ht="39.950000000000003" customHeight="1">
      <c r="A83" s="66">
        <v>77</v>
      </c>
      <c r="B83" s="25" t="s">
        <v>173</v>
      </c>
      <c r="C83" s="75">
        <v>1</v>
      </c>
      <c r="D83" s="10" t="s">
        <v>15</v>
      </c>
      <c r="E83" s="20" t="s">
        <v>174</v>
      </c>
      <c r="F83" s="12">
        <v>45975</v>
      </c>
      <c r="G83" s="11" t="s">
        <v>28</v>
      </c>
      <c r="H83" s="66" t="s">
        <v>283</v>
      </c>
      <c r="I83" s="75"/>
      <c r="J83" s="11">
        <v>17655</v>
      </c>
      <c r="N83"/>
    </row>
    <row r="84" spans="1:14" s="67" customFormat="1" ht="39.950000000000003" customHeight="1">
      <c r="A84" s="66">
        <v>78</v>
      </c>
      <c r="B84" s="19" t="s">
        <v>307</v>
      </c>
      <c r="C84" s="75">
        <v>1</v>
      </c>
      <c r="D84" s="10" t="s">
        <v>15</v>
      </c>
      <c r="E84" s="20" t="s">
        <v>175</v>
      </c>
      <c r="F84" s="12">
        <v>45974</v>
      </c>
      <c r="G84" s="11" t="s">
        <v>299</v>
      </c>
      <c r="H84" s="66" t="s">
        <v>283</v>
      </c>
      <c r="I84" s="75"/>
      <c r="J84" s="11">
        <v>20021</v>
      </c>
      <c r="N84"/>
    </row>
    <row r="85" spans="1:14" s="67" customFormat="1" ht="39.950000000000003" customHeight="1">
      <c r="A85" s="66">
        <v>79</v>
      </c>
      <c r="B85" s="25" t="s">
        <v>26</v>
      </c>
      <c r="C85" s="75">
        <v>1</v>
      </c>
      <c r="D85" s="10" t="s">
        <v>15</v>
      </c>
      <c r="E85" s="20" t="s">
        <v>176</v>
      </c>
      <c r="F85" s="12">
        <v>45987</v>
      </c>
      <c r="G85" s="23" t="s">
        <v>28</v>
      </c>
      <c r="H85" s="66" t="s">
        <v>283</v>
      </c>
      <c r="I85" s="75"/>
      <c r="J85" s="11">
        <v>20021</v>
      </c>
      <c r="N85"/>
    </row>
    <row r="86" spans="1:14" s="67" customFormat="1" ht="39.950000000000003" customHeight="1">
      <c r="A86" s="66">
        <v>80</v>
      </c>
      <c r="B86" s="25" t="s">
        <v>177</v>
      </c>
      <c r="C86" s="75">
        <v>1</v>
      </c>
      <c r="D86" s="10" t="s">
        <v>15</v>
      </c>
      <c r="E86" s="20" t="s">
        <v>178</v>
      </c>
      <c r="F86" s="12">
        <v>45978</v>
      </c>
      <c r="G86" s="23" t="s">
        <v>179</v>
      </c>
      <c r="H86" s="66" t="s">
        <v>283</v>
      </c>
      <c r="I86" s="75"/>
      <c r="J86" s="11">
        <v>20021</v>
      </c>
      <c r="N86"/>
    </row>
    <row r="87" spans="1:14" s="67" customFormat="1" ht="39.950000000000003" customHeight="1">
      <c r="A87" s="66">
        <v>81</v>
      </c>
      <c r="B87" s="25" t="s">
        <v>180</v>
      </c>
      <c r="C87" s="75">
        <v>1</v>
      </c>
      <c r="D87" s="10" t="s">
        <v>15</v>
      </c>
      <c r="E87" s="20" t="s">
        <v>181</v>
      </c>
      <c r="F87" s="12">
        <v>45987</v>
      </c>
      <c r="G87" s="23" t="s">
        <v>301</v>
      </c>
      <c r="H87" s="66" t="s">
        <v>283</v>
      </c>
      <c r="I87" s="75"/>
      <c r="J87" s="11">
        <v>20021</v>
      </c>
      <c r="N87"/>
    </row>
    <row r="88" spans="1:14" s="67" customFormat="1" ht="39.950000000000003" customHeight="1">
      <c r="A88" s="66">
        <v>82</v>
      </c>
      <c r="B88" s="27" t="s">
        <v>182</v>
      </c>
      <c r="C88" s="75">
        <v>1</v>
      </c>
      <c r="D88" s="10" t="s">
        <v>15</v>
      </c>
      <c r="E88" s="20" t="s">
        <v>183</v>
      </c>
      <c r="F88" s="12">
        <v>45980</v>
      </c>
      <c r="G88" s="23" t="s">
        <v>308</v>
      </c>
      <c r="H88" s="66" t="s">
        <v>283</v>
      </c>
      <c r="I88" s="75"/>
      <c r="J88" s="11">
        <v>20021</v>
      </c>
      <c r="N88"/>
    </row>
    <row r="89" spans="1:14" s="67" customFormat="1" ht="39.950000000000003" customHeight="1">
      <c r="A89" s="66">
        <v>83</v>
      </c>
      <c r="B89" s="25" t="s">
        <v>184</v>
      </c>
      <c r="C89" s="75">
        <v>1</v>
      </c>
      <c r="D89" s="10" t="s">
        <v>15</v>
      </c>
      <c r="E89" s="20" t="s">
        <v>185</v>
      </c>
      <c r="F89" s="12">
        <v>45987</v>
      </c>
      <c r="G89" s="11" t="s">
        <v>309</v>
      </c>
      <c r="H89" s="66" t="s">
        <v>283</v>
      </c>
      <c r="I89" s="75"/>
      <c r="J89" s="11">
        <v>20021</v>
      </c>
      <c r="N89"/>
    </row>
    <row r="90" spans="1:14" s="67" customFormat="1" ht="39.950000000000003" customHeight="1">
      <c r="A90" s="66">
        <v>84</v>
      </c>
      <c r="B90" s="27" t="s">
        <v>186</v>
      </c>
      <c r="C90" s="75">
        <v>1</v>
      </c>
      <c r="D90" s="10" t="s">
        <v>15</v>
      </c>
      <c r="E90" s="20" t="s">
        <v>187</v>
      </c>
      <c r="F90" s="12">
        <v>45980</v>
      </c>
      <c r="G90" s="23" t="s">
        <v>179</v>
      </c>
      <c r="H90" s="66" t="s">
        <v>283</v>
      </c>
      <c r="I90" s="75"/>
      <c r="J90" s="11">
        <v>20021</v>
      </c>
      <c r="N90"/>
    </row>
    <row r="91" spans="1:14" s="67" customFormat="1" ht="39.950000000000003" customHeight="1">
      <c r="A91" s="66">
        <v>85</v>
      </c>
      <c r="B91" s="27" t="s">
        <v>188</v>
      </c>
      <c r="C91" s="75">
        <v>1</v>
      </c>
      <c r="D91" s="10" t="s">
        <v>15</v>
      </c>
      <c r="E91" s="20" t="s">
        <v>189</v>
      </c>
      <c r="F91" s="12">
        <v>45980</v>
      </c>
      <c r="G91" s="23" t="s">
        <v>310</v>
      </c>
      <c r="H91" s="66" t="s">
        <v>283</v>
      </c>
      <c r="I91" s="75"/>
      <c r="J91" s="11">
        <v>20021</v>
      </c>
      <c r="N91"/>
    </row>
    <row r="92" spans="1:14" s="67" customFormat="1" ht="39.950000000000003" customHeight="1">
      <c r="A92" s="66">
        <v>86</v>
      </c>
      <c r="B92" s="38" t="s">
        <v>190</v>
      </c>
      <c r="C92" s="75">
        <v>1</v>
      </c>
      <c r="D92" s="10" t="s">
        <v>15</v>
      </c>
      <c r="E92" s="20" t="s">
        <v>191</v>
      </c>
      <c r="F92" s="12">
        <v>45982</v>
      </c>
      <c r="G92" s="11" t="s">
        <v>296</v>
      </c>
      <c r="H92" s="66" t="s">
        <v>283</v>
      </c>
      <c r="I92" s="75"/>
      <c r="J92" s="11">
        <v>20021</v>
      </c>
      <c r="N92"/>
    </row>
    <row r="93" spans="1:14" s="67" customFormat="1" ht="39.950000000000003" customHeight="1">
      <c r="A93" s="66">
        <v>87</v>
      </c>
      <c r="B93" s="25" t="s">
        <v>68</v>
      </c>
      <c r="C93" s="75">
        <v>1</v>
      </c>
      <c r="D93" s="10" t="s">
        <v>15</v>
      </c>
      <c r="E93" s="20" t="s">
        <v>193</v>
      </c>
      <c r="F93" s="12">
        <v>45981</v>
      </c>
      <c r="G93" s="14" t="s">
        <v>28</v>
      </c>
      <c r="H93" s="66" t="s">
        <v>283</v>
      </c>
      <c r="I93" s="75"/>
      <c r="J93" s="11">
        <v>20021</v>
      </c>
      <c r="N93"/>
    </row>
    <row r="94" spans="1:14" s="67" customFormat="1" ht="39.950000000000003" customHeight="1">
      <c r="A94" s="66">
        <v>88</v>
      </c>
      <c r="B94" s="25" t="s">
        <v>194</v>
      </c>
      <c r="C94" s="75">
        <v>1</v>
      </c>
      <c r="D94" s="10" t="s">
        <v>15</v>
      </c>
      <c r="E94" s="20" t="s">
        <v>195</v>
      </c>
      <c r="F94" s="12">
        <v>45988</v>
      </c>
      <c r="G94" s="14" t="s">
        <v>23</v>
      </c>
      <c r="H94" s="66" t="s">
        <v>283</v>
      </c>
      <c r="I94" s="75"/>
      <c r="J94" s="11">
        <v>17655</v>
      </c>
      <c r="N94"/>
    </row>
    <row r="95" spans="1:14" s="67" customFormat="1" ht="39.950000000000003" customHeight="1">
      <c r="A95" s="66">
        <v>89</v>
      </c>
      <c r="B95" s="25" t="s">
        <v>196</v>
      </c>
      <c r="C95" s="75">
        <v>1</v>
      </c>
      <c r="D95" s="10" t="s">
        <v>15</v>
      </c>
      <c r="E95" s="11" t="s">
        <v>197</v>
      </c>
      <c r="F95" s="12">
        <v>45981</v>
      </c>
      <c r="G95" s="14" t="s">
        <v>311</v>
      </c>
      <c r="H95" s="66" t="s">
        <v>283</v>
      </c>
      <c r="I95" s="75"/>
      <c r="J95" s="11">
        <v>15060</v>
      </c>
      <c r="N95"/>
    </row>
    <row r="96" spans="1:14" s="67" customFormat="1" ht="39.950000000000003" customHeight="1">
      <c r="A96" s="66">
        <v>90</v>
      </c>
      <c r="B96" s="27" t="s">
        <v>199</v>
      </c>
      <c r="C96" s="75">
        <v>1</v>
      </c>
      <c r="D96" s="10" t="s">
        <v>15</v>
      </c>
      <c r="E96" s="20" t="s">
        <v>200</v>
      </c>
      <c r="F96" s="12">
        <v>45985</v>
      </c>
      <c r="G96" s="14" t="s">
        <v>62</v>
      </c>
      <c r="H96" s="66" t="s">
        <v>283</v>
      </c>
      <c r="I96" s="75"/>
      <c r="J96" s="11">
        <v>20021</v>
      </c>
      <c r="N96"/>
    </row>
    <row r="97" spans="1:17" s="67" customFormat="1" ht="39.950000000000003" customHeight="1">
      <c r="A97" s="66">
        <v>91</v>
      </c>
      <c r="B97" s="8" t="s">
        <v>188</v>
      </c>
      <c r="C97" s="75">
        <v>1</v>
      </c>
      <c r="D97" s="10" t="s">
        <v>15</v>
      </c>
      <c r="E97" s="20" t="s">
        <v>201</v>
      </c>
      <c r="F97" s="12">
        <v>45985</v>
      </c>
      <c r="G97" s="11" t="s">
        <v>99</v>
      </c>
      <c r="H97" s="66" t="s">
        <v>283</v>
      </c>
      <c r="I97" s="75"/>
      <c r="J97" s="11">
        <v>20021</v>
      </c>
      <c r="N97"/>
    </row>
    <row r="98" spans="1:17" s="67" customFormat="1" ht="39.950000000000003" customHeight="1">
      <c r="A98" s="66">
        <v>92</v>
      </c>
      <c r="B98" s="21" t="s">
        <v>202</v>
      </c>
      <c r="C98" s="75">
        <v>1</v>
      </c>
      <c r="D98" s="10" t="s">
        <v>15</v>
      </c>
      <c r="E98" s="20" t="s">
        <v>203</v>
      </c>
      <c r="F98" s="12">
        <v>45988</v>
      </c>
      <c r="G98" s="23" t="s">
        <v>96</v>
      </c>
      <c r="H98" s="66" t="s">
        <v>283</v>
      </c>
      <c r="I98" s="75"/>
      <c r="J98" s="11">
        <v>20021</v>
      </c>
      <c r="N98"/>
    </row>
    <row r="99" spans="1:17" s="67" customFormat="1" ht="39.950000000000003" customHeight="1">
      <c r="A99" s="66">
        <v>93</v>
      </c>
      <c r="B99" s="26" t="s">
        <v>204</v>
      </c>
      <c r="C99" s="75">
        <v>1</v>
      </c>
      <c r="D99" s="10" t="s">
        <v>15</v>
      </c>
      <c r="E99" s="20" t="s">
        <v>205</v>
      </c>
      <c r="F99" s="12">
        <v>45988</v>
      </c>
      <c r="G99" s="23" t="s">
        <v>96</v>
      </c>
      <c r="H99" s="66" t="s">
        <v>283</v>
      </c>
      <c r="I99" s="75"/>
      <c r="J99" s="11">
        <v>20021</v>
      </c>
      <c r="N99"/>
    </row>
    <row r="100" spans="1:17" s="67" customFormat="1" ht="39.950000000000003" customHeight="1">
      <c r="A100" s="66">
        <v>94</v>
      </c>
      <c r="B100" s="25" t="s">
        <v>177</v>
      </c>
      <c r="C100" s="75">
        <v>1</v>
      </c>
      <c r="D100" s="10" t="s">
        <v>15</v>
      </c>
      <c r="E100" s="20" t="s">
        <v>206</v>
      </c>
      <c r="F100" s="12">
        <v>45989</v>
      </c>
      <c r="G100" s="11" t="s">
        <v>70</v>
      </c>
      <c r="H100" s="66" t="s">
        <v>283</v>
      </c>
      <c r="I100" s="75"/>
      <c r="J100" s="11">
        <v>23169</v>
      </c>
      <c r="N100"/>
    </row>
    <row r="101" spans="1:17" s="67" customFormat="1" ht="39.950000000000003" customHeight="1">
      <c r="A101" s="66">
        <v>95</v>
      </c>
      <c r="B101" s="25" t="s">
        <v>53</v>
      </c>
      <c r="C101" s="75">
        <v>1</v>
      </c>
      <c r="D101" s="10" t="s">
        <v>15</v>
      </c>
      <c r="E101" s="20" t="s">
        <v>207</v>
      </c>
      <c r="F101" s="12">
        <v>45989</v>
      </c>
      <c r="G101" s="11" t="s">
        <v>301</v>
      </c>
      <c r="H101" s="66" t="s">
        <v>283</v>
      </c>
      <c r="I101" s="75"/>
      <c r="J101" s="11">
        <v>20021</v>
      </c>
      <c r="N101"/>
    </row>
    <row r="102" spans="1:17" s="67" customFormat="1" ht="39.950000000000003" customHeight="1">
      <c r="A102" s="66">
        <v>96</v>
      </c>
      <c r="B102" s="25" t="s">
        <v>208</v>
      </c>
      <c r="C102" s="75">
        <v>1</v>
      </c>
      <c r="D102" s="10" t="s">
        <v>15</v>
      </c>
      <c r="E102" s="20" t="s">
        <v>209</v>
      </c>
      <c r="F102" s="12">
        <v>45990</v>
      </c>
      <c r="G102" s="11" t="s">
        <v>28</v>
      </c>
      <c r="H102" s="66" t="s">
        <v>283</v>
      </c>
      <c r="I102" s="75"/>
      <c r="J102" s="11">
        <v>17655</v>
      </c>
      <c r="N102"/>
    </row>
    <row r="103" spans="1:17" s="67" customFormat="1" ht="39.950000000000003" customHeight="1">
      <c r="A103" s="66">
        <v>97</v>
      </c>
      <c r="B103" s="25" t="s">
        <v>210</v>
      </c>
      <c r="C103" s="75">
        <v>1</v>
      </c>
      <c r="D103" s="10" t="s">
        <v>15</v>
      </c>
      <c r="E103" s="20" t="s">
        <v>211</v>
      </c>
      <c r="F103" s="12">
        <v>45989</v>
      </c>
      <c r="G103" s="14" t="s">
        <v>23</v>
      </c>
      <c r="H103" s="66" t="s">
        <v>283</v>
      </c>
      <c r="I103" s="75"/>
      <c r="J103" s="11">
        <v>17655</v>
      </c>
      <c r="N103"/>
    </row>
    <row r="104" spans="1:17" s="67" customFormat="1" ht="39.950000000000003" customHeight="1">
      <c r="A104" s="66">
        <v>98</v>
      </c>
      <c r="B104" s="8" t="s">
        <v>212</v>
      </c>
      <c r="C104" s="75">
        <v>1</v>
      </c>
      <c r="D104" s="10" t="s">
        <v>15</v>
      </c>
      <c r="E104" s="11" t="s">
        <v>213</v>
      </c>
      <c r="F104" s="12">
        <v>45992</v>
      </c>
      <c r="G104" s="11" t="s">
        <v>312</v>
      </c>
      <c r="H104" s="66" t="s">
        <v>283</v>
      </c>
      <c r="I104" s="75"/>
      <c r="J104" s="11">
        <v>17655</v>
      </c>
      <c r="N104"/>
    </row>
    <row r="105" spans="1:17" s="67" customFormat="1" ht="39.950000000000003" customHeight="1">
      <c r="A105" s="66">
        <v>99</v>
      </c>
      <c r="B105" s="21" t="s">
        <v>215</v>
      </c>
      <c r="C105" s="75">
        <v>1</v>
      </c>
      <c r="D105" s="10" t="s">
        <v>15</v>
      </c>
      <c r="E105" s="11" t="s">
        <v>216</v>
      </c>
      <c r="F105" s="31">
        <v>45992</v>
      </c>
      <c r="G105" s="23" t="s">
        <v>313</v>
      </c>
      <c r="H105" s="66" t="s">
        <v>283</v>
      </c>
      <c r="I105" s="75"/>
      <c r="J105" s="11">
        <v>20021</v>
      </c>
      <c r="N105"/>
      <c r="O105"/>
    </row>
    <row r="106" spans="1:17" s="67" customFormat="1" ht="39.950000000000003" customHeight="1">
      <c r="A106" s="66">
        <v>100</v>
      </c>
      <c r="B106" s="25" t="s">
        <v>218</v>
      </c>
      <c r="C106" s="75">
        <v>1</v>
      </c>
      <c r="D106" s="10" t="s">
        <v>15</v>
      </c>
      <c r="E106" s="11" t="s">
        <v>219</v>
      </c>
      <c r="F106" s="12">
        <v>45996</v>
      </c>
      <c r="G106" s="11" t="s">
        <v>220</v>
      </c>
      <c r="H106" s="66" t="s">
        <v>283</v>
      </c>
      <c r="I106" s="75"/>
      <c r="J106" s="11">
        <v>20021</v>
      </c>
      <c r="N106"/>
      <c r="O106"/>
    </row>
    <row r="107" spans="1:17" s="67" customFormat="1" ht="39.950000000000003" customHeight="1">
      <c r="A107" s="66">
        <v>101</v>
      </c>
      <c r="B107" s="24" t="s">
        <v>158</v>
      </c>
      <c r="C107" s="75">
        <v>1</v>
      </c>
      <c r="D107" s="10" t="s">
        <v>15</v>
      </c>
      <c r="E107" s="11" t="s">
        <v>221</v>
      </c>
      <c r="F107" s="12">
        <v>45994</v>
      </c>
      <c r="G107" s="11" t="s">
        <v>309</v>
      </c>
      <c r="H107" s="66" t="s">
        <v>283</v>
      </c>
      <c r="I107" s="75"/>
      <c r="J107" s="11">
        <v>20021</v>
      </c>
      <c r="N107"/>
      <c r="O107"/>
    </row>
    <row r="108" spans="1:17" s="67" customFormat="1" ht="39.950000000000003" customHeight="1">
      <c r="A108" s="66">
        <v>102</v>
      </c>
      <c r="B108" s="25" t="s">
        <v>53</v>
      </c>
      <c r="C108" s="75">
        <v>1</v>
      </c>
      <c r="D108" s="10" t="s">
        <v>15</v>
      </c>
      <c r="E108" s="11" t="s">
        <v>222</v>
      </c>
      <c r="F108" s="12">
        <v>45994</v>
      </c>
      <c r="G108" s="11" t="s">
        <v>299</v>
      </c>
      <c r="H108" s="66" t="s">
        <v>283</v>
      </c>
      <c r="I108" s="75"/>
      <c r="J108" s="11">
        <v>20021</v>
      </c>
      <c r="N108"/>
      <c r="O108"/>
    </row>
    <row r="109" spans="1:17" s="67" customFormat="1" ht="39.950000000000003" customHeight="1">
      <c r="A109" s="66">
        <v>103</v>
      </c>
      <c r="B109" s="25" t="s">
        <v>53</v>
      </c>
      <c r="C109" s="75">
        <v>1</v>
      </c>
      <c r="D109" s="10" t="s">
        <v>15</v>
      </c>
      <c r="E109" s="11" t="s">
        <v>223</v>
      </c>
      <c r="F109" s="12">
        <v>45994</v>
      </c>
      <c r="G109" s="11" t="s">
        <v>28</v>
      </c>
      <c r="H109" s="66" t="s">
        <v>283</v>
      </c>
      <c r="I109" s="75"/>
      <c r="J109" s="11">
        <v>20021</v>
      </c>
      <c r="M109"/>
      <c r="N109"/>
      <c r="O109"/>
    </row>
    <row r="110" spans="1:17" s="67" customFormat="1" ht="39.950000000000003" customHeight="1">
      <c r="A110" s="66">
        <v>104</v>
      </c>
      <c r="B110" s="25" t="s">
        <v>53</v>
      </c>
      <c r="C110" s="75">
        <v>1</v>
      </c>
      <c r="D110" s="10" t="s">
        <v>15</v>
      </c>
      <c r="E110" s="11" t="s">
        <v>224</v>
      </c>
      <c r="F110" s="12">
        <v>45994</v>
      </c>
      <c r="G110" s="11" t="s">
        <v>28</v>
      </c>
      <c r="H110" s="66" t="s">
        <v>283</v>
      </c>
      <c r="I110" s="75"/>
      <c r="J110" s="29">
        <v>20021</v>
      </c>
      <c r="M110"/>
      <c r="N110"/>
      <c r="O110"/>
      <c r="P110"/>
      <c r="Q110"/>
    </row>
    <row r="111" spans="1:17" s="67" customFormat="1" ht="39.950000000000003" customHeight="1">
      <c r="A111" s="66">
        <v>105</v>
      </c>
      <c r="B111" s="25" t="s">
        <v>53</v>
      </c>
      <c r="C111" s="75">
        <v>1</v>
      </c>
      <c r="D111" s="10" t="s">
        <v>15</v>
      </c>
      <c r="E111" s="11" t="s">
        <v>225</v>
      </c>
      <c r="F111" s="12">
        <v>45996</v>
      </c>
      <c r="G111" s="11" t="s">
        <v>34</v>
      </c>
      <c r="H111" s="66" t="s">
        <v>283</v>
      </c>
      <c r="I111" s="75"/>
      <c r="J111" s="29">
        <v>20021</v>
      </c>
      <c r="M111"/>
      <c r="N111"/>
      <c r="O111"/>
      <c r="P111"/>
      <c r="Q111"/>
    </row>
    <row r="112" spans="1:17" s="67" customFormat="1" ht="39.950000000000003" customHeight="1">
      <c r="A112" s="66">
        <v>106</v>
      </c>
      <c r="B112" s="27" t="s">
        <v>177</v>
      </c>
      <c r="C112" s="75">
        <v>1</v>
      </c>
      <c r="D112" s="10" t="s">
        <v>15</v>
      </c>
      <c r="E112" s="11" t="s">
        <v>226</v>
      </c>
      <c r="F112" s="12">
        <v>45996</v>
      </c>
      <c r="G112" s="11" t="s">
        <v>298</v>
      </c>
      <c r="H112" s="66" t="s">
        <v>283</v>
      </c>
      <c r="I112" s="75"/>
      <c r="J112" s="29">
        <v>20021</v>
      </c>
      <c r="M112"/>
      <c r="N112"/>
      <c r="O112"/>
      <c r="P112"/>
      <c r="Q112"/>
    </row>
    <row r="113" spans="1:17" s="67" customFormat="1" ht="39.950000000000003" customHeight="1">
      <c r="A113" s="66">
        <v>107</v>
      </c>
      <c r="B113" s="24" t="s">
        <v>227</v>
      </c>
      <c r="C113" s="75">
        <v>1</v>
      </c>
      <c r="D113" s="10" t="s">
        <v>15</v>
      </c>
      <c r="E113" s="11" t="s">
        <v>228</v>
      </c>
      <c r="F113" s="12">
        <v>45996</v>
      </c>
      <c r="G113" s="11" t="s">
        <v>122</v>
      </c>
      <c r="H113" s="66" t="s">
        <v>283</v>
      </c>
      <c r="I113" s="75"/>
      <c r="J113" s="29">
        <v>20021</v>
      </c>
      <c r="M113"/>
      <c r="N113"/>
      <c r="O113"/>
      <c r="P113"/>
      <c r="Q113"/>
    </row>
    <row r="114" spans="1:17" ht="39.950000000000003" customHeight="1">
      <c r="A114" s="66">
        <v>108</v>
      </c>
      <c r="B114" s="25" t="s">
        <v>53</v>
      </c>
      <c r="C114" s="75">
        <v>1</v>
      </c>
      <c r="D114" s="10" t="s">
        <v>15</v>
      </c>
      <c r="E114" s="11" t="s">
        <v>229</v>
      </c>
      <c r="F114" s="12">
        <v>45999</v>
      </c>
      <c r="G114" s="11" t="s">
        <v>313</v>
      </c>
      <c r="H114" s="66" t="s">
        <v>283</v>
      </c>
      <c r="I114" s="75"/>
      <c r="J114" s="29">
        <v>20021</v>
      </c>
    </row>
    <row r="115" spans="1:17" ht="39.950000000000003" customHeight="1">
      <c r="A115" s="66">
        <v>109</v>
      </c>
      <c r="B115" s="25" t="s">
        <v>145</v>
      </c>
      <c r="C115" s="75">
        <v>1</v>
      </c>
      <c r="D115" s="10" t="s">
        <v>15</v>
      </c>
      <c r="E115" s="11" t="s">
        <v>230</v>
      </c>
      <c r="F115" s="12">
        <v>45999</v>
      </c>
      <c r="G115" s="11" t="s">
        <v>313</v>
      </c>
      <c r="H115" s="66" t="s">
        <v>283</v>
      </c>
      <c r="I115" s="75"/>
      <c r="J115" s="29">
        <v>20021</v>
      </c>
    </row>
    <row r="116" spans="1:17" ht="39.950000000000003" customHeight="1">
      <c r="A116" s="66">
        <v>110</v>
      </c>
      <c r="B116" s="25" t="s">
        <v>231</v>
      </c>
      <c r="C116" s="75">
        <v>1</v>
      </c>
      <c r="D116" s="10" t="s">
        <v>15</v>
      </c>
      <c r="E116" s="11" t="s">
        <v>230</v>
      </c>
      <c r="F116" s="12">
        <v>45999</v>
      </c>
      <c r="G116" s="11" t="s">
        <v>313</v>
      </c>
      <c r="H116" s="66" t="s">
        <v>283</v>
      </c>
      <c r="I116" s="75"/>
      <c r="J116" s="29">
        <v>20021</v>
      </c>
    </row>
    <row r="117" spans="1:17" ht="39.950000000000003" customHeight="1">
      <c r="A117" s="66">
        <v>111</v>
      </c>
      <c r="B117" s="25" t="s">
        <v>126</v>
      </c>
      <c r="C117" s="75">
        <v>1</v>
      </c>
      <c r="D117" s="10" t="s">
        <v>15</v>
      </c>
      <c r="E117" s="11" t="s">
        <v>230</v>
      </c>
      <c r="F117" s="12">
        <v>45999</v>
      </c>
      <c r="G117" s="11" t="s">
        <v>313</v>
      </c>
      <c r="H117" s="66" t="s">
        <v>283</v>
      </c>
      <c r="I117" s="75"/>
      <c r="J117" s="29">
        <v>20021</v>
      </c>
    </row>
    <row r="118" spans="1:17" ht="39.950000000000003" customHeight="1">
      <c r="A118" s="66">
        <v>112</v>
      </c>
      <c r="B118" s="27" t="s">
        <v>232</v>
      </c>
      <c r="C118" s="75">
        <v>1</v>
      </c>
      <c r="D118" s="10" t="s">
        <v>15</v>
      </c>
      <c r="E118" s="11" t="s">
        <v>230</v>
      </c>
      <c r="F118" s="12">
        <v>45999</v>
      </c>
      <c r="G118" s="11" t="s">
        <v>313</v>
      </c>
      <c r="H118" s="66" t="s">
        <v>283</v>
      </c>
      <c r="I118" s="75"/>
      <c r="J118" s="29">
        <v>20021</v>
      </c>
    </row>
    <row r="119" spans="1:17" ht="39.950000000000003" customHeight="1">
      <c r="A119" s="66">
        <v>113</v>
      </c>
      <c r="B119" s="26" t="s">
        <v>233</v>
      </c>
      <c r="C119" s="75">
        <v>1</v>
      </c>
      <c r="D119" s="10" t="s">
        <v>15</v>
      </c>
      <c r="E119" s="11" t="s">
        <v>234</v>
      </c>
      <c r="F119" s="12">
        <v>46002</v>
      </c>
      <c r="G119" s="23" t="s">
        <v>70</v>
      </c>
      <c r="H119" s="66" t="s">
        <v>283</v>
      </c>
      <c r="I119" s="75"/>
      <c r="J119" s="29">
        <v>20021</v>
      </c>
    </row>
    <row r="120" spans="1:17" ht="39.950000000000003" customHeight="1">
      <c r="A120" s="66">
        <v>114</v>
      </c>
      <c r="B120" s="26" t="s">
        <v>235</v>
      </c>
      <c r="C120" s="75">
        <v>2</v>
      </c>
      <c r="D120" s="10" t="s">
        <v>15</v>
      </c>
      <c r="E120" s="11" t="s">
        <v>236</v>
      </c>
      <c r="F120" s="12">
        <v>45999</v>
      </c>
      <c r="G120" s="11" t="s">
        <v>122</v>
      </c>
      <c r="H120" s="66" t="s">
        <v>283</v>
      </c>
      <c r="I120" s="75"/>
      <c r="J120" s="29">
        <v>20021</v>
      </c>
    </row>
    <row r="121" spans="1:17" ht="39.950000000000003" customHeight="1">
      <c r="A121" s="66">
        <v>115</v>
      </c>
      <c r="B121" s="19" t="s">
        <v>284</v>
      </c>
      <c r="C121" s="75">
        <v>1</v>
      </c>
      <c r="D121" s="10" t="s">
        <v>15</v>
      </c>
      <c r="E121" s="11" t="s">
        <v>236</v>
      </c>
      <c r="F121" s="12">
        <v>45999</v>
      </c>
      <c r="G121" s="11" t="s">
        <v>122</v>
      </c>
      <c r="H121" s="66" t="s">
        <v>283</v>
      </c>
      <c r="I121" s="75"/>
      <c r="J121" s="29">
        <v>20021</v>
      </c>
    </row>
    <row r="122" spans="1:17" ht="39.950000000000003" customHeight="1">
      <c r="A122" s="66">
        <v>116</v>
      </c>
      <c r="B122" s="25" t="s">
        <v>92</v>
      </c>
      <c r="C122" s="75">
        <v>1</v>
      </c>
      <c r="D122" s="10" t="s">
        <v>15</v>
      </c>
      <c r="E122" s="11" t="s">
        <v>236</v>
      </c>
      <c r="F122" s="12">
        <v>45999</v>
      </c>
      <c r="G122" s="11" t="s">
        <v>122</v>
      </c>
      <c r="H122" s="66" t="s">
        <v>283</v>
      </c>
      <c r="I122" s="75"/>
      <c r="J122" s="29">
        <v>20021</v>
      </c>
    </row>
    <row r="123" spans="1:17" ht="39.950000000000003" customHeight="1">
      <c r="A123" s="66">
        <v>117</v>
      </c>
      <c r="B123" s="25" t="s">
        <v>100</v>
      </c>
      <c r="C123" s="75">
        <v>1</v>
      </c>
      <c r="D123" s="10" t="s">
        <v>15</v>
      </c>
      <c r="E123" s="11" t="s">
        <v>237</v>
      </c>
      <c r="F123" s="12">
        <v>46001</v>
      </c>
      <c r="G123" s="11" t="s">
        <v>99</v>
      </c>
      <c r="H123" s="66" t="s">
        <v>283</v>
      </c>
      <c r="I123" s="75"/>
      <c r="J123" s="29">
        <v>20021</v>
      </c>
    </row>
    <row r="124" spans="1:17" ht="39.950000000000003" customHeight="1">
      <c r="A124" s="66">
        <v>118</v>
      </c>
      <c r="B124" s="8" t="s">
        <v>103</v>
      </c>
      <c r="C124" s="75">
        <v>1</v>
      </c>
      <c r="D124" s="10" t="s">
        <v>15</v>
      </c>
      <c r="E124" s="11" t="s">
        <v>237</v>
      </c>
      <c r="F124" s="12">
        <v>46001</v>
      </c>
      <c r="G124" s="11" t="s">
        <v>99</v>
      </c>
      <c r="H124" s="66" t="s">
        <v>283</v>
      </c>
      <c r="I124" s="75"/>
      <c r="J124" s="29">
        <v>20021</v>
      </c>
    </row>
    <row r="125" spans="1:17" ht="39.950000000000003" customHeight="1">
      <c r="A125" s="66">
        <v>119</v>
      </c>
      <c r="B125" s="25" t="s">
        <v>238</v>
      </c>
      <c r="C125" s="75">
        <v>1</v>
      </c>
      <c r="D125" s="10" t="s">
        <v>15</v>
      </c>
      <c r="E125" s="11" t="s">
        <v>237</v>
      </c>
      <c r="F125" s="12">
        <v>46001</v>
      </c>
      <c r="G125" s="11" t="s">
        <v>99</v>
      </c>
      <c r="H125" s="66" t="s">
        <v>283</v>
      </c>
      <c r="I125" s="75"/>
      <c r="J125" s="29">
        <v>20021</v>
      </c>
    </row>
    <row r="126" spans="1:17" ht="39.950000000000003" customHeight="1">
      <c r="A126" s="66">
        <v>120</v>
      </c>
      <c r="B126" s="27" t="s">
        <v>51</v>
      </c>
      <c r="C126" s="75">
        <v>1</v>
      </c>
      <c r="D126" s="10" t="s">
        <v>15</v>
      </c>
      <c r="E126" s="11" t="s">
        <v>237</v>
      </c>
      <c r="F126" s="12">
        <v>46001</v>
      </c>
      <c r="G126" s="11" t="s">
        <v>99</v>
      </c>
      <c r="H126" s="66" t="s">
        <v>283</v>
      </c>
      <c r="I126" s="75"/>
      <c r="J126" s="29">
        <v>20021</v>
      </c>
    </row>
    <row r="127" spans="1:17" ht="39.950000000000003" customHeight="1">
      <c r="A127" s="66">
        <v>121</v>
      </c>
      <c r="B127" s="19" t="s">
        <v>239</v>
      </c>
      <c r="C127" s="75">
        <v>1</v>
      </c>
      <c r="D127" s="10" t="s">
        <v>15</v>
      </c>
      <c r="E127" s="11" t="s">
        <v>240</v>
      </c>
      <c r="F127" s="12">
        <v>46007</v>
      </c>
      <c r="G127" s="11" t="s">
        <v>28</v>
      </c>
      <c r="H127" s="66" t="s">
        <v>283</v>
      </c>
      <c r="I127" s="75"/>
      <c r="J127" s="29">
        <v>20021</v>
      </c>
    </row>
    <row r="128" spans="1:17" ht="39.950000000000003" customHeight="1">
      <c r="A128" s="66">
        <v>122</v>
      </c>
      <c r="B128" s="25" t="s">
        <v>53</v>
      </c>
      <c r="C128" s="75">
        <v>1</v>
      </c>
      <c r="D128" s="10" t="s">
        <v>15</v>
      </c>
      <c r="E128" s="11" t="s">
        <v>241</v>
      </c>
      <c r="F128" s="12">
        <v>46001</v>
      </c>
      <c r="G128" s="23" t="s">
        <v>28</v>
      </c>
      <c r="H128" s="66" t="s">
        <v>283</v>
      </c>
      <c r="I128" s="75"/>
      <c r="J128" s="29">
        <v>20021</v>
      </c>
    </row>
    <row r="129" spans="1:10" ht="39.950000000000003" customHeight="1">
      <c r="A129" s="66">
        <v>123</v>
      </c>
      <c r="B129" s="25" t="s">
        <v>123</v>
      </c>
      <c r="C129" s="75">
        <v>1</v>
      </c>
      <c r="D129" s="10" t="s">
        <v>15</v>
      </c>
      <c r="E129" s="11" t="s">
        <v>242</v>
      </c>
      <c r="F129" s="12">
        <v>46014</v>
      </c>
      <c r="G129" s="11" t="s">
        <v>99</v>
      </c>
      <c r="H129" s="66" t="s">
        <v>283</v>
      </c>
      <c r="I129" s="75"/>
      <c r="J129" s="29">
        <v>20021</v>
      </c>
    </row>
    <row r="130" spans="1:10" ht="39.950000000000003" customHeight="1">
      <c r="A130" s="66">
        <v>124</v>
      </c>
      <c r="B130" s="8" t="s">
        <v>285</v>
      </c>
      <c r="C130" s="75">
        <v>1</v>
      </c>
      <c r="D130" s="10" t="s">
        <v>15</v>
      </c>
      <c r="E130" s="11" t="s">
        <v>242</v>
      </c>
      <c r="F130" s="12">
        <v>46014</v>
      </c>
      <c r="G130" s="11" t="s">
        <v>99</v>
      </c>
      <c r="H130" s="66" t="s">
        <v>283</v>
      </c>
      <c r="I130" s="75"/>
      <c r="J130" s="29">
        <v>20021</v>
      </c>
    </row>
    <row r="131" spans="1:10" ht="39.950000000000003" customHeight="1">
      <c r="A131" s="66">
        <v>125</v>
      </c>
      <c r="B131" s="25" t="s">
        <v>300</v>
      </c>
      <c r="C131" s="75">
        <v>1</v>
      </c>
      <c r="D131" s="10" t="s">
        <v>15</v>
      </c>
      <c r="E131" s="11" t="s">
        <v>242</v>
      </c>
      <c r="F131" s="12">
        <v>46014</v>
      </c>
      <c r="G131" s="11" t="s">
        <v>99</v>
      </c>
      <c r="H131" s="66" t="s">
        <v>283</v>
      </c>
      <c r="I131" s="75"/>
      <c r="J131" s="29">
        <v>20021</v>
      </c>
    </row>
    <row r="132" spans="1:10" ht="39.950000000000003" customHeight="1">
      <c r="A132" s="66">
        <v>126</v>
      </c>
      <c r="B132" s="27" t="s">
        <v>150</v>
      </c>
      <c r="C132" s="75">
        <v>1</v>
      </c>
      <c r="D132" s="10" t="s">
        <v>15</v>
      </c>
      <c r="E132" s="11" t="s">
        <v>242</v>
      </c>
      <c r="F132" s="12">
        <v>46014</v>
      </c>
      <c r="G132" s="11" t="s">
        <v>99</v>
      </c>
      <c r="H132" s="66" t="s">
        <v>283</v>
      </c>
      <c r="I132" s="75"/>
      <c r="J132" s="29">
        <v>20021</v>
      </c>
    </row>
    <row r="133" spans="1:10" ht="39.950000000000003" customHeight="1">
      <c r="A133" s="66">
        <v>127</v>
      </c>
      <c r="B133" s="25" t="s">
        <v>145</v>
      </c>
      <c r="C133" s="75">
        <v>1</v>
      </c>
      <c r="D133" s="10" t="s">
        <v>15</v>
      </c>
      <c r="E133" s="11" t="s">
        <v>243</v>
      </c>
      <c r="F133" s="12">
        <v>46015</v>
      </c>
      <c r="G133" s="11" t="s">
        <v>91</v>
      </c>
      <c r="H133" s="66" t="s">
        <v>283</v>
      </c>
      <c r="I133" s="75"/>
      <c r="J133" s="29">
        <v>20021</v>
      </c>
    </row>
    <row r="134" spans="1:10" ht="39.950000000000003" customHeight="1">
      <c r="A134" s="66">
        <v>128</v>
      </c>
      <c r="B134" s="25" t="s">
        <v>244</v>
      </c>
      <c r="C134" s="75">
        <v>1</v>
      </c>
      <c r="D134" s="10" t="s">
        <v>15</v>
      </c>
      <c r="E134" s="11" t="s">
        <v>243</v>
      </c>
      <c r="F134" s="12">
        <v>46015</v>
      </c>
      <c r="G134" s="11" t="s">
        <v>91</v>
      </c>
      <c r="H134" s="66" t="s">
        <v>283</v>
      </c>
      <c r="I134" s="75"/>
      <c r="J134" s="29">
        <v>20021</v>
      </c>
    </row>
    <row r="135" spans="1:10" ht="39.950000000000003" customHeight="1">
      <c r="A135" s="66">
        <v>129</v>
      </c>
      <c r="B135" s="25" t="s">
        <v>126</v>
      </c>
      <c r="C135" s="75">
        <v>1</v>
      </c>
      <c r="D135" s="10" t="s">
        <v>15</v>
      </c>
      <c r="E135" s="11" t="s">
        <v>243</v>
      </c>
      <c r="F135" s="12">
        <v>46015</v>
      </c>
      <c r="G135" s="11" t="s">
        <v>91</v>
      </c>
      <c r="H135" s="66" t="s">
        <v>283</v>
      </c>
      <c r="I135" s="75"/>
      <c r="J135" s="29">
        <v>20021</v>
      </c>
    </row>
    <row r="136" spans="1:10" ht="39.950000000000003" customHeight="1">
      <c r="A136" s="66">
        <v>130</v>
      </c>
      <c r="B136" s="27" t="s">
        <v>150</v>
      </c>
      <c r="C136" s="75">
        <v>1</v>
      </c>
      <c r="D136" s="10" t="s">
        <v>15</v>
      </c>
      <c r="E136" s="11" t="s">
        <v>243</v>
      </c>
      <c r="F136" s="12">
        <v>46015</v>
      </c>
      <c r="G136" s="23" t="s">
        <v>217</v>
      </c>
      <c r="H136" s="66" t="s">
        <v>283</v>
      </c>
      <c r="I136" s="75"/>
      <c r="J136" s="29">
        <v>20021</v>
      </c>
    </row>
    <row r="137" spans="1:10" ht="39.950000000000003" customHeight="1">
      <c r="A137" s="66">
        <v>131</v>
      </c>
      <c r="B137" s="27" t="s">
        <v>150</v>
      </c>
      <c r="C137" s="75">
        <v>1</v>
      </c>
      <c r="D137" s="10" t="s">
        <v>15</v>
      </c>
      <c r="E137" s="11" t="s">
        <v>245</v>
      </c>
      <c r="F137" s="12">
        <v>46009</v>
      </c>
      <c r="G137" s="11" t="s">
        <v>122</v>
      </c>
      <c r="H137" s="66" t="s">
        <v>283</v>
      </c>
      <c r="I137" s="75"/>
      <c r="J137" s="29">
        <v>20021</v>
      </c>
    </row>
    <row r="138" spans="1:10" ht="39.950000000000003" customHeight="1">
      <c r="A138" s="66">
        <v>132</v>
      </c>
      <c r="B138" s="19" t="s">
        <v>307</v>
      </c>
      <c r="C138" s="75">
        <v>1</v>
      </c>
      <c r="D138" s="10" t="s">
        <v>15</v>
      </c>
      <c r="E138" s="11" t="s">
        <v>246</v>
      </c>
      <c r="F138" s="12">
        <v>46010</v>
      </c>
      <c r="G138" s="11" t="s">
        <v>314</v>
      </c>
      <c r="H138" s="66" t="s">
        <v>283</v>
      </c>
      <c r="I138" s="75"/>
      <c r="J138" s="29">
        <v>17655</v>
      </c>
    </row>
    <row r="139" spans="1:10" ht="39.950000000000003" customHeight="1">
      <c r="A139" s="66">
        <v>133</v>
      </c>
      <c r="B139" s="21" t="s">
        <v>247</v>
      </c>
      <c r="C139" s="75">
        <v>1</v>
      </c>
      <c r="D139" s="10" t="s">
        <v>15</v>
      </c>
      <c r="E139" s="11" t="s">
        <v>248</v>
      </c>
      <c r="F139" s="12">
        <v>46009</v>
      </c>
      <c r="G139" s="11" t="s">
        <v>94</v>
      </c>
      <c r="H139" s="66" t="s">
        <v>283</v>
      </c>
      <c r="I139" s="75"/>
      <c r="J139" s="29">
        <v>20021</v>
      </c>
    </row>
    <row r="140" spans="1:10" ht="39.950000000000003" customHeight="1">
      <c r="A140" s="66">
        <v>134</v>
      </c>
      <c r="B140" s="19" t="s">
        <v>249</v>
      </c>
      <c r="C140" s="75">
        <v>1</v>
      </c>
      <c r="D140" s="10" t="s">
        <v>15</v>
      </c>
      <c r="E140" s="11" t="s">
        <v>250</v>
      </c>
      <c r="F140" s="12">
        <v>46015</v>
      </c>
      <c r="G140" s="11" t="s">
        <v>28</v>
      </c>
      <c r="H140" s="66" t="s">
        <v>283</v>
      </c>
      <c r="I140" s="75"/>
      <c r="J140" s="29">
        <v>20021</v>
      </c>
    </row>
    <row r="141" spans="1:10" ht="39.950000000000003" customHeight="1">
      <c r="A141" s="66">
        <v>135</v>
      </c>
      <c r="B141" s="24" t="s">
        <v>43</v>
      </c>
      <c r="C141" s="75">
        <v>1</v>
      </c>
      <c r="D141" s="10" t="s">
        <v>15</v>
      </c>
      <c r="E141" s="20" t="s">
        <v>251</v>
      </c>
      <c r="F141" s="12">
        <v>46013</v>
      </c>
      <c r="G141" s="23" t="s">
        <v>309</v>
      </c>
      <c r="H141" s="66" t="s">
        <v>283</v>
      </c>
      <c r="I141" s="75"/>
      <c r="J141" s="29">
        <v>15060</v>
      </c>
    </row>
    <row r="142" spans="1:10" ht="39.950000000000003" customHeight="1">
      <c r="A142" s="66">
        <v>136</v>
      </c>
      <c r="B142" s="25" t="s">
        <v>252</v>
      </c>
      <c r="C142" s="75">
        <v>1</v>
      </c>
      <c r="D142" s="10" t="s">
        <v>15</v>
      </c>
      <c r="E142" s="20" t="s">
        <v>251</v>
      </c>
      <c r="F142" s="12">
        <v>46013</v>
      </c>
      <c r="G142" s="23" t="s">
        <v>309</v>
      </c>
      <c r="H142" s="66" t="s">
        <v>283</v>
      </c>
      <c r="I142" s="75"/>
      <c r="J142" s="29">
        <v>15060</v>
      </c>
    </row>
    <row r="143" spans="1:10" ht="39.950000000000003" customHeight="1">
      <c r="A143" s="66">
        <v>137</v>
      </c>
      <c r="B143" s="26" t="s">
        <v>287</v>
      </c>
      <c r="C143" s="75">
        <v>1</v>
      </c>
      <c r="D143" s="10" t="s">
        <v>15</v>
      </c>
      <c r="E143" s="20" t="s">
        <v>251</v>
      </c>
      <c r="F143" s="12">
        <v>46013</v>
      </c>
      <c r="G143" s="23" t="s">
        <v>309</v>
      </c>
      <c r="H143" s="66" t="s">
        <v>283</v>
      </c>
      <c r="I143" s="75"/>
      <c r="J143" s="29">
        <v>15060</v>
      </c>
    </row>
    <row r="144" spans="1:10" ht="39.950000000000003" customHeight="1">
      <c r="A144" s="66">
        <v>138</v>
      </c>
      <c r="B144" s="27" t="s">
        <v>51</v>
      </c>
      <c r="C144" s="75">
        <v>1</v>
      </c>
      <c r="D144" s="10" t="s">
        <v>15</v>
      </c>
      <c r="E144" s="20" t="s">
        <v>251</v>
      </c>
      <c r="F144" s="12">
        <v>46013</v>
      </c>
      <c r="G144" s="23" t="s">
        <v>309</v>
      </c>
      <c r="H144" s="66" t="s">
        <v>283</v>
      </c>
      <c r="I144" s="75"/>
      <c r="J144" s="29">
        <v>15060</v>
      </c>
    </row>
    <row r="145" spans="1:10" ht="39.950000000000003" customHeight="1">
      <c r="A145" s="66">
        <v>139</v>
      </c>
      <c r="B145" s="25" t="s">
        <v>68</v>
      </c>
      <c r="C145" s="75">
        <v>1</v>
      </c>
      <c r="D145" s="10" t="s">
        <v>15</v>
      </c>
      <c r="E145" s="20" t="s">
        <v>253</v>
      </c>
      <c r="F145" s="12">
        <v>46011</v>
      </c>
      <c r="G145" s="11" t="s">
        <v>305</v>
      </c>
      <c r="H145" s="66" t="s">
        <v>283</v>
      </c>
      <c r="I145" s="75"/>
      <c r="J145" s="29">
        <v>20021</v>
      </c>
    </row>
    <row r="146" spans="1:10" ht="39.950000000000003" customHeight="1">
      <c r="A146" s="66">
        <v>140</v>
      </c>
      <c r="B146" s="25" t="s">
        <v>158</v>
      </c>
      <c r="C146" s="75">
        <v>1</v>
      </c>
      <c r="D146" s="10" t="s">
        <v>15</v>
      </c>
      <c r="E146" s="11" t="s">
        <v>254</v>
      </c>
      <c r="F146" s="12">
        <v>46011</v>
      </c>
      <c r="G146" s="11" t="s">
        <v>28</v>
      </c>
      <c r="H146" s="66" t="s">
        <v>283</v>
      </c>
      <c r="I146" s="75"/>
      <c r="J146" s="29">
        <v>20021</v>
      </c>
    </row>
    <row r="147" spans="1:10" ht="39.950000000000003" customHeight="1">
      <c r="A147" s="66">
        <v>141</v>
      </c>
      <c r="B147" s="21" t="s">
        <v>255</v>
      </c>
      <c r="C147" s="75">
        <v>1</v>
      </c>
      <c r="D147" s="10" t="s">
        <v>15</v>
      </c>
      <c r="E147" s="20" t="s">
        <v>256</v>
      </c>
      <c r="F147" s="12">
        <v>46013</v>
      </c>
      <c r="G147" s="23" t="s">
        <v>62</v>
      </c>
      <c r="H147" s="66" t="s">
        <v>283</v>
      </c>
      <c r="I147" s="75"/>
      <c r="J147" s="29">
        <v>20021</v>
      </c>
    </row>
    <row r="148" spans="1:10" ht="39.950000000000003" customHeight="1">
      <c r="A148" s="66">
        <v>142</v>
      </c>
      <c r="B148" s="25" t="s">
        <v>53</v>
      </c>
      <c r="C148" s="75">
        <v>1</v>
      </c>
      <c r="D148" s="10" t="s">
        <v>15</v>
      </c>
      <c r="E148" s="20" t="s">
        <v>258</v>
      </c>
      <c r="F148" s="12">
        <v>46011</v>
      </c>
      <c r="G148" s="11" t="s">
        <v>28</v>
      </c>
      <c r="H148" s="66" t="s">
        <v>283</v>
      </c>
      <c r="I148" s="75"/>
      <c r="J148" s="29">
        <v>20021</v>
      </c>
    </row>
    <row r="149" spans="1:10" ht="39.950000000000003" customHeight="1">
      <c r="A149" s="66">
        <v>143</v>
      </c>
      <c r="B149" s="25" t="s">
        <v>53</v>
      </c>
      <c r="C149" s="75">
        <v>1</v>
      </c>
      <c r="D149" s="10" t="s">
        <v>15</v>
      </c>
      <c r="E149" s="20" t="s">
        <v>259</v>
      </c>
      <c r="F149" s="12">
        <v>46021</v>
      </c>
      <c r="G149" s="11" t="s">
        <v>315</v>
      </c>
      <c r="H149" s="66" t="s">
        <v>283</v>
      </c>
      <c r="I149" s="75"/>
      <c r="J149" s="29">
        <v>17655</v>
      </c>
    </row>
    <row r="150" spans="1:10" ht="39.950000000000003" customHeight="1">
      <c r="A150" s="66">
        <v>144</v>
      </c>
      <c r="B150" s="27" t="s">
        <v>177</v>
      </c>
      <c r="C150" s="75">
        <v>1</v>
      </c>
      <c r="D150" s="10" t="s">
        <v>15</v>
      </c>
      <c r="E150" s="20" t="s">
        <v>260</v>
      </c>
      <c r="F150" s="12">
        <v>46017</v>
      </c>
      <c r="G150" s="11" t="s">
        <v>23</v>
      </c>
      <c r="H150" s="66" t="s">
        <v>283</v>
      </c>
      <c r="I150" s="75"/>
      <c r="J150" s="29">
        <v>20021</v>
      </c>
    </row>
    <row r="151" spans="1:10" ht="39.950000000000003" customHeight="1">
      <c r="A151" s="66">
        <v>145</v>
      </c>
      <c r="B151" s="27" t="s">
        <v>261</v>
      </c>
      <c r="C151" s="75">
        <v>1</v>
      </c>
      <c r="D151" s="10" t="s">
        <v>15</v>
      </c>
      <c r="E151" s="20" t="s">
        <v>262</v>
      </c>
      <c r="F151" s="12">
        <v>46020</v>
      </c>
      <c r="G151" s="11" t="s">
        <v>122</v>
      </c>
      <c r="H151" s="66" t="s">
        <v>283</v>
      </c>
      <c r="I151" s="75"/>
      <c r="J151" s="29">
        <v>17655</v>
      </c>
    </row>
    <row r="152" spans="1:10" ht="39.950000000000003" customHeight="1">
      <c r="A152" s="66">
        <v>146</v>
      </c>
      <c r="B152" s="19" t="s">
        <v>263</v>
      </c>
      <c r="C152" s="75">
        <v>1</v>
      </c>
      <c r="D152" s="10" t="s">
        <v>15</v>
      </c>
      <c r="E152" s="11" t="s">
        <v>264</v>
      </c>
      <c r="F152" s="12">
        <v>46021</v>
      </c>
      <c r="G152" s="23" t="s">
        <v>316</v>
      </c>
      <c r="H152" s="66" t="s">
        <v>283</v>
      </c>
      <c r="I152" s="75"/>
      <c r="J152" s="29">
        <v>20021</v>
      </c>
    </row>
    <row r="153" spans="1:10" ht="39.950000000000003" customHeight="1">
      <c r="A153" s="66">
        <v>147</v>
      </c>
      <c r="B153" s="26" t="s">
        <v>288</v>
      </c>
      <c r="C153" s="75">
        <v>10</v>
      </c>
      <c r="D153" s="10" t="s">
        <v>267</v>
      </c>
      <c r="E153" s="112" t="s">
        <v>268</v>
      </c>
      <c r="F153" s="112"/>
      <c r="G153" s="14" t="s">
        <v>269</v>
      </c>
      <c r="H153" s="66" t="s">
        <v>283</v>
      </c>
      <c r="I153" s="75"/>
      <c r="J153" s="29">
        <v>20021</v>
      </c>
    </row>
    <row r="154" spans="1:10" ht="39.950000000000003" customHeight="1">
      <c r="A154" s="66">
        <v>148</v>
      </c>
      <c r="B154" s="26" t="s">
        <v>289</v>
      </c>
      <c r="C154" s="75">
        <v>10</v>
      </c>
      <c r="D154" s="10" t="s">
        <v>267</v>
      </c>
      <c r="E154" s="112" t="s">
        <v>268</v>
      </c>
      <c r="F154" s="112"/>
      <c r="G154" s="14" t="s">
        <v>269</v>
      </c>
      <c r="H154" s="66" t="s">
        <v>283</v>
      </c>
      <c r="I154" s="75"/>
      <c r="J154" s="29">
        <v>20021</v>
      </c>
    </row>
    <row r="155" spans="1:10" ht="39.950000000000003" customHeight="1">
      <c r="A155" s="66">
        <v>149</v>
      </c>
      <c r="B155" s="68" t="s">
        <v>290</v>
      </c>
      <c r="C155" s="75">
        <v>10</v>
      </c>
      <c r="D155" s="10" t="s">
        <v>267</v>
      </c>
      <c r="E155" s="112" t="s">
        <v>268</v>
      </c>
      <c r="F155" s="112"/>
      <c r="G155" s="14" t="s">
        <v>269</v>
      </c>
      <c r="H155" s="66" t="s">
        <v>283</v>
      </c>
      <c r="I155" s="75"/>
      <c r="J155" s="29">
        <v>20021</v>
      </c>
    </row>
    <row r="156" spans="1:10" ht="18.75">
      <c r="A156" s="113" t="s">
        <v>291</v>
      </c>
      <c r="B156" s="114"/>
      <c r="C156" s="114"/>
      <c r="D156" s="114"/>
      <c r="E156" s="114"/>
      <c r="F156" s="114"/>
      <c r="G156" s="114"/>
      <c r="H156" s="114"/>
      <c r="I156" s="114"/>
      <c r="J156" s="115"/>
    </row>
    <row r="157" spans="1:10" ht="18.75">
      <c r="A157" s="104" t="s">
        <v>292</v>
      </c>
      <c r="B157" s="105"/>
      <c r="C157" s="105"/>
      <c r="D157" s="105"/>
      <c r="E157" s="105"/>
      <c r="F157" s="105"/>
      <c r="G157" s="105"/>
      <c r="H157" s="105"/>
      <c r="I157" s="105"/>
      <c r="J157" s="106"/>
    </row>
    <row r="158" spans="1:10" ht="18.75">
      <c r="A158" s="104" t="s">
        <v>293</v>
      </c>
      <c r="B158" s="105"/>
      <c r="C158" s="105"/>
      <c r="D158" s="105"/>
      <c r="E158" s="105"/>
      <c r="F158" s="105"/>
      <c r="G158" s="105"/>
      <c r="H158" s="105"/>
      <c r="I158" s="105"/>
      <c r="J158" s="106"/>
    </row>
    <row r="159" spans="1:10">
      <c r="A159" s="107"/>
      <c r="B159" s="108"/>
      <c r="C159" s="108"/>
      <c r="D159" s="108"/>
      <c r="E159" s="108"/>
      <c r="F159" s="108"/>
      <c r="G159" s="108"/>
      <c r="H159" s="108"/>
      <c r="I159" s="108"/>
      <c r="J159" s="109"/>
    </row>
    <row r="160" spans="1:10">
      <c r="A160" s="110"/>
      <c r="B160" s="110"/>
      <c r="C160" s="110"/>
      <c r="D160" s="110"/>
      <c r="E160" s="110"/>
      <c r="F160" s="110"/>
      <c r="G160" s="110"/>
      <c r="H160" s="110"/>
      <c r="I160" s="110"/>
      <c r="J160" s="110"/>
    </row>
    <row r="161" spans="1:10">
      <c r="A161" s="111"/>
      <c r="B161" s="111"/>
      <c r="C161" s="111"/>
      <c r="D161" s="111"/>
      <c r="E161" s="111"/>
      <c r="F161" s="111"/>
      <c r="G161" s="111"/>
      <c r="H161" s="111"/>
      <c r="I161" s="111"/>
      <c r="J161" s="111"/>
    </row>
    <row r="162" spans="1:10">
      <c r="A162" s="111"/>
      <c r="B162" s="111"/>
      <c r="C162" s="111"/>
      <c r="D162" s="111"/>
      <c r="E162" s="111"/>
      <c r="F162" s="111"/>
      <c r="G162" s="111"/>
      <c r="H162" s="111"/>
      <c r="I162" s="111"/>
      <c r="J162" s="111"/>
    </row>
    <row r="163" spans="1:10">
      <c r="A163" s="111"/>
      <c r="B163" s="111"/>
      <c r="C163" s="111"/>
      <c r="D163" s="111"/>
      <c r="E163" s="111"/>
      <c r="F163" s="111"/>
      <c r="G163" s="111"/>
      <c r="H163" s="111"/>
      <c r="I163" s="111"/>
      <c r="J163" s="111"/>
    </row>
    <row r="164" spans="1:10">
      <c r="A164" s="111"/>
      <c r="B164" s="111"/>
      <c r="C164" s="111"/>
      <c r="D164" s="111"/>
      <c r="E164" s="111"/>
      <c r="F164" s="111"/>
      <c r="G164" s="111"/>
      <c r="H164" s="111"/>
      <c r="I164" s="111"/>
      <c r="J164" s="111"/>
    </row>
    <row r="165" spans="1:10">
      <c r="A165" s="111"/>
      <c r="B165" s="111"/>
      <c r="C165" s="111"/>
      <c r="D165" s="111"/>
      <c r="E165" s="111"/>
      <c r="F165" s="111"/>
      <c r="G165" s="111"/>
      <c r="H165" s="111"/>
      <c r="I165" s="111"/>
      <c r="J165" s="111"/>
    </row>
    <row r="166" spans="1:10">
      <c r="A166" s="111"/>
      <c r="B166" s="111"/>
      <c r="C166" s="111"/>
      <c r="D166" s="111"/>
      <c r="E166" s="111"/>
      <c r="F166" s="111"/>
      <c r="G166" s="111"/>
      <c r="H166" s="111"/>
      <c r="I166" s="111"/>
      <c r="J166" s="111"/>
    </row>
    <row r="167" spans="1:10">
      <c r="A167" s="111"/>
      <c r="B167" s="111"/>
      <c r="C167" s="111"/>
      <c r="D167" s="111"/>
      <c r="E167" s="111"/>
      <c r="F167" s="111"/>
      <c r="G167" s="111"/>
      <c r="H167" s="111"/>
      <c r="I167" s="111"/>
      <c r="J167" s="111"/>
    </row>
    <row r="168" spans="1:10">
      <c r="A168" s="111"/>
      <c r="B168" s="111"/>
      <c r="C168" s="111"/>
      <c r="D168" s="111"/>
      <c r="E168" s="111"/>
      <c r="F168" s="111"/>
      <c r="G168" s="111"/>
      <c r="H168" s="111"/>
      <c r="I168" s="111"/>
      <c r="J168" s="111"/>
    </row>
    <row r="169" spans="1:10">
      <c r="A169" s="111"/>
      <c r="B169" s="111"/>
      <c r="C169" s="111"/>
      <c r="D169" s="111"/>
      <c r="E169" s="111"/>
      <c r="F169" s="111"/>
      <c r="G169" s="111"/>
      <c r="H169" s="111"/>
      <c r="I169" s="111"/>
      <c r="J169" s="111"/>
    </row>
    <row r="170" spans="1:10">
      <c r="A170" s="111"/>
      <c r="B170" s="111"/>
      <c r="C170" s="111"/>
      <c r="D170" s="111"/>
      <c r="E170" s="111"/>
      <c r="F170" s="111"/>
      <c r="G170" s="111"/>
      <c r="H170" s="111"/>
      <c r="I170" s="111"/>
      <c r="J170" s="111"/>
    </row>
    <row r="171" spans="1:10">
      <c r="A171" s="111"/>
      <c r="B171" s="111"/>
      <c r="C171" s="111"/>
      <c r="D171" s="111"/>
      <c r="E171" s="111"/>
      <c r="F171" s="111"/>
      <c r="G171" s="111"/>
      <c r="H171" s="111"/>
      <c r="I171" s="111"/>
      <c r="J171" s="111"/>
    </row>
    <row r="172" spans="1:10">
      <c r="A172" s="111"/>
      <c r="B172" s="111"/>
      <c r="C172" s="111"/>
      <c r="D172" s="111"/>
      <c r="E172" s="111"/>
      <c r="F172" s="111"/>
      <c r="G172" s="111"/>
      <c r="H172" s="111"/>
      <c r="I172" s="111"/>
      <c r="J172" s="111"/>
    </row>
    <row r="173" spans="1:10" ht="25.5" customHeight="1">
      <c r="A173" s="111"/>
      <c r="B173" s="111"/>
      <c r="C173" s="111"/>
      <c r="D173" s="111"/>
      <c r="E173" s="111"/>
      <c r="F173" s="111"/>
      <c r="G173" s="111"/>
      <c r="H173" s="111"/>
      <c r="I173" s="111"/>
      <c r="J173" s="111"/>
    </row>
  </sheetData>
  <autoFilter ref="A6:J158" xr:uid="{00000000-0009-0000-0000-000002000000}"/>
  <mergeCells count="22">
    <mergeCell ref="A157:J157"/>
    <mergeCell ref="A158:J158"/>
    <mergeCell ref="A159:J159"/>
    <mergeCell ref="A160:J173"/>
    <mergeCell ref="G5:G6"/>
    <mergeCell ref="H5:I5"/>
    <mergeCell ref="E153:F153"/>
    <mergeCell ref="E154:F154"/>
    <mergeCell ref="E155:F155"/>
    <mergeCell ref="A156:J156"/>
    <mergeCell ref="A5:A6"/>
    <mergeCell ref="B5:B6"/>
    <mergeCell ref="C5:C6"/>
    <mergeCell ref="D5:D6"/>
    <mergeCell ref="E5:E6"/>
    <mergeCell ref="F5:F6"/>
    <mergeCell ref="A1:J1"/>
    <mergeCell ref="A2:B4"/>
    <mergeCell ref="C2:G3"/>
    <mergeCell ref="H2:J3"/>
    <mergeCell ref="C4:G4"/>
    <mergeCell ref="H4:J4"/>
  </mergeCells>
  <printOptions horizontalCentered="1"/>
  <pageMargins left="0.25" right="0.25" top="0.25" bottom="0.5" header="0" footer="0"/>
  <pageSetup paperSize="9" scale="52" fitToHeight="0" orientation="portrait" r:id="rId1"/>
  <headerFooter>
    <oddFooter>&amp;CPage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0C84-B737-44B3-827A-852BE8B83B7C}">
  <sheetPr>
    <pageSetUpPr fitToPage="1"/>
  </sheetPr>
  <dimension ref="A1:N151"/>
  <sheetViews>
    <sheetView zoomScale="85" zoomScaleNormal="85" workbookViewId="0">
      <pane ySplit="1" topLeftCell="A128" activePane="bottomLeft" state="frozen"/>
      <selection pane="bottomLeft" activeCell="B4" sqref="B4"/>
    </sheetView>
  </sheetViews>
  <sheetFormatPr defaultColWidth="9" defaultRowHeight="15.75"/>
  <cols>
    <col min="1" max="1" width="7.25" customWidth="1"/>
    <col min="2" max="2" width="46.625" style="55" customWidth="1"/>
    <col min="3" max="3" width="8.5" style="56" customWidth="1"/>
    <col min="4" max="4" width="8.875" style="56" customWidth="1"/>
    <col min="5" max="5" width="25.375" style="56" customWidth="1"/>
    <col min="6" max="6" width="13.125" style="57" customWidth="1"/>
    <col min="7" max="7" width="10.75" style="57" customWidth="1"/>
    <col min="8" max="8" width="13.625" style="58" customWidth="1"/>
    <col min="9" max="9" width="9.125" style="59" customWidth="1"/>
    <col min="10" max="10" width="11.625" style="59" customWidth="1"/>
    <col min="11" max="11" width="9.875" style="59" customWidth="1"/>
    <col min="12" max="12" width="9.375" style="59" customWidth="1"/>
    <col min="13" max="13" width="14.75" style="59" customWidth="1"/>
    <col min="14" max="14" width="20.625" customWidth="1"/>
  </cols>
  <sheetData>
    <row r="1" spans="1:14" s="6" customFormat="1" ht="72.75" customHeight="1">
      <c r="A1" s="1" t="s">
        <v>0</v>
      </c>
      <c r="B1" s="2" t="s">
        <v>1</v>
      </c>
      <c r="C1" s="1" t="s">
        <v>2</v>
      </c>
      <c r="D1" s="1" t="s">
        <v>3</v>
      </c>
      <c r="E1" s="1" t="s">
        <v>4</v>
      </c>
      <c r="F1" s="1" t="s">
        <v>5</v>
      </c>
      <c r="G1" s="1" t="s">
        <v>6</v>
      </c>
      <c r="H1" s="1" t="s">
        <v>7</v>
      </c>
      <c r="I1" s="3" t="s">
        <v>8</v>
      </c>
      <c r="J1" s="1" t="s">
        <v>9</v>
      </c>
      <c r="K1" s="1" t="s">
        <v>10</v>
      </c>
      <c r="L1" s="4" t="s">
        <v>11</v>
      </c>
      <c r="M1" s="5" t="s">
        <v>12</v>
      </c>
      <c r="N1" s="5" t="s">
        <v>13</v>
      </c>
    </row>
    <row r="2" spans="1:14" s="18" customFormat="1" ht="50.1" customHeight="1">
      <c r="A2" s="7">
        <v>1</v>
      </c>
      <c r="B2" s="8" t="s">
        <v>14</v>
      </c>
      <c r="C2" s="9">
        <v>1</v>
      </c>
      <c r="D2" s="10" t="s">
        <v>15</v>
      </c>
      <c r="E2" s="11" t="s">
        <v>16</v>
      </c>
      <c r="F2" s="12">
        <v>45932</v>
      </c>
      <c r="G2" s="13">
        <f t="shared" ref="G2:G65" si="0">MONTH(F2)</f>
        <v>10</v>
      </c>
      <c r="H2" s="14" t="s">
        <v>17</v>
      </c>
      <c r="I2" s="11">
        <v>20021</v>
      </c>
      <c r="J2" s="15" t="s">
        <v>18</v>
      </c>
      <c r="K2" s="15" t="s">
        <v>19</v>
      </c>
      <c r="L2" s="16">
        <v>2000</v>
      </c>
      <c r="M2" s="16">
        <f t="shared" ref="M2:M65" si="1">L2*C2</f>
        <v>2000</v>
      </c>
      <c r="N2" s="17" t="s">
        <v>20</v>
      </c>
    </row>
    <row r="3" spans="1:14" s="18" customFormat="1" ht="50.1" customHeight="1">
      <c r="A3" s="7">
        <v>2</v>
      </c>
      <c r="B3" s="19" t="s">
        <v>21</v>
      </c>
      <c r="C3" s="9">
        <v>1</v>
      </c>
      <c r="D3" s="10" t="s">
        <v>15</v>
      </c>
      <c r="E3" s="20" t="s">
        <v>22</v>
      </c>
      <c r="F3" s="12">
        <v>45932</v>
      </c>
      <c r="G3" s="13">
        <f t="shared" si="0"/>
        <v>10</v>
      </c>
      <c r="H3" s="11" t="s">
        <v>23</v>
      </c>
      <c r="I3" s="11">
        <v>20021</v>
      </c>
      <c r="J3" s="15" t="s">
        <v>24</v>
      </c>
      <c r="K3" s="15" t="s">
        <v>19</v>
      </c>
      <c r="L3" s="16">
        <v>2000</v>
      </c>
      <c r="M3" s="16">
        <f t="shared" si="1"/>
        <v>2000</v>
      </c>
      <c r="N3" s="15" t="s">
        <v>25</v>
      </c>
    </row>
    <row r="4" spans="1:14" s="18" customFormat="1" ht="50.1" customHeight="1">
      <c r="A4" s="7">
        <v>3</v>
      </c>
      <c r="B4" s="21" t="s">
        <v>26</v>
      </c>
      <c r="C4" s="9">
        <v>1</v>
      </c>
      <c r="D4" s="10" t="s">
        <v>15</v>
      </c>
      <c r="E4" s="20" t="s">
        <v>27</v>
      </c>
      <c r="F4" s="12">
        <v>45932</v>
      </c>
      <c r="G4" s="22">
        <f t="shared" si="0"/>
        <v>10</v>
      </c>
      <c r="H4" s="14" t="s">
        <v>28</v>
      </c>
      <c r="I4" s="11">
        <v>20021</v>
      </c>
      <c r="J4" s="15" t="s">
        <v>29</v>
      </c>
      <c r="K4" s="15" t="s">
        <v>30</v>
      </c>
      <c r="L4" s="16">
        <v>30000</v>
      </c>
      <c r="M4" s="16">
        <f t="shared" si="1"/>
        <v>30000</v>
      </c>
      <c r="N4" s="15" t="s">
        <v>31</v>
      </c>
    </row>
    <row r="5" spans="1:14" s="18" customFormat="1" ht="50.1" customHeight="1">
      <c r="A5" s="7">
        <v>4</v>
      </c>
      <c r="B5" s="21" t="s">
        <v>32</v>
      </c>
      <c r="C5" s="9">
        <v>1</v>
      </c>
      <c r="D5" s="10" t="s">
        <v>15</v>
      </c>
      <c r="E5" s="20" t="s">
        <v>33</v>
      </c>
      <c r="F5" s="12">
        <v>45932</v>
      </c>
      <c r="G5" s="22">
        <f t="shared" si="0"/>
        <v>10</v>
      </c>
      <c r="H5" s="23" t="s">
        <v>34</v>
      </c>
      <c r="I5" s="11">
        <v>20021</v>
      </c>
      <c r="J5" s="15" t="s">
        <v>35</v>
      </c>
      <c r="K5" s="15" t="s">
        <v>36</v>
      </c>
      <c r="L5" s="16">
        <v>25000</v>
      </c>
      <c r="M5" s="16">
        <f t="shared" si="1"/>
        <v>25000</v>
      </c>
      <c r="N5" s="15" t="s">
        <v>31</v>
      </c>
    </row>
    <row r="6" spans="1:14" s="18" customFormat="1" ht="50.1" customHeight="1">
      <c r="A6" s="7">
        <v>5</v>
      </c>
      <c r="B6" s="21" t="s">
        <v>37</v>
      </c>
      <c r="C6" s="9">
        <v>1</v>
      </c>
      <c r="D6" s="10" t="s">
        <v>15</v>
      </c>
      <c r="E6" s="20" t="s">
        <v>38</v>
      </c>
      <c r="F6" s="12">
        <v>45934</v>
      </c>
      <c r="G6" s="22">
        <f t="shared" si="0"/>
        <v>10</v>
      </c>
      <c r="H6" s="23" t="s">
        <v>39</v>
      </c>
      <c r="I6" s="11">
        <v>20021</v>
      </c>
      <c r="J6" s="15" t="s">
        <v>30</v>
      </c>
      <c r="K6" s="15" t="s">
        <v>36</v>
      </c>
      <c r="L6" s="16">
        <v>2000</v>
      </c>
      <c r="M6" s="16">
        <f t="shared" si="1"/>
        <v>2000</v>
      </c>
      <c r="N6" s="15" t="s">
        <v>25</v>
      </c>
    </row>
    <row r="7" spans="1:14" s="18" customFormat="1" ht="50.1" customHeight="1">
      <c r="A7" s="7">
        <v>6</v>
      </c>
      <c r="B7" s="8" t="s">
        <v>40</v>
      </c>
      <c r="C7" s="9">
        <v>1</v>
      </c>
      <c r="D7" s="10" t="s">
        <v>15</v>
      </c>
      <c r="E7" s="11" t="s">
        <v>41</v>
      </c>
      <c r="F7" s="12">
        <v>45934</v>
      </c>
      <c r="G7" s="22">
        <f t="shared" si="0"/>
        <v>10</v>
      </c>
      <c r="H7" s="23" t="s">
        <v>34</v>
      </c>
      <c r="I7" s="11">
        <v>20021</v>
      </c>
      <c r="J7" s="15" t="s">
        <v>42</v>
      </c>
      <c r="K7" s="15" t="s">
        <v>30</v>
      </c>
      <c r="L7" s="16">
        <v>10000</v>
      </c>
      <c r="M7" s="16">
        <f t="shared" si="1"/>
        <v>10000</v>
      </c>
      <c r="N7" s="15" t="s">
        <v>31</v>
      </c>
    </row>
    <row r="8" spans="1:14" s="18" customFormat="1" ht="50.1" customHeight="1">
      <c r="A8" s="7">
        <v>7</v>
      </c>
      <c r="B8" s="24" t="s">
        <v>43</v>
      </c>
      <c r="C8" s="9">
        <v>1</v>
      </c>
      <c r="D8" s="10" t="s">
        <v>15</v>
      </c>
      <c r="E8" s="11" t="s">
        <v>44</v>
      </c>
      <c r="F8" s="12">
        <v>45934</v>
      </c>
      <c r="G8" s="22">
        <f t="shared" si="0"/>
        <v>10</v>
      </c>
      <c r="H8" s="23" t="s">
        <v>45</v>
      </c>
      <c r="I8" s="11">
        <v>20021</v>
      </c>
      <c r="J8" s="15" t="s">
        <v>46</v>
      </c>
      <c r="K8" s="15" t="s">
        <v>19</v>
      </c>
      <c r="L8" s="16">
        <v>30000</v>
      </c>
      <c r="M8" s="16">
        <f t="shared" si="1"/>
        <v>30000</v>
      </c>
      <c r="N8" s="17" t="s">
        <v>20</v>
      </c>
    </row>
    <row r="9" spans="1:14" s="18" customFormat="1" ht="50.1" customHeight="1">
      <c r="A9" s="7">
        <v>8</v>
      </c>
      <c r="B9" s="25" t="s">
        <v>47</v>
      </c>
      <c r="C9" s="9">
        <v>1</v>
      </c>
      <c r="D9" s="10" t="s">
        <v>15</v>
      </c>
      <c r="E9" s="11" t="s">
        <v>44</v>
      </c>
      <c r="F9" s="12">
        <v>45934</v>
      </c>
      <c r="G9" s="22">
        <f t="shared" si="0"/>
        <v>10</v>
      </c>
      <c r="H9" s="23" t="s">
        <v>45</v>
      </c>
      <c r="I9" s="11">
        <v>20021</v>
      </c>
      <c r="J9" s="15" t="s">
        <v>48</v>
      </c>
      <c r="K9" s="15" t="s">
        <v>19</v>
      </c>
      <c r="L9" s="16">
        <v>20000</v>
      </c>
      <c r="M9" s="16">
        <f t="shared" si="1"/>
        <v>20000</v>
      </c>
      <c r="N9" s="15" t="s">
        <v>31</v>
      </c>
    </row>
    <row r="10" spans="1:14" s="18" customFormat="1" ht="50.1" customHeight="1">
      <c r="A10" s="7">
        <v>9</v>
      </c>
      <c r="B10" s="26" t="s">
        <v>49</v>
      </c>
      <c r="C10" s="9">
        <v>1</v>
      </c>
      <c r="D10" s="10" t="s">
        <v>15</v>
      </c>
      <c r="E10" s="11" t="s">
        <v>44</v>
      </c>
      <c r="F10" s="12">
        <v>45934</v>
      </c>
      <c r="G10" s="22">
        <f t="shared" si="0"/>
        <v>10</v>
      </c>
      <c r="H10" s="23" t="s">
        <v>45</v>
      </c>
      <c r="I10" s="11">
        <v>20021</v>
      </c>
      <c r="J10" s="15" t="s">
        <v>50</v>
      </c>
      <c r="K10" s="15" t="s">
        <v>19</v>
      </c>
      <c r="L10" s="16">
        <v>10000</v>
      </c>
      <c r="M10" s="16">
        <f t="shared" si="1"/>
        <v>10000</v>
      </c>
      <c r="N10" s="15" t="s">
        <v>25</v>
      </c>
    </row>
    <row r="11" spans="1:14" s="18" customFormat="1" ht="50.1" customHeight="1">
      <c r="A11" s="7">
        <v>10</v>
      </c>
      <c r="B11" s="27" t="s">
        <v>51</v>
      </c>
      <c r="C11" s="9">
        <v>1</v>
      </c>
      <c r="D11" s="10" t="s">
        <v>15</v>
      </c>
      <c r="E11" s="11" t="s">
        <v>44</v>
      </c>
      <c r="F11" s="12">
        <v>45934</v>
      </c>
      <c r="G11" s="22">
        <f t="shared" si="0"/>
        <v>10</v>
      </c>
      <c r="H11" s="23" t="s">
        <v>45</v>
      </c>
      <c r="I11" s="11">
        <v>20021</v>
      </c>
      <c r="J11" s="15" t="s">
        <v>52</v>
      </c>
      <c r="K11" s="15" t="s">
        <v>19</v>
      </c>
      <c r="L11" s="16">
        <v>20000</v>
      </c>
      <c r="M11" s="16">
        <f t="shared" si="1"/>
        <v>20000</v>
      </c>
      <c r="N11" s="15" t="s">
        <v>31</v>
      </c>
    </row>
    <row r="12" spans="1:14" s="18" customFormat="1" ht="50.1" customHeight="1">
      <c r="A12" s="7">
        <v>11</v>
      </c>
      <c r="B12" s="25" t="s">
        <v>53</v>
      </c>
      <c r="C12" s="9">
        <v>1</v>
      </c>
      <c r="D12" s="10" t="s">
        <v>15</v>
      </c>
      <c r="E12" s="20" t="s">
        <v>54</v>
      </c>
      <c r="F12" s="12">
        <v>45933</v>
      </c>
      <c r="G12" s="22">
        <f t="shared" si="0"/>
        <v>10</v>
      </c>
      <c r="H12" s="11" t="s">
        <v>28</v>
      </c>
      <c r="I12" s="11">
        <v>17655</v>
      </c>
      <c r="J12" s="15" t="s">
        <v>55</v>
      </c>
      <c r="K12" s="15" t="s">
        <v>30</v>
      </c>
      <c r="L12" s="16">
        <v>6000</v>
      </c>
      <c r="M12" s="16">
        <f t="shared" si="1"/>
        <v>6000</v>
      </c>
      <c r="N12" s="15" t="s">
        <v>31</v>
      </c>
    </row>
    <row r="13" spans="1:14" s="18" customFormat="1" ht="50.1" customHeight="1">
      <c r="A13" s="7">
        <v>12</v>
      </c>
      <c r="B13" s="19" t="s">
        <v>56</v>
      </c>
      <c r="C13" s="9">
        <v>1</v>
      </c>
      <c r="D13" s="10" t="s">
        <v>15</v>
      </c>
      <c r="E13" s="11" t="s">
        <v>57</v>
      </c>
      <c r="F13" s="12">
        <v>45933</v>
      </c>
      <c r="G13" s="22">
        <f t="shared" si="0"/>
        <v>10</v>
      </c>
      <c r="H13" s="11" t="s">
        <v>28</v>
      </c>
      <c r="I13" s="11">
        <v>20021</v>
      </c>
      <c r="J13" s="15" t="s">
        <v>58</v>
      </c>
      <c r="K13" s="15" t="s">
        <v>59</v>
      </c>
      <c r="L13" s="16">
        <v>5000</v>
      </c>
      <c r="M13" s="16">
        <f t="shared" si="1"/>
        <v>5000</v>
      </c>
      <c r="N13" s="15" t="s">
        <v>31</v>
      </c>
    </row>
    <row r="14" spans="1:14" s="18" customFormat="1" ht="50.1" customHeight="1">
      <c r="A14" s="7">
        <v>13</v>
      </c>
      <c r="B14" s="25" t="s">
        <v>60</v>
      </c>
      <c r="C14" s="9">
        <v>1</v>
      </c>
      <c r="D14" s="10" t="s">
        <v>15</v>
      </c>
      <c r="E14" s="11" t="s">
        <v>61</v>
      </c>
      <c r="F14" s="12">
        <v>45933</v>
      </c>
      <c r="G14" s="22">
        <f t="shared" si="0"/>
        <v>10</v>
      </c>
      <c r="H14" s="11" t="s">
        <v>62</v>
      </c>
      <c r="I14" s="11">
        <v>17655</v>
      </c>
      <c r="J14" s="15" t="s">
        <v>18</v>
      </c>
      <c r="K14" s="15" t="s">
        <v>59</v>
      </c>
      <c r="L14" s="16">
        <v>5000</v>
      </c>
      <c r="M14" s="16">
        <f t="shared" si="1"/>
        <v>5000</v>
      </c>
      <c r="N14" s="15" t="s">
        <v>31</v>
      </c>
    </row>
    <row r="15" spans="1:14" s="18" customFormat="1" ht="50.1" customHeight="1">
      <c r="A15" s="7">
        <v>14</v>
      </c>
      <c r="B15" s="8" t="s">
        <v>63</v>
      </c>
      <c r="C15" s="9">
        <v>1</v>
      </c>
      <c r="D15" s="10" t="s">
        <v>15</v>
      </c>
      <c r="E15" s="11" t="s">
        <v>64</v>
      </c>
      <c r="F15" s="12">
        <v>45939</v>
      </c>
      <c r="G15" s="22">
        <f t="shared" si="0"/>
        <v>10</v>
      </c>
      <c r="H15" s="11" t="s">
        <v>34</v>
      </c>
      <c r="I15" s="11">
        <v>20021</v>
      </c>
      <c r="J15" s="15" t="s">
        <v>52</v>
      </c>
      <c r="K15" s="15" t="s">
        <v>59</v>
      </c>
      <c r="L15" s="16">
        <v>20000</v>
      </c>
      <c r="M15" s="16">
        <f t="shared" si="1"/>
        <v>20000</v>
      </c>
      <c r="N15" s="15" t="s">
        <v>31</v>
      </c>
    </row>
    <row r="16" spans="1:14" s="18" customFormat="1" ht="50.1" customHeight="1">
      <c r="A16" s="7">
        <v>15</v>
      </c>
      <c r="B16" s="28" t="s">
        <v>65</v>
      </c>
      <c r="C16" s="29">
        <v>1</v>
      </c>
      <c r="D16" s="10" t="s">
        <v>15</v>
      </c>
      <c r="E16" s="20" t="s">
        <v>66</v>
      </c>
      <c r="F16" s="12">
        <v>45938</v>
      </c>
      <c r="G16" s="22">
        <f t="shared" si="0"/>
        <v>10</v>
      </c>
      <c r="H16" s="23" t="s">
        <v>39</v>
      </c>
      <c r="I16" s="11">
        <v>17655</v>
      </c>
      <c r="J16" s="15" t="s">
        <v>18</v>
      </c>
      <c r="K16" s="15" t="s">
        <v>19</v>
      </c>
      <c r="L16" s="16">
        <v>3000</v>
      </c>
      <c r="M16" s="16">
        <f t="shared" si="1"/>
        <v>3000</v>
      </c>
      <c r="N16" s="15" t="s">
        <v>31</v>
      </c>
    </row>
    <row r="17" spans="1:14" s="18" customFormat="1" ht="50.1" customHeight="1">
      <c r="A17" s="7">
        <v>16</v>
      </c>
      <c r="B17" s="25" t="s">
        <v>53</v>
      </c>
      <c r="C17" s="29">
        <v>1</v>
      </c>
      <c r="D17" s="10" t="s">
        <v>15</v>
      </c>
      <c r="E17" s="20" t="s">
        <v>67</v>
      </c>
      <c r="F17" s="12">
        <v>45937</v>
      </c>
      <c r="G17" s="22">
        <f t="shared" si="0"/>
        <v>10</v>
      </c>
      <c r="H17" s="11" t="s">
        <v>28</v>
      </c>
      <c r="I17" s="11">
        <v>20021</v>
      </c>
      <c r="J17" s="15" t="s">
        <v>55</v>
      </c>
      <c r="K17" s="15" t="s">
        <v>30</v>
      </c>
      <c r="L17" s="16">
        <v>6000</v>
      </c>
      <c r="M17" s="16">
        <f t="shared" si="1"/>
        <v>6000</v>
      </c>
      <c r="N17" s="17" t="s">
        <v>20</v>
      </c>
    </row>
    <row r="18" spans="1:14" s="18" customFormat="1" ht="50.1" customHeight="1">
      <c r="A18" s="7">
        <v>17</v>
      </c>
      <c r="B18" s="8" t="s">
        <v>68</v>
      </c>
      <c r="C18" s="29">
        <v>1</v>
      </c>
      <c r="D18" s="10" t="s">
        <v>15</v>
      </c>
      <c r="E18" s="30" t="s">
        <v>69</v>
      </c>
      <c r="F18" s="31">
        <v>45936</v>
      </c>
      <c r="G18" s="22">
        <f t="shared" si="0"/>
        <v>10</v>
      </c>
      <c r="H18" s="11" t="s">
        <v>70</v>
      </c>
      <c r="I18" s="11">
        <v>20021</v>
      </c>
      <c r="J18" s="15" t="s">
        <v>48</v>
      </c>
      <c r="K18" s="15" t="s">
        <v>19</v>
      </c>
      <c r="L18" s="16">
        <v>20000</v>
      </c>
      <c r="M18" s="16">
        <f t="shared" si="1"/>
        <v>20000</v>
      </c>
      <c r="N18" s="15" t="s">
        <v>31</v>
      </c>
    </row>
    <row r="19" spans="1:14" s="18" customFormat="1" ht="50.1" customHeight="1">
      <c r="A19" s="7">
        <v>18</v>
      </c>
      <c r="B19" s="26" t="s">
        <v>71</v>
      </c>
      <c r="C19" s="9">
        <v>1</v>
      </c>
      <c r="D19" s="10" t="s">
        <v>15</v>
      </c>
      <c r="E19" s="30" t="s">
        <v>72</v>
      </c>
      <c r="F19" s="31">
        <v>45938</v>
      </c>
      <c r="G19" s="22">
        <f t="shared" si="0"/>
        <v>10</v>
      </c>
      <c r="H19" s="11" t="s">
        <v>73</v>
      </c>
      <c r="I19" s="11">
        <v>20021</v>
      </c>
      <c r="J19" s="15" t="s">
        <v>48</v>
      </c>
      <c r="K19" s="15" t="s">
        <v>19</v>
      </c>
      <c r="L19" s="16">
        <v>20000</v>
      </c>
      <c r="M19" s="16">
        <f t="shared" si="1"/>
        <v>20000</v>
      </c>
      <c r="N19" s="15" t="s">
        <v>31</v>
      </c>
    </row>
    <row r="20" spans="1:14" s="18" customFormat="1" ht="50.1" customHeight="1">
      <c r="A20" s="7">
        <v>19</v>
      </c>
      <c r="B20" s="21" t="s">
        <v>74</v>
      </c>
      <c r="C20" s="9">
        <v>1</v>
      </c>
      <c r="D20" s="10" t="s">
        <v>15</v>
      </c>
      <c r="E20" s="30" t="s">
        <v>75</v>
      </c>
      <c r="F20" s="31">
        <v>45951</v>
      </c>
      <c r="G20" s="22">
        <f t="shared" si="0"/>
        <v>10</v>
      </c>
      <c r="H20" s="11" t="s">
        <v>73</v>
      </c>
      <c r="I20" s="11">
        <v>20021</v>
      </c>
      <c r="J20" s="15" t="s">
        <v>76</v>
      </c>
      <c r="K20" s="15" t="s">
        <v>36</v>
      </c>
      <c r="L20" s="16">
        <v>50000</v>
      </c>
      <c r="M20" s="16">
        <f t="shared" si="1"/>
        <v>50000</v>
      </c>
      <c r="N20" s="17" t="s">
        <v>20</v>
      </c>
    </row>
    <row r="21" spans="1:14" s="18" customFormat="1" ht="50.1" customHeight="1">
      <c r="A21" s="7">
        <v>20</v>
      </c>
      <c r="B21" s="19" t="s">
        <v>21</v>
      </c>
      <c r="C21" s="9">
        <v>1</v>
      </c>
      <c r="D21" s="10" t="s">
        <v>15</v>
      </c>
      <c r="E21" s="30" t="s">
        <v>77</v>
      </c>
      <c r="F21" s="31">
        <v>45938</v>
      </c>
      <c r="G21" s="22">
        <f t="shared" si="0"/>
        <v>10</v>
      </c>
      <c r="H21" s="23" t="s">
        <v>70</v>
      </c>
      <c r="I21" s="11">
        <v>17655</v>
      </c>
      <c r="J21" s="15" t="s">
        <v>24</v>
      </c>
      <c r="K21" s="15" t="s">
        <v>19</v>
      </c>
      <c r="L21" s="16">
        <v>2000</v>
      </c>
      <c r="M21" s="16">
        <f t="shared" si="1"/>
        <v>2000</v>
      </c>
      <c r="N21" s="15" t="s">
        <v>31</v>
      </c>
    </row>
    <row r="22" spans="1:14" s="18" customFormat="1" ht="50.1" customHeight="1">
      <c r="A22" s="7">
        <v>21</v>
      </c>
      <c r="B22" s="25" t="s">
        <v>78</v>
      </c>
      <c r="C22" s="9">
        <v>1</v>
      </c>
      <c r="D22" s="10" t="s">
        <v>15</v>
      </c>
      <c r="E22" s="30" t="s">
        <v>79</v>
      </c>
      <c r="F22" s="31">
        <v>45939</v>
      </c>
      <c r="G22" s="22">
        <f t="shared" si="0"/>
        <v>10</v>
      </c>
      <c r="H22" s="23" t="s">
        <v>34</v>
      </c>
      <c r="I22" s="11">
        <v>20021</v>
      </c>
      <c r="J22" s="15" t="s">
        <v>48</v>
      </c>
      <c r="K22" s="15" t="s">
        <v>19</v>
      </c>
      <c r="L22" s="16">
        <v>20000</v>
      </c>
      <c r="M22" s="16">
        <f t="shared" si="1"/>
        <v>20000</v>
      </c>
      <c r="N22" s="15" t="s">
        <v>31</v>
      </c>
    </row>
    <row r="23" spans="1:14" s="18" customFormat="1" ht="50.1" customHeight="1">
      <c r="A23" s="7">
        <v>22</v>
      </c>
      <c r="B23" s="26" t="s">
        <v>80</v>
      </c>
      <c r="C23" s="9">
        <v>1</v>
      </c>
      <c r="D23" s="10" t="s">
        <v>15</v>
      </c>
      <c r="E23" s="30" t="s">
        <v>81</v>
      </c>
      <c r="F23" s="31">
        <v>45939</v>
      </c>
      <c r="G23" s="22">
        <f t="shared" si="0"/>
        <v>10</v>
      </c>
      <c r="H23" s="23" t="s">
        <v>34</v>
      </c>
      <c r="I23" s="11">
        <v>20021</v>
      </c>
      <c r="J23" s="15" t="s">
        <v>82</v>
      </c>
      <c r="K23" s="15" t="s">
        <v>19</v>
      </c>
      <c r="L23" s="16">
        <v>10000</v>
      </c>
      <c r="M23" s="16">
        <f t="shared" si="1"/>
        <v>10000</v>
      </c>
      <c r="N23" s="15" t="s">
        <v>31</v>
      </c>
    </row>
    <row r="24" spans="1:14" s="18" customFormat="1" ht="50.1" customHeight="1">
      <c r="A24" s="7">
        <v>23</v>
      </c>
      <c r="B24" s="25" t="s">
        <v>53</v>
      </c>
      <c r="C24" s="9">
        <v>1</v>
      </c>
      <c r="D24" s="10" t="s">
        <v>15</v>
      </c>
      <c r="E24" s="30" t="s">
        <v>83</v>
      </c>
      <c r="F24" s="31">
        <v>45938</v>
      </c>
      <c r="G24" s="22">
        <f t="shared" si="0"/>
        <v>10</v>
      </c>
      <c r="H24" s="14" t="s">
        <v>28</v>
      </c>
      <c r="I24" s="11">
        <v>20021</v>
      </c>
      <c r="J24" s="15" t="s">
        <v>55</v>
      </c>
      <c r="K24" s="15" t="s">
        <v>30</v>
      </c>
      <c r="L24" s="16">
        <v>6000</v>
      </c>
      <c r="M24" s="16">
        <f t="shared" si="1"/>
        <v>6000</v>
      </c>
      <c r="N24" s="15" t="s">
        <v>31</v>
      </c>
    </row>
    <row r="25" spans="1:14" s="18" customFormat="1" ht="50.1" customHeight="1">
      <c r="A25" s="7">
        <v>24</v>
      </c>
      <c r="B25" s="27" t="s">
        <v>84</v>
      </c>
      <c r="C25" s="9">
        <v>1</v>
      </c>
      <c r="D25" s="10" t="s">
        <v>15</v>
      </c>
      <c r="E25" s="30" t="s">
        <v>85</v>
      </c>
      <c r="F25" s="31">
        <v>45943</v>
      </c>
      <c r="G25" s="22">
        <f t="shared" si="0"/>
        <v>10</v>
      </c>
      <c r="H25" s="23" t="s">
        <v>70</v>
      </c>
      <c r="I25" s="11">
        <v>20021</v>
      </c>
      <c r="J25" s="15" t="s">
        <v>29</v>
      </c>
      <c r="K25" s="15" t="s">
        <v>30</v>
      </c>
      <c r="L25" s="16">
        <v>30000</v>
      </c>
      <c r="M25" s="16">
        <f t="shared" si="1"/>
        <v>30000</v>
      </c>
      <c r="N25" s="15" t="s">
        <v>31</v>
      </c>
    </row>
    <row r="26" spans="1:14" s="18" customFormat="1" ht="50.1" customHeight="1">
      <c r="A26" s="7">
        <v>25</v>
      </c>
      <c r="B26" s="32" t="s">
        <v>86</v>
      </c>
      <c r="C26" s="9">
        <v>1</v>
      </c>
      <c r="D26" s="10" t="s">
        <v>15</v>
      </c>
      <c r="E26" s="11" t="s">
        <v>87</v>
      </c>
      <c r="F26" s="31">
        <v>45943</v>
      </c>
      <c r="G26" s="22">
        <f t="shared" si="0"/>
        <v>10</v>
      </c>
      <c r="H26" s="11" t="s">
        <v>88</v>
      </c>
      <c r="I26" s="11">
        <v>20021</v>
      </c>
      <c r="J26" s="15" t="s">
        <v>48</v>
      </c>
      <c r="K26" s="15" t="s">
        <v>19</v>
      </c>
      <c r="L26" s="16">
        <v>20000</v>
      </c>
      <c r="M26" s="16">
        <f t="shared" si="1"/>
        <v>20000</v>
      </c>
      <c r="N26" s="15" t="s">
        <v>31</v>
      </c>
    </row>
    <row r="27" spans="1:14" s="18" customFormat="1" ht="50.1" customHeight="1">
      <c r="A27" s="7">
        <v>26</v>
      </c>
      <c r="B27" s="19" t="s">
        <v>89</v>
      </c>
      <c r="C27" s="9">
        <v>1</v>
      </c>
      <c r="D27" s="10" t="s">
        <v>15</v>
      </c>
      <c r="E27" s="30" t="s">
        <v>90</v>
      </c>
      <c r="F27" s="31">
        <v>45944</v>
      </c>
      <c r="G27" s="22">
        <f t="shared" si="0"/>
        <v>10</v>
      </c>
      <c r="H27" s="11" t="s">
        <v>91</v>
      </c>
      <c r="I27" s="11">
        <v>17655</v>
      </c>
      <c r="J27" s="15" t="s">
        <v>29</v>
      </c>
      <c r="K27" s="15" t="s">
        <v>30</v>
      </c>
      <c r="L27" s="16">
        <v>30000</v>
      </c>
      <c r="M27" s="16">
        <f t="shared" si="1"/>
        <v>30000</v>
      </c>
      <c r="N27" s="17" t="s">
        <v>20</v>
      </c>
    </row>
    <row r="28" spans="1:14" s="18" customFormat="1" ht="50.1" customHeight="1">
      <c r="A28" s="7">
        <v>27</v>
      </c>
      <c r="B28" s="21" t="s">
        <v>92</v>
      </c>
      <c r="C28" s="9">
        <v>2</v>
      </c>
      <c r="D28" s="10" t="s">
        <v>15</v>
      </c>
      <c r="E28" s="11" t="s">
        <v>93</v>
      </c>
      <c r="F28" s="31">
        <v>45940</v>
      </c>
      <c r="G28" s="22">
        <f t="shared" si="0"/>
        <v>10</v>
      </c>
      <c r="H28" s="23" t="s">
        <v>94</v>
      </c>
      <c r="I28" s="11">
        <v>20021</v>
      </c>
      <c r="J28" s="15" t="s">
        <v>35</v>
      </c>
      <c r="K28" s="15" t="s">
        <v>36</v>
      </c>
      <c r="L28" s="16">
        <v>25000</v>
      </c>
      <c r="M28" s="16">
        <f t="shared" si="1"/>
        <v>50000</v>
      </c>
      <c r="N28" s="17" t="s">
        <v>20</v>
      </c>
    </row>
    <row r="29" spans="1:14" s="18" customFormat="1" ht="50.1" customHeight="1">
      <c r="A29" s="7">
        <v>28</v>
      </c>
      <c r="B29" s="8" t="s">
        <v>26</v>
      </c>
      <c r="C29" s="9">
        <v>1</v>
      </c>
      <c r="D29" s="10" t="s">
        <v>15</v>
      </c>
      <c r="E29" s="11" t="s">
        <v>95</v>
      </c>
      <c r="F29" s="31">
        <v>45940</v>
      </c>
      <c r="G29" s="22">
        <f t="shared" si="0"/>
        <v>10</v>
      </c>
      <c r="H29" s="11" t="s">
        <v>96</v>
      </c>
      <c r="I29" s="11">
        <v>20021</v>
      </c>
      <c r="J29" s="15" t="s">
        <v>29</v>
      </c>
      <c r="K29" s="15" t="s">
        <v>30</v>
      </c>
      <c r="L29" s="16">
        <v>30000</v>
      </c>
      <c r="M29" s="16">
        <f t="shared" si="1"/>
        <v>30000</v>
      </c>
      <c r="N29" s="15" t="s">
        <v>31</v>
      </c>
    </row>
    <row r="30" spans="1:14" s="18" customFormat="1" ht="50.1" customHeight="1">
      <c r="A30" s="7">
        <v>29</v>
      </c>
      <c r="B30" s="8" t="s">
        <v>97</v>
      </c>
      <c r="C30" s="9">
        <v>1</v>
      </c>
      <c r="D30" s="10" t="s">
        <v>15</v>
      </c>
      <c r="E30" s="30" t="s">
        <v>98</v>
      </c>
      <c r="F30" s="31">
        <v>45944</v>
      </c>
      <c r="G30" s="22">
        <f t="shared" si="0"/>
        <v>10</v>
      </c>
      <c r="H30" s="23" t="s">
        <v>99</v>
      </c>
      <c r="I30" s="11">
        <v>20021</v>
      </c>
      <c r="J30" s="15" t="s">
        <v>42</v>
      </c>
      <c r="K30" s="15" t="s">
        <v>30</v>
      </c>
      <c r="L30" s="16">
        <v>5000</v>
      </c>
      <c r="M30" s="16">
        <f t="shared" si="1"/>
        <v>5000</v>
      </c>
      <c r="N30" s="15" t="s">
        <v>31</v>
      </c>
    </row>
    <row r="31" spans="1:14" s="18" customFormat="1" ht="50.1" customHeight="1">
      <c r="A31" s="7">
        <v>30</v>
      </c>
      <c r="B31" s="25" t="s">
        <v>100</v>
      </c>
      <c r="C31" s="9">
        <v>1</v>
      </c>
      <c r="D31" s="10" t="s">
        <v>15</v>
      </c>
      <c r="E31" s="30" t="s">
        <v>101</v>
      </c>
      <c r="F31" s="31">
        <v>45944</v>
      </c>
      <c r="G31" s="22">
        <f t="shared" si="0"/>
        <v>10</v>
      </c>
      <c r="H31" s="14" t="s">
        <v>102</v>
      </c>
      <c r="I31" s="11">
        <v>20021</v>
      </c>
      <c r="J31" s="15" t="s">
        <v>48</v>
      </c>
      <c r="K31" s="15" t="s">
        <v>19</v>
      </c>
      <c r="L31" s="16">
        <v>20000</v>
      </c>
      <c r="M31" s="16">
        <f t="shared" si="1"/>
        <v>20000</v>
      </c>
      <c r="N31" s="15" t="s">
        <v>31</v>
      </c>
    </row>
    <row r="32" spans="1:14" s="18" customFormat="1" ht="50.1" customHeight="1">
      <c r="A32" s="7">
        <v>31</v>
      </c>
      <c r="B32" s="8" t="s">
        <v>103</v>
      </c>
      <c r="C32" s="9">
        <v>1</v>
      </c>
      <c r="D32" s="10" t="s">
        <v>15</v>
      </c>
      <c r="E32" s="30" t="s">
        <v>101</v>
      </c>
      <c r="F32" s="31">
        <v>45944</v>
      </c>
      <c r="G32" s="22">
        <f t="shared" si="0"/>
        <v>10</v>
      </c>
      <c r="H32" s="14" t="s">
        <v>102</v>
      </c>
      <c r="I32" s="11">
        <v>20021</v>
      </c>
      <c r="J32" s="15" t="s">
        <v>104</v>
      </c>
      <c r="K32" s="15" t="s">
        <v>19</v>
      </c>
      <c r="L32" s="16">
        <v>15000</v>
      </c>
      <c r="M32" s="16">
        <f t="shared" si="1"/>
        <v>15000</v>
      </c>
      <c r="N32" s="17" t="s">
        <v>20</v>
      </c>
    </row>
    <row r="33" spans="1:14" s="18" customFormat="1" ht="50.1" customHeight="1">
      <c r="A33" s="7">
        <v>32</v>
      </c>
      <c r="B33" s="25" t="s">
        <v>105</v>
      </c>
      <c r="C33" s="29">
        <v>1</v>
      </c>
      <c r="D33" s="10" t="s">
        <v>15</v>
      </c>
      <c r="E33" s="30" t="s">
        <v>101</v>
      </c>
      <c r="F33" s="31">
        <v>45944</v>
      </c>
      <c r="G33" s="22">
        <f t="shared" si="0"/>
        <v>10</v>
      </c>
      <c r="H33" s="14" t="s">
        <v>102</v>
      </c>
      <c r="I33" s="11">
        <v>20021</v>
      </c>
      <c r="J33" s="15" t="s">
        <v>50</v>
      </c>
      <c r="K33" s="15" t="s">
        <v>19</v>
      </c>
      <c r="L33" s="16">
        <v>30000</v>
      </c>
      <c r="M33" s="16">
        <f t="shared" si="1"/>
        <v>30000</v>
      </c>
      <c r="N33" s="17" t="s">
        <v>20</v>
      </c>
    </row>
    <row r="34" spans="1:14" s="18" customFormat="1" ht="50.1" customHeight="1">
      <c r="A34" s="7">
        <v>33</v>
      </c>
      <c r="B34" s="27" t="s">
        <v>51</v>
      </c>
      <c r="C34" s="29">
        <v>1</v>
      </c>
      <c r="D34" s="10" t="s">
        <v>15</v>
      </c>
      <c r="E34" s="30" t="s">
        <v>101</v>
      </c>
      <c r="F34" s="31">
        <v>45944</v>
      </c>
      <c r="G34" s="22">
        <f t="shared" si="0"/>
        <v>10</v>
      </c>
      <c r="H34" s="14" t="s">
        <v>102</v>
      </c>
      <c r="I34" s="11">
        <v>20021</v>
      </c>
      <c r="J34" s="15" t="s">
        <v>52</v>
      </c>
      <c r="K34" s="15" t="s">
        <v>59</v>
      </c>
      <c r="L34" s="16">
        <v>20000</v>
      </c>
      <c r="M34" s="16">
        <f t="shared" si="1"/>
        <v>20000</v>
      </c>
      <c r="N34" s="15" t="s">
        <v>31</v>
      </c>
    </row>
    <row r="35" spans="1:14" s="18" customFormat="1" ht="50.1" customHeight="1">
      <c r="A35" s="7">
        <v>34</v>
      </c>
      <c r="B35" s="19" t="s">
        <v>21</v>
      </c>
      <c r="C35" s="29">
        <v>1</v>
      </c>
      <c r="D35" s="10" t="s">
        <v>15</v>
      </c>
      <c r="E35" s="30" t="s">
        <v>106</v>
      </c>
      <c r="F35" s="31">
        <v>45946</v>
      </c>
      <c r="G35" s="22">
        <f t="shared" si="0"/>
        <v>10</v>
      </c>
      <c r="H35" s="11" t="s">
        <v>107</v>
      </c>
      <c r="I35" s="11">
        <v>20021</v>
      </c>
      <c r="J35" s="15" t="s">
        <v>24</v>
      </c>
      <c r="K35" s="15" t="s">
        <v>19</v>
      </c>
      <c r="L35" s="16">
        <v>2000</v>
      </c>
      <c r="M35" s="16">
        <f t="shared" si="1"/>
        <v>2000</v>
      </c>
      <c r="N35" s="15" t="s">
        <v>31</v>
      </c>
    </row>
    <row r="36" spans="1:14" s="18" customFormat="1" ht="50.1" customHeight="1">
      <c r="A36" s="7">
        <v>35</v>
      </c>
      <c r="B36" s="19" t="s">
        <v>108</v>
      </c>
      <c r="C36" s="29">
        <v>1</v>
      </c>
      <c r="D36" s="10" t="s">
        <v>15</v>
      </c>
      <c r="E36" s="30" t="s">
        <v>109</v>
      </c>
      <c r="F36" s="31">
        <v>45958</v>
      </c>
      <c r="G36" s="22">
        <f t="shared" si="0"/>
        <v>10</v>
      </c>
      <c r="H36" s="23" t="s">
        <v>110</v>
      </c>
      <c r="I36" s="11">
        <v>26350</v>
      </c>
      <c r="J36" s="15" t="s">
        <v>52</v>
      </c>
      <c r="K36" s="15" t="s">
        <v>19</v>
      </c>
      <c r="L36" s="16">
        <v>20000</v>
      </c>
      <c r="M36" s="16">
        <f t="shared" si="1"/>
        <v>20000</v>
      </c>
      <c r="N36" s="15" t="s">
        <v>31</v>
      </c>
    </row>
    <row r="37" spans="1:14" s="18" customFormat="1" ht="50.1" customHeight="1">
      <c r="A37" s="7">
        <v>36</v>
      </c>
      <c r="B37" s="26" t="s">
        <v>111</v>
      </c>
      <c r="C37" s="29">
        <v>1</v>
      </c>
      <c r="D37" s="10" t="s">
        <v>15</v>
      </c>
      <c r="E37" s="30" t="s">
        <v>109</v>
      </c>
      <c r="F37" s="31">
        <v>45958</v>
      </c>
      <c r="G37" s="22">
        <f t="shared" si="0"/>
        <v>10</v>
      </c>
      <c r="H37" s="23" t="s">
        <v>110</v>
      </c>
      <c r="I37" s="11">
        <v>26350</v>
      </c>
      <c r="J37" s="15" t="s">
        <v>18</v>
      </c>
      <c r="K37" s="15" t="s">
        <v>19</v>
      </c>
      <c r="L37" s="16">
        <v>2000</v>
      </c>
      <c r="M37" s="16">
        <f t="shared" si="1"/>
        <v>2000</v>
      </c>
      <c r="N37" s="17" t="s">
        <v>20</v>
      </c>
    </row>
    <row r="38" spans="1:14" s="18" customFormat="1" ht="50.1" customHeight="1">
      <c r="A38" s="7">
        <v>37</v>
      </c>
      <c r="B38" s="8" t="s">
        <v>68</v>
      </c>
      <c r="C38" s="9">
        <v>1</v>
      </c>
      <c r="D38" s="10" t="s">
        <v>15</v>
      </c>
      <c r="E38" s="30" t="s">
        <v>112</v>
      </c>
      <c r="F38" s="31">
        <v>45947</v>
      </c>
      <c r="G38" s="22">
        <f t="shared" si="0"/>
        <v>10</v>
      </c>
      <c r="H38" s="11" t="s">
        <v>23</v>
      </c>
      <c r="I38" s="11">
        <v>20021</v>
      </c>
      <c r="J38" s="15" t="s">
        <v>48</v>
      </c>
      <c r="K38" s="15" t="s">
        <v>19</v>
      </c>
      <c r="L38" s="16">
        <v>20000</v>
      </c>
      <c r="M38" s="16">
        <f t="shared" si="1"/>
        <v>20000</v>
      </c>
      <c r="N38" s="15" t="s">
        <v>31</v>
      </c>
    </row>
    <row r="39" spans="1:14" s="18" customFormat="1" ht="50.1" customHeight="1">
      <c r="A39" s="7">
        <v>38</v>
      </c>
      <c r="B39" s="21" t="s">
        <v>92</v>
      </c>
      <c r="C39" s="9">
        <v>2</v>
      </c>
      <c r="D39" s="10" t="s">
        <v>15</v>
      </c>
      <c r="E39" s="30" t="s">
        <v>113</v>
      </c>
      <c r="F39" s="31">
        <v>45947</v>
      </c>
      <c r="G39" s="22">
        <f t="shared" si="0"/>
        <v>10</v>
      </c>
      <c r="H39" s="33" t="s">
        <v>114</v>
      </c>
      <c r="I39" s="11">
        <v>20021</v>
      </c>
      <c r="J39" s="15" t="s">
        <v>35</v>
      </c>
      <c r="K39" s="15" t="s">
        <v>36</v>
      </c>
      <c r="L39" s="16">
        <v>25000</v>
      </c>
      <c r="M39" s="16">
        <f t="shared" si="1"/>
        <v>50000</v>
      </c>
      <c r="N39" s="15" t="s">
        <v>31</v>
      </c>
    </row>
    <row r="40" spans="1:14" s="18" customFormat="1" ht="50.1" customHeight="1">
      <c r="A40" s="7">
        <v>39</v>
      </c>
      <c r="B40" s="21" t="s">
        <v>32</v>
      </c>
      <c r="C40" s="9">
        <v>1</v>
      </c>
      <c r="D40" s="10" t="s">
        <v>15</v>
      </c>
      <c r="E40" s="30" t="s">
        <v>113</v>
      </c>
      <c r="F40" s="31">
        <v>45947</v>
      </c>
      <c r="G40" s="22">
        <f t="shared" si="0"/>
        <v>10</v>
      </c>
      <c r="H40" s="33" t="s">
        <v>114</v>
      </c>
      <c r="I40" s="11">
        <v>20021</v>
      </c>
      <c r="J40" s="15" t="s">
        <v>35</v>
      </c>
      <c r="K40" s="15" t="s">
        <v>36</v>
      </c>
      <c r="L40" s="16">
        <v>25000</v>
      </c>
      <c r="M40" s="16">
        <f t="shared" si="1"/>
        <v>25000</v>
      </c>
      <c r="N40" s="15" t="s">
        <v>31</v>
      </c>
    </row>
    <row r="41" spans="1:14" s="18" customFormat="1" ht="50.1" customHeight="1">
      <c r="A41" s="7">
        <v>40</v>
      </c>
      <c r="B41" s="26" t="s">
        <v>115</v>
      </c>
      <c r="C41" s="9">
        <v>1</v>
      </c>
      <c r="D41" s="10" t="s">
        <v>15</v>
      </c>
      <c r="E41" s="30" t="s">
        <v>116</v>
      </c>
      <c r="F41" s="31">
        <v>45951</v>
      </c>
      <c r="G41" s="22">
        <f t="shared" si="0"/>
        <v>10</v>
      </c>
      <c r="H41" s="11" t="s">
        <v>73</v>
      </c>
      <c r="I41" s="11">
        <v>20021</v>
      </c>
      <c r="J41" s="15" t="s">
        <v>117</v>
      </c>
      <c r="K41" s="15" t="s">
        <v>36</v>
      </c>
      <c r="L41" s="16">
        <v>5000</v>
      </c>
      <c r="M41" s="16">
        <f t="shared" si="1"/>
        <v>5000</v>
      </c>
      <c r="N41" s="15" t="s">
        <v>31</v>
      </c>
    </row>
    <row r="42" spans="1:14" s="18" customFormat="1" ht="50.1" customHeight="1">
      <c r="A42" s="7">
        <v>41</v>
      </c>
      <c r="B42" s="25" t="s">
        <v>118</v>
      </c>
      <c r="C42" s="9">
        <v>1</v>
      </c>
      <c r="D42" s="10" t="s">
        <v>15</v>
      </c>
      <c r="E42" s="11" t="s">
        <v>119</v>
      </c>
      <c r="F42" s="31">
        <v>45953</v>
      </c>
      <c r="G42" s="22">
        <f t="shared" si="0"/>
        <v>10</v>
      </c>
      <c r="H42" s="33" t="s">
        <v>120</v>
      </c>
      <c r="I42" s="11">
        <v>20021</v>
      </c>
      <c r="J42" s="15" t="s">
        <v>58</v>
      </c>
      <c r="K42" s="15" t="s">
        <v>59</v>
      </c>
      <c r="L42" s="16">
        <v>5000</v>
      </c>
      <c r="M42" s="16">
        <f t="shared" si="1"/>
        <v>5000</v>
      </c>
      <c r="N42" s="15" t="s">
        <v>31</v>
      </c>
    </row>
    <row r="43" spans="1:14" s="18" customFormat="1" ht="50.1" customHeight="1">
      <c r="A43" s="7">
        <v>42</v>
      </c>
      <c r="B43" s="21" t="s">
        <v>32</v>
      </c>
      <c r="C43" s="9">
        <v>1</v>
      </c>
      <c r="D43" s="10" t="s">
        <v>15</v>
      </c>
      <c r="E43" s="30" t="s">
        <v>121</v>
      </c>
      <c r="F43" s="31">
        <v>45951</v>
      </c>
      <c r="G43" s="22">
        <f t="shared" si="0"/>
        <v>10</v>
      </c>
      <c r="H43" s="11" t="s">
        <v>122</v>
      </c>
      <c r="I43" s="11">
        <v>20021</v>
      </c>
      <c r="J43" s="15" t="s">
        <v>35</v>
      </c>
      <c r="K43" s="15" t="s">
        <v>36</v>
      </c>
      <c r="L43" s="16">
        <v>25000</v>
      </c>
      <c r="M43" s="16">
        <f t="shared" si="1"/>
        <v>25000</v>
      </c>
      <c r="N43" s="15" t="s">
        <v>31</v>
      </c>
    </row>
    <row r="44" spans="1:14" s="18" customFormat="1" ht="50.1" customHeight="1">
      <c r="A44" s="7">
        <v>43</v>
      </c>
      <c r="B44" s="25" t="s">
        <v>123</v>
      </c>
      <c r="C44" s="9">
        <v>1</v>
      </c>
      <c r="D44" s="10" t="s">
        <v>15</v>
      </c>
      <c r="E44" s="30" t="s">
        <v>124</v>
      </c>
      <c r="F44" s="31">
        <v>45958</v>
      </c>
      <c r="G44" s="22">
        <f t="shared" si="0"/>
        <v>10</v>
      </c>
      <c r="H44" s="11" t="s">
        <v>23</v>
      </c>
      <c r="I44" s="11">
        <v>20021</v>
      </c>
      <c r="J44" s="15" t="s">
        <v>46</v>
      </c>
      <c r="K44" s="15" t="s">
        <v>19</v>
      </c>
      <c r="L44" s="16">
        <v>30000</v>
      </c>
      <c r="M44" s="16">
        <f t="shared" si="1"/>
        <v>30000</v>
      </c>
      <c r="N44" s="17" t="s">
        <v>20</v>
      </c>
    </row>
    <row r="45" spans="1:14" s="18" customFormat="1" ht="50.1" customHeight="1">
      <c r="A45" s="7">
        <v>44</v>
      </c>
      <c r="B45" s="34" t="s">
        <v>125</v>
      </c>
      <c r="C45" s="9">
        <v>1</v>
      </c>
      <c r="D45" s="10" t="s">
        <v>15</v>
      </c>
      <c r="E45" s="30" t="s">
        <v>124</v>
      </c>
      <c r="F45" s="31">
        <v>45958</v>
      </c>
      <c r="G45" s="22">
        <f t="shared" si="0"/>
        <v>10</v>
      </c>
      <c r="H45" s="11" t="s">
        <v>23</v>
      </c>
      <c r="I45" s="11">
        <v>20021</v>
      </c>
      <c r="J45" s="15" t="s">
        <v>104</v>
      </c>
      <c r="K45" s="15" t="s">
        <v>19</v>
      </c>
      <c r="L45" s="16">
        <v>15000</v>
      </c>
      <c r="M45" s="16">
        <f t="shared" si="1"/>
        <v>15000</v>
      </c>
      <c r="N45" s="17" t="s">
        <v>20</v>
      </c>
    </row>
    <row r="46" spans="1:14" s="18" customFormat="1" ht="50.1" customHeight="1">
      <c r="A46" s="7">
        <v>45</v>
      </c>
      <c r="B46" s="25" t="s">
        <v>126</v>
      </c>
      <c r="C46" s="9">
        <v>1</v>
      </c>
      <c r="D46" s="10" t="s">
        <v>15</v>
      </c>
      <c r="E46" s="30" t="s">
        <v>124</v>
      </c>
      <c r="F46" s="31">
        <v>45958</v>
      </c>
      <c r="G46" s="22">
        <f t="shared" si="0"/>
        <v>10</v>
      </c>
      <c r="H46" s="11" t="s">
        <v>23</v>
      </c>
      <c r="I46" s="11">
        <v>20021</v>
      </c>
      <c r="J46" s="15" t="s">
        <v>50</v>
      </c>
      <c r="K46" s="15" t="s">
        <v>19</v>
      </c>
      <c r="L46" s="16">
        <v>15000</v>
      </c>
      <c r="M46" s="16">
        <f t="shared" si="1"/>
        <v>15000</v>
      </c>
      <c r="N46" s="15" t="s">
        <v>31</v>
      </c>
    </row>
    <row r="47" spans="1:14" s="18" customFormat="1" ht="50.1" customHeight="1">
      <c r="A47" s="7">
        <v>46</v>
      </c>
      <c r="B47" s="27" t="s">
        <v>127</v>
      </c>
      <c r="C47" s="9">
        <v>1</v>
      </c>
      <c r="D47" s="10" t="s">
        <v>15</v>
      </c>
      <c r="E47" s="30" t="s">
        <v>124</v>
      </c>
      <c r="F47" s="31">
        <v>45958</v>
      </c>
      <c r="G47" s="22">
        <f t="shared" si="0"/>
        <v>10</v>
      </c>
      <c r="H47" s="11" t="s">
        <v>23</v>
      </c>
      <c r="I47" s="11">
        <v>20021</v>
      </c>
      <c r="J47" s="15" t="s">
        <v>52</v>
      </c>
      <c r="K47" s="15" t="s">
        <v>59</v>
      </c>
      <c r="L47" s="16">
        <v>20000</v>
      </c>
      <c r="M47" s="16">
        <f t="shared" si="1"/>
        <v>20000</v>
      </c>
      <c r="N47" s="15" t="s">
        <v>31</v>
      </c>
    </row>
    <row r="48" spans="1:14" s="18" customFormat="1" ht="50.1" customHeight="1">
      <c r="A48" s="7">
        <v>47</v>
      </c>
      <c r="B48" s="25" t="s">
        <v>53</v>
      </c>
      <c r="C48" s="9">
        <v>1</v>
      </c>
      <c r="D48" s="10" t="s">
        <v>15</v>
      </c>
      <c r="E48" s="30" t="s">
        <v>128</v>
      </c>
      <c r="F48" s="31">
        <v>45952</v>
      </c>
      <c r="G48" s="22">
        <f t="shared" si="0"/>
        <v>10</v>
      </c>
      <c r="H48" s="11" t="s">
        <v>28</v>
      </c>
      <c r="I48" s="11">
        <v>20021</v>
      </c>
      <c r="J48" s="15" t="s">
        <v>55</v>
      </c>
      <c r="K48" s="15" t="s">
        <v>30</v>
      </c>
      <c r="L48" s="16">
        <v>6000</v>
      </c>
      <c r="M48" s="16">
        <f t="shared" si="1"/>
        <v>6000</v>
      </c>
      <c r="N48" s="15" t="s">
        <v>31</v>
      </c>
    </row>
    <row r="49" spans="1:14" s="18" customFormat="1" ht="50.1" customHeight="1">
      <c r="A49" s="7">
        <v>48</v>
      </c>
      <c r="B49" s="35" t="s">
        <v>129</v>
      </c>
      <c r="C49" s="9">
        <v>1</v>
      </c>
      <c r="D49" s="10" t="s">
        <v>15</v>
      </c>
      <c r="E49" s="30" t="s">
        <v>130</v>
      </c>
      <c r="F49" s="31">
        <v>45960</v>
      </c>
      <c r="G49" s="22">
        <f t="shared" si="0"/>
        <v>10</v>
      </c>
      <c r="H49" s="33" t="s">
        <v>131</v>
      </c>
      <c r="I49" s="11">
        <v>15060</v>
      </c>
      <c r="J49" s="15" t="s">
        <v>42</v>
      </c>
      <c r="K49" s="15" t="s">
        <v>30</v>
      </c>
      <c r="L49" s="16">
        <v>10000</v>
      </c>
      <c r="M49" s="16">
        <f t="shared" si="1"/>
        <v>10000</v>
      </c>
      <c r="N49" s="15" t="s">
        <v>31</v>
      </c>
    </row>
    <row r="50" spans="1:14" s="18" customFormat="1" ht="50.1" customHeight="1">
      <c r="A50" s="7">
        <v>49</v>
      </c>
      <c r="B50" s="35" t="s">
        <v>132</v>
      </c>
      <c r="C50" s="9">
        <v>1</v>
      </c>
      <c r="D50" s="10" t="s">
        <v>15</v>
      </c>
      <c r="E50" s="30" t="s">
        <v>133</v>
      </c>
      <c r="F50" s="31">
        <v>45960</v>
      </c>
      <c r="G50" s="22">
        <f t="shared" si="0"/>
        <v>10</v>
      </c>
      <c r="H50" s="23" t="s">
        <v>134</v>
      </c>
      <c r="I50" s="11">
        <v>20021</v>
      </c>
      <c r="J50" s="15" t="s">
        <v>52</v>
      </c>
      <c r="K50" s="15" t="s">
        <v>59</v>
      </c>
      <c r="L50" s="16">
        <v>20000</v>
      </c>
      <c r="M50" s="16">
        <f t="shared" si="1"/>
        <v>20000</v>
      </c>
      <c r="N50" s="17" t="s">
        <v>20</v>
      </c>
    </row>
    <row r="51" spans="1:14" s="18" customFormat="1" ht="50.1" customHeight="1">
      <c r="A51" s="7">
        <v>50</v>
      </c>
      <c r="B51" s="8" t="s">
        <v>135</v>
      </c>
      <c r="C51" s="9">
        <v>1</v>
      </c>
      <c r="D51" s="10" t="s">
        <v>15</v>
      </c>
      <c r="E51" s="30" t="s">
        <v>136</v>
      </c>
      <c r="F51" s="31">
        <v>45961</v>
      </c>
      <c r="G51" s="22">
        <f t="shared" si="0"/>
        <v>10</v>
      </c>
      <c r="H51" s="11" t="s">
        <v>122</v>
      </c>
      <c r="I51" s="11">
        <v>17655</v>
      </c>
      <c r="J51" s="15" t="s">
        <v>52</v>
      </c>
      <c r="K51" s="15" t="s">
        <v>59</v>
      </c>
      <c r="L51" s="16">
        <v>20000</v>
      </c>
      <c r="M51" s="16">
        <f t="shared" si="1"/>
        <v>20000</v>
      </c>
      <c r="N51" s="15" t="s">
        <v>31</v>
      </c>
    </row>
    <row r="52" spans="1:14" s="18" customFormat="1" ht="50.1" customHeight="1">
      <c r="A52" s="7">
        <v>51</v>
      </c>
      <c r="B52" s="19" t="s">
        <v>21</v>
      </c>
      <c r="C52" s="9">
        <v>1</v>
      </c>
      <c r="D52" s="10" t="s">
        <v>15</v>
      </c>
      <c r="E52" s="30" t="s">
        <v>137</v>
      </c>
      <c r="F52" s="31">
        <v>45957</v>
      </c>
      <c r="G52" s="22">
        <f t="shared" si="0"/>
        <v>10</v>
      </c>
      <c r="H52" s="30" t="s">
        <v>34</v>
      </c>
      <c r="I52" s="11">
        <v>20021</v>
      </c>
      <c r="J52" s="15" t="s">
        <v>24</v>
      </c>
      <c r="K52" s="15" t="s">
        <v>19</v>
      </c>
      <c r="L52" s="16">
        <v>2000</v>
      </c>
      <c r="M52" s="16">
        <f t="shared" si="1"/>
        <v>2000</v>
      </c>
      <c r="N52" s="15" t="s">
        <v>31</v>
      </c>
    </row>
    <row r="53" spans="1:14" s="18" customFormat="1" ht="50.1" customHeight="1">
      <c r="A53" s="7">
        <v>52</v>
      </c>
      <c r="B53" s="27" t="s">
        <v>138</v>
      </c>
      <c r="C53" s="9">
        <v>1</v>
      </c>
      <c r="D53" s="10" t="s">
        <v>15</v>
      </c>
      <c r="E53" s="30" t="s">
        <v>139</v>
      </c>
      <c r="F53" s="31">
        <v>45960</v>
      </c>
      <c r="G53" s="22">
        <f t="shared" si="0"/>
        <v>10</v>
      </c>
      <c r="H53" s="30" t="s">
        <v>62</v>
      </c>
      <c r="I53" s="11">
        <v>15060</v>
      </c>
      <c r="J53" s="15" t="s">
        <v>58</v>
      </c>
      <c r="K53" s="15" t="s">
        <v>59</v>
      </c>
      <c r="L53" s="16">
        <v>5000</v>
      </c>
      <c r="M53" s="16">
        <f t="shared" si="1"/>
        <v>5000</v>
      </c>
      <c r="N53" s="15" t="s">
        <v>31</v>
      </c>
    </row>
    <row r="54" spans="1:14" s="18" customFormat="1" ht="50.1" customHeight="1">
      <c r="A54" s="7">
        <v>53</v>
      </c>
      <c r="B54" s="19" t="s">
        <v>21</v>
      </c>
      <c r="C54" s="9">
        <v>1</v>
      </c>
      <c r="D54" s="10" t="s">
        <v>15</v>
      </c>
      <c r="E54" s="30" t="s">
        <v>140</v>
      </c>
      <c r="F54" s="31">
        <v>45960</v>
      </c>
      <c r="G54" s="22">
        <f t="shared" si="0"/>
        <v>10</v>
      </c>
      <c r="H54" s="33" t="s">
        <v>120</v>
      </c>
      <c r="I54" s="11">
        <v>15060</v>
      </c>
      <c r="J54" s="15" t="s">
        <v>24</v>
      </c>
      <c r="K54" s="15" t="s">
        <v>19</v>
      </c>
      <c r="L54" s="16">
        <v>2000</v>
      </c>
      <c r="M54" s="16">
        <f t="shared" si="1"/>
        <v>2000</v>
      </c>
      <c r="N54" s="15" t="s">
        <v>31</v>
      </c>
    </row>
    <row r="55" spans="1:14" s="18" customFormat="1" ht="50.1" customHeight="1">
      <c r="A55" s="7">
        <v>54</v>
      </c>
      <c r="B55" s="36" t="s">
        <v>141</v>
      </c>
      <c r="C55" s="9">
        <v>1</v>
      </c>
      <c r="D55" s="10" t="s">
        <v>15</v>
      </c>
      <c r="E55" s="30" t="s">
        <v>142</v>
      </c>
      <c r="F55" s="31">
        <v>45961</v>
      </c>
      <c r="G55" s="22">
        <f t="shared" si="0"/>
        <v>10</v>
      </c>
      <c r="H55" s="23" t="s">
        <v>134</v>
      </c>
      <c r="I55" s="11">
        <v>20021</v>
      </c>
      <c r="J55" s="15" t="s">
        <v>143</v>
      </c>
      <c r="K55" s="15" t="s">
        <v>36</v>
      </c>
      <c r="L55" s="16">
        <v>5000</v>
      </c>
      <c r="M55" s="16">
        <f t="shared" si="1"/>
        <v>5000</v>
      </c>
      <c r="N55" s="15" t="s">
        <v>31</v>
      </c>
    </row>
    <row r="56" spans="1:14" s="18" customFormat="1" ht="50.1" customHeight="1">
      <c r="A56" s="7">
        <v>55</v>
      </c>
      <c r="B56" s="26" t="s">
        <v>80</v>
      </c>
      <c r="C56" s="9">
        <v>1</v>
      </c>
      <c r="D56" s="10" t="s">
        <v>15</v>
      </c>
      <c r="E56" s="30" t="s">
        <v>144</v>
      </c>
      <c r="F56" s="31">
        <v>45960</v>
      </c>
      <c r="G56" s="22">
        <f t="shared" si="0"/>
        <v>10</v>
      </c>
      <c r="H56" s="11" t="s">
        <v>88</v>
      </c>
      <c r="I56" s="29">
        <v>15060</v>
      </c>
      <c r="J56" s="15" t="s">
        <v>82</v>
      </c>
      <c r="K56" s="15" t="s">
        <v>19</v>
      </c>
      <c r="L56" s="16">
        <v>10000</v>
      </c>
      <c r="M56" s="16">
        <f t="shared" si="1"/>
        <v>10000</v>
      </c>
      <c r="N56" s="15" t="s">
        <v>31</v>
      </c>
    </row>
    <row r="57" spans="1:14" s="18" customFormat="1" ht="50.1" customHeight="1">
      <c r="A57" s="7">
        <v>56</v>
      </c>
      <c r="B57" s="25" t="s">
        <v>145</v>
      </c>
      <c r="C57" s="9">
        <v>1</v>
      </c>
      <c r="D57" s="10" t="s">
        <v>15</v>
      </c>
      <c r="E57" s="30" t="s">
        <v>146</v>
      </c>
      <c r="F57" s="31">
        <v>45961</v>
      </c>
      <c r="G57" s="22">
        <f t="shared" si="0"/>
        <v>10</v>
      </c>
      <c r="H57" s="23" t="s">
        <v>70</v>
      </c>
      <c r="I57" s="29">
        <v>20021</v>
      </c>
      <c r="J57" s="15" t="s">
        <v>46</v>
      </c>
      <c r="K57" s="15" t="s">
        <v>19</v>
      </c>
      <c r="L57" s="16">
        <v>30000</v>
      </c>
      <c r="M57" s="16">
        <f t="shared" si="1"/>
        <v>30000</v>
      </c>
      <c r="N57" s="15" t="s">
        <v>31</v>
      </c>
    </row>
    <row r="58" spans="1:14" s="18" customFormat="1" ht="50.1" customHeight="1">
      <c r="A58" s="7">
        <v>57</v>
      </c>
      <c r="B58" s="25" t="s">
        <v>147</v>
      </c>
      <c r="C58" s="9">
        <v>1</v>
      </c>
      <c r="D58" s="10" t="s">
        <v>15</v>
      </c>
      <c r="E58" s="30" t="s">
        <v>146</v>
      </c>
      <c r="F58" s="31">
        <v>45961</v>
      </c>
      <c r="G58" s="22">
        <f t="shared" si="0"/>
        <v>10</v>
      </c>
      <c r="H58" s="23" t="s">
        <v>70</v>
      </c>
      <c r="I58" s="29">
        <v>20021</v>
      </c>
      <c r="J58" s="15" t="s">
        <v>104</v>
      </c>
      <c r="K58" s="15" t="s">
        <v>19</v>
      </c>
      <c r="L58" s="16">
        <v>15000</v>
      </c>
      <c r="M58" s="16">
        <f t="shared" si="1"/>
        <v>15000</v>
      </c>
      <c r="N58" s="15" t="s">
        <v>31</v>
      </c>
    </row>
    <row r="59" spans="1:14" s="18" customFormat="1" ht="50.1" customHeight="1">
      <c r="A59" s="7">
        <v>58</v>
      </c>
      <c r="B59" s="25" t="s">
        <v>126</v>
      </c>
      <c r="C59" s="9">
        <v>1</v>
      </c>
      <c r="D59" s="10" t="s">
        <v>15</v>
      </c>
      <c r="E59" s="30" t="s">
        <v>146</v>
      </c>
      <c r="F59" s="31">
        <v>45961</v>
      </c>
      <c r="G59" s="22">
        <f t="shared" si="0"/>
        <v>10</v>
      </c>
      <c r="H59" s="23" t="s">
        <v>70</v>
      </c>
      <c r="I59" s="11">
        <v>20021</v>
      </c>
      <c r="J59" s="15" t="s">
        <v>50</v>
      </c>
      <c r="K59" s="15" t="s">
        <v>19</v>
      </c>
      <c r="L59" s="16">
        <v>20000</v>
      </c>
      <c r="M59" s="16">
        <f t="shared" si="1"/>
        <v>20000</v>
      </c>
      <c r="N59" s="15" t="s">
        <v>31</v>
      </c>
    </row>
    <row r="60" spans="1:14" s="18" customFormat="1" ht="50.1" customHeight="1">
      <c r="A60" s="7">
        <v>59</v>
      </c>
      <c r="B60" s="27" t="s">
        <v>148</v>
      </c>
      <c r="C60" s="9">
        <v>1</v>
      </c>
      <c r="D60" s="10" t="s">
        <v>15</v>
      </c>
      <c r="E60" s="30" t="s">
        <v>146</v>
      </c>
      <c r="F60" s="31">
        <v>45961</v>
      </c>
      <c r="G60" s="22">
        <f t="shared" si="0"/>
        <v>10</v>
      </c>
      <c r="H60" s="23" t="s">
        <v>70</v>
      </c>
      <c r="I60" s="11">
        <v>20021</v>
      </c>
      <c r="J60" s="15" t="s">
        <v>52</v>
      </c>
      <c r="K60" s="15" t="s">
        <v>59</v>
      </c>
      <c r="L60" s="16">
        <v>20000</v>
      </c>
      <c r="M60" s="16">
        <f t="shared" si="1"/>
        <v>20000</v>
      </c>
      <c r="N60" s="15" t="s">
        <v>31</v>
      </c>
    </row>
    <row r="61" spans="1:14" s="18" customFormat="1" ht="50.1" customHeight="1">
      <c r="A61" s="7">
        <v>60</v>
      </c>
      <c r="B61" s="25" t="s">
        <v>145</v>
      </c>
      <c r="C61" s="9">
        <v>1</v>
      </c>
      <c r="D61" s="10" t="s">
        <v>15</v>
      </c>
      <c r="E61" s="30" t="s">
        <v>149</v>
      </c>
      <c r="F61" s="31">
        <v>45961</v>
      </c>
      <c r="G61" s="22">
        <f t="shared" si="0"/>
        <v>10</v>
      </c>
      <c r="H61" s="23" t="s">
        <v>70</v>
      </c>
      <c r="I61" s="11">
        <v>20021</v>
      </c>
      <c r="J61" s="15" t="s">
        <v>46</v>
      </c>
      <c r="K61" s="15" t="s">
        <v>19</v>
      </c>
      <c r="L61" s="16">
        <v>30000</v>
      </c>
      <c r="M61" s="16">
        <f t="shared" si="1"/>
        <v>30000</v>
      </c>
      <c r="N61" s="15" t="s">
        <v>31</v>
      </c>
    </row>
    <row r="62" spans="1:14" s="18" customFormat="1" ht="50.1" customHeight="1">
      <c r="A62" s="7">
        <v>61</v>
      </c>
      <c r="B62" s="25" t="s">
        <v>147</v>
      </c>
      <c r="C62" s="9">
        <v>1</v>
      </c>
      <c r="D62" s="10" t="s">
        <v>15</v>
      </c>
      <c r="E62" s="30" t="s">
        <v>149</v>
      </c>
      <c r="F62" s="31">
        <v>45961</v>
      </c>
      <c r="G62" s="22">
        <f t="shared" si="0"/>
        <v>10</v>
      </c>
      <c r="H62" s="23" t="s">
        <v>70</v>
      </c>
      <c r="I62" s="11">
        <v>17655</v>
      </c>
      <c r="J62" s="15" t="s">
        <v>104</v>
      </c>
      <c r="K62" s="15" t="s">
        <v>19</v>
      </c>
      <c r="L62" s="16">
        <v>15000</v>
      </c>
      <c r="M62" s="16">
        <f t="shared" si="1"/>
        <v>15000</v>
      </c>
      <c r="N62" s="15" t="s">
        <v>31</v>
      </c>
    </row>
    <row r="63" spans="1:14" s="18" customFormat="1" ht="50.1" customHeight="1">
      <c r="A63" s="7">
        <v>62</v>
      </c>
      <c r="B63" s="25" t="s">
        <v>126</v>
      </c>
      <c r="C63" s="9">
        <v>1</v>
      </c>
      <c r="D63" s="10" t="s">
        <v>15</v>
      </c>
      <c r="E63" s="30" t="s">
        <v>149</v>
      </c>
      <c r="F63" s="31">
        <v>45961</v>
      </c>
      <c r="G63" s="22">
        <f t="shared" si="0"/>
        <v>10</v>
      </c>
      <c r="H63" s="23" t="s">
        <v>70</v>
      </c>
      <c r="I63" s="11">
        <v>17655</v>
      </c>
      <c r="J63" s="15" t="s">
        <v>50</v>
      </c>
      <c r="K63" s="15" t="s">
        <v>19</v>
      </c>
      <c r="L63" s="16">
        <v>20000</v>
      </c>
      <c r="M63" s="16">
        <f t="shared" si="1"/>
        <v>20000</v>
      </c>
      <c r="N63" s="15" t="s">
        <v>31</v>
      </c>
    </row>
    <row r="64" spans="1:14" s="18" customFormat="1" ht="50.1" customHeight="1">
      <c r="A64" s="7">
        <v>63</v>
      </c>
      <c r="B64" s="27" t="s">
        <v>150</v>
      </c>
      <c r="C64" s="9">
        <v>1</v>
      </c>
      <c r="D64" s="10" t="s">
        <v>15</v>
      </c>
      <c r="E64" s="30" t="s">
        <v>149</v>
      </c>
      <c r="F64" s="31">
        <v>45961</v>
      </c>
      <c r="G64" s="22">
        <f t="shared" si="0"/>
        <v>10</v>
      </c>
      <c r="H64" s="23" t="s">
        <v>70</v>
      </c>
      <c r="I64" s="11">
        <v>20021</v>
      </c>
      <c r="J64" s="15" t="s">
        <v>52</v>
      </c>
      <c r="K64" s="15" t="s">
        <v>59</v>
      </c>
      <c r="L64" s="16">
        <v>20000</v>
      </c>
      <c r="M64" s="16">
        <f t="shared" si="1"/>
        <v>20000</v>
      </c>
      <c r="N64" s="15" t="s">
        <v>31</v>
      </c>
    </row>
    <row r="65" spans="1:14" s="18" customFormat="1" ht="50.1" customHeight="1">
      <c r="A65" s="7">
        <v>64</v>
      </c>
      <c r="B65" s="21" t="s">
        <v>151</v>
      </c>
      <c r="C65" s="9">
        <v>1</v>
      </c>
      <c r="D65" s="10" t="s">
        <v>15</v>
      </c>
      <c r="E65" s="20" t="s">
        <v>152</v>
      </c>
      <c r="F65" s="12">
        <v>45965</v>
      </c>
      <c r="G65" s="22">
        <f t="shared" si="0"/>
        <v>11</v>
      </c>
      <c r="H65" s="11" t="s">
        <v>45</v>
      </c>
      <c r="I65" s="11">
        <v>26350</v>
      </c>
      <c r="J65" s="15" t="s">
        <v>58</v>
      </c>
      <c r="K65" s="15" t="s">
        <v>59</v>
      </c>
      <c r="L65" s="16">
        <v>5000</v>
      </c>
      <c r="M65" s="16">
        <f t="shared" si="1"/>
        <v>5000</v>
      </c>
      <c r="N65" s="15" t="s">
        <v>31</v>
      </c>
    </row>
    <row r="66" spans="1:14" s="37" customFormat="1" ht="50.1" customHeight="1">
      <c r="A66" s="7">
        <v>65</v>
      </c>
      <c r="B66" s="19" t="s">
        <v>153</v>
      </c>
      <c r="C66" s="9">
        <v>1</v>
      </c>
      <c r="D66" s="10" t="s">
        <v>15</v>
      </c>
      <c r="E66" s="20" t="s">
        <v>154</v>
      </c>
      <c r="F66" s="12">
        <v>45966</v>
      </c>
      <c r="G66" s="22">
        <f t="shared" ref="G66:G129" si="2">MONTH(F66)</f>
        <v>11</v>
      </c>
      <c r="H66" s="11" t="s">
        <v>17</v>
      </c>
      <c r="I66" s="11">
        <v>20021</v>
      </c>
      <c r="J66" s="15" t="s">
        <v>46</v>
      </c>
      <c r="K66" s="15" t="s">
        <v>19</v>
      </c>
      <c r="L66" s="16">
        <v>20000</v>
      </c>
      <c r="M66" s="16">
        <f t="shared" ref="M66:M129" si="3">L66*C66</f>
        <v>20000</v>
      </c>
      <c r="N66" s="15" t="s">
        <v>31</v>
      </c>
    </row>
    <row r="67" spans="1:14" s="18" customFormat="1" ht="50.1" customHeight="1">
      <c r="A67" s="7">
        <v>66</v>
      </c>
      <c r="B67" s="28" t="s">
        <v>65</v>
      </c>
      <c r="C67" s="9">
        <v>1</v>
      </c>
      <c r="D67" s="10" t="s">
        <v>15</v>
      </c>
      <c r="E67" s="20" t="s">
        <v>155</v>
      </c>
      <c r="F67" s="12">
        <v>45966</v>
      </c>
      <c r="G67" s="22">
        <f t="shared" si="2"/>
        <v>11</v>
      </c>
      <c r="H67" s="23" t="s">
        <v>96</v>
      </c>
      <c r="I67" s="11">
        <v>26350</v>
      </c>
      <c r="J67" s="15" t="s">
        <v>18</v>
      </c>
      <c r="K67" s="15" t="s">
        <v>19</v>
      </c>
      <c r="L67" s="16">
        <v>3000</v>
      </c>
      <c r="M67" s="16">
        <f t="shared" si="3"/>
        <v>3000</v>
      </c>
      <c r="N67" s="15" t="s">
        <v>31</v>
      </c>
    </row>
    <row r="68" spans="1:14" s="18" customFormat="1" ht="50.1" customHeight="1">
      <c r="A68" s="7">
        <v>67</v>
      </c>
      <c r="B68" s="25" t="s">
        <v>156</v>
      </c>
      <c r="C68" s="9">
        <v>1</v>
      </c>
      <c r="D68" s="10" t="s">
        <v>15</v>
      </c>
      <c r="E68" s="20" t="s">
        <v>157</v>
      </c>
      <c r="F68" s="12">
        <v>45968</v>
      </c>
      <c r="G68" s="22">
        <f t="shared" si="2"/>
        <v>11</v>
      </c>
      <c r="H68" s="14" t="s">
        <v>122</v>
      </c>
      <c r="I68" s="11">
        <v>17655</v>
      </c>
      <c r="J68" s="15" t="s">
        <v>58</v>
      </c>
      <c r="K68" s="15" t="s">
        <v>59</v>
      </c>
      <c r="L68" s="16">
        <v>5000</v>
      </c>
      <c r="M68" s="16">
        <f t="shared" si="3"/>
        <v>5000</v>
      </c>
      <c r="N68" s="15" t="s">
        <v>31</v>
      </c>
    </row>
    <row r="69" spans="1:14" s="18" customFormat="1" ht="50.1" customHeight="1">
      <c r="A69" s="7">
        <v>68</v>
      </c>
      <c r="B69" s="25" t="s">
        <v>158</v>
      </c>
      <c r="C69" s="9">
        <v>1</v>
      </c>
      <c r="D69" s="10" t="s">
        <v>15</v>
      </c>
      <c r="E69" s="20" t="s">
        <v>159</v>
      </c>
      <c r="F69" s="12">
        <v>45966</v>
      </c>
      <c r="G69" s="22">
        <f t="shared" si="2"/>
        <v>11</v>
      </c>
      <c r="H69" s="11" t="s">
        <v>160</v>
      </c>
      <c r="I69" s="11">
        <v>20021</v>
      </c>
      <c r="J69" s="15" t="s">
        <v>42</v>
      </c>
      <c r="K69" s="15" t="s">
        <v>30</v>
      </c>
      <c r="L69" s="16">
        <v>10000</v>
      </c>
      <c r="M69" s="16">
        <f t="shared" si="3"/>
        <v>10000</v>
      </c>
      <c r="N69" s="15" t="s">
        <v>31</v>
      </c>
    </row>
    <row r="70" spans="1:14" s="18" customFormat="1" ht="50.1" customHeight="1">
      <c r="A70" s="7">
        <v>69</v>
      </c>
      <c r="B70" s="25" t="s">
        <v>161</v>
      </c>
      <c r="C70" s="9">
        <v>1</v>
      </c>
      <c r="D70" s="10" t="s">
        <v>15</v>
      </c>
      <c r="E70" s="20" t="s">
        <v>162</v>
      </c>
      <c r="F70" s="12">
        <v>45968</v>
      </c>
      <c r="G70" s="22">
        <f t="shared" si="2"/>
        <v>11</v>
      </c>
      <c r="H70" s="11" t="s">
        <v>122</v>
      </c>
      <c r="I70" s="11">
        <v>17655</v>
      </c>
      <c r="J70" s="15" t="s">
        <v>52</v>
      </c>
      <c r="K70" s="15" t="s">
        <v>59</v>
      </c>
      <c r="L70" s="16">
        <v>20000</v>
      </c>
      <c r="M70" s="16">
        <f t="shared" si="3"/>
        <v>20000</v>
      </c>
      <c r="N70" s="15" t="s">
        <v>31</v>
      </c>
    </row>
    <row r="71" spans="1:14" s="18" customFormat="1" ht="50.1" customHeight="1">
      <c r="A71" s="7">
        <v>70</v>
      </c>
      <c r="B71" s="28" t="s">
        <v>89</v>
      </c>
      <c r="C71" s="9">
        <v>1</v>
      </c>
      <c r="D71" s="10" t="s">
        <v>15</v>
      </c>
      <c r="E71" s="20" t="s">
        <v>163</v>
      </c>
      <c r="F71" s="12">
        <v>45972</v>
      </c>
      <c r="G71" s="22">
        <f t="shared" si="2"/>
        <v>11</v>
      </c>
      <c r="H71" s="23" t="s">
        <v>110</v>
      </c>
      <c r="I71" s="11">
        <v>20021</v>
      </c>
      <c r="J71" s="15" t="s">
        <v>29</v>
      </c>
      <c r="K71" s="15" t="s">
        <v>30</v>
      </c>
      <c r="L71" s="16">
        <v>30000</v>
      </c>
      <c r="M71" s="16">
        <f t="shared" si="3"/>
        <v>30000</v>
      </c>
      <c r="N71" s="15" t="s">
        <v>31</v>
      </c>
    </row>
    <row r="72" spans="1:14" s="18" customFormat="1" ht="50.1" customHeight="1">
      <c r="A72" s="7">
        <v>71</v>
      </c>
      <c r="B72" s="25" t="s">
        <v>53</v>
      </c>
      <c r="C72" s="9">
        <v>1</v>
      </c>
      <c r="D72" s="10" t="s">
        <v>15</v>
      </c>
      <c r="E72" s="20" t="s">
        <v>164</v>
      </c>
      <c r="F72" s="12">
        <v>45972</v>
      </c>
      <c r="G72" s="22">
        <f t="shared" si="2"/>
        <v>11</v>
      </c>
      <c r="H72" s="11" t="s">
        <v>28</v>
      </c>
      <c r="I72" s="11">
        <v>20021</v>
      </c>
      <c r="J72" s="15" t="s">
        <v>55</v>
      </c>
      <c r="K72" s="15" t="s">
        <v>30</v>
      </c>
      <c r="L72" s="16">
        <v>6000</v>
      </c>
      <c r="M72" s="16">
        <f t="shared" si="3"/>
        <v>6000</v>
      </c>
      <c r="N72" s="15" t="s">
        <v>31</v>
      </c>
    </row>
    <row r="73" spans="1:14" s="18" customFormat="1" ht="50.1" customHeight="1">
      <c r="A73" s="7">
        <v>72</v>
      </c>
      <c r="B73" s="25" t="s">
        <v>53</v>
      </c>
      <c r="C73" s="9">
        <v>1</v>
      </c>
      <c r="D73" s="10" t="s">
        <v>15</v>
      </c>
      <c r="E73" s="20" t="s">
        <v>165</v>
      </c>
      <c r="F73" s="12">
        <v>45972</v>
      </c>
      <c r="G73" s="22">
        <f t="shared" si="2"/>
        <v>11</v>
      </c>
      <c r="H73" s="11" t="s">
        <v>99</v>
      </c>
      <c r="I73" s="11">
        <v>20021</v>
      </c>
      <c r="J73" s="15" t="s">
        <v>55</v>
      </c>
      <c r="K73" s="15" t="s">
        <v>30</v>
      </c>
      <c r="L73" s="16">
        <v>6000</v>
      </c>
      <c r="M73" s="16">
        <f t="shared" si="3"/>
        <v>6000</v>
      </c>
      <c r="N73" s="15" t="s">
        <v>31</v>
      </c>
    </row>
    <row r="74" spans="1:14" s="18" customFormat="1" ht="50.1" customHeight="1">
      <c r="A74" s="7">
        <v>73</v>
      </c>
      <c r="B74" s="19" t="s">
        <v>166</v>
      </c>
      <c r="C74" s="9">
        <v>1</v>
      </c>
      <c r="D74" s="10" t="s">
        <v>15</v>
      </c>
      <c r="E74" s="20" t="s">
        <v>167</v>
      </c>
      <c r="F74" s="12">
        <v>45972</v>
      </c>
      <c r="G74" s="22">
        <f t="shared" si="2"/>
        <v>11</v>
      </c>
      <c r="H74" s="11" t="s">
        <v>28</v>
      </c>
      <c r="I74" s="11">
        <v>17655</v>
      </c>
      <c r="J74" s="15" t="s">
        <v>82</v>
      </c>
      <c r="K74" s="15" t="s">
        <v>19</v>
      </c>
      <c r="L74" s="16">
        <v>10000</v>
      </c>
      <c r="M74" s="16">
        <f t="shared" si="3"/>
        <v>10000</v>
      </c>
      <c r="N74" s="15" t="s">
        <v>31</v>
      </c>
    </row>
    <row r="75" spans="1:14" s="37" customFormat="1" ht="50.1" customHeight="1">
      <c r="A75" s="7">
        <v>74</v>
      </c>
      <c r="B75" s="8" t="s">
        <v>40</v>
      </c>
      <c r="C75" s="9">
        <v>1</v>
      </c>
      <c r="D75" s="10" t="s">
        <v>15</v>
      </c>
      <c r="E75" s="20" t="s">
        <v>168</v>
      </c>
      <c r="F75" s="12">
        <v>45972</v>
      </c>
      <c r="G75" s="22">
        <f t="shared" si="2"/>
        <v>11</v>
      </c>
      <c r="H75" s="11" t="s">
        <v>28</v>
      </c>
      <c r="I75" s="11">
        <v>2021</v>
      </c>
      <c r="J75" s="15" t="s">
        <v>42</v>
      </c>
      <c r="K75" s="15" t="s">
        <v>30</v>
      </c>
      <c r="L75" s="16">
        <v>10000</v>
      </c>
      <c r="M75" s="16">
        <f t="shared" si="3"/>
        <v>10000</v>
      </c>
      <c r="N75" s="15" t="s">
        <v>31</v>
      </c>
    </row>
    <row r="76" spans="1:14" s="37" customFormat="1" ht="50.1" customHeight="1">
      <c r="A76" s="7">
        <v>75</v>
      </c>
      <c r="B76" s="27" t="s">
        <v>169</v>
      </c>
      <c r="C76" s="9">
        <v>1</v>
      </c>
      <c r="D76" s="10" t="s">
        <v>15</v>
      </c>
      <c r="E76" s="20" t="s">
        <v>170</v>
      </c>
      <c r="F76" s="12">
        <v>45987</v>
      </c>
      <c r="G76" s="22">
        <f t="shared" si="2"/>
        <v>11</v>
      </c>
      <c r="H76" s="23" t="s">
        <v>110</v>
      </c>
      <c r="I76" s="11">
        <v>20021</v>
      </c>
      <c r="J76" s="15" t="s">
        <v>42</v>
      </c>
      <c r="K76" s="15" t="s">
        <v>30</v>
      </c>
      <c r="L76" s="16">
        <v>10000</v>
      </c>
      <c r="M76" s="16">
        <f t="shared" si="3"/>
        <v>10000</v>
      </c>
      <c r="N76" s="15" t="s">
        <v>31</v>
      </c>
    </row>
    <row r="77" spans="1:14" s="37" customFormat="1" ht="50.1" customHeight="1">
      <c r="A77" s="7">
        <v>76</v>
      </c>
      <c r="B77" s="26" t="s">
        <v>171</v>
      </c>
      <c r="C77" s="9">
        <v>1</v>
      </c>
      <c r="D77" s="10" t="s">
        <v>15</v>
      </c>
      <c r="E77" s="20" t="s">
        <v>172</v>
      </c>
      <c r="F77" s="12">
        <v>45973</v>
      </c>
      <c r="G77" s="22">
        <f t="shared" si="2"/>
        <v>11</v>
      </c>
      <c r="H77" s="33" t="s">
        <v>120</v>
      </c>
      <c r="I77" s="11">
        <v>20021</v>
      </c>
      <c r="J77" s="15" t="s">
        <v>18</v>
      </c>
      <c r="K77" s="15" t="s">
        <v>59</v>
      </c>
      <c r="L77" s="16">
        <v>5000</v>
      </c>
      <c r="M77" s="16">
        <f t="shared" si="3"/>
        <v>5000</v>
      </c>
      <c r="N77" s="15" t="s">
        <v>31</v>
      </c>
    </row>
    <row r="78" spans="1:14" s="37" customFormat="1" ht="50.1" customHeight="1">
      <c r="A78" s="7">
        <v>77</v>
      </c>
      <c r="B78" s="25" t="s">
        <v>173</v>
      </c>
      <c r="C78" s="9">
        <v>1</v>
      </c>
      <c r="D78" s="10" t="s">
        <v>15</v>
      </c>
      <c r="E78" s="20" t="s">
        <v>174</v>
      </c>
      <c r="F78" s="12">
        <v>45975</v>
      </c>
      <c r="G78" s="22">
        <f t="shared" si="2"/>
        <v>11</v>
      </c>
      <c r="H78" s="11" t="s">
        <v>28</v>
      </c>
      <c r="I78" s="11">
        <v>17655</v>
      </c>
      <c r="J78" s="15" t="s">
        <v>48</v>
      </c>
      <c r="K78" s="15" t="s">
        <v>19</v>
      </c>
      <c r="L78" s="16">
        <v>20000</v>
      </c>
      <c r="M78" s="16">
        <f t="shared" si="3"/>
        <v>20000</v>
      </c>
      <c r="N78" s="15" t="s">
        <v>31</v>
      </c>
    </row>
    <row r="79" spans="1:14" s="37" customFormat="1" ht="50.1" customHeight="1">
      <c r="A79" s="7">
        <v>78</v>
      </c>
      <c r="B79" s="8" t="s">
        <v>14</v>
      </c>
      <c r="C79" s="9">
        <v>1</v>
      </c>
      <c r="D79" s="10" t="s">
        <v>15</v>
      </c>
      <c r="E79" s="20" t="s">
        <v>175</v>
      </c>
      <c r="F79" s="12">
        <v>45974</v>
      </c>
      <c r="G79" s="22">
        <f t="shared" si="2"/>
        <v>11</v>
      </c>
      <c r="H79" s="33" t="s">
        <v>120</v>
      </c>
      <c r="I79" s="11">
        <v>20021</v>
      </c>
      <c r="J79" s="15" t="s">
        <v>18</v>
      </c>
      <c r="K79" s="15" t="s">
        <v>19</v>
      </c>
      <c r="L79" s="16">
        <v>2000</v>
      </c>
      <c r="M79" s="16">
        <f t="shared" si="3"/>
        <v>2000</v>
      </c>
      <c r="N79" s="15" t="s">
        <v>31</v>
      </c>
    </row>
    <row r="80" spans="1:14" s="37" customFormat="1" ht="50.1" customHeight="1">
      <c r="A80" s="7">
        <v>79</v>
      </c>
      <c r="B80" s="25" t="s">
        <v>26</v>
      </c>
      <c r="C80" s="9">
        <v>1</v>
      </c>
      <c r="D80" s="10" t="s">
        <v>15</v>
      </c>
      <c r="E80" s="20" t="s">
        <v>176</v>
      </c>
      <c r="F80" s="12">
        <v>45987</v>
      </c>
      <c r="G80" s="22">
        <f t="shared" si="2"/>
        <v>11</v>
      </c>
      <c r="H80" s="23" t="s">
        <v>28</v>
      </c>
      <c r="I80" s="11">
        <v>20021</v>
      </c>
      <c r="J80" s="15" t="s">
        <v>29</v>
      </c>
      <c r="K80" s="15" t="s">
        <v>30</v>
      </c>
      <c r="L80" s="16">
        <v>30000</v>
      </c>
      <c r="M80" s="16">
        <f t="shared" si="3"/>
        <v>30000</v>
      </c>
      <c r="N80" s="17" t="s">
        <v>20</v>
      </c>
    </row>
    <row r="81" spans="1:14" s="37" customFormat="1" ht="50.1" customHeight="1">
      <c r="A81" s="7">
        <v>80</v>
      </c>
      <c r="B81" s="25" t="s">
        <v>177</v>
      </c>
      <c r="C81" s="9">
        <v>1</v>
      </c>
      <c r="D81" s="10" t="s">
        <v>15</v>
      </c>
      <c r="E81" s="20" t="s">
        <v>178</v>
      </c>
      <c r="F81" s="12">
        <v>45978</v>
      </c>
      <c r="G81" s="22">
        <f t="shared" si="2"/>
        <v>11</v>
      </c>
      <c r="H81" s="23" t="s">
        <v>179</v>
      </c>
      <c r="I81" s="11">
        <v>20021</v>
      </c>
      <c r="J81" s="15" t="s">
        <v>82</v>
      </c>
      <c r="K81" s="15" t="s">
        <v>19</v>
      </c>
      <c r="L81" s="16">
        <v>10000</v>
      </c>
      <c r="M81" s="16">
        <f t="shared" si="3"/>
        <v>10000</v>
      </c>
      <c r="N81" s="15" t="s">
        <v>31</v>
      </c>
    </row>
    <row r="82" spans="1:14" s="37" customFormat="1" ht="50.1" customHeight="1">
      <c r="A82" s="7">
        <v>81</v>
      </c>
      <c r="B82" s="25" t="s">
        <v>180</v>
      </c>
      <c r="C82" s="9">
        <v>1</v>
      </c>
      <c r="D82" s="10" t="s">
        <v>15</v>
      </c>
      <c r="E82" s="20" t="s">
        <v>181</v>
      </c>
      <c r="F82" s="12">
        <v>45987</v>
      </c>
      <c r="G82" s="22">
        <f t="shared" si="2"/>
        <v>11</v>
      </c>
      <c r="H82" s="33" t="s">
        <v>131</v>
      </c>
      <c r="I82" s="11">
        <v>20021</v>
      </c>
      <c r="J82" s="15" t="s">
        <v>42</v>
      </c>
      <c r="K82" s="15" t="s">
        <v>30</v>
      </c>
      <c r="L82" s="16">
        <v>10000</v>
      </c>
      <c r="M82" s="16">
        <f t="shared" si="3"/>
        <v>10000</v>
      </c>
      <c r="N82" s="15" t="s">
        <v>31</v>
      </c>
    </row>
    <row r="83" spans="1:14" s="37" customFormat="1" ht="50.1" customHeight="1">
      <c r="A83" s="7">
        <v>82</v>
      </c>
      <c r="B83" s="27" t="s">
        <v>182</v>
      </c>
      <c r="C83" s="9">
        <v>1</v>
      </c>
      <c r="D83" s="10" t="s">
        <v>15</v>
      </c>
      <c r="E83" s="20" t="s">
        <v>183</v>
      </c>
      <c r="F83" s="12">
        <v>45980</v>
      </c>
      <c r="G83" s="22">
        <f t="shared" si="2"/>
        <v>11</v>
      </c>
      <c r="H83" s="23" t="s">
        <v>110</v>
      </c>
      <c r="I83" s="11">
        <v>20021</v>
      </c>
      <c r="J83" s="15" t="s">
        <v>52</v>
      </c>
      <c r="K83" s="15" t="s">
        <v>59</v>
      </c>
      <c r="L83" s="16">
        <v>20000</v>
      </c>
      <c r="M83" s="16">
        <f t="shared" si="3"/>
        <v>20000</v>
      </c>
      <c r="N83" s="15" t="s">
        <v>31</v>
      </c>
    </row>
    <row r="84" spans="1:14" s="37" customFormat="1" ht="50.1" customHeight="1">
      <c r="A84" s="7">
        <v>83</v>
      </c>
      <c r="B84" s="25" t="s">
        <v>184</v>
      </c>
      <c r="C84" s="9">
        <v>1</v>
      </c>
      <c r="D84" s="10" t="s">
        <v>15</v>
      </c>
      <c r="E84" s="20" t="s">
        <v>185</v>
      </c>
      <c r="F84" s="12">
        <v>45987</v>
      </c>
      <c r="G84" s="22">
        <f t="shared" si="2"/>
        <v>11</v>
      </c>
      <c r="H84" s="11" t="s">
        <v>107</v>
      </c>
      <c r="I84" s="11">
        <v>20021</v>
      </c>
      <c r="J84" s="15" t="s">
        <v>55</v>
      </c>
      <c r="K84" s="15" t="s">
        <v>30</v>
      </c>
      <c r="L84" s="16">
        <v>2000</v>
      </c>
      <c r="M84" s="16">
        <f t="shared" si="3"/>
        <v>2000</v>
      </c>
      <c r="N84" s="15" t="s">
        <v>31</v>
      </c>
    </row>
    <row r="85" spans="1:14" s="37" customFormat="1" ht="50.1" customHeight="1">
      <c r="A85" s="7">
        <v>84</v>
      </c>
      <c r="B85" s="27" t="s">
        <v>186</v>
      </c>
      <c r="C85" s="9">
        <v>1</v>
      </c>
      <c r="D85" s="10" t="s">
        <v>15</v>
      </c>
      <c r="E85" s="20" t="s">
        <v>187</v>
      </c>
      <c r="F85" s="12">
        <v>45980</v>
      </c>
      <c r="G85" s="22">
        <f t="shared" si="2"/>
        <v>11</v>
      </c>
      <c r="H85" s="23" t="s">
        <v>179</v>
      </c>
      <c r="I85" s="11">
        <v>20021</v>
      </c>
      <c r="J85" s="15" t="s">
        <v>29</v>
      </c>
      <c r="K85" s="15" t="s">
        <v>30</v>
      </c>
      <c r="L85" s="16">
        <v>30000</v>
      </c>
      <c r="M85" s="16">
        <f t="shared" si="3"/>
        <v>30000</v>
      </c>
      <c r="N85" s="17" t="s">
        <v>20</v>
      </c>
    </row>
    <row r="86" spans="1:14" s="37" customFormat="1" ht="50.1" customHeight="1">
      <c r="A86" s="7">
        <v>85</v>
      </c>
      <c r="B86" s="27" t="s">
        <v>188</v>
      </c>
      <c r="C86" s="9">
        <v>1</v>
      </c>
      <c r="D86" s="10" t="s">
        <v>15</v>
      </c>
      <c r="E86" s="20" t="s">
        <v>189</v>
      </c>
      <c r="F86" s="12">
        <v>45980</v>
      </c>
      <c r="G86" s="22">
        <f t="shared" si="2"/>
        <v>11</v>
      </c>
      <c r="H86" s="23" t="s">
        <v>134</v>
      </c>
      <c r="I86" s="11">
        <v>20021</v>
      </c>
      <c r="J86" s="15" t="s">
        <v>35</v>
      </c>
      <c r="K86" s="15" t="s">
        <v>36</v>
      </c>
      <c r="L86" s="16">
        <v>25000</v>
      </c>
      <c r="M86" s="16">
        <f t="shared" si="3"/>
        <v>25000</v>
      </c>
      <c r="N86" s="15" t="s">
        <v>31</v>
      </c>
    </row>
    <row r="87" spans="1:14" s="37" customFormat="1" ht="50.1" customHeight="1">
      <c r="A87" s="7">
        <v>86</v>
      </c>
      <c r="B87" s="38" t="s">
        <v>190</v>
      </c>
      <c r="C87" s="9">
        <v>1</v>
      </c>
      <c r="D87" s="10" t="s">
        <v>15</v>
      </c>
      <c r="E87" s="20" t="s">
        <v>191</v>
      </c>
      <c r="F87" s="12">
        <v>45982</v>
      </c>
      <c r="G87" s="22">
        <f t="shared" si="2"/>
        <v>11</v>
      </c>
      <c r="H87" s="11" t="s">
        <v>73</v>
      </c>
      <c r="I87" s="11">
        <v>20021</v>
      </c>
      <c r="J87" s="15" t="s">
        <v>192</v>
      </c>
      <c r="K87" s="15" t="s">
        <v>36</v>
      </c>
      <c r="L87" s="16">
        <v>5000</v>
      </c>
      <c r="M87" s="16">
        <f t="shared" si="3"/>
        <v>5000</v>
      </c>
      <c r="N87" s="15" t="s">
        <v>31</v>
      </c>
    </row>
    <row r="88" spans="1:14" s="37" customFormat="1" ht="50.1" customHeight="1">
      <c r="A88" s="7">
        <v>87</v>
      </c>
      <c r="B88" s="25" t="s">
        <v>68</v>
      </c>
      <c r="C88" s="9">
        <v>1</v>
      </c>
      <c r="D88" s="10" t="s">
        <v>15</v>
      </c>
      <c r="E88" s="20" t="s">
        <v>193</v>
      </c>
      <c r="F88" s="12">
        <v>45981</v>
      </c>
      <c r="G88" s="22">
        <f t="shared" si="2"/>
        <v>11</v>
      </c>
      <c r="H88" s="14" t="s">
        <v>28</v>
      </c>
      <c r="I88" s="11">
        <v>20021</v>
      </c>
      <c r="J88" s="15" t="s">
        <v>48</v>
      </c>
      <c r="K88" s="15" t="s">
        <v>19</v>
      </c>
      <c r="L88" s="16">
        <v>20000</v>
      </c>
      <c r="M88" s="16">
        <f t="shared" si="3"/>
        <v>20000</v>
      </c>
      <c r="N88" s="17" t="s">
        <v>20</v>
      </c>
    </row>
    <row r="89" spans="1:14" s="37" customFormat="1" ht="50.1" customHeight="1">
      <c r="A89" s="7">
        <v>88</v>
      </c>
      <c r="B89" s="25" t="s">
        <v>194</v>
      </c>
      <c r="C89" s="9">
        <v>1</v>
      </c>
      <c r="D89" s="10" t="s">
        <v>15</v>
      </c>
      <c r="E89" s="20" t="s">
        <v>195</v>
      </c>
      <c r="F89" s="12">
        <v>45988</v>
      </c>
      <c r="G89" s="22">
        <f t="shared" si="2"/>
        <v>11</v>
      </c>
      <c r="H89" s="14" t="s">
        <v>23</v>
      </c>
      <c r="I89" s="11">
        <v>17655</v>
      </c>
      <c r="J89" s="15" t="s">
        <v>59</v>
      </c>
      <c r="K89" s="15" t="s">
        <v>59</v>
      </c>
      <c r="L89" s="16">
        <v>200000</v>
      </c>
      <c r="M89" s="16">
        <f t="shared" si="3"/>
        <v>200000</v>
      </c>
      <c r="N89" s="15" t="s">
        <v>31</v>
      </c>
    </row>
    <row r="90" spans="1:14" s="37" customFormat="1" ht="50.1" customHeight="1">
      <c r="A90" s="7">
        <v>89</v>
      </c>
      <c r="B90" s="25" t="s">
        <v>196</v>
      </c>
      <c r="C90" s="9">
        <v>1</v>
      </c>
      <c r="D90" s="10" t="s">
        <v>15</v>
      </c>
      <c r="E90" s="11" t="s">
        <v>197</v>
      </c>
      <c r="F90" s="12">
        <v>45981</v>
      </c>
      <c r="G90" s="22">
        <f t="shared" si="2"/>
        <v>11</v>
      </c>
      <c r="H90" s="11" t="s">
        <v>88</v>
      </c>
      <c r="I90" s="11">
        <v>15060</v>
      </c>
      <c r="J90" s="15" t="s">
        <v>198</v>
      </c>
      <c r="K90" s="15" t="s">
        <v>36</v>
      </c>
      <c r="L90" s="16">
        <v>5000</v>
      </c>
      <c r="M90" s="16">
        <f t="shared" si="3"/>
        <v>5000</v>
      </c>
      <c r="N90" s="15" t="s">
        <v>31</v>
      </c>
    </row>
    <row r="91" spans="1:14" s="37" customFormat="1" ht="50.1" customHeight="1">
      <c r="A91" s="7">
        <v>90</v>
      </c>
      <c r="B91" s="27" t="s">
        <v>199</v>
      </c>
      <c r="C91" s="9">
        <v>1</v>
      </c>
      <c r="D91" s="10" t="s">
        <v>15</v>
      </c>
      <c r="E91" s="20" t="s">
        <v>200</v>
      </c>
      <c r="F91" s="12">
        <v>45985</v>
      </c>
      <c r="G91" s="22">
        <f t="shared" si="2"/>
        <v>11</v>
      </c>
      <c r="H91" s="14" t="s">
        <v>62</v>
      </c>
      <c r="I91" s="11">
        <v>20021</v>
      </c>
      <c r="J91" s="15" t="s">
        <v>58</v>
      </c>
      <c r="K91" s="15" t="s">
        <v>59</v>
      </c>
      <c r="L91" s="16">
        <v>5000</v>
      </c>
      <c r="M91" s="16">
        <f t="shared" si="3"/>
        <v>5000</v>
      </c>
      <c r="N91" s="15" t="s">
        <v>31</v>
      </c>
    </row>
    <row r="92" spans="1:14" s="37" customFormat="1" ht="50.1" customHeight="1">
      <c r="A92" s="7">
        <v>91</v>
      </c>
      <c r="B92" s="8" t="s">
        <v>188</v>
      </c>
      <c r="C92" s="9">
        <v>1</v>
      </c>
      <c r="D92" s="10" t="s">
        <v>15</v>
      </c>
      <c r="E92" s="20" t="s">
        <v>201</v>
      </c>
      <c r="F92" s="12">
        <v>45985</v>
      </c>
      <c r="G92" s="22">
        <f t="shared" si="2"/>
        <v>11</v>
      </c>
      <c r="H92" s="11" t="s">
        <v>99</v>
      </c>
      <c r="I92" s="11">
        <v>20021</v>
      </c>
      <c r="J92" s="15" t="s">
        <v>35</v>
      </c>
      <c r="K92" s="15" t="s">
        <v>36</v>
      </c>
      <c r="L92" s="16">
        <v>25000</v>
      </c>
      <c r="M92" s="16">
        <f t="shared" si="3"/>
        <v>25000</v>
      </c>
      <c r="N92" s="15" t="s">
        <v>31</v>
      </c>
    </row>
    <row r="93" spans="1:14" s="37" customFormat="1" ht="50.1" customHeight="1">
      <c r="A93" s="7">
        <v>92</v>
      </c>
      <c r="B93" s="21" t="s">
        <v>202</v>
      </c>
      <c r="C93" s="9">
        <v>1</v>
      </c>
      <c r="D93" s="10" t="s">
        <v>15</v>
      </c>
      <c r="E93" s="20" t="s">
        <v>203</v>
      </c>
      <c r="F93" s="12">
        <v>45988</v>
      </c>
      <c r="G93" s="22">
        <f t="shared" si="2"/>
        <v>11</v>
      </c>
      <c r="H93" s="23" t="s">
        <v>96</v>
      </c>
      <c r="I93" s="11">
        <v>20021</v>
      </c>
      <c r="J93" s="15" t="s">
        <v>42</v>
      </c>
      <c r="K93" s="15" t="s">
        <v>30</v>
      </c>
      <c r="L93" s="16">
        <v>10000</v>
      </c>
      <c r="M93" s="16">
        <f t="shared" si="3"/>
        <v>10000</v>
      </c>
      <c r="N93" s="15" t="s">
        <v>31</v>
      </c>
    </row>
    <row r="94" spans="1:14" s="37" customFormat="1" ht="50.1" customHeight="1">
      <c r="A94" s="7">
        <v>93</v>
      </c>
      <c r="B94" s="26" t="s">
        <v>204</v>
      </c>
      <c r="C94" s="9">
        <v>1</v>
      </c>
      <c r="D94" s="10" t="s">
        <v>15</v>
      </c>
      <c r="E94" s="20" t="s">
        <v>205</v>
      </c>
      <c r="F94" s="12">
        <v>45988</v>
      </c>
      <c r="G94" s="22">
        <f t="shared" si="2"/>
        <v>11</v>
      </c>
      <c r="H94" s="23" t="s">
        <v>96</v>
      </c>
      <c r="I94" s="11">
        <v>20021</v>
      </c>
      <c r="J94" s="15" t="s">
        <v>55</v>
      </c>
      <c r="K94" s="15" t="s">
        <v>30</v>
      </c>
      <c r="L94" s="16">
        <v>2000</v>
      </c>
      <c r="M94" s="16">
        <f t="shared" si="3"/>
        <v>2000</v>
      </c>
      <c r="N94" s="15" t="s">
        <v>31</v>
      </c>
    </row>
    <row r="95" spans="1:14" s="37" customFormat="1" ht="50.1" customHeight="1">
      <c r="A95" s="7">
        <v>94</v>
      </c>
      <c r="B95" s="25" t="s">
        <v>177</v>
      </c>
      <c r="C95" s="9">
        <v>1</v>
      </c>
      <c r="D95" s="10" t="s">
        <v>15</v>
      </c>
      <c r="E95" s="20" t="s">
        <v>206</v>
      </c>
      <c r="F95" s="12">
        <v>45989</v>
      </c>
      <c r="G95" s="22">
        <f t="shared" si="2"/>
        <v>11</v>
      </c>
      <c r="H95" s="11" t="s">
        <v>70</v>
      </c>
      <c r="I95" s="11">
        <v>23169</v>
      </c>
      <c r="J95" s="15" t="s">
        <v>82</v>
      </c>
      <c r="K95" s="15" t="s">
        <v>19</v>
      </c>
      <c r="L95" s="16">
        <v>10000</v>
      </c>
      <c r="M95" s="16">
        <f t="shared" si="3"/>
        <v>10000</v>
      </c>
      <c r="N95" s="15" t="s">
        <v>31</v>
      </c>
    </row>
    <row r="96" spans="1:14" s="37" customFormat="1" ht="50.1" customHeight="1">
      <c r="A96" s="7">
        <v>95</v>
      </c>
      <c r="B96" s="25" t="s">
        <v>53</v>
      </c>
      <c r="C96" s="9">
        <v>1</v>
      </c>
      <c r="D96" s="10" t="s">
        <v>15</v>
      </c>
      <c r="E96" s="20" t="s">
        <v>207</v>
      </c>
      <c r="F96" s="12">
        <v>45989</v>
      </c>
      <c r="G96" s="22">
        <f t="shared" si="2"/>
        <v>11</v>
      </c>
      <c r="H96" s="33" t="s">
        <v>131</v>
      </c>
      <c r="I96" s="11">
        <v>20021</v>
      </c>
      <c r="J96" s="15" t="s">
        <v>55</v>
      </c>
      <c r="K96" s="15" t="s">
        <v>30</v>
      </c>
      <c r="L96" s="16">
        <v>6000</v>
      </c>
      <c r="M96" s="16">
        <f t="shared" si="3"/>
        <v>6000</v>
      </c>
      <c r="N96" s="15" t="s">
        <v>31</v>
      </c>
    </row>
    <row r="97" spans="1:14" s="37" customFormat="1" ht="50.1" customHeight="1">
      <c r="A97" s="7">
        <v>96</v>
      </c>
      <c r="B97" s="25" t="s">
        <v>208</v>
      </c>
      <c r="C97" s="9">
        <v>1</v>
      </c>
      <c r="D97" s="10" t="s">
        <v>15</v>
      </c>
      <c r="E97" s="20" t="s">
        <v>209</v>
      </c>
      <c r="F97" s="12">
        <v>45990</v>
      </c>
      <c r="G97" s="22">
        <f t="shared" si="2"/>
        <v>11</v>
      </c>
      <c r="H97" s="11" t="s">
        <v>28</v>
      </c>
      <c r="I97" s="11">
        <v>17655</v>
      </c>
      <c r="J97" s="15" t="s">
        <v>35</v>
      </c>
      <c r="K97" s="15" t="s">
        <v>36</v>
      </c>
      <c r="L97" s="16">
        <v>25000</v>
      </c>
      <c r="M97" s="16">
        <f t="shared" si="3"/>
        <v>25000</v>
      </c>
      <c r="N97" s="15" t="s">
        <v>31</v>
      </c>
    </row>
    <row r="98" spans="1:14" s="37" customFormat="1" ht="50.1" customHeight="1">
      <c r="A98" s="7">
        <v>97</v>
      </c>
      <c r="B98" s="25" t="s">
        <v>210</v>
      </c>
      <c r="C98" s="9">
        <v>1</v>
      </c>
      <c r="D98" s="10" t="s">
        <v>15</v>
      </c>
      <c r="E98" s="20" t="s">
        <v>211</v>
      </c>
      <c r="F98" s="12">
        <v>45989</v>
      </c>
      <c r="G98" s="22">
        <f t="shared" si="2"/>
        <v>11</v>
      </c>
      <c r="H98" s="14" t="s">
        <v>23</v>
      </c>
      <c r="I98" s="11">
        <v>17655</v>
      </c>
      <c r="J98" s="15" t="s">
        <v>82</v>
      </c>
      <c r="K98" s="15" t="s">
        <v>19</v>
      </c>
      <c r="L98" s="16">
        <v>10000</v>
      </c>
      <c r="M98" s="16">
        <f t="shared" si="3"/>
        <v>10000</v>
      </c>
      <c r="N98" s="15" t="s">
        <v>31</v>
      </c>
    </row>
    <row r="99" spans="1:14" s="37" customFormat="1" ht="50.1" customHeight="1">
      <c r="A99" s="7">
        <v>98</v>
      </c>
      <c r="B99" s="8" t="s">
        <v>212</v>
      </c>
      <c r="C99" s="9">
        <v>1</v>
      </c>
      <c r="D99" s="10" t="s">
        <v>15</v>
      </c>
      <c r="E99" s="11" t="s">
        <v>213</v>
      </c>
      <c r="F99" s="12">
        <v>45992</v>
      </c>
      <c r="G99" s="22">
        <f t="shared" si="2"/>
        <v>12</v>
      </c>
      <c r="H99" s="39" t="s">
        <v>214</v>
      </c>
      <c r="I99" s="11">
        <v>17655</v>
      </c>
      <c r="J99" s="15" t="s">
        <v>48</v>
      </c>
      <c r="K99" s="15" t="s">
        <v>19</v>
      </c>
      <c r="L99" s="16">
        <v>20000</v>
      </c>
      <c r="M99" s="16">
        <f t="shared" si="3"/>
        <v>20000</v>
      </c>
      <c r="N99" s="15" t="s">
        <v>31</v>
      </c>
    </row>
    <row r="100" spans="1:14" s="37" customFormat="1" ht="50.1" customHeight="1">
      <c r="A100" s="7">
        <v>99</v>
      </c>
      <c r="B100" s="21" t="s">
        <v>215</v>
      </c>
      <c r="C100" s="9">
        <v>1</v>
      </c>
      <c r="D100" s="10" t="s">
        <v>15</v>
      </c>
      <c r="E100" s="11" t="s">
        <v>216</v>
      </c>
      <c r="F100" s="40">
        <v>45992</v>
      </c>
      <c r="G100" s="22">
        <f t="shared" si="2"/>
        <v>12</v>
      </c>
      <c r="H100" s="23" t="s">
        <v>217</v>
      </c>
      <c r="I100" s="11">
        <v>20021</v>
      </c>
      <c r="J100" s="15" t="s">
        <v>42</v>
      </c>
      <c r="K100" s="15" t="s">
        <v>30</v>
      </c>
      <c r="L100" s="16">
        <v>5000</v>
      </c>
      <c r="M100" s="16">
        <f t="shared" si="3"/>
        <v>5000</v>
      </c>
      <c r="N100" s="15" t="s">
        <v>31</v>
      </c>
    </row>
    <row r="101" spans="1:14" s="37" customFormat="1" ht="50.1" customHeight="1">
      <c r="A101" s="7">
        <v>100</v>
      </c>
      <c r="B101" s="25" t="s">
        <v>218</v>
      </c>
      <c r="C101" s="9">
        <v>1</v>
      </c>
      <c r="D101" s="10" t="s">
        <v>15</v>
      </c>
      <c r="E101" s="11" t="s">
        <v>219</v>
      </c>
      <c r="F101" s="12">
        <v>45996</v>
      </c>
      <c r="G101" s="22">
        <f t="shared" si="2"/>
        <v>12</v>
      </c>
      <c r="H101" s="11" t="s">
        <v>220</v>
      </c>
      <c r="I101" s="11">
        <v>20021</v>
      </c>
      <c r="J101" s="41" t="s">
        <v>42</v>
      </c>
      <c r="K101" s="42" t="s">
        <v>30</v>
      </c>
      <c r="L101" s="43">
        <v>10000</v>
      </c>
      <c r="M101" s="16">
        <f t="shared" si="3"/>
        <v>10000</v>
      </c>
      <c r="N101" s="15" t="s">
        <v>31</v>
      </c>
    </row>
    <row r="102" spans="1:14" s="37" customFormat="1" ht="50.1" customHeight="1">
      <c r="A102" s="7">
        <v>101</v>
      </c>
      <c r="B102" s="24" t="s">
        <v>158</v>
      </c>
      <c r="C102" s="9">
        <v>1</v>
      </c>
      <c r="D102" s="10" t="s">
        <v>15</v>
      </c>
      <c r="E102" s="11" t="s">
        <v>221</v>
      </c>
      <c r="F102" s="12">
        <v>45994</v>
      </c>
      <c r="G102" s="22">
        <f t="shared" si="2"/>
        <v>12</v>
      </c>
      <c r="H102" s="11" t="s">
        <v>107</v>
      </c>
      <c r="I102" s="11">
        <v>20021</v>
      </c>
      <c r="J102" s="15" t="s">
        <v>42</v>
      </c>
      <c r="K102" s="15" t="s">
        <v>30</v>
      </c>
      <c r="L102" s="16">
        <v>10000</v>
      </c>
      <c r="M102" s="16">
        <f t="shared" si="3"/>
        <v>10000</v>
      </c>
      <c r="N102" s="15" t="s">
        <v>31</v>
      </c>
    </row>
    <row r="103" spans="1:14" s="37" customFormat="1" ht="50.1" customHeight="1">
      <c r="A103" s="7">
        <v>102</v>
      </c>
      <c r="B103" s="25" t="s">
        <v>53</v>
      </c>
      <c r="C103" s="9">
        <v>1</v>
      </c>
      <c r="D103" s="10" t="s">
        <v>15</v>
      </c>
      <c r="E103" s="11" t="s">
        <v>222</v>
      </c>
      <c r="F103" s="12">
        <v>45994</v>
      </c>
      <c r="G103" s="22">
        <f t="shared" si="2"/>
        <v>12</v>
      </c>
      <c r="H103" s="33" t="s">
        <v>120</v>
      </c>
      <c r="I103" s="11">
        <v>20021</v>
      </c>
      <c r="J103" s="15" t="s">
        <v>55</v>
      </c>
      <c r="K103" s="15" t="s">
        <v>30</v>
      </c>
      <c r="L103" s="16">
        <v>6000</v>
      </c>
      <c r="M103" s="16">
        <f t="shared" si="3"/>
        <v>6000</v>
      </c>
      <c r="N103" s="17" t="s">
        <v>20</v>
      </c>
    </row>
    <row r="104" spans="1:14" s="37" customFormat="1" ht="50.1" customHeight="1">
      <c r="A104" s="7">
        <v>103</v>
      </c>
      <c r="B104" s="25" t="s">
        <v>53</v>
      </c>
      <c r="C104" s="44">
        <v>1</v>
      </c>
      <c r="D104" s="45" t="s">
        <v>15</v>
      </c>
      <c r="E104" s="15" t="s">
        <v>223</v>
      </c>
      <c r="F104" s="12">
        <v>45994</v>
      </c>
      <c r="G104" s="22">
        <f t="shared" si="2"/>
        <v>12</v>
      </c>
      <c r="H104" s="15" t="s">
        <v>28</v>
      </c>
      <c r="I104" s="15">
        <v>20021</v>
      </c>
      <c r="J104" s="15" t="s">
        <v>55</v>
      </c>
      <c r="K104" s="15" t="s">
        <v>30</v>
      </c>
      <c r="L104" s="16">
        <v>6000</v>
      </c>
      <c r="M104" s="16">
        <f t="shared" si="3"/>
        <v>6000</v>
      </c>
      <c r="N104" s="15" t="s">
        <v>31</v>
      </c>
    </row>
    <row r="105" spans="1:14" s="37" customFormat="1" ht="50.1" customHeight="1">
      <c r="A105" s="7">
        <v>104</v>
      </c>
      <c r="B105" s="25" t="s">
        <v>53</v>
      </c>
      <c r="C105" s="9">
        <v>1</v>
      </c>
      <c r="D105" s="10" t="s">
        <v>15</v>
      </c>
      <c r="E105" s="11" t="s">
        <v>224</v>
      </c>
      <c r="F105" s="12">
        <v>45994</v>
      </c>
      <c r="G105" s="22">
        <f t="shared" si="2"/>
        <v>12</v>
      </c>
      <c r="H105" s="11" t="s">
        <v>28</v>
      </c>
      <c r="I105" s="29">
        <v>20021</v>
      </c>
      <c r="J105" s="15" t="s">
        <v>55</v>
      </c>
      <c r="K105" s="15" t="s">
        <v>30</v>
      </c>
      <c r="L105" s="16">
        <v>6000</v>
      </c>
      <c r="M105" s="16">
        <f t="shared" si="3"/>
        <v>6000</v>
      </c>
      <c r="N105" s="15" t="s">
        <v>31</v>
      </c>
    </row>
    <row r="106" spans="1:14" s="37" customFormat="1" ht="50.1" customHeight="1">
      <c r="A106" s="7">
        <v>105</v>
      </c>
      <c r="B106" s="25" t="s">
        <v>53</v>
      </c>
      <c r="C106" s="9">
        <v>1</v>
      </c>
      <c r="D106" s="10" t="s">
        <v>15</v>
      </c>
      <c r="E106" s="11" t="s">
        <v>225</v>
      </c>
      <c r="F106" s="12">
        <v>45996</v>
      </c>
      <c r="G106" s="22">
        <f t="shared" si="2"/>
        <v>12</v>
      </c>
      <c r="H106" s="11" t="s">
        <v>34</v>
      </c>
      <c r="I106" s="29">
        <v>20021</v>
      </c>
      <c r="J106" s="15" t="s">
        <v>55</v>
      </c>
      <c r="K106" s="15" t="s">
        <v>30</v>
      </c>
      <c r="L106" s="16">
        <v>6000</v>
      </c>
      <c r="M106" s="16">
        <f t="shared" si="3"/>
        <v>6000</v>
      </c>
      <c r="N106" s="15" t="s">
        <v>31</v>
      </c>
    </row>
    <row r="107" spans="1:14" s="37" customFormat="1" ht="50.1" customHeight="1">
      <c r="A107" s="7">
        <v>106</v>
      </c>
      <c r="B107" s="27" t="s">
        <v>177</v>
      </c>
      <c r="C107" s="9">
        <v>1</v>
      </c>
      <c r="D107" s="10" t="s">
        <v>15</v>
      </c>
      <c r="E107" s="11" t="s">
        <v>226</v>
      </c>
      <c r="F107" s="12">
        <v>45996</v>
      </c>
      <c r="G107" s="22">
        <f t="shared" si="2"/>
        <v>12</v>
      </c>
      <c r="H107" s="33" t="s">
        <v>114</v>
      </c>
      <c r="I107" s="29">
        <v>20021</v>
      </c>
      <c r="J107" s="15" t="s">
        <v>82</v>
      </c>
      <c r="K107" s="15" t="s">
        <v>19</v>
      </c>
      <c r="L107" s="16">
        <v>10000</v>
      </c>
      <c r="M107" s="16">
        <f t="shared" si="3"/>
        <v>10000</v>
      </c>
      <c r="N107" s="15" t="s">
        <v>31</v>
      </c>
    </row>
    <row r="108" spans="1:14" s="37" customFormat="1" ht="50.1" customHeight="1">
      <c r="A108" s="7">
        <v>107</v>
      </c>
      <c r="B108" s="24" t="s">
        <v>227</v>
      </c>
      <c r="C108" s="9">
        <v>1</v>
      </c>
      <c r="D108" s="10" t="s">
        <v>15</v>
      </c>
      <c r="E108" s="11" t="s">
        <v>228</v>
      </c>
      <c r="F108" s="12">
        <v>45996</v>
      </c>
      <c r="G108" s="22">
        <f t="shared" si="2"/>
        <v>12</v>
      </c>
      <c r="H108" s="11" t="s">
        <v>122</v>
      </c>
      <c r="I108" s="29">
        <v>20021</v>
      </c>
      <c r="J108" s="15" t="s">
        <v>82</v>
      </c>
      <c r="K108" s="15" t="s">
        <v>19</v>
      </c>
      <c r="L108" s="16">
        <v>10000</v>
      </c>
      <c r="M108" s="16">
        <f t="shared" si="3"/>
        <v>10000</v>
      </c>
      <c r="N108" s="17" t="s">
        <v>20</v>
      </c>
    </row>
    <row r="109" spans="1:14" s="37" customFormat="1" ht="50.1" customHeight="1">
      <c r="A109" s="7">
        <v>108</v>
      </c>
      <c r="B109" s="25" t="s">
        <v>53</v>
      </c>
      <c r="C109" s="9">
        <v>1</v>
      </c>
      <c r="D109" s="10" t="s">
        <v>15</v>
      </c>
      <c r="E109" s="11" t="s">
        <v>229</v>
      </c>
      <c r="F109" s="12">
        <v>45999</v>
      </c>
      <c r="G109" s="22">
        <f t="shared" si="2"/>
        <v>12</v>
      </c>
      <c r="H109" s="23" t="s">
        <v>217</v>
      </c>
      <c r="I109" s="29">
        <v>20021</v>
      </c>
      <c r="J109" s="15" t="s">
        <v>55</v>
      </c>
      <c r="K109" s="15" t="s">
        <v>30</v>
      </c>
      <c r="L109" s="16">
        <v>6000</v>
      </c>
      <c r="M109" s="16">
        <f t="shared" si="3"/>
        <v>6000</v>
      </c>
      <c r="N109" s="15" t="s">
        <v>31</v>
      </c>
    </row>
    <row r="110" spans="1:14" s="37" customFormat="1" ht="50.1" customHeight="1">
      <c r="A110" s="7">
        <v>109</v>
      </c>
      <c r="B110" s="25" t="s">
        <v>145</v>
      </c>
      <c r="C110" s="9">
        <v>1</v>
      </c>
      <c r="D110" s="10" t="s">
        <v>15</v>
      </c>
      <c r="E110" s="11" t="s">
        <v>230</v>
      </c>
      <c r="F110" s="12">
        <v>45999</v>
      </c>
      <c r="G110" s="22">
        <f t="shared" si="2"/>
        <v>12</v>
      </c>
      <c r="H110" s="23" t="s">
        <v>217</v>
      </c>
      <c r="I110" s="29">
        <v>20021</v>
      </c>
      <c r="J110" s="15" t="s">
        <v>46</v>
      </c>
      <c r="K110" s="15" t="s">
        <v>19</v>
      </c>
      <c r="L110" s="16">
        <v>30000</v>
      </c>
      <c r="M110" s="16">
        <f t="shared" si="3"/>
        <v>30000</v>
      </c>
      <c r="N110" s="15" t="s">
        <v>31</v>
      </c>
    </row>
    <row r="111" spans="1:14" s="37" customFormat="1" ht="50.1" customHeight="1">
      <c r="A111" s="7">
        <v>110</v>
      </c>
      <c r="B111" s="25" t="s">
        <v>231</v>
      </c>
      <c r="C111" s="9">
        <v>1</v>
      </c>
      <c r="D111" s="10" t="s">
        <v>15</v>
      </c>
      <c r="E111" s="11" t="s">
        <v>230</v>
      </c>
      <c r="F111" s="12">
        <v>45999</v>
      </c>
      <c r="G111" s="22">
        <f t="shared" si="2"/>
        <v>12</v>
      </c>
      <c r="H111" s="23" t="s">
        <v>217</v>
      </c>
      <c r="I111" s="29">
        <v>20021</v>
      </c>
      <c r="J111" s="15" t="s">
        <v>104</v>
      </c>
      <c r="K111" s="15" t="s">
        <v>19</v>
      </c>
      <c r="L111" s="16">
        <v>15000</v>
      </c>
      <c r="M111" s="16">
        <f t="shared" si="3"/>
        <v>15000</v>
      </c>
      <c r="N111" s="15" t="s">
        <v>31</v>
      </c>
    </row>
    <row r="112" spans="1:14" s="37" customFormat="1" ht="50.1" customHeight="1">
      <c r="A112" s="7">
        <v>111</v>
      </c>
      <c r="B112" s="25" t="s">
        <v>126</v>
      </c>
      <c r="C112" s="9">
        <v>1</v>
      </c>
      <c r="D112" s="10" t="s">
        <v>15</v>
      </c>
      <c r="E112" s="11" t="s">
        <v>230</v>
      </c>
      <c r="F112" s="12">
        <v>45999</v>
      </c>
      <c r="G112" s="22">
        <f t="shared" si="2"/>
        <v>12</v>
      </c>
      <c r="H112" s="23" t="s">
        <v>217</v>
      </c>
      <c r="I112" s="29">
        <v>20021</v>
      </c>
      <c r="J112" s="15" t="s">
        <v>50</v>
      </c>
      <c r="K112" s="15" t="s">
        <v>19</v>
      </c>
      <c r="L112" s="16">
        <v>20000</v>
      </c>
      <c r="M112" s="16">
        <f t="shared" si="3"/>
        <v>20000</v>
      </c>
      <c r="N112" s="15" t="s">
        <v>31</v>
      </c>
    </row>
    <row r="113" spans="1:14" s="37" customFormat="1" ht="50.1" customHeight="1">
      <c r="A113" s="7">
        <v>112</v>
      </c>
      <c r="B113" s="27" t="s">
        <v>232</v>
      </c>
      <c r="C113" s="9">
        <v>1</v>
      </c>
      <c r="D113" s="10" t="s">
        <v>15</v>
      </c>
      <c r="E113" s="11" t="s">
        <v>230</v>
      </c>
      <c r="F113" s="12">
        <v>45999</v>
      </c>
      <c r="G113" s="22">
        <f t="shared" si="2"/>
        <v>12</v>
      </c>
      <c r="H113" s="23" t="s">
        <v>217</v>
      </c>
      <c r="I113" s="29">
        <v>20021</v>
      </c>
      <c r="J113" s="15" t="s">
        <v>52</v>
      </c>
      <c r="K113" s="15" t="s">
        <v>59</v>
      </c>
      <c r="L113" s="16">
        <v>20000</v>
      </c>
      <c r="M113" s="16">
        <f t="shared" si="3"/>
        <v>20000</v>
      </c>
      <c r="N113" s="15" t="s">
        <v>25</v>
      </c>
    </row>
    <row r="114" spans="1:14" s="37" customFormat="1" ht="50.1" customHeight="1">
      <c r="A114" s="7">
        <v>113</v>
      </c>
      <c r="B114" s="26" t="s">
        <v>233</v>
      </c>
      <c r="C114" s="9">
        <v>1</v>
      </c>
      <c r="D114" s="10" t="s">
        <v>15</v>
      </c>
      <c r="E114" s="11" t="s">
        <v>234</v>
      </c>
      <c r="F114" s="12">
        <v>46002</v>
      </c>
      <c r="G114" s="22">
        <f t="shared" si="2"/>
        <v>12</v>
      </c>
      <c r="H114" s="23" t="s">
        <v>70</v>
      </c>
      <c r="I114" s="29">
        <v>20021</v>
      </c>
      <c r="J114" s="15" t="s">
        <v>55</v>
      </c>
      <c r="K114" s="15" t="s">
        <v>30</v>
      </c>
      <c r="L114" s="16">
        <v>2000</v>
      </c>
      <c r="M114" s="16">
        <f t="shared" si="3"/>
        <v>2000</v>
      </c>
      <c r="N114" s="15" t="s">
        <v>31</v>
      </c>
    </row>
    <row r="115" spans="1:14" s="37" customFormat="1" ht="50.1" customHeight="1">
      <c r="A115" s="7">
        <v>114</v>
      </c>
      <c r="B115" s="26" t="s">
        <v>235</v>
      </c>
      <c r="C115" s="9">
        <v>2</v>
      </c>
      <c r="D115" s="10" t="s">
        <v>15</v>
      </c>
      <c r="E115" s="11" t="s">
        <v>236</v>
      </c>
      <c r="F115" s="12">
        <v>45999</v>
      </c>
      <c r="G115" s="22">
        <f t="shared" si="2"/>
        <v>12</v>
      </c>
      <c r="H115" s="11" t="s">
        <v>122</v>
      </c>
      <c r="I115" s="29">
        <v>20021</v>
      </c>
      <c r="J115" s="15" t="s">
        <v>24</v>
      </c>
      <c r="K115" s="15" t="s">
        <v>19</v>
      </c>
      <c r="L115" s="16">
        <v>5000</v>
      </c>
      <c r="M115" s="16">
        <f t="shared" si="3"/>
        <v>10000</v>
      </c>
      <c r="N115" s="15" t="s">
        <v>31</v>
      </c>
    </row>
    <row r="116" spans="1:14" ht="50.1" customHeight="1">
      <c r="A116" s="7">
        <v>115</v>
      </c>
      <c r="B116" s="19" t="s">
        <v>21</v>
      </c>
      <c r="C116" s="9">
        <v>1</v>
      </c>
      <c r="D116" s="10" t="s">
        <v>15</v>
      </c>
      <c r="E116" s="11" t="s">
        <v>236</v>
      </c>
      <c r="F116" s="12">
        <v>45999</v>
      </c>
      <c r="G116" s="22">
        <f t="shared" si="2"/>
        <v>12</v>
      </c>
      <c r="H116" s="11" t="s">
        <v>122</v>
      </c>
      <c r="I116" s="29">
        <v>20021</v>
      </c>
      <c r="J116" s="15" t="s">
        <v>24</v>
      </c>
      <c r="K116" s="15" t="s">
        <v>19</v>
      </c>
      <c r="L116" s="16">
        <v>2000</v>
      </c>
      <c r="M116" s="16">
        <f t="shared" si="3"/>
        <v>2000</v>
      </c>
      <c r="N116" s="15" t="s">
        <v>31</v>
      </c>
    </row>
    <row r="117" spans="1:14" ht="50.1" customHeight="1">
      <c r="A117" s="7">
        <v>116</v>
      </c>
      <c r="B117" s="25" t="s">
        <v>92</v>
      </c>
      <c r="C117" s="9">
        <v>1</v>
      </c>
      <c r="D117" s="10" t="s">
        <v>15</v>
      </c>
      <c r="E117" s="11" t="s">
        <v>236</v>
      </c>
      <c r="F117" s="12">
        <v>45999</v>
      </c>
      <c r="G117" s="22">
        <f t="shared" si="2"/>
        <v>12</v>
      </c>
      <c r="H117" s="11" t="s">
        <v>122</v>
      </c>
      <c r="I117" s="29">
        <v>20021</v>
      </c>
      <c r="J117" s="15" t="s">
        <v>35</v>
      </c>
      <c r="K117" s="15" t="s">
        <v>36</v>
      </c>
      <c r="L117" s="16">
        <v>25000</v>
      </c>
      <c r="M117" s="16">
        <f t="shared" si="3"/>
        <v>25000</v>
      </c>
      <c r="N117" s="15" t="s">
        <v>31</v>
      </c>
    </row>
    <row r="118" spans="1:14" ht="50.1" customHeight="1">
      <c r="A118" s="7">
        <v>117</v>
      </c>
      <c r="B118" s="25" t="s">
        <v>100</v>
      </c>
      <c r="C118" s="9">
        <v>1</v>
      </c>
      <c r="D118" s="10" t="s">
        <v>15</v>
      </c>
      <c r="E118" s="11" t="s">
        <v>237</v>
      </c>
      <c r="F118" s="12">
        <v>46001</v>
      </c>
      <c r="G118" s="22">
        <f t="shared" si="2"/>
        <v>12</v>
      </c>
      <c r="H118" s="11" t="s">
        <v>99</v>
      </c>
      <c r="I118" s="29">
        <v>20021</v>
      </c>
      <c r="J118" s="15" t="s">
        <v>48</v>
      </c>
      <c r="K118" s="15" t="s">
        <v>19</v>
      </c>
      <c r="L118" s="16">
        <v>20000</v>
      </c>
      <c r="M118" s="16">
        <f t="shared" si="3"/>
        <v>20000</v>
      </c>
      <c r="N118" s="15" t="s">
        <v>31</v>
      </c>
    </row>
    <row r="119" spans="1:14" ht="50.1" customHeight="1">
      <c r="A119" s="7">
        <v>118</v>
      </c>
      <c r="B119" s="8" t="s">
        <v>103</v>
      </c>
      <c r="C119" s="9">
        <v>1</v>
      </c>
      <c r="D119" s="10" t="s">
        <v>15</v>
      </c>
      <c r="E119" s="11" t="s">
        <v>237</v>
      </c>
      <c r="F119" s="12">
        <v>46001</v>
      </c>
      <c r="G119" s="22">
        <f t="shared" si="2"/>
        <v>12</v>
      </c>
      <c r="H119" s="11" t="s">
        <v>99</v>
      </c>
      <c r="I119" s="29">
        <v>20021</v>
      </c>
      <c r="J119" s="15" t="s">
        <v>104</v>
      </c>
      <c r="K119" s="15" t="s">
        <v>19</v>
      </c>
      <c r="L119" s="16">
        <v>15000</v>
      </c>
      <c r="M119" s="16">
        <f t="shared" si="3"/>
        <v>15000</v>
      </c>
      <c r="N119" s="15" t="s">
        <v>31</v>
      </c>
    </row>
    <row r="120" spans="1:14" ht="50.1" customHeight="1">
      <c r="A120" s="7">
        <v>119</v>
      </c>
      <c r="B120" s="25" t="s">
        <v>238</v>
      </c>
      <c r="C120" s="9">
        <v>1</v>
      </c>
      <c r="D120" s="10" t="s">
        <v>15</v>
      </c>
      <c r="E120" s="11" t="s">
        <v>237</v>
      </c>
      <c r="F120" s="12">
        <v>46001</v>
      </c>
      <c r="G120" s="22">
        <f t="shared" si="2"/>
        <v>12</v>
      </c>
      <c r="H120" s="11" t="s">
        <v>99</v>
      </c>
      <c r="I120" s="29">
        <v>20021</v>
      </c>
      <c r="J120" s="15" t="s">
        <v>50</v>
      </c>
      <c r="K120" s="15" t="s">
        <v>19</v>
      </c>
      <c r="L120" s="16">
        <v>20000</v>
      </c>
      <c r="M120" s="16">
        <f t="shared" si="3"/>
        <v>20000</v>
      </c>
      <c r="N120" s="17" t="s">
        <v>20</v>
      </c>
    </row>
    <row r="121" spans="1:14" ht="50.1" customHeight="1">
      <c r="A121" s="7">
        <v>120</v>
      </c>
      <c r="B121" s="27" t="s">
        <v>51</v>
      </c>
      <c r="C121" s="9">
        <v>1</v>
      </c>
      <c r="D121" s="10" t="s">
        <v>15</v>
      </c>
      <c r="E121" s="11" t="s">
        <v>237</v>
      </c>
      <c r="F121" s="12">
        <v>46001</v>
      </c>
      <c r="G121" s="22">
        <f t="shared" si="2"/>
        <v>12</v>
      </c>
      <c r="H121" s="11" t="s">
        <v>99</v>
      </c>
      <c r="I121" s="29">
        <v>20021</v>
      </c>
      <c r="J121" s="15" t="s">
        <v>52</v>
      </c>
      <c r="K121" s="15" t="s">
        <v>59</v>
      </c>
      <c r="L121" s="16">
        <v>20000</v>
      </c>
      <c r="M121" s="16">
        <f t="shared" si="3"/>
        <v>20000</v>
      </c>
      <c r="N121" s="15" t="s">
        <v>31</v>
      </c>
    </row>
    <row r="122" spans="1:14" ht="50.1" customHeight="1">
      <c r="A122" s="7">
        <v>121</v>
      </c>
      <c r="B122" s="19" t="s">
        <v>239</v>
      </c>
      <c r="C122" s="9">
        <v>1</v>
      </c>
      <c r="D122" s="10" t="s">
        <v>15</v>
      </c>
      <c r="E122" s="11" t="s">
        <v>240</v>
      </c>
      <c r="F122" s="12">
        <v>46007</v>
      </c>
      <c r="G122" s="22">
        <f t="shared" si="2"/>
        <v>12</v>
      </c>
      <c r="H122" s="11" t="s">
        <v>28</v>
      </c>
      <c r="I122" s="29">
        <v>20021</v>
      </c>
      <c r="J122" s="15" t="s">
        <v>42</v>
      </c>
      <c r="K122" s="15" t="s">
        <v>30</v>
      </c>
      <c r="L122" s="16">
        <v>10000</v>
      </c>
      <c r="M122" s="16">
        <f t="shared" si="3"/>
        <v>10000</v>
      </c>
      <c r="N122" s="15" t="s">
        <v>31</v>
      </c>
    </row>
    <row r="123" spans="1:14" ht="50.1" customHeight="1">
      <c r="A123" s="7">
        <v>122</v>
      </c>
      <c r="B123" s="25" t="s">
        <v>53</v>
      </c>
      <c r="C123" s="9">
        <v>1</v>
      </c>
      <c r="D123" s="10" t="s">
        <v>15</v>
      </c>
      <c r="E123" s="11" t="s">
        <v>241</v>
      </c>
      <c r="F123" s="12">
        <v>46001</v>
      </c>
      <c r="G123" s="22">
        <f>MONTH(F123)</f>
        <v>12</v>
      </c>
      <c r="H123" s="23" t="s">
        <v>28</v>
      </c>
      <c r="I123" s="29">
        <v>20021</v>
      </c>
      <c r="J123" s="15" t="s">
        <v>55</v>
      </c>
      <c r="K123" s="15" t="s">
        <v>30</v>
      </c>
      <c r="L123" s="16">
        <v>6000</v>
      </c>
      <c r="M123" s="16">
        <f t="shared" si="3"/>
        <v>6000</v>
      </c>
      <c r="N123" s="15" t="s">
        <v>31</v>
      </c>
    </row>
    <row r="124" spans="1:14" ht="50.1" customHeight="1">
      <c r="A124" s="7">
        <v>123</v>
      </c>
      <c r="B124" s="25" t="s">
        <v>123</v>
      </c>
      <c r="C124" s="9">
        <v>1</v>
      </c>
      <c r="D124" s="10" t="s">
        <v>15</v>
      </c>
      <c r="E124" s="11" t="s">
        <v>242</v>
      </c>
      <c r="F124" s="12">
        <v>46014</v>
      </c>
      <c r="G124" s="22">
        <f>MONTH(F124)</f>
        <v>12</v>
      </c>
      <c r="H124" s="11" t="s">
        <v>99</v>
      </c>
      <c r="I124" s="29">
        <v>20021</v>
      </c>
      <c r="J124" s="15" t="s">
        <v>46</v>
      </c>
      <c r="K124" s="15" t="s">
        <v>19</v>
      </c>
      <c r="L124" s="16">
        <v>30000</v>
      </c>
      <c r="M124" s="16">
        <f t="shared" si="3"/>
        <v>30000</v>
      </c>
      <c r="N124" s="15" t="s">
        <v>31</v>
      </c>
    </row>
    <row r="125" spans="1:14" ht="50.1" customHeight="1">
      <c r="A125" s="7">
        <v>124</v>
      </c>
      <c r="B125" s="34" t="s">
        <v>125</v>
      </c>
      <c r="C125" s="9">
        <v>1</v>
      </c>
      <c r="D125" s="10" t="s">
        <v>15</v>
      </c>
      <c r="E125" s="11" t="s">
        <v>242</v>
      </c>
      <c r="F125" s="12">
        <v>46014</v>
      </c>
      <c r="G125" s="22">
        <f t="shared" si="2"/>
        <v>12</v>
      </c>
      <c r="H125" s="11" t="s">
        <v>99</v>
      </c>
      <c r="I125" s="29">
        <v>20021</v>
      </c>
      <c r="J125" s="15" t="s">
        <v>104</v>
      </c>
      <c r="K125" s="15" t="s">
        <v>19</v>
      </c>
      <c r="L125" s="16">
        <v>15000</v>
      </c>
      <c r="M125" s="16">
        <f t="shared" si="3"/>
        <v>15000</v>
      </c>
      <c r="N125" s="15" t="s">
        <v>31</v>
      </c>
    </row>
    <row r="126" spans="1:14" ht="50.1" customHeight="1">
      <c r="A126" s="7">
        <v>125</v>
      </c>
      <c r="B126" s="25" t="s">
        <v>126</v>
      </c>
      <c r="C126" s="9">
        <v>1</v>
      </c>
      <c r="D126" s="10" t="s">
        <v>15</v>
      </c>
      <c r="E126" s="11" t="s">
        <v>242</v>
      </c>
      <c r="F126" s="12">
        <v>46014</v>
      </c>
      <c r="G126" s="22">
        <f t="shared" si="2"/>
        <v>12</v>
      </c>
      <c r="H126" s="11" t="s">
        <v>99</v>
      </c>
      <c r="I126" s="29">
        <v>20021</v>
      </c>
      <c r="J126" s="15" t="s">
        <v>50</v>
      </c>
      <c r="K126" s="15" t="s">
        <v>19</v>
      </c>
      <c r="L126" s="16">
        <v>20000</v>
      </c>
      <c r="M126" s="16">
        <f t="shared" si="3"/>
        <v>20000</v>
      </c>
      <c r="N126" s="15" t="s">
        <v>31</v>
      </c>
    </row>
    <row r="127" spans="1:14" ht="50.1" customHeight="1">
      <c r="A127" s="7">
        <v>126</v>
      </c>
      <c r="B127" s="27" t="s">
        <v>150</v>
      </c>
      <c r="C127" s="9">
        <v>1</v>
      </c>
      <c r="D127" s="10" t="s">
        <v>15</v>
      </c>
      <c r="E127" s="11" t="s">
        <v>242</v>
      </c>
      <c r="F127" s="12">
        <v>46014</v>
      </c>
      <c r="G127" s="22">
        <f t="shared" si="2"/>
        <v>12</v>
      </c>
      <c r="H127" s="11" t="s">
        <v>99</v>
      </c>
      <c r="I127" s="29">
        <v>20021</v>
      </c>
      <c r="J127" s="15" t="s">
        <v>52</v>
      </c>
      <c r="K127" s="15" t="s">
        <v>59</v>
      </c>
      <c r="L127" s="16">
        <v>20000</v>
      </c>
      <c r="M127" s="16">
        <f t="shared" si="3"/>
        <v>20000</v>
      </c>
      <c r="N127" s="15" t="s">
        <v>31</v>
      </c>
    </row>
    <row r="128" spans="1:14" ht="50.1" customHeight="1">
      <c r="A128" s="7">
        <v>127</v>
      </c>
      <c r="B128" s="25" t="s">
        <v>145</v>
      </c>
      <c r="C128" s="9">
        <v>1</v>
      </c>
      <c r="D128" s="10" t="s">
        <v>15</v>
      </c>
      <c r="E128" s="11" t="s">
        <v>243</v>
      </c>
      <c r="F128" s="12">
        <v>46015</v>
      </c>
      <c r="G128" s="22">
        <f t="shared" si="2"/>
        <v>12</v>
      </c>
      <c r="H128" s="11" t="s">
        <v>91</v>
      </c>
      <c r="I128" s="29">
        <v>20021</v>
      </c>
      <c r="J128" s="15" t="s">
        <v>46</v>
      </c>
      <c r="K128" s="15" t="s">
        <v>19</v>
      </c>
      <c r="L128" s="16">
        <v>30000</v>
      </c>
      <c r="M128" s="16">
        <f t="shared" si="3"/>
        <v>30000</v>
      </c>
      <c r="N128" s="15" t="s">
        <v>31</v>
      </c>
    </row>
    <row r="129" spans="1:14" ht="50.1" customHeight="1">
      <c r="A129" s="7">
        <v>128</v>
      </c>
      <c r="B129" s="25" t="s">
        <v>244</v>
      </c>
      <c r="C129" s="9">
        <v>1</v>
      </c>
      <c r="D129" s="10" t="s">
        <v>15</v>
      </c>
      <c r="E129" s="11" t="s">
        <v>243</v>
      </c>
      <c r="F129" s="12">
        <v>46015</v>
      </c>
      <c r="G129" s="22">
        <f t="shared" si="2"/>
        <v>12</v>
      </c>
      <c r="H129" s="11" t="s">
        <v>91</v>
      </c>
      <c r="I129" s="29">
        <v>20021</v>
      </c>
      <c r="J129" s="15" t="s">
        <v>104</v>
      </c>
      <c r="K129" s="15" t="s">
        <v>19</v>
      </c>
      <c r="L129" s="16">
        <v>15000</v>
      </c>
      <c r="M129" s="16">
        <f t="shared" si="3"/>
        <v>15000</v>
      </c>
      <c r="N129" s="17" t="s">
        <v>20</v>
      </c>
    </row>
    <row r="130" spans="1:14" ht="50.1" customHeight="1">
      <c r="A130" s="7">
        <v>129</v>
      </c>
      <c r="B130" s="25" t="s">
        <v>126</v>
      </c>
      <c r="C130" s="9">
        <v>1</v>
      </c>
      <c r="D130" s="10" t="s">
        <v>15</v>
      </c>
      <c r="E130" s="11" t="s">
        <v>243</v>
      </c>
      <c r="F130" s="12">
        <v>46015</v>
      </c>
      <c r="G130" s="22">
        <f t="shared" ref="G130:G147" si="4">MONTH(F130)</f>
        <v>12</v>
      </c>
      <c r="H130" s="11" t="s">
        <v>91</v>
      </c>
      <c r="I130" s="29">
        <v>20021</v>
      </c>
      <c r="J130" s="15" t="s">
        <v>50</v>
      </c>
      <c r="K130" s="15" t="s">
        <v>19</v>
      </c>
      <c r="L130" s="16">
        <v>20000</v>
      </c>
      <c r="M130" s="16">
        <f t="shared" ref="M130:M150" si="5">L130*C130</f>
        <v>20000</v>
      </c>
      <c r="N130" s="15" t="s">
        <v>31</v>
      </c>
    </row>
    <row r="131" spans="1:14" ht="50.1" customHeight="1">
      <c r="A131" s="7">
        <v>130</v>
      </c>
      <c r="B131" s="27" t="s">
        <v>150</v>
      </c>
      <c r="C131" s="9">
        <v>1</v>
      </c>
      <c r="D131" s="10" t="s">
        <v>15</v>
      </c>
      <c r="E131" s="11" t="s">
        <v>243</v>
      </c>
      <c r="F131" s="12">
        <v>46015</v>
      </c>
      <c r="G131" s="22">
        <f t="shared" si="4"/>
        <v>12</v>
      </c>
      <c r="H131" s="23" t="s">
        <v>217</v>
      </c>
      <c r="I131" s="29">
        <v>20021</v>
      </c>
      <c r="J131" s="15" t="s">
        <v>52</v>
      </c>
      <c r="K131" s="15" t="s">
        <v>59</v>
      </c>
      <c r="L131" s="16">
        <v>20000</v>
      </c>
      <c r="M131" s="16">
        <f t="shared" si="5"/>
        <v>20000</v>
      </c>
      <c r="N131" s="15" t="s">
        <v>31</v>
      </c>
    </row>
    <row r="132" spans="1:14" ht="50.1" customHeight="1">
      <c r="A132" s="7">
        <v>131</v>
      </c>
      <c r="B132" s="27" t="s">
        <v>150</v>
      </c>
      <c r="C132" s="9">
        <v>1</v>
      </c>
      <c r="D132" s="10" t="s">
        <v>15</v>
      </c>
      <c r="E132" s="11" t="s">
        <v>245</v>
      </c>
      <c r="F132" s="12">
        <v>46009</v>
      </c>
      <c r="G132" s="22">
        <f t="shared" si="4"/>
        <v>12</v>
      </c>
      <c r="H132" s="11" t="s">
        <v>122</v>
      </c>
      <c r="I132" s="29">
        <v>20021</v>
      </c>
      <c r="J132" s="15" t="s">
        <v>52</v>
      </c>
      <c r="K132" s="15" t="s">
        <v>59</v>
      </c>
      <c r="L132" s="16">
        <v>20000</v>
      </c>
      <c r="M132" s="16">
        <f t="shared" si="5"/>
        <v>20000</v>
      </c>
      <c r="N132" s="15" t="s">
        <v>31</v>
      </c>
    </row>
    <row r="133" spans="1:14" ht="50.1" customHeight="1">
      <c r="A133" s="7">
        <v>132</v>
      </c>
      <c r="B133" s="8" t="s">
        <v>14</v>
      </c>
      <c r="C133" s="9">
        <v>1</v>
      </c>
      <c r="D133" s="10" t="s">
        <v>15</v>
      </c>
      <c r="E133" s="11" t="s">
        <v>246</v>
      </c>
      <c r="F133" s="12">
        <v>46010</v>
      </c>
      <c r="G133" s="22">
        <f t="shared" si="4"/>
        <v>12</v>
      </c>
      <c r="H133" s="23" t="s">
        <v>39</v>
      </c>
      <c r="I133" s="29">
        <v>17655</v>
      </c>
      <c r="J133" s="15" t="s">
        <v>18</v>
      </c>
      <c r="K133" s="15" t="s">
        <v>19</v>
      </c>
      <c r="L133" s="16">
        <v>2000</v>
      </c>
      <c r="M133" s="16">
        <f t="shared" si="5"/>
        <v>2000</v>
      </c>
      <c r="N133" s="17" t="s">
        <v>20</v>
      </c>
    </row>
    <row r="134" spans="1:14" ht="50.1" customHeight="1">
      <c r="A134" s="7">
        <v>133</v>
      </c>
      <c r="B134" s="21" t="s">
        <v>247</v>
      </c>
      <c r="C134" s="9">
        <v>1</v>
      </c>
      <c r="D134" s="10" t="s">
        <v>15</v>
      </c>
      <c r="E134" s="11" t="s">
        <v>248</v>
      </c>
      <c r="F134" s="12">
        <v>46009</v>
      </c>
      <c r="G134" s="22">
        <f t="shared" si="4"/>
        <v>12</v>
      </c>
      <c r="H134" s="11" t="s">
        <v>94</v>
      </c>
      <c r="I134" s="29">
        <v>20021</v>
      </c>
      <c r="J134" s="15" t="s">
        <v>42</v>
      </c>
      <c r="K134" s="15" t="s">
        <v>30</v>
      </c>
      <c r="L134" s="16">
        <v>10000</v>
      </c>
      <c r="M134" s="16">
        <f t="shared" si="5"/>
        <v>10000</v>
      </c>
      <c r="N134" s="15" t="s">
        <v>31</v>
      </c>
    </row>
    <row r="135" spans="1:14" ht="50.1" customHeight="1">
      <c r="A135" s="7">
        <v>134</v>
      </c>
      <c r="B135" s="19" t="s">
        <v>249</v>
      </c>
      <c r="C135" s="9">
        <v>1</v>
      </c>
      <c r="D135" s="10" t="s">
        <v>15</v>
      </c>
      <c r="E135" s="11" t="s">
        <v>250</v>
      </c>
      <c r="F135" s="12">
        <v>46015</v>
      </c>
      <c r="G135" s="22">
        <f t="shared" si="4"/>
        <v>12</v>
      </c>
      <c r="H135" s="11" t="s">
        <v>28</v>
      </c>
      <c r="I135" s="29">
        <v>20021</v>
      </c>
      <c r="J135" s="15" t="s">
        <v>29</v>
      </c>
      <c r="K135" s="15" t="s">
        <v>30</v>
      </c>
      <c r="L135" s="16">
        <v>30000</v>
      </c>
      <c r="M135" s="16">
        <f t="shared" si="5"/>
        <v>30000</v>
      </c>
      <c r="N135" s="15" t="s">
        <v>31</v>
      </c>
    </row>
    <row r="136" spans="1:14" ht="50.1" customHeight="1">
      <c r="A136" s="7">
        <v>135</v>
      </c>
      <c r="B136" s="24" t="s">
        <v>43</v>
      </c>
      <c r="C136" s="9">
        <v>1</v>
      </c>
      <c r="D136" s="10" t="s">
        <v>15</v>
      </c>
      <c r="E136" s="20" t="s">
        <v>251</v>
      </c>
      <c r="F136" s="12">
        <v>46013</v>
      </c>
      <c r="G136" s="22">
        <f t="shared" si="4"/>
        <v>12</v>
      </c>
      <c r="H136" s="11" t="s">
        <v>107</v>
      </c>
      <c r="I136" s="29">
        <v>15060</v>
      </c>
      <c r="J136" s="15" t="s">
        <v>46</v>
      </c>
      <c r="K136" s="15" t="s">
        <v>19</v>
      </c>
      <c r="L136" s="16">
        <v>30000</v>
      </c>
      <c r="M136" s="16">
        <f t="shared" si="5"/>
        <v>30000</v>
      </c>
      <c r="N136" s="15" t="s">
        <v>31</v>
      </c>
    </row>
    <row r="137" spans="1:14" ht="50.1" customHeight="1">
      <c r="A137" s="7">
        <v>136</v>
      </c>
      <c r="B137" s="25" t="s">
        <v>252</v>
      </c>
      <c r="C137" s="9">
        <v>1</v>
      </c>
      <c r="D137" s="10" t="s">
        <v>15</v>
      </c>
      <c r="E137" s="20" t="s">
        <v>251</v>
      </c>
      <c r="F137" s="12">
        <v>46013</v>
      </c>
      <c r="G137" s="22">
        <f t="shared" si="4"/>
        <v>12</v>
      </c>
      <c r="H137" s="11" t="s">
        <v>107</v>
      </c>
      <c r="I137" s="29">
        <v>15060</v>
      </c>
      <c r="J137" s="15" t="s">
        <v>24</v>
      </c>
      <c r="K137" s="15" t="s">
        <v>19</v>
      </c>
      <c r="L137" s="16">
        <v>5000</v>
      </c>
      <c r="M137" s="16">
        <f t="shared" si="5"/>
        <v>5000</v>
      </c>
      <c r="N137" s="15" t="s">
        <v>31</v>
      </c>
    </row>
    <row r="138" spans="1:14" ht="50.1" customHeight="1">
      <c r="A138" s="7">
        <v>137</v>
      </c>
      <c r="B138" s="26" t="s">
        <v>49</v>
      </c>
      <c r="C138" s="9">
        <v>1</v>
      </c>
      <c r="D138" s="10" t="s">
        <v>15</v>
      </c>
      <c r="E138" s="20" t="s">
        <v>251</v>
      </c>
      <c r="F138" s="12">
        <v>46013</v>
      </c>
      <c r="G138" s="22">
        <f t="shared" si="4"/>
        <v>12</v>
      </c>
      <c r="H138" s="11" t="s">
        <v>107</v>
      </c>
      <c r="I138" s="29">
        <v>15060</v>
      </c>
      <c r="J138" s="15" t="s">
        <v>50</v>
      </c>
      <c r="K138" s="15" t="s">
        <v>19</v>
      </c>
      <c r="L138" s="16">
        <v>20000</v>
      </c>
      <c r="M138" s="16">
        <f t="shared" si="5"/>
        <v>20000</v>
      </c>
      <c r="N138" s="15" t="s">
        <v>31</v>
      </c>
    </row>
    <row r="139" spans="1:14" ht="50.1" customHeight="1">
      <c r="A139" s="7">
        <v>138</v>
      </c>
      <c r="B139" s="27" t="s">
        <v>51</v>
      </c>
      <c r="C139" s="9">
        <v>1</v>
      </c>
      <c r="D139" s="10" t="s">
        <v>15</v>
      </c>
      <c r="E139" s="20" t="s">
        <v>251</v>
      </c>
      <c r="F139" s="12">
        <v>46013</v>
      </c>
      <c r="G139" s="22">
        <f t="shared" si="4"/>
        <v>12</v>
      </c>
      <c r="H139" s="11" t="s">
        <v>107</v>
      </c>
      <c r="I139" s="29">
        <v>15060</v>
      </c>
      <c r="J139" s="15" t="s">
        <v>52</v>
      </c>
      <c r="K139" s="15" t="s">
        <v>59</v>
      </c>
      <c r="L139" s="16">
        <v>20000</v>
      </c>
      <c r="M139" s="16">
        <f t="shared" si="5"/>
        <v>20000</v>
      </c>
      <c r="N139" s="15" t="s">
        <v>31</v>
      </c>
    </row>
    <row r="140" spans="1:14" ht="50.1" customHeight="1">
      <c r="A140" s="7">
        <v>139</v>
      </c>
      <c r="B140" s="25" t="s">
        <v>68</v>
      </c>
      <c r="C140" s="9">
        <v>1</v>
      </c>
      <c r="D140" s="10" t="s">
        <v>15</v>
      </c>
      <c r="E140" s="20" t="s">
        <v>253</v>
      </c>
      <c r="F140" s="12">
        <v>46011</v>
      </c>
      <c r="G140" s="22">
        <f t="shared" si="4"/>
        <v>12</v>
      </c>
      <c r="H140" s="11" t="s">
        <v>160</v>
      </c>
      <c r="I140" s="29">
        <v>20021</v>
      </c>
      <c r="J140" s="15" t="s">
        <v>48</v>
      </c>
      <c r="K140" s="15" t="s">
        <v>19</v>
      </c>
      <c r="L140" s="16">
        <v>20000</v>
      </c>
      <c r="M140" s="16">
        <f t="shared" si="5"/>
        <v>20000</v>
      </c>
      <c r="N140" s="15" t="s">
        <v>31</v>
      </c>
    </row>
    <row r="141" spans="1:14" ht="50.1" customHeight="1">
      <c r="A141" s="7">
        <v>140</v>
      </c>
      <c r="B141" s="25" t="s">
        <v>158</v>
      </c>
      <c r="C141" s="9">
        <v>1</v>
      </c>
      <c r="D141" s="10" t="s">
        <v>15</v>
      </c>
      <c r="E141" s="11" t="s">
        <v>254</v>
      </c>
      <c r="F141" s="12">
        <v>46011</v>
      </c>
      <c r="G141" s="22">
        <f t="shared" si="4"/>
        <v>12</v>
      </c>
      <c r="H141" s="11" t="s">
        <v>28</v>
      </c>
      <c r="I141" s="29">
        <v>20021</v>
      </c>
      <c r="J141" s="15" t="s">
        <v>42</v>
      </c>
      <c r="K141" s="15" t="s">
        <v>30</v>
      </c>
      <c r="L141" s="16">
        <v>10000</v>
      </c>
      <c r="M141" s="16">
        <f t="shared" si="5"/>
        <v>10000</v>
      </c>
      <c r="N141" s="17" t="s">
        <v>20</v>
      </c>
    </row>
    <row r="142" spans="1:14" ht="50.1" customHeight="1">
      <c r="A142" s="7">
        <v>141</v>
      </c>
      <c r="B142" s="21" t="s">
        <v>255</v>
      </c>
      <c r="C142" s="9">
        <v>1</v>
      </c>
      <c r="D142" s="10" t="s">
        <v>15</v>
      </c>
      <c r="E142" s="20" t="s">
        <v>256</v>
      </c>
      <c r="F142" s="12">
        <v>46013</v>
      </c>
      <c r="G142" s="22">
        <f t="shared" si="4"/>
        <v>12</v>
      </c>
      <c r="H142" s="23" t="s">
        <v>62</v>
      </c>
      <c r="I142" s="29">
        <v>20021</v>
      </c>
      <c r="J142" s="15" t="s">
        <v>257</v>
      </c>
      <c r="K142" s="15" t="s">
        <v>59</v>
      </c>
      <c r="L142" s="16">
        <v>5000</v>
      </c>
      <c r="M142" s="16">
        <f t="shared" si="5"/>
        <v>5000</v>
      </c>
      <c r="N142" s="15" t="s">
        <v>31</v>
      </c>
    </row>
    <row r="143" spans="1:14" ht="50.1" customHeight="1">
      <c r="A143" s="7">
        <v>142</v>
      </c>
      <c r="B143" s="25" t="s">
        <v>53</v>
      </c>
      <c r="C143" s="9">
        <v>1</v>
      </c>
      <c r="D143" s="10" t="s">
        <v>15</v>
      </c>
      <c r="E143" s="20" t="s">
        <v>258</v>
      </c>
      <c r="F143" s="12">
        <v>46011</v>
      </c>
      <c r="G143" s="22">
        <f t="shared" si="4"/>
        <v>12</v>
      </c>
      <c r="H143" s="11" t="s">
        <v>28</v>
      </c>
      <c r="I143" s="29">
        <v>20021</v>
      </c>
      <c r="J143" s="15" t="s">
        <v>55</v>
      </c>
      <c r="K143" s="15" t="s">
        <v>30</v>
      </c>
      <c r="L143" s="16">
        <v>6000</v>
      </c>
      <c r="M143" s="16">
        <f t="shared" si="5"/>
        <v>6000</v>
      </c>
      <c r="N143" s="15" t="s">
        <v>31</v>
      </c>
    </row>
    <row r="144" spans="1:14" ht="50.1" customHeight="1">
      <c r="A144" s="7">
        <v>143</v>
      </c>
      <c r="B144" s="25" t="s">
        <v>53</v>
      </c>
      <c r="C144" s="9">
        <v>1</v>
      </c>
      <c r="D144" s="10" t="s">
        <v>15</v>
      </c>
      <c r="E144" s="20" t="s">
        <v>259</v>
      </c>
      <c r="F144" s="12">
        <v>46021</v>
      </c>
      <c r="G144" s="22">
        <f t="shared" si="4"/>
        <v>12</v>
      </c>
      <c r="H144" s="11" t="s">
        <v>91</v>
      </c>
      <c r="I144" s="29">
        <v>17655</v>
      </c>
      <c r="J144" s="15" t="s">
        <v>55</v>
      </c>
      <c r="K144" s="15" t="s">
        <v>30</v>
      </c>
      <c r="L144" s="16">
        <v>6000</v>
      </c>
      <c r="M144" s="16">
        <f t="shared" si="5"/>
        <v>6000</v>
      </c>
      <c r="N144" s="15" t="s">
        <v>31</v>
      </c>
    </row>
    <row r="145" spans="1:14" ht="50.1" customHeight="1">
      <c r="A145" s="7">
        <v>144</v>
      </c>
      <c r="B145" s="27" t="s">
        <v>177</v>
      </c>
      <c r="C145" s="9">
        <v>1</v>
      </c>
      <c r="D145" s="10" t="s">
        <v>15</v>
      </c>
      <c r="E145" s="20" t="s">
        <v>260</v>
      </c>
      <c r="F145" s="12">
        <v>46017</v>
      </c>
      <c r="G145" s="22">
        <f t="shared" si="4"/>
        <v>12</v>
      </c>
      <c r="H145" s="11" t="s">
        <v>23</v>
      </c>
      <c r="I145" s="29">
        <v>20021</v>
      </c>
      <c r="J145" s="15" t="s">
        <v>82</v>
      </c>
      <c r="K145" s="15" t="s">
        <v>19</v>
      </c>
      <c r="L145" s="16">
        <v>10000</v>
      </c>
      <c r="M145" s="16">
        <f t="shared" si="5"/>
        <v>10000</v>
      </c>
      <c r="N145" s="15" t="s">
        <v>31</v>
      </c>
    </row>
    <row r="146" spans="1:14" ht="50.1" customHeight="1">
      <c r="A146" s="7">
        <v>145</v>
      </c>
      <c r="B146" s="27" t="s">
        <v>261</v>
      </c>
      <c r="C146" s="9">
        <v>1</v>
      </c>
      <c r="D146" s="10" t="s">
        <v>15</v>
      </c>
      <c r="E146" s="20" t="s">
        <v>262</v>
      </c>
      <c r="F146" s="12">
        <v>46020</v>
      </c>
      <c r="G146" s="22">
        <f t="shared" si="4"/>
        <v>12</v>
      </c>
      <c r="H146" s="11" t="s">
        <v>122</v>
      </c>
      <c r="I146" s="29">
        <v>17655</v>
      </c>
      <c r="J146" s="15" t="s">
        <v>58</v>
      </c>
      <c r="K146" s="15" t="s">
        <v>59</v>
      </c>
      <c r="L146" s="16">
        <v>5000</v>
      </c>
      <c r="M146" s="16">
        <f t="shared" si="5"/>
        <v>5000</v>
      </c>
      <c r="N146" s="15" t="s">
        <v>31</v>
      </c>
    </row>
    <row r="147" spans="1:14" ht="50.1" customHeight="1">
      <c r="A147" s="7">
        <v>146</v>
      </c>
      <c r="B147" s="19" t="s">
        <v>263</v>
      </c>
      <c r="C147" s="9">
        <v>1</v>
      </c>
      <c r="D147" s="10" t="s">
        <v>15</v>
      </c>
      <c r="E147" s="11" t="s">
        <v>264</v>
      </c>
      <c r="F147" s="12">
        <v>46021</v>
      </c>
      <c r="G147" s="22">
        <f t="shared" si="4"/>
        <v>12</v>
      </c>
      <c r="H147" s="33" t="s">
        <v>265</v>
      </c>
      <c r="I147" s="29">
        <v>20021</v>
      </c>
      <c r="J147" s="15" t="s">
        <v>52</v>
      </c>
      <c r="K147" s="15" t="s">
        <v>19</v>
      </c>
      <c r="L147" s="16">
        <v>20000</v>
      </c>
      <c r="M147" s="16">
        <f t="shared" si="5"/>
        <v>20000</v>
      </c>
      <c r="N147" s="15" t="s">
        <v>31</v>
      </c>
    </row>
    <row r="148" spans="1:14" ht="50.1" customHeight="1">
      <c r="A148" s="7">
        <v>147</v>
      </c>
      <c r="B148" s="46" t="s">
        <v>266</v>
      </c>
      <c r="C148" s="47">
        <v>10</v>
      </c>
      <c r="D148" s="48" t="s">
        <v>267</v>
      </c>
      <c r="E148" s="49" t="s">
        <v>268</v>
      </c>
      <c r="F148" s="50"/>
      <c r="G148" s="51"/>
      <c r="H148" s="52" t="s">
        <v>269</v>
      </c>
      <c r="I148" s="53">
        <v>20021</v>
      </c>
      <c r="J148" s="41" t="s">
        <v>42</v>
      </c>
      <c r="K148" s="42" t="s">
        <v>30</v>
      </c>
      <c r="L148" s="43">
        <v>10000</v>
      </c>
      <c r="M148" s="16">
        <f t="shared" si="5"/>
        <v>100000</v>
      </c>
      <c r="N148" s="15" t="s">
        <v>31</v>
      </c>
    </row>
    <row r="149" spans="1:14" ht="50.1" customHeight="1">
      <c r="A149" s="7">
        <v>148</v>
      </c>
      <c r="B149" s="46" t="s">
        <v>270</v>
      </c>
      <c r="C149" s="47">
        <v>10</v>
      </c>
      <c r="D149" s="48" t="s">
        <v>267</v>
      </c>
      <c r="E149" s="49" t="s">
        <v>268</v>
      </c>
      <c r="F149" s="50"/>
      <c r="G149" s="51"/>
      <c r="H149" s="52" t="s">
        <v>269</v>
      </c>
      <c r="I149" s="53">
        <v>20021</v>
      </c>
      <c r="J149" s="41" t="s">
        <v>42</v>
      </c>
      <c r="K149" s="42" t="s">
        <v>30</v>
      </c>
      <c r="L149" s="43">
        <v>10000</v>
      </c>
      <c r="M149" s="16">
        <f t="shared" si="5"/>
        <v>100000</v>
      </c>
      <c r="N149" s="15" t="s">
        <v>31</v>
      </c>
    </row>
    <row r="150" spans="1:14" ht="50.1" customHeight="1">
      <c r="A150" s="7">
        <v>149</v>
      </c>
      <c r="B150" s="54" t="s">
        <v>271</v>
      </c>
      <c r="C150" s="47">
        <v>10</v>
      </c>
      <c r="D150" s="48" t="s">
        <v>267</v>
      </c>
      <c r="E150" s="49" t="s">
        <v>268</v>
      </c>
      <c r="F150" s="50"/>
      <c r="G150" s="51"/>
      <c r="H150" s="52" t="s">
        <v>269</v>
      </c>
      <c r="I150" s="53">
        <v>20021</v>
      </c>
      <c r="J150" s="41" t="s">
        <v>42</v>
      </c>
      <c r="K150" s="42" t="s">
        <v>30</v>
      </c>
      <c r="L150" s="43">
        <v>10000</v>
      </c>
      <c r="M150" s="16">
        <f t="shared" si="5"/>
        <v>100000</v>
      </c>
      <c r="N150" s="15" t="s">
        <v>31</v>
      </c>
    </row>
    <row r="151" spans="1:14" ht="42.75" customHeight="1">
      <c r="M151" s="60">
        <f>SUM(M2:M150)</f>
        <v>2669000</v>
      </c>
    </row>
  </sheetData>
  <autoFilter ref="A1:M151" xr:uid="{00000000-0009-0000-0000-000003000000}"/>
  <pageMargins left="0.25" right="0.25" top="0.25" bottom="0.5" header="0" footer="0"/>
  <pageSetup paperSize="9" scale="44" fitToHeight="0" orientation="portrait" r:id="rId1"/>
  <headerFoot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TOTAL</vt:lpstr>
      <vt:lpstr>部門的報廢零件</vt:lpstr>
      <vt:lpstr>10-12</vt:lpstr>
      <vt:lpstr>清單 Danh sách </vt:lpstr>
      <vt:lpstr>'10-12'!Print_Area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Manh Hoan</dc:creator>
  <cp:lastModifiedBy>Nguyen Manh Hoan</cp:lastModifiedBy>
  <dcterms:created xsi:type="dcterms:W3CDTF">2026-01-26T00:11:42Z</dcterms:created>
  <dcterms:modified xsi:type="dcterms:W3CDTF">2026-01-27T06:45:01Z</dcterms:modified>
</cp:coreProperties>
</file>